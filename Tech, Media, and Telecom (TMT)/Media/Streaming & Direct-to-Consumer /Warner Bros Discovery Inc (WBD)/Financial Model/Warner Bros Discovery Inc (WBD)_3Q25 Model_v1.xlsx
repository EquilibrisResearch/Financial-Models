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A062B8A3-6533-45D2-B0CB-C8BC9EF832F1}" xr6:coauthVersionLast="47" xr6:coauthVersionMax="47" xr10:uidLastSave="{00000000-0000-0000-0000-000000000000}"/>
  <bookViews>
    <workbookView xWindow="-120" yWindow="-120" windowWidth="29040" windowHeight="15720" activeTab="2" xr2:uid="{BC9106CE-9107-4097-8948-317996376CB5}"/>
  </bookViews>
  <sheets>
    <sheet name="Historical Financials" sheetId="8" r:id="rId1"/>
    <sheet name="Revenue Segment Analysis" sheetId="10" r:id="rId2"/>
    <sheet name="FCF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11" l="1"/>
  <c r="S46" i="11"/>
  <c r="R46" i="11"/>
  <c r="AB46" i="11" s="1"/>
  <c r="Q46" i="11"/>
  <c r="P46" i="11"/>
  <c r="O46" i="11"/>
  <c r="N46" i="11"/>
  <c r="Z46" i="11" s="1"/>
  <c r="M46" i="11"/>
  <c r="L46" i="11"/>
  <c r="X46" i="11" s="1"/>
  <c r="K46" i="11"/>
  <c r="J46" i="11"/>
  <c r="V46" i="11" s="1"/>
  <c r="I46" i="11"/>
  <c r="D47" i="11"/>
  <c r="G46" i="11"/>
  <c r="F46" i="11"/>
  <c r="E46" i="11"/>
  <c r="D46" i="11"/>
  <c r="C46" i="11"/>
  <c r="S45" i="11"/>
  <c r="R45" i="11"/>
  <c r="Q45" i="11"/>
  <c r="P45" i="11"/>
  <c r="O45" i="11"/>
  <c r="N45" i="11"/>
  <c r="M45" i="11"/>
  <c r="Y45" i="11" s="1"/>
  <c r="L45" i="11"/>
  <c r="X45" i="11" s="1"/>
  <c r="K45" i="11"/>
  <c r="W45" i="11" s="1"/>
  <c r="J45" i="11"/>
  <c r="I45" i="11"/>
  <c r="G45" i="11"/>
  <c r="F45" i="11"/>
  <c r="E45" i="11"/>
  <c r="D45" i="11"/>
  <c r="C45" i="11"/>
  <c r="S44" i="11"/>
  <c r="R44" i="11"/>
  <c r="Q44" i="11"/>
  <c r="P44" i="11"/>
  <c r="O44" i="11"/>
  <c r="AA44" i="11" s="1"/>
  <c r="N44" i="11"/>
  <c r="M44" i="11"/>
  <c r="L44" i="11"/>
  <c r="X44" i="11" s="1"/>
  <c r="K44" i="11"/>
  <c r="J44" i="11"/>
  <c r="I44" i="11"/>
  <c r="G44" i="11"/>
  <c r="F44" i="11"/>
  <c r="E44" i="11"/>
  <c r="D44" i="11"/>
  <c r="C44" i="11"/>
  <c r="S43" i="11"/>
  <c r="AB43" i="11" s="1"/>
  <c r="R43" i="11"/>
  <c r="Q43" i="11"/>
  <c r="P43" i="11"/>
  <c r="O43" i="11"/>
  <c r="N43" i="11"/>
  <c r="Z43" i="11" s="1"/>
  <c r="M43" i="11"/>
  <c r="L43" i="11"/>
  <c r="X43" i="11" s="1"/>
  <c r="K43" i="11"/>
  <c r="V43" i="11" s="1"/>
  <c r="J43" i="11"/>
  <c r="I43" i="11"/>
  <c r="G43" i="11"/>
  <c r="F43" i="11"/>
  <c r="E43" i="11"/>
  <c r="D43" i="11"/>
  <c r="C43" i="11"/>
  <c r="F132" i="8"/>
  <c r="Q131" i="8"/>
  <c r="R131" i="8" s="1"/>
  <c r="S131" i="8" s="1"/>
  <c r="M131" i="8"/>
  <c r="N131" i="8" s="1"/>
  <c r="O131" i="8" s="1"/>
  <c r="J131" i="8"/>
  <c r="K131" i="8" s="1"/>
  <c r="I131" i="8"/>
  <c r="G131" i="8"/>
  <c r="F131" i="8"/>
  <c r="E131" i="8"/>
  <c r="C131" i="8"/>
  <c r="C134" i="8"/>
  <c r="Q125" i="8"/>
  <c r="R125" i="8" s="1"/>
  <c r="S125" i="8" s="1"/>
  <c r="N125" i="8"/>
  <c r="O125" i="8" s="1"/>
  <c r="J125" i="8"/>
  <c r="K125" i="8" s="1"/>
  <c r="G125" i="8"/>
  <c r="E125" i="8"/>
  <c r="D125" i="8"/>
  <c r="C125" i="8"/>
  <c r="Q42" i="11"/>
  <c r="O42" i="11"/>
  <c r="N42" i="11"/>
  <c r="M42" i="11"/>
  <c r="K42" i="11"/>
  <c r="J42" i="11"/>
  <c r="I42" i="11"/>
  <c r="G42" i="11"/>
  <c r="F42" i="11"/>
  <c r="E42" i="11"/>
  <c r="D42" i="11"/>
  <c r="C42" i="11"/>
  <c r="AA46" i="11"/>
  <c r="Y46" i="11"/>
  <c r="AB45" i="11"/>
  <c r="AA45" i="11"/>
  <c r="Z45" i="11"/>
  <c r="T45" i="11"/>
  <c r="AB44" i="11"/>
  <c r="W44" i="11"/>
  <c r="T44" i="11"/>
  <c r="AA43" i="11"/>
  <c r="W43" i="11"/>
  <c r="U43" i="11"/>
  <c r="T43" i="11"/>
  <c r="AB38" i="11"/>
  <c r="AA38" i="11"/>
  <c r="Z38" i="11"/>
  <c r="Y38" i="11"/>
  <c r="X38" i="11"/>
  <c r="W38" i="11"/>
  <c r="V38" i="11"/>
  <c r="U38" i="11"/>
  <c r="T38" i="11"/>
  <c r="AB9" i="11"/>
  <c r="AA9" i="11"/>
  <c r="Z9" i="11"/>
  <c r="Y9" i="11"/>
  <c r="X9" i="11"/>
  <c r="W9" i="11"/>
  <c r="V9" i="11"/>
  <c r="U9" i="11"/>
  <c r="T9" i="11"/>
  <c r="AB8" i="11"/>
  <c r="AA8" i="11"/>
  <c r="Z8" i="11"/>
  <c r="Y8" i="11"/>
  <c r="X8" i="11"/>
  <c r="W8" i="11"/>
  <c r="V8" i="11"/>
  <c r="U8" i="11"/>
  <c r="T8" i="11"/>
  <c r="AB7" i="11"/>
  <c r="AA7" i="11"/>
  <c r="Z7" i="11"/>
  <c r="Y7" i="11"/>
  <c r="X7" i="11"/>
  <c r="W7" i="11"/>
  <c r="V7" i="11"/>
  <c r="U7" i="11"/>
  <c r="T7" i="11"/>
  <c r="AA6" i="11"/>
  <c r="Z6" i="11"/>
  <c r="Y6" i="11"/>
  <c r="X6" i="11"/>
  <c r="W6" i="11"/>
  <c r="V6" i="11"/>
  <c r="U6" i="11"/>
  <c r="T6" i="11"/>
  <c r="S37" i="11"/>
  <c r="R37" i="11"/>
  <c r="Q37" i="11"/>
  <c r="S36" i="11"/>
  <c r="R36" i="11"/>
  <c r="Q36" i="11"/>
  <c r="AB191" i="10"/>
  <c r="AA191" i="10"/>
  <c r="Z191" i="10"/>
  <c r="Y191" i="10"/>
  <c r="X191" i="10"/>
  <c r="W191" i="10"/>
  <c r="V191" i="10"/>
  <c r="AB30" i="10"/>
  <c r="AA30" i="10"/>
  <c r="Z30" i="10"/>
  <c r="Y30" i="10"/>
  <c r="X30" i="10"/>
  <c r="W30" i="10"/>
  <c r="V30" i="10"/>
  <c r="U30" i="10"/>
  <c r="AB143" i="8"/>
  <c r="AA143" i="8"/>
  <c r="Z143" i="8"/>
  <c r="X143" i="8"/>
  <c r="W143" i="8"/>
  <c r="V143" i="8"/>
  <c r="Z142" i="8"/>
  <c r="V142" i="8"/>
  <c r="R103" i="8"/>
  <c r="S103" i="8" s="1"/>
  <c r="R104" i="8"/>
  <c r="S104" i="8" s="1"/>
  <c r="R105" i="8"/>
  <c r="S105" i="8" s="1"/>
  <c r="R106" i="8"/>
  <c r="S106" i="8" s="1"/>
  <c r="R107" i="8"/>
  <c r="S107" i="8" s="1"/>
  <c r="R108" i="8"/>
  <c r="S108" i="8" s="1"/>
  <c r="R109" i="8"/>
  <c r="S109" i="8" s="1"/>
  <c r="R110" i="8"/>
  <c r="S110" i="8" s="1"/>
  <c r="R112" i="8"/>
  <c r="S112" i="8" s="1"/>
  <c r="R116" i="8"/>
  <c r="S116" i="8" s="1"/>
  <c r="R117" i="8"/>
  <c r="S117" i="8" s="1"/>
  <c r="R118" i="8"/>
  <c r="S118" i="8" s="1"/>
  <c r="R119" i="8"/>
  <c r="S119" i="8" s="1"/>
  <c r="R123" i="8"/>
  <c r="S123" i="8" s="1"/>
  <c r="R124" i="8"/>
  <c r="R42" i="11" s="1"/>
  <c r="R127" i="8"/>
  <c r="S127" i="8" s="1"/>
  <c r="R132" i="8"/>
  <c r="S132" i="8" s="1"/>
  <c r="R133" i="8"/>
  <c r="S133" i="8" s="1"/>
  <c r="AA133" i="8" s="1"/>
  <c r="R134" i="8"/>
  <c r="S134" i="8" s="1"/>
  <c r="R142" i="8"/>
  <c r="AA142" i="8" s="1"/>
  <c r="Q113" i="10"/>
  <c r="P133" i="8"/>
  <c r="L133" i="8"/>
  <c r="U133" i="8" s="1"/>
  <c r="W46" i="11" l="1"/>
  <c r="U46" i="11"/>
  <c r="I47" i="11"/>
  <c r="T46" i="11"/>
  <c r="U45" i="11"/>
  <c r="V45" i="11"/>
  <c r="U44" i="11"/>
  <c r="V44" i="11"/>
  <c r="Y44" i="11"/>
  <c r="Z44" i="11"/>
  <c r="Y43" i="11"/>
  <c r="P125" i="8"/>
  <c r="Z125" i="8" s="1"/>
  <c r="W125" i="8"/>
  <c r="AA125" i="8"/>
  <c r="AB125" i="8"/>
  <c r="L125" i="8"/>
  <c r="S124" i="8"/>
  <c r="S42" i="11" s="1"/>
  <c r="Z133" i="8"/>
  <c r="T42" i="11"/>
  <c r="S142" i="8"/>
  <c r="AB142" i="8" s="1"/>
  <c r="V133" i="8"/>
  <c r="AB133" i="8"/>
  <c r="W133" i="8"/>
  <c r="X133" i="8"/>
  <c r="Y133" i="8"/>
  <c r="S61" i="11"/>
  <c r="AB61" i="11" s="1"/>
  <c r="R61" i="11"/>
  <c r="AA61" i="11" s="1"/>
  <c r="Q61" i="11"/>
  <c r="Z61" i="11" s="1"/>
  <c r="O61" i="11"/>
  <c r="X61" i="11" s="1"/>
  <c r="N61" i="11"/>
  <c r="M61" i="11"/>
  <c r="K61" i="11"/>
  <c r="J61" i="11"/>
  <c r="S60" i="11"/>
  <c r="AB60" i="11" s="1"/>
  <c r="R60" i="11"/>
  <c r="AA60" i="11" s="1"/>
  <c r="Q60" i="11"/>
  <c r="Z60" i="11" s="1"/>
  <c r="O60" i="11"/>
  <c r="X60" i="11" s="1"/>
  <c r="N60" i="11"/>
  <c r="M60" i="11"/>
  <c r="K60" i="11"/>
  <c r="J60" i="11"/>
  <c r="S59" i="11"/>
  <c r="AB59" i="11" s="1"/>
  <c r="R59" i="11"/>
  <c r="AA59" i="11" s="1"/>
  <c r="Q59" i="11"/>
  <c r="Z59" i="11" s="1"/>
  <c r="O59" i="11"/>
  <c r="X59" i="11" s="1"/>
  <c r="N59" i="11"/>
  <c r="M59" i="11"/>
  <c r="K59" i="11"/>
  <c r="J59" i="11"/>
  <c r="S58" i="11"/>
  <c r="AB58" i="11" s="1"/>
  <c r="R58" i="11"/>
  <c r="AA58" i="11" s="1"/>
  <c r="Q58" i="11"/>
  <c r="Z58" i="11" s="1"/>
  <c r="O58" i="11"/>
  <c r="X58" i="11" s="1"/>
  <c r="N58" i="11"/>
  <c r="M58" i="11"/>
  <c r="K58" i="11"/>
  <c r="J58" i="11"/>
  <c r="S57" i="11"/>
  <c r="AB57" i="11" s="1"/>
  <c r="R57" i="11"/>
  <c r="AA57" i="11" s="1"/>
  <c r="Q57" i="11"/>
  <c r="Z57" i="11" s="1"/>
  <c r="O57" i="11"/>
  <c r="X57" i="11" s="1"/>
  <c r="N57" i="11"/>
  <c r="M57" i="11"/>
  <c r="K57" i="11"/>
  <c r="J57" i="11"/>
  <c r="I61" i="11"/>
  <c r="I60" i="11"/>
  <c r="I59" i="11"/>
  <c r="I58" i="11"/>
  <c r="I57" i="11"/>
  <c r="G61" i="11"/>
  <c r="F61" i="11"/>
  <c r="E61" i="11"/>
  <c r="D61" i="11"/>
  <c r="G60" i="11"/>
  <c r="F60" i="11"/>
  <c r="E60" i="11"/>
  <c r="D60" i="11"/>
  <c r="G59" i="11"/>
  <c r="F59" i="11"/>
  <c r="E59" i="11"/>
  <c r="D59" i="11"/>
  <c r="G58" i="11"/>
  <c r="F58" i="11"/>
  <c r="E58" i="11"/>
  <c r="D58" i="11"/>
  <c r="G57" i="11"/>
  <c r="F57" i="11"/>
  <c r="E57" i="11"/>
  <c r="D57" i="11"/>
  <c r="C61" i="11"/>
  <c r="C60" i="11"/>
  <c r="C59" i="11"/>
  <c r="C58" i="11"/>
  <c r="C57" i="11"/>
  <c r="S67" i="11"/>
  <c r="AB67" i="11" s="1"/>
  <c r="R67" i="11"/>
  <c r="AA67" i="11" s="1"/>
  <c r="Q67" i="11"/>
  <c r="Z67" i="11" s="1"/>
  <c r="O67" i="11"/>
  <c r="X67" i="11" s="1"/>
  <c r="N67" i="11"/>
  <c r="M67" i="11"/>
  <c r="K67" i="11"/>
  <c r="J67" i="11"/>
  <c r="S66" i="11"/>
  <c r="R66" i="11"/>
  <c r="R69" i="11" s="1"/>
  <c r="AA69" i="11" s="1"/>
  <c r="Q66" i="11"/>
  <c r="O66" i="11"/>
  <c r="O69" i="11" s="1"/>
  <c r="X69" i="11" s="1"/>
  <c r="N66" i="11"/>
  <c r="N69" i="11" s="1"/>
  <c r="M66" i="11"/>
  <c r="M69" i="11" s="1"/>
  <c r="K66" i="11"/>
  <c r="K69" i="11" s="1"/>
  <c r="J66" i="11"/>
  <c r="J69" i="11" s="1"/>
  <c r="I67" i="11"/>
  <c r="I66" i="11"/>
  <c r="G67" i="11"/>
  <c r="F67" i="11"/>
  <c r="E67" i="11"/>
  <c r="D67" i="11"/>
  <c r="C67" i="11"/>
  <c r="G66" i="11"/>
  <c r="F66" i="11"/>
  <c r="E66" i="11"/>
  <c r="D66" i="11"/>
  <c r="C66" i="11"/>
  <c r="AB53" i="11"/>
  <c r="AA53" i="11"/>
  <c r="Z53" i="11"/>
  <c r="X53" i="11"/>
  <c r="S52" i="11"/>
  <c r="AB52" i="11" s="1"/>
  <c r="R52" i="11"/>
  <c r="AA52" i="11" s="1"/>
  <c r="Q52" i="11"/>
  <c r="Z52" i="11" s="1"/>
  <c r="O52" i="11"/>
  <c r="X52" i="11" s="1"/>
  <c r="N52" i="11"/>
  <c r="W52" i="11" s="1"/>
  <c r="M52" i="11"/>
  <c r="V52" i="11" s="1"/>
  <c r="K52" i="11"/>
  <c r="J52" i="11"/>
  <c r="I52" i="11"/>
  <c r="G52" i="11"/>
  <c r="F52" i="11"/>
  <c r="E52" i="11"/>
  <c r="D52" i="11"/>
  <c r="C52" i="11"/>
  <c r="C54" i="11" s="1"/>
  <c r="S39" i="11"/>
  <c r="R39" i="11"/>
  <c r="Q39" i="11"/>
  <c r="M39" i="11"/>
  <c r="I39" i="11"/>
  <c r="G39" i="11"/>
  <c r="F39" i="11"/>
  <c r="E39" i="11"/>
  <c r="D39" i="11"/>
  <c r="C39" i="11"/>
  <c r="M37" i="11"/>
  <c r="M36" i="11"/>
  <c r="I37" i="11"/>
  <c r="I36" i="11"/>
  <c r="G37" i="11"/>
  <c r="F37" i="11"/>
  <c r="E37" i="11"/>
  <c r="D37" i="11"/>
  <c r="G36" i="11"/>
  <c r="F36" i="11"/>
  <c r="E36" i="11"/>
  <c r="D36" i="11"/>
  <c r="C37" i="11"/>
  <c r="C36" i="11"/>
  <c r="S35" i="11"/>
  <c r="R35" i="11"/>
  <c r="Q35" i="11"/>
  <c r="M35" i="11"/>
  <c r="I35" i="11"/>
  <c r="G35" i="11"/>
  <c r="F35" i="11"/>
  <c r="E35" i="11"/>
  <c r="D35" i="11"/>
  <c r="C35" i="11"/>
  <c r="S29" i="11"/>
  <c r="R29" i="11"/>
  <c r="Q29" i="11"/>
  <c r="M29" i="11"/>
  <c r="I29" i="11"/>
  <c r="G29" i="11"/>
  <c r="F29" i="11"/>
  <c r="E29" i="11"/>
  <c r="D29" i="11"/>
  <c r="C29" i="11"/>
  <c r="S21" i="11"/>
  <c r="S31" i="11" s="1"/>
  <c r="R21" i="11"/>
  <c r="R31" i="11" s="1"/>
  <c r="Q21" i="11"/>
  <c r="Q31" i="11" s="1"/>
  <c r="O21" i="11"/>
  <c r="N21" i="11"/>
  <c r="M21" i="11"/>
  <c r="K21" i="11"/>
  <c r="J21" i="11"/>
  <c r="S20" i="11"/>
  <c r="S30" i="11" s="1"/>
  <c r="R20" i="11"/>
  <c r="R30" i="11" s="1"/>
  <c r="Q20" i="11"/>
  <c r="Q30" i="11" s="1"/>
  <c r="O20" i="11"/>
  <c r="N20" i="11"/>
  <c r="M20" i="11"/>
  <c r="K20" i="11"/>
  <c r="J20" i="11"/>
  <c r="S19" i="11"/>
  <c r="S25" i="11" s="1"/>
  <c r="R19" i="11"/>
  <c r="R25" i="11" s="1"/>
  <c r="Q19" i="11"/>
  <c r="Q25" i="11" s="1"/>
  <c r="O19" i="11"/>
  <c r="N19" i="11"/>
  <c r="M19" i="11"/>
  <c r="K19" i="11"/>
  <c r="J19" i="11"/>
  <c r="S18" i="11"/>
  <c r="R18" i="11"/>
  <c r="Q18" i="11"/>
  <c r="O18" i="11"/>
  <c r="N18" i="11"/>
  <c r="M18" i="11"/>
  <c r="K18" i="11"/>
  <c r="J18" i="11"/>
  <c r="I21" i="11"/>
  <c r="I20" i="11"/>
  <c r="I19" i="11"/>
  <c r="I18" i="11"/>
  <c r="G21" i="11"/>
  <c r="G31" i="11" s="1"/>
  <c r="F21" i="11"/>
  <c r="F31" i="11" s="1"/>
  <c r="E21" i="11"/>
  <c r="E31" i="11" s="1"/>
  <c r="D21" i="11"/>
  <c r="D31" i="11" s="1"/>
  <c r="G20" i="11"/>
  <c r="G30" i="11" s="1"/>
  <c r="F20" i="11"/>
  <c r="F30" i="11" s="1"/>
  <c r="E20" i="11"/>
  <c r="E30" i="11" s="1"/>
  <c r="D20" i="11"/>
  <c r="D30" i="11" s="1"/>
  <c r="G19" i="11"/>
  <c r="G25" i="11" s="1"/>
  <c r="F19" i="11"/>
  <c r="F25" i="11" s="1"/>
  <c r="E19" i="11"/>
  <c r="E25" i="11" s="1"/>
  <c r="D19" i="11"/>
  <c r="D25" i="11" s="1"/>
  <c r="G18" i="11"/>
  <c r="F18" i="11"/>
  <c r="E18" i="11"/>
  <c r="D18" i="11"/>
  <c r="C21" i="11"/>
  <c r="C31" i="11" s="1"/>
  <c r="C20" i="11"/>
  <c r="C30" i="11" s="1"/>
  <c r="C19" i="11"/>
  <c r="C25" i="11" s="1"/>
  <c r="C18" i="11"/>
  <c r="S14" i="11"/>
  <c r="R14" i="11"/>
  <c r="Q14" i="11"/>
  <c r="O14" i="11"/>
  <c r="N14" i="11"/>
  <c r="M14" i="11"/>
  <c r="K14" i="11"/>
  <c r="J14" i="11"/>
  <c r="I14" i="11"/>
  <c r="G14" i="11"/>
  <c r="F14" i="11"/>
  <c r="E14" i="11"/>
  <c r="D14" i="11"/>
  <c r="C14" i="11"/>
  <c r="S9" i="11"/>
  <c r="R9" i="11"/>
  <c r="Q9" i="11"/>
  <c r="P9" i="11"/>
  <c r="O9" i="11"/>
  <c r="N9" i="11"/>
  <c r="M9" i="11"/>
  <c r="L9" i="11"/>
  <c r="K9" i="11"/>
  <c r="J9" i="11"/>
  <c r="S8" i="11"/>
  <c r="R8" i="11"/>
  <c r="Q8" i="11"/>
  <c r="P8" i="11"/>
  <c r="O8" i="11"/>
  <c r="N8" i="11"/>
  <c r="M8" i="11"/>
  <c r="L8" i="11"/>
  <c r="K8" i="11"/>
  <c r="J8" i="11"/>
  <c r="S7" i="11"/>
  <c r="R7" i="11"/>
  <c r="Q7" i="11"/>
  <c r="P7" i="11"/>
  <c r="O7" i="11"/>
  <c r="N7" i="11"/>
  <c r="M7" i="11"/>
  <c r="L7" i="11"/>
  <c r="K7" i="11"/>
  <c r="J7" i="11"/>
  <c r="S6" i="11"/>
  <c r="R6" i="11"/>
  <c r="Q6" i="11"/>
  <c r="P6" i="11"/>
  <c r="O6" i="11"/>
  <c r="N6" i="11"/>
  <c r="M6" i="11"/>
  <c r="L6" i="11"/>
  <c r="K6" i="11"/>
  <c r="J6" i="11"/>
  <c r="I9" i="11"/>
  <c r="I8" i="11"/>
  <c r="I7" i="11"/>
  <c r="I6" i="11"/>
  <c r="G9" i="11"/>
  <c r="F9" i="11"/>
  <c r="E9" i="11"/>
  <c r="D9" i="11"/>
  <c r="C9" i="11"/>
  <c r="G8" i="11"/>
  <c r="F8" i="11"/>
  <c r="E8" i="11"/>
  <c r="D8" i="11"/>
  <c r="C8" i="11"/>
  <c r="G7" i="11"/>
  <c r="F7" i="11"/>
  <c r="E7" i="11"/>
  <c r="D7" i="11"/>
  <c r="C7" i="11"/>
  <c r="G6" i="11"/>
  <c r="F6" i="11"/>
  <c r="E6" i="11"/>
  <c r="D6" i="11"/>
  <c r="C6" i="11"/>
  <c r="C4" i="11"/>
  <c r="C3" i="11"/>
  <c r="B9" i="11"/>
  <c r="B8" i="11"/>
  <c r="B7" i="11"/>
  <c r="B6" i="11"/>
  <c r="U191" i="10"/>
  <c r="P191" i="10"/>
  <c r="O191" i="10"/>
  <c r="N191" i="10"/>
  <c r="M191" i="10"/>
  <c r="L191" i="10"/>
  <c r="K191" i="10"/>
  <c r="J191" i="10"/>
  <c r="I191" i="10"/>
  <c r="G191" i="10"/>
  <c r="F191" i="10"/>
  <c r="E191" i="10"/>
  <c r="D191" i="10"/>
  <c r="C191" i="10"/>
  <c r="Y125" i="10"/>
  <c r="X125" i="10"/>
  <c r="W125" i="10"/>
  <c r="V125" i="10"/>
  <c r="U125" i="10"/>
  <c r="P125" i="10"/>
  <c r="O125" i="10"/>
  <c r="N125" i="10"/>
  <c r="M125" i="10"/>
  <c r="L125" i="10"/>
  <c r="K125" i="10"/>
  <c r="J125" i="10"/>
  <c r="I125" i="10"/>
  <c r="G125" i="10"/>
  <c r="F125" i="10"/>
  <c r="E125" i="10"/>
  <c r="D125" i="10"/>
  <c r="C125" i="10"/>
  <c r="Y86" i="10"/>
  <c r="X86" i="10"/>
  <c r="W86" i="10"/>
  <c r="V86" i="10"/>
  <c r="U86" i="10"/>
  <c r="P86" i="10"/>
  <c r="O86" i="10"/>
  <c r="N86" i="10"/>
  <c r="M86" i="10"/>
  <c r="L86" i="10"/>
  <c r="K86" i="10"/>
  <c r="J86" i="10"/>
  <c r="I86" i="10"/>
  <c r="G86" i="10"/>
  <c r="F86" i="10"/>
  <c r="E86" i="10"/>
  <c r="D86" i="10"/>
  <c r="C86" i="10"/>
  <c r="Y44" i="10"/>
  <c r="X44" i="10"/>
  <c r="W44" i="10"/>
  <c r="V44" i="10"/>
  <c r="U44" i="10"/>
  <c r="P44" i="10"/>
  <c r="O44" i="10"/>
  <c r="N44" i="10"/>
  <c r="M44" i="10"/>
  <c r="L44" i="10"/>
  <c r="K44" i="10"/>
  <c r="J44" i="10"/>
  <c r="I44" i="10"/>
  <c r="G44" i="10"/>
  <c r="F44" i="10"/>
  <c r="E44" i="10"/>
  <c r="D44" i="10"/>
  <c r="C44" i="10"/>
  <c r="N151" i="8"/>
  <c r="N37" i="11" s="1"/>
  <c r="N150" i="8"/>
  <c r="N36" i="11" s="1"/>
  <c r="J151" i="8"/>
  <c r="K151" i="8" s="1"/>
  <c r="J150" i="8"/>
  <c r="J36" i="11" s="1"/>
  <c r="L35" i="8"/>
  <c r="X35" i="8" s="1"/>
  <c r="L34" i="8"/>
  <c r="V34" i="8" s="1"/>
  <c r="L31" i="8"/>
  <c r="L27" i="8"/>
  <c r="L26" i="8"/>
  <c r="W26" i="8" s="1"/>
  <c r="L25" i="8"/>
  <c r="X25" i="8" s="1"/>
  <c r="L24" i="8"/>
  <c r="W24" i="8" s="1"/>
  <c r="L10" i="8"/>
  <c r="L13" i="8"/>
  <c r="L14" i="11" s="1"/>
  <c r="L20" i="8"/>
  <c r="L21" i="11" s="1"/>
  <c r="L19" i="8"/>
  <c r="L20" i="11" s="1"/>
  <c r="L18" i="8"/>
  <c r="L19" i="11" s="1"/>
  <c r="L17" i="8"/>
  <c r="L18" i="11" s="1"/>
  <c r="N142" i="8"/>
  <c r="W142" i="8" s="1"/>
  <c r="J142" i="8"/>
  <c r="K142" i="8" s="1"/>
  <c r="L142" i="8" s="1"/>
  <c r="U142" i="8" s="1"/>
  <c r="J134" i="8"/>
  <c r="K134" i="8" s="1"/>
  <c r="L134" i="8" s="1"/>
  <c r="J132" i="8"/>
  <c r="K132" i="8" s="1"/>
  <c r="L132" i="8" s="1"/>
  <c r="L131" i="8"/>
  <c r="N132" i="8"/>
  <c r="O132" i="8" s="1"/>
  <c r="P132" i="8" s="1"/>
  <c r="Z132" i="8" s="1"/>
  <c r="N134" i="8"/>
  <c r="O134" i="8" s="1"/>
  <c r="P134" i="8" s="1"/>
  <c r="Z134" i="8" s="1"/>
  <c r="N127" i="8"/>
  <c r="O127" i="8" s="1"/>
  <c r="P127" i="8" s="1"/>
  <c r="N123" i="8"/>
  <c r="N35" i="11" s="1"/>
  <c r="J123" i="8"/>
  <c r="K123" i="8" s="1"/>
  <c r="J127" i="8"/>
  <c r="K127" i="8" s="1"/>
  <c r="J103" i="8"/>
  <c r="K103" i="8" s="1"/>
  <c r="L103" i="8" s="1"/>
  <c r="J104" i="8"/>
  <c r="K104" i="8" s="1"/>
  <c r="L104" i="8" s="1"/>
  <c r="J105" i="8"/>
  <c r="K105" i="8" s="1"/>
  <c r="L105" i="8" s="1"/>
  <c r="J106" i="8"/>
  <c r="K106" i="8" s="1"/>
  <c r="J107" i="8"/>
  <c r="K107" i="8" s="1"/>
  <c r="L107" i="8" s="1"/>
  <c r="J109" i="8"/>
  <c r="K109" i="8" s="1"/>
  <c r="L109" i="8" s="1"/>
  <c r="J110" i="8"/>
  <c r="K110" i="8" s="1"/>
  <c r="L110" i="8" s="1"/>
  <c r="J111" i="8"/>
  <c r="K111" i="8" s="1"/>
  <c r="L111" i="8" s="1"/>
  <c r="J112" i="8"/>
  <c r="K112" i="8" s="1"/>
  <c r="J116" i="8"/>
  <c r="K116" i="8" s="1"/>
  <c r="J117" i="8"/>
  <c r="K117" i="8" s="1"/>
  <c r="L117" i="8" s="1"/>
  <c r="J118" i="8"/>
  <c r="K118" i="8" s="1"/>
  <c r="J119" i="8"/>
  <c r="K119" i="8" s="1"/>
  <c r="L119" i="8" s="1"/>
  <c r="N119" i="8"/>
  <c r="O119" i="8" s="1"/>
  <c r="N118" i="8"/>
  <c r="N117" i="8"/>
  <c r="O117" i="8" s="1"/>
  <c r="P117" i="8" s="1"/>
  <c r="N116" i="8"/>
  <c r="N112" i="8"/>
  <c r="N111" i="8"/>
  <c r="O111" i="8" s="1"/>
  <c r="N110" i="8"/>
  <c r="O110" i="8" s="1"/>
  <c r="N109" i="8"/>
  <c r="O109" i="8" s="1"/>
  <c r="P109" i="8" s="1"/>
  <c r="Z109" i="8" s="1"/>
  <c r="N108" i="8"/>
  <c r="O108" i="8" s="1"/>
  <c r="P108" i="8" s="1"/>
  <c r="Z108" i="8" s="1"/>
  <c r="N107" i="8"/>
  <c r="O107" i="8" s="1"/>
  <c r="N106" i="8"/>
  <c r="O106" i="8" s="1"/>
  <c r="O29" i="11" s="1"/>
  <c r="N105" i="8"/>
  <c r="O105" i="8" s="1"/>
  <c r="N104" i="8"/>
  <c r="O104" i="8" s="1"/>
  <c r="P104" i="8" s="1"/>
  <c r="X104" i="8" s="1"/>
  <c r="N103" i="8"/>
  <c r="O103" i="8" s="1"/>
  <c r="P103" i="8" s="1"/>
  <c r="P181" i="10"/>
  <c r="AB181" i="10" s="1"/>
  <c r="L181" i="10"/>
  <c r="W181" i="10" s="1"/>
  <c r="P180" i="10"/>
  <c r="AB180" i="10" s="1"/>
  <c r="L180" i="10"/>
  <c r="X180" i="10" s="1"/>
  <c r="P179" i="10"/>
  <c r="Z179" i="10" s="1"/>
  <c r="L179" i="10"/>
  <c r="W179" i="10" s="1"/>
  <c r="P176" i="10"/>
  <c r="AB176" i="10" s="1"/>
  <c r="L176" i="10"/>
  <c r="X176" i="10" s="1"/>
  <c r="N152" i="10"/>
  <c r="P71" i="10"/>
  <c r="AB71" i="10" s="1"/>
  <c r="L71" i="10"/>
  <c r="X71" i="10" s="1"/>
  <c r="P72" i="10"/>
  <c r="Z72" i="10" s="1"/>
  <c r="L72" i="10"/>
  <c r="X72" i="10" s="1"/>
  <c r="P74" i="10"/>
  <c r="AB74" i="10" s="1"/>
  <c r="L74" i="10"/>
  <c r="X74" i="10" s="1"/>
  <c r="AB150" i="8"/>
  <c r="AA150" i="8"/>
  <c r="AB112" i="8"/>
  <c r="AA112" i="8"/>
  <c r="AB111" i="8"/>
  <c r="AA111" i="8"/>
  <c r="AB110" i="8"/>
  <c r="AA110" i="8"/>
  <c r="AB109" i="8"/>
  <c r="AA109" i="8"/>
  <c r="AB108" i="8"/>
  <c r="AA108" i="8"/>
  <c r="L108" i="8"/>
  <c r="AB107" i="8"/>
  <c r="AA107" i="8"/>
  <c r="AB106" i="8"/>
  <c r="AA106" i="8"/>
  <c r="AB105" i="8"/>
  <c r="AA105" i="8"/>
  <c r="AB104" i="8"/>
  <c r="AA104" i="8"/>
  <c r="M152" i="10"/>
  <c r="P152" i="10" s="1"/>
  <c r="Z152" i="10" s="1"/>
  <c r="E152" i="10"/>
  <c r="P189" i="10"/>
  <c r="AA189" i="10" s="1"/>
  <c r="L189" i="10"/>
  <c r="U189" i="10" s="1"/>
  <c r="P188" i="10"/>
  <c r="Z188" i="10" s="1"/>
  <c r="L188" i="10"/>
  <c r="W188" i="10" s="1"/>
  <c r="P182" i="10"/>
  <c r="Y182" i="10" s="1"/>
  <c r="L182" i="10"/>
  <c r="X182" i="10" s="1"/>
  <c r="P178" i="10"/>
  <c r="AA178" i="10" s="1"/>
  <c r="L178" i="10"/>
  <c r="W178" i="10" s="1"/>
  <c r="P177" i="10"/>
  <c r="AB177" i="10" s="1"/>
  <c r="L177" i="10"/>
  <c r="X177" i="10" s="1"/>
  <c r="P175" i="10"/>
  <c r="AB175" i="10" s="1"/>
  <c r="L175" i="10"/>
  <c r="W175" i="10" s="1"/>
  <c r="P172" i="10"/>
  <c r="Z172" i="10" s="1"/>
  <c r="Z173" i="10" s="1"/>
  <c r="L172" i="10"/>
  <c r="W172" i="10" s="1"/>
  <c r="P167" i="10"/>
  <c r="Y167" i="10" s="1"/>
  <c r="L167" i="10"/>
  <c r="U167" i="10" s="1"/>
  <c r="P166" i="10"/>
  <c r="Y166" i="10" s="1"/>
  <c r="L166" i="10"/>
  <c r="U166" i="10" s="1"/>
  <c r="P165" i="10"/>
  <c r="Y165" i="10" s="1"/>
  <c r="L165" i="10"/>
  <c r="U165" i="10" s="1"/>
  <c r="P158" i="10"/>
  <c r="AB158" i="10" s="1"/>
  <c r="L158" i="10"/>
  <c r="W158" i="10" s="1"/>
  <c r="P157" i="10"/>
  <c r="AB157" i="10" s="1"/>
  <c r="L157" i="10"/>
  <c r="W157" i="10" s="1"/>
  <c r="P151" i="10"/>
  <c r="AA151" i="10" s="1"/>
  <c r="P150" i="10"/>
  <c r="Z150" i="10" s="1"/>
  <c r="P149" i="10"/>
  <c r="AB149" i="10" s="1"/>
  <c r="P148" i="10"/>
  <c r="AB148" i="10" s="1"/>
  <c r="P147" i="10"/>
  <c r="AB147" i="10" s="1"/>
  <c r="P139" i="10"/>
  <c r="AB139" i="10" s="1"/>
  <c r="P143" i="10"/>
  <c r="AA143" i="10" s="1"/>
  <c r="L152" i="10"/>
  <c r="L151" i="10"/>
  <c r="X151" i="10" s="1"/>
  <c r="L150" i="10"/>
  <c r="X150" i="10" s="1"/>
  <c r="L149" i="10"/>
  <c r="X149" i="10" s="1"/>
  <c r="L148" i="10"/>
  <c r="W148" i="10" s="1"/>
  <c r="L147" i="10"/>
  <c r="X147" i="10" s="1"/>
  <c r="L139" i="10"/>
  <c r="V139" i="10" s="1"/>
  <c r="L143" i="10"/>
  <c r="V143" i="10" s="1"/>
  <c r="P123" i="10"/>
  <c r="AB123" i="10" s="1"/>
  <c r="L123" i="10"/>
  <c r="U123" i="10" s="1"/>
  <c r="P122" i="10"/>
  <c r="AB122" i="10" s="1"/>
  <c r="L122" i="10"/>
  <c r="X122" i="10" s="1"/>
  <c r="P121" i="10"/>
  <c r="AB121" i="10" s="1"/>
  <c r="L121" i="10"/>
  <c r="X121" i="10" s="1"/>
  <c r="P120" i="10"/>
  <c r="AB120" i="10" s="1"/>
  <c r="L120" i="10"/>
  <c r="U120" i="10" s="1"/>
  <c r="P113" i="10"/>
  <c r="AB113" i="10" s="1"/>
  <c r="P112" i="10"/>
  <c r="AB112" i="10" s="1"/>
  <c r="P111" i="10"/>
  <c r="AB111" i="10" s="1"/>
  <c r="P110" i="10"/>
  <c r="AB110" i="10" s="1"/>
  <c r="P109" i="10"/>
  <c r="Y109" i="10" s="1"/>
  <c r="P108" i="10"/>
  <c r="Z108" i="10" s="1"/>
  <c r="P100" i="10"/>
  <c r="AB100" i="10" s="1"/>
  <c r="P104" i="10"/>
  <c r="Z104" i="10" s="1"/>
  <c r="L113" i="10"/>
  <c r="U113" i="10" s="1"/>
  <c r="L112" i="10"/>
  <c r="W112" i="10" s="1"/>
  <c r="L111" i="10"/>
  <c r="X111" i="10" s="1"/>
  <c r="L110" i="10"/>
  <c r="X110" i="10" s="1"/>
  <c r="L109" i="10"/>
  <c r="U109" i="10" s="1"/>
  <c r="L108" i="10"/>
  <c r="U108" i="10" s="1"/>
  <c r="L100" i="10"/>
  <c r="X100" i="10" s="1"/>
  <c r="L104" i="10"/>
  <c r="X104" i="10" s="1"/>
  <c r="P84" i="10"/>
  <c r="Z84" i="10" s="1"/>
  <c r="L84" i="10"/>
  <c r="X84" i="10" s="1"/>
  <c r="P83" i="10"/>
  <c r="AB83" i="10" s="1"/>
  <c r="L83" i="10"/>
  <c r="X83" i="10" s="1"/>
  <c r="P82" i="10"/>
  <c r="AA82" i="10" s="1"/>
  <c r="L82" i="10"/>
  <c r="V82" i="10" s="1"/>
  <c r="P81" i="10"/>
  <c r="Z81" i="10" s="1"/>
  <c r="L81" i="10"/>
  <c r="X81" i="10" s="1"/>
  <c r="P73" i="10"/>
  <c r="AB73" i="10" s="1"/>
  <c r="P70" i="10"/>
  <c r="AA70" i="10" s="1"/>
  <c r="P69" i="10"/>
  <c r="Y69" i="10" s="1"/>
  <c r="P68" i="10"/>
  <c r="Z68" i="10" s="1"/>
  <c r="P67" i="10"/>
  <c r="Z67" i="10" s="1"/>
  <c r="P66" i="10"/>
  <c r="AB66" i="10" s="1"/>
  <c r="P58" i="10"/>
  <c r="AB58" i="10" s="1"/>
  <c r="P62" i="10"/>
  <c r="Z62" i="10" s="1"/>
  <c r="L73" i="10"/>
  <c r="U73" i="10" s="1"/>
  <c r="L70" i="10"/>
  <c r="W70" i="10" s="1"/>
  <c r="L69" i="10"/>
  <c r="X69" i="10" s="1"/>
  <c r="L68" i="10"/>
  <c r="U68" i="10" s="1"/>
  <c r="L67" i="10"/>
  <c r="U67" i="10" s="1"/>
  <c r="L66" i="10"/>
  <c r="X66" i="10" s="1"/>
  <c r="L58" i="10"/>
  <c r="U58" i="10" s="1"/>
  <c r="L62" i="10"/>
  <c r="X62" i="10" s="1"/>
  <c r="P42" i="10"/>
  <c r="AB42" i="10" s="1"/>
  <c r="L42" i="10"/>
  <c r="U42" i="10" s="1"/>
  <c r="P41" i="10"/>
  <c r="AB41" i="10" s="1"/>
  <c r="L41" i="10"/>
  <c r="X41" i="10" s="1"/>
  <c r="P40" i="10"/>
  <c r="AB40" i="10" s="1"/>
  <c r="L40" i="10"/>
  <c r="W40" i="10" s="1"/>
  <c r="P39" i="10"/>
  <c r="AB39" i="10" s="1"/>
  <c r="L39" i="10"/>
  <c r="V39" i="10" s="1"/>
  <c r="P28" i="10"/>
  <c r="AA28" i="10" s="1"/>
  <c r="L28" i="10"/>
  <c r="U28" i="10" s="1"/>
  <c r="P12" i="10"/>
  <c r="AB12" i="10" s="1"/>
  <c r="L12" i="10"/>
  <c r="W12" i="10" s="1"/>
  <c r="P11" i="10"/>
  <c r="AB11" i="10" s="1"/>
  <c r="L11" i="10"/>
  <c r="U11" i="10" s="1"/>
  <c r="P10" i="10"/>
  <c r="AB10" i="10" s="1"/>
  <c r="L10" i="10"/>
  <c r="X10" i="10" s="1"/>
  <c r="P9" i="10"/>
  <c r="AB9" i="10" s="1"/>
  <c r="L9" i="10"/>
  <c r="X9" i="10" s="1"/>
  <c r="AA167" i="10"/>
  <c r="Z167" i="10"/>
  <c r="X167" i="10"/>
  <c r="W167" i="10"/>
  <c r="V167" i="10"/>
  <c r="AA166" i="10"/>
  <c r="Z166" i="10"/>
  <c r="X166" i="10"/>
  <c r="W166" i="10"/>
  <c r="V166" i="10"/>
  <c r="AA165" i="10"/>
  <c r="Z165" i="10"/>
  <c r="X165" i="10"/>
  <c r="W165" i="10"/>
  <c r="V165" i="10"/>
  <c r="AB166" i="10"/>
  <c r="AB165" i="10"/>
  <c r="AB167" i="10"/>
  <c r="D139" i="8"/>
  <c r="E139" i="8"/>
  <c r="C59" i="8"/>
  <c r="C51" i="8"/>
  <c r="C52" i="8" s="1"/>
  <c r="C190" i="10"/>
  <c r="C194" i="10" s="1"/>
  <c r="C173" i="10"/>
  <c r="C183" i="10" s="1"/>
  <c r="C159" i="10"/>
  <c r="C161" i="10" s="1"/>
  <c r="C136" i="10"/>
  <c r="C135" i="10"/>
  <c r="C134" i="10"/>
  <c r="C133" i="10"/>
  <c r="C124" i="10"/>
  <c r="C97" i="10"/>
  <c r="C96" i="10"/>
  <c r="C95" i="10"/>
  <c r="C94" i="10"/>
  <c r="C85" i="10"/>
  <c r="C89" i="10" s="1"/>
  <c r="C55" i="10"/>
  <c r="C54" i="10"/>
  <c r="C53" i="10"/>
  <c r="C52" i="10"/>
  <c r="C43" i="10"/>
  <c r="C46" i="10" s="1"/>
  <c r="C13" i="10"/>
  <c r="C4" i="10"/>
  <c r="C3" i="10"/>
  <c r="C140" i="8"/>
  <c r="C135" i="8"/>
  <c r="C128" i="8"/>
  <c r="C97" i="8"/>
  <c r="C96" i="8"/>
  <c r="C86" i="8"/>
  <c r="C89" i="8" s="1"/>
  <c r="C72" i="11" s="1"/>
  <c r="C77" i="8"/>
  <c r="C67" i="8"/>
  <c r="C73" i="8" s="1"/>
  <c r="C63" i="11" s="1"/>
  <c r="C46" i="8"/>
  <c r="C45" i="8"/>
  <c r="C11" i="8"/>
  <c r="C14" i="8" s="1"/>
  <c r="C21" i="8" s="1"/>
  <c r="AB151" i="8"/>
  <c r="AA151" i="8"/>
  <c r="AB134" i="8"/>
  <c r="AA134" i="8"/>
  <c r="AB132" i="8"/>
  <c r="AA132" i="8"/>
  <c r="P131" i="8"/>
  <c r="P126" i="8"/>
  <c r="Z126" i="8" s="1"/>
  <c r="L126" i="8"/>
  <c r="U126" i="8" s="1"/>
  <c r="P124" i="8"/>
  <c r="L124" i="8"/>
  <c r="P114" i="8"/>
  <c r="L114" i="8"/>
  <c r="P113" i="8"/>
  <c r="L113" i="8"/>
  <c r="P38" i="8"/>
  <c r="Y38" i="8" s="1"/>
  <c r="P35" i="8"/>
  <c r="AB35" i="8" s="1"/>
  <c r="P34" i="8"/>
  <c r="AA34" i="8" s="1"/>
  <c r="P31" i="8"/>
  <c r="Y31" i="8" s="1"/>
  <c r="P27" i="8"/>
  <c r="AA27" i="8" s="1"/>
  <c r="P26" i="8"/>
  <c r="Z26" i="8" s="1"/>
  <c r="P25" i="8"/>
  <c r="Y25" i="8" s="1"/>
  <c r="P24" i="8"/>
  <c r="AA24" i="8" s="1"/>
  <c r="P20" i="8"/>
  <c r="AB20" i="8" s="1"/>
  <c r="P19" i="8"/>
  <c r="Z19" i="8" s="1"/>
  <c r="P18" i="8"/>
  <c r="AB18" i="8" s="1"/>
  <c r="P17" i="8"/>
  <c r="AB17" i="8" s="1"/>
  <c r="P13" i="8"/>
  <c r="AB13" i="8" s="1"/>
  <c r="P10" i="8"/>
  <c r="AB10" i="8" s="1"/>
  <c r="U10" i="8"/>
  <c r="X27" i="8"/>
  <c r="L38" i="8"/>
  <c r="U38" i="8" s="1"/>
  <c r="L41" i="8"/>
  <c r="U41" i="8" s="1"/>
  <c r="P41" i="8"/>
  <c r="Y41" i="8" s="1"/>
  <c r="P51" i="8"/>
  <c r="Y51" i="8" s="1"/>
  <c r="P50" i="8"/>
  <c r="Y50" i="8" s="1"/>
  <c r="P49" i="8"/>
  <c r="Y49" i="8" s="1"/>
  <c r="P59" i="8"/>
  <c r="Y59" i="8" s="1"/>
  <c r="P58" i="8"/>
  <c r="Y58" i="8" s="1"/>
  <c r="P57" i="8"/>
  <c r="Y57" i="8" s="1"/>
  <c r="P56" i="8"/>
  <c r="Y56" i="8" s="1"/>
  <c r="P55" i="8"/>
  <c r="Y55" i="8" s="1"/>
  <c r="P66" i="8"/>
  <c r="Y66" i="8" s="1"/>
  <c r="P65" i="8"/>
  <c r="Y65" i="8" s="1"/>
  <c r="P64" i="8"/>
  <c r="Y64" i="8" s="1"/>
  <c r="P63" i="8"/>
  <c r="Y63" i="8" s="1"/>
  <c r="P72" i="8"/>
  <c r="Y72" i="8" s="1"/>
  <c r="P71" i="8"/>
  <c r="Y71" i="8" s="1"/>
  <c r="P70" i="8"/>
  <c r="Y70" i="8" s="1"/>
  <c r="P76" i="8"/>
  <c r="Y76" i="8" s="1"/>
  <c r="Y77" i="8" s="1"/>
  <c r="P85" i="8"/>
  <c r="Y85" i="8" s="1"/>
  <c r="P84" i="8"/>
  <c r="Y84" i="8" s="1"/>
  <c r="P83" i="8"/>
  <c r="Y83" i="8" s="1"/>
  <c r="P82" i="8"/>
  <c r="Y82" i="8" s="1"/>
  <c r="P81" i="8"/>
  <c r="Y81" i="8" s="1"/>
  <c r="P80" i="8"/>
  <c r="Y80" i="8" s="1"/>
  <c r="P88" i="8"/>
  <c r="Y88" i="8" s="1"/>
  <c r="L88" i="8"/>
  <c r="U88" i="8" s="1"/>
  <c r="L85" i="8"/>
  <c r="U85" i="8" s="1"/>
  <c r="L84" i="8"/>
  <c r="U84" i="8" s="1"/>
  <c r="L83" i="8"/>
  <c r="U83" i="8" s="1"/>
  <c r="L82" i="8"/>
  <c r="U82" i="8" s="1"/>
  <c r="L81" i="8"/>
  <c r="U81" i="8" s="1"/>
  <c r="L80" i="8"/>
  <c r="U80" i="8" s="1"/>
  <c r="L76" i="8"/>
  <c r="U76" i="8" s="1"/>
  <c r="U77" i="8" s="1"/>
  <c r="L72" i="8"/>
  <c r="U72" i="8" s="1"/>
  <c r="L71" i="8"/>
  <c r="U71" i="8" s="1"/>
  <c r="L70" i="8"/>
  <c r="U70" i="8" s="1"/>
  <c r="L66" i="8"/>
  <c r="U66" i="8" s="1"/>
  <c r="L65" i="8"/>
  <c r="U65" i="8" s="1"/>
  <c r="L64" i="8"/>
  <c r="U64" i="8" s="1"/>
  <c r="L63" i="8"/>
  <c r="U63" i="8" s="1"/>
  <c r="L59" i="8"/>
  <c r="U59" i="8" s="1"/>
  <c r="L58" i="8"/>
  <c r="U58" i="8" s="1"/>
  <c r="L57" i="8"/>
  <c r="U57" i="8" s="1"/>
  <c r="L56" i="8"/>
  <c r="U56" i="8" s="1"/>
  <c r="L55" i="8"/>
  <c r="U55" i="8" s="1"/>
  <c r="L51" i="8"/>
  <c r="U51" i="8" s="1"/>
  <c r="L50" i="8"/>
  <c r="U50" i="8" s="1"/>
  <c r="L49" i="8"/>
  <c r="U49" i="8" s="1"/>
  <c r="AB88" i="8"/>
  <c r="AA88" i="8"/>
  <c r="Z88" i="8"/>
  <c r="X88" i="8"/>
  <c r="W88" i="8"/>
  <c r="V88" i="8"/>
  <c r="AB85" i="8"/>
  <c r="AA85" i="8"/>
  <c r="Z85" i="8"/>
  <c r="X85" i="8"/>
  <c r="W85" i="8"/>
  <c r="V85" i="8"/>
  <c r="AB84" i="8"/>
  <c r="AA84" i="8"/>
  <c r="Z84" i="8"/>
  <c r="X84" i="8"/>
  <c r="W84" i="8"/>
  <c r="V84" i="8"/>
  <c r="AB83" i="8"/>
  <c r="AA83" i="8"/>
  <c r="Z83" i="8"/>
  <c r="X83" i="8"/>
  <c r="W83" i="8"/>
  <c r="V83" i="8"/>
  <c r="AB82" i="8"/>
  <c r="AA82" i="8"/>
  <c r="Z82" i="8"/>
  <c r="X82" i="8"/>
  <c r="W82" i="8"/>
  <c r="V82" i="8"/>
  <c r="AB81" i="8"/>
  <c r="AA81" i="8"/>
  <c r="Z81" i="8"/>
  <c r="X81" i="8"/>
  <c r="W81" i="8"/>
  <c r="V81" i="8"/>
  <c r="AB80" i="8"/>
  <c r="AA80" i="8"/>
  <c r="Z80" i="8"/>
  <c r="X80" i="8"/>
  <c r="W80" i="8"/>
  <c r="V80" i="8"/>
  <c r="AB76" i="8"/>
  <c r="AB77" i="8" s="1"/>
  <c r="AA76" i="8"/>
  <c r="AA77" i="8" s="1"/>
  <c r="Z76" i="8"/>
  <c r="Z77" i="8" s="1"/>
  <c r="X76" i="8"/>
  <c r="X77" i="8" s="1"/>
  <c r="W76" i="8"/>
  <c r="W77" i="8" s="1"/>
  <c r="V76" i="8"/>
  <c r="V77" i="8" s="1"/>
  <c r="AB72" i="8"/>
  <c r="AA72" i="8"/>
  <c r="Z72" i="8"/>
  <c r="X72" i="8"/>
  <c r="W72" i="8"/>
  <c r="V72" i="8"/>
  <c r="AB71" i="8"/>
  <c r="AA71" i="8"/>
  <c r="Z71" i="8"/>
  <c r="X71" i="8"/>
  <c r="W71" i="8"/>
  <c r="V71" i="8"/>
  <c r="AB70" i="8"/>
  <c r="AA70" i="8"/>
  <c r="Z70" i="8"/>
  <c r="X70" i="8"/>
  <c r="W70" i="8"/>
  <c r="V70" i="8"/>
  <c r="AB66" i="8"/>
  <c r="AA66" i="8"/>
  <c r="Z66" i="8"/>
  <c r="X66" i="8"/>
  <c r="W66" i="8"/>
  <c r="V66" i="8"/>
  <c r="AB65" i="8"/>
  <c r="AA65" i="8"/>
  <c r="Z65" i="8"/>
  <c r="X65" i="8"/>
  <c r="W65" i="8"/>
  <c r="V65" i="8"/>
  <c r="AB64" i="8"/>
  <c r="AA64" i="8"/>
  <c r="Z64" i="8"/>
  <c r="X64" i="8"/>
  <c r="W64" i="8"/>
  <c r="V64" i="8"/>
  <c r="AB63" i="8"/>
  <c r="AA63" i="8"/>
  <c r="Z63" i="8"/>
  <c r="X63" i="8"/>
  <c r="W63" i="8"/>
  <c r="V63" i="8"/>
  <c r="AB59" i="8"/>
  <c r="AA59" i="8"/>
  <c r="Z59" i="8"/>
  <c r="X59" i="8"/>
  <c r="W59" i="8"/>
  <c r="V59" i="8"/>
  <c r="AB58" i="8"/>
  <c r="AA58" i="8"/>
  <c r="Z58" i="8"/>
  <c r="X58" i="8"/>
  <c r="W58" i="8"/>
  <c r="V58" i="8"/>
  <c r="AB57" i="8"/>
  <c r="AA57" i="8"/>
  <c r="Z57" i="8"/>
  <c r="X57" i="8"/>
  <c r="W57" i="8"/>
  <c r="V57" i="8"/>
  <c r="AB56" i="8"/>
  <c r="AA56" i="8"/>
  <c r="Z56" i="8"/>
  <c r="X56" i="8"/>
  <c r="W56" i="8"/>
  <c r="V56" i="8"/>
  <c r="AB55" i="8"/>
  <c r="AA55" i="8"/>
  <c r="Z55" i="8"/>
  <c r="X55" i="8"/>
  <c r="W55" i="8"/>
  <c r="V55" i="8"/>
  <c r="AB51" i="8"/>
  <c r="AA51" i="8"/>
  <c r="Z51" i="8"/>
  <c r="X51" i="8"/>
  <c r="W51" i="8"/>
  <c r="V51" i="8"/>
  <c r="AB50" i="8"/>
  <c r="AA50" i="8"/>
  <c r="Z50" i="8"/>
  <c r="X50" i="8"/>
  <c r="W50" i="8"/>
  <c r="V50" i="8"/>
  <c r="AB49" i="8"/>
  <c r="AA49" i="8"/>
  <c r="Z49" i="8"/>
  <c r="X49" i="8"/>
  <c r="W49" i="8"/>
  <c r="V49" i="8"/>
  <c r="AB41" i="8"/>
  <c r="AA41" i="8"/>
  <c r="Z41" i="8"/>
  <c r="X41" i="8"/>
  <c r="W41" i="8"/>
  <c r="V41" i="8"/>
  <c r="AA38" i="8"/>
  <c r="Z38" i="8"/>
  <c r="X38" i="8"/>
  <c r="W38" i="8"/>
  <c r="V38" i="8"/>
  <c r="AB38" i="8"/>
  <c r="AA8" i="8"/>
  <c r="Z8" i="8"/>
  <c r="X8" i="8"/>
  <c r="W8" i="8"/>
  <c r="V8" i="8"/>
  <c r="AA7" i="8"/>
  <c r="Z7" i="8"/>
  <c r="Y7" i="8"/>
  <c r="X7" i="8"/>
  <c r="W7" i="8"/>
  <c r="V7" i="8"/>
  <c r="U7" i="8"/>
  <c r="AB8" i="8"/>
  <c r="AB7" i="8"/>
  <c r="P143" i="8"/>
  <c r="Y143" i="8" s="1"/>
  <c r="L143" i="8"/>
  <c r="U143" i="8" s="1"/>
  <c r="E149" i="10"/>
  <c r="B194" i="10"/>
  <c r="B193" i="10"/>
  <c r="S190" i="10"/>
  <c r="S194" i="10" s="1"/>
  <c r="R190" i="10"/>
  <c r="R193" i="10" s="1"/>
  <c r="Q190" i="10"/>
  <c r="Q193" i="10" s="1"/>
  <c r="O190" i="10"/>
  <c r="O193" i="10" s="1"/>
  <c r="N190" i="10"/>
  <c r="N193" i="10" s="1"/>
  <c r="M190" i="10"/>
  <c r="M194" i="10" s="1"/>
  <c r="K190" i="10"/>
  <c r="K194" i="10" s="1"/>
  <c r="J190" i="10"/>
  <c r="J193" i="10" s="1"/>
  <c r="I190" i="10"/>
  <c r="I193" i="10" s="1"/>
  <c r="G190" i="10"/>
  <c r="G194" i="10" s="1"/>
  <c r="F190" i="10"/>
  <c r="E190" i="10"/>
  <c r="E193" i="10" s="1"/>
  <c r="D190" i="10"/>
  <c r="D193" i="10" s="1"/>
  <c r="S77" i="8"/>
  <c r="R77" i="8"/>
  <c r="Q77" i="8"/>
  <c r="O77" i="8"/>
  <c r="N77" i="8"/>
  <c r="M77" i="8"/>
  <c r="K77" i="8"/>
  <c r="J77" i="8"/>
  <c r="I77" i="8"/>
  <c r="G77" i="8"/>
  <c r="F77" i="8"/>
  <c r="E77" i="8"/>
  <c r="D77" i="8"/>
  <c r="AB126" i="8"/>
  <c r="AB124" i="8"/>
  <c r="B34" i="10"/>
  <c r="B33" i="10"/>
  <c r="B32" i="10"/>
  <c r="S173" i="10"/>
  <c r="R173" i="10"/>
  <c r="Q173" i="10"/>
  <c r="O173" i="10"/>
  <c r="N173" i="10"/>
  <c r="M173" i="10"/>
  <c r="K173" i="10"/>
  <c r="J173" i="10"/>
  <c r="I173" i="10"/>
  <c r="G173" i="10"/>
  <c r="F173" i="10"/>
  <c r="E173" i="10"/>
  <c r="D173" i="10"/>
  <c r="AB142" i="10"/>
  <c r="P142" i="10"/>
  <c r="Z142" i="10" s="1"/>
  <c r="L142" i="10"/>
  <c r="V142" i="10" s="1"/>
  <c r="AB138" i="10"/>
  <c r="P138" i="10"/>
  <c r="Z138" i="10" s="1"/>
  <c r="L138" i="10"/>
  <c r="V138" i="10" s="1"/>
  <c r="S136" i="10"/>
  <c r="R136" i="10"/>
  <c r="Q136" i="10"/>
  <c r="O136" i="10"/>
  <c r="N136" i="10"/>
  <c r="M136" i="10"/>
  <c r="K136" i="10"/>
  <c r="J136" i="10"/>
  <c r="I136" i="10"/>
  <c r="G136" i="10"/>
  <c r="F136" i="10"/>
  <c r="E136" i="10"/>
  <c r="D136" i="10"/>
  <c r="B136" i="10"/>
  <c r="S135" i="10"/>
  <c r="R135" i="10"/>
  <c r="Q135" i="10"/>
  <c r="O135" i="10"/>
  <c r="N135" i="10"/>
  <c r="M135" i="10"/>
  <c r="K135" i="10"/>
  <c r="J135" i="10"/>
  <c r="I135" i="10"/>
  <c r="G135" i="10"/>
  <c r="F135" i="10"/>
  <c r="E135" i="10"/>
  <c r="D135" i="10"/>
  <c r="B135" i="10"/>
  <c r="S134" i="10"/>
  <c r="R134" i="10"/>
  <c r="Q134" i="10"/>
  <c r="O134" i="10"/>
  <c r="N134" i="10"/>
  <c r="M134" i="10"/>
  <c r="K134" i="10"/>
  <c r="J134" i="10"/>
  <c r="I134" i="10"/>
  <c r="G134" i="10"/>
  <c r="F134" i="10"/>
  <c r="E134" i="10"/>
  <c r="D134" i="10"/>
  <c r="B134" i="10"/>
  <c r="S133" i="10"/>
  <c r="R133" i="10"/>
  <c r="Q133" i="10"/>
  <c r="O133" i="10"/>
  <c r="N133" i="10"/>
  <c r="M133" i="10"/>
  <c r="K133" i="10"/>
  <c r="J133" i="10"/>
  <c r="I133" i="10"/>
  <c r="G133" i="10"/>
  <c r="F133" i="10"/>
  <c r="E133" i="10"/>
  <c r="D133" i="10"/>
  <c r="B133" i="10"/>
  <c r="AB103" i="10"/>
  <c r="P103" i="10"/>
  <c r="Y103" i="10" s="1"/>
  <c r="L103" i="10"/>
  <c r="U103" i="10" s="1"/>
  <c r="AB99" i="10"/>
  <c r="P99" i="10"/>
  <c r="Y99" i="10" s="1"/>
  <c r="L99" i="10"/>
  <c r="U99" i="10" s="1"/>
  <c r="S97" i="10"/>
  <c r="R97" i="10"/>
  <c r="Q97" i="10"/>
  <c r="O97" i="10"/>
  <c r="N97" i="10"/>
  <c r="M97" i="10"/>
  <c r="K97" i="10"/>
  <c r="J97" i="10"/>
  <c r="I97" i="10"/>
  <c r="G97" i="10"/>
  <c r="F97" i="10"/>
  <c r="E97" i="10"/>
  <c r="D97" i="10"/>
  <c r="B97" i="10"/>
  <c r="S96" i="10"/>
  <c r="R96" i="10"/>
  <c r="Q96" i="10"/>
  <c r="O96" i="10"/>
  <c r="N96" i="10"/>
  <c r="M96" i="10"/>
  <c r="K96" i="10"/>
  <c r="J96" i="10"/>
  <c r="I96" i="10"/>
  <c r="G96" i="10"/>
  <c r="F96" i="10"/>
  <c r="E96" i="10"/>
  <c r="D96" i="10"/>
  <c r="B96" i="10"/>
  <c r="S95" i="10"/>
  <c r="R95" i="10"/>
  <c r="Q95" i="10"/>
  <c r="O95" i="10"/>
  <c r="N95" i="10"/>
  <c r="M95" i="10"/>
  <c r="K95" i="10"/>
  <c r="J95" i="10"/>
  <c r="I95" i="10"/>
  <c r="G95" i="10"/>
  <c r="F95" i="10"/>
  <c r="E95" i="10"/>
  <c r="D95" i="10"/>
  <c r="B95" i="10"/>
  <c r="S94" i="10"/>
  <c r="R94" i="10"/>
  <c r="Q94" i="10"/>
  <c r="O94" i="10"/>
  <c r="N94" i="10"/>
  <c r="M94" i="10"/>
  <c r="K94" i="10"/>
  <c r="J94" i="10"/>
  <c r="I94" i="10"/>
  <c r="G94" i="10"/>
  <c r="F94" i="10"/>
  <c r="E94" i="10"/>
  <c r="D94" i="10"/>
  <c r="B94" i="10"/>
  <c r="S55" i="10"/>
  <c r="R55" i="10"/>
  <c r="Q55" i="10"/>
  <c r="O55" i="10"/>
  <c r="N55" i="10"/>
  <c r="M55" i="10"/>
  <c r="K55" i="10"/>
  <c r="J55" i="10"/>
  <c r="S54" i="10"/>
  <c r="R54" i="10"/>
  <c r="Q54" i="10"/>
  <c r="O54" i="10"/>
  <c r="N54" i="10"/>
  <c r="M54" i="10"/>
  <c r="K54" i="10"/>
  <c r="J54" i="10"/>
  <c r="S53" i="10"/>
  <c r="R53" i="10"/>
  <c r="Q53" i="10"/>
  <c r="O53" i="10"/>
  <c r="N53" i="10"/>
  <c r="M53" i="10"/>
  <c r="K53" i="10"/>
  <c r="J53" i="10"/>
  <c r="S52" i="10"/>
  <c r="R52" i="10"/>
  <c r="Q52" i="10"/>
  <c r="O52" i="10"/>
  <c r="N52" i="10"/>
  <c r="M52" i="10"/>
  <c r="K52" i="10"/>
  <c r="J52" i="10"/>
  <c r="I55" i="10"/>
  <c r="I54" i="10"/>
  <c r="I53" i="10"/>
  <c r="I52" i="10"/>
  <c r="G55" i="10"/>
  <c r="F55" i="10"/>
  <c r="E55" i="10"/>
  <c r="D55" i="10"/>
  <c r="G54" i="10"/>
  <c r="F54" i="10"/>
  <c r="E54" i="10"/>
  <c r="D54" i="10"/>
  <c r="G53" i="10"/>
  <c r="F53" i="10"/>
  <c r="E53" i="10"/>
  <c r="D53" i="10"/>
  <c r="G52" i="10"/>
  <c r="F52" i="10"/>
  <c r="E52" i="10"/>
  <c r="D52" i="10"/>
  <c r="B55" i="10"/>
  <c r="B54" i="10"/>
  <c r="B53" i="10"/>
  <c r="B52" i="10"/>
  <c r="B49" i="10"/>
  <c r="B48" i="10"/>
  <c r="B47" i="10"/>
  <c r="AA61" i="10"/>
  <c r="P61" i="10"/>
  <c r="Z61" i="10" s="1"/>
  <c r="L61" i="10"/>
  <c r="AB57" i="10"/>
  <c r="P57" i="10"/>
  <c r="W57" i="10" s="1"/>
  <c r="L57" i="10"/>
  <c r="S159" i="10"/>
  <c r="R159" i="10"/>
  <c r="Q159" i="10"/>
  <c r="O159" i="10"/>
  <c r="N159" i="10"/>
  <c r="M159" i="10"/>
  <c r="K159" i="10"/>
  <c r="J159" i="10"/>
  <c r="I159" i="10"/>
  <c r="G159" i="10"/>
  <c r="F159" i="10"/>
  <c r="E159" i="10"/>
  <c r="D159" i="10"/>
  <c r="B162" i="10"/>
  <c r="B161" i="10"/>
  <c r="B130" i="10"/>
  <c r="B129" i="10"/>
  <c r="B128" i="10"/>
  <c r="B91" i="10"/>
  <c r="B90" i="10"/>
  <c r="B89" i="10"/>
  <c r="F43" i="10"/>
  <c r="F25" i="10" s="1"/>
  <c r="E43" i="10"/>
  <c r="E25" i="10" s="1"/>
  <c r="D43" i="10"/>
  <c r="D25" i="10" s="1"/>
  <c r="G43" i="10"/>
  <c r="G25" i="10" s="1"/>
  <c r="V18" i="8" l="1"/>
  <c r="X125" i="8"/>
  <c r="Y125" i="8"/>
  <c r="V13" i="8"/>
  <c r="V125" i="8"/>
  <c r="U125" i="8"/>
  <c r="X66" i="11"/>
  <c r="U108" i="8"/>
  <c r="D69" i="11"/>
  <c r="D70" i="11" s="1"/>
  <c r="X14" i="11"/>
  <c r="U107" i="8"/>
  <c r="X18" i="11"/>
  <c r="E69" i="11"/>
  <c r="E70" i="11" s="1"/>
  <c r="W20" i="8"/>
  <c r="F69" i="11"/>
  <c r="F70" i="11" s="1"/>
  <c r="U134" i="8"/>
  <c r="V17" i="8"/>
  <c r="I69" i="11"/>
  <c r="I70" i="11" s="1"/>
  <c r="G69" i="11"/>
  <c r="AA66" i="11"/>
  <c r="L31" i="11"/>
  <c r="X21" i="11"/>
  <c r="V14" i="11"/>
  <c r="W14" i="11"/>
  <c r="V18" i="11"/>
  <c r="J25" i="11"/>
  <c r="V19" i="11"/>
  <c r="AB66" i="11"/>
  <c r="S69" i="11"/>
  <c r="AB69" i="11" s="1"/>
  <c r="W18" i="11"/>
  <c r="K25" i="11"/>
  <c r="W19" i="11"/>
  <c r="J30" i="11"/>
  <c r="V20" i="11"/>
  <c r="J31" i="11"/>
  <c r="V21" i="11"/>
  <c r="I31" i="11"/>
  <c r="U21" i="11"/>
  <c r="T21" i="11"/>
  <c r="O123" i="8"/>
  <c r="P123" i="8" s="1"/>
  <c r="P35" i="11" s="1"/>
  <c r="AB35" i="11" s="1"/>
  <c r="M25" i="11"/>
  <c r="K30" i="11"/>
  <c r="W20" i="11"/>
  <c r="K31" i="11"/>
  <c r="W21" i="11"/>
  <c r="N39" i="11"/>
  <c r="O142" i="8"/>
  <c r="N25" i="11"/>
  <c r="M30" i="11"/>
  <c r="Z124" i="8"/>
  <c r="P42" i="11"/>
  <c r="U18" i="11"/>
  <c r="T18" i="11"/>
  <c r="O25" i="11"/>
  <c r="N30" i="11"/>
  <c r="M31" i="11"/>
  <c r="L30" i="11"/>
  <c r="X20" i="11"/>
  <c r="I25" i="11"/>
  <c r="T19" i="11"/>
  <c r="U19" i="11"/>
  <c r="P19" i="11"/>
  <c r="AA19" i="11" s="1"/>
  <c r="O30" i="11"/>
  <c r="N31" i="11"/>
  <c r="C69" i="11"/>
  <c r="C70" i="11" s="1"/>
  <c r="C73" i="11" s="1"/>
  <c r="C82" i="11" s="1"/>
  <c r="U124" i="8"/>
  <c r="L42" i="11"/>
  <c r="U109" i="8"/>
  <c r="L25" i="11"/>
  <c r="X19" i="11"/>
  <c r="T14" i="11"/>
  <c r="U14" i="11"/>
  <c r="I30" i="11"/>
  <c r="U20" i="11"/>
  <c r="T20" i="11"/>
  <c r="O31" i="11"/>
  <c r="Z66" i="11"/>
  <c r="Q69" i="11"/>
  <c r="Z69" i="11" s="1"/>
  <c r="C62" i="11"/>
  <c r="AD133" i="8"/>
  <c r="V110" i="8"/>
  <c r="L123" i="8"/>
  <c r="L35" i="11" s="1"/>
  <c r="K35" i="11"/>
  <c r="L106" i="8"/>
  <c r="L29" i="11" s="1"/>
  <c r="K29" i="11"/>
  <c r="L116" i="8"/>
  <c r="K39" i="11"/>
  <c r="L151" i="8"/>
  <c r="U151" i="8" s="1"/>
  <c r="K37" i="11"/>
  <c r="P110" i="8"/>
  <c r="Z110" i="8" s="1"/>
  <c r="J29" i="11"/>
  <c r="J35" i="11"/>
  <c r="J37" i="11"/>
  <c r="J39" i="11"/>
  <c r="L66" i="11"/>
  <c r="L58" i="11"/>
  <c r="P60" i="11"/>
  <c r="Y60" i="11" s="1"/>
  <c r="O151" i="8"/>
  <c r="P20" i="11"/>
  <c r="Y20" i="11" s="1"/>
  <c r="X19" i="8"/>
  <c r="L118" i="8"/>
  <c r="O150" i="8"/>
  <c r="O36" i="11" s="1"/>
  <c r="L52" i="11"/>
  <c r="U52" i="11" s="1"/>
  <c r="L67" i="11"/>
  <c r="P57" i="11"/>
  <c r="Y57" i="11" s="1"/>
  <c r="L59" i="11"/>
  <c r="P61" i="11"/>
  <c r="Y61" i="11" s="1"/>
  <c r="P111" i="8"/>
  <c r="Z111" i="8" s="1"/>
  <c r="O112" i="8"/>
  <c r="P14" i="11"/>
  <c r="AB14" i="11" s="1"/>
  <c r="P21" i="11"/>
  <c r="AA21" i="11" s="1"/>
  <c r="O116" i="8"/>
  <c r="N29" i="11"/>
  <c r="P66" i="11"/>
  <c r="W66" i="11" s="1"/>
  <c r="P58" i="11"/>
  <c r="Y58" i="11" s="1"/>
  <c r="L60" i="11"/>
  <c r="P107" i="8"/>
  <c r="Z107" i="8" s="1"/>
  <c r="P105" i="8"/>
  <c r="Z105" i="8" s="1"/>
  <c r="L112" i="8"/>
  <c r="U112" i="8" s="1"/>
  <c r="P18" i="11"/>
  <c r="AB18" i="11" s="1"/>
  <c r="P106" i="8"/>
  <c r="X106" i="8" s="1"/>
  <c r="AD106" i="8" s="1"/>
  <c r="L127" i="8"/>
  <c r="O118" i="8"/>
  <c r="P118" i="8" s="1"/>
  <c r="Z118" i="8" s="1"/>
  <c r="K150" i="8"/>
  <c r="P52" i="11"/>
  <c r="Y52" i="11" s="1"/>
  <c r="P67" i="11"/>
  <c r="Y67" i="11" s="1"/>
  <c r="L57" i="11"/>
  <c r="P59" i="11"/>
  <c r="Y59" i="11" s="1"/>
  <c r="L61" i="11"/>
  <c r="AB6" i="11"/>
  <c r="C10" i="11"/>
  <c r="C15" i="11" s="1"/>
  <c r="C22" i="11" s="1"/>
  <c r="V132" i="8"/>
  <c r="P119" i="8"/>
  <c r="Z119" i="8" s="1"/>
  <c r="U111" i="8"/>
  <c r="U105" i="8"/>
  <c r="V104" i="8"/>
  <c r="U181" i="10"/>
  <c r="V181" i="10"/>
  <c r="X181" i="10"/>
  <c r="Y181" i="10"/>
  <c r="Z181" i="10"/>
  <c r="AA181" i="10"/>
  <c r="V180" i="10"/>
  <c r="U180" i="10"/>
  <c r="W180" i="10"/>
  <c r="Y180" i="10"/>
  <c r="Z180" i="10"/>
  <c r="AA180" i="10"/>
  <c r="V179" i="10"/>
  <c r="AA179" i="10"/>
  <c r="AB179" i="10"/>
  <c r="U179" i="10"/>
  <c r="X179" i="10"/>
  <c r="Y179" i="10"/>
  <c r="AA73" i="10"/>
  <c r="Y177" i="10"/>
  <c r="W176" i="10"/>
  <c r="V176" i="10"/>
  <c r="U39" i="10"/>
  <c r="W39" i="10"/>
  <c r="AA176" i="10"/>
  <c r="U176" i="10"/>
  <c r="Y176" i="10"/>
  <c r="Z176" i="10"/>
  <c r="AB109" i="10"/>
  <c r="Z111" i="10"/>
  <c r="V123" i="10"/>
  <c r="W123" i="10"/>
  <c r="X73" i="10"/>
  <c r="U149" i="10"/>
  <c r="V71" i="10"/>
  <c r="X123" i="10"/>
  <c r="AB188" i="10"/>
  <c r="Z11" i="10"/>
  <c r="Y110" i="10"/>
  <c r="Z151" i="10"/>
  <c r="AA11" i="10"/>
  <c r="Y11" i="10"/>
  <c r="V112" i="10"/>
  <c r="U71" i="10"/>
  <c r="W71" i="10"/>
  <c r="Y71" i="10"/>
  <c r="Z71" i="10"/>
  <c r="AA71" i="10"/>
  <c r="AA188" i="10"/>
  <c r="X70" i="10"/>
  <c r="AA72" i="10"/>
  <c r="AA67" i="10"/>
  <c r="Y111" i="10"/>
  <c r="AA111" i="10"/>
  <c r="W150" i="10"/>
  <c r="X152" i="10"/>
  <c r="Y188" i="10"/>
  <c r="AB67" i="10"/>
  <c r="AA83" i="10"/>
  <c r="V121" i="10"/>
  <c r="Z158" i="10"/>
  <c r="AB72" i="10"/>
  <c r="U72" i="10"/>
  <c r="V72" i="10"/>
  <c r="W72" i="10"/>
  <c r="Y72" i="10"/>
  <c r="AA109" i="10"/>
  <c r="Y158" i="10"/>
  <c r="AA158" i="10"/>
  <c r="Z109" i="10"/>
  <c r="AA172" i="10"/>
  <c r="AA173" i="10" s="1"/>
  <c r="V74" i="10"/>
  <c r="U12" i="10"/>
  <c r="V69" i="10"/>
  <c r="Y157" i="10"/>
  <c r="AA177" i="10"/>
  <c r="Z177" i="10"/>
  <c r="AA69" i="10"/>
  <c r="AA81" i="10"/>
  <c r="Z157" i="10"/>
  <c r="U69" i="10"/>
  <c r="U70" i="10"/>
  <c r="W82" i="10"/>
  <c r="AA157" i="10"/>
  <c r="Y178" i="10"/>
  <c r="L95" i="10"/>
  <c r="Y67" i="10"/>
  <c r="V70" i="10"/>
  <c r="AA139" i="10"/>
  <c r="Z178" i="10"/>
  <c r="Z148" i="10"/>
  <c r="V158" i="10"/>
  <c r="AB178" i="10"/>
  <c r="U74" i="10"/>
  <c r="W74" i="10"/>
  <c r="Y74" i="10"/>
  <c r="Z74" i="10"/>
  <c r="AA74" i="10"/>
  <c r="Y12" i="10"/>
  <c r="P52" i="10"/>
  <c r="Y52" i="10" s="1"/>
  <c r="U9" i="10"/>
  <c r="Z12" i="10"/>
  <c r="X39" i="10"/>
  <c r="W69" i="10"/>
  <c r="AA84" i="10"/>
  <c r="W113" i="10"/>
  <c r="X158" i="10"/>
  <c r="V113" i="10"/>
  <c r="W9" i="10"/>
  <c r="AA12" i="10"/>
  <c r="Y66" i="10"/>
  <c r="U104" i="10"/>
  <c r="Y113" i="10"/>
  <c r="V157" i="10"/>
  <c r="Z66" i="10"/>
  <c r="V104" i="10"/>
  <c r="Z113" i="10"/>
  <c r="X157" i="10"/>
  <c r="V172" i="10"/>
  <c r="V173" i="10" s="1"/>
  <c r="V28" i="10"/>
  <c r="AA66" i="10"/>
  <c r="X68" i="10"/>
  <c r="W104" i="10"/>
  <c r="AA113" i="10"/>
  <c r="W28" i="10"/>
  <c r="Y68" i="10"/>
  <c r="U81" i="10"/>
  <c r="Y147" i="10"/>
  <c r="W177" i="10"/>
  <c r="X28" i="10"/>
  <c r="AA68" i="10"/>
  <c r="W120" i="10"/>
  <c r="AA62" i="10"/>
  <c r="U121" i="10"/>
  <c r="W121" i="10"/>
  <c r="W122" i="10"/>
  <c r="X82" i="10"/>
  <c r="U82" i="10"/>
  <c r="AB28" i="10"/>
  <c r="Z121" i="10"/>
  <c r="AA121" i="10"/>
  <c r="Y121" i="10"/>
  <c r="P133" i="10"/>
  <c r="P95" i="10"/>
  <c r="Z95" i="10" s="1"/>
  <c r="Y42" i="10"/>
  <c r="P53" i="10"/>
  <c r="AB53" i="10" s="1"/>
  <c r="P54" i="10"/>
  <c r="AB54" i="10" s="1"/>
  <c r="P55" i="10"/>
  <c r="Z55" i="10" s="1"/>
  <c r="X188" i="10"/>
  <c r="Z110" i="10"/>
  <c r="V149" i="10"/>
  <c r="L94" i="10"/>
  <c r="L136" i="10"/>
  <c r="U66" i="10"/>
  <c r="AA110" i="10"/>
  <c r="W149" i="10"/>
  <c r="P97" i="10"/>
  <c r="P135" i="10"/>
  <c r="AB135" i="10" s="1"/>
  <c r="U182" i="10"/>
  <c r="U83" i="10"/>
  <c r="V182" i="10"/>
  <c r="U188" i="10"/>
  <c r="V11" i="10"/>
  <c r="V83" i="10"/>
  <c r="V188" i="10"/>
  <c r="X11" i="10"/>
  <c r="U41" i="10"/>
  <c r="Y40" i="10"/>
  <c r="Z40" i="10"/>
  <c r="L53" i="10"/>
  <c r="AA40" i="10"/>
  <c r="L54" i="10"/>
  <c r="V41" i="10"/>
  <c r="V111" i="8"/>
  <c r="U110" i="8"/>
  <c r="W109" i="8"/>
  <c r="X109" i="8"/>
  <c r="AD109" i="8" s="1"/>
  <c r="Y109" i="8"/>
  <c r="V109" i="8"/>
  <c r="W108" i="8"/>
  <c r="V108" i="8"/>
  <c r="X108" i="8"/>
  <c r="AD108" i="8" s="1"/>
  <c r="Y108" i="8"/>
  <c r="V107" i="8"/>
  <c r="AD104" i="8"/>
  <c r="AA20" i="8"/>
  <c r="V105" i="8"/>
  <c r="U104" i="8"/>
  <c r="Z25" i="8"/>
  <c r="Y104" i="8"/>
  <c r="Z104" i="8"/>
  <c r="W104" i="8"/>
  <c r="L77" i="8"/>
  <c r="X34" i="8"/>
  <c r="AB24" i="8"/>
  <c r="W11" i="10"/>
  <c r="V9" i="10"/>
  <c r="X12" i="10"/>
  <c r="W34" i="8"/>
  <c r="Y20" i="8"/>
  <c r="Z20" i="8"/>
  <c r="X178" i="10"/>
  <c r="U177" i="10"/>
  <c r="W182" i="10"/>
  <c r="V177" i="10"/>
  <c r="X172" i="10"/>
  <c r="X173" i="10" s="1"/>
  <c r="W151" i="10"/>
  <c r="L55" i="10"/>
  <c r="L97" i="10"/>
  <c r="L135" i="10"/>
  <c r="X40" i="10"/>
  <c r="V58" i="10"/>
  <c r="Z69" i="10"/>
  <c r="V73" i="10"/>
  <c r="AB82" i="10"/>
  <c r="V120" i="10"/>
  <c r="P94" i="10"/>
  <c r="P136" i="10"/>
  <c r="AB136" i="10" s="1"/>
  <c r="L96" i="10"/>
  <c r="L134" i="10"/>
  <c r="AB69" i="10"/>
  <c r="X120" i="10"/>
  <c r="AB151" i="10"/>
  <c r="C98" i="10"/>
  <c r="C101" i="10" s="1"/>
  <c r="C102" i="10" s="1"/>
  <c r="V66" i="10"/>
  <c r="W83" i="10"/>
  <c r="W109" i="10"/>
  <c r="Y152" i="10"/>
  <c r="Y172" i="10"/>
  <c r="Y173" i="10" s="1"/>
  <c r="X175" i="10"/>
  <c r="V189" i="10"/>
  <c r="L133" i="10"/>
  <c r="Y39" i="10"/>
  <c r="W66" i="10"/>
  <c r="AA152" i="10"/>
  <c r="Y175" i="10"/>
  <c r="X189" i="10"/>
  <c r="L52" i="10"/>
  <c r="P96" i="10"/>
  <c r="P134" i="10"/>
  <c r="Y134" i="10" s="1"/>
  <c r="U40" i="10"/>
  <c r="Y82" i="10"/>
  <c r="AB172" i="10"/>
  <c r="AB173" i="10" s="1"/>
  <c r="Z175" i="10"/>
  <c r="Y189" i="10"/>
  <c r="V40" i="10"/>
  <c r="Z82" i="10"/>
  <c r="AA175" i="10"/>
  <c r="AB189" i="10"/>
  <c r="X148" i="10"/>
  <c r="V108" i="10"/>
  <c r="W108" i="10"/>
  <c r="Z112" i="10"/>
  <c r="Y108" i="10"/>
  <c r="AB108" i="10"/>
  <c r="AA108" i="10"/>
  <c r="Y112" i="10"/>
  <c r="AA112" i="10"/>
  <c r="U111" i="10"/>
  <c r="Y104" i="10"/>
  <c r="AA104" i="10"/>
  <c r="AB104" i="10"/>
  <c r="AB143" i="10"/>
  <c r="Y148" i="10"/>
  <c r="AB152" i="10"/>
  <c r="AB150" i="10"/>
  <c r="AA148" i="10"/>
  <c r="U147" i="10"/>
  <c r="U110" i="10"/>
  <c r="V110" i="10"/>
  <c r="W111" i="10"/>
  <c r="W110" i="10"/>
  <c r="V109" i="10"/>
  <c r="V111" i="10"/>
  <c r="X109" i="10"/>
  <c r="U172" i="10"/>
  <c r="U173" i="10" s="1"/>
  <c r="AA150" i="10"/>
  <c r="Y150" i="10"/>
  <c r="U152" i="10"/>
  <c r="V152" i="10"/>
  <c r="W152" i="10"/>
  <c r="U148" i="10"/>
  <c r="V148" i="10"/>
  <c r="Y149" i="10"/>
  <c r="Z149" i="10"/>
  <c r="AA149" i="10"/>
  <c r="Y151" i="10"/>
  <c r="V147" i="10"/>
  <c r="W147" i="10"/>
  <c r="U150" i="10"/>
  <c r="V150" i="10"/>
  <c r="W143" i="10"/>
  <c r="X143" i="10"/>
  <c r="Z143" i="10"/>
  <c r="Y143" i="10"/>
  <c r="Z139" i="10"/>
  <c r="X139" i="10"/>
  <c r="U139" i="10"/>
  <c r="W139" i="10"/>
  <c r="AB70" i="10"/>
  <c r="Y70" i="10"/>
  <c r="Z70" i="10"/>
  <c r="X67" i="10"/>
  <c r="V67" i="10"/>
  <c r="W67" i="10"/>
  <c r="V68" i="10"/>
  <c r="AB62" i="10"/>
  <c r="W58" i="10"/>
  <c r="X58" i="10"/>
  <c r="U122" i="10"/>
  <c r="V122" i="10"/>
  <c r="W41" i="10"/>
  <c r="V42" i="10"/>
  <c r="W42" i="10"/>
  <c r="Y28" i="10"/>
  <c r="Z28" i="10"/>
  <c r="Y122" i="10"/>
  <c r="Y123" i="10"/>
  <c r="Z122" i="10"/>
  <c r="Z123" i="10"/>
  <c r="AA122" i="10"/>
  <c r="AA123" i="10"/>
  <c r="AB84" i="10"/>
  <c r="Y83" i="10"/>
  <c r="Z83" i="10"/>
  <c r="AB81" i="10"/>
  <c r="Y41" i="10"/>
  <c r="Z41" i="10"/>
  <c r="AA41" i="10"/>
  <c r="U35" i="8"/>
  <c r="U34" i="8"/>
  <c r="AB27" i="8"/>
  <c r="X26" i="8"/>
  <c r="V20" i="8"/>
  <c r="X24" i="8"/>
  <c r="X20" i="8"/>
  <c r="U20" i="8"/>
  <c r="Y10" i="8"/>
  <c r="Z10" i="8"/>
  <c r="Y9" i="10"/>
  <c r="Z9" i="10"/>
  <c r="AA9" i="10"/>
  <c r="AA10" i="10"/>
  <c r="U10" i="10"/>
  <c r="V10" i="10"/>
  <c r="W10" i="10"/>
  <c r="W189" i="10"/>
  <c r="Z189" i="10"/>
  <c r="Z182" i="10"/>
  <c r="AA182" i="10"/>
  <c r="AB182" i="10"/>
  <c r="U175" i="10"/>
  <c r="U178" i="10"/>
  <c r="V175" i="10"/>
  <c r="V178" i="10"/>
  <c r="U158" i="10"/>
  <c r="U157" i="10"/>
  <c r="Z147" i="10"/>
  <c r="AA147" i="10"/>
  <c r="Y139" i="10"/>
  <c r="U151" i="10"/>
  <c r="V151" i="10"/>
  <c r="U143" i="10"/>
  <c r="Y120" i="10"/>
  <c r="Z120" i="10"/>
  <c r="AA120" i="10"/>
  <c r="Y100" i="10"/>
  <c r="Z100" i="10"/>
  <c r="AA100" i="10"/>
  <c r="X108" i="10"/>
  <c r="X112" i="10"/>
  <c r="X113" i="10"/>
  <c r="U112" i="10"/>
  <c r="U100" i="10"/>
  <c r="V100" i="10"/>
  <c r="W100" i="10"/>
  <c r="V81" i="10"/>
  <c r="V84" i="10"/>
  <c r="W81" i="10"/>
  <c r="W84" i="10"/>
  <c r="U84" i="10"/>
  <c r="Y81" i="10"/>
  <c r="Y84" i="10"/>
  <c r="AB68" i="10"/>
  <c r="Y73" i="10"/>
  <c r="Z73" i="10"/>
  <c r="Y58" i="10"/>
  <c r="Z58" i="10"/>
  <c r="AA58" i="10"/>
  <c r="Y62" i="10"/>
  <c r="W68" i="10"/>
  <c r="W73" i="10"/>
  <c r="U62" i="10"/>
  <c r="V62" i="10"/>
  <c r="W62" i="10"/>
  <c r="X42" i="10"/>
  <c r="Z39" i="10"/>
  <c r="Z42" i="10"/>
  <c r="AA39" i="10"/>
  <c r="AA42" i="10"/>
  <c r="V12" i="10"/>
  <c r="Y10" i="10"/>
  <c r="Z10" i="10"/>
  <c r="C47" i="10"/>
  <c r="C162" i="10"/>
  <c r="C49" i="10"/>
  <c r="C90" i="10"/>
  <c r="N194" i="10"/>
  <c r="C25" i="10"/>
  <c r="C88" i="10"/>
  <c r="C91" i="10"/>
  <c r="J194" i="10"/>
  <c r="C128" i="10"/>
  <c r="C129" i="10"/>
  <c r="C137" i="10"/>
  <c r="C140" i="10" s="1"/>
  <c r="C144" i="10" s="1"/>
  <c r="C27" i="10"/>
  <c r="C26" i="10"/>
  <c r="C56" i="10"/>
  <c r="C59" i="10" s="1"/>
  <c r="C63" i="10" s="1"/>
  <c r="AA25" i="8"/>
  <c r="AA10" i="8"/>
  <c r="AB25" i="8"/>
  <c r="U25" i="8"/>
  <c r="W25" i="8"/>
  <c r="X18" i="8"/>
  <c r="W35" i="8"/>
  <c r="Y19" i="8"/>
  <c r="Y35" i="8"/>
  <c r="U24" i="8"/>
  <c r="Z35" i="8"/>
  <c r="C60" i="8"/>
  <c r="V24" i="8"/>
  <c r="AA35" i="8"/>
  <c r="V134" i="8"/>
  <c r="Y13" i="8"/>
  <c r="AB19" i="8"/>
  <c r="V25" i="8"/>
  <c r="Y26" i="8"/>
  <c r="V35" i="8"/>
  <c r="AA13" i="8"/>
  <c r="U27" i="8"/>
  <c r="U132" i="8"/>
  <c r="Z13" i="8"/>
  <c r="AA26" i="8"/>
  <c r="V27" i="8"/>
  <c r="AB34" i="8"/>
  <c r="Z24" i="8"/>
  <c r="W17" i="8"/>
  <c r="W27" i="8"/>
  <c r="X17" i="8"/>
  <c r="C14" i="10"/>
  <c r="C193" i="10"/>
  <c r="C17" i="10"/>
  <c r="C18" i="10"/>
  <c r="C16" i="10"/>
  <c r="C48" i="10"/>
  <c r="C127" i="10"/>
  <c r="C19" i="10"/>
  <c r="C130" i="10"/>
  <c r="O194" i="10"/>
  <c r="K193" i="10"/>
  <c r="P190" i="10"/>
  <c r="P193" i="10" s="1"/>
  <c r="S193" i="10"/>
  <c r="C28" i="8"/>
  <c r="C22" i="8"/>
  <c r="C90" i="8"/>
  <c r="C15" i="8"/>
  <c r="W18" i="8"/>
  <c r="Y17" i="8"/>
  <c r="Y18" i="8"/>
  <c r="W132" i="8"/>
  <c r="W134" i="8"/>
  <c r="Z17" i="8"/>
  <c r="Z18" i="8"/>
  <c r="X132" i="8"/>
  <c r="X134" i="8"/>
  <c r="AD134" i="8" s="1"/>
  <c r="AA17" i="8"/>
  <c r="AA18" i="8"/>
  <c r="Y132" i="8"/>
  <c r="Y134" i="8"/>
  <c r="Y27" i="8"/>
  <c r="Z31" i="8"/>
  <c r="U17" i="8"/>
  <c r="U18" i="8"/>
  <c r="Z27" i="8"/>
  <c r="Y34" i="8"/>
  <c r="Z34" i="8"/>
  <c r="AA31" i="8"/>
  <c r="AB31" i="8"/>
  <c r="AB26" i="8"/>
  <c r="Y24" i="8"/>
  <c r="AA19" i="8"/>
  <c r="V10" i="8"/>
  <c r="W10" i="8"/>
  <c r="X10" i="8"/>
  <c r="W13" i="8"/>
  <c r="X13" i="8"/>
  <c r="U13" i="8"/>
  <c r="V19" i="8"/>
  <c r="U19" i="8"/>
  <c r="W19" i="8"/>
  <c r="U26" i="8"/>
  <c r="V26" i="8"/>
  <c r="D194" i="10"/>
  <c r="G193" i="10"/>
  <c r="M193" i="10"/>
  <c r="F193" i="10"/>
  <c r="E194" i="10"/>
  <c r="I194" i="10"/>
  <c r="Q194" i="10"/>
  <c r="R194" i="10"/>
  <c r="F194" i="10"/>
  <c r="L190" i="10"/>
  <c r="L193" i="10" s="1"/>
  <c r="P77" i="8"/>
  <c r="X124" i="8"/>
  <c r="AD124" i="8" s="1"/>
  <c r="V126" i="8"/>
  <c r="W126" i="8"/>
  <c r="V124" i="8"/>
  <c r="X126" i="8"/>
  <c r="AD126" i="8" s="1"/>
  <c r="Y126" i="8"/>
  <c r="AA126" i="8"/>
  <c r="W124" i="8"/>
  <c r="Y124" i="8"/>
  <c r="AA124" i="8"/>
  <c r="AD80" i="8"/>
  <c r="AD81" i="8"/>
  <c r="AD59" i="8"/>
  <c r="P173" i="10"/>
  <c r="L173" i="10"/>
  <c r="W173" i="10"/>
  <c r="K137" i="10"/>
  <c r="K140" i="10" s="1"/>
  <c r="K144" i="10" s="1"/>
  <c r="D137" i="10"/>
  <c r="D140" i="10" s="1"/>
  <c r="D144" i="10" s="1"/>
  <c r="S137" i="10"/>
  <c r="S140" i="10" s="1"/>
  <c r="S144" i="10" s="1"/>
  <c r="AA142" i="10"/>
  <c r="G137" i="10"/>
  <c r="G140" i="10" s="1"/>
  <c r="G144" i="10" s="1"/>
  <c r="R137" i="10"/>
  <c r="R140" i="10" s="1"/>
  <c r="R141" i="10" s="1"/>
  <c r="J137" i="10"/>
  <c r="J140" i="10" s="1"/>
  <c r="J144" i="10" s="1"/>
  <c r="M137" i="10"/>
  <c r="M140" i="10" s="1"/>
  <c r="M144" i="10" s="1"/>
  <c r="E137" i="10"/>
  <c r="E140" i="10" s="1"/>
  <c r="E144" i="10" s="1"/>
  <c r="N137" i="10"/>
  <c r="N140" i="10" s="1"/>
  <c r="N144" i="10" s="1"/>
  <c r="F137" i="10"/>
  <c r="F140" i="10" s="1"/>
  <c r="F141" i="10" s="1"/>
  <c r="O137" i="10"/>
  <c r="O140" i="10" s="1"/>
  <c r="O141" i="10" s="1"/>
  <c r="U138" i="10"/>
  <c r="AA138" i="10"/>
  <c r="I137" i="10"/>
  <c r="I140" i="10" s="1"/>
  <c r="I141" i="10" s="1"/>
  <c r="Q137" i="10"/>
  <c r="Q140" i="10" s="1"/>
  <c r="Q141" i="10" s="1"/>
  <c r="U142" i="10"/>
  <c r="W138" i="10"/>
  <c r="W142" i="10"/>
  <c r="X138" i="10"/>
  <c r="X142" i="10"/>
  <c r="Y138" i="10"/>
  <c r="Y142" i="10"/>
  <c r="M98" i="10"/>
  <c r="M101" i="10" s="1"/>
  <c r="M105" i="10" s="1"/>
  <c r="M106" i="10" s="1"/>
  <c r="K98" i="10"/>
  <c r="K101" i="10" s="1"/>
  <c r="K105" i="10" s="1"/>
  <c r="K106" i="10" s="1"/>
  <c r="E98" i="10"/>
  <c r="E101" i="10" s="1"/>
  <c r="E102" i="10" s="1"/>
  <c r="O98" i="10"/>
  <c r="O101" i="10" s="1"/>
  <c r="O102" i="10" s="1"/>
  <c r="N98" i="10"/>
  <c r="N101" i="10" s="1"/>
  <c r="N102" i="10" s="1"/>
  <c r="F98" i="10"/>
  <c r="F101" i="10" s="1"/>
  <c r="F105" i="10" s="1"/>
  <c r="F106" i="10" s="1"/>
  <c r="S98" i="10"/>
  <c r="S101" i="10" s="1"/>
  <c r="S102" i="10" s="1"/>
  <c r="D98" i="10"/>
  <c r="D101" i="10" s="1"/>
  <c r="D105" i="10" s="1"/>
  <c r="D106" i="10" s="1"/>
  <c r="V99" i="10"/>
  <c r="V103" i="10"/>
  <c r="G98" i="10"/>
  <c r="G101" i="10" s="1"/>
  <c r="G102" i="10" s="1"/>
  <c r="W99" i="10"/>
  <c r="W103" i="10"/>
  <c r="I98" i="10"/>
  <c r="I101" i="10" s="1"/>
  <c r="I102" i="10" s="1"/>
  <c r="Q98" i="10"/>
  <c r="Q101" i="10" s="1"/>
  <c r="Q102" i="10" s="1"/>
  <c r="Z99" i="10"/>
  <c r="Z103" i="10"/>
  <c r="J98" i="10"/>
  <c r="J101" i="10" s="1"/>
  <c r="J102" i="10" s="1"/>
  <c r="R98" i="10"/>
  <c r="R101" i="10" s="1"/>
  <c r="R102" i="10" s="1"/>
  <c r="AA99" i="10"/>
  <c r="AA103" i="10"/>
  <c r="X99" i="10"/>
  <c r="X103" i="10"/>
  <c r="E56" i="10"/>
  <c r="E59" i="10" s="1"/>
  <c r="E60" i="10" s="1"/>
  <c r="D56" i="10"/>
  <c r="D59" i="10" s="1"/>
  <c r="D60" i="10" s="1"/>
  <c r="I56" i="10"/>
  <c r="I59" i="10" s="1"/>
  <c r="I60" i="10" s="1"/>
  <c r="F56" i="10"/>
  <c r="F59" i="10" s="1"/>
  <c r="F60" i="10" s="1"/>
  <c r="G56" i="10"/>
  <c r="G59" i="10" s="1"/>
  <c r="G60" i="10" s="1"/>
  <c r="S56" i="10"/>
  <c r="S59" i="10" s="1"/>
  <c r="S60" i="10" s="1"/>
  <c r="K56" i="10"/>
  <c r="K59" i="10" s="1"/>
  <c r="K60" i="10" s="1"/>
  <c r="M56" i="10"/>
  <c r="M59" i="10" s="1"/>
  <c r="M60" i="10" s="1"/>
  <c r="N56" i="10"/>
  <c r="N59" i="10" s="1"/>
  <c r="N60" i="10" s="1"/>
  <c r="O56" i="10"/>
  <c r="O59" i="10" s="1"/>
  <c r="O60" i="10" s="1"/>
  <c r="G49" i="10"/>
  <c r="Q56" i="10"/>
  <c r="Q59" i="10" s="1"/>
  <c r="Q60" i="10" s="1"/>
  <c r="J56" i="10"/>
  <c r="J59" i="10" s="1"/>
  <c r="J60" i="10" s="1"/>
  <c r="R56" i="10"/>
  <c r="R59" i="10" s="1"/>
  <c r="R60" i="10" s="1"/>
  <c r="G47" i="10"/>
  <c r="E48" i="10"/>
  <c r="F48" i="10"/>
  <c r="D48" i="10"/>
  <c r="G48" i="10"/>
  <c r="D47" i="10"/>
  <c r="D49" i="10"/>
  <c r="E47" i="10"/>
  <c r="E49" i="10"/>
  <c r="F47" i="10"/>
  <c r="F49" i="10"/>
  <c r="Z57" i="10"/>
  <c r="X57" i="10"/>
  <c r="AB61" i="10"/>
  <c r="X61" i="10"/>
  <c r="Y57" i="10"/>
  <c r="U61" i="10"/>
  <c r="V61" i="10"/>
  <c r="AA57" i="10"/>
  <c r="W61" i="10"/>
  <c r="U57" i="10"/>
  <c r="Y61" i="10"/>
  <c r="V57" i="10"/>
  <c r="F124" i="10"/>
  <c r="F27" i="10" s="1"/>
  <c r="G124" i="10"/>
  <c r="G27" i="10" s="1"/>
  <c r="B127" i="10"/>
  <c r="S124" i="10"/>
  <c r="R124" i="10"/>
  <c r="Q124" i="10"/>
  <c r="O124" i="10"/>
  <c r="O27" i="10" s="1"/>
  <c r="N124" i="10"/>
  <c r="N27" i="10" s="1"/>
  <c r="M124" i="10"/>
  <c r="M27" i="10" s="1"/>
  <c r="K124" i="10"/>
  <c r="K27" i="10" s="1"/>
  <c r="J124" i="10"/>
  <c r="J27" i="10" s="1"/>
  <c r="I124" i="10"/>
  <c r="I27" i="10" s="1"/>
  <c r="E124" i="10"/>
  <c r="E27" i="10" s="1"/>
  <c r="D124" i="10"/>
  <c r="D27" i="10" s="1"/>
  <c r="B46" i="10"/>
  <c r="S43" i="10"/>
  <c r="R43" i="10"/>
  <c r="Q43" i="10"/>
  <c r="O43" i="10"/>
  <c r="N43" i="10"/>
  <c r="M43" i="10"/>
  <c r="K43" i="10"/>
  <c r="J43" i="10"/>
  <c r="I43" i="10"/>
  <c r="B19" i="10"/>
  <c r="B18" i="10"/>
  <c r="B17" i="10"/>
  <c r="AB127" i="8"/>
  <c r="Y127" i="8"/>
  <c r="V127" i="8"/>
  <c r="AA118" i="8"/>
  <c r="AA117" i="8"/>
  <c r="Y117" i="8"/>
  <c r="U117" i="8"/>
  <c r="AB116" i="8"/>
  <c r="AA113" i="8"/>
  <c r="Y113" i="8"/>
  <c r="V113" i="8"/>
  <c r="G52" i="8"/>
  <c r="G60" i="8" s="1"/>
  <c r="P53" i="11"/>
  <c r="V69" i="11"/>
  <c r="U69" i="11"/>
  <c r="V67" i="11"/>
  <c r="U67" i="11"/>
  <c r="V66" i="11"/>
  <c r="U66" i="11"/>
  <c r="W61" i="11"/>
  <c r="V61" i="11"/>
  <c r="U61" i="11"/>
  <c r="V60" i="11"/>
  <c r="U60" i="11"/>
  <c r="V59" i="11"/>
  <c r="U59" i="11"/>
  <c r="V58" i="11"/>
  <c r="U58" i="11"/>
  <c r="V57" i="11"/>
  <c r="U57" i="11"/>
  <c r="V53" i="11"/>
  <c r="U53" i="11"/>
  <c r="Y97" i="10"/>
  <c r="AB139" i="8"/>
  <c r="AA139" i="8"/>
  <c r="Y139" i="8"/>
  <c r="X139" i="8"/>
  <c r="W139" i="8"/>
  <c r="AB119" i="8"/>
  <c r="AB114" i="8"/>
  <c r="Z114" i="8"/>
  <c r="V114" i="8"/>
  <c r="AB131" i="8"/>
  <c r="Y131" i="8"/>
  <c r="V131" i="8"/>
  <c r="AB123" i="8"/>
  <c r="B88" i="10"/>
  <c r="S67" i="8"/>
  <c r="S62" i="11" s="1"/>
  <c r="AB62" i="11" s="1"/>
  <c r="S4" i="11"/>
  <c r="AB4" i="11" s="1"/>
  <c r="S3" i="11"/>
  <c r="AB3" i="11" s="1"/>
  <c r="S13" i="10"/>
  <c r="S191" i="10" s="1"/>
  <c r="S4" i="10"/>
  <c r="AB4" i="10" s="1"/>
  <c r="S3" i="10"/>
  <c r="AB3" i="10" s="1"/>
  <c r="S97" i="8"/>
  <c r="S96" i="8"/>
  <c r="S86" i="8"/>
  <c r="S89" i="8" s="1"/>
  <c r="S72" i="11" s="1"/>
  <c r="AB72" i="11" s="1"/>
  <c r="S52" i="8"/>
  <c r="S60" i="8" s="1"/>
  <c r="S46" i="8"/>
  <c r="S45" i="8"/>
  <c r="S11" i="8"/>
  <c r="P8" i="8"/>
  <c r="L8" i="8"/>
  <c r="K70" i="11"/>
  <c r="G128" i="8"/>
  <c r="G135" i="8"/>
  <c r="N70" i="11"/>
  <c r="G70" i="11"/>
  <c r="R4" i="11"/>
  <c r="AA4" i="11" s="1"/>
  <c r="Q4" i="11"/>
  <c r="Z4" i="11" s="1"/>
  <c r="O4" i="11"/>
  <c r="X4" i="11" s="1"/>
  <c r="N4" i="11"/>
  <c r="W4" i="11" s="1"/>
  <c r="M4" i="11"/>
  <c r="V4" i="11" s="1"/>
  <c r="K4" i="11"/>
  <c r="J4" i="11"/>
  <c r="R3" i="11"/>
  <c r="AA3" i="11" s="1"/>
  <c r="Q3" i="11"/>
  <c r="Z3" i="11" s="1"/>
  <c r="P3" i="11"/>
  <c r="Y3" i="11" s="1"/>
  <c r="O3" i="11"/>
  <c r="X3" i="11" s="1"/>
  <c r="N3" i="11"/>
  <c r="W3" i="11" s="1"/>
  <c r="M3" i="11"/>
  <c r="V3" i="11" s="1"/>
  <c r="L3" i="11"/>
  <c r="U3" i="11" s="1"/>
  <c r="K3" i="11"/>
  <c r="J3" i="11"/>
  <c r="I4" i="11"/>
  <c r="I3" i="11"/>
  <c r="F4" i="11"/>
  <c r="E4" i="11"/>
  <c r="D4" i="11"/>
  <c r="F3" i="11"/>
  <c r="E3" i="11"/>
  <c r="D3" i="11"/>
  <c r="G3" i="11"/>
  <c r="G4" i="11"/>
  <c r="B2" i="11"/>
  <c r="G13" i="10"/>
  <c r="G4" i="10"/>
  <c r="G3" i="10"/>
  <c r="S139" i="8"/>
  <c r="R139" i="8"/>
  <c r="P139" i="8"/>
  <c r="O139" i="8"/>
  <c r="N139" i="8"/>
  <c r="L139" i="8"/>
  <c r="U139" i="8" s="1"/>
  <c r="K139" i="8"/>
  <c r="J139" i="8"/>
  <c r="G139" i="8"/>
  <c r="M139" i="8"/>
  <c r="G97" i="8"/>
  <c r="G96" i="8"/>
  <c r="G86" i="8"/>
  <c r="G89" i="8" s="1"/>
  <c r="G72" i="11" s="1"/>
  <c r="G46" i="8"/>
  <c r="G45" i="8"/>
  <c r="G11" i="8"/>
  <c r="R4" i="10"/>
  <c r="AA4" i="10" s="1"/>
  <c r="Q4" i="10"/>
  <c r="Z4" i="10" s="1"/>
  <c r="O4" i="10"/>
  <c r="X4" i="10" s="1"/>
  <c r="N4" i="10"/>
  <c r="W4" i="10" s="1"/>
  <c r="M4" i="10"/>
  <c r="V4" i="10" s="1"/>
  <c r="K4" i="10"/>
  <c r="J4" i="10"/>
  <c r="R3" i="10"/>
  <c r="AA3" i="10" s="1"/>
  <c r="Q3" i="10"/>
  <c r="Z3" i="10" s="1"/>
  <c r="P3" i="10"/>
  <c r="Y3" i="10" s="1"/>
  <c r="O3" i="10"/>
  <c r="X3" i="10" s="1"/>
  <c r="N3" i="10"/>
  <c r="W3" i="10" s="1"/>
  <c r="M3" i="10"/>
  <c r="V3" i="10" s="1"/>
  <c r="L3" i="10"/>
  <c r="U3" i="10" s="1"/>
  <c r="K3" i="10"/>
  <c r="J3" i="10"/>
  <c r="I4" i="10"/>
  <c r="I3" i="10"/>
  <c r="E4" i="10"/>
  <c r="D4" i="10"/>
  <c r="E3" i="10"/>
  <c r="D3" i="10"/>
  <c r="F4" i="10"/>
  <c r="F3" i="10"/>
  <c r="T29" i="11" l="1"/>
  <c r="X111" i="8"/>
  <c r="AD111" i="8" s="1"/>
  <c r="Y111" i="8"/>
  <c r="T35" i="11"/>
  <c r="W67" i="11"/>
  <c r="AA18" i="11"/>
  <c r="W31" i="11"/>
  <c r="W111" i="8"/>
  <c r="W60" i="11"/>
  <c r="V112" i="8"/>
  <c r="Z21" i="11"/>
  <c r="X107" i="8"/>
  <c r="AD107" i="8" s="1"/>
  <c r="Y107" i="8"/>
  <c r="U35" i="11"/>
  <c r="W107" i="8"/>
  <c r="AA20" i="11"/>
  <c r="X29" i="11"/>
  <c r="X25" i="11"/>
  <c r="Y19" i="11"/>
  <c r="Z18" i="11"/>
  <c r="X105" i="8"/>
  <c r="AD105" i="8" s="1"/>
  <c r="U29" i="11"/>
  <c r="W59" i="11"/>
  <c r="X110" i="8"/>
  <c r="AD110" i="8" s="1"/>
  <c r="V106" i="8"/>
  <c r="P31" i="11"/>
  <c r="AB31" i="11" s="1"/>
  <c r="AB21" i="11"/>
  <c r="AD21" i="11" s="1"/>
  <c r="W35" i="11"/>
  <c r="AB42" i="11"/>
  <c r="Y42" i="11"/>
  <c r="AA42" i="11"/>
  <c r="Z42" i="11"/>
  <c r="Z14" i="11"/>
  <c r="U106" i="8"/>
  <c r="W110" i="8"/>
  <c r="X42" i="11"/>
  <c r="U42" i="11"/>
  <c r="V42" i="11"/>
  <c r="W42" i="11"/>
  <c r="P25" i="11"/>
  <c r="AB25" i="11" s="1"/>
  <c r="AB19" i="11"/>
  <c r="AD19" i="11" s="1"/>
  <c r="P142" i="8"/>
  <c r="Y142" i="8" s="1"/>
  <c r="X142" i="8"/>
  <c r="W30" i="11"/>
  <c r="V25" i="11"/>
  <c r="L69" i="11"/>
  <c r="X30" i="11"/>
  <c r="U31" i="11"/>
  <c r="T31" i="11"/>
  <c r="V31" i="11"/>
  <c r="V123" i="8"/>
  <c r="O35" i="11"/>
  <c r="Y66" i="11"/>
  <c r="P69" i="11"/>
  <c r="W69" i="11" s="1"/>
  <c r="W70" i="11" s="1"/>
  <c r="T30" i="11"/>
  <c r="U30" i="11"/>
  <c r="T39" i="11"/>
  <c r="Y110" i="8"/>
  <c r="Z123" i="8"/>
  <c r="U25" i="11"/>
  <c r="T25" i="11"/>
  <c r="Y21" i="11"/>
  <c r="Y18" i="11"/>
  <c r="V30" i="11"/>
  <c r="W58" i="11"/>
  <c r="Y105" i="8"/>
  <c r="P30" i="11"/>
  <c r="AB30" i="11" s="1"/>
  <c r="AB20" i="11"/>
  <c r="V35" i="11"/>
  <c r="L39" i="11"/>
  <c r="U39" i="11" s="1"/>
  <c r="AA14" i="11"/>
  <c r="Z19" i="11"/>
  <c r="Y14" i="11"/>
  <c r="T37" i="11"/>
  <c r="P150" i="8"/>
  <c r="X150" i="8" s="1"/>
  <c r="V29" i="11"/>
  <c r="W29" i="11"/>
  <c r="Z20" i="11"/>
  <c r="W25" i="11"/>
  <c r="X31" i="11"/>
  <c r="W53" i="11"/>
  <c r="Y53" i="11"/>
  <c r="W57" i="11"/>
  <c r="S27" i="10"/>
  <c r="S125" i="10"/>
  <c r="R27" i="10"/>
  <c r="R125" i="10" s="1"/>
  <c r="Q27" i="10"/>
  <c r="Q125" i="10"/>
  <c r="V116" i="8"/>
  <c r="O39" i="11"/>
  <c r="P116" i="8"/>
  <c r="Z116" i="8" s="1"/>
  <c r="O37" i="11"/>
  <c r="P151" i="8"/>
  <c r="X151" i="8" s="1"/>
  <c r="K36" i="11"/>
  <c r="L150" i="8"/>
  <c r="P112" i="8"/>
  <c r="Y112" i="8" s="1"/>
  <c r="W105" i="8"/>
  <c r="Z106" i="8"/>
  <c r="P29" i="11"/>
  <c r="W106" i="8"/>
  <c r="V151" i="8"/>
  <c r="L37" i="11"/>
  <c r="Y106" i="8"/>
  <c r="C16" i="11"/>
  <c r="C23" i="11"/>
  <c r="C26" i="11"/>
  <c r="C32" i="11" s="1"/>
  <c r="AD38" i="11"/>
  <c r="Y95" i="10"/>
  <c r="Y54" i="10"/>
  <c r="AB134" i="10"/>
  <c r="Z134" i="10"/>
  <c r="AB52" i="10"/>
  <c r="AB55" i="10"/>
  <c r="Y135" i="10"/>
  <c r="C105" i="10"/>
  <c r="C114" i="10" s="1"/>
  <c r="C115" i="10" s="1"/>
  <c r="L27" i="10"/>
  <c r="W27" i="10" s="1"/>
  <c r="C92" i="8"/>
  <c r="C141" i="10"/>
  <c r="S14" i="10"/>
  <c r="X136" i="10"/>
  <c r="W136" i="10"/>
  <c r="U136" i="10"/>
  <c r="V136" i="10"/>
  <c r="V133" i="10"/>
  <c r="X133" i="10"/>
  <c r="W133" i="10"/>
  <c r="U133" i="10"/>
  <c r="P27" i="10"/>
  <c r="AA135" i="10"/>
  <c r="V135" i="10"/>
  <c r="X135" i="10"/>
  <c r="W135" i="10"/>
  <c r="U135" i="10"/>
  <c r="X134" i="10"/>
  <c r="V134" i="10"/>
  <c r="W134" i="10"/>
  <c r="U134" i="10"/>
  <c r="AA134" i="10"/>
  <c r="Z135" i="10"/>
  <c r="Z136" i="10"/>
  <c r="Y136" i="10"/>
  <c r="AA136" i="10"/>
  <c r="U96" i="10"/>
  <c r="X96" i="10"/>
  <c r="W96" i="10"/>
  <c r="V96" i="10"/>
  <c r="V97" i="10"/>
  <c r="X97" i="10"/>
  <c r="W97" i="10"/>
  <c r="U97" i="10"/>
  <c r="AA96" i="10"/>
  <c r="AB96" i="10"/>
  <c r="Y96" i="10"/>
  <c r="AB97" i="10"/>
  <c r="AA97" i="10"/>
  <c r="Z96" i="10"/>
  <c r="V95" i="10"/>
  <c r="U95" i="10"/>
  <c r="X95" i="10"/>
  <c r="W95" i="10"/>
  <c r="AA95" i="10"/>
  <c r="AB95" i="10"/>
  <c r="Z97" i="10"/>
  <c r="Y53" i="10"/>
  <c r="W55" i="10"/>
  <c r="V55" i="10"/>
  <c r="U55" i="10"/>
  <c r="X55" i="10"/>
  <c r="AA55" i="10"/>
  <c r="Z53" i="10"/>
  <c r="AA54" i="10"/>
  <c r="AA53" i="10"/>
  <c r="W54" i="10"/>
  <c r="V54" i="10"/>
  <c r="U54" i="10"/>
  <c r="X54" i="10"/>
  <c r="Y55" i="10"/>
  <c r="AA52" i="10"/>
  <c r="W53" i="10"/>
  <c r="V53" i="10"/>
  <c r="U53" i="10"/>
  <c r="X53" i="10"/>
  <c r="Z54" i="10"/>
  <c r="Z52" i="10"/>
  <c r="C60" i="10"/>
  <c r="P194" i="10"/>
  <c r="L194" i="10"/>
  <c r="C29" i="10"/>
  <c r="C33" i="10" s="1"/>
  <c r="C153" i="10"/>
  <c r="C154" i="10" s="1"/>
  <c r="C145" i="10"/>
  <c r="C75" i="10"/>
  <c r="C76" i="10" s="1"/>
  <c r="C64" i="10"/>
  <c r="C32" i="8"/>
  <c r="C29" i="8"/>
  <c r="U31" i="8"/>
  <c r="X31" i="8"/>
  <c r="W31" i="8"/>
  <c r="V31" i="8"/>
  <c r="P4" i="11"/>
  <c r="Y4" i="11" s="1"/>
  <c r="Y8" i="8"/>
  <c r="L4" i="10"/>
  <c r="U4" i="10" s="1"/>
  <c r="U8" i="8"/>
  <c r="AA190" i="10"/>
  <c r="AA194" i="10" s="1"/>
  <c r="I25" i="10"/>
  <c r="S25" i="10"/>
  <c r="S32" i="10" s="1"/>
  <c r="AB32" i="10" s="1"/>
  <c r="J25" i="10"/>
  <c r="K25" i="10"/>
  <c r="M25" i="10"/>
  <c r="N25" i="10"/>
  <c r="O25" i="10"/>
  <c r="Q25" i="10"/>
  <c r="Q44" i="10" s="1"/>
  <c r="R25" i="10"/>
  <c r="R44" i="10" s="1"/>
  <c r="W190" i="10"/>
  <c r="W193" i="10" s="1"/>
  <c r="Y190" i="10"/>
  <c r="Y193" i="10" s="1"/>
  <c r="X190" i="10"/>
  <c r="X194" i="10" s="1"/>
  <c r="U190" i="10"/>
  <c r="U193" i="10" s="1"/>
  <c r="AB190" i="10"/>
  <c r="V190" i="10"/>
  <c r="Z190" i="10"/>
  <c r="Z193" i="10" s="1"/>
  <c r="S34" i="10"/>
  <c r="AB34" i="10" s="1"/>
  <c r="G34" i="10"/>
  <c r="S17" i="10"/>
  <c r="AB17" i="10" s="1"/>
  <c r="G19" i="10"/>
  <c r="G32" i="10"/>
  <c r="K141" i="10"/>
  <c r="Q144" i="10"/>
  <c r="Q153" i="10" s="1"/>
  <c r="Q154" i="10" s="1"/>
  <c r="S141" i="10"/>
  <c r="N141" i="10"/>
  <c r="J141" i="10"/>
  <c r="O144" i="10"/>
  <c r="O153" i="10" s="1"/>
  <c r="O154" i="10" s="1"/>
  <c r="R144" i="10"/>
  <c r="R153" i="10" s="1"/>
  <c r="R154" i="10" s="1"/>
  <c r="G141" i="10"/>
  <c r="D141" i="10"/>
  <c r="I144" i="10"/>
  <c r="I145" i="10" s="1"/>
  <c r="F144" i="10"/>
  <c r="F153" i="10" s="1"/>
  <c r="F154" i="10" s="1"/>
  <c r="M141" i="10"/>
  <c r="E141" i="10"/>
  <c r="L137" i="10"/>
  <c r="L140" i="10" s="1"/>
  <c r="E153" i="10"/>
  <c r="E154" i="10" s="1"/>
  <c r="E145" i="10"/>
  <c r="M145" i="10"/>
  <c r="M153" i="10"/>
  <c r="M154" i="10" s="1"/>
  <c r="D145" i="10"/>
  <c r="D153" i="10"/>
  <c r="D154" i="10" s="1"/>
  <c r="S145" i="10"/>
  <c r="S153" i="10"/>
  <c r="S154" i="10" s="1"/>
  <c r="J153" i="10"/>
  <c r="J154" i="10" s="1"/>
  <c r="J145" i="10"/>
  <c r="G153" i="10"/>
  <c r="G154" i="10" s="1"/>
  <c r="G145" i="10"/>
  <c r="N153" i="10"/>
  <c r="N154" i="10" s="1"/>
  <c r="N145" i="10"/>
  <c r="K145" i="10"/>
  <c r="K153" i="10"/>
  <c r="K154" i="10" s="1"/>
  <c r="E105" i="10"/>
  <c r="E106" i="10" s="1"/>
  <c r="R105" i="10"/>
  <c r="R106" i="10" s="1"/>
  <c r="I105" i="10"/>
  <c r="N105" i="10"/>
  <c r="N106" i="10" s="1"/>
  <c r="O105" i="10"/>
  <c r="O106" i="10" s="1"/>
  <c r="L159" i="10"/>
  <c r="P159" i="10"/>
  <c r="D102" i="10"/>
  <c r="K102" i="10"/>
  <c r="M102" i="10"/>
  <c r="J105" i="10"/>
  <c r="J106" i="10" s="1"/>
  <c r="Q105" i="10"/>
  <c r="F102" i="10"/>
  <c r="S105" i="10"/>
  <c r="G105" i="10"/>
  <c r="K114" i="10"/>
  <c r="K115" i="10" s="1"/>
  <c r="F114" i="10"/>
  <c r="F115" i="10" s="1"/>
  <c r="M114" i="10"/>
  <c r="M115" i="10" s="1"/>
  <c r="D114" i="10"/>
  <c r="D115" i="10" s="1"/>
  <c r="F63" i="10"/>
  <c r="F64" i="10" s="1"/>
  <c r="D63" i="10"/>
  <c r="D64" i="10" s="1"/>
  <c r="G63" i="10"/>
  <c r="G64" i="10" s="1"/>
  <c r="E63" i="10"/>
  <c r="E64" i="10" s="1"/>
  <c r="P56" i="10"/>
  <c r="P59" i="10" s="1"/>
  <c r="P60" i="10" s="1"/>
  <c r="R48" i="10"/>
  <c r="R49" i="10"/>
  <c r="R47" i="10"/>
  <c r="I48" i="10"/>
  <c r="I47" i="10"/>
  <c r="I49" i="10"/>
  <c r="S48" i="10"/>
  <c r="S49" i="10"/>
  <c r="S47" i="10"/>
  <c r="J48" i="10"/>
  <c r="J49" i="10"/>
  <c r="J47" i="10"/>
  <c r="K48" i="10"/>
  <c r="K49" i="10"/>
  <c r="K47" i="10"/>
  <c r="N49" i="10"/>
  <c r="N47" i="10"/>
  <c r="N48" i="10"/>
  <c r="O49" i="10"/>
  <c r="O47" i="10"/>
  <c r="O48" i="10"/>
  <c r="M49" i="10"/>
  <c r="M47" i="10"/>
  <c r="M48" i="10"/>
  <c r="Q48" i="10"/>
  <c r="Q49" i="10"/>
  <c r="Q47" i="10"/>
  <c r="N46" i="10"/>
  <c r="K162" i="10"/>
  <c r="K161" i="10"/>
  <c r="M161" i="10"/>
  <c r="M162" i="10"/>
  <c r="N162" i="10"/>
  <c r="N161" i="10"/>
  <c r="D161" i="10"/>
  <c r="D162" i="10"/>
  <c r="O162" i="10"/>
  <c r="O161" i="10"/>
  <c r="E161" i="10"/>
  <c r="E162" i="10"/>
  <c r="Q162" i="10"/>
  <c r="Q161" i="10"/>
  <c r="J161" i="10"/>
  <c r="J162" i="10"/>
  <c r="F162" i="10"/>
  <c r="F161" i="10"/>
  <c r="R161" i="10"/>
  <c r="R162" i="10"/>
  <c r="I161" i="10"/>
  <c r="I162" i="10"/>
  <c r="S161" i="10"/>
  <c r="S162" i="10"/>
  <c r="R129" i="10"/>
  <c r="R128" i="10"/>
  <c r="R130" i="10"/>
  <c r="I129" i="10"/>
  <c r="I128" i="10"/>
  <c r="I130" i="10"/>
  <c r="S128" i="10"/>
  <c r="S129" i="10"/>
  <c r="S130" i="10"/>
  <c r="D130" i="10"/>
  <c r="D128" i="10"/>
  <c r="D129" i="10"/>
  <c r="E130" i="10"/>
  <c r="E129" i="10"/>
  <c r="E128" i="10"/>
  <c r="J128" i="10"/>
  <c r="J129" i="10"/>
  <c r="J130" i="10"/>
  <c r="K128" i="10"/>
  <c r="K130" i="10"/>
  <c r="K129" i="10"/>
  <c r="M128" i="10"/>
  <c r="M130" i="10"/>
  <c r="M129" i="10"/>
  <c r="N130" i="10"/>
  <c r="N129" i="10"/>
  <c r="N128" i="10"/>
  <c r="Q129" i="10"/>
  <c r="Q130" i="10"/>
  <c r="Q128" i="10"/>
  <c r="O130" i="10"/>
  <c r="O128" i="10"/>
  <c r="O129" i="10"/>
  <c r="G130" i="10"/>
  <c r="G128" i="10"/>
  <c r="G129" i="10"/>
  <c r="F130" i="10"/>
  <c r="F128" i="10"/>
  <c r="F129" i="10"/>
  <c r="G14" i="8"/>
  <c r="S14" i="8"/>
  <c r="AD13" i="8"/>
  <c r="Q127" i="10"/>
  <c r="N127" i="10"/>
  <c r="R127" i="10"/>
  <c r="L124" i="10"/>
  <c r="G14" i="10"/>
  <c r="F127" i="10"/>
  <c r="I127" i="10"/>
  <c r="G127" i="10"/>
  <c r="O127" i="10"/>
  <c r="J127" i="10"/>
  <c r="S127" i="10"/>
  <c r="K127" i="10"/>
  <c r="E127" i="10"/>
  <c r="M127" i="10"/>
  <c r="D127" i="10"/>
  <c r="P124" i="10"/>
  <c r="J46" i="10"/>
  <c r="O46" i="10"/>
  <c r="E46" i="10"/>
  <c r="F46" i="10"/>
  <c r="I46" i="10"/>
  <c r="Q46" i="10"/>
  <c r="G46" i="10"/>
  <c r="K46" i="10"/>
  <c r="S46" i="10"/>
  <c r="R46" i="10"/>
  <c r="D46" i="10"/>
  <c r="M46" i="10"/>
  <c r="P43" i="10"/>
  <c r="L43" i="10"/>
  <c r="G18" i="10"/>
  <c r="S19" i="10"/>
  <c r="AB19" i="10" s="1"/>
  <c r="G17" i="10"/>
  <c r="S18" i="10"/>
  <c r="AB18" i="10" s="1"/>
  <c r="AD132" i="8"/>
  <c r="U127" i="8"/>
  <c r="W127" i="8"/>
  <c r="AA127" i="8"/>
  <c r="X127" i="8"/>
  <c r="AD127" i="8" s="1"/>
  <c r="Z127" i="8"/>
  <c r="AB118" i="8"/>
  <c r="Z117" i="8"/>
  <c r="AB117" i="8"/>
  <c r="V117" i="8"/>
  <c r="U118" i="8"/>
  <c r="W117" i="8"/>
  <c r="X118" i="8"/>
  <c r="V118" i="8"/>
  <c r="AA116" i="8"/>
  <c r="W118" i="8"/>
  <c r="U116" i="8"/>
  <c r="Y118" i="8"/>
  <c r="X117" i="8"/>
  <c r="AB113" i="8"/>
  <c r="X113" i="8"/>
  <c r="Z113" i="8"/>
  <c r="U113" i="8"/>
  <c r="W113" i="8"/>
  <c r="AD83" i="8"/>
  <c r="AD82" i="8"/>
  <c r="AD84" i="8"/>
  <c r="AD71" i="8"/>
  <c r="AD66" i="8"/>
  <c r="AD56" i="8"/>
  <c r="AD57" i="8"/>
  <c r="AB32" i="8"/>
  <c r="AB100" i="8" s="1"/>
  <c r="AD25" i="8"/>
  <c r="AD26" i="8"/>
  <c r="W114" i="8"/>
  <c r="AD27" i="8"/>
  <c r="AA123" i="8"/>
  <c r="X114" i="8"/>
  <c r="AD19" i="8"/>
  <c r="U119" i="8"/>
  <c r="AD18" i="8"/>
  <c r="V119" i="8"/>
  <c r="Z131" i="8"/>
  <c r="Y114" i="8"/>
  <c r="W119" i="8"/>
  <c r="U123" i="8"/>
  <c r="AA131" i="8"/>
  <c r="X119" i="8"/>
  <c r="AD119" i="8" s="1"/>
  <c r="AA114" i="8"/>
  <c r="Y119" i="8"/>
  <c r="W123" i="8"/>
  <c r="U131" i="8"/>
  <c r="X123" i="8"/>
  <c r="U114" i="8"/>
  <c r="AA119" i="8"/>
  <c r="Y123" i="8"/>
  <c r="W131" i="8"/>
  <c r="X131" i="8"/>
  <c r="AD20" i="11"/>
  <c r="E85" i="10"/>
  <c r="E26" i="10" s="1"/>
  <c r="K85" i="10"/>
  <c r="K26" i="10" s="1"/>
  <c r="O85" i="10"/>
  <c r="O26" i="10" s="1"/>
  <c r="V139" i="8"/>
  <c r="AD51" i="8"/>
  <c r="AD72" i="8"/>
  <c r="AD58" i="8"/>
  <c r="P4" i="10"/>
  <c r="Y4" i="10" s="1"/>
  <c r="Z139" i="8"/>
  <c r="S70" i="11"/>
  <c r="S73" i="11" s="1"/>
  <c r="S82" i="11" s="1"/>
  <c r="L4" i="11"/>
  <c r="U4" i="11" s="1"/>
  <c r="S135" i="8"/>
  <c r="S73" i="8"/>
  <c r="AB70" i="11"/>
  <c r="AB73" i="11" s="1"/>
  <c r="N85" i="10"/>
  <c r="N26" i="10" s="1"/>
  <c r="F85" i="10"/>
  <c r="F26" i="10" s="1"/>
  <c r="J85" i="10"/>
  <c r="J26" i="10" s="1"/>
  <c r="Q85" i="10"/>
  <c r="D85" i="10"/>
  <c r="D26" i="10" s="1"/>
  <c r="S85" i="10"/>
  <c r="R85" i="10"/>
  <c r="M85" i="10"/>
  <c r="M26" i="10" s="1"/>
  <c r="I85" i="10"/>
  <c r="I26" i="10" s="1"/>
  <c r="G85" i="10"/>
  <c r="G26" i="10" s="1"/>
  <c r="Y54" i="11"/>
  <c r="S54" i="11"/>
  <c r="S16" i="10"/>
  <c r="J70" i="11"/>
  <c r="I10" i="11"/>
  <c r="I15" i="11" s="1"/>
  <c r="I22" i="11" s="1"/>
  <c r="F10" i="11"/>
  <c r="F15" i="11" s="1"/>
  <c r="G10" i="11"/>
  <c r="G15" i="11" s="1"/>
  <c r="G67" i="8"/>
  <c r="G62" i="11" s="1"/>
  <c r="AD50" i="8"/>
  <c r="D10" i="11"/>
  <c r="D11" i="11" s="1"/>
  <c r="J54" i="11"/>
  <c r="K54" i="11"/>
  <c r="E54" i="11"/>
  <c r="V70" i="11"/>
  <c r="D54" i="11"/>
  <c r="I54" i="11"/>
  <c r="Q70" i="11"/>
  <c r="R70" i="11"/>
  <c r="N54" i="11"/>
  <c r="F54" i="11"/>
  <c r="M54" i="11"/>
  <c r="Z54" i="11"/>
  <c r="Z70" i="11"/>
  <c r="AB54" i="11"/>
  <c r="V54" i="11"/>
  <c r="G73" i="11"/>
  <c r="G82" i="11" s="1"/>
  <c r="G54" i="11"/>
  <c r="R54" i="11"/>
  <c r="O54" i="11"/>
  <c r="Q54" i="11"/>
  <c r="Q139" i="8"/>
  <c r="G16" i="10"/>
  <c r="P36" i="11" l="1"/>
  <c r="AB36" i="11" s="1"/>
  <c r="X37" i="11"/>
  <c r="Z150" i="8"/>
  <c r="W151" i="8"/>
  <c r="U37" i="11"/>
  <c r="W39" i="11"/>
  <c r="AA31" i="11"/>
  <c r="AD30" i="11"/>
  <c r="W116" i="8"/>
  <c r="Y69" i="11"/>
  <c r="Y70" i="11" s="1"/>
  <c r="Z25" i="11"/>
  <c r="AD31" i="11"/>
  <c r="T36" i="11"/>
  <c r="Z36" i="11"/>
  <c r="AA35" i="11"/>
  <c r="Y35" i="11"/>
  <c r="Z35" i="11"/>
  <c r="Y116" i="8"/>
  <c r="X35" i="11"/>
  <c r="W150" i="8"/>
  <c r="AB29" i="11"/>
  <c r="Y29" i="11"/>
  <c r="AA29" i="11"/>
  <c r="Y25" i="11"/>
  <c r="Y150" i="8"/>
  <c r="Z31" i="11"/>
  <c r="Y31" i="11"/>
  <c r="V37" i="11"/>
  <c r="AA25" i="11"/>
  <c r="W37" i="11"/>
  <c r="X39" i="11"/>
  <c r="Z29" i="11"/>
  <c r="V39" i="11"/>
  <c r="AA36" i="11"/>
  <c r="AA30" i="11"/>
  <c r="Z30" i="11"/>
  <c r="Y30" i="11"/>
  <c r="R26" i="10"/>
  <c r="R86" i="10"/>
  <c r="S26" i="10"/>
  <c r="S86" i="10"/>
  <c r="S44" i="10"/>
  <c r="AB27" i="10"/>
  <c r="Q26" i="10"/>
  <c r="Q86" i="10"/>
  <c r="P39" i="11"/>
  <c r="AB39" i="11" s="1"/>
  <c r="X116" i="8"/>
  <c r="AD116" i="8" s="1"/>
  <c r="S90" i="8"/>
  <c r="S92" i="8" s="1"/>
  <c r="S63" i="11"/>
  <c r="AB63" i="11" s="1"/>
  <c r="Z112" i="8"/>
  <c r="W112" i="8"/>
  <c r="L36" i="11"/>
  <c r="X36" i="11" s="1"/>
  <c r="V150" i="8"/>
  <c r="U150" i="8"/>
  <c r="X112" i="8"/>
  <c r="AD112" i="8" s="1"/>
  <c r="Y151" i="8"/>
  <c r="P37" i="11"/>
  <c r="AB37" i="11" s="1"/>
  <c r="Z151" i="8"/>
  <c r="C27" i="11"/>
  <c r="C106" i="10"/>
  <c r="X27" i="10"/>
  <c r="U27" i="10"/>
  <c r="V27" i="10"/>
  <c r="Y27" i="10"/>
  <c r="I106" i="10"/>
  <c r="I114" i="10"/>
  <c r="I115" i="10" s="1"/>
  <c r="L26" i="10"/>
  <c r="W26" i="10" s="1"/>
  <c r="L25" i="10"/>
  <c r="W25" i="10" s="1"/>
  <c r="AA27" i="10"/>
  <c r="Z27" i="10"/>
  <c r="P137" i="10"/>
  <c r="P140" i="10" s="1"/>
  <c r="P141" i="10" s="1"/>
  <c r="AB133" i="10"/>
  <c r="AA133" i="10"/>
  <c r="AA137" i="10" s="1"/>
  <c r="AA140" i="10" s="1"/>
  <c r="Y133" i="10"/>
  <c r="Y137" i="10" s="1"/>
  <c r="Y140" i="10" s="1"/>
  <c r="Z133" i="10"/>
  <c r="Z137" i="10" s="1"/>
  <c r="Z140" i="10" s="1"/>
  <c r="P26" i="10"/>
  <c r="AB26" i="10" s="1"/>
  <c r="L98" i="10"/>
  <c r="L101" i="10" s="1"/>
  <c r="L105" i="10" s="1"/>
  <c r="L106" i="10" s="1"/>
  <c r="V94" i="10"/>
  <c r="V98" i="10" s="1"/>
  <c r="V101" i="10" s="1"/>
  <c r="X94" i="10"/>
  <c r="X98" i="10" s="1"/>
  <c r="X101" i="10" s="1"/>
  <c r="W94" i="10"/>
  <c r="W98" i="10" s="1"/>
  <c r="W101" i="10" s="1"/>
  <c r="W102" i="10" s="1"/>
  <c r="U94" i="10"/>
  <c r="U98" i="10" s="1"/>
  <c r="U101" i="10" s="1"/>
  <c r="P98" i="10"/>
  <c r="P101" i="10" s="1"/>
  <c r="P102" i="10" s="1"/>
  <c r="AB94" i="10"/>
  <c r="AB98" i="10" s="1"/>
  <c r="AB101" i="10" s="1"/>
  <c r="Y94" i="10"/>
  <c r="Y98" i="10" s="1"/>
  <c r="Y101" i="10" s="1"/>
  <c r="Z94" i="10"/>
  <c r="Z98" i="10" s="1"/>
  <c r="Z101" i="10" s="1"/>
  <c r="Z105" i="10" s="1"/>
  <c r="Z106" i="10" s="1"/>
  <c r="AA94" i="10"/>
  <c r="AA98" i="10" s="1"/>
  <c r="AA101" i="10" s="1"/>
  <c r="AA105" i="10" s="1"/>
  <c r="P25" i="10"/>
  <c r="AB25" i="10" s="1"/>
  <c r="L56" i="10"/>
  <c r="L59" i="10" s="1"/>
  <c r="L60" i="10" s="1"/>
  <c r="W52" i="10"/>
  <c r="W56" i="10" s="1"/>
  <c r="W59" i="10" s="1"/>
  <c r="W60" i="10" s="1"/>
  <c r="V52" i="10"/>
  <c r="V56" i="10" s="1"/>
  <c r="V59" i="10" s="1"/>
  <c r="V60" i="10" s="1"/>
  <c r="U52" i="10"/>
  <c r="U56" i="10" s="1"/>
  <c r="U59" i="10" s="1"/>
  <c r="U60" i="10" s="1"/>
  <c r="X52" i="10"/>
  <c r="X56" i="10" s="1"/>
  <c r="X59" i="10" s="1"/>
  <c r="X60" i="10" s="1"/>
  <c r="X193" i="10"/>
  <c r="O29" i="10"/>
  <c r="C34" i="10"/>
  <c r="C30" i="10"/>
  <c r="C32" i="10"/>
  <c r="N29" i="10"/>
  <c r="C100" i="8"/>
  <c r="C120" i="8" s="1"/>
  <c r="C144" i="8" s="1"/>
  <c r="C145" i="8" s="1"/>
  <c r="C147" i="8" s="1"/>
  <c r="C36" i="8"/>
  <c r="V193" i="10"/>
  <c r="AB193" i="10"/>
  <c r="R29" i="10"/>
  <c r="V194" i="10"/>
  <c r="AB194" i="10"/>
  <c r="K29" i="10"/>
  <c r="Y194" i="10"/>
  <c r="AA193" i="10"/>
  <c r="I29" i="10"/>
  <c r="U194" i="10"/>
  <c r="Z194" i="10"/>
  <c r="W194" i="10"/>
  <c r="J29" i="10"/>
  <c r="M29" i="10"/>
  <c r="S29" i="10"/>
  <c r="S30" i="10" s="1"/>
  <c r="Q29" i="10"/>
  <c r="P49" i="10"/>
  <c r="S33" i="10"/>
  <c r="AB33" i="10" s="1"/>
  <c r="L47" i="10"/>
  <c r="E29" i="10"/>
  <c r="G33" i="10"/>
  <c r="G29" i="10"/>
  <c r="G30" i="10" s="1"/>
  <c r="F29" i="10"/>
  <c r="D29" i="10"/>
  <c r="O145" i="10"/>
  <c r="Q145" i="10"/>
  <c r="I153" i="10"/>
  <c r="I154" i="10" s="1"/>
  <c r="F145" i="10"/>
  <c r="R145" i="10"/>
  <c r="U137" i="10"/>
  <c r="U140" i="10" s="1"/>
  <c r="U141" i="10" s="1"/>
  <c r="W137" i="10"/>
  <c r="W140" i="10" s="1"/>
  <c r="L144" i="10"/>
  <c r="L141" i="10"/>
  <c r="V137" i="10"/>
  <c r="V140" i="10" s="1"/>
  <c r="X137" i="10"/>
  <c r="X140" i="10" s="1"/>
  <c r="R114" i="10"/>
  <c r="R115" i="10" s="1"/>
  <c r="E114" i="10"/>
  <c r="E115" i="10" s="1"/>
  <c r="N114" i="10"/>
  <c r="N115" i="10" s="1"/>
  <c r="J114" i="10"/>
  <c r="J115" i="10" s="1"/>
  <c r="L162" i="10"/>
  <c r="O114" i="10"/>
  <c r="O115" i="10" s="1"/>
  <c r="AA159" i="10"/>
  <c r="X159" i="10"/>
  <c r="S114" i="10"/>
  <c r="S115" i="10" s="1"/>
  <c r="S106" i="10"/>
  <c r="W159" i="10"/>
  <c r="V159" i="10"/>
  <c r="Q114" i="10"/>
  <c r="Q115" i="10" s="1"/>
  <c r="Q106" i="10"/>
  <c r="Y159" i="10"/>
  <c r="G114" i="10"/>
  <c r="G115" i="10" s="1"/>
  <c r="G106" i="10"/>
  <c r="Z159" i="10"/>
  <c r="AB159" i="10"/>
  <c r="U159" i="10"/>
  <c r="E75" i="10"/>
  <c r="E76" i="10" s="1"/>
  <c r="G75" i="10"/>
  <c r="G76" i="10" s="1"/>
  <c r="D75" i="10"/>
  <c r="D76" i="10" s="1"/>
  <c r="F75" i="10"/>
  <c r="F76" i="10" s="1"/>
  <c r="AA56" i="10"/>
  <c r="AA59" i="10" s="1"/>
  <c r="AA60" i="10" s="1"/>
  <c r="Z56" i="10"/>
  <c r="Z59" i="10" s="1"/>
  <c r="Z60" i="10" s="1"/>
  <c r="Y56" i="10"/>
  <c r="Y59" i="10" s="1"/>
  <c r="Y60" i="10" s="1"/>
  <c r="AB56" i="10"/>
  <c r="AB59" i="10" s="1"/>
  <c r="AB60" i="10" s="1"/>
  <c r="L48" i="10"/>
  <c r="P47" i="10"/>
  <c r="P48" i="10"/>
  <c r="L49" i="10"/>
  <c r="O63" i="10"/>
  <c r="O64" i="10" s="1"/>
  <c r="K63" i="10"/>
  <c r="K64" i="10" s="1"/>
  <c r="S63" i="10"/>
  <c r="S64" i="10" s="1"/>
  <c r="I63" i="10"/>
  <c r="I64" i="10" s="1"/>
  <c r="R63" i="10"/>
  <c r="R64" i="10" s="1"/>
  <c r="N63" i="10"/>
  <c r="N64" i="10" s="1"/>
  <c r="Q63" i="10"/>
  <c r="Q64" i="10" s="1"/>
  <c r="M63" i="10"/>
  <c r="M64" i="10" s="1"/>
  <c r="J63" i="10"/>
  <c r="J64" i="10" s="1"/>
  <c r="L46" i="10"/>
  <c r="L161" i="10"/>
  <c r="G162" i="10"/>
  <c r="G161" i="10"/>
  <c r="P130" i="10"/>
  <c r="Z124" i="10"/>
  <c r="Z125" i="10" s="1"/>
  <c r="L128" i="10"/>
  <c r="L129" i="10"/>
  <c r="L130" i="10"/>
  <c r="P128" i="10"/>
  <c r="P129" i="10"/>
  <c r="D90" i="10"/>
  <c r="D89" i="10"/>
  <c r="D91" i="10"/>
  <c r="R89" i="10"/>
  <c r="R91" i="10"/>
  <c r="R90" i="10"/>
  <c r="I91" i="10"/>
  <c r="I89" i="10"/>
  <c r="I90" i="10"/>
  <c r="Q90" i="10"/>
  <c r="Q89" i="10"/>
  <c r="Q91" i="10"/>
  <c r="E90" i="10"/>
  <c r="E89" i="10"/>
  <c r="E91" i="10"/>
  <c r="M91" i="10"/>
  <c r="M90" i="10"/>
  <c r="M89" i="10"/>
  <c r="J89" i="10"/>
  <c r="J91" i="10"/>
  <c r="J90" i="10"/>
  <c r="K91" i="10"/>
  <c r="K89" i="10"/>
  <c r="K90" i="10"/>
  <c r="S89" i="10"/>
  <c r="S91" i="10"/>
  <c r="S90" i="10"/>
  <c r="N91" i="10"/>
  <c r="N90" i="10"/>
  <c r="N89" i="10"/>
  <c r="O90" i="10"/>
  <c r="O89" i="10"/>
  <c r="O91" i="10"/>
  <c r="F91" i="10"/>
  <c r="F90" i="10"/>
  <c r="F89" i="10"/>
  <c r="G90" i="10"/>
  <c r="G91" i="10"/>
  <c r="G89" i="10"/>
  <c r="AB36" i="8"/>
  <c r="S15" i="8"/>
  <c r="S21" i="8"/>
  <c r="G15" i="8"/>
  <c r="G21" i="8"/>
  <c r="G28" i="8" s="1"/>
  <c r="G32" i="8" s="1"/>
  <c r="L127" i="10"/>
  <c r="P127" i="10"/>
  <c r="X124" i="10"/>
  <c r="R88" i="10"/>
  <c r="D88" i="10"/>
  <c r="U124" i="10"/>
  <c r="V124" i="10"/>
  <c r="W124" i="10"/>
  <c r="Y124" i="10"/>
  <c r="V43" i="10"/>
  <c r="P46" i="10"/>
  <c r="Z43" i="10"/>
  <c r="Y43" i="10"/>
  <c r="U43" i="10"/>
  <c r="X43" i="10"/>
  <c r="AB43" i="10"/>
  <c r="AB44" i="10" s="1"/>
  <c r="AA43" i="10"/>
  <c r="W43" i="10"/>
  <c r="Z13" i="10"/>
  <c r="AA13" i="10"/>
  <c r="V13" i="10"/>
  <c r="U13" i="10"/>
  <c r="AD118" i="8"/>
  <c r="AD117" i="8"/>
  <c r="AD113" i="8"/>
  <c r="AD34" i="8"/>
  <c r="AA32" i="8"/>
  <c r="AD31" i="8"/>
  <c r="AA54" i="11"/>
  <c r="AD20" i="8"/>
  <c r="AB103" i="8"/>
  <c r="AB120" i="8" s="1"/>
  <c r="AA103" i="8"/>
  <c r="AA70" i="11"/>
  <c r="E10" i="11"/>
  <c r="E15" i="11" s="1"/>
  <c r="E16" i="11" s="1"/>
  <c r="R10" i="11"/>
  <c r="R15" i="11" s="1"/>
  <c r="R22" i="11" s="1"/>
  <c r="K10" i="11"/>
  <c r="K15" i="11" s="1"/>
  <c r="K16" i="11" s="1"/>
  <c r="E88" i="10"/>
  <c r="J88" i="10"/>
  <c r="Q10" i="11"/>
  <c r="O10" i="11"/>
  <c r="J10" i="11"/>
  <c r="J15" i="11" s="1"/>
  <c r="J22" i="11" s="1"/>
  <c r="N10" i="11"/>
  <c r="O88" i="10"/>
  <c r="M10" i="11"/>
  <c r="M15" i="11" s="1"/>
  <c r="N88" i="10"/>
  <c r="W13" i="10"/>
  <c r="K88" i="10"/>
  <c r="S10" i="11"/>
  <c r="S15" i="11" s="1"/>
  <c r="S16" i="11" s="1"/>
  <c r="Q88" i="10"/>
  <c r="AD114" i="8"/>
  <c r="X70" i="11"/>
  <c r="U70" i="11"/>
  <c r="S128" i="8"/>
  <c r="O70" i="11"/>
  <c r="F88" i="10"/>
  <c r="X13" i="10"/>
  <c r="Y13" i="10"/>
  <c r="L85" i="10"/>
  <c r="G88" i="10"/>
  <c r="S88" i="10"/>
  <c r="M88" i="10"/>
  <c r="I88" i="10"/>
  <c r="P85" i="10"/>
  <c r="D15" i="11"/>
  <c r="D16" i="11" s="1"/>
  <c r="M70" i="11"/>
  <c r="G11" i="11"/>
  <c r="G73" i="8"/>
  <c r="L70" i="11"/>
  <c r="I16" i="11"/>
  <c r="P70" i="11"/>
  <c r="F16" i="11"/>
  <c r="F22" i="11"/>
  <c r="G16" i="11"/>
  <c r="G22" i="11"/>
  <c r="AB82" i="11"/>
  <c r="I26" i="11"/>
  <c r="I32" i="11" s="1"/>
  <c r="I23" i="11"/>
  <c r="Y36" i="11" l="1"/>
  <c r="AA37" i="11"/>
  <c r="Y39" i="11"/>
  <c r="Z39" i="11"/>
  <c r="V36" i="11"/>
  <c r="Y37" i="11"/>
  <c r="W36" i="11"/>
  <c r="AA39" i="11"/>
  <c r="Z37" i="11"/>
  <c r="U36" i="11"/>
  <c r="G90" i="8"/>
  <c r="G92" i="8" s="1"/>
  <c r="G63" i="11"/>
  <c r="J16" i="11"/>
  <c r="C81" i="11" a="1"/>
  <c r="C81" i="11" s="1"/>
  <c r="C80" i="11" a="1"/>
  <c r="C80" i="11" s="1"/>
  <c r="C40" i="11"/>
  <c r="C48" i="11" s="1"/>
  <c r="C79" i="11"/>
  <c r="C33" i="11"/>
  <c r="C77" i="11"/>
  <c r="C78" i="11"/>
  <c r="AA26" i="10"/>
  <c r="AA36" i="8"/>
  <c r="AA39" i="8" s="1"/>
  <c r="AA100" i="8"/>
  <c r="AA120" i="8" s="1"/>
  <c r="U26" i="10"/>
  <c r="V26" i="10"/>
  <c r="X26" i="10"/>
  <c r="U25" i="10"/>
  <c r="V25" i="10"/>
  <c r="X25" i="10"/>
  <c r="Y26" i="10"/>
  <c r="Y25" i="10"/>
  <c r="P144" i="10"/>
  <c r="P145" i="10" s="1"/>
  <c r="P105" i="10"/>
  <c r="P106" i="10" s="1"/>
  <c r="L102" i="10"/>
  <c r="Z26" i="10"/>
  <c r="AA25" i="10"/>
  <c r="AA44" i="10" s="1"/>
  <c r="Z25" i="10"/>
  <c r="Z44" i="10" s="1"/>
  <c r="D138" i="8"/>
  <c r="C42" i="8"/>
  <c r="C39" i="8"/>
  <c r="G36" i="8"/>
  <c r="G39" i="8" s="1"/>
  <c r="G100" i="8"/>
  <c r="X47" i="10"/>
  <c r="U46" i="10"/>
  <c r="Y46" i="10"/>
  <c r="Z46" i="10"/>
  <c r="W49" i="10"/>
  <c r="AA46" i="10"/>
  <c r="V47" i="10"/>
  <c r="AB46" i="10"/>
  <c r="D32" i="10"/>
  <c r="D34" i="10"/>
  <c r="D33" i="10"/>
  <c r="P29" i="10"/>
  <c r="L29" i="10"/>
  <c r="D183" i="10"/>
  <c r="N183" i="10"/>
  <c r="M183" i="10"/>
  <c r="R183" i="10"/>
  <c r="E183" i="10"/>
  <c r="J183" i="10"/>
  <c r="Q183" i="10"/>
  <c r="O183" i="10"/>
  <c r="I183" i="10"/>
  <c r="K183" i="10"/>
  <c r="S183" i="10"/>
  <c r="U144" i="10"/>
  <c r="U153" i="10" s="1"/>
  <c r="U154" i="10" s="1"/>
  <c r="AA144" i="10"/>
  <c r="AA141" i="10"/>
  <c r="Z144" i="10"/>
  <c r="Z141" i="10"/>
  <c r="AB124" i="10"/>
  <c r="AB137" i="10"/>
  <c r="AB140" i="10" s="1"/>
  <c r="X144" i="10"/>
  <c r="X141" i="10"/>
  <c r="V141" i="10"/>
  <c r="V144" i="10"/>
  <c r="Y144" i="10"/>
  <c r="Y141" i="10"/>
  <c r="W141" i="10"/>
  <c r="W144" i="10"/>
  <c r="L153" i="10"/>
  <c r="L154" i="10" s="1"/>
  <c r="L145" i="10"/>
  <c r="V162" i="10"/>
  <c r="W105" i="10"/>
  <c r="W106" i="10" s="1"/>
  <c r="AB162" i="10"/>
  <c r="AA162" i="10"/>
  <c r="AA114" i="10"/>
  <c r="AA115" i="10" s="1"/>
  <c r="AA106" i="10"/>
  <c r="Z102" i="10"/>
  <c r="AA102" i="10"/>
  <c r="X105" i="10"/>
  <c r="X106" i="10" s="1"/>
  <c r="X102" i="10"/>
  <c r="V102" i="10"/>
  <c r="V105" i="10"/>
  <c r="V106" i="10" s="1"/>
  <c r="U105" i="10"/>
  <c r="U106" i="10" s="1"/>
  <c r="U102" i="10"/>
  <c r="AB105" i="10"/>
  <c r="AB106" i="10" s="1"/>
  <c r="AB102" i="10"/>
  <c r="Z114" i="10"/>
  <c r="Z115" i="10" s="1"/>
  <c r="L114" i="10"/>
  <c r="L115" i="10" s="1"/>
  <c r="Y102" i="10"/>
  <c r="Y105" i="10"/>
  <c r="Y106" i="10" s="1"/>
  <c r="Q75" i="10"/>
  <c r="Q76" i="10" s="1"/>
  <c r="N75" i="10"/>
  <c r="N76" i="10" s="1"/>
  <c r="M75" i="10"/>
  <c r="M76" i="10" s="1"/>
  <c r="I75" i="10"/>
  <c r="I76" i="10" s="1"/>
  <c r="R75" i="10"/>
  <c r="R76" i="10" s="1"/>
  <c r="S75" i="10"/>
  <c r="S76" i="10" s="1"/>
  <c r="O75" i="10"/>
  <c r="O76" i="10" s="1"/>
  <c r="J75" i="10"/>
  <c r="J76" i="10" s="1"/>
  <c r="K75" i="10"/>
  <c r="K76" i="10" s="1"/>
  <c r="AB47" i="10"/>
  <c r="AB49" i="10"/>
  <c r="U49" i="10"/>
  <c r="U47" i="10"/>
  <c r="U48" i="10"/>
  <c r="X48" i="10"/>
  <c r="Z49" i="10"/>
  <c r="W47" i="10"/>
  <c r="Y48" i="10"/>
  <c r="W48" i="10"/>
  <c r="Z47" i="10"/>
  <c r="AB48" i="10"/>
  <c r="Y47" i="10"/>
  <c r="V49" i="10"/>
  <c r="Z48" i="10"/>
  <c r="AA49" i="10"/>
  <c r="V48" i="10"/>
  <c r="X49" i="10"/>
  <c r="Y49" i="10"/>
  <c r="AA47" i="10"/>
  <c r="AA48" i="10"/>
  <c r="Z127" i="10"/>
  <c r="Z130" i="10"/>
  <c r="Z129" i="10"/>
  <c r="U161" i="10"/>
  <c r="AA161" i="10"/>
  <c r="AB161" i="10"/>
  <c r="V161" i="10"/>
  <c r="P161" i="10"/>
  <c r="P162" i="10"/>
  <c r="U162" i="10"/>
  <c r="W130" i="10"/>
  <c r="Z128" i="10"/>
  <c r="U128" i="10"/>
  <c r="U129" i="10"/>
  <c r="V128" i="10"/>
  <c r="V129" i="10"/>
  <c r="U130" i="10"/>
  <c r="V130" i="10"/>
  <c r="AA124" i="10"/>
  <c r="AA125" i="10" s="1"/>
  <c r="Y128" i="10"/>
  <c r="Y129" i="10"/>
  <c r="X128" i="10"/>
  <c r="X129" i="10"/>
  <c r="X130" i="10"/>
  <c r="W128" i="10"/>
  <c r="W129" i="10"/>
  <c r="Y130" i="10"/>
  <c r="L89" i="10"/>
  <c r="L91" i="10"/>
  <c r="L90" i="10"/>
  <c r="P89" i="10"/>
  <c r="P90" i="10"/>
  <c r="P91" i="10"/>
  <c r="AB42" i="8"/>
  <c r="AB39" i="8"/>
  <c r="G22" i="8"/>
  <c r="S28" i="8"/>
  <c r="S22" i="8"/>
  <c r="X127" i="10"/>
  <c r="Y127" i="10"/>
  <c r="W127" i="10"/>
  <c r="U127" i="10"/>
  <c r="V127" i="10"/>
  <c r="X46" i="10"/>
  <c r="V46" i="10"/>
  <c r="W46" i="10"/>
  <c r="F11" i="11"/>
  <c r="M11" i="11"/>
  <c r="AD6" i="11"/>
  <c r="E11" i="11"/>
  <c r="R16" i="11"/>
  <c r="N11" i="11"/>
  <c r="Q11" i="11"/>
  <c r="J12" i="11"/>
  <c r="N12" i="11"/>
  <c r="K12" i="11"/>
  <c r="K22" i="11"/>
  <c r="K23" i="11" s="1"/>
  <c r="O11" i="11"/>
  <c r="R12" i="11"/>
  <c r="Q15" i="11"/>
  <c r="Q22" i="11" s="1"/>
  <c r="Q23" i="11" s="1"/>
  <c r="S12" i="11"/>
  <c r="R11" i="11"/>
  <c r="O15" i="11"/>
  <c r="O16" i="11" s="1"/>
  <c r="N15" i="11"/>
  <c r="N16" i="11" s="1"/>
  <c r="P10" i="11"/>
  <c r="P12" i="11" s="1"/>
  <c r="V85" i="10"/>
  <c r="O12" i="11"/>
  <c r="U85" i="10"/>
  <c r="S11" i="11"/>
  <c r="Y85" i="10"/>
  <c r="S22" i="11"/>
  <c r="S23" i="11" s="1"/>
  <c r="X85" i="10"/>
  <c r="L10" i="11"/>
  <c r="M12" i="11" s="1"/>
  <c r="L88" i="10"/>
  <c r="AD131" i="8"/>
  <c r="P88" i="10"/>
  <c r="W85" i="10"/>
  <c r="AB85" i="10"/>
  <c r="AB86" i="10" s="1"/>
  <c r="AA85" i="10"/>
  <c r="AA86" i="10" s="1"/>
  <c r="Z85" i="10"/>
  <c r="D22" i="11"/>
  <c r="D26" i="11" s="1"/>
  <c r="E22" i="11"/>
  <c r="E26" i="11" s="1"/>
  <c r="E32" i="11" s="1"/>
  <c r="F26" i="11"/>
  <c r="F32" i="11" s="1"/>
  <c r="F23" i="11"/>
  <c r="I27" i="11"/>
  <c r="G26" i="11"/>
  <c r="G32" i="11" s="1"/>
  <c r="G23" i="11"/>
  <c r="R26" i="11"/>
  <c r="R32" i="11" s="1"/>
  <c r="R23" i="11"/>
  <c r="M22" i="11"/>
  <c r="M16" i="11"/>
  <c r="J26" i="11"/>
  <c r="J32" i="11" s="1"/>
  <c r="J23" i="11"/>
  <c r="G29" i="8"/>
  <c r="AB129" i="10" l="1"/>
  <c r="AB125" i="10"/>
  <c r="Z86" i="10"/>
  <c r="D27" i="11"/>
  <c r="D32" i="11"/>
  <c r="D77" i="11" s="1"/>
  <c r="AA42" i="8"/>
  <c r="P114" i="10"/>
  <c r="P115" i="10" s="1"/>
  <c r="P153" i="10"/>
  <c r="P154" i="10" s="1"/>
  <c r="W29" i="10"/>
  <c r="G42" i="8"/>
  <c r="Y29" i="10"/>
  <c r="Z29" i="10"/>
  <c r="X29" i="10"/>
  <c r="AA29" i="10"/>
  <c r="AB29" i="10"/>
  <c r="V29" i="10"/>
  <c r="U29" i="10"/>
  <c r="AB130" i="10"/>
  <c r="F183" i="10"/>
  <c r="AB127" i="10"/>
  <c r="L183" i="10"/>
  <c r="G183" i="10"/>
  <c r="U145" i="10"/>
  <c r="AB128" i="10"/>
  <c r="V145" i="10"/>
  <c r="V153" i="10"/>
  <c r="V154" i="10" s="1"/>
  <c r="AB144" i="10"/>
  <c r="AB141" i="10"/>
  <c r="W153" i="10"/>
  <c r="W154" i="10" s="1"/>
  <c r="W145" i="10"/>
  <c r="Z153" i="10"/>
  <c r="Z154" i="10" s="1"/>
  <c r="Z145" i="10"/>
  <c r="Y145" i="10"/>
  <c r="Y153" i="10"/>
  <c r="Y154" i="10" s="1"/>
  <c r="X153" i="10"/>
  <c r="X154" i="10" s="1"/>
  <c r="X145" i="10"/>
  <c r="AA153" i="10"/>
  <c r="AA154" i="10" s="1"/>
  <c r="AA145" i="10"/>
  <c r="W114" i="10"/>
  <c r="W115" i="10" s="1"/>
  <c r="V114" i="10"/>
  <c r="V115" i="10" s="1"/>
  <c r="Y114" i="10"/>
  <c r="Y115" i="10" s="1"/>
  <c r="X114" i="10"/>
  <c r="X115" i="10" s="1"/>
  <c r="U114" i="10"/>
  <c r="U115" i="10" s="1"/>
  <c r="AB114" i="10"/>
  <c r="AB115" i="10" s="1"/>
  <c r="L63" i="10"/>
  <c r="L64" i="10" s="1"/>
  <c r="V63" i="10"/>
  <c r="V64" i="10" s="1"/>
  <c r="U63" i="10"/>
  <c r="U64" i="10" s="1"/>
  <c r="Y63" i="10"/>
  <c r="Y64" i="10" s="1"/>
  <c r="P63" i="10"/>
  <c r="P64" i="10" s="1"/>
  <c r="AA63" i="10"/>
  <c r="AA64" i="10" s="1"/>
  <c r="Z63" i="10"/>
  <c r="Z64" i="10" s="1"/>
  <c r="X63" i="10"/>
  <c r="X64" i="10" s="1"/>
  <c r="W63" i="10"/>
  <c r="W64" i="10" s="1"/>
  <c r="AB63" i="10"/>
  <c r="AB64" i="10" s="1"/>
  <c r="W161" i="10"/>
  <c r="W162" i="10"/>
  <c r="Z161" i="10"/>
  <c r="Z162" i="10"/>
  <c r="Y161" i="10"/>
  <c r="Y162" i="10"/>
  <c r="X161" i="10"/>
  <c r="X162" i="10"/>
  <c r="AA130" i="10"/>
  <c r="AA127" i="10"/>
  <c r="AA128" i="10"/>
  <c r="AA129" i="10"/>
  <c r="U89" i="10"/>
  <c r="U91" i="10"/>
  <c r="U90" i="10"/>
  <c r="V89" i="10"/>
  <c r="V90" i="10"/>
  <c r="V91" i="10"/>
  <c r="W89" i="10"/>
  <c r="W91" i="10"/>
  <c r="W90" i="10"/>
  <c r="Y89" i="10"/>
  <c r="Y91" i="10"/>
  <c r="Y90" i="10"/>
  <c r="X89" i="10"/>
  <c r="X90" i="10"/>
  <c r="X91" i="10"/>
  <c r="Z89" i="10"/>
  <c r="Z91" i="10"/>
  <c r="Z90" i="10"/>
  <c r="AA89" i="10"/>
  <c r="AA90" i="10"/>
  <c r="AA91" i="10"/>
  <c r="AB89" i="10"/>
  <c r="AB91" i="10"/>
  <c r="AB90" i="10"/>
  <c r="S32" i="8"/>
  <c r="S29" i="8"/>
  <c r="K26" i="11"/>
  <c r="N22" i="11"/>
  <c r="N26" i="11" s="1"/>
  <c r="N32" i="11" s="1"/>
  <c r="Q26" i="11"/>
  <c r="AA10" i="11"/>
  <c r="Q16" i="11"/>
  <c r="Q12" i="11"/>
  <c r="O22" i="11"/>
  <c r="O23" i="11" s="1"/>
  <c r="V88" i="10"/>
  <c r="X88" i="10"/>
  <c r="Y88" i="10"/>
  <c r="Y10" i="11"/>
  <c r="U10" i="11"/>
  <c r="U88" i="10"/>
  <c r="X10" i="11"/>
  <c r="S26" i="11"/>
  <c r="W10" i="11"/>
  <c r="Z10" i="11"/>
  <c r="V10" i="11"/>
  <c r="L12" i="11"/>
  <c r="AD7" i="11"/>
  <c r="AB10" i="11"/>
  <c r="AB15" i="11" s="1"/>
  <c r="AB16" i="11" s="1"/>
  <c r="P11" i="11"/>
  <c r="AD8" i="11"/>
  <c r="AD9" i="11"/>
  <c r="Z88" i="10"/>
  <c r="AB88" i="10"/>
  <c r="AA88" i="10"/>
  <c r="W88" i="10"/>
  <c r="D23" i="11"/>
  <c r="E23" i="11"/>
  <c r="I33" i="11"/>
  <c r="I40" i="11"/>
  <c r="E27" i="11"/>
  <c r="R27" i="11"/>
  <c r="J27" i="11"/>
  <c r="F27" i="11"/>
  <c r="M26" i="11"/>
  <c r="M32" i="11" s="1"/>
  <c r="M23" i="11"/>
  <c r="G27" i="11"/>
  <c r="S27" i="11" l="1"/>
  <c r="S32" i="11"/>
  <c r="S33" i="11" s="1"/>
  <c r="K27" i="11"/>
  <c r="K32" i="11"/>
  <c r="K40" i="11" s="1"/>
  <c r="K47" i="11" s="1"/>
  <c r="Q27" i="11"/>
  <c r="Q32" i="11"/>
  <c r="Q33" i="11" s="1"/>
  <c r="Y11" i="11"/>
  <c r="Z11" i="11"/>
  <c r="AA11" i="11"/>
  <c r="S36" i="8"/>
  <c r="S42" i="8" s="1"/>
  <c r="S100" i="8"/>
  <c r="S120" i="8" s="1"/>
  <c r="S144" i="8" s="1"/>
  <c r="AB144" i="8" s="1"/>
  <c r="U183" i="10"/>
  <c r="AA183" i="10"/>
  <c r="V183" i="10"/>
  <c r="AB183" i="10"/>
  <c r="AB145" i="10"/>
  <c r="AB153" i="10"/>
  <c r="AB154" i="10" s="1"/>
  <c r="AA75" i="10"/>
  <c r="AA76" i="10" s="1"/>
  <c r="Y75" i="10"/>
  <c r="Y76" i="10" s="1"/>
  <c r="U75" i="10"/>
  <c r="U76" i="10" s="1"/>
  <c r="P75" i="10"/>
  <c r="P76" i="10" s="1"/>
  <c r="W75" i="10"/>
  <c r="W76" i="10" s="1"/>
  <c r="L75" i="10"/>
  <c r="L76" i="10" s="1"/>
  <c r="AB75" i="10"/>
  <c r="AB76" i="10" s="1"/>
  <c r="V75" i="10"/>
  <c r="V76" i="10" s="1"/>
  <c r="X75" i="10"/>
  <c r="X76" i="10" s="1"/>
  <c r="Z75" i="10"/>
  <c r="Z76" i="10" s="1"/>
  <c r="G120" i="8"/>
  <c r="G144" i="8" s="1"/>
  <c r="N23" i="11"/>
  <c r="O26" i="11"/>
  <c r="AB22" i="11"/>
  <c r="AB26" i="11" s="1"/>
  <c r="AB32" i="11" s="1"/>
  <c r="AB11" i="11"/>
  <c r="AD10" i="11"/>
  <c r="D81" i="11" a="1"/>
  <c r="D81" i="11" s="1"/>
  <c r="D78" i="11"/>
  <c r="D80" i="11" a="1"/>
  <c r="D80" i="11" s="1"/>
  <c r="D33" i="11"/>
  <c r="D40" i="11"/>
  <c r="D79" i="11"/>
  <c r="G81" i="11" a="1"/>
  <c r="G81" i="11" s="1"/>
  <c r="G80" i="11" a="1"/>
  <c r="G80" i="11" s="1"/>
  <c r="G40" i="11"/>
  <c r="G47" i="11" s="1"/>
  <c r="G33" i="11"/>
  <c r="G79" i="11"/>
  <c r="G77" i="11"/>
  <c r="G78" i="11"/>
  <c r="R40" i="11"/>
  <c r="R47" i="11" s="1"/>
  <c r="R33" i="11"/>
  <c r="E81" i="11" a="1"/>
  <c r="E81" i="11" s="1"/>
  <c r="E40" i="11"/>
  <c r="E47" i="11" s="1"/>
  <c r="E77" i="11"/>
  <c r="E80" i="11" a="1"/>
  <c r="E80" i="11" s="1"/>
  <c r="E33" i="11"/>
  <c r="E79" i="11"/>
  <c r="E78" i="11"/>
  <c r="M27" i="11"/>
  <c r="F40" i="11"/>
  <c r="F47" i="11" s="1"/>
  <c r="F33" i="11"/>
  <c r="F81" i="11" a="1"/>
  <c r="F81" i="11" s="1"/>
  <c r="F79" i="11"/>
  <c r="F80" i="11" a="1"/>
  <c r="F80" i="11" s="1"/>
  <c r="F78" i="11"/>
  <c r="F77" i="11"/>
  <c r="N27" i="11"/>
  <c r="J33" i="11"/>
  <c r="J40" i="11"/>
  <c r="J47" i="11" s="1"/>
  <c r="I48" i="11" l="1"/>
  <c r="T47" i="11"/>
  <c r="AB77" i="11"/>
  <c r="AB79" i="11"/>
  <c r="O27" i="11"/>
  <c r="O32" i="11"/>
  <c r="O33" i="11" s="1"/>
  <c r="K33" i="11"/>
  <c r="Q40" i="11"/>
  <c r="S39" i="8"/>
  <c r="P183" i="10"/>
  <c r="D48" i="11"/>
  <c r="S40" i="11"/>
  <c r="S47" i="11" s="1"/>
  <c r="AD11" i="11"/>
  <c r="AB27" i="11"/>
  <c r="AB23" i="11"/>
  <c r="M40" i="11"/>
  <c r="M33" i="11"/>
  <c r="J48" i="11"/>
  <c r="G48" i="11"/>
  <c r="K48" i="11"/>
  <c r="N40" i="11"/>
  <c r="N47" i="11" s="1"/>
  <c r="N33" i="11"/>
  <c r="AB81" i="11" a="1"/>
  <c r="AB81" i="11" s="1"/>
  <c r="AB40" i="11"/>
  <c r="AB80" i="11" a="1"/>
  <c r="AB80" i="11" s="1"/>
  <c r="AB33" i="11"/>
  <c r="AB78" i="11"/>
  <c r="R48" i="11"/>
  <c r="F48" i="11"/>
  <c r="E48" i="11"/>
  <c r="O40" i="11" l="1"/>
  <c r="O47" i="11" s="1"/>
  <c r="Y183" i="10"/>
  <c r="X183" i="10"/>
  <c r="Z183" i="10"/>
  <c r="W183" i="10"/>
  <c r="S48" i="11"/>
  <c r="N48" i="11"/>
  <c r="O48" i="11" l="1"/>
  <c r="B2" i="10" l="1"/>
  <c r="B16" i="10"/>
  <c r="K13" i="10"/>
  <c r="E13" i="10"/>
  <c r="Q13" i="10"/>
  <c r="Q191" i="10" s="1"/>
  <c r="F13" i="10"/>
  <c r="R13" i="10"/>
  <c r="R191" i="10" s="1"/>
  <c r="P13" i="10"/>
  <c r="O13" i="10"/>
  <c r="N13" i="10"/>
  <c r="J13" i="10"/>
  <c r="D13" i="10"/>
  <c r="F139" i="8"/>
  <c r="I139" i="8" s="1"/>
  <c r="R30" i="10" l="1"/>
  <c r="D30" i="10"/>
  <c r="E30" i="10"/>
  <c r="J30" i="10"/>
  <c r="K30" i="10"/>
  <c r="F30" i="10"/>
  <c r="Q30" i="10"/>
  <c r="N30" i="10"/>
  <c r="O30" i="10"/>
  <c r="P30" i="10"/>
  <c r="F34" i="10"/>
  <c r="F33" i="10"/>
  <c r="E34" i="10"/>
  <c r="E33" i="10"/>
  <c r="J33" i="10"/>
  <c r="J34" i="10"/>
  <c r="K33" i="10"/>
  <c r="K34" i="10"/>
  <c r="R33" i="10"/>
  <c r="AA33" i="10" s="1"/>
  <c r="R34" i="10"/>
  <c r="AA34" i="10" s="1"/>
  <c r="Q34" i="10"/>
  <c r="Z34" i="10" s="1"/>
  <c r="Q33" i="10"/>
  <c r="Z33" i="10" s="1"/>
  <c r="N34" i="10"/>
  <c r="W34" i="10" s="1"/>
  <c r="N33" i="10"/>
  <c r="W33" i="10" s="1"/>
  <c r="O34" i="10"/>
  <c r="X34" i="10" s="1"/>
  <c r="O33" i="10"/>
  <c r="X33" i="10" s="1"/>
  <c r="P34" i="10"/>
  <c r="Y34" i="10" s="1"/>
  <c r="P33" i="10"/>
  <c r="Y33" i="10" s="1"/>
  <c r="P32" i="10"/>
  <c r="Y32" i="10" s="1"/>
  <c r="F32" i="10"/>
  <c r="R32" i="10"/>
  <c r="AA32" i="10" s="1"/>
  <c r="Q32" i="10"/>
  <c r="Z32" i="10" s="1"/>
  <c r="J32" i="10"/>
  <c r="K32" i="10"/>
  <c r="O32" i="10"/>
  <c r="X32" i="10" s="1"/>
  <c r="E32" i="10"/>
  <c r="N32" i="10"/>
  <c r="W32" i="10" s="1"/>
  <c r="Q17" i="10"/>
  <c r="Z17" i="10" s="1"/>
  <c r="Q19" i="10"/>
  <c r="Z19" i="10" s="1"/>
  <c r="Q18" i="10"/>
  <c r="Z18" i="10" s="1"/>
  <c r="O19" i="10"/>
  <c r="X19" i="10" s="1"/>
  <c r="O18" i="10"/>
  <c r="X18" i="10" s="1"/>
  <c r="O17" i="10"/>
  <c r="X17" i="10" s="1"/>
  <c r="R17" i="10"/>
  <c r="AA17" i="10" s="1"/>
  <c r="R18" i="10"/>
  <c r="AA18" i="10" s="1"/>
  <c r="R19" i="10"/>
  <c r="AA19" i="10" s="1"/>
  <c r="F19" i="10"/>
  <c r="F17" i="10"/>
  <c r="F18" i="10"/>
  <c r="D18" i="10"/>
  <c r="D19" i="10"/>
  <c r="D17" i="10"/>
  <c r="E18" i="10"/>
  <c r="E19" i="10"/>
  <c r="E17" i="10"/>
  <c r="J17" i="10"/>
  <c r="J18" i="10"/>
  <c r="J19" i="10"/>
  <c r="K17" i="10"/>
  <c r="K18" i="10"/>
  <c r="K19" i="10"/>
  <c r="N18" i="10"/>
  <c r="W18" i="10" s="1"/>
  <c r="N19" i="10"/>
  <c r="W19" i="10" s="1"/>
  <c r="N17" i="10"/>
  <c r="W17" i="10" s="1"/>
  <c r="P19" i="10"/>
  <c r="Y19" i="10" s="1"/>
  <c r="P18" i="10"/>
  <c r="Y18" i="10" s="1"/>
  <c r="P17" i="10"/>
  <c r="Y17" i="10" s="1"/>
  <c r="AD55" i="8"/>
  <c r="AD63" i="8"/>
  <c r="AD64" i="8"/>
  <c r="D16" i="10"/>
  <c r="J16" i="10"/>
  <c r="F16" i="10"/>
  <c r="N16" i="10"/>
  <c r="W16" i="10" s="1"/>
  <c r="O16" i="10"/>
  <c r="X16" i="10" s="1"/>
  <c r="Q16" i="10"/>
  <c r="Z16" i="10" s="1"/>
  <c r="E16" i="10"/>
  <c r="P16" i="10"/>
  <c r="Y16" i="10" s="1"/>
  <c r="K16" i="10"/>
  <c r="R16" i="10"/>
  <c r="AA16" i="10" s="1"/>
  <c r="AB16" i="10"/>
  <c r="L13" i="10"/>
  <c r="AB13" i="10"/>
  <c r="I13" i="10"/>
  <c r="M13" i="10"/>
  <c r="M30" i="10" l="1"/>
  <c r="I30" i="10"/>
  <c r="L30" i="10"/>
  <c r="I33" i="10"/>
  <c r="I34" i="10"/>
  <c r="L34" i="10"/>
  <c r="U34" i="10" s="1"/>
  <c r="L33" i="10"/>
  <c r="U33" i="10" s="1"/>
  <c r="M34" i="10"/>
  <c r="V34" i="10" s="1"/>
  <c r="M33" i="10"/>
  <c r="V33" i="10" s="1"/>
  <c r="M32" i="10"/>
  <c r="V32" i="10" s="1"/>
  <c r="L32" i="10"/>
  <c r="U32" i="10" s="1"/>
  <c r="I32" i="10"/>
  <c r="L19" i="10"/>
  <c r="U19" i="10" s="1"/>
  <c r="L17" i="10"/>
  <c r="U17" i="10" s="1"/>
  <c r="L18" i="10"/>
  <c r="U18" i="10" s="1"/>
  <c r="M18" i="10"/>
  <c r="V18" i="10" s="1"/>
  <c r="M19" i="10"/>
  <c r="V19" i="10" s="1"/>
  <c r="M17" i="10"/>
  <c r="V17" i="10" s="1"/>
  <c r="I17" i="10"/>
  <c r="I18" i="10"/>
  <c r="I19" i="10"/>
  <c r="I16" i="10"/>
  <c r="M16" i="10"/>
  <c r="V16" i="10" s="1"/>
  <c r="L16" i="10"/>
  <c r="U16" i="10" s="1"/>
  <c r="AD49" i="8" l="1"/>
  <c r="F135" i="8"/>
  <c r="Q135" i="8"/>
  <c r="D135" i="8"/>
  <c r="V32" i="8" l="1"/>
  <c r="U32" i="8"/>
  <c r="Y32" i="8"/>
  <c r="X32" i="8"/>
  <c r="W32" i="8"/>
  <c r="Z32" i="8"/>
  <c r="W135" i="8"/>
  <c r="V135" i="8"/>
  <c r="U135" i="8"/>
  <c r="U54" i="11"/>
  <c r="AD65" i="8"/>
  <c r="AD85" i="8"/>
  <c r="AD70" i="8"/>
  <c r="R135" i="8"/>
  <c r="K135" i="8"/>
  <c r="E135" i="8"/>
  <c r="I135" i="8"/>
  <c r="J135" i="8"/>
  <c r="M135" i="8"/>
  <c r="N135" i="8"/>
  <c r="O135" i="8"/>
  <c r="W36" i="8" l="1"/>
  <c r="W100" i="8"/>
  <c r="Y36" i="8"/>
  <c r="Y42" i="8" s="1"/>
  <c r="Y100" i="8"/>
  <c r="V36" i="8"/>
  <c r="V39" i="8" s="1"/>
  <c r="V100" i="8"/>
  <c r="Z36" i="8"/>
  <c r="Z42" i="8" s="1"/>
  <c r="Z100" i="8"/>
  <c r="X36" i="8"/>
  <c r="AD36" i="8" s="1"/>
  <c r="X100" i="8"/>
  <c r="U36" i="8"/>
  <c r="U39" i="8" s="1"/>
  <c r="U100" i="8"/>
  <c r="AD32" i="8"/>
  <c r="W54" i="11"/>
  <c r="Q47" i="11"/>
  <c r="V103" i="8"/>
  <c r="U103" i="8"/>
  <c r="M47" i="11"/>
  <c r="AD37" i="11"/>
  <c r="AD35" i="11"/>
  <c r="AD36" i="11"/>
  <c r="P54" i="11"/>
  <c r="L54" i="11"/>
  <c r="AD24" i="8"/>
  <c r="P135" i="8"/>
  <c r="L135" i="8"/>
  <c r="Y39" i="8" l="1"/>
  <c r="U42" i="8"/>
  <c r="V120" i="8"/>
  <c r="X42" i="8"/>
  <c r="Z39" i="8"/>
  <c r="X39" i="8"/>
  <c r="V42" i="8"/>
  <c r="U120" i="8"/>
  <c r="Q48" i="11"/>
  <c r="M48" i="11"/>
  <c r="X54" i="11"/>
  <c r="X135" i="8"/>
  <c r="Z135" i="8"/>
  <c r="AB135" i="8"/>
  <c r="AA135" i="8"/>
  <c r="Y135" i="8"/>
  <c r="AD29" i="11" l="1"/>
  <c r="R86" i="8"/>
  <c r="R89" i="8" s="1"/>
  <c r="R72" i="11" s="1"/>
  <c r="AA72" i="11" s="1"/>
  <c r="AA73" i="11" s="1"/>
  <c r="AA82" i="11" s="1"/>
  <c r="Q86" i="8"/>
  <c r="Q89" i="8" s="1"/>
  <c r="Q72" i="11" s="1"/>
  <c r="Z72" i="11" s="1"/>
  <c r="O86" i="8"/>
  <c r="O89" i="8" s="1"/>
  <c r="O72" i="11" s="1"/>
  <c r="N86" i="8"/>
  <c r="N89" i="8" s="1"/>
  <c r="N72" i="11" s="1"/>
  <c r="U72" i="11" s="1"/>
  <c r="M86" i="8"/>
  <c r="M89" i="8" s="1"/>
  <c r="M72" i="11" s="1"/>
  <c r="K86" i="8"/>
  <c r="K89" i="8" s="1"/>
  <c r="K72" i="11" s="1"/>
  <c r="J86" i="8"/>
  <c r="J89" i="8" s="1"/>
  <c r="J72" i="11" s="1"/>
  <c r="I86" i="8"/>
  <c r="I89" i="8" s="1"/>
  <c r="I72" i="11" s="1"/>
  <c r="F86" i="8"/>
  <c r="F89" i="8" s="1"/>
  <c r="F72" i="11" s="1"/>
  <c r="E86" i="8"/>
  <c r="E89" i="8" s="1"/>
  <c r="E72" i="11" s="1"/>
  <c r="D86" i="8"/>
  <c r="D89" i="8" s="1"/>
  <c r="D72" i="11" s="1"/>
  <c r="W42" i="8"/>
  <c r="W39" i="8"/>
  <c r="X72" i="11" l="1"/>
  <c r="V72" i="11"/>
  <c r="I73" i="11"/>
  <c r="J73" i="11"/>
  <c r="K73" i="11"/>
  <c r="E73" i="11"/>
  <c r="E82" i="11" s="1"/>
  <c r="D73" i="11"/>
  <c r="D82" i="11" s="1"/>
  <c r="F73" i="11"/>
  <c r="F82" i="11" s="1"/>
  <c r="AA15" i="11"/>
  <c r="AA22" i="11" s="1"/>
  <c r="V73" i="11"/>
  <c r="V82" i="11" s="1"/>
  <c r="N73" i="11"/>
  <c r="N82" i="11" s="1"/>
  <c r="O73" i="11"/>
  <c r="O82" i="11" s="1"/>
  <c r="Z73" i="11"/>
  <c r="Z82" i="11" s="1"/>
  <c r="R73" i="11"/>
  <c r="R82" i="11" s="1"/>
  <c r="Q73" i="11"/>
  <c r="Q82" i="11" s="1"/>
  <c r="M73" i="11"/>
  <c r="M82" i="11" s="1"/>
  <c r="AD38" i="8"/>
  <c r="AD41" i="8"/>
  <c r="U86" i="8"/>
  <c r="U89" i="8" s="1"/>
  <c r="W86" i="8"/>
  <c r="W89" i="8" s="1"/>
  <c r="X86" i="8"/>
  <c r="X89" i="8" s="1"/>
  <c r="Y86" i="8"/>
  <c r="Y89" i="8" s="1"/>
  <c r="AA86" i="8"/>
  <c r="AA89" i="8" s="1"/>
  <c r="L86" i="8"/>
  <c r="L89" i="8" s="1"/>
  <c r="L72" i="11" s="1"/>
  <c r="V86" i="8"/>
  <c r="V89" i="8" s="1"/>
  <c r="Z86" i="8"/>
  <c r="Z89" i="8" s="1"/>
  <c r="P86" i="8"/>
  <c r="P89" i="8" s="1"/>
  <c r="P72" i="11" s="1"/>
  <c r="AB86" i="8"/>
  <c r="AB89" i="8" s="1"/>
  <c r="Y72" i="11" l="1"/>
  <c r="Y73" i="11" s="1"/>
  <c r="Y82" i="11" s="1"/>
  <c r="W72" i="11"/>
  <c r="W73" i="11" s="1"/>
  <c r="W82" i="11" s="1"/>
  <c r="U73" i="11"/>
  <c r="U82" i="11" s="1"/>
  <c r="V15" i="11"/>
  <c r="V16" i="11" s="1"/>
  <c r="U15" i="11"/>
  <c r="U16" i="11" s="1"/>
  <c r="P15" i="11"/>
  <c r="P22" i="11" s="1"/>
  <c r="W15" i="11"/>
  <c r="W16" i="11" s="1"/>
  <c r="Z15" i="11"/>
  <c r="X15" i="11"/>
  <c r="Y15" i="11"/>
  <c r="Y16" i="11" s="1"/>
  <c r="AD18" i="11"/>
  <c r="L15" i="11"/>
  <c r="L22" i="11" s="1"/>
  <c r="AA16" i="11"/>
  <c r="L73" i="11"/>
  <c r="L82" i="11" s="1"/>
  <c r="X73" i="11"/>
  <c r="X82" i="11" s="1"/>
  <c r="P73" i="11"/>
  <c r="P82" i="11" s="1"/>
  <c r="Z22" i="11" l="1"/>
  <c r="Z23" i="11" s="1"/>
  <c r="Y103" i="8"/>
  <c r="Y120" i="8" s="1"/>
  <c r="X103" i="8"/>
  <c r="Z103" i="8"/>
  <c r="Z120" i="8" s="1"/>
  <c r="W103" i="8"/>
  <c r="W120" i="8" s="1"/>
  <c r="P16" i="11"/>
  <c r="Y22" i="11"/>
  <c r="Y23" i="11" s="1"/>
  <c r="Z16" i="11"/>
  <c r="U22" i="11"/>
  <c r="U23" i="11" s="1"/>
  <c r="AD14" i="11"/>
  <c r="V22" i="11"/>
  <c r="V23" i="11" s="1"/>
  <c r="L16" i="11"/>
  <c r="W22" i="11"/>
  <c r="W23" i="11" s="1"/>
  <c r="X22" i="11"/>
  <c r="AA26" i="11"/>
  <c r="AA32" i="11" s="1"/>
  <c r="P23" i="11"/>
  <c r="L23" i="11"/>
  <c r="L26" i="11"/>
  <c r="L32" i="11" s="1"/>
  <c r="AD15" i="11"/>
  <c r="X16" i="11"/>
  <c r="AD16" i="11" s="1"/>
  <c r="AA23" i="11"/>
  <c r="AD123" i="8"/>
  <c r="AD103" i="8" l="1"/>
  <c r="X120" i="8"/>
  <c r="AD39" i="11"/>
  <c r="Y26" i="11"/>
  <c r="Y32" i="11" s="1"/>
  <c r="Z26" i="11"/>
  <c r="Z32" i="11" s="1"/>
  <c r="W26" i="11"/>
  <c r="X26" i="11"/>
  <c r="X32" i="11" s="1"/>
  <c r="V26" i="11"/>
  <c r="V32" i="11" s="1"/>
  <c r="P26" i="11"/>
  <c r="U26" i="11"/>
  <c r="AA27" i="11"/>
  <c r="L27" i="11"/>
  <c r="X23" i="11"/>
  <c r="AD23" i="11" s="1"/>
  <c r="AD22" i="11"/>
  <c r="U27" i="11" l="1"/>
  <c r="U32" i="11"/>
  <c r="U40" i="11" s="1"/>
  <c r="P27" i="11"/>
  <c r="P32" i="11"/>
  <c r="W27" i="11"/>
  <c r="W32" i="11"/>
  <c r="W77" i="11" s="1"/>
  <c r="AD25" i="11"/>
  <c r="O77" i="11"/>
  <c r="O80" i="11" a="1"/>
  <c r="O80" i="11" s="1"/>
  <c r="O81" i="11" a="1"/>
  <c r="O81" i="11" s="1"/>
  <c r="O79" i="11" a="1"/>
  <c r="O79" i="11" s="1"/>
  <c r="O78" i="11"/>
  <c r="L81" i="11" a="1"/>
  <c r="L81" i="11" s="1"/>
  <c r="L79" i="11" a="1"/>
  <c r="L79" i="11" s="1"/>
  <c r="N81" i="11" a="1"/>
  <c r="N81" i="11" s="1"/>
  <c r="L78" i="11"/>
  <c r="N78" i="11"/>
  <c r="N77" i="11"/>
  <c r="M79" i="11" a="1"/>
  <c r="M79" i="11" s="1"/>
  <c r="M77" i="11"/>
  <c r="N79" i="11" a="1"/>
  <c r="N79" i="11" s="1"/>
  <c r="M78" i="11"/>
  <c r="M80" i="11" a="1"/>
  <c r="M80" i="11" s="1"/>
  <c r="N80" i="11" a="1"/>
  <c r="N80" i="11" s="1"/>
  <c r="M81" i="11" a="1"/>
  <c r="M81" i="11" s="1"/>
  <c r="L80" i="11" a="1"/>
  <c r="L80" i="11" s="1"/>
  <c r="L77" i="11"/>
  <c r="Y33" i="11"/>
  <c r="Y27" i="11"/>
  <c r="Z27" i="11"/>
  <c r="V78" i="11"/>
  <c r="V27" i="11"/>
  <c r="AA33" i="11"/>
  <c r="AA79" i="11"/>
  <c r="AA80" i="11" a="1"/>
  <c r="AA80" i="11" s="1"/>
  <c r="AA40" i="11"/>
  <c r="AA81" i="11" a="1"/>
  <c r="AA81" i="11" s="1"/>
  <c r="AA78" i="11"/>
  <c r="AA77" i="11"/>
  <c r="X27" i="11"/>
  <c r="AD27" i="11" s="1"/>
  <c r="AD26" i="11"/>
  <c r="L33" i="11"/>
  <c r="L40" i="11"/>
  <c r="L47" i="11" s="1"/>
  <c r="Z81" i="11" a="1"/>
  <c r="Z81" i="11" s="1"/>
  <c r="Z40" i="11"/>
  <c r="Z79" i="11"/>
  <c r="Z80" i="11" a="1"/>
  <c r="Z80" i="11" s="1"/>
  <c r="Z33" i="11"/>
  <c r="Z77" i="11"/>
  <c r="Z78" i="11"/>
  <c r="Q67" i="8"/>
  <c r="Q62" i="11" s="1"/>
  <c r="Z62" i="11" s="1"/>
  <c r="O67" i="8"/>
  <c r="O62" i="11" s="1"/>
  <c r="Q128" i="8"/>
  <c r="M128" i="8"/>
  <c r="I128" i="8"/>
  <c r="P11" i="8"/>
  <c r="L11" i="8"/>
  <c r="N52" i="8"/>
  <c r="N60" i="8" s="1"/>
  <c r="M52" i="8"/>
  <c r="M60" i="8" s="1"/>
  <c r="I52" i="8"/>
  <c r="I60" i="8" s="1"/>
  <c r="R97" i="8"/>
  <c r="Q97" i="8"/>
  <c r="P97" i="8"/>
  <c r="O97" i="8"/>
  <c r="N97" i="8"/>
  <c r="M97" i="8"/>
  <c r="L97" i="8"/>
  <c r="K97" i="8"/>
  <c r="J97" i="8"/>
  <c r="I97" i="8"/>
  <c r="R96" i="8"/>
  <c r="Q96" i="8"/>
  <c r="P96" i="8"/>
  <c r="O96" i="8"/>
  <c r="N96" i="8"/>
  <c r="M96" i="8"/>
  <c r="L96" i="8"/>
  <c r="K96" i="8"/>
  <c r="J96" i="8"/>
  <c r="I96" i="8"/>
  <c r="J52" i="8"/>
  <c r="J60" i="8" s="1"/>
  <c r="K52" i="8"/>
  <c r="K60" i="8" s="1"/>
  <c r="O52" i="8"/>
  <c r="O60" i="8" s="1"/>
  <c r="Q52" i="8"/>
  <c r="Q60" i="8" s="1"/>
  <c r="R52" i="8"/>
  <c r="R60" i="8" s="1"/>
  <c r="R46" i="8"/>
  <c r="Q46" i="8"/>
  <c r="P46" i="8"/>
  <c r="O46" i="8"/>
  <c r="N46" i="8"/>
  <c r="M46" i="8"/>
  <c r="L46" i="8"/>
  <c r="K46" i="8"/>
  <c r="J46" i="8"/>
  <c r="I46" i="8"/>
  <c r="R45" i="8"/>
  <c r="Q45" i="8"/>
  <c r="P45" i="8"/>
  <c r="O45" i="8"/>
  <c r="N45" i="8"/>
  <c r="M45" i="8"/>
  <c r="L45" i="8"/>
  <c r="K45" i="8"/>
  <c r="J45" i="8"/>
  <c r="I45" i="8"/>
  <c r="F46" i="8"/>
  <c r="E46" i="8"/>
  <c r="D46" i="8"/>
  <c r="F45" i="8"/>
  <c r="E45" i="8"/>
  <c r="D45" i="8"/>
  <c r="R11" i="8"/>
  <c r="R14" i="10" s="1"/>
  <c r="Q11" i="8"/>
  <c r="Q14" i="10" s="1"/>
  <c r="O11" i="8"/>
  <c r="O14" i="10" s="1"/>
  <c r="N11" i="8"/>
  <c r="N14" i="10" s="1"/>
  <c r="M11" i="8"/>
  <c r="M14" i="10" s="1"/>
  <c r="K11" i="8"/>
  <c r="J11" i="8"/>
  <c r="I11" i="8"/>
  <c r="X47" i="11" l="1"/>
  <c r="W47" i="11"/>
  <c r="V47" i="11"/>
  <c r="U47" i="11"/>
  <c r="X62" i="11"/>
  <c r="V62" i="11"/>
  <c r="J14" i="8"/>
  <c r="J15" i="8" s="1"/>
  <c r="J14" i="10"/>
  <c r="K14" i="8"/>
  <c r="K15" i="8" s="1"/>
  <c r="K14" i="10"/>
  <c r="P14" i="8"/>
  <c r="P15" i="8" s="1"/>
  <c r="P14" i="10"/>
  <c r="I14" i="8"/>
  <c r="I15" i="8" s="1"/>
  <c r="I14" i="10"/>
  <c r="L14" i="8"/>
  <c r="L21" i="8" s="1"/>
  <c r="L14" i="10"/>
  <c r="M14" i="8"/>
  <c r="R14" i="8"/>
  <c r="R21" i="8" s="1"/>
  <c r="N14" i="8"/>
  <c r="Q14" i="8"/>
  <c r="O14" i="8"/>
  <c r="Y80" i="11" a="1"/>
  <c r="Y80" i="11" s="1"/>
  <c r="Y81" i="11" a="1"/>
  <c r="Y81" i="11" s="1"/>
  <c r="Y78" i="11"/>
  <c r="Y77" i="11"/>
  <c r="Y79" i="11"/>
  <c r="Y40" i="11"/>
  <c r="S79" i="11" a="1"/>
  <c r="S79" i="11" s="1"/>
  <c r="S81" i="11" a="1"/>
  <c r="S81" i="11" s="1"/>
  <c r="S78" i="11"/>
  <c r="S77" i="11"/>
  <c r="S80" i="11" a="1"/>
  <c r="S80" i="11" s="1"/>
  <c r="R78" i="11"/>
  <c r="Q80" i="11" a="1"/>
  <c r="Q80" i="11" s="1"/>
  <c r="R80" i="11" a="1"/>
  <c r="R80" i="11" s="1"/>
  <c r="Q79" i="11" a="1"/>
  <c r="Q79" i="11" s="1"/>
  <c r="P81" i="11" a="1"/>
  <c r="P81" i="11" s="1"/>
  <c r="R81" i="11" a="1"/>
  <c r="R81" i="11" s="1"/>
  <c r="P78" i="11"/>
  <c r="R77" i="11"/>
  <c r="Q81" i="11" a="1"/>
  <c r="Q81" i="11" s="1"/>
  <c r="Q77" i="11"/>
  <c r="R79" i="11" a="1"/>
  <c r="R79" i="11" s="1"/>
  <c r="P80" i="11" a="1"/>
  <c r="P80" i="11" s="1"/>
  <c r="Q78" i="11"/>
  <c r="P77" i="11"/>
  <c r="P79" i="11" a="1"/>
  <c r="P79" i="11" s="1"/>
  <c r="V40" i="11"/>
  <c r="V80" i="11" a="1"/>
  <c r="V80" i="11" s="1"/>
  <c r="V79" i="11"/>
  <c r="P40" i="11"/>
  <c r="P47" i="11" s="1"/>
  <c r="P33" i="11"/>
  <c r="V81" i="11" a="1"/>
  <c r="V81" i="11" s="1"/>
  <c r="V77" i="11"/>
  <c r="V33" i="11"/>
  <c r="U81" i="11" a="1"/>
  <c r="U81" i="11" s="1"/>
  <c r="W78" i="11"/>
  <c r="W40" i="11"/>
  <c r="W33" i="11"/>
  <c r="W79" i="11"/>
  <c r="W80" i="11" a="1"/>
  <c r="W80" i="11" s="1"/>
  <c r="W81" i="11" a="1"/>
  <c r="W81" i="11" s="1"/>
  <c r="U80" i="11" a="1"/>
  <c r="U80" i="11" s="1"/>
  <c r="U77" i="11"/>
  <c r="U79" i="11"/>
  <c r="U78" i="11"/>
  <c r="U33" i="11"/>
  <c r="X81" i="11" a="1"/>
  <c r="X81" i="11" s="1"/>
  <c r="X80" i="11" a="1"/>
  <c r="X80" i="11" s="1"/>
  <c r="X33" i="11"/>
  <c r="AD33" i="11" s="1"/>
  <c r="X40" i="11"/>
  <c r="AD40" i="11" s="1"/>
  <c r="AD32" i="11"/>
  <c r="X77" i="11"/>
  <c r="X79" i="11"/>
  <c r="X78" i="11"/>
  <c r="O73" i="8"/>
  <c r="M67" i="8"/>
  <c r="M62" i="11" s="1"/>
  <c r="R67" i="8"/>
  <c r="R62" i="11" s="1"/>
  <c r="AA62" i="11" s="1"/>
  <c r="J67" i="8"/>
  <c r="J62" i="11" s="1"/>
  <c r="I67" i="8"/>
  <c r="I62" i="11" s="1"/>
  <c r="N67" i="8"/>
  <c r="N62" i="11" s="1"/>
  <c r="U62" i="11" s="1"/>
  <c r="F67" i="8"/>
  <c r="F62" i="11" s="1"/>
  <c r="K67" i="8"/>
  <c r="K62" i="11" s="1"/>
  <c r="R128" i="8"/>
  <c r="P128" i="8"/>
  <c r="J128" i="8"/>
  <c r="N128" i="8"/>
  <c r="O128" i="8"/>
  <c r="P67" i="8"/>
  <c r="P62" i="11" s="1"/>
  <c r="P52" i="8"/>
  <c r="P60" i="8" s="1"/>
  <c r="L52" i="8"/>
  <c r="L60" i="8" s="1"/>
  <c r="L67" i="8"/>
  <c r="L62" i="11" s="1"/>
  <c r="AB47" i="11" l="1"/>
  <c r="AB48" i="11" s="1"/>
  <c r="Z47" i="11"/>
  <c r="Z48" i="11" s="1"/>
  <c r="AA47" i="11"/>
  <c r="AA48" i="11" s="1"/>
  <c r="Y47" i="11"/>
  <c r="Y48" i="11" s="1"/>
  <c r="O90" i="8"/>
  <c r="O92" i="8" s="1"/>
  <c r="O63" i="11"/>
  <c r="Y62" i="11"/>
  <c r="W62" i="11"/>
  <c r="K21" i="8"/>
  <c r="J21" i="8"/>
  <c r="P21" i="8"/>
  <c r="P28" i="8" s="1"/>
  <c r="P32" i="8" s="1"/>
  <c r="I21" i="8"/>
  <c r="I22" i="8" s="1"/>
  <c r="L15" i="8"/>
  <c r="Q15" i="8"/>
  <c r="Q21" i="8"/>
  <c r="Q28" i="8" s="1"/>
  <c r="Q32" i="8" s="1"/>
  <c r="O15" i="8"/>
  <c r="O21" i="8"/>
  <c r="O28" i="8" s="1"/>
  <c r="O32" i="8" s="1"/>
  <c r="N15" i="8"/>
  <c r="N21" i="8"/>
  <c r="N28" i="8" s="1"/>
  <c r="R15" i="8"/>
  <c r="R28" i="8"/>
  <c r="M15" i="8"/>
  <c r="M21" i="8"/>
  <c r="M22" i="8" s="1"/>
  <c r="V48" i="11"/>
  <c r="U48" i="11"/>
  <c r="X48" i="11"/>
  <c r="W48" i="11"/>
  <c r="L48" i="11"/>
  <c r="P48" i="11"/>
  <c r="P73" i="8"/>
  <c r="M73" i="8"/>
  <c r="K73" i="8"/>
  <c r="F73" i="8"/>
  <c r="J73" i="8"/>
  <c r="L73" i="8"/>
  <c r="R73" i="8"/>
  <c r="I73" i="8"/>
  <c r="N73" i="8"/>
  <c r="Q73" i="8"/>
  <c r="K128" i="8"/>
  <c r="L128" i="8"/>
  <c r="L28" i="8"/>
  <c r="L32" i="8" s="1"/>
  <c r="K90" i="8" l="1"/>
  <c r="K92" i="8" s="1"/>
  <c r="K63" i="11"/>
  <c r="N90" i="8"/>
  <c r="N63" i="11"/>
  <c r="U63" i="11" s="1"/>
  <c r="M90" i="8"/>
  <c r="M63" i="11"/>
  <c r="P90" i="8"/>
  <c r="P92" i="8" s="1"/>
  <c r="P63" i="11"/>
  <c r="I90" i="8"/>
  <c r="I92" i="8" s="1"/>
  <c r="I63" i="11"/>
  <c r="R90" i="8"/>
  <c r="R92" i="8" s="1"/>
  <c r="R63" i="11"/>
  <c r="AA63" i="11" s="1"/>
  <c r="L90" i="8"/>
  <c r="L92" i="8" s="1"/>
  <c r="L63" i="11"/>
  <c r="J90" i="8"/>
  <c r="J92" i="8" s="1"/>
  <c r="J63" i="11"/>
  <c r="X63" i="11"/>
  <c r="V63" i="11"/>
  <c r="F90" i="8"/>
  <c r="F63" i="11"/>
  <c r="Q90" i="8"/>
  <c r="Q92" i="8" s="1"/>
  <c r="Q63" i="11"/>
  <c r="Z63" i="11" s="1"/>
  <c r="O22" i="8"/>
  <c r="Q36" i="8"/>
  <c r="Q39" i="8" s="1"/>
  <c r="Q100" i="8"/>
  <c r="Q120" i="8" s="1"/>
  <c r="O36" i="8"/>
  <c r="O42" i="8" s="1"/>
  <c r="O100" i="8"/>
  <c r="O120" i="8" s="1"/>
  <c r="P36" i="8"/>
  <c r="P42" i="8" s="1"/>
  <c r="P100" i="8"/>
  <c r="P120" i="8" s="1"/>
  <c r="L36" i="8"/>
  <c r="L42" i="8" s="1"/>
  <c r="L100" i="8"/>
  <c r="L120" i="8" s="1"/>
  <c r="L144" i="8" s="1"/>
  <c r="U144" i="8" s="1"/>
  <c r="I28" i="8"/>
  <c r="I32" i="8" s="1"/>
  <c r="M28" i="8"/>
  <c r="M32" i="8" s="1"/>
  <c r="Q22" i="8"/>
  <c r="Q29" i="8"/>
  <c r="N29" i="8"/>
  <c r="N32" i="8"/>
  <c r="R29" i="8"/>
  <c r="R32" i="8"/>
  <c r="R100" i="8" s="1"/>
  <c r="R22" i="8"/>
  <c r="N22" i="8"/>
  <c r="P29" i="8"/>
  <c r="O29" i="8"/>
  <c r="L29" i="8"/>
  <c r="K28" i="8"/>
  <c r="K32" i="8" s="1"/>
  <c r="J28" i="8"/>
  <c r="J32" i="8" s="1"/>
  <c r="M92" i="8"/>
  <c r="J22" i="8"/>
  <c r="K22" i="8"/>
  <c r="N92" i="8"/>
  <c r="L22" i="8"/>
  <c r="P22" i="8"/>
  <c r="Y63" i="11" l="1"/>
  <c r="W63" i="11"/>
  <c r="O39" i="8"/>
  <c r="Q42" i="8"/>
  <c r="M36" i="8"/>
  <c r="M42" i="8" s="1"/>
  <c r="M100" i="8"/>
  <c r="M120" i="8" s="1"/>
  <c r="M144" i="8" s="1"/>
  <c r="V144" i="8" s="1"/>
  <c r="I36" i="8"/>
  <c r="I42" i="8" s="1"/>
  <c r="I100" i="8"/>
  <c r="I120" i="8" s="1"/>
  <c r="I144" i="8" s="1"/>
  <c r="K36" i="8"/>
  <c r="K39" i="8" s="1"/>
  <c r="K100" i="8"/>
  <c r="K120" i="8" s="1"/>
  <c r="L39" i="8"/>
  <c r="P39" i="8"/>
  <c r="N36" i="8"/>
  <c r="N39" i="8" s="1"/>
  <c r="N100" i="8"/>
  <c r="J36" i="8"/>
  <c r="J42" i="8" s="1"/>
  <c r="J100" i="8"/>
  <c r="J120" i="8" s="1"/>
  <c r="I29" i="8"/>
  <c r="M29" i="8"/>
  <c r="R120" i="8"/>
  <c r="R144" i="8" s="1"/>
  <c r="AA144" i="8" s="1"/>
  <c r="R36" i="8"/>
  <c r="J29" i="8"/>
  <c r="K29" i="8"/>
  <c r="Q144" i="8"/>
  <c r="Z144" i="8" s="1"/>
  <c r="O144" i="8"/>
  <c r="X144" i="8" s="1"/>
  <c r="M39" i="8" l="1"/>
  <c r="K42" i="8"/>
  <c r="I39" i="8"/>
  <c r="J39" i="8"/>
  <c r="N42" i="8"/>
  <c r="R42" i="8"/>
  <c r="R39" i="8"/>
  <c r="N120" i="8"/>
  <c r="N144" i="8" s="1"/>
  <c r="W144" i="8" s="1"/>
  <c r="J144" i="8" l="1"/>
  <c r="K144" i="8"/>
  <c r="B97" i="8" l="1"/>
  <c r="B96" i="8"/>
  <c r="F97" i="8"/>
  <c r="E97" i="8"/>
  <c r="D97" i="8"/>
  <c r="F96" i="8"/>
  <c r="E96" i="8"/>
  <c r="D96" i="8"/>
  <c r="B46" i="8"/>
  <c r="B45" i="8"/>
  <c r="AB46" i="8"/>
  <c r="AA46" i="8"/>
  <c r="Z46" i="8"/>
  <c r="X46" i="8"/>
  <c r="W46" i="8"/>
  <c r="V46" i="8"/>
  <c r="Y46" i="8"/>
  <c r="U46" i="8"/>
  <c r="AB45" i="8"/>
  <c r="AA45" i="8"/>
  <c r="Z45" i="8"/>
  <c r="Y45" i="8"/>
  <c r="X45" i="8"/>
  <c r="W45" i="8"/>
  <c r="V45" i="8"/>
  <c r="U45" i="8"/>
  <c r="U96" i="8" l="1"/>
  <c r="V96" i="8"/>
  <c r="V97" i="8"/>
  <c r="Y96" i="8"/>
  <c r="Z96" i="8"/>
  <c r="U97" i="8"/>
  <c r="Z97" i="8"/>
  <c r="AA97" i="8"/>
  <c r="X96" i="8"/>
  <c r="AA96" i="8"/>
  <c r="X97" i="8"/>
  <c r="W97" i="8"/>
  <c r="AB96" i="8"/>
  <c r="Y97" i="8"/>
  <c r="W96" i="8"/>
  <c r="AB97" i="8"/>
  <c r="W11" i="8" l="1"/>
  <c r="E52" i="8"/>
  <c r="E60" i="8" s="1"/>
  <c r="D52" i="8"/>
  <c r="D60" i="8" s="1"/>
  <c r="F52" i="8"/>
  <c r="F60" i="8" s="1"/>
  <c r="W14" i="8" l="1"/>
  <c r="W15" i="8" s="1"/>
  <c r="W14" i="10"/>
  <c r="X11" i="8"/>
  <c r="X52" i="8"/>
  <c r="X60" i="8" s="1"/>
  <c r="V52" i="8"/>
  <c r="V60" i="8" s="1"/>
  <c r="X67" i="8"/>
  <c r="X73" i="8" s="1"/>
  <c r="W67" i="8"/>
  <c r="W73" i="8" s="1"/>
  <c r="W90" i="8" s="1"/>
  <c r="U11" i="8"/>
  <c r="W52" i="8"/>
  <c r="W60" i="8" s="1"/>
  <c r="V11" i="8"/>
  <c r="V67" i="8"/>
  <c r="V73" i="8" s="1"/>
  <c r="Z52" i="8"/>
  <c r="Z60" i="8" s="1"/>
  <c r="Z11" i="8"/>
  <c r="Z67" i="8"/>
  <c r="Z73" i="8" s="1"/>
  <c r="Z90" i="8" s="1"/>
  <c r="AA67" i="8"/>
  <c r="AA73" i="8" s="1"/>
  <c r="AA90" i="8" s="1"/>
  <c r="Y11" i="8"/>
  <c r="AA11" i="8"/>
  <c r="AA52" i="8"/>
  <c r="AA60" i="8" s="1"/>
  <c r="W21" i="8" l="1"/>
  <c r="W28" i="8" s="1"/>
  <c r="Z14" i="8"/>
  <c r="Z21" i="8" s="1"/>
  <c r="Z14" i="10"/>
  <c r="AA14" i="8"/>
  <c r="AA21" i="8" s="1"/>
  <c r="AA14" i="10"/>
  <c r="Y14" i="8"/>
  <c r="Y15" i="8" s="1"/>
  <c r="Y14" i="10"/>
  <c r="X14" i="8"/>
  <c r="X21" i="8" s="1"/>
  <c r="X14" i="10"/>
  <c r="U14" i="8"/>
  <c r="U15" i="8" s="1"/>
  <c r="U14" i="10"/>
  <c r="V14" i="8"/>
  <c r="V21" i="8" s="1"/>
  <c r="V14" i="10"/>
  <c r="V90" i="8"/>
  <c r="V92" i="8" s="1"/>
  <c r="X90" i="8"/>
  <c r="X92" i="8" s="1"/>
  <c r="W92" i="8"/>
  <c r="AA92" i="8"/>
  <c r="Z92" i="8"/>
  <c r="AD10" i="8"/>
  <c r="AD17" i="8"/>
  <c r="W22" i="8" l="1"/>
  <c r="AA15" i="8"/>
  <c r="Z15" i="8"/>
  <c r="V15" i="8"/>
  <c r="X15" i="8"/>
  <c r="Y21" i="8"/>
  <c r="Y28" i="8" s="1"/>
  <c r="U21" i="8"/>
  <c r="U22" i="8" s="1"/>
  <c r="W29" i="8"/>
  <c r="Z28" i="8"/>
  <c r="V28" i="8"/>
  <c r="X28" i="8"/>
  <c r="AA28" i="8"/>
  <c r="V22" i="8"/>
  <c r="X22" i="8"/>
  <c r="Z22" i="8"/>
  <c r="AA22" i="8"/>
  <c r="U28" i="8" l="1"/>
  <c r="U29" i="8" s="1"/>
  <c r="Y22" i="8"/>
  <c r="Z29" i="8"/>
  <c r="AA29" i="8"/>
  <c r="V29" i="8"/>
  <c r="X29" i="8"/>
  <c r="Y29" i="8"/>
  <c r="U67" i="8" l="1"/>
  <c r="Y67" i="8"/>
  <c r="Y73" i="8" s="1"/>
  <c r="Y90" i="8" s="1"/>
  <c r="U73" i="8" l="1"/>
  <c r="U90" i="8" s="1"/>
  <c r="X128" i="8"/>
  <c r="U128" i="8"/>
  <c r="V128" i="8"/>
  <c r="W128" i="8"/>
  <c r="Y128" i="8"/>
  <c r="AA128" i="8"/>
  <c r="Z128" i="8"/>
  <c r="F11" i="8" l="1"/>
  <c r="F14" i="8" s="1"/>
  <c r="E11" i="8"/>
  <c r="E14" i="8" s="1"/>
  <c r="D11" i="8"/>
  <c r="D14" i="8" s="1"/>
  <c r="F128" i="8"/>
  <c r="E128" i="8"/>
  <c r="D128" i="8"/>
  <c r="E67" i="8"/>
  <c r="E62" i="11" s="1"/>
  <c r="D67" i="8"/>
  <c r="D62" i="11" s="1"/>
  <c r="AB11" i="8"/>
  <c r="AB14" i="8" l="1"/>
  <c r="AB21" i="8" s="1"/>
  <c r="AB14" i="10"/>
  <c r="D21" i="8"/>
  <c r="D15" i="8"/>
  <c r="E21" i="8"/>
  <c r="E15" i="8"/>
  <c r="F15" i="8"/>
  <c r="F21" i="8"/>
  <c r="D14" i="10"/>
  <c r="E14" i="10"/>
  <c r="F14" i="10"/>
  <c r="E73" i="8"/>
  <c r="D73" i="8"/>
  <c r="AD11" i="8"/>
  <c r="AB67" i="8"/>
  <c r="AB73" i="8" s="1"/>
  <c r="AB90" i="8" s="1"/>
  <c r="AD86" i="8"/>
  <c r="AB15" i="8" l="1"/>
  <c r="AD15" i="8" s="1"/>
  <c r="D90" i="8"/>
  <c r="D92" i="8" s="1"/>
  <c r="D63" i="11"/>
  <c r="E90" i="8"/>
  <c r="E63" i="11"/>
  <c r="AD14" i="8"/>
  <c r="D28" i="8"/>
  <c r="D32" i="8" s="1"/>
  <c r="F28" i="8"/>
  <c r="F32" i="8" s="1"/>
  <c r="E28" i="8"/>
  <c r="E32" i="8" s="1"/>
  <c r="D22" i="8"/>
  <c r="E22" i="8"/>
  <c r="F22" i="8"/>
  <c r="Y52" i="8"/>
  <c r="Y60" i="8" s="1"/>
  <c r="Y92" i="8" s="1"/>
  <c r="U52" i="8"/>
  <c r="U60" i="8" s="1"/>
  <c r="U92" i="8" s="1"/>
  <c r="E92" i="8"/>
  <c r="F92" i="8"/>
  <c r="AD73" i="8"/>
  <c r="AD67" i="8"/>
  <c r="AB52" i="8"/>
  <c r="AB60" i="8" s="1"/>
  <c r="AB92" i="8" s="1"/>
  <c r="AB28" i="8"/>
  <c r="E36" i="8" l="1"/>
  <c r="E39" i="8" s="1"/>
  <c r="E100" i="8"/>
  <c r="F36" i="8"/>
  <c r="F42" i="8" s="1"/>
  <c r="F100" i="8"/>
  <c r="D36" i="8"/>
  <c r="D100" i="8"/>
  <c r="F39" i="8"/>
  <c r="E29" i="8"/>
  <c r="F29" i="8"/>
  <c r="D29" i="8"/>
  <c r="AB29" i="8"/>
  <c r="AD29" i="8" s="1"/>
  <c r="AD28" i="8"/>
  <c r="AD21" i="8"/>
  <c r="AB22" i="8"/>
  <c r="AD22" i="8" s="1"/>
  <c r="AD135" i="8"/>
  <c r="AD90" i="8"/>
  <c r="AD60" i="8"/>
  <c r="AD52" i="8"/>
  <c r="AB128" i="8"/>
  <c r="AD128" i="8" s="1"/>
  <c r="E42" i="8" l="1"/>
  <c r="D39" i="8"/>
  <c r="D42" i="8"/>
  <c r="F120" i="8"/>
  <c r="F144" i="8" s="1"/>
  <c r="E120" i="8"/>
  <c r="E144" i="8" s="1"/>
  <c r="P144" i="8"/>
  <c r="Y144" i="8" s="1"/>
  <c r="D120" i="8" l="1"/>
  <c r="D144" i="8" s="1"/>
  <c r="AD39" i="8" l="1"/>
  <c r="AD42" i="8"/>
  <c r="D140" i="8" l="1"/>
  <c r="D145" i="8" l="1"/>
  <c r="E138" i="8" l="1"/>
  <c r="D147" i="8"/>
  <c r="E140" i="8" l="1"/>
  <c r="E145" i="8" s="1"/>
  <c r="E147" i="8" s="1"/>
  <c r="F138" i="8" l="1"/>
  <c r="I138" i="8" s="1"/>
  <c r="F140" i="8" l="1"/>
  <c r="F145" i="8" s="1"/>
  <c r="G138" i="8" s="1"/>
  <c r="G140" i="8" s="1"/>
  <c r="G145" i="8" s="1"/>
  <c r="G147" i="8" s="1"/>
  <c r="I140" i="8"/>
  <c r="I145" i="8" s="1"/>
  <c r="I147" i="8" s="1"/>
  <c r="F147" i="8" l="1"/>
  <c r="J138" i="8"/>
  <c r="J140" i="8" s="1"/>
  <c r="J145" i="8" s="1"/>
  <c r="J147" i="8" s="1"/>
  <c r="K138" i="8" l="1"/>
  <c r="K140" i="8" s="1"/>
  <c r="K145" i="8" l="1"/>
  <c r="L138" i="8" l="1"/>
  <c r="U138" i="8" s="1"/>
  <c r="K147" i="8"/>
  <c r="L140" i="8" l="1"/>
  <c r="L145" i="8" s="1"/>
  <c r="M138" i="8" l="1"/>
  <c r="M140" i="8" s="1"/>
  <c r="L147" i="8"/>
  <c r="M145" i="8" l="1"/>
  <c r="N138" i="8" l="1"/>
  <c r="N140" i="8" s="1"/>
  <c r="M147" i="8"/>
  <c r="N145" i="8" l="1"/>
  <c r="O138" i="8" l="1"/>
  <c r="O140" i="8" s="1"/>
  <c r="N147" i="8"/>
  <c r="O145" i="8" l="1"/>
  <c r="P138" i="8" l="1"/>
  <c r="P140" i="8" s="1"/>
  <c r="O147" i="8"/>
  <c r="P145" i="8" l="1"/>
  <c r="Q138" i="8" s="1"/>
  <c r="Q140" i="8" s="1"/>
  <c r="Q145" i="8" l="1"/>
  <c r="R138" i="8" s="1"/>
  <c r="R140" i="8" s="1"/>
  <c r="P147" i="8"/>
  <c r="R145" i="8" l="1"/>
  <c r="Q147" i="8"/>
  <c r="R147" i="8" l="1"/>
  <c r="S138" i="8"/>
  <c r="S140" i="8" s="1"/>
  <c r="S145" i="8" s="1"/>
  <c r="S147" i="8" l="1"/>
  <c r="AD100" i="8" l="1"/>
  <c r="AD120" i="8" l="1"/>
  <c r="U140" i="8" l="1"/>
  <c r="U145" i="8" s="1"/>
  <c r="V138" i="8" l="1"/>
  <c r="V140" i="8" s="1"/>
  <c r="V145" i="8" s="1"/>
  <c r="U147" i="8" l="1"/>
  <c r="W138" i="8"/>
  <c r="W140" i="8" s="1"/>
  <c r="W145" i="8" s="1"/>
  <c r="V147" i="8" l="1"/>
  <c r="X138" i="8"/>
  <c r="X140" i="8" s="1"/>
  <c r="X145" i="8" s="1"/>
  <c r="W147" i="8" l="1"/>
  <c r="Y138" i="8"/>
  <c r="Y140" i="8" s="1"/>
  <c r="X147" i="8"/>
  <c r="Y145" i="8" l="1"/>
  <c r="Z138" i="8" s="1"/>
  <c r="Z140" i="8" s="1"/>
  <c r="Z145" i="8" s="1"/>
  <c r="AA138" i="8" l="1"/>
  <c r="AA140" i="8" s="1"/>
  <c r="Z147" i="8"/>
  <c r="Y147" i="8"/>
  <c r="AA145" i="8" l="1"/>
  <c r="AB138" i="8" s="1"/>
  <c r="AB140" i="8" s="1"/>
  <c r="AB145" i="8" l="1"/>
  <c r="AB147" i="8" s="1"/>
  <c r="AA147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<sst xmlns="http://schemas.openxmlformats.org/spreadsheetml/2006/main" count="369" uniqueCount="234">
  <si>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</si>
  <si>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</si>
  <si>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</si>
  <si>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</si>
  <si>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</si>
  <si>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</si>
  <si>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</si>
  <si>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</si>
  <si>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</si>
  <si>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</si>
  <si>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</si>
  <si>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</si>
  <si>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</si>
  <si>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Changes in assets and liabilities:</t>
  </si>
  <si>
    <t>Cash-Flows Statement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</si>
  <si>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</si>
  <si>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</si>
  <si>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</si>
  <si>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</si>
  <si>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</si>
  <si>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</si>
  <si>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</si>
  <si>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</si>
  <si>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</si>
  <si>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</si>
  <si>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</si>
  <si>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</si>
  <si>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</si>
  <si>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</si>
  <si>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</si>
  <si>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</si>
  <si>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</si>
  <si>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</si>
  <si>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</si>
  <si>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</si>
  <si>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</si>
  <si>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</si>
  <si>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</si>
  <si>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</si>
  <si>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</si>
  <si>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</si>
  <si>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</si>
  <si>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Total Liquidity</t>
  </si>
  <si>
    <t>Balance Sheet Metrics:</t>
  </si>
  <si>
    <t>Current Liabilities</t>
  </si>
  <si>
    <t>Total Shareholder Equity</t>
  </si>
  <si>
    <t>Total Book Capitalization</t>
  </si>
  <si>
    <t>Debt-to-Book Capitalization</t>
  </si>
  <si>
    <t>Net loss</t>
  </si>
  <si>
    <t>Total liabilities and stockholders' equity</t>
  </si>
  <si>
    <t>Cash-Flows From Operating Activities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</si>
  <si>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</si>
  <si>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</si>
  <si>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</si>
  <si>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</si>
  <si>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</si>
  <si>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</si>
  <si>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</si>
  <si>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</si>
  <si>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</si>
  <si>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</si>
  <si>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</si>
  <si>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</si>
  <si>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</si>
  <si>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</si>
  <si>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</si>
  <si>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</si>
  <si>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</si>
  <si>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</si>
  <si>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</si>
  <si>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</si>
  <si>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</si>
  <si>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</si>
  <si>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</si>
  <si>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</si>
  <si>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</si>
  <si>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</si>
  <si>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</si>
  <si>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EBT Margin (%)</t>
  </si>
  <si>
    <t>Current Assets</t>
  </si>
  <si>
    <t>Non-Current Assets</t>
  </si>
  <si>
    <t>Non-Current Liabilities</t>
  </si>
  <si>
    <t>Supplemental disclosures of other cash flow information:</t>
  </si>
  <si>
    <t>Income tax expense</t>
  </si>
  <si>
    <t>Income taxes paid</t>
  </si>
  <si>
    <t>Interest paid</t>
  </si>
  <si>
    <t>BOP Restricted Cash Adjustment</t>
  </si>
  <si>
    <t>EOP FX Adjustment</t>
  </si>
  <si>
    <t>EOP Restricted Cash Adjustment</t>
  </si>
  <si>
    <t>Unrestricted Cash BOP</t>
  </si>
  <si>
    <t>($ In Millions)</t>
  </si>
  <si>
    <t>($ In Millions, except EPS)</t>
  </si>
  <si>
    <t>Revenue by reportable segment</t>
  </si>
  <si>
    <t>(+) Depreciation and Amortization (D&amp;A)</t>
  </si>
  <si>
    <t>(+) Stock-Based Compensation (SBC)</t>
  </si>
  <si>
    <t>Summary Debt:</t>
  </si>
  <si>
    <t>CPLTD</t>
  </si>
  <si>
    <t>LTD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</si>
  <si>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</si>
  <si>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</si>
  <si>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</si>
  <si>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</si>
  <si>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</si>
  <si>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3Q25</t>
  </si>
  <si>
    <t>(-) Mandatory Outflows</t>
  </si>
  <si>
    <t>Selling, general and administrative</t>
  </si>
  <si>
    <t>Cash and cash equivalents</t>
  </si>
  <si>
    <t>Receivables, net</t>
  </si>
  <si>
    <t>Prepaid expenses and other current assets</t>
  </si>
  <si>
    <t>Property and equipment, net</t>
  </si>
  <si>
    <t>Goodwill</t>
  </si>
  <si>
    <t>Intangible assets, net</t>
  </si>
  <si>
    <t>Accounts payable</t>
  </si>
  <si>
    <t>Deferred revenues</t>
  </si>
  <si>
    <t>Common Stock</t>
  </si>
  <si>
    <t>Additional paid-in capital</t>
  </si>
  <si>
    <t>Accumulated other comprehensive loss</t>
  </si>
  <si>
    <t>Noncontrolling interests</t>
  </si>
  <si>
    <t>Total Equity</t>
  </si>
  <si>
    <t>Other, net</t>
  </si>
  <si>
    <t>Treasury stock</t>
  </si>
  <si>
    <t xml:space="preserve">Revenue by Type </t>
  </si>
  <si>
    <t>Advertising</t>
  </si>
  <si>
    <t>Variance Check</t>
  </si>
  <si>
    <t>Distribution</t>
  </si>
  <si>
    <t>Content</t>
  </si>
  <si>
    <t>Other</t>
  </si>
  <si>
    <t>Restructuring and other charges</t>
  </si>
  <si>
    <t>Impairments and loss on dispositions</t>
  </si>
  <si>
    <t>Costs of revenues, excluding depreciation and amortization</t>
  </si>
  <si>
    <t>Interest expense, net</t>
  </si>
  <si>
    <t>Gain on extinguishment of debt</t>
  </si>
  <si>
    <t>Loss from equity investees, net</t>
  </si>
  <si>
    <t>Other income (expense), net</t>
  </si>
  <si>
    <t>Loss before income taxes</t>
  </si>
  <si>
    <t>Warner Bros Discovery Inc (NASDAQ: WBD)</t>
  </si>
  <si>
    <t>Net Income</t>
  </si>
  <si>
    <t>Net loss (income) attributable to noncontrolling interests</t>
  </si>
  <si>
    <t>Net loss (income) attributable to redeemable noncontrolling interests</t>
  </si>
  <si>
    <t>Net loss available to Warner Bros. Discovery, Inc.</t>
  </si>
  <si>
    <t>Revenue by Type: Studios Segment</t>
  </si>
  <si>
    <t>Revenue by Networks Segment</t>
  </si>
  <si>
    <t>Total Net Revenue from Studios Segment</t>
  </si>
  <si>
    <t>Total Revenue from Networks Segment</t>
  </si>
  <si>
    <t>Total Domestic subscribers</t>
  </si>
  <si>
    <t>Total International subscribers</t>
  </si>
  <si>
    <t>Domestic ARPU</t>
  </si>
  <si>
    <t>International ARPU</t>
  </si>
  <si>
    <t>Global ARPU</t>
  </si>
  <si>
    <t>Adjusted EBITDA</t>
  </si>
  <si>
    <t>Employee share-based compensation</t>
  </si>
  <si>
    <t>Transaction and integration costs</t>
  </si>
  <si>
    <t>Facility consolidation costs</t>
  </si>
  <si>
    <t>Impairment and amortization of fair value step-up for content</t>
  </si>
  <si>
    <t>Amortization of capitalized interest for content</t>
  </si>
  <si>
    <t>Inter-segment eliminations</t>
  </si>
  <si>
    <t>Studios Segment Analysis</t>
  </si>
  <si>
    <t>Networks Segment Analysis</t>
  </si>
  <si>
    <t>Studios Segment: Operating Income &amp; Adj. EBITDA Analysis</t>
  </si>
  <si>
    <t>Networks Segment: Operating Income &amp; Adj. EBITDA Analysis</t>
  </si>
  <si>
    <t>Operating Income</t>
  </si>
  <si>
    <t>Adjusted EBITDA Margin (%)</t>
  </si>
  <si>
    <t>Corporate Segment Analysis</t>
  </si>
  <si>
    <t>Total Reported Adj. EBITDA</t>
  </si>
  <si>
    <t>Revenue By End Market Channel</t>
  </si>
  <si>
    <t>Studios</t>
  </si>
  <si>
    <t>Networks</t>
  </si>
  <si>
    <t>Revenue by End Market Channel</t>
  </si>
  <si>
    <t>Film and television content rights and games</t>
  </si>
  <si>
    <t>Other noncurrent assets</t>
  </si>
  <si>
    <t>Accrued liabilities</t>
  </si>
  <si>
    <t>Current portion of debt</t>
  </si>
  <si>
    <t>Noncurrent portion of debt</t>
  </si>
  <si>
    <t>Deferred income taxes</t>
  </si>
  <si>
    <t>Other noncurrent liabilities</t>
  </si>
  <si>
    <t>Redeemable noncontrolling interests</t>
  </si>
  <si>
    <t>Preferred Stock</t>
  </si>
  <si>
    <t>Accumulated deficit</t>
  </si>
  <si>
    <t>Total Warner Bros. Discovery, Inc. stockholders' equity</t>
  </si>
  <si>
    <t>Content rights amortization and impairment</t>
  </si>
  <si>
    <t>Content restructuring impairments and write-offs</t>
  </si>
  <si>
    <t>Preferred stock conversion premium</t>
  </si>
  <si>
    <t>Equity in losses of equity method investee companies and cash distributions</t>
  </si>
  <si>
    <t>Share-based compensation expense</t>
  </si>
  <si>
    <t>Gain on sale of investments</t>
  </si>
  <si>
    <t>Film and television content rights, games and production payables, net</t>
  </si>
  <si>
    <t>Accounts payable, accrued liabilities, deferred revenues and other noncurrent liabilities</t>
  </si>
  <si>
    <t>Foreign currency, prepaid expenses and other assets, net</t>
  </si>
  <si>
    <t>Purchases of property and equipment</t>
  </si>
  <si>
    <t>Proceeds from derivative instruments, net</t>
  </si>
  <si>
    <t>Other investing activities, net</t>
  </si>
  <si>
    <t>Mezzanine equity</t>
  </si>
  <si>
    <t>Total Mezzanine equity</t>
  </si>
  <si>
    <t>Shareholder Equity</t>
  </si>
  <si>
    <t>Other financing activities, net</t>
  </si>
  <si>
    <t>Corporate and Inter-segment eliminations</t>
  </si>
  <si>
    <t>Revenue by Geography</t>
  </si>
  <si>
    <t xml:space="preserve">Total Net Revenue </t>
  </si>
  <si>
    <t>U.S.</t>
  </si>
  <si>
    <t>Non-U.S.</t>
  </si>
  <si>
    <t>Loss (Gain) on extinguishment of debt</t>
  </si>
  <si>
    <t>Impairments and loss (Gain) on dispositions</t>
  </si>
  <si>
    <t>Loss (Gain) from derivative instruments, net</t>
  </si>
  <si>
    <t>Impairments and Other Charges</t>
  </si>
  <si>
    <t>Corporate Segment: Operating Income &amp; Adj. EBITDA Analysis</t>
  </si>
  <si>
    <t>(-) Impairments and loss on dispositions</t>
  </si>
  <si>
    <t>(-) Restructuring and other charges</t>
  </si>
  <si>
    <t>(-) Depreciation and amortization</t>
  </si>
  <si>
    <t>(-) Selling, general and administrative</t>
  </si>
  <si>
    <t>(+) Restructuring and other charges</t>
  </si>
  <si>
    <t>(+) Impairments and loss on dispositions</t>
  </si>
  <si>
    <t>Cash and Cash Equivalents</t>
  </si>
  <si>
    <t xml:space="preserve">Divestitures / (Acquisitions) </t>
  </si>
  <si>
    <t>Proceeds for noncontrolling interest in joint venture</t>
  </si>
  <si>
    <t>Streaming Segment Analysis</t>
  </si>
  <si>
    <t>Revenue by Streaming Segment</t>
  </si>
  <si>
    <t>Streaming Segment: Operating Income &amp; Adj. EBITDA Analysis</t>
  </si>
  <si>
    <t>Total Revenue from Streaming Segment</t>
  </si>
  <si>
    <t>Total Streaming Subscribers</t>
  </si>
  <si>
    <t>Total Streaming subscribers</t>
  </si>
  <si>
    <t>Total Streaming ARPU</t>
  </si>
  <si>
    <t>Streaming</t>
  </si>
  <si>
    <t>Impairments on Dispositions and Other Charges</t>
  </si>
  <si>
    <t>Cash Position Variance Check</t>
  </si>
  <si>
    <t>$4.0Bn RCF</t>
  </si>
  <si>
    <t>Aggregate Debt Holdings</t>
  </si>
  <si>
    <t xml:space="preserve">(+/-) Divestitures / (Acquisitions) </t>
  </si>
  <si>
    <t>(+/-) Proceeds from Debt / (Repayment)</t>
  </si>
  <si>
    <t>(+/-) Proceeds from Investments / (Purchases)</t>
  </si>
  <si>
    <t>Proceeds from Investments / (Purchases)</t>
  </si>
  <si>
    <t>Proceeds from Debt / (Repayment)</t>
  </si>
  <si>
    <t>Distributions/Purchases of non-control. &amp; redeemable interests</t>
  </si>
  <si>
    <t>(+/-) Changes in non-control. &amp; redeemable interests</t>
  </si>
  <si>
    <t>(+/-) Changes in Content rights amortization and impairment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</si>
</sst>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  <numFmt numFmtId="171" formatCode="&quot;$&quot;#,##0.0_);\(&quot;$&quot;#,##0.0\)"/>
  </numFmts>
  <fonts count="32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  <font>
      <i/>
      <sz val="8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78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5" xfId="0" applyFont="1" applyBorder="1" applyAlignment="1">
      <alignment wrapText="1"/>
    </xf>
    <xf numFmtId="5" fontId="8" fillId="5" borderId="2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horizontal="right" vertical="center" wrapText="1"/>
    </xf>
    <xf numFmtId="0" fontId="23" fillId="9" borderId="6" xfId="0" applyFont="1" applyFill="1" applyBorder="1"/>
    <xf numFmtId="9" fontId="30" fillId="0" borderId="2" xfId="1" applyFont="1" applyBorder="1"/>
    <xf numFmtId="9" fontId="10" fillId="0" borderId="2" xfId="1" applyFont="1" applyBorder="1"/>
    <xf numFmtId="9" fontId="10" fillId="0" borderId="7" xfId="1" applyFont="1" applyBorder="1"/>
    <xf numFmtId="0" fontId="23" fillId="9" borderId="8" xfId="0" applyFont="1" applyFill="1" applyBorder="1"/>
    <xf numFmtId="9" fontId="30" fillId="0" borderId="0" xfId="1" applyFont="1" applyBorder="1"/>
    <xf numFmtId="9" fontId="10" fillId="0" borderId="0" xfId="1" applyFont="1" applyBorder="1"/>
    <xf numFmtId="9" fontId="10" fillId="0" borderId="9" xfId="1" applyFont="1" applyBorder="1"/>
    <xf numFmtId="0" fontId="23" fillId="9" borderId="10" xfId="0" applyFont="1" applyFill="1" applyBorder="1"/>
    <xf numFmtId="9" fontId="30" fillId="0" borderId="5" xfId="1" applyFont="1" applyBorder="1"/>
    <xf numFmtId="9" fontId="10" fillId="0" borderId="5" xfId="1" applyFont="1" applyBorder="1"/>
    <xf numFmtId="9" fontId="10" fillId="0" borderId="11" xfId="1" applyFont="1" applyBorder="1"/>
    <xf numFmtId="9" fontId="10" fillId="0" borderId="2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9" fontId="10" fillId="0" borderId="0" xfId="1" applyFont="1" applyBorder="1" applyAlignment="1">
      <alignment horizontal="right"/>
    </xf>
    <xf numFmtId="0" fontId="4" fillId="0" borderId="0" xfId="0" quotePrefix="1" applyFont="1" applyAlignment="1">
      <alignment wrapText="1"/>
    </xf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right" vertical="center" wrapText="1"/>
    </xf>
    <xf numFmtId="169" fontId="4" fillId="0" borderId="0" xfId="0" applyNumberFormat="1" applyFont="1"/>
    <xf numFmtId="41" fontId="6" fillId="0" borderId="0" xfId="0" applyNumberFormat="1" applyFont="1" applyAlignment="1">
      <alignment vertical="center"/>
    </xf>
    <xf numFmtId="169" fontId="4" fillId="8" borderId="0" xfId="0" applyNumberFormat="1" applyFont="1" applyFill="1"/>
    <xf numFmtId="43" fontId="21" fillId="0" borderId="12" xfId="0" applyNumberFormat="1" applyFont="1" applyBorder="1" applyAlignment="1">
      <alignment wrapText="1"/>
    </xf>
    <xf numFmtId="41" fontId="6" fillId="0" borderId="12" xfId="0" applyNumberFormat="1" applyFont="1" applyBorder="1" applyAlignment="1">
      <alignment horizontal="right" vertical="top" wrapText="1"/>
    </xf>
    <xf numFmtId="41" fontId="6" fillId="0" borderId="13" xfId="0" applyNumberFormat="1" applyFont="1" applyBorder="1" applyAlignment="1">
      <alignment horizontal="right" vertical="top" wrapText="1"/>
    </xf>
    <xf numFmtId="5" fontId="8" fillId="5" borderId="14" xfId="0" applyNumberFormat="1" applyFont="1" applyFill="1" applyBorder="1" applyAlignment="1">
      <alignment horizontal="right" vertical="top" wrapText="1"/>
    </xf>
    <xf numFmtId="37" fontId="4" fillId="0" borderId="13" xfId="0" applyNumberFormat="1" applyFont="1" applyBorder="1" applyAlignment="1">
      <alignment wrapText="1"/>
    </xf>
    <xf numFmtId="43" fontId="21" fillId="0" borderId="15" xfId="0" applyNumberFormat="1" applyFont="1" applyBorder="1" applyAlignment="1">
      <alignment wrapText="1"/>
    </xf>
    <xf numFmtId="41" fontId="8" fillId="0" borderId="16" xfId="0" applyNumberFormat="1" applyFont="1" applyBorder="1" applyAlignment="1">
      <alignment horizontal="right" vertical="top" wrapText="1"/>
    </xf>
    <xf numFmtId="41" fontId="7" fillId="0" borderId="17" xfId="0" applyNumberFormat="1" applyFont="1" applyBorder="1" applyAlignment="1">
      <alignment horizontal="right" vertical="top" wrapText="1"/>
    </xf>
    <xf numFmtId="0" fontId="8" fillId="5" borderId="17" xfId="0" applyFont="1" applyFill="1" applyBorder="1" applyAlignment="1">
      <alignment horizontal="right" vertical="center" wrapText="1"/>
    </xf>
    <xf numFmtId="41" fontId="8" fillId="0" borderId="17" xfId="0" applyNumberFormat="1" applyFont="1" applyBorder="1" applyAlignment="1">
      <alignment horizontal="right" vertical="top" wrapText="1"/>
    </xf>
    <xf numFmtId="0" fontId="4" fillId="0" borderId="17" xfId="0" applyFont="1" applyBorder="1"/>
    <xf numFmtId="41" fontId="6" fillId="0" borderId="19" xfId="0" applyNumberFormat="1" applyFont="1" applyBorder="1" applyAlignment="1">
      <alignment horizontal="right" vertical="top" wrapText="1"/>
    </xf>
    <xf numFmtId="41" fontId="6" fillId="0" borderId="20" xfId="0" applyNumberFormat="1" applyFont="1" applyBorder="1" applyAlignment="1">
      <alignment horizontal="right" vertical="top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wrapText="1"/>
    </xf>
    <xf numFmtId="0" fontId="8" fillId="0" borderId="0" xfId="0" applyFont="1" applyFill="1" applyBorder="1" applyAlignment="1">
      <alignment vertical="top" wrapText="1"/>
    </xf>
    <xf numFmtId="5" fontId="8" fillId="0" borderId="0" xfId="0" applyNumberFormat="1" applyFont="1" applyFill="1" applyBorder="1" applyAlignment="1">
      <alignment horizontal="right" vertical="top" wrapText="1"/>
    </xf>
    <xf numFmtId="165" fontId="15" fillId="0" borderId="0" xfId="0" applyNumberFormat="1" applyFont="1" applyFill="1" applyAlignment="1">
      <alignment wrapText="1"/>
    </xf>
    <xf numFmtId="166" fontId="9" fillId="0" borderId="0" xfId="1" applyNumberFormat="1" applyFont="1" applyFill="1" applyBorder="1" applyAlignment="1">
      <alignment horizontal="right" vertical="center" wrapText="1"/>
    </xf>
    <xf numFmtId="0" fontId="8" fillId="0" borderId="0" xfId="0" applyFont="1" applyFill="1" applyAlignment="1">
      <alignment wrapText="1"/>
    </xf>
    <xf numFmtId="5" fontId="6" fillId="0" borderId="0" xfId="0" applyNumberFormat="1" applyFont="1" applyAlignment="1">
      <alignment horizontal="right" vertical="top" wrapText="1"/>
    </xf>
    <xf numFmtId="41" fontId="8" fillId="0" borderId="2" xfId="0" applyNumberFormat="1" applyFont="1" applyBorder="1" applyAlignment="1">
      <alignment horizontal="right" vertical="top" wrapText="1"/>
    </xf>
    <xf numFmtId="41" fontId="11" fillId="0" borderId="19" xfId="0" applyNumberFormat="1" applyFont="1" applyBorder="1" applyAlignment="1">
      <alignment horizontal="right" vertical="top" wrapText="1"/>
    </xf>
    <xf numFmtId="37" fontId="4" fillId="0" borderId="0" xfId="0" applyNumberFormat="1" applyFont="1" applyFill="1" applyAlignment="1">
      <alignment wrapText="1"/>
    </xf>
    <xf numFmtId="165" fontId="4" fillId="0" borderId="0" xfId="0" applyNumberFormat="1" applyFont="1" applyFill="1" applyAlignment="1">
      <alignment wrapText="1"/>
    </xf>
    <xf numFmtId="0" fontId="4" fillId="0" borderId="0" xfId="0" applyFont="1" applyFill="1"/>
    <xf numFmtId="0" fontId="23" fillId="0" borderId="0" xfId="0" applyFont="1" applyFill="1" applyBorder="1"/>
    <xf numFmtId="9" fontId="10" fillId="0" borderId="0" xfId="1" applyFont="1" applyFill="1" applyBorder="1" applyAlignment="1">
      <alignment horizontal="right"/>
    </xf>
    <xf numFmtId="9" fontId="30" fillId="0" borderId="0" xfId="1" applyFont="1" applyFill="1" applyBorder="1"/>
    <xf numFmtId="9" fontId="10" fillId="0" borderId="0" xfId="1" applyFont="1" applyFill="1" applyBorder="1"/>
    <xf numFmtId="37" fontId="8" fillId="3" borderId="2" xfId="0" applyNumberFormat="1" applyFont="1" applyFill="1" applyBorder="1" applyAlignment="1">
      <alignment horizontal="right" vertical="top" wrapText="1"/>
    </xf>
    <xf numFmtId="171" fontId="11" fillId="0" borderId="0" xfId="0" applyNumberFormat="1" applyFont="1"/>
    <xf numFmtId="171" fontId="6" fillId="0" borderId="0" xfId="0" applyNumberFormat="1" applyFont="1" applyAlignment="1">
      <alignment horizontal="right" vertical="top" wrapText="1"/>
    </xf>
    <xf numFmtId="0" fontId="4" fillId="0" borderId="0" xfId="0" applyFont="1" applyFill="1" applyAlignment="1">
      <alignment horizontal="left" indent="1"/>
    </xf>
    <xf numFmtId="41" fontId="11" fillId="0" borderId="0" xfId="0" applyNumberFormat="1" applyFont="1" applyFill="1" applyAlignment="1">
      <alignment horizontal="right" vertical="top" wrapText="1"/>
    </xf>
    <xf numFmtId="0" fontId="4" fillId="0" borderId="0" xfId="0" applyFont="1" applyAlignment="1"/>
    <xf numFmtId="3" fontId="4" fillId="0" borderId="0" xfId="0" applyNumberFormat="1" applyFont="1" applyAlignment="1"/>
    <xf numFmtId="0" fontId="31" fillId="0" borderId="18" xfId="0" applyFont="1" applyBorder="1" applyAlignment="1">
      <alignment horizontal="right" vertical="top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D165"/>
  <sheetViews>
    <sheetView showGridLines="0" topLeftCell="B1" zoomScaleNormal="100" workbookViewId="0">
      <selection activeCell="B103" sqref="B103"/>
    </sheetView>
  </sheetViews>
  <sheetFormatPr defaultRowHeight="12" outlineLevelCol="1"/>
  <cols>
    <col min="1" max="1" width="1.625" style="5" bestFit="1" customWidth="1"/>
    <col min="2" max="2" width="36.625" style="5" customWidth="1"/>
    <col min="3" max="4" width="8.625" style="5" bestFit="1" customWidth="1" outlineLevel="1"/>
    <col min="5" max="7" width="8.625" style="5" bestFit="1" customWidth="1"/>
    <col min="8" max="8" width="1.5" style="5" customWidth="1"/>
    <col min="9" max="10" width="7.875" style="5" customWidth="1" outlineLevel="1"/>
    <col min="11" max="11" width="7.875" style="5" bestFit="1" customWidth="1" outlineLevel="1"/>
    <col min="12" max="12" width="8.625" style="5" customWidth="1" outlineLevel="1"/>
    <col min="13" max="14" width="7.875" style="5" customWidth="1" outlineLevel="1"/>
    <col min="15" max="15" width="7.875" style="5" bestFit="1" customWidth="1"/>
    <col min="16" max="16" width="8.625" style="5" customWidth="1"/>
    <col min="17" max="19" width="7.875" style="5" bestFit="1" customWidth="1"/>
    <col min="20" max="20" width="1.5" style="5" customWidth="1"/>
    <col min="21" max="21" width="8.625" style="5" bestFit="1" customWidth="1" outlineLevel="1"/>
    <col min="22" max="23" width="7.875" style="5" bestFit="1" customWidth="1" outlineLevel="1"/>
    <col min="24" max="24" width="7.875" style="5" bestFit="1" customWidth="1"/>
    <col min="25" max="25" width="8.625" style="5" bestFit="1" customWidth="1" outlineLevel="1"/>
    <col min="26" max="27" width="7.875" style="5" bestFit="1" customWidth="1" outlineLevel="1"/>
    <col min="28" max="28" width="7.875" style="5" bestFit="1" customWidth="1"/>
    <col min="29" max="29" width="1.25" style="5" customWidth="1"/>
    <col min="30" max="30" width="7.875" style="5" bestFit="1" customWidth="1"/>
    <col min="31" max="31" width="1.375" style="5" customWidth="1"/>
    <col min="32" max="16384" width="9" style="5"/>
  </cols>
  <sheetData>
    <row r="2" spans="1:30" ht="12.75" customHeight="1">
      <c r="B2" s="1" t="s">
        <v>135</v>
      </c>
      <c r="C2" s="86"/>
      <c r="D2" s="86"/>
      <c r="E2" s="86"/>
      <c r="F2" s="86"/>
      <c r="G2" s="86"/>
      <c r="H2" s="3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3"/>
      <c r="U2" s="86"/>
      <c r="V2" s="86"/>
      <c r="W2" s="86"/>
      <c r="X2" s="86"/>
      <c r="Y2" s="86"/>
      <c r="Z2" s="86"/>
      <c r="AA2" s="86"/>
      <c r="AB2" s="86"/>
      <c r="AC2" s="3"/>
      <c r="AD2" s="1"/>
    </row>
    <row r="3" spans="1:30" ht="12.75" customHeight="1">
      <c r="B3" s="6" t="s">
        <v>74</v>
      </c>
      <c r="C3" s="7"/>
      <c r="D3" s="7"/>
      <c r="E3" s="7"/>
      <c r="F3" s="7"/>
      <c r="G3" s="7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3"/>
      <c r="U3" s="4"/>
      <c r="V3" s="4"/>
      <c r="W3" s="4"/>
      <c r="X3" s="4"/>
      <c r="Y3" s="4"/>
      <c r="Z3" s="4"/>
      <c r="AA3" s="4"/>
      <c r="AB3" s="4"/>
      <c r="AC3" s="3"/>
      <c r="AD3" s="1"/>
    </row>
    <row r="4" spans="1:30" ht="12.75" customHeight="1">
      <c r="B4" s="6" t="s">
        <v>91</v>
      </c>
      <c r="C4" s="3"/>
      <c r="D4" s="3"/>
      <c r="E4" s="78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1"/>
    </row>
    <row r="6" spans="1:30" ht="12.75" customHeight="1">
      <c r="A6" s="5" t="s">
        <v>16</v>
      </c>
      <c r="B6" s="1" t="s">
        <v>72</v>
      </c>
      <c r="C6" s="2"/>
      <c r="D6" s="2"/>
      <c r="E6" s="2" t="s">
        <v>0</v>
      </c>
      <c r="F6" s="2"/>
      <c r="G6" s="2"/>
      <c r="H6" s="3"/>
      <c r="I6" s="2" t="s">
        <v>1</v>
      </c>
      <c r="J6" s="2"/>
      <c r="K6" s="2"/>
      <c r="L6" s="2"/>
      <c r="M6" s="2"/>
      <c r="N6" s="2"/>
      <c r="O6" s="2" t="s">
        <v>1</v>
      </c>
      <c r="P6" s="2"/>
      <c r="Q6" s="2"/>
      <c r="R6" s="2"/>
      <c r="S6" s="2"/>
      <c r="T6" s="3"/>
      <c r="U6" s="2"/>
      <c r="V6" s="2"/>
      <c r="W6" s="2"/>
      <c r="X6" s="2" t="s">
        <v>10</v>
      </c>
      <c r="Y6" s="2"/>
      <c r="Z6" s="2"/>
      <c r="AA6" s="2"/>
      <c r="AB6" s="2"/>
      <c r="AC6" s="35"/>
      <c r="AD6" s="150" t="s">
        <v>22</v>
      </c>
    </row>
    <row r="7" spans="1:30" ht="12.75" customHeight="1">
      <c r="B7" s="6" t="s">
        <v>75</v>
      </c>
      <c r="C7" s="7">
        <v>2020</v>
      </c>
      <c r="D7" s="7">
        <v>2021</v>
      </c>
      <c r="E7" s="7">
        <v>2022</v>
      </c>
      <c r="F7" s="7">
        <v>2023</v>
      </c>
      <c r="G7" s="7">
        <v>2024</v>
      </c>
      <c r="H7" s="3"/>
      <c r="I7" s="4" t="s">
        <v>6</v>
      </c>
      <c r="J7" s="4" t="s">
        <v>7</v>
      </c>
      <c r="K7" s="4" t="s">
        <v>8</v>
      </c>
      <c r="L7" s="4" t="s">
        <v>9</v>
      </c>
      <c r="M7" s="4" t="s">
        <v>2</v>
      </c>
      <c r="N7" s="4" t="s">
        <v>3</v>
      </c>
      <c r="O7" s="4" t="s">
        <v>4</v>
      </c>
      <c r="P7" s="4" t="s">
        <v>5</v>
      </c>
      <c r="Q7" s="4" t="s">
        <v>24</v>
      </c>
      <c r="R7" s="4" t="s">
        <v>25</v>
      </c>
      <c r="S7" s="4" t="s">
        <v>103</v>
      </c>
      <c r="T7" s="4"/>
      <c r="U7" s="4" t="str">
        <f>L7</f>
        <v>4Q23</v>
      </c>
      <c r="V7" s="4" t="str">
        <f>M7</f>
        <v>1Q24</v>
      </c>
      <c r="W7" s="4" t="str">
        <f>N7</f>
        <v>2Q24</v>
      </c>
      <c r="X7" s="4" t="str">
        <f>O7</f>
        <v>3Q24</v>
      </c>
      <c r="Y7" s="4" t="str">
        <f>P7</f>
        <v>4Q24</v>
      </c>
      <c r="Z7" s="4" t="str">
        <f>Q7</f>
        <v>1Q25</v>
      </c>
      <c r="AA7" s="4" t="str">
        <f>R7</f>
        <v>2Q25</v>
      </c>
      <c r="AB7" s="4" t="str">
        <f>S7</f>
        <v>3Q25</v>
      </c>
      <c r="AC7" s="35"/>
      <c r="AD7" s="150"/>
    </row>
    <row r="8" spans="1:30" ht="12.75" customHeight="1">
      <c r="B8" s="6" t="s">
        <v>76</v>
      </c>
      <c r="C8" s="3">
        <v>44196</v>
      </c>
      <c r="D8" s="3">
        <v>44561</v>
      </c>
      <c r="E8" s="3">
        <v>44926</v>
      </c>
      <c r="F8" s="3">
        <v>45291</v>
      </c>
      <c r="G8" s="3">
        <v>45657</v>
      </c>
      <c r="H8" s="3"/>
      <c r="I8" s="3">
        <v>45016</v>
      </c>
      <c r="J8" s="3">
        <v>45107</v>
      </c>
      <c r="K8" s="3">
        <v>45199</v>
      </c>
      <c r="L8" s="3">
        <f>E8</f>
        <v>44926</v>
      </c>
      <c r="M8" s="3">
        <v>45382</v>
      </c>
      <c r="N8" s="3">
        <v>45473</v>
      </c>
      <c r="O8" s="3">
        <v>45565</v>
      </c>
      <c r="P8" s="3">
        <f>F8</f>
        <v>45291</v>
      </c>
      <c r="Q8" s="3">
        <v>45747</v>
      </c>
      <c r="R8" s="3">
        <v>45838</v>
      </c>
      <c r="S8" s="3">
        <v>45930</v>
      </c>
      <c r="T8" s="3"/>
      <c r="U8" s="3">
        <f>L8</f>
        <v>44926</v>
      </c>
      <c r="V8" s="3">
        <f>M8</f>
        <v>45382</v>
      </c>
      <c r="W8" s="3">
        <f>N8</f>
        <v>45473</v>
      </c>
      <c r="X8" s="3">
        <f>O8</f>
        <v>45565</v>
      </c>
      <c r="Y8" s="3">
        <f>P8</f>
        <v>45291</v>
      </c>
      <c r="Z8" s="3">
        <f>Q8</f>
        <v>45747</v>
      </c>
      <c r="AA8" s="3">
        <f>R8</f>
        <v>45838</v>
      </c>
      <c r="AB8" s="3">
        <f>S8</f>
        <v>45930</v>
      </c>
      <c r="AC8" s="35"/>
      <c r="AD8" s="150"/>
    </row>
    <row r="9" spans="1:30" ht="5.0999999999999996" customHeight="1">
      <c r="AD9" s="85"/>
    </row>
    <row r="10" spans="1:30" ht="12.75" customHeight="1">
      <c r="B10" s="9" t="s">
        <v>57</v>
      </c>
      <c r="C10" s="81">
        <v>10671</v>
      </c>
      <c r="D10" s="81">
        <v>12191</v>
      </c>
      <c r="E10" s="81">
        <v>33817</v>
      </c>
      <c r="F10" s="81">
        <v>41321</v>
      </c>
      <c r="G10" s="81">
        <v>39321</v>
      </c>
      <c r="H10" s="11"/>
      <c r="I10" s="81">
        <v>10700</v>
      </c>
      <c r="J10" s="81">
        <v>10358</v>
      </c>
      <c r="K10" s="81">
        <v>9979</v>
      </c>
      <c r="L10" s="30">
        <f t="shared" ref="L10" si="0">SUM(F10-SUM(I10:K10))</f>
        <v>10284</v>
      </c>
      <c r="M10" s="81">
        <v>9958</v>
      </c>
      <c r="N10" s="81">
        <v>9713</v>
      </c>
      <c r="O10" s="81">
        <v>9623</v>
      </c>
      <c r="P10" s="30">
        <f>SUM(G10-SUM(M10:O10))</f>
        <v>10027</v>
      </c>
      <c r="Q10" s="81">
        <v>8979</v>
      </c>
      <c r="R10" s="81">
        <v>9812</v>
      </c>
      <c r="S10" s="81">
        <v>9045</v>
      </c>
      <c r="T10" s="30"/>
      <c r="U10" s="30">
        <f t="shared" ref="U10:AA10" si="1">SUM(I10:L10)</f>
        <v>41321</v>
      </c>
      <c r="V10" s="30">
        <f t="shared" si="1"/>
        <v>40579</v>
      </c>
      <c r="W10" s="30">
        <f t="shared" si="1"/>
        <v>39934</v>
      </c>
      <c r="X10" s="30">
        <f t="shared" si="1"/>
        <v>39578</v>
      </c>
      <c r="Y10" s="30">
        <f t="shared" si="1"/>
        <v>39321</v>
      </c>
      <c r="Z10" s="30">
        <f t="shared" si="1"/>
        <v>38342</v>
      </c>
      <c r="AA10" s="30">
        <f t="shared" si="1"/>
        <v>38441</v>
      </c>
      <c r="AB10" s="30">
        <f>SUM(P10:S10)</f>
        <v>37863</v>
      </c>
      <c r="AC10" s="37"/>
      <c r="AD10" s="68">
        <f>SUM(AB10/X10)-1</f>
        <v>-4.3332154227095909E-2</v>
      </c>
    </row>
    <row r="11" spans="1:30" ht="12.75" customHeight="1">
      <c r="B11" s="12" t="s">
        <v>12</v>
      </c>
      <c r="C11" s="13">
        <f t="shared" ref="C11" si="2">+SUM(C10:C10)</f>
        <v>10671</v>
      </c>
      <c r="D11" s="13">
        <f t="shared" ref="D11:F11" si="3">+SUM(D10:D10)</f>
        <v>12191</v>
      </c>
      <c r="E11" s="13">
        <f t="shared" si="3"/>
        <v>33817</v>
      </c>
      <c r="F11" s="13">
        <f t="shared" si="3"/>
        <v>41321</v>
      </c>
      <c r="G11" s="13">
        <f t="shared" ref="G11" si="4">+SUM(G10:G10)</f>
        <v>39321</v>
      </c>
      <c r="H11" s="11"/>
      <c r="I11" s="13">
        <f t="shared" ref="I11:R11" si="5">+SUM(I10:I10)</f>
        <v>10700</v>
      </c>
      <c r="J11" s="13">
        <f t="shared" si="5"/>
        <v>10358</v>
      </c>
      <c r="K11" s="13">
        <f t="shared" si="5"/>
        <v>9979</v>
      </c>
      <c r="L11" s="13">
        <f t="shared" si="5"/>
        <v>10284</v>
      </c>
      <c r="M11" s="13">
        <f t="shared" si="5"/>
        <v>9958</v>
      </c>
      <c r="N11" s="13">
        <f t="shared" si="5"/>
        <v>9713</v>
      </c>
      <c r="O11" s="13">
        <f t="shared" si="5"/>
        <v>9623</v>
      </c>
      <c r="P11" s="13">
        <f t="shared" si="5"/>
        <v>10027</v>
      </c>
      <c r="Q11" s="13">
        <f t="shared" si="5"/>
        <v>8979</v>
      </c>
      <c r="R11" s="13">
        <f t="shared" si="5"/>
        <v>9812</v>
      </c>
      <c r="S11" s="13">
        <f t="shared" ref="S11" si="6">+SUM(S10:S10)</f>
        <v>9045</v>
      </c>
      <c r="U11" s="13">
        <f t="shared" ref="U11:AB11" si="7">+SUM(U10:U10)</f>
        <v>41321</v>
      </c>
      <c r="V11" s="13">
        <f t="shared" si="7"/>
        <v>40579</v>
      </c>
      <c r="W11" s="13">
        <f t="shared" si="7"/>
        <v>39934</v>
      </c>
      <c r="X11" s="13">
        <f t="shared" si="7"/>
        <v>39578</v>
      </c>
      <c r="Y11" s="13">
        <f t="shared" si="7"/>
        <v>39321</v>
      </c>
      <c r="Z11" s="13">
        <f t="shared" si="7"/>
        <v>38342</v>
      </c>
      <c r="AA11" s="13">
        <f t="shared" si="7"/>
        <v>38441</v>
      </c>
      <c r="AB11" s="13">
        <f t="shared" si="7"/>
        <v>37863</v>
      </c>
      <c r="AC11" s="37"/>
      <c r="AD11" s="69">
        <f t="shared" ref="AD11:AD28" si="8">SUM(AB11/X11)-1</f>
        <v>-4.3332154227095909E-2</v>
      </c>
    </row>
    <row r="12" spans="1:30" s="154" customFormat="1" ht="5.0999999999999996" customHeight="1">
      <c r="B12" s="155"/>
      <c r="C12" s="156"/>
      <c r="D12" s="156"/>
      <c r="E12" s="156"/>
      <c r="F12" s="156"/>
      <c r="G12" s="156"/>
      <c r="H12" s="163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U12" s="156"/>
      <c r="V12" s="156"/>
      <c r="W12" s="156"/>
      <c r="X12" s="156"/>
      <c r="Y12" s="156"/>
      <c r="Z12" s="156"/>
      <c r="AA12" s="156"/>
      <c r="AB12" s="156"/>
      <c r="AC12" s="164"/>
      <c r="AD12" s="158"/>
    </row>
    <row r="13" spans="1:30" ht="12.75" customHeight="1">
      <c r="B13" s="9" t="s">
        <v>129</v>
      </c>
      <c r="C13" s="76">
        <v>-3860</v>
      </c>
      <c r="D13" s="76">
        <v>-4620</v>
      </c>
      <c r="E13" s="76">
        <v>-20442</v>
      </c>
      <c r="F13" s="76">
        <v>-24526</v>
      </c>
      <c r="G13" s="76">
        <v>-22970</v>
      </c>
      <c r="H13" s="30"/>
      <c r="I13" s="76">
        <v>-6685</v>
      </c>
      <c r="J13" s="76">
        <v>-6636</v>
      </c>
      <c r="K13" s="76">
        <v>-5309</v>
      </c>
      <c r="L13" s="30">
        <f t="shared" ref="L13" si="9">SUM(F13-SUM(I13:K13))</f>
        <v>-5896</v>
      </c>
      <c r="M13" s="76">
        <v>-6058</v>
      </c>
      <c r="N13" s="76">
        <v>-6204</v>
      </c>
      <c r="O13" s="76">
        <v>-5181</v>
      </c>
      <c r="P13" s="30">
        <f>SUM(G13-SUM(M13:O13))</f>
        <v>-5527</v>
      </c>
      <c r="Q13" s="76">
        <v>-5131</v>
      </c>
      <c r="R13" s="76">
        <v>-5967</v>
      </c>
      <c r="S13" s="76">
        <v>-4564</v>
      </c>
      <c r="U13" s="30">
        <f t="shared" ref="U13" si="10">SUM(I13:L13)</f>
        <v>-24526</v>
      </c>
      <c r="V13" s="30">
        <f t="shared" ref="V13" si="11">SUM(J13:M13)</f>
        <v>-23899</v>
      </c>
      <c r="W13" s="30">
        <f t="shared" ref="W13" si="12">SUM(K13:N13)</f>
        <v>-23467</v>
      </c>
      <c r="X13" s="30">
        <f t="shared" ref="X13" si="13">SUM(L13:O13)</f>
        <v>-23339</v>
      </c>
      <c r="Y13" s="30">
        <f t="shared" ref="Y13" si="14">SUM(M13:P13)</f>
        <v>-22970</v>
      </c>
      <c r="Z13" s="30">
        <f t="shared" ref="Z13" si="15">SUM(N13:Q13)</f>
        <v>-22043</v>
      </c>
      <c r="AA13" s="30">
        <f t="shared" ref="AA13" si="16">SUM(O13:R13)</f>
        <v>-21806</v>
      </c>
      <c r="AB13" s="30">
        <f>SUM(P13:S13)</f>
        <v>-21189</v>
      </c>
      <c r="AC13" s="11"/>
      <c r="AD13" s="68">
        <f t="shared" ref="AD13" si="17">SUM(AB13/X13)-1</f>
        <v>-9.2120485025065313E-2</v>
      </c>
    </row>
    <row r="14" spans="1:30" ht="12.75" customHeight="1">
      <c r="B14" s="23" t="s">
        <v>20</v>
      </c>
      <c r="C14" s="24">
        <f t="shared" ref="C14:D14" si="18">SUM(C11+C13)</f>
        <v>6811</v>
      </c>
      <c r="D14" s="24">
        <f t="shared" si="18"/>
        <v>7571</v>
      </c>
      <c r="E14" s="24">
        <f t="shared" ref="E14" si="19">SUM(E11+E13)</f>
        <v>13375</v>
      </c>
      <c r="F14" s="24">
        <f t="shared" ref="F14" si="20">SUM(F11+F13)</f>
        <v>16795</v>
      </c>
      <c r="G14" s="24">
        <f t="shared" ref="G14" si="21">SUM(G11+G13)</f>
        <v>16351</v>
      </c>
      <c r="H14" s="30"/>
      <c r="I14" s="24">
        <f t="shared" ref="I14" si="22">SUM(I11+I13)</f>
        <v>4015</v>
      </c>
      <c r="J14" s="24">
        <f t="shared" ref="J14" si="23">SUM(J11+J13)</f>
        <v>3722</v>
      </c>
      <c r="K14" s="24">
        <f t="shared" ref="K14" si="24">SUM(K11+K13)</f>
        <v>4670</v>
      </c>
      <c r="L14" s="24">
        <f t="shared" ref="L14" si="25">SUM(L11+L13)</f>
        <v>4388</v>
      </c>
      <c r="M14" s="24">
        <f t="shared" ref="M14" si="26">SUM(M11+M13)</f>
        <v>3900</v>
      </c>
      <c r="N14" s="24">
        <f t="shared" ref="N14" si="27">SUM(N11+N13)</f>
        <v>3509</v>
      </c>
      <c r="O14" s="24">
        <f t="shared" ref="O14" si="28">SUM(O11+O13)</f>
        <v>4442</v>
      </c>
      <c r="P14" s="24">
        <f t="shared" ref="P14" si="29">SUM(P11+P13)</f>
        <v>4500</v>
      </c>
      <c r="Q14" s="24">
        <f t="shared" ref="Q14" si="30">SUM(Q11+Q13)</f>
        <v>3848</v>
      </c>
      <c r="R14" s="24">
        <f t="shared" ref="R14" si="31">SUM(R11+R13)</f>
        <v>3845</v>
      </c>
      <c r="S14" s="24">
        <f t="shared" ref="S14" si="32">SUM(S11+S13)</f>
        <v>4481</v>
      </c>
      <c r="U14" s="24">
        <f t="shared" ref="U14" si="33">SUM(U11+U13)</f>
        <v>16795</v>
      </c>
      <c r="V14" s="24">
        <f t="shared" ref="V14" si="34">SUM(V11+V13)</f>
        <v>16680</v>
      </c>
      <c r="W14" s="24">
        <f t="shared" ref="W14" si="35">SUM(W11+W13)</f>
        <v>16467</v>
      </c>
      <c r="X14" s="24">
        <f t="shared" ref="X14" si="36">SUM(X11+X13)</f>
        <v>16239</v>
      </c>
      <c r="Y14" s="24">
        <f t="shared" ref="Y14" si="37">SUM(Y11+Y13)</f>
        <v>16351</v>
      </c>
      <c r="Z14" s="24">
        <f t="shared" ref="Z14" si="38">SUM(Z11+Z13)</f>
        <v>16299</v>
      </c>
      <c r="AA14" s="24">
        <f t="shared" ref="AA14" si="39">SUM(AA11+AA13)</f>
        <v>16635</v>
      </c>
      <c r="AB14" s="24">
        <f t="shared" ref="AB14" si="40">SUM(AB11+AB13)</f>
        <v>16674</v>
      </c>
      <c r="AC14" s="11"/>
      <c r="AD14" s="69">
        <f t="shared" ref="AD14" si="41">SUM(AB14/X14)-1</f>
        <v>2.6787363753925764E-2</v>
      </c>
    </row>
    <row r="15" spans="1:30" ht="12.75" customHeight="1">
      <c r="B15" s="14" t="s">
        <v>30</v>
      </c>
      <c r="C15" s="15">
        <f t="shared" ref="C15:D15" si="42">C14/C11</f>
        <v>0.63827195201949205</v>
      </c>
      <c r="D15" s="15">
        <f t="shared" si="42"/>
        <v>0.62103190878516934</v>
      </c>
      <c r="E15" s="15">
        <f t="shared" ref="E15" si="43">E14/E11</f>
        <v>0.39551113345358846</v>
      </c>
      <c r="F15" s="15">
        <f t="shared" ref="F15" si="44">F14/F11</f>
        <v>0.40645192517122042</v>
      </c>
      <c r="G15" s="15">
        <f t="shared" ref="G15" si="45">G14/G11</f>
        <v>0.41583377838813868</v>
      </c>
      <c r="H15" s="30"/>
      <c r="I15" s="15">
        <f t="shared" ref="I15" si="46">I14/I11</f>
        <v>0.37523364485981309</v>
      </c>
      <c r="J15" s="15">
        <f t="shared" ref="J15" si="47">J14/J11</f>
        <v>0.3593357791079359</v>
      </c>
      <c r="K15" s="15">
        <f t="shared" ref="K15" si="48">K14/K11</f>
        <v>0.4679827638039884</v>
      </c>
      <c r="L15" s="15">
        <f t="shared" ref="L15" si="49">L14/L11</f>
        <v>0.42668222481524698</v>
      </c>
      <c r="M15" s="15">
        <f t="shared" ref="M15" si="50">M14/M11</f>
        <v>0.391644908616188</v>
      </c>
      <c r="N15" s="15">
        <f t="shared" ref="N15" si="51">N14/N11</f>
        <v>0.36126840317100795</v>
      </c>
      <c r="O15" s="15">
        <f t="shared" ref="O15" si="52">O14/O11</f>
        <v>0.46160241089057469</v>
      </c>
      <c r="P15" s="15">
        <f t="shared" ref="P15" si="53">P14/P11</f>
        <v>0.44878827166650043</v>
      </c>
      <c r="Q15" s="15">
        <f t="shared" ref="Q15" si="54">Q14/Q11</f>
        <v>0.42855551843189665</v>
      </c>
      <c r="R15" s="15">
        <f t="shared" ref="R15" si="55">R14/R11</f>
        <v>0.39186710150835713</v>
      </c>
      <c r="S15" s="15">
        <f t="shared" ref="S15" si="56">S14/S11</f>
        <v>0.49541182974018794</v>
      </c>
      <c r="U15" s="15">
        <f t="shared" ref="U15" si="57">U14/U11</f>
        <v>0.40645192517122042</v>
      </c>
      <c r="V15" s="15">
        <f t="shared" ref="V15" si="58">V14/V11</f>
        <v>0.41105005051874122</v>
      </c>
      <c r="W15" s="15">
        <f t="shared" ref="W15" si="59">W14/W11</f>
        <v>0.41235538638753944</v>
      </c>
      <c r="X15" s="15">
        <f t="shared" ref="X15" si="60">X14/X11</f>
        <v>0.41030370407802313</v>
      </c>
      <c r="Y15" s="15">
        <f t="shared" ref="Y15" si="61">Y14/Y11</f>
        <v>0.41583377838813868</v>
      </c>
      <c r="Z15" s="15">
        <f t="shared" ref="Z15" si="62">Z14/Z11</f>
        <v>0.4250951958687601</v>
      </c>
      <c r="AA15" s="15">
        <f t="shared" ref="AA15" si="63">AA14/AA11</f>
        <v>0.43274108373871645</v>
      </c>
      <c r="AB15" s="15">
        <f t="shared" ref="AB15" si="64">AB14/AB11</f>
        <v>0.4403771491957848</v>
      </c>
      <c r="AC15" s="11"/>
      <c r="AD15" s="70">
        <f>SUM(AB15-X15)*1000</f>
        <v>30.073445117761665</v>
      </c>
    </row>
    <row r="16" spans="1:30" s="18" customFormat="1" ht="5.0999999999999996" customHeight="1">
      <c r="B16" s="16"/>
      <c r="C16" s="17"/>
      <c r="D16" s="17"/>
      <c r="E16" s="17"/>
      <c r="F16" s="17"/>
      <c r="G16" s="17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AD16" s="68"/>
    </row>
    <row r="17" spans="2:30" ht="12.75" customHeight="1">
      <c r="B17" s="9" t="s">
        <v>105</v>
      </c>
      <c r="C17" s="76">
        <v>-2722</v>
      </c>
      <c r="D17" s="76">
        <v>-4016</v>
      </c>
      <c r="E17" s="76">
        <v>-9678</v>
      </c>
      <c r="F17" s="76">
        <v>-9696</v>
      </c>
      <c r="G17" s="76">
        <v>-9296</v>
      </c>
      <c r="H17" s="30"/>
      <c r="I17" s="76">
        <v>-2388</v>
      </c>
      <c r="J17" s="76">
        <v>-2562</v>
      </c>
      <c r="K17" s="76">
        <v>-2291</v>
      </c>
      <c r="L17" s="30">
        <f t="shared" ref="L17:L20" si="65">SUM(F17-SUM(I17:K17))</f>
        <v>-2455</v>
      </c>
      <c r="M17" s="76">
        <v>-2232</v>
      </c>
      <c r="N17" s="76">
        <v>-2461</v>
      </c>
      <c r="O17" s="76">
        <v>-2385</v>
      </c>
      <c r="P17" s="30">
        <f t="shared" ref="P17:P20" si="66">SUM(G17-SUM(M17:O17))</f>
        <v>-2218</v>
      </c>
      <c r="Q17" s="76">
        <v>-2194</v>
      </c>
      <c r="R17" s="76">
        <v>-2477</v>
      </c>
      <c r="S17" s="76">
        <v>-2361</v>
      </c>
      <c r="U17" s="30">
        <f t="shared" ref="U17:U20" si="67">SUM(I17:L17)</f>
        <v>-9696</v>
      </c>
      <c r="V17" s="30">
        <f t="shared" ref="V17:V20" si="68">SUM(J17:M17)</f>
        <v>-9540</v>
      </c>
      <c r="W17" s="30">
        <f t="shared" ref="W17:W20" si="69">SUM(K17:N17)</f>
        <v>-9439</v>
      </c>
      <c r="X17" s="30">
        <f t="shared" ref="X17:X20" si="70">SUM(L17:O17)</f>
        <v>-9533</v>
      </c>
      <c r="Y17" s="30">
        <f t="shared" ref="Y17:Y20" si="71">SUM(M17:P17)</f>
        <v>-9296</v>
      </c>
      <c r="Z17" s="30">
        <f t="shared" ref="Z17:Z20" si="72">SUM(N17:Q17)</f>
        <v>-9258</v>
      </c>
      <c r="AA17" s="30">
        <f t="shared" ref="AA17:AA20" si="73">SUM(O17:R17)</f>
        <v>-9274</v>
      </c>
      <c r="AB17" s="30">
        <f t="shared" ref="AB17:AB20" si="74">SUM(P17:S17)</f>
        <v>-9250</v>
      </c>
      <c r="AC17" s="11"/>
      <c r="AD17" s="68">
        <f t="shared" si="8"/>
        <v>-2.9686352669673788E-2</v>
      </c>
    </row>
    <row r="18" spans="2:30" ht="12.75" customHeight="1">
      <c r="B18" s="9" t="s">
        <v>51</v>
      </c>
      <c r="C18" s="76">
        <v>-1359</v>
      </c>
      <c r="D18" s="76">
        <v>-1582</v>
      </c>
      <c r="E18" s="76">
        <v>-7193</v>
      </c>
      <c r="F18" s="76">
        <v>-7985</v>
      </c>
      <c r="G18" s="76">
        <v>-7037</v>
      </c>
      <c r="H18" s="30"/>
      <c r="I18" s="76">
        <v>-2058</v>
      </c>
      <c r="J18" s="76">
        <v>-1914</v>
      </c>
      <c r="K18" s="76">
        <v>-1989</v>
      </c>
      <c r="L18" s="30">
        <f t="shared" si="65"/>
        <v>-2024</v>
      </c>
      <c r="M18" s="76">
        <v>-1888</v>
      </c>
      <c r="N18" s="76">
        <v>-1744</v>
      </c>
      <c r="O18" s="76">
        <v>-1762</v>
      </c>
      <c r="P18" s="30">
        <f t="shared" si="66"/>
        <v>-1643</v>
      </c>
      <c r="Q18" s="76">
        <v>-1547</v>
      </c>
      <c r="R18" s="76">
        <v>-1447</v>
      </c>
      <c r="S18" s="76">
        <v>-1375</v>
      </c>
      <c r="U18" s="30">
        <f t="shared" si="67"/>
        <v>-7985</v>
      </c>
      <c r="V18" s="30">
        <f t="shared" si="68"/>
        <v>-7815</v>
      </c>
      <c r="W18" s="30">
        <f t="shared" si="69"/>
        <v>-7645</v>
      </c>
      <c r="X18" s="30">
        <f t="shared" si="70"/>
        <v>-7418</v>
      </c>
      <c r="Y18" s="30">
        <f t="shared" si="71"/>
        <v>-7037</v>
      </c>
      <c r="Z18" s="30">
        <f t="shared" si="72"/>
        <v>-6696</v>
      </c>
      <c r="AA18" s="30">
        <f t="shared" si="73"/>
        <v>-6399</v>
      </c>
      <c r="AB18" s="30">
        <f t="shared" si="74"/>
        <v>-6012</v>
      </c>
      <c r="AC18" s="11"/>
      <c r="AD18" s="68">
        <f t="shared" ref="AD18" si="75">SUM(AB18/X18)-1</f>
        <v>-0.18953895928821785</v>
      </c>
    </row>
    <row r="19" spans="2:30" ht="12.75" customHeight="1">
      <c r="B19" s="9" t="s">
        <v>127</v>
      </c>
      <c r="C19" s="76">
        <v>-91</v>
      </c>
      <c r="D19" s="76">
        <v>-32</v>
      </c>
      <c r="E19" s="76">
        <v>-3757</v>
      </c>
      <c r="F19" s="76">
        <v>-585</v>
      </c>
      <c r="G19" s="76">
        <v>-447</v>
      </c>
      <c r="H19" s="30"/>
      <c r="I19" s="76">
        <v>-95</v>
      </c>
      <c r="J19" s="76">
        <v>-146</v>
      </c>
      <c r="K19" s="76">
        <v>-269</v>
      </c>
      <c r="L19" s="30">
        <f t="shared" si="65"/>
        <v>-75</v>
      </c>
      <c r="M19" s="76">
        <v>-35</v>
      </c>
      <c r="N19" s="76">
        <v>-117</v>
      </c>
      <c r="O19" s="76">
        <v>-9</v>
      </c>
      <c r="P19" s="30">
        <f t="shared" si="66"/>
        <v>-286</v>
      </c>
      <c r="Q19" s="76">
        <v>-54</v>
      </c>
      <c r="R19" s="76">
        <v>-80</v>
      </c>
      <c r="S19" s="76">
        <v>-88</v>
      </c>
      <c r="U19" s="30">
        <f t="shared" si="67"/>
        <v>-585</v>
      </c>
      <c r="V19" s="30">
        <f t="shared" si="68"/>
        <v>-525</v>
      </c>
      <c r="W19" s="30">
        <f t="shared" si="69"/>
        <v>-496</v>
      </c>
      <c r="X19" s="30">
        <f t="shared" si="70"/>
        <v>-236</v>
      </c>
      <c r="Y19" s="30">
        <f t="shared" si="71"/>
        <v>-447</v>
      </c>
      <c r="Z19" s="30">
        <f t="shared" si="72"/>
        <v>-466</v>
      </c>
      <c r="AA19" s="30">
        <f t="shared" si="73"/>
        <v>-429</v>
      </c>
      <c r="AB19" s="30">
        <f t="shared" si="74"/>
        <v>-508</v>
      </c>
      <c r="AC19" s="11"/>
      <c r="AD19" s="68">
        <f t="shared" ref="AD19:AD20" si="76">SUM(AB19/X19)-1</f>
        <v>1.152542372881356</v>
      </c>
    </row>
    <row r="20" spans="2:30" ht="12.75" customHeight="1">
      <c r="B20" s="9" t="s">
        <v>128</v>
      </c>
      <c r="C20" s="76">
        <v>-124</v>
      </c>
      <c r="D20" s="76">
        <v>71</v>
      </c>
      <c r="E20" s="76">
        <v>-117</v>
      </c>
      <c r="F20" s="76">
        <v>-77</v>
      </c>
      <c r="G20" s="76">
        <v>-9603</v>
      </c>
      <c r="H20" s="30"/>
      <c r="I20" s="76">
        <v>-31</v>
      </c>
      <c r="J20" s="76">
        <v>-6</v>
      </c>
      <c r="K20" s="76">
        <v>-24</v>
      </c>
      <c r="L20" s="30">
        <f t="shared" si="65"/>
        <v>-16</v>
      </c>
      <c r="M20" s="76">
        <v>-12</v>
      </c>
      <c r="N20" s="76">
        <v>-9395</v>
      </c>
      <c r="O20" s="76">
        <v>-5</v>
      </c>
      <c r="P20" s="30">
        <f t="shared" si="66"/>
        <v>-191</v>
      </c>
      <c r="Q20" s="76">
        <v>-90</v>
      </c>
      <c r="R20" s="76">
        <v>-26</v>
      </c>
      <c r="S20" s="76">
        <v>-46</v>
      </c>
      <c r="U20" s="30">
        <f t="shared" si="67"/>
        <v>-77</v>
      </c>
      <c r="V20" s="30">
        <f t="shared" si="68"/>
        <v>-58</v>
      </c>
      <c r="W20" s="30">
        <f t="shared" si="69"/>
        <v>-9447</v>
      </c>
      <c r="X20" s="30">
        <f t="shared" si="70"/>
        <v>-9428</v>
      </c>
      <c r="Y20" s="30">
        <f t="shared" si="71"/>
        <v>-9603</v>
      </c>
      <c r="Z20" s="30">
        <f t="shared" si="72"/>
        <v>-9681</v>
      </c>
      <c r="AA20" s="30">
        <f t="shared" si="73"/>
        <v>-312</v>
      </c>
      <c r="AB20" s="30">
        <f t="shared" si="74"/>
        <v>-353</v>
      </c>
      <c r="AC20" s="11"/>
      <c r="AD20" s="68">
        <f t="shared" si="76"/>
        <v>-0.96255833686890113</v>
      </c>
    </row>
    <row r="21" spans="2:30" ht="12.75" customHeight="1">
      <c r="B21" s="23" t="s">
        <v>77</v>
      </c>
      <c r="C21" s="24">
        <f>+SUM(C14+SUM(C17:C20))</f>
        <v>2515</v>
      </c>
      <c r="D21" s="24">
        <f>+SUM(D14+SUM(D17:D20))</f>
        <v>2012</v>
      </c>
      <c r="E21" s="24">
        <f>+SUM(E14+SUM(E17:E20))</f>
        <v>-7370</v>
      </c>
      <c r="F21" s="24">
        <f>+SUM(F14+SUM(F17:F20))</f>
        <v>-1548</v>
      </c>
      <c r="G21" s="24">
        <f>+SUM(G14+SUM(G17:G20))</f>
        <v>-10032</v>
      </c>
      <c r="H21" s="30"/>
      <c r="I21" s="24">
        <f>+SUM(I14+SUM(I17:I20))</f>
        <v>-557</v>
      </c>
      <c r="J21" s="24">
        <f>+SUM(J14+SUM(J17:J20))</f>
        <v>-906</v>
      </c>
      <c r="K21" s="24">
        <f>+SUM(K14+SUM(K17:K20))</f>
        <v>97</v>
      </c>
      <c r="L21" s="24">
        <f>+SUM(L14+SUM(L17:L20))</f>
        <v>-182</v>
      </c>
      <c r="M21" s="24">
        <f>+SUM(M14+SUM(M17:M20))</f>
        <v>-267</v>
      </c>
      <c r="N21" s="24">
        <f>+SUM(N14+SUM(N17:N20))</f>
        <v>-10208</v>
      </c>
      <c r="O21" s="24">
        <f>+SUM(O14+SUM(O17:O20))</f>
        <v>281</v>
      </c>
      <c r="P21" s="24">
        <f>+SUM(P14+SUM(P17:P20))</f>
        <v>162</v>
      </c>
      <c r="Q21" s="24">
        <f>+SUM(Q14+SUM(Q17:Q20))</f>
        <v>-37</v>
      </c>
      <c r="R21" s="24">
        <f>+SUM(R14+SUM(R17:R20))</f>
        <v>-185</v>
      </c>
      <c r="S21" s="24">
        <f>+SUM(S14+SUM(S17:S20))</f>
        <v>611</v>
      </c>
      <c r="U21" s="24">
        <f>+SUM(U14+SUM(U17:U20))</f>
        <v>-1548</v>
      </c>
      <c r="V21" s="24">
        <f>+SUM(V14+SUM(V17:V20))</f>
        <v>-1258</v>
      </c>
      <c r="W21" s="24">
        <f>+SUM(W14+SUM(W17:W20))</f>
        <v>-10560</v>
      </c>
      <c r="X21" s="24">
        <f>+SUM(X14+SUM(X17:X20))</f>
        <v>-10376</v>
      </c>
      <c r="Y21" s="24">
        <f>+SUM(Y14+SUM(Y17:Y20))</f>
        <v>-10032</v>
      </c>
      <c r="Z21" s="24">
        <f>+SUM(Z14+SUM(Z17:Z20))</f>
        <v>-9802</v>
      </c>
      <c r="AA21" s="24">
        <f>+SUM(AA14+SUM(AA17:AA20))</f>
        <v>221</v>
      </c>
      <c r="AB21" s="24">
        <f>+SUM(AB14+SUM(AB17:AB20))</f>
        <v>551</v>
      </c>
      <c r="AC21" s="11"/>
      <c r="AD21" s="69">
        <f t="shared" si="8"/>
        <v>-1.0531033153430995</v>
      </c>
    </row>
    <row r="22" spans="2:30" ht="12.75" customHeight="1">
      <c r="B22" s="14" t="s">
        <v>32</v>
      </c>
      <c r="C22" s="15">
        <f>C21/C11</f>
        <v>0.23568550276450193</v>
      </c>
      <c r="D22" s="15">
        <f>D21/D11</f>
        <v>0.16503978344680503</v>
      </c>
      <c r="E22" s="15">
        <f>E21/E11</f>
        <v>-0.21793772363012687</v>
      </c>
      <c r="F22" s="15">
        <f>F21/F11</f>
        <v>-3.7462791316763874E-2</v>
      </c>
      <c r="G22" s="15">
        <f>G21/G11</f>
        <v>-0.25513084611276415</v>
      </c>
      <c r="H22" s="30"/>
      <c r="I22" s="15">
        <f>I21/I11</f>
        <v>-5.205607476635514E-2</v>
      </c>
      <c r="J22" s="15">
        <f>J21/J11</f>
        <v>-8.7468623286348718E-2</v>
      </c>
      <c r="K22" s="15">
        <f>K21/K11</f>
        <v>9.7204128670207429E-3</v>
      </c>
      <c r="L22" s="15">
        <f>L21/L11</f>
        <v>-1.7697394010112798E-2</v>
      </c>
      <c r="M22" s="15">
        <f>M21/M11</f>
        <v>-2.6812612974492871E-2</v>
      </c>
      <c r="N22" s="15">
        <f>N21/N11</f>
        <v>-1.0509626274065684</v>
      </c>
      <c r="O22" s="15">
        <f>O21/O11</f>
        <v>2.9200872908656344E-2</v>
      </c>
      <c r="P22" s="15">
        <f>P21/P11</f>
        <v>1.6156377779994017E-2</v>
      </c>
      <c r="Q22" s="15">
        <f>Q21/Q11</f>
        <v>-4.1207261387682373E-3</v>
      </c>
      <c r="R22" s="15">
        <f>R21/R11</f>
        <v>-1.8854463921728494E-2</v>
      </c>
      <c r="S22" s="15">
        <f>S21/S11</f>
        <v>6.755113322277502E-2</v>
      </c>
      <c r="U22" s="15">
        <f>U21/U11</f>
        <v>-3.7462791316763874E-2</v>
      </c>
      <c r="V22" s="15">
        <f>V21/V11</f>
        <v>-3.1001256807708422E-2</v>
      </c>
      <c r="W22" s="15">
        <f>W21/W11</f>
        <v>-0.26443631992788103</v>
      </c>
      <c r="X22" s="15">
        <f>X21/X11</f>
        <v>-0.26216584971448786</v>
      </c>
      <c r="Y22" s="15">
        <f>Y21/Y11</f>
        <v>-0.25513084611276415</v>
      </c>
      <c r="Z22" s="15">
        <f>Z21/Z11</f>
        <v>-0.2556465494757707</v>
      </c>
      <c r="AA22" s="15">
        <f>AA21/AA11</f>
        <v>5.7490700033818055E-3</v>
      </c>
      <c r="AB22" s="15">
        <f>AB21/AB11</f>
        <v>1.4552465467606898E-2</v>
      </c>
      <c r="AC22" s="11"/>
      <c r="AD22" s="70">
        <f>SUM(AB22-X22)*1000</f>
        <v>276.71831518209478</v>
      </c>
    </row>
    <row r="23" spans="2:30" ht="5.0999999999999996" customHeight="1">
      <c r="B23" s="14"/>
      <c r="C23" s="15"/>
      <c r="D23" s="15"/>
      <c r="E23" s="15"/>
      <c r="F23" s="15"/>
      <c r="G23" s="15"/>
      <c r="H23" s="30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U23" s="30"/>
      <c r="V23" s="30"/>
      <c r="W23" s="30"/>
      <c r="X23" s="30"/>
      <c r="Y23" s="30"/>
      <c r="Z23" s="30"/>
      <c r="AA23" s="30"/>
      <c r="AB23" s="30"/>
      <c r="AC23" s="11"/>
      <c r="AD23" s="68"/>
    </row>
    <row r="24" spans="2:30" ht="12.75" customHeight="1">
      <c r="B24" s="9" t="s">
        <v>130</v>
      </c>
      <c r="C24" s="76">
        <v>-648</v>
      </c>
      <c r="D24" s="76">
        <v>-633</v>
      </c>
      <c r="E24" s="76">
        <v>-1777</v>
      </c>
      <c r="F24" s="76">
        <v>-2221</v>
      </c>
      <c r="G24" s="76">
        <v>-2017</v>
      </c>
      <c r="H24" s="30"/>
      <c r="I24" s="76">
        <v>-571</v>
      </c>
      <c r="J24" s="76">
        <v>-574</v>
      </c>
      <c r="K24" s="76">
        <v>-574</v>
      </c>
      <c r="L24" s="30">
        <f t="shared" ref="L24:L27" si="77">SUM(F24-SUM(I24:K24))</f>
        <v>-502</v>
      </c>
      <c r="M24" s="76">
        <v>-515</v>
      </c>
      <c r="N24" s="76">
        <v>-518</v>
      </c>
      <c r="O24" s="76">
        <v>-494</v>
      </c>
      <c r="P24" s="30">
        <f t="shared" ref="P24:P27" si="78">SUM(G24-SUM(M24:O24))</f>
        <v>-490</v>
      </c>
      <c r="Q24" s="76">
        <v>-468</v>
      </c>
      <c r="R24" s="76">
        <v>-463</v>
      </c>
      <c r="S24" s="76">
        <v>-570</v>
      </c>
      <c r="U24" s="30">
        <f t="shared" ref="U24:U27" si="79">SUM(I24:L24)</f>
        <v>-2221</v>
      </c>
      <c r="V24" s="30">
        <f t="shared" ref="V24:V27" si="80">SUM(J24:M24)</f>
        <v>-2165</v>
      </c>
      <c r="W24" s="30">
        <f t="shared" ref="W24:W27" si="81">SUM(K24:N24)</f>
        <v>-2109</v>
      </c>
      <c r="X24" s="30">
        <f t="shared" ref="X24:X27" si="82">SUM(L24:O24)</f>
        <v>-2029</v>
      </c>
      <c r="Y24" s="30">
        <f t="shared" ref="Y24:Y27" si="83">SUM(M24:P24)</f>
        <v>-2017</v>
      </c>
      <c r="Z24" s="30">
        <f t="shared" ref="Z24:Z27" si="84">SUM(N24:Q24)</f>
        <v>-1970</v>
      </c>
      <c r="AA24" s="30">
        <f t="shared" ref="AA24:AA27" si="85">SUM(O24:R24)</f>
        <v>-1915</v>
      </c>
      <c r="AB24" s="30">
        <f t="shared" ref="AB24:AB27" si="86">SUM(P24:S24)</f>
        <v>-1991</v>
      </c>
      <c r="AC24" s="11"/>
      <c r="AD24" s="68">
        <f t="shared" si="8"/>
        <v>-1.8728437654016772E-2</v>
      </c>
    </row>
    <row r="25" spans="2:30" ht="12.75" customHeight="1">
      <c r="B25" s="9" t="s">
        <v>131</v>
      </c>
      <c r="C25" s="76">
        <v>0</v>
      </c>
      <c r="D25" s="76">
        <v>0</v>
      </c>
      <c r="E25" s="76">
        <v>0</v>
      </c>
      <c r="F25" s="76">
        <v>17</v>
      </c>
      <c r="G25" s="76">
        <v>632</v>
      </c>
      <c r="H25" s="30"/>
      <c r="I25" s="76">
        <v>0</v>
      </c>
      <c r="J25" s="76">
        <v>-5</v>
      </c>
      <c r="K25" s="76">
        <v>22</v>
      </c>
      <c r="L25" s="30">
        <f t="shared" si="77"/>
        <v>0</v>
      </c>
      <c r="M25" s="76">
        <v>0</v>
      </c>
      <c r="N25" s="76">
        <v>542</v>
      </c>
      <c r="O25" s="76">
        <v>23</v>
      </c>
      <c r="P25" s="30">
        <f t="shared" si="78"/>
        <v>67</v>
      </c>
      <c r="Q25" s="76">
        <v>-4</v>
      </c>
      <c r="R25" s="76">
        <v>2958</v>
      </c>
      <c r="S25" s="76">
        <v>-1</v>
      </c>
      <c r="U25" s="30">
        <f t="shared" si="79"/>
        <v>17</v>
      </c>
      <c r="V25" s="30">
        <f t="shared" si="80"/>
        <v>17</v>
      </c>
      <c r="W25" s="30">
        <f t="shared" si="81"/>
        <v>564</v>
      </c>
      <c r="X25" s="30">
        <f t="shared" si="82"/>
        <v>565</v>
      </c>
      <c r="Y25" s="30">
        <f t="shared" si="83"/>
        <v>632</v>
      </c>
      <c r="Z25" s="30">
        <f t="shared" si="84"/>
        <v>628</v>
      </c>
      <c r="AA25" s="30">
        <f t="shared" si="85"/>
        <v>3044</v>
      </c>
      <c r="AB25" s="30">
        <f t="shared" si="86"/>
        <v>3020</v>
      </c>
      <c r="AC25" s="11"/>
      <c r="AD25" s="68">
        <f t="shared" ref="AD25:AD26" si="87">SUM(AB25/X25)-1</f>
        <v>4.3451327433628322</v>
      </c>
    </row>
    <row r="26" spans="2:30" ht="12.75" customHeight="1">
      <c r="B26" s="9" t="s">
        <v>132</v>
      </c>
      <c r="C26" s="76">
        <v>-105</v>
      </c>
      <c r="D26" s="76">
        <v>-18</v>
      </c>
      <c r="E26" s="76">
        <v>-160</v>
      </c>
      <c r="F26" s="76">
        <v>-82</v>
      </c>
      <c r="G26" s="76">
        <v>-121</v>
      </c>
      <c r="H26" s="30"/>
      <c r="I26" s="76">
        <v>-37</v>
      </c>
      <c r="J26" s="76">
        <v>-22</v>
      </c>
      <c r="K26" s="76">
        <v>-14</v>
      </c>
      <c r="L26" s="30">
        <f t="shared" si="77"/>
        <v>-9</v>
      </c>
      <c r="M26" s="76">
        <v>-48</v>
      </c>
      <c r="N26" s="76">
        <v>-23</v>
      </c>
      <c r="O26" s="76">
        <v>-18</v>
      </c>
      <c r="P26" s="30">
        <f t="shared" si="78"/>
        <v>-32</v>
      </c>
      <c r="Q26" s="76">
        <v>-7</v>
      </c>
      <c r="R26" s="76">
        <v>5</v>
      </c>
      <c r="S26" s="76">
        <v>17</v>
      </c>
      <c r="U26" s="30">
        <f t="shared" si="79"/>
        <v>-82</v>
      </c>
      <c r="V26" s="30">
        <f t="shared" si="80"/>
        <v>-93</v>
      </c>
      <c r="W26" s="30">
        <f t="shared" si="81"/>
        <v>-94</v>
      </c>
      <c r="X26" s="30">
        <f t="shared" si="82"/>
        <v>-98</v>
      </c>
      <c r="Y26" s="30">
        <f t="shared" si="83"/>
        <v>-121</v>
      </c>
      <c r="Z26" s="30">
        <f t="shared" si="84"/>
        <v>-80</v>
      </c>
      <c r="AA26" s="30">
        <f t="shared" si="85"/>
        <v>-52</v>
      </c>
      <c r="AB26" s="30">
        <f t="shared" si="86"/>
        <v>-17</v>
      </c>
      <c r="AC26" s="11"/>
      <c r="AD26" s="68">
        <f t="shared" si="87"/>
        <v>-0.82653061224489799</v>
      </c>
    </row>
    <row r="27" spans="2:30" ht="12.75" customHeight="1">
      <c r="B27" s="9" t="s">
        <v>133</v>
      </c>
      <c r="C27" s="76">
        <v>-34</v>
      </c>
      <c r="D27" s="76">
        <v>72</v>
      </c>
      <c r="E27" s="76">
        <v>347</v>
      </c>
      <c r="F27" s="76">
        <v>-29</v>
      </c>
      <c r="G27" s="76">
        <v>150</v>
      </c>
      <c r="H27" s="30"/>
      <c r="I27" s="76">
        <v>-73</v>
      </c>
      <c r="J27" s="76">
        <v>27</v>
      </c>
      <c r="K27" s="76">
        <v>-63</v>
      </c>
      <c r="L27" s="30">
        <f t="shared" si="77"/>
        <v>80</v>
      </c>
      <c r="M27" s="76">
        <v>11</v>
      </c>
      <c r="N27" s="76">
        <v>172</v>
      </c>
      <c r="O27" s="76">
        <v>30</v>
      </c>
      <c r="P27" s="30">
        <f t="shared" si="78"/>
        <v>-63</v>
      </c>
      <c r="Q27" s="76">
        <v>82</v>
      </c>
      <c r="R27" s="76">
        <v>139</v>
      </c>
      <c r="S27" s="76">
        <v>-30</v>
      </c>
      <c r="U27" s="30">
        <f t="shared" si="79"/>
        <v>-29</v>
      </c>
      <c r="V27" s="30">
        <f t="shared" si="80"/>
        <v>55</v>
      </c>
      <c r="W27" s="30">
        <f t="shared" si="81"/>
        <v>200</v>
      </c>
      <c r="X27" s="30">
        <f t="shared" si="82"/>
        <v>293</v>
      </c>
      <c r="Y27" s="30">
        <f t="shared" si="83"/>
        <v>150</v>
      </c>
      <c r="Z27" s="30">
        <f t="shared" si="84"/>
        <v>221</v>
      </c>
      <c r="AA27" s="30">
        <f t="shared" si="85"/>
        <v>188</v>
      </c>
      <c r="AB27" s="30">
        <f t="shared" si="86"/>
        <v>128</v>
      </c>
      <c r="AC27" s="11"/>
      <c r="AD27" s="68">
        <f t="shared" ref="AD27" si="88">SUM(AB27/X27)-1</f>
        <v>-0.56313993174061427</v>
      </c>
    </row>
    <row r="28" spans="2:30" ht="12.75" customHeight="1">
      <c r="B28" s="23" t="s">
        <v>134</v>
      </c>
      <c r="C28" s="24">
        <f>SUM(C24:C27)+C21</f>
        <v>1728</v>
      </c>
      <c r="D28" s="24">
        <f>SUM(D24:D27)+D21</f>
        <v>1433</v>
      </c>
      <c r="E28" s="24">
        <f>SUM(E24:E27)+E21</f>
        <v>-8960</v>
      </c>
      <c r="F28" s="24">
        <f>SUM(F24:F27)+F21</f>
        <v>-3863</v>
      </c>
      <c r="G28" s="24">
        <f>SUM(G24:G27)+G21</f>
        <v>-11388</v>
      </c>
      <c r="H28" s="30"/>
      <c r="I28" s="24">
        <f>SUM(I24:I27)+I21</f>
        <v>-1238</v>
      </c>
      <c r="J28" s="24">
        <f>SUM(J24:J27)+J21</f>
        <v>-1480</v>
      </c>
      <c r="K28" s="24">
        <f>SUM(K24:K27)+K21</f>
        <v>-532</v>
      </c>
      <c r="L28" s="24">
        <f>SUM(L24:L27)+L21</f>
        <v>-613</v>
      </c>
      <c r="M28" s="24">
        <f>SUM(M24:M27)+M21</f>
        <v>-819</v>
      </c>
      <c r="N28" s="24">
        <f>SUM(N24:N27)+N21</f>
        <v>-10035</v>
      </c>
      <c r="O28" s="24">
        <f>SUM(O24:O27)+O21</f>
        <v>-178</v>
      </c>
      <c r="P28" s="24">
        <f>SUM(P24:P27)+P21</f>
        <v>-356</v>
      </c>
      <c r="Q28" s="24">
        <f>SUM(Q24:Q27)+Q21</f>
        <v>-434</v>
      </c>
      <c r="R28" s="24">
        <f>SUM(R24:R27)+R21</f>
        <v>2454</v>
      </c>
      <c r="S28" s="24">
        <f>SUM(S24:S27)+S21</f>
        <v>27</v>
      </c>
      <c r="U28" s="24">
        <f>SUM(U24:U27)+U21</f>
        <v>-3863</v>
      </c>
      <c r="V28" s="24">
        <f>SUM(V24:V27)+V21</f>
        <v>-3444</v>
      </c>
      <c r="W28" s="24">
        <f>SUM(W24:W27)+W21</f>
        <v>-11999</v>
      </c>
      <c r="X28" s="24">
        <f>SUM(X24:X27)+X21</f>
        <v>-11645</v>
      </c>
      <c r="Y28" s="24">
        <f>SUM(Y24:Y27)+Y21</f>
        <v>-11388</v>
      </c>
      <c r="Z28" s="24">
        <f>SUM(Z24:Z27)+Z21</f>
        <v>-11003</v>
      </c>
      <c r="AA28" s="24">
        <f>SUM(AA24:AA27)+AA21</f>
        <v>1486</v>
      </c>
      <c r="AB28" s="24">
        <f>SUM(AB24:AB27)+AB21</f>
        <v>1691</v>
      </c>
      <c r="AC28" s="11"/>
      <c r="AD28" s="68">
        <f t="shared" si="8"/>
        <v>-1.1452125375697724</v>
      </c>
    </row>
    <row r="29" spans="2:30" ht="12.75" customHeight="1">
      <c r="B29" s="14" t="s">
        <v>78</v>
      </c>
      <c r="C29" s="15">
        <f>C28/C11</f>
        <v>0.16193421422547091</v>
      </c>
      <c r="D29" s="15">
        <f>D28/D11</f>
        <v>0.11754573045689443</v>
      </c>
      <c r="E29" s="15">
        <f>E28/E11</f>
        <v>-0.26495549575657212</v>
      </c>
      <c r="F29" s="15">
        <f>F28/F11</f>
        <v>-9.3487572904818378E-2</v>
      </c>
      <c r="G29" s="15">
        <f>G28/G11</f>
        <v>-0.28961623559929811</v>
      </c>
      <c r="H29" s="25"/>
      <c r="I29" s="15">
        <f>I28/I11</f>
        <v>-0.11570093457943925</v>
      </c>
      <c r="J29" s="15">
        <f>J28/J11</f>
        <v>-0.1428847267812319</v>
      </c>
      <c r="K29" s="15">
        <f>K28/K11</f>
        <v>-5.3311955105722016E-2</v>
      </c>
      <c r="L29" s="15">
        <f>L28/L11</f>
        <v>-5.9607156748346948E-2</v>
      </c>
      <c r="M29" s="15">
        <f>M28/M11</f>
        <v>-8.2245430809399472E-2</v>
      </c>
      <c r="N29" s="15">
        <f>N28/N11</f>
        <v>-1.03315144651498</v>
      </c>
      <c r="O29" s="15">
        <f>O28/O11</f>
        <v>-1.8497350098721811E-2</v>
      </c>
      <c r="P29" s="15">
        <f>P28/P11</f>
        <v>-3.5504138825172032E-2</v>
      </c>
      <c r="Q29" s="15">
        <f>Q28/Q11</f>
        <v>-4.8335003897984188E-2</v>
      </c>
      <c r="R29" s="15">
        <f>R28/R11</f>
        <v>0.25010191602119852</v>
      </c>
      <c r="S29" s="15">
        <f>S28/S11</f>
        <v>2.9850746268656717E-3</v>
      </c>
      <c r="U29" s="15">
        <f>U28/U11</f>
        <v>-9.3487572904818378E-2</v>
      </c>
      <c r="V29" s="15">
        <f>V28/V11</f>
        <v>-8.487148525099189E-2</v>
      </c>
      <c r="W29" s="15">
        <f>W28/W11</f>
        <v>-0.30047077678168976</v>
      </c>
      <c r="X29" s="15">
        <f>X28/X11</f>
        <v>-0.29422911718631561</v>
      </c>
      <c r="Y29" s="15">
        <f>Y28/Y11</f>
        <v>-0.28961623559929811</v>
      </c>
      <c r="Z29" s="15">
        <f>Z28/Z11</f>
        <v>-0.28696990245683585</v>
      </c>
      <c r="AA29" s="15">
        <f>AA28/AA11</f>
        <v>3.865664264717359E-2</v>
      </c>
      <c r="AB29" s="15">
        <f>AB28/AB11</f>
        <v>4.4661014710931514E-2</v>
      </c>
      <c r="AC29" s="40"/>
      <c r="AD29" s="70">
        <f>SUM(AB29-X29)*1000</f>
        <v>338.89013189724716</v>
      </c>
    </row>
    <row r="30" spans="2:30" ht="5.0999999999999996" customHeight="1">
      <c r="B30" s="14"/>
      <c r="C30" s="15"/>
      <c r="D30" s="15"/>
      <c r="E30" s="15"/>
      <c r="F30" s="15"/>
      <c r="G30" s="15"/>
      <c r="H30" s="2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U30" s="15"/>
      <c r="V30" s="15"/>
      <c r="W30" s="15"/>
      <c r="X30" s="15"/>
      <c r="Y30" s="15"/>
      <c r="Z30" s="15"/>
      <c r="AA30" s="15"/>
      <c r="AB30" s="15"/>
      <c r="AC30" s="40"/>
      <c r="AD30" s="70"/>
    </row>
    <row r="31" spans="2:30" ht="12.75" customHeight="1">
      <c r="B31" s="9" t="s">
        <v>83</v>
      </c>
      <c r="C31" s="76">
        <v>-373</v>
      </c>
      <c r="D31" s="76">
        <v>-236</v>
      </c>
      <c r="E31" s="76">
        <v>1663</v>
      </c>
      <c r="F31" s="76">
        <v>784</v>
      </c>
      <c r="G31" s="76">
        <v>-94</v>
      </c>
      <c r="H31" s="30"/>
      <c r="I31" s="76">
        <v>178</v>
      </c>
      <c r="J31" s="76">
        <v>260</v>
      </c>
      <c r="K31" s="76">
        <v>125</v>
      </c>
      <c r="L31" s="30">
        <f t="shared" ref="L31" si="89">SUM(F31-SUM(I31:K31))</f>
        <v>221</v>
      </c>
      <c r="M31" s="76">
        <v>-136</v>
      </c>
      <c r="N31" s="76">
        <v>7</v>
      </c>
      <c r="O31" s="76">
        <v>319</v>
      </c>
      <c r="P31" s="30">
        <f>SUM(G31-SUM(M31:O31))</f>
        <v>-284</v>
      </c>
      <c r="Q31" s="76">
        <v>-15</v>
      </c>
      <c r="R31" s="76">
        <v>-866</v>
      </c>
      <c r="S31" s="76">
        <v>-170</v>
      </c>
      <c r="U31" s="30">
        <f t="shared" ref="U31" si="90">SUM(I31:L31)</f>
        <v>784</v>
      </c>
      <c r="V31" s="30">
        <f t="shared" ref="V31" si="91">SUM(J31:M31)</f>
        <v>470</v>
      </c>
      <c r="W31" s="30">
        <f t="shared" ref="W31" si="92">SUM(K31:N31)</f>
        <v>217</v>
      </c>
      <c r="X31" s="30">
        <f t="shared" ref="X31" si="93">SUM(L31:O31)</f>
        <v>411</v>
      </c>
      <c r="Y31" s="30">
        <f t="shared" ref="Y31" si="94">SUM(M31:P31)</f>
        <v>-94</v>
      </c>
      <c r="Z31" s="30">
        <f t="shared" ref="Z31" si="95">SUM(N31:Q31)</f>
        <v>27</v>
      </c>
      <c r="AA31" s="30">
        <f t="shared" ref="AA31" si="96">SUM(O31:R31)</f>
        <v>-846</v>
      </c>
      <c r="AB31" s="30">
        <f>SUM(P31:S31)</f>
        <v>-1335</v>
      </c>
      <c r="AC31" s="11"/>
      <c r="AD31" s="68">
        <f t="shared" ref="AD31:AD32" si="97">SUM(AB31/X31)-1</f>
        <v>-4.2481751824817522</v>
      </c>
    </row>
    <row r="32" spans="2:30" ht="12.75" customHeight="1">
      <c r="B32" s="12" t="s">
        <v>136</v>
      </c>
      <c r="C32" s="13">
        <f>SUM(C28+SUM(C31:C31))</f>
        <v>1355</v>
      </c>
      <c r="D32" s="13">
        <f>SUM(D28+SUM(D31:D31))</f>
        <v>1197</v>
      </c>
      <c r="E32" s="13">
        <f>SUM(E28+SUM(E31:E31))</f>
        <v>-7297</v>
      </c>
      <c r="F32" s="13">
        <f>SUM(F28+SUM(F31:F31))</f>
        <v>-3079</v>
      </c>
      <c r="G32" s="13">
        <f>SUM(G28+SUM(G31:G31))</f>
        <v>-11482</v>
      </c>
      <c r="I32" s="13">
        <f>SUM(I28+SUM(I31:I31))</f>
        <v>-1060</v>
      </c>
      <c r="J32" s="13">
        <f>SUM(J28+SUM(J31:J31))</f>
        <v>-1220</v>
      </c>
      <c r="K32" s="13">
        <f>SUM(K28+SUM(K31:K31))</f>
        <v>-407</v>
      </c>
      <c r="L32" s="13">
        <f>SUM(L28+SUM(L31:L31))</f>
        <v>-392</v>
      </c>
      <c r="M32" s="13">
        <f>SUM(M28+SUM(M31:M31))</f>
        <v>-955</v>
      </c>
      <c r="N32" s="13">
        <f>SUM(N28+SUM(N31:N31))</f>
        <v>-10028</v>
      </c>
      <c r="O32" s="13">
        <f>SUM(O28+SUM(O31:O31))</f>
        <v>141</v>
      </c>
      <c r="P32" s="13">
        <f>SUM(P28+SUM(P31:P31))</f>
        <v>-640</v>
      </c>
      <c r="Q32" s="13">
        <f>SUM(Q28+SUM(Q31:Q31))</f>
        <v>-449</v>
      </c>
      <c r="R32" s="13">
        <f>SUM(R28+SUM(R31:R31))</f>
        <v>1588</v>
      </c>
      <c r="S32" s="13">
        <f>SUM(S28+SUM(S31:S31))</f>
        <v>-143</v>
      </c>
      <c r="U32" s="13">
        <f>SUM(U24+SUM(U31:U31))</f>
        <v>-1437</v>
      </c>
      <c r="V32" s="13">
        <f>SUM(V24+SUM(V31:V31))</f>
        <v>-1695</v>
      </c>
      <c r="W32" s="13">
        <f>SUM(W24+SUM(W31:W31))</f>
        <v>-1892</v>
      </c>
      <c r="X32" s="13">
        <f>SUM(X24+SUM(X31:X31))</f>
        <v>-1618</v>
      </c>
      <c r="Y32" s="13">
        <f>SUM(Y24+SUM(Y31:Y31))</f>
        <v>-2111</v>
      </c>
      <c r="Z32" s="13">
        <f>SUM(Z24+SUM(Z31:Z31))</f>
        <v>-1943</v>
      </c>
      <c r="AA32" s="13">
        <f>SUM(AA24+SUM(AA31:AA31))</f>
        <v>-2761</v>
      </c>
      <c r="AB32" s="13">
        <f>SUM(AB24+SUM(AB31:AB31))</f>
        <v>-3326</v>
      </c>
      <c r="AC32" s="39"/>
      <c r="AD32" s="69">
        <f t="shared" si="97"/>
        <v>1.0556242274412857</v>
      </c>
    </row>
    <row r="33" spans="1:30" s="154" customFormat="1" ht="5.0999999999999996" customHeight="1">
      <c r="B33" s="155"/>
      <c r="C33" s="156"/>
      <c r="D33" s="156"/>
      <c r="E33" s="156"/>
      <c r="F33" s="156"/>
      <c r="G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U33" s="156"/>
      <c r="V33" s="156"/>
      <c r="W33" s="156"/>
      <c r="X33" s="156"/>
      <c r="Y33" s="156"/>
      <c r="Z33" s="156"/>
      <c r="AA33" s="156"/>
      <c r="AB33" s="156"/>
      <c r="AC33" s="157"/>
      <c r="AD33" s="158"/>
    </row>
    <row r="34" spans="1:30" ht="12.75" customHeight="1">
      <c r="B34" s="9" t="s">
        <v>137</v>
      </c>
      <c r="C34" s="76">
        <v>-124</v>
      </c>
      <c r="D34" s="76">
        <v>-138</v>
      </c>
      <c r="E34" s="76">
        <v>-68</v>
      </c>
      <c r="F34" s="76">
        <v>-38</v>
      </c>
      <c r="G34" s="76">
        <v>129</v>
      </c>
      <c r="H34" s="30"/>
      <c r="I34" s="76">
        <v>-8</v>
      </c>
      <c r="J34" s="76">
        <v>-16</v>
      </c>
      <c r="K34" s="76">
        <v>-8</v>
      </c>
      <c r="L34" s="30">
        <f t="shared" ref="L34:L35" si="98">SUM(F34-SUM(I34:K34))</f>
        <v>-6</v>
      </c>
      <c r="M34" s="76">
        <v>-7</v>
      </c>
      <c r="N34" s="76">
        <v>-10</v>
      </c>
      <c r="O34" s="76">
        <v>-3</v>
      </c>
      <c r="P34" s="30">
        <f t="shared" ref="P34:P35" si="99">SUM(G34-SUM(M34:O34))</f>
        <v>149</v>
      </c>
      <c r="Q34" s="76">
        <v>-8</v>
      </c>
      <c r="R34" s="76">
        <v>-7</v>
      </c>
      <c r="S34" s="76">
        <v>-4</v>
      </c>
      <c r="U34" s="30">
        <f t="shared" ref="U34" si="100">SUM(I34:L34)</f>
        <v>-38</v>
      </c>
      <c r="V34" s="30">
        <f t="shared" ref="V34" si="101">SUM(J34:M34)</f>
        <v>-37</v>
      </c>
      <c r="W34" s="30">
        <f t="shared" ref="W34" si="102">SUM(K34:N34)</f>
        <v>-31</v>
      </c>
      <c r="X34" s="30">
        <f t="shared" ref="X34" si="103">SUM(L34:O34)</f>
        <v>-26</v>
      </c>
      <c r="Y34" s="30">
        <f t="shared" ref="Y34" si="104">SUM(M34:P34)</f>
        <v>129</v>
      </c>
      <c r="Z34" s="30">
        <f t="shared" ref="Z34" si="105">SUM(N34:Q34)</f>
        <v>128</v>
      </c>
      <c r="AA34" s="30">
        <f t="shared" ref="AA34" si="106">SUM(O34:R34)</f>
        <v>131</v>
      </c>
      <c r="AB34" s="30">
        <f>SUM(P34:S34)</f>
        <v>130</v>
      </c>
      <c r="AC34" s="11"/>
      <c r="AD34" s="68">
        <f t="shared" ref="AD34" si="107">SUM(AB34/X34)-1</f>
        <v>-6</v>
      </c>
    </row>
    <row r="35" spans="1:30" ht="12.75" customHeight="1">
      <c r="B35" s="9" t="s">
        <v>138</v>
      </c>
      <c r="C35" s="76">
        <v>-12</v>
      </c>
      <c r="D35" s="76">
        <v>-53</v>
      </c>
      <c r="E35" s="76">
        <v>-6</v>
      </c>
      <c r="F35" s="76">
        <v>-9</v>
      </c>
      <c r="G35" s="76">
        <v>42</v>
      </c>
      <c r="H35" s="30"/>
      <c r="I35" s="76">
        <v>-1</v>
      </c>
      <c r="J35" s="76">
        <v>-4</v>
      </c>
      <c r="K35" s="76">
        <v>-2</v>
      </c>
      <c r="L35" s="30">
        <f t="shared" si="98"/>
        <v>-2</v>
      </c>
      <c r="M35" s="76">
        <v>-4</v>
      </c>
      <c r="N35" s="76">
        <v>52</v>
      </c>
      <c r="O35" s="76">
        <v>-3</v>
      </c>
      <c r="P35" s="30">
        <f t="shared" si="99"/>
        <v>-3</v>
      </c>
      <c r="Q35" s="76">
        <v>4</v>
      </c>
      <c r="R35" s="76">
        <v>-1</v>
      </c>
      <c r="S35" s="76">
        <v>-1</v>
      </c>
      <c r="U35" s="30">
        <f t="shared" ref="U35" si="108">SUM(I35:L35)</f>
        <v>-9</v>
      </c>
      <c r="V35" s="30">
        <f t="shared" ref="V35" si="109">SUM(J35:M35)</f>
        <v>-12</v>
      </c>
      <c r="W35" s="30">
        <f t="shared" ref="W35" si="110">SUM(K35:N35)</f>
        <v>44</v>
      </c>
      <c r="X35" s="30">
        <f t="shared" ref="X35" si="111">SUM(L35:O35)</f>
        <v>43</v>
      </c>
      <c r="Y35" s="30">
        <f t="shared" ref="Y35" si="112">SUM(M35:P35)</f>
        <v>42</v>
      </c>
      <c r="Z35" s="30">
        <f t="shared" ref="Z35" si="113">SUM(N35:Q35)</f>
        <v>50</v>
      </c>
      <c r="AA35" s="30">
        <f t="shared" ref="AA35" si="114">SUM(O35:R35)</f>
        <v>-3</v>
      </c>
      <c r="AB35" s="30">
        <f>SUM(P35:S35)</f>
        <v>-1</v>
      </c>
      <c r="AC35" s="11"/>
      <c r="AD35" s="68"/>
    </row>
    <row r="36" spans="1:30" ht="12.75" customHeight="1">
      <c r="B36" s="12" t="s">
        <v>139</v>
      </c>
      <c r="C36" s="13">
        <f>SUM(C32)+SUM(C34:C35)</f>
        <v>1219</v>
      </c>
      <c r="D36" s="13">
        <f>SUM(D32)+SUM(D34:D35)</f>
        <v>1006</v>
      </c>
      <c r="E36" s="13">
        <f t="shared" ref="E36:G36" si="115">SUM(E32)+SUM(E34:E35)</f>
        <v>-7371</v>
      </c>
      <c r="F36" s="13">
        <f t="shared" si="115"/>
        <v>-3126</v>
      </c>
      <c r="G36" s="13">
        <f t="shared" si="115"/>
        <v>-11311</v>
      </c>
      <c r="I36" s="13">
        <f t="shared" ref="I36" si="116">SUM(I32)+SUM(I34:I35)</f>
        <v>-1069</v>
      </c>
      <c r="J36" s="13">
        <f t="shared" ref="J36" si="117">SUM(J32)+SUM(J34:J35)</f>
        <v>-1240</v>
      </c>
      <c r="K36" s="13">
        <f t="shared" ref="K36" si="118">SUM(K32)+SUM(K34:K35)</f>
        <v>-417</v>
      </c>
      <c r="L36" s="13">
        <f t="shared" ref="L36" si="119">SUM(L32)+SUM(L34:L35)</f>
        <v>-400</v>
      </c>
      <c r="M36" s="13">
        <f t="shared" ref="M36" si="120">SUM(M32)+SUM(M34:M35)</f>
        <v>-966</v>
      </c>
      <c r="N36" s="13">
        <f t="shared" ref="N36" si="121">SUM(N32)+SUM(N34:N35)</f>
        <v>-9986</v>
      </c>
      <c r="O36" s="13">
        <f t="shared" ref="O36" si="122">SUM(O32)+SUM(O34:O35)</f>
        <v>135</v>
      </c>
      <c r="P36" s="13">
        <f t="shared" ref="P36" si="123">SUM(P32)+SUM(P34:P35)</f>
        <v>-494</v>
      </c>
      <c r="Q36" s="13">
        <f t="shared" ref="Q36" si="124">SUM(Q32)+SUM(Q34:Q35)</f>
        <v>-453</v>
      </c>
      <c r="R36" s="13">
        <f t="shared" ref="R36" si="125">SUM(R32)+SUM(R34:R35)</f>
        <v>1580</v>
      </c>
      <c r="S36" s="13">
        <f t="shared" ref="S36" si="126">SUM(S32)+SUM(S34:S35)</f>
        <v>-148</v>
      </c>
      <c r="U36" s="13">
        <f t="shared" ref="U36" si="127">SUM(U32)+SUM(U34:U35)</f>
        <v>-1484</v>
      </c>
      <c r="V36" s="13">
        <f t="shared" ref="V36" si="128">SUM(V32)+SUM(V34:V35)</f>
        <v>-1744</v>
      </c>
      <c r="W36" s="13">
        <f t="shared" ref="W36" si="129">SUM(W32)+SUM(W34:W35)</f>
        <v>-1879</v>
      </c>
      <c r="X36" s="13">
        <f t="shared" ref="X36" si="130">SUM(X32)+SUM(X34:X35)</f>
        <v>-1601</v>
      </c>
      <c r="Y36" s="13">
        <f t="shared" ref="Y36" si="131">SUM(Y32)+SUM(Y34:Y35)</f>
        <v>-1940</v>
      </c>
      <c r="Z36" s="13">
        <f t="shared" ref="Z36" si="132">SUM(Z32)+SUM(Z34:Z35)</f>
        <v>-1765</v>
      </c>
      <c r="AA36" s="13">
        <f t="shared" ref="AA36" si="133">SUM(AA32)+SUM(AA34:AA35)</f>
        <v>-2633</v>
      </c>
      <c r="AB36" s="13">
        <f t="shared" ref="AB36" si="134">SUM(AB32)+SUM(AB34:AB35)</f>
        <v>-3197</v>
      </c>
      <c r="AC36" s="39"/>
      <c r="AD36" s="69">
        <f t="shared" ref="AD36" si="135">SUM(AB36/X36)-1</f>
        <v>0.99687695190505932</v>
      </c>
    </row>
    <row r="37" spans="1:30" ht="5.0999999999999996" customHeight="1">
      <c r="B37" s="9"/>
      <c r="C37" s="76"/>
      <c r="D37" s="76"/>
      <c r="E37" s="76"/>
      <c r="F37" s="76"/>
      <c r="G37" s="76"/>
      <c r="H37" s="30"/>
      <c r="I37" s="76"/>
      <c r="J37" s="76"/>
      <c r="K37" s="76"/>
      <c r="L37" s="30"/>
      <c r="M37" s="76"/>
      <c r="N37" s="76"/>
      <c r="O37" s="76"/>
      <c r="P37" s="30"/>
      <c r="Q37" s="76"/>
      <c r="R37" s="76"/>
      <c r="S37" s="76"/>
      <c r="U37" s="30"/>
      <c r="V37" s="30"/>
      <c r="W37" s="30"/>
      <c r="X37" s="30"/>
      <c r="Y37" s="30"/>
      <c r="Z37" s="30"/>
      <c r="AA37" s="30"/>
      <c r="AB37" s="30"/>
      <c r="AC37" s="11"/>
      <c r="AD37" s="68"/>
    </row>
    <row r="38" spans="1:30" ht="12.75" customHeight="1">
      <c r="B38" s="41" t="s">
        <v>61</v>
      </c>
      <c r="C38" s="76">
        <v>599</v>
      </c>
      <c r="D38" s="76">
        <v>588</v>
      </c>
      <c r="E38" s="76">
        <v>1940</v>
      </c>
      <c r="F38" s="76">
        <v>2436</v>
      </c>
      <c r="G38" s="76">
        <v>2450</v>
      </c>
      <c r="H38" s="25"/>
      <c r="I38" s="76">
        <v>2432</v>
      </c>
      <c r="J38" s="76">
        <v>2437</v>
      </c>
      <c r="K38" s="76">
        <v>2438</v>
      </c>
      <c r="L38" s="30">
        <f>F38</f>
        <v>2436</v>
      </c>
      <c r="M38" s="76">
        <v>2443</v>
      </c>
      <c r="N38" s="76">
        <v>2451</v>
      </c>
      <c r="O38" s="76">
        <v>2453</v>
      </c>
      <c r="P38" s="30">
        <f>G38</f>
        <v>2450</v>
      </c>
      <c r="Q38" s="76">
        <v>2462</v>
      </c>
      <c r="R38" s="76">
        <v>2477</v>
      </c>
      <c r="S38" s="76">
        <v>2479</v>
      </c>
      <c r="T38" s="30"/>
      <c r="U38" s="30">
        <f t="shared" ref="U38:AA38" si="136">L38</f>
        <v>2436</v>
      </c>
      <c r="V38" s="30">
        <f t="shared" si="136"/>
        <v>2443</v>
      </c>
      <c r="W38" s="30">
        <f t="shared" si="136"/>
        <v>2451</v>
      </c>
      <c r="X38" s="30">
        <f t="shared" si="136"/>
        <v>2453</v>
      </c>
      <c r="Y38" s="30">
        <f t="shared" si="136"/>
        <v>2450</v>
      </c>
      <c r="Z38" s="30">
        <f t="shared" si="136"/>
        <v>2462</v>
      </c>
      <c r="AA38" s="30">
        <f t="shared" si="136"/>
        <v>2477</v>
      </c>
      <c r="AB38" s="30">
        <f>S38</f>
        <v>2479</v>
      </c>
      <c r="AC38" s="40"/>
      <c r="AD38" s="68">
        <f t="shared" ref="AD38" si="137">SUM(AB38/X38)-1</f>
        <v>1.0599266204647462E-2</v>
      </c>
    </row>
    <row r="39" spans="1:30" ht="12.75" customHeight="1">
      <c r="B39" s="12" t="s">
        <v>62</v>
      </c>
      <c r="C39" s="71">
        <f>C36/C38</f>
        <v>2.035058430717863</v>
      </c>
      <c r="D39" s="71">
        <f>D36/D38</f>
        <v>1.7108843537414966</v>
      </c>
      <c r="E39" s="71">
        <f>E36/E38</f>
        <v>-3.7994845360824741</v>
      </c>
      <c r="F39" s="71">
        <f>F36/F38</f>
        <v>-1.2832512315270936</v>
      </c>
      <c r="G39" s="71">
        <f>G36/G38</f>
        <v>-4.6167346938775511</v>
      </c>
      <c r="H39" s="11"/>
      <c r="I39" s="71">
        <f>I36/I38</f>
        <v>-0.43955592105263158</v>
      </c>
      <c r="J39" s="71">
        <f>J36/J38</f>
        <v>-0.50882232252769799</v>
      </c>
      <c r="K39" s="71">
        <f>K36/K38</f>
        <v>-0.17104183757178015</v>
      </c>
      <c r="L39" s="71">
        <f>L36/L38</f>
        <v>-0.16420361247947454</v>
      </c>
      <c r="M39" s="71">
        <f>M36/M38</f>
        <v>-0.39541547277936961</v>
      </c>
      <c r="N39" s="71">
        <f>N36/N38</f>
        <v>-4.0742554059567526</v>
      </c>
      <c r="O39" s="71">
        <f>O36/O38</f>
        <v>5.5034651447207504E-2</v>
      </c>
      <c r="P39" s="71">
        <f>P36/P38</f>
        <v>-0.20163265306122449</v>
      </c>
      <c r="Q39" s="71">
        <f>Q36/Q38</f>
        <v>-0.18399675060926077</v>
      </c>
      <c r="R39" s="71">
        <f>R36/R38</f>
        <v>0.63786838918046018</v>
      </c>
      <c r="S39" s="71">
        <f>S36/S38</f>
        <v>-5.9701492537313432E-2</v>
      </c>
      <c r="T39" s="30"/>
      <c r="U39" s="71">
        <f>U36/U38</f>
        <v>-0.60919540229885061</v>
      </c>
      <c r="V39" s="71">
        <f>V36/V38</f>
        <v>-0.71387638149815802</v>
      </c>
      <c r="W39" s="71">
        <f>W36/W38</f>
        <v>-0.76662586699306401</v>
      </c>
      <c r="X39" s="71">
        <f>X36/X38</f>
        <v>-0.65267019975540153</v>
      </c>
      <c r="Y39" s="71">
        <f>Y36/Y38</f>
        <v>-0.7918367346938775</v>
      </c>
      <c r="Z39" s="71">
        <f>Z36/Z38</f>
        <v>-0.71689683184402919</v>
      </c>
      <c r="AA39" s="71">
        <f>AA36/AA38</f>
        <v>-1.0629794105773112</v>
      </c>
      <c r="AB39" s="71">
        <f>AB36/AB38</f>
        <v>-1.2896329164985882</v>
      </c>
      <c r="AC39" s="33"/>
      <c r="AD39" s="69">
        <f>SUM(AB39/X39)-1</f>
        <v>0.97593350666523238</v>
      </c>
    </row>
    <row r="40" spans="1:30" ht="5.0999999999999996" customHeight="1">
      <c r="B40" s="14"/>
      <c r="C40" s="15"/>
      <c r="D40" s="15"/>
      <c r="E40" s="15"/>
      <c r="F40" s="15"/>
      <c r="G40" s="15"/>
      <c r="H40" s="2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26"/>
      <c r="U40" s="15"/>
      <c r="V40" s="15"/>
      <c r="W40" s="15"/>
      <c r="X40" s="15"/>
      <c r="Y40" s="15"/>
      <c r="Z40" s="15"/>
      <c r="AA40" s="15"/>
      <c r="AB40" s="15"/>
      <c r="AC40" s="40"/>
      <c r="AD40" s="70"/>
    </row>
    <row r="41" spans="1:30" ht="12.75" customHeight="1">
      <c r="B41" s="41" t="s">
        <v>63</v>
      </c>
      <c r="C41" s="76">
        <v>672</v>
      </c>
      <c r="D41" s="76">
        <v>664</v>
      </c>
      <c r="E41" s="76">
        <v>1940</v>
      </c>
      <c r="F41" s="76">
        <v>2436</v>
      </c>
      <c r="G41" s="76">
        <v>2450</v>
      </c>
      <c r="H41" s="25"/>
      <c r="I41" s="76">
        <v>2432</v>
      </c>
      <c r="J41" s="76">
        <v>2437</v>
      </c>
      <c r="K41" s="76">
        <v>2438</v>
      </c>
      <c r="L41" s="30">
        <f>F41</f>
        <v>2436</v>
      </c>
      <c r="M41" s="76">
        <v>2443</v>
      </c>
      <c r="N41" s="76">
        <v>2451</v>
      </c>
      <c r="O41" s="76">
        <v>2470</v>
      </c>
      <c r="P41" s="30">
        <f>G41</f>
        <v>2450</v>
      </c>
      <c r="Q41" s="76">
        <v>2462</v>
      </c>
      <c r="R41" s="76">
        <v>2499</v>
      </c>
      <c r="S41" s="76">
        <v>2479</v>
      </c>
      <c r="T41" s="30"/>
      <c r="U41" s="30">
        <f t="shared" ref="U41" si="138">L41</f>
        <v>2436</v>
      </c>
      <c r="V41" s="30">
        <f t="shared" ref="V41" si="139">M41</f>
        <v>2443</v>
      </c>
      <c r="W41" s="30">
        <f t="shared" ref="W41" si="140">N41</f>
        <v>2451</v>
      </c>
      <c r="X41" s="30">
        <f t="shared" ref="X41" si="141">O41</f>
        <v>2470</v>
      </c>
      <c r="Y41" s="30">
        <f t="shared" ref="Y41" si="142">P41</f>
        <v>2450</v>
      </c>
      <c r="Z41" s="30">
        <f t="shared" ref="Z41" si="143">Q41</f>
        <v>2462</v>
      </c>
      <c r="AA41" s="30">
        <f t="shared" ref="AA41" si="144">R41</f>
        <v>2499</v>
      </c>
      <c r="AB41" s="30">
        <f>S41</f>
        <v>2479</v>
      </c>
      <c r="AC41" s="40"/>
      <c r="AD41" s="68">
        <f t="shared" ref="AD41" si="145">SUM(AB41/X41)-1</f>
        <v>3.6437246963563208E-3</v>
      </c>
    </row>
    <row r="42" spans="1:30" ht="12.75" customHeight="1">
      <c r="B42" s="12" t="s">
        <v>64</v>
      </c>
      <c r="C42" s="71">
        <f>C36/C41</f>
        <v>1.8139880952380953</v>
      </c>
      <c r="D42" s="71">
        <f>D36/D41</f>
        <v>1.5150602409638554</v>
      </c>
      <c r="E42" s="71">
        <f>E36/E41</f>
        <v>-3.7994845360824741</v>
      </c>
      <c r="F42" s="71">
        <f>F36/F41</f>
        <v>-1.2832512315270936</v>
      </c>
      <c r="G42" s="71">
        <f>G36/G41</f>
        <v>-4.6167346938775511</v>
      </c>
      <c r="H42" s="25"/>
      <c r="I42" s="71">
        <f>I36/I41</f>
        <v>-0.43955592105263158</v>
      </c>
      <c r="J42" s="71">
        <f>J36/J41</f>
        <v>-0.50882232252769799</v>
      </c>
      <c r="K42" s="71">
        <f>K36/K41</f>
        <v>-0.17104183757178015</v>
      </c>
      <c r="L42" s="71">
        <f>L36/L41</f>
        <v>-0.16420361247947454</v>
      </c>
      <c r="M42" s="71">
        <f>M36/M41</f>
        <v>-0.39541547277936961</v>
      </c>
      <c r="N42" s="71">
        <f>N36/N41</f>
        <v>-4.0742554059567526</v>
      </c>
      <c r="O42" s="71">
        <f>O36/O41</f>
        <v>5.4655870445344132E-2</v>
      </c>
      <c r="P42" s="71">
        <f>P36/P41</f>
        <v>-0.20163265306122449</v>
      </c>
      <c r="Q42" s="71">
        <f>Q36/Q41</f>
        <v>-0.18399675060926077</v>
      </c>
      <c r="R42" s="71">
        <f>R36/R41</f>
        <v>0.63225290116046418</v>
      </c>
      <c r="S42" s="71">
        <f>S36/S41</f>
        <v>-5.9701492537313432E-2</v>
      </c>
      <c r="T42" s="30"/>
      <c r="U42" s="71">
        <f>U36/U41</f>
        <v>-0.60919540229885061</v>
      </c>
      <c r="V42" s="71">
        <f>V36/V41</f>
        <v>-0.71387638149815802</v>
      </c>
      <c r="W42" s="71">
        <f>W36/W41</f>
        <v>-0.76662586699306401</v>
      </c>
      <c r="X42" s="71">
        <f>X36/X41</f>
        <v>-0.64817813765182186</v>
      </c>
      <c r="Y42" s="71">
        <f>Y36/Y41</f>
        <v>-0.7918367346938775</v>
      </c>
      <c r="Z42" s="71">
        <f>Z36/Z41</f>
        <v>-0.71689683184402919</v>
      </c>
      <c r="AA42" s="71">
        <f>AA36/AA41</f>
        <v>-1.0536214485794317</v>
      </c>
      <c r="AB42" s="71">
        <f>AB36/AB41</f>
        <v>-1.2896329164985882</v>
      </c>
      <c r="AC42" s="33"/>
      <c r="AD42" s="69">
        <f>SUM(AB42/X42)-1</f>
        <v>0.98962729778358094</v>
      </c>
    </row>
    <row r="43" spans="1:30">
      <c r="B43" s="14"/>
      <c r="C43" s="15"/>
      <c r="D43" s="15"/>
      <c r="E43" s="15"/>
      <c r="F43" s="76"/>
      <c r="G43" s="76"/>
      <c r="H43" s="2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26"/>
      <c r="U43" s="15"/>
      <c r="V43" s="15"/>
      <c r="W43" s="15"/>
      <c r="X43" s="15"/>
      <c r="Y43" s="15"/>
      <c r="Z43" s="15"/>
      <c r="AA43" s="15"/>
      <c r="AB43" s="15"/>
      <c r="AC43" s="40"/>
    </row>
    <row r="44" spans="1:30" ht="12.75" customHeight="1">
      <c r="A44" s="5" t="s">
        <v>16</v>
      </c>
      <c r="B44" s="91" t="s">
        <v>73</v>
      </c>
      <c r="C44" s="92" t="s">
        <v>0</v>
      </c>
      <c r="D44" s="92" t="s">
        <v>0</v>
      </c>
      <c r="E44" s="92"/>
      <c r="F44" s="92"/>
      <c r="G44" s="92"/>
      <c r="H44" s="93"/>
      <c r="I44" s="92"/>
      <c r="J44" s="92"/>
      <c r="K44" s="92"/>
      <c r="L44" s="92"/>
      <c r="M44" s="92"/>
      <c r="N44" s="92"/>
      <c r="O44" s="92" t="s">
        <v>1</v>
      </c>
      <c r="P44" s="92"/>
      <c r="Q44" s="92"/>
      <c r="R44" s="92"/>
      <c r="S44" s="92"/>
      <c r="T44" s="91"/>
      <c r="U44" s="92"/>
      <c r="V44" s="92"/>
      <c r="W44" s="92"/>
      <c r="X44" s="92" t="s">
        <v>10</v>
      </c>
      <c r="Y44" s="92"/>
      <c r="Z44" s="92"/>
      <c r="AA44" s="92"/>
      <c r="AB44" s="92"/>
      <c r="AC44" s="93"/>
      <c r="AD44" s="151" t="s">
        <v>22</v>
      </c>
    </row>
    <row r="45" spans="1:30" ht="12.75" customHeight="1">
      <c r="B45" s="95" t="str">
        <f>B7</f>
        <v>Fiscal Period</v>
      </c>
      <c r="C45" s="94">
        <f>C7</f>
        <v>2020</v>
      </c>
      <c r="D45" s="94">
        <f>D7</f>
        <v>2021</v>
      </c>
      <c r="E45" s="94">
        <f>E7</f>
        <v>2022</v>
      </c>
      <c r="F45" s="94">
        <f>F7</f>
        <v>2023</v>
      </c>
      <c r="G45" s="94">
        <f>G7</f>
        <v>2024</v>
      </c>
      <c r="H45" s="93"/>
      <c r="I45" s="94" t="str">
        <f>I7</f>
        <v>1Q23</v>
      </c>
      <c r="J45" s="94" t="str">
        <f>J7</f>
        <v>2Q23</v>
      </c>
      <c r="K45" s="94" t="str">
        <f>K7</f>
        <v>3Q23</v>
      </c>
      <c r="L45" s="94" t="str">
        <f>L7</f>
        <v>4Q23</v>
      </c>
      <c r="M45" s="94" t="str">
        <f>M7</f>
        <v>1Q24</v>
      </c>
      <c r="N45" s="94" t="str">
        <f>N7</f>
        <v>2Q24</v>
      </c>
      <c r="O45" s="94" t="str">
        <f>O7</f>
        <v>3Q24</v>
      </c>
      <c r="P45" s="94" t="str">
        <f>P7</f>
        <v>4Q24</v>
      </c>
      <c r="Q45" s="94" t="str">
        <f>Q7</f>
        <v>1Q25</v>
      </c>
      <c r="R45" s="94" t="str">
        <f>R7</f>
        <v>2Q25</v>
      </c>
      <c r="S45" s="94" t="str">
        <f>S7</f>
        <v>3Q25</v>
      </c>
      <c r="T45" s="96"/>
      <c r="U45" s="94" t="str">
        <f>U7</f>
        <v>4Q23</v>
      </c>
      <c r="V45" s="94" t="str">
        <f>V7</f>
        <v>1Q24</v>
      </c>
      <c r="W45" s="94" t="str">
        <f>W7</f>
        <v>2Q24</v>
      </c>
      <c r="X45" s="94" t="str">
        <f>X7</f>
        <v>3Q24</v>
      </c>
      <c r="Y45" s="94" t="str">
        <f>Y7</f>
        <v>4Q24</v>
      </c>
      <c r="Z45" s="94" t="str">
        <f>Z7</f>
        <v>1Q25</v>
      </c>
      <c r="AA45" s="94" t="str">
        <f>AA7</f>
        <v>2Q25</v>
      </c>
      <c r="AB45" s="94" t="str">
        <f>AB7</f>
        <v>3Q25</v>
      </c>
      <c r="AC45" s="93"/>
      <c r="AD45" s="151"/>
    </row>
    <row r="46" spans="1:30" ht="12.75" customHeight="1">
      <c r="B46" s="95" t="str">
        <f>B8</f>
        <v>Fiscal Period End Date</v>
      </c>
      <c r="C46" s="97">
        <f>C8</f>
        <v>44196</v>
      </c>
      <c r="D46" s="97">
        <f>D8</f>
        <v>44561</v>
      </c>
      <c r="E46" s="97">
        <f>E8</f>
        <v>44926</v>
      </c>
      <c r="F46" s="97">
        <f>F8</f>
        <v>45291</v>
      </c>
      <c r="G46" s="97">
        <f>G8</f>
        <v>45657</v>
      </c>
      <c r="H46" s="93"/>
      <c r="I46" s="97">
        <f>I8</f>
        <v>45016</v>
      </c>
      <c r="J46" s="97">
        <f>J8</f>
        <v>45107</v>
      </c>
      <c r="K46" s="97">
        <f>K8</f>
        <v>45199</v>
      </c>
      <c r="L46" s="97">
        <f>L8</f>
        <v>44926</v>
      </c>
      <c r="M46" s="97">
        <f>M8</f>
        <v>45382</v>
      </c>
      <c r="N46" s="97">
        <f>N8</f>
        <v>45473</v>
      </c>
      <c r="O46" s="97">
        <f>O8</f>
        <v>45565</v>
      </c>
      <c r="P46" s="97">
        <f>P8</f>
        <v>45291</v>
      </c>
      <c r="Q46" s="97">
        <f>Q8</f>
        <v>45747</v>
      </c>
      <c r="R46" s="97">
        <f>R8</f>
        <v>45838</v>
      </c>
      <c r="S46" s="97">
        <f>S8</f>
        <v>45930</v>
      </c>
      <c r="T46" s="98"/>
      <c r="U46" s="97">
        <f>U8</f>
        <v>44926</v>
      </c>
      <c r="V46" s="97">
        <f>V8</f>
        <v>45382</v>
      </c>
      <c r="W46" s="97">
        <f>W8</f>
        <v>45473</v>
      </c>
      <c r="X46" s="97">
        <f>X8</f>
        <v>45565</v>
      </c>
      <c r="Y46" s="97">
        <f>Y8</f>
        <v>45291</v>
      </c>
      <c r="Z46" s="97">
        <f>Z8</f>
        <v>45747</v>
      </c>
      <c r="AA46" s="97">
        <f>AA8</f>
        <v>45838</v>
      </c>
      <c r="AB46" s="97">
        <f>AB8</f>
        <v>45930</v>
      </c>
      <c r="AC46" s="93"/>
      <c r="AD46" s="151"/>
    </row>
    <row r="47" spans="1:30" ht="5.0999999999999996" customHeight="1">
      <c r="B47" s="43"/>
      <c r="C47" s="44"/>
      <c r="D47" s="44"/>
      <c r="E47" s="44"/>
      <c r="F47" s="44"/>
      <c r="G47" s="44"/>
    </row>
    <row r="48" spans="1:30">
      <c r="B48" s="72" t="s">
        <v>79</v>
      </c>
      <c r="C48" s="44"/>
      <c r="D48" s="44"/>
      <c r="E48" s="44"/>
      <c r="F48" s="44"/>
      <c r="G48" s="44"/>
    </row>
    <row r="49" spans="2:30" ht="12.75" customHeight="1">
      <c r="B49" s="9" t="s">
        <v>106</v>
      </c>
      <c r="C49" s="105">
        <v>2091</v>
      </c>
      <c r="D49" s="105">
        <v>3905</v>
      </c>
      <c r="E49" s="105">
        <v>3731</v>
      </c>
      <c r="F49" s="105">
        <v>3780</v>
      </c>
      <c r="G49" s="105">
        <v>5312</v>
      </c>
      <c r="I49" s="105">
        <v>2594</v>
      </c>
      <c r="J49" s="105">
        <v>3027</v>
      </c>
      <c r="K49" s="105">
        <v>2383</v>
      </c>
      <c r="L49" s="82">
        <f>F49</f>
        <v>3780</v>
      </c>
      <c r="M49" s="105">
        <v>2976</v>
      </c>
      <c r="N49" s="105">
        <v>3613</v>
      </c>
      <c r="O49" s="105">
        <v>3336</v>
      </c>
      <c r="P49" s="82">
        <f t="shared" ref="P49:P51" si="146">G49</f>
        <v>5312</v>
      </c>
      <c r="Q49" s="105">
        <v>3868</v>
      </c>
      <c r="R49" s="105">
        <v>4888</v>
      </c>
      <c r="S49" s="105">
        <v>4294</v>
      </c>
      <c r="T49" s="82"/>
      <c r="U49" s="30">
        <f t="shared" ref="U49" si="147">L49</f>
        <v>3780</v>
      </c>
      <c r="V49" s="30">
        <f t="shared" ref="V49" si="148">M49</f>
        <v>2976</v>
      </c>
      <c r="W49" s="30">
        <f t="shared" ref="W49" si="149">N49</f>
        <v>3613</v>
      </c>
      <c r="X49" s="30">
        <f t="shared" ref="X49" si="150">O49</f>
        <v>3336</v>
      </c>
      <c r="Y49" s="30">
        <f t="shared" ref="Y49" si="151">P49</f>
        <v>5312</v>
      </c>
      <c r="Z49" s="30">
        <f t="shared" ref="Z49" si="152">Q49</f>
        <v>3868</v>
      </c>
      <c r="AA49" s="30">
        <f t="shared" ref="AA49" si="153">R49</f>
        <v>4888</v>
      </c>
      <c r="AB49" s="30">
        <f>S49</f>
        <v>4294</v>
      </c>
      <c r="AC49" s="11"/>
      <c r="AD49" s="68">
        <f t="shared" ref="AD49:AD50" si="154">SUM(AB49/X49)-1</f>
        <v>0.28717026378896882</v>
      </c>
    </row>
    <row r="50" spans="2:30" ht="12.75" customHeight="1">
      <c r="B50" s="9" t="s">
        <v>107</v>
      </c>
      <c r="C50" s="105">
        <v>2537</v>
      </c>
      <c r="D50" s="105">
        <v>2446</v>
      </c>
      <c r="E50" s="105">
        <v>6380</v>
      </c>
      <c r="F50" s="105">
        <v>6047</v>
      </c>
      <c r="G50" s="105">
        <v>4947</v>
      </c>
      <c r="I50" s="105">
        <v>6833</v>
      </c>
      <c r="J50" s="105">
        <v>6770</v>
      </c>
      <c r="K50" s="105">
        <v>6312</v>
      </c>
      <c r="L50" s="82">
        <f t="shared" ref="L50:L51" si="155">F50</f>
        <v>6047</v>
      </c>
      <c r="M50" s="105">
        <v>6303</v>
      </c>
      <c r="N50" s="105">
        <v>6166</v>
      </c>
      <c r="O50" s="105">
        <v>5534</v>
      </c>
      <c r="P50" s="82">
        <f t="shared" si="146"/>
        <v>4947</v>
      </c>
      <c r="Q50" s="105">
        <v>4664</v>
      </c>
      <c r="R50" s="105">
        <v>5383</v>
      </c>
      <c r="S50" s="105">
        <v>5128</v>
      </c>
      <c r="T50" s="82"/>
      <c r="U50" s="30">
        <f t="shared" ref="U50:U51" si="156">L50</f>
        <v>6047</v>
      </c>
      <c r="V50" s="30">
        <f t="shared" ref="V50:V51" si="157">M50</f>
        <v>6303</v>
      </c>
      <c r="W50" s="30">
        <f t="shared" ref="W50:W51" si="158">N50</f>
        <v>6166</v>
      </c>
      <c r="X50" s="30">
        <f t="shared" ref="X50:X51" si="159">O50</f>
        <v>5534</v>
      </c>
      <c r="Y50" s="30">
        <f t="shared" ref="Y50:Y51" si="160">P50</f>
        <v>4947</v>
      </c>
      <c r="Z50" s="30">
        <f t="shared" ref="Z50:Z51" si="161">Q50</f>
        <v>4664</v>
      </c>
      <c r="AA50" s="30">
        <f t="shared" ref="AA50:AA51" si="162">R50</f>
        <v>5383</v>
      </c>
      <c r="AB50" s="30">
        <f t="shared" ref="AB50:AB51" si="163">S50</f>
        <v>5128</v>
      </c>
      <c r="AC50" s="11"/>
      <c r="AD50" s="68">
        <f t="shared" si="154"/>
        <v>-7.336465486086019E-2</v>
      </c>
    </row>
    <row r="51" spans="2:30" ht="12.75" customHeight="1">
      <c r="B51" s="9" t="s">
        <v>108</v>
      </c>
      <c r="C51" s="105">
        <f>970+532</f>
        <v>1502</v>
      </c>
      <c r="D51" s="105">
        <v>913</v>
      </c>
      <c r="E51" s="105">
        <v>3888</v>
      </c>
      <c r="F51" s="105">
        <v>4391</v>
      </c>
      <c r="G51" s="105">
        <v>3819</v>
      </c>
      <c r="I51" s="105">
        <v>4300</v>
      </c>
      <c r="J51" s="105">
        <v>3976</v>
      </c>
      <c r="K51" s="105">
        <v>4136</v>
      </c>
      <c r="L51" s="82">
        <f t="shared" si="155"/>
        <v>4391</v>
      </c>
      <c r="M51" s="105">
        <v>4623</v>
      </c>
      <c r="N51" s="105">
        <v>3651</v>
      </c>
      <c r="O51" s="105">
        <v>3635</v>
      </c>
      <c r="P51" s="82">
        <f t="shared" si="146"/>
        <v>3819</v>
      </c>
      <c r="Q51" s="105">
        <v>4250</v>
      </c>
      <c r="R51" s="105">
        <v>3340</v>
      </c>
      <c r="S51" s="105">
        <v>3640</v>
      </c>
      <c r="T51" s="82"/>
      <c r="U51" s="30">
        <f t="shared" si="156"/>
        <v>4391</v>
      </c>
      <c r="V51" s="30">
        <f t="shared" si="157"/>
        <v>4623</v>
      </c>
      <c r="W51" s="30">
        <f t="shared" si="158"/>
        <v>3651</v>
      </c>
      <c r="X51" s="30">
        <f t="shared" si="159"/>
        <v>3635</v>
      </c>
      <c r="Y51" s="30">
        <f t="shared" si="160"/>
        <v>3819</v>
      </c>
      <c r="Z51" s="30">
        <f t="shared" si="161"/>
        <v>4250</v>
      </c>
      <c r="AA51" s="30">
        <f t="shared" si="162"/>
        <v>3340</v>
      </c>
      <c r="AB51" s="30">
        <f t="shared" si="163"/>
        <v>3640</v>
      </c>
      <c r="AC51" s="11"/>
      <c r="AD51" s="68">
        <f t="shared" ref="AD51" si="164">SUM(AB51/X51)-1</f>
        <v>1.3755158184318717E-3</v>
      </c>
    </row>
    <row r="52" spans="2:30" ht="12.75" customHeight="1">
      <c r="B52" s="23" t="s">
        <v>18</v>
      </c>
      <c r="C52" s="24">
        <f>SUM(C49:C51)</f>
        <v>6130</v>
      </c>
      <c r="D52" s="24">
        <f>SUM(D49:D51)</f>
        <v>7264</v>
      </c>
      <c r="E52" s="24">
        <f>SUM(E49:E51)</f>
        <v>13999</v>
      </c>
      <c r="F52" s="24">
        <f>SUM(F49:F51)</f>
        <v>14218</v>
      </c>
      <c r="G52" s="161">
        <f>SUM(G49:G51)</f>
        <v>14078</v>
      </c>
      <c r="H52" s="45"/>
      <c r="I52" s="24">
        <f>SUM(I49:I51)</f>
        <v>13727</v>
      </c>
      <c r="J52" s="24">
        <f>SUM(J49:J51)</f>
        <v>13773</v>
      </c>
      <c r="K52" s="24">
        <f>SUM(K49:K51)</f>
        <v>12831</v>
      </c>
      <c r="L52" s="24">
        <f>SUM(L49:L51)</f>
        <v>14218</v>
      </c>
      <c r="M52" s="24">
        <f>SUM(M49:M51)</f>
        <v>13902</v>
      </c>
      <c r="N52" s="24">
        <f>SUM(N49:N51)</f>
        <v>13430</v>
      </c>
      <c r="O52" s="24">
        <f>SUM(O49:O51)</f>
        <v>12505</v>
      </c>
      <c r="P52" s="24">
        <f>SUM(P49:P51)</f>
        <v>14078</v>
      </c>
      <c r="Q52" s="24">
        <f>SUM(Q49:Q51)</f>
        <v>12782</v>
      </c>
      <c r="R52" s="24">
        <f>SUM(R49:R51)</f>
        <v>13611</v>
      </c>
      <c r="S52" s="24">
        <f>SUM(S49:S51)</f>
        <v>13062</v>
      </c>
      <c r="T52" s="45"/>
      <c r="U52" s="24">
        <f>SUM(U49:U51)</f>
        <v>14218</v>
      </c>
      <c r="V52" s="24">
        <f>SUM(V49:V51)</f>
        <v>13902</v>
      </c>
      <c r="W52" s="24">
        <f>SUM(W49:W51)</f>
        <v>13430</v>
      </c>
      <c r="X52" s="24">
        <f>SUM(X49:X51)</f>
        <v>12505</v>
      </c>
      <c r="Y52" s="24">
        <f>SUM(Y49:Y51)</f>
        <v>14078</v>
      </c>
      <c r="Z52" s="24">
        <f>SUM(Z49:Z51)</f>
        <v>12782</v>
      </c>
      <c r="AA52" s="24">
        <f>SUM(AA49:AA51)</f>
        <v>13611</v>
      </c>
      <c r="AB52" s="24">
        <f>SUM(AB49:AB51)</f>
        <v>13062</v>
      </c>
      <c r="AC52" s="39"/>
      <c r="AD52" s="69">
        <f>SUM(AB52/X52)-1</f>
        <v>4.4542183126749402E-2</v>
      </c>
    </row>
    <row r="53" spans="2:30">
      <c r="B53" s="23"/>
      <c r="C53" s="46"/>
      <c r="D53" s="46"/>
      <c r="E53" s="38"/>
      <c r="F53" s="38"/>
      <c r="G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U53" s="39"/>
      <c r="V53" s="39"/>
      <c r="W53" s="39"/>
      <c r="X53" s="39"/>
      <c r="Y53" s="39"/>
      <c r="Z53" s="39"/>
      <c r="AA53" s="39"/>
      <c r="AB53" s="39"/>
      <c r="AC53" s="39"/>
      <c r="AD53" s="36"/>
    </row>
    <row r="54" spans="2:30" ht="12.75" customHeight="1">
      <c r="B54" s="72" t="s">
        <v>80</v>
      </c>
      <c r="C54" s="76"/>
      <c r="D54" s="76"/>
      <c r="E54" s="76"/>
      <c r="F54" s="76"/>
      <c r="G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U54" s="30"/>
      <c r="V54" s="30"/>
      <c r="W54" s="30"/>
      <c r="X54" s="30"/>
      <c r="Y54" s="30"/>
      <c r="Z54" s="30"/>
      <c r="AA54" s="30"/>
      <c r="AB54" s="30"/>
      <c r="AC54" s="11"/>
      <c r="AD54" s="68"/>
    </row>
    <row r="55" spans="2:30" ht="12.75" customHeight="1">
      <c r="B55" s="9" t="s">
        <v>168</v>
      </c>
      <c r="C55" s="76">
        <v>3439</v>
      </c>
      <c r="D55" s="76">
        <v>3832</v>
      </c>
      <c r="E55" s="76">
        <v>26652</v>
      </c>
      <c r="F55" s="76">
        <v>21229</v>
      </c>
      <c r="G55" s="76">
        <v>19102</v>
      </c>
      <c r="I55" s="105">
        <v>25473</v>
      </c>
      <c r="J55" s="105">
        <v>24393</v>
      </c>
      <c r="K55" s="105">
        <v>22454</v>
      </c>
      <c r="L55" s="82">
        <f t="shared" ref="L55:L59" si="165">F55</f>
        <v>21229</v>
      </c>
      <c r="M55" s="105">
        <v>20439</v>
      </c>
      <c r="N55" s="105">
        <v>20010</v>
      </c>
      <c r="O55" s="105">
        <v>20039</v>
      </c>
      <c r="P55" s="82">
        <f t="shared" ref="P55:P59" si="166">G55</f>
        <v>19102</v>
      </c>
      <c r="Q55" s="105">
        <v>18821</v>
      </c>
      <c r="R55" s="105">
        <v>18817</v>
      </c>
      <c r="S55" s="105">
        <v>19104</v>
      </c>
      <c r="U55" s="30">
        <f t="shared" ref="U55:U59" si="167">L55</f>
        <v>21229</v>
      </c>
      <c r="V55" s="30">
        <f t="shared" ref="V55:V59" si="168">M55</f>
        <v>20439</v>
      </c>
      <c r="W55" s="30">
        <f t="shared" ref="W55:W59" si="169">N55</f>
        <v>20010</v>
      </c>
      <c r="X55" s="30">
        <f t="shared" ref="X55:X59" si="170">O55</f>
        <v>20039</v>
      </c>
      <c r="Y55" s="30">
        <f t="shared" ref="Y55:Y59" si="171">P55</f>
        <v>19102</v>
      </c>
      <c r="Z55" s="30">
        <f t="shared" ref="Z55:Z59" si="172">Q55</f>
        <v>18821</v>
      </c>
      <c r="AA55" s="30">
        <f t="shared" ref="AA55:AA59" si="173">R55</f>
        <v>18817</v>
      </c>
      <c r="AB55" s="30">
        <f t="shared" ref="AB55:AB59" si="174">S55</f>
        <v>19104</v>
      </c>
      <c r="AC55" s="11"/>
      <c r="AD55" s="68">
        <f t="shared" ref="AD55:AD57" si="175">SUM(AB55/X55)-1</f>
        <v>-4.6659014920904185E-2</v>
      </c>
    </row>
    <row r="56" spans="2:30" ht="12.75" customHeight="1">
      <c r="B56" s="9" t="s">
        <v>109</v>
      </c>
      <c r="C56" s="76">
        <v>1206</v>
      </c>
      <c r="D56" s="76">
        <v>1336</v>
      </c>
      <c r="E56" s="76">
        <v>5301</v>
      </c>
      <c r="F56" s="76">
        <v>5957</v>
      </c>
      <c r="G56" s="76">
        <v>6087</v>
      </c>
      <c r="I56" s="105">
        <v>5325</v>
      </c>
      <c r="J56" s="105">
        <v>5473</v>
      </c>
      <c r="K56" s="105">
        <v>5810</v>
      </c>
      <c r="L56" s="82">
        <f t="shared" si="165"/>
        <v>5957</v>
      </c>
      <c r="M56" s="105">
        <v>5937</v>
      </c>
      <c r="N56" s="105">
        <v>6043</v>
      </c>
      <c r="O56" s="105">
        <v>6158</v>
      </c>
      <c r="P56" s="82">
        <f t="shared" si="166"/>
        <v>6087</v>
      </c>
      <c r="Q56" s="105">
        <v>6211</v>
      </c>
      <c r="R56" s="105">
        <v>6413</v>
      </c>
      <c r="S56" s="105">
        <v>6517</v>
      </c>
      <c r="U56" s="30">
        <f t="shared" si="167"/>
        <v>5957</v>
      </c>
      <c r="V56" s="30">
        <f t="shared" si="168"/>
        <v>5937</v>
      </c>
      <c r="W56" s="30">
        <f t="shared" si="169"/>
        <v>6043</v>
      </c>
      <c r="X56" s="30">
        <f t="shared" si="170"/>
        <v>6158</v>
      </c>
      <c r="Y56" s="30">
        <f t="shared" si="171"/>
        <v>6087</v>
      </c>
      <c r="Z56" s="30">
        <f t="shared" si="172"/>
        <v>6211</v>
      </c>
      <c r="AA56" s="30">
        <f t="shared" si="173"/>
        <v>6413</v>
      </c>
      <c r="AB56" s="30">
        <f t="shared" si="174"/>
        <v>6517</v>
      </c>
      <c r="AC56" s="11"/>
      <c r="AD56" s="68">
        <f t="shared" si="175"/>
        <v>5.8298148749593937E-2</v>
      </c>
    </row>
    <row r="57" spans="2:30" ht="12.75" customHeight="1">
      <c r="B57" s="9" t="s">
        <v>110</v>
      </c>
      <c r="C57" s="76">
        <v>13070</v>
      </c>
      <c r="D57" s="76">
        <v>12912</v>
      </c>
      <c r="E57" s="76">
        <v>34438</v>
      </c>
      <c r="F57" s="76">
        <v>34969</v>
      </c>
      <c r="G57" s="76">
        <v>25667</v>
      </c>
      <c r="I57" s="105">
        <v>34658</v>
      </c>
      <c r="J57" s="105">
        <v>34911</v>
      </c>
      <c r="K57" s="105">
        <v>34727</v>
      </c>
      <c r="L57" s="82">
        <f t="shared" si="165"/>
        <v>34969</v>
      </c>
      <c r="M57" s="105">
        <v>34891</v>
      </c>
      <c r="N57" s="105">
        <v>25740</v>
      </c>
      <c r="O57" s="105">
        <v>25869</v>
      </c>
      <c r="P57" s="82">
        <f t="shared" si="166"/>
        <v>25667</v>
      </c>
      <c r="Q57" s="105">
        <v>25746</v>
      </c>
      <c r="R57" s="105">
        <v>25939</v>
      </c>
      <c r="S57" s="105">
        <v>25920</v>
      </c>
      <c r="U57" s="30">
        <f t="shared" si="167"/>
        <v>34969</v>
      </c>
      <c r="V57" s="30">
        <f t="shared" si="168"/>
        <v>34891</v>
      </c>
      <c r="W57" s="30">
        <f t="shared" si="169"/>
        <v>25740</v>
      </c>
      <c r="X57" s="30">
        <f t="shared" si="170"/>
        <v>25869</v>
      </c>
      <c r="Y57" s="30">
        <f t="shared" si="171"/>
        <v>25667</v>
      </c>
      <c r="Z57" s="30">
        <f t="shared" si="172"/>
        <v>25746</v>
      </c>
      <c r="AA57" s="30">
        <f t="shared" si="173"/>
        <v>25939</v>
      </c>
      <c r="AB57" s="30">
        <f t="shared" si="174"/>
        <v>25920</v>
      </c>
      <c r="AC57" s="11"/>
      <c r="AD57" s="68">
        <f t="shared" si="175"/>
        <v>1.9714716455989656E-3</v>
      </c>
    </row>
    <row r="58" spans="2:30" ht="12.75" customHeight="1">
      <c r="B58" s="9" t="s">
        <v>111</v>
      </c>
      <c r="C58" s="76">
        <v>7640</v>
      </c>
      <c r="D58" s="76">
        <v>6317</v>
      </c>
      <c r="E58" s="76">
        <v>44982</v>
      </c>
      <c r="F58" s="76">
        <v>38285</v>
      </c>
      <c r="G58" s="76">
        <v>32299</v>
      </c>
      <c r="I58" s="105">
        <v>43239</v>
      </c>
      <c r="J58" s="105">
        <v>41584</v>
      </c>
      <c r="K58" s="105">
        <v>39874</v>
      </c>
      <c r="L58" s="82">
        <f t="shared" si="165"/>
        <v>38285</v>
      </c>
      <c r="M58" s="105">
        <v>36648</v>
      </c>
      <c r="N58" s="105">
        <v>35157</v>
      </c>
      <c r="O58" s="105">
        <v>33767</v>
      </c>
      <c r="P58" s="82">
        <f t="shared" si="166"/>
        <v>32299</v>
      </c>
      <c r="Q58" s="105">
        <v>31033</v>
      </c>
      <c r="R58" s="105">
        <v>29906</v>
      </c>
      <c r="S58" s="105">
        <v>28789</v>
      </c>
      <c r="U58" s="30">
        <f t="shared" si="167"/>
        <v>38285</v>
      </c>
      <c r="V58" s="30">
        <f t="shared" si="168"/>
        <v>36648</v>
      </c>
      <c r="W58" s="30">
        <f t="shared" si="169"/>
        <v>35157</v>
      </c>
      <c r="X58" s="30">
        <f t="shared" si="170"/>
        <v>33767</v>
      </c>
      <c r="Y58" s="30">
        <f t="shared" si="171"/>
        <v>32299</v>
      </c>
      <c r="Z58" s="30">
        <f t="shared" si="172"/>
        <v>31033</v>
      </c>
      <c r="AA58" s="30">
        <f t="shared" si="173"/>
        <v>29906</v>
      </c>
      <c r="AB58" s="30">
        <f t="shared" si="174"/>
        <v>28789</v>
      </c>
      <c r="AC58" s="11"/>
      <c r="AD58" s="68">
        <f t="shared" ref="AD58:AD59" si="176">SUM(AB58/X58)-1</f>
        <v>-0.14742203926910891</v>
      </c>
    </row>
    <row r="59" spans="2:30" ht="12.75" customHeight="1">
      <c r="B59" s="9" t="s">
        <v>169</v>
      </c>
      <c r="C59" s="76">
        <f>2095+507</f>
        <v>2602</v>
      </c>
      <c r="D59" s="76">
        <v>2766</v>
      </c>
      <c r="E59" s="76">
        <v>8629</v>
      </c>
      <c r="F59" s="76">
        <v>8099</v>
      </c>
      <c r="G59" s="76">
        <v>7327</v>
      </c>
      <c r="I59" s="105">
        <v>8162</v>
      </c>
      <c r="J59" s="105">
        <v>8484</v>
      </c>
      <c r="K59" s="105">
        <v>8053</v>
      </c>
      <c r="L59" s="82">
        <f t="shared" si="165"/>
        <v>8099</v>
      </c>
      <c r="M59" s="105">
        <v>8002</v>
      </c>
      <c r="N59" s="105">
        <v>7649</v>
      </c>
      <c r="O59" s="105">
        <v>7995</v>
      </c>
      <c r="P59" s="82">
        <f t="shared" si="166"/>
        <v>7327</v>
      </c>
      <c r="Q59" s="105">
        <v>7086</v>
      </c>
      <c r="R59" s="105">
        <v>7041</v>
      </c>
      <c r="S59" s="105">
        <v>7127</v>
      </c>
      <c r="U59" s="30">
        <f t="shared" si="167"/>
        <v>8099</v>
      </c>
      <c r="V59" s="30">
        <f t="shared" si="168"/>
        <v>8002</v>
      </c>
      <c r="W59" s="30">
        <f t="shared" si="169"/>
        <v>7649</v>
      </c>
      <c r="X59" s="30">
        <f t="shared" si="170"/>
        <v>7995</v>
      </c>
      <c r="Y59" s="30">
        <f t="shared" si="171"/>
        <v>7327</v>
      </c>
      <c r="Z59" s="30">
        <f t="shared" si="172"/>
        <v>7086</v>
      </c>
      <c r="AA59" s="30">
        <f t="shared" si="173"/>
        <v>7041</v>
      </c>
      <c r="AB59" s="30">
        <f t="shared" si="174"/>
        <v>7127</v>
      </c>
      <c r="AC59" s="11"/>
      <c r="AD59" s="68">
        <f t="shared" si="176"/>
        <v>-0.10856785490931831</v>
      </c>
    </row>
    <row r="60" spans="2:30" ht="12.75" customHeight="1">
      <c r="B60" s="12" t="s">
        <v>19</v>
      </c>
      <c r="C60" s="13">
        <f>SUM(C55:C59)+C52</f>
        <v>34087</v>
      </c>
      <c r="D60" s="13">
        <f>SUM(D55:D59)+D52</f>
        <v>34427</v>
      </c>
      <c r="E60" s="13">
        <f>SUM(E55:E59)+E52</f>
        <v>134001</v>
      </c>
      <c r="F60" s="13">
        <f>SUM(F55:F59)+F52</f>
        <v>122757</v>
      </c>
      <c r="G60" s="13">
        <f>SUM(G55:G59)+G52</f>
        <v>104560</v>
      </c>
      <c r="I60" s="13">
        <f>SUM(I55:I59)+I52</f>
        <v>130584</v>
      </c>
      <c r="J60" s="13">
        <f>SUM(J55:J59)+J52</f>
        <v>128618</v>
      </c>
      <c r="K60" s="13">
        <f>SUM(K55:K59)+K52</f>
        <v>123749</v>
      </c>
      <c r="L60" s="13">
        <f>SUM(L55:L59)+L52</f>
        <v>122757</v>
      </c>
      <c r="M60" s="13">
        <f>SUM(M55:M59)+M52</f>
        <v>119819</v>
      </c>
      <c r="N60" s="13">
        <f>SUM(N55:N59)+N52</f>
        <v>108029</v>
      </c>
      <c r="O60" s="13">
        <f>SUM(O55:O59)+O52</f>
        <v>106333</v>
      </c>
      <c r="P60" s="13">
        <f>SUM(P55:P59)+P52</f>
        <v>104560</v>
      </c>
      <c r="Q60" s="13">
        <f>SUM(Q55:Q59)+Q52</f>
        <v>101679</v>
      </c>
      <c r="R60" s="13">
        <f>SUM(R55:R59)+R52</f>
        <v>101727</v>
      </c>
      <c r="S60" s="13">
        <f>SUM(S55:S59)+S52</f>
        <v>100519</v>
      </c>
      <c r="U60" s="13">
        <f>SUM(U55:U59)+U52</f>
        <v>122757</v>
      </c>
      <c r="V60" s="13">
        <f>SUM(V55:V59)+V52</f>
        <v>119819</v>
      </c>
      <c r="W60" s="13">
        <f>SUM(W55:W59)+W52</f>
        <v>108029</v>
      </c>
      <c r="X60" s="13">
        <f>SUM(X55:X59)+X52</f>
        <v>106333</v>
      </c>
      <c r="Y60" s="13">
        <f>SUM(Y55:Y59)+Y52</f>
        <v>104560</v>
      </c>
      <c r="Z60" s="13">
        <f>SUM(Z55:Z59)+Z52</f>
        <v>101679</v>
      </c>
      <c r="AA60" s="13">
        <f>SUM(AA55:AA59)+AA52</f>
        <v>101727</v>
      </c>
      <c r="AB60" s="13">
        <f>SUM(AB55:AB59)+AB52</f>
        <v>100519</v>
      </c>
      <c r="AC60" s="39"/>
      <c r="AD60" s="69">
        <f>SUM(AB60/X60)-1</f>
        <v>-5.4677287389615636E-2</v>
      </c>
    </row>
    <row r="61" spans="2:30" ht="12.75" customHeight="1">
      <c r="B61" s="23"/>
      <c r="C61" s="47"/>
      <c r="D61" s="47"/>
      <c r="E61" s="38"/>
      <c r="F61" s="38"/>
      <c r="G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U61" s="39"/>
      <c r="V61" s="39"/>
      <c r="W61" s="39"/>
      <c r="X61" s="39"/>
      <c r="Y61" s="39"/>
      <c r="Z61" s="39"/>
      <c r="AA61" s="39"/>
      <c r="AB61" s="39"/>
      <c r="AC61" s="39"/>
      <c r="AD61" s="36"/>
    </row>
    <row r="62" spans="2:30" ht="12.75" customHeight="1">
      <c r="B62" s="72" t="s">
        <v>44</v>
      </c>
      <c r="C62" s="47"/>
      <c r="D62" s="47"/>
      <c r="E62" s="38"/>
      <c r="F62" s="38"/>
      <c r="G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U62" s="39"/>
      <c r="V62" s="39"/>
      <c r="W62" s="39"/>
      <c r="X62" s="39"/>
      <c r="Y62" s="39"/>
      <c r="Z62" s="39"/>
      <c r="AA62" s="39"/>
      <c r="AB62" s="39"/>
      <c r="AC62" s="39"/>
      <c r="AD62" s="36"/>
    </row>
    <row r="63" spans="2:30" ht="12.75" customHeight="1">
      <c r="B63" s="9" t="s">
        <v>112</v>
      </c>
      <c r="C63" s="76">
        <v>397</v>
      </c>
      <c r="D63" s="76">
        <v>412</v>
      </c>
      <c r="E63" s="76">
        <v>1454</v>
      </c>
      <c r="F63" s="76">
        <v>1260</v>
      </c>
      <c r="G63" s="76">
        <v>1055</v>
      </c>
      <c r="I63" s="105">
        <v>1123</v>
      </c>
      <c r="J63" s="105">
        <v>1689</v>
      </c>
      <c r="K63" s="105">
        <v>1329</v>
      </c>
      <c r="L63" s="82">
        <f t="shared" ref="L63:L66" si="177">F63</f>
        <v>1260</v>
      </c>
      <c r="M63" s="105">
        <v>1245</v>
      </c>
      <c r="N63" s="105">
        <v>1151</v>
      </c>
      <c r="O63" s="105">
        <v>1120</v>
      </c>
      <c r="P63" s="82">
        <f t="shared" ref="P63:P66" si="178">G63</f>
        <v>1055</v>
      </c>
      <c r="Q63" s="105">
        <v>1008</v>
      </c>
      <c r="R63" s="105">
        <v>1074</v>
      </c>
      <c r="S63" s="105">
        <v>1083</v>
      </c>
      <c r="U63" s="30">
        <f t="shared" ref="U63:U66" si="179">L63</f>
        <v>1260</v>
      </c>
      <c r="V63" s="30">
        <f t="shared" ref="V63:V66" si="180">M63</f>
        <v>1245</v>
      </c>
      <c r="W63" s="30">
        <f t="shared" ref="W63:W66" si="181">N63</f>
        <v>1151</v>
      </c>
      <c r="X63" s="30">
        <f t="shared" ref="X63:X66" si="182">O63</f>
        <v>1120</v>
      </c>
      <c r="Y63" s="30">
        <f t="shared" ref="Y63:Y66" si="183">P63</f>
        <v>1055</v>
      </c>
      <c r="Z63" s="30">
        <f t="shared" ref="Z63:Z66" si="184">Q63</f>
        <v>1008</v>
      </c>
      <c r="AA63" s="30">
        <f t="shared" ref="AA63:AA66" si="185">R63</f>
        <v>1074</v>
      </c>
      <c r="AB63" s="30">
        <f t="shared" ref="AB63:AB66" si="186">S63</f>
        <v>1083</v>
      </c>
      <c r="AC63" s="11"/>
      <c r="AD63" s="68">
        <f t="shared" ref="AD63:AD64" si="187">SUM(AB63/X63)-1</f>
        <v>-3.3035714285714279E-2</v>
      </c>
    </row>
    <row r="64" spans="2:30" ht="12.75" customHeight="1">
      <c r="B64" s="9" t="s">
        <v>170</v>
      </c>
      <c r="C64" s="76">
        <v>1793</v>
      </c>
      <c r="D64" s="76">
        <v>2230</v>
      </c>
      <c r="E64" s="76">
        <v>11504</v>
      </c>
      <c r="F64" s="76">
        <v>10368</v>
      </c>
      <c r="G64" s="76">
        <v>10438</v>
      </c>
      <c r="I64" s="105">
        <v>10158</v>
      </c>
      <c r="J64" s="105">
        <v>10668</v>
      </c>
      <c r="K64" s="105">
        <v>10040</v>
      </c>
      <c r="L64" s="82">
        <f t="shared" si="177"/>
        <v>10368</v>
      </c>
      <c r="M64" s="105">
        <v>10288</v>
      </c>
      <c r="N64" s="105">
        <v>10926</v>
      </c>
      <c r="O64" s="105">
        <v>10002</v>
      </c>
      <c r="P64" s="82">
        <f t="shared" si="178"/>
        <v>10438</v>
      </c>
      <c r="Q64" s="105">
        <v>9899</v>
      </c>
      <c r="R64" s="105">
        <v>10218</v>
      </c>
      <c r="S64" s="105">
        <v>9292</v>
      </c>
      <c r="U64" s="30">
        <f t="shared" si="179"/>
        <v>10368</v>
      </c>
      <c r="V64" s="30">
        <f t="shared" si="180"/>
        <v>10288</v>
      </c>
      <c r="W64" s="30">
        <f t="shared" si="181"/>
        <v>10926</v>
      </c>
      <c r="X64" s="30">
        <f t="shared" si="182"/>
        <v>10002</v>
      </c>
      <c r="Y64" s="30">
        <f t="shared" si="183"/>
        <v>10438</v>
      </c>
      <c r="Z64" s="30">
        <f t="shared" si="184"/>
        <v>9899</v>
      </c>
      <c r="AA64" s="30">
        <f t="shared" si="185"/>
        <v>10218</v>
      </c>
      <c r="AB64" s="30">
        <f t="shared" si="186"/>
        <v>9292</v>
      </c>
      <c r="AC64" s="11"/>
      <c r="AD64" s="68">
        <f t="shared" si="187"/>
        <v>-7.0985802839432122E-2</v>
      </c>
    </row>
    <row r="65" spans="2:30" ht="12.75" customHeight="1">
      <c r="B65" s="9" t="s">
        <v>113</v>
      </c>
      <c r="C65" s="76">
        <v>557</v>
      </c>
      <c r="D65" s="76">
        <v>478</v>
      </c>
      <c r="E65" s="76">
        <v>1694</v>
      </c>
      <c r="F65" s="76">
        <v>1924</v>
      </c>
      <c r="G65" s="76">
        <v>1569</v>
      </c>
      <c r="I65" s="105">
        <v>1603</v>
      </c>
      <c r="J65" s="105">
        <v>1548</v>
      </c>
      <c r="K65" s="105">
        <v>1917</v>
      </c>
      <c r="L65" s="82">
        <f t="shared" si="177"/>
        <v>1924</v>
      </c>
      <c r="M65" s="105">
        <v>1993</v>
      </c>
      <c r="N65" s="105">
        <v>2022</v>
      </c>
      <c r="O65" s="105">
        <v>1530</v>
      </c>
      <c r="P65" s="82">
        <f t="shared" si="178"/>
        <v>1569</v>
      </c>
      <c r="Q65" s="105">
        <v>1600</v>
      </c>
      <c r="R65" s="105">
        <v>1527</v>
      </c>
      <c r="S65" s="105">
        <v>1649</v>
      </c>
      <c r="U65" s="30">
        <f t="shared" si="179"/>
        <v>1924</v>
      </c>
      <c r="V65" s="30">
        <f t="shared" si="180"/>
        <v>1993</v>
      </c>
      <c r="W65" s="30">
        <f t="shared" si="181"/>
        <v>2022</v>
      </c>
      <c r="X65" s="30">
        <f t="shared" si="182"/>
        <v>1530</v>
      </c>
      <c r="Y65" s="30">
        <f t="shared" si="183"/>
        <v>1569</v>
      </c>
      <c r="Z65" s="30">
        <f t="shared" si="184"/>
        <v>1600</v>
      </c>
      <c r="AA65" s="30">
        <f t="shared" si="185"/>
        <v>1527</v>
      </c>
      <c r="AB65" s="30">
        <f t="shared" si="186"/>
        <v>1649</v>
      </c>
      <c r="AC65" s="11"/>
      <c r="AD65" s="68">
        <f t="shared" ref="AD65" si="188">SUM(AB65/X65)-1</f>
        <v>7.7777777777777724E-2</v>
      </c>
    </row>
    <row r="66" spans="2:30" ht="12.75" customHeight="1">
      <c r="B66" s="9" t="s">
        <v>171</v>
      </c>
      <c r="C66" s="76">
        <v>335</v>
      </c>
      <c r="D66" s="76">
        <v>339</v>
      </c>
      <c r="E66" s="76">
        <v>365</v>
      </c>
      <c r="F66" s="76">
        <v>1780</v>
      </c>
      <c r="G66" s="76">
        <v>2748</v>
      </c>
      <c r="I66" s="105">
        <v>3496</v>
      </c>
      <c r="J66" s="105">
        <v>3001</v>
      </c>
      <c r="K66" s="105">
        <v>1302</v>
      </c>
      <c r="L66" s="82">
        <f t="shared" si="177"/>
        <v>1780</v>
      </c>
      <c r="M66" s="105">
        <v>3430</v>
      </c>
      <c r="N66" s="105">
        <v>3669</v>
      </c>
      <c r="O66" s="105">
        <v>3043</v>
      </c>
      <c r="P66" s="82">
        <f t="shared" si="178"/>
        <v>2748</v>
      </c>
      <c r="Q66" s="105">
        <v>2779</v>
      </c>
      <c r="R66" s="105">
        <v>221</v>
      </c>
      <c r="S66" s="105">
        <v>139</v>
      </c>
      <c r="U66" s="30">
        <f t="shared" si="179"/>
        <v>1780</v>
      </c>
      <c r="V66" s="30">
        <f t="shared" si="180"/>
        <v>3430</v>
      </c>
      <c r="W66" s="30">
        <f t="shared" si="181"/>
        <v>3669</v>
      </c>
      <c r="X66" s="30">
        <f t="shared" si="182"/>
        <v>3043</v>
      </c>
      <c r="Y66" s="30">
        <f t="shared" si="183"/>
        <v>2748</v>
      </c>
      <c r="Z66" s="30">
        <f t="shared" si="184"/>
        <v>2779</v>
      </c>
      <c r="AA66" s="30">
        <f t="shared" si="185"/>
        <v>221</v>
      </c>
      <c r="AB66" s="30">
        <f t="shared" si="186"/>
        <v>139</v>
      </c>
      <c r="AC66" s="11"/>
      <c r="AD66" s="68">
        <f t="shared" ref="AD66" si="189">SUM(AB66/X66)-1</f>
        <v>-0.95432139336181399</v>
      </c>
    </row>
    <row r="67" spans="2:30" ht="12.75" customHeight="1">
      <c r="B67" s="23" t="s">
        <v>17</v>
      </c>
      <c r="C67" s="24">
        <f>SUM(C63:C66)</f>
        <v>3082</v>
      </c>
      <c r="D67" s="24">
        <f>SUM(D63:D66)</f>
        <v>3459</v>
      </c>
      <c r="E67" s="24">
        <f>SUM(E63:E66)</f>
        <v>15017</v>
      </c>
      <c r="F67" s="24">
        <f>SUM(F63:F66)</f>
        <v>15332</v>
      </c>
      <c r="G67" s="24">
        <f>SUM(G63:G66)</f>
        <v>15810</v>
      </c>
      <c r="I67" s="24">
        <f>SUM(I63:I66)</f>
        <v>16380</v>
      </c>
      <c r="J67" s="24">
        <f>SUM(J63:J66)</f>
        <v>16906</v>
      </c>
      <c r="K67" s="24">
        <f>SUM(K63:K66)</f>
        <v>14588</v>
      </c>
      <c r="L67" s="24">
        <f>SUM(L63:L66)</f>
        <v>15332</v>
      </c>
      <c r="M67" s="24">
        <f>SUM(M63:M66)</f>
        <v>16956</v>
      </c>
      <c r="N67" s="24">
        <f>SUM(N63:N66)</f>
        <v>17768</v>
      </c>
      <c r="O67" s="24">
        <f>SUM(O63:O66)</f>
        <v>15695</v>
      </c>
      <c r="P67" s="24">
        <f>SUM(P63:P66)</f>
        <v>15810</v>
      </c>
      <c r="Q67" s="24">
        <f>SUM(Q63:Q66)</f>
        <v>15286</v>
      </c>
      <c r="R67" s="24">
        <f>SUM(R63:R66)</f>
        <v>13040</v>
      </c>
      <c r="S67" s="24">
        <f>SUM(S63:S66)</f>
        <v>12163</v>
      </c>
      <c r="T67" s="45"/>
      <c r="U67" s="24">
        <f>SUM(U63:U66)</f>
        <v>15332</v>
      </c>
      <c r="V67" s="24">
        <f>SUM(V63:V66)</f>
        <v>16956</v>
      </c>
      <c r="W67" s="24">
        <f>SUM(W63:W66)</f>
        <v>17768</v>
      </c>
      <c r="X67" s="24">
        <f>SUM(X63:X66)</f>
        <v>15695</v>
      </c>
      <c r="Y67" s="24">
        <f>SUM(Y63:Y66)</f>
        <v>15810</v>
      </c>
      <c r="Z67" s="24">
        <f>SUM(Z63:Z66)</f>
        <v>15286</v>
      </c>
      <c r="AA67" s="24">
        <f>SUM(AA63:AA66)</f>
        <v>13040</v>
      </c>
      <c r="AB67" s="24">
        <f>SUM(AB63:AB66)</f>
        <v>12163</v>
      </c>
      <c r="AC67" s="39"/>
      <c r="AD67" s="69">
        <f>SUM(AB67/X67)-1</f>
        <v>-0.22503982159923541</v>
      </c>
    </row>
    <row r="68" spans="2:30">
      <c r="B68" s="23"/>
      <c r="C68" s="47"/>
      <c r="D68" s="47"/>
      <c r="E68" s="38"/>
      <c r="F68" s="38"/>
      <c r="G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U68" s="39"/>
      <c r="V68" s="39"/>
      <c r="W68" s="39"/>
      <c r="X68" s="39"/>
      <c r="Y68" s="39"/>
      <c r="Z68" s="39"/>
      <c r="AA68" s="39"/>
      <c r="AB68" s="39"/>
      <c r="AC68" s="39"/>
      <c r="AD68" s="36"/>
    </row>
    <row r="69" spans="2:30">
      <c r="B69" s="72" t="s">
        <v>81</v>
      </c>
      <c r="C69" s="47"/>
      <c r="D69" s="47"/>
      <c r="E69" s="38"/>
      <c r="F69" s="38"/>
      <c r="G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U69" s="39"/>
      <c r="V69" s="39"/>
      <c r="W69" s="39"/>
      <c r="X69" s="39"/>
      <c r="Y69" s="39"/>
      <c r="Z69" s="39"/>
      <c r="AA69" s="39"/>
      <c r="AB69" s="39"/>
      <c r="AC69" s="39"/>
      <c r="AD69" s="36"/>
    </row>
    <row r="70" spans="2:30" ht="12.75" customHeight="1">
      <c r="B70" s="104" t="s">
        <v>172</v>
      </c>
      <c r="C70" s="76">
        <v>15069</v>
      </c>
      <c r="D70" s="76">
        <v>14420</v>
      </c>
      <c r="E70" s="76">
        <v>48634</v>
      </c>
      <c r="F70" s="76">
        <v>41889</v>
      </c>
      <c r="G70" s="76">
        <v>36757</v>
      </c>
      <c r="I70" s="105">
        <v>45434</v>
      </c>
      <c r="J70" s="105">
        <v>44276</v>
      </c>
      <c r="K70" s="105">
        <v>43498</v>
      </c>
      <c r="L70" s="82">
        <f t="shared" ref="L70:L72" si="190">F70</f>
        <v>41889</v>
      </c>
      <c r="M70" s="105">
        <v>39148</v>
      </c>
      <c r="N70" s="105">
        <v>37289</v>
      </c>
      <c r="O70" s="105">
        <v>37166</v>
      </c>
      <c r="P70" s="82">
        <f t="shared" ref="P70:P72" si="191">G70</f>
        <v>36757</v>
      </c>
      <c r="Q70" s="105">
        <v>34647</v>
      </c>
      <c r="R70" s="105">
        <v>34411</v>
      </c>
      <c r="S70" s="105">
        <v>33382</v>
      </c>
      <c r="U70" s="30">
        <f t="shared" ref="U70:U72" si="192">L70</f>
        <v>41889</v>
      </c>
      <c r="V70" s="30">
        <f t="shared" ref="V70:V72" si="193">M70</f>
        <v>39148</v>
      </c>
      <c r="W70" s="30">
        <f t="shared" ref="W70:W72" si="194">N70</f>
        <v>37289</v>
      </c>
      <c r="X70" s="30">
        <f t="shared" ref="X70:X72" si="195">O70</f>
        <v>37166</v>
      </c>
      <c r="Y70" s="30">
        <f t="shared" ref="Y70:Y72" si="196">P70</f>
        <v>36757</v>
      </c>
      <c r="Z70" s="30">
        <f t="shared" ref="Z70:Z72" si="197">Q70</f>
        <v>34647</v>
      </c>
      <c r="AA70" s="30">
        <f t="shared" ref="AA70:AA72" si="198">R70</f>
        <v>34411</v>
      </c>
      <c r="AB70" s="30">
        <f t="shared" ref="AB70:AB72" si="199">S70</f>
        <v>33382</v>
      </c>
      <c r="AC70" s="39"/>
      <c r="AD70" s="68">
        <f t="shared" ref="AD70:AD71" si="200">SUM(AB70/X70)-1</f>
        <v>-0.10181348544368507</v>
      </c>
    </row>
    <row r="71" spans="2:30" ht="12.75" customHeight="1">
      <c r="B71" s="104" t="s">
        <v>173</v>
      </c>
      <c r="C71" s="76">
        <v>1534</v>
      </c>
      <c r="D71" s="76">
        <v>1225</v>
      </c>
      <c r="E71" s="76">
        <v>11014</v>
      </c>
      <c r="F71" s="76">
        <v>8736</v>
      </c>
      <c r="G71" s="76">
        <v>6985</v>
      </c>
      <c r="I71" s="105">
        <v>10211</v>
      </c>
      <c r="J71" s="105">
        <v>9718</v>
      </c>
      <c r="K71" s="105">
        <v>9098</v>
      </c>
      <c r="L71" s="82">
        <f t="shared" si="190"/>
        <v>8736</v>
      </c>
      <c r="M71" s="105">
        <v>8303</v>
      </c>
      <c r="N71" s="105">
        <v>7806</v>
      </c>
      <c r="O71" s="105">
        <v>7339</v>
      </c>
      <c r="P71" s="82">
        <f t="shared" si="191"/>
        <v>6985</v>
      </c>
      <c r="Q71" s="105">
        <v>6714</v>
      </c>
      <c r="R71" s="105">
        <v>6494</v>
      </c>
      <c r="S71" s="105">
        <v>6708</v>
      </c>
      <c r="U71" s="30">
        <f t="shared" si="192"/>
        <v>8736</v>
      </c>
      <c r="V71" s="30">
        <f t="shared" si="193"/>
        <v>8303</v>
      </c>
      <c r="W71" s="30">
        <f t="shared" si="194"/>
        <v>7806</v>
      </c>
      <c r="X71" s="30">
        <f t="shared" si="195"/>
        <v>7339</v>
      </c>
      <c r="Y71" s="30">
        <f t="shared" si="196"/>
        <v>6985</v>
      </c>
      <c r="Z71" s="30">
        <f t="shared" si="197"/>
        <v>6714</v>
      </c>
      <c r="AA71" s="30">
        <f t="shared" si="198"/>
        <v>6494</v>
      </c>
      <c r="AB71" s="30">
        <f t="shared" si="199"/>
        <v>6708</v>
      </c>
      <c r="AC71" s="39"/>
      <c r="AD71" s="68">
        <f t="shared" si="200"/>
        <v>-8.5979016214743131E-2</v>
      </c>
    </row>
    <row r="72" spans="2:30" ht="12.75" customHeight="1">
      <c r="B72" s="104" t="s">
        <v>174</v>
      </c>
      <c r="C72" s="76">
        <v>2019</v>
      </c>
      <c r="D72" s="76">
        <v>1927</v>
      </c>
      <c r="E72" s="76">
        <v>10669</v>
      </c>
      <c r="F72" s="76">
        <v>10328</v>
      </c>
      <c r="G72" s="76">
        <v>10070</v>
      </c>
      <c r="I72" s="105">
        <v>10717</v>
      </c>
      <c r="J72" s="105">
        <v>10933</v>
      </c>
      <c r="K72" s="105">
        <v>10423</v>
      </c>
      <c r="L72" s="82">
        <f t="shared" si="190"/>
        <v>10328</v>
      </c>
      <c r="M72" s="105">
        <v>10118</v>
      </c>
      <c r="N72" s="105">
        <v>9751</v>
      </c>
      <c r="O72" s="105">
        <v>9959</v>
      </c>
      <c r="P72" s="82">
        <f t="shared" si="191"/>
        <v>10070</v>
      </c>
      <c r="Q72" s="105">
        <v>9861</v>
      </c>
      <c r="R72" s="105">
        <v>10436</v>
      </c>
      <c r="S72" s="105">
        <v>10961</v>
      </c>
      <c r="U72" s="30">
        <f t="shared" si="192"/>
        <v>10328</v>
      </c>
      <c r="V72" s="30">
        <f t="shared" si="193"/>
        <v>10118</v>
      </c>
      <c r="W72" s="30">
        <f t="shared" si="194"/>
        <v>9751</v>
      </c>
      <c r="X72" s="30">
        <f t="shared" si="195"/>
        <v>9959</v>
      </c>
      <c r="Y72" s="30">
        <f t="shared" si="196"/>
        <v>10070</v>
      </c>
      <c r="Z72" s="30">
        <f t="shared" si="197"/>
        <v>9861</v>
      </c>
      <c r="AA72" s="30">
        <f t="shared" si="198"/>
        <v>10436</v>
      </c>
      <c r="AB72" s="30">
        <f t="shared" si="199"/>
        <v>10961</v>
      </c>
      <c r="AC72" s="39"/>
      <c r="AD72" s="68">
        <f t="shared" ref="AD72" si="201">SUM(AB72/X72)-1</f>
        <v>0.10061251129631499</v>
      </c>
    </row>
    <row r="73" spans="2:30" ht="12.75" customHeight="1">
      <c r="B73" s="12" t="s">
        <v>15</v>
      </c>
      <c r="C73" s="13">
        <f>SUM(C70:C72)+C67</f>
        <v>21704</v>
      </c>
      <c r="D73" s="13">
        <f>SUM(D70:D72)+D67</f>
        <v>21031</v>
      </c>
      <c r="E73" s="13">
        <f>SUM(E70:E72)+E67</f>
        <v>85334</v>
      </c>
      <c r="F73" s="13">
        <f>SUM(F70:F72)+F67</f>
        <v>76285</v>
      </c>
      <c r="G73" s="13">
        <f>SUM(G70:G72)+G67</f>
        <v>69622</v>
      </c>
      <c r="I73" s="13">
        <f>SUM(I70:I72)+I67</f>
        <v>82742</v>
      </c>
      <c r="J73" s="13">
        <f>SUM(J70:J72)+J67</f>
        <v>81833</v>
      </c>
      <c r="K73" s="13">
        <f>SUM(K70:K72)+K67</f>
        <v>77607</v>
      </c>
      <c r="L73" s="13">
        <f>SUM(L70:L72)+L67</f>
        <v>76285</v>
      </c>
      <c r="M73" s="13">
        <f>SUM(M70:M72)+M67</f>
        <v>74525</v>
      </c>
      <c r="N73" s="13">
        <f>SUM(N70:N72)+N67</f>
        <v>72614</v>
      </c>
      <c r="O73" s="13">
        <f>SUM(O70:O72)+O67</f>
        <v>70159</v>
      </c>
      <c r="P73" s="13">
        <f>SUM(P70:P72)+P67</f>
        <v>69622</v>
      </c>
      <c r="Q73" s="13">
        <f>SUM(Q70:Q72)+Q67</f>
        <v>66508</v>
      </c>
      <c r="R73" s="13">
        <f>SUM(R70:R72)+R67</f>
        <v>64381</v>
      </c>
      <c r="S73" s="13">
        <f>SUM(S70:S72)+S67</f>
        <v>63214</v>
      </c>
      <c r="U73" s="13">
        <f>SUM(U70:U72)+U67</f>
        <v>76285</v>
      </c>
      <c r="V73" s="13">
        <f>SUM(V70:V72)+V67</f>
        <v>74525</v>
      </c>
      <c r="W73" s="13">
        <f>SUM(W70:W72)+W67</f>
        <v>72614</v>
      </c>
      <c r="X73" s="13">
        <f>SUM(X70:X72)+X67</f>
        <v>70159</v>
      </c>
      <c r="Y73" s="13">
        <f>SUM(Y70:Y72)+Y67</f>
        <v>69622</v>
      </c>
      <c r="Z73" s="13">
        <f>SUM(Z70:Z72)+Z67</f>
        <v>66508</v>
      </c>
      <c r="AA73" s="13">
        <f>SUM(AA70:AA72)+AA67</f>
        <v>64381</v>
      </c>
      <c r="AB73" s="13">
        <f>SUM(AB70:AB72)+AB67</f>
        <v>63214</v>
      </c>
      <c r="AC73" s="39"/>
      <c r="AD73" s="69">
        <f>SUM(AB73/X73)-1</f>
        <v>-9.8989438275916108E-2</v>
      </c>
    </row>
    <row r="74" spans="2:30">
      <c r="B74" s="23"/>
      <c r="C74" s="46"/>
      <c r="D74" s="46"/>
      <c r="E74" s="38"/>
      <c r="F74" s="38"/>
      <c r="G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U74" s="39"/>
      <c r="V74" s="39"/>
      <c r="W74" s="39"/>
      <c r="X74" s="39"/>
      <c r="Y74" s="39"/>
      <c r="Z74" s="39"/>
      <c r="AA74" s="39"/>
      <c r="AB74" s="39"/>
      <c r="AC74" s="39"/>
      <c r="AD74" s="36"/>
    </row>
    <row r="75" spans="2:30">
      <c r="B75" s="72" t="s">
        <v>191</v>
      </c>
      <c r="C75" s="47"/>
      <c r="D75" s="47"/>
      <c r="E75" s="38"/>
      <c r="F75" s="38"/>
      <c r="G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U75" s="39"/>
      <c r="V75" s="39"/>
      <c r="W75" s="39"/>
      <c r="X75" s="39"/>
      <c r="Y75" s="39"/>
      <c r="Z75" s="39"/>
      <c r="AA75" s="39"/>
      <c r="AB75" s="39"/>
      <c r="AC75" s="39"/>
      <c r="AD75" s="36"/>
    </row>
    <row r="76" spans="2:30">
      <c r="B76" s="104" t="s">
        <v>175</v>
      </c>
      <c r="C76" s="76">
        <v>383</v>
      </c>
      <c r="D76" s="76">
        <v>363</v>
      </c>
      <c r="E76" s="76">
        <v>318</v>
      </c>
      <c r="F76" s="76">
        <v>165</v>
      </c>
      <c r="G76" s="76">
        <v>109</v>
      </c>
      <c r="I76" s="105">
        <v>309</v>
      </c>
      <c r="J76" s="105">
        <v>306</v>
      </c>
      <c r="K76" s="105">
        <v>281</v>
      </c>
      <c r="L76" s="82">
        <f>F76</f>
        <v>165</v>
      </c>
      <c r="M76" s="105">
        <v>179</v>
      </c>
      <c r="N76" s="105">
        <v>118</v>
      </c>
      <c r="O76" s="105">
        <v>117</v>
      </c>
      <c r="P76" s="82">
        <f>G76</f>
        <v>109</v>
      </c>
      <c r="Q76" s="105">
        <v>23</v>
      </c>
      <c r="R76" s="105">
        <v>23</v>
      </c>
      <c r="S76" s="105">
        <v>23</v>
      </c>
      <c r="U76" s="30">
        <f t="shared" ref="U76" si="202">L76</f>
        <v>165</v>
      </c>
      <c r="V76" s="30">
        <f t="shared" ref="V76" si="203">M76</f>
        <v>179</v>
      </c>
      <c r="W76" s="30">
        <f t="shared" ref="W76" si="204">N76</f>
        <v>118</v>
      </c>
      <c r="X76" s="30">
        <f t="shared" ref="X76" si="205">O76</f>
        <v>117</v>
      </c>
      <c r="Y76" s="30">
        <f t="shared" ref="Y76" si="206">P76</f>
        <v>109</v>
      </c>
      <c r="Z76" s="30">
        <f t="shared" ref="Z76" si="207">Q76</f>
        <v>23</v>
      </c>
      <c r="AA76" s="30">
        <f t="shared" ref="AA76" si="208">R76</f>
        <v>23</v>
      </c>
      <c r="AB76" s="30">
        <f>S76</f>
        <v>23</v>
      </c>
      <c r="AC76" s="39"/>
      <c r="AD76" s="36"/>
    </row>
    <row r="77" spans="2:30">
      <c r="B77" s="12" t="s">
        <v>192</v>
      </c>
      <c r="C77" s="13">
        <f>SUM(C76)</f>
        <v>383</v>
      </c>
      <c r="D77" s="13">
        <f>SUM(D76)</f>
        <v>363</v>
      </c>
      <c r="E77" s="13">
        <f t="shared" ref="E77:G77" si="209">SUM(E76)</f>
        <v>318</v>
      </c>
      <c r="F77" s="13">
        <f t="shared" si="209"/>
        <v>165</v>
      </c>
      <c r="G77" s="13">
        <f t="shared" si="209"/>
        <v>109</v>
      </c>
      <c r="I77" s="13">
        <f t="shared" ref="I77" si="210">SUM(I76)</f>
        <v>309</v>
      </c>
      <c r="J77" s="13">
        <f t="shared" ref="J77" si="211">SUM(J76)</f>
        <v>306</v>
      </c>
      <c r="K77" s="13">
        <f t="shared" ref="K77" si="212">SUM(K76)</f>
        <v>281</v>
      </c>
      <c r="L77" s="13">
        <f t="shared" ref="L77" si="213">SUM(L76)</f>
        <v>165</v>
      </c>
      <c r="M77" s="13">
        <f t="shared" ref="M77" si="214">SUM(M76)</f>
        <v>179</v>
      </c>
      <c r="N77" s="13">
        <f t="shared" ref="N77" si="215">SUM(N76)</f>
        <v>118</v>
      </c>
      <c r="O77" s="13">
        <f t="shared" ref="O77" si="216">SUM(O76)</f>
        <v>117</v>
      </c>
      <c r="P77" s="13">
        <f t="shared" ref="P77" si="217">SUM(P76)</f>
        <v>109</v>
      </c>
      <c r="Q77" s="13">
        <f t="shared" ref="Q77" si="218">SUM(Q76)</f>
        <v>23</v>
      </c>
      <c r="R77" s="13">
        <f t="shared" ref="R77" si="219">SUM(R76)</f>
        <v>23</v>
      </c>
      <c r="S77" s="13">
        <f t="shared" ref="S77" si="220">SUM(S76)</f>
        <v>23</v>
      </c>
      <c r="U77" s="13">
        <f t="shared" ref="U77" si="221">SUM(U76)</f>
        <v>165</v>
      </c>
      <c r="V77" s="13">
        <f t="shared" ref="V77" si="222">SUM(V76)</f>
        <v>179</v>
      </c>
      <c r="W77" s="13">
        <f t="shared" ref="W77" si="223">SUM(W76)</f>
        <v>118</v>
      </c>
      <c r="X77" s="13">
        <f t="shared" ref="X77" si="224">SUM(X76)</f>
        <v>117</v>
      </c>
      <c r="Y77" s="13">
        <f t="shared" ref="Y77" si="225">SUM(Y76)</f>
        <v>109</v>
      </c>
      <c r="Z77" s="13">
        <f t="shared" ref="Z77" si="226">SUM(Z76)</f>
        <v>23</v>
      </c>
      <c r="AA77" s="13">
        <f t="shared" ref="AA77" si="227">SUM(AA76)</f>
        <v>23</v>
      </c>
      <c r="AB77" s="13">
        <f t="shared" ref="AB77" si="228">SUM(AB76)</f>
        <v>23</v>
      </c>
      <c r="AC77" s="39"/>
      <c r="AD77" s="36"/>
    </row>
    <row r="78" spans="2:30">
      <c r="B78" s="23"/>
      <c r="C78" s="46"/>
      <c r="D78" s="46"/>
      <c r="E78" s="38"/>
      <c r="F78" s="38"/>
      <c r="G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U78" s="39"/>
      <c r="V78" s="39"/>
      <c r="W78" s="39"/>
      <c r="X78" s="39"/>
      <c r="Y78" s="39"/>
      <c r="Z78" s="39"/>
      <c r="AA78" s="39"/>
      <c r="AB78" s="39"/>
      <c r="AC78" s="39"/>
      <c r="AD78" s="36"/>
    </row>
    <row r="79" spans="2:30">
      <c r="B79" s="72" t="s">
        <v>193</v>
      </c>
      <c r="C79" s="46"/>
      <c r="D79" s="46"/>
      <c r="E79" s="38"/>
      <c r="F79" s="38"/>
      <c r="G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U79" s="39"/>
      <c r="V79" s="39"/>
      <c r="W79" s="39"/>
      <c r="X79" s="39"/>
      <c r="Y79" s="39"/>
      <c r="Z79" s="39"/>
      <c r="AA79" s="39"/>
      <c r="AB79" s="39"/>
      <c r="AC79" s="39"/>
      <c r="AD79" s="36"/>
    </row>
    <row r="80" spans="2:30" ht="12.75" customHeight="1">
      <c r="B80" s="104" t="s">
        <v>114</v>
      </c>
      <c r="C80" s="76">
        <v>7</v>
      </c>
      <c r="D80" s="76">
        <v>7</v>
      </c>
      <c r="E80" s="76">
        <v>27</v>
      </c>
      <c r="F80" s="76">
        <v>27</v>
      </c>
      <c r="G80" s="76">
        <v>27</v>
      </c>
      <c r="I80" s="105">
        <v>27</v>
      </c>
      <c r="J80" s="105">
        <v>27</v>
      </c>
      <c r="K80" s="105">
        <v>27</v>
      </c>
      <c r="L80" s="82">
        <f t="shared" ref="L80:L85" si="229">F80</f>
        <v>27</v>
      </c>
      <c r="M80" s="105">
        <v>27</v>
      </c>
      <c r="N80" s="105">
        <v>27</v>
      </c>
      <c r="O80" s="105">
        <v>27</v>
      </c>
      <c r="P80" s="82">
        <f t="shared" ref="P80:P85" si="230">G80</f>
        <v>27</v>
      </c>
      <c r="Q80" s="105">
        <v>27</v>
      </c>
      <c r="R80" s="105">
        <v>27</v>
      </c>
      <c r="S80" s="105">
        <v>27</v>
      </c>
      <c r="U80" s="30">
        <f t="shared" ref="U80:U85" si="231">L80</f>
        <v>27</v>
      </c>
      <c r="V80" s="30">
        <f t="shared" ref="V80:V85" si="232">M80</f>
        <v>27</v>
      </c>
      <c r="W80" s="30">
        <f t="shared" ref="W80:W85" si="233">N80</f>
        <v>27</v>
      </c>
      <c r="X80" s="30">
        <f t="shared" ref="X80:X85" si="234">O80</f>
        <v>27</v>
      </c>
      <c r="Y80" s="30">
        <f t="shared" ref="Y80:Y85" si="235">P80</f>
        <v>27</v>
      </c>
      <c r="Z80" s="30">
        <f t="shared" ref="Z80:Z85" si="236">Q80</f>
        <v>27</v>
      </c>
      <c r="AA80" s="30">
        <f t="shared" ref="AA80:AA85" si="237">R80</f>
        <v>27</v>
      </c>
      <c r="AB80" s="30">
        <f t="shared" ref="AB80:AB85" si="238">S80</f>
        <v>27</v>
      </c>
      <c r="AC80" s="11"/>
      <c r="AD80" s="68">
        <f t="shared" ref="AD80" si="239">SUM(AB80/X80)-1</f>
        <v>0</v>
      </c>
    </row>
    <row r="81" spans="1:30" ht="12.75" customHeight="1">
      <c r="B81" s="104" t="s">
        <v>176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I81" s="105">
        <v>0</v>
      </c>
      <c r="J81" s="105">
        <v>0</v>
      </c>
      <c r="K81" s="105">
        <v>0</v>
      </c>
      <c r="L81" s="82">
        <f t="shared" si="229"/>
        <v>0</v>
      </c>
      <c r="M81" s="105">
        <v>0</v>
      </c>
      <c r="N81" s="105">
        <v>0</v>
      </c>
      <c r="O81" s="105">
        <v>0</v>
      </c>
      <c r="P81" s="82">
        <f t="shared" si="230"/>
        <v>0</v>
      </c>
      <c r="Q81" s="105">
        <v>0</v>
      </c>
      <c r="R81" s="105">
        <v>0</v>
      </c>
      <c r="S81" s="105">
        <v>0</v>
      </c>
      <c r="U81" s="30">
        <f t="shared" si="231"/>
        <v>0</v>
      </c>
      <c r="V81" s="30">
        <f t="shared" si="232"/>
        <v>0</v>
      </c>
      <c r="W81" s="30">
        <f t="shared" si="233"/>
        <v>0</v>
      </c>
      <c r="X81" s="30">
        <f t="shared" si="234"/>
        <v>0</v>
      </c>
      <c r="Y81" s="30">
        <f t="shared" si="235"/>
        <v>0</v>
      </c>
      <c r="Z81" s="30">
        <f t="shared" si="236"/>
        <v>0</v>
      </c>
      <c r="AA81" s="30">
        <f t="shared" si="237"/>
        <v>0</v>
      </c>
      <c r="AB81" s="30">
        <f t="shared" si="238"/>
        <v>0</v>
      </c>
      <c r="AC81" s="11"/>
      <c r="AD81" s="68" t="e">
        <f t="shared" ref="AD81" si="240">SUM(AB81/X81)-1</f>
        <v>#DIV/0!</v>
      </c>
    </row>
    <row r="82" spans="1:30" ht="12.75" customHeight="1">
      <c r="B82" s="104" t="s">
        <v>115</v>
      </c>
      <c r="C82" s="76">
        <v>10809</v>
      </c>
      <c r="D82" s="76">
        <v>11086</v>
      </c>
      <c r="E82" s="76">
        <v>54630</v>
      </c>
      <c r="F82" s="76">
        <v>55112</v>
      </c>
      <c r="G82" s="76">
        <v>55560</v>
      </c>
      <c r="I82" s="105">
        <v>54685</v>
      </c>
      <c r="J82" s="105">
        <v>54816</v>
      </c>
      <c r="K82" s="105">
        <v>54944</v>
      </c>
      <c r="L82" s="82">
        <f t="shared" si="229"/>
        <v>55112</v>
      </c>
      <c r="M82" s="105">
        <v>55175</v>
      </c>
      <c r="N82" s="105">
        <v>55332</v>
      </c>
      <c r="O82" s="105">
        <v>55463</v>
      </c>
      <c r="P82" s="82">
        <f t="shared" si="230"/>
        <v>55560</v>
      </c>
      <c r="Q82" s="105">
        <v>55585</v>
      </c>
      <c r="R82" s="105">
        <v>55749</v>
      </c>
      <c r="S82" s="105">
        <v>55926</v>
      </c>
      <c r="U82" s="30">
        <f t="shared" si="231"/>
        <v>55112</v>
      </c>
      <c r="V82" s="30">
        <f t="shared" si="232"/>
        <v>55175</v>
      </c>
      <c r="W82" s="30">
        <f t="shared" si="233"/>
        <v>55332</v>
      </c>
      <c r="X82" s="30">
        <f t="shared" si="234"/>
        <v>55463</v>
      </c>
      <c r="Y82" s="30">
        <f t="shared" si="235"/>
        <v>55560</v>
      </c>
      <c r="Z82" s="30">
        <f t="shared" si="236"/>
        <v>55585</v>
      </c>
      <c r="AA82" s="30">
        <f t="shared" si="237"/>
        <v>55749</v>
      </c>
      <c r="AB82" s="30">
        <f t="shared" si="238"/>
        <v>55926</v>
      </c>
      <c r="AC82" s="11"/>
      <c r="AD82" s="68">
        <f t="shared" ref="AD82:AD84" si="241">SUM(AB82/X82)-1</f>
        <v>8.3479076140851038E-3</v>
      </c>
    </row>
    <row r="83" spans="1:30" ht="12.75" customHeight="1">
      <c r="B83" s="104" t="s">
        <v>120</v>
      </c>
      <c r="C83" s="76">
        <v>-8244</v>
      </c>
      <c r="D83" s="76">
        <v>-8244</v>
      </c>
      <c r="E83" s="76">
        <v>-8244</v>
      </c>
      <c r="F83" s="76">
        <v>-8244</v>
      </c>
      <c r="G83" s="76">
        <v>-8244</v>
      </c>
      <c r="I83" s="105">
        <v>-8244</v>
      </c>
      <c r="J83" s="105">
        <v>-8244</v>
      </c>
      <c r="K83" s="105">
        <v>-8244</v>
      </c>
      <c r="L83" s="82">
        <f t="shared" si="229"/>
        <v>-8244</v>
      </c>
      <c r="M83" s="105">
        <v>-8244</v>
      </c>
      <c r="N83" s="105">
        <v>-8244</v>
      </c>
      <c r="O83" s="105">
        <v>-8244</v>
      </c>
      <c r="P83" s="82">
        <f t="shared" si="230"/>
        <v>-8244</v>
      </c>
      <c r="Q83" s="105">
        <v>-8244</v>
      </c>
      <c r="R83" s="105">
        <v>-8244</v>
      </c>
      <c r="S83" s="105">
        <v>-8244</v>
      </c>
      <c r="U83" s="30">
        <f t="shared" si="231"/>
        <v>-8244</v>
      </c>
      <c r="V83" s="30">
        <f t="shared" si="232"/>
        <v>-8244</v>
      </c>
      <c r="W83" s="30">
        <f t="shared" si="233"/>
        <v>-8244</v>
      </c>
      <c r="X83" s="30">
        <f t="shared" si="234"/>
        <v>-8244</v>
      </c>
      <c r="Y83" s="30">
        <f t="shared" si="235"/>
        <v>-8244</v>
      </c>
      <c r="Z83" s="30">
        <f t="shared" si="236"/>
        <v>-8244</v>
      </c>
      <c r="AA83" s="30">
        <f t="shared" si="237"/>
        <v>-8244</v>
      </c>
      <c r="AB83" s="30">
        <f t="shared" si="238"/>
        <v>-8244</v>
      </c>
      <c r="AC83" s="11"/>
      <c r="AD83" s="68">
        <f t="shared" si="241"/>
        <v>0</v>
      </c>
    </row>
    <row r="84" spans="1:30" ht="12.75" customHeight="1">
      <c r="B84" s="104" t="s">
        <v>177</v>
      </c>
      <c r="C84" s="76">
        <v>8543</v>
      </c>
      <c r="D84" s="76">
        <v>9580</v>
      </c>
      <c r="E84" s="76">
        <v>2205</v>
      </c>
      <c r="F84" s="76">
        <v>-928</v>
      </c>
      <c r="G84" s="76">
        <v>-12239</v>
      </c>
      <c r="I84" s="105">
        <v>1133</v>
      </c>
      <c r="J84" s="105">
        <v>-105</v>
      </c>
      <c r="K84" s="105">
        <v>-526</v>
      </c>
      <c r="L84" s="82">
        <f t="shared" si="229"/>
        <v>-928</v>
      </c>
      <c r="M84" s="105">
        <v>-1894</v>
      </c>
      <c r="N84" s="105">
        <v>-11880</v>
      </c>
      <c r="O84" s="105">
        <v>-11745</v>
      </c>
      <c r="P84" s="82">
        <f t="shared" si="230"/>
        <v>-12239</v>
      </c>
      <c r="Q84" s="105">
        <v>-12692</v>
      </c>
      <c r="R84" s="105">
        <v>-11112</v>
      </c>
      <c r="S84" s="105">
        <v>-11260</v>
      </c>
      <c r="U84" s="30">
        <f t="shared" si="231"/>
        <v>-928</v>
      </c>
      <c r="V84" s="30">
        <f t="shared" si="232"/>
        <v>-1894</v>
      </c>
      <c r="W84" s="30">
        <f t="shared" si="233"/>
        <v>-11880</v>
      </c>
      <c r="X84" s="30">
        <f t="shared" si="234"/>
        <v>-11745</v>
      </c>
      <c r="Y84" s="30">
        <f t="shared" si="235"/>
        <v>-12239</v>
      </c>
      <c r="Z84" s="30">
        <f t="shared" si="236"/>
        <v>-12692</v>
      </c>
      <c r="AA84" s="30">
        <f t="shared" si="237"/>
        <v>-11112</v>
      </c>
      <c r="AB84" s="30">
        <f t="shared" si="238"/>
        <v>-11260</v>
      </c>
      <c r="AC84" s="11"/>
      <c r="AD84" s="68">
        <f t="shared" si="241"/>
        <v>-4.1294167730949294E-2</v>
      </c>
    </row>
    <row r="85" spans="1:30" ht="12.75" customHeight="1">
      <c r="B85" s="104" t="s">
        <v>116</v>
      </c>
      <c r="C85" s="76">
        <v>-651</v>
      </c>
      <c r="D85" s="76">
        <v>-830</v>
      </c>
      <c r="E85" s="76">
        <v>-1523</v>
      </c>
      <c r="F85" s="76">
        <v>-741</v>
      </c>
      <c r="G85" s="76">
        <v>-1067</v>
      </c>
      <c r="I85" s="105">
        <v>-1105</v>
      </c>
      <c r="J85" s="105">
        <v>-1042</v>
      </c>
      <c r="K85" s="105">
        <v>-1427</v>
      </c>
      <c r="L85" s="82">
        <f t="shared" si="229"/>
        <v>-741</v>
      </c>
      <c r="M85" s="105">
        <v>-913</v>
      </c>
      <c r="N85" s="105">
        <v>-890</v>
      </c>
      <c r="O85" s="105">
        <v>-401</v>
      </c>
      <c r="P85" s="82">
        <f t="shared" si="230"/>
        <v>-1067</v>
      </c>
      <c r="Q85" s="105">
        <v>-840</v>
      </c>
      <c r="R85" s="105">
        <v>-371</v>
      </c>
      <c r="S85" s="105">
        <v>-431</v>
      </c>
      <c r="U85" s="30">
        <f t="shared" si="231"/>
        <v>-741</v>
      </c>
      <c r="V85" s="30">
        <f t="shared" si="232"/>
        <v>-913</v>
      </c>
      <c r="W85" s="30">
        <f t="shared" si="233"/>
        <v>-890</v>
      </c>
      <c r="X85" s="30">
        <f t="shared" si="234"/>
        <v>-401</v>
      </c>
      <c r="Y85" s="30">
        <f t="shared" si="235"/>
        <v>-1067</v>
      </c>
      <c r="Z85" s="30">
        <f t="shared" si="236"/>
        <v>-840</v>
      </c>
      <c r="AA85" s="30">
        <f t="shared" si="237"/>
        <v>-371</v>
      </c>
      <c r="AB85" s="30">
        <f t="shared" si="238"/>
        <v>-431</v>
      </c>
      <c r="AC85" s="11"/>
      <c r="AD85" s="68">
        <f t="shared" ref="AD85" si="242">SUM(AB85/X85)-1</f>
        <v>7.4812967581047385E-2</v>
      </c>
    </row>
    <row r="86" spans="1:30" ht="12.75" customHeight="1">
      <c r="B86" s="12" t="s">
        <v>178</v>
      </c>
      <c r="C86" s="13">
        <f>SUM(C80:C85)</f>
        <v>10464</v>
      </c>
      <c r="D86" s="13">
        <f>SUM(D80:D85)</f>
        <v>11599</v>
      </c>
      <c r="E86" s="13">
        <f>SUM(E80:E85)</f>
        <v>47095</v>
      </c>
      <c r="F86" s="13">
        <f>SUM(F80:F85)</f>
        <v>45226</v>
      </c>
      <c r="G86" s="13">
        <f>SUM(G80:G85)</f>
        <v>34037</v>
      </c>
      <c r="H86" s="48"/>
      <c r="I86" s="13">
        <f>SUM(I80:I85)</f>
        <v>46496</v>
      </c>
      <c r="J86" s="13">
        <f>SUM(J80:J85)</f>
        <v>45452</v>
      </c>
      <c r="K86" s="13">
        <f>SUM(K80:K85)</f>
        <v>44774</v>
      </c>
      <c r="L86" s="13">
        <f>SUM(L80:L85)</f>
        <v>45226</v>
      </c>
      <c r="M86" s="13">
        <f>SUM(M80:M85)</f>
        <v>44151</v>
      </c>
      <c r="N86" s="13">
        <f>SUM(N80:N85)</f>
        <v>34345</v>
      </c>
      <c r="O86" s="13">
        <f>SUM(O80:O85)</f>
        <v>35100</v>
      </c>
      <c r="P86" s="13">
        <f>SUM(P80:P85)</f>
        <v>34037</v>
      </c>
      <c r="Q86" s="13">
        <f>SUM(Q80:Q85)</f>
        <v>33836</v>
      </c>
      <c r="R86" s="13">
        <f>SUM(R80:R85)</f>
        <v>36049</v>
      </c>
      <c r="S86" s="13">
        <f>SUM(S80:S85)</f>
        <v>36018</v>
      </c>
      <c r="U86" s="13">
        <f>SUM(U80:U85)</f>
        <v>45226</v>
      </c>
      <c r="V86" s="13">
        <f>SUM(V80:V85)</f>
        <v>44151</v>
      </c>
      <c r="W86" s="13">
        <f>SUM(W80:W85)</f>
        <v>34345</v>
      </c>
      <c r="X86" s="13">
        <f>SUM(X80:X85)</f>
        <v>35100</v>
      </c>
      <c r="Y86" s="13">
        <f>SUM(Y80:Y85)</f>
        <v>34037</v>
      </c>
      <c r="Z86" s="13">
        <f>SUM(Z80:Z85)</f>
        <v>33836</v>
      </c>
      <c r="AA86" s="13">
        <f>SUM(AA80:AA85)</f>
        <v>36049</v>
      </c>
      <c r="AB86" s="13">
        <f>SUM(AB80:AB85)</f>
        <v>36018</v>
      </c>
      <c r="AC86" s="39"/>
      <c r="AD86" s="69">
        <f>SUM(AB86/X86)-1</f>
        <v>2.6153846153846194E-2</v>
      </c>
    </row>
    <row r="87" spans="1:30" s="154" customFormat="1" ht="5.0999999999999996" customHeight="1">
      <c r="B87" s="155"/>
      <c r="C87" s="156"/>
      <c r="D87" s="156"/>
      <c r="E87" s="156"/>
      <c r="F87" s="156"/>
      <c r="G87" s="156"/>
      <c r="H87" s="159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U87" s="156"/>
      <c r="V87" s="156"/>
      <c r="W87" s="156"/>
      <c r="X87" s="156"/>
      <c r="Y87" s="156"/>
      <c r="Z87" s="156"/>
      <c r="AA87" s="156"/>
      <c r="AB87" s="156"/>
      <c r="AC87" s="157"/>
      <c r="AD87" s="158"/>
    </row>
    <row r="88" spans="1:30" s="154" customFormat="1" ht="12.75" customHeight="1">
      <c r="B88" s="104" t="s">
        <v>117</v>
      </c>
      <c r="C88" s="76">
        <v>1536</v>
      </c>
      <c r="D88" s="76">
        <v>1434</v>
      </c>
      <c r="E88" s="76">
        <v>1254</v>
      </c>
      <c r="F88" s="76">
        <v>1081</v>
      </c>
      <c r="G88" s="76">
        <v>792</v>
      </c>
      <c r="H88" s="159"/>
      <c r="I88" s="105">
        <v>1037</v>
      </c>
      <c r="J88" s="105">
        <v>1027</v>
      </c>
      <c r="K88" s="105">
        <v>1087</v>
      </c>
      <c r="L88" s="82">
        <f>F88</f>
        <v>1081</v>
      </c>
      <c r="M88" s="105">
        <v>964</v>
      </c>
      <c r="N88" s="105">
        <v>952</v>
      </c>
      <c r="O88" s="105">
        <v>957</v>
      </c>
      <c r="P88" s="82">
        <f>G88</f>
        <v>792</v>
      </c>
      <c r="Q88" s="105">
        <v>1312</v>
      </c>
      <c r="R88" s="105">
        <v>1274</v>
      </c>
      <c r="S88" s="105">
        <v>1264</v>
      </c>
      <c r="U88" s="30">
        <f t="shared" ref="U88" si="243">L88</f>
        <v>1081</v>
      </c>
      <c r="V88" s="30">
        <f t="shared" ref="V88" si="244">M88</f>
        <v>964</v>
      </c>
      <c r="W88" s="30">
        <f t="shared" ref="W88" si="245">N88</f>
        <v>952</v>
      </c>
      <c r="X88" s="30">
        <f t="shared" ref="X88" si="246">O88</f>
        <v>957</v>
      </c>
      <c r="Y88" s="30">
        <f t="shared" ref="Y88" si="247">P88</f>
        <v>792</v>
      </c>
      <c r="Z88" s="30">
        <f t="shared" ref="Z88" si="248">Q88</f>
        <v>1312</v>
      </c>
      <c r="AA88" s="30">
        <f t="shared" ref="AA88" si="249">R88</f>
        <v>1274</v>
      </c>
      <c r="AB88" s="30">
        <f>S88</f>
        <v>1264</v>
      </c>
      <c r="AC88" s="157"/>
      <c r="AD88" s="158"/>
    </row>
    <row r="89" spans="1:30" s="154" customFormat="1" ht="12.75" customHeight="1">
      <c r="B89" s="12" t="s">
        <v>118</v>
      </c>
      <c r="C89" s="13">
        <f>SUM(C86+SUM(C88:C88))</f>
        <v>12000</v>
      </c>
      <c r="D89" s="13">
        <f>SUM(D86+SUM(D88:D88))</f>
        <v>13033</v>
      </c>
      <c r="E89" s="13">
        <f>SUM(E86+SUM(E88:E88))</f>
        <v>48349</v>
      </c>
      <c r="F89" s="13">
        <f>SUM(F86+SUM(F88:F88))</f>
        <v>46307</v>
      </c>
      <c r="G89" s="13">
        <f>SUM(G86+SUM(G88:G88))</f>
        <v>34829</v>
      </c>
      <c r="H89" s="159"/>
      <c r="I89" s="13">
        <f>SUM(I86+SUM(I88:I88))</f>
        <v>47533</v>
      </c>
      <c r="J89" s="13">
        <f>SUM(J86+SUM(J88:J88))</f>
        <v>46479</v>
      </c>
      <c r="K89" s="13">
        <f>SUM(K86+SUM(K88:K88))</f>
        <v>45861</v>
      </c>
      <c r="L89" s="13">
        <f>SUM(L86+SUM(L88:L88))</f>
        <v>46307</v>
      </c>
      <c r="M89" s="13">
        <f>SUM(M86+SUM(M88:M88))</f>
        <v>45115</v>
      </c>
      <c r="N89" s="13">
        <f>SUM(N86+SUM(N88:N88))</f>
        <v>35297</v>
      </c>
      <c r="O89" s="13">
        <f>SUM(O86+SUM(O88:O88))</f>
        <v>36057</v>
      </c>
      <c r="P89" s="13">
        <f>SUM(P86+SUM(P88:P88))</f>
        <v>34829</v>
      </c>
      <c r="Q89" s="13">
        <f>SUM(Q86+SUM(Q88:Q88))</f>
        <v>35148</v>
      </c>
      <c r="R89" s="13">
        <f>SUM(R86+SUM(R88:R88))</f>
        <v>37323</v>
      </c>
      <c r="S89" s="13">
        <f>SUM(S86+SUM(S88:S88))</f>
        <v>37282</v>
      </c>
      <c r="U89" s="13">
        <f>SUM(U86+SUM(U88:U88))</f>
        <v>46307</v>
      </c>
      <c r="V89" s="13">
        <f>SUM(V86+SUM(V88:V88))</f>
        <v>45115</v>
      </c>
      <c r="W89" s="13">
        <f>SUM(W86+SUM(W88:W88))</f>
        <v>35297</v>
      </c>
      <c r="X89" s="13">
        <f>SUM(X86+SUM(X88:X88))</f>
        <v>36057</v>
      </c>
      <c r="Y89" s="13">
        <f>SUM(Y86+SUM(Y88:Y88))</f>
        <v>34829</v>
      </c>
      <c r="Z89" s="13">
        <f>SUM(Z86+SUM(Z88:Z88))</f>
        <v>35148</v>
      </c>
      <c r="AA89" s="13">
        <f>SUM(AA86+SUM(AA88:AA88))</f>
        <v>37323</v>
      </c>
      <c r="AB89" s="13">
        <f>SUM(AB86+SUM(AB88:AB88))</f>
        <v>37282</v>
      </c>
      <c r="AC89" s="157"/>
      <c r="AD89" s="158"/>
    </row>
    <row r="90" spans="1:30" ht="12.75" customHeight="1">
      <c r="B90" s="23" t="s">
        <v>49</v>
      </c>
      <c r="C90" s="160">
        <f t="shared" ref="C90:F90" si="250">SUM(C89+C73+C77)</f>
        <v>34087</v>
      </c>
      <c r="D90" s="160">
        <f t="shared" si="250"/>
        <v>34427</v>
      </c>
      <c r="E90" s="160">
        <f t="shared" si="250"/>
        <v>134001</v>
      </c>
      <c r="F90" s="160">
        <f t="shared" si="250"/>
        <v>122757</v>
      </c>
      <c r="G90" s="160">
        <f>SUM(G89+G73+G77)</f>
        <v>104560</v>
      </c>
      <c r="H90" s="30"/>
      <c r="I90" s="160">
        <f t="shared" ref="I90:S90" si="251">SUM(I89+I73+I77)</f>
        <v>130584</v>
      </c>
      <c r="J90" s="160">
        <f t="shared" si="251"/>
        <v>128618</v>
      </c>
      <c r="K90" s="160">
        <f t="shared" si="251"/>
        <v>123749</v>
      </c>
      <c r="L90" s="160">
        <f t="shared" si="251"/>
        <v>122757</v>
      </c>
      <c r="M90" s="160">
        <f t="shared" si="251"/>
        <v>119819</v>
      </c>
      <c r="N90" s="160">
        <f t="shared" si="251"/>
        <v>108029</v>
      </c>
      <c r="O90" s="160">
        <f t="shared" si="251"/>
        <v>106333</v>
      </c>
      <c r="P90" s="160">
        <f t="shared" si="251"/>
        <v>104560</v>
      </c>
      <c r="Q90" s="160">
        <f t="shared" si="251"/>
        <v>101679</v>
      </c>
      <c r="R90" s="160">
        <f t="shared" si="251"/>
        <v>101727</v>
      </c>
      <c r="S90" s="160">
        <f t="shared" si="251"/>
        <v>100519</v>
      </c>
      <c r="T90" s="30"/>
      <c r="U90" s="160">
        <f t="shared" ref="U90" si="252">SUM(U89+U73+U77)</f>
        <v>122757</v>
      </c>
      <c r="V90" s="160">
        <f t="shared" ref="V90" si="253">SUM(V89+V73+V77)</f>
        <v>119819</v>
      </c>
      <c r="W90" s="160">
        <f t="shared" ref="W90" si="254">SUM(W89+W73+W77)</f>
        <v>108029</v>
      </c>
      <c r="X90" s="160">
        <f t="shared" ref="X90" si="255">SUM(X89+X73+X77)</f>
        <v>106333</v>
      </c>
      <c r="Y90" s="160">
        <f t="shared" ref="Y90" si="256">SUM(Y89+Y73+Y77)</f>
        <v>104560</v>
      </c>
      <c r="Z90" s="160">
        <f t="shared" ref="Z90" si="257">SUM(Z89+Z73+Z77)</f>
        <v>101679</v>
      </c>
      <c r="AA90" s="160">
        <f t="shared" ref="AA90" si="258">SUM(AA89+AA73+AA77)</f>
        <v>101727</v>
      </c>
      <c r="AB90" s="160">
        <f t="shared" ref="AB90" si="259">SUM(AB89+AB73+AB77)</f>
        <v>100519</v>
      </c>
      <c r="AC90" s="11"/>
      <c r="AD90" s="69">
        <f>SUM(AB90/X90)-1</f>
        <v>-5.4677287389615636E-2</v>
      </c>
    </row>
    <row r="91" spans="1:30" ht="5.0999999999999996" customHeight="1">
      <c r="B91" s="23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11"/>
    </row>
    <row r="92" spans="1:30" ht="12.75" customHeight="1">
      <c r="B92" s="62" t="s">
        <v>59</v>
      </c>
      <c r="C92" s="63">
        <f>C90-C60</f>
        <v>0</v>
      </c>
      <c r="D92" s="63">
        <f>D90-D60</f>
        <v>0</v>
      </c>
      <c r="E92" s="63">
        <f>E90-E60</f>
        <v>0</v>
      </c>
      <c r="F92" s="63">
        <f>F90-F60</f>
        <v>0</v>
      </c>
      <c r="G92" s="63">
        <f>G90-G60</f>
        <v>0</v>
      </c>
      <c r="H92" s="64"/>
      <c r="I92" s="63">
        <f>I90-I60</f>
        <v>0</v>
      </c>
      <c r="J92" s="63">
        <f>J90-J60</f>
        <v>0</v>
      </c>
      <c r="K92" s="63">
        <f>K90-K60</f>
        <v>0</v>
      </c>
      <c r="L92" s="63">
        <f>L90-L60</f>
        <v>0</v>
      </c>
      <c r="M92" s="63">
        <f>M90-M60</f>
        <v>0</v>
      </c>
      <c r="N92" s="63">
        <f>N90-N60</f>
        <v>0</v>
      </c>
      <c r="O92" s="63">
        <f>O90-O60</f>
        <v>0</v>
      </c>
      <c r="P92" s="63">
        <f>P90-P60</f>
        <v>0</v>
      </c>
      <c r="Q92" s="63">
        <f>Q90-Q60</f>
        <v>0</v>
      </c>
      <c r="R92" s="63">
        <f>R90-R60</f>
        <v>0</v>
      </c>
      <c r="S92" s="63">
        <f>S90-S60</f>
        <v>0</v>
      </c>
      <c r="T92" s="26"/>
      <c r="U92" s="63">
        <f>U90-U60</f>
        <v>0</v>
      </c>
      <c r="V92" s="63">
        <f>V90-V60</f>
        <v>0</v>
      </c>
      <c r="W92" s="63">
        <f>W90-W60</f>
        <v>0</v>
      </c>
      <c r="X92" s="63">
        <f>X90-X60</f>
        <v>0</v>
      </c>
      <c r="Y92" s="63">
        <f>Y90-Y60</f>
        <v>0</v>
      </c>
      <c r="Z92" s="63">
        <f>Z90-Z60</f>
        <v>0</v>
      </c>
      <c r="AA92" s="63">
        <f>AA90-AA60</f>
        <v>0</v>
      </c>
      <c r="AB92" s="63">
        <f>AB90-AB60</f>
        <v>0</v>
      </c>
    </row>
    <row r="93" spans="1:30" ht="5.0999999999999996" customHeight="1" thickBot="1">
      <c r="B93" s="100"/>
      <c r="C93" s="101"/>
      <c r="D93" s="101"/>
      <c r="E93" s="101"/>
      <c r="F93" s="101"/>
      <c r="G93" s="101"/>
      <c r="H93" s="102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3"/>
      <c r="U93" s="101"/>
      <c r="V93" s="101"/>
      <c r="W93" s="101"/>
      <c r="X93" s="101"/>
      <c r="Y93" s="101"/>
      <c r="Z93" s="101"/>
      <c r="AA93" s="101"/>
      <c r="AB93" s="101"/>
      <c r="AC93" s="66"/>
      <c r="AD93" s="66"/>
    </row>
    <row r="94" spans="1:30">
      <c r="B94" s="61"/>
      <c r="C94" s="22"/>
      <c r="D94" s="22"/>
      <c r="E94" s="22"/>
      <c r="F94" s="22"/>
      <c r="G94" s="22"/>
      <c r="H94" s="49"/>
    </row>
    <row r="95" spans="1:30" ht="12.75" customHeight="1">
      <c r="A95" s="5" t="s">
        <v>16</v>
      </c>
      <c r="B95" s="83" t="s">
        <v>14</v>
      </c>
      <c r="C95" s="87" t="s">
        <v>0</v>
      </c>
      <c r="D95" s="87" t="s">
        <v>0</v>
      </c>
      <c r="E95" s="87"/>
      <c r="F95" s="87"/>
      <c r="G95" s="87"/>
      <c r="H95" s="88"/>
      <c r="I95" s="87"/>
      <c r="J95" s="87"/>
      <c r="K95" s="87"/>
      <c r="L95" s="87"/>
      <c r="M95" s="87"/>
      <c r="N95" s="87"/>
      <c r="O95" s="87" t="s">
        <v>1</v>
      </c>
      <c r="P95" s="87"/>
      <c r="Q95" s="87"/>
      <c r="R95" s="87"/>
      <c r="S95" s="87"/>
      <c r="T95" s="83"/>
      <c r="U95" s="87"/>
      <c r="V95" s="87"/>
      <c r="W95" s="87"/>
      <c r="X95" s="87" t="s">
        <v>10</v>
      </c>
      <c r="Y95" s="87"/>
      <c r="Z95" s="87"/>
      <c r="AA95" s="87"/>
      <c r="AB95" s="87"/>
      <c r="AC95" s="88"/>
      <c r="AD95" s="152" t="s">
        <v>22</v>
      </c>
    </row>
    <row r="96" spans="1:30" ht="12.75" customHeight="1">
      <c r="B96" s="84" t="str">
        <f>B7</f>
        <v>Fiscal Period</v>
      </c>
      <c r="C96" s="89">
        <f>C7</f>
        <v>2020</v>
      </c>
      <c r="D96" s="89">
        <f>D7</f>
        <v>2021</v>
      </c>
      <c r="E96" s="89">
        <f>E7</f>
        <v>2022</v>
      </c>
      <c r="F96" s="89">
        <f>F7</f>
        <v>2023</v>
      </c>
      <c r="G96" s="89">
        <f>G7</f>
        <v>2024</v>
      </c>
      <c r="H96" s="88"/>
      <c r="I96" s="89" t="str">
        <f>I7</f>
        <v>1Q23</v>
      </c>
      <c r="J96" s="89" t="str">
        <f>J7</f>
        <v>2Q23</v>
      </c>
      <c r="K96" s="89" t="str">
        <f>K7</f>
        <v>3Q23</v>
      </c>
      <c r="L96" s="89" t="str">
        <f>L7</f>
        <v>4Q23</v>
      </c>
      <c r="M96" s="89" t="str">
        <f>M7</f>
        <v>1Q24</v>
      </c>
      <c r="N96" s="89" t="str">
        <f>N7</f>
        <v>2Q24</v>
      </c>
      <c r="O96" s="89" t="str">
        <f>O7</f>
        <v>3Q24</v>
      </c>
      <c r="P96" s="89" t="str">
        <f>P7</f>
        <v>4Q24</v>
      </c>
      <c r="Q96" s="89" t="str">
        <f>Q7</f>
        <v>1Q25</v>
      </c>
      <c r="R96" s="89" t="str">
        <f>R7</f>
        <v>2Q25</v>
      </c>
      <c r="S96" s="89" t="str">
        <f>S7</f>
        <v>3Q25</v>
      </c>
      <c r="T96" s="89"/>
      <c r="U96" s="89" t="str">
        <f>U7</f>
        <v>4Q23</v>
      </c>
      <c r="V96" s="89" t="str">
        <f>V7</f>
        <v>1Q24</v>
      </c>
      <c r="W96" s="89" t="str">
        <f>W7</f>
        <v>2Q24</v>
      </c>
      <c r="X96" s="89" t="str">
        <f>X7</f>
        <v>3Q24</v>
      </c>
      <c r="Y96" s="89" t="str">
        <f>Y7</f>
        <v>4Q24</v>
      </c>
      <c r="Z96" s="89" t="str">
        <f>Z7</f>
        <v>1Q25</v>
      </c>
      <c r="AA96" s="89" t="str">
        <f>AA7</f>
        <v>2Q25</v>
      </c>
      <c r="AB96" s="89" t="str">
        <f>AB7</f>
        <v>3Q25</v>
      </c>
      <c r="AC96" s="88"/>
      <c r="AD96" s="152"/>
    </row>
    <row r="97" spans="2:30" ht="12.75" customHeight="1">
      <c r="B97" s="84" t="str">
        <f>B8</f>
        <v>Fiscal Period End Date</v>
      </c>
      <c r="C97" s="90">
        <f>C8</f>
        <v>44196</v>
      </c>
      <c r="D97" s="90">
        <f>D8</f>
        <v>44561</v>
      </c>
      <c r="E97" s="90">
        <f>E8</f>
        <v>44926</v>
      </c>
      <c r="F97" s="90">
        <f>F8</f>
        <v>45291</v>
      </c>
      <c r="G97" s="90">
        <f>G8</f>
        <v>45657</v>
      </c>
      <c r="H97" s="88"/>
      <c r="I97" s="90">
        <f>I8</f>
        <v>45016</v>
      </c>
      <c r="J97" s="90">
        <f>J8</f>
        <v>45107</v>
      </c>
      <c r="K97" s="90">
        <f>K8</f>
        <v>45199</v>
      </c>
      <c r="L97" s="90">
        <f>L8</f>
        <v>44926</v>
      </c>
      <c r="M97" s="90">
        <f>M8</f>
        <v>45382</v>
      </c>
      <c r="N97" s="90">
        <f>N8</f>
        <v>45473</v>
      </c>
      <c r="O97" s="90">
        <f>O8</f>
        <v>45565</v>
      </c>
      <c r="P97" s="90">
        <f>P8</f>
        <v>45291</v>
      </c>
      <c r="Q97" s="90">
        <f>Q8</f>
        <v>45747</v>
      </c>
      <c r="R97" s="90">
        <f>R8</f>
        <v>45838</v>
      </c>
      <c r="S97" s="90">
        <f>S8</f>
        <v>45930</v>
      </c>
      <c r="T97" s="90"/>
      <c r="U97" s="90">
        <f>U8</f>
        <v>44926</v>
      </c>
      <c r="V97" s="90">
        <f>V8</f>
        <v>45382</v>
      </c>
      <c r="W97" s="90">
        <f>W8</f>
        <v>45473</v>
      </c>
      <c r="X97" s="90">
        <f>X8</f>
        <v>45565</v>
      </c>
      <c r="Y97" s="90">
        <f>Y8</f>
        <v>45291</v>
      </c>
      <c r="Z97" s="90">
        <f>Z8</f>
        <v>45747</v>
      </c>
      <c r="AA97" s="90">
        <f>AA8</f>
        <v>45838</v>
      </c>
      <c r="AB97" s="90">
        <f>AB8</f>
        <v>45930</v>
      </c>
      <c r="AC97" s="88"/>
      <c r="AD97" s="152"/>
    </row>
    <row r="98" spans="2:30" ht="5.0999999999999996" customHeight="1">
      <c r="B98" s="50"/>
      <c r="C98" s="44"/>
      <c r="D98" s="44"/>
      <c r="E98" s="44"/>
      <c r="F98" s="44"/>
      <c r="G98" s="44"/>
    </row>
    <row r="99" spans="2:30" ht="12.75" customHeight="1">
      <c r="B99" s="51" t="s">
        <v>50</v>
      </c>
      <c r="C99" s="52"/>
      <c r="D99" s="52"/>
      <c r="E99" s="52"/>
      <c r="F99" s="52"/>
      <c r="G99" s="52"/>
    </row>
    <row r="100" spans="2:30" ht="12.75" customHeight="1">
      <c r="B100" s="53" t="s">
        <v>48</v>
      </c>
      <c r="C100" s="30">
        <f>C32</f>
        <v>1355</v>
      </c>
      <c r="D100" s="30">
        <f>D32</f>
        <v>1197</v>
      </c>
      <c r="E100" s="30">
        <f t="shared" ref="E100:S100" si="260">E32</f>
        <v>-7297</v>
      </c>
      <c r="F100" s="30">
        <f t="shared" si="260"/>
        <v>-3079</v>
      </c>
      <c r="G100" s="30">
        <f t="shared" si="260"/>
        <v>-11482</v>
      </c>
      <c r="H100" s="30"/>
      <c r="I100" s="30">
        <f t="shared" si="260"/>
        <v>-1060</v>
      </c>
      <c r="J100" s="30">
        <f t="shared" si="260"/>
        <v>-1220</v>
      </c>
      <c r="K100" s="30">
        <f t="shared" si="260"/>
        <v>-407</v>
      </c>
      <c r="L100" s="30">
        <f t="shared" si="260"/>
        <v>-392</v>
      </c>
      <c r="M100" s="30">
        <f t="shared" si="260"/>
        <v>-955</v>
      </c>
      <c r="N100" s="30">
        <f t="shared" si="260"/>
        <v>-10028</v>
      </c>
      <c r="O100" s="30">
        <f t="shared" si="260"/>
        <v>141</v>
      </c>
      <c r="P100" s="30">
        <f t="shared" si="260"/>
        <v>-640</v>
      </c>
      <c r="Q100" s="30">
        <f t="shared" si="260"/>
        <v>-449</v>
      </c>
      <c r="R100" s="30">
        <f t="shared" si="260"/>
        <v>1588</v>
      </c>
      <c r="S100" s="30">
        <f t="shared" si="260"/>
        <v>-143</v>
      </c>
      <c r="U100" s="30">
        <f t="shared" ref="U100:AB100" si="261">U32</f>
        <v>-1437</v>
      </c>
      <c r="V100" s="30">
        <f t="shared" si="261"/>
        <v>-1695</v>
      </c>
      <c r="W100" s="30">
        <f t="shared" si="261"/>
        <v>-1892</v>
      </c>
      <c r="X100" s="30">
        <f t="shared" si="261"/>
        <v>-1618</v>
      </c>
      <c r="Y100" s="30">
        <f t="shared" si="261"/>
        <v>-2111</v>
      </c>
      <c r="Z100" s="30">
        <f t="shared" si="261"/>
        <v>-1943</v>
      </c>
      <c r="AA100" s="30">
        <f t="shared" si="261"/>
        <v>-2761</v>
      </c>
      <c r="AB100" s="30">
        <f t="shared" si="261"/>
        <v>-3326</v>
      </c>
      <c r="AC100" s="11"/>
      <c r="AD100" s="68">
        <f>SUM(AB100/X100)-1</f>
        <v>1.0556242274412857</v>
      </c>
    </row>
    <row r="101" spans="2:30" ht="5.0999999999999996" customHeight="1"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U101" s="30"/>
      <c r="V101" s="30"/>
      <c r="W101" s="30"/>
      <c r="X101" s="30"/>
      <c r="Y101" s="30"/>
      <c r="Z101" s="30"/>
      <c r="AA101" s="30"/>
      <c r="AB101" s="30"/>
      <c r="AC101" s="11"/>
      <c r="AD101" s="68"/>
    </row>
    <row r="102" spans="2:30" ht="12.75" customHeight="1">
      <c r="B102" s="33" t="s">
        <v>58</v>
      </c>
      <c r="C102" s="30"/>
      <c r="D102" s="30"/>
      <c r="E102" s="30"/>
      <c r="F102" s="30"/>
      <c r="G102" s="30"/>
      <c r="H102" s="30"/>
      <c r="I102" s="76"/>
      <c r="J102" s="76"/>
      <c r="K102" s="76"/>
      <c r="L102" s="30"/>
      <c r="M102" s="76"/>
      <c r="N102" s="76"/>
      <c r="O102" s="76"/>
      <c r="P102" s="30"/>
      <c r="Q102" s="76"/>
      <c r="R102" s="76"/>
      <c r="S102" s="76"/>
      <c r="U102" s="30"/>
      <c r="V102" s="30"/>
      <c r="W102" s="30"/>
      <c r="X102" s="30"/>
      <c r="Y102" s="30"/>
      <c r="Z102" s="30"/>
      <c r="AA102" s="30"/>
      <c r="AB102" s="30"/>
      <c r="AC102" s="55"/>
      <c r="AD102" s="68"/>
    </row>
    <row r="103" spans="2:30" ht="12.75" customHeight="1">
      <c r="B103" s="56" t="s">
        <v>179</v>
      </c>
      <c r="C103" s="76">
        <v>2956</v>
      </c>
      <c r="D103" s="76">
        <v>3501</v>
      </c>
      <c r="E103" s="76">
        <v>14161</v>
      </c>
      <c r="F103" s="76">
        <v>16024</v>
      </c>
      <c r="G103" s="76">
        <v>13946</v>
      </c>
      <c r="H103" s="30"/>
      <c r="I103" s="76">
        <v>4723</v>
      </c>
      <c r="J103" s="76">
        <f>9361-I103</f>
        <v>4638</v>
      </c>
      <c r="K103" s="76">
        <f>12547-J103-I103</f>
        <v>3186</v>
      </c>
      <c r="L103" s="30">
        <f t="shared" ref="L103:L112" si="262">SUM(F103-SUM(I103:K103))</f>
        <v>3477</v>
      </c>
      <c r="M103" s="76">
        <v>3827</v>
      </c>
      <c r="N103" s="76">
        <f>7747-M103</f>
        <v>3920</v>
      </c>
      <c r="O103" s="76">
        <f>10879-N103-M103</f>
        <v>3132</v>
      </c>
      <c r="P103" s="30">
        <f t="shared" ref="P103:P112" si="263">SUM(G103-SUM(M103:O103))</f>
        <v>3067</v>
      </c>
      <c r="Q103" s="76">
        <v>3145</v>
      </c>
      <c r="R103" s="76">
        <f>6851-Q103</f>
        <v>3706</v>
      </c>
      <c r="S103" s="76">
        <f>9093-R103-Q103</f>
        <v>2242</v>
      </c>
      <c r="U103" s="30">
        <f>SUM(K103:N103)</f>
        <v>14410</v>
      </c>
      <c r="V103" s="30">
        <f>SUM(L103:O103)</f>
        <v>14356</v>
      </c>
      <c r="W103" s="30">
        <f>SUM(M103:P103)</f>
        <v>13946</v>
      </c>
      <c r="X103" s="30">
        <f>SUM(N103:Q103)</f>
        <v>13264</v>
      </c>
      <c r="Y103" s="30">
        <f>SUM(O103:R103)</f>
        <v>13050</v>
      </c>
      <c r="Z103" s="30">
        <f>SUM(P103:S103)</f>
        <v>12160</v>
      </c>
      <c r="AA103" s="30">
        <f>SUM(Q103:S103)</f>
        <v>9093</v>
      </c>
      <c r="AB103" s="30">
        <f>SUM(R103:S103)</f>
        <v>5948</v>
      </c>
      <c r="AC103" s="11"/>
      <c r="AD103" s="68">
        <f t="shared" ref="AD103:AD113" si="264">SUM(AB103/X103)-1</f>
        <v>-0.55156815440289497</v>
      </c>
    </row>
    <row r="104" spans="2:30" ht="12.75" customHeight="1">
      <c r="B104" s="56" t="s">
        <v>51</v>
      </c>
      <c r="C104" s="76">
        <v>1359</v>
      </c>
      <c r="D104" s="76">
        <v>1582</v>
      </c>
      <c r="E104" s="76">
        <v>7193</v>
      </c>
      <c r="F104" s="76">
        <v>7985</v>
      </c>
      <c r="G104" s="76">
        <v>7037</v>
      </c>
      <c r="H104" s="30"/>
      <c r="I104" s="76">
        <v>2058</v>
      </c>
      <c r="J104" s="76">
        <f>3972-I104</f>
        <v>1914</v>
      </c>
      <c r="K104" s="76">
        <f>5961-J104-I104</f>
        <v>1989</v>
      </c>
      <c r="L104" s="30">
        <f t="shared" si="262"/>
        <v>2024</v>
      </c>
      <c r="M104" s="76">
        <v>1888</v>
      </c>
      <c r="N104" s="76">
        <f>3632-M104</f>
        <v>1744</v>
      </c>
      <c r="O104" s="76">
        <f>5394-N104-M104</f>
        <v>1762</v>
      </c>
      <c r="P104" s="30">
        <f t="shared" si="263"/>
        <v>1643</v>
      </c>
      <c r="Q104" s="76">
        <v>1547</v>
      </c>
      <c r="R104" s="76">
        <f>2994-Q104</f>
        <v>1447</v>
      </c>
      <c r="S104" s="76">
        <f>4369-R104-Q104</f>
        <v>1375</v>
      </c>
      <c r="U104" s="30">
        <f>SUM(K104:N104)</f>
        <v>7645</v>
      </c>
      <c r="V104" s="30">
        <f>SUM(L104:O104)</f>
        <v>7418</v>
      </c>
      <c r="W104" s="30">
        <f>SUM(M104:P104)</f>
        <v>7037</v>
      </c>
      <c r="X104" s="30">
        <f>SUM(N104:Q104)</f>
        <v>6696</v>
      </c>
      <c r="Y104" s="30">
        <f>SUM(O104:R104)</f>
        <v>6399</v>
      </c>
      <c r="Z104" s="30">
        <f>SUM(P104:S104)</f>
        <v>6012</v>
      </c>
      <c r="AA104" s="30">
        <f>SUM(Q104:S104)</f>
        <v>4369</v>
      </c>
      <c r="AB104" s="30">
        <f>SUM(R104:S104)</f>
        <v>2822</v>
      </c>
      <c r="AC104" s="11"/>
      <c r="AD104" s="68">
        <f t="shared" ref="AD104:AD112" si="265">SUM(AB104/X104)-1</f>
        <v>-0.57855436081242528</v>
      </c>
    </row>
    <row r="105" spans="2:30" ht="12.75" customHeight="1">
      <c r="B105" s="56" t="s">
        <v>173</v>
      </c>
      <c r="C105" s="76">
        <v>-186</v>
      </c>
      <c r="D105" s="76">
        <v>-511</v>
      </c>
      <c r="E105" s="76">
        <v>-2842</v>
      </c>
      <c r="F105" s="76">
        <v>-2344</v>
      </c>
      <c r="G105" s="76">
        <v>-1732</v>
      </c>
      <c r="H105" s="30"/>
      <c r="I105" s="76">
        <v>-669</v>
      </c>
      <c r="J105" s="76">
        <f>-1426-I105</f>
        <v>-757</v>
      </c>
      <c r="K105" s="76">
        <f>-2071-J105-I105</f>
        <v>-645</v>
      </c>
      <c r="L105" s="30">
        <f t="shared" si="262"/>
        <v>-273</v>
      </c>
      <c r="M105" s="76">
        <v>-399</v>
      </c>
      <c r="N105" s="76">
        <f>-889-M105</f>
        <v>-490</v>
      </c>
      <c r="O105" s="76">
        <f>-1351-N105-M105</f>
        <v>-462</v>
      </c>
      <c r="P105" s="30">
        <f t="shared" si="263"/>
        <v>-381</v>
      </c>
      <c r="Q105" s="76">
        <v>-312</v>
      </c>
      <c r="R105" s="76">
        <f>-471-Q105</f>
        <v>-159</v>
      </c>
      <c r="S105" s="76">
        <f>-272-R105-Q105</f>
        <v>199</v>
      </c>
      <c r="U105" s="30">
        <f>SUM(K105:N105)</f>
        <v>-1807</v>
      </c>
      <c r="V105" s="30">
        <f>SUM(L105:O105)</f>
        <v>-1624</v>
      </c>
      <c r="W105" s="30">
        <f>SUM(M105:P105)</f>
        <v>-1732</v>
      </c>
      <c r="X105" s="30">
        <f>SUM(N105:Q105)</f>
        <v>-1645</v>
      </c>
      <c r="Y105" s="30">
        <f>SUM(O105:R105)</f>
        <v>-1314</v>
      </c>
      <c r="Z105" s="30">
        <f>SUM(P105:S105)</f>
        <v>-653</v>
      </c>
      <c r="AA105" s="30">
        <f>SUM(Q105:S105)</f>
        <v>-272</v>
      </c>
      <c r="AB105" s="30">
        <f>SUM(R105:S105)</f>
        <v>40</v>
      </c>
      <c r="AC105" s="11"/>
      <c r="AD105" s="68">
        <f t="shared" si="265"/>
        <v>-1.0243161094224924</v>
      </c>
    </row>
    <row r="106" spans="2:30" ht="12.75" customHeight="1">
      <c r="B106" s="56" t="s">
        <v>183</v>
      </c>
      <c r="C106" s="76">
        <v>110</v>
      </c>
      <c r="D106" s="76">
        <v>178</v>
      </c>
      <c r="E106" s="76">
        <v>412</v>
      </c>
      <c r="F106" s="76">
        <v>500</v>
      </c>
      <c r="G106" s="76">
        <v>557</v>
      </c>
      <c r="H106" s="30"/>
      <c r="I106" s="76">
        <v>111</v>
      </c>
      <c r="J106" s="76">
        <f>248-I106</f>
        <v>137</v>
      </c>
      <c r="K106" s="76">
        <f>391-J106-I106</f>
        <v>143</v>
      </c>
      <c r="L106" s="30">
        <f t="shared" si="262"/>
        <v>109</v>
      </c>
      <c r="M106" s="76">
        <v>101</v>
      </c>
      <c r="N106" s="76">
        <f>260-M106</f>
        <v>159</v>
      </c>
      <c r="O106" s="76">
        <f>419-N106-M106</f>
        <v>159</v>
      </c>
      <c r="P106" s="30">
        <f t="shared" si="263"/>
        <v>138</v>
      </c>
      <c r="Q106" s="76">
        <v>123</v>
      </c>
      <c r="R106" s="76">
        <f>298-Q106</f>
        <v>175</v>
      </c>
      <c r="S106" s="76">
        <f>540-R106-Q106</f>
        <v>242</v>
      </c>
      <c r="U106" s="30">
        <f>SUM(K106:N106)</f>
        <v>512</v>
      </c>
      <c r="V106" s="30">
        <f>SUM(L106:O106)</f>
        <v>528</v>
      </c>
      <c r="W106" s="30">
        <f>SUM(M106:P106)</f>
        <v>557</v>
      </c>
      <c r="X106" s="30">
        <f>SUM(N106:Q106)</f>
        <v>579</v>
      </c>
      <c r="Y106" s="30">
        <f>SUM(O106:R106)</f>
        <v>595</v>
      </c>
      <c r="Z106" s="30">
        <f>SUM(P106:S106)</f>
        <v>678</v>
      </c>
      <c r="AA106" s="30">
        <f>SUM(Q106:S106)</f>
        <v>540</v>
      </c>
      <c r="AB106" s="30">
        <f>SUM(R106:S106)</f>
        <v>417</v>
      </c>
      <c r="AC106" s="11"/>
      <c r="AD106" s="68">
        <f t="shared" si="265"/>
        <v>-0.27979274611398963</v>
      </c>
    </row>
    <row r="107" spans="2:30" ht="12.75" customHeight="1">
      <c r="B107" s="56" t="s">
        <v>182</v>
      </c>
      <c r="C107" s="76">
        <v>167</v>
      </c>
      <c r="D107" s="76">
        <v>63</v>
      </c>
      <c r="E107" s="76">
        <v>211</v>
      </c>
      <c r="F107" s="76">
        <v>157</v>
      </c>
      <c r="G107" s="76">
        <v>167</v>
      </c>
      <c r="H107" s="30"/>
      <c r="I107" s="76">
        <v>62</v>
      </c>
      <c r="J107" s="76">
        <f>112-I107</f>
        <v>50</v>
      </c>
      <c r="K107" s="76">
        <f>136-J107-I107</f>
        <v>24</v>
      </c>
      <c r="L107" s="30">
        <f t="shared" si="262"/>
        <v>21</v>
      </c>
      <c r="M107" s="76">
        <v>58</v>
      </c>
      <c r="N107" s="76">
        <f>83-M107</f>
        <v>25</v>
      </c>
      <c r="O107" s="76">
        <f>130-N107-M107</f>
        <v>47</v>
      </c>
      <c r="P107" s="30">
        <f t="shared" si="263"/>
        <v>37</v>
      </c>
      <c r="Q107" s="76">
        <v>0</v>
      </c>
      <c r="R107" s="76">
        <f>18-Q107</f>
        <v>18</v>
      </c>
      <c r="S107" s="76">
        <f>26-R107-Q107</f>
        <v>8</v>
      </c>
      <c r="U107" s="30">
        <f>SUM(K107:N107)</f>
        <v>128</v>
      </c>
      <c r="V107" s="30">
        <f>SUM(L107:O107)</f>
        <v>151</v>
      </c>
      <c r="W107" s="30">
        <f>SUM(M107:P107)</f>
        <v>167</v>
      </c>
      <c r="X107" s="30">
        <f>SUM(N107:Q107)</f>
        <v>109</v>
      </c>
      <c r="Y107" s="30">
        <f>SUM(O107:R107)</f>
        <v>102</v>
      </c>
      <c r="Z107" s="30">
        <f>SUM(P107:S107)</f>
        <v>63</v>
      </c>
      <c r="AA107" s="30">
        <f>SUM(Q107:S107)</f>
        <v>26</v>
      </c>
      <c r="AB107" s="30">
        <f>SUM(R107:S107)</f>
        <v>26</v>
      </c>
      <c r="AC107" s="11"/>
      <c r="AD107" s="68">
        <f t="shared" si="265"/>
        <v>-0.76146788990825687</v>
      </c>
    </row>
    <row r="108" spans="2:30" ht="12.75" customHeight="1">
      <c r="B108" s="56" t="s">
        <v>184</v>
      </c>
      <c r="C108" s="76">
        <v>-103</v>
      </c>
      <c r="D108" s="76">
        <v>-19</v>
      </c>
      <c r="E108" s="76">
        <v>-199</v>
      </c>
      <c r="F108" s="76">
        <v>0</v>
      </c>
      <c r="G108" s="76">
        <v>-227</v>
      </c>
      <c r="H108" s="30"/>
      <c r="I108" s="76">
        <v>0</v>
      </c>
      <c r="J108" s="76">
        <v>0</v>
      </c>
      <c r="K108" s="76">
        <v>0</v>
      </c>
      <c r="L108" s="30">
        <f t="shared" si="262"/>
        <v>0</v>
      </c>
      <c r="M108" s="76">
        <v>0</v>
      </c>
      <c r="N108" s="76">
        <f>-203-M108</f>
        <v>-203</v>
      </c>
      <c r="O108" s="76">
        <f>-204-N108-M108</f>
        <v>-1</v>
      </c>
      <c r="P108" s="30">
        <f t="shared" si="263"/>
        <v>-23</v>
      </c>
      <c r="Q108" s="76">
        <v>0</v>
      </c>
      <c r="R108" s="76">
        <f>-6-Q108</f>
        <v>-6</v>
      </c>
      <c r="S108" s="76">
        <f>-4-R108-Q108</f>
        <v>2</v>
      </c>
      <c r="U108" s="30">
        <f>SUM(K108:N108)</f>
        <v>-203</v>
      </c>
      <c r="V108" s="30">
        <f>SUM(L108:O108)</f>
        <v>-204</v>
      </c>
      <c r="W108" s="30">
        <f>SUM(M108:P108)</f>
        <v>-227</v>
      </c>
      <c r="X108" s="30">
        <f>SUM(N108:Q108)</f>
        <v>-227</v>
      </c>
      <c r="Y108" s="30">
        <f>SUM(O108:R108)</f>
        <v>-30</v>
      </c>
      <c r="Z108" s="30">
        <f>SUM(P108:S108)</f>
        <v>-27</v>
      </c>
      <c r="AA108" s="30">
        <f>SUM(Q108:S108)</f>
        <v>-4</v>
      </c>
      <c r="AB108" s="30">
        <f>SUM(R108:S108)</f>
        <v>-4</v>
      </c>
      <c r="AC108" s="11"/>
      <c r="AD108" s="68">
        <f t="shared" si="265"/>
        <v>-0.98237885462555063</v>
      </c>
    </row>
    <row r="109" spans="2:30" ht="12.75" customHeight="1">
      <c r="B109" s="56" t="s">
        <v>200</v>
      </c>
      <c r="C109" s="76">
        <v>76</v>
      </c>
      <c r="D109" s="76">
        <v>0</v>
      </c>
      <c r="E109" s="76">
        <v>0</v>
      </c>
      <c r="F109" s="76">
        <v>-17</v>
      </c>
      <c r="G109" s="76">
        <v>-632</v>
      </c>
      <c r="H109" s="30"/>
      <c r="I109" s="76">
        <v>0</v>
      </c>
      <c r="J109" s="76">
        <f>5-I109</f>
        <v>5</v>
      </c>
      <c r="K109" s="76">
        <f>-17-J109-I109</f>
        <v>-22</v>
      </c>
      <c r="L109" s="30">
        <f t="shared" si="262"/>
        <v>0</v>
      </c>
      <c r="M109" s="76">
        <v>0</v>
      </c>
      <c r="N109" s="76">
        <f>-567-M109</f>
        <v>-567</v>
      </c>
      <c r="O109" s="76">
        <f>-590-N109-M109</f>
        <v>-23</v>
      </c>
      <c r="P109" s="30">
        <f t="shared" si="263"/>
        <v>-42</v>
      </c>
      <c r="Q109" s="76">
        <v>0</v>
      </c>
      <c r="R109" s="76">
        <f>-2954-Q109</f>
        <v>-2954</v>
      </c>
      <c r="S109" s="76">
        <f>-2953-R109-Q109</f>
        <v>1</v>
      </c>
      <c r="U109" s="30">
        <f>SUM(K109:N109)</f>
        <v>-589</v>
      </c>
      <c r="V109" s="30">
        <f>SUM(L109:O109)</f>
        <v>-590</v>
      </c>
      <c r="W109" s="30">
        <f>SUM(M109:P109)</f>
        <v>-632</v>
      </c>
      <c r="X109" s="30">
        <f>SUM(N109:Q109)</f>
        <v>-632</v>
      </c>
      <c r="Y109" s="30">
        <f>SUM(O109:R109)</f>
        <v>-3019</v>
      </c>
      <c r="Z109" s="30">
        <f>SUM(P109:S109)</f>
        <v>-2995</v>
      </c>
      <c r="AA109" s="30">
        <f>SUM(Q109:S109)</f>
        <v>-2953</v>
      </c>
      <c r="AB109" s="30">
        <f>SUM(R109:S109)</f>
        <v>-2953</v>
      </c>
      <c r="AC109" s="11"/>
      <c r="AD109" s="68">
        <f t="shared" si="265"/>
        <v>3.6724683544303796</v>
      </c>
    </row>
    <row r="110" spans="2:30" ht="12.75" customHeight="1">
      <c r="B110" s="56" t="s">
        <v>201</v>
      </c>
      <c r="C110" s="76">
        <v>126</v>
      </c>
      <c r="D110" s="76">
        <v>-71</v>
      </c>
      <c r="E110" s="76">
        <v>116</v>
      </c>
      <c r="F110" s="76">
        <v>77</v>
      </c>
      <c r="G110" s="76">
        <v>9603</v>
      </c>
      <c r="H110" s="30"/>
      <c r="I110" s="76">
        <v>0</v>
      </c>
      <c r="J110" s="76">
        <f>37-I110</f>
        <v>37</v>
      </c>
      <c r="K110" s="76">
        <f>61-J110-I110</f>
        <v>24</v>
      </c>
      <c r="L110" s="30">
        <f t="shared" si="262"/>
        <v>16</v>
      </c>
      <c r="M110" s="76">
        <v>0</v>
      </c>
      <c r="N110" s="76">
        <f>9407-M110</f>
        <v>9407</v>
      </c>
      <c r="O110" s="76">
        <f>9412-N110-M110</f>
        <v>5</v>
      </c>
      <c r="P110" s="30">
        <f t="shared" si="263"/>
        <v>191</v>
      </c>
      <c r="Q110" s="76">
        <v>90</v>
      </c>
      <c r="R110" s="76">
        <f>116-Q110</f>
        <v>26</v>
      </c>
      <c r="S110" s="76">
        <f>162-R110-Q110</f>
        <v>46</v>
      </c>
      <c r="U110" s="30">
        <f>SUM(K110:N110)</f>
        <v>9447</v>
      </c>
      <c r="V110" s="30">
        <f>SUM(L110:O110)</f>
        <v>9428</v>
      </c>
      <c r="W110" s="30">
        <f>SUM(M110:P110)</f>
        <v>9603</v>
      </c>
      <c r="X110" s="30">
        <f>SUM(N110:Q110)</f>
        <v>9693</v>
      </c>
      <c r="Y110" s="30">
        <f>SUM(O110:R110)</f>
        <v>312</v>
      </c>
      <c r="Z110" s="30">
        <f>SUM(P110:S110)</f>
        <v>353</v>
      </c>
      <c r="AA110" s="30">
        <f>SUM(Q110:S110)</f>
        <v>162</v>
      </c>
      <c r="AB110" s="30">
        <f>SUM(R110:S110)</f>
        <v>72</v>
      </c>
      <c r="AC110" s="11"/>
      <c r="AD110" s="68">
        <f t="shared" si="265"/>
        <v>-0.99257195914577534</v>
      </c>
    </row>
    <row r="111" spans="2:30" ht="12.75" customHeight="1">
      <c r="B111" s="56" t="s">
        <v>202</v>
      </c>
      <c r="C111" s="76">
        <v>-36</v>
      </c>
      <c r="D111" s="76">
        <v>49</v>
      </c>
      <c r="E111" s="76">
        <v>-501</v>
      </c>
      <c r="F111" s="76">
        <v>-151</v>
      </c>
      <c r="G111" s="76">
        <v>-16</v>
      </c>
      <c r="H111" s="30"/>
      <c r="I111" s="76">
        <v>-23</v>
      </c>
      <c r="J111" s="76">
        <f>-111-I111</f>
        <v>-88</v>
      </c>
      <c r="K111" s="76">
        <f>-100-J111-I111</f>
        <v>11</v>
      </c>
      <c r="L111" s="30">
        <f t="shared" si="262"/>
        <v>-51</v>
      </c>
      <c r="M111" s="76">
        <v>-43</v>
      </c>
      <c r="N111" s="76">
        <f>-33-M111</f>
        <v>10</v>
      </c>
      <c r="O111" s="76">
        <f>-41-N111-M111</f>
        <v>-8</v>
      </c>
      <c r="P111" s="30">
        <f t="shared" si="263"/>
        <v>25</v>
      </c>
      <c r="Q111" s="76">
        <v>0</v>
      </c>
      <c r="R111" s="76">
        <v>0</v>
      </c>
      <c r="S111" s="76">
        <v>0</v>
      </c>
      <c r="U111" s="30">
        <f>SUM(K111:N111)</f>
        <v>-73</v>
      </c>
      <c r="V111" s="30">
        <f>SUM(L111:O111)</f>
        <v>-92</v>
      </c>
      <c r="W111" s="30">
        <f>SUM(M111:P111)</f>
        <v>-16</v>
      </c>
      <c r="X111" s="30">
        <f>SUM(N111:Q111)</f>
        <v>27</v>
      </c>
      <c r="Y111" s="30">
        <f>SUM(O111:R111)</f>
        <v>17</v>
      </c>
      <c r="Z111" s="30">
        <f>SUM(P111:S111)</f>
        <v>25</v>
      </c>
      <c r="AA111" s="30">
        <f>SUM(Q111:S111)</f>
        <v>0</v>
      </c>
      <c r="AB111" s="30">
        <f>SUM(R111:S111)</f>
        <v>0</v>
      </c>
      <c r="AC111" s="11"/>
      <c r="AD111" s="68">
        <f t="shared" si="265"/>
        <v>-1</v>
      </c>
    </row>
    <row r="112" spans="2:30" ht="12.75" customHeight="1">
      <c r="B112" s="173" t="s">
        <v>119</v>
      </c>
      <c r="C112" s="174">
        <v>14</v>
      </c>
      <c r="D112" s="174">
        <v>66</v>
      </c>
      <c r="E112" s="174">
        <v>435</v>
      </c>
      <c r="F112" s="174">
        <v>199</v>
      </c>
      <c r="G112" s="174">
        <v>115</v>
      </c>
      <c r="H112" s="30"/>
      <c r="I112" s="76">
        <v>97</v>
      </c>
      <c r="J112" s="76">
        <f>129-I112</f>
        <v>32</v>
      </c>
      <c r="K112" s="76">
        <f>186-J112-I112</f>
        <v>57</v>
      </c>
      <c r="L112" s="30">
        <f t="shared" si="262"/>
        <v>13</v>
      </c>
      <c r="M112" s="76">
        <v>7</v>
      </c>
      <c r="N112" s="76">
        <f>58-M112</f>
        <v>51</v>
      </c>
      <c r="O112" s="76">
        <f>96-N112-M112</f>
        <v>38</v>
      </c>
      <c r="P112" s="30">
        <f t="shared" si="263"/>
        <v>19</v>
      </c>
      <c r="Q112" s="76">
        <v>17</v>
      </c>
      <c r="R112" s="76">
        <f>-97-Q112</f>
        <v>-114</v>
      </c>
      <c r="S112" s="76">
        <f>-75-R112-Q112</f>
        <v>22</v>
      </c>
      <c r="U112" s="30">
        <f>SUM(K112:N112)</f>
        <v>128</v>
      </c>
      <c r="V112" s="30">
        <f>SUM(L112:O112)</f>
        <v>109</v>
      </c>
      <c r="W112" s="30">
        <f>SUM(M112:P112)</f>
        <v>115</v>
      </c>
      <c r="X112" s="30">
        <f>SUM(N112:Q112)</f>
        <v>125</v>
      </c>
      <c r="Y112" s="30">
        <f>SUM(O112:R112)</f>
        <v>-40</v>
      </c>
      <c r="Z112" s="30">
        <f>SUM(P112:S112)</f>
        <v>-56</v>
      </c>
      <c r="AA112" s="30">
        <f>SUM(Q112:S112)</f>
        <v>-75</v>
      </c>
      <c r="AB112" s="30">
        <f>SUM(R112:S112)</f>
        <v>-92</v>
      </c>
      <c r="AC112" s="11"/>
      <c r="AD112" s="68">
        <f t="shared" si="265"/>
        <v>-1.736</v>
      </c>
    </row>
    <row r="113" spans="2:30" ht="12.75" customHeight="1">
      <c r="B113" s="56" t="s">
        <v>180</v>
      </c>
      <c r="C113" s="76">
        <v>0</v>
      </c>
      <c r="D113" s="76">
        <v>0</v>
      </c>
      <c r="E113" s="76">
        <v>2808</v>
      </c>
      <c r="F113" s="76">
        <v>115</v>
      </c>
      <c r="G113" s="76">
        <v>165</v>
      </c>
      <c r="H113" s="30"/>
      <c r="I113" s="76">
        <v>0</v>
      </c>
      <c r="J113" s="76">
        <v>0</v>
      </c>
      <c r="K113" s="76">
        <v>0</v>
      </c>
      <c r="L113" s="30">
        <f t="shared" ref="L113:L114" si="266">SUM(F113-SUM(I113:K113))</f>
        <v>115</v>
      </c>
      <c r="M113" s="76">
        <v>0</v>
      </c>
      <c r="N113" s="76">
        <v>0</v>
      </c>
      <c r="O113" s="76">
        <v>0</v>
      </c>
      <c r="P113" s="30">
        <f t="shared" ref="P113:P114" si="267">SUM(G113-SUM(M113:O113))</f>
        <v>165</v>
      </c>
      <c r="Q113" s="76">
        <v>0</v>
      </c>
      <c r="R113" s="76">
        <v>0</v>
      </c>
      <c r="S113" s="76">
        <v>0</v>
      </c>
      <c r="U113" s="30">
        <f>SUM(K113:N113)</f>
        <v>115</v>
      </c>
      <c r="V113" s="30">
        <f>SUM(L113:O113)</f>
        <v>115</v>
      </c>
      <c r="W113" s="30">
        <f>SUM(M113:P113)</f>
        <v>165</v>
      </c>
      <c r="X113" s="30">
        <f>SUM(N113:Q113)</f>
        <v>165</v>
      </c>
      <c r="Y113" s="30">
        <f>SUM(O113:R113)</f>
        <v>165</v>
      </c>
      <c r="Z113" s="30">
        <f>SUM(P113:S113)</f>
        <v>165</v>
      </c>
      <c r="AA113" s="30">
        <f>SUM(Q113:S113)</f>
        <v>0</v>
      </c>
      <c r="AB113" s="30">
        <f>SUM(R113:S113)</f>
        <v>0</v>
      </c>
      <c r="AC113" s="11"/>
      <c r="AD113" s="68">
        <f t="shared" si="264"/>
        <v>-1</v>
      </c>
    </row>
    <row r="114" spans="2:30" ht="12.75" customHeight="1">
      <c r="B114" s="56" t="s">
        <v>181</v>
      </c>
      <c r="C114" s="76">
        <v>0</v>
      </c>
      <c r="D114" s="76">
        <v>0</v>
      </c>
      <c r="E114" s="76">
        <v>789</v>
      </c>
      <c r="F114" s="76">
        <v>0</v>
      </c>
      <c r="G114" s="76">
        <v>0</v>
      </c>
      <c r="H114" s="30"/>
      <c r="I114" s="76">
        <v>0</v>
      </c>
      <c r="J114" s="76">
        <v>0</v>
      </c>
      <c r="K114" s="76">
        <v>0</v>
      </c>
      <c r="L114" s="30">
        <f t="shared" si="266"/>
        <v>0</v>
      </c>
      <c r="M114" s="76">
        <v>0</v>
      </c>
      <c r="N114" s="76">
        <v>0</v>
      </c>
      <c r="O114" s="76">
        <v>0</v>
      </c>
      <c r="P114" s="30">
        <f t="shared" si="267"/>
        <v>0</v>
      </c>
      <c r="Q114" s="76">
        <v>0</v>
      </c>
      <c r="R114" s="76">
        <v>0</v>
      </c>
      <c r="S114" s="76">
        <v>0</v>
      </c>
      <c r="U114" s="30">
        <f>SUM(K114:N114)</f>
        <v>0</v>
      </c>
      <c r="V114" s="30">
        <f>SUM(L114:O114)</f>
        <v>0</v>
      </c>
      <c r="W114" s="30">
        <f>SUM(M114:P114)</f>
        <v>0</v>
      </c>
      <c r="X114" s="30">
        <f>SUM(N114:Q114)</f>
        <v>0</v>
      </c>
      <c r="Y114" s="30">
        <f>SUM(O114:R114)</f>
        <v>0</v>
      </c>
      <c r="Z114" s="30">
        <f>SUM(P114:S114)</f>
        <v>0</v>
      </c>
      <c r="AA114" s="30">
        <f>SUM(Q114:S114)</f>
        <v>0</v>
      </c>
      <c r="AB114" s="30">
        <f>SUM(R114:S114)</f>
        <v>0</v>
      </c>
      <c r="AC114" s="11"/>
      <c r="AD114" s="68" t="e">
        <f t="shared" ref="AD114" si="268">SUM(AB114/X114)-1</f>
        <v>#DIV/0!</v>
      </c>
    </row>
    <row r="115" spans="2:30" ht="12.75" customHeight="1">
      <c r="B115" s="33" t="s">
        <v>13</v>
      </c>
      <c r="C115" s="76"/>
      <c r="D115" s="76"/>
      <c r="E115" s="76"/>
      <c r="F115" s="76"/>
      <c r="G115" s="76"/>
      <c r="H115" s="30"/>
      <c r="I115" s="76"/>
      <c r="J115" s="76"/>
      <c r="K115" s="76"/>
      <c r="L115" s="30"/>
      <c r="M115" s="76"/>
      <c r="N115" s="76"/>
      <c r="O115" s="76"/>
      <c r="P115" s="30"/>
      <c r="Q115" s="76"/>
      <c r="R115" s="76"/>
      <c r="S115" s="76"/>
      <c r="U115" s="30"/>
      <c r="V115" s="30"/>
      <c r="W115" s="30"/>
      <c r="X115" s="30"/>
      <c r="Y115" s="30"/>
      <c r="Z115" s="30"/>
      <c r="AA115" s="30"/>
      <c r="AB115" s="30"/>
      <c r="AC115" s="55"/>
      <c r="AD115" s="68"/>
    </row>
    <row r="116" spans="2:30" ht="12.75" customHeight="1">
      <c r="B116" s="56" t="s">
        <v>107</v>
      </c>
      <c r="C116" s="76">
        <v>105</v>
      </c>
      <c r="D116" s="76">
        <v>47</v>
      </c>
      <c r="E116" s="76">
        <v>181</v>
      </c>
      <c r="F116" s="76">
        <v>312</v>
      </c>
      <c r="G116" s="76">
        <v>1012</v>
      </c>
      <c r="H116" s="30"/>
      <c r="I116" s="76">
        <v>-486</v>
      </c>
      <c r="J116" s="76">
        <f>-433-I116</f>
        <v>53</v>
      </c>
      <c r="K116" s="76">
        <f>-33-J116-I116</f>
        <v>400</v>
      </c>
      <c r="L116" s="30">
        <f t="shared" ref="L116:L119" si="269">SUM(F116-SUM(I116:K116))</f>
        <v>345</v>
      </c>
      <c r="M116" s="76">
        <v>-304</v>
      </c>
      <c r="N116" s="76">
        <f>-191-M116</f>
        <v>113</v>
      </c>
      <c r="O116" s="76">
        <f>517-N116-M116</f>
        <v>708</v>
      </c>
      <c r="P116" s="30">
        <f t="shared" ref="P116:P119" si="270">SUM(G116-SUM(M116:O116))</f>
        <v>495</v>
      </c>
      <c r="Q116" s="76">
        <v>288</v>
      </c>
      <c r="R116" s="76">
        <f>-460-Q116</f>
        <v>-748</v>
      </c>
      <c r="S116" s="76">
        <f>-200-R116-Q116</f>
        <v>260</v>
      </c>
      <c r="U116" s="30">
        <f>SUM(K116:N116)</f>
        <v>554</v>
      </c>
      <c r="V116" s="30">
        <f>SUM(L116:O116)</f>
        <v>862</v>
      </c>
      <c r="W116" s="30">
        <f>SUM(M116:P116)</f>
        <v>1012</v>
      </c>
      <c r="X116" s="30">
        <f>SUM(N116:Q116)</f>
        <v>1604</v>
      </c>
      <c r="Y116" s="30">
        <f>SUM(O116:R116)</f>
        <v>743</v>
      </c>
      <c r="Z116" s="30">
        <f>SUM(P116:S116)</f>
        <v>295</v>
      </c>
      <c r="AA116" s="30">
        <f>SUM(Q116:S116)</f>
        <v>-200</v>
      </c>
      <c r="AB116" s="30">
        <f>SUM(R116:S116)</f>
        <v>-488</v>
      </c>
      <c r="AC116" s="55"/>
      <c r="AD116" s="68">
        <f t="shared" ref="AD116:AD118" si="271">SUM(AB116/X116)-1</f>
        <v>-1.3042394014962593</v>
      </c>
    </row>
    <row r="117" spans="2:30" ht="12.75" customHeight="1">
      <c r="B117" s="56" t="s">
        <v>185</v>
      </c>
      <c r="C117" s="76">
        <v>-3053</v>
      </c>
      <c r="D117" s="76">
        <v>-3381</v>
      </c>
      <c r="E117" s="76">
        <v>-12562</v>
      </c>
      <c r="F117" s="76">
        <v>-12305</v>
      </c>
      <c r="G117" s="76">
        <v>-12349</v>
      </c>
      <c r="H117" s="30"/>
      <c r="I117" s="76">
        <v>-4051</v>
      </c>
      <c r="J117" s="76">
        <f>-7656-I117</f>
        <v>-3605</v>
      </c>
      <c r="K117" s="76">
        <f>-9853-J117-I117</f>
        <v>-2197</v>
      </c>
      <c r="L117" s="30">
        <f t="shared" si="269"/>
        <v>-2452</v>
      </c>
      <c r="M117" s="76">
        <v>-2778</v>
      </c>
      <c r="N117" s="76">
        <f>-6351-M117</f>
        <v>-3573</v>
      </c>
      <c r="O117" s="76">
        <f>-9506-N117-M117</f>
        <v>-3155</v>
      </c>
      <c r="P117" s="30">
        <f t="shared" si="270"/>
        <v>-2843</v>
      </c>
      <c r="Q117" s="76">
        <v>-2846</v>
      </c>
      <c r="R117" s="76">
        <f>-6314-Q117</f>
        <v>-3468</v>
      </c>
      <c r="S117" s="76">
        <f>-9096-R117-Q117</f>
        <v>-2782</v>
      </c>
      <c r="U117" s="30">
        <f>SUM(K117:N117)</f>
        <v>-11000</v>
      </c>
      <c r="V117" s="30">
        <f>SUM(L117:O117)</f>
        <v>-11958</v>
      </c>
      <c r="W117" s="30">
        <f>SUM(M117:P117)</f>
        <v>-12349</v>
      </c>
      <c r="X117" s="30">
        <f>SUM(N117:Q117)</f>
        <v>-12417</v>
      </c>
      <c r="Y117" s="30">
        <f>SUM(O117:R117)</f>
        <v>-12312</v>
      </c>
      <c r="Z117" s="30">
        <f>SUM(P117:S117)</f>
        <v>-11939</v>
      </c>
      <c r="AA117" s="30">
        <f>SUM(Q117:S117)</f>
        <v>-9096</v>
      </c>
      <c r="AB117" s="30">
        <f>SUM(R117:S117)</f>
        <v>-6250</v>
      </c>
      <c r="AC117" s="55"/>
      <c r="AD117" s="68">
        <f t="shared" si="271"/>
        <v>-0.49665780784408475</v>
      </c>
    </row>
    <row r="118" spans="2:30" ht="12.75" customHeight="1">
      <c r="B118" s="56" t="s">
        <v>186</v>
      </c>
      <c r="C118" s="76">
        <v>-131</v>
      </c>
      <c r="D118" s="76">
        <v>185</v>
      </c>
      <c r="E118" s="76">
        <v>1529</v>
      </c>
      <c r="F118" s="76">
        <v>-820</v>
      </c>
      <c r="G118" s="76">
        <v>-529</v>
      </c>
      <c r="H118" s="30"/>
      <c r="I118" s="76">
        <v>-1652</v>
      </c>
      <c r="J118" s="76">
        <f>-859-I118</f>
        <v>793</v>
      </c>
      <c r="K118" s="76">
        <f>-1245-J118-I118</f>
        <v>-386</v>
      </c>
      <c r="L118" s="30">
        <f t="shared" si="269"/>
        <v>425</v>
      </c>
      <c r="M118" s="76">
        <v>-753</v>
      </c>
      <c r="N118" s="76">
        <f>-132-M118</f>
        <v>621</v>
      </c>
      <c r="O118" s="76">
        <f>-1493-N118-M118</f>
        <v>-1361</v>
      </c>
      <c r="P118" s="30">
        <f t="shared" si="270"/>
        <v>964</v>
      </c>
      <c r="Q118" s="76">
        <v>-1026</v>
      </c>
      <c r="R118" s="76">
        <f>-141-Q118</f>
        <v>885</v>
      </c>
      <c r="S118" s="76">
        <f>-402-R118-Q118</f>
        <v>-261</v>
      </c>
      <c r="U118" s="30">
        <f>SUM(K118:N118)</f>
        <v>-93</v>
      </c>
      <c r="V118" s="30">
        <f>SUM(L118:O118)</f>
        <v>-1068</v>
      </c>
      <c r="W118" s="30">
        <f>SUM(M118:P118)</f>
        <v>-529</v>
      </c>
      <c r="X118" s="30">
        <f>SUM(N118:Q118)</f>
        <v>-802</v>
      </c>
      <c r="Y118" s="30">
        <f>SUM(O118:R118)</f>
        <v>-538</v>
      </c>
      <c r="Z118" s="30">
        <f>SUM(P118:S118)</f>
        <v>562</v>
      </c>
      <c r="AA118" s="30">
        <f>SUM(Q118:S118)</f>
        <v>-402</v>
      </c>
      <c r="AB118" s="30">
        <f>SUM(R118:S118)</f>
        <v>624</v>
      </c>
      <c r="AC118" s="55"/>
      <c r="AD118" s="68">
        <f t="shared" si="271"/>
        <v>-1.7780548628428927</v>
      </c>
    </row>
    <row r="119" spans="2:30" ht="12.75" customHeight="1">
      <c r="B119" s="56" t="s">
        <v>187</v>
      </c>
      <c r="C119" s="76">
        <v>-20</v>
      </c>
      <c r="D119" s="76">
        <v>-88</v>
      </c>
      <c r="E119" s="76">
        <v>-130</v>
      </c>
      <c r="F119" s="76">
        <v>824</v>
      </c>
      <c r="G119" s="76">
        <v>-260</v>
      </c>
      <c r="H119" s="30"/>
      <c r="I119" s="76">
        <v>259</v>
      </c>
      <c r="J119" s="76">
        <f>284-I119</f>
        <v>25</v>
      </c>
      <c r="K119" s="76">
        <f>623-J119-I119</f>
        <v>339</v>
      </c>
      <c r="L119" s="30">
        <f t="shared" si="269"/>
        <v>201</v>
      </c>
      <c r="M119" s="76">
        <v>-64</v>
      </c>
      <c r="N119" s="76">
        <f>-25-M119</f>
        <v>39</v>
      </c>
      <c r="O119" s="76">
        <f>-160-N119-M119</f>
        <v>-135</v>
      </c>
      <c r="P119" s="30">
        <f t="shared" si="270"/>
        <v>-100</v>
      </c>
      <c r="Q119" s="76">
        <v>-24</v>
      </c>
      <c r="R119" s="76">
        <f>563-Q119</f>
        <v>587</v>
      </c>
      <c r="S119" s="76">
        <f>331-R119-Q119</f>
        <v>-232</v>
      </c>
      <c r="U119" s="30">
        <f>SUM(K119:N119)</f>
        <v>515</v>
      </c>
      <c r="V119" s="30">
        <f>SUM(L119:O119)</f>
        <v>41</v>
      </c>
      <c r="W119" s="30">
        <f>SUM(M119:P119)</f>
        <v>-260</v>
      </c>
      <c r="X119" s="30">
        <f>SUM(N119:Q119)</f>
        <v>-220</v>
      </c>
      <c r="Y119" s="30">
        <f>SUM(O119:R119)</f>
        <v>328</v>
      </c>
      <c r="Z119" s="30">
        <f>SUM(P119:S119)</f>
        <v>231</v>
      </c>
      <c r="AA119" s="30">
        <f>SUM(Q119:S119)</f>
        <v>331</v>
      </c>
      <c r="AB119" s="30">
        <f>SUM(R119:S119)</f>
        <v>355</v>
      </c>
      <c r="AC119" s="55"/>
      <c r="AD119" s="68">
        <f t="shared" ref="AD119" si="272">SUM(AB119/X119)-1</f>
        <v>-2.6136363636363633</v>
      </c>
    </row>
    <row r="120" spans="2:30" ht="12.75" customHeight="1">
      <c r="B120" s="12" t="s">
        <v>52</v>
      </c>
      <c r="C120" s="13">
        <f>SUM(C100:C119)</f>
        <v>2739</v>
      </c>
      <c r="D120" s="13">
        <f>SUM(D100:D119)</f>
        <v>2798</v>
      </c>
      <c r="E120" s="13">
        <f>SUM(E100:E119)</f>
        <v>4304</v>
      </c>
      <c r="F120" s="13">
        <f>SUM(F100:F119)</f>
        <v>7477</v>
      </c>
      <c r="G120" s="13">
        <f>SUM(G100:G119)</f>
        <v>5375</v>
      </c>
      <c r="I120" s="13">
        <f>SUM(I100:I119)</f>
        <v>-631</v>
      </c>
      <c r="J120" s="13">
        <f>SUM(J100:J119)</f>
        <v>2014</v>
      </c>
      <c r="K120" s="13">
        <f>SUM(K100:K119)</f>
        <v>2516</v>
      </c>
      <c r="L120" s="13">
        <f>SUM(L100:L119)</f>
        <v>3578</v>
      </c>
      <c r="M120" s="13">
        <f>SUM(M100:M119)</f>
        <v>585</v>
      </c>
      <c r="N120" s="13">
        <f>SUM(N100:N119)</f>
        <v>1228</v>
      </c>
      <c r="O120" s="13">
        <f>SUM(O100:O119)</f>
        <v>847</v>
      </c>
      <c r="P120" s="13">
        <f>SUM(P100:P119)</f>
        <v>2715</v>
      </c>
      <c r="Q120" s="13">
        <f>SUM(Q100:Q119)</f>
        <v>553</v>
      </c>
      <c r="R120" s="13">
        <f>SUM(R100:R119)</f>
        <v>983</v>
      </c>
      <c r="S120" s="13">
        <f>SUM(S100:S119)</f>
        <v>979</v>
      </c>
      <c r="U120" s="13">
        <f>SUM(U100:U119)</f>
        <v>18252</v>
      </c>
      <c r="V120" s="13">
        <f>SUM(V100:V119)</f>
        <v>15777</v>
      </c>
      <c r="W120" s="13">
        <f>SUM(W100:W119)</f>
        <v>14965</v>
      </c>
      <c r="X120" s="13">
        <f>SUM(X100:X119)</f>
        <v>14701</v>
      </c>
      <c r="Y120" s="13">
        <f>SUM(Y100:Y119)</f>
        <v>2347</v>
      </c>
      <c r="Z120" s="13">
        <f>SUM(Z100:Z119)</f>
        <v>2931</v>
      </c>
      <c r="AA120" s="13">
        <f>SUM(AA100:AA119)</f>
        <v>-1242</v>
      </c>
      <c r="AB120" s="13">
        <f>SUM(AB100:AB119)</f>
        <v>-2809</v>
      </c>
      <c r="AC120" s="39"/>
      <c r="AD120" s="69">
        <f>SUM(AB120/X120)-1</f>
        <v>-1.1910754370450989</v>
      </c>
    </row>
    <row r="121" spans="2:30" ht="12.75" customHeight="1">
      <c r="B121" s="49"/>
      <c r="C121" s="57"/>
      <c r="D121" s="57"/>
      <c r="E121" s="57"/>
      <c r="F121" s="57"/>
      <c r="G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U121" s="39"/>
      <c r="V121" s="39"/>
      <c r="W121" s="39"/>
      <c r="X121" s="39"/>
      <c r="Y121" s="39"/>
      <c r="Z121" s="39"/>
      <c r="AA121" s="39"/>
      <c r="AB121" s="39"/>
      <c r="AC121" s="39"/>
      <c r="AD121" s="36"/>
    </row>
    <row r="122" spans="2:30" ht="12.75" customHeight="1">
      <c r="B122" s="112" t="s">
        <v>53</v>
      </c>
      <c r="C122" s="54"/>
      <c r="D122" s="54"/>
      <c r="E122" s="54"/>
      <c r="F122" s="54"/>
      <c r="G122" s="54"/>
      <c r="I122" s="76"/>
      <c r="J122" s="76"/>
      <c r="K122" s="76"/>
      <c r="L122" s="30"/>
      <c r="M122" s="76"/>
      <c r="N122" s="76"/>
      <c r="O122" s="76"/>
      <c r="P122" s="30"/>
      <c r="Q122" s="76"/>
      <c r="R122" s="76"/>
      <c r="S122" s="76"/>
      <c r="U122" s="54"/>
      <c r="V122" s="54"/>
      <c r="W122" s="54"/>
      <c r="X122" s="54"/>
      <c r="Y122" s="54"/>
      <c r="Z122" s="54"/>
      <c r="AA122" s="54"/>
      <c r="AB122" s="54"/>
      <c r="AC122" s="55"/>
      <c r="AD122" s="36"/>
    </row>
    <row r="123" spans="2:30" ht="12.75" customHeight="1">
      <c r="B123" s="56" t="s">
        <v>188</v>
      </c>
      <c r="C123" s="76">
        <v>-402</v>
      </c>
      <c r="D123" s="76">
        <v>-373</v>
      </c>
      <c r="E123" s="76">
        <v>-987</v>
      </c>
      <c r="F123" s="76">
        <v>-1316</v>
      </c>
      <c r="G123" s="76">
        <v>-948</v>
      </c>
      <c r="H123" s="30"/>
      <c r="I123" s="76">
        <v>-299</v>
      </c>
      <c r="J123" s="76">
        <f>-591-I123</f>
        <v>-292</v>
      </c>
      <c r="K123" s="76">
        <f>-1048-J123-I123</f>
        <v>-457</v>
      </c>
      <c r="L123" s="30">
        <f t="shared" ref="L123:L127" si="273">SUM(F123-SUM(I123:K123))</f>
        <v>-268</v>
      </c>
      <c r="M123" s="76">
        <v>-195</v>
      </c>
      <c r="N123" s="76">
        <f>-447-M123</f>
        <v>-252</v>
      </c>
      <c r="O123" s="76">
        <f>-662-N123-M123</f>
        <v>-215</v>
      </c>
      <c r="P123" s="30">
        <f t="shared" ref="P123:P127" si="274">SUM(G123-SUM(M123:O123))</f>
        <v>-286</v>
      </c>
      <c r="Q123" s="76">
        <v>-251</v>
      </c>
      <c r="R123" s="76">
        <f>-532-Q123</f>
        <v>-281</v>
      </c>
      <c r="S123" s="76">
        <f>-810-R123-Q123</f>
        <v>-278</v>
      </c>
      <c r="T123" s="30"/>
      <c r="U123" s="30">
        <f>SUM(K123:N123)</f>
        <v>-1172</v>
      </c>
      <c r="V123" s="30">
        <f>SUM(L123:O123)</f>
        <v>-930</v>
      </c>
      <c r="W123" s="30">
        <f>SUM(M123:P123)</f>
        <v>-948</v>
      </c>
      <c r="X123" s="30">
        <f>SUM(N123:Q123)</f>
        <v>-1004</v>
      </c>
      <c r="Y123" s="30">
        <f>SUM(O123:R123)</f>
        <v>-1033</v>
      </c>
      <c r="Z123" s="30">
        <f>SUM(P123:S123)</f>
        <v>-1096</v>
      </c>
      <c r="AA123" s="30">
        <f>SUM(Q123:S123)</f>
        <v>-810</v>
      </c>
      <c r="AB123" s="30">
        <f>SUM(R123:S123)</f>
        <v>-559</v>
      </c>
      <c r="AC123" s="55"/>
      <c r="AD123" s="68">
        <f t="shared" ref="AD123:AD124" si="275">SUM(AB123/X123)-1</f>
        <v>-0.44322709163346619</v>
      </c>
    </row>
    <row r="124" spans="2:30" ht="12.75" customHeight="1">
      <c r="B124" s="56" t="s">
        <v>212</v>
      </c>
      <c r="C124" s="76">
        <v>-39</v>
      </c>
      <c r="D124" s="76">
        <v>-2</v>
      </c>
      <c r="E124" s="76">
        <v>3612</v>
      </c>
      <c r="F124" s="76">
        <v>-50</v>
      </c>
      <c r="G124" s="76">
        <v>0</v>
      </c>
      <c r="H124" s="30"/>
      <c r="I124" s="76">
        <v>0</v>
      </c>
      <c r="J124" s="76">
        <v>0</v>
      </c>
      <c r="K124" s="76">
        <v>0</v>
      </c>
      <c r="L124" s="30">
        <f t="shared" si="273"/>
        <v>-50</v>
      </c>
      <c r="M124" s="76">
        <v>0</v>
      </c>
      <c r="N124" s="76">
        <v>0</v>
      </c>
      <c r="O124" s="76">
        <v>0</v>
      </c>
      <c r="P124" s="30">
        <f t="shared" si="274"/>
        <v>0</v>
      </c>
      <c r="Q124" s="76">
        <v>66</v>
      </c>
      <c r="R124" s="76">
        <f>66-Q124</f>
        <v>0</v>
      </c>
      <c r="S124" s="76">
        <f>0-R124-Q124</f>
        <v>-66</v>
      </c>
      <c r="T124" s="30"/>
      <c r="U124" s="30">
        <f>SUM(K124:N124)</f>
        <v>-50</v>
      </c>
      <c r="V124" s="30">
        <f>SUM(L124:O124)</f>
        <v>-50</v>
      </c>
      <c r="W124" s="30">
        <f>SUM(M124:P124)</f>
        <v>0</v>
      </c>
      <c r="X124" s="30">
        <f>SUM(N124:Q124)</f>
        <v>66</v>
      </c>
      <c r="Y124" s="30">
        <f>SUM(O124:R124)</f>
        <v>66</v>
      </c>
      <c r="Z124" s="30">
        <f>SUM(P124:S124)</f>
        <v>0</v>
      </c>
      <c r="AA124" s="30">
        <f>SUM(Q124:S124)</f>
        <v>0</v>
      </c>
      <c r="AB124" s="30">
        <f>SUM(R124:S124)</f>
        <v>-66</v>
      </c>
      <c r="AC124" s="55"/>
      <c r="AD124" s="68">
        <f t="shared" si="275"/>
        <v>-2</v>
      </c>
    </row>
    <row r="125" spans="2:30" ht="12.75" customHeight="1">
      <c r="B125" s="56" t="s">
        <v>229</v>
      </c>
      <c r="C125" s="76">
        <f>-250+69-181</f>
        <v>-362</v>
      </c>
      <c r="D125" s="76">
        <f>-103+599-184</f>
        <v>312</v>
      </c>
      <c r="E125" s="76">
        <f>306-168</f>
        <v>138</v>
      </c>
      <c r="F125" s="76">
        <v>-112</v>
      </c>
      <c r="G125" s="76">
        <f>541-109</f>
        <v>432</v>
      </c>
      <c r="H125" s="30"/>
      <c r="I125" s="76">
        <v>-13</v>
      </c>
      <c r="J125" s="76">
        <f>-45-I125</f>
        <v>-32</v>
      </c>
      <c r="K125" s="76">
        <f>-91-J125-I125</f>
        <v>-46</v>
      </c>
      <c r="L125" s="30">
        <f t="shared" si="273"/>
        <v>-21</v>
      </c>
      <c r="M125" s="76">
        <v>-53</v>
      </c>
      <c r="N125" s="76">
        <f>324-68-M125</f>
        <v>309</v>
      </c>
      <c r="O125" s="76">
        <f>324-104-N125-M125</f>
        <v>-36</v>
      </c>
      <c r="P125" s="30">
        <f t="shared" si="274"/>
        <v>212</v>
      </c>
      <c r="Q125" s="76">
        <f>11-14</f>
        <v>-3</v>
      </c>
      <c r="R125" s="76">
        <f>54-26-Q125</f>
        <v>31</v>
      </c>
      <c r="S125" s="76">
        <f>54-97-R125-Q125</f>
        <v>-71</v>
      </c>
      <c r="T125" s="30"/>
      <c r="U125" s="30">
        <f>SUM(K125:N125)</f>
        <v>189</v>
      </c>
      <c r="V125" s="30">
        <f>SUM(L125:O125)</f>
        <v>199</v>
      </c>
      <c r="W125" s="30">
        <f>SUM(M125:P125)</f>
        <v>432</v>
      </c>
      <c r="X125" s="30">
        <f>SUM(N125:Q125)</f>
        <v>482</v>
      </c>
      <c r="Y125" s="30">
        <f>SUM(O125:R125)</f>
        <v>204</v>
      </c>
      <c r="Z125" s="30">
        <f>SUM(P125:S125)</f>
        <v>169</v>
      </c>
      <c r="AA125" s="30">
        <f>SUM(Q125:S125)</f>
        <v>-43</v>
      </c>
      <c r="AB125" s="30">
        <f>SUM(R125:S125)</f>
        <v>-40</v>
      </c>
      <c r="AC125" s="55"/>
      <c r="AD125" s="68"/>
    </row>
    <row r="126" spans="2:30" ht="12.75" customHeight="1">
      <c r="B126" s="56" t="s">
        <v>189</v>
      </c>
      <c r="C126" s="76">
        <v>85</v>
      </c>
      <c r="D126" s="76">
        <v>-86</v>
      </c>
      <c r="E126" s="76">
        <v>752</v>
      </c>
      <c r="F126" s="76">
        <v>121</v>
      </c>
      <c r="G126" s="76">
        <v>136</v>
      </c>
      <c r="H126" s="30"/>
      <c r="I126" s="76">
        <v>0</v>
      </c>
      <c r="J126" s="76">
        <v>0</v>
      </c>
      <c r="K126" s="76">
        <v>0</v>
      </c>
      <c r="L126" s="30">
        <f t="shared" si="273"/>
        <v>121</v>
      </c>
      <c r="M126" s="76">
        <v>0</v>
      </c>
      <c r="N126" s="76">
        <v>0</v>
      </c>
      <c r="O126" s="76">
        <v>0</v>
      </c>
      <c r="P126" s="30">
        <f t="shared" si="274"/>
        <v>136</v>
      </c>
      <c r="Q126" s="76">
        <v>0</v>
      </c>
      <c r="R126" s="76">
        <v>0</v>
      </c>
      <c r="S126" s="76">
        <v>0</v>
      </c>
      <c r="T126" s="30"/>
      <c r="U126" s="30">
        <f>SUM(K126:N126)</f>
        <v>121</v>
      </c>
      <c r="V126" s="30">
        <f>SUM(L126:O126)</f>
        <v>121</v>
      </c>
      <c r="W126" s="30">
        <f>SUM(M126:P126)</f>
        <v>136</v>
      </c>
      <c r="X126" s="30">
        <f>SUM(N126:Q126)</f>
        <v>136</v>
      </c>
      <c r="Y126" s="30">
        <f>SUM(O126:R126)</f>
        <v>136</v>
      </c>
      <c r="Z126" s="30">
        <f>SUM(P126:S126)</f>
        <v>136</v>
      </c>
      <c r="AA126" s="30">
        <f>SUM(Q126:S126)</f>
        <v>0</v>
      </c>
      <c r="AB126" s="30">
        <f>SUM(R126:S126)</f>
        <v>0</v>
      </c>
      <c r="AC126" s="55"/>
      <c r="AD126" s="68">
        <f t="shared" ref="AD126" si="276">SUM(AB126/X126)-1</f>
        <v>-1</v>
      </c>
    </row>
    <row r="127" spans="2:30" ht="12.75" customHeight="1">
      <c r="B127" s="56" t="s">
        <v>190</v>
      </c>
      <c r="C127" s="76">
        <v>15</v>
      </c>
      <c r="D127" s="76">
        <v>93</v>
      </c>
      <c r="E127" s="76">
        <v>9</v>
      </c>
      <c r="F127" s="76">
        <v>98</v>
      </c>
      <c r="G127" s="76">
        <v>31</v>
      </c>
      <c r="H127" s="30"/>
      <c r="I127" s="76">
        <v>55</v>
      </c>
      <c r="J127" s="76">
        <f>69-I127</f>
        <v>14</v>
      </c>
      <c r="K127" s="76">
        <f>114-J127-I127</f>
        <v>45</v>
      </c>
      <c r="L127" s="30">
        <f t="shared" si="273"/>
        <v>-16</v>
      </c>
      <c r="M127" s="76">
        <v>41</v>
      </c>
      <c r="N127" s="76">
        <f>54-M127</f>
        <v>13</v>
      </c>
      <c r="O127" s="76">
        <f>87-N127-M127</f>
        <v>33</v>
      </c>
      <c r="P127" s="30">
        <f t="shared" si="274"/>
        <v>-56</v>
      </c>
      <c r="Q127" s="76">
        <v>-7</v>
      </c>
      <c r="R127" s="76">
        <f>7-Q127</f>
        <v>14</v>
      </c>
      <c r="S127" s="76">
        <f>92-R127-Q127</f>
        <v>85</v>
      </c>
      <c r="T127" s="30"/>
      <c r="U127" s="30">
        <f>SUM(K127:N127)</f>
        <v>83</v>
      </c>
      <c r="V127" s="30">
        <f>SUM(L127:O127)</f>
        <v>71</v>
      </c>
      <c r="W127" s="30">
        <f>SUM(M127:P127)</f>
        <v>31</v>
      </c>
      <c r="X127" s="30">
        <f>SUM(N127:Q127)</f>
        <v>-17</v>
      </c>
      <c r="Y127" s="30">
        <f>SUM(O127:R127)</f>
        <v>-16</v>
      </c>
      <c r="Z127" s="30">
        <f>SUM(P127:S127)</f>
        <v>36</v>
      </c>
      <c r="AA127" s="30">
        <f>SUM(Q127:S127)</f>
        <v>92</v>
      </c>
      <c r="AB127" s="30">
        <f>SUM(R127:S127)</f>
        <v>99</v>
      </c>
      <c r="AC127" s="55"/>
      <c r="AD127" s="68">
        <f t="shared" ref="AD127" si="277">SUM(AB127/X127)-1</f>
        <v>-6.8235294117647056</v>
      </c>
    </row>
    <row r="128" spans="2:30" ht="12.75" customHeight="1">
      <c r="B128" s="12" t="s">
        <v>54</v>
      </c>
      <c r="C128" s="13">
        <f>SUM(C123:C127)</f>
        <v>-703</v>
      </c>
      <c r="D128" s="13">
        <f>SUM(D123:D127)</f>
        <v>-56</v>
      </c>
      <c r="E128" s="13">
        <f>SUM(E123:E127)</f>
        <v>3524</v>
      </c>
      <c r="F128" s="13">
        <f>SUM(F123:F127)</f>
        <v>-1259</v>
      </c>
      <c r="G128" s="13">
        <f>SUM(G123:G127)</f>
        <v>-349</v>
      </c>
      <c r="I128" s="13">
        <f>SUM(I123:I127)</f>
        <v>-257</v>
      </c>
      <c r="J128" s="13">
        <f>SUM(J123:J127)</f>
        <v>-310</v>
      </c>
      <c r="K128" s="13">
        <f>SUM(K123:K127)</f>
        <v>-458</v>
      </c>
      <c r="L128" s="13">
        <f>SUM(L123:L127)</f>
        <v>-234</v>
      </c>
      <c r="M128" s="13">
        <f>SUM(M123:M127)</f>
        <v>-207</v>
      </c>
      <c r="N128" s="13">
        <f>SUM(N123:N127)</f>
        <v>70</v>
      </c>
      <c r="O128" s="13">
        <f>SUM(O123:O127)</f>
        <v>-218</v>
      </c>
      <c r="P128" s="13">
        <f>SUM(P123:P127)</f>
        <v>6</v>
      </c>
      <c r="Q128" s="13">
        <f>SUM(Q123:Q127)</f>
        <v>-195</v>
      </c>
      <c r="R128" s="13">
        <f>SUM(R123:R127)</f>
        <v>-236</v>
      </c>
      <c r="S128" s="13">
        <f>SUM(S123:S127)</f>
        <v>-330</v>
      </c>
      <c r="U128" s="13">
        <f>SUM(U123:U127)</f>
        <v>-829</v>
      </c>
      <c r="V128" s="13">
        <f>SUM(V123:V127)</f>
        <v>-589</v>
      </c>
      <c r="W128" s="13">
        <f>SUM(W123:W127)</f>
        <v>-349</v>
      </c>
      <c r="X128" s="13">
        <f>SUM(X123:X127)</f>
        <v>-337</v>
      </c>
      <c r="Y128" s="13">
        <f>SUM(Y123:Y127)</f>
        <v>-643</v>
      </c>
      <c r="Z128" s="13">
        <f>SUM(Z123:Z127)</f>
        <v>-755</v>
      </c>
      <c r="AA128" s="13">
        <f>SUM(AA123:AA127)</f>
        <v>-761</v>
      </c>
      <c r="AB128" s="13">
        <f>SUM(AB123:AB127)</f>
        <v>-566</v>
      </c>
      <c r="AC128" s="39"/>
      <c r="AD128" s="69">
        <f>SUM(AB128/X128)-1</f>
        <v>0.67952522255192882</v>
      </c>
    </row>
    <row r="129" spans="2:30" ht="5.0999999999999996" customHeight="1">
      <c r="B129" s="48"/>
      <c r="C129" s="57"/>
      <c r="D129" s="57"/>
      <c r="E129" s="57"/>
      <c r="F129" s="57"/>
      <c r="G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U129" s="39"/>
      <c r="V129" s="39"/>
      <c r="W129" s="39"/>
      <c r="X129" s="39"/>
      <c r="Y129" s="39"/>
      <c r="Z129" s="39"/>
      <c r="AA129" s="39"/>
      <c r="AB129" s="39"/>
      <c r="AC129" s="39"/>
      <c r="AD129" s="36"/>
    </row>
    <row r="130" spans="2:30" ht="12.75" customHeight="1">
      <c r="B130" s="112" t="s">
        <v>55</v>
      </c>
      <c r="C130" s="58"/>
      <c r="D130" s="58"/>
      <c r="E130" s="58"/>
      <c r="F130" s="58"/>
      <c r="G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30"/>
      <c r="U130" s="30"/>
      <c r="V130" s="30"/>
      <c r="W130" s="30"/>
      <c r="X130" s="30"/>
      <c r="Y130" s="30"/>
      <c r="Z130" s="30"/>
      <c r="AA130" s="30"/>
      <c r="AB130" s="30"/>
      <c r="AC130" s="59"/>
      <c r="AD130" s="36"/>
    </row>
    <row r="131" spans="2:30" ht="12.75" customHeight="1">
      <c r="B131" s="77" t="s">
        <v>230</v>
      </c>
      <c r="C131" s="76">
        <f>-2193+1979+500-500</f>
        <v>-214</v>
      </c>
      <c r="D131" s="76">
        <v>-574</v>
      </c>
      <c r="E131" s="76">
        <f>-6000-1315+2393-2395</f>
        <v>-7317</v>
      </c>
      <c r="F131" s="76">
        <f>-4000-2860+1496+5207-5214</f>
        <v>-5371</v>
      </c>
      <c r="G131" s="76">
        <f>-5043+1617+14203-14203</f>
        <v>-3426</v>
      </c>
      <c r="I131" s="76">
        <f>-1500-106+1500+932-933</f>
        <v>-107</v>
      </c>
      <c r="J131" s="76">
        <f>-2600-660+1500+2599-2602-I131</f>
        <v>-1656</v>
      </c>
      <c r="K131" s="76">
        <f>-2850-2818+1496+4298-4304-J131-I131</f>
        <v>-2415</v>
      </c>
      <c r="L131" s="30">
        <f t="shared" ref="L131:L134" si="278">SUM(F131-SUM(I131:K131))</f>
        <v>-1193</v>
      </c>
      <c r="M131" s="76">
        <f>-1047+2200-2200</f>
        <v>-1047</v>
      </c>
      <c r="N131" s="76">
        <f>-3703+1617+11605-11605-M131</f>
        <v>-1039</v>
      </c>
      <c r="O131" s="76">
        <f>-4550+1617+14203-14203-N131-M131</f>
        <v>-847</v>
      </c>
      <c r="P131" s="30">
        <f t="shared" ref="P131:P134" si="279">SUM(G131-SUM(M131:O131))</f>
        <v>-493</v>
      </c>
      <c r="Q131" s="76">
        <f>-3665+1500+695-695</f>
        <v>-2165</v>
      </c>
      <c r="R131" s="76">
        <f>-20403+18303+3551-3551-Q131</f>
        <v>65</v>
      </c>
      <c r="S131" s="76">
        <f>-21663+18306+3551-3551-R131-Q131</f>
        <v>-1257</v>
      </c>
      <c r="T131" s="30"/>
      <c r="U131" s="30">
        <f>SUM(K131:N131)</f>
        <v>-5694</v>
      </c>
      <c r="V131" s="30">
        <f>SUM(L131:O131)</f>
        <v>-4126</v>
      </c>
      <c r="W131" s="30">
        <f>SUM(M131:P131)</f>
        <v>-3426</v>
      </c>
      <c r="X131" s="30">
        <f>SUM(N131:Q131)</f>
        <v>-4544</v>
      </c>
      <c r="Y131" s="30">
        <f>SUM(O131:R131)</f>
        <v>-3440</v>
      </c>
      <c r="Z131" s="30">
        <f>SUM(P131:S131)</f>
        <v>-3850</v>
      </c>
      <c r="AA131" s="30">
        <f>SUM(Q131:S131)</f>
        <v>-3357</v>
      </c>
      <c r="AB131" s="30">
        <f>SUM(R131:S131)</f>
        <v>-1192</v>
      </c>
      <c r="AC131" s="59"/>
      <c r="AD131" s="68">
        <f t="shared" ref="AD131" si="280">SUM(AB131/X131)-1</f>
        <v>-0.73767605633802824</v>
      </c>
    </row>
    <row r="132" spans="2:30" ht="12.75" customHeight="1">
      <c r="B132" s="56" t="s">
        <v>231</v>
      </c>
      <c r="C132" s="76">
        <v>-254</v>
      </c>
      <c r="D132" s="76">
        <v>-251</v>
      </c>
      <c r="E132" s="76">
        <v>-300</v>
      </c>
      <c r="F132" s="76">
        <f>-301-49</f>
        <v>-350</v>
      </c>
      <c r="G132" s="76">
        <v>-193</v>
      </c>
      <c r="H132" s="30"/>
      <c r="I132" s="76">
        <v>-237</v>
      </c>
      <c r="J132" s="76">
        <f>-269-I132</f>
        <v>-32</v>
      </c>
      <c r="K132" s="76">
        <f>-282-J132-I132</f>
        <v>-13</v>
      </c>
      <c r="L132" s="30">
        <f t="shared" si="278"/>
        <v>-68</v>
      </c>
      <c r="M132" s="76">
        <v>-130</v>
      </c>
      <c r="N132" s="76">
        <f>-161-M132</f>
        <v>-31</v>
      </c>
      <c r="O132" s="76">
        <f>-172-N132-M132</f>
        <v>-11</v>
      </c>
      <c r="P132" s="30">
        <f t="shared" si="279"/>
        <v>-21</v>
      </c>
      <c r="Q132" s="76">
        <v>-157</v>
      </c>
      <c r="R132" s="76">
        <f>-174-Q132</f>
        <v>-17</v>
      </c>
      <c r="S132" s="76">
        <f>-188-R132-Q132</f>
        <v>-14</v>
      </c>
      <c r="T132" s="30"/>
      <c r="U132" s="30">
        <f t="shared" ref="U132:U134" si="281">SUM(K132:N132)</f>
        <v>-242</v>
      </c>
      <c r="V132" s="30">
        <f t="shared" ref="V132:V134" si="282">SUM(L132:O132)</f>
        <v>-240</v>
      </c>
      <c r="W132" s="30">
        <f t="shared" ref="W132:W134" si="283">SUM(M132:P132)</f>
        <v>-193</v>
      </c>
      <c r="X132" s="30">
        <f t="shared" ref="X132:X134" si="284">SUM(N132:Q132)</f>
        <v>-220</v>
      </c>
      <c r="Y132" s="30">
        <f t="shared" ref="Y132:Y134" si="285">SUM(O132:R132)</f>
        <v>-206</v>
      </c>
      <c r="Z132" s="30">
        <f t="shared" ref="Z132:Z134" si="286">SUM(P132:S132)</f>
        <v>-209</v>
      </c>
      <c r="AA132" s="30">
        <f t="shared" ref="AA132:AA134" si="287">SUM(Q132:S132)</f>
        <v>-188</v>
      </c>
      <c r="AB132" s="30">
        <f t="shared" ref="AB132:AB134" si="288">SUM(R132:S132)</f>
        <v>-31</v>
      </c>
      <c r="AC132" s="55"/>
      <c r="AD132" s="68">
        <f t="shared" ref="AD132:AD134" si="289">SUM(AB132/X132)-1</f>
        <v>-0.85909090909090913</v>
      </c>
    </row>
    <row r="133" spans="2:30" ht="12.75" customHeight="1">
      <c r="B133" s="56" t="s">
        <v>213</v>
      </c>
      <c r="C133" s="76">
        <v>0</v>
      </c>
      <c r="D133" s="76">
        <v>0</v>
      </c>
      <c r="E133" s="76">
        <v>0</v>
      </c>
      <c r="F133" s="76">
        <v>0</v>
      </c>
      <c r="G133" s="76">
        <v>0</v>
      </c>
      <c r="H133" s="30"/>
      <c r="I133" s="76">
        <v>0</v>
      </c>
      <c r="J133" s="76">
        <v>0</v>
      </c>
      <c r="K133" s="76">
        <v>0</v>
      </c>
      <c r="L133" s="30">
        <f t="shared" si="278"/>
        <v>0</v>
      </c>
      <c r="M133" s="76">
        <v>0</v>
      </c>
      <c r="N133" s="76">
        <v>0</v>
      </c>
      <c r="O133" s="76">
        <v>0</v>
      </c>
      <c r="P133" s="30">
        <f t="shared" si="279"/>
        <v>0</v>
      </c>
      <c r="Q133" s="76">
        <v>601</v>
      </c>
      <c r="R133" s="76">
        <f>601-Q133</f>
        <v>0</v>
      </c>
      <c r="S133" s="76">
        <f>633-R133-Q133</f>
        <v>32</v>
      </c>
      <c r="T133" s="30"/>
      <c r="U133" s="30">
        <f t="shared" ref="U133" si="290">SUM(K133:N133)</f>
        <v>0</v>
      </c>
      <c r="V133" s="30">
        <f t="shared" ref="V133" si="291">SUM(L133:O133)</f>
        <v>0</v>
      </c>
      <c r="W133" s="30">
        <f t="shared" ref="W133" si="292">SUM(M133:P133)</f>
        <v>0</v>
      </c>
      <c r="X133" s="30">
        <f t="shared" ref="X133" si="293">SUM(N133:Q133)</f>
        <v>601</v>
      </c>
      <c r="Y133" s="30">
        <f t="shared" ref="Y133" si="294">SUM(O133:R133)</f>
        <v>601</v>
      </c>
      <c r="Z133" s="30">
        <f t="shared" ref="Z133" si="295">SUM(P133:S133)</f>
        <v>633</v>
      </c>
      <c r="AA133" s="30">
        <f t="shared" ref="AA133" si="296">SUM(Q133:S133)</f>
        <v>633</v>
      </c>
      <c r="AB133" s="30">
        <f t="shared" ref="AB133" si="297">SUM(R133:S133)</f>
        <v>32</v>
      </c>
      <c r="AC133" s="55"/>
      <c r="AD133" s="68">
        <f t="shared" si="289"/>
        <v>-0.9467554076539102</v>
      </c>
    </row>
    <row r="134" spans="2:30" ht="12.75" customHeight="1">
      <c r="B134" s="56" t="s">
        <v>194</v>
      </c>
      <c r="C134" s="76">
        <f>-112-969</f>
        <v>-1081</v>
      </c>
      <c r="D134" s="76">
        <v>-28</v>
      </c>
      <c r="E134" s="76">
        <v>-125</v>
      </c>
      <c r="F134" s="76">
        <v>-116</v>
      </c>
      <c r="G134" s="76">
        <v>-130</v>
      </c>
      <c r="H134" s="30"/>
      <c r="I134" s="76">
        <v>-88</v>
      </c>
      <c r="J134" s="76">
        <f>405-56-I134</f>
        <v>437</v>
      </c>
      <c r="K134" s="76">
        <f>238-86-J134-I134</f>
        <v>-197</v>
      </c>
      <c r="L134" s="30">
        <f t="shared" si="278"/>
        <v>-268</v>
      </c>
      <c r="M134" s="76">
        <v>-60</v>
      </c>
      <c r="N134" s="76">
        <f>-27-M134</f>
        <v>33</v>
      </c>
      <c r="O134" s="76">
        <f>13-57-N134-M134</f>
        <v>-17</v>
      </c>
      <c r="P134" s="30">
        <f t="shared" si="279"/>
        <v>-86</v>
      </c>
      <c r="Q134" s="76">
        <v>-174</v>
      </c>
      <c r="R134" s="76">
        <f>-213-Q134</f>
        <v>-39</v>
      </c>
      <c r="S134" s="76">
        <f>51-262-R134-Q134</f>
        <v>2</v>
      </c>
      <c r="T134" s="30"/>
      <c r="U134" s="30">
        <f t="shared" si="281"/>
        <v>-492</v>
      </c>
      <c r="V134" s="30">
        <f t="shared" si="282"/>
        <v>-312</v>
      </c>
      <c r="W134" s="30">
        <f t="shared" si="283"/>
        <v>-130</v>
      </c>
      <c r="X134" s="30">
        <f t="shared" si="284"/>
        <v>-244</v>
      </c>
      <c r="Y134" s="30">
        <f t="shared" si="285"/>
        <v>-316</v>
      </c>
      <c r="Z134" s="30">
        <f t="shared" si="286"/>
        <v>-297</v>
      </c>
      <c r="AA134" s="30">
        <f t="shared" si="287"/>
        <v>-211</v>
      </c>
      <c r="AB134" s="30">
        <f t="shared" si="288"/>
        <v>-37</v>
      </c>
      <c r="AC134" s="55"/>
      <c r="AD134" s="68">
        <f t="shared" si="289"/>
        <v>-0.84836065573770492</v>
      </c>
    </row>
    <row r="135" spans="2:30" ht="12.75" customHeight="1">
      <c r="B135" s="12" t="s">
        <v>56</v>
      </c>
      <c r="C135" s="13">
        <f>SUM(C131:C134)</f>
        <v>-1549</v>
      </c>
      <c r="D135" s="13">
        <f>SUM(D131:D134)</f>
        <v>-853</v>
      </c>
      <c r="E135" s="13">
        <f>SUM(E131:E134)</f>
        <v>-7742</v>
      </c>
      <c r="F135" s="13">
        <f>SUM(F131:F134)</f>
        <v>-5837</v>
      </c>
      <c r="G135" s="13">
        <f>SUM(G131:G134)</f>
        <v>-3749</v>
      </c>
      <c r="I135" s="13">
        <f>SUM(I131:I134)</f>
        <v>-432</v>
      </c>
      <c r="J135" s="13">
        <f>SUM(J131:J134)</f>
        <v>-1251</v>
      </c>
      <c r="K135" s="13">
        <f>SUM(K131:K134)</f>
        <v>-2625</v>
      </c>
      <c r="L135" s="13">
        <f>SUM(L131:L134)</f>
        <v>-1529</v>
      </c>
      <c r="M135" s="13">
        <f>SUM(M131:M134)</f>
        <v>-1237</v>
      </c>
      <c r="N135" s="13">
        <f>SUM(N131:N134)</f>
        <v>-1037</v>
      </c>
      <c r="O135" s="13">
        <f>SUM(O131:O134)</f>
        <v>-875</v>
      </c>
      <c r="P135" s="13">
        <f>SUM(P131:P134)</f>
        <v>-600</v>
      </c>
      <c r="Q135" s="13">
        <f>SUM(Q131:Q134)</f>
        <v>-1895</v>
      </c>
      <c r="R135" s="13">
        <f>SUM(R131:R134)</f>
        <v>9</v>
      </c>
      <c r="S135" s="13">
        <f>SUM(S131:S134)</f>
        <v>-1237</v>
      </c>
      <c r="U135" s="13">
        <f>SUM(U131:U134)</f>
        <v>-6428</v>
      </c>
      <c r="V135" s="13">
        <f>SUM(V131:V134)</f>
        <v>-4678</v>
      </c>
      <c r="W135" s="13">
        <f>SUM(W131:W134)</f>
        <v>-3749</v>
      </c>
      <c r="X135" s="13">
        <f>SUM(X131:X134)</f>
        <v>-4407</v>
      </c>
      <c r="Y135" s="13">
        <f>SUM(Y131:Y134)</f>
        <v>-3361</v>
      </c>
      <c r="Z135" s="13">
        <f>SUM(Z131:Z134)</f>
        <v>-3723</v>
      </c>
      <c r="AA135" s="13">
        <f>SUM(AA131:AA134)</f>
        <v>-3123</v>
      </c>
      <c r="AB135" s="13">
        <f>SUM(AB131:AB134)</f>
        <v>-1228</v>
      </c>
      <c r="AC135" s="39"/>
      <c r="AD135" s="69">
        <f>SUM(AB135/X135)-1</f>
        <v>-0.7213523939187656</v>
      </c>
    </row>
    <row r="136" spans="2:30" ht="5.0999999999999996" customHeight="1">
      <c r="B136" s="8"/>
      <c r="C136" s="60"/>
      <c r="D136" s="60"/>
      <c r="E136" s="60"/>
      <c r="F136" s="60"/>
      <c r="G136" s="60"/>
      <c r="H136" s="3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U136" s="11"/>
      <c r="V136" s="11"/>
      <c r="W136" s="11"/>
      <c r="X136" s="11"/>
      <c r="Y136" s="11"/>
      <c r="Z136" s="11"/>
      <c r="AA136" s="11"/>
      <c r="AB136" s="11"/>
      <c r="AC136" s="11"/>
      <c r="AD136" s="42"/>
    </row>
    <row r="137" spans="2:30" ht="5.0999999999999996" customHeight="1">
      <c r="B137" s="65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11"/>
      <c r="AD137" s="42"/>
    </row>
    <row r="138" spans="2:30">
      <c r="B138" s="143" t="s">
        <v>89</v>
      </c>
      <c r="C138" s="162">
        <v>1552</v>
      </c>
      <c r="D138" s="148">
        <f t="shared" ref="D138:F138" si="298">C145</f>
        <v>2091</v>
      </c>
      <c r="E138" s="148">
        <f t="shared" si="298"/>
        <v>3905</v>
      </c>
      <c r="F138" s="148">
        <f t="shared" si="298"/>
        <v>3731</v>
      </c>
      <c r="G138" s="148">
        <f t="shared" ref="G138" si="299">F145</f>
        <v>3780</v>
      </c>
      <c r="H138" s="148"/>
      <c r="I138" s="148">
        <f>F138</f>
        <v>3731</v>
      </c>
      <c r="J138" s="148">
        <f t="shared" ref="J138:R138" si="300">I145</f>
        <v>2594</v>
      </c>
      <c r="K138" s="148">
        <f t="shared" si="300"/>
        <v>3027</v>
      </c>
      <c r="L138" s="148">
        <f t="shared" si="300"/>
        <v>2383</v>
      </c>
      <c r="M138" s="148">
        <f t="shared" si="300"/>
        <v>3780</v>
      </c>
      <c r="N138" s="148">
        <f t="shared" si="300"/>
        <v>2976</v>
      </c>
      <c r="O138" s="148">
        <f t="shared" si="300"/>
        <v>3613</v>
      </c>
      <c r="P138" s="148">
        <f t="shared" si="300"/>
        <v>3336</v>
      </c>
      <c r="Q138" s="148">
        <f t="shared" si="300"/>
        <v>5312</v>
      </c>
      <c r="R138" s="148">
        <f t="shared" si="300"/>
        <v>3868</v>
      </c>
      <c r="S138" s="148">
        <f t="shared" ref="S138" si="301">R145</f>
        <v>4888</v>
      </c>
      <c r="T138" s="148"/>
      <c r="U138" s="148">
        <f>L138</f>
        <v>2383</v>
      </c>
      <c r="V138" s="148">
        <f t="shared" ref="V138:AB138" si="302">U145</f>
        <v>3780</v>
      </c>
      <c r="W138" s="148">
        <f t="shared" si="302"/>
        <v>2976</v>
      </c>
      <c r="X138" s="148">
        <f t="shared" si="302"/>
        <v>3613</v>
      </c>
      <c r="Y138" s="148">
        <f t="shared" si="302"/>
        <v>3336</v>
      </c>
      <c r="Z138" s="148">
        <f t="shared" si="302"/>
        <v>5312</v>
      </c>
      <c r="AA138" s="148">
        <f t="shared" si="302"/>
        <v>3868</v>
      </c>
      <c r="AB138" s="149">
        <f t="shared" si="302"/>
        <v>4888</v>
      </c>
      <c r="AC138" s="11"/>
      <c r="AD138" s="42"/>
    </row>
    <row r="139" spans="2:30">
      <c r="B139" s="144" t="s">
        <v>86</v>
      </c>
      <c r="C139" s="76"/>
      <c r="D139" s="30">
        <f t="shared" ref="D139:F139" si="303">-C143</f>
        <v>31</v>
      </c>
      <c r="E139" s="30">
        <f t="shared" si="303"/>
        <v>0</v>
      </c>
      <c r="F139" s="30">
        <f t="shared" si="303"/>
        <v>199</v>
      </c>
      <c r="G139" s="30">
        <f t="shared" ref="G139" si="304">-F143</f>
        <v>539</v>
      </c>
      <c r="H139" s="30"/>
      <c r="I139" s="30">
        <f>F139</f>
        <v>199</v>
      </c>
      <c r="J139" s="30">
        <f>-I143</f>
        <v>45</v>
      </c>
      <c r="K139" s="30">
        <f t="shared" ref="K139:R139" si="305">-J143</f>
        <v>50</v>
      </c>
      <c r="L139" s="30">
        <f t="shared" si="305"/>
        <v>47</v>
      </c>
      <c r="M139" s="30">
        <f t="shared" si="305"/>
        <v>539</v>
      </c>
      <c r="N139" s="30">
        <f t="shared" si="305"/>
        <v>410</v>
      </c>
      <c r="O139" s="30">
        <f t="shared" si="305"/>
        <v>4</v>
      </c>
      <c r="P139" s="30">
        <f t="shared" si="305"/>
        <v>154</v>
      </c>
      <c r="Q139" s="30">
        <f t="shared" si="305"/>
        <v>104</v>
      </c>
      <c r="R139" s="30">
        <f t="shared" si="305"/>
        <v>106</v>
      </c>
      <c r="S139" s="30">
        <f t="shared" ref="S139" si="306">-R143</f>
        <v>3</v>
      </c>
      <c r="T139" s="30"/>
      <c r="U139" s="30">
        <f>L139</f>
        <v>47</v>
      </c>
      <c r="V139" s="30">
        <f t="shared" ref="V139:AB139" si="307">-U143</f>
        <v>539</v>
      </c>
      <c r="W139" s="30">
        <f t="shared" si="307"/>
        <v>410</v>
      </c>
      <c r="X139" s="30">
        <f t="shared" si="307"/>
        <v>4</v>
      </c>
      <c r="Y139" s="30">
        <f t="shared" si="307"/>
        <v>154</v>
      </c>
      <c r="Z139" s="30">
        <f t="shared" si="307"/>
        <v>104</v>
      </c>
      <c r="AA139" s="30">
        <f t="shared" si="307"/>
        <v>106</v>
      </c>
      <c r="AB139" s="139">
        <f t="shared" si="307"/>
        <v>3</v>
      </c>
      <c r="AC139" s="11"/>
      <c r="AD139" s="42"/>
    </row>
    <row r="140" spans="2:30">
      <c r="B140" s="145" t="s">
        <v>69</v>
      </c>
      <c r="C140" s="113">
        <f t="shared" ref="C140" si="308">SUM(C138:C139)</f>
        <v>1552</v>
      </c>
      <c r="D140" s="113">
        <f t="shared" ref="D140:F140" si="309">SUM(D138:D139)</f>
        <v>2122</v>
      </c>
      <c r="E140" s="113">
        <f t="shared" si="309"/>
        <v>3905</v>
      </c>
      <c r="F140" s="113">
        <f t="shared" si="309"/>
        <v>3930</v>
      </c>
      <c r="G140" s="113">
        <f t="shared" ref="G140" si="310">SUM(G138:G139)</f>
        <v>4319</v>
      </c>
      <c r="H140" s="30"/>
      <c r="I140" s="113">
        <f t="shared" ref="I140:R140" si="311">SUM(I138:I139)</f>
        <v>3930</v>
      </c>
      <c r="J140" s="113">
        <f t="shared" si="311"/>
        <v>2639</v>
      </c>
      <c r="K140" s="113">
        <f t="shared" si="311"/>
        <v>3077</v>
      </c>
      <c r="L140" s="113">
        <f t="shared" si="311"/>
        <v>2430</v>
      </c>
      <c r="M140" s="113">
        <f t="shared" si="311"/>
        <v>4319</v>
      </c>
      <c r="N140" s="113">
        <f t="shared" si="311"/>
        <v>3386</v>
      </c>
      <c r="O140" s="113">
        <f t="shared" si="311"/>
        <v>3617</v>
      </c>
      <c r="P140" s="113">
        <f t="shared" si="311"/>
        <v>3490</v>
      </c>
      <c r="Q140" s="113">
        <f t="shared" si="311"/>
        <v>5416</v>
      </c>
      <c r="R140" s="113">
        <f t="shared" si="311"/>
        <v>3974</v>
      </c>
      <c r="S140" s="113">
        <f t="shared" ref="S140" si="312">SUM(S138:S139)</f>
        <v>4891</v>
      </c>
      <c r="T140" s="30"/>
      <c r="U140" s="113">
        <f t="shared" ref="U140:W140" si="313">SUM(U138:U139)</f>
        <v>2430</v>
      </c>
      <c r="V140" s="113">
        <f t="shared" si="313"/>
        <v>4319</v>
      </c>
      <c r="W140" s="113">
        <f t="shared" si="313"/>
        <v>3386</v>
      </c>
      <c r="X140" s="113">
        <f t="shared" ref="X140" si="314">SUM(X138:X139)</f>
        <v>3617</v>
      </c>
      <c r="Y140" s="113">
        <f t="shared" ref="Y140" si="315">SUM(Y138:Y139)</f>
        <v>3490</v>
      </c>
      <c r="Z140" s="113">
        <f t="shared" ref="Z140" si="316">SUM(Z138:Z139)</f>
        <v>5416</v>
      </c>
      <c r="AA140" s="113">
        <f t="shared" ref="AA140" si="317">SUM(AA138:AA139)</f>
        <v>3974</v>
      </c>
      <c r="AB140" s="140">
        <f t="shared" ref="AB140" si="318">SUM(AB138:AB139)</f>
        <v>4891</v>
      </c>
      <c r="AC140" s="11"/>
      <c r="AD140" s="42"/>
    </row>
    <row r="141" spans="2:30" ht="5.0999999999999996" customHeight="1">
      <c r="B141" s="146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139"/>
      <c r="AC141" s="11"/>
      <c r="AD141" s="42"/>
    </row>
    <row r="142" spans="2:30">
      <c r="B142" s="144" t="s">
        <v>87</v>
      </c>
      <c r="C142" s="76">
        <v>83</v>
      </c>
      <c r="D142" s="76">
        <v>-106</v>
      </c>
      <c r="E142" s="76">
        <v>-61</v>
      </c>
      <c r="F142" s="76">
        <v>8</v>
      </c>
      <c r="G142" s="76">
        <v>-180</v>
      </c>
      <c r="H142" s="30"/>
      <c r="I142" s="76">
        <v>29</v>
      </c>
      <c r="J142" s="76">
        <f>14-I142</f>
        <v>-15</v>
      </c>
      <c r="K142" s="76">
        <f>-66-J142-I142</f>
        <v>-80</v>
      </c>
      <c r="L142" s="30">
        <f>SUM(F142-SUM(I142:K142))</f>
        <v>74</v>
      </c>
      <c r="M142" s="76">
        <v>-74</v>
      </c>
      <c r="N142" s="76">
        <f>-104-M142</f>
        <v>-30</v>
      </c>
      <c r="O142" s="76">
        <f>15-N142-M142</f>
        <v>119</v>
      </c>
      <c r="P142" s="30">
        <f>SUM(G142-SUM(M142:O142))</f>
        <v>-195</v>
      </c>
      <c r="Q142" s="76">
        <v>95</v>
      </c>
      <c r="R142" s="76">
        <f>256-Q142</f>
        <v>161</v>
      </c>
      <c r="S142" s="76">
        <f>251-R142-Q142</f>
        <v>-5</v>
      </c>
      <c r="T142" s="30"/>
      <c r="U142" s="30">
        <f t="shared" ref="U142:U144" si="319">L142</f>
        <v>74</v>
      </c>
      <c r="V142" s="30">
        <f t="shared" ref="V142:V144" si="320">M142</f>
        <v>-74</v>
      </c>
      <c r="W142" s="30">
        <f t="shared" ref="W142:W144" si="321">N142</f>
        <v>-30</v>
      </c>
      <c r="X142" s="30">
        <f t="shared" ref="X142:X144" si="322">O142</f>
        <v>119</v>
      </c>
      <c r="Y142" s="30">
        <f t="shared" ref="Y142:Y144" si="323">P142</f>
        <v>-195</v>
      </c>
      <c r="Z142" s="30">
        <f t="shared" ref="Z142:Z144" si="324">Q142</f>
        <v>95</v>
      </c>
      <c r="AA142" s="30">
        <f t="shared" ref="AA142:AA144" si="325">R142</f>
        <v>161</v>
      </c>
      <c r="AB142" s="139">
        <f t="shared" ref="AB142:AB144" si="326">S142</f>
        <v>-5</v>
      </c>
      <c r="AC142" s="11"/>
      <c r="AD142" s="42"/>
    </row>
    <row r="143" spans="2:30">
      <c r="B143" s="144" t="s">
        <v>88</v>
      </c>
      <c r="C143" s="76">
        <v>-31</v>
      </c>
      <c r="D143" s="76">
        <v>0</v>
      </c>
      <c r="E143" s="76">
        <v>-199</v>
      </c>
      <c r="F143" s="76">
        <v>-539</v>
      </c>
      <c r="G143" s="76">
        <v>-104</v>
      </c>
      <c r="H143" s="30"/>
      <c r="I143" s="76">
        <v>-45</v>
      </c>
      <c r="J143" s="76">
        <v>-50</v>
      </c>
      <c r="K143" s="76">
        <v>-47</v>
      </c>
      <c r="L143" s="30">
        <f>F143</f>
        <v>-539</v>
      </c>
      <c r="M143" s="76">
        <v>-410</v>
      </c>
      <c r="N143" s="76">
        <v>-4</v>
      </c>
      <c r="O143" s="76">
        <v>-154</v>
      </c>
      <c r="P143" s="30">
        <f>G143</f>
        <v>-104</v>
      </c>
      <c r="Q143" s="76">
        <v>-106</v>
      </c>
      <c r="R143" s="76">
        <v>-3</v>
      </c>
      <c r="S143" s="76">
        <v>-4</v>
      </c>
      <c r="T143" s="30"/>
      <c r="U143" s="30">
        <f t="shared" si="319"/>
        <v>-539</v>
      </c>
      <c r="V143" s="30">
        <f t="shared" si="320"/>
        <v>-410</v>
      </c>
      <c r="W143" s="30">
        <f t="shared" si="321"/>
        <v>-4</v>
      </c>
      <c r="X143" s="30">
        <f t="shared" si="322"/>
        <v>-154</v>
      </c>
      <c r="Y143" s="30">
        <f t="shared" si="323"/>
        <v>-104</v>
      </c>
      <c r="Z143" s="30">
        <f t="shared" si="324"/>
        <v>-106</v>
      </c>
      <c r="AA143" s="30">
        <f t="shared" si="325"/>
        <v>-3</v>
      </c>
      <c r="AB143" s="139">
        <f t="shared" si="326"/>
        <v>-4</v>
      </c>
      <c r="AC143" s="11"/>
      <c r="AD143" s="42"/>
    </row>
    <row r="144" spans="2:30">
      <c r="B144" s="144" t="s">
        <v>60</v>
      </c>
      <c r="C144" s="30">
        <f>+C135+C128+C120</f>
        <v>487</v>
      </c>
      <c r="D144" s="30">
        <f>+D135+D128+D120</f>
        <v>1889</v>
      </c>
      <c r="E144" s="30">
        <f>+E135+E128+E120</f>
        <v>86</v>
      </c>
      <c r="F144" s="30">
        <f>+F135+F128+F120</f>
        <v>381</v>
      </c>
      <c r="G144" s="30">
        <f>+G135+G128+G120</f>
        <v>1277</v>
      </c>
      <c r="H144" s="30"/>
      <c r="I144" s="30">
        <f>+I135+I128+I120</f>
        <v>-1320</v>
      </c>
      <c r="J144" s="30">
        <f>+J135+J128+J120</f>
        <v>453</v>
      </c>
      <c r="K144" s="30">
        <f>+K135+K128+K120</f>
        <v>-567</v>
      </c>
      <c r="L144" s="30">
        <f>+L135+L128+L120</f>
        <v>1815</v>
      </c>
      <c r="M144" s="30">
        <f>+M135+M128+M120</f>
        <v>-859</v>
      </c>
      <c r="N144" s="30">
        <f>+N135+N128+N120</f>
        <v>261</v>
      </c>
      <c r="O144" s="30">
        <f>+O135+O128+O120</f>
        <v>-246</v>
      </c>
      <c r="P144" s="30">
        <f>+P135+P128+P120</f>
        <v>2121</v>
      </c>
      <c r="Q144" s="30">
        <f>+Q135+Q128+Q120</f>
        <v>-1537</v>
      </c>
      <c r="R144" s="30">
        <f>+R135+R128+R120</f>
        <v>756</v>
      </c>
      <c r="S144" s="30">
        <f>+S135+S128+S120</f>
        <v>-588</v>
      </c>
      <c r="T144" s="30"/>
      <c r="U144" s="30">
        <f t="shared" si="319"/>
        <v>1815</v>
      </c>
      <c r="V144" s="30">
        <f t="shared" si="320"/>
        <v>-859</v>
      </c>
      <c r="W144" s="30">
        <f t="shared" si="321"/>
        <v>261</v>
      </c>
      <c r="X144" s="30">
        <f t="shared" si="322"/>
        <v>-246</v>
      </c>
      <c r="Y144" s="30">
        <f t="shared" si="323"/>
        <v>2121</v>
      </c>
      <c r="Z144" s="30">
        <f t="shared" si="324"/>
        <v>-1537</v>
      </c>
      <c r="AA144" s="30">
        <f t="shared" si="325"/>
        <v>756</v>
      </c>
      <c r="AB144" s="139">
        <f t="shared" si="326"/>
        <v>-588</v>
      </c>
      <c r="AC144" s="11"/>
      <c r="AD144" s="42"/>
    </row>
    <row r="145" spans="2:30">
      <c r="B145" s="145" t="s">
        <v>70</v>
      </c>
      <c r="C145" s="113">
        <f t="shared" ref="C145" si="327">SUM(C140:C144)</f>
        <v>2091</v>
      </c>
      <c r="D145" s="113">
        <f t="shared" ref="D145:F145" si="328">SUM(D140:D144)</f>
        <v>3905</v>
      </c>
      <c r="E145" s="113">
        <f t="shared" si="328"/>
        <v>3731</v>
      </c>
      <c r="F145" s="113">
        <f t="shared" si="328"/>
        <v>3780</v>
      </c>
      <c r="G145" s="113">
        <f t="shared" ref="G145:R145" si="329">SUM(G140:G144)</f>
        <v>5312</v>
      </c>
      <c r="H145" s="30"/>
      <c r="I145" s="113">
        <f t="shared" si="329"/>
        <v>2594</v>
      </c>
      <c r="J145" s="113">
        <f t="shared" si="329"/>
        <v>3027</v>
      </c>
      <c r="K145" s="113">
        <f t="shared" si="329"/>
        <v>2383</v>
      </c>
      <c r="L145" s="113">
        <f t="shared" si="329"/>
        <v>3780</v>
      </c>
      <c r="M145" s="113">
        <f t="shared" si="329"/>
        <v>2976</v>
      </c>
      <c r="N145" s="113">
        <f t="shared" si="329"/>
        <v>3613</v>
      </c>
      <c r="O145" s="113">
        <f t="shared" si="329"/>
        <v>3336</v>
      </c>
      <c r="P145" s="113">
        <f t="shared" si="329"/>
        <v>5312</v>
      </c>
      <c r="Q145" s="113">
        <f t="shared" si="329"/>
        <v>3868</v>
      </c>
      <c r="R145" s="113">
        <f t="shared" si="329"/>
        <v>4888</v>
      </c>
      <c r="S145" s="113">
        <f t="shared" ref="S145" si="330">SUM(S140:S144)</f>
        <v>4294</v>
      </c>
      <c r="T145" s="30"/>
      <c r="U145" s="113">
        <f t="shared" ref="U145:AB145" si="331">SUM(U140:U144)</f>
        <v>3780</v>
      </c>
      <c r="V145" s="113">
        <f t="shared" si="331"/>
        <v>2976</v>
      </c>
      <c r="W145" s="113">
        <f t="shared" si="331"/>
        <v>3613</v>
      </c>
      <c r="X145" s="113">
        <f t="shared" si="331"/>
        <v>3336</v>
      </c>
      <c r="Y145" s="113">
        <f t="shared" si="331"/>
        <v>5312</v>
      </c>
      <c r="Z145" s="113">
        <f t="shared" si="331"/>
        <v>3868</v>
      </c>
      <c r="AA145" s="113">
        <f t="shared" si="331"/>
        <v>4888</v>
      </c>
      <c r="AB145" s="140">
        <f t="shared" si="331"/>
        <v>4294</v>
      </c>
      <c r="AC145" s="11"/>
      <c r="AD145" s="42"/>
    </row>
    <row r="146" spans="2:30" ht="5.0999999999999996" customHeight="1">
      <c r="B146" s="147"/>
      <c r="C146" s="60"/>
      <c r="D146" s="60"/>
      <c r="E146" s="60"/>
      <c r="F146" s="60"/>
      <c r="G146" s="60"/>
      <c r="H146" s="3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U146" s="11"/>
      <c r="V146" s="11"/>
      <c r="W146" s="11"/>
      <c r="X146" s="11"/>
      <c r="Y146" s="11"/>
      <c r="Z146" s="11"/>
      <c r="AA146" s="11"/>
      <c r="AB146" s="141"/>
      <c r="AC146" s="11"/>
      <c r="AD146" s="42"/>
    </row>
    <row r="147" spans="2:30">
      <c r="B147" s="177" t="s">
        <v>223</v>
      </c>
      <c r="C147" s="137">
        <f>C145-C49</f>
        <v>0</v>
      </c>
      <c r="D147" s="137">
        <f>D145-D49</f>
        <v>0</v>
      </c>
      <c r="E147" s="137">
        <f>E145-E49</f>
        <v>0</v>
      </c>
      <c r="F147" s="137">
        <f>F145-F49</f>
        <v>0</v>
      </c>
      <c r="G147" s="137">
        <f>G145-G49</f>
        <v>0</v>
      </c>
      <c r="H147" s="138"/>
      <c r="I147" s="137">
        <f>I145-I49</f>
        <v>0</v>
      </c>
      <c r="J147" s="137">
        <f>J145-J49</f>
        <v>0</v>
      </c>
      <c r="K147" s="137">
        <f>K145-K49</f>
        <v>0</v>
      </c>
      <c r="L147" s="137">
        <f>L145-L49</f>
        <v>0</v>
      </c>
      <c r="M147" s="137">
        <f>M145-M49</f>
        <v>0</v>
      </c>
      <c r="N147" s="137">
        <f>N145-N49</f>
        <v>0</v>
      </c>
      <c r="O147" s="137">
        <f>O145-O49</f>
        <v>0</v>
      </c>
      <c r="P147" s="137">
        <f>P145-P49</f>
        <v>0</v>
      </c>
      <c r="Q147" s="137">
        <f>Q145-Q49</f>
        <v>0</v>
      </c>
      <c r="R147" s="137">
        <f>R145-R49</f>
        <v>0</v>
      </c>
      <c r="S147" s="137">
        <f>S145-S49</f>
        <v>0</v>
      </c>
      <c r="T147" s="137"/>
      <c r="U147" s="137">
        <f>U145-U49</f>
        <v>0</v>
      </c>
      <c r="V147" s="137">
        <f>V145-V49</f>
        <v>0</v>
      </c>
      <c r="W147" s="137">
        <f>W145-W49</f>
        <v>0</v>
      </c>
      <c r="X147" s="137">
        <f>X145-X49</f>
        <v>0</v>
      </c>
      <c r="Y147" s="137">
        <f>Y145-Y49</f>
        <v>0</v>
      </c>
      <c r="Z147" s="137">
        <f>Z145-Z49</f>
        <v>0</v>
      </c>
      <c r="AA147" s="137">
        <f>AA145-AA49</f>
        <v>0</v>
      </c>
      <c r="AB147" s="142">
        <f>AB145-AB49</f>
        <v>0</v>
      </c>
      <c r="AC147" s="11"/>
      <c r="AD147" s="42"/>
    </row>
    <row r="148" spans="2:30" ht="5.0999999999999996" customHeight="1">
      <c r="B148" s="8"/>
      <c r="C148" s="60"/>
      <c r="D148" s="60"/>
      <c r="E148" s="60"/>
      <c r="F148" s="60"/>
      <c r="G148" s="60"/>
      <c r="H148" s="3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U148" s="11"/>
      <c r="V148" s="11"/>
      <c r="W148" s="11"/>
      <c r="X148" s="11"/>
      <c r="Y148" s="11"/>
      <c r="Z148" s="11"/>
      <c r="AA148" s="11"/>
      <c r="AB148" s="11"/>
      <c r="AC148" s="11"/>
      <c r="AD148" s="42"/>
    </row>
    <row r="149" spans="2:30" ht="24">
      <c r="B149" s="112" t="s">
        <v>82</v>
      </c>
      <c r="C149" s="60"/>
      <c r="D149" s="60"/>
      <c r="E149" s="60"/>
      <c r="F149" s="60"/>
      <c r="G149" s="60"/>
      <c r="H149" s="3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U149" s="11"/>
      <c r="V149" s="11"/>
      <c r="W149" s="11"/>
      <c r="X149" s="11"/>
      <c r="Y149" s="11"/>
      <c r="Z149" s="11"/>
      <c r="AA149" s="11"/>
      <c r="AB149" s="11"/>
      <c r="AC149" s="11"/>
      <c r="AD149" s="42"/>
    </row>
    <row r="150" spans="2:30">
      <c r="B150" s="77" t="s">
        <v>84</v>
      </c>
      <c r="C150" s="60">
        <v>641</v>
      </c>
      <c r="D150" s="60">
        <v>643</v>
      </c>
      <c r="E150" s="60">
        <v>1027</v>
      </c>
      <c r="F150" s="60">
        <v>1440</v>
      </c>
      <c r="G150" s="60">
        <v>1113</v>
      </c>
      <c r="H150" s="30"/>
      <c r="I150" s="76">
        <v>312</v>
      </c>
      <c r="J150" s="76">
        <f>830-I150</f>
        <v>518</v>
      </c>
      <c r="K150" s="76">
        <f>1191-J150-I150</f>
        <v>361</v>
      </c>
      <c r="L150" s="30">
        <f t="shared" ref="L150" si="332">SUM(F150-SUM(I150:K150))</f>
        <v>249</v>
      </c>
      <c r="M150" s="76">
        <v>118</v>
      </c>
      <c r="N150" s="76">
        <f>484-M150</f>
        <v>366</v>
      </c>
      <c r="O150" s="76">
        <f>832-N150-M150</f>
        <v>348</v>
      </c>
      <c r="P150" s="30">
        <f t="shared" ref="P150" si="333">SUM(G150-SUM(M150:O150))</f>
        <v>281</v>
      </c>
      <c r="Q150" s="76">
        <v>0</v>
      </c>
      <c r="R150" s="76">
        <v>0</v>
      </c>
      <c r="S150" s="76">
        <v>0</v>
      </c>
      <c r="U150" s="30">
        <f>SUM(K150:N150)</f>
        <v>1094</v>
      </c>
      <c r="V150" s="30">
        <f>SUM(L150:O150)</f>
        <v>1081</v>
      </c>
      <c r="W150" s="30">
        <f>SUM(M150:P150)</f>
        <v>1113</v>
      </c>
      <c r="X150" s="30">
        <f>SUM(N150:Q150)</f>
        <v>995</v>
      </c>
      <c r="Y150" s="30">
        <f>SUM(O150:R150)</f>
        <v>629</v>
      </c>
      <c r="Z150" s="30">
        <f>SUM(P150:S150)</f>
        <v>281</v>
      </c>
      <c r="AA150" s="30">
        <f>SUM(Q150:S150)</f>
        <v>0</v>
      </c>
      <c r="AB150" s="30">
        <f>SUM(R150:S150)</f>
        <v>0</v>
      </c>
      <c r="AC150" s="11"/>
      <c r="AD150" s="42"/>
    </row>
    <row r="151" spans="2:30">
      <c r="B151" s="77" t="s">
        <v>85</v>
      </c>
      <c r="C151" s="60">
        <v>673</v>
      </c>
      <c r="D151" s="60">
        <v>664</v>
      </c>
      <c r="E151" s="60">
        <v>1539</v>
      </c>
      <c r="F151" s="60">
        <v>2237</v>
      </c>
      <c r="G151" s="60">
        <v>1996</v>
      </c>
      <c r="H151" s="30"/>
      <c r="I151" s="76">
        <v>920</v>
      </c>
      <c r="J151" s="76">
        <f>1137-I151</f>
        <v>217</v>
      </c>
      <c r="K151" s="76">
        <f>2065-J151-I151</f>
        <v>928</v>
      </c>
      <c r="L151" s="30">
        <f t="shared" ref="L151" si="334">SUM(F151-SUM(I151:K151))</f>
        <v>172</v>
      </c>
      <c r="M151" s="76">
        <v>867</v>
      </c>
      <c r="N151" s="76">
        <f>1061-M151</f>
        <v>194</v>
      </c>
      <c r="O151" s="76">
        <f>1873-N151-M151</f>
        <v>812</v>
      </c>
      <c r="P151" s="30">
        <f t="shared" ref="P151" si="335">SUM(G151-SUM(M151:O151))</f>
        <v>123</v>
      </c>
      <c r="Q151" s="76">
        <v>0</v>
      </c>
      <c r="R151" s="76">
        <v>0</v>
      </c>
      <c r="S151" s="76">
        <v>0</v>
      </c>
      <c r="U151" s="30">
        <f>SUM(K151:N151)</f>
        <v>2161</v>
      </c>
      <c r="V151" s="30">
        <f>SUM(L151:O151)</f>
        <v>2045</v>
      </c>
      <c r="W151" s="30">
        <f>SUM(M151:P151)</f>
        <v>1996</v>
      </c>
      <c r="X151" s="30">
        <f>SUM(N151:Q151)</f>
        <v>1129</v>
      </c>
      <c r="Y151" s="30">
        <f>SUM(O151:R151)</f>
        <v>935</v>
      </c>
      <c r="Z151" s="30">
        <f>SUM(P151:S151)</f>
        <v>123</v>
      </c>
      <c r="AA151" s="30">
        <f>SUM(Q151:S151)</f>
        <v>0</v>
      </c>
      <c r="AB151" s="30">
        <f>SUM(R151:S151)</f>
        <v>0</v>
      </c>
      <c r="AC151" s="11"/>
      <c r="AD151" s="42"/>
    </row>
    <row r="152" spans="2:30" ht="5.0999999999999996" customHeight="1" thickBot="1">
      <c r="B152" s="66"/>
      <c r="C152" s="67"/>
      <c r="D152" s="67"/>
      <c r="E152" s="67"/>
      <c r="F152" s="67"/>
      <c r="G152" s="67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D152" s="42"/>
    </row>
    <row r="153" spans="2:30" ht="12.75" customHeight="1">
      <c r="C153" s="52"/>
      <c r="D153" s="52"/>
      <c r="E153" s="52"/>
      <c r="F153" s="52"/>
      <c r="G153" s="52"/>
    </row>
    <row r="154" spans="2:30" ht="12.75" customHeight="1"/>
    <row r="155" spans="2:30" ht="12.75" customHeight="1"/>
    <row r="156" spans="2:30" ht="12.75" customHeight="1"/>
    <row r="157" spans="2:30" ht="12.75" customHeight="1"/>
    <row r="158" spans="2:30" ht="12.75" customHeight="1">
      <c r="L158" s="79"/>
      <c r="M158" s="79"/>
      <c r="N158" s="79"/>
      <c r="O158" s="79"/>
      <c r="P158" s="79"/>
      <c r="Q158" s="79"/>
      <c r="R158" s="79"/>
      <c r="S158" s="79"/>
    </row>
    <row r="159" spans="2:30" ht="12.75" customHeight="1"/>
    <row r="160" spans="2:30" ht="12.75" customHeight="1">
      <c r="L160" s="79"/>
      <c r="M160" s="79"/>
      <c r="N160" s="79"/>
      <c r="O160" s="79"/>
      <c r="P160" s="79"/>
      <c r="Q160" s="79"/>
      <c r="R160" s="79"/>
      <c r="S160" s="79"/>
    </row>
    <row r="161" spans="3:19" s="175" customFormat="1">
      <c r="C161" s="5"/>
      <c r="D161" s="5"/>
      <c r="E161" s="5"/>
      <c r="F161" s="5"/>
      <c r="G161" s="5"/>
      <c r="H161" s="5"/>
      <c r="I161" s="5"/>
      <c r="J161" s="5"/>
      <c r="K161" s="5"/>
      <c r="L161" s="176"/>
      <c r="M161" s="176"/>
      <c r="N161" s="176"/>
      <c r="O161" s="176"/>
      <c r="P161" s="176"/>
      <c r="Q161" s="176"/>
      <c r="R161" s="176"/>
      <c r="S161" s="176"/>
    </row>
    <row r="162" spans="3:19">
      <c r="L162" s="79"/>
      <c r="M162" s="79"/>
      <c r="N162" s="79"/>
      <c r="O162" s="79"/>
      <c r="P162" s="79"/>
      <c r="Q162" s="79"/>
      <c r="R162" s="79"/>
      <c r="S162" s="79"/>
    </row>
    <row r="164" spans="3:19">
      <c r="L164" s="79"/>
      <c r="M164" s="79"/>
      <c r="N164" s="79"/>
      <c r="O164" s="79"/>
      <c r="P164" s="79"/>
      <c r="Q164" s="79"/>
      <c r="R164" s="79"/>
      <c r="S164" s="79"/>
    </row>
    <row r="165" spans="3:19">
      <c r="L165" s="79"/>
      <c r="M165" s="79"/>
      <c r="N165" s="79"/>
      <c r="O165" s="79"/>
      <c r="P165" s="79"/>
      <c r="Q165" s="79"/>
      <c r="R165" s="79"/>
      <c r="S165" s="79"/>
    </row>
  </sheetData>
  <mergeCells count="3">
    <mergeCell ref="AD6:AD8"/>
    <mergeCell ref="AD44:AD46"/>
    <mergeCell ref="AD95:AD97"/>
  </mergeCells>
  <pageMargins left="0.7" right="0.7" top="0.75" bottom="0.75" header="0.3" footer="0.3"/>
  <ignoredErrors>
    <ignoredError sqref="H52" formulaRange="1"/>
    <ignoredError sqref="AD128:AD130 AD120:AD122 AB132:AD132 AB131:AD131 AB134:AD135 AB133:AD133" evalError="1"/>
    <ignoredError sqref="M101:Q10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B194"/>
  <sheetViews>
    <sheetView showGridLines="0" zoomScaleNormal="100" workbookViewId="0">
      <selection activeCell="B4" sqref="B4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7" width="8.625" style="8" bestFit="1" customWidth="1"/>
    <col min="8" max="8" width="1.5" style="8" customWidth="1"/>
    <col min="9" max="10" width="8" style="8" customWidth="1" outlineLevel="1"/>
    <col min="11" max="12" width="8.75" style="8" customWidth="1" outlineLevel="1"/>
    <col min="13" max="13" width="8.5" style="8" customWidth="1" outlineLevel="1"/>
    <col min="14" max="14" width="8.25" style="8" customWidth="1" outlineLevel="1"/>
    <col min="15" max="15" width="8.5" style="8" bestFit="1" customWidth="1"/>
    <col min="16" max="19" width="9.125" style="8" bestFit="1" customWidth="1"/>
    <col min="20" max="20" width="1.5" style="8" customWidth="1"/>
    <col min="21" max="23" width="8.75" style="8" customWidth="1" outlineLevel="1"/>
    <col min="24" max="24" width="8.75" style="8" customWidth="1"/>
    <col min="25" max="27" width="8.75" style="8" customWidth="1" outlineLevel="1"/>
    <col min="28" max="28" width="8.75" style="8" customWidth="1"/>
    <col min="29" max="16384" width="9" style="8"/>
  </cols>
  <sheetData>
    <row r="2" spans="1:28" s="5" customFormat="1" ht="12.75" customHeight="1">
      <c r="B2" s="1" t="str">
        <f>'Historical Financials'!B2</f>
        <v>Warner Bros Discovery Inc (NASDAQ: WBD)</v>
      </c>
      <c r="C2" s="2" t="s">
        <v>0</v>
      </c>
      <c r="D2" s="2" t="s">
        <v>0</v>
      </c>
      <c r="E2" s="2"/>
      <c r="F2" s="2"/>
      <c r="G2" s="2"/>
      <c r="H2" s="3"/>
      <c r="I2" s="2"/>
      <c r="J2" s="2"/>
      <c r="K2" s="2"/>
      <c r="L2" s="2"/>
      <c r="M2" s="2"/>
      <c r="N2" s="2"/>
      <c r="O2" s="2" t="s">
        <v>1</v>
      </c>
      <c r="P2" s="2"/>
      <c r="Q2" s="2"/>
      <c r="R2" s="2"/>
      <c r="S2" s="2"/>
      <c r="T2" s="3"/>
      <c r="U2" s="2"/>
      <c r="V2" s="2"/>
      <c r="W2" s="2"/>
      <c r="X2" s="2" t="s">
        <v>10</v>
      </c>
      <c r="Y2" s="2"/>
      <c r="Z2" s="2"/>
      <c r="AA2" s="2"/>
      <c r="AB2" s="2"/>
    </row>
    <row r="3" spans="1:28" s="5" customFormat="1" ht="12.75" customHeight="1">
      <c r="B3" s="6" t="s">
        <v>65</v>
      </c>
      <c r="C3" s="7">
        <f>'Historical Financials'!C7</f>
        <v>2020</v>
      </c>
      <c r="D3" s="7">
        <f>'Historical Financials'!D7</f>
        <v>2021</v>
      </c>
      <c r="E3" s="7">
        <f>'Historical Financials'!E7</f>
        <v>2022</v>
      </c>
      <c r="F3" s="7">
        <f>'Historical Financials'!F7</f>
        <v>2023</v>
      </c>
      <c r="G3" s="7">
        <f>'Historical Financials'!G7</f>
        <v>2024</v>
      </c>
      <c r="H3" s="3"/>
      <c r="I3" s="7" t="str">
        <f>'Historical Financials'!I7</f>
        <v>1Q23</v>
      </c>
      <c r="J3" s="7" t="str">
        <f>'Historical Financials'!J7</f>
        <v>2Q23</v>
      </c>
      <c r="K3" s="7" t="str">
        <f>'Historical Financials'!K7</f>
        <v>3Q23</v>
      </c>
      <c r="L3" s="7" t="str">
        <f>'Historical Financials'!L7</f>
        <v>4Q23</v>
      </c>
      <c r="M3" s="7" t="str">
        <f>'Historical Financials'!M7</f>
        <v>1Q24</v>
      </c>
      <c r="N3" s="7" t="str">
        <f>'Historical Financials'!N7</f>
        <v>2Q24</v>
      </c>
      <c r="O3" s="7" t="str">
        <f>'Historical Financials'!O7</f>
        <v>3Q24</v>
      </c>
      <c r="P3" s="7" t="str">
        <f>'Historical Financials'!P7</f>
        <v>4Q24</v>
      </c>
      <c r="Q3" s="7" t="str">
        <f>'Historical Financials'!Q7</f>
        <v>1Q25</v>
      </c>
      <c r="R3" s="7" t="str">
        <f>'Historical Financials'!R7</f>
        <v>2Q25</v>
      </c>
      <c r="S3" s="7" t="str">
        <f>'Historical Financials'!S7</f>
        <v>3Q25</v>
      </c>
      <c r="T3" s="4"/>
      <c r="U3" s="4" t="str">
        <f>L3</f>
        <v>4Q23</v>
      </c>
      <c r="V3" s="4" t="str">
        <f>M3</f>
        <v>1Q24</v>
      </c>
      <c r="W3" s="4" t="str">
        <f>N3</f>
        <v>2Q24</v>
      </c>
      <c r="X3" s="4" t="str">
        <f>O3</f>
        <v>3Q24</v>
      </c>
      <c r="Y3" s="4" t="str">
        <f>P3</f>
        <v>4Q24</v>
      </c>
      <c r="Z3" s="4" t="str">
        <f>Q3</f>
        <v>1Q25</v>
      </c>
      <c r="AA3" s="4" t="str">
        <f>R3</f>
        <v>2Q25</v>
      </c>
      <c r="AB3" s="4" t="str">
        <f>S3</f>
        <v>3Q25</v>
      </c>
    </row>
    <row r="4" spans="1:28" s="5" customFormat="1" ht="12.75" customHeight="1">
      <c r="B4" s="6" t="s">
        <v>90</v>
      </c>
      <c r="C4" s="3">
        <f>'Historical Financials'!C8</f>
        <v>44196</v>
      </c>
      <c r="D4" s="3">
        <f>'Historical Financials'!D8</f>
        <v>44561</v>
      </c>
      <c r="E4" s="3">
        <f>'Historical Financials'!E8</f>
        <v>44926</v>
      </c>
      <c r="F4" s="3">
        <f>'Historical Financials'!F8</f>
        <v>45291</v>
      </c>
      <c r="G4" s="3">
        <f>'Historical Financials'!G8</f>
        <v>45657</v>
      </c>
      <c r="H4" s="3"/>
      <c r="I4" s="3">
        <f>'Historical Financials'!I8</f>
        <v>45016</v>
      </c>
      <c r="J4" s="3">
        <f>'Historical Financials'!J8</f>
        <v>45107</v>
      </c>
      <c r="K4" s="3">
        <f>'Historical Financials'!K8</f>
        <v>45199</v>
      </c>
      <c r="L4" s="3">
        <f>'Historical Financials'!L8</f>
        <v>44926</v>
      </c>
      <c r="M4" s="3">
        <f>'Historical Financials'!M8</f>
        <v>45382</v>
      </c>
      <c r="N4" s="3">
        <f>'Historical Financials'!N8</f>
        <v>45473</v>
      </c>
      <c r="O4" s="3">
        <f>'Historical Financials'!O8</f>
        <v>45565</v>
      </c>
      <c r="P4" s="3">
        <f>'Historical Financials'!P8</f>
        <v>45291</v>
      </c>
      <c r="Q4" s="3">
        <f>'Historical Financials'!Q8</f>
        <v>45747</v>
      </c>
      <c r="R4" s="3">
        <f>'Historical Financials'!R8</f>
        <v>45838</v>
      </c>
      <c r="S4" s="3">
        <f>'Historical Financials'!S8</f>
        <v>45930</v>
      </c>
      <c r="T4" s="3"/>
      <c r="U4" s="3">
        <f>L4</f>
        <v>44926</v>
      </c>
      <c r="V4" s="3">
        <f>M4</f>
        <v>45382</v>
      </c>
      <c r="W4" s="3">
        <f>N4</f>
        <v>45473</v>
      </c>
      <c r="X4" s="3">
        <f>O4</f>
        <v>45565</v>
      </c>
      <c r="Y4" s="3">
        <f>P4</f>
        <v>45291</v>
      </c>
      <c r="Z4" s="3">
        <f>Q4</f>
        <v>45747</v>
      </c>
      <c r="AA4" s="3">
        <f>R4</f>
        <v>45838</v>
      </c>
      <c r="AB4" s="3">
        <f>S4</f>
        <v>45930</v>
      </c>
    </row>
    <row r="5" spans="1:28" ht="5.0999999999999996" customHeight="1"/>
    <row r="6" spans="1:28">
      <c r="A6" s="33" t="s">
        <v>16</v>
      </c>
      <c r="B6" s="1" t="s">
        <v>92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5.0999999999999996" customHeight="1"/>
    <row r="8" spans="1:28" ht="12.75" customHeight="1">
      <c r="A8" s="74" t="s">
        <v>16</v>
      </c>
      <c r="B8" s="72" t="s">
        <v>121</v>
      </c>
      <c r="C8" s="10"/>
      <c r="D8" s="10"/>
      <c r="E8" s="10"/>
      <c r="F8" s="10"/>
      <c r="G8" s="10"/>
      <c r="H8" s="10"/>
      <c r="I8" s="81"/>
      <c r="J8" s="81"/>
      <c r="K8" s="81"/>
      <c r="L8" s="30"/>
      <c r="M8" s="81"/>
      <c r="N8" s="81"/>
      <c r="O8" s="81"/>
      <c r="P8" s="30"/>
      <c r="Q8" s="81"/>
      <c r="R8" s="81"/>
      <c r="S8" s="81"/>
      <c r="T8" s="5"/>
      <c r="U8" s="11"/>
      <c r="V8" s="11"/>
      <c r="W8" s="11"/>
      <c r="X8" s="11"/>
      <c r="Y8" s="11"/>
      <c r="Z8" s="11"/>
      <c r="AA8" s="11"/>
      <c r="AB8" s="11"/>
    </row>
    <row r="9" spans="1:28" ht="12.75" customHeight="1">
      <c r="A9" s="74"/>
      <c r="B9" s="9" t="s">
        <v>124</v>
      </c>
      <c r="C9" s="75">
        <v>5572</v>
      </c>
      <c r="D9" s="75">
        <v>5202</v>
      </c>
      <c r="E9" s="75">
        <v>16142</v>
      </c>
      <c r="F9" s="75">
        <v>20237</v>
      </c>
      <c r="G9" s="75">
        <v>19701</v>
      </c>
      <c r="H9" s="10"/>
      <c r="I9" s="75">
        <v>5163</v>
      </c>
      <c r="J9" s="75">
        <v>5135</v>
      </c>
      <c r="K9" s="75">
        <v>5026</v>
      </c>
      <c r="L9" s="30">
        <f>SUM(F9-SUM(I9:K9))</f>
        <v>4913</v>
      </c>
      <c r="M9" s="75">
        <v>4985</v>
      </c>
      <c r="N9" s="75">
        <v>4879</v>
      </c>
      <c r="O9" s="75">
        <v>4920</v>
      </c>
      <c r="P9" s="30">
        <f>SUM(G9-SUM(M9:O9))</f>
        <v>4917</v>
      </c>
      <c r="Q9" s="75">
        <v>4886</v>
      </c>
      <c r="R9" s="75">
        <v>4885</v>
      </c>
      <c r="S9" s="75">
        <v>4702</v>
      </c>
      <c r="T9" s="5"/>
      <c r="U9" s="30">
        <f t="shared" ref="U9:AA9" si="0">SUM(I9:L9)</f>
        <v>20237</v>
      </c>
      <c r="V9" s="30">
        <f t="shared" si="0"/>
        <v>20059</v>
      </c>
      <c r="W9" s="30">
        <f t="shared" si="0"/>
        <v>19803</v>
      </c>
      <c r="X9" s="30">
        <f t="shared" si="0"/>
        <v>19697</v>
      </c>
      <c r="Y9" s="30">
        <f t="shared" si="0"/>
        <v>19701</v>
      </c>
      <c r="Z9" s="30">
        <f t="shared" si="0"/>
        <v>19602</v>
      </c>
      <c r="AA9" s="30">
        <f t="shared" si="0"/>
        <v>19608</v>
      </c>
      <c r="AB9" s="30">
        <f>SUM(P9:S9)</f>
        <v>19390</v>
      </c>
    </row>
    <row r="10" spans="1:28" ht="12.75" customHeight="1">
      <c r="A10" s="74"/>
      <c r="B10" s="9" t="s">
        <v>122</v>
      </c>
      <c r="C10" s="75">
        <v>4686</v>
      </c>
      <c r="D10" s="75">
        <v>6194</v>
      </c>
      <c r="E10" s="75">
        <v>8524</v>
      </c>
      <c r="F10" s="75">
        <v>8700</v>
      </c>
      <c r="G10" s="75">
        <v>8090</v>
      </c>
      <c r="H10" s="10"/>
      <c r="I10" s="75">
        <v>2298</v>
      </c>
      <c r="J10" s="75">
        <v>2519</v>
      </c>
      <c r="K10" s="75">
        <v>1796</v>
      </c>
      <c r="L10" s="30">
        <f t="shared" ref="L10:L12" si="1">SUM(F10-SUM(I10:K10))</f>
        <v>2087</v>
      </c>
      <c r="M10" s="75">
        <v>2148</v>
      </c>
      <c r="N10" s="75">
        <v>2430</v>
      </c>
      <c r="O10" s="75">
        <v>1682</v>
      </c>
      <c r="P10" s="30">
        <f t="shared" ref="P10:P12" si="2">SUM(G10-SUM(M10:O10))</f>
        <v>1830</v>
      </c>
      <c r="Q10" s="75">
        <v>1980</v>
      </c>
      <c r="R10" s="75">
        <v>2216</v>
      </c>
      <c r="S10" s="75">
        <v>1407</v>
      </c>
      <c r="T10" s="5"/>
      <c r="U10" s="30">
        <f t="shared" ref="U10:U12" si="3">SUM(I10:L10)</f>
        <v>8700</v>
      </c>
      <c r="V10" s="30">
        <f t="shared" ref="V10:V12" si="4">SUM(J10:M10)</f>
        <v>8550</v>
      </c>
      <c r="W10" s="30">
        <f t="shared" ref="W10:W12" si="5">SUM(K10:N10)</f>
        <v>8461</v>
      </c>
      <c r="X10" s="30">
        <f t="shared" ref="X10:X12" si="6">SUM(L10:O10)</f>
        <v>8347</v>
      </c>
      <c r="Y10" s="30">
        <f t="shared" ref="Y10:Y12" si="7">SUM(M10:P10)</f>
        <v>8090</v>
      </c>
      <c r="Z10" s="30">
        <f t="shared" ref="Z10:Z12" si="8">SUM(N10:Q10)</f>
        <v>7922</v>
      </c>
      <c r="AA10" s="30">
        <f t="shared" ref="AA10:AA12" si="9">SUM(O10:R10)</f>
        <v>7708</v>
      </c>
      <c r="AB10" s="30">
        <f t="shared" ref="AB10:AB12" si="10">SUM(P10:S10)</f>
        <v>7433</v>
      </c>
    </row>
    <row r="11" spans="1:28" ht="12.75" customHeight="1">
      <c r="A11" s="74"/>
      <c r="B11" s="9" t="s">
        <v>125</v>
      </c>
      <c r="C11" s="75">
        <v>355</v>
      </c>
      <c r="D11" s="75">
        <v>737</v>
      </c>
      <c r="E11" s="75">
        <v>8360</v>
      </c>
      <c r="F11" s="75">
        <v>11203</v>
      </c>
      <c r="G11" s="75">
        <v>10297</v>
      </c>
      <c r="H11" s="10"/>
      <c r="I11" s="75">
        <v>2954</v>
      </c>
      <c r="J11" s="75">
        <v>2446</v>
      </c>
      <c r="K11" s="75">
        <v>2840</v>
      </c>
      <c r="L11" s="30">
        <f t="shared" si="1"/>
        <v>2963</v>
      </c>
      <c r="M11" s="75">
        <v>2558</v>
      </c>
      <c r="N11" s="75">
        <v>2109</v>
      </c>
      <c r="O11" s="75">
        <v>2721</v>
      </c>
      <c r="P11" s="30">
        <f t="shared" si="2"/>
        <v>2909</v>
      </c>
      <c r="Q11" s="75">
        <v>1866</v>
      </c>
      <c r="R11" s="75">
        <v>2471</v>
      </c>
      <c r="S11" s="75">
        <v>2649</v>
      </c>
      <c r="T11" s="5"/>
      <c r="U11" s="30">
        <f t="shared" si="3"/>
        <v>11203</v>
      </c>
      <c r="V11" s="30">
        <f t="shared" si="4"/>
        <v>10807</v>
      </c>
      <c r="W11" s="30">
        <f t="shared" si="5"/>
        <v>10470</v>
      </c>
      <c r="X11" s="30">
        <f t="shared" si="6"/>
        <v>10351</v>
      </c>
      <c r="Y11" s="30">
        <f t="shared" si="7"/>
        <v>10297</v>
      </c>
      <c r="Z11" s="30">
        <f t="shared" si="8"/>
        <v>9605</v>
      </c>
      <c r="AA11" s="30">
        <f t="shared" si="9"/>
        <v>9967</v>
      </c>
      <c r="AB11" s="30">
        <f t="shared" si="10"/>
        <v>9895</v>
      </c>
    </row>
    <row r="12" spans="1:28" ht="12.75" customHeight="1">
      <c r="A12" s="74"/>
      <c r="B12" s="9" t="s">
        <v>126</v>
      </c>
      <c r="C12" s="75">
        <v>58</v>
      </c>
      <c r="D12" s="75">
        <v>58</v>
      </c>
      <c r="E12" s="75">
        <v>791</v>
      </c>
      <c r="F12" s="75">
        <v>1181</v>
      </c>
      <c r="G12" s="75">
        <v>1233</v>
      </c>
      <c r="H12" s="10"/>
      <c r="I12" s="75">
        <v>285</v>
      </c>
      <c r="J12" s="75">
        <v>258</v>
      </c>
      <c r="K12" s="75">
        <v>317</v>
      </c>
      <c r="L12" s="30">
        <f t="shared" si="1"/>
        <v>321</v>
      </c>
      <c r="M12" s="75">
        <v>267</v>
      </c>
      <c r="N12" s="75">
        <v>295</v>
      </c>
      <c r="O12" s="75">
        <v>300</v>
      </c>
      <c r="P12" s="30">
        <f t="shared" si="2"/>
        <v>371</v>
      </c>
      <c r="Q12" s="75">
        <v>247</v>
      </c>
      <c r="R12" s="75">
        <v>240</v>
      </c>
      <c r="S12" s="75">
        <v>287</v>
      </c>
      <c r="T12" s="5"/>
      <c r="U12" s="30">
        <f t="shared" si="3"/>
        <v>1181</v>
      </c>
      <c r="V12" s="30">
        <f t="shared" si="4"/>
        <v>1163</v>
      </c>
      <c r="W12" s="30">
        <f t="shared" si="5"/>
        <v>1200</v>
      </c>
      <c r="X12" s="30">
        <f t="shared" si="6"/>
        <v>1183</v>
      </c>
      <c r="Y12" s="30">
        <f t="shared" si="7"/>
        <v>1233</v>
      </c>
      <c r="Z12" s="30">
        <f t="shared" si="8"/>
        <v>1213</v>
      </c>
      <c r="AA12" s="30">
        <f t="shared" si="9"/>
        <v>1158</v>
      </c>
      <c r="AB12" s="30">
        <f t="shared" si="10"/>
        <v>1145</v>
      </c>
    </row>
    <row r="13" spans="1:28">
      <c r="B13" s="12" t="s">
        <v>66</v>
      </c>
      <c r="C13" s="13">
        <f>SUM(C9:C12)</f>
        <v>10671</v>
      </c>
      <c r="D13" s="13">
        <f>SUM(D9:D12)</f>
        <v>12191</v>
      </c>
      <c r="E13" s="13">
        <f>SUM(E9:E12)</f>
        <v>33817</v>
      </c>
      <c r="F13" s="13">
        <f>SUM(F9:F12)</f>
        <v>41321</v>
      </c>
      <c r="G13" s="13">
        <f>SUM(G9:G12)</f>
        <v>39321</v>
      </c>
      <c r="H13" s="11"/>
      <c r="I13" s="13">
        <f>SUM(I9:I12)</f>
        <v>10700</v>
      </c>
      <c r="J13" s="13">
        <f>SUM(J9:J12)</f>
        <v>10358</v>
      </c>
      <c r="K13" s="13">
        <f>SUM(K9:K12)</f>
        <v>9979</v>
      </c>
      <c r="L13" s="13">
        <f>SUM(L9:L12)</f>
        <v>10284</v>
      </c>
      <c r="M13" s="13">
        <f>SUM(M9:M12)</f>
        <v>9958</v>
      </c>
      <c r="N13" s="13">
        <f>SUM(N9:N12)</f>
        <v>9713</v>
      </c>
      <c r="O13" s="13">
        <f>SUM(O9:O12)</f>
        <v>9623</v>
      </c>
      <c r="P13" s="13">
        <f>SUM(P9:P12)</f>
        <v>10027</v>
      </c>
      <c r="Q13" s="13">
        <f>SUM(Q9:Q12)</f>
        <v>8979</v>
      </c>
      <c r="R13" s="13">
        <f>SUM(R9:R12)</f>
        <v>9812</v>
      </c>
      <c r="S13" s="13">
        <f>SUM(S9:S12)</f>
        <v>9045</v>
      </c>
      <c r="T13" s="5"/>
      <c r="U13" s="13">
        <f>SUM(U9:U12)</f>
        <v>41321</v>
      </c>
      <c r="V13" s="13">
        <f>SUM(V9:V12)</f>
        <v>40579</v>
      </c>
      <c r="W13" s="13">
        <f>SUM(W9:W12)</f>
        <v>39934</v>
      </c>
      <c r="X13" s="13">
        <f>SUM(X9:X12)</f>
        <v>39578</v>
      </c>
      <c r="Y13" s="13">
        <f>SUM(Y9:Y12)</f>
        <v>39321</v>
      </c>
      <c r="Z13" s="13">
        <f>SUM(Z9:Z12)</f>
        <v>38342</v>
      </c>
      <c r="AA13" s="13">
        <f>SUM(AA9:AA12)</f>
        <v>38441</v>
      </c>
      <c r="AB13" s="13">
        <f>SUM(AB9:AB12)</f>
        <v>37863</v>
      </c>
    </row>
    <row r="14" spans="1:28" outlineLevel="1">
      <c r="B14" s="114" t="s">
        <v>123</v>
      </c>
      <c r="C14" s="73">
        <f>+C13-'Historical Financials'!C11</f>
        <v>0</v>
      </c>
      <c r="D14" s="73">
        <f>+D13-'Historical Financials'!D11</f>
        <v>0</v>
      </c>
      <c r="E14" s="73">
        <f>+E13-'Historical Financials'!E11</f>
        <v>0</v>
      </c>
      <c r="F14" s="73">
        <f>+F13-'Historical Financials'!F11</f>
        <v>0</v>
      </c>
      <c r="G14" s="73">
        <f>+G13-'Historical Financials'!G11</f>
        <v>0</v>
      </c>
      <c r="H14" s="11"/>
      <c r="I14" s="73">
        <f>+I13-'Historical Financials'!I11</f>
        <v>0</v>
      </c>
      <c r="J14" s="73">
        <f>+J13-'Historical Financials'!J11</f>
        <v>0</v>
      </c>
      <c r="K14" s="73">
        <f>+K13-'Historical Financials'!K11</f>
        <v>0</v>
      </c>
      <c r="L14" s="73">
        <f>+L13-'Historical Financials'!L11</f>
        <v>0</v>
      </c>
      <c r="M14" s="73">
        <f>+M13-'Historical Financials'!M11</f>
        <v>0</v>
      </c>
      <c r="N14" s="73">
        <f>+N13-'Historical Financials'!N11</f>
        <v>0</v>
      </c>
      <c r="O14" s="73">
        <f>+O13-'Historical Financials'!O11</f>
        <v>0</v>
      </c>
      <c r="P14" s="73">
        <f>+P13-'Historical Financials'!P11</f>
        <v>0</v>
      </c>
      <c r="Q14" s="73">
        <f>+Q13-'Historical Financials'!Q11</f>
        <v>0</v>
      </c>
      <c r="R14" s="73">
        <f>+R13-'Historical Financials'!R11</f>
        <v>0</v>
      </c>
      <c r="S14" s="73">
        <f>+S13-'Historical Financials'!S11</f>
        <v>0</v>
      </c>
      <c r="T14" s="73"/>
      <c r="U14" s="73">
        <f>+U13-'Historical Financials'!U11</f>
        <v>0</v>
      </c>
      <c r="V14" s="73">
        <f>+V13-'Historical Financials'!V11</f>
        <v>0</v>
      </c>
      <c r="W14" s="73">
        <f>+W13-'Historical Financials'!W11</f>
        <v>0</v>
      </c>
      <c r="X14" s="73">
        <f>+X13-'Historical Financials'!X11</f>
        <v>0</v>
      </c>
      <c r="Y14" s="73">
        <f>+Y13-'Historical Financials'!Y11</f>
        <v>0</v>
      </c>
      <c r="Z14" s="73">
        <f>+Z13-'Historical Financials'!Z11</f>
        <v>0</v>
      </c>
      <c r="AA14" s="73">
        <f>+AA13-'Historical Financials'!AA11</f>
        <v>0</v>
      </c>
      <c r="AB14" s="73">
        <f>+AB13-'Historical Financials'!AB11</f>
        <v>0</v>
      </c>
    </row>
    <row r="15" spans="1:28">
      <c r="B15" s="16"/>
      <c r="C15" s="17"/>
      <c r="D15" s="17"/>
      <c r="E15" s="17"/>
      <c r="F15" s="17"/>
      <c r="G15" s="17"/>
      <c r="H15" s="18"/>
      <c r="I15" s="19"/>
      <c r="J15" s="19"/>
      <c r="K15" s="19"/>
      <c r="L15" s="20"/>
      <c r="M15" s="19"/>
      <c r="N15" s="19"/>
      <c r="O15" s="19"/>
      <c r="P15" s="19"/>
      <c r="Q15" s="19"/>
      <c r="R15" s="19"/>
      <c r="S15" s="19"/>
      <c r="T15" s="18"/>
      <c r="U15" s="18"/>
      <c r="V15" s="18"/>
      <c r="W15" s="18"/>
      <c r="X15" s="18"/>
      <c r="Y15" s="18"/>
      <c r="Z15" s="18"/>
      <c r="AA15" s="18"/>
      <c r="AB15" s="18"/>
    </row>
    <row r="16" spans="1:28">
      <c r="B16" s="115" t="str">
        <f>B9&amp;"(%)"</f>
        <v>Distribution(%)</v>
      </c>
      <c r="C16" s="127">
        <f>SUM(C9/C$13)</f>
        <v>0.52216287133352079</v>
      </c>
      <c r="D16" s="127">
        <f>SUM(D9/D$13)</f>
        <v>0.42670822738085473</v>
      </c>
      <c r="E16" s="127">
        <f>SUM(E9/E$13)</f>
        <v>0.47733388532394949</v>
      </c>
      <c r="F16" s="127">
        <f>SUM(F9/F$13)</f>
        <v>0.48975097408097579</v>
      </c>
      <c r="G16" s="127">
        <f>SUM(G9/G$13)</f>
        <v>0.501029983978027</v>
      </c>
      <c r="H16" s="116"/>
      <c r="I16" s="127">
        <f>SUM(I9/I$13)</f>
        <v>0.48252336448598132</v>
      </c>
      <c r="J16" s="127">
        <f>SUM(J9/J$13)</f>
        <v>0.49575207569028767</v>
      </c>
      <c r="K16" s="127">
        <f>SUM(K9/K$13)</f>
        <v>0.50365768113037379</v>
      </c>
      <c r="L16" s="127">
        <f>SUM(L9/L$13)</f>
        <v>0.47773239984441851</v>
      </c>
      <c r="M16" s="127">
        <f>SUM(M9/M$13)</f>
        <v>0.50060253062864024</v>
      </c>
      <c r="N16" s="127">
        <f>SUM(N9/N$13)</f>
        <v>0.50231648306393495</v>
      </c>
      <c r="O16" s="127">
        <f>SUM(O9/O$13)</f>
        <v>0.51127507014444562</v>
      </c>
      <c r="P16" s="127">
        <f>SUM(P9/P$13)</f>
        <v>0.49037598484092948</v>
      </c>
      <c r="Q16" s="127">
        <f>SUM(Q9/Q$13)</f>
        <v>0.54415859227085417</v>
      </c>
      <c r="R16" s="127">
        <f>SUM(R9/R$13)</f>
        <v>0.4978597635548308</v>
      </c>
      <c r="S16" s="127">
        <f>SUM(S9/S$13)</f>
        <v>0.51984521835268105</v>
      </c>
      <c r="T16" s="116"/>
      <c r="U16" s="117">
        <f>L16</f>
        <v>0.47773239984441851</v>
      </c>
      <c r="V16" s="117">
        <f>M16</f>
        <v>0.50060253062864024</v>
      </c>
      <c r="W16" s="117">
        <f>N16</f>
        <v>0.50231648306393495</v>
      </c>
      <c r="X16" s="117">
        <f>O16</f>
        <v>0.51127507014444562</v>
      </c>
      <c r="Y16" s="117">
        <f>P16</f>
        <v>0.49037598484092948</v>
      </c>
      <c r="Z16" s="117">
        <f>Q16</f>
        <v>0.54415859227085417</v>
      </c>
      <c r="AA16" s="117">
        <f>R16</f>
        <v>0.4978597635548308</v>
      </c>
      <c r="AB16" s="118">
        <f>S16</f>
        <v>0.51984521835268105</v>
      </c>
    </row>
    <row r="17" spans="1:28">
      <c r="B17" s="119" t="str">
        <f>B10&amp;"(%)"</f>
        <v>Advertising(%)</v>
      </c>
      <c r="C17" s="129">
        <f>SUM(C10/C$13)</f>
        <v>0.43913410177115547</v>
      </c>
      <c r="D17" s="129">
        <f>SUM(D10/D$13)</f>
        <v>0.50807973094906078</v>
      </c>
      <c r="E17" s="129">
        <f>SUM(E10/E$13)</f>
        <v>0.2520625720791318</v>
      </c>
      <c r="F17" s="129">
        <f>SUM(F10/F$13)</f>
        <v>0.21054669538491325</v>
      </c>
      <c r="G17" s="129">
        <f>SUM(G10/G$13)</f>
        <v>0.20574247857379008</v>
      </c>
      <c r="H17" s="120"/>
      <c r="I17" s="129">
        <f>SUM(I10/I$13)</f>
        <v>0.21476635514018691</v>
      </c>
      <c r="J17" s="129">
        <f>SUM(J10/J$13)</f>
        <v>0.24319366673102916</v>
      </c>
      <c r="K17" s="129">
        <f>SUM(K10/K$13)</f>
        <v>0.17997795370277583</v>
      </c>
      <c r="L17" s="129">
        <f>SUM(L10/L$13)</f>
        <v>0.20293660054453519</v>
      </c>
      <c r="M17" s="129">
        <f>SUM(M10/M$13)</f>
        <v>0.21570596505322354</v>
      </c>
      <c r="N17" s="129">
        <f>SUM(N10/N$13)</f>
        <v>0.25018017090497274</v>
      </c>
      <c r="O17" s="129">
        <f>SUM(O10/O$13)</f>
        <v>0.17478956666320275</v>
      </c>
      <c r="P17" s="129">
        <f>SUM(P10/P$13)</f>
        <v>0.18250723047771017</v>
      </c>
      <c r="Q17" s="129">
        <f>SUM(Q10/Q$13)</f>
        <v>0.22051453391246242</v>
      </c>
      <c r="R17" s="129">
        <f>SUM(R10/R$13)</f>
        <v>0.22584590297594781</v>
      </c>
      <c r="S17" s="129">
        <f>SUM(S10/S$13)</f>
        <v>0.15555555555555556</v>
      </c>
      <c r="T17" s="120"/>
      <c r="U17" s="121">
        <f>L17</f>
        <v>0.20293660054453519</v>
      </c>
      <c r="V17" s="121">
        <f>M17</f>
        <v>0.21570596505322354</v>
      </c>
      <c r="W17" s="121">
        <f>N17</f>
        <v>0.25018017090497274</v>
      </c>
      <c r="X17" s="121">
        <f>O17</f>
        <v>0.17478956666320275</v>
      </c>
      <c r="Y17" s="121">
        <f>P17</f>
        <v>0.18250723047771017</v>
      </c>
      <c r="Z17" s="121">
        <f>Q17</f>
        <v>0.22051453391246242</v>
      </c>
      <c r="AA17" s="121">
        <f>R17</f>
        <v>0.22584590297594781</v>
      </c>
      <c r="AB17" s="122">
        <f>S17</f>
        <v>0.15555555555555556</v>
      </c>
    </row>
    <row r="18" spans="1:28">
      <c r="B18" s="119" t="str">
        <f>B11&amp;"(%)"</f>
        <v>Content(%)</v>
      </c>
      <c r="C18" s="129">
        <f>SUM(C11/C$13)</f>
        <v>3.3267734982663291E-2</v>
      </c>
      <c r="D18" s="129">
        <f>SUM(D11/D$13)</f>
        <v>6.0454433598556311E-2</v>
      </c>
      <c r="E18" s="129">
        <f>SUM(E11/E$13)</f>
        <v>0.24721294023715881</v>
      </c>
      <c r="F18" s="129">
        <f>SUM(F11/F$13)</f>
        <v>0.27112122165484864</v>
      </c>
      <c r="G18" s="129">
        <f>SUM(G11/G$13)</f>
        <v>0.26187024745047177</v>
      </c>
      <c r="H18" s="120"/>
      <c r="I18" s="129">
        <f>SUM(I11/I$13)</f>
        <v>0.27607476635514017</v>
      </c>
      <c r="J18" s="129">
        <f>SUM(J11/J$13)</f>
        <v>0.23614597412627922</v>
      </c>
      <c r="K18" s="129">
        <f>SUM(K11/K$13)</f>
        <v>0.28459765507565887</v>
      </c>
      <c r="L18" s="129">
        <f>SUM(L11/L$13)</f>
        <v>0.2881174640217814</v>
      </c>
      <c r="M18" s="129">
        <f>SUM(M11/M$13)</f>
        <v>0.25687889134364328</v>
      </c>
      <c r="N18" s="129">
        <f>SUM(N11/N$13)</f>
        <v>0.21713167919283435</v>
      </c>
      <c r="O18" s="129">
        <f>SUM(O11/O$13)</f>
        <v>0.28276005403720256</v>
      </c>
      <c r="P18" s="129">
        <f>SUM(P11/P$13)</f>
        <v>0.29011668495063331</v>
      </c>
      <c r="Q18" s="129">
        <f>SUM(Q11/Q$13)</f>
        <v>0.2078182425659873</v>
      </c>
      <c r="R18" s="129">
        <f>SUM(R11/R$13)</f>
        <v>0.25183448838157357</v>
      </c>
      <c r="S18" s="129">
        <f>SUM(S11/S$13)</f>
        <v>0.29286898839137643</v>
      </c>
      <c r="T18" s="120"/>
      <c r="U18" s="121">
        <f>L18</f>
        <v>0.2881174640217814</v>
      </c>
      <c r="V18" s="121">
        <f>M18</f>
        <v>0.25687889134364328</v>
      </c>
      <c r="W18" s="121">
        <f>N18</f>
        <v>0.21713167919283435</v>
      </c>
      <c r="X18" s="121">
        <f>O18</f>
        <v>0.28276005403720256</v>
      </c>
      <c r="Y18" s="121">
        <f>P18</f>
        <v>0.29011668495063331</v>
      </c>
      <c r="Z18" s="121">
        <f>Q18</f>
        <v>0.2078182425659873</v>
      </c>
      <c r="AA18" s="121">
        <f>R18</f>
        <v>0.25183448838157357</v>
      </c>
      <c r="AB18" s="122">
        <f>S18</f>
        <v>0.29286898839137643</v>
      </c>
    </row>
    <row r="19" spans="1:28" ht="12.75" customHeight="1">
      <c r="B19" s="123" t="str">
        <f>B12&amp;"(%)"</f>
        <v>Other(%)</v>
      </c>
      <c r="C19" s="128">
        <f>SUM(C12/C$13)</f>
        <v>5.435291912660482E-3</v>
      </c>
      <c r="D19" s="128">
        <f>SUM(D12/D$13)</f>
        <v>4.7576080715281766E-3</v>
      </c>
      <c r="E19" s="128">
        <f>SUM(E12/E$13)</f>
        <v>2.3390602359759885E-2</v>
      </c>
      <c r="F19" s="128">
        <f>SUM(F12/F$13)</f>
        <v>2.8581108879262362E-2</v>
      </c>
      <c r="G19" s="128">
        <f>SUM(G12/G$13)</f>
        <v>3.1357289997711146E-2</v>
      </c>
      <c r="H19" s="124"/>
      <c r="I19" s="128">
        <f>SUM(I12/I$13)</f>
        <v>2.6635514018691589E-2</v>
      </c>
      <c r="J19" s="128">
        <f>SUM(J12/J$13)</f>
        <v>2.4908283452403941E-2</v>
      </c>
      <c r="K19" s="128">
        <f>SUM(K12/K$13)</f>
        <v>3.1766710091191502E-2</v>
      </c>
      <c r="L19" s="128">
        <f>SUM(L12/L$13)</f>
        <v>3.1213535589264877E-2</v>
      </c>
      <c r="M19" s="128">
        <f>SUM(M12/M$13)</f>
        <v>2.6812612974492871E-2</v>
      </c>
      <c r="N19" s="128">
        <f>SUM(N12/N$13)</f>
        <v>3.0371666838258003E-2</v>
      </c>
      <c r="O19" s="128">
        <f>SUM(O12/O$13)</f>
        <v>3.1175309155149121E-2</v>
      </c>
      <c r="P19" s="128">
        <f>SUM(P12/P$13)</f>
        <v>3.7000099730727036E-2</v>
      </c>
      <c r="Q19" s="128">
        <f>SUM(Q12/Q$13)</f>
        <v>2.750863125069607E-2</v>
      </c>
      <c r="R19" s="128">
        <f>SUM(R12/R$13)</f>
        <v>2.4459845087647779E-2</v>
      </c>
      <c r="S19" s="128">
        <f>SUM(S12/S$13)</f>
        <v>3.1730237700386951E-2</v>
      </c>
      <c r="T19" s="124"/>
      <c r="U19" s="125">
        <f>L19</f>
        <v>3.1213535589264877E-2</v>
      </c>
      <c r="V19" s="125">
        <f>M19</f>
        <v>2.6812612974492871E-2</v>
      </c>
      <c r="W19" s="125">
        <f>N19</f>
        <v>3.0371666838258003E-2</v>
      </c>
      <c r="X19" s="125">
        <f>O19</f>
        <v>3.1175309155149121E-2</v>
      </c>
      <c r="Y19" s="125">
        <f>P19</f>
        <v>3.7000099730727036E-2</v>
      </c>
      <c r="Z19" s="125">
        <f>Q19</f>
        <v>2.750863125069607E-2</v>
      </c>
      <c r="AA19" s="125">
        <f>R19</f>
        <v>2.4459845087647779E-2</v>
      </c>
      <c r="AB19" s="126">
        <f>S19</f>
        <v>3.1730237700386951E-2</v>
      </c>
    </row>
    <row r="20" spans="1:28">
      <c r="B20" s="16"/>
      <c r="C20" s="17"/>
      <c r="D20" s="17"/>
      <c r="E20" s="17"/>
      <c r="F20" s="17"/>
      <c r="G20" s="17"/>
      <c r="H20" s="18"/>
      <c r="I20" s="19"/>
      <c r="J20" s="19"/>
      <c r="K20" s="19"/>
      <c r="L20" s="20"/>
      <c r="M20" s="19"/>
      <c r="N20" s="19"/>
      <c r="O20" s="19"/>
      <c r="P20" s="19"/>
      <c r="Q20" s="19"/>
      <c r="R20" s="19"/>
      <c r="S20" s="19"/>
      <c r="T20" s="18"/>
      <c r="U20" s="18"/>
      <c r="V20" s="18"/>
      <c r="W20" s="18"/>
      <c r="X20" s="18"/>
      <c r="Y20" s="18"/>
      <c r="Z20" s="18"/>
      <c r="AA20" s="18"/>
      <c r="AB20" s="18"/>
    </row>
    <row r="21" spans="1:28">
      <c r="B21" s="16"/>
      <c r="C21" s="17"/>
      <c r="D21" s="17"/>
      <c r="E21" s="17"/>
      <c r="F21" s="17"/>
      <c r="G21" s="17"/>
      <c r="H21" s="18"/>
      <c r="I21" s="19"/>
      <c r="J21" s="19"/>
      <c r="K21" s="19"/>
      <c r="L21" s="20"/>
      <c r="M21" s="19"/>
      <c r="N21" s="19"/>
      <c r="O21" s="19"/>
      <c r="P21" s="19"/>
      <c r="Q21" s="19"/>
      <c r="R21" s="19"/>
      <c r="S21" s="19"/>
      <c r="T21" s="18"/>
      <c r="U21" s="18"/>
      <c r="V21" s="18"/>
      <c r="W21" s="18"/>
      <c r="X21" s="18"/>
      <c r="Y21" s="18"/>
      <c r="Z21" s="18"/>
      <c r="AA21" s="18"/>
      <c r="AB21" s="18"/>
    </row>
    <row r="22" spans="1:28">
      <c r="A22" s="33" t="s">
        <v>16</v>
      </c>
      <c r="B22" s="31" t="s">
        <v>164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5.0999999999999996" customHeight="1">
      <c r="B23" s="16"/>
      <c r="C23" s="17"/>
      <c r="D23" s="17"/>
      <c r="E23" s="17"/>
      <c r="F23" s="17"/>
      <c r="G23" s="17"/>
      <c r="H23" s="18"/>
      <c r="I23" s="19"/>
      <c r="J23" s="19"/>
      <c r="K23" s="19"/>
      <c r="L23" s="20"/>
      <c r="M23" s="19"/>
      <c r="N23" s="19"/>
      <c r="O23" s="19"/>
      <c r="P23" s="19"/>
      <c r="Q23" s="19"/>
      <c r="R23" s="19"/>
      <c r="S23" s="19"/>
      <c r="T23" s="18"/>
      <c r="U23" s="18"/>
      <c r="V23" s="18"/>
      <c r="W23" s="18"/>
      <c r="X23" s="18"/>
      <c r="Y23" s="18"/>
      <c r="Z23" s="18"/>
      <c r="AA23" s="18"/>
      <c r="AB23" s="18"/>
    </row>
    <row r="24" spans="1:28" ht="12.75" customHeight="1">
      <c r="A24" s="74" t="s">
        <v>16</v>
      </c>
      <c r="B24" s="72" t="s">
        <v>167</v>
      </c>
      <c r="C24" s="10"/>
      <c r="D24" s="10"/>
      <c r="E24" s="10"/>
      <c r="F24" s="10"/>
      <c r="G24" s="10"/>
      <c r="H24" s="10"/>
      <c r="I24" s="81"/>
      <c r="J24" s="81"/>
      <c r="K24" s="81"/>
      <c r="L24" s="30"/>
      <c r="M24" s="81"/>
      <c r="N24" s="81"/>
      <c r="O24" s="81"/>
      <c r="P24" s="30"/>
      <c r="Q24" s="81"/>
      <c r="R24" s="81"/>
      <c r="S24" s="81"/>
      <c r="T24" s="5"/>
      <c r="U24" s="11"/>
      <c r="V24" s="11"/>
      <c r="W24" s="11"/>
      <c r="X24" s="11"/>
      <c r="Y24" s="11"/>
      <c r="Z24" s="11"/>
      <c r="AA24" s="11"/>
      <c r="AB24" s="11"/>
    </row>
    <row r="25" spans="1:28" ht="12.75" customHeight="1">
      <c r="A25" s="74"/>
      <c r="B25" s="9" t="s">
        <v>165</v>
      </c>
      <c r="C25" s="106">
        <f>C43</f>
        <v>12</v>
      </c>
      <c r="D25" s="106">
        <f>D43</f>
        <v>20</v>
      </c>
      <c r="E25" s="106">
        <f>E43</f>
        <v>9731</v>
      </c>
      <c r="F25" s="106">
        <f>F43</f>
        <v>12192</v>
      </c>
      <c r="G25" s="106">
        <f>G43</f>
        <v>11607</v>
      </c>
      <c r="H25" s="10"/>
      <c r="I25" s="106">
        <f>I43</f>
        <v>3212</v>
      </c>
      <c r="J25" s="106">
        <f t="shared" ref="J25:S25" si="11">J43</f>
        <v>2581</v>
      </c>
      <c r="K25" s="106">
        <f t="shared" si="11"/>
        <v>3226</v>
      </c>
      <c r="L25" s="30">
        <f t="shared" ref="L25:L28" si="12">SUM(F25-SUM(I25:K25))</f>
        <v>3173</v>
      </c>
      <c r="M25" s="106">
        <f t="shared" si="11"/>
        <v>2821</v>
      </c>
      <c r="N25" s="106">
        <f t="shared" si="11"/>
        <v>2449</v>
      </c>
      <c r="O25" s="106">
        <f t="shared" si="11"/>
        <v>2680</v>
      </c>
      <c r="P25" s="30">
        <f t="shared" ref="P25:P28" si="13">SUM(G25-SUM(M25:O25))</f>
        <v>3657</v>
      </c>
      <c r="Q25" s="106">
        <f t="shared" si="11"/>
        <v>2314</v>
      </c>
      <c r="R25" s="106">
        <f t="shared" si="11"/>
        <v>3801</v>
      </c>
      <c r="S25" s="106">
        <f t="shared" si="11"/>
        <v>3321</v>
      </c>
      <c r="T25" s="5"/>
      <c r="U25" s="30">
        <f t="shared" ref="U25:U28" si="14">SUM(I25:L25)</f>
        <v>12192</v>
      </c>
      <c r="V25" s="30">
        <f t="shared" ref="V25:V28" si="15">SUM(J25:M25)</f>
        <v>11801</v>
      </c>
      <c r="W25" s="30">
        <f t="shared" ref="W25:W28" si="16">SUM(K25:N25)</f>
        <v>11669</v>
      </c>
      <c r="X25" s="30">
        <f t="shared" ref="X25:X28" si="17">SUM(L25:O25)</f>
        <v>11123</v>
      </c>
      <c r="Y25" s="30">
        <f t="shared" ref="Y25:Y28" si="18">SUM(M25:P25)</f>
        <v>11607</v>
      </c>
      <c r="Z25" s="30">
        <f t="shared" ref="Z25:Z28" si="19">SUM(N25:Q25)</f>
        <v>11100</v>
      </c>
      <c r="AA25" s="30">
        <f t="shared" ref="AA25:AA28" si="20">SUM(O25:R25)</f>
        <v>12452</v>
      </c>
      <c r="AB25" s="30">
        <f t="shared" ref="AB25:AB28" si="21">SUM(P25:S25)</f>
        <v>13093</v>
      </c>
    </row>
    <row r="26" spans="1:28" ht="12.75" customHeight="1">
      <c r="A26" s="74"/>
      <c r="B26" s="9" t="s">
        <v>166</v>
      </c>
      <c r="C26" s="106">
        <f>C85</f>
        <v>10439</v>
      </c>
      <c r="D26" s="106">
        <f>D85</f>
        <v>11311</v>
      </c>
      <c r="E26" s="106">
        <f>E85</f>
        <v>19348</v>
      </c>
      <c r="F26" s="106">
        <f>F85</f>
        <v>21244</v>
      </c>
      <c r="G26" s="106">
        <f>G85</f>
        <v>20175</v>
      </c>
      <c r="H26" s="10"/>
      <c r="I26" s="106">
        <f>I85</f>
        <v>5581</v>
      </c>
      <c r="J26" s="106">
        <f t="shared" ref="J26:S26" si="22">J85</f>
        <v>5758</v>
      </c>
      <c r="K26" s="106">
        <f t="shared" si="22"/>
        <v>4868</v>
      </c>
      <c r="L26" s="30">
        <f t="shared" si="12"/>
        <v>5037</v>
      </c>
      <c r="M26" s="106">
        <f t="shared" si="22"/>
        <v>5125</v>
      </c>
      <c r="N26" s="106">
        <f t="shared" si="22"/>
        <v>5272</v>
      </c>
      <c r="O26" s="106">
        <f t="shared" si="22"/>
        <v>5010</v>
      </c>
      <c r="P26" s="30">
        <f t="shared" si="13"/>
        <v>4768</v>
      </c>
      <c r="Q26" s="106">
        <f t="shared" si="22"/>
        <v>4774</v>
      </c>
      <c r="R26" s="106">
        <f t="shared" si="22"/>
        <v>4803</v>
      </c>
      <c r="S26" s="106">
        <f t="shared" si="22"/>
        <v>3883</v>
      </c>
      <c r="T26" s="5"/>
      <c r="U26" s="30">
        <f t="shared" si="14"/>
        <v>21244</v>
      </c>
      <c r="V26" s="30">
        <f t="shared" si="15"/>
        <v>20788</v>
      </c>
      <c r="W26" s="30">
        <f t="shared" si="16"/>
        <v>20302</v>
      </c>
      <c r="X26" s="30">
        <f t="shared" si="17"/>
        <v>20444</v>
      </c>
      <c r="Y26" s="30">
        <f t="shared" si="18"/>
        <v>20175</v>
      </c>
      <c r="Z26" s="30">
        <f t="shared" si="19"/>
        <v>19824</v>
      </c>
      <c r="AA26" s="30">
        <f t="shared" si="20"/>
        <v>19355</v>
      </c>
      <c r="AB26" s="30">
        <f t="shared" si="21"/>
        <v>18228</v>
      </c>
    </row>
    <row r="27" spans="1:28" ht="12.75" customHeight="1">
      <c r="A27" s="74"/>
      <c r="B27" s="9" t="s">
        <v>221</v>
      </c>
      <c r="C27" s="106">
        <f>C124</f>
        <v>220</v>
      </c>
      <c r="D27" s="106">
        <f>D124</f>
        <v>860</v>
      </c>
      <c r="E27" s="106">
        <f t="shared" ref="E27:G27" si="23">E124</f>
        <v>7274</v>
      </c>
      <c r="F27" s="106">
        <f t="shared" si="23"/>
        <v>10154</v>
      </c>
      <c r="G27" s="106">
        <f t="shared" si="23"/>
        <v>10313</v>
      </c>
      <c r="H27" s="10"/>
      <c r="I27" s="106">
        <f t="shared" ref="I27:S27" si="24">I124</f>
        <v>2455</v>
      </c>
      <c r="J27" s="106">
        <f t="shared" si="24"/>
        <v>2732</v>
      </c>
      <c r="K27" s="106">
        <f t="shared" si="24"/>
        <v>2438</v>
      </c>
      <c r="L27" s="30">
        <f t="shared" si="12"/>
        <v>2529</v>
      </c>
      <c r="M27" s="106">
        <f t="shared" si="24"/>
        <v>2460</v>
      </c>
      <c r="N27" s="106">
        <f t="shared" si="24"/>
        <v>2568</v>
      </c>
      <c r="O27" s="106">
        <f t="shared" si="24"/>
        <v>2634</v>
      </c>
      <c r="P27" s="30">
        <f t="shared" si="13"/>
        <v>2651</v>
      </c>
      <c r="Q27" s="106">
        <f t="shared" si="24"/>
        <v>2656</v>
      </c>
      <c r="R27" s="106">
        <f t="shared" si="24"/>
        <v>2793</v>
      </c>
      <c r="S27" s="106">
        <f t="shared" si="24"/>
        <v>2633</v>
      </c>
      <c r="T27" s="5"/>
      <c r="U27" s="30">
        <f t="shared" si="14"/>
        <v>10154</v>
      </c>
      <c r="V27" s="30">
        <f t="shared" si="15"/>
        <v>10159</v>
      </c>
      <c r="W27" s="30">
        <f t="shared" si="16"/>
        <v>9995</v>
      </c>
      <c r="X27" s="30">
        <f t="shared" si="17"/>
        <v>10191</v>
      </c>
      <c r="Y27" s="30">
        <f t="shared" si="18"/>
        <v>10313</v>
      </c>
      <c r="Z27" s="30">
        <f t="shared" si="19"/>
        <v>10509</v>
      </c>
      <c r="AA27" s="30">
        <f t="shared" si="20"/>
        <v>10734</v>
      </c>
      <c r="AB27" s="30">
        <f t="shared" si="21"/>
        <v>10733</v>
      </c>
    </row>
    <row r="28" spans="1:28" ht="12.75" customHeight="1">
      <c r="A28" s="74"/>
      <c r="B28" s="9" t="s">
        <v>195</v>
      </c>
      <c r="C28" s="75">
        <v>0</v>
      </c>
      <c r="D28" s="75">
        <v>0</v>
      </c>
      <c r="E28" s="75">
        <v>-2536</v>
      </c>
      <c r="F28" s="75">
        <v>-2269</v>
      </c>
      <c r="G28" s="75">
        <v>-2774</v>
      </c>
      <c r="H28" s="10"/>
      <c r="I28" s="75">
        <v>-548</v>
      </c>
      <c r="J28" s="75">
        <v>-713</v>
      </c>
      <c r="K28" s="75">
        <v>-553</v>
      </c>
      <c r="L28" s="30">
        <f t="shared" si="12"/>
        <v>-455</v>
      </c>
      <c r="M28" s="75">
        <v>-448</v>
      </c>
      <c r="N28" s="75">
        <v>-576</v>
      </c>
      <c r="O28" s="75">
        <v>-701</v>
      </c>
      <c r="P28" s="30">
        <f t="shared" si="13"/>
        <v>-1049</v>
      </c>
      <c r="Q28" s="75">
        <v>-765</v>
      </c>
      <c r="R28" s="75">
        <v>-1585</v>
      </c>
      <c r="S28" s="75">
        <v>-792</v>
      </c>
      <c r="T28" s="5"/>
      <c r="U28" s="30">
        <f t="shared" si="14"/>
        <v>-2269</v>
      </c>
      <c r="V28" s="30">
        <f t="shared" si="15"/>
        <v>-2169</v>
      </c>
      <c r="W28" s="30">
        <f t="shared" si="16"/>
        <v>-2032</v>
      </c>
      <c r="X28" s="30">
        <f t="shared" si="17"/>
        <v>-2180</v>
      </c>
      <c r="Y28" s="30">
        <f t="shared" si="18"/>
        <v>-2774</v>
      </c>
      <c r="Z28" s="30">
        <f t="shared" si="19"/>
        <v>-3091</v>
      </c>
      <c r="AA28" s="30">
        <f t="shared" si="20"/>
        <v>-4100</v>
      </c>
      <c r="AB28" s="30">
        <f t="shared" si="21"/>
        <v>-4191</v>
      </c>
    </row>
    <row r="29" spans="1:28">
      <c r="B29" s="12" t="s">
        <v>66</v>
      </c>
      <c r="C29" s="13">
        <f>SUM(C25:C28)</f>
        <v>10671</v>
      </c>
      <c r="D29" s="13">
        <f>SUM(D25:D28)</f>
        <v>12191</v>
      </c>
      <c r="E29" s="13">
        <f>SUM(E25:E28)</f>
        <v>33817</v>
      </c>
      <c r="F29" s="13">
        <f>SUM(F25:F28)</f>
        <v>41321</v>
      </c>
      <c r="G29" s="13">
        <f>SUM(G25:G28)</f>
        <v>39321</v>
      </c>
      <c r="H29" s="11"/>
      <c r="I29" s="13">
        <f>SUM(I25:I28)</f>
        <v>10700</v>
      </c>
      <c r="J29" s="13">
        <f>SUM(J25:J28)</f>
        <v>10358</v>
      </c>
      <c r="K29" s="13">
        <f>SUM(K25:K28)</f>
        <v>9979</v>
      </c>
      <c r="L29" s="13">
        <f>SUM(L25:L28)</f>
        <v>10284</v>
      </c>
      <c r="M29" s="13">
        <f>SUM(M25:M28)</f>
        <v>9958</v>
      </c>
      <c r="N29" s="13">
        <f>SUM(N25:N28)</f>
        <v>9713</v>
      </c>
      <c r="O29" s="13">
        <f>SUM(O25:O28)</f>
        <v>9623</v>
      </c>
      <c r="P29" s="13">
        <f>SUM(P25:P28)</f>
        <v>10027</v>
      </c>
      <c r="Q29" s="13">
        <f>SUM(Q25:Q28)</f>
        <v>8979</v>
      </c>
      <c r="R29" s="13">
        <f>SUM(R25:R28)</f>
        <v>9812</v>
      </c>
      <c r="S29" s="13">
        <f>SUM(S25:S28)</f>
        <v>9045</v>
      </c>
      <c r="T29" s="5"/>
      <c r="U29" s="13">
        <f>SUM(U25:U28)</f>
        <v>41321</v>
      </c>
      <c r="V29" s="13">
        <f>SUM(V25:V28)</f>
        <v>40579</v>
      </c>
      <c r="W29" s="13">
        <f>SUM(W25:W28)</f>
        <v>39934</v>
      </c>
      <c r="X29" s="13">
        <f>SUM(X25:X28)</f>
        <v>39578</v>
      </c>
      <c r="Y29" s="13">
        <f>SUM(Y25:Y28)</f>
        <v>39321</v>
      </c>
      <c r="Z29" s="13">
        <f>SUM(Z25:Z28)</f>
        <v>38342</v>
      </c>
      <c r="AA29" s="13">
        <f>SUM(AA25:AA28)</f>
        <v>38441</v>
      </c>
      <c r="AB29" s="13">
        <f>SUM(AB25:AB28)</f>
        <v>37863</v>
      </c>
    </row>
    <row r="30" spans="1:28" outlineLevel="1">
      <c r="B30" s="114" t="s">
        <v>123</v>
      </c>
      <c r="C30" s="73">
        <f>+C29-C13</f>
        <v>0</v>
      </c>
      <c r="D30" s="73">
        <f>+D29-D13</f>
        <v>0</v>
      </c>
      <c r="E30" s="73">
        <f t="shared" ref="E30:G30" si="25">+E29-E13</f>
        <v>0</v>
      </c>
      <c r="F30" s="73">
        <f t="shared" si="25"/>
        <v>0</v>
      </c>
      <c r="G30" s="73">
        <f t="shared" si="25"/>
        <v>0</v>
      </c>
      <c r="H30" s="11"/>
      <c r="I30" s="73">
        <f t="shared" ref="I30" si="26">+I29-I13</f>
        <v>0</v>
      </c>
      <c r="J30" s="73">
        <f t="shared" ref="J30" si="27">+J29-J13</f>
        <v>0</v>
      </c>
      <c r="K30" s="73">
        <f t="shared" ref="K30" si="28">+K29-K13</f>
        <v>0</v>
      </c>
      <c r="L30" s="73">
        <f t="shared" ref="L30" si="29">+L29-L13</f>
        <v>0</v>
      </c>
      <c r="M30" s="73">
        <f t="shared" ref="M30" si="30">+M29-M13</f>
        <v>0</v>
      </c>
      <c r="N30" s="73">
        <f t="shared" ref="N30" si="31">+N29-N13</f>
        <v>0</v>
      </c>
      <c r="O30" s="73">
        <f t="shared" ref="O30" si="32">+O29-O13</f>
        <v>0</v>
      </c>
      <c r="P30" s="73">
        <f t="shared" ref="P30" si="33">+P29-P13</f>
        <v>0</v>
      </c>
      <c r="Q30" s="73">
        <f t="shared" ref="Q30" si="34">+Q29-Q13</f>
        <v>0</v>
      </c>
      <c r="R30" s="73">
        <f t="shared" ref="R30" si="35">+R29-R13</f>
        <v>0</v>
      </c>
      <c r="S30" s="73">
        <f t="shared" ref="S30" si="36">+S29-S13</f>
        <v>0</v>
      </c>
      <c r="T30" s="73"/>
      <c r="U30" s="73">
        <f t="shared" ref="U30" si="37">+U29-U13</f>
        <v>0</v>
      </c>
      <c r="V30" s="73">
        <f t="shared" ref="V30" si="38">+V29-V13</f>
        <v>0</v>
      </c>
      <c r="W30" s="73">
        <f t="shared" ref="W30" si="39">+W29-W13</f>
        <v>0</v>
      </c>
      <c r="X30" s="73">
        <f t="shared" ref="X30" si="40">+X29-X13</f>
        <v>0</v>
      </c>
      <c r="Y30" s="73">
        <f t="shared" ref="Y30" si="41">+Y29-Y13</f>
        <v>0</v>
      </c>
      <c r="Z30" s="73">
        <f t="shared" ref="Z30" si="42">+Z29-Z13</f>
        <v>0</v>
      </c>
      <c r="AA30" s="73">
        <f t="shared" ref="AA30" si="43">+AA29-AA13</f>
        <v>0</v>
      </c>
      <c r="AB30" s="73">
        <f t="shared" ref="AB30" si="44">+AB29-AB13</f>
        <v>0</v>
      </c>
    </row>
    <row r="31" spans="1:28">
      <c r="B31" s="16"/>
      <c r="C31" s="17"/>
      <c r="D31" s="17"/>
      <c r="E31" s="17"/>
      <c r="F31" s="17"/>
      <c r="G31" s="17"/>
      <c r="H31" s="18"/>
      <c r="I31" s="19"/>
      <c r="J31" s="19"/>
      <c r="K31" s="19"/>
      <c r="L31" s="20"/>
      <c r="M31" s="19"/>
      <c r="N31" s="19"/>
      <c r="O31" s="19"/>
      <c r="P31" s="19"/>
      <c r="Q31" s="19"/>
      <c r="R31" s="19"/>
      <c r="S31" s="19"/>
      <c r="T31" s="18"/>
      <c r="U31" s="18"/>
      <c r="V31" s="18"/>
      <c r="W31" s="18"/>
      <c r="X31" s="18"/>
      <c r="Y31" s="18"/>
      <c r="Z31" s="18"/>
      <c r="AA31" s="18"/>
      <c r="AB31" s="18"/>
    </row>
    <row r="32" spans="1:28">
      <c r="B32" s="115" t="str">
        <f>B25&amp;"(%)"</f>
        <v>Studios(%)</v>
      </c>
      <c r="C32" s="127">
        <f>SUM(C25/C$29)</f>
        <v>1.1245431543435479E-3</v>
      </c>
      <c r="D32" s="127">
        <f>SUM(D25/D$29)</f>
        <v>1.640554507423509E-3</v>
      </c>
      <c r="E32" s="127">
        <f>SUM(E25/E$13)</f>
        <v>0.28775467959901824</v>
      </c>
      <c r="F32" s="127">
        <f>SUM(F25/F$13)</f>
        <v>0.29505578277389222</v>
      </c>
      <c r="G32" s="127">
        <f>SUM(G25/G$13)</f>
        <v>0.29518577859159228</v>
      </c>
      <c r="H32" s="116"/>
      <c r="I32" s="127">
        <f>SUM(I25/I$13)</f>
        <v>0.30018691588785046</v>
      </c>
      <c r="J32" s="127">
        <f>SUM(J25/J$13)</f>
        <v>0.24917937825835104</v>
      </c>
      <c r="K32" s="127">
        <f>SUM(K25/K$13)</f>
        <v>0.32327888565988577</v>
      </c>
      <c r="L32" s="127">
        <f>SUM(L25/L$13)</f>
        <v>0.30853753403345002</v>
      </c>
      <c r="M32" s="127">
        <f>SUM(M25/M$13)</f>
        <v>0.28328981723237601</v>
      </c>
      <c r="N32" s="127">
        <f>SUM(N25/N$13)</f>
        <v>0.25213631215896221</v>
      </c>
      <c r="O32" s="127">
        <f>SUM(O25/O$13)</f>
        <v>0.27849942845266551</v>
      </c>
      <c r="P32" s="127">
        <f>SUM(P25/P$13)</f>
        <v>0.36471526877430938</v>
      </c>
      <c r="Q32" s="127">
        <f>SUM(Q25/Q$13)</f>
        <v>0.25771244013810002</v>
      </c>
      <c r="R32" s="127">
        <f>SUM(R25/R$13)</f>
        <v>0.38738279657562169</v>
      </c>
      <c r="S32" s="127">
        <f>SUM(S25/S$13)</f>
        <v>0.36716417910447763</v>
      </c>
      <c r="T32" s="116"/>
      <c r="U32" s="117">
        <f>L32</f>
        <v>0.30853753403345002</v>
      </c>
      <c r="V32" s="117">
        <f>M32</f>
        <v>0.28328981723237601</v>
      </c>
      <c r="W32" s="117">
        <f>N32</f>
        <v>0.25213631215896221</v>
      </c>
      <c r="X32" s="117">
        <f>O32</f>
        <v>0.27849942845266551</v>
      </c>
      <c r="Y32" s="117">
        <f>P32</f>
        <v>0.36471526877430938</v>
      </c>
      <c r="Z32" s="117">
        <f>Q32</f>
        <v>0.25771244013810002</v>
      </c>
      <c r="AA32" s="117">
        <f>R32</f>
        <v>0.38738279657562169</v>
      </c>
      <c r="AB32" s="118">
        <f>S32</f>
        <v>0.36716417910447763</v>
      </c>
    </row>
    <row r="33" spans="1:28">
      <c r="B33" s="119" t="str">
        <f>B26&amp;"(%)"</f>
        <v>Networks(%)</v>
      </c>
      <c r="C33" s="129">
        <f>SUM(C26/C$29)</f>
        <v>0.97825883234935807</v>
      </c>
      <c r="D33" s="129">
        <f>SUM(D26/D$29)</f>
        <v>0.92781560167336563</v>
      </c>
      <c r="E33" s="129">
        <f>SUM(E26/E$13)</f>
        <v>0.57213827364934799</v>
      </c>
      <c r="F33" s="129">
        <f>SUM(F26/F$13)</f>
        <v>0.51412114905253992</v>
      </c>
      <c r="G33" s="129">
        <f>SUM(G26/G$13)</f>
        <v>0.51308461127641714</v>
      </c>
      <c r="H33" s="120"/>
      <c r="I33" s="129">
        <f>SUM(I26/I$13)</f>
        <v>0.52158878504672901</v>
      </c>
      <c r="J33" s="129">
        <f>SUM(J26/J$13)</f>
        <v>0.55589882216644138</v>
      </c>
      <c r="K33" s="129">
        <f>SUM(K26/K$13)</f>
        <v>0.48782443130574205</v>
      </c>
      <c r="L33" s="129">
        <f>SUM(L26/L$13)</f>
        <v>0.48978996499416572</v>
      </c>
      <c r="M33" s="129">
        <f>SUM(M26/M$13)</f>
        <v>0.51466157863024709</v>
      </c>
      <c r="N33" s="129">
        <f>SUM(N26/N$13)</f>
        <v>0.54277772058066509</v>
      </c>
      <c r="O33" s="129">
        <f>SUM(O26/O$13)</f>
        <v>0.52062766289099038</v>
      </c>
      <c r="P33" s="129">
        <f>SUM(P26/P$13)</f>
        <v>0.47551610651241649</v>
      </c>
      <c r="Q33" s="129">
        <f>SUM(Q26/Q$13)</f>
        <v>0.53168504287782603</v>
      </c>
      <c r="R33" s="129">
        <f>SUM(R26/R$13)</f>
        <v>0.48950264981655117</v>
      </c>
      <c r="S33" s="129">
        <f>SUM(S26/S$13)</f>
        <v>0.429297954671089</v>
      </c>
      <c r="T33" s="120"/>
      <c r="U33" s="121">
        <f>L33</f>
        <v>0.48978996499416572</v>
      </c>
      <c r="V33" s="121">
        <f>M33</f>
        <v>0.51466157863024709</v>
      </c>
      <c r="W33" s="121">
        <f>N33</f>
        <v>0.54277772058066509</v>
      </c>
      <c r="X33" s="121">
        <f>O33</f>
        <v>0.52062766289099038</v>
      </c>
      <c r="Y33" s="121">
        <f>P33</f>
        <v>0.47551610651241649</v>
      </c>
      <c r="Z33" s="121">
        <f>Q33</f>
        <v>0.53168504287782603</v>
      </c>
      <c r="AA33" s="121">
        <f>R33</f>
        <v>0.48950264981655117</v>
      </c>
      <c r="AB33" s="122">
        <f>S33</f>
        <v>0.429297954671089</v>
      </c>
    </row>
    <row r="34" spans="1:28">
      <c r="B34" s="123" t="str">
        <f>B27&amp;"(%)"</f>
        <v>Streaming(%)</v>
      </c>
      <c r="C34" s="128">
        <f>SUM(C27/C$29)</f>
        <v>2.0616624496298377E-2</v>
      </c>
      <c r="D34" s="128">
        <f>SUM(D27/D$29)</f>
        <v>7.0543843819210889E-2</v>
      </c>
      <c r="E34" s="128">
        <f>SUM(E27/E$13)</f>
        <v>0.21509891474702073</v>
      </c>
      <c r="F34" s="128">
        <f>SUM(F27/F$13)</f>
        <v>0.24573461436073668</v>
      </c>
      <c r="G34" s="128">
        <f>SUM(G27/G$13)</f>
        <v>0.26227715470105034</v>
      </c>
      <c r="H34" s="124"/>
      <c r="I34" s="128">
        <f>SUM(I27/I$13)</f>
        <v>0.2294392523364486</v>
      </c>
      <c r="J34" s="128">
        <f>SUM(J27/J$13)</f>
        <v>0.26375748213940914</v>
      </c>
      <c r="K34" s="128">
        <f>SUM(K27/K$13)</f>
        <v>0.24431305742058324</v>
      </c>
      <c r="L34" s="128">
        <f>SUM(L27/L$13)</f>
        <v>0.24591598599766629</v>
      </c>
      <c r="M34" s="128">
        <f>SUM(M27/M$13)</f>
        <v>0.24703755774251857</v>
      </c>
      <c r="N34" s="128">
        <f>SUM(N27/N$13)</f>
        <v>0.26438793369710695</v>
      </c>
      <c r="O34" s="128">
        <f>SUM(O27/O$13)</f>
        <v>0.27371921438220931</v>
      </c>
      <c r="P34" s="128">
        <f>SUM(P27/P$13)</f>
        <v>0.26438615737508725</v>
      </c>
      <c r="Q34" s="128">
        <f>SUM(Q27/Q$13)</f>
        <v>0.29580131417752531</v>
      </c>
      <c r="R34" s="128">
        <f>SUM(R27/R$13)</f>
        <v>0.28465144720750102</v>
      </c>
      <c r="S34" s="128">
        <f>SUM(S27/S$13)</f>
        <v>0.29110005527915978</v>
      </c>
      <c r="T34" s="124"/>
      <c r="U34" s="125">
        <f>L34</f>
        <v>0.24591598599766629</v>
      </c>
      <c r="V34" s="125">
        <f>M34</f>
        <v>0.24703755774251857</v>
      </c>
      <c r="W34" s="125">
        <f>N34</f>
        <v>0.26438793369710695</v>
      </c>
      <c r="X34" s="125">
        <f>O34</f>
        <v>0.27371921438220931</v>
      </c>
      <c r="Y34" s="125">
        <f>P34</f>
        <v>0.26438615737508725</v>
      </c>
      <c r="Z34" s="125">
        <f>Q34</f>
        <v>0.29580131417752531</v>
      </c>
      <c r="AA34" s="125">
        <f>R34</f>
        <v>0.28465144720750102</v>
      </c>
      <c r="AB34" s="126">
        <f>S34</f>
        <v>0.29110005527915978</v>
      </c>
    </row>
    <row r="35" spans="1:28">
      <c r="B35" s="16"/>
      <c r="C35" s="17"/>
      <c r="D35" s="17"/>
      <c r="E35" s="17"/>
      <c r="F35" s="17"/>
      <c r="G35" s="17"/>
      <c r="H35" s="18"/>
      <c r="I35" s="19"/>
      <c r="J35" s="19"/>
      <c r="K35" s="19"/>
      <c r="L35" s="20"/>
      <c r="M35" s="19"/>
      <c r="N35" s="19"/>
      <c r="O35" s="19"/>
      <c r="P35" s="19"/>
      <c r="Q35" s="19"/>
      <c r="R35" s="19"/>
      <c r="S35" s="19"/>
      <c r="T35" s="18"/>
      <c r="U35" s="18"/>
      <c r="V35" s="18"/>
      <c r="W35" s="18"/>
      <c r="X35" s="18"/>
      <c r="Y35" s="18"/>
      <c r="Z35" s="18"/>
      <c r="AA35" s="18"/>
      <c r="AB35" s="18"/>
    </row>
    <row r="36" spans="1:28">
      <c r="A36" s="33" t="s">
        <v>16</v>
      </c>
      <c r="B36" s="31" t="s">
        <v>156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5.0999999999999996" customHeight="1">
      <c r="B37" s="16"/>
      <c r="C37" s="17"/>
      <c r="D37" s="17"/>
      <c r="E37" s="17"/>
      <c r="F37" s="17"/>
      <c r="G37" s="17"/>
      <c r="H37" s="18"/>
      <c r="I37" s="19"/>
      <c r="J37" s="19"/>
      <c r="K37" s="19"/>
      <c r="L37" s="20"/>
      <c r="M37" s="19"/>
      <c r="N37" s="19"/>
      <c r="O37" s="19"/>
      <c r="P37" s="19"/>
      <c r="Q37" s="19"/>
      <c r="R37" s="19"/>
      <c r="S37" s="19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ht="12.75" customHeight="1">
      <c r="A38" s="74" t="s">
        <v>16</v>
      </c>
      <c r="B38" s="72" t="s">
        <v>140</v>
      </c>
      <c r="C38" s="10"/>
      <c r="D38" s="10"/>
      <c r="E38" s="10"/>
      <c r="F38" s="10"/>
      <c r="G38" s="10"/>
      <c r="H38" s="10"/>
      <c r="I38" s="81"/>
      <c r="J38" s="81"/>
      <c r="K38" s="81"/>
      <c r="L38" s="30"/>
      <c r="M38" s="81"/>
      <c r="N38" s="81"/>
      <c r="O38" s="81"/>
      <c r="P38" s="30"/>
      <c r="Q38" s="81"/>
      <c r="R38" s="81"/>
      <c r="S38" s="81"/>
      <c r="T38" s="5"/>
      <c r="U38" s="11"/>
      <c r="V38" s="11"/>
      <c r="W38" s="11"/>
      <c r="X38" s="11"/>
      <c r="Y38" s="11"/>
      <c r="Z38" s="11"/>
      <c r="AA38" s="11"/>
      <c r="AB38" s="11"/>
    </row>
    <row r="39" spans="1:28" ht="12.75" customHeight="1">
      <c r="A39" s="74"/>
      <c r="B39" s="9" t="s">
        <v>124</v>
      </c>
      <c r="C39" s="75">
        <v>0</v>
      </c>
      <c r="D39" s="75">
        <v>0</v>
      </c>
      <c r="E39" s="75">
        <v>12</v>
      </c>
      <c r="F39" s="75">
        <v>17</v>
      </c>
      <c r="G39" s="75">
        <v>8</v>
      </c>
      <c r="H39" s="10"/>
      <c r="I39" s="75">
        <v>3</v>
      </c>
      <c r="J39" s="75">
        <v>3</v>
      </c>
      <c r="K39" s="75">
        <v>13</v>
      </c>
      <c r="L39" s="30">
        <f t="shared" ref="L39:L42" si="45">SUM(F39-SUM(I39:K39))</f>
        <v>-2</v>
      </c>
      <c r="M39" s="75">
        <v>5</v>
      </c>
      <c r="N39" s="75">
        <v>3</v>
      </c>
      <c r="O39" s="75">
        <v>6</v>
      </c>
      <c r="P39" s="30">
        <f t="shared" ref="P39:P42" si="46">SUM(G39-SUM(M39:O39))</f>
        <v>-6</v>
      </c>
      <c r="Q39" s="75">
        <v>1</v>
      </c>
      <c r="R39" s="75">
        <v>1</v>
      </c>
      <c r="S39" s="75">
        <v>2</v>
      </c>
      <c r="T39" s="5"/>
      <c r="U39" s="30">
        <f t="shared" ref="U39:U42" si="47">SUM(I39:L39)</f>
        <v>17</v>
      </c>
      <c r="V39" s="30">
        <f t="shared" ref="V39:V42" si="48">SUM(J39:M39)</f>
        <v>19</v>
      </c>
      <c r="W39" s="30">
        <f>SUM(K39:N39)</f>
        <v>19</v>
      </c>
      <c r="X39" s="30">
        <f t="shared" ref="X39:X42" si="49">SUM(L39:O39)</f>
        <v>12</v>
      </c>
      <c r="Y39" s="30">
        <f t="shared" ref="Y39:Y42" si="50">SUM(M39:P39)</f>
        <v>8</v>
      </c>
      <c r="Z39" s="30">
        <f>SUM(N39:Q39)</f>
        <v>4</v>
      </c>
      <c r="AA39" s="30">
        <f t="shared" ref="AA39:AA42" si="51">SUM(O39:R39)</f>
        <v>2</v>
      </c>
      <c r="AB39" s="30">
        <f t="shared" ref="AB39:AB42" si="52">SUM(P39:S39)</f>
        <v>-2</v>
      </c>
    </row>
    <row r="40" spans="1:28" ht="12.75" customHeight="1">
      <c r="A40" s="74"/>
      <c r="B40" s="9" t="s">
        <v>122</v>
      </c>
      <c r="C40" s="75">
        <v>0</v>
      </c>
      <c r="D40" s="75">
        <v>0</v>
      </c>
      <c r="E40" s="75">
        <v>15</v>
      </c>
      <c r="F40" s="75">
        <v>15</v>
      </c>
      <c r="G40" s="75">
        <v>5</v>
      </c>
      <c r="H40" s="10"/>
      <c r="I40" s="75">
        <v>3</v>
      </c>
      <c r="J40" s="75">
        <v>4</v>
      </c>
      <c r="K40" s="75">
        <v>4</v>
      </c>
      <c r="L40" s="30">
        <f t="shared" si="45"/>
        <v>4</v>
      </c>
      <c r="M40" s="75">
        <v>4</v>
      </c>
      <c r="N40" s="75">
        <v>0</v>
      </c>
      <c r="O40" s="75">
        <v>1</v>
      </c>
      <c r="P40" s="30">
        <f t="shared" si="46"/>
        <v>0</v>
      </c>
      <c r="Q40" s="75">
        <v>1</v>
      </c>
      <c r="R40" s="75">
        <v>0</v>
      </c>
      <c r="S40" s="75">
        <v>0</v>
      </c>
      <c r="T40" s="5"/>
      <c r="U40" s="30">
        <f t="shared" si="47"/>
        <v>15</v>
      </c>
      <c r="V40" s="30">
        <f t="shared" si="48"/>
        <v>16</v>
      </c>
      <c r="W40" s="30">
        <f>SUM(K40:N40)</f>
        <v>12</v>
      </c>
      <c r="X40" s="30">
        <f t="shared" si="49"/>
        <v>9</v>
      </c>
      <c r="Y40" s="30">
        <f t="shared" si="50"/>
        <v>5</v>
      </c>
      <c r="Z40" s="30">
        <f>SUM(N40:Q40)</f>
        <v>2</v>
      </c>
      <c r="AA40" s="30">
        <f t="shared" si="51"/>
        <v>2</v>
      </c>
      <c r="AB40" s="30">
        <f t="shared" si="52"/>
        <v>1</v>
      </c>
    </row>
    <row r="41" spans="1:28" ht="12.75" customHeight="1">
      <c r="A41" s="74"/>
      <c r="B41" s="9" t="s">
        <v>125</v>
      </c>
      <c r="C41" s="75">
        <v>12</v>
      </c>
      <c r="D41" s="75">
        <v>20</v>
      </c>
      <c r="E41" s="75">
        <v>9156</v>
      </c>
      <c r="F41" s="75">
        <v>11358</v>
      </c>
      <c r="G41" s="75">
        <v>10717</v>
      </c>
      <c r="H41" s="10"/>
      <c r="I41" s="75">
        <v>3027</v>
      </c>
      <c r="J41" s="75">
        <v>2398</v>
      </c>
      <c r="K41" s="75">
        <v>3000</v>
      </c>
      <c r="L41" s="30">
        <f t="shared" si="45"/>
        <v>2933</v>
      </c>
      <c r="M41" s="75">
        <v>2623</v>
      </c>
      <c r="N41" s="75">
        <v>2237</v>
      </c>
      <c r="O41" s="75">
        <v>2463</v>
      </c>
      <c r="P41" s="30">
        <f t="shared" si="46"/>
        <v>3394</v>
      </c>
      <c r="Q41" s="75">
        <v>2139</v>
      </c>
      <c r="R41" s="75">
        <v>3591</v>
      </c>
      <c r="S41" s="75">
        <v>3111</v>
      </c>
      <c r="T41" s="5"/>
      <c r="U41" s="30">
        <f t="shared" si="47"/>
        <v>11358</v>
      </c>
      <c r="V41" s="30">
        <f t="shared" si="48"/>
        <v>10954</v>
      </c>
      <c r="W41" s="30">
        <f>SUM(K41:N41)</f>
        <v>10793</v>
      </c>
      <c r="X41" s="30">
        <f t="shared" si="49"/>
        <v>10256</v>
      </c>
      <c r="Y41" s="30">
        <f t="shared" si="50"/>
        <v>10717</v>
      </c>
      <c r="Z41" s="30">
        <f>SUM(N41:Q41)</f>
        <v>10233</v>
      </c>
      <c r="AA41" s="30">
        <f t="shared" si="51"/>
        <v>11587</v>
      </c>
      <c r="AB41" s="30">
        <f t="shared" si="52"/>
        <v>12235</v>
      </c>
    </row>
    <row r="42" spans="1:28" ht="12.75" customHeight="1">
      <c r="A42" s="74"/>
      <c r="B42" s="9" t="s">
        <v>126</v>
      </c>
      <c r="C42" s="75">
        <v>0</v>
      </c>
      <c r="D42" s="75">
        <v>0</v>
      </c>
      <c r="E42" s="75">
        <v>548</v>
      </c>
      <c r="F42" s="75">
        <v>802</v>
      </c>
      <c r="G42" s="75">
        <v>877</v>
      </c>
      <c r="H42" s="10"/>
      <c r="I42" s="75">
        <v>179</v>
      </c>
      <c r="J42" s="75">
        <v>176</v>
      </c>
      <c r="K42" s="75">
        <v>209</v>
      </c>
      <c r="L42" s="30">
        <f t="shared" si="45"/>
        <v>238</v>
      </c>
      <c r="M42" s="75">
        <v>189</v>
      </c>
      <c r="N42" s="75">
        <v>209</v>
      </c>
      <c r="O42" s="75">
        <v>210</v>
      </c>
      <c r="P42" s="30">
        <f t="shared" si="46"/>
        <v>269</v>
      </c>
      <c r="Q42" s="75">
        <v>173</v>
      </c>
      <c r="R42" s="75">
        <v>209</v>
      </c>
      <c r="S42" s="75">
        <v>208</v>
      </c>
      <c r="T42" s="5"/>
      <c r="U42" s="30">
        <f t="shared" si="47"/>
        <v>802</v>
      </c>
      <c r="V42" s="30">
        <f t="shared" si="48"/>
        <v>812</v>
      </c>
      <c r="W42" s="30">
        <f>SUM(K42:N42)</f>
        <v>845</v>
      </c>
      <c r="X42" s="30">
        <f t="shared" si="49"/>
        <v>846</v>
      </c>
      <c r="Y42" s="30">
        <f t="shared" si="50"/>
        <v>877</v>
      </c>
      <c r="Z42" s="30">
        <f>SUM(N42:Q42)</f>
        <v>861</v>
      </c>
      <c r="AA42" s="30">
        <f t="shared" si="51"/>
        <v>861</v>
      </c>
      <c r="AB42" s="30">
        <f t="shared" si="52"/>
        <v>859</v>
      </c>
    </row>
    <row r="43" spans="1:28">
      <c r="B43" s="12" t="s">
        <v>142</v>
      </c>
      <c r="C43" s="13">
        <f t="shared" ref="C43:F43" si="53">SUM(C39:C42)</f>
        <v>12</v>
      </c>
      <c r="D43" s="13">
        <f t="shared" si="53"/>
        <v>20</v>
      </c>
      <c r="E43" s="13">
        <f t="shared" si="53"/>
        <v>9731</v>
      </c>
      <c r="F43" s="13">
        <f t="shared" si="53"/>
        <v>12192</v>
      </c>
      <c r="G43" s="13">
        <f>SUM(G39:G42)</f>
        <v>11607</v>
      </c>
      <c r="H43" s="11"/>
      <c r="I43" s="13">
        <f>SUM(I39:I42)</f>
        <v>3212</v>
      </c>
      <c r="J43" s="13">
        <f>SUM(J39:J42)</f>
        <v>2581</v>
      </c>
      <c r="K43" s="13">
        <f>SUM(K39:K42)</f>
        <v>3226</v>
      </c>
      <c r="L43" s="13">
        <f>SUM(L39:L42)</f>
        <v>3173</v>
      </c>
      <c r="M43" s="13">
        <f>SUM(M39:M42)</f>
        <v>2821</v>
      </c>
      <c r="N43" s="13">
        <f>SUM(N39:N42)</f>
        <v>2449</v>
      </c>
      <c r="O43" s="13">
        <f>SUM(O39:O42)</f>
        <v>2680</v>
      </c>
      <c r="P43" s="13">
        <f>SUM(P39:P42)</f>
        <v>3657</v>
      </c>
      <c r="Q43" s="13">
        <f>SUM(Q39:Q42)</f>
        <v>2314</v>
      </c>
      <c r="R43" s="13">
        <f>SUM(R39:R42)</f>
        <v>3801</v>
      </c>
      <c r="S43" s="13">
        <f>SUM(S39:S42)</f>
        <v>3321</v>
      </c>
      <c r="T43" s="5"/>
      <c r="U43" s="13">
        <f>SUM(U39:U42)</f>
        <v>12192</v>
      </c>
      <c r="V43" s="13">
        <f>SUM(V39:V42)</f>
        <v>11801</v>
      </c>
      <c r="W43" s="13">
        <f>SUM(W39:W42)</f>
        <v>11669</v>
      </c>
      <c r="X43" s="13">
        <f>SUM(X39:X42)</f>
        <v>11123</v>
      </c>
      <c r="Y43" s="13">
        <f>SUM(Y39:Y42)</f>
        <v>11607</v>
      </c>
      <c r="Z43" s="13">
        <f>SUM(Z39:Z42)</f>
        <v>11100</v>
      </c>
      <c r="AA43" s="13">
        <f>SUM(AA39:AA42)</f>
        <v>12452</v>
      </c>
      <c r="AB43" s="13">
        <f>SUM(AB39:AB42)</f>
        <v>13093</v>
      </c>
    </row>
    <row r="44" spans="1:28" outlineLevel="1">
      <c r="B44" s="114" t="s">
        <v>123</v>
      </c>
      <c r="C44" s="73">
        <f>+C43-C25</f>
        <v>0</v>
      </c>
      <c r="D44" s="73">
        <f t="shared" ref="D44:G44" si="54">+D43-D25</f>
        <v>0</v>
      </c>
      <c r="E44" s="73">
        <f t="shared" si="54"/>
        <v>0</v>
      </c>
      <c r="F44" s="73">
        <f t="shared" si="54"/>
        <v>0</v>
      </c>
      <c r="G44" s="73">
        <f t="shared" si="54"/>
        <v>0</v>
      </c>
      <c r="H44" s="11"/>
      <c r="I44" s="73">
        <f t="shared" ref="I44" si="55">+I43-I25</f>
        <v>0</v>
      </c>
      <c r="J44" s="73">
        <f t="shared" ref="J44" si="56">+J43-J25</f>
        <v>0</v>
      </c>
      <c r="K44" s="73">
        <f t="shared" ref="K44" si="57">+K43-K25</f>
        <v>0</v>
      </c>
      <c r="L44" s="73">
        <f t="shared" ref="L44" si="58">+L43-L25</f>
        <v>0</v>
      </c>
      <c r="M44" s="73">
        <f t="shared" ref="M44" si="59">+M43-M25</f>
        <v>0</v>
      </c>
      <c r="N44" s="73">
        <f t="shared" ref="N44" si="60">+N43-N25</f>
        <v>0</v>
      </c>
      <c r="O44" s="73">
        <f t="shared" ref="O44" si="61">+O43-O25</f>
        <v>0</v>
      </c>
      <c r="P44" s="73">
        <f t="shared" ref="P44" si="62">+P43-P25</f>
        <v>0</v>
      </c>
      <c r="Q44" s="73">
        <f t="shared" ref="Q44" si="63">+Q43-Q25</f>
        <v>0</v>
      </c>
      <c r="R44" s="73">
        <f t="shared" ref="R44" si="64">+R43-R25</f>
        <v>0</v>
      </c>
      <c r="S44" s="73">
        <f t="shared" ref="S44" si="65">+S43-S25</f>
        <v>0</v>
      </c>
      <c r="T44" s="73"/>
      <c r="U44" s="73">
        <f t="shared" ref="U44" si="66">+U43-U25</f>
        <v>0</v>
      </c>
      <c r="V44" s="73">
        <f t="shared" ref="V44" si="67">+V43-V25</f>
        <v>0</v>
      </c>
      <c r="W44" s="73">
        <f t="shared" ref="W44" si="68">+W43-W25</f>
        <v>0</v>
      </c>
      <c r="X44" s="73">
        <f t="shared" ref="X44" si="69">+X43-X25</f>
        <v>0</v>
      </c>
      <c r="Y44" s="73">
        <f t="shared" ref="Y44" si="70">+Y43-Y25</f>
        <v>0</v>
      </c>
      <c r="Z44" s="73">
        <f t="shared" ref="Z44" si="71">+Z43-Z25</f>
        <v>0</v>
      </c>
      <c r="AA44" s="73">
        <f t="shared" ref="AA44" si="72">+AA43-AA25</f>
        <v>0</v>
      </c>
      <c r="AB44" s="73">
        <f t="shared" ref="AB44" si="73">+AB43-AB25</f>
        <v>0</v>
      </c>
    </row>
    <row r="45" spans="1:28">
      <c r="B45" s="16"/>
      <c r="C45" s="17"/>
      <c r="D45" s="17"/>
      <c r="E45" s="17"/>
      <c r="F45" s="17"/>
      <c r="G45" s="17"/>
      <c r="H45" s="18"/>
      <c r="I45" s="19"/>
      <c r="J45" s="19"/>
      <c r="K45" s="19"/>
      <c r="L45" s="20"/>
      <c r="M45" s="19"/>
      <c r="N45" s="19"/>
      <c r="O45" s="19"/>
      <c r="P45" s="19"/>
      <c r="Q45" s="19"/>
      <c r="R45" s="19"/>
      <c r="S45" s="19"/>
      <c r="T45" s="18"/>
      <c r="U45" s="18"/>
      <c r="V45" s="18"/>
      <c r="W45" s="18"/>
      <c r="X45" s="18"/>
      <c r="Y45" s="18"/>
      <c r="Z45" s="18"/>
      <c r="AA45" s="18"/>
      <c r="AB45" s="18"/>
    </row>
    <row r="46" spans="1:28">
      <c r="B46" s="115" t="str">
        <f>B39&amp;"(%)"</f>
        <v>Distribution(%)</v>
      </c>
      <c r="C46" s="127">
        <f>SUM(C39/C$43)</f>
        <v>0</v>
      </c>
      <c r="D46" s="127">
        <f>SUM(D39/D$43)</f>
        <v>0</v>
      </c>
      <c r="E46" s="127">
        <f t="shared" ref="E46:G46" si="74">SUM(E39/E$43)</f>
        <v>1.2331723358339328E-3</v>
      </c>
      <c r="F46" s="127">
        <f t="shared" si="74"/>
        <v>1.3943569553805774E-3</v>
      </c>
      <c r="G46" s="127">
        <f t="shared" si="74"/>
        <v>6.8923925217541143E-4</v>
      </c>
      <c r="H46" s="116"/>
      <c r="I46" s="127">
        <f t="shared" ref="I46:S46" si="75">SUM(I39/I$43)</f>
        <v>9.3399750933997514E-4</v>
      </c>
      <c r="J46" s="127">
        <f>SUM(J39/J$43)</f>
        <v>1.162340178225494E-3</v>
      </c>
      <c r="K46" s="127">
        <f t="shared" si="75"/>
        <v>4.0297582145071295E-3</v>
      </c>
      <c r="L46" s="127">
        <f t="shared" si="75"/>
        <v>-6.3031831074692715E-4</v>
      </c>
      <c r="M46" s="127">
        <f t="shared" si="75"/>
        <v>1.7724211272598369E-3</v>
      </c>
      <c r="N46" s="127">
        <f>SUM(N39/N$43)</f>
        <v>1.2249897917517355E-3</v>
      </c>
      <c r="O46" s="127">
        <f t="shared" si="75"/>
        <v>2.2388059701492539E-3</v>
      </c>
      <c r="P46" s="127">
        <f t="shared" si="75"/>
        <v>-1.6406890894175555E-3</v>
      </c>
      <c r="Q46" s="127">
        <f t="shared" si="75"/>
        <v>4.3215211754537599E-4</v>
      </c>
      <c r="R46" s="127">
        <f t="shared" si="75"/>
        <v>2.6308866087871614E-4</v>
      </c>
      <c r="S46" s="127">
        <f t="shared" si="75"/>
        <v>6.0222824450466728E-4</v>
      </c>
      <c r="T46" s="116"/>
      <c r="U46" s="117">
        <f t="shared" ref="U46:AB46" si="76">SUM(U39/U$43)</f>
        <v>1.3943569553805774E-3</v>
      </c>
      <c r="V46" s="117">
        <f t="shared" si="76"/>
        <v>1.6100330480467756E-3</v>
      </c>
      <c r="W46" s="117">
        <f t="shared" si="76"/>
        <v>1.6282457794155455E-3</v>
      </c>
      <c r="X46" s="117">
        <f t="shared" si="76"/>
        <v>1.0788456351703676E-3</v>
      </c>
      <c r="Y46" s="117">
        <f t="shared" si="76"/>
        <v>6.8923925217541143E-4</v>
      </c>
      <c r="Z46" s="117">
        <f t="shared" si="76"/>
        <v>3.6036036036036037E-4</v>
      </c>
      <c r="AA46" s="117">
        <f t="shared" si="76"/>
        <v>1.6061676839061999E-4</v>
      </c>
      <c r="AB46" s="118">
        <f t="shared" si="76"/>
        <v>-1.5275337966852515E-4</v>
      </c>
    </row>
    <row r="47" spans="1:28">
      <c r="B47" s="119" t="str">
        <f t="shared" ref="B47:B49" si="77">B40&amp;"(%)"</f>
        <v>Advertising(%)</v>
      </c>
      <c r="C47" s="129">
        <f t="shared" ref="C47" si="78">SUM(C40/C$43)</f>
        <v>0</v>
      </c>
      <c r="D47" s="129">
        <f t="shared" ref="D47:G47" si="79">SUM(D40/D$43)</f>
        <v>0</v>
      </c>
      <c r="E47" s="129">
        <f t="shared" si="79"/>
        <v>1.541465419792416E-3</v>
      </c>
      <c r="F47" s="129">
        <f t="shared" si="79"/>
        <v>1.2303149606299212E-3</v>
      </c>
      <c r="G47" s="129">
        <f t="shared" si="79"/>
        <v>4.307745326096321E-4</v>
      </c>
      <c r="H47" s="120"/>
      <c r="I47" s="129">
        <f t="shared" ref="I47:S47" si="80">SUM(I40/I$43)</f>
        <v>9.3399750933997514E-4</v>
      </c>
      <c r="J47" s="129">
        <f>SUM(J40/J$43)</f>
        <v>1.5497869043006587E-3</v>
      </c>
      <c r="K47" s="129">
        <f t="shared" si="80"/>
        <v>1.2399256044637321E-3</v>
      </c>
      <c r="L47" s="129">
        <f t="shared" si="80"/>
        <v>1.2606366214938543E-3</v>
      </c>
      <c r="M47" s="129">
        <f t="shared" si="80"/>
        <v>1.4179369018078695E-3</v>
      </c>
      <c r="N47" s="129">
        <f>SUM(N40/N$43)</f>
        <v>0</v>
      </c>
      <c r="O47" s="129">
        <f t="shared" si="80"/>
        <v>3.7313432835820896E-4</v>
      </c>
      <c r="P47" s="129">
        <f t="shared" si="80"/>
        <v>0</v>
      </c>
      <c r="Q47" s="129">
        <f t="shared" si="80"/>
        <v>4.3215211754537599E-4</v>
      </c>
      <c r="R47" s="129">
        <f t="shared" si="80"/>
        <v>0</v>
      </c>
      <c r="S47" s="129">
        <f t="shared" si="80"/>
        <v>0</v>
      </c>
      <c r="T47" s="120"/>
      <c r="U47" s="121">
        <f t="shared" ref="U47:AB47" si="81">SUM(U40/U$43)</f>
        <v>1.2303149606299212E-3</v>
      </c>
      <c r="V47" s="121">
        <f t="shared" si="81"/>
        <v>1.3558173036183373E-3</v>
      </c>
      <c r="W47" s="121">
        <f t="shared" si="81"/>
        <v>1.0283657554203446E-3</v>
      </c>
      <c r="X47" s="121">
        <f t="shared" si="81"/>
        <v>8.0913422637777577E-4</v>
      </c>
      <c r="Y47" s="121">
        <f t="shared" si="81"/>
        <v>4.307745326096321E-4</v>
      </c>
      <c r="Z47" s="121">
        <f t="shared" si="81"/>
        <v>1.8018018018018018E-4</v>
      </c>
      <c r="AA47" s="121">
        <f t="shared" si="81"/>
        <v>1.6061676839061999E-4</v>
      </c>
      <c r="AB47" s="122">
        <f t="shared" si="81"/>
        <v>7.6376689834262577E-5</v>
      </c>
    </row>
    <row r="48" spans="1:28">
      <c r="B48" s="119" t="str">
        <f t="shared" si="77"/>
        <v>Content(%)</v>
      </c>
      <c r="C48" s="129">
        <f t="shared" ref="C48" si="82">SUM(C41/C$43)</f>
        <v>1</v>
      </c>
      <c r="D48" s="129">
        <f t="shared" ref="D48:G48" si="83">SUM(D41/D$43)</f>
        <v>1</v>
      </c>
      <c r="E48" s="129">
        <f t="shared" si="83"/>
        <v>0.94091049224129075</v>
      </c>
      <c r="F48" s="129">
        <f t="shared" si="83"/>
        <v>0.93159448818897639</v>
      </c>
      <c r="G48" s="129">
        <f t="shared" si="83"/>
        <v>0.92332213319548551</v>
      </c>
      <c r="H48" s="120"/>
      <c r="I48" s="129">
        <f t="shared" ref="I48:S48" si="84">SUM(I41/I$43)</f>
        <v>0.94240348692403486</v>
      </c>
      <c r="J48" s="129">
        <f>SUM(J41/J$43)</f>
        <v>0.92909724912824487</v>
      </c>
      <c r="K48" s="129">
        <f t="shared" si="84"/>
        <v>0.92994420334779915</v>
      </c>
      <c r="L48" s="129">
        <f t="shared" si="84"/>
        <v>0.92436180271036872</v>
      </c>
      <c r="M48" s="129">
        <f t="shared" si="84"/>
        <v>0.92981212336051045</v>
      </c>
      <c r="N48" s="129">
        <f>SUM(N41/N$43)</f>
        <v>0.91343405471621075</v>
      </c>
      <c r="O48" s="129">
        <f t="shared" si="84"/>
        <v>0.91902985074626864</v>
      </c>
      <c r="P48" s="129">
        <f t="shared" si="84"/>
        <v>0.92808312824719719</v>
      </c>
      <c r="Q48" s="129">
        <f t="shared" si="84"/>
        <v>0.92437337942955922</v>
      </c>
      <c r="R48" s="129">
        <f t="shared" si="84"/>
        <v>0.94475138121546964</v>
      </c>
      <c r="S48" s="129">
        <f t="shared" si="84"/>
        <v>0.93676603432700989</v>
      </c>
      <c r="T48" s="120"/>
      <c r="U48" s="121">
        <f t="shared" ref="U48:AB48" si="85">SUM(U41/U$43)</f>
        <v>0.93159448818897639</v>
      </c>
      <c r="V48" s="121">
        <f t="shared" si="85"/>
        <v>0.92822642148970425</v>
      </c>
      <c r="W48" s="121">
        <f t="shared" si="85"/>
        <v>0.92492929985431482</v>
      </c>
      <c r="X48" s="121">
        <f t="shared" si="85"/>
        <v>0.92205340285894088</v>
      </c>
      <c r="Y48" s="121">
        <f t="shared" si="85"/>
        <v>0.92332213319548551</v>
      </c>
      <c r="Z48" s="121">
        <f t="shared" si="85"/>
        <v>0.92189189189189191</v>
      </c>
      <c r="AA48" s="121">
        <f t="shared" si="85"/>
        <v>0.93053324767105683</v>
      </c>
      <c r="AB48" s="122">
        <f t="shared" si="85"/>
        <v>0.93446880012220268</v>
      </c>
    </row>
    <row r="49" spans="1:28">
      <c r="B49" s="123" t="str">
        <f t="shared" si="77"/>
        <v>Other(%)</v>
      </c>
      <c r="C49" s="128">
        <f t="shared" ref="C49" si="86">SUM(C42/C$43)</f>
        <v>0</v>
      </c>
      <c r="D49" s="128">
        <f t="shared" ref="D49:G49" si="87">SUM(D42/D$43)</f>
        <v>0</v>
      </c>
      <c r="E49" s="128">
        <f t="shared" si="87"/>
        <v>5.6314870003082933E-2</v>
      </c>
      <c r="F49" s="128">
        <f t="shared" si="87"/>
        <v>6.5780839895013127E-2</v>
      </c>
      <c r="G49" s="128">
        <f t="shared" si="87"/>
        <v>7.5557853019729476E-2</v>
      </c>
      <c r="H49" s="124"/>
      <c r="I49" s="128">
        <f t="shared" ref="I49:S49" si="88">SUM(I42/I$43)</f>
        <v>5.5728518057285181E-2</v>
      </c>
      <c r="J49" s="128">
        <f>SUM(J42/J$43)</f>
        <v>6.819062378922898E-2</v>
      </c>
      <c r="K49" s="128">
        <f t="shared" si="88"/>
        <v>6.4786112833230006E-2</v>
      </c>
      <c r="L49" s="128">
        <f t="shared" si="88"/>
        <v>7.5007878978884335E-2</v>
      </c>
      <c r="M49" s="128">
        <f t="shared" si="88"/>
        <v>6.699751861042183E-2</v>
      </c>
      <c r="N49" s="128">
        <f>SUM(N42/N$43)</f>
        <v>8.534095549203756E-2</v>
      </c>
      <c r="O49" s="128">
        <f t="shared" si="88"/>
        <v>7.8358208955223885E-2</v>
      </c>
      <c r="P49" s="128">
        <f t="shared" si="88"/>
        <v>7.3557560842220399E-2</v>
      </c>
      <c r="Q49" s="128">
        <f t="shared" si="88"/>
        <v>7.4762316335350049E-2</v>
      </c>
      <c r="R49" s="128">
        <f t="shared" si="88"/>
        <v>5.498553012365167E-2</v>
      </c>
      <c r="S49" s="128">
        <f t="shared" si="88"/>
        <v>6.2631737428485393E-2</v>
      </c>
      <c r="T49" s="124"/>
      <c r="U49" s="125">
        <f t="shared" ref="U49:AB49" si="89">SUM(U42/U$43)</f>
        <v>6.5780839895013127E-2</v>
      </c>
      <c r="V49" s="125">
        <f t="shared" si="89"/>
        <v>6.8807728158630621E-2</v>
      </c>
      <c r="W49" s="125">
        <f t="shared" si="89"/>
        <v>7.2414088610849262E-2</v>
      </c>
      <c r="X49" s="125">
        <f t="shared" si="89"/>
        <v>7.6058617279510923E-2</v>
      </c>
      <c r="Y49" s="125">
        <f t="shared" si="89"/>
        <v>7.5557853019729476E-2</v>
      </c>
      <c r="Z49" s="125">
        <f t="shared" si="89"/>
        <v>7.7567567567567566E-2</v>
      </c>
      <c r="AA49" s="125">
        <f t="shared" si="89"/>
        <v>6.9145518792161909E-2</v>
      </c>
      <c r="AB49" s="126">
        <f t="shared" si="89"/>
        <v>6.5607576567631554E-2</v>
      </c>
    </row>
    <row r="50" spans="1:28">
      <c r="B50" s="16"/>
      <c r="C50" s="17"/>
      <c r="D50" s="17"/>
      <c r="E50" s="17"/>
      <c r="F50" s="17"/>
      <c r="G50" s="17"/>
      <c r="H50" s="18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18"/>
      <c r="U50" s="18"/>
      <c r="V50" s="18"/>
      <c r="W50" s="18"/>
      <c r="X50" s="18"/>
      <c r="Y50" s="18"/>
      <c r="Z50" s="18"/>
      <c r="AA50" s="18"/>
      <c r="AB50" s="18"/>
    </row>
    <row r="51" spans="1:28">
      <c r="A51" s="74" t="s">
        <v>16</v>
      </c>
      <c r="B51" s="72" t="s">
        <v>158</v>
      </c>
      <c r="C51" s="17"/>
      <c r="D51" s="17"/>
      <c r="E51" s="17"/>
      <c r="F51" s="17"/>
      <c r="G51" s="17"/>
      <c r="H51" s="18"/>
      <c r="I51" s="19"/>
      <c r="J51" s="19"/>
      <c r="K51" s="19"/>
      <c r="L51" s="20"/>
      <c r="M51" s="19"/>
      <c r="N51" s="19"/>
      <c r="O51" s="19"/>
      <c r="P51" s="19"/>
      <c r="Q51" s="19"/>
      <c r="R51" s="19"/>
      <c r="S51" s="19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ht="12.75" customHeight="1">
      <c r="A52" s="74"/>
      <c r="B52" s="9" t="str">
        <f>B39</f>
        <v>Distribution</v>
      </c>
      <c r="C52" s="106">
        <f>C39</f>
        <v>0</v>
      </c>
      <c r="D52" s="106">
        <f>D39</f>
        <v>0</v>
      </c>
      <c r="E52" s="106">
        <f t="shared" ref="E52:G52" si="90">E39</f>
        <v>12</v>
      </c>
      <c r="F52" s="106">
        <f t="shared" si="90"/>
        <v>17</v>
      </c>
      <c r="G52" s="106">
        <f t="shared" si="90"/>
        <v>8</v>
      </c>
      <c r="H52" s="10"/>
      <c r="I52" s="106">
        <f t="shared" ref="I52:S52" si="91">I39</f>
        <v>3</v>
      </c>
      <c r="J52" s="106">
        <f>J39</f>
        <v>3</v>
      </c>
      <c r="K52" s="106">
        <f t="shared" si="91"/>
        <v>13</v>
      </c>
      <c r="L52" s="30">
        <f t="shared" ref="L52:L55" si="92">SUM(F52-SUM(I52:K52))</f>
        <v>-2</v>
      </c>
      <c r="M52" s="106">
        <f t="shared" si="91"/>
        <v>5</v>
      </c>
      <c r="N52" s="106">
        <f>N39</f>
        <v>3</v>
      </c>
      <c r="O52" s="106">
        <f t="shared" si="91"/>
        <v>6</v>
      </c>
      <c r="P52" s="30">
        <f t="shared" ref="P52:P55" si="93">SUM(G52-SUM(M52:O52))</f>
        <v>-6</v>
      </c>
      <c r="Q52" s="106">
        <f t="shared" si="91"/>
        <v>1</v>
      </c>
      <c r="R52" s="106">
        <f t="shared" si="91"/>
        <v>1</v>
      </c>
      <c r="S52" s="106">
        <f t="shared" si="91"/>
        <v>2</v>
      </c>
      <c r="T52" s="5"/>
      <c r="U52" s="30">
        <f t="shared" ref="U52:U55" si="94">SUM(I52:L52)</f>
        <v>17</v>
      </c>
      <c r="V52" s="30">
        <f t="shared" ref="V52:V55" si="95">SUM(J52:M52)</f>
        <v>19</v>
      </c>
      <c r="W52" s="30">
        <f t="shared" ref="W52:W55" si="96">SUM(K52:N52)</f>
        <v>19</v>
      </c>
      <c r="X52" s="30">
        <f t="shared" ref="X52:X55" si="97">SUM(L52:O52)</f>
        <v>12</v>
      </c>
      <c r="Y52" s="30">
        <f t="shared" ref="Y52:Y55" si="98">SUM(M52:P52)</f>
        <v>8</v>
      </c>
      <c r="Z52" s="30">
        <f t="shared" ref="Z52:Z55" si="99">SUM(N52:Q52)</f>
        <v>4</v>
      </c>
      <c r="AA52" s="30">
        <f t="shared" ref="AA52:AA55" si="100">SUM(O52:R52)</f>
        <v>2</v>
      </c>
      <c r="AB52" s="30">
        <f t="shared" ref="AB52:AB55" si="101">SUM(P52:S52)</f>
        <v>-2</v>
      </c>
    </row>
    <row r="53" spans="1:28" ht="12.75" customHeight="1">
      <c r="A53" s="74"/>
      <c r="B53" s="9" t="str">
        <f t="shared" ref="B53:G55" si="102">B40</f>
        <v>Advertising</v>
      </c>
      <c r="C53" s="106">
        <f t="shared" ref="C53" si="103">C40</f>
        <v>0</v>
      </c>
      <c r="D53" s="106">
        <f t="shared" si="102"/>
        <v>0</v>
      </c>
      <c r="E53" s="106">
        <f t="shared" si="102"/>
        <v>15</v>
      </c>
      <c r="F53" s="106">
        <f t="shared" si="102"/>
        <v>15</v>
      </c>
      <c r="G53" s="106">
        <f t="shared" si="102"/>
        <v>5</v>
      </c>
      <c r="H53" s="10"/>
      <c r="I53" s="106">
        <f t="shared" ref="I53:S53" si="104">I40</f>
        <v>3</v>
      </c>
      <c r="J53" s="106">
        <f>J40</f>
        <v>4</v>
      </c>
      <c r="K53" s="106">
        <f t="shared" si="104"/>
        <v>4</v>
      </c>
      <c r="L53" s="30">
        <f t="shared" si="92"/>
        <v>4</v>
      </c>
      <c r="M53" s="106">
        <f t="shared" si="104"/>
        <v>4</v>
      </c>
      <c r="N53" s="106">
        <f>N40</f>
        <v>0</v>
      </c>
      <c r="O53" s="106">
        <f t="shared" si="104"/>
        <v>1</v>
      </c>
      <c r="P53" s="30">
        <f t="shared" si="93"/>
        <v>0</v>
      </c>
      <c r="Q53" s="106">
        <f t="shared" si="104"/>
        <v>1</v>
      </c>
      <c r="R53" s="106">
        <f t="shared" si="104"/>
        <v>0</v>
      </c>
      <c r="S53" s="106">
        <f t="shared" si="104"/>
        <v>0</v>
      </c>
      <c r="T53" s="5"/>
      <c r="U53" s="30">
        <f t="shared" si="94"/>
        <v>15</v>
      </c>
      <c r="V53" s="30">
        <f t="shared" si="95"/>
        <v>16</v>
      </c>
      <c r="W53" s="30">
        <f t="shared" si="96"/>
        <v>12</v>
      </c>
      <c r="X53" s="30">
        <f t="shared" si="97"/>
        <v>9</v>
      </c>
      <c r="Y53" s="30">
        <f t="shared" si="98"/>
        <v>5</v>
      </c>
      <c r="Z53" s="30">
        <f t="shared" si="99"/>
        <v>2</v>
      </c>
      <c r="AA53" s="30">
        <f t="shared" si="100"/>
        <v>2</v>
      </c>
      <c r="AB53" s="30">
        <f t="shared" si="101"/>
        <v>1</v>
      </c>
    </row>
    <row r="54" spans="1:28" ht="12.75" customHeight="1">
      <c r="A54" s="74"/>
      <c r="B54" s="9" t="str">
        <f t="shared" si="102"/>
        <v>Content</v>
      </c>
      <c r="C54" s="106">
        <f t="shared" ref="C54" si="105">C41</f>
        <v>12</v>
      </c>
      <c r="D54" s="106">
        <f t="shared" si="102"/>
        <v>20</v>
      </c>
      <c r="E54" s="106">
        <f t="shared" si="102"/>
        <v>9156</v>
      </c>
      <c r="F54" s="106">
        <f t="shared" si="102"/>
        <v>11358</v>
      </c>
      <c r="G54" s="106">
        <f t="shared" si="102"/>
        <v>10717</v>
      </c>
      <c r="H54" s="10"/>
      <c r="I54" s="106">
        <f t="shared" ref="I54:S54" si="106">I41</f>
        <v>3027</v>
      </c>
      <c r="J54" s="106">
        <f>J41</f>
        <v>2398</v>
      </c>
      <c r="K54" s="106">
        <f t="shared" si="106"/>
        <v>3000</v>
      </c>
      <c r="L54" s="30">
        <f t="shared" si="92"/>
        <v>2933</v>
      </c>
      <c r="M54" s="106">
        <f t="shared" si="106"/>
        <v>2623</v>
      </c>
      <c r="N54" s="106">
        <f>N41</f>
        <v>2237</v>
      </c>
      <c r="O54" s="106">
        <f t="shared" si="106"/>
        <v>2463</v>
      </c>
      <c r="P54" s="30">
        <f t="shared" si="93"/>
        <v>3394</v>
      </c>
      <c r="Q54" s="106">
        <f t="shared" si="106"/>
        <v>2139</v>
      </c>
      <c r="R54" s="106">
        <f t="shared" si="106"/>
        <v>3591</v>
      </c>
      <c r="S54" s="106">
        <f t="shared" si="106"/>
        <v>3111</v>
      </c>
      <c r="T54" s="5"/>
      <c r="U54" s="30">
        <f t="shared" si="94"/>
        <v>11358</v>
      </c>
      <c r="V54" s="30">
        <f t="shared" si="95"/>
        <v>10954</v>
      </c>
      <c r="W54" s="30">
        <f t="shared" si="96"/>
        <v>10793</v>
      </c>
      <c r="X54" s="30">
        <f t="shared" si="97"/>
        <v>10256</v>
      </c>
      <c r="Y54" s="30">
        <f t="shared" si="98"/>
        <v>10717</v>
      </c>
      <c r="Z54" s="30">
        <f t="shared" si="99"/>
        <v>10233</v>
      </c>
      <c r="AA54" s="30">
        <f t="shared" si="100"/>
        <v>11587</v>
      </c>
      <c r="AB54" s="30">
        <f t="shared" si="101"/>
        <v>12235</v>
      </c>
    </row>
    <row r="55" spans="1:28" ht="12.75" customHeight="1">
      <c r="A55" s="74"/>
      <c r="B55" s="9" t="str">
        <f t="shared" si="102"/>
        <v>Other</v>
      </c>
      <c r="C55" s="106">
        <f t="shared" ref="C55" si="107">C42</f>
        <v>0</v>
      </c>
      <c r="D55" s="106">
        <f t="shared" si="102"/>
        <v>0</v>
      </c>
      <c r="E55" s="106">
        <f t="shared" si="102"/>
        <v>548</v>
      </c>
      <c r="F55" s="106">
        <f t="shared" si="102"/>
        <v>802</v>
      </c>
      <c r="G55" s="106">
        <f t="shared" si="102"/>
        <v>877</v>
      </c>
      <c r="H55" s="10"/>
      <c r="I55" s="106">
        <f t="shared" ref="I55:S55" si="108">I42</f>
        <v>179</v>
      </c>
      <c r="J55" s="106">
        <f>J42</f>
        <v>176</v>
      </c>
      <c r="K55" s="106">
        <f t="shared" si="108"/>
        <v>209</v>
      </c>
      <c r="L55" s="30">
        <f t="shared" si="92"/>
        <v>238</v>
      </c>
      <c r="M55" s="106">
        <f t="shared" si="108"/>
        <v>189</v>
      </c>
      <c r="N55" s="106">
        <f>N42</f>
        <v>209</v>
      </c>
      <c r="O55" s="106">
        <f t="shared" si="108"/>
        <v>210</v>
      </c>
      <c r="P55" s="30">
        <f t="shared" si="93"/>
        <v>269</v>
      </c>
      <c r="Q55" s="106">
        <f t="shared" si="108"/>
        <v>173</v>
      </c>
      <c r="R55" s="106">
        <f t="shared" si="108"/>
        <v>209</v>
      </c>
      <c r="S55" s="106">
        <f t="shared" si="108"/>
        <v>208</v>
      </c>
      <c r="T55" s="5"/>
      <c r="U55" s="30">
        <f t="shared" si="94"/>
        <v>802</v>
      </c>
      <c r="V55" s="30">
        <f t="shared" si="95"/>
        <v>812</v>
      </c>
      <c r="W55" s="30">
        <f t="shared" si="96"/>
        <v>845</v>
      </c>
      <c r="X55" s="30">
        <f t="shared" si="97"/>
        <v>846</v>
      </c>
      <c r="Y55" s="30">
        <f t="shared" si="98"/>
        <v>877</v>
      </c>
      <c r="Z55" s="30">
        <f t="shared" si="99"/>
        <v>861</v>
      </c>
      <c r="AA55" s="30">
        <f t="shared" si="100"/>
        <v>861</v>
      </c>
      <c r="AB55" s="30">
        <f t="shared" si="101"/>
        <v>859</v>
      </c>
    </row>
    <row r="56" spans="1:28" ht="12.75" customHeight="1">
      <c r="A56" s="74"/>
      <c r="B56" s="23" t="s">
        <v>12</v>
      </c>
      <c r="C56" s="24">
        <f t="shared" ref="C56:F56" si="109">SUM(C52:C55)</f>
        <v>12</v>
      </c>
      <c r="D56" s="24">
        <f t="shared" si="109"/>
        <v>20</v>
      </c>
      <c r="E56" s="24">
        <f t="shared" si="109"/>
        <v>9731</v>
      </c>
      <c r="F56" s="24">
        <f t="shared" si="109"/>
        <v>12192</v>
      </c>
      <c r="G56" s="24">
        <f>SUM(G52:G55)</f>
        <v>11607</v>
      </c>
      <c r="H56" s="10"/>
      <c r="I56" s="24">
        <f>SUM(I52:I55)</f>
        <v>3212</v>
      </c>
      <c r="J56" s="24">
        <f t="shared" ref="J56:S56" si="110">SUM(J52:J55)</f>
        <v>2581</v>
      </c>
      <c r="K56" s="24">
        <f t="shared" si="110"/>
        <v>3226</v>
      </c>
      <c r="L56" s="24">
        <f t="shared" si="110"/>
        <v>3173</v>
      </c>
      <c r="M56" s="24">
        <f t="shared" si="110"/>
        <v>2821</v>
      </c>
      <c r="N56" s="24">
        <f t="shared" si="110"/>
        <v>2449</v>
      </c>
      <c r="O56" s="24">
        <f t="shared" si="110"/>
        <v>2680</v>
      </c>
      <c r="P56" s="24">
        <f t="shared" si="110"/>
        <v>3657</v>
      </c>
      <c r="Q56" s="24">
        <f t="shared" si="110"/>
        <v>2314</v>
      </c>
      <c r="R56" s="24">
        <f t="shared" si="110"/>
        <v>3801</v>
      </c>
      <c r="S56" s="24">
        <f t="shared" si="110"/>
        <v>3321</v>
      </c>
      <c r="T56" s="5"/>
      <c r="U56" s="24">
        <f t="shared" ref="U56" si="111">SUM(U52:U55)</f>
        <v>12192</v>
      </c>
      <c r="V56" s="24">
        <f t="shared" ref="V56" si="112">SUM(V52:V55)</f>
        <v>11801</v>
      </c>
      <c r="W56" s="24">
        <f t="shared" ref="W56" si="113">SUM(W52:W55)</f>
        <v>11669</v>
      </c>
      <c r="X56" s="24">
        <f t="shared" ref="X56" si="114">SUM(X52:X55)</f>
        <v>11123</v>
      </c>
      <c r="Y56" s="24">
        <f t="shared" ref="Y56" si="115">SUM(Y52:Y55)</f>
        <v>11607</v>
      </c>
      <c r="Z56" s="24">
        <f t="shared" ref="Z56" si="116">SUM(Z52:Z55)</f>
        <v>11100</v>
      </c>
      <c r="AA56" s="24">
        <f t="shared" ref="AA56" si="117">SUM(AA52:AA55)</f>
        <v>12452</v>
      </c>
      <c r="AB56" s="24">
        <f t="shared" ref="AB56" si="118">SUM(AB52:AB55)</f>
        <v>13093</v>
      </c>
    </row>
    <row r="57" spans="1:28" ht="5.0999999999999996" customHeight="1">
      <c r="A57" s="74"/>
      <c r="B57" s="9"/>
      <c r="C57" s="75"/>
      <c r="D57" s="75"/>
      <c r="E57" s="75"/>
      <c r="F57" s="75"/>
      <c r="G57" s="75"/>
      <c r="H57" s="10"/>
      <c r="I57" s="75"/>
      <c r="J57" s="75"/>
      <c r="K57" s="75"/>
      <c r="L57" s="30">
        <f t="shared" ref="L57:L61" si="119">SUM(E57-SUM(I57:K57))</f>
        <v>0</v>
      </c>
      <c r="M57" s="75"/>
      <c r="N57" s="75"/>
      <c r="O57" s="75"/>
      <c r="P57" s="30">
        <f t="shared" ref="P57:P61" si="120">SUM(F57-SUM(M57:O57))</f>
        <v>0</v>
      </c>
      <c r="Q57" s="75"/>
      <c r="R57" s="75"/>
      <c r="S57" s="75"/>
      <c r="T57" s="5"/>
      <c r="U57" s="30">
        <f>SUM(K57:N57)</f>
        <v>0</v>
      </c>
      <c r="V57" s="30">
        <f>SUM(L57:O57)</f>
        <v>0</v>
      </c>
      <c r="W57" s="30">
        <f>SUM(M57:P57)</f>
        <v>0</v>
      </c>
      <c r="X57" s="30">
        <f>SUM(N57:Q57)</f>
        <v>0</v>
      </c>
      <c r="Y57" s="30">
        <f>SUM(O57:R57)</f>
        <v>0</v>
      </c>
      <c r="Z57" s="30">
        <f>SUM(P57:S57)</f>
        <v>0</v>
      </c>
      <c r="AA57" s="30">
        <f>SUM(Q57:S57)</f>
        <v>0</v>
      </c>
      <c r="AB57" s="30">
        <f>SUM(R57:S57)</f>
        <v>0</v>
      </c>
    </row>
    <row r="58" spans="1:28" ht="12.75" customHeight="1">
      <c r="A58" s="74"/>
      <c r="B58" s="9" t="s">
        <v>129</v>
      </c>
      <c r="C58" s="76"/>
      <c r="D58" s="76">
        <v>-3</v>
      </c>
      <c r="E58" s="76">
        <v>-6310</v>
      </c>
      <c r="F58" s="76">
        <v>-7296</v>
      </c>
      <c r="G58" s="76">
        <v>-7530</v>
      </c>
      <c r="H58" s="10"/>
      <c r="I58" s="75">
        <v>-1959</v>
      </c>
      <c r="J58" s="75">
        <v>-1645</v>
      </c>
      <c r="K58" s="75">
        <v>-1794</v>
      </c>
      <c r="L58" s="30">
        <f t="shared" ref="L58" si="121">SUM(F58-SUM(I58:K58))</f>
        <v>-1898</v>
      </c>
      <c r="M58" s="75">
        <v>-2019</v>
      </c>
      <c r="N58" s="75">
        <v>-1601</v>
      </c>
      <c r="O58" s="75">
        <v>-1736</v>
      </c>
      <c r="P58" s="30">
        <f t="shared" ref="P58" si="122">SUM(G58-SUM(M58:O58))</f>
        <v>-2174</v>
      </c>
      <c r="Q58" s="75">
        <v>-1413</v>
      </c>
      <c r="R58" s="75">
        <v>-2215</v>
      </c>
      <c r="S58" s="75">
        <v>-1897</v>
      </c>
      <c r="T58" s="5"/>
      <c r="U58" s="30">
        <f t="shared" ref="U58" si="123">SUM(I58:L58)</f>
        <v>-7296</v>
      </c>
      <c r="V58" s="30">
        <f t="shared" ref="V58" si="124">SUM(J58:M58)</f>
        <v>-7356</v>
      </c>
      <c r="W58" s="30">
        <f t="shared" ref="W58" si="125">SUM(K58:N58)</f>
        <v>-7312</v>
      </c>
      <c r="X58" s="30">
        <f t="shared" ref="X58" si="126">SUM(L58:O58)</f>
        <v>-7254</v>
      </c>
      <c r="Y58" s="30">
        <f t="shared" ref="Y58" si="127">SUM(M58:P58)</f>
        <v>-7530</v>
      </c>
      <c r="Z58" s="30">
        <f t="shared" ref="Z58" si="128">SUM(N58:Q58)</f>
        <v>-6924</v>
      </c>
      <c r="AA58" s="30">
        <f t="shared" ref="AA58" si="129">SUM(O58:R58)</f>
        <v>-7538</v>
      </c>
      <c r="AB58" s="30">
        <f>SUM(P58:S58)</f>
        <v>-7699</v>
      </c>
    </row>
    <row r="59" spans="1:28" ht="12.75" customHeight="1">
      <c r="A59" s="74"/>
      <c r="B59" s="23" t="s">
        <v>20</v>
      </c>
      <c r="C59" s="24">
        <f>SUM(C56+C58)</f>
        <v>12</v>
      </c>
      <c r="D59" s="24">
        <f>SUM(D56+D58)</f>
        <v>17</v>
      </c>
      <c r="E59" s="24">
        <f t="shared" ref="E59:G59" si="130">SUM(E56+E58)</f>
        <v>3421</v>
      </c>
      <c r="F59" s="24">
        <f t="shared" si="130"/>
        <v>4896</v>
      </c>
      <c r="G59" s="24">
        <f t="shared" si="130"/>
        <v>4077</v>
      </c>
      <c r="H59" s="10"/>
      <c r="I59" s="24">
        <f t="shared" ref="I59" si="131">SUM(I56+I58)</f>
        <v>1253</v>
      </c>
      <c r="J59" s="24">
        <f t="shared" ref="J59" si="132">SUM(J56+J58)</f>
        <v>936</v>
      </c>
      <c r="K59" s="24">
        <f t="shared" ref="K59" si="133">SUM(K56+K58)</f>
        <v>1432</v>
      </c>
      <c r="L59" s="24">
        <f t="shared" ref="L59" si="134">SUM(L56+L58)</f>
        <v>1275</v>
      </c>
      <c r="M59" s="24">
        <f t="shared" ref="M59" si="135">SUM(M56+M58)</f>
        <v>802</v>
      </c>
      <c r="N59" s="24">
        <f t="shared" ref="N59" si="136">SUM(N56+N58)</f>
        <v>848</v>
      </c>
      <c r="O59" s="24">
        <f t="shared" ref="O59" si="137">SUM(O56+O58)</f>
        <v>944</v>
      </c>
      <c r="P59" s="24">
        <f t="shared" ref="P59" si="138">SUM(P56+P58)</f>
        <v>1483</v>
      </c>
      <c r="Q59" s="24">
        <f t="shared" ref="Q59" si="139">SUM(Q56+Q58)</f>
        <v>901</v>
      </c>
      <c r="R59" s="24">
        <f t="shared" ref="R59" si="140">SUM(R56+R58)</f>
        <v>1586</v>
      </c>
      <c r="S59" s="24">
        <f t="shared" ref="S59" si="141">SUM(S56+S58)</f>
        <v>1424</v>
      </c>
      <c r="T59" s="5"/>
      <c r="U59" s="24">
        <f t="shared" ref="U59" si="142">SUM(U56+U58)</f>
        <v>4896</v>
      </c>
      <c r="V59" s="24">
        <f t="shared" ref="V59" si="143">SUM(V56+V58)</f>
        <v>4445</v>
      </c>
      <c r="W59" s="24">
        <f t="shared" ref="W59" si="144">SUM(W56+W58)</f>
        <v>4357</v>
      </c>
      <c r="X59" s="24">
        <f t="shared" ref="X59" si="145">SUM(X56+X58)</f>
        <v>3869</v>
      </c>
      <c r="Y59" s="24">
        <f t="shared" ref="Y59" si="146">SUM(Y56+Y58)</f>
        <v>4077</v>
      </c>
      <c r="Z59" s="24">
        <f t="shared" ref="Z59" si="147">SUM(Z56+Z58)</f>
        <v>4176</v>
      </c>
      <c r="AA59" s="24">
        <f t="shared" ref="AA59" si="148">SUM(AA56+AA58)</f>
        <v>4914</v>
      </c>
      <c r="AB59" s="24">
        <f t="shared" ref="AB59" si="149">SUM(AB56+AB58)</f>
        <v>5394</v>
      </c>
    </row>
    <row r="60" spans="1:28" ht="12.75" customHeight="1">
      <c r="A60" s="74"/>
      <c r="B60" s="14" t="s">
        <v>30</v>
      </c>
      <c r="C60" s="15">
        <f>C59/C56</f>
        <v>1</v>
      </c>
      <c r="D60" s="15">
        <f>D59/D56</f>
        <v>0.85</v>
      </c>
      <c r="E60" s="15">
        <f t="shared" ref="E60:G60" si="150">E59/E56</f>
        <v>0.35155688007399033</v>
      </c>
      <c r="F60" s="15">
        <f t="shared" si="150"/>
        <v>0.40157480314960631</v>
      </c>
      <c r="G60" s="15">
        <f t="shared" si="150"/>
        <v>0.35125355388989404</v>
      </c>
      <c r="H60" s="10"/>
      <c r="I60" s="15">
        <f t="shared" ref="I60" si="151">I59/I56</f>
        <v>0.39009962640099627</v>
      </c>
      <c r="J60" s="15">
        <f t="shared" ref="J60" si="152">J59/J56</f>
        <v>0.36265013560635412</v>
      </c>
      <c r="K60" s="15">
        <f t="shared" ref="K60" si="153">K59/K56</f>
        <v>0.44389336639801613</v>
      </c>
      <c r="L60" s="15">
        <f t="shared" ref="L60" si="154">L59/L56</f>
        <v>0.40182792310116611</v>
      </c>
      <c r="M60" s="15">
        <f t="shared" ref="M60" si="155">M59/M56</f>
        <v>0.28429634881247784</v>
      </c>
      <c r="N60" s="15">
        <f t="shared" ref="N60" si="156">N59/N56</f>
        <v>0.34626378113515721</v>
      </c>
      <c r="O60" s="15">
        <f t="shared" ref="O60" si="157">O59/O56</f>
        <v>0.35223880597014923</v>
      </c>
      <c r="P60" s="15">
        <f t="shared" ref="P60" si="158">P59/P56</f>
        <v>0.40552365326770579</v>
      </c>
      <c r="Q60" s="15">
        <f t="shared" ref="Q60" si="159">Q59/Q56</f>
        <v>0.38936905790838378</v>
      </c>
      <c r="R60" s="15">
        <f t="shared" ref="R60" si="160">R59/R56</f>
        <v>0.41725861615364379</v>
      </c>
      <c r="S60" s="15">
        <f t="shared" ref="S60" si="161">S59/S56</f>
        <v>0.4287865100873231</v>
      </c>
      <c r="T60" s="5"/>
      <c r="U60" s="15">
        <f t="shared" ref="U60" si="162">U59/U56</f>
        <v>0.40157480314960631</v>
      </c>
      <c r="V60" s="15">
        <f t="shared" ref="V60" si="163">V59/V56</f>
        <v>0.37666299466146935</v>
      </c>
      <c r="W60" s="15">
        <f t="shared" ref="W60" si="164">W59/W56</f>
        <v>0.37338246636387007</v>
      </c>
      <c r="X60" s="15">
        <f t="shared" ref="X60" si="165">X59/X56</f>
        <v>0.34783781353951271</v>
      </c>
      <c r="Y60" s="15">
        <f t="shared" ref="Y60" si="166">Y59/Y56</f>
        <v>0.35125355388989404</v>
      </c>
      <c r="Z60" s="15">
        <f t="shared" ref="Z60" si="167">Z59/Z56</f>
        <v>0.3762162162162162</v>
      </c>
      <c r="AA60" s="15">
        <f t="shared" ref="AA60" si="168">AA59/AA56</f>
        <v>0.39463539993575331</v>
      </c>
      <c r="AB60" s="15">
        <f t="shared" ref="AB60" si="169">AB59/AB56</f>
        <v>0.41197586496601235</v>
      </c>
    </row>
    <row r="61" spans="1:28" ht="5.0999999999999996" customHeight="1">
      <c r="A61" s="74"/>
      <c r="B61" s="9"/>
      <c r="C61" s="75"/>
      <c r="D61" s="75"/>
      <c r="E61" s="75"/>
      <c r="F61" s="75"/>
      <c r="G61" s="75"/>
      <c r="H61" s="10"/>
      <c r="I61" s="75"/>
      <c r="J61" s="75"/>
      <c r="K61" s="75"/>
      <c r="L61" s="30">
        <f t="shared" si="119"/>
        <v>0</v>
      </c>
      <c r="M61" s="75"/>
      <c r="N61" s="75"/>
      <c r="O61" s="75"/>
      <c r="P61" s="30">
        <f t="shared" si="120"/>
        <v>0</v>
      </c>
      <c r="Q61" s="75"/>
      <c r="R61" s="75"/>
      <c r="S61" s="75"/>
      <c r="T61" s="5"/>
      <c r="U61" s="30">
        <f>SUM(K61:N61)</f>
        <v>0</v>
      </c>
      <c r="V61" s="30">
        <f>SUM(L61:O61)</f>
        <v>0</v>
      </c>
      <c r="W61" s="30">
        <f>SUM(M61:P61)</f>
        <v>0</v>
      </c>
      <c r="X61" s="30">
        <f>SUM(N61:Q61)</f>
        <v>0</v>
      </c>
      <c r="Y61" s="30">
        <f>SUM(O61:R61)</f>
        <v>0</v>
      </c>
      <c r="Z61" s="30">
        <f>SUM(P61:S61)</f>
        <v>0</v>
      </c>
      <c r="AA61" s="30">
        <f>SUM(Q61:S61)</f>
        <v>0</v>
      </c>
      <c r="AB61" s="30">
        <f>SUM(R61:S61)</f>
        <v>0</v>
      </c>
    </row>
    <row r="62" spans="1:28">
      <c r="B62" s="9" t="s">
        <v>105</v>
      </c>
      <c r="C62" s="76"/>
      <c r="D62" s="76">
        <v>-3</v>
      </c>
      <c r="E62" s="76">
        <v>-1649</v>
      </c>
      <c r="F62" s="76">
        <v>-2713</v>
      </c>
      <c r="G62" s="76">
        <v>-2425</v>
      </c>
      <c r="H62" s="18"/>
      <c r="I62" s="75">
        <v>-646</v>
      </c>
      <c r="J62" s="75">
        <v>-630</v>
      </c>
      <c r="K62" s="75">
        <v>-705</v>
      </c>
      <c r="L62" s="30">
        <f t="shared" ref="L62" si="170">SUM(F62-SUM(I62:K62))</f>
        <v>-732</v>
      </c>
      <c r="M62" s="75">
        <v>-618</v>
      </c>
      <c r="N62" s="75">
        <v>-638</v>
      </c>
      <c r="O62" s="75">
        <v>-636</v>
      </c>
      <c r="P62" s="30">
        <f t="shared" ref="P62" si="171">SUM(G62-SUM(M62:O62))</f>
        <v>-533</v>
      </c>
      <c r="Q62" s="75">
        <v>-642</v>
      </c>
      <c r="R62" s="75">
        <v>-723</v>
      </c>
      <c r="S62" s="75">
        <v>-729</v>
      </c>
      <c r="T62" s="18"/>
      <c r="U62" s="30">
        <f t="shared" ref="U62" si="172">SUM(I62:L62)</f>
        <v>-2713</v>
      </c>
      <c r="V62" s="30">
        <f t="shared" ref="V62" si="173">SUM(J62:M62)</f>
        <v>-2685</v>
      </c>
      <c r="W62" s="30">
        <f t="shared" ref="W62" si="174">SUM(K62:N62)</f>
        <v>-2693</v>
      </c>
      <c r="X62" s="30">
        <f t="shared" ref="X62" si="175">SUM(L62:O62)</f>
        <v>-2624</v>
      </c>
      <c r="Y62" s="30">
        <f t="shared" ref="Y62" si="176">SUM(M62:P62)</f>
        <v>-2425</v>
      </c>
      <c r="Z62" s="30">
        <f t="shared" ref="Z62" si="177">SUM(N62:Q62)</f>
        <v>-2449</v>
      </c>
      <c r="AA62" s="30">
        <f t="shared" ref="AA62" si="178">SUM(O62:R62)</f>
        <v>-2534</v>
      </c>
      <c r="AB62" s="30">
        <f>SUM(P62:S62)</f>
        <v>-2627</v>
      </c>
    </row>
    <row r="63" spans="1:28" ht="12.75" customHeight="1">
      <c r="A63" s="74"/>
      <c r="B63" s="12" t="s">
        <v>149</v>
      </c>
      <c r="C63" s="13">
        <f>SUM(C59+C62)</f>
        <v>12</v>
      </c>
      <c r="D63" s="13">
        <f>SUM(D59+D62)</f>
        <v>14</v>
      </c>
      <c r="E63" s="13">
        <f t="shared" ref="E63:G63" si="179">SUM(E59+E62)</f>
        <v>1772</v>
      </c>
      <c r="F63" s="13">
        <f t="shared" si="179"/>
        <v>2183</v>
      </c>
      <c r="G63" s="13">
        <f t="shared" si="179"/>
        <v>1652</v>
      </c>
      <c r="H63" s="18"/>
      <c r="I63" s="13">
        <f t="shared" ref="I63" si="180">SUM(I59+I62)</f>
        <v>607</v>
      </c>
      <c r="J63" s="13">
        <f t="shared" ref="J63" si="181">SUM(J59+J62)</f>
        <v>306</v>
      </c>
      <c r="K63" s="13">
        <f t="shared" ref="K63" si="182">SUM(K59+K62)</f>
        <v>727</v>
      </c>
      <c r="L63" s="13">
        <f t="shared" ref="L63" si="183">SUM(L59+L62)</f>
        <v>543</v>
      </c>
      <c r="M63" s="13">
        <f t="shared" ref="M63" si="184">SUM(M59+M62)</f>
        <v>184</v>
      </c>
      <c r="N63" s="13">
        <f t="shared" ref="N63" si="185">SUM(N59+N62)</f>
        <v>210</v>
      </c>
      <c r="O63" s="13">
        <f t="shared" ref="O63" si="186">SUM(O59+O62)</f>
        <v>308</v>
      </c>
      <c r="P63" s="13">
        <f t="shared" ref="P63" si="187">SUM(P59+P62)</f>
        <v>950</v>
      </c>
      <c r="Q63" s="13">
        <f t="shared" ref="Q63" si="188">SUM(Q59+Q62)</f>
        <v>259</v>
      </c>
      <c r="R63" s="13">
        <f t="shared" ref="R63" si="189">SUM(R59+R62)</f>
        <v>863</v>
      </c>
      <c r="S63" s="13">
        <f t="shared" ref="S63" si="190">SUM(S59+S62)</f>
        <v>695</v>
      </c>
      <c r="T63" s="18"/>
      <c r="U63" s="13">
        <f t="shared" ref="U63" si="191">SUM(U59+U62)</f>
        <v>2183</v>
      </c>
      <c r="V63" s="13">
        <f t="shared" ref="V63" si="192">SUM(V59+V62)</f>
        <v>1760</v>
      </c>
      <c r="W63" s="13">
        <f t="shared" ref="W63" si="193">SUM(W59+W62)</f>
        <v>1664</v>
      </c>
      <c r="X63" s="13">
        <f t="shared" ref="X63" si="194">SUM(X59+X62)</f>
        <v>1245</v>
      </c>
      <c r="Y63" s="13">
        <f t="shared" ref="Y63" si="195">SUM(Y59+Y62)</f>
        <v>1652</v>
      </c>
      <c r="Z63" s="13">
        <f t="shared" ref="Z63" si="196">SUM(Z59+Z62)</f>
        <v>1727</v>
      </c>
      <c r="AA63" s="13">
        <f t="shared" ref="AA63" si="197">SUM(AA59+AA62)</f>
        <v>2380</v>
      </c>
      <c r="AB63" s="13">
        <f t="shared" ref="AB63" si="198">SUM(AB59+AB62)</f>
        <v>2767</v>
      </c>
    </row>
    <row r="64" spans="1:28" ht="12.75" customHeight="1">
      <c r="A64" s="74"/>
      <c r="B64" s="14" t="s">
        <v>161</v>
      </c>
      <c r="C64" s="15">
        <f>C63/C56</f>
        <v>1</v>
      </c>
      <c r="D64" s="15">
        <f>D63/D56</f>
        <v>0.7</v>
      </c>
      <c r="E64" s="15">
        <f t="shared" ref="E64:G64" si="199">E63/E56</f>
        <v>0.18209844825814409</v>
      </c>
      <c r="F64" s="15">
        <f t="shared" si="199"/>
        <v>0.17905183727034121</v>
      </c>
      <c r="G64" s="15">
        <f t="shared" si="199"/>
        <v>0.14232790557422245</v>
      </c>
      <c r="H64" s="10"/>
      <c r="I64" s="15">
        <f t="shared" ref="I64" si="200">I63/I56</f>
        <v>0.1889788293897883</v>
      </c>
      <c r="J64" s="15">
        <f t="shared" ref="J64" si="201">J63/J56</f>
        <v>0.11855869817900039</v>
      </c>
      <c r="K64" s="15">
        <f t="shared" ref="K64" si="202">K63/K56</f>
        <v>0.22535647861128333</v>
      </c>
      <c r="L64" s="15">
        <f t="shared" ref="L64" si="203">L63/L56</f>
        <v>0.17113142136779075</v>
      </c>
      <c r="M64" s="15">
        <f t="shared" ref="M64" si="204">M63/M56</f>
        <v>6.5225097483162006E-2</v>
      </c>
      <c r="N64" s="15">
        <f t="shared" ref="N64" si="205">N63/N56</f>
        <v>8.5749285422621474E-2</v>
      </c>
      <c r="O64" s="15">
        <f t="shared" ref="O64" si="206">O63/O56</f>
        <v>0.11492537313432835</v>
      </c>
      <c r="P64" s="15">
        <f t="shared" ref="P64" si="207">P63/P56</f>
        <v>0.25977577249111294</v>
      </c>
      <c r="Q64" s="15">
        <f t="shared" ref="Q64" si="208">Q63/Q56</f>
        <v>0.11192739844425238</v>
      </c>
      <c r="R64" s="15">
        <f t="shared" ref="R64" si="209">R63/R56</f>
        <v>0.22704551433833201</v>
      </c>
      <c r="S64" s="15">
        <f t="shared" ref="S64" si="210">S63/S56</f>
        <v>0.20927431496537188</v>
      </c>
      <c r="T64" s="5"/>
      <c r="U64" s="15">
        <f t="shared" ref="U64" si="211">U63/U56</f>
        <v>0.17905183727034121</v>
      </c>
      <c r="V64" s="15">
        <f t="shared" ref="V64" si="212">V63/V56</f>
        <v>0.14913990339801711</v>
      </c>
      <c r="W64" s="15">
        <f t="shared" ref="W64" si="213">W63/W56</f>
        <v>0.14260005141828777</v>
      </c>
      <c r="X64" s="15">
        <f t="shared" ref="X64" si="214">X63/X56</f>
        <v>0.11193023464892565</v>
      </c>
      <c r="Y64" s="15">
        <f t="shared" ref="Y64" si="215">Y63/Y56</f>
        <v>0.14232790557422245</v>
      </c>
      <c r="Z64" s="15">
        <f t="shared" ref="Z64" si="216">Z63/Z56</f>
        <v>0.15558558558558558</v>
      </c>
      <c r="AA64" s="15">
        <f t="shared" ref="AA64" si="217">AA63/AA56</f>
        <v>0.19113395438483777</v>
      </c>
      <c r="AB64" s="15">
        <f t="shared" ref="AB64" si="218">AB63/AB56</f>
        <v>0.21133430077140455</v>
      </c>
    </row>
    <row r="65" spans="1:28" ht="5.0999999999999996" customHeight="1">
      <c r="B65" s="16"/>
      <c r="C65" s="17"/>
      <c r="D65" s="17"/>
      <c r="E65" s="17"/>
      <c r="F65" s="17"/>
      <c r="G65" s="17"/>
      <c r="H65" s="18"/>
      <c r="I65" s="19"/>
      <c r="J65" s="19"/>
      <c r="K65" s="19"/>
      <c r="L65" s="20"/>
      <c r="M65" s="19"/>
      <c r="N65" s="19"/>
      <c r="O65" s="19"/>
      <c r="P65" s="19"/>
      <c r="Q65" s="19"/>
      <c r="R65" s="19"/>
      <c r="S65" s="19"/>
      <c r="T65" s="18"/>
      <c r="U65" s="18"/>
      <c r="V65" s="18"/>
      <c r="W65" s="18"/>
      <c r="X65" s="18"/>
      <c r="Y65" s="18"/>
      <c r="Z65" s="18"/>
      <c r="AA65" s="18"/>
      <c r="AB65" s="18"/>
    </row>
    <row r="66" spans="1:28">
      <c r="B66" s="9" t="s">
        <v>51</v>
      </c>
      <c r="C66" s="76"/>
      <c r="D66" s="76">
        <v>0</v>
      </c>
      <c r="E66" s="76">
        <v>-501</v>
      </c>
      <c r="F66" s="76">
        <v>-667</v>
      </c>
      <c r="G66" s="76">
        <v>-702</v>
      </c>
      <c r="H66" s="18"/>
      <c r="I66" s="75">
        <v>-172</v>
      </c>
      <c r="J66" s="75">
        <v>-143</v>
      </c>
      <c r="K66" s="75">
        <v>-143</v>
      </c>
      <c r="L66" s="30">
        <f t="shared" ref="L66:L73" si="219">SUM(F66-SUM(I66:K66))</f>
        <v>-209</v>
      </c>
      <c r="M66" s="75">
        <v>-186</v>
      </c>
      <c r="N66" s="75">
        <v>-174</v>
      </c>
      <c r="O66" s="75">
        <v>-171</v>
      </c>
      <c r="P66" s="30">
        <f t="shared" ref="P66:P73" si="220">SUM(G66-SUM(M66:O66))</f>
        <v>-171</v>
      </c>
      <c r="Q66" s="75">
        <v>-170</v>
      </c>
      <c r="R66" s="75">
        <v>-169</v>
      </c>
      <c r="S66" s="75">
        <v>-170</v>
      </c>
      <c r="T66" s="18"/>
      <c r="U66" s="30">
        <f t="shared" ref="U66:U73" si="221">SUM(I66:L66)</f>
        <v>-667</v>
      </c>
      <c r="V66" s="30">
        <f t="shared" ref="V66:V73" si="222">SUM(J66:M66)</f>
        <v>-681</v>
      </c>
      <c r="W66" s="30">
        <f t="shared" ref="W66:W73" si="223">SUM(K66:N66)</f>
        <v>-712</v>
      </c>
      <c r="X66" s="30">
        <f t="shared" ref="X66:X73" si="224">SUM(L66:O66)</f>
        <v>-740</v>
      </c>
      <c r="Y66" s="30">
        <f t="shared" ref="Y66:Y73" si="225">SUM(M66:P66)</f>
        <v>-702</v>
      </c>
      <c r="Z66" s="30">
        <f t="shared" ref="Z66:Z73" si="226">SUM(N66:Q66)</f>
        <v>-686</v>
      </c>
      <c r="AA66" s="30">
        <f t="shared" ref="AA66:AA73" si="227">SUM(O66:R66)</f>
        <v>-681</v>
      </c>
      <c r="AB66" s="30">
        <f t="shared" ref="AB66:AB73" si="228">SUM(P66:S66)</f>
        <v>-680</v>
      </c>
    </row>
    <row r="67" spans="1:28">
      <c r="B67" s="9" t="s">
        <v>127</v>
      </c>
      <c r="C67" s="76"/>
      <c r="D67" s="76">
        <v>0</v>
      </c>
      <c r="E67" s="76">
        <v>-1050</v>
      </c>
      <c r="F67" s="76">
        <v>-225</v>
      </c>
      <c r="G67" s="76">
        <v>-263</v>
      </c>
      <c r="H67" s="18"/>
      <c r="I67" s="75">
        <v>-76</v>
      </c>
      <c r="J67" s="75">
        <v>-10</v>
      </c>
      <c r="K67" s="75">
        <v>-134</v>
      </c>
      <c r="L67" s="30">
        <f t="shared" si="219"/>
        <v>-5</v>
      </c>
      <c r="M67" s="75">
        <v>-11</v>
      </c>
      <c r="N67" s="75">
        <v>-19</v>
      </c>
      <c r="O67" s="75">
        <v>-2</v>
      </c>
      <c r="P67" s="30">
        <f t="shared" si="220"/>
        <v>-231</v>
      </c>
      <c r="Q67" s="75">
        <v>5</v>
      </c>
      <c r="R67" s="75">
        <v>1</v>
      </c>
      <c r="S67" s="75">
        <v>-12</v>
      </c>
      <c r="T67" s="18"/>
      <c r="U67" s="30">
        <f t="shared" si="221"/>
        <v>-225</v>
      </c>
      <c r="V67" s="30">
        <f t="shared" si="222"/>
        <v>-160</v>
      </c>
      <c r="W67" s="30">
        <f t="shared" si="223"/>
        <v>-169</v>
      </c>
      <c r="X67" s="30">
        <f t="shared" si="224"/>
        <v>-37</v>
      </c>
      <c r="Y67" s="30">
        <f t="shared" si="225"/>
        <v>-263</v>
      </c>
      <c r="Z67" s="30">
        <f t="shared" si="226"/>
        <v>-247</v>
      </c>
      <c r="AA67" s="30">
        <f t="shared" si="227"/>
        <v>-227</v>
      </c>
      <c r="AB67" s="30">
        <f t="shared" si="228"/>
        <v>-237</v>
      </c>
    </row>
    <row r="68" spans="1:28">
      <c r="B68" s="9" t="s">
        <v>151</v>
      </c>
      <c r="C68" s="76"/>
      <c r="D68" s="76">
        <v>0</v>
      </c>
      <c r="E68" s="76">
        <v>-9</v>
      </c>
      <c r="F68" s="76">
        <v>-7</v>
      </c>
      <c r="G68" s="76">
        <v>-2</v>
      </c>
      <c r="H68" s="18"/>
      <c r="I68" s="75">
        <v>-2</v>
      </c>
      <c r="J68" s="75">
        <v>-2</v>
      </c>
      <c r="K68" s="75">
        <v>-1</v>
      </c>
      <c r="L68" s="30">
        <f t="shared" si="219"/>
        <v>-2</v>
      </c>
      <c r="M68" s="75">
        <v>-1</v>
      </c>
      <c r="N68" s="75">
        <v>-1</v>
      </c>
      <c r="O68" s="75">
        <v>0</v>
      </c>
      <c r="P68" s="30">
        <f t="shared" si="220"/>
        <v>0</v>
      </c>
      <c r="Q68" s="75">
        <v>0</v>
      </c>
      <c r="R68" s="75">
        <v>0</v>
      </c>
      <c r="S68" s="75">
        <v>0</v>
      </c>
      <c r="T68" s="18"/>
      <c r="U68" s="30">
        <f t="shared" si="221"/>
        <v>-7</v>
      </c>
      <c r="V68" s="30">
        <f t="shared" si="222"/>
        <v>-6</v>
      </c>
      <c r="W68" s="30">
        <f t="shared" si="223"/>
        <v>-5</v>
      </c>
      <c r="X68" s="30">
        <f t="shared" si="224"/>
        <v>-4</v>
      </c>
      <c r="Y68" s="30">
        <f t="shared" si="225"/>
        <v>-2</v>
      </c>
      <c r="Z68" s="30">
        <f t="shared" si="226"/>
        <v>-1</v>
      </c>
      <c r="AA68" s="30">
        <f t="shared" si="227"/>
        <v>0</v>
      </c>
      <c r="AB68" s="30">
        <f t="shared" si="228"/>
        <v>0</v>
      </c>
    </row>
    <row r="69" spans="1:28">
      <c r="B69" s="9" t="s">
        <v>152</v>
      </c>
      <c r="C69" s="76"/>
      <c r="D69" s="76">
        <v>0</v>
      </c>
      <c r="E69" s="76">
        <v>0</v>
      </c>
      <c r="F69" s="76">
        <v>0</v>
      </c>
      <c r="G69" s="76">
        <v>-1</v>
      </c>
      <c r="H69" s="18"/>
      <c r="I69" s="75">
        <v>0</v>
      </c>
      <c r="J69" s="75">
        <v>0</v>
      </c>
      <c r="K69" s="75">
        <v>0</v>
      </c>
      <c r="L69" s="30">
        <f t="shared" si="219"/>
        <v>0</v>
      </c>
      <c r="M69" s="75">
        <v>0</v>
      </c>
      <c r="N69" s="75">
        <v>-1</v>
      </c>
      <c r="O69" s="75">
        <v>-1</v>
      </c>
      <c r="P69" s="30">
        <f t="shared" si="220"/>
        <v>1</v>
      </c>
      <c r="Q69" s="75">
        <v>0</v>
      </c>
      <c r="R69" s="75">
        <v>0</v>
      </c>
      <c r="S69" s="75">
        <v>0</v>
      </c>
      <c r="T69" s="18"/>
      <c r="U69" s="30">
        <f t="shared" si="221"/>
        <v>0</v>
      </c>
      <c r="V69" s="30">
        <f t="shared" si="222"/>
        <v>0</v>
      </c>
      <c r="W69" s="30">
        <f t="shared" si="223"/>
        <v>-1</v>
      </c>
      <c r="X69" s="30">
        <f t="shared" si="224"/>
        <v>-2</v>
      </c>
      <c r="Y69" s="30">
        <f t="shared" si="225"/>
        <v>-1</v>
      </c>
      <c r="Z69" s="30">
        <f t="shared" si="226"/>
        <v>-1</v>
      </c>
      <c r="AA69" s="30">
        <f t="shared" si="227"/>
        <v>0</v>
      </c>
      <c r="AB69" s="30">
        <f t="shared" si="228"/>
        <v>1</v>
      </c>
    </row>
    <row r="70" spans="1:28">
      <c r="B70" s="9" t="s">
        <v>153</v>
      </c>
      <c r="C70" s="76"/>
      <c r="D70" s="76">
        <v>0</v>
      </c>
      <c r="E70" s="76">
        <v>-1370</v>
      </c>
      <c r="F70" s="76">
        <v>-995</v>
      </c>
      <c r="G70" s="76">
        <v>-96</v>
      </c>
      <c r="H70" s="18"/>
      <c r="I70" s="75">
        <v>-442</v>
      </c>
      <c r="J70" s="75">
        <v>-271</v>
      </c>
      <c r="K70" s="75">
        <v>-173</v>
      </c>
      <c r="L70" s="30">
        <f t="shared" si="219"/>
        <v>-109</v>
      </c>
      <c r="M70" s="75">
        <v>72</v>
      </c>
      <c r="N70" s="75">
        <v>-83</v>
      </c>
      <c r="O70" s="75">
        <v>-34</v>
      </c>
      <c r="P70" s="30">
        <f t="shared" si="220"/>
        <v>-51</v>
      </c>
      <c r="Q70" s="75">
        <v>-36</v>
      </c>
      <c r="R70" s="75">
        <v>-25</v>
      </c>
      <c r="S70" s="75">
        <v>-33</v>
      </c>
      <c r="T70" s="18"/>
      <c r="U70" s="30">
        <f t="shared" si="221"/>
        <v>-995</v>
      </c>
      <c r="V70" s="30">
        <f t="shared" si="222"/>
        <v>-481</v>
      </c>
      <c r="W70" s="30">
        <f t="shared" si="223"/>
        <v>-293</v>
      </c>
      <c r="X70" s="30">
        <f t="shared" si="224"/>
        <v>-154</v>
      </c>
      <c r="Y70" s="30">
        <f t="shared" si="225"/>
        <v>-96</v>
      </c>
      <c r="Z70" s="30">
        <f t="shared" si="226"/>
        <v>-204</v>
      </c>
      <c r="AA70" s="30">
        <f t="shared" si="227"/>
        <v>-146</v>
      </c>
      <c r="AB70" s="30">
        <f t="shared" si="228"/>
        <v>-145</v>
      </c>
    </row>
    <row r="71" spans="1:28">
      <c r="B71" s="9" t="s">
        <v>154</v>
      </c>
      <c r="C71" s="76"/>
      <c r="D71" s="76">
        <v>0</v>
      </c>
      <c r="E71" s="76">
        <v>0</v>
      </c>
      <c r="F71" s="76">
        <v>-46</v>
      </c>
      <c r="G71" s="76">
        <v>-46</v>
      </c>
      <c r="H71" s="18"/>
      <c r="I71" s="75">
        <v>0</v>
      </c>
      <c r="J71" s="75">
        <v>-22</v>
      </c>
      <c r="K71" s="75">
        <v>-12</v>
      </c>
      <c r="L71" s="30">
        <f t="shared" ref="L71" si="229">SUM(F71-SUM(I71:K71))</f>
        <v>-12</v>
      </c>
      <c r="M71" s="75">
        <v>-17</v>
      </c>
      <c r="N71" s="75">
        <v>-13</v>
      </c>
      <c r="O71" s="75">
        <v>-8</v>
      </c>
      <c r="P71" s="30">
        <f t="shared" ref="P71" si="230">SUM(G71-SUM(M71:O71))</f>
        <v>-8</v>
      </c>
      <c r="Q71" s="75">
        <v>-6</v>
      </c>
      <c r="R71" s="75">
        <v>-3</v>
      </c>
      <c r="S71" s="75">
        <v>-19</v>
      </c>
      <c r="T71" s="18"/>
      <c r="U71" s="30">
        <f t="shared" ref="U71" si="231">SUM(I71:L71)</f>
        <v>-46</v>
      </c>
      <c r="V71" s="30">
        <f t="shared" ref="V71" si="232">SUM(J71:M71)</f>
        <v>-63</v>
      </c>
      <c r="W71" s="30">
        <f t="shared" ref="W71" si="233">SUM(K71:N71)</f>
        <v>-54</v>
      </c>
      <c r="X71" s="30">
        <f t="shared" ref="X71" si="234">SUM(L71:O71)</f>
        <v>-50</v>
      </c>
      <c r="Y71" s="30">
        <f t="shared" ref="Y71" si="235">SUM(M71:P71)</f>
        <v>-46</v>
      </c>
      <c r="Z71" s="30">
        <f t="shared" ref="Z71" si="236">SUM(N71:Q71)</f>
        <v>-35</v>
      </c>
      <c r="AA71" s="30">
        <f t="shared" ref="AA71" si="237">SUM(O71:R71)</f>
        <v>-25</v>
      </c>
      <c r="AB71" s="30">
        <f t="shared" ref="AB71" si="238">SUM(P71:S71)</f>
        <v>-36</v>
      </c>
    </row>
    <row r="72" spans="1:28">
      <c r="B72" s="9" t="s">
        <v>128</v>
      </c>
      <c r="C72" s="76"/>
      <c r="D72" s="76">
        <v>0</v>
      </c>
      <c r="E72" s="76">
        <v>-30</v>
      </c>
      <c r="F72" s="76">
        <v>-1</v>
      </c>
      <c r="G72" s="76">
        <v>-14</v>
      </c>
      <c r="H72" s="18"/>
      <c r="I72" s="75">
        <v>0</v>
      </c>
      <c r="J72" s="75">
        <v>1</v>
      </c>
      <c r="K72" s="75">
        <v>0</v>
      </c>
      <c r="L72" s="30">
        <f t="shared" ref="L72" si="239">SUM(F72-SUM(I72:K72))</f>
        <v>-2</v>
      </c>
      <c r="M72" s="75">
        <v>0</v>
      </c>
      <c r="N72" s="75">
        <v>1</v>
      </c>
      <c r="O72" s="75">
        <v>5</v>
      </c>
      <c r="P72" s="30">
        <f t="shared" ref="P72" si="240">SUM(G72-SUM(M72:O72))</f>
        <v>-20</v>
      </c>
      <c r="Q72" s="75">
        <v>1</v>
      </c>
      <c r="R72" s="75">
        <v>0</v>
      </c>
      <c r="S72" s="75">
        <v>0</v>
      </c>
      <c r="T72" s="18"/>
      <c r="U72" s="30">
        <f t="shared" ref="U72" si="241">SUM(I72:L72)</f>
        <v>-1</v>
      </c>
      <c r="V72" s="30">
        <f t="shared" ref="V72" si="242">SUM(J72:M72)</f>
        <v>-1</v>
      </c>
      <c r="W72" s="30">
        <f t="shared" ref="W72" si="243">SUM(K72:N72)</f>
        <v>-1</v>
      </c>
      <c r="X72" s="30">
        <f t="shared" ref="X72" si="244">SUM(L72:O72)</f>
        <v>4</v>
      </c>
      <c r="Y72" s="30">
        <f t="shared" ref="Y72" si="245">SUM(M72:P72)</f>
        <v>-14</v>
      </c>
      <c r="Z72" s="30">
        <f t="shared" ref="Z72" si="246">SUM(N72:Q72)</f>
        <v>-13</v>
      </c>
      <c r="AA72" s="30">
        <f t="shared" ref="AA72" si="247">SUM(O72:R72)</f>
        <v>-14</v>
      </c>
      <c r="AB72" s="30">
        <f t="shared" ref="AB72" si="248">SUM(P72:S72)</f>
        <v>-19</v>
      </c>
    </row>
    <row r="73" spans="1:28">
      <c r="B73" s="9" t="s">
        <v>155</v>
      </c>
      <c r="C73" s="76"/>
      <c r="D73" s="76">
        <v>0</v>
      </c>
      <c r="E73" s="76">
        <v>-5</v>
      </c>
      <c r="F73" s="76">
        <v>-31</v>
      </c>
      <c r="G73" s="76">
        <v>0</v>
      </c>
      <c r="H73" s="18"/>
      <c r="I73" s="75">
        <v>-1</v>
      </c>
      <c r="J73" s="75">
        <v>0</v>
      </c>
      <c r="K73" s="75">
        <v>0</v>
      </c>
      <c r="L73" s="30">
        <f t="shared" si="219"/>
        <v>-30</v>
      </c>
      <c r="M73" s="75">
        <v>0</v>
      </c>
      <c r="N73" s="75">
        <v>0</v>
      </c>
      <c r="O73" s="75">
        <v>0</v>
      </c>
      <c r="P73" s="30">
        <f t="shared" si="220"/>
        <v>0</v>
      </c>
      <c r="Q73" s="75">
        <v>0</v>
      </c>
      <c r="R73" s="75">
        <v>0</v>
      </c>
      <c r="S73" s="75">
        <v>0</v>
      </c>
      <c r="T73" s="18"/>
      <c r="U73" s="30">
        <f t="shared" si="221"/>
        <v>-31</v>
      </c>
      <c r="V73" s="30">
        <f t="shared" si="222"/>
        <v>-30</v>
      </c>
      <c r="W73" s="30">
        <f t="shared" si="223"/>
        <v>-30</v>
      </c>
      <c r="X73" s="30">
        <f t="shared" si="224"/>
        <v>-30</v>
      </c>
      <c r="Y73" s="30">
        <f t="shared" si="225"/>
        <v>0</v>
      </c>
      <c r="Z73" s="30">
        <f t="shared" si="226"/>
        <v>0</v>
      </c>
      <c r="AA73" s="30">
        <f t="shared" si="227"/>
        <v>0</v>
      </c>
      <c r="AB73" s="30">
        <f t="shared" si="228"/>
        <v>0</v>
      </c>
    </row>
    <row r="74" spans="1:28">
      <c r="B74" s="9" t="s">
        <v>150</v>
      </c>
      <c r="C74" s="76"/>
      <c r="D74" s="76">
        <v>0</v>
      </c>
      <c r="E74" s="76">
        <v>-1</v>
      </c>
      <c r="F74" s="76">
        <v>0</v>
      </c>
      <c r="G74" s="76">
        <v>1</v>
      </c>
      <c r="H74" s="18"/>
      <c r="I74" s="75">
        <v>0</v>
      </c>
      <c r="J74" s="75">
        <v>0</v>
      </c>
      <c r="K74" s="75">
        <v>0</v>
      </c>
      <c r="L74" s="30">
        <f t="shared" ref="L74" si="249">SUM(F74-SUM(I74:K74))</f>
        <v>0</v>
      </c>
      <c r="M74" s="75">
        <v>1</v>
      </c>
      <c r="N74" s="75">
        <v>0</v>
      </c>
      <c r="O74" s="75">
        <v>0</v>
      </c>
      <c r="P74" s="30">
        <f t="shared" ref="P74" si="250">SUM(G74-SUM(M74:O74))</f>
        <v>0</v>
      </c>
      <c r="Q74" s="75">
        <v>0</v>
      </c>
      <c r="R74" s="75">
        <v>0</v>
      </c>
      <c r="S74" s="75">
        <v>0</v>
      </c>
      <c r="T74" s="18"/>
      <c r="U74" s="30">
        <f t="shared" ref="U74" si="251">SUM(I74:L74)</f>
        <v>0</v>
      </c>
      <c r="V74" s="30">
        <f t="shared" ref="V74" si="252">SUM(J74:M74)</f>
        <v>1</v>
      </c>
      <c r="W74" s="30">
        <f t="shared" ref="W74" si="253">SUM(K74:N74)</f>
        <v>1</v>
      </c>
      <c r="X74" s="30">
        <f t="shared" ref="X74" si="254">SUM(L74:O74)</f>
        <v>1</v>
      </c>
      <c r="Y74" s="30">
        <f t="shared" ref="Y74" si="255">SUM(M74:P74)</f>
        <v>1</v>
      </c>
      <c r="Z74" s="30">
        <f t="shared" ref="Z74" si="256">SUM(N74:Q74)</f>
        <v>0</v>
      </c>
      <c r="AA74" s="30">
        <f t="shared" ref="AA74" si="257">SUM(O74:R74)</f>
        <v>0</v>
      </c>
      <c r="AB74" s="30">
        <f t="shared" ref="AB74" si="258">SUM(P74:S74)</f>
        <v>0</v>
      </c>
    </row>
    <row r="75" spans="1:28">
      <c r="B75" s="12" t="s">
        <v>160</v>
      </c>
      <c r="C75" s="13">
        <f>SUM(C63+SUM(C66:C74))</f>
        <v>12</v>
      </c>
      <c r="D75" s="13">
        <f>SUM(D63+SUM(D66:D74))</f>
        <v>14</v>
      </c>
      <c r="E75" s="13">
        <f>SUM(E63+SUM(E66:E74))</f>
        <v>-1194</v>
      </c>
      <c r="F75" s="13">
        <f>SUM(F63+SUM(F66:F74))</f>
        <v>211</v>
      </c>
      <c r="G75" s="13">
        <f>SUM(G63+SUM(G66:G74))</f>
        <v>529</v>
      </c>
      <c r="H75" s="18"/>
      <c r="I75" s="13">
        <f>SUM(I63+SUM(I66:I74))</f>
        <v>-86</v>
      </c>
      <c r="J75" s="13">
        <f>SUM(J63+SUM(J66:J74))</f>
        <v>-141</v>
      </c>
      <c r="K75" s="13">
        <f>SUM(K63+SUM(K66:K74))</f>
        <v>264</v>
      </c>
      <c r="L75" s="13">
        <f>SUM(L63+SUM(L66:L74))</f>
        <v>174</v>
      </c>
      <c r="M75" s="13">
        <f>SUM(M63+SUM(M66:M74))</f>
        <v>42</v>
      </c>
      <c r="N75" s="13">
        <f>SUM(N63+SUM(N66:N74))</f>
        <v>-80</v>
      </c>
      <c r="O75" s="13">
        <f>SUM(O63+SUM(O66:O74))</f>
        <v>97</v>
      </c>
      <c r="P75" s="13">
        <f>SUM(P63+SUM(P66:P74))</f>
        <v>470</v>
      </c>
      <c r="Q75" s="13">
        <f>SUM(Q63+SUM(Q66:Q74))</f>
        <v>53</v>
      </c>
      <c r="R75" s="13">
        <f>SUM(R63+SUM(R66:R74))</f>
        <v>667</v>
      </c>
      <c r="S75" s="13">
        <f>SUM(S63+SUM(S66:S74))</f>
        <v>461</v>
      </c>
      <c r="T75" s="18"/>
      <c r="U75" s="13">
        <f>SUM(U63+SUM(U66:U74))</f>
        <v>211</v>
      </c>
      <c r="V75" s="13">
        <f>SUM(V63+SUM(V66:V74))</f>
        <v>339</v>
      </c>
      <c r="W75" s="13">
        <f>SUM(W63+SUM(W66:W74))</f>
        <v>400</v>
      </c>
      <c r="X75" s="13">
        <f>SUM(X63+SUM(X66:X74))</f>
        <v>233</v>
      </c>
      <c r="Y75" s="13">
        <f>SUM(Y63+SUM(Y66:Y74))</f>
        <v>529</v>
      </c>
      <c r="Z75" s="13">
        <f>SUM(Z63+SUM(Z66:Z74))</f>
        <v>540</v>
      </c>
      <c r="AA75" s="13">
        <f>SUM(AA63+SUM(AA66:AA74))</f>
        <v>1287</v>
      </c>
      <c r="AB75" s="13">
        <f>SUM(AB63+SUM(AB66:AB74))</f>
        <v>1651</v>
      </c>
    </row>
    <row r="76" spans="1:28">
      <c r="B76" s="14" t="s">
        <v>32</v>
      </c>
      <c r="C76" s="15">
        <f>C75/C56</f>
        <v>1</v>
      </c>
      <c r="D76" s="15">
        <f>D75/D56</f>
        <v>0.7</v>
      </c>
      <c r="E76" s="15">
        <f>E75/E56</f>
        <v>-0.12270064741547632</v>
      </c>
      <c r="F76" s="15">
        <f>F75/F56</f>
        <v>1.7306430446194225E-2</v>
      </c>
      <c r="G76" s="15">
        <f>G75/G56</f>
        <v>4.5575945550099077E-2</v>
      </c>
      <c r="H76" s="18"/>
      <c r="I76" s="15">
        <f>I75/I56</f>
        <v>-2.6774595267745952E-2</v>
      </c>
      <c r="J76" s="15">
        <f>J75/J56</f>
        <v>-5.4629988376598215E-2</v>
      </c>
      <c r="K76" s="15">
        <f>K75/K56</f>
        <v>8.1835089894606319E-2</v>
      </c>
      <c r="L76" s="15">
        <f>L75/L56</f>
        <v>5.4837693034982669E-2</v>
      </c>
      <c r="M76" s="15">
        <f>M75/M56</f>
        <v>1.488833746898263E-2</v>
      </c>
      <c r="N76" s="15">
        <f>N75/N56</f>
        <v>-3.2666394446712946E-2</v>
      </c>
      <c r="O76" s="15">
        <f>O75/O56</f>
        <v>3.6194029850746268E-2</v>
      </c>
      <c r="P76" s="15">
        <f>P75/P56</f>
        <v>0.12852064533770852</v>
      </c>
      <c r="Q76" s="15">
        <f>Q75/Q56</f>
        <v>2.2904062229904928E-2</v>
      </c>
      <c r="R76" s="15">
        <f>R75/R56</f>
        <v>0.17548013680610366</v>
      </c>
      <c r="S76" s="15">
        <f>S75/S56</f>
        <v>0.13881361035832582</v>
      </c>
      <c r="T76" s="18"/>
      <c r="U76" s="15">
        <f>U75/U56</f>
        <v>1.7306430446194225E-2</v>
      </c>
      <c r="V76" s="15">
        <f>V75/V56</f>
        <v>2.8726379120413523E-2</v>
      </c>
      <c r="W76" s="15">
        <f>W75/W56</f>
        <v>3.4278858514011482E-2</v>
      </c>
      <c r="X76" s="15">
        <f>X75/X56</f>
        <v>2.0947586082891306E-2</v>
      </c>
      <c r="Y76" s="15">
        <f>Y75/Y56</f>
        <v>4.5575945550099077E-2</v>
      </c>
      <c r="Z76" s="15">
        <f>Z75/Z56</f>
        <v>4.8648648648648651E-2</v>
      </c>
      <c r="AA76" s="15">
        <f>AA75/AA56</f>
        <v>0.10335689045936396</v>
      </c>
      <c r="AB76" s="15">
        <f>AB75/AB56</f>
        <v>0.12609791491636752</v>
      </c>
    </row>
    <row r="77" spans="1:28">
      <c r="B77" s="14"/>
      <c r="C77" s="15"/>
      <c r="D77" s="15"/>
      <c r="E77" s="15"/>
      <c r="F77" s="15"/>
      <c r="G77" s="15"/>
      <c r="H77" s="18"/>
      <c r="I77" s="19"/>
      <c r="J77" s="19"/>
      <c r="K77" s="19"/>
      <c r="L77" s="20"/>
      <c r="M77" s="19"/>
      <c r="N77" s="19"/>
      <c r="O77" s="19"/>
      <c r="P77" s="19"/>
      <c r="Q77" s="19"/>
      <c r="R77" s="19"/>
      <c r="S77" s="19"/>
      <c r="T77" s="18"/>
      <c r="U77" s="18"/>
      <c r="V77" s="18"/>
      <c r="W77" s="18"/>
      <c r="X77" s="18"/>
      <c r="Y77" s="18"/>
      <c r="Z77" s="18"/>
      <c r="AA77" s="18"/>
      <c r="AB77" s="18"/>
    </row>
    <row r="78" spans="1:28">
      <c r="A78" s="33" t="s">
        <v>16</v>
      </c>
      <c r="B78" s="1" t="s">
        <v>157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5.0999999999999996" customHeight="1"/>
    <row r="80" spans="1:28" ht="12.75" customHeight="1">
      <c r="A80" s="74" t="s">
        <v>16</v>
      </c>
      <c r="B80" s="72" t="s">
        <v>141</v>
      </c>
      <c r="C80" s="10"/>
      <c r="D80" s="10"/>
      <c r="E80" s="10"/>
      <c r="F80" s="10"/>
      <c r="G80" s="10"/>
      <c r="H80" s="10"/>
      <c r="I80" s="81"/>
      <c r="J80" s="81"/>
      <c r="K80" s="81"/>
      <c r="L80" s="30"/>
      <c r="M80" s="81"/>
      <c r="N80" s="81"/>
      <c r="O80" s="81"/>
      <c r="P80" s="30"/>
      <c r="Q80" s="81"/>
      <c r="R80" s="81"/>
      <c r="S80" s="81"/>
      <c r="T80" s="5"/>
      <c r="U80" s="11"/>
      <c r="V80" s="11"/>
      <c r="W80" s="11"/>
      <c r="X80" s="11"/>
      <c r="Y80" s="11"/>
      <c r="Z80" s="11"/>
      <c r="AA80" s="11"/>
      <c r="AB80" s="11"/>
    </row>
    <row r="81" spans="1:28" ht="12.75" customHeight="1">
      <c r="A81" s="74"/>
      <c r="B81" s="9" t="s">
        <v>124</v>
      </c>
      <c r="C81" s="75">
        <v>4496</v>
      </c>
      <c r="D81" s="75">
        <v>4486</v>
      </c>
      <c r="E81" s="75">
        <v>9759</v>
      </c>
      <c r="F81" s="75">
        <v>11521</v>
      </c>
      <c r="G81" s="75">
        <v>10680</v>
      </c>
      <c r="H81" s="10"/>
      <c r="I81" s="75">
        <v>2995</v>
      </c>
      <c r="J81" s="75">
        <v>2941</v>
      </c>
      <c r="K81" s="75">
        <v>2833</v>
      </c>
      <c r="L81" s="30">
        <f t="shared" ref="L81:L84" si="259">SUM(F81-SUM(I81:K81))</f>
        <v>2752</v>
      </c>
      <c r="M81" s="75">
        <v>2797</v>
      </c>
      <c r="N81" s="75">
        <v>2675</v>
      </c>
      <c r="O81" s="75">
        <v>2598</v>
      </c>
      <c r="P81" s="30">
        <f t="shared" ref="P81:P84" si="260">SUM(G81-SUM(M81:O81))</f>
        <v>2610</v>
      </c>
      <c r="Q81" s="75">
        <v>2558</v>
      </c>
      <c r="R81" s="75">
        <v>2477</v>
      </c>
      <c r="S81" s="75">
        <v>2387</v>
      </c>
      <c r="T81" s="5"/>
      <c r="U81" s="30">
        <f t="shared" ref="U81:U84" si="261">SUM(I81:L81)</f>
        <v>11521</v>
      </c>
      <c r="V81" s="30">
        <f t="shared" ref="V81:V84" si="262">SUM(J81:M81)</f>
        <v>11323</v>
      </c>
      <c r="W81" s="30">
        <f t="shared" ref="W81:W84" si="263">SUM(K81:N81)</f>
        <v>11057</v>
      </c>
      <c r="X81" s="30">
        <f t="shared" ref="X81:X84" si="264">SUM(L81:O81)</f>
        <v>10822</v>
      </c>
      <c r="Y81" s="30">
        <f t="shared" ref="Y81:Y84" si="265">SUM(M81:P81)</f>
        <v>10680</v>
      </c>
      <c r="Z81" s="30">
        <f t="shared" ref="Z81:Z84" si="266">SUM(N81:Q81)</f>
        <v>10441</v>
      </c>
      <c r="AA81" s="30">
        <f t="shared" ref="AA81:AA84" si="267">SUM(O81:R81)</f>
        <v>10243</v>
      </c>
      <c r="AB81" s="30">
        <f t="shared" ref="AB81:AB84" si="268">SUM(P81:S81)</f>
        <v>10032</v>
      </c>
    </row>
    <row r="82" spans="1:28" ht="12.75" customHeight="1">
      <c r="A82" s="74"/>
      <c r="B82" s="9" t="s">
        <v>122</v>
      </c>
      <c r="C82" s="75">
        <v>5547</v>
      </c>
      <c r="D82" s="75">
        <v>6063</v>
      </c>
      <c r="E82" s="75">
        <v>8224</v>
      </c>
      <c r="F82" s="75">
        <v>8342</v>
      </c>
      <c r="G82" s="75">
        <v>7306</v>
      </c>
      <c r="H82" s="10"/>
      <c r="I82" s="75">
        <v>2237</v>
      </c>
      <c r="J82" s="75">
        <v>2448</v>
      </c>
      <c r="K82" s="75">
        <v>1709</v>
      </c>
      <c r="L82" s="30">
        <f t="shared" si="259"/>
        <v>1948</v>
      </c>
      <c r="M82" s="75">
        <v>1987</v>
      </c>
      <c r="N82" s="75">
        <v>2214</v>
      </c>
      <c r="O82" s="75">
        <v>1490</v>
      </c>
      <c r="P82" s="30">
        <f t="shared" si="260"/>
        <v>1615</v>
      </c>
      <c r="Q82" s="75">
        <v>1758</v>
      </c>
      <c r="R82" s="75">
        <v>1953</v>
      </c>
      <c r="S82" s="75">
        <v>1186</v>
      </c>
      <c r="T82" s="5"/>
      <c r="U82" s="30">
        <f t="shared" si="261"/>
        <v>8342</v>
      </c>
      <c r="V82" s="30">
        <f t="shared" si="262"/>
        <v>8092</v>
      </c>
      <c r="W82" s="30">
        <f t="shared" si="263"/>
        <v>7858</v>
      </c>
      <c r="X82" s="30">
        <f t="shared" si="264"/>
        <v>7639</v>
      </c>
      <c r="Y82" s="30">
        <f t="shared" si="265"/>
        <v>7306</v>
      </c>
      <c r="Z82" s="30">
        <f t="shared" si="266"/>
        <v>7077</v>
      </c>
      <c r="AA82" s="30">
        <f t="shared" si="267"/>
        <v>6816</v>
      </c>
      <c r="AB82" s="30">
        <f t="shared" si="268"/>
        <v>6512</v>
      </c>
    </row>
    <row r="83" spans="1:28" ht="12.75" customHeight="1">
      <c r="A83" s="74"/>
      <c r="B83" s="9" t="s">
        <v>125</v>
      </c>
      <c r="C83" s="75">
        <v>340</v>
      </c>
      <c r="D83" s="75">
        <v>706</v>
      </c>
      <c r="E83" s="75">
        <v>1120</v>
      </c>
      <c r="F83" s="75">
        <v>1005</v>
      </c>
      <c r="G83" s="75">
        <v>1848</v>
      </c>
      <c r="H83" s="10"/>
      <c r="I83" s="75">
        <v>245</v>
      </c>
      <c r="J83" s="75">
        <v>284</v>
      </c>
      <c r="K83" s="75">
        <v>215</v>
      </c>
      <c r="L83" s="30">
        <f t="shared" si="259"/>
        <v>261</v>
      </c>
      <c r="M83" s="75">
        <v>264</v>
      </c>
      <c r="N83" s="75">
        <v>299</v>
      </c>
      <c r="O83" s="75">
        <v>833</v>
      </c>
      <c r="P83" s="30">
        <f t="shared" si="260"/>
        <v>452</v>
      </c>
      <c r="Q83" s="75">
        <v>380</v>
      </c>
      <c r="R83" s="75">
        <v>287</v>
      </c>
      <c r="S83" s="75">
        <v>217</v>
      </c>
      <c r="T83" s="5"/>
      <c r="U83" s="30">
        <f t="shared" si="261"/>
        <v>1005</v>
      </c>
      <c r="V83" s="30">
        <f t="shared" si="262"/>
        <v>1024</v>
      </c>
      <c r="W83" s="30">
        <f t="shared" si="263"/>
        <v>1039</v>
      </c>
      <c r="X83" s="30">
        <f t="shared" si="264"/>
        <v>1657</v>
      </c>
      <c r="Y83" s="30">
        <f t="shared" si="265"/>
        <v>1848</v>
      </c>
      <c r="Z83" s="30">
        <f t="shared" si="266"/>
        <v>1964</v>
      </c>
      <c r="AA83" s="30">
        <f t="shared" si="267"/>
        <v>1952</v>
      </c>
      <c r="AB83" s="30">
        <f t="shared" si="268"/>
        <v>1336</v>
      </c>
    </row>
    <row r="84" spans="1:28">
      <c r="A84" s="74"/>
      <c r="B84" s="9" t="s">
        <v>126</v>
      </c>
      <c r="C84" s="75">
        <v>56</v>
      </c>
      <c r="D84" s="75">
        <v>56</v>
      </c>
      <c r="E84" s="75">
        <v>245</v>
      </c>
      <c r="F84" s="75">
        <v>376</v>
      </c>
      <c r="G84" s="75">
        <v>341</v>
      </c>
      <c r="H84" s="10"/>
      <c r="I84" s="75">
        <v>104</v>
      </c>
      <c r="J84" s="75">
        <v>85</v>
      </c>
      <c r="K84" s="75">
        <v>111</v>
      </c>
      <c r="L84" s="30">
        <f t="shared" si="259"/>
        <v>76</v>
      </c>
      <c r="M84" s="75">
        <v>77</v>
      </c>
      <c r="N84" s="75">
        <v>84</v>
      </c>
      <c r="O84" s="75">
        <v>89</v>
      </c>
      <c r="P84" s="30">
        <f t="shared" si="260"/>
        <v>91</v>
      </c>
      <c r="Q84" s="75">
        <v>78</v>
      </c>
      <c r="R84" s="75">
        <v>86</v>
      </c>
      <c r="S84" s="75">
        <v>93</v>
      </c>
      <c r="T84" s="5"/>
      <c r="U84" s="30">
        <f t="shared" si="261"/>
        <v>376</v>
      </c>
      <c r="V84" s="30">
        <f t="shared" si="262"/>
        <v>349</v>
      </c>
      <c r="W84" s="30">
        <f t="shared" si="263"/>
        <v>348</v>
      </c>
      <c r="X84" s="30">
        <f t="shared" si="264"/>
        <v>326</v>
      </c>
      <c r="Y84" s="30">
        <f t="shared" si="265"/>
        <v>341</v>
      </c>
      <c r="Z84" s="30">
        <f t="shared" si="266"/>
        <v>342</v>
      </c>
      <c r="AA84" s="30">
        <f t="shared" si="267"/>
        <v>344</v>
      </c>
      <c r="AB84" s="30">
        <f t="shared" si="268"/>
        <v>348</v>
      </c>
    </row>
    <row r="85" spans="1:28">
      <c r="B85" s="12" t="s">
        <v>143</v>
      </c>
      <c r="C85" s="13">
        <f>SUM(C81:C84)</f>
        <v>10439</v>
      </c>
      <c r="D85" s="13">
        <f>SUM(D81:D84)</f>
        <v>11311</v>
      </c>
      <c r="E85" s="13">
        <f>SUM(E81:E84)</f>
        <v>19348</v>
      </c>
      <c r="F85" s="13">
        <f>SUM(F81:F84)</f>
        <v>21244</v>
      </c>
      <c r="G85" s="13">
        <f>SUM(G81:G84)</f>
        <v>20175</v>
      </c>
      <c r="H85" s="11"/>
      <c r="I85" s="13">
        <f>SUM(I81:I84)</f>
        <v>5581</v>
      </c>
      <c r="J85" s="13">
        <f>SUM(J81:J84)</f>
        <v>5758</v>
      </c>
      <c r="K85" s="13">
        <f>SUM(K81:K84)</f>
        <v>4868</v>
      </c>
      <c r="L85" s="13">
        <f>SUM(L81:L84)</f>
        <v>5037</v>
      </c>
      <c r="M85" s="13">
        <f>SUM(M81:M84)</f>
        <v>5125</v>
      </c>
      <c r="N85" s="13">
        <f>SUM(N81:N84)</f>
        <v>5272</v>
      </c>
      <c r="O85" s="13">
        <f>SUM(O81:O84)</f>
        <v>5010</v>
      </c>
      <c r="P85" s="13">
        <f>SUM(P81:P84)</f>
        <v>4768</v>
      </c>
      <c r="Q85" s="13">
        <f>SUM(Q81:Q84)</f>
        <v>4774</v>
      </c>
      <c r="R85" s="13">
        <f>SUM(R81:R84)</f>
        <v>4803</v>
      </c>
      <c r="S85" s="13">
        <f>SUM(S81:S84)</f>
        <v>3883</v>
      </c>
      <c r="T85" s="5"/>
      <c r="U85" s="13">
        <f>SUM(U81:U84)</f>
        <v>21244</v>
      </c>
      <c r="V85" s="13">
        <f>SUM(V81:V84)</f>
        <v>20788</v>
      </c>
      <c r="W85" s="13">
        <f>SUM(W81:W84)</f>
        <v>20302</v>
      </c>
      <c r="X85" s="13">
        <f>SUM(X81:X84)</f>
        <v>20444</v>
      </c>
      <c r="Y85" s="13">
        <f>SUM(Y81:Y84)</f>
        <v>20175</v>
      </c>
      <c r="Z85" s="13">
        <f>SUM(Z81:Z84)</f>
        <v>19824</v>
      </c>
      <c r="AA85" s="13">
        <f>SUM(AA81:AA84)</f>
        <v>19355</v>
      </c>
      <c r="AB85" s="13">
        <f>SUM(AB81:AB84)</f>
        <v>18228</v>
      </c>
    </row>
    <row r="86" spans="1:28" outlineLevel="1">
      <c r="B86" s="114" t="s">
        <v>123</v>
      </c>
      <c r="C86" s="73">
        <f>+C85-C26</f>
        <v>0</v>
      </c>
      <c r="D86" s="73">
        <f t="shared" ref="D86:G86" si="269">+D85-D26</f>
        <v>0</v>
      </c>
      <c r="E86" s="73">
        <f t="shared" si="269"/>
        <v>0</v>
      </c>
      <c r="F86" s="73">
        <f t="shared" si="269"/>
        <v>0</v>
      </c>
      <c r="G86" s="73">
        <f t="shared" si="269"/>
        <v>0</v>
      </c>
      <c r="H86" s="11"/>
      <c r="I86" s="73">
        <f t="shared" ref="I86" si="270">+I85-I26</f>
        <v>0</v>
      </c>
      <c r="J86" s="73">
        <f t="shared" ref="J86" si="271">+J85-J26</f>
        <v>0</v>
      </c>
      <c r="K86" s="73">
        <f t="shared" ref="K86" si="272">+K85-K26</f>
        <v>0</v>
      </c>
      <c r="L86" s="73">
        <f t="shared" ref="L86" si="273">+L85-L26</f>
        <v>0</v>
      </c>
      <c r="M86" s="73">
        <f t="shared" ref="M86" si="274">+M85-M26</f>
        <v>0</v>
      </c>
      <c r="N86" s="73">
        <f t="shared" ref="N86" si="275">+N85-N26</f>
        <v>0</v>
      </c>
      <c r="O86" s="73">
        <f t="shared" ref="O86" si="276">+O85-O26</f>
        <v>0</v>
      </c>
      <c r="P86" s="73">
        <f t="shared" ref="P86" si="277">+P85-P26</f>
        <v>0</v>
      </c>
      <c r="Q86" s="73">
        <f t="shared" ref="Q86" si="278">+Q85-Q26</f>
        <v>0</v>
      </c>
      <c r="R86" s="73">
        <f t="shared" ref="R86" si="279">+R85-R26</f>
        <v>0</v>
      </c>
      <c r="S86" s="73">
        <f t="shared" ref="S86" si="280">+S85-S26</f>
        <v>0</v>
      </c>
      <c r="T86" s="5"/>
      <c r="U86" s="73">
        <f t="shared" ref="U86" si="281">+U85-U26</f>
        <v>0</v>
      </c>
      <c r="V86" s="73">
        <f t="shared" ref="V86" si="282">+V85-V26</f>
        <v>0</v>
      </c>
      <c r="W86" s="73">
        <f t="shared" ref="W86" si="283">+W85-W26</f>
        <v>0</v>
      </c>
      <c r="X86" s="73">
        <f t="shared" ref="X86" si="284">+X85-X26</f>
        <v>0</v>
      </c>
      <c r="Y86" s="73">
        <f t="shared" ref="Y86" si="285">+Y85-Y26</f>
        <v>0</v>
      </c>
      <c r="Z86" s="73">
        <f t="shared" ref="Z86" si="286">+Z85-Z26</f>
        <v>0</v>
      </c>
      <c r="AA86" s="73">
        <f t="shared" ref="AA86" si="287">+AA85-AA26</f>
        <v>0</v>
      </c>
      <c r="AB86" s="73">
        <f t="shared" ref="AB86" si="288">+AB85-AB26</f>
        <v>0</v>
      </c>
    </row>
    <row r="87" spans="1:28">
      <c r="B87" s="16"/>
      <c r="C87" s="17"/>
      <c r="D87" s="17"/>
      <c r="E87" s="17"/>
      <c r="F87" s="17"/>
      <c r="G87" s="17"/>
      <c r="H87" s="18"/>
      <c r="I87" s="19"/>
      <c r="J87" s="19"/>
      <c r="K87" s="19"/>
      <c r="L87" s="20"/>
      <c r="M87" s="19"/>
      <c r="N87" s="19"/>
      <c r="O87" s="19"/>
      <c r="P87" s="19"/>
      <c r="Q87" s="19"/>
      <c r="R87" s="19"/>
      <c r="S87" s="19"/>
      <c r="T87" s="18"/>
      <c r="U87" s="18"/>
      <c r="V87" s="18"/>
      <c r="W87" s="18"/>
      <c r="X87" s="18"/>
      <c r="Y87" s="18"/>
      <c r="Z87" s="18"/>
      <c r="AA87" s="18"/>
      <c r="AB87" s="18"/>
    </row>
    <row r="88" spans="1:28">
      <c r="B88" s="115" t="str">
        <f>B81&amp;"(%)"</f>
        <v>Distribution(%)</v>
      </c>
      <c r="C88" s="127">
        <f>C81/C$85</f>
        <v>0.4306925950761567</v>
      </c>
      <c r="D88" s="127">
        <f>D81/D$85</f>
        <v>0.3966050747060384</v>
      </c>
      <c r="E88" s="127">
        <f>E81/E$85</f>
        <v>0.50439321893735789</v>
      </c>
      <c r="F88" s="127">
        <f>F81/F$85</f>
        <v>0.54231783091696484</v>
      </c>
      <c r="G88" s="127">
        <f>G81/G$85</f>
        <v>0.52936802973977692</v>
      </c>
      <c r="H88" s="116"/>
      <c r="I88" s="127">
        <f>I81/I$85</f>
        <v>0.53664217882099985</v>
      </c>
      <c r="J88" s="127">
        <f>J81/J$85</f>
        <v>0.51076762764848904</v>
      </c>
      <c r="K88" s="127">
        <f>K81/K$85</f>
        <v>0.58196384552177483</v>
      </c>
      <c r="L88" s="127">
        <f>L81/L$85</f>
        <v>0.5463569585070478</v>
      </c>
      <c r="M88" s="127">
        <f>M81/M$85</f>
        <v>0.54575609756097565</v>
      </c>
      <c r="N88" s="127">
        <f>N81/N$85</f>
        <v>0.50739757207890746</v>
      </c>
      <c r="O88" s="127">
        <f>O81/O$85</f>
        <v>0.51856287425149705</v>
      </c>
      <c r="P88" s="127">
        <f>P81/P$85</f>
        <v>0.5473993288590604</v>
      </c>
      <c r="Q88" s="127">
        <f>Q81/Q$85</f>
        <v>0.53581901968998746</v>
      </c>
      <c r="R88" s="127">
        <f>R81/R$85</f>
        <v>0.51571934207786796</v>
      </c>
      <c r="S88" s="127">
        <f>S81/S$85</f>
        <v>0.61473087818696881</v>
      </c>
      <c r="T88" s="116"/>
      <c r="U88" s="117">
        <f>U81/U$85</f>
        <v>0.54231783091696484</v>
      </c>
      <c r="V88" s="117">
        <f>V81/V$85</f>
        <v>0.54468924379449679</v>
      </c>
      <c r="W88" s="117">
        <f>W81/W$85</f>
        <v>0.54462614520736874</v>
      </c>
      <c r="X88" s="117">
        <f>X81/X$85</f>
        <v>0.52934846409704561</v>
      </c>
      <c r="Y88" s="117">
        <f>Y81/Y$85</f>
        <v>0.52936802973977692</v>
      </c>
      <c r="Z88" s="117">
        <f>Z81/Z$85</f>
        <v>0.52668482647296211</v>
      </c>
      <c r="AA88" s="117">
        <f>AA81/AA$85</f>
        <v>0.52921725652286233</v>
      </c>
      <c r="AB88" s="118">
        <f>AB81/AB$85</f>
        <v>0.55036208031599732</v>
      </c>
    </row>
    <row r="89" spans="1:28" ht="12.75" customHeight="1">
      <c r="B89" s="119" t="str">
        <f t="shared" ref="B89:B91" si="289">B82&amp;"(%)"</f>
        <v>Advertising(%)</v>
      </c>
      <c r="C89" s="129">
        <f t="shared" ref="C89" si="290">C82/C$85</f>
        <v>0.53137273685218889</v>
      </c>
      <c r="D89" s="129">
        <f t="shared" ref="D89:G89" si="291">D82/D$85</f>
        <v>0.5360268764919105</v>
      </c>
      <c r="E89" s="129">
        <f t="shared" si="291"/>
        <v>0.42505685342154226</v>
      </c>
      <c r="F89" s="129">
        <f t="shared" si="291"/>
        <v>0.39267557898700811</v>
      </c>
      <c r="G89" s="129">
        <f t="shared" si="291"/>
        <v>0.36213135068153657</v>
      </c>
      <c r="H89" s="120"/>
      <c r="I89" s="129">
        <f t="shared" ref="I89:S89" si="292">I82/I$85</f>
        <v>0.40082422504927434</v>
      </c>
      <c r="J89" s="129">
        <f t="shared" si="292"/>
        <v>0.42514762070163253</v>
      </c>
      <c r="K89" s="129">
        <f t="shared" si="292"/>
        <v>0.35106820049301563</v>
      </c>
      <c r="L89" s="129">
        <f t="shared" si="292"/>
        <v>0.38673813778042487</v>
      </c>
      <c r="M89" s="129">
        <f t="shared" si="292"/>
        <v>0.38770731707317074</v>
      </c>
      <c r="N89" s="129">
        <f t="shared" si="292"/>
        <v>0.41995447647951439</v>
      </c>
      <c r="O89" s="129">
        <f t="shared" si="292"/>
        <v>0.29740518962075846</v>
      </c>
      <c r="P89" s="129">
        <f t="shared" si="292"/>
        <v>0.33871644295302011</v>
      </c>
      <c r="Q89" s="129">
        <f t="shared" si="292"/>
        <v>0.3682446585672392</v>
      </c>
      <c r="R89" s="129">
        <f t="shared" si="292"/>
        <v>0.40662086196127423</v>
      </c>
      <c r="S89" s="129">
        <f t="shared" si="292"/>
        <v>0.30543394282771053</v>
      </c>
      <c r="T89" s="120"/>
      <c r="U89" s="121">
        <f t="shared" ref="U89:AB89" si="293">U82/U$85</f>
        <v>0.39267557898700811</v>
      </c>
      <c r="V89" s="121">
        <f t="shared" si="293"/>
        <v>0.38926303636713488</v>
      </c>
      <c r="W89" s="121">
        <f t="shared" si="293"/>
        <v>0.38705546251600825</v>
      </c>
      <c r="X89" s="121">
        <f t="shared" si="293"/>
        <v>0.37365486206221876</v>
      </c>
      <c r="Y89" s="121">
        <f t="shared" si="293"/>
        <v>0.36213135068153657</v>
      </c>
      <c r="Z89" s="121">
        <f t="shared" si="293"/>
        <v>0.35699152542372881</v>
      </c>
      <c r="AA89" s="121">
        <f t="shared" si="293"/>
        <v>0.35215706535778868</v>
      </c>
      <c r="AB89" s="122">
        <f t="shared" si="293"/>
        <v>0.35725257845073516</v>
      </c>
    </row>
    <row r="90" spans="1:28" ht="12.75" customHeight="1">
      <c r="B90" s="119" t="str">
        <f t="shared" si="289"/>
        <v>Content(%)</v>
      </c>
      <c r="C90" s="129">
        <f t="shared" ref="C90" si="294">C83/C$85</f>
        <v>3.2570169556470928E-2</v>
      </c>
      <c r="D90" s="129">
        <f t="shared" ref="D90:G90" si="295">D83/D$85</f>
        <v>6.2417116081690392E-2</v>
      </c>
      <c r="E90" s="129">
        <f t="shared" si="295"/>
        <v>5.7887120115774238E-2</v>
      </c>
      <c r="F90" s="129">
        <f t="shared" si="295"/>
        <v>4.7307475051779325E-2</v>
      </c>
      <c r="G90" s="129">
        <f t="shared" si="295"/>
        <v>9.1598513011152419E-2</v>
      </c>
      <c r="H90" s="120"/>
      <c r="I90" s="129">
        <f t="shared" ref="I90:S90" si="296">I83/I$85</f>
        <v>4.3898942841784624E-2</v>
      </c>
      <c r="J90" s="129">
        <f t="shared" si="296"/>
        <v>4.9322681486627301E-2</v>
      </c>
      <c r="K90" s="129">
        <f t="shared" si="296"/>
        <v>4.4165981922760889E-2</v>
      </c>
      <c r="L90" s="129">
        <f t="shared" si="296"/>
        <v>5.1816557474687316E-2</v>
      </c>
      <c r="M90" s="129">
        <f t="shared" si="296"/>
        <v>5.1512195121951217E-2</v>
      </c>
      <c r="N90" s="129">
        <f t="shared" si="296"/>
        <v>5.6714719271623672E-2</v>
      </c>
      <c r="O90" s="129">
        <f t="shared" si="296"/>
        <v>0.16626746506986029</v>
      </c>
      <c r="P90" s="129">
        <f t="shared" si="296"/>
        <v>9.4798657718120807E-2</v>
      </c>
      <c r="Q90" s="129">
        <f t="shared" si="296"/>
        <v>7.9597821533305399E-2</v>
      </c>
      <c r="R90" s="129">
        <f t="shared" si="296"/>
        <v>5.9754320216531334E-2</v>
      </c>
      <c r="S90" s="129">
        <f t="shared" si="296"/>
        <v>5.5884625289724439E-2</v>
      </c>
      <c r="T90" s="120"/>
      <c r="U90" s="121">
        <f t="shared" ref="U90:AB90" si="297">U83/U$85</f>
        <v>4.7307475051779325E-2</v>
      </c>
      <c r="V90" s="121">
        <f t="shared" si="297"/>
        <v>4.9259187993072925E-2</v>
      </c>
      <c r="W90" s="121">
        <f t="shared" si="297"/>
        <v>5.1177223918825732E-2</v>
      </c>
      <c r="X90" s="121">
        <f t="shared" si="297"/>
        <v>8.1050675014674237E-2</v>
      </c>
      <c r="Y90" s="121">
        <f t="shared" si="297"/>
        <v>9.1598513011152419E-2</v>
      </c>
      <c r="Z90" s="121">
        <f t="shared" si="297"/>
        <v>9.9071832122679573E-2</v>
      </c>
      <c r="AA90" s="121">
        <f t="shared" si="297"/>
        <v>0.10085249289589253</v>
      </c>
      <c r="AB90" s="122">
        <f t="shared" si="297"/>
        <v>7.3293833662497254E-2</v>
      </c>
    </row>
    <row r="91" spans="1:28" ht="12.75" customHeight="1">
      <c r="B91" s="123" t="str">
        <f t="shared" si="289"/>
        <v>Other(%)</v>
      </c>
      <c r="C91" s="128">
        <f t="shared" ref="C91" si="298">C84/C$85</f>
        <v>5.3644985151834468E-3</v>
      </c>
      <c r="D91" s="128">
        <f t="shared" ref="D91:G91" si="299">D84/D$85</f>
        <v>4.9509327203607111E-3</v>
      </c>
      <c r="E91" s="128">
        <f t="shared" si="299"/>
        <v>1.2662807525325614E-2</v>
      </c>
      <c r="F91" s="128">
        <f t="shared" si="299"/>
        <v>1.7699115044247787E-2</v>
      </c>
      <c r="G91" s="128">
        <f t="shared" si="299"/>
        <v>1.6902106567534075E-2</v>
      </c>
      <c r="H91" s="124"/>
      <c r="I91" s="128">
        <f t="shared" ref="I91:S91" si="300">I84/I$85</f>
        <v>1.8634653287941227E-2</v>
      </c>
      <c r="J91" s="128">
        <f t="shared" si="300"/>
        <v>1.4762070163251128E-2</v>
      </c>
      <c r="K91" s="128">
        <f t="shared" si="300"/>
        <v>2.2801972062448644E-2</v>
      </c>
      <c r="L91" s="128">
        <f t="shared" si="300"/>
        <v>1.5088346237839985E-2</v>
      </c>
      <c r="M91" s="128">
        <f t="shared" si="300"/>
        <v>1.5024390243902438E-2</v>
      </c>
      <c r="N91" s="128">
        <f t="shared" si="300"/>
        <v>1.5933232169954476E-2</v>
      </c>
      <c r="O91" s="128">
        <f t="shared" si="300"/>
        <v>1.7764471057884233E-2</v>
      </c>
      <c r="P91" s="128">
        <f t="shared" si="300"/>
        <v>1.9085570469798658E-2</v>
      </c>
      <c r="Q91" s="128">
        <f t="shared" si="300"/>
        <v>1.6338500209467952E-2</v>
      </c>
      <c r="R91" s="128">
        <f t="shared" si="300"/>
        <v>1.7905475744326462E-2</v>
      </c>
      <c r="S91" s="128">
        <f t="shared" si="300"/>
        <v>2.3950553695596188E-2</v>
      </c>
      <c r="T91" s="124"/>
      <c r="U91" s="125">
        <f t="shared" ref="U91:AB91" si="301">U84/U$85</f>
        <v>1.7699115044247787E-2</v>
      </c>
      <c r="V91" s="125">
        <f t="shared" si="301"/>
        <v>1.6788531845295364E-2</v>
      </c>
      <c r="W91" s="125">
        <f t="shared" si="301"/>
        <v>1.7141168357797262E-2</v>
      </c>
      <c r="X91" s="125">
        <f t="shared" si="301"/>
        <v>1.5945998826061437E-2</v>
      </c>
      <c r="Y91" s="125">
        <f t="shared" si="301"/>
        <v>1.6902106567534075E-2</v>
      </c>
      <c r="Z91" s="125">
        <f t="shared" si="301"/>
        <v>1.725181598062954E-2</v>
      </c>
      <c r="AA91" s="125">
        <f t="shared" si="301"/>
        <v>1.7773185223456472E-2</v>
      </c>
      <c r="AB91" s="126">
        <f t="shared" si="301"/>
        <v>1.9091507570770244E-2</v>
      </c>
    </row>
    <row r="93" spans="1:28">
      <c r="A93" s="74" t="s">
        <v>16</v>
      </c>
      <c r="B93" s="72" t="s">
        <v>159</v>
      </c>
      <c r="C93" s="17"/>
      <c r="D93" s="17"/>
      <c r="E93" s="17"/>
      <c r="F93" s="17"/>
      <c r="G93" s="17"/>
      <c r="H93" s="18"/>
      <c r="I93" s="19"/>
      <c r="J93" s="19"/>
      <c r="K93" s="19"/>
      <c r="L93" s="20"/>
      <c r="M93" s="19"/>
      <c r="N93" s="19"/>
      <c r="O93" s="19"/>
      <c r="P93" s="19"/>
      <c r="Q93" s="19"/>
      <c r="R93" s="19"/>
      <c r="S93" s="19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ht="12.75" customHeight="1">
      <c r="A94" s="74"/>
      <c r="B94" s="9" t="str">
        <f>B81</f>
        <v>Distribution</v>
      </c>
      <c r="C94" s="106">
        <f>C81</f>
        <v>4496</v>
      </c>
      <c r="D94" s="106">
        <f>D81</f>
        <v>4486</v>
      </c>
      <c r="E94" s="106">
        <f t="shared" ref="E94:G94" si="302">E81</f>
        <v>9759</v>
      </c>
      <c r="F94" s="106">
        <f t="shared" si="302"/>
        <v>11521</v>
      </c>
      <c r="G94" s="106">
        <f t="shared" si="302"/>
        <v>10680</v>
      </c>
      <c r="H94" s="10"/>
      <c r="I94" s="106">
        <f t="shared" ref="I94:S94" si="303">I81</f>
        <v>2995</v>
      </c>
      <c r="J94" s="106">
        <f t="shared" si="303"/>
        <v>2941</v>
      </c>
      <c r="K94" s="106">
        <f t="shared" si="303"/>
        <v>2833</v>
      </c>
      <c r="L94" s="30">
        <f t="shared" ref="L94:L97" si="304">SUM(F94-SUM(I94:K94))</f>
        <v>2752</v>
      </c>
      <c r="M94" s="106">
        <f t="shared" si="303"/>
        <v>2797</v>
      </c>
      <c r="N94" s="106">
        <f t="shared" si="303"/>
        <v>2675</v>
      </c>
      <c r="O94" s="106">
        <f t="shared" si="303"/>
        <v>2598</v>
      </c>
      <c r="P94" s="30">
        <f t="shared" ref="P94:P97" si="305">SUM(G94-SUM(M94:O94))</f>
        <v>2610</v>
      </c>
      <c r="Q94" s="106">
        <f t="shared" si="303"/>
        <v>2558</v>
      </c>
      <c r="R94" s="106">
        <f t="shared" si="303"/>
        <v>2477</v>
      </c>
      <c r="S94" s="106">
        <f t="shared" si="303"/>
        <v>2387</v>
      </c>
      <c r="T94" s="5"/>
      <c r="U94" s="30">
        <f t="shared" ref="U94:U97" si="306">SUM(I94:L94)</f>
        <v>11521</v>
      </c>
      <c r="V94" s="30">
        <f t="shared" ref="V94:V97" si="307">SUM(J94:M94)</f>
        <v>11323</v>
      </c>
      <c r="W94" s="30">
        <f t="shared" ref="W94:W97" si="308">SUM(K94:N94)</f>
        <v>11057</v>
      </c>
      <c r="X94" s="30">
        <f t="shared" ref="X94:X97" si="309">SUM(L94:O94)</f>
        <v>10822</v>
      </c>
      <c r="Y94" s="30">
        <f t="shared" ref="Y94:Y97" si="310">SUM(M94:P94)</f>
        <v>10680</v>
      </c>
      <c r="Z94" s="30">
        <f t="shared" ref="Z94:Z97" si="311">SUM(N94:Q94)</f>
        <v>10441</v>
      </c>
      <c r="AA94" s="30">
        <f t="shared" ref="AA94:AA97" si="312">SUM(O94:R94)</f>
        <v>10243</v>
      </c>
      <c r="AB94" s="30">
        <f t="shared" ref="AB94:AB97" si="313">SUM(P94:S94)</f>
        <v>10032</v>
      </c>
    </row>
    <row r="95" spans="1:28" ht="12.75" customHeight="1">
      <c r="A95" s="74"/>
      <c r="B95" s="9" t="str">
        <f t="shared" ref="B95:G95" si="314">B82</f>
        <v>Advertising</v>
      </c>
      <c r="C95" s="106">
        <f t="shared" ref="C95" si="315">C82</f>
        <v>5547</v>
      </c>
      <c r="D95" s="106">
        <f t="shared" si="314"/>
        <v>6063</v>
      </c>
      <c r="E95" s="106">
        <f t="shared" si="314"/>
        <v>8224</v>
      </c>
      <c r="F95" s="106">
        <f t="shared" si="314"/>
        <v>8342</v>
      </c>
      <c r="G95" s="106">
        <f t="shared" si="314"/>
        <v>7306</v>
      </c>
      <c r="H95" s="10"/>
      <c r="I95" s="106">
        <f t="shared" ref="I95:S95" si="316">I82</f>
        <v>2237</v>
      </c>
      <c r="J95" s="106">
        <f t="shared" si="316"/>
        <v>2448</v>
      </c>
      <c r="K95" s="106">
        <f t="shared" si="316"/>
        <v>1709</v>
      </c>
      <c r="L95" s="30">
        <f t="shared" si="304"/>
        <v>1948</v>
      </c>
      <c r="M95" s="106">
        <f t="shared" si="316"/>
        <v>1987</v>
      </c>
      <c r="N95" s="106">
        <f t="shared" si="316"/>
        <v>2214</v>
      </c>
      <c r="O95" s="106">
        <f t="shared" si="316"/>
        <v>1490</v>
      </c>
      <c r="P95" s="30">
        <f t="shared" si="305"/>
        <v>1615</v>
      </c>
      <c r="Q95" s="106">
        <f t="shared" si="316"/>
        <v>1758</v>
      </c>
      <c r="R95" s="106">
        <f t="shared" si="316"/>
        <v>1953</v>
      </c>
      <c r="S95" s="106">
        <f t="shared" si="316"/>
        <v>1186</v>
      </c>
      <c r="T95" s="5"/>
      <c r="U95" s="30">
        <f t="shared" si="306"/>
        <v>8342</v>
      </c>
      <c r="V95" s="30">
        <f t="shared" si="307"/>
        <v>8092</v>
      </c>
      <c r="W95" s="30">
        <f t="shared" si="308"/>
        <v>7858</v>
      </c>
      <c r="X95" s="30">
        <f t="shared" si="309"/>
        <v>7639</v>
      </c>
      <c r="Y95" s="30">
        <f t="shared" si="310"/>
        <v>7306</v>
      </c>
      <c r="Z95" s="30">
        <f t="shared" si="311"/>
        <v>7077</v>
      </c>
      <c r="AA95" s="30">
        <f t="shared" si="312"/>
        <v>6816</v>
      </c>
      <c r="AB95" s="30">
        <f t="shared" si="313"/>
        <v>6512</v>
      </c>
    </row>
    <row r="96" spans="1:28" ht="12.75" customHeight="1">
      <c r="A96" s="74"/>
      <c r="B96" s="9" t="str">
        <f t="shared" ref="B96:G96" si="317">B83</f>
        <v>Content</v>
      </c>
      <c r="C96" s="106">
        <f t="shared" ref="C96" si="318">C83</f>
        <v>340</v>
      </c>
      <c r="D96" s="106">
        <f t="shared" si="317"/>
        <v>706</v>
      </c>
      <c r="E96" s="106">
        <f t="shared" si="317"/>
        <v>1120</v>
      </c>
      <c r="F96" s="106">
        <f t="shared" si="317"/>
        <v>1005</v>
      </c>
      <c r="G96" s="106">
        <f t="shared" si="317"/>
        <v>1848</v>
      </c>
      <c r="H96" s="10"/>
      <c r="I96" s="106">
        <f t="shared" ref="I96:S96" si="319">I83</f>
        <v>245</v>
      </c>
      <c r="J96" s="106">
        <f t="shared" si="319"/>
        <v>284</v>
      </c>
      <c r="K96" s="106">
        <f t="shared" si="319"/>
        <v>215</v>
      </c>
      <c r="L96" s="30">
        <f t="shared" si="304"/>
        <v>261</v>
      </c>
      <c r="M96" s="106">
        <f t="shared" si="319"/>
        <v>264</v>
      </c>
      <c r="N96" s="106">
        <f t="shared" si="319"/>
        <v>299</v>
      </c>
      <c r="O96" s="106">
        <f t="shared" si="319"/>
        <v>833</v>
      </c>
      <c r="P96" s="30">
        <f t="shared" si="305"/>
        <v>452</v>
      </c>
      <c r="Q96" s="106">
        <f t="shared" si="319"/>
        <v>380</v>
      </c>
      <c r="R96" s="106">
        <f t="shared" si="319"/>
        <v>287</v>
      </c>
      <c r="S96" s="106">
        <f t="shared" si="319"/>
        <v>217</v>
      </c>
      <c r="T96" s="5"/>
      <c r="U96" s="30">
        <f t="shared" si="306"/>
        <v>1005</v>
      </c>
      <c r="V96" s="30">
        <f t="shared" si="307"/>
        <v>1024</v>
      </c>
      <c r="W96" s="30">
        <f t="shared" si="308"/>
        <v>1039</v>
      </c>
      <c r="X96" s="30">
        <f t="shared" si="309"/>
        <v>1657</v>
      </c>
      <c r="Y96" s="30">
        <f t="shared" si="310"/>
        <v>1848</v>
      </c>
      <c r="Z96" s="30">
        <f t="shared" si="311"/>
        <v>1964</v>
      </c>
      <c r="AA96" s="30">
        <f t="shared" si="312"/>
        <v>1952</v>
      </c>
      <c r="AB96" s="30">
        <f t="shared" si="313"/>
        <v>1336</v>
      </c>
    </row>
    <row r="97" spans="1:28" ht="12.75" customHeight="1">
      <c r="A97" s="74"/>
      <c r="B97" s="9" t="str">
        <f t="shared" ref="B97:G97" si="320">B84</f>
        <v>Other</v>
      </c>
      <c r="C97" s="106">
        <f t="shared" ref="C97" si="321">C84</f>
        <v>56</v>
      </c>
      <c r="D97" s="106">
        <f t="shared" si="320"/>
        <v>56</v>
      </c>
      <c r="E97" s="106">
        <f t="shared" si="320"/>
        <v>245</v>
      </c>
      <c r="F97" s="106">
        <f t="shared" si="320"/>
        <v>376</v>
      </c>
      <c r="G97" s="106">
        <f t="shared" si="320"/>
        <v>341</v>
      </c>
      <c r="H97" s="10"/>
      <c r="I97" s="106">
        <f t="shared" ref="I97:S97" si="322">I84</f>
        <v>104</v>
      </c>
      <c r="J97" s="106">
        <f t="shared" si="322"/>
        <v>85</v>
      </c>
      <c r="K97" s="106">
        <f t="shared" si="322"/>
        <v>111</v>
      </c>
      <c r="L97" s="30">
        <f t="shared" si="304"/>
        <v>76</v>
      </c>
      <c r="M97" s="106">
        <f t="shared" si="322"/>
        <v>77</v>
      </c>
      <c r="N97" s="106">
        <f t="shared" si="322"/>
        <v>84</v>
      </c>
      <c r="O97" s="106">
        <f t="shared" si="322"/>
        <v>89</v>
      </c>
      <c r="P97" s="30">
        <f t="shared" si="305"/>
        <v>91</v>
      </c>
      <c r="Q97" s="106">
        <f t="shared" si="322"/>
        <v>78</v>
      </c>
      <c r="R97" s="106">
        <f t="shared" si="322"/>
        <v>86</v>
      </c>
      <c r="S97" s="106">
        <f t="shared" si="322"/>
        <v>93</v>
      </c>
      <c r="T97" s="5"/>
      <c r="U97" s="30">
        <f t="shared" si="306"/>
        <v>376</v>
      </c>
      <c r="V97" s="30">
        <f t="shared" si="307"/>
        <v>349</v>
      </c>
      <c r="W97" s="30">
        <f t="shared" si="308"/>
        <v>348</v>
      </c>
      <c r="X97" s="30">
        <f t="shared" si="309"/>
        <v>326</v>
      </c>
      <c r="Y97" s="30">
        <f t="shared" si="310"/>
        <v>341</v>
      </c>
      <c r="Z97" s="30">
        <f t="shared" si="311"/>
        <v>342</v>
      </c>
      <c r="AA97" s="30">
        <f t="shared" si="312"/>
        <v>344</v>
      </c>
      <c r="AB97" s="30">
        <f t="shared" si="313"/>
        <v>348</v>
      </c>
    </row>
    <row r="98" spans="1:28" ht="12.75" customHeight="1">
      <c r="A98" s="74"/>
      <c r="B98" s="23" t="s">
        <v>12</v>
      </c>
      <c r="C98" s="24">
        <f t="shared" ref="C98:D98" si="323">SUM(C94:C97)</f>
        <v>10439</v>
      </c>
      <c r="D98" s="24">
        <f t="shared" si="323"/>
        <v>11311</v>
      </c>
      <c r="E98" s="24">
        <f t="shared" ref="E98" si="324">SUM(E94:E97)</f>
        <v>19348</v>
      </c>
      <c r="F98" s="24">
        <f t="shared" ref="F98" si="325">SUM(F94:F97)</f>
        <v>21244</v>
      </c>
      <c r="G98" s="24">
        <f>SUM(G94:G97)</f>
        <v>20175</v>
      </c>
      <c r="H98" s="10"/>
      <c r="I98" s="24">
        <f>SUM(I94:I97)</f>
        <v>5581</v>
      </c>
      <c r="J98" s="24">
        <f t="shared" ref="J98" si="326">SUM(J94:J97)</f>
        <v>5758</v>
      </c>
      <c r="K98" s="24">
        <f t="shared" ref="K98" si="327">SUM(K94:K97)</f>
        <v>4868</v>
      </c>
      <c r="L98" s="24">
        <f t="shared" ref="L98" si="328">SUM(L94:L97)</f>
        <v>5037</v>
      </c>
      <c r="M98" s="24">
        <f t="shared" ref="M98" si="329">SUM(M94:M97)</f>
        <v>5125</v>
      </c>
      <c r="N98" s="24">
        <f t="shared" ref="N98" si="330">SUM(N94:N97)</f>
        <v>5272</v>
      </c>
      <c r="O98" s="24">
        <f t="shared" ref="O98" si="331">SUM(O94:O97)</f>
        <v>5010</v>
      </c>
      <c r="P98" s="24">
        <f t="shared" ref="P98" si="332">SUM(P94:P97)</f>
        <v>4768</v>
      </c>
      <c r="Q98" s="24">
        <f t="shared" ref="Q98" si="333">SUM(Q94:Q97)</f>
        <v>4774</v>
      </c>
      <c r="R98" s="24">
        <f t="shared" ref="R98" si="334">SUM(R94:R97)</f>
        <v>4803</v>
      </c>
      <c r="S98" s="24">
        <f t="shared" ref="S98" si="335">SUM(S94:S97)</f>
        <v>3883</v>
      </c>
      <c r="T98" s="5"/>
      <c r="U98" s="24">
        <f t="shared" ref="U98" si="336">SUM(U94:U97)</f>
        <v>21244</v>
      </c>
      <c r="V98" s="24">
        <f t="shared" ref="V98" si="337">SUM(V94:V97)</f>
        <v>20788</v>
      </c>
      <c r="W98" s="24">
        <f t="shared" ref="W98" si="338">SUM(W94:W97)</f>
        <v>20302</v>
      </c>
      <c r="X98" s="24">
        <f t="shared" ref="X98" si="339">SUM(X94:X97)</f>
        <v>20444</v>
      </c>
      <c r="Y98" s="24">
        <f t="shared" ref="Y98" si="340">SUM(Y94:Y97)</f>
        <v>20175</v>
      </c>
      <c r="Z98" s="24">
        <f t="shared" ref="Z98" si="341">SUM(Z94:Z97)</f>
        <v>19824</v>
      </c>
      <c r="AA98" s="24">
        <f t="shared" ref="AA98" si="342">SUM(AA94:AA97)</f>
        <v>19355</v>
      </c>
      <c r="AB98" s="24">
        <f t="shared" ref="AB98" si="343">SUM(AB94:AB97)</f>
        <v>18228</v>
      </c>
    </row>
    <row r="99" spans="1:28" ht="5.0999999999999996" customHeight="1">
      <c r="A99" s="74"/>
      <c r="B99" s="9"/>
      <c r="C99" s="75"/>
      <c r="D99" s="75"/>
      <c r="E99" s="75"/>
      <c r="F99" s="75"/>
      <c r="G99" s="75"/>
      <c r="H99" s="10"/>
      <c r="I99" s="75"/>
      <c r="J99" s="75"/>
      <c r="K99" s="75"/>
      <c r="L99" s="30">
        <f t="shared" ref="L99" si="344">SUM(E99-SUM(I99:K99))</f>
        <v>0</v>
      </c>
      <c r="M99" s="75"/>
      <c r="N99" s="75"/>
      <c r="O99" s="75"/>
      <c r="P99" s="30">
        <f t="shared" ref="P99" si="345">SUM(F99-SUM(M99:O99))</f>
        <v>0</v>
      </c>
      <c r="Q99" s="75"/>
      <c r="R99" s="75"/>
      <c r="S99" s="75"/>
      <c r="T99" s="5"/>
      <c r="U99" s="30">
        <f>SUM(K99:N99)</f>
        <v>0</v>
      </c>
      <c r="V99" s="30">
        <f>SUM(L99:O99)</f>
        <v>0</v>
      </c>
      <c r="W99" s="30">
        <f>SUM(M99:P99)</f>
        <v>0</v>
      </c>
      <c r="X99" s="30">
        <f>SUM(N99:Q99)</f>
        <v>0</v>
      </c>
      <c r="Y99" s="30">
        <f>SUM(O99:R99)</f>
        <v>0</v>
      </c>
      <c r="Z99" s="30">
        <f>SUM(P99:S99)</f>
        <v>0</v>
      </c>
      <c r="AA99" s="30">
        <f>SUM(Q99:S99)</f>
        <v>0</v>
      </c>
      <c r="AB99" s="30">
        <f>SUM(R99:S99)</f>
        <v>0</v>
      </c>
    </row>
    <row r="100" spans="1:28" ht="12.75" customHeight="1">
      <c r="A100" s="74"/>
      <c r="B100" s="9" t="s">
        <v>129</v>
      </c>
      <c r="C100" s="76"/>
      <c r="D100" s="76">
        <v>-3926</v>
      </c>
      <c r="E100" s="76">
        <v>-8006</v>
      </c>
      <c r="F100" s="76">
        <v>-9342</v>
      </c>
      <c r="G100" s="76">
        <v>-9238</v>
      </c>
      <c r="H100" s="10"/>
      <c r="I100" s="75">
        <v>-2594</v>
      </c>
      <c r="J100" s="75">
        <v>-2849</v>
      </c>
      <c r="K100" s="75">
        <v>-1800</v>
      </c>
      <c r="L100" s="30">
        <f t="shared" ref="L100" si="346">SUM(F100-SUM(I100:K100))</f>
        <v>-2099</v>
      </c>
      <c r="M100" s="75">
        <v>-2372</v>
      </c>
      <c r="N100" s="75">
        <v>-2531</v>
      </c>
      <c r="O100" s="75">
        <v>-2185</v>
      </c>
      <c r="P100" s="30">
        <f t="shared" ref="P100" si="347">SUM(G100-SUM(M100:O100))</f>
        <v>-2150</v>
      </c>
      <c r="Q100" s="75">
        <v>-2327</v>
      </c>
      <c r="R100" s="75">
        <v>-2592</v>
      </c>
      <c r="S100" s="75">
        <v>-1520</v>
      </c>
      <c r="T100" s="5"/>
      <c r="U100" s="30">
        <f t="shared" ref="U100" si="348">SUM(I100:L100)</f>
        <v>-9342</v>
      </c>
      <c r="V100" s="30">
        <f t="shared" ref="V100" si="349">SUM(J100:M100)</f>
        <v>-9120</v>
      </c>
      <c r="W100" s="30">
        <f t="shared" ref="W100" si="350">SUM(K100:N100)</f>
        <v>-8802</v>
      </c>
      <c r="X100" s="30">
        <f t="shared" ref="X100" si="351">SUM(L100:O100)</f>
        <v>-9187</v>
      </c>
      <c r="Y100" s="30">
        <f t="shared" ref="Y100" si="352">SUM(M100:P100)</f>
        <v>-9238</v>
      </c>
      <c r="Z100" s="30">
        <f t="shared" ref="Z100" si="353">SUM(N100:Q100)</f>
        <v>-9193</v>
      </c>
      <c r="AA100" s="30">
        <f t="shared" ref="AA100" si="354">SUM(O100:R100)</f>
        <v>-9254</v>
      </c>
      <c r="AB100" s="30">
        <f>SUM(P100:S100)</f>
        <v>-8589</v>
      </c>
    </row>
    <row r="101" spans="1:28" ht="12.75" customHeight="1">
      <c r="A101" s="74"/>
      <c r="B101" s="23" t="s">
        <v>20</v>
      </c>
      <c r="C101" s="24">
        <f>SUM(C98+C100)</f>
        <v>10439</v>
      </c>
      <c r="D101" s="24">
        <f>SUM(D98+D100)</f>
        <v>7385</v>
      </c>
      <c r="E101" s="24">
        <f t="shared" ref="E101" si="355">SUM(E98+E100)</f>
        <v>11342</v>
      </c>
      <c r="F101" s="24">
        <f t="shared" ref="F101" si="356">SUM(F98+F100)</f>
        <v>11902</v>
      </c>
      <c r="G101" s="24">
        <f t="shared" ref="G101" si="357">SUM(G98+G100)</f>
        <v>10937</v>
      </c>
      <c r="H101" s="10"/>
      <c r="I101" s="24">
        <f t="shared" ref="I101" si="358">SUM(I98+I100)</f>
        <v>2987</v>
      </c>
      <c r="J101" s="24">
        <f t="shared" ref="J101" si="359">SUM(J98+J100)</f>
        <v>2909</v>
      </c>
      <c r="K101" s="24">
        <f t="shared" ref="K101" si="360">SUM(K98+K100)</f>
        <v>3068</v>
      </c>
      <c r="L101" s="24">
        <f t="shared" ref="L101" si="361">SUM(L98+L100)</f>
        <v>2938</v>
      </c>
      <c r="M101" s="24">
        <f t="shared" ref="M101" si="362">SUM(M98+M100)</f>
        <v>2753</v>
      </c>
      <c r="N101" s="24">
        <f t="shared" ref="N101" si="363">SUM(N98+N100)</f>
        <v>2741</v>
      </c>
      <c r="O101" s="24">
        <f t="shared" ref="O101" si="364">SUM(O98+O100)</f>
        <v>2825</v>
      </c>
      <c r="P101" s="24">
        <f t="shared" ref="P101" si="365">SUM(P98+P100)</f>
        <v>2618</v>
      </c>
      <c r="Q101" s="24">
        <f t="shared" ref="Q101" si="366">SUM(Q98+Q100)</f>
        <v>2447</v>
      </c>
      <c r="R101" s="24">
        <f t="shared" ref="R101" si="367">SUM(R98+R100)</f>
        <v>2211</v>
      </c>
      <c r="S101" s="24">
        <f t="shared" ref="S101" si="368">SUM(S98+S100)</f>
        <v>2363</v>
      </c>
      <c r="T101" s="5"/>
      <c r="U101" s="24">
        <f t="shared" ref="U101" si="369">SUM(U98+U100)</f>
        <v>11902</v>
      </c>
      <c r="V101" s="24">
        <f t="shared" ref="V101" si="370">SUM(V98+V100)</f>
        <v>11668</v>
      </c>
      <c r="W101" s="24">
        <f t="shared" ref="W101" si="371">SUM(W98+W100)</f>
        <v>11500</v>
      </c>
      <c r="X101" s="24">
        <f t="shared" ref="X101" si="372">SUM(X98+X100)</f>
        <v>11257</v>
      </c>
      <c r="Y101" s="24">
        <f t="shared" ref="Y101" si="373">SUM(Y98+Y100)</f>
        <v>10937</v>
      </c>
      <c r="Z101" s="24">
        <f t="shared" ref="Z101" si="374">SUM(Z98+Z100)</f>
        <v>10631</v>
      </c>
      <c r="AA101" s="24">
        <f t="shared" ref="AA101" si="375">SUM(AA98+AA100)</f>
        <v>10101</v>
      </c>
      <c r="AB101" s="24">
        <f t="shared" ref="AB101" si="376">SUM(AB98+AB100)</f>
        <v>9639</v>
      </c>
    </row>
    <row r="102" spans="1:28" ht="12.75" customHeight="1">
      <c r="A102" s="74"/>
      <c r="B102" s="14" t="s">
        <v>30</v>
      </c>
      <c r="C102" s="15">
        <f>C101/C98</f>
        <v>1</v>
      </c>
      <c r="D102" s="15">
        <f>D101/D98</f>
        <v>0.65290425249756878</v>
      </c>
      <c r="E102" s="15">
        <f t="shared" ref="E102" si="377">E101/E98</f>
        <v>0.58621046102956376</v>
      </c>
      <c r="F102" s="15">
        <f t="shared" ref="F102" si="378">F101/F98</f>
        <v>0.56025230653360947</v>
      </c>
      <c r="G102" s="15">
        <f t="shared" ref="G102" si="379">G101/G98</f>
        <v>0.54210656753407682</v>
      </c>
      <c r="H102" s="10"/>
      <c r="I102" s="15">
        <f t="shared" ref="I102" si="380">I101/I98</f>
        <v>0.53520874395269669</v>
      </c>
      <c r="J102" s="15">
        <f t="shared" ref="J102" si="381">J101/J98</f>
        <v>0.50521014241055917</v>
      </c>
      <c r="K102" s="15">
        <f t="shared" ref="K102" si="382">K101/K98</f>
        <v>0.63023829087921113</v>
      </c>
      <c r="L102" s="15">
        <f t="shared" ref="L102" si="383">L101/L98</f>
        <v>0.58328370061544565</v>
      </c>
      <c r="M102" s="15">
        <f t="shared" ref="M102" si="384">M101/M98</f>
        <v>0.53717073170731711</v>
      </c>
      <c r="N102" s="15">
        <f t="shared" ref="N102" si="385">N101/N98</f>
        <v>0.51991654021244305</v>
      </c>
      <c r="O102" s="15">
        <f t="shared" ref="O102" si="386">O101/O98</f>
        <v>0.56387225548902198</v>
      </c>
      <c r="P102" s="15">
        <f t="shared" ref="P102" si="387">P101/P98</f>
        <v>0.54907718120805371</v>
      </c>
      <c r="Q102" s="15">
        <f t="shared" ref="Q102" si="388">Q101/Q98</f>
        <v>0.51256807708420615</v>
      </c>
      <c r="R102" s="15">
        <f t="shared" ref="R102" si="389">R101/R98</f>
        <v>0.4603372891942536</v>
      </c>
      <c r="S102" s="15">
        <f t="shared" ref="S102" si="390">S101/S98</f>
        <v>0.60855009013649242</v>
      </c>
      <c r="T102" s="5"/>
      <c r="U102" s="15">
        <f t="shared" ref="U102" si="391">U101/U98</f>
        <v>0.56025230653360947</v>
      </c>
      <c r="V102" s="15">
        <f t="shared" ref="V102" si="392">V101/V98</f>
        <v>0.56128535693669424</v>
      </c>
      <c r="W102" s="15">
        <f t="shared" ref="W102" si="393">W101/W98</f>
        <v>0.56644665550192097</v>
      </c>
      <c r="X102" s="15">
        <f t="shared" ref="X102" si="394">X101/X98</f>
        <v>0.55062610056740369</v>
      </c>
      <c r="Y102" s="15">
        <f t="shared" ref="Y102" si="395">Y101/Y98</f>
        <v>0.54210656753407682</v>
      </c>
      <c r="Z102" s="15">
        <f t="shared" ref="Z102" si="396">Z101/Z98</f>
        <v>0.53626916868442287</v>
      </c>
      <c r="AA102" s="15">
        <f t="shared" ref="AA102" si="397">AA101/AA98</f>
        <v>0.52188065099457503</v>
      </c>
      <c r="AB102" s="15">
        <f t="shared" ref="AB102" si="398">AB101/AB98</f>
        <v>0.52880184331797231</v>
      </c>
    </row>
    <row r="103" spans="1:28" ht="5.0999999999999996" customHeight="1">
      <c r="A103" s="74"/>
      <c r="B103" s="9"/>
      <c r="C103" s="75"/>
      <c r="D103" s="75"/>
      <c r="E103" s="75"/>
      <c r="F103" s="75"/>
      <c r="G103" s="75"/>
      <c r="H103" s="10"/>
      <c r="I103" s="75"/>
      <c r="J103" s="75"/>
      <c r="K103" s="75"/>
      <c r="L103" s="30">
        <f t="shared" ref="L103" si="399">SUM(E103-SUM(I103:K103))</f>
        <v>0</v>
      </c>
      <c r="M103" s="75"/>
      <c r="N103" s="75"/>
      <c r="O103" s="75"/>
      <c r="P103" s="30">
        <f t="shared" ref="P103" si="400">SUM(F103-SUM(M103:O103))</f>
        <v>0</v>
      </c>
      <c r="Q103" s="75"/>
      <c r="R103" s="75"/>
      <c r="S103" s="75"/>
      <c r="T103" s="5"/>
      <c r="U103" s="30">
        <f>SUM(K103:N103)</f>
        <v>0</v>
      </c>
      <c r="V103" s="30">
        <f>SUM(L103:O103)</f>
        <v>0</v>
      </c>
      <c r="W103" s="30">
        <f>SUM(M103:P103)</f>
        <v>0</v>
      </c>
      <c r="X103" s="30">
        <f>SUM(N103:Q103)</f>
        <v>0</v>
      </c>
      <c r="Y103" s="30">
        <f>SUM(O103:R103)</f>
        <v>0</v>
      </c>
      <c r="Z103" s="30">
        <f>SUM(P103:S103)</f>
        <v>0</v>
      </c>
      <c r="AA103" s="30">
        <f>SUM(Q103:S103)</f>
        <v>0</v>
      </c>
      <c r="AB103" s="30">
        <f>SUM(R103:S103)</f>
        <v>0</v>
      </c>
    </row>
    <row r="104" spans="1:28">
      <c r="B104" s="9" t="s">
        <v>105</v>
      </c>
      <c r="C104" s="76"/>
      <c r="D104" s="76">
        <v>-1852</v>
      </c>
      <c r="E104" s="76">
        <v>-2617</v>
      </c>
      <c r="F104" s="76">
        <v>-2839</v>
      </c>
      <c r="G104" s="76">
        <v>-2788</v>
      </c>
      <c r="H104" s="18"/>
      <c r="I104" s="75">
        <v>-694</v>
      </c>
      <c r="J104" s="75">
        <v>-743</v>
      </c>
      <c r="K104" s="75">
        <v>-672</v>
      </c>
      <c r="L104" s="30">
        <f t="shared" ref="L104" si="401">SUM(F104-SUM(I104:K104))</f>
        <v>-730</v>
      </c>
      <c r="M104" s="75">
        <v>-634</v>
      </c>
      <c r="N104" s="75">
        <v>-743</v>
      </c>
      <c r="O104" s="75">
        <v>-710</v>
      </c>
      <c r="P104" s="30">
        <f t="shared" ref="P104" si="402">SUM(G104-SUM(M104:O104))</f>
        <v>-701</v>
      </c>
      <c r="Q104" s="75">
        <v>-654</v>
      </c>
      <c r="R104" s="75">
        <v>-699</v>
      </c>
      <c r="S104" s="75">
        <v>-661</v>
      </c>
      <c r="T104" s="18"/>
      <c r="U104" s="30">
        <f t="shared" ref="U104" si="403">SUM(I104:L104)</f>
        <v>-2839</v>
      </c>
      <c r="V104" s="30">
        <f t="shared" ref="V104" si="404">SUM(J104:M104)</f>
        <v>-2779</v>
      </c>
      <c r="W104" s="30">
        <f t="shared" ref="W104" si="405">SUM(K104:N104)</f>
        <v>-2779</v>
      </c>
      <c r="X104" s="30">
        <f t="shared" ref="X104" si="406">SUM(L104:O104)</f>
        <v>-2817</v>
      </c>
      <c r="Y104" s="30">
        <f t="shared" ref="Y104" si="407">SUM(M104:P104)</f>
        <v>-2788</v>
      </c>
      <c r="Z104" s="30">
        <f t="shared" ref="Z104" si="408">SUM(N104:Q104)</f>
        <v>-2808</v>
      </c>
      <c r="AA104" s="30">
        <f t="shared" ref="AA104" si="409">SUM(O104:R104)</f>
        <v>-2764</v>
      </c>
      <c r="AB104" s="30">
        <f>SUM(P104:S104)</f>
        <v>-2715</v>
      </c>
    </row>
    <row r="105" spans="1:28" ht="12.75" customHeight="1">
      <c r="A105" s="74"/>
      <c r="B105" s="12" t="s">
        <v>149</v>
      </c>
      <c r="C105" s="13">
        <f>SUM(C101+C104)</f>
        <v>10439</v>
      </c>
      <c r="D105" s="13">
        <f>SUM(D101+D104)</f>
        <v>5533</v>
      </c>
      <c r="E105" s="13">
        <f t="shared" ref="E105" si="410">SUM(E101+E104)</f>
        <v>8725</v>
      </c>
      <c r="F105" s="13">
        <f t="shared" ref="F105" si="411">SUM(F101+F104)</f>
        <v>9063</v>
      </c>
      <c r="G105" s="13">
        <f t="shared" ref="G105" si="412">SUM(G101+G104)</f>
        <v>8149</v>
      </c>
      <c r="H105" s="18"/>
      <c r="I105" s="13">
        <f t="shared" ref="I105" si="413">SUM(I101+I104)</f>
        <v>2293</v>
      </c>
      <c r="J105" s="13">
        <f t="shared" ref="J105" si="414">SUM(J101+J104)</f>
        <v>2166</v>
      </c>
      <c r="K105" s="13">
        <f t="shared" ref="K105" si="415">SUM(K101+K104)</f>
        <v>2396</v>
      </c>
      <c r="L105" s="13">
        <f t="shared" ref="L105" si="416">SUM(L101+L104)</f>
        <v>2208</v>
      </c>
      <c r="M105" s="13">
        <f t="shared" ref="M105" si="417">SUM(M101+M104)</f>
        <v>2119</v>
      </c>
      <c r="N105" s="13">
        <f t="shared" ref="N105" si="418">SUM(N101+N104)</f>
        <v>1998</v>
      </c>
      <c r="O105" s="13">
        <f t="shared" ref="O105" si="419">SUM(O101+O104)</f>
        <v>2115</v>
      </c>
      <c r="P105" s="13">
        <f t="shared" ref="P105" si="420">SUM(P101+P104)</f>
        <v>1917</v>
      </c>
      <c r="Q105" s="13">
        <f t="shared" ref="Q105" si="421">SUM(Q101+Q104)</f>
        <v>1793</v>
      </c>
      <c r="R105" s="13">
        <f t="shared" ref="R105" si="422">SUM(R101+R104)</f>
        <v>1512</v>
      </c>
      <c r="S105" s="13">
        <f t="shared" ref="S105" si="423">SUM(S101+S104)</f>
        <v>1702</v>
      </c>
      <c r="T105" s="18"/>
      <c r="U105" s="13">
        <f t="shared" ref="U105" si="424">SUM(U101+U104)</f>
        <v>9063</v>
      </c>
      <c r="V105" s="13">
        <f t="shared" ref="V105" si="425">SUM(V101+V104)</f>
        <v>8889</v>
      </c>
      <c r="W105" s="13">
        <f t="shared" ref="W105" si="426">SUM(W101+W104)</f>
        <v>8721</v>
      </c>
      <c r="X105" s="13">
        <f t="shared" ref="X105" si="427">SUM(X101+X104)</f>
        <v>8440</v>
      </c>
      <c r="Y105" s="13">
        <f t="shared" ref="Y105" si="428">SUM(Y101+Y104)</f>
        <v>8149</v>
      </c>
      <c r="Z105" s="13">
        <f t="shared" ref="Z105" si="429">SUM(Z101+Z104)</f>
        <v>7823</v>
      </c>
      <c r="AA105" s="13">
        <f t="shared" ref="AA105" si="430">SUM(AA101+AA104)</f>
        <v>7337</v>
      </c>
      <c r="AB105" s="13">
        <f t="shared" ref="AB105" si="431">SUM(AB101+AB104)</f>
        <v>6924</v>
      </c>
    </row>
    <row r="106" spans="1:28" ht="12.75" customHeight="1">
      <c r="A106" s="74"/>
      <c r="B106" s="14" t="s">
        <v>161</v>
      </c>
      <c r="C106" s="15">
        <f>C105/C98</f>
        <v>1</v>
      </c>
      <c r="D106" s="15">
        <f>D105/D98</f>
        <v>0.48916983467421093</v>
      </c>
      <c r="E106" s="15">
        <f t="shared" ref="E106:G106" si="432">E105/E98</f>
        <v>0.45095100268761629</v>
      </c>
      <c r="F106" s="15">
        <f t="shared" si="432"/>
        <v>0.42661457352664284</v>
      </c>
      <c r="G106" s="15">
        <f t="shared" si="432"/>
        <v>0.40391573729863695</v>
      </c>
      <c r="H106" s="10"/>
      <c r="I106" s="15">
        <f t="shared" ref="I106" si="433">I105/I98</f>
        <v>0.41085826912739654</v>
      </c>
      <c r="J106" s="15">
        <f t="shared" ref="J106" si="434">J105/J98</f>
        <v>0.37617228204237585</v>
      </c>
      <c r="K106" s="15">
        <f t="shared" ref="K106" si="435">K105/K98</f>
        <v>0.49219391947411667</v>
      </c>
      <c r="L106" s="15">
        <f t="shared" ref="L106" si="436">L105/L98</f>
        <v>0.43835616438356162</v>
      </c>
      <c r="M106" s="15">
        <f t="shared" ref="M106" si="437">M105/M98</f>
        <v>0.41346341463414632</v>
      </c>
      <c r="N106" s="15">
        <f t="shared" ref="N106" si="438">N105/N98</f>
        <v>0.37898330804248864</v>
      </c>
      <c r="O106" s="15">
        <f t="shared" ref="O106" si="439">O105/O98</f>
        <v>0.42215568862275449</v>
      </c>
      <c r="P106" s="15">
        <f t="shared" ref="P106" si="440">P105/P98</f>
        <v>0.40205536912751677</v>
      </c>
      <c r="Q106" s="15">
        <f t="shared" ref="Q106" si="441">Q105/Q98</f>
        <v>0.37557603686635943</v>
      </c>
      <c r="R106" s="15">
        <f t="shared" ref="R106" si="442">R105/R98</f>
        <v>0.31480324797001874</v>
      </c>
      <c r="S106" s="15">
        <f t="shared" ref="S106" si="443">S105/S98</f>
        <v>0.43832088591295393</v>
      </c>
      <c r="T106" s="5"/>
      <c r="U106" s="15">
        <f t="shared" ref="U106" si="444">U105/U98</f>
        <v>0.42661457352664284</v>
      </c>
      <c r="V106" s="15">
        <f t="shared" ref="V106" si="445">V105/V98</f>
        <v>0.42760246295939963</v>
      </c>
      <c r="W106" s="15">
        <f t="shared" ref="W106" si="446">W105/W98</f>
        <v>0.42956358979410897</v>
      </c>
      <c r="X106" s="15">
        <f t="shared" ref="X106" si="447">X105/X98</f>
        <v>0.41283506163177458</v>
      </c>
      <c r="Y106" s="15">
        <f t="shared" ref="Y106" si="448">Y105/Y98</f>
        <v>0.40391573729863695</v>
      </c>
      <c r="Z106" s="15">
        <f t="shared" ref="Z106" si="449">Z105/Z98</f>
        <v>0.39462267958030672</v>
      </c>
      <c r="AA106" s="15">
        <f t="shared" ref="AA106" si="450">AA105/AA98</f>
        <v>0.37907517437354687</v>
      </c>
      <c r="AB106" s="15">
        <f t="shared" ref="AB106" si="451">AB105/AB98</f>
        <v>0.37985516787360107</v>
      </c>
    </row>
    <row r="107" spans="1:28" ht="5.0999999999999996" customHeight="1">
      <c r="B107" s="16"/>
      <c r="C107" s="17"/>
      <c r="D107" s="17"/>
      <c r="E107" s="17"/>
      <c r="F107" s="17"/>
      <c r="G107" s="17"/>
      <c r="H107" s="18"/>
      <c r="I107" s="19"/>
      <c r="J107" s="19"/>
      <c r="K107" s="19"/>
      <c r="L107" s="20"/>
      <c r="M107" s="19"/>
      <c r="N107" s="19"/>
      <c r="O107" s="19"/>
      <c r="P107" s="19"/>
      <c r="Q107" s="19"/>
      <c r="R107" s="19"/>
      <c r="S107" s="19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>
      <c r="B108" s="9" t="s">
        <v>51</v>
      </c>
      <c r="C108" s="76"/>
      <c r="D108" s="76">
        <v>-1212</v>
      </c>
      <c r="E108" s="76">
        <v>-4687</v>
      </c>
      <c r="F108" s="76">
        <v>-4961</v>
      </c>
      <c r="G108" s="76">
        <v>-4172</v>
      </c>
      <c r="H108" s="18"/>
      <c r="I108" s="75">
        <v>-1304</v>
      </c>
      <c r="J108" s="75">
        <v>-1262</v>
      </c>
      <c r="K108" s="75">
        <v>-1202</v>
      </c>
      <c r="L108" s="30">
        <f t="shared" ref="L108:L113" si="452">SUM(F108-SUM(I108:K108))</f>
        <v>-1193</v>
      </c>
      <c r="M108" s="75">
        <v>-1105</v>
      </c>
      <c r="N108" s="75">
        <v>-1052</v>
      </c>
      <c r="O108" s="75">
        <v>-1048</v>
      </c>
      <c r="P108" s="30">
        <f t="shared" ref="P108:P113" si="453">SUM(G108-SUM(M108:O108))</f>
        <v>-967</v>
      </c>
      <c r="Q108" s="75">
        <v>-907</v>
      </c>
      <c r="R108" s="75">
        <v>-829</v>
      </c>
      <c r="S108" s="75">
        <v>-758</v>
      </c>
      <c r="T108" s="18"/>
      <c r="U108" s="30">
        <f t="shared" ref="U108:U113" si="454">SUM(I108:L108)</f>
        <v>-4961</v>
      </c>
      <c r="V108" s="30">
        <f t="shared" ref="V108:V113" si="455">SUM(J108:M108)</f>
        <v>-4762</v>
      </c>
      <c r="W108" s="30">
        <f t="shared" ref="W108:W113" si="456">SUM(K108:N108)</f>
        <v>-4552</v>
      </c>
      <c r="X108" s="30">
        <f t="shared" ref="X108:X113" si="457">SUM(L108:O108)</f>
        <v>-4398</v>
      </c>
      <c r="Y108" s="30">
        <f t="shared" ref="Y108:Y113" si="458">SUM(M108:P108)</f>
        <v>-4172</v>
      </c>
      <c r="Z108" s="30">
        <f t="shared" ref="Z108:Z113" si="459">SUM(N108:Q108)</f>
        <v>-3974</v>
      </c>
      <c r="AA108" s="30">
        <f t="shared" ref="AA108:AA113" si="460">SUM(O108:R108)</f>
        <v>-3751</v>
      </c>
      <c r="AB108" s="30">
        <f t="shared" ref="AB108:AB113" si="461">SUM(P108:S108)</f>
        <v>-3461</v>
      </c>
    </row>
    <row r="109" spans="1:28">
      <c r="B109" s="9" t="s">
        <v>127</v>
      </c>
      <c r="C109" s="76"/>
      <c r="D109" s="76">
        <v>-30</v>
      </c>
      <c r="E109" s="76">
        <v>-1003</v>
      </c>
      <c r="F109" s="76">
        <v>-201</v>
      </c>
      <c r="G109" s="76">
        <v>-85</v>
      </c>
      <c r="H109" s="18"/>
      <c r="I109" s="75">
        <v>-3</v>
      </c>
      <c r="J109" s="75">
        <v>-110</v>
      </c>
      <c r="K109" s="75">
        <v>-48</v>
      </c>
      <c r="L109" s="30">
        <f t="shared" si="452"/>
        <v>-40</v>
      </c>
      <c r="M109" s="75">
        <v>-11</v>
      </c>
      <c r="N109" s="75">
        <v>-42</v>
      </c>
      <c r="O109" s="75">
        <v>-5</v>
      </c>
      <c r="P109" s="30">
        <f t="shared" si="453"/>
        <v>-27</v>
      </c>
      <c r="Q109" s="75">
        <v>-16</v>
      </c>
      <c r="R109" s="75">
        <v>-25</v>
      </c>
      <c r="S109" s="75">
        <v>-16</v>
      </c>
      <c r="T109" s="18"/>
      <c r="U109" s="30">
        <f t="shared" si="454"/>
        <v>-201</v>
      </c>
      <c r="V109" s="30">
        <f t="shared" si="455"/>
        <v>-209</v>
      </c>
      <c r="W109" s="30">
        <f t="shared" si="456"/>
        <v>-141</v>
      </c>
      <c r="X109" s="30">
        <f t="shared" si="457"/>
        <v>-98</v>
      </c>
      <c r="Y109" s="30">
        <f t="shared" si="458"/>
        <v>-85</v>
      </c>
      <c r="Z109" s="30">
        <f t="shared" si="459"/>
        <v>-90</v>
      </c>
      <c r="AA109" s="30">
        <f t="shared" si="460"/>
        <v>-73</v>
      </c>
      <c r="AB109" s="30">
        <f t="shared" si="461"/>
        <v>-84</v>
      </c>
    </row>
    <row r="110" spans="1:28">
      <c r="B110" s="9" t="s">
        <v>151</v>
      </c>
      <c r="C110" s="76"/>
      <c r="D110" s="76">
        <v>-4</v>
      </c>
      <c r="E110" s="76">
        <v>-2</v>
      </c>
      <c r="F110" s="76">
        <v>-3</v>
      </c>
      <c r="G110" s="76">
        <v>-2</v>
      </c>
      <c r="H110" s="18"/>
      <c r="I110" s="75">
        <v>-3</v>
      </c>
      <c r="J110" s="75">
        <v>-8</v>
      </c>
      <c r="K110" s="75">
        <v>8</v>
      </c>
      <c r="L110" s="30">
        <f t="shared" si="452"/>
        <v>0</v>
      </c>
      <c r="M110" s="75">
        <v>-1</v>
      </c>
      <c r="N110" s="75">
        <v>1</v>
      </c>
      <c r="O110" s="75">
        <v>-3</v>
      </c>
      <c r="P110" s="30">
        <f t="shared" si="453"/>
        <v>1</v>
      </c>
      <c r="Q110" s="75">
        <v>0</v>
      </c>
      <c r="R110" s="75">
        <v>0</v>
      </c>
      <c r="S110" s="75">
        <v>0</v>
      </c>
      <c r="T110" s="18"/>
      <c r="U110" s="30">
        <f t="shared" si="454"/>
        <v>-3</v>
      </c>
      <c r="V110" s="30">
        <f t="shared" si="455"/>
        <v>-1</v>
      </c>
      <c r="W110" s="30">
        <f t="shared" si="456"/>
        <v>8</v>
      </c>
      <c r="X110" s="30">
        <f t="shared" si="457"/>
        <v>-3</v>
      </c>
      <c r="Y110" s="30">
        <f t="shared" si="458"/>
        <v>-2</v>
      </c>
      <c r="Z110" s="30">
        <f t="shared" si="459"/>
        <v>-1</v>
      </c>
      <c r="AA110" s="30">
        <f t="shared" si="460"/>
        <v>-2</v>
      </c>
      <c r="AB110" s="30">
        <f t="shared" si="461"/>
        <v>1</v>
      </c>
    </row>
    <row r="111" spans="1:28">
      <c r="B111" s="9" t="s">
        <v>153</v>
      </c>
      <c r="C111" s="76"/>
      <c r="D111" s="76">
        <v>0</v>
      </c>
      <c r="E111" s="76">
        <v>-73</v>
      </c>
      <c r="F111" s="76">
        <v>-473</v>
      </c>
      <c r="G111" s="76">
        <v>-495</v>
      </c>
      <c r="H111" s="18"/>
      <c r="I111" s="75">
        <v>-121</v>
      </c>
      <c r="J111" s="75">
        <v>-279</v>
      </c>
      <c r="K111" s="75">
        <v>0</v>
      </c>
      <c r="L111" s="30">
        <f t="shared" si="452"/>
        <v>-73</v>
      </c>
      <c r="M111" s="75">
        <v>-125</v>
      </c>
      <c r="N111" s="75">
        <v>-294</v>
      </c>
      <c r="O111" s="75">
        <v>0</v>
      </c>
      <c r="P111" s="30">
        <f t="shared" si="453"/>
        <v>-76</v>
      </c>
      <c r="Q111" s="75">
        <v>-130</v>
      </c>
      <c r="R111" s="75">
        <v>-310</v>
      </c>
      <c r="S111" s="75">
        <v>0</v>
      </c>
      <c r="T111" s="18"/>
      <c r="U111" s="30">
        <f t="shared" si="454"/>
        <v>-473</v>
      </c>
      <c r="V111" s="30">
        <f t="shared" si="455"/>
        <v>-477</v>
      </c>
      <c r="W111" s="30">
        <f t="shared" si="456"/>
        <v>-492</v>
      </c>
      <c r="X111" s="30">
        <f t="shared" si="457"/>
        <v>-492</v>
      </c>
      <c r="Y111" s="30">
        <f t="shared" si="458"/>
        <v>-495</v>
      </c>
      <c r="Z111" s="30">
        <f t="shared" si="459"/>
        <v>-500</v>
      </c>
      <c r="AA111" s="30">
        <f t="shared" si="460"/>
        <v>-516</v>
      </c>
      <c r="AB111" s="30">
        <f t="shared" si="461"/>
        <v>-516</v>
      </c>
    </row>
    <row r="112" spans="1:28">
      <c r="B112" s="9" t="s">
        <v>155</v>
      </c>
      <c r="C112" s="76"/>
      <c r="D112" s="76">
        <v>0</v>
      </c>
      <c r="E112" s="76">
        <v>-17</v>
      </c>
      <c r="F112" s="76">
        <v>-90</v>
      </c>
      <c r="G112" s="76">
        <v>0</v>
      </c>
      <c r="H112" s="18"/>
      <c r="I112" s="75">
        <v>7</v>
      </c>
      <c r="J112" s="75">
        <v>-22</v>
      </c>
      <c r="K112" s="75">
        <v>10</v>
      </c>
      <c r="L112" s="30">
        <f t="shared" si="452"/>
        <v>-85</v>
      </c>
      <c r="M112" s="75">
        <v>0</v>
      </c>
      <c r="N112" s="75">
        <v>0</v>
      </c>
      <c r="O112" s="75">
        <v>0</v>
      </c>
      <c r="P112" s="30">
        <f t="shared" si="453"/>
        <v>0</v>
      </c>
      <c r="Q112" s="75">
        <v>0</v>
      </c>
      <c r="R112" s="75">
        <v>0</v>
      </c>
      <c r="S112" s="75">
        <v>0</v>
      </c>
      <c r="T112" s="18"/>
      <c r="U112" s="30">
        <f t="shared" si="454"/>
        <v>-90</v>
      </c>
      <c r="V112" s="30">
        <f t="shared" si="455"/>
        <v>-97</v>
      </c>
      <c r="W112" s="30">
        <f t="shared" si="456"/>
        <v>-75</v>
      </c>
      <c r="X112" s="30">
        <f t="shared" si="457"/>
        <v>-85</v>
      </c>
      <c r="Y112" s="30">
        <f t="shared" si="458"/>
        <v>0</v>
      </c>
      <c r="Z112" s="30">
        <f t="shared" si="459"/>
        <v>0</v>
      </c>
      <c r="AA112" s="30">
        <f t="shared" si="460"/>
        <v>0</v>
      </c>
      <c r="AB112" s="30">
        <f t="shared" si="461"/>
        <v>0</v>
      </c>
    </row>
    <row r="113" spans="1:28">
      <c r="B113" s="9" t="s">
        <v>203</v>
      </c>
      <c r="C113" s="76"/>
      <c r="D113" s="76">
        <v>72</v>
      </c>
      <c r="E113" s="76">
        <v>-24</v>
      </c>
      <c r="F113" s="76">
        <v>-13</v>
      </c>
      <c r="G113" s="76">
        <v>-9154</v>
      </c>
      <c r="H113" s="18"/>
      <c r="I113" s="75">
        <v>-1</v>
      </c>
      <c r="J113" s="75">
        <v>-4</v>
      </c>
      <c r="K113" s="75">
        <v>-11</v>
      </c>
      <c r="L113" s="30">
        <f t="shared" si="452"/>
        <v>3</v>
      </c>
      <c r="M113" s="75">
        <v>0</v>
      </c>
      <c r="N113" s="75">
        <v>-9154</v>
      </c>
      <c r="O113" s="75">
        <v>-5</v>
      </c>
      <c r="P113" s="30">
        <f t="shared" si="453"/>
        <v>5</v>
      </c>
      <c r="Q113" s="75">
        <f>-1-2</f>
        <v>-3</v>
      </c>
      <c r="R113" s="75">
        <v>-1</v>
      </c>
      <c r="S113" s="75">
        <v>-27</v>
      </c>
      <c r="T113" s="18"/>
      <c r="U113" s="30">
        <f t="shared" si="454"/>
        <v>-13</v>
      </c>
      <c r="V113" s="30">
        <f t="shared" si="455"/>
        <v>-12</v>
      </c>
      <c r="W113" s="30">
        <f t="shared" si="456"/>
        <v>-9162</v>
      </c>
      <c r="X113" s="30">
        <f t="shared" si="457"/>
        <v>-9156</v>
      </c>
      <c r="Y113" s="30">
        <f t="shared" si="458"/>
        <v>-9154</v>
      </c>
      <c r="Z113" s="30">
        <f t="shared" si="459"/>
        <v>-9157</v>
      </c>
      <c r="AA113" s="30">
        <f t="shared" si="460"/>
        <v>-4</v>
      </c>
      <c r="AB113" s="30">
        <f t="shared" si="461"/>
        <v>-26</v>
      </c>
    </row>
    <row r="114" spans="1:28">
      <c r="B114" s="12" t="s">
        <v>160</v>
      </c>
      <c r="C114" s="13">
        <f>SUM(C105+SUM(C108:C113))</f>
        <v>10439</v>
      </c>
      <c r="D114" s="13">
        <f>SUM(D105+SUM(D108:D113))</f>
        <v>4359</v>
      </c>
      <c r="E114" s="13">
        <f>SUM(E105+SUM(E108:E113))</f>
        <v>2919</v>
      </c>
      <c r="F114" s="13">
        <f>SUM(F105+SUM(F108:F113))</f>
        <v>3322</v>
      </c>
      <c r="G114" s="13">
        <f>SUM(G105+SUM(G108:G113))</f>
        <v>-5759</v>
      </c>
      <c r="H114" s="18"/>
      <c r="I114" s="13">
        <f>SUM(I105+SUM(I108:I113))</f>
        <v>868</v>
      </c>
      <c r="J114" s="13">
        <f>SUM(J105+SUM(J108:J113))</f>
        <v>481</v>
      </c>
      <c r="K114" s="13">
        <f>SUM(K105+SUM(K108:K113))</f>
        <v>1153</v>
      </c>
      <c r="L114" s="13">
        <f>SUM(L105+SUM(L108:L113))</f>
        <v>820</v>
      </c>
      <c r="M114" s="13">
        <f>SUM(M105+SUM(M108:M113))</f>
        <v>877</v>
      </c>
      <c r="N114" s="13">
        <f>SUM(N105+SUM(N108:N113))</f>
        <v>-8543</v>
      </c>
      <c r="O114" s="13">
        <f>SUM(O105+SUM(O108:O113))</f>
        <v>1054</v>
      </c>
      <c r="P114" s="13">
        <f>SUM(P105+SUM(P108:P113))</f>
        <v>853</v>
      </c>
      <c r="Q114" s="13">
        <f>SUM(Q105+SUM(Q108:Q113))</f>
        <v>737</v>
      </c>
      <c r="R114" s="13">
        <f>SUM(R105+SUM(R108:R113))</f>
        <v>347</v>
      </c>
      <c r="S114" s="13">
        <f>SUM(S105+SUM(S108:S113))</f>
        <v>901</v>
      </c>
      <c r="T114" s="18"/>
      <c r="U114" s="13">
        <f>SUM(U105+SUM(U108:U113))</f>
        <v>3322</v>
      </c>
      <c r="V114" s="13">
        <f>SUM(V105+SUM(V108:V113))</f>
        <v>3331</v>
      </c>
      <c r="W114" s="13">
        <f>SUM(W105+SUM(W108:W113))</f>
        <v>-5693</v>
      </c>
      <c r="X114" s="13">
        <f>SUM(X105+SUM(X108:X113))</f>
        <v>-5792</v>
      </c>
      <c r="Y114" s="13">
        <f>SUM(Y105+SUM(Y108:Y113))</f>
        <v>-5759</v>
      </c>
      <c r="Z114" s="13">
        <f>SUM(Z105+SUM(Z108:Z113))</f>
        <v>-5899</v>
      </c>
      <c r="AA114" s="13">
        <f>SUM(AA105+SUM(AA108:AA113))</f>
        <v>2991</v>
      </c>
      <c r="AB114" s="13">
        <f>SUM(AB105+SUM(AB108:AB113))</f>
        <v>2838</v>
      </c>
    </row>
    <row r="115" spans="1:28">
      <c r="B115" s="14" t="s">
        <v>32</v>
      </c>
      <c r="C115" s="15">
        <f>C114/C98</f>
        <v>1</v>
      </c>
      <c r="D115" s="15">
        <f>D114/D98</f>
        <v>0.3853770665723632</v>
      </c>
      <c r="E115" s="15">
        <f>E114/E98</f>
        <v>0.1508683068017366</v>
      </c>
      <c r="F115" s="15">
        <f>F114/F98</f>
        <v>0.15637356430050839</v>
      </c>
      <c r="G115" s="15">
        <f>G114/G98</f>
        <v>-0.28545229244114001</v>
      </c>
      <c r="H115" s="18"/>
      <c r="I115" s="15">
        <f>I114/I98</f>
        <v>0.15552768321089411</v>
      </c>
      <c r="J115" s="15">
        <f>J114/J98</f>
        <v>8.3535949982632862E-2</v>
      </c>
      <c r="K115" s="15">
        <f>K114/K98</f>
        <v>0.23685291700903863</v>
      </c>
      <c r="L115" s="15">
        <f>L114/L98</f>
        <v>0.16279531467143141</v>
      </c>
      <c r="M115" s="15">
        <f>M114/M98</f>
        <v>0.17112195121951221</v>
      </c>
      <c r="N115" s="15">
        <f>N114/N98</f>
        <v>-1.6204476479514416</v>
      </c>
      <c r="O115" s="15">
        <f>O114/O98</f>
        <v>0.21037924151696608</v>
      </c>
      <c r="P115" s="15">
        <f>P114/P98</f>
        <v>0.1789010067114094</v>
      </c>
      <c r="Q115" s="15">
        <f>Q114/Q98</f>
        <v>0.15437788018433179</v>
      </c>
      <c r="R115" s="15">
        <f>R114/R98</f>
        <v>7.2246512596293985E-2</v>
      </c>
      <c r="S115" s="15">
        <f>S114/S98</f>
        <v>0.23203708472830287</v>
      </c>
      <c r="T115" s="18"/>
      <c r="U115" s="15">
        <f>U114/U98</f>
        <v>0.15637356430050839</v>
      </c>
      <c r="V115" s="15">
        <f>V114/V98</f>
        <v>0.16023667500481048</v>
      </c>
      <c r="W115" s="15">
        <f>W114/W98</f>
        <v>-0.28041572258890751</v>
      </c>
      <c r="X115" s="15">
        <f>X114/X98</f>
        <v>-0.28331050675014674</v>
      </c>
      <c r="Y115" s="15">
        <f>Y114/Y98</f>
        <v>-0.28545229244114001</v>
      </c>
      <c r="Z115" s="15">
        <f>Z114/Z98</f>
        <v>-0.29756860371267152</v>
      </c>
      <c r="AA115" s="15">
        <f>AA114/AA98</f>
        <v>0.15453371221906484</v>
      </c>
      <c r="AB115" s="15">
        <f>AB114/AB98</f>
        <v>0.15569453587886767</v>
      </c>
    </row>
    <row r="117" spans="1:28">
      <c r="A117" s="33" t="s">
        <v>16</v>
      </c>
      <c r="B117" s="1" t="s">
        <v>214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5.0999999999999996" customHeight="1"/>
    <row r="119" spans="1:28" ht="12" customHeight="1">
      <c r="A119" s="74" t="s">
        <v>16</v>
      </c>
      <c r="B119" s="72" t="s">
        <v>215</v>
      </c>
      <c r="C119" s="10"/>
      <c r="D119" s="10"/>
      <c r="E119" s="10"/>
      <c r="F119" s="10"/>
      <c r="G119" s="10"/>
      <c r="H119" s="10"/>
      <c r="I119" s="81"/>
      <c r="J119" s="81"/>
      <c r="K119" s="81"/>
      <c r="L119" s="30"/>
      <c r="M119" s="81"/>
      <c r="N119" s="81"/>
      <c r="O119" s="81"/>
      <c r="P119" s="30"/>
      <c r="Q119" s="81"/>
      <c r="R119" s="81"/>
      <c r="S119" s="81"/>
      <c r="T119" s="5"/>
      <c r="U119" s="11"/>
      <c r="V119" s="11"/>
      <c r="W119" s="11"/>
      <c r="X119" s="11"/>
      <c r="Y119" s="11"/>
      <c r="Z119" s="11"/>
      <c r="AA119" s="11"/>
      <c r="AB119" s="11"/>
    </row>
    <row r="120" spans="1:28" ht="12" customHeight="1">
      <c r="A120" s="74"/>
      <c r="B120" s="9" t="s">
        <v>124</v>
      </c>
      <c r="C120" s="75">
        <v>190</v>
      </c>
      <c r="D120" s="75">
        <v>716</v>
      </c>
      <c r="E120" s="75">
        <v>6371</v>
      </c>
      <c r="F120" s="75">
        <v>8703</v>
      </c>
      <c r="G120" s="75">
        <v>9022</v>
      </c>
      <c r="H120" s="10"/>
      <c r="I120" s="75">
        <v>2165</v>
      </c>
      <c r="J120" s="75">
        <v>2192</v>
      </c>
      <c r="K120" s="75">
        <v>2179</v>
      </c>
      <c r="L120" s="30">
        <f t="shared" ref="L120:L123" si="462">SUM(F120-SUM(I120:K120))</f>
        <v>2167</v>
      </c>
      <c r="M120" s="75">
        <v>2185</v>
      </c>
      <c r="N120" s="75">
        <v>2202</v>
      </c>
      <c r="O120" s="75">
        <v>2320</v>
      </c>
      <c r="P120" s="30">
        <f t="shared" ref="P120:P123" si="463">SUM(G120-SUM(M120:O120))</f>
        <v>2315</v>
      </c>
      <c r="Q120" s="75">
        <v>2329</v>
      </c>
      <c r="R120" s="75">
        <v>2410</v>
      </c>
      <c r="S120" s="75">
        <v>2317</v>
      </c>
      <c r="T120" s="5"/>
      <c r="U120" s="30">
        <f t="shared" ref="U120:U123" si="464">SUM(I120:L120)</f>
        <v>8703</v>
      </c>
      <c r="V120" s="30">
        <f t="shared" ref="V120:V123" si="465">SUM(J120:M120)</f>
        <v>8723</v>
      </c>
      <c r="W120" s="30">
        <f t="shared" ref="W120:W123" si="466">SUM(K120:N120)</f>
        <v>8733</v>
      </c>
      <c r="X120" s="30">
        <f t="shared" ref="X120:X123" si="467">SUM(L120:O120)</f>
        <v>8874</v>
      </c>
      <c r="Y120" s="30">
        <f t="shared" ref="Y120:Y123" si="468">SUM(M120:P120)</f>
        <v>9022</v>
      </c>
      <c r="Z120" s="30">
        <f t="shared" ref="Z120:Z123" si="469">SUM(N120:Q120)</f>
        <v>9166</v>
      </c>
      <c r="AA120" s="30">
        <f t="shared" ref="AA120:AA123" si="470">SUM(O120:R120)</f>
        <v>9374</v>
      </c>
      <c r="AB120" s="30">
        <f t="shared" ref="AB120:AB123" si="471">SUM(P120:S120)</f>
        <v>9371</v>
      </c>
    </row>
    <row r="121" spans="1:28" ht="12" customHeight="1">
      <c r="A121" s="74"/>
      <c r="B121" s="9" t="s">
        <v>122</v>
      </c>
      <c r="C121" s="75">
        <v>25</v>
      </c>
      <c r="D121" s="75">
        <v>131</v>
      </c>
      <c r="E121" s="75">
        <v>371</v>
      </c>
      <c r="F121" s="75">
        <v>548</v>
      </c>
      <c r="G121" s="75">
        <v>855</v>
      </c>
      <c r="H121" s="10"/>
      <c r="I121" s="75">
        <v>103</v>
      </c>
      <c r="J121" s="75">
        <v>121</v>
      </c>
      <c r="K121" s="75">
        <v>138</v>
      </c>
      <c r="L121" s="30">
        <f t="shared" si="462"/>
        <v>186</v>
      </c>
      <c r="M121" s="75">
        <v>175</v>
      </c>
      <c r="N121" s="75">
        <v>240</v>
      </c>
      <c r="O121" s="75">
        <v>205</v>
      </c>
      <c r="P121" s="30">
        <f t="shared" si="463"/>
        <v>235</v>
      </c>
      <c r="Q121" s="75">
        <v>237</v>
      </c>
      <c r="R121" s="75">
        <v>282</v>
      </c>
      <c r="S121" s="75">
        <v>235</v>
      </c>
      <c r="T121" s="5"/>
      <c r="U121" s="30">
        <f t="shared" si="464"/>
        <v>548</v>
      </c>
      <c r="V121" s="30">
        <f t="shared" si="465"/>
        <v>620</v>
      </c>
      <c r="W121" s="30">
        <f t="shared" si="466"/>
        <v>739</v>
      </c>
      <c r="X121" s="30">
        <f t="shared" si="467"/>
        <v>806</v>
      </c>
      <c r="Y121" s="30">
        <f t="shared" si="468"/>
        <v>855</v>
      </c>
      <c r="Z121" s="30">
        <f t="shared" si="469"/>
        <v>917</v>
      </c>
      <c r="AA121" s="30">
        <f t="shared" si="470"/>
        <v>959</v>
      </c>
      <c r="AB121" s="30">
        <f t="shared" si="471"/>
        <v>989</v>
      </c>
    </row>
    <row r="122" spans="1:28" ht="12" customHeight="1">
      <c r="A122" s="74"/>
      <c r="B122" s="9" t="s">
        <v>125</v>
      </c>
      <c r="C122" s="75">
        <v>3</v>
      </c>
      <c r="D122" s="75">
        <v>11</v>
      </c>
      <c r="E122" s="75">
        <v>522</v>
      </c>
      <c r="F122" s="75">
        <v>886</v>
      </c>
      <c r="G122" s="75">
        <v>428</v>
      </c>
      <c r="H122" s="10"/>
      <c r="I122" s="75">
        <v>185</v>
      </c>
      <c r="J122" s="75">
        <v>410</v>
      </c>
      <c r="K122" s="75">
        <v>120</v>
      </c>
      <c r="L122" s="30">
        <f t="shared" si="462"/>
        <v>171</v>
      </c>
      <c r="M122" s="75">
        <v>99</v>
      </c>
      <c r="N122" s="75">
        <v>123</v>
      </c>
      <c r="O122" s="75">
        <v>107</v>
      </c>
      <c r="P122" s="30">
        <f t="shared" si="463"/>
        <v>99</v>
      </c>
      <c r="Q122" s="75">
        <v>88</v>
      </c>
      <c r="R122" s="75">
        <v>102</v>
      </c>
      <c r="S122" s="75">
        <v>79</v>
      </c>
      <c r="T122" s="5"/>
      <c r="U122" s="30">
        <f t="shared" si="464"/>
        <v>886</v>
      </c>
      <c r="V122" s="30">
        <f t="shared" si="465"/>
        <v>800</v>
      </c>
      <c r="W122" s="30">
        <f t="shared" si="466"/>
        <v>513</v>
      </c>
      <c r="X122" s="30">
        <f t="shared" si="467"/>
        <v>500</v>
      </c>
      <c r="Y122" s="30">
        <f t="shared" si="468"/>
        <v>428</v>
      </c>
      <c r="Z122" s="30">
        <f t="shared" si="469"/>
        <v>417</v>
      </c>
      <c r="AA122" s="30">
        <f t="shared" si="470"/>
        <v>396</v>
      </c>
      <c r="AB122" s="30">
        <f t="shared" si="471"/>
        <v>368</v>
      </c>
    </row>
    <row r="123" spans="1:28" ht="12" customHeight="1">
      <c r="A123" s="74"/>
      <c r="B123" s="9" t="s">
        <v>126</v>
      </c>
      <c r="C123" s="75">
        <v>2</v>
      </c>
      <c r="D123" s="75">
        <v>2</v>
      </c>
      <c r="E123" s="75">
        <v>10</v>
      </c>
      <c r="F123" s="75">
        <v>17</v>
      </c>
      <c r="G123" s="75">
        <v>8</v>
      </c>
      <c r="H123" s="10"/>
      <c r="I123" s="75">
        <v>2</v>
      </c>
      <c r="J123" s="75">
        <v>9</v>
      </c>
      <c r="K123" s="75">
        <v>1</v>
      </c>
      <c r="L123" s="30">
        <f t="shared" si="462"/>
        <v>5</v>
      </c>
      <c r="M123" s="75">
        <v>1</v>
      </c>
      <c r="N123" s="75">
        <v>3</v>
      </c>
      <c r="O123" s="75">
        <v>2</v>
      </c>
      <c r="P123" s="30">
        <f t="shared" si="463"/>
        <v>2</v>
      </c>
      <c r="Q123" s="75">
        <v>2</v>
      </c>
      <c r="R123" s="75">
        <v>-1</v>
      </c>
      <c r="S123" s="75">
        <v>2</v>
      </c>
      <c r="T123" s="5"/>
      <c r="U123" s="30">
        <f t="shared" si="464"/>
        <v>17</v>
      </c>
      <c r="V123" s="30">
        <f t="shared" si="465"/>
        <v>16</v>
      </c>
      <c r="W123" s="30">
        <f t="shared" si="466"/>
        <v>10</v>
      </c>
      <c r="X123" s="30">
        <f t="shared" si="467"/>
        <v>11</v>
      </c>
      <c r="Y123" s="30">
        <f t="shared" si="468"/>
        <v>8</v>
      </c>
      <c r="Z123" s="30">
        <f t="shared" si="469"/>
        <v>9</v>
      </c>
      <c r="AA123" s="30">
        <f t="shared" si="470"/>
        <v>5</v>
      </c>
      <c r="AB123" s="30">
        <f t="shared" si="471"/>
        <v>5</v>
      </c>
    </row>
    <row r="124" spans="1:28" ht="12" customHeight="1">
      <c r="B124" s="12" t="s">
        <v>217</v>
      </c>
      <c r="C124" s="13">
        <f>SUM(C120:C123)</f>
        <v>220</v>
      </c>
      <c r="D124" s="13">
        <f>SUM(D120:D123)</f>
        <v>860</v>
      </c>
      <c r="E124" s="13">
        <f>SUM(E120:E123)</f>
        <v>7274</v>
      </c>
      <c r="F124" s="13">
        <f>SUM(F120:F123)</f>
        <v>10154</v>
      </c>
      <c r="G124" s="13">
        <f>SUM(G120:G123)</f>
        <v>10313</v>
      </c>
      <c r="H124" s="11"/>
      <c r="I124" s="13">
        <f>SUM(I120:I123)</f>
        <v>2455</v>
      </c>
      <c r="J124" s="13">
        <f>SUM(J120:J123)</f>
        <v>2732</v>
      </c>
      <c r="K124" s="13">
        <f>SUM(K120:K123)</f>
        <v>2438</v>
      </c>
      <c r="L124" s="13">
        <f>SUM(L120:L123)</f>
        <v>2529</v>
      </c>
      <c r="M124" s="13">
        <f>SUM(M120:M123)</f>
        <v>2460</v>
      </c>
      <c r="N124" s="13">
        <f>SUM(N120:N123)</f>
        <v>2568</v>
      </c>
      <c r="O124" s="13">
        <f>SUM(O120:O123)</f>
        <v>2634</v>
      </c>
      <c r="P124" s="13">
        <f>SUM(P120:P123)</f>
        <v>2651</v>
      </c>
      <c r="Q124" s="13">
        <f>SUM(Q120:Q123)</f>
        <v>2656</v>
      </c>
      <c r="R124" s="13">
        <f>SUM(R120:R123)</f>
        <v>2793</v>
      </c>
      <c r="S124" s="13">
        <f>SUM(S120:S123)</f>
        <v>2633</v>
      </c>
      <c r="T124" s="5"/>
      <c r="U124" s="13">
        <f>SUM(U120:U123)</f>
        <v>10154</v>
      </c>
      <c r="V124" s="13">
        <f>SUM(V120:V123)</f>
        <v>10159</v>
      </c>
      <c r="W124" s="13">
        <f>SUM(W120:W123)</f>
        <v>9995</v>
      </c>
      <c r="X124" s="13">
        <f>SUM(X120:X123)</f>
        <v>10191</v>
      </c>
      <c r="Y124" s="13">
        <f>SUM(Y120:Y123)</f>
        <v>10313</v>
      </c>
      <c r="Z124" s="13">
        <f>SUM(Z120:Z123)</f>
        <v>10509</v>
      </c>
      <c r="AA124" s="13">
        <f>SUM(AA120:AA123)</f>
        <v>10734</v>
      </c>
      <c r="AB124" s="13">
        <f>SUM(AB120:AB123)</f>
        <v>10733</v>
      </c>
    </row>
    <row r="125" spans="1:28" ht="12" customHeight="1" outlineLevel="1">
      <c r="B125" s="114" t="s">
        <v>123</v>
      </c>
      <c r="C125" s="73">
        <f>+C124-C27</f>
        <v>0</v>
      </c>
      <c r="D125" s="73">
        <f t="shared" ref="D125:G125" si="472">+D124-D27</f>
        <v>0</v>
      </c>
      <c r="E125" s="73">
        <f t="shared" si="472"/>
        <v>0</v>
      </c>
      <c r="F125" s="73">
        <f t="shared" si="472"/>
        <v>0</v>
      </c>
      <c r="G125" s="73">
        <f t="shared" si="472"/>
        <v>0</v>
      </c>
      <c r="H125" s="11"/>
      <c r="I125" s="73">
        <f t="shared" ref="I125" si="473">+I124-I27</f>
        <v>0</v>
      </c>
      <c r="J125" s="73">
        <f t="shared" ref="J125" si="474">+J124-J27</f>
        <v>0</v>
      </c>
      <c r="K125" s="73">
        <f t="shared" ref="K125" si="475">+K124-K27</f>
        <v>0</v>
      </c>
      <c r="L125" s="73">
        <f t="shared" ref="L125" si="476">+L124-L27</f>
        <v>0</v>
      </c>
      <c r="M125" s="73">
        <f t="shared" ref="M125" si="477">+M124-M27</f>
        <v>0</v>
      </c>
      <c r="N125" s="73">
        <f t="shared" ref="N125" si="478">+N124-N27</f>
        <v>0</v>
      </c>
      <c r="O125" s="73">
        <f t="shared" ref="O125" si="479">+O124-O27</f>
        <v>0</v>
      </c>
      <c r="P125" s="73">
        <f t="shared" ref="P125" si="480">+P124-P27</f>
        <v>0</v>
      </c>
      <c r="Q125" s="73">
        <f t="shared" ref="Q125" si="481">+Q124-Q27</f>
        <v>0</v>
      </c>
      <c r="R125" s="73">
        <f t="shared" ref="R125" si="482">+R124-R27</f>
        <v>0</v>
      </c>
      <c r="S125" s="73">
        <f t="shared" ref="S125" si="483">+S124-S27</f>
        <v>0</v>
      </c>
      <c r="T125" s="5"/>
      <c r="U125" s="73">
        <f t="shared" ref="U125" si="484">+U124-U27</f>
        <v>0</v>
      </c>
      <c r="V125" s="73">
        <f t="shared" ref="V125" si="485">+V124-V27</f>
        <v>0</v>
      </c>
      <c r="W125" s="73">
        <f t="shared" ref="W125" si="486">+W124-W27</f>
        <v>0</v>
      </c>
      <c r="X125" s="73">
        <f t="shared" ref="X125" si="487">+X124-X27</f>
        <v>0</v>
      </c>
      <c r="Y125" s="73">
        <f t="shared" ref="Y125" si="488">+Y124-Y27</f>
        <v>0</v>
      </c>
      <c r="Z125" s="73">
        <f t="shared" ref="Z125" si="489">+Z124-Z27</f>
        <v>0</v>
      </c>
      <c r="AA125" s="73">
        <f t="shared" ref="AA125" si="490">+AA124-AA27</f>
        <v>0</v>
      </c>
      <c r="AB125" s="73">
        <f t="shared" ref="AB125" si="491">+AB124-AB27</f>
        <v>0</v>
      </c>
    </row>
    <row r="126" spans="1:28" ht="12" customHeight="1">
      <c r="B126" s="16"/>
      <c r="C126" s="17"/>
      <c r="D126" s="17"/>
      <c r="E126" s="17"/>
      <c r="F126" s="17"/>
      <c r="G126" s="17"/>
      <c r="H126" s="18"/>
      <c r="I126" s="19"/>
      <c r="J126" s="19"/>
      <c r="K126" s="19"/>
      <c r="L126" s="20"/>
      <c r="M126" s="19"/>
      <c r="N126" s="19"/>
      <c r="O126" s="19"/>
      <c r="P126" s="19"/>
      <c r="Q126" s="19"/>
      <c r="R126" s="19"/>
      <c r="S126" s="19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ht="12" customHeight="1">
      <c r="B127" s="115" t="str">
        <f>B120&amp;"(%)"</f>
        <v>Distribution(%)</v>
      </c>
      <c r="C127" s="127">
        <f>C120/C$124</f>
        <v>0.86363636363636365</v>
      </c>
      <c r="D127" s="127">
        <f>D120/D$124</f>
        <v>0.83255813953488367</v>
      </c>
      <c r="E127" s="127">
        <f>E120/E$124</f>
        <v>0.87585922463568877</v>
      </c>
      <c r="F127" s="127">
        <f>F120/F$124</f>
        <v>0.85710064999015168</v>
      </c>
      <c r="G127" s="127">
        <f>G120/G$124</f>
        <v>0.87481819063318145</v>
      </c>
      <c r="H127" s="116"/>
      <c r="I127" s="127">
        <f>I120/I$124</f>
        <v>0.88187372708757639</v>
      </c>
      <c r="J127" s="127">
        <f>J120/J$124</f>
        <v>0.80234260614934116</v>
      </c>
      <c r="K127" s="127">
        <f>K120/K$124</f>
        <v>0.89376538146021334</v>
      </c>
      <c r="L127" s="127">
        <f>L120/L$124</f>
        <v>0.85686041913799926</v>
      </c>
      <c r="M127" s="127">
        <f>M120/M$124</f>
        <v>0.88821138211382111</v>
      </c>
      <c r="N127" s="127">
        <f>N120/N$124</f>
        <v>0.85747663551401865</v>
      </c>
      <c r="O127" s="127">
        <f>O120/O$124</f>
        <v>0.88078967350037962</v>
      </c>
      <c r="P127" s="127">
        <f>P120/P$124</f>
        <v>0.87325537533006414</v>
      </c>
      <c r="Q127" s="127">
        <f>Q120/Q$124</f>
        <v>0.8768825301204819</v>
      </c>
      <c r="R127" s="127">
        <f>R120/R$124</f>
        <v>0.86287146437522377</v>
      </c>
      <c r="S127" s="127">
        <f>S120/S$124</f>
        <v>0.87998480820357006</v>
      </c>
      <c r="T127" s="116"/>
      <c r="U127" s="117">
        <f>U120/U$124</f>
        <v>0.85710064999015168</v>
      </c>
      <c r="V127" s="117">
        <f>V120/V$124</f>
        <v>0.85864750467565709</v>
      </c>
      <c r="W127" s="117">
        <f>W120/W$124</f>
        <v>0.87373686843421716</v>
      </c>
      <c r="X127" s="117">
        <f>X120/X$124</f>
        <v>0.87076832499264056</v>
      </c>
      <c r="Y127" s="117">
        <f>Y120/Y$124</f>
        <v>0.87481819063318145</v>
      </c>
      <c r="Z127" s="117">
        <f>Z120/Z$124</f>
        <v>0.8722047768579313</v>
      </c>
      <c r="AA127" s="117">
        <f>AA120/AA$124</f>
        <v>0.87329979504378608</v>
      </c>
      <c r="AB127" s="118">
        <f>AB120/AB$124</f>
        <v>0.87310164911953791</v>
      </c>
    </row>
    <row r="128" spans="1:28" ht="12" customHeight="1">
      <c r="B128" s="119" t="str">
        <f t="shared" ref="B128:B130" si="492">B121&amp;"(%)"</f>
        <v>Advertising(%)</v>
      </c>
      <c r="C128" s="129">
        <f t="shared" ref="C128" si="493">C121/C$124</f>
        <v>0.11363636363636363</v>
      </c>
      <c r="D128" s="129">
        <f t="shared" ref="D128:G128" si="494">D121/D$124</f>
        <v>0.15232558139534882</v>
      </c>
      <c r="E128" s="129">
        <f t="shared" si="494"/>
        <v>5.1003574374484467E-2</v>
      </c>
      <c r="F128" s="129">
        <f t="shared" si="494"/>
        <v>5.3968879259405161E-2</v>
      </c>
      <c r="G128" s="129">
        <f t="shared" si="494"/>
        <v>8.2905071269271796E-2</v>
      </c>
      <c r="H128" s="120"/>
      <c r="I128" s="129">
        <f t="shared" ref="I128:S128" si="495">I121/I$124</f>
        <v>4.1955193482688391E-2</v>
      </c>
      <c r="J128" s="129">
        <f t="shared" si="495"/>
        <v>4.4289897510980968E-2</v>
      </c>
      <c r="K128" s="129">
        <f t="shared" si="495"/>
        <v>5.6603773584905662E-2</v>
      </c>
      <c r="L128" s="129">
        <f t="shared" si="495"/>
        <v>7.354685646500593E-2</v>
      </c>
      <c r="M128" s="129">
        <f t="shared" si="495"/>
        <v>7.113821138211382E-2</v>
      </c>
      <c r="N128" s="129">
        <f t="shared" si="495"/>
        <v>9.3457943925233641E-2</v>
      </c>
      <c r="O128" s="129">
        <f t="shared" si="495"/>
        <v>7.7828397873955957E-2</v>
      </c>
      <c r="P128" s="129">
        <f t="shared" si="495"/>
        <v>8.8645794039984918E-2</v>
      </c>
      <c r="Q128" s="129">
        <f t="shared" si="495"/>
        <v>8.9231927710843373E-2</v>
      </c>
      <c r="R128" s="129">
        <f t="shared" si="495"/>
        <v>0.10096670247046187</v>
      </c>
      <c r="S128" s="129">
        <f t="shared" si="495"/>
        <v>8.9251804025826054E-2</v>
      </c>
      <c r="T128" s="120"/>
      <c r="U128" s="121">
        <f t="shared" ref="U128:AB128" si="496">U121/U$124</f>
        <v>5.3968879259405161E-2</v>
      </c>
      <c r="V128" s="121">
        <f t="shared" si="496"/>
        <v>6.102962890048233E-2</v>
      </c>
      <c r="W128" s="121">
        <f t="shared" si="496"/>
        <v>7.3936968484242124E-2</v>
      </c>
      <c r="X128" s="121">
        <f t="shared" si="496"/>
        <v>7.9089392601314881E-2</v>
      </c>
      <c r="Y128" s="121">
        <f t="shared" si="496"/>
        <v>8.2905071269271796E-2</v>
      </c>
      <c r="Z128" s="121">
        <f t="shared" si="496"/>
        <v>8.7258540298791515E-2</v>
      </c>
      <c r="AA128" s="121">
        <f t="shared" si="496"/>
        <v>8.9342276877212592E-2</v>
      </c>
      <c r="AB128" s="122">
        <f t="shared" si="496"/>
        <v>9.214571881114321E-2</v>
      </c>
    </row>
    <row r="129" spans="1:28" ht="12" customHeight="1">
      <c r="B129" s="119" t="str">
        <f t="shared" si="492"/>
        <v>Content(%)</v>
      </c>
      <c r="C129" s="129">
        <f t="shared" ref="C129" si="497">C122/C$124</f>
        <v>1.3636363636363636E-2</v>
      </c>
      <c r="D129" s="129">
        <f t="shared" ref="D129:G129" si="498">D122/D$124</f>
        <v>1.2790697674418604E-2</v>
      </c>
      <c r="E129" s="129">
        <f t="shared" si="498"/>
        <v>7.1762441572724767E-2</v>
      </c>
      <c r="F129" s="129">
        <f t="shared" si="498"/>
        <v>8.7256253693125868E-2</v>
      </c>
      <c r="G129" s="129">
        <f t="shared" si="498"/>
        <v>4.1501018132454187E-2</v>
      </c>
      <c r="H129" s="120"/>
      <c r="I129" s="129">
        <f t="shared" ref="I129:S129" si="499">I122/I$124</f>
        <v>7.5356415478615074E-2</v>
      </c>
      <c r="J129" s="129">
        <f t="shared" si="499"/>
        <v>0.1500732064421669</v>
      </c>
      <c r="K129" s="129">
        <f t="shared" si="499"/>
        <v>4.922067268252666E-2</v>
      </c>
      <c r="L129" s="129">
        <f t="shared" si="499"/>
        <v>6.7615658362989328E-2</v>
      </c>
      <c r="M129" s="129">
        <f t="shared" si="499"/>
        <v>4.0243902439024391E-2</v>
      </c>
      <c r="N129" s="129">
        <f t="shared" si="499"/>
        <v>4.7897196261682241E-2</v>
      </c>
      <c r="O129" s="129">
        <f t="shared" si="499"/>
        <v>4.0622627182991651E-2</v>
      </c>
      <c r="P129" s="129">
        <f t="shared" si="499"/>
        <v>3.7344398340248962E-2</v>
      </c>
      <c r="Q129" s="129">
        <f t="shared" si="499"/>
        <v>3.313253012048193E-2</v>
      </c>
      <c r="R129" s="129">
        <f t="shared" si="499"/>
        <v>3.6519871106337275E-2</v>
      </c>
      <c r="S129" s="129">
        <f t="shared" si="499"/>
        <v>3.0003797949107482E-2</v>
      </c>
      <c r="T129" s="120"/>
      <c r="U129" s="121">
        <f t="shared" ref="U129:AB129" si="500">U122/U$124</f>
        <v>8.7256253693125868E-2</v>
      </c>
      <c r="V129" s="121">
        <f t="shared" si="500"/>
        <v>7.8747908258686883E-2</v>
      </c>
      <c r="W129" s="121">
        <f t="shared" si="500"/>
        <v>5.1325662831415708E-2</v>
      </c>
      <c r="X129" s="121">
        <f t="shared" si="500"/>
        <v>4.906289863605142E-2</v>
      </c>
      <c r="Y129" s="121">
        <f t="shared" si="500"/>
        <v>4.1501018132454187E-2</v>
      </c>
      <c r="Z129" s="121">
        <f t="shared" si="500"/>
        <v>3.9680274050813591E-2</v>
      </c>
      <c r="AA129" s="121">
        <f t="shared" si="500"/>
        <v>3.6892118501956402E-2</v>
      </c>
      <c r="AB129" s="122">
        <f t="shared" si="500"/>
        <v>3.4286779092518399E-2</v>
      </c>
    </row>
    <row r="130" spans="1:28" ht="12" customHeight="1">
      <c r="B130" s="123" t="str">
        <f t="shared" si="492"/>
        <v>Other(%)</v>
      </c>
      <c r="C130" s="128">
        <f t="shared" ref="C130" si="501">C123/C$124</f>
        <v>9.0909090909090905E-3</v>
      </c>
      <c r="D130" s="128">
        <f t="shared" ref="D130:G130" si="502">D123/D$124</f>
        <v>2.3255813953488372E-3</v>
      </c>
      <c r="E130" s="128">
        <f t="shared" si="502"/>
        <v>1.3747594171020072E-3</v>
      </c>
      <c r="F130" s="128">
        <f t="shared" si="502"/>
        <v>1.6742170573173134E-3</v>
      </c>
      <c r="G130" s="128">
        <f t="shared" si="502"/>
        <v>7.7571996509260156E-4</v>
      </c>
      <c r="H130" s="124"/>
      <c r="I130" s="128">
        <f t="shared" ref="I130:S130" si="503">I123/I$124</f>
        <v>8.1466395112016296E-4</v>
      </c>
      <c r="J130" s="128">
        <f t="shared" si="503"/>
        <v>3.2942898975109811E-3</v>
      </c>
      <c r="K130" s="128">
        <f t="shared" si="503"/>
        <v>4.1017227235438887E-4</v>
      </c>
      <c r="L130" s="128">
        <f t="shared" si="503"/>
        <v>1.9770660340055358E-3</v>
      </c>
      <c r="M130" s="128">
        <f t="shared" si="503"/>
        <v>4.0650406504065041E-4</v>
      </c>
      <c r="N130" s="128">
        <f t="shared" si="503"/>
        <v>1.1682242990654205E-3</v>
      </c>
      <c r="O130" s="128">
        <f t="shared" si="503"/>
        <v>7.5930144267274111E-4</v>
      </c>
      <c r="P130" s="128">
        <f t="shared" si="503"/>
        <v>7.5443228970199924E-4</v>
      </c>
      <c r="Q130" s="128">
        <f t="shared" si="503"/>
        <v>7.5301204819277112E-4</v>
      </c>
      <c r="R130" s="128">
        <f t="shared" si="503"/>
        <v>-3.5803795202291446E-4</v>
      </c>
      <c r="S130" s="128">
        <f t="shared" si="503"/>
        <v>7.5958982149639193E-4</v>
      </c>
      <c r="T130" s="124"/>
      <c r="U130" s="125">
        <f t="shared" ref="U130:AB130" si="504">U123/U$124</f>
        <v>1.6742170573173134E-3</v>
      </c>
      <c r="V130" s="125">
        <f t="shared" si="504"/>
        <v>1.5749581651737375E-3</v>
      </c>
      <c r="W130" s="125">
        <f t="shared" si="504"/>
        <v>1.0005002501250625E-3</v>
      </c>
      <c r="X130" s="125">
        <f t="shared" si="504"/>
        <v>1.0793837699931313E-3</v>
      </c>
      <c r="Y130" s="125">
        <f t="shared" si="504"/>
        <v>7.7571996509260156E-4</v>
      </c>
      <c r="Z130" s="125">
        <f t="shared" si="504"/>
        <v>8.5640879246360268E-4</v>
      </c>
      <c r="AA130" s="125">
        <f t="shared" si="504"/>
        <v>4.6580957704490402E-4</v>
      </c>
      <c r="AB130" s="126">
        <f t="shared" si="504"/>
        <v>4.6585297680052176E-4</v>
      </c>
    </row>
    <row r="131" spans="1:28" ht="12" customHeight="1"/>
    <row r="132" spans="1:28">
      <c r="A132" s="74" t="s">
        <v>16</v>
      </c>
      <c r="B132" s="72" t="s">
        <v>216</v>
      </c>
      <c r="C132" s="17"/>
      <c r="D132" s="17"/>
      <c r="E132" s="17"/>
      <c r="F132" s="17"/>
      <c r="G132" s="17"/>
      <c r="H132" s="18"/>
      <c r="I132" s="19"/>
      <c r="J132" s="19"/>
      <c r="K132" s="19"/>
      <c r="L132" s="20"/>
      <c r="M132" s="19"/>
      <c r="N132" s="19"/>
      <c r="O132" s="19"/>
      <c r="P132" s="19"/>
      <c r="Q132" s="19"/>
      <c r="R132" s="19"/>
      <c r="S132" s="19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ht="12.75" customHeight="1">
      <c r="A133" s="74"/>
      <c r="B133" s="9" t="str">
        <f>B120</f>
        <v>Distribution</v>
      </c>
      <c r="C133" s="106">
        <f>C120</f>
        <v>190</v>
      </c>
      <c r="D133" s="106">
        <f>D120</f>
        <v>716</v>
      </c>
      <c r="E133" s="106">
        <f t="shared" ref="E133:G133" si="505">E120</f>
        <v>6371</v>
      </c>
      <c r="F133" s="106">
        <f t="shared" si="505"/>
        <v>8703</v>
      </c>
      <c r="G133" s="106">
        <f t="shared" si="505"/>
        <v>9022</v>
      </c>
      <c r="H133" s="10"/>
      <c r="I133" s="106">
        <f t="shared" ref="I133:S133" si="506">I120</f>
        <v>2165</v>
      </c>
      <c r="J133" s="106">
        <f t="shared" si="506"/>
        <v>2192</v>
      </c>
      <c r="K133" s="106">
        <f t="shared" si="506"/>
        <v>2179</v>
      </c>
      <c r="L133" s="30">
        <f t="shared" ref="L133:L136" si="507">SUM(F133-SUM(I133:K133))</f>
        <v>2167</v>
      </c>
      <c r="M133" s="106">
        <f t="shared" si="506"/>
        <v>2185</v>
      </c>
      <c r="N133" s="106">
        <f t="shared" si="506"/>
        <v>2202</v>
      </c>
      <c r="O133" s="106">
        <f t="shared" si="506"/>
        <v>2320</v>
      </c>
      <c r="P133" s="30">
        <f t="shared" ref="P133:P136" si="508">SUM(G133-SUM(M133:O133))</f>
        <v>2315</v>
      </c>
      <c r="Q133" s="106">
        <f t="shared" si="506"/>
        <v>2329</v>
      </c>
      <c r="R133" s="106">
        <f t="shared" si="506"/>
        <v>2410</v>
      </c>
      <c r="S133" s="106">
        <f t="shared" si="506"/>
        <v>2317</v>
      </c>
      <c r="T133" s="5"/>
      <c r="U133" s="30">
        <f t="shared" ref="U133:U136" si="509">SUM(I133:L133)</f>
        <v>8703</v>
      </c>
      <c r="V133" s="30">
        <f t="shared" ref="V133:V136" si="510">SUM(J133:M133)</f>
        <v>8723</v>
      </c>
      <c r="W133" s="30">
        <f t="shared" ref="W133:W136" si="511">SUM(K133:N133)</f>
        <v>8733</v>
      </c>
      <c r="X133" s="30">
        <f t="shared" ref="X133:X136" si="512">SUM(L133:O133)</f>
        <v>8874</v>
      </c>
      <c r="Y133" s="30">
        <f t="shared" ref="Y133:Y136" si="513">SUM(M133:P133)</f>
        <v>9022</v>
      </c>
      <c r="Z133" s="30">
        <f t="shared" ref="Z133:Z136" si="514">SUM(N133:Q133)</f>
        <v>9166</v>
      </c>
      <c r="AA133" s="30">
        <f t="shared" ref="AA133:AA136" si="515">SUM(O133:R133)</f>
        <v>9374</v>
      </c>
      <c r="AB133" s="30">
        <f t="shared" ref="AB133:AB136" si="516">SUM(P133:S133)</f>
        <v>9371</v>
      </c>
    </row>
    <row r="134" spans="1:28" ht="12.75" customHeight="1">
      <c r="A134" s="74"/>
      <c r="B134" s="9" t="str">
        <f t="shared" ref="B134:G134" si="517">B121</f>
        <v>Advertising</v>
      </c>
      <c r="C134" s="106">
        <f t="shared" ref="C134" si="518">C121</f>
        <v>25</v>
      </c>
      <c r="D134" s="106">
        <f t="shared" si="517"/>
        <v>131</v>
      </c>
      <c r="E134" s="106">
        <f t="shared" si="517"/>
        <v>371</v>
      </c>
      <c r="F134" s="106">
        <f t="shared" si="517"/>
        <v>548</v>
      </c>
      <c r="G134" s="106">
        <f t="shared" si="517"/>
        <v>855</v>
      </c>
      <c r="H134" s="10"/>
      <c r="I134" s="106">
        <f t="shared" ref="I134:S134" si="519">I121</f>
        <v>103</v>
      </c>
      <c r="J134" s="106">
        <f t="shared" si="519"/>
        <v>121</v>
      </c>
      <c r="K134" s="106">
        <f t="shared" si="519"/>
        <v>138</v>
      </c>
      <c r="L134" s="30">
        <f t="shared" si="507"/>
        <v>186</v>
      </c>
      <c r="M134" s="106">
        <f t="shared" si="519"/>
        <v>175</v>
      </c>
      <c r="N134" s="106">
        <f t="shared" si="519"/>
        <v>240</v>
      </c>
      <c r="O134" s="106">
        <f t="shared" si="519"/>
        <v>205</v>
      </c>
      <c r="P134" s="30">
        <f t="shared" si="508"/>
        <v>235</v>
      </c>
      <c r="Q134" s="106">
        <f t="shared" si="519"/>
        <v>237</v>
      </c>
      <c r="R134" s="106">
        <f t="shared" si="519"/>
        <v>282</v>
      </c>
      <c r="S134" s="106">
        <f t="shared" si="519"/>
        <v>235</v>
      </c>
      <c r="T134" s="5"/>
      <c r="U134" s="30">
        <f t="shared" si="509"/>
        <v>548</v>
      </c>
      <c r="V134" s="30">
        <f t="shared" si="510"/>
        <v>620</v>
      </c>
      <c r="W134" s="30">
        <f t="shared" si="511"/>
        <v>739</v>
      </c>
      <c r="X134" s="30">
        <f t="shared" si="512"/>
        <v>806</v>
      </c>
      <c r="Y134" s="30">
        <f t="shared" si="513"/>
        <v>855</v>
      </c>
      <c r="Z134" s="30">
        <f t="shared" si="514"/>
        <v>917</v>
      </c>
      <c r="AA134" s="30">
        <f t="shared" si="515"/>
        <v>959</v>
      </c>
      <c r="AB134" s="30">
        <f t="shared" si="516"/>
        <v>989</v>
      </c>
    </row>
    <row r="135" spans="1:28" ht="12.75" customHeight="1">
      <c r="A135" s="74"/>
      <c r="B135" s="9" t="str">
        <f t="shared" ref="B135:G135" si="520">B122</f>
        <v>Content</v>
      </c>
      <c r="C135" s="106">
        <f t="shared" ref="C135" si="521">C122</f>
        <v>3</v>
      </c>
      <c r="D135" s="106">
        <f t="shared" si="520"/>
        <v>11</v>
      </c>
      <c r="E135" s="106">
        <f t="shared" si="520"/>
        <v>522</v>
      </c>
      <c r="F135" s="106">
        <f t="shared" si="520"/>
        <v>886</v>
      </c>
      <c r="G135" s="106">
        <f t="shared" si="520"/>
        <v>428</v>
      </c>
      <c r="H135" s="10"/>
      <c r="I135" s="106">
        <f t="shared" ref="I135:S135" si="522">I122</f>
        <v>185</v>
      </c>
      <c r="J135" s="106">
        <f t="shared" si="522"/>
        <v>410</v>
      </c>
      <c r="K135" s="106">
        <f t="shared" si="522"/>
        <v>120</v>
      </c>
      <c r="L135" s="30">
        <f t="shared" si="507"/>
        <v>171</v>
      </c>
      <c r="M135" s="106">
        <f t="shared" si="522"/>
        <v>99</v>
      </c>
      <c r="N135" s="106">
        <f t="shared" si="522"/>
        <v>123</v>
      </c>
      <c r="O135" s="106">
        <f t="shared" si="522"/>
        <v>107</v>
      </c>
      <c r="P135" s="30">
        <f t="shared" si="508"/>
        <v>99</v>
      </c>
      <c r="Q135" s="106">
        <f t="shared" si="522"/>
        <v>88</v>
      </c>
      <c r="R135" s="106">
        <f t="shared" si="522"/>
        <v>102</v>
      </c>
      <c r="S135" s="106">
        <f t="shared" si="522"/>
        <v>79</v>
      </c>
      <c r="T135" s="5"/>
      <c r="U135" s="30">
        <f t="shared" si="509"/>
        <v>886</v>
      </c>
      <c r="V135" s="30">
        <f t="shared" si="510"/>
        <v>800</v>
      </c>
      <c r="W135" s="30">
        <f t="shared" si="511"/>
        <v>513</v>
      </c>
      <c r="X135" s="30">
        <f t="shared" si="512"/>
        <v>500</v>
      </c>
      <c r="Y135" s="30">
        <f t="shared" si="513"/>
        <v>428</v>
      </c>
      <c r="Z135" s="30">
        <f t="shared" si="514"/>
        <v>417</v>
      </c>
      <c r="AA135" s="30">
        <f t="shared" si="515"/>
        <v>396</v>
      </c>
      <c r="AB135" s="30">
        <f t="shared" si="516"/>
        <v>368</v>
      </c>
    </row>
    <row r="136" spans="1:28" ht="12.75" customHeight="1">
      <c r="A136" s="74"/>
      <c r="B136" s="9" t="str">
        <f t="shared" ref="B136:G136" si="523">B123</f>
        <v>Other</v>
      </c>
      <c r="C136" s="106">
        <f t="shared" ref="C136" si="524">C123</f>
        <v>2</v>
      </c>
      <c r="D136" s="106">
        <f t="shared" si="523"/>
        <v>2</v>
      </c>
      <c r="E136" s="106">
        <f t="shared" si="523"/>
        <v>10</v>
      </c>
      <c r="F136" s="106">
        <f t="shared" si="523"/>
        <v>17</v>
      </c>
      <c r="G136" s="106">
        <f t="shared" si="523"/>
        <v>8</v>
      </c>
      <c r="H136" s="10"/>
      <c r="I136" s="106">
        <f t="shared" ref="I136:S136" si="525">I123</f>
        <v>2</v>
      </c>
      <c r="J136" s="106">
        <f t="shared" si="525"/>
        <v>9</v>
      </c>
      <c r="K136" s="106">
        <f t="shared" si="525"/>
        <v>1</v>
      </c>
      <c r="L136" s="30">
        <f t="shared" si="507"/>
        <v>5</v>
      </c>
      <c r="M136" s="106">
        <f t="shared" si="525"/>
        <v>1</v>
      </c>
      <c r="N136" s="106">
        <f t="shared" si="525"/>
        <v>3</v>
      </c>
      <c r="O136" s="106">
        <f t="shared" si="525"/>
        <v>2</v>
      </c>
      <c r="P136" s="30">
        <f t="shared" si="508"/>
        <v>2</v>
      </c>
      <c r="Q136" s="106">
        <f t="shared" si="525"/>
        <v>2</v>
      </c>
      <c r="R136" s="106">
        <f t="shared" si="525"/>
        <v>-1</v>
      </c>
      <c r="S136" s="106">
        <f t="shared" si="525"/>
        <v>2</v>
      </c>
      <c r="T136" s="5"/>
      <c r="U136" s="30">
        <f t="shared" si="509"/>
        <v>17</v>
      </c>
      <c r="V136" s="30">
        <f t="shared" si="510"/>
        <v>16</v>
      </c>
      <c r="W136" s="30">
        <f t="shared" si="511"/>
        <v>10</v>
      </c>
      <c r="X136" s="30">
        <f t="shared" si="512"/>
        <v>11</v>
      </c>
      <c r="Y136" s="30">
        <f t="shared" si="513"/>
        <v>8</v>
      </c>
      <c r="Z136" s="30">
        <f t="shared" si="514"/>
        <v>9</v>
      </c>
      <c r="AA136" s="30">
        <f t="shared" si="515"/>
        <v>5</v>
      </c>
      <c r="AB136" s="30">
        <f t="shared" si="516"/>
        <v>5</v>
      </c>
    </row>
    <row r="137" spans="1:28" ht="12.75" customHeight="1">
      <c r="A137" s="74"/>
      <c r="B137" s="23" t="s">
        <v>12</v>
      </c>
      <c r="C137" s="24">
        <f t="shared" ref="C137:D137" si="526">SUM(C133:C136)</f>
        <v>220</v>
      </c>
      <c r="D137" s="24">
        <f t="shared" si="526"/>
        <v>860</v>
      </c>
      <c r="E137" s="24">
        <f t="shared" ref="E137" si="527">SUM(E133:E136)</f>
        <v>7274</v>
      </c>
      <c r="F137" s="24">
        <f t="shared" ref="F137" si="528">SUM(F133:F136)</f>
        <v>10154</v>
      </c>
      <c r="G137" s="24">
        <f>SUM(G133:G136)</f>
        <v>10313</v>
      </c>
      <c r="H137" s="10"/>
      <c r="I137" s="24">
        <f>SUM(I133:I136)</f>
        <v>2455</v>
      </c>
      <c r="J137" s="24">
        <f t="shared" ref="J137" si="529">SUM(J133:J136)</f>
        <v>2732</v>
      </c>
      <c r="K137" s="24">
        <f t="shared" ref="K137" si="530">SUM(K133:K136)</f>
        <v>2438</v>
      </c>
      <c r="L137" s="24">
        <f t="shared" ref="L137" si="531">SUM(L133:L136)</f>
        <v>2529</v>
      </c>
      <c r="M137" s="24">
        <f t="shared" ref="M137" si="532">SUM(M133:M136)</f>
        <v>2460</v>
      </c>
      <c r="N137" s="24">
        <f t="shared" ref="N137" si="533">SUM(N133:N136)</f>
        <v>2568</v>
      </c>
      <c r="O137" s="24">
        <f t="shared" ref="O137" si="534">SUM(O133:O136)</f>
        <v>2634</v>
      </c>
      <c r="P137" s="24">
        <f t="shared" ref="P137" si="535">SUM(P133:P136)</f>
        <v>2651</v>
      </c>
      <c r="Q137" s="24">
        <f t="shared" ref="Q137" si="536">SUM(Q133:Q136)</f>
        <v>2656</v>
      </c>
      <c r="R137" s="24">
        <f t="shared" ref="R137" si="537">SUM(R133:R136)</f>
        <v>2793</v>
      </c>
      <c r="S137" s="24">
        <f t="shared" ref="S137" si="538">SUM(S133:S136)</f>
        <v>2633</v>
      </c>
      <c r="T137" s="5"/>
      <c r="U137" s="24">
        <f t="shared" ref="U137" si="539">SUM(U133:U136)</f>
        <v>10154</v>
      </c>
      <c r="V137" s="24">
        <f t="shared" ref="V137" si="540">SUM(V133:V136)</f>
        <v>10159</v>
      </c>
      <c r="W137" s="24">
        <f t="shared" ref="W137" si="541">SUM(W133:W136)</f>
        <v>9995</v>
      </c>
      <c r="X137" s="24">
        <f t="shared" ref="X137" si="542">SUM(X133:X136)</f>
        <v>10191</v>
      </c>
      <c r="Y137" s="24">
        <f t="shared" ref="Y137" si="543">SUM(Y133:Y136)</f>
        <v>10313</v>
      </c>
      <c r="Z137" s="24">
        <f t="shared" ref="Z137" si="544">SUM(Z133:Z136)</f>
        <v>10509</v>
      </c>
      <c r="AA137" s="24">
        <f t="shared" ref="AA137" si="545">SUM(AA133:AA136)</f>
        <v>10734</v>
      </c>
      <c r="AB137" s="24">
        <f t="shared" ref="AB137" si="546">SUM(AB133:AB136)</f>
        <v>10733</v>
      </c>
    </row>
    <row r="138" spans="1:28" ht="5.0999999999999996" customHeight="1">
      <c r="A138" s="74"/>
      <c r="B138" s="9"/>
      <c r="C138" s="75"/>
      <c r="D138" s="75"/>
      <c r="E138" s="75"/>
      <c r="F138" s="75"/>
      <c r="G138" s="75"/>
      <c r="H138" s="10"/>
      <c r="I138" s="75"/>
      <c r="J138" s="75"/>
      <c r="K138" s="75"/>
      <c r="L138" s="30">
        <f t="shared" ref="L138" si="547">SUM(E138-SUM(I138:K138))</f>
        <v>0</v>
      </c>
      <c r="M138" s="75"/>
      <c r="N138" s="75"/>
      <c r="O138" s="75"/>
      <c r="P138" s="30">
        <f t="shared" ref="P138" si="548">SUM(F138-SUM(M138:O138))</f>
        <v>0</v>
      </c>
      <c r="Q138" s="75"/>
      <c r="R138" s="75"/>
      <c r="S138" s="75"/>
      <c r="T138" s="5"/>
      <c r="U138" s="30">
        <f>SUM(K138:N138)</f>
        <v>0</v>
      </c>
      <c r="V138" s="30">
        <f>SUM(L138:O138)</f>
        <v>0</v>
      </c>
      <c r="W138" s="30">
        <f>SUM(M138:P138)</f>
        <v>0</v>
      </c>
      <c r="X138" s="30">
        <f>SUM(N138:Q138)</f>
        <v>0</v>
      </c>
      <c r="Y138" s="30">
        <f>SUM(O138:R138)</f>
        <v>0</v>
      </c>
      <c r="Z138" s="30">
        <f>SUM(P138:S138)</f>
        <v>0</v>
      </c>
      <c r="AA138" s="30">
        <f>SUM(Q138:S138)</f>
        <v>0</v>
      </c>
      <c r="AB138" s="30">
        <f>SUM(R138:S138)</f>
        <v>0</v>
      </c>
    </row>
    <row r="139" spans="1:28" ht="12.75" customHeight="1">
      <c r="A139" s="74"/>
      <c r="B139" s="9" t="s">
        <v>129</v>
      </c>
      <c r="C139" s="76"/>
      <c r="D139" s="76">
        <v>-691</v>
      </c>
      <c r="E139" s="76">
        <v>-6211</v>
      </c>
      <c r="F139" s="76">
        <v>-7623</v>
      </c>
      <c r="G139" s="76">
        <v>-7459</v>
      </c>
      <c r="H139" s="10"/>
      <c r="I139" s="75">
        <v>-1815</v>
      </c>
      <c r="J139" s="75">
        <v>-1951</v>
      </c>
      <c r="K139" s="75">
        <v>-1874</v>
      </c>
      <c r="L139" s="30">
        <f t="shared" ref="L139" si="549">SUM(F139-SUM(I139:K139))</f>
        <v>-1983</v>
      </c>
      <c r="M139" s="75">
        <v>-1895</v>
      </c>
      <c r="N139" s="75">
        <v>-2028</v>
      </c>
      <c r="O139" s="75">
        <v>-1776</v>
      </c>
      <c r="P139" s="30">
        <f t="shared" ref="P139" si="550">SUM(G139-SUM(M139:O139))</f>
        <v>-1760</v>
      </c>
      <c r="Q139" s="75">
        <v>-1824</v>
      </c>
      <c r="R139" s="75">
        <v>-1913</v>
      </c>
      <c r="S139" s="75">
        <v>-1789</v>
      </c>
      <c r="T139" s="5"/>
      <c r="U139" s="30">
        <f t="shared" ref="U139" si="551">SUM(I139:L139)</f>
        <v>-7623</v>
      </c>
      <c r="V139" s="30">
        <f t="shared" ref="V139" si="552">SUM(J139:M139)</f>
        <v>-7703</v>
      </c>
      <c r="W139" s="30">
        <f t="shared" ref="W139" si="553">SUM(K139:N139)</f>
        <v>-7780</v>
      </c>
      <c r="X139" s="30">
        <f t="shared" ref="X139" si="554">SUM(L139:O139)</f>
        <v>-7682</v>
      </c>
      <c r="Y139" s="30">
        <f t="shared" ref="Y139" si="555">SUM(M139:P139)</f>
        <v>-7459</v>
      </c>
      <c r="Z139" s="30">
        <f t="shared" ref="Z139" si="556">SUM(N139:Q139)</f>
        <v>-7388</v>
      </c>
      <c r="AA139" s="30">
        <f t="shared" ref="AA139" si="557">SUM(O139:R139)</f>
        <v>-7273</v>
      </c>
      <c r="AB139" s="30">
        <f>SUM(P139:S139)</f>
        <v>-7286</v>
      </c>
    </row>
    <row r="140" spans="1:28" ht="12.75" customHeight="1">
      <c r="A140" s="74"/>
      <c r="B140" s="23" t="s">
        <v>20</v>
      </c>
      <c r="C140" s="24">
        <f>SUM(C137+C139)</f>
        <v>220</v>
      </c>
      <c r="D140" s="24">
        <f>SUM(D137+D139)</f>
        <v>169</v>
      </c>
      <c r="E140" s="24">
        <f t="shared" ref="E140" si="558">SUM(E137+E139)</f>
        <v>1063</v>
      </c>
      <c r="F140" s="24">
        <f t="shared" ref="F140" si="559">SUM(F137+F139)</f>
        <v>2531</v>
      </c>
      <c r="G140" s="24">
        <f t="shared" ref="G140" si="560">SUM(G137+G139)</f>
        <v>2854</v>
      </c>
      <c r="H140" s="10"/>
      <c r="I140" s="24">
        <f t="shared" ref="I140" si="561">SUM(I137+I139)</f>
        <v>640</v>
      </c>
      <c r="J140" s="24">
        <f t="shared" ref="J140" si="562">SUM(J137+J139)</f>
        <v>781</v>
      </c>
      <c r="K140" s="24">
        <f t="shared" ref="K140" si="563">SUM(K137+K139)</f>
        <v>564</v>
      </c>
      <c r="L140" s="24">
        <f t="shared" ref="L140" si="564">SUM(L137+L139)</f>
        <v>546</v>
      </c>
      <c r="M140" s="24">
        <f t="shared" ref="M140" si="565">SUM(M137+M139)</f>
        <v>565</v>
      </c>
      <c r="N140" s="24">
        <f t="shared" ref="N140" si="566">SUM(N137+N139)</f>
        <v>540</v>
      </c>
      <c r="O140" s="24">
        <f t="shared" ref="O140" si="567">SUM(O137+O139)</f>
        <v>858</v>
      </c>
      <c r="P140" s="24">
        <f t="shared" ref="P140" si="568">SUM(P137+P139)</f>
        <v>891</v>
      </c>
      <c r="Q140" s="24">
        <f t="shared" ref="Q140" si="569">SUM(Q137+Q139)</f>
        <v>832</v>
      </c>
      <c r="R140" s="24">
        <f t="shared" ref="R140" si="570">SUM(R137+R139)</f>
        <v>880</v>
      </c>
      <c r="S140" s="24">
        <f t="shared" ref="S140" si="571">SUM(S137+S139)</f>
        <v>844</v>
      </c>
      <c r="T140" s="5"/>
      <c r="U140" s="24">
        <f t="shared" ref="U140" si="572">SUM(U137+U139)</f>
        <v>2531</v>
      </c>
      <c r="V140" s="24">
        <f t="shared" ref="V140" si="573">SUM(V137+V139)</f>
        <v>2456</v>
      </c>
      <c r="W140" s="24">
        <f t="shared" ref="W140" si="574">SUM(W137+W139)</f>
        <v>2215</v>
      </c>
      <c r="X140" s="24">
        <f t="shared" ref="X140" si="575">SUM(X137+X139)</f>
        <v>2509</v>
      </c>
      <c r="Y140" s="24">
        <f t="shared" ref="Y140" si="576">SUM(Y137+Y139)</f>
        <v>2854</v>
      </c>
      <c r="Z140" s="24">
        <f t="shared" ref="Z140" si="577">SUM(Z137+Z139)</f>
        <v>3121</v>
      </c>
      <c r="AA140" s="24">
        <f t="shared" ref="AA140" si="578">SUM(AA137+AA139)</f>
        <v>3461</v>
      </c>
      <c r="AB140" s="24">
        <f t="shared" ref="AB140" si="579">SUM(AB137+AB139)</f>
        <v>3447</v>
      </c>
    </row>
    <row r="141" spans="1:28" ht="12.75" customHeight="1">
      <c r="A141" s="74"/>
      <c r="B141" s="14" t="s">
        <v>30</v>
      </c>
      <c r="C141" s="15">
        <f>C140/C137</f>
        <v>1</v>
      </c>
      <c r="D141" s="15">
        <f>D140/D137</f>
        <v>0.19651162790697674</v>
      </c>
      <c r="E141" s="15">
        <f t="shared" ref="E141" si="580">E140/E137</f>
        <v>0.14613692603794337</v>
      </c>
      <c r="F141" s="15">
        <f t="shared" ref="F141" si="581">F140/F137</f>
        <v>0.24926137482765412</v>
      </c>
      <c r="G141" s="15">
        <f t="shared" ref="G141" si="582">G140/G137</f>
        <v>0.27673809754678563</v>
      </c>
      <c r="H141" s="10"/>
      <c r="I141" s="15">
        <f t="shared" ref="I141" si="583">I140/I137</f>
        <v>0.26069246435845211</v>
      </c>
      <c r="J141" s="15">
        <f t="shared" ref="J141" si="584">J140/J137</f>
        <v>0.28587115666178625</v>
      </c>
      <c r="K141" s="15">
        <f t="shared" ref="K141" si="585">K140/K137</f>
        <v>0.23133716160787532</v>
      </c>
      <c r="L141" s="15">
        <f t="shared" ref="L141" si="586">L140/L137</f>
        <v>0.21589561091340451</v>
      </c>
      <c r="M141" s="15">
        <f t="shared" ref="M141" si="587">M140/M137</f>
        <v>0.22967479674796748</v>
      </c>
      <c r="N141" s="15">
        <f t="shared" ref="N141" si="588">N140/N137</f>
        <v>0.2102803738317757</v>
      </c>
      <c r="O141" s="15">
        <f t="shared" ref="O141" si="589">O140/O137</f>
        <v>0.32574031890660593</v>
      </c>
      <c r="P141" s="15">
        <f t="shared" ref="P141" si="590">P140/P137</f>
        <v>0.33609958506224069</v>
      </c>
      <c r="Q141" s="15">
        <f t="shared" ref="Q141" si="591">Q140/Q137</f>
        <v>0.31325301204819278</v>
      </c>
      <c r="R141" s="15">
        <f t="shared" ref="R141" si="592">R140/R137</f>
        <v>0.31507339778016469</v>
      </c>
      <c r="S141" s="15">
        <f t="shared" ref="S141" si="593">S140/S137</f>
        <v>0.3205469046714774</v>
      </c>
      <c r="T141" s="5"/>
      <c r="U141" s="15">
        <f t="shared" ref="U141" si="594">U140/U137</f>
        <v>0.24926137482765412</v>
      </c>
      <c r="V141" s="15">
        <f t="shared" ref="V141" si="595">V140/V137</f>
        <v>0.24175607835416871</v>
      </c>
      <c r="W141" s="15">
        <f t="shared" ref="W141" si="596">W140/W137</f>
        <v>0.22161080540270134</v>
      </c>
      <c r="X141" s="15">
        <f t="shared" ref="X141" si="597">X140/X137</f>
        <v>0.24619762535570602</v>
      </c>
      <c r="Y141" s="15">
        <f t="shared" ref="Y141" si="598">Y140/Y137</f>
        <v>0.27673809754678563</v>
      </c>
      <c r="Z141" s="15">
        <f t="shared" ref="Z141" si="599">Z140/Z137</f>
        <v>0.29698353791987819</v>
      </c>
      <c r="AA141" s="15">
        <f t="shared" ref="AA141" si="600">AA140/AA137</f>
        <v>0.32243338923048259</v>
      </c>
      <c r="AB141" s="15">
        <f t="shared" ref="AB141" si="601">AB140/AB137</f>
        <v>0.32115904220627972</v>
      </c>
    </row>
    <row r="142" spans="1:28" ht="5.0999999999999996" customHeight="1">
      <c r="A142" s="74"/>
      <c r="B142" s="9"/>
      <c r="C142" s="75"/>
      <c r="D142" s="75"/>
      <c r="E142" s="75"/>
      <c r="F142" s="75"/>
      <c r="G142" s="75"/>
      <c r="H142" s="10"/>
      <c r="I142" s="75"/>
      <c r="J142" s="75"/>
      <c r="K142" s="75"/>
      <c r="L142" s="30">
        <f t="shared" ref="L142" si="602">SUM(E142-SUM(I142:K142))</f>
        <v>0</v>
      </c>
      <c r="M142" s="75"/>
      <c r="N142" s="75"/>
      <c r="O142" s="75"/>
      <c r="P142" s="30">
        <f t="shared" ref="P142" si="603">SUM(F142-SUM(M142:O142))</f>
        <v>0</v>
      </c>
      <c r="Q142" s="75"/>
      <c r="R142" s="75"/>
      <c r="S142" s="75"/>
      <c r="T142" s="5"/>
      <c r="U142" s="30">
        <f>SUM(K142:N142)</f>
        <v>0</v>
      </c>
      <c r="V142" s="30">
        <f>SUM(L142:O142)</f>
        <v>0</v>
      </c>
      <c r="W142" s="30">
        <f>SUM(M142:P142)</f>
        <v>0</v>
      </c>
      <c r="X142" s="30">
        <f>SUM(N142:Q142)</f>
        <v>0</v>
      </c>
      <c r="Y142" s="30">
        <f>SUM(O142:R142)</f>
        <v>0</v>
      </c>
      <c r="Z142" s="30">
        <f>SUM(P142:S142)</f>
        <v>0</v>
      </c>
      <c r="AA142" s="30">
        <f>SUM(Q142:S142)</f>
        <v>0</v>
      </c>
      <c r="AB142" s="30">
        <f>SUM(R142:S142)</f>
        <v>0</v>
      </c>
    </row>
    <row r="143" spans="1:28">
      <c r="B143" s="9" t="s">
        <v>105</v>
      </c>
      <c r="C143" s="76"/>
      <c r="D143" s="76">
        <v>-1514</v>
      </c>
      <c r="E143" s="76">
        <v>-2659</v>
      </c>
      <c r="F143" s="76">
        <v>-2428</v>
      </c>
      <c r="G143" s="76">
        <v>-2177</v>
      </c>
      <c r="H143" s="18"/>
      <c r="I143" s="75">
        <v>-590</v>
      </c>
      <c r="J143" s="75">
        <v>-784</v>
      </c>
      <c r="K143" s="75">
        <v>-453</v>
      </c>
      <c r="L143" s="30">
        <f t="shared" ref="L143" si="604">SUM(F143-SUM(I143:K143))</f>
        <v>-601</v>
      </c>
      <c r="M143" s="75">
        <v>-479</v>
      </c>
      <c r="N143" s="75">
        <v>-647</v>
      </c>
      <c r="O143" s="75">
        <v>-569</v>
      </c>
      <c r="P143" s="30">
        <f t="shared" ref="P143" si="605">SUM(G143-SUM(M143:O143))</f>
        <v>-482</v>
      </c>
      <c r="Q143" s="75">
        <v>-493</v>
      </c>
      <c r="R143" s="75">
        <v>-587</v>
      </c>
      <c r="S143" s="75">
        <v>-499</v>
      </c>
      <c r="T143" s="18"/>
      <c r="U143" s="30">
        <f t="shared" ref="U143" si="606">SUM(I143:L143)</f>
        <v>-2428</v>
      </c>
      <c r="V143" s="30">
        <f t="shared" ref="V143" si="607">SUM(J143:M143)</f>
        <v>-2317</v>
      </c>
      <c r="W143" s="30">
        <f t="shared" ref="W143" si="608">SUM(K143:N143)</f>
        <v>-2180</v>
      </c>
      <c r="X143" s="30">
        <f t="shared" ref="X143" si="609">SUM(L143:O143)</f>
        <v>-2296</v>
      </c>
      <c r="Y143" s="30">
        <f t="shared" ref="Y143" si="610">SUM(M143:P143)</f>
        <v>-2177</v>
      </c>
      <c r="Z143" s="30">
        <f t="shared" ref="Z143" si="611">SUM(N143:Q143)</f>
        <v>-2191</v>
      </c>
      <c r="AA143" s="30">
        <f t="shared" ref="AA143" si="612">SUM(O143:R143)</f>
        <v>-2131</v>
      </c>
      <c r="AB143" s="30">
        <f>SUM(P143:S143)</f>
        <v>-2061</v>
      </c>
    </row>
    <row r="144" spans="1:28" ht="12.75" customHeight="1">
      <c r="A144" s="74"/>
      <c r="B144" s="12" t="s">
        <v>149</v>
      </c>
      <c r="C144" s="13">
        <f>SUM(C140+C143)</f>
        <v>220</v>
      </c>
      <c r="D144" s="13">
        <f>SUM(D140+D143)</f>
        <v>-1345</v>
      </c>
      <c r="E144" s="13">
        <f t="shared" ref="E144" si="613">SUM(E140+E143)</f>
        <v>-1596</v>
      </c>
      <c r="F144" s="13">
        <f t="shared" ref="F144" si="614">SUM(F140+F143)</f>
        <v>103</v>
      </c>
      <c r="G144" s="13">
        <f t="shared" ref="G144" si="615">SUM(G140+G143)</f>
        <v>677</v>
      </c>
      <c r="H144" s="18"/>
      <c r="I144" s="13">
        <f t="shared" ref="I144" si="616">SUM(I140+I143)</f>
        <v>50</v>
      </c>
      <c r="J144" s="13">
        <f t="shared" ref="J144" si="617">SUM(J140+J143)</f>
        <v>-3</v>
      </c>
      <c r="K144" s="13">
        <f t="shared" ref="K144" si="618">SUM(K140+K143)</f>
        <v>111</v>
      </c>
      <c r="L144" s="13">
        <f t="shared" ref="L144" si="619">SUM(L140+L143)</f>
        <v>-55</v>
      </c>
      <c r="M144" s="13">
        <f t="shared" ref="M144" si="620">SUM(M140+M143)</f>
        <v>86</v>
      </c>
      <c r="N144" s="13">
        <f t="shared" ref="N144" si="621">SUM(N140+N143)</f>
        <v>-107</v>
      </c>
      <c r="O144" s="13">
        <f t="shared" ref="O144" si="622">SUM(O140+O143)</f>
        <v>289</v>
      </c>
      <c r="P144" s="13">
        <f t="shared" ref="P144" si="623">SUM(P140+P143)</f>
        <v>409</v>
      </c>
      <c r="Q144" s="13">
        <f t="shared" ref="Q144" si="624">SUM(Q140+Q143)</f>
        <v>339</v>
      </c>
      <c r="R144" s="13">
        <f t="shared" ref="R144" si="625">SUM(R140+R143)</f>
        <v>293</v>
      </c>
      <c r="S144" s="13">
        <f t="shared" ref="S144" si="626">SUM(S140+S143)</f>
        <v>345</v>
      </c>
      <c r="T144" s="18"/>
      <c r="U144" s="13">
        <f t="shared" ref="U144" si="627">SUM(U140+U143)</f>
        <v>103</v>
      </c>
      <c r="V144" s="13">
        <f t="shared" ref="V144" si="628">SUM(V140+V143)</f>
        <v>139</v>
      </c>
      <c r="W144" s="13">
        <f t="shared" ref="W144" si="629">SUM(W140+W143)</f>
        <v>35</v>
      </c>
      <c r="X144" s="13">
        <f t="shared" ref="X144" si="630">SUM(X140+X143)</f>
        <v>213</v>
      </c>
      <c r="Y144" s="13">
        <f t="shared" ref="Y144" si="631">SUM(Y140+Y143)</f>
        <v>677</v>
      </c>
      <c r="Z144" s="13">
        <f t="shared" ref="Z144" si="632">SUM(Z140+Z143)</f>
        <v>930</v>
      </c>
      <c r="AA144" s="13">
        <f t="shared" ref="AA144" si="633">SUM(AA140+AA143)</f>
        <v>1330</v>
      </c>
      <c r="AB144" s="13">
        <f t="shared" ref="AB144" si="634">SUM(AB140+AB143)</f>
        <v>1386</v>
      </c>
    </row>
    <row r="145" spans="1:28" ht="12.75" customHeight="1">
      <c r="A145" s="74"/>
      <c r="B145" s="14" t="s">
        <v>161</v>
      </c>
      <c r="C145" s="15">
        <f>C144/C137</f>
        <v>1</v>
      </c>
      <c r="D145" s="15">
        <f>D144/D137</f>
        <v>-1.5639534883720929</v>
      </c>
      <c r="E145" s="15">
        <f t="shared" ref="E145" si="635">E144/E137</f>
        <v>-0.21941160296948034</v>
      </c>
      <c r="F145" s="15">
        <f t="shared" ref="F145" si="636">F144/F137</f>
        <v>1.0143785700216663E-2</v>
      </c>
      <c r="G145" s="15">
        <f t="shared" ref="G145" si="637">G144/G137</f>
        <v>6.5645302045961404E-2</v>
      </c>
      <c r="H145" s="10"/>
      <c r="I145" s="15">
        <f t="shared" ref="I145" si="638">I144/I137</f>
        <v>2.0366598778004074E-2</v>
      </c>
      <c r="J145" s="15">
        <f t="shared" ref="J145" si="639">J144/J137</f>
        <v>-1.0980966325036604E-3</v>
      </c>
      <c r="K145" s="15">
        <f t="shared" ref="K145" si="640">K144/K137</f>
        <v>4.5529122231337163E-2</v>
      </c>
      <c r="L145" s="15">
        <f t="shared" ref="L145" si="641">L144/L137</f>
        <v>-2.1747726374060895E-2</v>
      </c>
      <c r="M145" s="15">
        <f t="shared" ref="M145" si="642">M144/M137</f>
        <v>3.4959349593495934E-2</v>
      </c>
      <c r="N145" s="15">
        <f t="shared" ref="N145" si="643">N144/N137</f>
        <v>-4.1666666666666664E-2</v>
      </c>
      <c r="O145" s="15">
        <f t="shared" ref="O145" si="644">O144/O137</f>
        <v>0.10971905846621109</v>
      </c>
      <c r="P145" s="15">
        <f t="shared" ref="P145" si="645">P144/P137</f>
        <v>0.15428140324405884</v>
      </c>
      <c r="Q145" s="15">
        <f t="shared" ref="Q145" si="646">Q144/Q137</f>
        <v>0.1276355421686747</v>
      </c>
      <c r="R145" s="15">
        <f t="shared" ref="R145" si="647">R144/R137</f>
        <v>0.10490511994271393</v>
      </c>
      <c r="S145" s="15">
        <f t="shared" ref="S145" si="648">S144/S137</f>
        <v>0.13102924420812762</v>
      </c>
      <c r="T145" s="5"/>
      <c r="U145" s="15">
        <f t="shared" ref="U145" si="649">U144/U137</f>
        <v>1.0143785700216663E-2</v>
      </c>
      <c r="V145" s="15">
        <f t="shared" ref="V145" si="650">V144/V137</f>
        <v>1.3682449059946845E-2</v>
      </c>
      <c r="W145" s="15">
        <f t="shared" ref="W145" si="651">W144/W137</f>
        <v>3.5017508754377189E-3</v>
      </c>
      <c r="X145" s="15">
        <f t="shared" ref="X145" si="652">X144/X137</f>
        <v>2.0900794818957905E-2</v>
      </c>
      <c r="Y145" s="15">
        <f t="shared" ref="Y145" si="653">Y144/Y137</f>
        <v>6.5645302045961404E-2</v>
      </c>
      <c r="Z145" s="15">
        <f t="shared" ref="Z145" si="654">Z144/Z137</f>
        <v>8.8495575221238937E-2</v>
      </c>
      <c r="AA145" s="15">
        <f t="shared" ref="AA145" si="655">AA144/AA137</f>
        <v>0.12390534749394448</v>
      </c>
      <c r="AB145" s="15">
        <f t="shared" ref="AB145" si="656">AB144/AB137</f>
        <v>0.12913444516910463</v>
      </c>
    </row>
    <row r="146" spans="1:28" ht="5.0999999999999996" customHeight="1">
      <c r="B146" s="16"/>
      <c r="C146" s="17"/>
      <c r="D146" s="17"/>
      <c r="E146" s="17"/>
      <c r="F146" s="17"/>
      <c r="G146" s="17"/>
      <c r="H146" s="18"/>
      <c r="I146" s="19"/>
      <c r="J146" s="19"/>
      <c r="K146" s="19"/>
      <c r="L146" s="20"/>
      <c r="M146" s="19"/>
      <c r="N146" s="19"/>
      <c r="O146" s="19"/>
      <c r="P146" s="19"/>
      <c r="Q146" s="19"/>
      <c r="R146" s="19"/>
      <c r="S146" s="19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>
      <c r="B147" s="9" t="s">
        <v>51</v>
      </c>
      <c r="C147" s="76"/>
      <c r="D147" s="76">
        <v>-275</v>
      </c>
      <c r="E147" s="76">
        <v>-1733</v>
      </c>
      <c r="F147" s="76">
        <v>-2063</v>
      </c>
      <c r="G147" s="76">
        <v>-1831</v>
      </c>
      <c r="H147" s="18"/>
      <c r="I147" s="75">
        <v>-506</v>
      </c>
      <c r="J147" s="75">
        <v>-424</v>
      </c>
      <c r="K147" s="75">
        <v>-590</v>
      </c>
      <c r="L147" s="30">
        <f t="shared" ref="L147:L152" si="657">SUM(F147-SUM(I147:K147))</f>
        <v>-543</v>
      </c>
      <c r="M147" s="75">
        <v>-515</v>
      </c>
      <c r="N147" s="75">
        <v>-460</v>
      </c>
      <c r="O147" s="75">
        <v>-450</v>
      </c>
      <c r="P147" s="30">
        <f t="shared" ref="P147:P152" si="658">SUM(G147-SUM(M147:O147))</f>
        <v>-406</v>
      </c>
      <c r="Q147" s="75">
        <v>-371</v>
      </c>
      <c r="R147" s="75">
        <v>-356</v>
      </c>
      <c r="S147" s="75">
        <v>-347</v>
      </c>
      <c r="T147" s="18"/>
      <c r="U147" s="30">
        <f t="shared" ref="U147:U152" si="659">SUM(I147:L147)</f>
        <v>-2063</v>
      </c>
      <c r="V147" s="30">
        <f t="shared" ref="V147:V152" si="660">SUM(J147:M147)</f>
        <v>-2072</v>
      </c>
      <c r="W147" s="30">
        <f t="shared" ref="W147:W152" si="661">SUM(K147:N147)</f>
        <v>-2108</v>
      </c>
      <c r="X147" s="30">
        <f t="shared" ref="X147:X152" si="662">SUM(L147:O147)</f>
        <v>-1968</v>
      </c>
      <c r="Y147" s="30">
        <f t="shared" ref="Y147:Y152" si="663">SUM(M147:P147)</f>
        <v>-1831</v>
      </c>
      <c r="Z147" s="30">
        <f t="shared" ref="Z147:Z152" si="664">SUM(N147:Q147)</f>
        <v>-1687</v>
      </c>
      <c r="AA147" s="30">
        <f t="shared" ref="AA147:AA152" si="665">SUM(O147:R147)</f>
        <v>-1583</v>
      </c>
      <c r="AB147" s="30">
        <f t="shared" ref="AB147:AB152" si="666">SUM(P147:S147)</f>
        <v>-1480</v>
      </c>
    </row>
    <row r="148" spans="1:28">
      <c r="B148" s="9" t="s">
        <v>127</v>
      </c>
      <c r="C148" s="76"/>
      <c r="D148" s="76">
        <v>-2</v>
      </c>
      <c r="E148" s="76">
        <v>-1551</v>
      </c>
      <c r="F148" s="76">
        <v>-66</v>
      </c>
      <c r="G148" s="76">
        <v>-3</v>
      </c>
      <c r="H148" s="18"/>
      <c r="I148" s="75">
        <v>-9</v>
      </c>
      <c r="J148" s="75">
        <v>-18</v>
      </c>
      <c r="K148" s="75">
        <v>-34</v>
      </c>
      <c r="L148" s="30">
        <f t="shared" si="657"/>
        <v>-5</v>
      </c>
      <c r="M148" s="75">
        <v>-2</v>
      </c>
      <c r="N148" s="75">
        <v>-15</v>
      </c>
      <c r="O148" s="75">
        <v>16</v>
      </c>
      <c r="P148" s="30">
        <f t="shared" si="658"/>
        <v>-2</v>
      </c>
      <c r="Q148" s="75">
        <v>-12</v>
      </c>
      <c r="R148" s="75">
        <v>-7</v>
      </c>
      <c r="S148" s="75">
        <v>-1</v>
      </c>
      <c r="T148" s="18"/>
      <c r="U148" s="30">
        <f t="shared" si="659"/>
        <v>-66</v>
      </c>
      <c r="V148" s="30">
        <f t="shared" si="660"/>
        <v>-59</v>
      </c>
      <c r="W148" s="30">
        <f t="shared" si="661"/>
        <v>-56</v>
      </c>
      <c r="X148" s="30">
        <f t="shared" si="662"/>
        <v>-6</v>
      </c>
      <c r="Y148" s="30">
        <f t="shared" si="663"/>
        <v>-3</v>
      </c>
      <c r="Z148" s="30">
        <f t="shared" si="664"/>
        <v>-13</v>
      </c>
      <c r="AA148" s="30">
        <f t="shared" si="665"/>
        <v>-5</v>
      </c>
      <c r="AB148" s="30">
        <f t="shared" si="666"/>
        <v>-22</v>
      </c>
    </row>
    <row r="149" spans="1:28">
      <c r="B149" s="9" t="s">
        <v>151</v>
      </c>
      <c r="C149" s="76"/>
      <c r="D149" s="76">
        <v>-1</v>
      </c>
      <c r="E149" s="76">
        <f>-2</f>
        <v>-2</v>
      </c>
      <c r="F149" s="76">
        <v>-4</v>
      </c>
      <c r="G149" s="76">
        <v>1</v>
      </c>
      <c r="H149" s="18"/>
      <c r="I149" s="75">
        <v>0</v>
      </c>
      <c r="J149" s="75">
        <v>-1</v>
      </c>
      <c r="K149" s="75">
        <v>-1</v>
      </c>
      <c r="L149" s="30">
        <f t="shared" si="657"/>
        <v>-2</v>
      </c>
      <c r="M149" s="75">
        <v>0</v>
      </c>
      <c r="N149" s="75">
        <v>0</v>
      </c>
      <c r="O149" s="75">
        <v>1</v>
      </c>
      <c r="P149" s="30">
        <f t="shared" si="658"/>
        <v>0</v>
      </c>
      <c r="Q149" s="75">
        <v>0</v>
      </c>
      <c r="R149" s="75">
        <v>0</v>
      </c>
      <c r="S149" s="75">
        <v>0</v>
      </c>
      <c r="T149" s="18"/>
      <c r="U149" s="30">
        <f t="shared" si="659"/>
        <v>-4</v>
      </c>
      <c r="V149" s="30">
        <f t="shared" si="660"/>
        <v>-4</v>
      </c>
      <c r="W149" s="30">
        <f t="shared" si="661"/>
        <v>-3</v>
      </c>
      <c r="X149" s="30">
        <f t="shared" si="662"/>
        <v>-1</v>
      </c>
      <c r="Y149" s="30">
        <f t="shared" si="663"/>
        <v>1</v>
      </c>
      <c r="Z149" s="30">
        <f t="shared" si="664"/>
        <v>1</v>
      </c>
      <c r="AA149" s="30">
        <f t="shared" si="665"/>
        <v>1</v>
      </c>
      <c r="AB149" s="30">
        <f t="shared" si="666"/>
        <v>0</v>
      </c>
    </row>
    <row r="150" spans="1:28">
      <c r="B150" s="9" t="s">
        <v>153</v>
      </c>
      <c r="C150" s="76"/>
      <c r="D150" s="76">
        <v>0</v>
      </c>
      <c r="E150" s="76">
        <v>-390</v>
      </c>
      <c r="F150" s="76">
        <v>-460</v>
      </c>
      <c r="G150" s="76">
        <v>-282</v>
      </c>
      <c r="H150" s="18"/>
      <c r="I150" s="75">
        <v>-134</v>
      </c>
      <c r="J150" s="75">
        <v>-104</v>
      </c>
      <c r="K150" s="75">
        <v>-111</v>
      </c>
      <c r="L150" s="30">
        <f t="shared" si="657"/>
        <v>-111</v>
      </c>
      <c r="M150" s="75">
        <v>-102</v>
      </c>
      <c r="N150" s="75">
        <v>-71</v>
      </c>
      <c r="O150" s="75">
        <v>-57</v>
      </c>
      <c r="P150" s="30">
        <f t="shared" si="658"/>
        <v>-52</v>
      </c>
      <c r="Q150" s="75">
        <v>-47</v>
      </c>
      <c r="R150" s="75">
        <v>-39</v>
      </c>
      <c r="S150" s="75">
        <v>-41</v>
      </c>
      <c r="T150" s="18"/>
      <c r="U150" s="30">
        <f t="shared" si="659"/>
        <v>-460</v>
      </c>
      <c r="V150" s="30">
        <f t="shared" si="660"/>
        <v>-428</v>
      </c>
      <c r="W150" s="30">
        <f t="shared" si="661"/>
        <v>-395</v>
      </c>
      <c r="X150" s="30">
        <f t="shared" si="662"/>
        <v>-341</v>
      </c>
      <c r="Y150" s="30">
        <f t="shared" si="663"/>
        <v>-282</v>
      </c>
      <c r="Z150" s="30">
        <f t="shared" si="664"/>
        <v>-227</v>
      </c>
      <c r="AA150" s="30">
        <f t="shared" si="665"/>
        <v>-195</v>
      </c>
      <c r="AB150" s="30">
        <f t="shared" si="666"/>
        <v>-179</v>
      </c>
    </row>
    <row r="151" spans="1:28">
      <c r="B151" s="9" t="s">
        <v>155</v>
      </c>
      <c r="C151" s="76"/>
      <c r="D151" s="76">
        <v>0</v>
      </c>
      <c r="E151" s="76">
        <v>-9</v>
      </c>
      <c r="F151" s="76">
        <v>-72</v>
      </c>
      <c r="G151" s="76">
        <v>0</v>
      </c>
      <c r="H151" s="18"/>
      <c r="I151" s="75">
        <v>-2</v>
      </c>
      <c r="J151" s="75">
        <v>0</v>
      </c>
      <c r="K151" s="75">
        <v>-8</v>
      </c>
      <c r="L151" s="30">
        <f t="shared" si="657"/>
        <v>-62</v>
      </c>
      <c r="M151" s="75">
        <v>0</v>
      </c>
      <c r="N151" s="75">
        <v>0</v>
      </c>
      <c r="O151" s="75">
        <v>0</v>
      </c>
      <c r="P151" s="30">
        <f t="shared" si="658"/>
        <v>0</v>
      </c>
      <c r="Q151" s="75">
        <v>0</v>
      </c>
      <c r="R151" s="75">
        <v>0</v>
      </c>
      <c r="S151" s="75">
        <v>0</v>
      </c>
      <c r="T151" s="18"/>
      <c r="U151" s="30">
        <f t="shared" si="659"/>
        <v>-72</v>
      </c>
      <c r="V151" s="30">
        <f t="shared" si="660"/>
        <v>-70</v>
      </c>
      <c r="W151" s="30">
        <f t="shared" si="661"/>
        <v>-70</v>
      </c>
      <c r="X151" s="30">
        <f t="shared" si="662"/>
        <v>-62</v>
      </c>
      <c r="Y151" s="30">
        <f t="shared" si="663"/>
        <v>0</v>
      </c>
      <c r="Z151" s="30">
        <f t="shared" si="664"/>
        <v>0</v>
      </c>
      <c r="AA151" s="30">
        <f t="shared" si="665"/>
        <v>0</v>
      </c>
      <c r="AB151" s="30">
        <f t="shared" si="666"/>
        <v>0</v>
      </c>
    </row>
    <row r="152" spans="1:28">
      <c r="B152" s="9" t="s">
        <v>222</v>
      </c>
      <c r="C152" s="76"/>
      <c r="D152" s="76">
        <v>-1</v>
      </c>
      <c r="E152" s="76">
        <f>-13+1</f>
        <v>-12</v>
      </c>
      <c r="F152" s="76">
        <v>-3</v>
      </c>
      <c r="G152" s="76">
        <v>-47</v>
      </c>
      <c r="H152" s="18"/>
      <c r="I152" s="75">
        <v>-5</v>
      </c>
      <c r="J152" s="75">
        <v>4</v>
      </c>
      <c r="K152" s="75">
        <v>-3</v>
      </c>
      <c r="L152" s="30">
        <f t="shared" si="657"/>
        <v>1</v>
      </c>
      <c r="M152" s="75">
        <f>(2+5)*-1</f>
        <v>-7</v>
      </c>
      <c r="N152" s="75">
        <f>(3+11)*-1</f>
        <v>-14</v>
      </c>
      <c r="O152" s="75">
        <v>-1</v>
      </c>
      <c r="P152" s="30">
        <f t="shared" si="658"/>
        <v>-25</v>
      </c>
      <c r="Q152" s="75">
        <v>-3</v>
      </c>
      <c r="R152" s="75">
        <v>-11</v>
      </c>
      <c r="S152" s="75">
        <v>0</v>
      </c>
      <c r="T152" s="18"/>
      <c r="U152" s="30">
        <f t="shared" si="659"/>
        <v>-3</v>
      </c>
      <c r="V152" s="30">
        <f t="shared" si="660"/>
        <v>-5</v>
      </c>
      <c r="W152" s="30">
        <f t="shared" si="661"/>
        <v>-23</v>
      </c>
      <c r="X152" s="30">
        <f t="shared" si="662"/>
        <v>-21</v>
      </c>
      <c r="Y152" s="30">
        <f t="shared" si="663"/>
        <v>-47</v>
      </c>
      <c r="Z152" s="30">
        <f t="shared" si="664"/>
        <v>-43</v>
      </c>
      <c r="AA152" s="30">
        <f t="shared" si="665"/>
        <v>-40</v>
      </c>
      <c r="AB152" s="30">
        <f t="shared" si="666"/>
        <v>-39</v>
      </c>
    </row>
    <row r="153" spans="1:28">
      <c r="B153" s="12" t="s">
        <v>160</v>
      </c>
      <c r="C153" s="13">
        <f>SUM(C144+SUM(C147:C152))</f>
        <v>220</v>
      </c>
      <c r="D153" s="13">
        <f>SUM(D144+SUM(D147:D152))</f>
        <v>-1624</v>
      </c>
      <c r="E153" s="13">
        <f>SUM(E144+SUM(E147:E152))</f>
        <v>-5293</v>
      </c>
      <c r="F153" s="13">
        <f>SUM(F144+SUM(F147:F152))</f>
        <v>-2565</v>
      </c>
      <c r="G153" s="13">
        <f>SUM(G144+SUM(G147:G152))</f>
        <v>-1485</v>
      </c>
      <c r="H153" s="18"/>
      <c r="I153" s="13">
        <f>SUM(I144+SUM(I147:I152))</f>
        <v>-606</v>
      </c>
      <c r="J153" s="13">
        <f>SUM(J144+SUM(J147:J152))</f>
        <v>-546</v>
      </c>
      <c r="K153" s="13">
        <f>SUM(K144+SUM(K147:K152))</f>
        <v>-636</v>
      </c>
      <c r="L153" s="13">
        <f>SUM(L144+SUM(L147:L152))</f>
        <v>-777</v>
      </c>
      <c r="M153" s="13">
        <f>SUM(M144+SUM(M147:M152))</f>
        <v>-540</v>
      </c>
      <c r="N153" s="13">
        <f>SUM(N144+SUM(N147:N152))</f>
        <v>-667</v>
      </c>
      <c r="O153" s="13">
        <f>SUM(O144+SUM(O147:O152))</f>
        <v>-202</v>
      </c>
      <c r="P153" s="13">
        <f>SUM(P144+SUM(P147:P152))</f>
        <v>-76</v>
      </c>
      <c r="Q153" s="13">
        <f>SUM(Q144+SUM(Q147:Q152))</f>
        <v>-94</v>
      </c>
      <c r="R153" s="13">
        <f>SUM(R144+SUM(R147:R152))</f>
        <v>-120</v>
      </c>
      <c r="S153" s="13">
        <f>SUM(S144+SUM(S147:S152))</f>
        <v>-44</v>
      </c>
      <c r="T153" s="18"/>
      <c r="U153" s="13">
        <f>SUM(U144+SUM(U147:U152))</f>
        <v>-2565</v>
      </c>
      <c r="V153" s="13">
        <f>SUM(V144+SUM(V147:V152))</f>
        <v>-2499</v>
      </c>
      <c r="W153" s="13">
        <f>SUM(W144+SUM(W147:W152))</f>
        <v>-2620</v>
      </c>
      <c r="X153" s="13">
        <f>SUM(X144+SUM(X147:X152))</f>
        <v>-2186</v>
      </c>
      <c r="Y153" s="13">
        <f>SUM(Y144+SUM(Y147:Y152))</f>
        <v>-1485</v>
      </c>
      <c r="Z153" s="13">
        <f>SUM(Z144+SUM(Z147:Z152))</f>
        <v>-1039</v>
      </c>
      <c r="AA153" s="13">
        <f>SUM(AA144+SUM(AA147:AA152))</f>
        <v>-492</v>
      </c>
      <c r="AB153" s="13">
        <f>SUM(AB144+SUM(AB147:AB152))</f>
        <v>-334</v>
      </c>
    </row>
    <row r="154" spans="1:28">
      <c r="B154" s="14" t="s">
        <v>32</v>
      </c>
      <c r="C154" s="15">
        <f>C153/C137</f>
        <v>1</v>
      </c>
      <c r="D154" s="15">
        <f>D153/D137</f>
        <v>-1.8883720930232557</v>
      </c>
      <c r="E154" s="15">
        <f>E153/E137</f>
        <v>-0.72766015947209239</v>
      </c>
      <c r="F154" s="15">
        <f>F153/F137</f>
        <v>-0.25260980894228874</v>
      </c>
      <c r="G154" s="15">
        <f>G153/G137</f>
        <v>-0.14399301852031415</v>
      </c>
      <c r="H154" s="18"/>
      <c r="I154" s="15">
        <f>I153/I137</f>
        <v>-0.24684317718940937</v>
      </c>
      <c r="J154" s="15">
        <f>J153/J137</f>
        <v>-0.19985358711566617</v>
      </c>
      <c r="K154" s="15">
        <f>K153/K137</f>
        <v>-0.2608695652173913</v>
      </c>
      <c r="L154" s="15">
        <f>L153/L137</f>
        <v>-0.30723606168446027</v>
      </c>
      <c r="M154" s="15">
        <f>M153/M137</f>
        <v>-0.21951219512195122</v>
      </c>
      <c r="N154" s="15">
        <f>N153/N137</f>
        <v>-0.25973520249221183</v>
      </c>
      <c r="O154" s="15">
        <f>O153/O137</f>
        <v>-7.6689445709946846E-2</v>
      </c>
      <c r="P154" s="15">
        <f>P153/P137</f>
        <v>-2.8668427008675973E-2</v>
      </c>
      <c r="Q154" s="15">
        <f>Q153/Q137</f>
        <v>-3.5391566265060244E-2</v>
      </c>
      <c r="R154" s="15">
        <f>R153/R137</f>
        <v>-4.2964554242749732E-2</v>
      </c>
      <c r="S154" s="15">
        <f>S153/S137</f>
        <v>-1.6710976072920623E-2</v>
      </c>
      <c r="T154" s="18"/>
      <c r="U154" s="15">
        <f>U153/U137</f>
        <v>-0.25260980894228874</v>
      </c>
      <c r="V154" s="15">
        <f>V153/V137</f>
        <v>-0.24598877842307312</v>
      </c>
      <c r="W154" s="15">
        <f>W153/W137</f>
        <v>-0.26213106553276638</v>
      </c>
      <c r="X154" s="15">
        <f>X153/X137</f>
        <v>-0.21450299283681679</v>
      </c>
      <c r="Y154" s="15">
        <f>Y153/Y137</f>
        <v>-0.14399301852031415</v>
      </c>
      <c r="Z154" s="15">
        <f>Z153/Z137</f>
        <v>-9.8867637263298128E-2</v>
      </c>
      <c r="AA154" s="15">
        <f>AA153/AA137</f>
        <v>-4.5835662381218556E-2</v>
      </c>
      <c r="AB154" s="15">
        <f>AB153/AB137</f>
        <v>-3.1118978850274853E-2</v>
      </c>
    </row>
    <row r="155" spans="1:28">
      <c r="B155" s="14"/>
      <c r="C155" s="15"/>
      <c r="D155" s="15"/>
      <c r="E155" s="15"/>
      <c r="F155" s="15"/>
      <c r="G155" s="15"/>
      <c r="H155" s="18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8"/>
      <c r="U155" s="15"/>
      <c r="V155" s="15"/>
      <c r="W155" s="15"/>
      <c r="X155" s="15"/>
      <c r="Y155" s="15"/>
      <c r="Z155" s="15"/>
      <c r="AA155" s="15"/>
      <c r="AB155" s="15"/>
    </row>
    <row r="156" spans="1:28" ht="12" customHeight="1">
      <c r="A156" s="74" t="s">
        <v>16</v>
      </c>
      <c r="B156" s="72" t="s">
        <v>218</v>
      </c>
      <c r="C156" s="10"/>
      <c r="D156" s="10"/>
      <c r="E156" s="10"/>
      <c r="F156" s="10"/>
      <c r="G156" s="10"/>
      <c r="H156" s="10"/>
      <c r="I156" s="81"/>
      <c r="J156" s="81"/>
      <c r="K156" s="81"/>
      <c r="L156" s="30"/>
      <c r="M156" s="81"/>
      <c r="N156" s="81"/>
      <c r="O156" s="81"/>
      <c r="P156" s="30"/>
      <c r="Q156" s="81"/>
      <c r="R156" s="81"/>
      <c r="S156" s="81"/>
      <c r="T156" s="5"/>
      <c r="U156" s="11"/>
      <c r="V156" s="11"/>
      <c r="W156" s="11"/>
      <c r="X156" s="11"/>
      <c r="Y156" s="11"/>
      <c r="Z156" s="11"/>
      <c r="AA156" s="11"/>
      <c r="AB156" s="11"/>
    </row>
    <row r="157" spans="1:28" ht="12" customHeight="1">
      <c r="A157" s="74"/>
      <c r="B157" s="9" t="s">
        <v>144</v>
      </c>
      <c r="C157" s="75"/>
      <c r="D157" s="75"/>
      <c r="E157" s="75"/>
      <c r="F157" s="75">
        <v>52</v>
      </c>
      <c r="G157" s="75">
        <v>57.1</v>
      </c>
      <c r="H157" s="10"/>
      <c r="I157" s="75"/>
      <c r="J157" s="75">
        <v>54</v>
      </c>
      <c r="K157" s="75">
        <v>52.6</v>
      </c>
      <c r="L157" s="30">
        <f t="shared" ref="L157:L158" si="667">SUM(F157-SUM(I157:K157))</f>
        <v>-54.599999999999994</v>
      </c>
      <c r="M157" s="75">
        <v>52.4</v>
      </c>
      <c r="N157" s="75">
        <v>52.6</v>
      </c>
      <c r="O157" s="75">
        <v>52.6</v>
      </c>
      <c r="P157" s="30">
        <f t="shared" ref="P157:P158" si="668">SUM(G157-SUM(M157:O157))</f>
        <v>-100.5</v>
      </c>
      <c r="Q157" s="75">
        <v>57.6</v>
      </c>
      <c r="R157" s="75">
        <v>57.8</v>
      </c>
      <c r="S157" s="75">
        <v>58</v>
      </c>
      <c r="T157" s="5"/>
      <c r="U157" s="30">
        <f t="shared" ref="U157:U158" si="669">SUM(I157:L157)</f>
        <v>52</v>
      </c>
      <c r="V157" s="30">
        <f t="shared" ref="V157:V158" si="670">SUM(J157:M157)</f>
        <v>104.4</v>
      </c>
      <c r="W157" s="30">
        <f t="shared" ref="W157:W158" si="671">SUM(K157:N157)</f>
        <v>103</v>
      </c>
      <c r="X157" s="30">
        <f t="shared" ref="X157:X158" si="672">SUM(L157:O157)</f>
        <v>103</v>
      </c>
      <c r="Y157" s="30">
        <f t="shared" ref="Y157:Y158" si="673">SUM(M157:P157)</f>
        <v>57.099999999999994</v>
      </c>
      <c r="Z157" s="30">
        <f t="shared" ref="Z157:Z158" si="674">SUM(N157:Q157)</f>
        <v>62.300000000000004</v>
      </c>
      <c r="AA157" s="30">
        <f t="shared" ref="AA157:AA158" si="675">SUM(O157:R157)</f>
        <v>67.5</v>
      </c>
      <c r="AB157" s="30">
        <f t="shared" ref="AB157:AB158" si="676">SUM(P157:S157)</f>
        <v>72.900000000000006</v>
      </c>
    </row>
    <row r="158" spans="1:28" ht="12" customHeight="1">
      <c r="A158" s="74"/>
      <c r="B158" s="9" t="s">
        <v>145</v>
      </c>
      <c r="C158" s="75"/>
      <c r="D158" s="75"/>
      <c r="E158" s="75"/>
      <c r="F158" s="75">
        <v>45.6</v>
      </c>
      <c r="G158" s="75">
        <v>59.8</v>
      </c>
      <c r="H158" s="10"/>
      <c r="I158" s="75"/>
      <c r="J158" s="75">
        <v>42.6</v>
      </c>
      <c r="K158" s="75">
        <v>43.3</v>
      </c>
      <c r="L158" s="30">
        <f t="shared" si="667"/>
        <v>-40.300000000000004</v>
      </c>
      <c r="M158" s="75">
        <v>50.8</v>
      </c>
      <c r="N158" s="75">
        <v>57.9</v>
      </c>
      <c r="O158" s="75">
        <v>57.9</v>
      </c>
      <c r="P158" s="30">
        <f t="shared" si="668"/>
        <v>-106.8</v>
      </c>
      <c r="Q158" s="75">
        <v>64.599999999999994</v>
      </c>
      <c r="R158" s="75">
        <v>67.900000000000006</v>
      </c>
      <c r="S158" s="75">
        <v>70</v>
      </c>
      <c r="T158" s="5"/>
      <c r="U158" s="30">
        <f t="shared" si="669"/>
        <v>45.6</v>
      </c>
      <c r="V158" s="30">
        <f t="shared" si="670"/>
        <v>96.4</v>
      </c>
      <c r="W158" s="30">
        <f t="shared" si="671"/>
        <v>111.69999999999999</v>
      </c>
      <c r="X158" s="30">
        <f t="shared" si="672"/>
        <v>126.29999999999998</v>
      </c>
      <c r="Y158" s="30">
        <f t="shared" si="673"/>
        <v>59.8</v>
      </c>
      <c r="Z158" s="30">
        <f t="shared" si="674"/>
        <v>73.599999999999994</v>
      </c>
      <c r="AA158" s="30">
        <f t="shared" si="675"/>
        <v>83.6</v>
      </c>
      <c r="AB158" s="30">
        <f t="shared" si="676"/>
        <v>95.7</v>
      </c>
    </row>
    <row r="159" spans="1:28" ht="12" customHeight="1">
      <c r="B159" s="12" t="s">
        <v>219</v>
      </c>
      <c r="C159" s="170">
        <f>SUM(C157:C158)</f>
        <v>0</v>
      </c>
      <c r="D159" s="170">
        <f>SUM(D157:D158)</f>
        <v>0</v>
      </c>
      <c r="E159" s="170">
        <f t="shared" ref="E159:G159" si="677">SUM(E157:E158)</f>
        <v>0</v>
      </c>
      <c r="F159" s="170">
        <f t="shared" si="677"/>
        <v>97.6</v>
      </c>
      <c r="G159" s="170">
        <f t="shared" si="677"/>
        <v>116.9</v>
      </c>
      <c r="H159" s="11"/>
      <c r="I159" s="170">
        <f t="shared" ref="I159" si="678">SUM(I157:I158)</f>
        <v>0</v>
      </c>
      <c r="J159" s="170">
        <f t="shared" ref="J159" si="679">SUM(J157:J158)</f>
        <v>96.6</v>
      </c>
      <c r="K159" s="170">
        <f t="shared" ref="K159" si="680">SUM(K157:K158)</f>
        <v>95.9</v>
      </c>
      <c r="L159" s="170">
        <f t="shared" ref="L159" si="681">SUM(L157:L158)</f>
        <v>-94.9</v>
      </c>
      <c r="M159" s="170">
        <f t="shared" ref="M159" si="682">SUM(M157:M158)</f>
        <v>103.19999999999999</v>
      </c>
      <c r="N159" s="170">
        <f t="shared" ref="N159" si="683">SUM(N157:N158)</f>
        <v>110.5</v>
      </c>
      <c r="O159" s="170">
        <f t="shared" ref="O159" si="684">SUM(O157:O158)</f>
        <v>110.5</v>
      </c>
      <c r="P159" s="170">
        <f t="shared" ref="P159" si="685">SUM(P157:P158)</f>
        <v>-207.3</v>
      </c>
      <c r="Q159" s="170">
        <f t="shared" ref="Q159" si="686">SUM(Q157:Q158)</f>
        <v>122.19999999999999</v>
      </c>
      <c r="R159" s="170">
        <f t="shared" ref="R159" si="687">SUM(R157:R158)</f>
        <v>125.7</v>
      </c>
      <c r="S159" s="170">
        <f t="shared" ref="S159" si="688">SUM(S157:S158)</f>
        <v>128</v>
      </c>
      <c r="T159" s="5"/>
      <c r="U159" s="170">
        <f t="shared" ref="U159" si="689">SUM(U157:U158)</f>
        <v>97.6</v>
      </c>
      <c r="V159" s="170">
        <f t="shared" ref="V159" si="690">SUM(V157:V158)</f>
        <v>200.8</v>
      </c>
      <c r="W159" s="170">
        <f t="shared" ref="W159" si="691">SUM(W157:W158)</f>
        <v>214.7</v>
      </c>
      <c r="X159" s="170">
        <f t="shared" ref="X159" si="692">SUM(X157:X158)</f>
        <v>229.29999999999998</v>
      </c>
      <c r="Y159" s="170">
        <f t="shared" ref="Y159" si="693">SUM(Y157:Y158)</f>
        <v>116.89999999999999</v>
      </c>
      <c r="Z159" s="170">
        <f t="shared" ref="Z159" si="694">SUM(Z157:Z158)</f>
        <v>135.9</v>
      </c>
      <c r="AA159" s="170">
        <f t="shared" ref="AA159" si="695">SUM(AA157:AA158)</f>
        <v>151.1</v>
      </c>
      <c r="AB159" s="170">
        <f t="shared" ref="AB159" si="696">SUM(AB157:AB158)</f>
        <v>168.60000000000002</v>
      </c>
    </row>
    <row r="160" spans="1:28" ht="12" customHeight="1"/>
    <row r="161" spans="1:28" ht="12" customHeight="1">
      <c r="B161" s="115" t="str">
        <f>B157&amp;"(%)"</f>
        <v>Total Domestic subscribers(%)</v>
      </c>
      <c r="C161" s="127" t="e">
        <f>C157/C$159</f>
        <v>#DIV/0!</v>
      </c>
      <c r="D161" s="127" t="e">
        <f>D157/D$159</f>
        <v>#DIV/0!</v>
      </c>
      <c r="E161" s="127" t="e">
        <f>E157/E$159</f>
        <v>#DIV/0!</v>
      </c>
      <c r="F161" s="127">
        <f>F157/F$159</f>
        <v>0.53278688524590168</v>
      </c>
      <c r="G161" s="127">
        <f>G157/G$159</f>
        <v>0.48845166809238666</v>
      </c>
      <c r="H161" s="116"/>
      <c r="I161" s="127" t="e">
        <f>I157/I$159</f>
        <v>#DIV/0!</v>
      </c>
      <c r="J161" s="127">
        <f>J157/J$159</f>
        <v>0.55900621118012428</v>
      </c>
      <c r="K161" s="127">
        <f>K157/K$159</f>
        <v>0.54848800834202294</v>
      </c>
      <c r="L161" s="127">
        <f>L157/L$159</f>
        <v>0.57534246575342451</v>
      </c>
      <c r="M161" s="127">
        <f>M157/M$159</f>
        <v>0.50775193798449614</v>
      </c>
      <c r="N161" s="127">
        <f>N157/N$159</f>
        <v>0.47601809954751134</v>
      </c>
      <c r="O161" s="127">
        <f>O157/O$159</f>
        <v>0.47601809954751134</v>
      </c>
      <c r="P161" s="127">
        <f>P157/P$159</f>
        <v>0.48480463096960924</v>
      </c>
      <c r="Q161" s="127">
        <f>Q157/Q$159</f>
        <v>0.47135842880523737</v>
      </c>
      <c r="R161" s="127">
        <f>R157/R$159</f>
        <v>0.45982498011137624</v>
      </c>
      <c r="S161" s="127">
        <f>S157/S$159</f>
        <v>0.453125</v>
      </c>
      <c r="T161" s="116"/>
      <c r="U161" s="117">
        <f>U157/U$159</f>
        <v>0.53278688524590168</v>
      </c>
      <c r="V161" s="117">
        <f>V157/V$159</f>
        <v>0.51992031872509958</v>
      </c>
      <c r="W161" s="117">
        <f>W157/W$159</f>
        <v>0.47973917093619006</v>
      </c>
      <c r="X161" s="117">
        <f>X157/X$159</f>
        <v>0.44919319668556479</v>
      </c>
      <c r="Y161" s="117">
        <f>Y157/Y$159</f>
        <v>0.48845166809238666</v>
      </c>
      <c r="Z161" s="117">
        <f>Z157/Z$159</f>
        <v>0.45842531272994852</v>
      </c>
      <c r="AA161" s="117">
        <f>AA157/AA$159</f>
        <v>0.44672402382528131</v>
      </c>
      <c r="AB161" s="118">
        <f>AB157/AB$159</f>
        <v>0.43238434163701067</v>
      </c>
    </row>
    <row r="162" spans="1:28" ht="12" customHeight="1">
      <c r="B162" s="123" t="str">
        <f>B158&amp;"(%)"</f>
        <v>Total International subscribers(%)</v>
      </c>
      <c r="C162" s="128" t="e">
        <f>C158/C$159</f>
        <v>#DIV/0!</v>
      </c>
      <c r="D162" s="128" t="e">
        <f>D158/D$159</f>
        <v>#DIV/0!</v>
      </c>
      <c r="E162" s="128" t="e">
        <f>E158/E$159</f>
        <v>#DIV/0!</v>
      </c>
      <c r="F162" s="128">
        <f>F158/F$159</f>
        <v>0.46721311475409838</v>
      </c>
      <c r="G162" s="128">
        <f>G158/G$159</f>
        <v>0.51154833190761329</v>
      </c>
      <c r="H162" s="124"/>
      <c r="I162" s="128" t="e">
        <f t="shared" ref="I162:S162" si="697">I158/I$159</f>
        <v>#DIV/0!</v>
      </c>
      <c r="J162" s="128">
        <f t="shared" si="697"/>
        <v>0.44099378881987583</v>
      </c>
      <c r="K162" s="128">
        <f t="shared" si="697"/>
        <v>0.45151199165797701</v>
      </c>
      <c r="L162" s="128">
        <f t="shared" si="697"/>
        <v>0.42465753424657537</v>
      </c>
      <c r="M162" s="128">
        <f t="shared" si="697"/>
        <v>0.49224806201550392</v>
      </c>
      <c r="N162" s="128">
        <f t="shared" si="697"/>
        <v>0.52398190045248871</v>
      </c>
      <c r="O162" s="128">
        <f t="shared" si="697"/>
        <v>0.52398190045248871</v>
      </c>
      <c r="P162" s="128">
        <f t="shared" si="697"/>
        <v>0.51519536903039065</v>
      </c>
      <c r="Q162" s="128">
        <f t="shared" si="697"/>
        <v>0.52864157119476274</v>
      </c>
      <c r="R162" s="128">
        <f t="shared" si="697"/>
        <v>0.54017501988862371</v>
      </c>
      <c r="S162" s="128">
        <f t="shared" si="697"/>
        <v>0.546875</v>
      </c>
      <c r="T162" s="124"/>
      <c r="U162" s="125">
        <f t="shared" ref="U162:AB162" si="698">U158/U$159</f>
        <v>0.46721311475409838</v>
      </c>
      <c r="V162" s="125">
        <f t="shared" si="698"/>
        <v>0.48007968127490042</v>
      </c>
      <c r="W162" s="125">
        <f t="shared" si="698"/>
        <v>0.52026082906380999</v>
      </c>
      <c r="X162" s="125">
        <f t="shared" si="698"/>
        <v>0.55080680331443521</v>
      </c>
      <c r="Y162" s="125">
        <f t="shared" si="698"/>
        <v>0.5115483319076134</v>
      </c>
      <c r="Z162" s="125">
        <f t="shared" si="698"/>
        <v>0.54157468727005142</v>
      </c>
      <c r="AA162" s="125">
        <f t="shared" si="698"/>
        <v>0.55327597617471869</v>
      </c>
      <c r="AB162" s="126">
        <f t="shared" si="698"/>
        <v>0.56761565836298922</v>
      </c>
    </row>
    <row r="163" spans="1:28" s="165" customFormat="1" ht="12" customHeight="1">
      <c r="B163" s="166"/>
      <c r="C163" s="167"/>
      <c r="D163" s="167"/>
      <c r="E163" s="167"/>
      <c r="F163" s="167"/>
      <c r="G163" s="167"/>
      <c r="H163" s="168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8"/>
      <c r="U163" s="169"/>
      <c r="V163" s="169"/>
      <c r="W163" s="169"/>
      <c r="X163" s="169"/>
      <c r="Y163" s="169"/>
      <c r="Z163" s="169"/>
      <c r="AA163" s="169"/>
      <c r="AB163" s="169"/>
    </row>
    <row r="164" spans="1:28" ht="12" customHeight="1">
      <c r="A164" s="74" t="s">
        <v>16</v>
      </c>
      <c r="B164" s="72" t="s">
        <v>220</v>
      </c>
      <c r="C164" s="10"/>
      <c r="D164" s="10"/>
      <c r="E164" s="10"/>
      <c r="F164" s="10"/>
      <c r="G164" s="10"/>
      <c r="H164" s="10"/>
      <c r="I164" s="81"/>
      <c r="J164" s="81"/>
      <c r="K164" s="81"/>
      <c r="L164" s="30"/>
      <c r="M164" s="81"/>
      <c r="N164" s="81"/>
      <c r="O164" s="81"/>
      <c r="P164" s="30"/>
      <c r="Q164" s="81"/>
      <c r="R164" s="81"/>
      <c r="S164" s="81"/>
      <c r="T164" s="5"/>
      <c r="U164" s="11"/>
      <c r="V164" s="11"/>
      <c r="W164" s="11"/>
      <c r="X164" s="11"/>
      <c r="Y164" s="11"/>
      <c r="Z164" s="11"/>
      <c r="AA164" s="11"/>
      <c r="AB164" s="11"/>
    </row>
    <row r="165" spans="1:28" ht="12" customHeight="1">
      <c r="A165" s="74"/>
      <c r="B165" s="9" t="s">
        <v>146</v>
      </c>
      <c r="C165" s="75"/>
      <c r="D165" s="75"/>
      <c r="E165" s="75"/>
      <c r="F165" s="171">
        <v>11.2</v>
      </c>
      <c r="G165" s="171">
        <v>11.89</v>
      </c>
      <c r="H165" s="10"/>
      <c r="I165" s="171"/>
      <c r="J165" s="171">
        <v>11.09</v>
      </c>
      <c r="K165" s="171">
        <v>11.29</v>
      </c>
      <c r="L165" s="172">
        <f t="shared" ref="L165:L167" si="699">SUM(F165-SUM(I165:K165))</f>
        <v>-11.18</v>
      </c>
      <c r="M165" s="171">
        <v>11.72</v>
      </c>
      <c r="N165" s="171">
        <v>12.08</v>
      </c>
      <c r="O165" s="171">
        <v>11.99</v>
      </c>
      <c r="P165" s="172">
        <f t="shared" ref="P165:P167" si="700">SUM(G165-SUM(M165:O165))</f>
        <v>-23.9</v>
      </c>
      <c r="Q165" s="171">
        <v>11.15</v>
      </c>
      <c r="R165" s="171">
        <v>11.16</v>
      </c>
      <c r="S165" s="171">
        <v>10.4</v>
      </c>
      <c r="T165" s="5"/>
      <c r="U165" s="172">
        <f t="shared" ref="U165:U167" si="701">L165</f>
        <v>-11.18</v>
      </c>
      <c r="V165" s="172">
        <f t="shared" ref="V165:V167" si="702">M165</f>
        <v>11.72</v>
      </c>
      <c r="W165" s="172">
        <f t="shared" ref="W165:W167" si="703">N165</f>
        <v>12.08</v>
      </c>
      <c r="X165" s="172">
        <f t="shared" ref="X165:X167" si="704">O165</f>
        <v>11.99</v>
      </c>
      <c r="Y165" s="172">
        <f t="shared" ref="Y165:Y167" si="705">P165</f>
        <v>-23.9</v>
      </c>
      <c r="Z165" s="172">
        <f t="shared" ref="Z165:Z167" si="706">Q165</f>
        <v>11.15</v>
      </c>
      <c r="AA165" s="172">
        <f t="shared" ref="AA165:AA167" si="707">R165</f>
        <v>11.16</v>
      </c>
      <c r="AB165" s="172">
        <f t="shared" ref="AB165:AB167" si="708">S165</f>
        <v>10.4</v>
      </c>
    </row>
    <row r="166" spans="1:28" ht="12" customHeight="1">
      <c r="A166" s="74"/>
      <c r="B166" s="9" t="s">
        <v>147</v>
      </c>
      <c r="C166" s="75"/>
      <c r="D166" s="75"/>
      <c r="E166" s="75"/>
      <c r="F166" s="171">
        <v>3.85</v>
      </c>
      <c r="G166" s="171">
        <v>3.85</v>
      </c>
      <c r="H166" s="10"/>
      <c r="I166" s="171"/>
      <c r="J166" s="171">
        <v>3.85</v>
      </c>
      <c r="K166" s="171">
        <v>3.98</v>
      </c>
      <c r="L166" s="172">
        <f t="shared" si="699"/>
        <v>-3.98</v>
      </c>
      <c r="M166" s="171">
        <v>3.75</v>
      </c>
      <c r="N166" s="171">
        <v>3.85</v>
      </c>
      <c r="O166" s="171">
        <v>4.05</v>
      </c>
      <c r="P166" s="172">
        <f t="shared" si="700"/>
        <v>-7.7999999999999989</v>
      </c>
      <c r="Q166" s="171">
        <v>3.63</v>
      </c>
      <c r="R166" s="171">
        <v>3.85</v>
      </c>
      <c r="S166" s="171">
        <v>3.7</v>
      </c>
      <c r="T166" s="5"/>
      <c r="U166" s="172">
        <f t="shared" si="701"/>
        <v>-3.98</v>
      </c>
      <c r="V166" s="172">
        <f t="shared" si="702"/>
        <v>3.75</v>
      </c>
      <c r="W166" s="172">
        <f t="shared" si="703"/>
        <v>3.85</v>
      </c>
      <c r="X166" s="172">
        <f t="shared" si="704"/>
        <v>4.05</v>
      </c>
      <c r="Y166" s="172">
        <f t="shared" si="705"/>
        <v>-7.7999999999999989</v>
      </c>
      <c r="Z166" s="172">
        <f t="shared" si="706"/>
        <v>3.63</v>
      </c>
      <c r="AA166" s="172">
        <f t="shared" si="707"/>
        <v>3.85</v>
      </c>
      <c r="AB166" s="172">
        <f t="shared" si="708"/>
        <v>3.7</v>
      </c>
    </row>
    <row r="167" spans="1:28" ht="12" customHeight="1">
      <c r="A167" s="74"/>
      <c r="B167" s="9" t="s">
        <v>148</v>
      </c>
      <c r="C167" s="75"/>
      <c r="D167" s="75"/>
      <c r="E167" s="75"/>
      <c r="F167" s="171">
        <v>7.78</v>
      </c>
      <c r="G167" s="171">
        <v>7.76</v>
      </c>
      <c r="H167" s="10"/>
      <c r="I167" s="171"/>
      <c r="J167" s="171">
        <v>7.77</v>
      </c>
      <c r="K167" s="171">
        <v>7.88</v>
      </c>
      <c r="L167" s="172">
        <f t="shared" si="699"/>
        <v>-7.8699999999999983</v>
      </c>
      <c r="M167" s="171">
        <v>7.83</v>
      </c>
      <c r="N167" s="171">
        <v>8</v>
      </c>
      <c r="O167" s="171">
        <v>7.84</v>
      </c>
      <c r="P167" s="172">
        <f t="shared" si="700"/>
        <v>-15.910000000000002</v>
      </c>
      <c r="Q167" s="171">
        <v>7.11</v>
      </c>
      <c r="R167" s="171">
        <v>7.14</v>
      </c>
      <c r="S167" s="171">
        <v>6.64</v>
      </c>
      <c r="T167" s="5"/>
      <c r="U167" s="172">
        <f t="shared" si="701"/>
        <v>-7.8699999999999983</v>
      </c>
      <c r="V167" s="172">
        <f t="shared" si="702"/>
        <v>7.83</v>
      </c>
      <c r="W167" s="172">
        <f t="shared" si="703"/>
        <v>8</v>
      </c>
      <c r="X167" s="172">
        <f t="shared" si="704"/>
        <v>7.84</v>
      </c>
      <c r="Y167" s="172">
        <f t="shared" si="705"/>
        <v>-15.910000000000002</v>
      </c>
      <c r="Z167" s="172">
        <f t="shared" si="706"/>
        <v>7.11</v>
      </c>
      <c r="AA167" s="172">
        <f t="shared" si="707"/>
        <v>7.14</v>
      </c>
      <c r="AB167" s="172">
        <f>S167</f>
        <v>6.64</v>
      </c>
    </row>
    <row r="168" spans="1:28" s="165" customFormat="1" ht="12" customHeight="1">
      <c r="B168" s="166"/>
      <c r="C168" s="167"/>
      <c r="D168" s="167"/>
      <c r="E168" s="167"/>
      <c r="F168" s="167"/>
      <c r="G168" s="167"/>
      <c r="H168" s="168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8"/>
      <c r="U168" s="169"/>
      <c r="V168" s="169"/>
      <c r="W168" s="169"/>
      <c r="X168" s="169"/>
      <c r="Y168" s="169"/>
      <c r="Z168" s="169"/>
      <c r="AA168" s="169"/>
      <c r="AB168" s="169"/>
    </row>
    <row r="169" spans="1:28">
      <c r="A169" s="33" t="s">
        <v>16</v>
      </c>
      <c r="B169" s="1" t="s">
        <v>162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5.0999999999999996" customHeight="1"/>
    <row r="171" spans="1:28">
      <c r="A171" s="74" t="s">
        <v>16</v>
      </c>
      <c r="B171" s="72" t="s">
        <v>204</v>
      </c>
      <c r="C171" s="17"/>
      <c r="D171" s="17"/>
      <c r="E171" s="17"/>
      <c r="F171" s="17"/>
      <c r="G171" s="17"/>
      <c r="H171" s="18"/>
      <c r="I171" s="19"/>
      <c r="J171" s="19"/>
      <c r="K171" s="19"/>
      <c r="L171" s="20"/>
      <c r="M171" s="19"/>
      <c r="N171" s="19"/>
      <c r="O171" s="19"/>
      <c r="P171" s="19"/>
      <c r="Q171" s="19"/>
      <c r="R171" s="19"/>
      <c r="S171" s="19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>
      <c r="B172" s="9" t="s">
        <v>163</v>
      </c>
      <c r="C172" s="76"/>
      <c r="D172" s="76">
        <v>-385</v>
      </c>
      <c r="E172" s="76">
        <v>-1200</v>
      </c>
      <c r="F172" s="76">
        <v>-1242</v>
      </c>
      <c r="G172" s="76">
        <v>-1260</v>
      </c>
      <c r="H172" s="18"/>
      <c r="I172" s="75">
        <v>-355</v>
      </c>
      <c r="J172" s="75">
        <v>-245</v>
      </c>
      <c r="K172" s="75">
        <v>-328</v>
      </c>
      <c r="L172" s="30">
        <f t="shared" ref="L172" si="709">SUM(F172-SUM(I172:K172))</f>
        <v>-314</v>
      </c>
      <c r="M172" s="75">
        <v>-346</v>
      </c>
      <c r="N172" s="75">
        <v>-285</v>
      </c>
      <c r="O172" s="75">
        <v>-296</v>
      </c>
      <c r="P172" s="30">
        <f t="shared" ref="P172" si="710">SUM(G172-SUM(M172:O172))</f>
        <v>-333</v>
      </c>
      <c r="Q172" s="75">
        <v>-233</v>
      </c>
      <c r="R172" s="75">
        <v>-316</v>
      </c>
      <c r="S172" s="75">
        <v>-258</v>
      </c>
      <c r="T172" s="18"/>
      <c r="U172" s="30">
        <f t="shared" ref="U172" si="711">SUM(I172:L172)</f>
        <v>-1242</v>
      </c>
      <c r="V172" s="30">
        <f t="shared" ref="V172" si="712">SUM(J172:M172)</f>
        <v>-1233</v>
      </c>
      <c r="W172" s="30">
        <f t="shared" ref="W172" si="713">SUM(K172:N172)</f>
        <v>-1273</v>
      </c>
      <c r="X172" s="30">
        <f t="shared" ref="X172" si="714">SUM(L172:O172)</f>
        <v>-1241</v>
      </c>
      <c r="Y172" s="30">
        <f t="shared" ref="Y172" si="715">SUM(M172:P172)</f>
        <v>-1260</v>
      </c>
      <c r="Z172" s="30">
        <f t="shared" ref="Z172" si="716">SUM(N172:Q172)</f>
        <v>-1147</v>
      </c>
      <c r="AA172" s="30">
        <f t="shared" ref="AA172" si="717">SUM(O172:R172)</f>
        <v>-1178</v>
      </c>
      <c r="AB172" s="30">
        <f t="shared" ref="AB172" si="718">SUM(P172:S172)</f>
        <v>-1140</v>
      </c>
    </row>
    <row r="173" spans="1:28" ht="12.75" customHeight="1">
      <c r="A173" s="74"/>
      <c r="B173" s="12" t="s">
        <v>149</v>
      </c>
      <c r="C173" s="13">
        <f>C172</f>
        <v>0</v>
      </c>
      <c r="D173" s="13">
        <f>D172</f>
        <v>-385</v>
      </c>
      <c r="E173" s="13">
        <f t="shared" ref="E173:G173" si="719">E172</f>
        <v>-1200</v>
      </c>
      <c r="F173" s="13">
        <f t="shared" si="719"/>
        <v>-1242</v>
      </c>
      <c r="G173" s="13">
        <f t="shared" si="719"/>
        <v>-1260</v>
      </c>
      <c r="H173" s="18"/>
      <c r="I173" s="13">
        <f t="shared" ref="I173" si="720">I172</f>
        <v>-355</v>
      </c>
      <c r="J173" s="13">
        <f t="shared" ref="J173" si="721">J172</f>
        <v>-245</v>
      </c>
      <c r="K173" s="13">
        <f t="shared" ref="K173" si="722">K172</f>
        <v>-328</v>
      </c>
      <c r="L173" s="13">
        <f t="shared" ref="L173" si="723">L172</f>
        <v>-314</v>
      </c>
      <c r="M173" s="13">
        <f t="shared" ref="M173" si="724">M172</f>
        <v>-346</v>
      </c>
      <c r="N173" s="13">
        <f t="shared" ref="N173" si="725">N172</f>
        <v>-285</v>
      </c>
      <c r="O173" s="13">
        <f t="shared" ref="O173" si="726">O172</f>
        <v>-296</v>
      </c>
      <c r="P173" s="13">
        <f t="shared" ref="P173" si="727">P172</f>
        <v>-333</v>
      </c>
      <c r="Q173" s="13">
        <f t="shared" ref="Q173" si="728">Q172</f>
        <v>-233</v>
      </c>
      <c r="R173" s="13">
        <f t="shared" ref="R173" si="729">R172</f>
        <v>-316</v>
      </c>
      <c r="S173" s="13">
        <f t="shared" ref="S173" si="730">S172</f>
        <v>-258</v>
      </c>
      <c r="T173" s="18"/>
      <c r="U173" s="13">
        <f t="shared" ref="U173" si="731">U172</f>
        <v>-1242</v>
      </c>
      <c r="V173" s="13">
        <f t="shared" ref="V173" si="732">V172</f>
        <v>-1233</v>
      </c>
      <c r="W173" s="13">
        <f t="shared" ref="W173" si="733">W172</f>
        <v>-1273</v>
      </c>
      <c r="X173" s="13">
        <f t="shared" ref="X173" si="734">X172</f>
        <v>-1241</v>
      </c>
      <c r="Y173" s="13">
        <f t="shared" ref="Y173" si="735">Y172</f>
        <v>-1260</v>
      </c>
      <c r="Z173" s="13">
        <f t="shared" ref="Z173" si="736">Z172</f>
        <v>-1147</v>
      </c>
      <c r="AA173" s="13">
        <f t="shared" ref="AA173" si="737">AA172</f>
        <v>-1178</v>
      </c>
      <c r="AB173" s="13">
        <f t="shared" ref="AB173" si="738">AB172</f>
        <v>-1140</v>
      </c>
    </row>
    <row r="174" spans="1:28" ht="5.0999999999999996" customHeight="1">
      <c r="B174" s="16"/>
      <c r="C174" s="17"/>
      <c r="D174" s="17"/>
      <c r="E174" s="17"/>
      <c r="F174" s="17"/>
      <c r="G174" s="17"/>
      <c r="H174" s="18"/>
      <c r="I174" s="19"/>
      <c r="J174" s="19"/>
      <c r="K174" s="19"/>
      <c r="L174" s="20"/>
      <c r="M174" s="19"/>
      <c r="N174" s="19"/>
      <c r="O174" s="19"/>
      <c r="P174" s="19"/>
      <c r="Q174" s="19"/>
      <c r="R174" s="19"/>
      <c r="S174" s="19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>
      <c r="B175" s="9" t="s">
        <v>51</v>
      </c>
      <c r="C175" s="76"/>
      <c r="D175" s="76">
        <v>-95</v>
      </c>
      <c r="E175" s="76">
        <v>-272</v>
      </c>
      <c r="F175" s="76">
        <v>-294</v>
      </c>
      <c r="G175" s="76">
        <v>-332</v>
      </c>
      <c r="H175" s="18"/>
      <c r="I175" s="75">
        <v>-106</v>
      </c>
      <c r="J175" s="75">
        <v>-85</v>
      </c>
      <c r="K175" s="75">
        <v>-54</v>
      </c>
      <c r="L175" s="30">
        <f t="shared" ref="L175:L182" si="739">SUM(F175-SUM(I175:K175))</f>
        <v>-49</v>
      </c>
      <c r="M175" s="75">
        <v>-100</v>
      </c>
      <c r="N175" s="75">
        <v>-58</v>
      </c>
      <c r="O175" s="75">
        <v>-93</v>
      </c>
      <c r="P175" s="30">
        <f t="shared" ref="P175:P182" si="740">SUM(G175-SUM(M175:O175))</f>
        <v>-81</v>
      </c>
      <c r="Q175" s="75">
        <v>-99</v>
      </c>
      <c r="R175" s="75">
        <v>-93</v>
      </c>
      <c r="S175" s="75">
        <v>-100</v>
      </c>
      <c r="T175" s="18"/>
      <c r="U175" s="30">
        <f t="shared" ref="U175:U182" si="741">SUM(I175:L175)</f>
        <v>-294</v>
      </c>
      <c r="V175" s="30">
        <f t="shared" ref="V175:V182" si="742">SUM(J175:M175)</f>
        <v>-288</v>
      </c>
      <c r="W175" s="30">
        <f t="shared" ref="W175:W182" si="743">SUM(K175:N175)</f>
        <v>-261</v>
      </c>
      <c r="X175" s="30">
        <f t="shared" ref="X175:X182" si="744">SUM(L175:O175)</f>
        <v>-300</v>
      </c>
      <c r="Y175" s="30">
        <f t="shared" ref="Y175:Y182" si="745">SUM(M175:P175)</f>
        <v>-332</v>
      </c>
      <c r="Z175" s="30">
        <f t="shared" ref="Z175:Z182" si="746">SUM(N175:Q175)</f>
        <v>-331</v>
      </c>
      <c r="AA175" s="30">
        <f t="shared" ref="AA175:AA182" si="747">SUM(O175:R175)</f>
        <v>-366</v>
      </c>
      <c r="AB175" s="30">
        <f t="shared" ref="AB175:AB182" si="748">SUM(P175:S175)</f>
        <v>-373</v>
      </c>
    </row>
    <row r="176" spans="1:28">
      <c r="B176" s="9" t="s">
        <v>150</v>
      </c>
      <c r="C176" s="76"/>
      <c r="D176" s="76">
        <v>-167</v>
      </c>
      <c r="E176" s="76">
        <v>-410</v>
      </c>
      <c r="F176" s="76">
        <v>-488</v>
      </c>
      <c r="G176" s="76">
        <v>-547</v>
      </c>
      <c r="H176" s="18"/>
      <c r="I176" s="75">
        <v>-76</v>
      </c>
      <c r="J176" s="75">
        <v>-135</v>
      </c>
      <c r="K176" s="75">
        <v>-140</v>
      </c>
      <c r="L176" s="30">
        <f t="shared" ref="L176" si="749">SUM(F176-SUM(I176:K176))</f>
        <v>-137</v>
      </c>
      <c r="M176" s="75">
        <v>-82</v>
      </c>
      <c r="N176" s="75">
        <v>-156</v>
      </c>
      <c r="O176" s="75">
        <v>-157</v>
      </c>
      <c r="P176" s="30">
        <f t="shared" ref="P176" si="750">SUM(G176-SUM(M176:O176))</f>
        <v>-152</v>
      </c>
      <c r="Q176" s="75">
        <v>-119</v>
      </c>
      <c r="R176" s="75">
        <v>-173</v>
      </c>
      <c r="S176" s="75">
        <v>-240</v>
      </c>
      <c r="T176" s="18"/>
      <c r="U176" s="30">
        <f t="shared" ref="U176" si="751">SUM(I176:L176)</f>
        <v>-488</v>
      </c>
      <c r="V176" s="30">
        <f t="shared" ref="V176" si="752">SUM(J176:M176)</f>
        <v>-494</v>
      </c>
      <c r="W176" s="30">
        <f t="shared" ref="W176" si="753">SUM(K176:N176)</f>
        <v>-515</v>
      </c>
      <c r="X176" s="30">
        <f t="shared" ref="X176" si="754">SUM(L176:O176)</f>
        <v>-532</v>
      </c>
      <c r="Y176" s="30">
        <f t="shared" ref="Y176" si="755">SUM(M176:P176)</f>
        <v>-547</v>
      </c>
      <c r="Z176" s="30">
        <f t="shared" ref="Z176" si="756">SUM(N176:Q176)</f>
        <v>-584</v>
      </c>
      <c r="AA176" s="30">
        <f t="shared" ref="AA176" si="757">SUM(O176:R176)</f>
        <v>-601</v>
      </c>
      <c r="AB176" s="30">
        <f t="shared" ref="AB176" si="758">SUM(P176:S176)</f>
        <v>-684</v>
      </c>
    </row>
    <row r="177" spans="1:28">
      <c r="B177" s="9" t="s">
        <v>127</v>
      </c>
      <c r="C177" s="76"/>
      <c r="D177" s="76">
        <v>0</v>
      </c>
      <c r="E177" s="76">
        <v>-195</v>
      </c>
      <c r="F177" s="76">
        <v>-95</v>
      </c>
      <c r="G177" s="76">
        <v>-96</v>
      </c>
      <c r="H177" s="18"/>
      <c r="I177" s="75">
        <v>-7</v>
      </c>
      <c r="J177" s="75">
        <v>-10</v>
      </c>
      <c r="K177" s="75">
        <v>-53</v>
      </c>
      <c r="L177" s="30">
        <f t="shared" si="739"/>
        <v>-25</v>
      </c>
      <c r="M177" s="75">
        <v>-11</v>
      </c>
      <c r="N177" s="75">
        <v>-41</v>
      </c>
      <c r="O177" s="75">
        <v>-18</v>
      </c>
      <c r="P177" s="30">
        <f t="shared" si="740"/>
        <v>-26</v>
      </c>
      <c r="Q177" s="75">
        <v>-31</v>
      </c>
      <c r="R177" s="75">
        <v>-49</v>
      </c>
      <c r="S177" s="75">
        <v>-59</v>
      </c>
      <c r="T177" s="18"/>
      <c r="U177" s="30">
        <f t="shared" si="741"/>
        <v>-95</v>
      </c>
      <c r="V177" s="30">
        <f t="shared" si="742"/>
        <v>-99</v>
      </c>
      <c r="W177" s="30">
        <f t="shared" si="743"/>
        <v>-130</v>
      </c>
      <c r="X177" s="30">
        <f t="shared" si="744"/>
        <v>-95</v>
      </c>
      <c r="Y177" s="30">
        <f t="shared" si="745"/>
        <v>-96</v>
      </c>
      <c r="Z177" s="30">
        <f t="shared" si="746"/>
        <v>-116</v>
      </c>
      <c r="AA177" s="30">
        <f t="shared" si="747"/>
        <v>-124</v>
      </c>
      <c r="AB177" s="30">
        <f t="shared" si="748"/>
        <v>-165</v>
      </c>
    </row>
    <row r="178" spans="1:28">
      <c r="B178" s="9" t="s">
        <v>151</v>
      </c>
      <c r="C178" s="76"/>
      <c r="D178" s="76">
        <v>-90</v>
      </c>
      <c r="E178" s="76">
        <v>-1182</v>
      </c>
      <c r="F178" s="76">
        <v>-148</v>
      </c>
      <c r="G178" s="76">
        <v>-239</v>
      </c>
      <c r="H178" s="18"/>
      <c r="I178" s="75">
        <v>-42</v>
      </c>
      <c r="J178" s="75">
        <v>-36</v>
      </c>
      <c r="K178" s="75">
        <v>-37</v>
      </c>
      <c r="L178" s="30">
        <f t="shared" si="739"/>
        <v>-33</v>
      </c>
      <c r="M178" s="75">
        <v>-79</v>
      </c>
      <c r="N178" s="75">
        <v>-51</v>
      </c>
      <c r="O178" s="75">
        <v>-31</v>
      </c>
      <c r="P178" s="30">
        <f t="shared" si="740"/>
        <v>-78</v>
      </c>
      <c r="Q178" s="75">
        <v>-80</v>
      </c>
      <c r="R178" s="75">
        <v>-17</v>
      </c>
      <c r="S178" s="75">
        <v>-11</v>
      </c>
      <c r="T178" s="18"/>
      <c r="U178" s="30">
        <f t="shared" si="741"/>
        <v>-148</v>
      </c>
      <c r="V178" s="30">
        <f t="shared" si="742"/>
        <v>-185</v>
      </c>
      <c r="W178" s="30">
        <f t="shared" si="743"/>
        <v>-200</v>
      </c>
      <c r="X178" s="30">
        <f t="shared" si="744"/>
        <v>-194</v>
      </c>
      <c r="Y178" s="30">
        <f t="shared" si="745"/>
        <v>-239</v>
      </c>
      <c r="Z178" s="30">
        <f t="shared" si="746"/>
        <v>-240</v>
      </c>
      <c r="AA178" s="30">
        <f t="shared" si="747"/>
        <v>-206</v>
      </c>
      <c r="AB178" s="30">
        <f t="shared" si="748"/>
        <v>-186</v>
      </c>
    </row>
    <row r="179" spans="1:28">
      <c r="B179" s="9" t="s">
        <v>152</v>
      </c>
      <c r="C179" s="76"/>
      <c r="D179" s="76">
        <v>0</v>
      </c>
      <c r="E179" s="76">
        <v>0</v>
      </c>
      <c r="F179" s="76">
        <v>-32</v>
      </c>
      <c r="G179" s="76">
        <v>-3</v>
      </c>
      <c r="H179" s="18"/>
      <c r="I179" s="75">
        <v>0</v>
      </c>
      <c r="J179" s="75">
        <v>-23</v>
      </c>
      <c r="K179" s="75">
        <v>-14</v>
      </c>
      <c r="L179" s="30">
        <f t="shared" ref="L179:L181" si="759">SUM(F179-SUM(I179:K179))</f>
        <v>5</v>
      </c>
      <c r="M179" s="75">
        <v>0</v>
      </c>
      <c r="N179" s="75">
        <v>-1</v>
      </c>
      <c r="O179" s="75">
        <v>-1</v>
      </c>
      <c r="P179" s="30">
        <f t="shared" ref="P179:P181" si="760">SUM(G179-SUM(M179:O179))</f>
        <v>-1</v>
      </c>
      <c r="Q179" s="75">
        <v>-5</v>
      </c>
      <c r="R179" s="75">
        <v>-4</v>
      </c>
      <c r="S179" s="75">
        <v>-1</v>
      </c>
      <c r="T179" s="18"/>
      <c r="U179" s="30">
        <f t="shared" ref="U179:U181" si="761">SUM(I179:L179)</f>
        <v>-32</v>
      </c>
      <c r="V179" s="30">
        <f t="shared" ref="V179:V181" si="762">SUM(J179:M179)</f>
        <v>-32</v>
      </c>
      <c r="W179" s="30">
        <f t="shared" ref="W179:W181" si="763">SUM(K179:N179)</f>
        <v>-10</v>
      </c>
      <c r="X179" s="30">
        <f t="shared" ref="X179:X181" si="764">SUM(L179:O179)</f>
        <v>3</v>
      </c>
      <c r="Y179" s="30">
        <f t="shared" ref="Y179:Y181" si="765">SUM(M179:P179)</f>
        <v>-3</v>
      </c>
      <c r="Z179" s="30">
        <f t="shared" ref="Z179:Z181" si="766">SUM(N179:Q179)</f>
        <v>-8</v>
      </c>
      <c r="AA179" s="30">
        <f t="shared" ref="AA179:AA181" si="767">SUM(O179:R179)</f>
        <v>-11</v>
      </c>
      <c r="AB179" s="30">
        <f t="shared" ref="AB179:AB181" si="768">SUM(P179:S179)</f>
        <v>-11</v>
      </c>
    </row>
    <row r="180" spans="1:28">
      <c r="B180" s="9" t="s">
        <v>153</v>
      </c>
      <c r="C180" s="76"/>
      <c r="D180" s="76">
        <v>0</v>
      </c>
      <c r="E180" s="76">
        <v>0</v>
      </c>
      <c r="F180" s="76">
        <v>6</v>
      </c>
      <c r="G180" s="76">
        <v>-2</v>
      </c>
      <c r="H180" s="18"/>
      <c r="I180" s="75">
        <v>0</v>
      </c>
      <c r="J180" s="75">
        <v>8</v>
      </c>
      <c r="K180" s="75">
        <v>-1</v>
      </c>
      <c r="L180" s="30">
        <f t="shared" si="759"/>
        <v>-1</v>
      </c>
      <c r="M180" s="75">
        <v>0</v>
      </c>
      <c r="N180" s="75">
        <v>-1</v>
      </c>
      <c r="O180" s="75">
        <v>-1</v>
      </c>
      <c r="P180" s="30">
        <f t="shared" si="760"/>
        <v>0</v>
      </c>
      <c r="Q180" s="75">
        <v>0</v>
      </c>
      <c r="R180" s="75">
        <v>0</v>
      </c>
      <c r="S180" s="75">
        <v>-1</v>
      </c>
      <c r="T180" s="18"/>
      <c r="U180" s="30">
        <f t="shared" si="761"/>
        <v>6</v>
      </c>
      <c r="V180" s="30">
        <f t="shared" si="762"/>
        <v>6</v>
      </c>
      <c r="W180" s="30">
        <f t="shared" si="763"/>
        <v>-3</v>
      </c>
      <c r="X180" s="30">
        <f t="shared" si="764"/>
        <v>-3</v>
      </c>
      <c r="Y180" s="30">
        <f t="shared" si="765"/>
        <v>-2</v>
      </c>
      <c r="Z180" s="30">
        <f t="shared" si="766"/>
        <v>-2</v>
      </c>
      <c r="AA180" s="30">
        <f t="shared" si="767"/>
        <v>-1</v>
      </c>
      <c r="AB180" s="30">
        <f t="shared" si="768"/>
        <v>-1</v>
      </c>
    </row>
    <row r="181" spans="1:28">
      <c r="B181" s="9" t="s">
        <v>155</v>
      </c>
      <c r="C181" s="76"/>
      <c r="D181" s="76">
        <v>0</v>
      </c>
      <c r="E181" s="76">
        <v>31</v>
      </c>
      <c r="F181" s="76">
        <v>193</v>
      </c>
      <c r="G181" s="76">
        <v>0</v>
      </c>
      <c r="H181" s="18"/>
      <c r="I181" s="75">
        <v>-4</v>
      </c>
      <c r="J181" s="75">
        <v>22</v>
      </c>
      <c r="K181" s="75">
        <v>-2</v>
      </c>
      <c r="L181" s="30">
        <f t="shared" si="759"/>
        <v>177</v>
      </c>
      <c r="M181" s="75">
        <v>0</v>
      </c>
      <c r="N181" s="75">
        <v>0</v>
      </c>
      <c r="O181" s="75">
        <v>0</v>
      </c>
      <c r="P181" s="30">
        <f t="shared" si="760"/>
        <v>0</v>
      </c>
      <c r="Q181" s="75">
        <v>0</v>
      </c>
      <c r="R181" s="75">
        <v>0</v>
      </c>
      <c r="S181" s="75">
        <v>0</v>
      </c>
      <c r="T181" s="18"/>
      <c r="U181" s="30">
        <f t="shared" si="761"/>
        <v>193</v>
      </c>
      <c r="V181" s="30">
        <f t="shared" si="762"/>
        <v>197</v>
      </c>
      <c r="W181" s="30">
        <f t="shared" si="763"/>
        <v>175</v>
      </c>
      <c r="X181" s="30">
        <f t="shared" si="764"/>
        <v>177</v>
      </c>
      <c r="Y181" s="30">
        <f t="shared" si="765"/>
        <v>0</v>
      </c>
      <c r="Z181" s="30">
        <f t="shared" si="766"/>
        <v>0</v>
      </c>
      <c r="AA181" s="30">
        <f t="shared" si="767"/>
        <v>0</v>
      </c>
      <c r="AB181" s="30">
        <f t="shared" si="768"/>
        <v>0</v>
      </c>
    </row>
    <row r="182" spans="1:28">
      <c r="B182" s="9" t="s">
        <v>128</v>
      </c>
      <c r="C182" s="76"/>
      <c r="D182" s="76">
        <v>0</v>
      </c>
      <c r="E182" s="76">
        <v>-50</v>
      </c>
      <c r="F182" s="76">
        <v>-60</v>
      </c>
      <c r="G182" s="76">
        <v>-388</v>
      </c>
      <c r="H182" s="18"/>
      <c r="I182" s="75">
        <v>-25</v>
      </c>
      <c r="J182" s="75">
        <v>-7</v>
      </c>
      <c r="K182" s="75">
        <v>-10</v>
      </c>
      <c r="L182" s="30">
        <f t="shared" si="739"/>
        <v>-18</v>
      </c>
      <c r="M182" s="75">
        <v>-7</v>
      </c>
      <c r="N182" s="75">
        <v>-231</v>
      </c>
      <c r="O182" s="75">
        <v>-4</v>
      </c>
      <c r="P182" s="30">
        <f t="shared" si="740"/>
        <v>-146</v>
      </c>
      <c r="Q182" s="75">
        <v>-86</v>
      </c>
      <c r="R182" s="75">
        <v>-14</v>
      </c>
      <c r="S182" s="75">
        <v>-19</v>
      </c>
      <c r="T182" s="18"/>
      <c r="U182" s="30">
        <f t="shared" si="741"/>
        <v>-60</v>
      </c>
      <c r="V182" s="30">
        <f t="shared" si="742"/>
        <v>-42</v>
      </c>
      <c r="W182" s="30">
        <f t="shared" si="743"/>
        <v>-266</v>
      </c>
      <c r="X182" s="30">
        <f t="shared" si="744"/>
        <v>-260</v>
      </c>
      <c r="Y182" s="30">
        <f t="shared" si="745"/>
        <v>-388</v>
      </c>
      <c r="Z182" s="30">
        <f t="shared" si="746"/>
        <v>-467</v>
      </c>
      <c r="AA182" s="30">
        <f t="shared" si="747"/>
        <v>-250</v>
      </c>
      <c r="AB182" s="30">
        <f t="shared" si="748"/>
        <v>-265</v>
      </c>
    </row>
    <row r="183" spans="1:28">
      <c r="B183" s="12" t="s">
        <v>160</v>
      </c>
      <c r="C183" s="13">
        <f>SUM(C173+SUM(C175:C182))</f>
        <v>0</v>
      </c>
      <c r="D183" s="13">
        <f>SUM(D173+SUM(D175:D182))</f>
        <v>-737</v>
      </c>
      <c r="E183" s="13">
        <f>SUM(E173+SUM(E175:E182))</f>
        <v>-3278</v>
      </c>
      <c r="F183" s="13">
        <f>SUM(F173+SUM(F175:F182))</f>
        <v>-2160</v>
      </c>
      <c r="G183" s="13">
        <f>SUM(G173+SUM(G175:G182))</f>
        <v>-2867</v>
      </c>
      <c r="H183" s="18"/>
      <c r="I183" s="13">
        <f>SUM(I173+SUM(I175:I182))</f>
        <v>-615</v>
      </c>
      <c r="J183" s="13">
        <f>SUM(J173+SUM(J175:J182))</f>
        <v>-511</v>
      </c>
      <c r="K183" s="13">
        <f>SUM(K173+SUM(K175:K182))</f>
        <v>-639</v>
      </c>
      <c r="L183" s="13">
        <f>SUM(L173+SUM(L175:L182))</f>
        <v>-395</v>
      </c>
      <c r="M183" s="13">
        <f>SUM(M173+SUM(M175:M182))</f>
        <v>-625</v>
      </c>
      <c r="N183" s="13">
        <f>SUM(N173+SUM(N175:N182))</f>
        <v>-824</v>
      </c>
      <c r="O183" s="13">
        <f>SUM(O173+SUM(O175:O182))</f>
        <v>-601</v>
      </c>
      <c r="P183" s="13">
        <f>SUM(P173+SUM(P175:P182))</f>
        <v>-817</v>
      </c>
      <c r="Q183" s="13">
        <f>SUM(Q173+SUM(Q175:Q182))</f>
        <v>-653</v>
      </c>
      <c r="R183" s="13">
        <f>SUM(R173+SUM(R175:R182))</f>
        <v>-666</v>
      </c>
      <c r="S183" s="13">
        <f>SUM(S173+SUM(S175:S182))</f>
        <v>-689</v>
      </c>
      <c r="T183" s="18"/>
      <c r="U183" s="13">
        <f>SUM(U173+SUM(U175:U182))</f>
        <v>-2160</v>
      </c>
      <c r="V183" s="13">
        <f>SUM(V173+SUM(V175:V182))</f>
        <v>-2170</v>
      </c>
      <c r="W183" s="13">
        <f>SUM(W173+SUM(W175:W182))</f>
        <v>-2483</v>
      </c>
      <c r="X183" s="13">
        <f>SUM(X173+SUM(X175:X182))</f>
        <v>-2445</v>
      </c>
      <c r="Y183" s="13">
        <f>SUM(Y173+SUM(Y175:Y182))</f>
        <v>-2867</v>
      </c>
      <c r="Z183" s="13">
        <f>SUM(Z173+SUM(Z175:Z182))</f>
        <v>-2895</v>
      </c>
      <c r="AA183" s="13">
        <f>SUM(AA173+SUM(AA175:AA182))</f>
        <v>-2737</v>
      </c>
      <c r="AB183" s="13">
        <f>SUM(AB173+SUM(AB175:AB182))</f>
        <v>-2825</v>
      </c>
    </row>
    <row r="185" spans="1:28">
      <c r="A185" s="33" t="s">
        <v>16</v>
      </c>
      <c r="B185" s="31" t="s">
        <v>196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5.0999999999999996" customHeight="1">
      <c r="B186" s="16"/>
      <c r="C186" s="17"/>
      <c r="D186" s="17"/>
      <c r="E186" s="17"/>
      <c r="F186" s="17"/>
      <c r="G186" s="17"/>
      <c r="H186" s="18"/>
      <c r="I186" s="19"/>
      <c r="J186" s="19"/>
      <c r="K186" s="19"/>
      <c r="L186" s="20"/>
      <c r="M186" s="19"/>
      <c r="N186" s="19"/>
      <c r="O186" s="19"/>
      <c r="P186" s="19"/>
      <c r="Q186" s="19"/>
      <c r="R186" s="19"/>
      <c r="S186" s="19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ht="12.75" customHeight="1">
      <c r="A187" s="74" t="s">
        <v>16</v>
      </c>
      <c r="B187" s="72" t="s">
        <v>196</v>
      </c>
      <c r="C187" s="10"/>
      <c r="D187" s="10"/>
      <c r="E187" s="10"/>
      <c r="F187" s="10"/>
      <c r="G187" s="10"/>
      <c r="H187" s="10"/>
      <c r="I187" s="81"/>
      <c r="J187" s="81"/>
      <c r="K187" s="81"/>
      <c r="L187" s="30"/>
      <c r="M187" s="81"/>
      <c r="N187" s="81"/>
      <c r="O187" s="81"/>
      <c r="P187" s="30"/>
      <c r="Q187" s="81"/>
      <c r="R187" s="81"/>
      <c r="S187" s="81"/>
      <c r="T187" s="5"/>
      <c r="U187" s="11"/>
      <c r="V187" s="11"/>
      <c r="W187" s="11"/>
      <c r="X187" s="11"/>
      <c r="Y187" s="11"/>
      <c r="Z187" s="11"/>
      <c r="AA187" s="11"/>
      <c r="AB187" s="11"/>
    </row>
    <row r="188" spans="1:28" ht="12.75" customHeight="1">
      <c r="A188" s="74"/>
      <c r="B188" s="9" t="s">
        <v>198</v>
      </c>
      <c r="C188" s="75">
        <v>7025</v>
      </c>
      <c r="D188" s="75">
        <v>7728</v>
      </c>
      <c r="E188" s="75">
        <v>22697</v>
      </c>
      <c r="F188" s="75">
        <v>28004</v>
      </c>
      <c r="G188" s="75">
        <v>26434</v>
      </c>
      <c r="H188" s="10"/>
      <c r="I188" s="75"/>
      <c r="J188" s="75"/>
      <c r="K188" s="75"/>
      <c r="L188" s="30">
        <f t="shared" ref="L188:L189" si="769">SUM(F188-SUM(I188:K188))</f>
        <v>28004</v>
      </c>
      <c r="M188" s="75"/>
      <c r="N188" s="75"/>
      <c r="O188" s="75"/>
      <c r="P188" s="30">
        <f t="shared" ref="P188:P189" si="770">SUM(G188-SUM(M188:O188))</f>
        <v>26434</v>
      </c>
      <c r="Q188" s="75"/>
      <c r="R188" s="75"/>
      <c r="S188" s="75"/>
      <c r="T188" s="5"/>
      <c r="U188" s="30">
        <f t="shared" ref="U188:U189" si="771">SUM(I188:L188)</f>
        <v>28004</v>
      </c>
      <c r="V188" s="30">
        <f t="shared" ref="V188:V189" si="772">SUM(J188:M188)</f>
        <v>28004</v>
      </c>
      <c r="W188" s="30">
        <f t="shared" ref="W188:W189" si="773">SUM(K188:N188)</f>
        <v>28004</v>
      </c>
      <c r="X188" s="30">
        <f t="shared" ref="X188:X189" si="774">SUM(L188:O188)</f>
        <v>28004</v>
      </c>
      <c r="Y188" s="30">
        <f t="shared" ref="Y188:Y189" si="775">SUM(M188:P188)</f>
        <v>26434</v>
      </c>
      <c r="Z188" s="30">
        <f t="shared" ref="Z188:Z189" si="776">SUM(N188:Q188)</f>
        <v>26434</v>
      </c>
      <c r="AA188" s="30">
        <f t="shared" ref="AA188:AA189" si="777">SUM(O188:R188)</f>
        <v>26434</v>
      </c>
      <c r="AB188" s="30">
        <f t="shared" ref="AB188:AB189" si="778">SUM(P188:S188)</f>
        <v>26434</v>
      </c>
    </row>
    <row r="189" spans="1:28" ht="12.75" customHeight="1">
      <c r="A189" s="74"/>
      <c r="B189" s="9" t="s">
        <v>199</v>
      </c>
      <c r="C189" s="75">
        <v>3646</v>
      </c>
      <c r="D189" s="75">
        <v>4463</v>
      </c>
      <c r="E189" s="75">
        <v>11120</v>
      </c>
      <c r="F189" s="75">
        <v>13317</v>
      </c>
      <c r="G189" s="75">
        <v>12887</v>
      </c>
      <c r="H189" s="10"/>
      <c r="I189" s="75"/>
      <c r="J189" s="75"/>
      <c r="K189" s="75"/>
      <c r="L189" s="30">
        <f t="shared" si="769"/>
        <v>13317</v>
      </c>
      <c r="M189" s="75"/>
      <c r="N189" s="75"/>
      <c r="O189" s="75"/>
      <c r="P189" s="30">
        <f t="shared" si="770"/>
        <v>12887</v>
      </c>
      <c r="Q189" s="75"/>
      <c r="R189" s="75"/>
      <c r="S189" s="75"/>
      <c r="T189" s="5"/>
      <c r="U189" s="30">
        <f t="shared" si="771"/>
        <v>13317</v>
      </c>
      <c r="V189" s="30">
        <f t="shared" si="772"/>
        <v>13317</v>
      </c>
      <c r="W189" s="30">
        <f t="shared" si="773"/>
        <v>13317</v>
      </c>
      <c r="X189" s="30">
        <f t="shared" si="774"/>
        <v>13317</v>
      </c>
      <c r="Y189" s="30">
        <f t="shared" si="775"/>
        <v>12887</v>
      </c>
      <c r="Z189" s="30">
        <f t="shared" si="776"/>
        <v>12887</v>
      </c>
      <c r="AA189" s="30">
        <f t="shared" si="777"/>
        <v>12887</v>
      </c>
      <c r="AB189" s="30">
        <f t="shared" si="778"/>
        <v>12887</v>
      </c>
    </row>
    <row r="190" spans="1:28">
      <c r="B190" s="12" t="s">
        <v>197</v>
      </c>
      <c r="C190" s="13">
        <f>SUM(C188:C189)</f>
        <v>10671</v>
      </c>
      <c r="D190" s="13">
        <f>SUM(D188:D189)</f>
        <v>12191</v>
      </c>
      <c r="E190" s="13">
        <f>SUM(E188:E189)</f>
        <v>33817</v>
      </c>
      <c r="F190" s="13">
        <f>SUM(F188:F189)</f>
        <v>41321</v>
      </c>
      <c r="G190" s="13">
        <f>SUM(G188:G189)</f>
        <v>39321</v>
      </c>
      <c r="H190" s="11"/>
      <c r="I190" s="13">
        <f>SUM(I188:I189)</f>
        <v>0</v>
      </c>
      <c r="J190" s="13">
        <f>SUM(J188:J189)</f>
        <v>0</v>
      </c>
      <c r="K190" s="13">
        <f>SUM(K188:K189)</f>
        <v>0</v>
      </c>
      <c r="L190" s="13">
        <f>SUM(L188:L189)</f>
        <v>41321</v>
      </c>
      <c r="M190" s="13">
        <f>SUM(M188:M189)</f>
        <v>0</v>
      </c>
      <c r="N190" s="13">
        <f>SUM(N188:N189)</f>
        <v>0</v>
      </c>
      <c r="O190" s="13">
        <f>SUM(O188:O189)</f>
        <v>0</v>
      </c>
      <c r="P190" s="13">
        <f>SUM(P188:P189)</f>
        <v>39321</v>
      </c>
      <c r="Q190" s="13">
        <f>SUM(Q188:Q189)</f>
        <v>0</v>
      </c>
      <c r="R190" s="13">
        <f>SUM(R188:R189)</f>
        <v>0</v>
      </c>
      <c r="S190" s="13">
        <f>SUM(S188:S189)</f>
        <v>0</v>
      </c>
      <c r="T190" s="5"/>
      <c r="U190" s="13">
        <f>SUM(U188:U189)</f>
        <v>41321</v>
      </c>
      <c r="V190" s="13">
        <f>SUM(V188:V189)</f>
        <v>41321</v>
      </c>
      <c r="W190" s="13">
        <f>SUM(W188:W189)</f>
        <v>41321</v>
      </c>
      <c r="X190" s="13">
        <f>SUM(X188:X189)</f>
        <v>41321</v>
      </c>
      <c r="Y190" s="13">
        <f>SUM(Y188:Y189)</f>
        <v>39321</v>
      </c>
      <c r="Z190" s="13">
        <f>SUM(Z188:Z189)</f>
        <v>39321</v>
      </c>
      <c r="AA190" s="13">
        <f>SUM(AA188:AA189)</f>
        <v>39321</v>
      </c>
      <c r="AB190" s="13">
        <f>SUM(AB188:AB189)</f>
        <v>39321</v>
      </c>
    </row>
    <row r="191" spans="1:28" outlineLevel="1">
      <c r="B191" s="114" t="s">
        <v>123</v>
      </c>
      <c r="C191" s="73">
        <f>+C190-C13</f>
        <v>0</v>
      </c>
      <c r="D191" s="73">
        <f t="shared" ref="D191:G191" si="779">+D190-D13</f>
        <v>0</v>
      </c>
      <c r="E191" s="73">
        <f t="shared" si="779"/>
        <v>0</v>
      </c>
      <c r="F191" s="73">
        <f t="shared" si="779"/>
        <v>0</v>
      </c>
      <c r="G191" s="73">
        <f t="shared" si="779"/>
        <v>0</v>
      </c>
      <c r="H191" s="11"/>
      <c r="I191" s="73">
        <f t="shared" ref="I191" si="780">+I190-I13</f>
        <v>-10700</v>
      </c>
      <c r="J191" s="73">
        <f t="shared" ref="J191" si="781">+J190-J13</f>
        <v>-10358</v>
      </c>
      <c r="K191" s="73">
        <f t="shared" ref="K191" si="782">+K190-K13</f>
        <v>-9979</v>
      </c>
      <c r="L191" s="73">
        <f t="shared" ref="L191" si="783">+L190-L13</f>
        <v>31037</v>
      </c>
      <c r="M191" s="73">
        <f t="shared" ref="M191" si="784">+M190-M13</f>
        <v>-9958</v>
      </c>
      <c r="N191" s="73">
        <f t="shared" ref="N191" si="785">+N190-N13</f>
        <v>-9713</v>
      </c>
      <c r="O191" s="73">
        <f t="shared" ref="O191" si="786">+O190-O13</f>
        <v>-9623</v>
      </c>
      <c r="P191" s="73">
        <f t="shared" ref="P191" si="787">+P190-P13</f>
        <v>29294</v>
      </c>
      <c r="Q191" s="73">
        <f t="shared" ref="Q191" si="788">+Q190-Q13</f>
        <v>-8979</v>
      </c>
      <c r="R191" s="73">
        <f t="shared" ref="R191" si="789">+R190-R13</f>
        <v>-9812</v>
      </c>
      <c r="S191" s="73">
        <f t="shared" ref="S191" si="790">+S190-S13</f>
        <v>-9045</v>
      </c>
      <c r="T191" s="73"/>
      <c r="U191" s="73">
        <f t="shared" ref="U191" si="791">+U190-U13</f>
        <v>0</v>
      </c>
      <c r="V191" s="73">
        <f t="shared" ref="V191" si="792">+V190-V13</f>
        <v>742</v>
      </c>
      <c r="W191" s="73">
        <f t="shared" ref="W191" si="793">+W190-W13</f>
        <v>1387</v>
      </c>
      <c r="X191" s="73">
        <f t="shared" ref="X191" si="794">+X190-X13</f>
        <v>1743</v>
      </c>
      <c r="Y191" s="73">
        <f t="shared" ref="Y191" si="795">+Y190-Y13</f>
        <v>0</v>
      </c>
      <c r="Z191" s="73">
        <f t="shared" ref="Z191" si="796">+Z190-Z13</f>
        <v>979</v>
      </c>
      <c r="AA191" s="73">
        <f t="shared" ref="AA191" si="797">+AA190-AA13</f>
        <v>880</v>
      </c>
      <c r="AB191" s="73">
        <f t="shared" ref="AB191" si="798">+AB190-AB13</f>
        <v>1458</v>
      </c>
    </row>
    <row r="192" spans="1:28">
      <c r="B192" s="16"/>
      <c r="C192" s="17"/>
      <c r="D192" s="17"/>
      <c r="E192" s="17"/>
      <c r="F192" s="17"/>
      <c r="G192" s="17"/>
      <c r="H192" s="18"/>
      <c r="I192" s="19"/>
      <c r="J192" s="19"/>
      <c r="K192" s="19"/>
      <c r="L192" s="20"/>
      <c r="M192" s="19"/>
      <c r="N192" s="19"/>
      <c r="O192" s="19"/>
      <c r="P192" s="19"/>
      <c r="Q192" s="19"/>
      <c r="R192" s="19"/>
      <c r="S192" s="19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2:28">
      <c r="B193" s="115" t="str">
        <f>B188&amp;"(%)"</f>
        <v>U.S.(%)</v>
      </c>
      <c r="C193" s="127">
        <f>SUM(C188/C$190)</f>
        <v>0.65832630493861866</v>
      </c>
      <c r="D193" s="127">
        <f>SUM(D188/D$190)</f>
        <v>0.63391026166844389</v>
      </c>
      <c r="E193" s="127">
        <f t="shared" ref="E193:G193" si="799">SUM(E188/E$190)</f>
        <v>0.67117130437353989</v>
      </c>
      <c r="F193" s="127">
        <f t="shared" si="799"/>
        <v>0.67771835144357595</v>
      </c>
      <c r="G193" s="127">
        <f t="shared" si="799"/>
        <v>0.67226164136212208</v>
      </c>
      <c r="H193" s="116"/>
      <c r="I193" s="127" t="e">
        <f t="shared" ref="I193:S193" si="800">SUM(I188/I$190)</f>
        <v>#DIV/0!</v>
      </c>
      <c r="J193" s="127" t="e">
        <f t="shared" si="800"/>
        <v>#DIV/0!</v>
      </c>
      <c r="K193" s="127" t="e">
        <f t="shared" si="800"/>
        <v>#DIV/0!</v>
      </c>
      <c r="L193" s="127">
        <f t="shared" si="800"/>
        <v>0.67771835144357595</v>
      </c>
      <c r="M193" s="127" t="e">
        <f t="shared" si="800"/>
        <v>#DIV/0!</v>
      </c>
      <c r="N193" s="127" t="e">
        <f t="shared" si="800"/>
        <v>#DIV/0!</v>
      </c>
      <c r="O193" s="127" t="e">
        <f t="shared" si="800"/>
        <v>#DIV/0!</v>
      </c>
      <c r="P193" s="127">
        <f t="shared" si="800"/>
        <v>0.67226164136212208</v>
      </c>
      <c r="Q193" s="127" t="e">
        <f t="shared" si="800"/>
        <v>#DIV/0!</v>
      </c>
      <c r="R193" s="127" t="e">
        <f t="shared" si="800"/>
        <v>#DIV/0!</v>
      </c>
      <c r="S193" s="127" t="e">
        <f t="shared" si="800"/>
        <v>#DIV/0!</v>
      </c>
      <c r="T193" s="116"/>
      <c r="U193" s="117">
        <f t="shared" ref="U193:AB193" si="801">SUM(U188/U$190)</f>
        <v>0.67771835144357595</v>
      </c>
      <c r="V193" s="117">
        <f t="shared" si="801"/>
        <v>0.67771835144357595</v>
      </c>
      <c r="W193" s="117">
        <f t="shared" si="801"/>
        <v>0.67771835144357595</v>
      </c>
      <c r="X193" s="117">
        <f t="shared" si="801"/>
        <v>0.67771835144357595</v>
      </c>
      <c r="Y193" s="117">
        <f t="shared" si="801"/>
        <v>0.67226164136212208</v>
      </c>
      <c r="Z193" s="117">
        <f t="shared" si="801"/>
        <v>0.67226164136212208</v>
      </c>
      <c r="AA193" s="117">
        <f t="shared" si="801"/>
        <v>0.67226164136212208</v>
      </c>
      <c r="AB193" s="118">
        <f t="shared" si="801"/>
        <v>0.67226164136212208</v>
      </c>
    </row>
    <row r="194" spans="2:28">
      <c r="B194" s="123" t="str">
        <f t="shared" ref="B194" si="802">B189&amp;"(%)"</f>
        <v>Non-U.S.(%)</v>
      </c>
      <c r="C194" s="128">
        <f>SUM(C189/C$190)</f>
        <v>0.34167369506138129</v>
      </c>
      <c r="D194" s="128">
        <f>SUM(D189/D$190)</f>
        <v>0.36608973833155606</v>
      </c>
      <c r="E194" s="128">
        <f t="shared" ref="E194:G194" si="803">SUM(E189/E$190)</f>
        <v>0.32882869562646005</v>
      </c>
      <c r="F194" s="128">
        <f t="shared" si="803"/>
        <v>0.32228164855642411</v>
      </c>
      <c r="G194" s="128">
        <f t="shared" si="803"/>
        <v>0.32773835863787798</v>
      </c>
      <c r="H194" s="124"/>
      <c r="I194" s="128" t="e">
        <f t="shared" ref="I194:S194" si="804">SUM(I189/I$190)</f>
        <v>#DIV/0!</v>
      </c>
      <c r="J194" s="128" t="e">
        <f t="shared" si="804"/>
        <v>#DIV/0!</v>
      </c>
      <c r="K194" s="128" t="e">
        <f t="shared" si="804"/>
        <v>#DIV/0!</v>
      </c>
      <c r="L194" s="128">
        <f t="shared" si="804"/>
        <v>0.32228164855642411</v>
      </c>
      <c r="M194" s="128" t="e">
        <f t="shared" si="804"/>
        <v>#DIV/0!</v>
      </c>
      <c r="N194" s="128" t="e">
        <f t="shared" si="804"/>
        <v>#DIV/0!</v>
      </c>
      <c r="O194" s="128" t="e">
        <f t="shared" si="804"/>
        <v>#DIV/0!</v>
      </c>
      <c r="P194" s="128">
        <f t="shared" si="804"/>
        <v>0.32773835863787798</v>
      </c>
      <c r="Q194" s="128" t="e">
        <f t="shared" si="804"/>
        <v>#DIV/0!</v>
      </c>
      <c r="R194" s="128" t="e">
        <f t="shared" si="804"/>
        <v>#DIV/0!</v>
      </c>
      <c r="S194" s="128" t="e">
        <f t="shared" si="804"/>
        <v>#DIV/0!</v>
      </c>
      <c r="T194" s="124"/>
      <c r="U194" s="125">
        <f t="shared" ref="U194:AB194" si="805">SUM(U189/U$190)</f>
        <v>0.32228164855642411</v>
      </c>
      <c r="V194" s="125">
        <f t="shared" si="805"/>
        <v>0.32228164855642411</v>
      </c>
      <c r="W194" s="125">
        <f t="shared" si="805"/>
        <v>0.32228164855642411</v>
      </c>
      <c r="X194" s="125">
        <f t="shared" si="805"/>
        <v>0.32228164855642411</v>
      </c>
      <c r="Y194" s="125">
        <f t="shared" si="805"/>
        <v>0.32773835863787798</v>
      </c>
      <c r="Z194" s="125">
        <f t="shared" si="805"/>
        <v>0.32773835863787798</v>
      </c>
      <c r="AA194" s="125">
        <f t="shared" si="805"/>
        <v>0.32773835863787798</v>
      </c>
      <c r="AB194" s="126">
        <f t="shared" si="805"/>
        <v>0.32773835863787798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27CF-47F2-43ED-8CCB-3D99E5377DA5}">
  <sheetPr>
    <tabColor theme="6" tint="-0.249977111117893"/>
  </sheetPr>
  <dimension ref="A2:AD83"/>
  <sheetViews>
    <sheetView showGridLines="0" tabSelected="1" zoomScaleNormal="100" workbookViewId="0">
      <selection activeCell="I53" sqref="I53"/>
    </sheetView>
  </sheetViews>
  <sheetFormatPr defaultRowHeight="12" outlineLevelCol="1"/>
  <cols>
    <col min="1" max="1" width="1.5" style="8" customWidth="1"/>
    <col min="2" max="2" width="43" style="8" bestFit="1" customWidth="1"/>
    <col min="3" max="4" width="8.625" style="8" customWidth="1"/>
    <col min="5" max="5" width="9" style="8" bestFit="1"/>
    <col min="6" max="6" width="9.25" style="8" bestFit="1" customWidth="1"/>
    <col min="7" max="7" width="9" style="8"/>
    <col min="8" max="8" width="1.5" style="8" customWidth="1"/>
    <col min="9" max="11" width="8" style="8" customWidth="1"/>
    <col min="12" max="12" width="8.75" style="8" customWidth="1"/>
    <col min="13" max="14" width="8" style="8" customWidth="1"/>
    <col min="15" max="19" width="8.875" style="8" customWidth="1"/>
    <col min="20" max="20" width="1.625" style="8" customWidth="1"/>
    <col min="21" max="21" width="9.25" style="8" hidden="1" customWidth="1" outlineLevel="1"/>
    <col min="22" max="22" width="9.75" style="8" hidden="1" customWidth="1" outlineLevel="1"/>
    <col min="23" max="23" width="9" style="8" hidden="1" customWidth="1" outlineLevel="1"/>
    <col min="24" max="24" width="9" style="8" collapsed="1"/>
    <col min="25" max="26" width="9" style="8" hidden="1" customWidth="1" outlineLevel="1"/>
    <col min="27" max="27" width="8.5" style="8" hidden="1" customWidth="1" outlineLevel="1"/>
    <col min="28" max="28" width="8.5" style="8" bestFit="1" customWidth="1" collapsed="1"/>
    <col min="29" max="29" width="1.5" style="8" customWidth="1"/>
    <col min="30" max="30" width="8.125" style="111" bestFit="1" customWidth="1"/>
    <col min="31" max="16384" width="9" style="8"/>
  </cols>
  <sheetData>
    <row r="2" spans="2:30" s="5" customFormat="1" ht="12.75" customHeight="1">
      <c r="B2" s="1" t="str">
        <f>'Historical Financials'!B2</f>
        <v>Warner Bros Discovery Inc (NASDAQ: WBD)</v>
      </c>
      <c r="C2" s="2"/>
      <c r="D2" s="2"/>
      <c r="E2" s="2" t="s">
        <v>0</v>
      </c>
      <c r="F2" s="2"/>
      <c r="G2" s="2"/>
      <c r="H2" s="3"/>
      <c r="I2" s="2" t="s">
        <v>1</v>
      </c>
      <c r="J2" s="2"/>
      <c r="K2" s="2"/>
      <c r="L2" s="2"/>
      <c r="M2" s="2"/>
      <c r="N2" s="2"/>
      <c r="O2" s="2"/>
      <c r="P2" s="2"/>
      <c r="Q2" s="2"/>
      <c r="R2" s="2"/>
      <c r="S2" s="2" t="s">
        <v>1</v>
      </c>
      <c r="T2" s="3"/>
      <c r="U2" s="2"/>
      <c r="V2" s="2"/>
      <c r="W2" s="2" t="s">
        <v>10</v>
      </c>
      <c r="X2" s="2" t="s">
        <v>10</v>
      </c>
      <c r="Y2" s="2"/>
      <c r="Z2" s="2"/>
      <c r="AA2" s="2"/>
      <c r="AB2" s="2"/>
      <c r="AC2" s="3"/>
      <c r="AD2" s="153" t="s">
        <v>22</v>
      </c>
    </row>
    <row r="3" spans="2:30" s="5" customFormat="1" ht="12.75" customHeight="1">
      <c r="B3" s="6" t="s">
        <v>23</v>
      </c>
      <c r="C3" s="7">
        <f>'Historical Financials'!C7</f>
        <v>2020</v>
      </c>
      <c r="D3" s="7">
        <f>'Historical Financials'!D7</f>
        <v>2021</v>
      </c>
      <c r="E3" s="7">
        <f>'Historical Financials'!E7</f>
        <v>2022</v>
      </c>
      <c r="F3" s="7">
        <f>'Historical Financials'!F7</f>
        <v>2023</v>
      </c>
      <c r="G3" s="7">
        <f>'Historical Financials'!G7</f>
        <v>2024</v>
      </c>
      <c r="H3" s="3"/>
      <c r="I3" s="7" t="str">
        <f>'Historical Financials'!I7</f>
        <v>1Q23</v>
      </c>
      <c r="J3" s="7" t="str">
        <f>'Historical Financials'!J7</f>
        <v>2Q23</v>
      </c>
      <c r="K3" s="7" t="str">
        <f>'Historical Financials'!K7</f>
        <v>3Q23</v>
      </c>
      <c r="L3" s="7" t="str">
        <f>'Historical Financials'!L7</f>
        <v>4Q23</v>
      </c>
      <c r="M3" s="7" t="str">
        <f>'Historical Financials'!M7</f>
        <v>1Q24</v>
      </c>
      <c r="N3" s="7" t="str">
        <f>'Historical Financials'!N7</f>
        <v>2Q24</v>
      </c>
      <c r="O3" s="7" t="str">
        <f>'Historical Financials'!O7</f>
        <v>3Q24</v>
      </c>
      <c r="P3" s="7" t="str">
        <f>'Historical Financials'!P7</f>
        <v>4Q24</v>
      </c>
      <c r="Q3" s="7" t="str">
        <f>'Historical Financials'!Q7</f>
        <v>1Q25</v>
      </c>
      <c r="R3" s="7" t="str">
        <f>'Historical Financials'!R7</f>
        <v>2Q25</v>
      </c>
      <c r="S3" s="7" t="str">
        <f>'Historical Financials'!S7</f>
        <v>3Q25</v>
      </c>
      <c r="T3" s="3"/>
      <c r="U3" s="4" t="str">
        <f>L3</f>
        <v>4Q23</v>
      </c>
      <c r="V3" s="4" t="str">
        <f>M3</f>
        <v>1Q24</v>
      </c>
      <c r="W3" s="4" t="str">
        <f>N3</f>
        <v>2Q24</v>
      </c>
      <c r="X3" s="4" t="str">
        <f>O3</f>
        <v>3Q24</v>
      </c>
      <c r="Y3" s="4" t="str">
        <f>P3</f>
        <v>4Q24</v>
      </c>
      <c r="Z3" s="4" t="str">
        <f>Q3</f>
        <v>1Q25</v>
      </c>
      <c r="AA3" s="4" t="str">
        <f>R3</f>
        <v>2Q25</v>
      </c>
      <c r="AB3" s="4" t="str">
        <f>S3</f>
        <v>3Q25</v>
      </c>
      <c r="AC3" s="3"/>
      <c r="AD3" s="153"/>
    </row>
    <row r="4" spans="2:30" s="5" customFormat="1" ht="12.75" customHeight="1">
      <c r="B4" s="6" t="s">
        <v>90</v>
      </c>
      <c r="C4" s="3">
        <f>'Historical Financials'!C8</f>
        <v>44196</v>
      </c>
      <c r="D4" s="3">
        <f>'Historical Financials'!D8</f>
        <v>44561</v>
      </c>
      <c r="E4" s="3">
        <f>'Historical Financials'!E8</f>
        <v>44926</v>
      </c>
      <c r="F4" s="3">
        <f>'Historical Financials'!F8</f>
        <v>45291</v>
      </c>
      <c r="G4" s="3">
        <f>'Historical Financials'!G8</f>
        <v>45657</v>
      </c>
      <c r="H4" s="3"/>
      <c r="I4" s="3">
        <f>'Historical Financials'!I8</f>
        <v>45016</v>
      </c>
      <c r="J4" s="3">
        <f>'Historical Financials'!J8</f>
        <v>45107</v>
      </c>
      <c r="K4" s="3">
        <f>'Historical Financials'!K8</f>
        <v>45199</v>
      </c>
      <c r="L4" s="3">
        <f>'Historical Financials'!L8</f>
        <v>44926</v>
      </c>
      <c r="M4" s="3">
        <f>'Historical Financials'!M8</f>
        <v>45382</v>
      </c>
      <c r="N4" s="3">
        <f>'Historical Financials'!N8</f>
        <v>45473</v>
      </c>
      <c r="O4" s="3">
        <f>'Historical Financials'!O8</f>
        <v>45565</v>
      </c>
      <c r="P4" s="3">
        <f>'Historical Financials'!P8</f>
        <v>45291</v>
      </c>
      <c r="Q4" s="3">
        <f>'Historical Financials'!Q8</f>
        <v>45747</v>
      </c>
      <c r="R4" s="3">
        <f>'Historical Financials'!R8</f>
        <v>45838</v>
      </c>
      <c r="S4" s="3">
        <f>'Historical Financials'!S8</f>
        <v>45930</v>
      </c>
      <c r="T4" s="3"/>
      <c r="U4" s="3">
        <f>L4</f>
        <v>44926</v>
      </c>
      <c r="V4" s="3">
        <f>M4</f>
        <v>45382</v>
      </c>
      <c r="W4" s="3">
        <f>N4</f>
        <v>45473</v>
      </c>
      <c r="X4" s="3">
        <f>O4</f>
        <v>45565</v>
      </c>
      <c r="Y4" s="3">
        <f>P4</f>
        <v>45291</v>
      </c>
      <c r="Z4" s="3">
        <f>Q4</f>
        <v>45747</v>
      </c>
      <c r="AA4" s="3">
        <f>R4</f>
        <v>45838</v>
      </c>
      <c r="AB4" s="3">
        <f>S4</f>
        <v>45930</v>
      </c>
      <c r="AC4" s="3"/>
      <c r="AD4" s="153"/>
    </row>
    <row r="5" spans="2:30" ht="5.0999999999999996" customHeight="1">
      <c r="AD5" s="107"/>
    </row>
    <row r="6" spans="2:30" ht="12.75" customHeight="1">
      <c r="B6" s="9" t="str">
        <f>'Revenue Segment Analysis'!B9</f>
        <v>Distribution</v>
      </c>
      <c r="C6" s="80">
        <f>'Revenue Segment Analysis'!C9</f>
        <v>5572</v>
      </c>
      <c r="D6" s="80">
        <f>'Revenue Segment Analysis'!D9</f>
        <v>5202</v>
      </c>
      <c r="E6" s="80">
        <f>'Revenue Segment Analysis'!E9</f>
        <v>16142</v>
      </c>
      <c r="F6" s="80">
        <f>'Revenue Segment Analysis'!F9</f>
        <v>20237</v>
      </c>
      <c r="G6" s="80">
        <f>'Revenue Segment Analysis'!G9</f>
        <v>19701</v>
      </c>
      <c r="H6" s="10"/>
      <c r="I6" s="80">
        <f>'Revenue Segment Analysis'!I9</f>
        <v>5163</v>
      </c>
      <c r="J6" s="80">
        <f>'Revenue Segment Analysis'!J9</f>
        <v>5135</v>
      </c>
      <c r="K6" s="80">
        <f>'Revenue Segment Analysis'!K9</f>
        <v>5026</v>
      </c>
      <c r="L6" s="80">
        <f>'Revenue Segment Analysis'!L9</f>
        <v>4913</v>
      </c>
      <c r="M6" s="80">
        <f>'Revenue Segment Analysis'!M9</f>
        <v>4985</v>
      </c>
      <c r="N6" s="80">
        <f>'Revenue Segment Analysis'!N9</f>
        <v>4879</v>
      </c>
      <c r="O6" s="80">
        <f>'Revenue Segment Analysis'!O9</f>
        <v>4920</v>
      </c>
      <c r="P6" s="80">
        <f>'Revenue Segment Analysis'!P9</f>
        <v>4917</v>
      </c>
      <c r="Q6" s="80">
        <f>'Revenue Segment Analysis'!Q9</f>
        <v>4886</v>
      </c>
      <c r="R6" s="80">
        <f>'Revenue Segment Analysis'!R9</f>
        <v>4885</v>
      </c>
      <c r="S6" s="80">
        <f>'Revenue Segment Analysis'!S9</f>
        <v>4702</v>
      </c>
      <c r="T6" s="131">
        <f t="shared" ref="T6:AA6" si="0">SUM(H6:K6)</f>
        <v>15324</v>
      </c>
      <c r="U6" s="131">
        <f t="shared" si="0"/>
        <v>20237</v>
      </c>
      <c r="V6" s="131">
        <f t="shared" si="0"/>
        <v>20059</v>
      </c>
      <c r="W6" s="131">
        <f t="shared" si="0"/>
        <v>19803</v>
      </c>
      <c r="X6" s="131">
        <f t="shared" si="0"/>
        <v>19697</v>
      </c>
      <c r="Y6" s="131">
        <f t="shared" si="0"/>
        <v>19701</v>
      </c>
      <c r="Z6" s="131">
        <f t="shared" si="0"/>
        <v>19602</v>
      </c>
      <c r="AA6" s="131">
        <f t="shared" si="0"/>
        <v>19608</v>
      </c>
      <c r="AB6" s="131">
        <f>SUM(P6:S6)</f>
        <v>19390</v>
      </c>
      <c r="AD6" s="108">
        <f t="shared" ref="AD6:AD9" si="1">SUM(AB6/X6)-1</f>
        <v>-1.5586129867492526E-2</v>
      </c>
    </row>
    <row r="7" spans="2:30" ht="12.75" customHeight="1">
      <c r="B7" s="9" t="str">
        <f>'Revenue Segment Analysis'!B10</f>
        <v>Advertising</v>
      </c>
      <c r="C7" s="80">
        <f>'Revenue Segment Analysis'!C10</f>
        <v>4686</v>
      </c>
      <c r="D7" s="80">
        <f>'Revenue Segment Analysis'!D10</f>
        <v>6194</v>
      </c>
      <c r="E7" s="80">
        <f>'Revenue Segment Analysis'!E10</f>
        <v>8524</v>
      </c>
      <c r="F7" s="80">
        <f>'Revenue Segment Analysis'!F10</f>
        <v>8700</v>
      </c>
      <c r="G7" s="80">
        <f>'Revenue Segment Analysis'!G10</f>
        <v>8090</v>
      </c>
      <c r="H7" s="10"/>
      <c r="I7" s="80">
        <f>'Revenue Segment Analysis'!I10</f>
        <v>2298</v>
      </c>
      <c r="J7" s="80">
        <f>'Revenue Segment Analysis'!J10</f>
        <v>2519</v>
      </c>
      <c r="K7" s="80">
        <f>'Revenue Segment Analysis'!K10</f>
        <v>1796</v>
      </c>
      <c r="L7" s="80">
        <f>'Revenue Segment Analysis'!L10</f>
        <v>2087</v>
      </c>
      <c r="M7" s="80">
        <f>'Revenue Segment Analysis'!M10</f>
        <v>2148</v>
      </c>
      <c r="N7" s="80">
        <f>'Revenue Segment Analysis'!N10</f>
        <v>2430</v>
      </c>
      <c r="O7" s="80">
        <f>'Revenue Segment Analysis'!O10</f>
        <v>1682</v>
      </c>
      <c r="P7" s="80">
        <f>'Revenue Segment Analysis'!P10</f>
        <v>1830</v>
      </c>
      <c r="Q7" s="80">
        <f>'Revenue Segment Analysis'!Q10</f>
        <v>1980</v>
      </c>
      <c r="R7" s="80">
        <f>'Revenue Segment Analysis'!R10</f>
        <v>2216</v>
      </c>
      <c r="S7" s="80">
        <f>'Revenue Segment Analysis'!S10</f>
        <v>1407</v>
      </c>
      <c r="T7" s="131">
        <f t="shared" ref="T7:T9" si="2">SUM(H7:K7)</f>
        <v>6613</v>
      </c>
      <c r="U7" s="131">
        <f t="shared" ref="U7:U9" si="3">SUM(I7:L7)</f>
        <v>8700</v>
      </c>
      <c r="V7" s="131">
        <f t="shared" ref="V7:V9" si="4">SUM(J7:M7)</f>
        <v>8550</v>
      </c>
      <c r="W7" s="131">
        <f t="shared" ref="W7:W9" si="5">SUM(K7:N7)</f>
        <v>8461</v>
      </c>
      <c r="X7" s="131">
        <f t="shared" ref="X7:X9" si="6">SUM(L7:O7)</f>
        <v>8347</v>
      </c>
      <c r="Y7" s="131">
        <f t="shared" ref="Y7:Y9" si="7">SUM(M7:P7)</f>
        <v>8090</v>
      </c>
      <c r="Z7" s="131">
        <f t="shared" ref="Z7:Z9" si="8">SUM(N7:Q7)</f>
        <v>7922</v>
      </c>
      <c r="AA7" s="131">
        <f t="shared" ref="AA7:AA9" si="9">SUM(O7:R7)</f>
        <v>7708</v>
      </c>
      <c r="AB7" s="131">
        <f t="shared" ref="AB7:AB9" si="10">SUM(P7:S7)</f>
        <v>7433</v>
      </c>
      <c r="AD7" s="108">
        <f t="shared" si="1"/>
        <v>-0.10950041931232779</v>
      </c>
    </row>
    <row r="8" spans="2:30" ht="12.75" customHeight="1">
      <c r="B8" s="9" t="str">
        <f>'Revenue Segment Analysis'!B11</f>
        <v>Content</v>
      </c>
      <c r="C8" s="80">
        <f>'Revenue Segment Analysis'!C11</f>
        <v>355</v>
      </c>
      <c r="D8" s="80">
        <f>'Revenue Segment Analysis'!D11</f>
        <v>737</v>
      </c>
      <c r="E8" s="80">
        <f>'Revenue Segment Analysis'!E11</f>
        <v>8360</v>
      </c>
      <c r="F8" s="80">
        <f>'Revenue Segment Analysis'!F11</f>
        <v>11203</v>
      </c>
      <c r="G8" s="80">
        <f>'Revenue Segment Analysis'!G11</f>
        <v>10297</v>
      </c>
      <c r="H8" s="10"/>
      <c r="I8" s="80">
        <f>'Revenue Segment Analysis'!I11</f>
        <v>2954</v>
      </c>
      <c r="J8" s="80">
        <f>'Revenue Segment Analysis'!J11</f>
        <v>2446</v>
      </c>
      <c r="K8" s="80">
        <f>'Revenue Segment Analysis'!K11</f>
        <v>2840</v>
      </c>
      <c r="L8" s="80">
        <f>'Revenue Segment Analysis'!L11</f>
        <v>2963</v>
      </c>
      <c r="M8" s="80">
        <f>'Revenue Segment Analysis'!M11</f>
        <v>2558</v>
      </c>
      <c r="N8" s="80">
        <f>'Revenue Segment Analysis'!N11</f>
        <v>2109</v>
      </c>
      <c r="O8" s="80">
        <f>'Revenue Segment Analysis'!O11</f>
        <v>2721</v>
      </c>
      <c r="P8" s="80">
        <f>'Revenue Segment Analysis'!P11</f>
        <v>2909</v>
      </c>
      <c r="Q8" s="80">
        <f>'Revenue Segment Analysis'!Q11</f>
        <v>1866</v>
      </c>
      <c r="R8" s="80">
        <f>'Revenue Segment Analysis'!R11</f>
        <v>2471</v>
      </c>
      <c r="S8" s="80">
        <f>'Revenue Segment Analysis'!S11</f>
        <v>2649</v>
      </c>
      <c r="T8" s="131">
        <f t="shared" si="2"/>
        <v>8240</v>
      </c>
      <c r="U8" s="131">
        <f t="shared" si="3"/>
        <v>11203</v>
      </c>
      <c r="V8" s="131">
        <f t="shared" si="4"/>
        <v>10807</v>
      </c>
      <c r="W8" s="131">
        <f t="shared" si="5"/>
        <v>10470</v>
      </c>
      <c r="X8" s="131">
        <f t="shared" si="6"/>
        <v>10351</v>
      </c>
      <c r="Y8" s="131">
        <f t="shared" si="7"/>
        <v>10297</v>
      </c>
      <c r="Z8" s="131">
        <f t="shared" si="8"/>
        <v>9605</v>
      </c>
      <c r="AA8" s="131">
        <f t="shared" si="9"/>
        <v>9967</v>
      </c>
      <c r="AB8" s="131">
        <f t="shared" si="10"/>
        <v>9895</v>
      </c>
      <c r="AD8" s="108">
        <f t="shared" si="1"/>
        <v>-4.4053714616945183E-2</v>
      </c>
    </row>
    <row r="9" spans="2:30" ht="12.75" customHeight="1">
      <c r="B9" s="9" t="str">
        <f>'Revenue Segment Analysis'!B12</f>
        <v>Other</v>
      </c>
      <c r="C9" s="80">
        <f>'Revenue Segment Analysis'!C12</f>
        <v>58</v>
      </c>
      <c r="D9" s="80">
        <f>'Revenue Segment Analysis'!D12</f>
        <v>58</v>
      </c>
      <c r="E9" s="80">
        <f>'Revenue Segment Analysis'!E12</f>
        <v>791</v>
      </c>
      <c r="F9" s="80">
        <f>'Revenue Segment Analysis'!F12</f>
        <v>1181</v>
      </c>
      <c r="G9" s="80">
        <f>'Revenue Segment Analysis'!G12</f>
        <v>1233</v>
      </c>
      <c r="H9" s="10"/>
      <c r="I9" s="80">
        <f>'Revenue Segment Analysis'!I12</f>
        <v>285</v>
      </c>
      <c r="J9" s="80">
        <f>'Revenue Segment Analysis'!J12</f>
        <v>258</v>
      </c>
      <c r="K9" s="80">
        <f>'Revenue Segment Analysis'!K12</f>
        <v>317</v>
      </c>
      <c r="L9" s="80">
        <f>'Revenue Segment Analysis'!L12</f>
        <v>321</v>
      </c>
      <c r="M9" s="80">
        <f>'Revenue Segment Analysis'!M12</f>
        <v>267</v>
      </c>
      <c r="N9" s="80">
        <f>'Revenue Segment Analysis'!N12</f>
        <v>295</v>
      </c>
      <c r="O9" s="80">
        <f>'Revenue Segment Analysis'!O12</f>
        <v>300</v>
      </c>
      <c r="P9" s="80">
        <f>'Revenue Segment Analysis'!P12</f>
        <v>371</v>
      </c>
      <c r="Q9" s="80">
        <f>'Revenue Segment Analysis'!Q12</f>
        <v>247</v>
      </c>
      <c r="R9" s="80">
        <f>'Revenue Segment Analysis'!R12</f>
        <v>240</v>
      </c>
      <c r="S9" s="80">
        <f>'Revenue Segment Analysis'!S12</f>
        <v>287</v>
      </c>
      <c r="T9" s="131">
        <f t="shared" si="2"/>
        <v>860</v>
      </c>
      <c r="U9" s="131">
        <f t="shared" si="3"/>
        <v>1181</v>
      </c>
      <c r="V9" s="131">
        <f t="shared" si="4"/>
        <v>1163</v>
      </c>
      <c r="W9" s="131">
        <f t="shared" si="5"/>
        <v>1200</v>
      </c>
      <c r="X9" s="131">
        <f t="shared" si="6"/>
        <v>1183</v>
      </c>
      <c r="Y9" s="131">
        <f t="shared" si="7"/>
        <v>1233</v>
      </c>
      <c r="Z9" s="131">
        <f t="shared" si="8"/>
        <v>1213</v>
      </c>
      <c r="AA9" s="131">
        <f t="shared" si="9"/>
        <v>1158</v>
      </c>
      <c r="AB9" s="131">
        <f t="shared" si="10"/>
        <v>1145</v>
      </c>
      <c r="AD9" s="108">
        <f t="shared" si="1"/>
        <v>-3.2121724429416743E-2</v>
      </c>
    </row>
    <row r="10" spans="2:30" ht="12.75" customHeight="1">
      <c r="B10" s="12" t="s">
        <v>12</v>
      </c>
      <c r="C10" s="13">
        <f>SUM(C6:C9)</f>
        <v>10671</v>
      </c>
      <c r="D10" s="13">
        <f>SUM(D6:D9)</f>
        <v>12191</v>
      </c>
      <c r="E10" s="13">
        <f>SUM(E6:E9)</f>
        <v>33817</v>
      </c>
      <c r="F10" s="13">
        <f>SUM(F6:F9)</f>
        <v>41321</v>
      </c>
      <c r="G10" s="13">
        <f>SUM(G6:G9)</f>
        <v>39321</v>
      </c>
      <c r="H10" s="10"/>
      <c r="I10" s="13">
        <f>SUM(I6:I9)</f>
        <v>10700</v>
      </c>
      <c r="J10" s="13">
        <f>SUM(J6:J9)</f>
        <v>10358</v>
      </c>
      <c r="K10" s="13">
        <f>SUM(K6:K9)</f>
        <v>9979</v>
      </c>
      <c r="L10" s="13">
        <f>SUM(L6:L9)</f>
        <v>10284</v>
      </c>
      <c r="M10" s="13">
        <f>SUM(M6:M9)</f>
        <v>9958</v>
      </c>
      <c r="N10" s="13">
        <f>SUM(N6:N9)</f>
        <v>9713</v>
      </c>
      <c r="O10" s="13">
        <f>SUM(O6:O9)</f>
        <v>9623</v>
      </c>
      <c r="P10" s="13">
        <f>SUM(P6:P9)</f>
        <v>10027</v>
      </c>
      <c r="Q10" s="13">
        <f>SUM(Q6:Q9)</f>
        <v>8979</v>
      </c>
      <c r="R10" s="13">
        <f>SUM(R6:R9)</f>
        <v>9812</v>
      </c>
      <c r="S10" s="13">
        <f>SUM(S6:S9)</f>
        <v>9045</v>
      </c>
      <c r="T10" s="5"/>
      <c r="U10" s="13">
        <f>SUM(U6:U9)</f>
        <v>41321</v>
      </c>
      <c r="V10" s="13">
        <f>SUM(V6:V9)</f>
        <v>40579</v>
      </c>
      <c r="W10" s="13">
        <f>SUM(W6:W9)</f>
        <v>39934</v>
      </c>
      <c r="X10" s="13">
        <f>SUM(X6:X9)</f>
        <v>39578</v>
      </c>
      <c r="Y10" s="13">
        <f>SUM(Y6:Y9)</f>
        <v>39321</v>
      </c>
      <c r="Z10" s="13">
        <f>SUM(Z6:Z9)</f>
        <v>38342</v>
      </c>
      <c r="AA10" s="13">
        <f>SUM(AA6:AA9)</f>
        <v>38441</v>
      </c>
      <c r="AB10" s="13">
        <f>SUM(AB6:AB9)</f>
        <v>37863</v>
      </c>
      <c r="AD10" s="109">
        <f>SUM(AB10/X10)-1</f>
        <v>-4.3332154227095909E-2</v>
      </c>
    </row>
    <row r="11" spans="2:30" ht="12.75" customHeight="1">
      <c r="B11" s="14" t="s">
        <v>26</v>
      </c>
      <c r="C11" s="99"/>
      <c r="D11" s="15">
        <f>SUM(D10/C10)-1</f>
        <v>0.14244213288351615</v>
      </c>
      <c r="E11" s="15">
        <f>SUM(E10/D10)-1</f>
        <v>1.7739315888770406</v>
      </c>
      <c r="F11" s="15">
        <f>SUM(F10/E10)-1</f>
        <v>0.22190022769612927</v>
      </c>
      <c r="G11" s="15">
        <f>SUM(G10/F10)-1</f>
        <v>-4.8401539168945518E-2</v>
      </c>
      <c r="H11" s="11"/>
      <c r="I11" s="99"/>
      <c r="J11" s="99"/>
      <c r="K11" s="99"/>
      <c r="L11" s="99"/>
      <c r="M11" s="15">
        <f t="shared" ref="M11:S11" si="11">SUM(M10/I10)-1</f>
        <v>-6.9345794392523419E-2</v>
      </c>
      <c r="N11" s="15">
        <f t="shared" si="11"/>
        <v>-6.2270708631009808E-2</v>
      </c>
      <c r="O11" s="15">
        <f t="shared" si="11"/>
        <v>-3.5674917326385391E-2</v>
      </c>
      <c r="P11" s="15">
        <f t="shared" si="11"/>
        <v>-2.4990276157137337E-2</v>
      </c>
      <c r="Q11" s="15">
        <f t="shared" si="11"/>
        <v>-9.8312914239807148E-2</v>
      </c>
      <c r="R11" s="15">
        <f t="shared" si="11"/>
        <v>1.0192525481313774E-2</v>
      </c>
      <c r="S11" s="15">
        <f t="shared" si="11"/>
        <v>-6.0064428972253947E-2</v>
      </c>
      <c r="T11" s="5"/>
      <c r="U11" s="99"/>
      <c r="V11" s="99"/>
      <c r="W11" s="99"/>
      <c r="X11" s="99"/>
      <c r="Y11" s="15">
        <f t="shared" ref="Y11" si="12">SUM(Y10/U10)-1</f>
        <v>-4.8401539168945518E-2</v>
      </c>
      <c r="Z11" s="15">
        <f t="shared" ref="Z11" si="13">SUM(Z10/V10)-1</f>
        <v>-5.5127036151704112E-2</v>
      </c>
      <c r="AA11" s="15">
        <f t="shared" ref="AA11" si="14">SUM(AA10/W10)-1</f>
        <v>-3.7386688035258131E-2</v>
      </c>
      <c r="AB11" s="15">
        <f t="shared" ref="AB11" si="15">SUM(AB10/X10)-1</f>
        <v>-4.3332154227095909E-2</v>
      </c>
      <c r="AD11" s="110">
        <f>SUM(AB11-X11)*10000</f>
        <v>-433.32154227095907</v>
      </c>
    </row>
    <row r="12" spans="2:30" ht="12.75" customHeight="1">
      <c r="B12" s="14" t="s">
        <v>27</v>
      </c>
      <c r="C12" s="15" t="s">
        <v>28</v>
      </c>
      <c r="D12" s="15" t="s">
        <v>28</v>
      </c>
      <c r="E12" s="15" t="s">
        <v>28</v>
      </c>
      <c r="F12" s="15" t="s">
        <v>28</v>
      </c>
      <c r="G12" s="15" t="s">
        <v>28</v>
      </c>
      <c r="H12" s="11"/>
      <c r="I12" s="99"/>
      <c r="J12" s="15">
        <f>SUM(J10/I10)-1</f>
        <v>-3.1962616822429957E-2</v>
      </c>
      <c r="K12" s="15">
        <f>SUM(K10/J10)-1</f>
        <v>-3.6590075304112735E-2</v>
      </c>
      <c r="L12" s="15">
        <f>SUM(L10/K10)-1</f>
        <v>3.0564184788054893E-2</v>
      </c>
      <c r="M12" s="15">
        <f>SUM(M10/L10)-1</f>
        <v>-3.1699727732399818E-2</v>
      </c>
      <c r="N12" s="15">
        <f t="shared" ref="N12:S12" si="16">SUM(N10/M10)-1</f>
        <v>-2.4603334002811783E-2</v>
      </c>
      <c r="O12" s="15">
        <f t="shared" si="16"/>
        <v>-9.2659322557396839E-3</v>
      </c>
      <c r="P12" s="15">
        <f t="shared" si="16"/>
        <v>4.198274966226756E-2</v>
      </c>
      <c r="Q12" s="15">
        <f t="shared" si="16"/>
        <v>-0.10451780193477611</v>
      </c>
      <c r="R12" s="15">
        <f t="shared" si="16"/>
        <v>9.277202361064707E-2</v>
      </c>
      <c r="S12" s="15">
        <f t="shared" si="16"/>
        <v>-7.8169588259274336E-2</v>
      </c>
      <c r="T12" s="5"/>
      <c r="U12" s="15" t="s">
        <v>28</v>
      </c>
      <c r="V12" s="15" t="s">
        <v>28</v>
      </c>
      <c r="W12" s="15" t="s">
        <v>28</v>
      </c>
      <c r="X12" s="15" t="s">
        <v>28</v>
      </c>
      <c r="Y12" s="15" t="s">
        <v>28</v>
      </c>
      <c r="Z12" s="15" t="s">
        <v>28</v>
      </c>
      <c r="AA12" s="15" t="s">
        <v>28</v>
      </c>
      <c r="AB12" s="15" t="s">
        <v>28</v>
      </c>
      <c r="AD12" s="107"/>
    </row>
    <row r="13" spans="2:30" ht="5.0999999999999996" customHeight="1">
      <c r="B13" s="16"/>
      <c r="C13" s="17"/>
      <c r="D13" s="17"/>
      <c r="E13" s="17"/>
      <c r="F13" s="17"/>
      <c r="G13" s="17"/>
      <c r="H13" s="18"/>
      <c r="I13" s="19"/>
      <c r="J13" s="19"/>
      <c r="K13" s="19"/>
      <c r="L13" s="19"/>
      <c r="M13" s="19"/>
      <c r="N13" s="19"/>
      <c r="O13" s="19"/>
      <c r="P13" s="20"/>
      <c r="Q13" s="19"/>
      <c r="R13" s="19"/>
      <c r="S13" s="19"/>
      <c r="T13" s="18"/>
      <c r="U13" s="18"/>
      <c r="V13" s="18"/>
      <c r="W13" s="18"/>
      <c r="X13" s="18"/>
      <c r="Y13" s="18"/>
      <c r="Z13" s="18"/>
      <c r="AA13" s="18"/>
      <c r="AB13" s="18"/>
      <c r="AD13" s="107"/>
    </row>
    <row r="14" spans="2:30" ht="12.75" customHeight="1">
      <c r="B14" s="21" t="s">
        <v>29</v>
      </c>
      <c r="C14" s="80">
        <f>'Historical Financials'!C13</f>
        <v>-3860</v>
      </c>
      <c r="D14" s="80">
        <f>'Historical Financials'!D13</f>
        <v>-4620</v>
      </c>
      <c r="E14" s="80">
        <f>'Historical Financials'!E13</f>
        <v>-20442</v>
      </c>
      <c r="F14" s="80">
        <f>'Historical Financials'!F13</f>
        <v>-24526</v>
      </c>
      <c r="G14" s="80">
        <f>'Historical Financials'!G13</f>
        <v>-22970</v>
      </c>
      <c r="H14" s="10"/>
      <c r="I14" s="80">
        <f>'Historical Financials'!I13</f>
        <v>-6685</v>
      </c>
      <c r="J14" s="80">
        <f>'Historical Financials'!J13</f>
        <v>-6636</v>
      </c>
      <c r="K14" s="80">
        <f>'Historical Financials'!K13</f>
        <v>-5309</v>
      </c>
      <c r="L14" s="80">
        <f>'Historical Financials'!L13</f>
        <v>-5896</v>
      </c>
      <c r="M14" s="80">
        <f>'Historical Financials'!M13</f>
        <v>-6058</v>
      </c>
      <c r="N14" s="80">
        <f>'Historical Financials'!N13</f>
        <v>-6204</v>
      </c>
      <c r="O14" s="80">
        <f>'Historical Financials'!O13</f>
        <v>-5181</v>
      </c>
      <c r="P14" s="80">
        <f>'Historical Financials'!P13</f>
        <v>-5527</v>
      </c>
      <c r="Q14" s="80">
        <f>'Historical Financials'!Q13</f>
        <v>-5131</v>
      </c>
      <c r="R14" s="80">
        <f>'Historical Financials'!R13</f>
        <v>-5967</v>
      </c>
      <c r="S14" s="80">
        <f>'Historical Financials'!S13</f>
        <v>-4564</v>
      </c>
      <c r="T14" s="131">
        <f t="shared" ref="T14" si="17">SUM(H14:K14)</f>
        <v>-18630</v>
      </c>
      <c r="U14" s="131">
        <f t="shared" ref="U14" si="18">SUM(I14:L14)</f>
        <v>-24526</v>
      </c>
      <c r="V14" s="131">
        <f t="shared" ref="V14" si="19">SUM(J14:M14)</f>
        <v>-23899</v>
      </c>
      <c r="W14" s="131">
        <f t="shared" ref="W14" si="20">SUM(K14:N14)</f>
        <v>-23467</v>
      </c>
      <c r="X14" s="131">
        <f t="shared" ref="X14" si="21">SUM(L14:O14)</f>
        <v>-23339</v>
      </c>
      <c r="Y14" s="131">
        <f t="shared" ref="Y14" si="22">SUM(M14:P14)</f>
        <v>-22970</v>
      </c>
      <c r="Z14" s="131">
        <f t="shared" ref="Z14" si="23">SUM(N14:Q14)</f>
        <v>-22043</v>
      </c>
      <c r="AA14" s="131">
        <f t="shared" ref="AA14" si="24">SUM(O14:R14)</f>
        <v>-21806</v>
      </c>
      <c r="AB14" s="131">
        <f>SUM(P14:S14)</f>
        <v>-21189</v>
      </c>
      <c r="AD14" s="108">
        <f>SUM(AB14/X14)-1</f>
        <v>-9.2120485025065313E-2</v>
      </c>
    </row>
    <row r="15" spans="2:30" ht="12.75" customHeight="1">
      <c r="B15" s="23" t="s">
        <v>20</v>
      </c>
      <c r="C15" s="24">
        <f t="shared" ref="C15" si="25">SUM(C10+SUM(C14:C14))</f>
        <v>6811</v>
      </c>
      <c r="D15" s="24">
        <f t="shared" ref="D15:G15" si="26">SUM(D10+SUM(D14:D14))</f>
        <v>7571</v>
      </c>
      <c r="E15" s="24">
        <f t="shared" si="26"/>
        <v>13375</v>
      </c>
      <c r="F15" s="24">
        <f t="shared" si="26"/>
        <v>16795</v>
      </c>
      <c r="G15" s="24">
        <f t="shared" si="26"/>
        <v>16351</v>
      </c>
      <c r="H15" s="5"/>
      <c r="I15" s="24">
        <f>SUM(I10+SUM(I14:I14))</f>
        <v>4015</v>
      </c>
      <c r="J15" s="24">
        <f>SUM(J10+SUM(J14:J14))</f>
        <v>3722</v>
      </c>
      <c r="K15" s="24">
        <f>SUM(K10+SUM(K14:K14))</f>
        <v>4670</v>
      </c>
      <c r="L15" s="24">
        <f>SUM(L10+SUM(L14:L14))</f>
        <v>4388</v>
      </c>
      <c r="M15" s="24">
        <f t="shared" ref="M15:R15" si="27">SUM(M10+SUM(M14:M14))</f>
        <v>3900</v>
      </c>
      <c r="N15" s="24">
        <f t="shared" si="27"/>
        <v>3509</v>
      </c>
      <c r="O15" s="24">
        <f t="shared" si="27"/>
        <v>4442</v>
      </c>
      <c r="P15" s="24">
        <f t="shared" si="27"/>
        <v>4500</v>
      </c>
      <c r="Q15" s="24">
        <f t="shared" si="27"/>
        <v>3848</v>
      </c>
      <c r="R15" s="24">
        <f t="shared" si="27"/>
        <v>3845</v>
      </c>
      <c r="S15" s="24">
        <f t="shared" ref="S15" si="28">SUM(S10+SUM(S14:S14))</f>
        <v>4481</v>
      </c>
      <c r="T15" s="5"/>
      <c r="U15" s="24">
        <f t="shared" ref="U15:AB15" si="29">SUM(U10+SUM(U14:U14))</f>
        <v>16795</v>
      </c>
      <c r="V15" s="24">
        <f t="shared" si="29"/>
        <v>16680</v>
      </c>
      <c r="W15" s="24">
        <f t="shared" si="29"/>
        <v>16467</v>
      </c>
      <c r="X15" s="24">
        <f t="shared" si="29"/>
        <v>16239</v>
      </c>
      <c r="Y15" s="24">
        <f t="shared" si="29"/>
        <v>16351</v>
      </c>
      <c r="Z15" s="24">
        <f t="shared" si="29"/>
        <v>16299</v>
      </c>
      <c r="AA15" s="24">
        <f t="shared" si="29"/>
        <v>16635</v>
      </c>
      <c r="AB15" s="24">
        <f t="shared" si="29"/>
        <v>16674</v>
      </c>
      <c r="AD15" s="109">
        <f>SUM(AB15/X15)-1</f>
        <v>2.6787363753925764E-2</v>
      </c>
    </row>
    <row r="16" spans="2:30" ht="12.75" customHeight="1">
      <c r="B16" s="14" t="s">
        <v>30</v>
      </c>
      <c r="C16" s="15">
        <f t="shared" ref="C16" si="30">C15/C10</f>
        <v>0.63827195201949205</v>
      </c>
      <c r="D16" s="15">
        <f t="shared" ref="D16:G16" si="31">D15/D10</f>
        <v>0.62103190878516934</v>
      </c>
      <c r="E16" s="15">
        <f t="shared" si="31"/>
        <v>0.39551113345358846</v>
      </c>
      <c r="F16" s="15">
        <f t="shared" si="31"/>
        <v>0.40645192517122042</v>
      </c>
      <c r="G16" s="15">
        <f t="shared" si="31"/>
        <v>0.41583377838813868</v>
      </c>
      <c r="H16" s="25"/>
      <c r="I16" s="15">
        <f>I15/I10</f>
        <v>0.37523364485981309</v>
      </c>
      <c r="J16" s="15">
        <f>J15/J10</f>
        <v>0.3593357791079359</v>
      </c>
      <c r="K16" s="15">
        <f>K15/K10</f>
        <v>0.4679827638039884</v>
      </c>
      <c r="L16" s="15">
        <f>L15/L10</f>
        <v>0.42668222481524698</v>
      </c>
      <c r="M16" s="15">
        <f t="shared" ref="M16:R16" si="32">M15/M10</f>
        <v>0.391644908616188</v>
      </c>
      <c r="N16" s="15">
        <f t="shared" si="32"/>
        <v>0.36126840317100795</v>
      </c>
      <c r="O16" s="15">
        <f t="shared" si="32"/>
        <v>0.46160241089057469</v>
      </c>
      <c r="P16" s="15">
        <f t="shared" si="32"/>
        <v>0.44878827166650043</v>
      </c>
      <c r="Q16" s="15">
        <f t="shared" si="32"/>
        <v>0.42855551843189665</v>
      </c>
      <c r="R16" s="15">
        <f t="shared" si="32"/>
        <v>0.39186710150835713</v>
      </c>
      <c r="S16" s="15">
        <f t="shared" ref="S16" si="33">S15/S10</f>
        <v>0.49541182974018794</v>
      </c>
      <c r="T16" s="26"/>
      <c r="U16" s="15">
        <f t="shared" ref="U16:AB16" si="34">U15/U10</f>
        <v>0.40645192517122042</v>
      </c>
      <c r="V16" s="15">
        <f t="shared" si="34"/>
        <v>0.41105005051874122</v>
      </c>
      <c r="W16" s="15">
        <f t="shared" si="34"/>
        <v>0.41235538638753944</v>
      </c>
      <c r="X16" s="15">
        <f t="shared" si="34"/>
        <v>0.41030370407802313</v>
      </c>
      <c r="Y16" s="15">
        <f t="shared" si="34"/>
        <v>0.41583377838813868</v>
      </c>
      <c r="Z16" s="15">
        <f t="shared" si="34"/>
        <v>0.4250951958687601</v>
      </c>
      <c r="AA16" s="15">
        <f t="shared" si="34"/>
        <v>0.43274108373871645</v>
      </c>
      <c r="AB16" s="15">
        <f t="shared" si="34"/>
        <v>0.4403771491957848</v>
      </c>
      <c r="AD16" s="110">
        <f>SUM(AB16-X16)*10000</f>
        <v>300.73445117761668</v>
      </c>
    </row>
    <row r="17" spans="2:30" ht="5.0999999999999996" customHeight="1"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5"/>
      <c r="U17" s="28"/>
      <c r="V17" s="28"/>
      <c r="W17" s="28"/>
      <c r="X17" s="28"/>
      <c r="Y17" s="28"/>
      <c r="Z17" s="28"/>
      <c r="AA17" s="28"/>
      <c r="AB17" s="28"/>
      <c r="AD17" s="107"/>
    </row>
    <row r="18" spans="2:30" ht="12.75" customHeight="1">
      <c r="B18" s="21" t="s">
        <v>208</v>
      </c>
      <c r="C18" s="132">
        <f>'Historical Financials'!C17</f>
        <v>-2722</v>
      </c>
      <c r="D18" s="132">
        <f>'Historical Financials'!D17</f>
        <v>-4016</v>
      </c>
      <c r="E18" s="132">
        <f>'Historical Financials'!E17</f>
        <v>-9678</v>
      </c>
      <c r="F18" s="132">
        <f>'Historical Financials'!F17</f>
        <v>-9696</v>
      </c>
      <c r="G18" s="132">
        <f>'Historical Financials'!G17</f>
        <v>-9296</v>
      </c>
      <c r="H18" s="80"/>
      <c r="I18" s="132">
        <f>'Historical Financials'!I17</f>
        <v>-2388</v>
      </c>
      <c r="J18" s="132">
        <f>'Historical Financials'!J17</f>
        <v>-2562</v>
      </c>
      <c r="K18" s="132">
        <f>'Historical Financials'!K17</f>
        <v>-2291</v>
      </c>
      <c r="L18" s="132">
        <f>'Historical Financials'!L17</f>
        <v>-2455</v>
      </c>
      <c r="M18" s="132">
        <f>'Historical Financials'!M17</f>
        <v>-2232</v>
      </c>
      <c r="N18" s="132">
        <f>'Historical Financials'!N17</f>
        <v>-2461</v>
      </c>
      <c r="O18" s="132">
        <f>'Historical Financials'!O17</f>
        <v>-2385</v>
      </c>
      <c r="P18" s="132">
        <f>'Historical Financials'!P17</f>
        <v>-2218</v>
      </c>
      <c r="Q18" s="132">
        <f>'Historical Financials'!Q17</f>
        <v>-2194</v>
      </c>
      <c r="R18" s="132">
        <f>'Historical Financials'!R17</f>
        <v>-2477</v>
      </c>
      <c r="S18" s="132">
        <f>'Historical Financials'!S17</f>
        <v>-2361</v>
      </c>
      <c r="T18" s="131">
        <f t="shared" ref="T18:T21" si="35">SUM(H18:K18)</f>
        <v>-7241</v>
      </c>
      <c r="U18" s="131">
        <f t="shared" ref="U18:U21" si="36">SUM(I18:L18)</f>
        <v>-9696</v>
      </c>
      <c r="V18" s="131">
        <f t="shared" ref="V18:V21" si="37">SUM(J18:M18)</f>
        <v>-9540</v>
      </c>
      <c r="W18" s="131">
        <f t="shared" ref="W18:W21" si="38">SUM(K18:N18)</f>
        <v>-9439</v>
      </c>
      <c r="X18" s="131">
        <f t="shared" ref="X18:X21" si="39">SUM(L18:O18)</f>
        <v>-9533</v>
      </c>
      <c r="Y18" s="131">
        <f t="shared" ref="Y18:Y21" si="40">SUM(M18:P18)</f>
        <v>-9296</v>
      </c>
      <c r="Z18" s="131">
        <f t="shared" ref="Z18:Z21" si="41">SUM(N18:Q18)</f>
        <v>-9258</v>
      </c>
      <c r="AA18" s="131">
        <f t="shared" ref="AA18:AA21" si="42">SUM(O18:R18)</f>
        <v>-9274</v>
      </c>
      <c r="AB18" s="131">
        <f t="shared" ref="AB18:AB21" si="43">SUM(P18:S18)</f>
        <v>-9250</v>
      </c>
      <c r="AD18" s="108">
        <f>SUM(AB18/X18)-1</f>
        <v>-2.9686352669673788E-2</v>
      </c>
    </row>
    <row r="19" spans="2:30" ht="12.75" customHeight="1">
      <c r="B19" s="21" t="s">
        <v>207</v>
      </c>
      <c r="C19" s="132">
        <f>'Historical Financials'!C18</f>
        <v>-1359</v>
      </c>
      <c r="D19" s="132">
        <f>'Historical Financials'!D18</f>
        <v>-1582</v>
      </c>
      <c r="E19" s="132">
        <f>'Historical Financials'!E18</f>
        <v>-7193</v>
      </c>
      <c r="F19" s="132">
        <f>'Historical Financials'!F18</f>
        <v>-7985</v>
      </c>
      <c r="G19" s="132">
        <f>'Historical Financials'!G18</f>
        <v>-7037</v>
      </c>
      <c r="H19" s="80"/>
      <c r="I19" s="132">
        <f>'Historical Financials'!I18</f>
        <v>-2058</v>
      </c>
      <c r="J19" s="132">
        <f>'Historical Financials'!J18</f>
        <v>-1914</v>
      </c>
      <c r="K19" s="132">
        <f>'Historical Financials'!K18</f>
        <v>-1989</v>
      </c>
      <c r="L19" s="132">
        <f>'Historical Financials'!L18</f>
        <v>-2024</v>
      </c>
      <c r="M19" s="132">
        <f>'Historical Financials'!M18</f>
        <v>-1888</v>
      </c>
      <c r="N19" s="132">
        <f>'Historical Financials'!N18</f>
        <v>-1744</v>
      </c>
      <c r="O19" s="132">
        <f>'Historical Financials'!O18</f>
        <v>-1762</v>
      </c>
      <c r="P19" s="132">
        <f>'Historical Financials'!P18</f>
        <v>-1643</v>
      </c>
      <c r="Q19" s="132">
        <f>'Historical Financials'!Q18</f>
        <v>-1547</v>
      </c>
      <c r="R19" s="132">
        <f>'Historical Financials'!R18</f>
        <v>-1447</v>
      </c>
      <c r="S19" s="132">
        <f>'Historical Financials'!S18</f>
        <v>-1375</v>
      </c>
      <c r="T19" s="131">
        <f t="shared" si="35"/>
        <v>-5961</v>
      </c>
      <c r="U19" s="131">
        <f t="shared" si="36"/>
        <v>-7985</v>
      </c>
      <c r="V19" s="131">
        <f t="shared" si="37"/>
        <v>-7815</v>
      </c>
      <c r="W19" s="131">
        <f t="shared" si="38"/>
        <v>-7645</v>
      </c>
      <c r="X19" s="131">
        <f t="shared" si="39"/>
        <v>-7418</v>
      </c>
      <c r="Y19" s="131">
        <f t="shared" si="40"/>
        <v>-7037</v>
      </c>
      <c r="Z19" s="131">
        <f t="shared" si="41"/>
        <v>-6696</v>
      </c>
      <c r="AA19" s="131">
        <f t="shared" si="42"/>
        <v>-6399</v>
      </c>
      <c r="AB19" s="131">
        <f t="shared" si="43"/>
        <v>-6012</v>
      </c>
      <c r="AD19" s="108">
        <f t="shared" ref="AD19:AD21" si="44">SUM(AB19/X19)-1</f>
        <v>-0.18953895928821785</v>
      </c>
    </row>
    <row r="20" spans="2:30" ht="12.75" customHeight="1">
      <c r="B20" s="21" t="s">
        <v>206</v>
      </c>
      <c r="C20" s="132">
        <f>'Historical Financials'!C19</f>
        <v>-91</v>
      </c>
      <c r="D20" s="132">
        <f>'Historical Financials'!D19</f>
        <v>-32</v>
      </c>
      <c r="E20" s="132">
        <f>'Historical Financials'!E19</f>
        <v>-3757</v>
      </c>
      <c r="F20" s="132">
        <f>'Historical Financials'!F19</f>
        <v>-585</v>
      </c>
      <c r="G20" s="132">
        <f>'Historical Financials'!G19</f>
        <v>-447</v>
      </c>
      <c r="H20" s="80"/>
      <c r="I20" s="132">
        <f>'Historical Financials'!I19</f>
        <v>-95</v>
      </c>
      <c r="J20" s="132">
        <f>'Historical Financials'!J19</f>
        <v>-146</v>
      </c>
      <c r="K20" s="132">
        <f>'Historical Financials'!K19</f>
        <v>-269</v>
      </c>
      <c r="L20" s="132">
        <f>'Historical Financials'!L19</f>
        <v>-75</v>
      </c>
      <c r="M20" s="132">
        <f>'Historical Financials'!M19</f>
        <v>-35</v>
      </c>
      <c r="N20" s="132">
        <f>'Historical Financials'!N19</f>
        <v>-117</v>
      </c>
      <c r="O20" s="132">
        <f>'Historical Financials'!O19</f>
        <v>-9</v>
      </c>
      <c r="P20" s="132">
        <f>'Historical Financials'!P19</f>
        <v>-286</v>
      </c>
      <c r="Q20" s="132">
        <f>'Historical Financials'!Q19</f>
        <v>-54</v>
      </c>
      <c r="R20" s="132">
        <f>'Historical Financials'!R19</f>
        <v>-80</v>
      </c>
      <c r="S20" s="132">
        <f>'Historical Financials'!S19</f>
        <v>-88</v>
      </c>
      <c r="T20" s="131">
        <f t="shared" si="35"/>
        <v>-510</v>
      </c>
      <c r="U20" s="131">
        <f t="shared" si="36"/>
        <v>-585</v>
      </c>
      <c r="V20" s="131">
        <f t="shared" si="37"/>
        <v>-525</v>
      </c>
      <c r="W20" s="131">
        <f t="shared" si="38"/>
        <v>-496</v>
      </c>
      <c r="X20" s="131">
        <f t="shared" si="39"/>
        <v>-236</v>
      </c>
      <c r="Y20" s="131">
        <f t="shared" si="40"/>
        <v>-447</v>
      </c>
      <c r="Z20" s="131">
        <f t="shared" si="41"/>
        <v>-466</v>
      </c>
      <c r="AA20" s="131">
        <f t="shared" si="42"/>
        <v>-429</v>
      </c>
      <c r="AB20" s="131">
        <f t="shared" si="43"/>
        <v>-508</v>
      </c>
      <c r="AD20" s="108">
        <f t="shared" si="44"/>
        <v>1.152542372881356</v>
      </c>
    </row>
    <row r="21" spans="2:30" ht="12.75" customHeight="1">
      <c r="B21" s="21" t="s">
        <v>205</v>
      </c>
      <c r="C21" s="132">
        <f>'Historical Financials'!C20</f>
        <v>-124</v>
      </c>
      <c r="D21" s="132">
        <f>'Historical Financials'!D20</f>
        <v>71</v>
      </c>
      <c r="E21" s="132">
        <f>'Historical Financials'!E20</f>
        <v>-117</v>
      </c>
      <c r="F21" s="132">
        <f>'Historical Financials'!F20</f>
        <v>-77</v>
      </c>
      <c r="G21" s="132">
        <f>'Historical Financials'!G20</f>
        <v>-9603</v>
      </c>
      <c r="H21" s="80"/>
      <c r="I21" s="132">
        <f>'Historical Financials'!I20</f>
        <v>-31</v>
      </c>
      <c r="J21" s="132">
        <f>'Historical Financials'!J20</f>
        <v>-6</v>
      </c>
      <c r="K21" s="132">
        <f>'Historical Financials'!K20</f>
        <v>-24</v>
      </c>
      <c r="L21" s="132">
        <f>'Historical Financials'!L20</f>
        <v>-16</v>
      </c>
      <c r="M21" s="132">
        <f>'Historical Financials'!M20</f>
        <v>-12</v>
      </c>
      <c r="N21" s="132">
        <f>'Historical Financials'!N20</f>
        <v>-9395</v>
      </c>
      <c r="O21" s="132">
        <f>'Historical Financials'!O20</f>
        <v>-5</v>
      </c>
      <c r="P21" s="132">
        <f>'Historical Financials'!P20</f>
        <v>-191</v>
      </c>
      <c r="Q21" s="132">
        <f>'Historical Financials'!Q20</f>
        <v>-90</v>
      </c>
      <c r="R21" s="132">
        <f>'Historical Financials'!R20</f>
        <v>-26</v>
      </c>
      <c r="S21" s="132">
        <f>'Historical Financials'!S20</f>
        <v>-46</v>
      </c>
      <c r="T21" s="131">
        <f t="shared" si="35"/>
        <v>-61</v>
      </c>
      <c r="U21" s="131">
        <f t="shared" si="36"/>
        <v>-77</v>
      </c>
      <c r="V21" s="131">
        <f t="shared" si="37"/>
        <v>-58</v>
      </c>
      <c r="W21" s="131">
        <f t="shared" si="38"/>
        <v>-9447</v>
      </c>
      <c r="X21" s="131">
        <f t="shared" si="39"/>
        <v>-9428</v>
      </c>
      <c r="Y21" s="131">
        <f t="shared" si="40"/>
        <v>-9603</v>
      </c>
      <c r="Z21" s="131">
        <f t="shared" si="41"/>
        <v>-9681</v>
      </c>
      <c r="AA21" s="131">
        <f t="shared" si="42"/>
        <v>-312</v>
      </c>
      <c r="AB21" s="131">
        <f t="shared" si="43"/>
        <v>-353</v>
      </c>
      <c r="AD21" s="108">
        <f t="shared" si="44"/>
        <v>-0.96255833686890113</v>
      </c>
    </row>
    <row r="22" spans="2:30" ht="12.75" customHeight="1">
      <c r="B22" s="12" t="s">
        <v>31</v>
      </c>
      <c r="C22" s="13">
        <f>SUM(C15+SUM(C18:C21))</f>
        <v>2515</v>
      </c>
      <c r="D22" s="13">
        <f>SUM(D15+SUM(D18:D21))</f>
        <v>2012</v>
      </c>
      <c r="E22" s="13">
        <f>SUM(E15+SUM(E18:E21))</f>
        <v>-7370</v>
      </c>
      <c r="F22" s="13">
        <f>SUM(F15+SUM(F18:F21))</f>
        <v>-1548</v>
      </c>
      <c r="G22" s="13">
        <f>SUM(G15+SUM(G18:G21))</f>
        <v>-10032</v>
      </c>
      <c r="H22" s="11"/>
      <c r="I22" s="13">
        <f>SUM(I15+SUM(I18:I21))</f>
        <v>-557</v>
      </c>
      <c r="J22" s="13">
        <f>SUM(J15+SUM(J18:J21))</f>
        <v>-906</v>
      </c>
      <c r="K22" s="13">
        <f>SUM(K15+SUM(K18:K21))</f>
        <v>97</v>
      </c>
      <c r="L22" s="13">
        <f>SUM(L15+SUM(L18:L21))</f>
        <v>-182</v>
      </c>
      <c r="M22" s="13">
        <f>SUM(M15+SUM(M18:M21))</f>
        <v>-267</v>
      </c>
      <c r="N22" s="13">
        <f>SUM(N15+SUM(N18:N21))</f>
        <v>-10208</v>
      </c>
      <c r="O22" s="13">
        <f>SUM(O15+SUM(O18:O21))</f>
        <v>281</v>
      </c>
      <c r="P22" s="13">
        <f>SUM(P15+SUM(P18:P21))</f>
        <v>162</v>
      </c>
      <c r="Q22" s="13">
        <f>SUM(Q15+SUM(Q18:Q21))</f>
        <v>-37</v>
      </c>
      <c r="R22" s="13">
        <f>SUM(R15+SUM(R18:R21))</f>
        <v>-185</v>
      </c>
      <c r="S22" s="13">
        <f>SUM(S15+SUM(S18:S21))</f>
        <v>611</v>
      </c>
      <c r="T22" s="5"/>
      <c r="U22" s="13">
        <f>SUM(U15+SUM(U18:U21))</f>
        <v>-1548</v>
      </c>
      <c r="V22" s="13">
        <f>SUM(V15+SUM(V18:V21))</f>
        <v>-1258</v>
      </c>
      <c r="W22" s="13">
        <f>SUM(W15+SUM(W18:W21))</f>
        <v>-10560</v>
      </c>
      <c r="X22" s="13">
        <f>SUM(X15+SUM(X18:X21))</f>
        <v>-10376</v>
      </c>
      <c r="Y22" s="13">
        <f>SUM(Y15+SUM(Y18:Y21))</f>
        <v>-10032</v>
      </c>
      <c r="Z22" s="13">
        <f>SUM(Z15+SUM(Z18:Z21))</f>
        <v>-9802</v>
      </c>
      <c r="AA22" s="13">
        <f>SUM(AA15+SUM(AA18:AA21))</f>
        <v>221</v>
      </c>
      <c r="AB22" s="13">
        <f>SUM(AB15+SUM(AB18:AB21))</f>
        <v>551</v>
      </c>
      <c r="AD22" s="109">
        <f>SUM(AB22/X22)-1</f>
        <v>-1.0531033153430995</v>
      </c>
    </row>
    <row r="23" spans="2:30" ht="12.75" customHeight="1">
      <c r="B23" s="14" t="s">
        <v>32</v>
      </c>
      <c r="C23" s="15">
        <f>C22/C10</f>
        <v>0.23568550276450193</v>
      </c>
      <c r="D23" s="15">
        <f>D22/D10</f>
        <v>0.16503978344680503</v>
      </c>
      <c r="E23" s="15">
        <f>E22/E10</f>
        <v>-0.21793772363012687</v>
      </c>
      <c r="F23" s="15">
        <f>F22/F10</f>
        <v>-3.7462791316763874E-2</v>
      </c>
      <c r="G23" s="15">
        <f>G22/G10</f>
        <v>-0.25513084611276415</v>
      </c>
      <c r="H23" s="25"/>
      <c r="I23" s="15">
        <f>I22/I10</f>
        <v>-5.205607476635514E-2</v>
      </c>
      <c r="J23" s="15">
        <f>J22/J10</f>
        <v>-8.7468623286348718E-2</v>
      </c>
      <c r="K23" s="15">
        <f>K22/K10</f>
        <v>9.7204128670207429E-3</v>
      </c>
      <c r="L23" s="15">
        <f>L22/L10</f>
        <v>-1.7697394010112798E-2</v>
      </c>
      <c r="M23" s="15">
        <f>M22/M10</f>
        <v>-2.6812612974492871E-2</v>
      </c>
      <c r="N23" s="15">
        <f>N22/N10</f>
        <v>-1.0509626274065684</v>
      </c>
      <c r="O23" s="15">
        <f>O22/O10</f>
        <v>2.9200872908656344E-2</v>
      </c>
      <c r="P23" s="15">
        <f>P22/P10</f>
        <v>1.6156377779994017E-2</v>
      </c>
      <c r="Q23" s="15">
        <f>Q22/Q10</f>
        <v>-4.1207261387682373E-3</v>
      </c>
      <c r="R23" s="15">
        <f>R22/R10</f>
        <v>-1.8854463921728494E-2</v>
      </c>
      <c r="S23" s="15">
        <f>S22/S10</f>
        <v>6.755113322277502E-2</v>
      </c>
      <c r="T23" s="26"/>
      <c r="U23" s="15">
        <f>U22/U10</f>
        <v>-3.7462791316763874E-2</v>
      </c>
      <c r="V23" s="15">
        <f>V22/V10</f>
        <v>-3.1001256807708422E-2</v>
      </c>
      <c r="W23" s="15">
        <f>W22/W10</f>
        <v>-0.26443631992788103</v>
      </c>
      <c r="X23" s="15">
        <f>X22/X10</f>
        <v>-0.26216584971448786</v>
      </c>
      <c r="Y23" s="15">
        <f>Y22/Y10</f>
        <v>-0.25513084611276415</v>
      </c>
      <c r="Z23" s="15">
        <f>Z22/Z10</f>
        <v>-0.2556465494757707</v>
      </c>
      <c r="AA23" s="15">
        <f>AA22/AA10</f>
        <v>5.7490700033818055E-3</v>
      </c>
      <c r="AB23" s="15">
        <f>AB22/AB10</f>
        <v>1.4552465467606898E-2</v>
      </c>
      <c r="AD23" s="110">
        <f>SUM(AB23-X23)*10000</f>
        <v>2767.1831518209478</v>
      </c>
    </row>
    <row r="24" spans="2:30" ht="5.0999999999999996" customHeight="1">
      <c r="AD24" s="107"/>
    </row>
    <row r="25" spans="2:30" ht="12.75" customHeight="1">
      <c r="B25" s="29" t="s">
        <v>93</v>
      </c>
      <c r="C25" s="135">
        <f>-C19</f>
        <v>1359</v>
      </c>
      <c r="D25" s="135">
        <f t="shared" ref="D25:S25" si="45">-D19</f>
        <v>1582</v>
      </c>
      <c r="E25" s="135">
        <f t="shared" si="45"/>
        <v>7193</v>
      </c>
      <c r="F25" s="135">
        <f t="shared" si="45"/>
        <v>7985</v>
      </c>
      <c r="G25" s="135">
        <f t="shared" si="45"/>
        <v>7037</v>
      </c>
      <c r="I25" s="135">
        <f t="shared" si="45"/>
        <v>2058</v>
      </c>
      <c r="J25" s="135">
        <f t="shared" si="45"/>
        <v>1914</v>
      </c>
      <c r="K25" s="135">
        <f t="shared" si="45"/>
        <v>1989</v>
      </c>
      <c r="L25" s="135">
        <f t="shared" si="45"/>
        <v>2024</v>
      </c>
      <c r="M25" s="135">
        <f t="shared" si="45"/>
        <v>1888</v>
      </c>
      <c r="N25" s="135">
        <f t="shared" si="45"/>
        <v>1744</v>
      </c>
      <c r="O25" s="135">
        <f t="shared" si="45"/>
        <v>1762</v>
      </c>
      <c r="P25" s="135">
        <f t="shared" si="45"/>
        <v>1643</v>
      </c>
      <c r="Q25" s="135">
        <f t="shared" si="45"/>
        <v>1547</v>
      </c>
      <c r="R25" s="135">
        <f t="shared" si="45"/>
        <v>1447</v>
      </c>
      <c r="S25" s="135">
        <f t="shared" si="45"/>
        <v>1375</v>
      </c>
      <c r="T25" s="131">
        <f t="shared" ref="T25" si="46">SUM(H25:K25)</f>
        <v>5961</v>
      </c>
      <c r="U25" s="131">
        <f t="shared" ref="U25" si="47">SUM(I25:L25)</f>
        <v>7985</v>
      </c>
      <c r="V25" s="131">
        <f t="shared" ref="V25" si="48">SUM(J25:M25)</f>
        <v>7815</v>
      </c>
      <c r="W25" s="131">
        <f t="shared" ref="W25" si="49">SUM(K25:N25)</f>
        <v>7645</v>
      </c>
      <c r="X25" s="131">
        <f t="shared" ref="X25" si="50">SUM(L25:O25)</f>
        <v>7418</v>
      </c>
      <c r="Y25" s="131">
        <f t="shared" ref="Y25" si="51">SUM(M25:P25)</f>
        <v>7037</v>
      </c>
      <c r="Z25" s="131">
        <f t="shared" ref="Z25" si="52">SUM(N25:Q25)</f>
        <v>6696</v>
      </c>
      <c r="AA25" s="131">
        <f t="shared" ref="AA25" si="53">SUM(O25:R25)</f>
        <v>6399</v>
      </c>
      <c r="AB25" s="131">
        <f>SUM(P25:S25)</f>
        <v>6012</v>
      </c>
      <c r="AD25" s="108">
        <f>SUM(AB25/X25)-1</f>
        <v>-0.18953895928821785</v>
      </c>
    </row>
    <row r="26" spans="2:30" ht="12.75" customHeight="1">
      <c r="B26" s="23" t="s">
        <v>11</v>
      </c>
      <c r="C26" s="24">
        <f t="shared" ref="C26" si="54">SUM(C22+SUM(C25:C25))</f>
        <v>3874</v>
      </c>
      <c r="D26" s="24">
        <f t="shared" ref="D26:G26" si="55">SUM(D22+SUM(D25:D25))</f>
        <v>3594</v>
      </c>
      <c r="E26" s="24">
        <f t="shared" si="55"/>
        <v>-177</v>
      </c>
      <c r="F26" s="24">
        <f t="shared" si="55"/>
        <v>6437</v>
      </c>
      <c r="G26" s="24">
        <f t="shared" si="55"/>
        <v>-2995</v>
      </c>
      <c r="I26" s="24">
        <f t="shared" ref="I26:R26" si="56">SUM(I22+SUM(I25:I25))</f>
        <v>1501</v>
      </c>
      <c r="J26" s="24">
        <f t="shared" si="56"/>
        <v>1008</v>
      </c>
      <c r="K26" s="24">
        <f t="shared" si="56"/>
        <v>2086</v>
      </c>
      <c r="L26" s="24">
        <f t="shared" si="56"/>
        <v>1842</v>
      </c>
      <c r="M26" s="24">
        <f t="shared" si="56"/>
        <v>1621</v>
      </c>
      <c r="N26" s="24">
        <f t="shared" si="56"/>
        <v>-8464</v>
      </c>
      <c r="O26" s="24">
        <f t="shared" si="56"/>
        <v>2043</v>
      </c>
      <c r="P26" s="24">
        <f t="shared" si="56"/>
        <v>1805</v>
      </c>
      <c r="Q26" s="24">
        <f t="shared" si="56"/>
        <v>1510</v>
      </c>
      <c r="R26" s="24">
        <f t="shared" si="56"/>
        <v>1262</v>
      </c>
      <c r="S26" s="24">
        <f t="shared" ref="S26" si="57">SUM(S22+SUM(S25:S25))</f>
        <v>1986</v>
      </c>
      <c r="U26" s="24">
        <f t="shared" ref="U26:AB26" si="58">SUM(U22+SUM(U25:U25))</f>
        <v>6437</v>
      </c>
      <c r="V26" s="24">
        <f t="shared" si="58"/>
        <v>6557</v>
      </c>
      <c r="W26" s="24">
        <f t="shared" si="58"/>
        <v>-2915</v>
      </c>
      <c r="X26" s="24">
        <f t="shared" si="58"/>
        <v>-2958</v>
      </c>
      <c r="Y26" s="24">
        <f t="shared" si="58"/>
        <v>-2995</v>
      </c>
      <c r="Z26" s="24">
        <f t="shared" si="58"/>
        <v>-3106</v>
      </c>
      <c r="AA26" s="24">
        <f t="shared" si="58"/>
        <v>6620</v>
      </c>
      <c r="AB26" s="24">
        <f t="shared" si="58"/>
        <v>6563</v>
      </c>
      <c r="AD26" s="109">
        <f>SUM(AB26/X26)-1</f>
        <v>-3.2187288708586883</v>
      </c>
    </row>
    <row r="27" spans="2:30" ht="12.75" customHeight="1">
      <c r="B27" s="14" t="s">
        <v>33</v>
      </c>
      <c r="C27" s="15">
        <f>C26/C10</f>
        <v>0.3630400149939087</v>
      </c>
      <c r="D27" s="15">
        <f>D26/D10</f>
        <v>0.29480764498400458</v>
      </c>
      <c r="E27" s="15">
        <f>E26/E10</f>
        <v>-5.2340538782269276E-3</v>
      </c>
      <c r="F27" s="15">
        <f>F26/F10</f>
        <v>0.15578035381525132</v>
      </c>
      <c r="G27" s="15">
        <f>G26/G10</f>
        <v>-7.6167950967676298E-2</v>
      </c>
      <c r="I27" s="15">
        <f>I26/I10</f>
        <v>0.14028037383177569</v>
      </c>
      <c r="J27" s="15">
        <f>J26/J10</f>
        <v>9.7316084186136326E-2</v>
      </c>
      <c r="K27" s="15">
        <f>K26/K10</f>
        <v>0.20903898186191</v>
      </c>
      <c r="L27" s="15">
        <f>L26/L10</f>
        <v>0.17911318553092181</v>
      </c>
      <c r="M27" s="15">
        <f>M26/M10</f>
        <v>0.16278369150431812</v>
      </c>
      <c r="N27" s="15">
        <f>N26/N10</f>
        <v>-0.87140945125090086</v>
      </c>
      <c r="O27" s="15">
        <f>O26/O10</f>
        <v>0.21230385534656551</v>
      </c>
      <c r="P27" s="15">
        <f>P26/P10</f>
        <v>0.18001396230178518</v>
      </c>
      <c r="Q27" s="15">
        <f>Q26/Q10</f>
        <v>0.16817017485243346</v>
      </c>
      <c r="R27" s="15">
        <f>R26/R10</f>
        <v>0.12861801875254791</v>
      </c>
      <c r="S27" s="15">
        <f>S26/S10</f>
        <v>0.21956882255389717</v>
      </c>
      <c r="U27" s="15">
        <f>U26/U10</f>
        <v>0.15578035381525132</v>
      </c>
      <c r="V27" s="15">
        <f>V26/V10</f>
        <v>0.16158604204145002</v>
      </c>
      <c r="W27" s="15">
        <f>W26/W10</f>
        <v>-7.2995442480092154E-2</v>
      </c>
      <c r="X27" s="15">
        <f>X26/X10</f>
        <v>-7.4738491080903538E-2</v>
      </c>
      <c r="Y27" s="15">
        <f>Y26/Y10</f>
        <v>-7.6167950967676298E-2</v>
      </c>
      <c r="Z27" s="15">
        <f>Z26/Z10</f>
        <v>-8.1007772155860414E-2</v>
      </c>
      <c r="AA27" s="15">
        <f>AA26/AA10</f>
        <v>0.172211961187274</v>
      </c>
      <c r="AB27" s="15">
        <f>AB26/AB10</f>
        <v>0.17333544621398198</v>
      </c>
      <c r="AD27" s="110">
        <f>SUM(AB27-X27)*10000</f>
        <v>2480.7393729488554</v>
      </c>
    </row>
    <row r="28" spans="2:30" ht="5.0999999999999996" customHeight="1">
      <c r="AD28" s="107"/>
    </row>
    <row r="29" spans="2:30" ht="12.75" customHeight="1">
      <c r="B29" s="29" t="s">
        <v>94</v>
      </c>
      <c r="C29" s="132">
        <f>'Historical Financials'!C106</f>
        <v>110</v>
      </c>
      <c r="D29" s="132">
        <f>'Historical Financials'!D106</f>
        <v>178</v>
      </c>
      <c r="E29" s="132">
        <f>'Historical Financials'!E106</f>
        <v>412</v>
      </c>
      <c r="F29" s="132">
        <f>'Historical Financials'!F106</f>
        <v>500</v>
      </c>
      <c r="G29" s="132">
        <f>'Historical Financials'!G106</f>
        <v>557</v>
      </c>
      <c r="I29" s="132">
        <f>'Historical Financials'!I106</f>
        <v>111</v>
      </c>
      <c r="J29" s="132">
        <f>'Historical Financials'!J106</f>
        <v>137</v>
      </c>
      <c r="K29" s="132">
        <f>'Historical Financials'!K106</f>
        <v>143</v>
      </c>
      <c r="L29" s="132">
        <f>'Historical Financials'!L106</f>
        <v>109</v>
      </c>
      <c r="M29" s="132">
        <f>'Historical Financials'!M106</f>
        <v>101</v>
      </c>
      <c r="N29" s="132">
        <f>'Historical Financials'!N106</f>
        <v>159</v>
      </c>
      <c r="O29" s="132">
        <f>'Historical Financials'!O106</f>
        <v>159</v>
      </c>
      <c r="P29" s="132">
        <f>'Historical Financials'!P106</f>
        <v>138</v>
      </c>
      <c r="Q29" s="132">
        <f>'Historical Financials'!Q106</f>
        <v>123</v>
      </c>
      <c r="R29" s="132">
        <f>'Historical Financials'!R106</f>
        <v>175</v>
      </c>
      <c r="S29" s="132">
        <f>'Historical Financials'!S106</f>
        <v>242</v>
      </c>
      <c r="T29" s="131">
        <f t="shared" ref="T29:T31" si="59">SUM(H29:K29)</f>
        <v>391</v>
      </c>
      <c r="U29" s="131">
        <f t="shared" ref="U29:U31" si="60">SUM(I29:L29)</f>
        <v>500</v>
      </c>
      <c r="V29" s="131">
        <f t="shared" ref="V29:V31" si="61">SUM(J29:M29)</f>
        <v>490</v>
      </c>
      <c r="W29" s="131">
        <f t="shared" ref="W29:W31" si="62">SUM(K29:N29)</f>
        <v>512</v>
      </c>
      <c r="X29" s="131">
        <f t="shared" ref="X29:X31" si="63">SUM(L29:O29)</f>
        <v>528</v>
      </c>
      <c r="Y29" s="131">
        <f t="shared" ref="Y29:Y31" si="64">SUM(M29:P29)</f>
        <v>557</v>
      </c>
      <c r="Z29" s="131">
        <f t="shared" ref="Z29:Z31" si="65">SUM(N29:Q29)</f>
        <v>579</v>
      </c>
      <c r="AA29" s="131">
        <f t="shared" ref="AA29:AA31" si="66">SUM(O29:R29)</f>
        <v>595</v>
      </c>
      <c r="AB29" s="131">
        <f>SUM(P29:S29)</f>
        <v>678</v>
      </c>
      <c r="AD29" s="108">
        <f>SUM(AB29/X29)-1</f>
        <v>0.28409090909090917</v>
      </c>
    </row>
    <row r="30" spans="2:30" ht="12.75" customHeight="1">
      <c r="B30" s="21" t="s">
        <v>209</v>
      </c>
      <c r="C30" s="135">
        <f>-C20</f>
        <v>91</v>
      </c>
      <c r="D30" s="135">
        <f t="shared" ref="D30:G30" si="67">-D20</f>
        <v>32</v>
      </c>
      <c r="E30" s="135">
        <f t="shared" si="67"/>
        <v>3757</v>
      </c>
      <c r="F30" s="135">
        <f t="shared" si="67"/>
        <v>585</v>
      </c>
      <c r="G30" s="135">
        <f t="shared" si="67"/>
        <v>447</v>
      </c>
      <c r="I30" s="135">
        <f t="shared" ref="I30:S30" si="68">-I20</f>
        <v>95</v>
      </c>
      <c r="J30" s="135">
        <f t="shared" si="68"/>
        <v>146</v>
      </c>
      <c r="K30" s="135">
        <f t="shared" si="68"/>
        <v>269</v>
      </c>
      <c r="L30" s="135">
        <f t="shared" si="68"/>
        <v>75</v>
      </c>
      <c r="M30" s="135">
        <f t="shared" si="68"/>
        <v>35</v>
      </c>
      <c r="N30" s="135">
        <f t="shared" si="68"/>
        <v>117</v>
      </c>
      <c r="O30" s="135">
        <f t="shared" si="68"/>
        <v>9</v>
      </c>
      <c r="P30" s="135">
        <f t="shared" si="68"/>
        <v>286</v>
      </c>
      <c r="Q30" s="135">
        <f t="shared" si="68"/>
        <v>54</v>
      </c>
      <c r="R30" s="135">
        <f t="shared" si="68"/>
        <v>80</v>
      </c>
      <c r="S30" s="135">
        <f t="shared" si="68"/>
        <v>88</v>
      </c>
      <c r="T30" s="131">
        <f t="shared" si="59"/>
        <v>510</v>
      </c>
      <c r="U30" s="131">
        <f t="shared" si="60"/>
        <v>585</v>
      </c>
      <c r="V30" s="131">
        <f t="shared" si="61"/>
        <v>525</v>
      </c>
      <c r="W30" s="131">
        <f t="shared" si="62"/>
        <v>496</v>
      </c>
      <c r="X30" s="131">
        <f t="shared" si="63"/>
        <v>236</v>
      </c>
      <c r="Y30" s="131">
        <f t="shared" si="64"/>
        <v>447</v>
      </c>
      <c r="Z30" s="131">
        <f t="shared" si="65"/>
        <v>466</v>
      </c>
      <c r="AA30" s="131">
        <f t="shared" si="66"/>
        <v>429</v>
      </c>
      <c r="AB30" s="131">
        <f>SUM(P30:S30)</f>
        <v>508</v>
      </c>
      <c r="AD30" s="108">
        <f t="shared" ref="AD30:AD31" si="69">SUM(AB30/X30)-1</f>
        <v>1.152542372881356</v>
      </c>
    </row>
    <row r="31" spans="2:30" ht="12.75" customHeight="1">
      <c r="B31" s="21" t="s">
        <v>210</v>
      </c>
      <c r="C31" s="135">
        <f>-C21</f>
        <v>124</v>
      </c>
      <c r="D31" s="135">
        <f t="shared" ref="D31:G31" si="70">-D21</f>
        <v>-71</v>
      </c>
      <c r="E31" s="135">
        <f t="shared" si="70"/>
        <v>117</v>
      </c>
      <c r="F31" s="135">
        <f t="shared" si="70"/>
        <v>77</v>
      </c>
      <c r="G31" s="135">
        <f t="shared" si="70"/>
        <v>9603</v>
      </c>
      <c r="I31" s="135">
        <f t="shared" ref="I31:S31" si="71">-I21</f>
        <v>31</v>
      </c>
      <c r="J31" s="135">
        <f t="shared" si="71"/>
        <v>6</v>
      </c>
      <c r="K31" s="135">
        <f t="shared" si="71"/>
        <v>24</v>
      </c>
      <c r="L31" s="135">
        <f t="shared" si="71"/>
        <v>16</v>
      </c>
      <c r="M31" s="135">
        <f t="shared" si="71"/>
        <v>12</v>
      </c>
      <c r="N31" s="135">
        <f t="shared" si="71"/>
        <v>9395</v>
      </c>
      <c r="O31" s="135">
        <f t="shared" si="71"/>
        <v>5</v>
      </c>
      <c r="P31" s="135">
        <f t="shared" si="71"/>
        <v>191</v>
      </c>
      <c r="Q31" s="135">
        <f t="shared" si="71"/>
        <v>90</v>
      </c>
      <c r="R31" s="135">
        <f t="shared" si="71"/>
        <v>26</v>
      </c>
      <c r="S31" s="135">
        <f t="shared" si="71"/>
        <v>46</v>
      </c>
      <c r="T31" s="131">
        <f t="shared" si="59"/>
        <v>61</v>
      </c>
      <c r="U31" s="131">
        <f t="shared" si="60"/>
        <v>77</v>
      </c>
      <c r="V31" s="131">
        <f t="shared" si="61"/>
        <v>58</v>
      </c>
      <c r="W31" s="131">
        <f t="shared" si="62"/>
        <v>9447</v>
      </c>
      <c r="X31" s="131">
        <f t="shared" si="63"/>
        <v>9428</v>
      </c>
      <c r="Y31" s="131">
        <f t="shared" si="64"/>
        <v>9603</v>
      </c>
      <c r="Z31" s="131">
        <f t="shared" si="65"/>
        <v>9681</v>
      </c>
      <c r="AA31" s="131">
        <f t="shared" si="66"/>
        <v>312</v>
      </c>
      <c r="AB31" s="131">
        <f>SUM(P31:S31)</f>
        <v>353</v>
      </c>
      <c r="AD31" s="108">
        <f t="shared" si="69"/>
        <v>-0.96255833686890113</v>
      </c>
    </row>
    <row r="32" spans="2:30" ht="12.75" customHeight="1">
      <c r="B32" s="12" t="s">
        <v>34</v>
      </c>
      <c r="C32" s="13">
        <f>+SUM(C26+SUM(C29:C31))</f>
        <v>4199</v>
      </c>
      <c r="D32" s="13">
        <f t="shared" ref="D32:G32" si="72">+SUM(D26+SUM(D29:D31))</f>
        <v>3733</v>
      </c>
      <c r="E32" s="13">
        <f t="shared" si="72"/>
        <v>4109</v>
      </c>
      <c r="F32" s="13">
        <f t="shared" si="72"/>
        <v>7599</v>
      </c>
      <c r="G32" s="13">
        <f t="shared" si="72"/>
        <v>7612</v>
      </c>
      <c r="H32" s="11"/>
      <c r="I32" s="13">
        <f t="shared" ref="I32" si="73">+SUM(I26+SUM(I29:I31))</f>
        <v>1738</v>
      </c>
      <c r="J32" s="13">
        <f t="shared" ref="J32" si="74">+SUM(J26+SUM(J29:J31))</f>
        <v>1297</v>
      </c>
      <c r="K32" s="13">
        <f t="shared" ref="K32" si="75">+SUM(K26+SUM(K29:K31))</f>
        <v>2522</v>
      </c>
      <c r="L32" s="13">
        <f t="shared" ref="L32" si="76">+SUM(L26+SUM(L29:L31))</f>
        <v>2042</v>
      </c>
      <c r="M32" s="13">
        <f t="shared" ref="M32" si="77">+SUM(M26+SUM(M29:M31))</f>
        <v>1769</v>
      </c>
      <c r="N32" s="13">
        <f t="shared" ref="N32" si="78">+SUM(N26+SUM(N29:N31))</f>
        <v>1207</v>
      </c>
      <c r="O32" s="13">
        <f t="shared" ref="O32" si="79">+SUM(O26+SUM(O29:O31))</f>
        <v>2216</v>
      </c>
      <c r="P32" s="13">
        <f t="shared" ref="P32" si="80">+SUM(P26+SUM(P29:P31))</f>
        <v>2420</v>
      </c>
      <c r="Q32" s="13">
        <f t="shared" ref="Q32" si="81">+SUM(Q26+SUM(Q29:Q31))</f>
        <v>1777</v>
      </c>
      <c r="R32" s="13">
        <f t="shared" ref="R32" si="82">+SUM(R26+SUM(R29:R31))</f>
        <v>1543</v>
      </c>
      <c r="S32" s="13">
        <f t="shared" ref="S32" si="83">+SUM(S26+SUM(S29:S31))</f>
        <v>2362</v>
      </c>
      <c r="U32" s="13">
        <f t="shared" ref="U32" si="84">+SUM(U26+SUM(U29:U31))</f>
        <v>7599</v>
      </c>
      <c r="V32" s="13">
        <f t="shared" ref="V32" si="85">+SUM(V26+SUM(V29:V31))</f>
        <v>7630</v>
      </c>
      <c r="W32" s="13">
        <f t="shared" ref="W32" si="86">+SUM(W26+SUM(W29:W31))</f>
        <v>7540</v>
      </c>
      <c r="X32" s="13">
        <f t="shared" ref="X32" si="87">+SUM(X26+SUM(X29:X31))</f>
        <v>7234</v>
      </c>
      <c r="Y32" s="13">
        <f t="shared" ref="Y32" si="88">+SUM(Y26+SUM(Y29:Y31))</f>
        <v>7612</v>
      </c>
      <c r="Z32" s="13">
        <f t="shared" ref="Z32" si="89">+SUM(Z26+SUM(Z29:Z31))</f>
        <v>7620</v>
      </c>
      <c r="AA32" s="13">
        <f t="shared" ref="AA32" si="90">+SUM(AA26+SUM(AA29:AA31))</f>
        <v>7956</v>
      </c>
      <c r="AB32" s="13">
        <f t="shared" ref="AB32" si="91">+SUM(AB26+SUM(AB29:AB31))</f>
        <v>8102</v>
      </c>
      <c r="AD32" s="109">
        <f>SUM(AB32/X32)-1</f>
        <v>0.11998894111141833</v>
      </c>
    </row>
    <row r="33" spans="2:30" ht="12.75" customHeight="1">
      <c r="B33" s="14" t="s">
        <v>35</v>
      </c>
      <c r="C33" s="15">
        <f>C32/C10</f>
        <v>0.39349639209071313</v>
      </c>
      <c r="D33" s="15">
        <f>D32/D10</f>
        <v>0.306209498810598</v>
      </c>
      <c r="E33" s="15">
        <f>E32/E10</f>
        <v>0.1215069343821155</v>
      </c>
      <c r="F33" s="15">
        <f>F32/F10</f>
        <v>0.18390164807240869</v>
      </c>
      <c r="G33" s="15">
        <f>G32/G10</f>
        <v>0.19358612446275528</v>
      </c>
      <c r="I33" s="15">
        <f>I32/I10</f>
        <v>0.16242990654205608</v>
      </c>
      <c r="J33" s="15">
        <f>J32/J10</f>
        <v>0.12521722340220121</v>
      </c>
      <c r="K33" s="15">
        <f>K32/K10</f>
        <v>0.25273073454253936</v>
      </c>
      <c r="L33" s="15">
        <f>L32/L10</f>
        <v>0.19856087125632049</v>
      </c>
      <c r="M33" s="15">
        <f>M32/M10</f>
        <v>0.17764611367744526</v>
      </c>
      <c r="N33" s="15">
        <f>N32/N10</f>
        <v>0.12426644702975394</v>
      </c>
      <c r="O33" s="15">
        <f>O32/O10</f>
        <v>0.23028161695936819</v>
      </c>
      <c r="P33" s="15">
        <f>P32/P10</f>
        <v>0.24134835942954025</v>
      </c>
      <c r="Q33" s="15">
        <f>Q32/Q10</f>
        <v>0.19790622563759885</v>
      </c>
      <c r="R33" s="15">
        <f>R32/R10</f>
        <v>0.15725642070933551</v>
      </c>
      <c r="S33" s="15">
        <f>S32/S10</f>
        <v>0.26113875069098952</v>
      </c>
      <c r="U33" s="15">
        <f>U32/U10</f>
        <v>0.18390164807240869</v>
      </c>
      <c r="V33" s="15">
        <f>V32/V10</f>
        <v>0.18802829049508366</v>
      </c>
      <c r="W33" s="15">
        <f>W32/W10</f>
        <v>0.18881153903941503</v>
      </c>
      <c r="X33" s="15">
        <f>X32/X10</f>
        <v>0.18277831118298044</v>
      </c>
      <c r="Y33" s="15">
        <f>Y32/Y10</f>
        <v>0.19358612446275528</v>
      </c>
      <c r="Z33" s="15">
        <f>Z32/Z10</f>
        <v>0.19873767669918105</v>
      </c>
      <c r="AA33" s="15">
        <f>AA32/AA10</f>
        <v>0.20696652012174502</v>
      </c>
      <c r="AB33" s="15">
        <f>AB32/AB10</f>
        <v>0.21398198769247023</v>
      </c>
      <c r="AD33" s="110">
        <f>SUM(AB33-X33)*10000</f>
        <v>312.03676509489799</v>
      </c>
    </row>
    <row r="34" spans="2:30" ht="5.0999999999999996" customHeight="1">
      <c r="AD34" s="107"/>
    </row>
    <row r="35" spans="2:30" ht="12.75" customHeight="1">
      <c r="B35" s="21" t="s">
        <v>36</v>
      </c>
      <c r="C35" s="132">
        <f>'Historical Financials'!C123</f>
        <v>-402</v>
      </c>
      <c r="D35" s="132">
        <f>'Historical Financials'!D123</f>
        <v>-373</v>
      </c>
      <c r="E35" s="132">
        <f>'Historical Financials'!E123</f>
        <v>-987</v>
      </c>
      <c r="F35" s="132">
        <f>'Historical Financials'!F123</f>
        <v>-1316</v>
      </c>
      <c r="G35" s="132">
        <f>'Historical Financials'!G123</f>
        <v>-948</v>
      </c>
      <c r="I35" s="132">
        <f>'Historical Financials'!I123</f>
        <v>-299</v>
      </c>
      <c r="J35" s="132">
        <f>'Historical Financials'!J123</f>
        <v>-292</v>
      </c>
      <c r="K35" s="132">
        <f>'Historical Financials'!K123</f>
        <v>-457</v>
      </c>
      <c r="L35" s="132">
        <f>'Historical Financials'!L123</f>
        <v>-268</v>
      </c>
      <c r="M35" s="132">
        <f>'Historical Financials'!M123</f>
        <v>-195</v>
      </c>
      <c r="N35" s="132">
        <f>'Historical Financials'!N123</f>
        <v>-252</v>
      </c>
      <c r="O35" s="132">
        <f>'Historical Financials'!O123</f>
        <v>-215</v>
      </c>
      <c r="P35" s="132">
        <f>'Historical Financials'!P123</f>
        <v>-286</v>
      </c>
      <c r="Q35" s="132">
        <f>'Historical Financials'!Q123</f>
        <v>-251</v>
      </c>
      <c r="R35" s="132">
        <f>'Historical Financials'!R123</f>
        <v>-281</v>
      </c>
      <c r="S35" s="132">
        <f>'Historical Financials'!S123</f>
        <v>-278</v>
      </c>
      <c r="T35" s="131">
        <f t="shared" ref="T35:T39" si="92">SUM(H35:K35)</f>
        <v>-1048</v>
      </c>
      <c r="U35" s="131">
        <f t="shared" ref="U35:U39" si="93">SUM(I35:L35)</f>
        <v>-1316</v>
      </c>
      <c r="V35" s="131">
        <f t="shared" ref="V35:V39" si="94">SUM(J35:M35)</f>
        <v>-1212</v>
      </c>
      <c r="W35" s="131">
        <f t="shared" ref="W35:W39" si="95">SUM(K35:N35)</f>
        <v>-1172</v>
      </c>
      <c r="X35" s="131">
        <f t="shared" ref="X35:X39" si="96">SUM(L35:O35)</f>
        <v>-930</v>
      </c>
      <c r="Y35" s="131">
        <f t="shared" ref="Y35:Y39" si="97">SUM(M35:P35)</f>
        <v>-948</v>
      </c>
      <c r="Z35" s="131">
        <f t="shared" ref="Z35:Z39" si="98">SUM(N35:Q35)</f>
        <v>-1004</v>
      </c>
      <c r="AA35" s="131">
        <f t="shared" ref="AA35:AA39" si="99">SUM(O35:R35)</f>
        <v>-1033</v>
      </c>
      <c r="AB35" s="131">
        <f>SUM(P35:S35)</f>
        <v>-1096</v>
      </c>
      <c r="AD35" s="108">
        <f t="shared" ref="AD35:AD40" si="100">SUM(AB35/X35)-1</f>
        <v>0.17849462365591395</v>
      </c>
    </row>
    <row r="36" spans="2:30" ht="12.75" customHeight="1">
      <c r="B36" s="21" t="s">
        <v>37</v>
      </c>
      <c r="C36" s="132">
        <f>-'Historical Financials'!C150</f>
        <v>-641</v>
      </c>
      <c r="D36" s="132">
        <f>-'Historical Financials'!D150</f>
        <v>-643</v>
      </c>
      <c r="E36" s="132">
        <f>-'Historical Financials'!E150</f>
        <v>-1027</v>
      </c>
      <c r="F36" s="132">
        <f>-'Historical Financials'!F150</f>
        <v>-1440</v>
      </c>
      <c r="G36" s="132">
        <f>-'Historical Financials'!G150</f>
        <v>-1113</v>
      </c>
      <c r="I36" s="132">
        <f>-'Historical Financials'!I150</f>
        <v>-312</v>
      </c>
      <c r="J36" s="132">
        <f>-'Historical Financials'!J150</f>
        <v>-518</v>
      </c>
      <c r="K36" s="132">
        <f>-'Historical Financials'!K150</f>
        <v>-361</v>
      </c>
      <c r="L36" s="132">
        <f>-'Historical Financials'!L150</f>
        <v>-249</v>
      </c>
      <c r="M36" s="132">
        <f>-'Historical Financials'!M150</f>
        <v>-118</v>
      </c>
      <c r="N36" s="132">
        <f>-'Historical Financials'!N150</f>
        <v>-366</v>
      </c>
      <c r="O36" s="132">
        <f>-'Historical Financials'!O150</f>
        <v>-348</v>
      </c>
      <c r="P36" s="132">
        <f>-'Historical Financials'!P150</f>
        <v>-281</v>
      </c>
      <c r="Q36" s="132">
        <f>'Historical Financials'!Q31</f>
        <v>-15</v>
      </c>
      <c r="R36" s="132">
        <f>'Historical Financials'!R31</f>
        <v>-866</v>
      </c>
      <c r="S36" s="132">
        <f>'Historical Financials'!S31</f>
        <v>-170</v>
      </c>
      <c r="T36" s="131">
        <f t="shared" si="92"/>
        <v>-1191</v>
      </c>
      <c r="U36" s="131">
        <f t="shared" si="93"/>
        <v>-1440</v>
      </c>
      <c r="V36" s="131">
        <f t="shared" si="94"/>
        <v>-1246</v>
      </c>
      <c r="W36" s="131">
        <f t="shared" si="95"/>
        <v>-1094</v>
      </c>
      <c r="X36" s="131">
        <f t="shared" si="96"/>
        <v>-1081</v>
      </c>
      <c r="Y36" s="131">
        <f t="shared" si="97"/>
        <v>-1113</v>
      </c>
      <c r="Z36" s="131">
        <f t="shared" si="98"/>
        <v>-1010</v>
      </c>
      <c r="AA36" s="131">
        <f t="shared" si="99"/>
        <v>-1510</v>
      </c>
      <c r="AB36" s="131">
        <f>SUM(P36:S36)</f>
        <v>-1332</v>
      </c>
      <c r="AD36" s="108">
        <f t="shared" si="100"/>
        <v>0.23219241443108229</v>
      </c>
    </row>
    <row r="37" spans="2:30" ht="12.75" customHeight="1">
      <c r="B37" s="21" t="s">
        <v>71</v>
      </c>
      <c r="C37" s="132">
        <f>-'Historical Financials'!C151</f>
        <v>-673</v>
      </c>
      <c r="D37" s="132">
        <f>-'Historical Financials'!D151</f>
        <v>-664</v>
      </c>
      <c r="E37" s="132">
        <f>-'Historical Financials'!E151</f>
        <v>-1539</v>
      </c>
      <c r="F37" s="132">
        <f>-'Historical Financials'!F151</f>
        <v>-2237</v>
      </c>
      <c r="G37" s="132">
        <f>-'Historical Financials'!G151</f>
        <v>-1996</v>
      </c>
      <c r="I37" s="132">
        <f>-'Historical Financials'!I151</f>
        <v>-920</v>
      </c>
      <c r="J37" s="132">
        <f>-'Historical Financials'!J151</f>
        <v>-217</v>
      </c>
      <c r="K37" s="132">
        <f>-'Historical Financials'!K151</f>
        <v>-928</v>
      </c>
      <c r="L37" s="132">
        <f>-'Historical Financials'!L151</f>
        <v>-172</v>
      </c>
      <c r="M37" s="132">
        <f>-'Historical Financials'!M151</f>
        <v>-867</v>
      </c>
      <c r="N37" s="132">
        <f>-'Historical Financials'!N151</f>
        <v>-194</v>
      </c>
      <c r="O37" s="132">
        <f>-'Historical Financials'!O151</f>
        <v>-812</v>
      </c>
      <c r="P37" s="132">
        <f>-'Historical Financials'!P151</f>
        <v>-123</v>
      </c>
      <c r="Q37" s="132">
        <f>'Historical Financials'!Q24</f>
        <v>-468</v>
      </c>
      <c r="R37" s="132">
        <f>'Historical Financials'!R24</f>
        <v>-463</v>
      </c>
      <c r="S37" s="132">
        <f>'Historical Financials'!S24</f>
        <v>-570</v>
      </c>
      <c r="T37" s="131">
        <f t="shared" si="92"/>
        <v>-2065</v>
      </c>
      <c r="U37" s="131">
        <f t="shared" si="93"/>
        <v>-2237</v>
      </c>
      <c r="V37" s="131">
        <f t="shared" si="94"/>
        <v>-2184</v>
      </c>
      <c r="W37" s="131">
        <f t="shared" si="95"/>
        <v>-2161</v>
      </c>
      <c r="X37" s="131">
        <f t="shared" si="96"/>
        <v>-2045</v>
      </c>
      <c r="Y37" s="131">
        <f t="shared" si="97"/>
        <v>-1996</v>
      </c>
      <c r="Z37" s="131">
        <f t="shared" si="98"/>
        <v>-1597</v>
      </c>
      <c r="AA37" s="131">
        <f t="shared" si="99"/>
        <v>-1866</v>
      </c>
      <c r="AB37" s="131">
        <f>SUM(P37:S37)</f>
        <v>-1624</v>
      </c>
      <c r="AD37" s="108">
        <f t="shared" si="100"/>
        <v>-0.20586797066014673</v>
      </c>
    </row>
    <row r="38" spans="2:30" ht="12.75" customHeight="1">
      <c r="B38" s="21" t="s">
        <v>104</v>
      </c>
      <c r="C38" s="132"/>
      <c r="D38" s="132"/>
      <c r="E38" s="132"/>
      <c r="F38" s="132"/>
      <c r="G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1">
        <f t="shared" si="92"/>
        <v>0</v>
      </c>
      <c r="U38" s="131">
        <f t="shared" si="93"/>
        <v>0</v>
      </c>
      <c r="V38" s="131">
        <f t="shared" si="94"/>
        <v>0</v>
      </c>
      <c r="W38" s="131">
        <f t="shared" si="95"/>
        <v>0</v>
      </c>
      <c r="X38" s="131">
        <f t="shared" si="96"/>
        <v>0</v>
      </c>
      <c r="Y38" s="131">
        <f t="shared" si="97"/>
        <v>0</v>
      </c>
      <c r="Z38" s="131">
        <f t="shared" si="98"/>
        <v>0</v>
      </c>
      <c r="AA38" s="131">
        <f t="shared" si="99"/>
        <v>0</v>
      </c>
      <c r="AB38" s="131">
        <f>SUM(P38:S38)</f>
        <v>0</v>
      </c>
      <c r="AD38" s="108" t="e">
        <f t="shared" si="100"/>
        <v>#DIV/0!</v>
      </c>
    </row>
    <row r="39" spans="2:30" ht="12.75" customHeight="1">
      <c r="B39" s="21" t="s">
        <v>38</v>
      </c>
      <c r="C39" s="132">
        <f>SUM('Historical Financials'!C116:C119)</f>
        <v>-3099</v>
      </c>
      <c r="D39" s="132">
        <f>SUM('Historical Financials'!D116:D119)</f>
        <v>-3237</v>
      </c>
      <c r="E39" s="132">
        <f>SUM('Historical Financials'!E116:E119)</f>
        <v>-10982</v>
      </c>
      <c r="F39" s="132">
        <f>SUM('Historical Financials'!F116:F119)</f>
        <v>-11989</v>
      </c>
      <c r="G39" s="132">
        <f>SUM('Historical Financials'!G116:G119)</f>
        <v>-12126</v>
      </c>
      <c r="I39" s="132">
        <f>SUM('Historical Financials'!I116:I119)</f>
        <v>-5930</v>
      </c>
      <c r="J39" s="132">
        <f>SUM('Historical Financials'!J116:J119)</f>
        <v>-2734</v>
      </c>
      <c r="K39" s="132">
        <f>SUM('Historical Financials'!K116:K119)</f>
        <v>-1844</v>
      </c>
      <c r="L39" s="132">
        <f>SUM('Historical Financials'!L116:L119)</f>
        <v>-1481</v>
      </c>
      <c r="M39" s="132">
        <f>SUM('Historical Financials'!M116:M119)</f>
        <v>-3899</v>
      </c>
      <c r="N39" s="132">
        <f>SUM('Historical Financials'!N116:N119)</f>
        <v>-2800</v>
      </c>
      <c r="O39" s="132">
        <f>SUM('Historical Financials'!O116:O119)</f>
        <v>-3943</v>
      </c>
      <c r="P39" s="132">
        <f>SUM('Historical Financials'!P116:P119)</f>
        <v>-1484</v>
      </c>
      <c r="Q39" s="132">
        <f>SUM('Historical Financials'!Q116:Q119)</f>
        <v>-3608</v>
      </c>
      <c r="R39" s="132">
        <f>SUM('Historical Financials'!R116:R119)</f>
        <v>-2744</v>
      </c>
      <c r="S39" s="132">
        <f>SUM('Historical Financials'!S116:S119)</f>
        <v>-3015</v>
      </c>
      <c r="T39" s="131">
        <f t="shared" si="92"/>
        <v>-10508</v>
      </c>
      <c r="U39" s="131">
        <f t="shared" si="93"/>
        <v>-11989</v>
      </c>
      <c r="V39" s="131">
        <f t="shared" si="94"/>
        <v>-9958</v>
      </c>
      <c r="W39" s="131">
        <f t="shared" si="95"/>
        <v>-10024</v>
      </c>
      <c r="X39" s="131">
        <f t="shared" si="96"/>
        <v>-12123</v>
      </c>
      <c r="Y39" s="131">
        <f t="shared" si="97"/>
        <v>-12126</v>
      </c>
      <c r="Z39" s="131">
        <f t="shared" si="98"/>
        <v>-11835</v>
      </c>
      <c r="AA39" s="131">
        <f t="shared" si="99"/>
        <v>-11779</v>
      </c>
      <c r="AB39" s="131">
        <f>SUM(P39:S39)</f>
        <v>-10851</v>
      </c>
      <c r="AD39" s="108">
        <f t="shared" si="100"/>
        <v>-0.10492452363276417</v>
      </c>
    </row>
    <row r="40" spans="2:30" ht="12.75" customHeight="1">
      <c r="B40" s="12" t="s">
        <v>39</v>
      </c>
      <c r="C40" s="13">
        <f>SUM(C32+SUM(C35:C39))</f>
        <v>-616</v>
      </c>
      <c r="D40" s="13">
        <f>SUM(D32+SUM(D35:D39))</f>
        <v>-1184</v>
      </c>
      <c r="E40" s="13">
        <f>SUM(E32+SUM(E35:E39))</f>
        <v>-10426</v>
      </c>
      <c r="F40" s="13">
        <f>SUM(F32+SUM(F35:F39))</f>
        <v>-9383</v>
      </c>
      <c r="G40" s="13">
        <f>SUM(G32+SUM(G35:G39))</f>
        <v>-8571</v>
      </c>
      <c r="I40" s="13">
        <f>SUM(I32+SUM(I35:I39))</f>
        <v>-5723</v>
      </c>
      <c r="J40" s="13">
        <f>SUM(J32+SUM(J35:J39))</f>
        <v>-2464</v>
      </c>
      <c r="K40" s="13">
        <f>SUM(K32+SUM(K35:K39))</f>
        <v>-1068</v>
      </c>
      <c r="L40" s="13">
        <f>SUM(L32+SUM(L35:L39))</f>
        <v>-128</v>
      </c>
      <c r="M40" s="13">
        <f t="shared" ref="M40:R40" si="101">SUM(M32+SUM(M35:M39))</f>
        <v>-3310</v>
      </c>
      <c r="N40" s="13">
        <f t="shared" si="101"/>
        <v>-2405</v>
      </c>
      <c r="O40" s="13">
        <f t="shared" si="101"/>
        <v>-3102</v>
      </c>
      <c r="P40" s="13">
        <f t="shared" si="101"/>
        <v>246</v>
      </c>
      <c r="Q40" s="13">
        <f t="shared" si="101"/>
        <v>-2565</v>
      </c>
      <c r="R40" s="13">
        <f t="shared" si="101"/>
        <v>-2811</v>
      </c>
      <c r="S40" s="13">
        <f t="shared" ref="S40" si="102">SUM(S32+SUM(S35:S39))</f>
        <v>-1671</v>
      </c>
      <c r="U40" s="13">
        <f t="shared" ref="U40:Z40" si="103">SUM(U32+SUM(U35:U39))</f>
        <v>-9383</v>
      </c>
      <c r="V40" s="13">
        <f t="shared" si="103"/>
        <v>-6970</v>
      </c>
      <c r="W40" s="13">
        <f t="shared" si="103"/>
        <v>-6911</v>
      </c>
      <c r="X40" s="13">
        <f t="shared" si="103"/>
        <v>-8945</v>
      </c>
      <c r="Y40" s="13">
        <f t="shared" si="103"/>
        <v>-8571</v>
      </c>
      <c r="Z40" s="13">
        <f t="shared" si="103"/>
        <v>-7826</v>
      </c>
      <c r="AA40" s="13">
        <f>SUM(AA32+SUM(AA35:AA39))</f>
        <v>-8232</v>
      </c>
      <c r="AB40" s="13">
        <f>SUM(AB32+SUM(AB35:AB39))</f>
        <v>-6801</v>
      </c>
      <c r="AD40" s="109">
        <f t="shared" si="100"/>
        <v>-0.23968697596422583</v>
      </c>
    </row>
    <row r="41" spans="2:30" ht="5.0999999999999996" customHeight="1"/>
    <row r="42" spans="2:30" ht="12.75" customHeight="1">
      <c r="B42" s="29" t="s">
        <v>226</v>
      </c>
      <c r="C42" s="132">
        <f>'Historical Financials'!C124</f>
        <v>-39</v>
      </c>
      <c r="D42" s="132">
        <f>'Historical Financials'!D124</f>
        <v>-2</v>
      </c>
      <c r="E42" s="132">
        <f>'Historical Financials'!E124</f>
        <v>3612</v>
      </c>
      <c r="F42" s="132">
        <f>'Historical Financials'!F124</f>
        <v>-50</v>
      </c>
      <c r="G42" s="132">
        <f>'Historical Financials'!G124</f>
        <v>0</v>
      </c>
      <c r="H42" s="30"/>
      <c r="I42" s="132">
        <f>'Historical Financials'!I124</f>
        <v>0</v>
      </c>
      <c r="J42" s="132">
        <f>'Historical Financials'!J124</f>
        <v>0</v>
      </c>
      <c r="K42" s="132">
        <f>'Historical Financials'!K124</f>
        <v>0</v>
      </c>
      <c r="L42" s="132">
        <f>'Historical Financials'!L124</f>
        <v>-50</v>
      </c>
      <c r="M42" s="132">
        <f>'Historical Financials'!M124</f>
        <v>0</v>
      </c>
      <c r="N42" s="132">
        <f>'Historical Financials'!N124</f>
        <v>0</v>
      </c>
      <c r="O42" s="132">
        <f>'Historical Financials'!O124</f>
        <v>0</v>
      </c>
      <c r="P42" s="132">
        <f>'Historical Financials'!P124</f>
        <v>0</v>
      </c>
      <c r="Q42" s="132">
        <f>'Historical Financials'!Q124</f>
        <v>66</v>
      </c>
      <c r="R42" s="132">
        <f>'Historical Financials'!R124</f>
        <v>0</v>
      </c>
      <c r="S42" s="132">
        <f>'Historical Financials'!S124</f>
        <v>-66</v>
      </c>
      <c r="T42" s="131">
        <f t="shared" ref="T42:T47" si="104">SUM(H42:K42)</f>
        <v>0</v>
      </c>
      <c r="U42" s="131">
        <f t="shared" ref="U42:U47" si="105">SUM(I42:L42)</f>
        <v>-50</v>
      </c>
      <c r="V42" s="131">
        <f t="shared" ref="V42:V47" si="106">SUM(J42:M42)</f>
        <v>-50</v>
      </c>
      <c r="W42" s="131">
        <f t="shared" ref="W42:W47" si="107">SUM(K42:N42)</f>
        <v>-50</v>
      </c>
      <c r="X42" s="131">
        <f t="shared" ref="X42:X47" si="108">SUM(L42:O42)</f>
        <v>-50</v>
      </c>
      <c r="Y42" s="131">
        <f t="shared" ref="Y42:Y47" si="109">SUM(M42:P42)</f>
        <v>0</v>
      </c>
      <c r="Z42" s="131">
        <f t="shared" ref="Z42:Z47" si="110">SUM(N42:Q42)</f>
        <v>66</v>
      </c>
      <c r="AA42" s="131">
        <f t="shared" ref="AA42:AA47" si="111">SUM(O42:R42)</f>
        <v>66</v>
      </c>
      <c r="AB42" s="131">
        <f>SUM(P42:S42)</f>
        <v>0</v>
      </c>
    </row>
    <row r="43" spans="2:30" ht="12.75" customHeight="1">
      <c r="B43" s="29" t="s">
        <v>228</v>
      </c>
      <c r="C43" s="132">
        <f>'Historical Financials'!C125</f>
        <v>-362</v>
      </c>
      <c r="D43" s="132">
        <f>'Historical Financials'!D125</f>
        <v>312</v>
      </c>
      <c r="E43" s="132">
        <f>'Historical Financials'!E125</f>
        <v>138</v>
      </c>
      <c r="F43" s="132">
        <f>'Historical Financials'!F125</f>
        <v>-112</v>
      </c>
      <c r="G43" s="132">
        <f>'Historical Financials'!G125</f>
        <v>432</v>
      </c>
      <c r="H43" s="30"/>
      <c r="I43" s="132">
        <f>'Historical Financials'!I125</f>
        <v>-13</v>
      </c>
      <c r="J43" s="132">
        <f>'Historical Financials'!J125</f>
        <v>-32</v>
      </c>
      <c r="K43" s="132">
        <f>'Historical Financials'!K125</f>
        <v>-46</v>
      </c>
      <c r="L43" s="132">
        <f>'Historical Financials'!L125</f>
        <v>-21</v>
      </c>
      <c r="M43" s="132">
        <f>'Historical Financials'!M125</f>
        <v>-53</v>
      </c>
      <c r="N43" s="132">
        <f>'Historical Financials'!N125</f>
        <v>309</v>
      </c>
      <c r="O43" s="132">
        <f>'Historical Financials'!O125</f>
        <v>-36</v>
      </c>
      <c r="P43" s="132">
        <f>'Historical Financials'!P125</f>
        <v>212</v>
      </c>
      <c r="Q43" s="132">
        <f>'Historical Financials'!Q125</f>
        <v>-3</v>
      </c>
      <c r="R43" s="132">
        <f>'Historical Financials'!R125</f>
        <v>31</v>
      </c>
      <c r="S43" s="132">
        <f>'Historical Financials'!S125</f>
        <v>-71</v>
      </c>
      <c r="T43" s="131">
        <f t="shared" si="104"/>
        <v>-91</v>
      </c>
      <c r="U43" s="131">
        <f t="shared" si="105"/>
        <v>-112</v>
      </c>
      <c r="V43" s="131">
        <f t="shared" si="106"/>
        <v>-152</v>
      </c>
      <c r="W43" s="131">
        <f t="shared" si="107"/>
        <v>189</v>
      </c>
      <c r="X43" s="131">
        <f t="shared" si="108"/>
        <v>199</v>
      </c>
      <c r="Y43" s="131">
        <f t="shared" si="109"/>
        <v>432</v>
      </c>
      <c r="Z43" s="131">
        <f t="shared" si="110"/>
        <v>482</v>
      </c>
      <c r="AA43" s="131">
        <f t="shared" si="111"/>
        <v>204</v>
      </c>
      <c r="AB43" s="131">
        <f>SUM(P43:S43)</f>
        <v>169</v>
      </c>
    </row>
    <row r="44" spans="2:30" ht="12.75" customHeight="1">
      <c r="B44" s="29" t="s">
        <v>227</v>
      </c>
      <c r="C44" s="132">
        <f>'Historical Financials'!C131</f>
        <v>-214</v>
      </c>
      <c r="D44" s="132">
        <f>'Historical Financials'!D131</f>
        <v>-574</v>
      </c>
      <c r="E44" s="132">
        <f>'Historical Financials'!E131</f>
        <v>-7317</v>
      </c>
      <c r="F44" s="132">
        <f>'Historical Financials'!F131</f>
        <v>-5371</v>
      </c>
      <c r="G44" s="132">
        <f>'Historical Financials'!G131</f>
        <v>-3426</v>
      </c>
      <c r="H44" s="30"/>
      <c r="I44" s="132">
        <f>'Historical Financials'!I131</f>
        <v>-107</v>
      </c>
      <c r="J44" s="132">
        <f>'Historical Financials'!J131</f>
        <v>-1656</v>
      </c>
      <c r="K44" s="132">
        <f>'Historical Financials'!K131</f>
        <v>-2415</v>
      </c>
      <c r="L44" s="132">
        <f>'Historical Financials'!L131</f>
        <v>-1193</v>
      </c>
      <c r="M44" s="132">
        <f>'Historical Financials'!M131</f>
        <v>-1047</v>
      </c>
      <c r="N44" s="132">
        <f>'Historical Financials'!N131</f>
        <v>-1039</v>
      </c>
      <c r="O44" s="132">
        <f>'Historical Financials'!O131</f>
        <v>-847</v>
      </c>
      <c r="P44" s="132">
        <f>'Historical Financials'!P131</f>
        <v>-493</v>
      </c>
      <c r="Q44" s="132">
        <f>'Historical Financials'!Q131</f>
        <v>-2165</v>
      </c>
      <c r="R44" s="132">
        <f>'Historical Financials'!R131</f>
        <v>65</v>
      </c>
      <c r="S44" s="132">
        <f>'Historical Financials'!S131</f>
        <v>-1257</v>
      </c>
      <c r="T44" s="131">
        <f t="shared" si="104"/>
        <v>-4178</v>
      </c>
      <c r="U44" s="131">
        <f t="shared" si="105"/>
        <v>-5371</v>
      </c>
      <c r="V44" s="131">
        <f t="shared" si="106"/>
        <v>-6311</v>
      </c>
      <c r="W44" s="131">
        <f t="shared" si="107"/>
        <v>-5694</v>
      </c>
      <c r="X44" s="131">
        <f t="shared" si="108"/>
        <v>-4126</v>
      </c>
      <c r="Y44" s="131">
        <f t="shared" si="109"/>
        <v>-3426</v>
      </c>
      <c r="Z44" s="131">
        <f t="shared" si="110"/>
        <v>-4544</v>
      </c>
      <c r="AA44" s="131">
        <f t="shared" si="111"/>
        <v>-3440</v>
      </c>
      <c r="AB44" s="131">
        <f>SUM(P44:S44)</f>
        <v>-3850</v>
      </c>
    </row>
    <row r="45" spans="2:30" ht="12.75" customHeight="1">
      <c r="B45" s="29" t="s">
        <v>232</v>
      </c>
      <c r="C45" s="132">
        <f>'Historical Financials'!C132</f>
        <v>-254</v>
      </c>
      <c r="D45" s="132">
        <f>'Historical Financials'!D132</f>
        <v>-251</v>
      </c>
      <c r="E45" s="132">
        <f>'Historical Financials'!E132</f>
        <v>-300</v>
      </c>
      <c r="F45" s="132">
        <f>'Historical Financials'!F132</f>
        <v>-350</v>
      </c>
      <c r="G45" s="132">
        <f>'Historical Financials'!G132</f>
        <v>-193</v>
      </c>
      <c r="H45" s="30"/>
      <c r="I45" s="132">
        <f>'Historical Financials'!I132</f>
        <v>-237</v>
      </c>
      <c r="J45" s="132">
        <f>'Historical Financials'!J132</f>
        <v>-32</v>
      </c>
      <c r="K45" s="132">
        <f>'Historical Financials'!K132</f>
        <v>-13</v>
      </c>
      <c r="L45" s="132">
        <f>'Historical Financials'!L132</f>
        <v>-68</v>
      </c>
      <c r="M45" s="132">
        <f>'Historical Financials'!M132</f>
        <v>-130</v>
      </c>
      <c r="N45" s="132">
        <f>'Historical Financials'!N132</f>
        <v>-31</v>
      </c>
      <c r="O45" s="132">
        <f>'Historical Financials'!O132</f>
        <v>-11</v>
      </c>
      <c r="P45" s="132">
        <f>'Historical Financials'!P132</f>
        <v>-21</v>
      </c>
      <c r="Q45" s="132">
        <f>'Historical Financials'!Q132</f>
        <v>-157</v>
      </c>
      <c r="R45" s="132">
        <f>'Historical Financials'!R132</f>
        <v>-17</v>
      </c>
      <c r="S45" s="132">
        <f>'Historical Financials'!S132</f>
        <v>-14</v>
      </c>
      <c r="T45" s="131">
        <f t="shared" si="104"/>
        <v>-282</v>
      </c>
      <c r="U45" s="131">
        <f t="shared" si="105"/>
        <v>-350</v>
      </c>
      <c r="V45" s="131">
        <f t="shared" si="106"/>
        <v>-243</v>
      </c>
      <c r="W45" s="131">
        <f t="shared" si="107"/>
        <v>-242</v>
      </c>
      <c r="X45" s="131">
        <f t="shared" si="108"/>
        <v>-240</v>
      </c>
      <c r="Y45" s="131">
        <f t="shared" si="109"/>
        <v>-193</v>
      </c>
      <c r="Z45" s="131">
        <f t="shared" si="110"/>
        <v>-220</v>
      </c>
      <c r="AA45" s="131">
        <f t="shared" si="111"/>
        <v>-206</v>
      </c>
      <c r="AB45" s="131">
        <f>SUM(P45:S45)</f>
        <v>-209</v>
      </c>
    </row>
    <row r="46" spans="2:30" ht="12.75" customHeight="1">
      <c r="B46" s="29" t="s">
        <v>233</v>
      </c>
      <c r="C46" s="132">
        <f>'Historical Financials'!C103</f>
        <v>2956</v>
      </c>
      <c r="D46" s="132">
        <f>'Historical Financials'!D103</f>
        <v>3501</v>
      </c>
      <c r="E46" s="132">
        <f>'Historical Financials'!E103</f>
        <v>14161</v>
      </c>
      <c r="F46" s="132">
        <f>'Historical Financials'!F103</f>
        <v>16024</v>
      </c>
      <c r="G46" s="132">
        <f>'Historical Financials'!G103</f>
        <v>13946</v>
      </c>
      <c r="H46" s="30"/>
      <c r="I46" s="132">
        <f>'Historical Financials'!I103</f>
        <v>4723</v>
      </c>
      <c r="J46" s="132">
        <f>'Historical Financials'!J103</f>
        <v>4638</v>
      </c>
      <c r="K46" s="132">
        <f>'Historical Financials'!K103</f>
        <v>3186</v>
      </c>
      <c r="L46" s="132">
        <f>'Historical Financials'!L103</f>
        <v>3477</v>
      </c>
      <c r="M46" s="132">
        <f>'Historical Financials'!M103</f>
        <v>3827</v>
      </c>
      <c r="N46" s="132">
        <f>'Historical Financials'!N103</f>
        <v>3920</v>
      </c>
      <c r="O46" s="132">
        <f>'Historical Financials'!O103</f>
        <v>3132</v>
      </c>
      <c r="P46" s="132">
        <f>'Historical Financials'!P103</f>
        <v>3067</v>
      </c>
      <c r="Q46" s="132">
        <f>'Historical Financials'!Q103</f>
        <v>3145</v>
      </c>
      <c r="R46" s="132">
        <f>'Historical Financials'!R103</f>
        <v>3706</v>
      </c>
      <c r="S46" s="132">
        <f>'Historical Financials'!S103</f>
        <v>2242</v>
      </c>
      <c r="T46" s="131">
        <f t="shared" si="104"/>
        <v>12547</v>
      </c>
      <c r="U46" s="131">
        <f t="shared" si="105"/>
        <v>16024</v>
      </c>
      <c r="V46" s="131">
        <f t="shared" si="106"/>
        <v>15128</v>
      </c>
      <c r="W46" s="131">
        <f t="shared" si="107"/>
        <v>14410</v>
      </c>
      <c r="X46" s="131">
        <f t="shared" si="108"/>
        <v>14356</v>
      </c>
      <c r="Y46" s="131">
        <f t="shared" si="109"/>
        <v>13946</v>
      </c>
      <c r="Z46" s="131">
        <f t="shared" si="110"/>
        <v>13264</v>
      </c>
      <c r="AA46" s="131">
        <f t="shared" si="111"/>
        <v>13050</v>
      </c>
      <c r="AB46" s="131">
        <f>SUM(P46:S46)</f>
        <v>12160</v>
      </c>
    </row>
    <row r="47" spans="2:30" ht="12.75" customHeight="1">
      <c r="B47" s="29" t="s">
        <v>67</v>
      </c>
      <c r="C47" s="133"/>
      <c r="D47" s="133">
        <f t="shared" ref="D47:G47" si="112">SUM(D52)-SUM(C52)-SUM(D40:D46)</f>
        <v>12</v>
      </c>
      <c r="E47" s="133">
        <f t="shared" si="112"/>
        <v>-42</v>
      </c>
      <c r="F47" s="133">
        <f t="shared" si="112"/>
        <v>-709</v>
      </c>
      <c r="G47" s="133">
        <f t="shared" si="112"/>
        <v>-656</v>
      </c>
      <c r="H47" s="30"/>
      <c r="I47" s="133">
        <f>SUM(I52)-SUM(E52)-SUM(I40:I46)</f>
        <v>220</v>
      </c>
      <c r="J47" s="133">
        <f t="shared" ref="J47" si="113">SUM(J52)-SUM(I52)-SUM(J40:J46)</f>
        <v>-21</v>
      </c>
      <c r="K47" s="133">
        <f t="shared" ref="K47" si="114">SUM(K52)-SUM(J52)-SUM(K40:K46)</f>
        <v>-288</v>
      </c>
      <c r="L47" s="133">
        <f t="shared" ref="L47" si="115">SUM(L52)-SUM(K52)-SUM(L40:L46)</f>
        <v>-620</v>
      </c>
      <c r="M47" s="133">
        <f t="shared" ref="M47" si="116">SUM(M52)-SUM(L52)-SUM(M40:M46)</f>
        <v>-91</v>
      </c>
      <c r="N47" s="133">
        <f t="shared" ref="N47" si="117">SUM(N52)-SUM(M52)-SUM(N40:N46)</f>
        <v>-117</v>
      </c>
      <c r="O47" s="133">
        <f t="shared" ref="O47" si="118">SUM(O52)-SUM(N52)-SUM(O40:O46)</f>
        <v>587</v>
      </c>
      <c r="P47" s="133">
        <f t="shared" ref="P47" si="119">SUM(P52)-SUM(O52)-SUM(P40:P46)</f>
        <v>-1035</v>
      </c>
      <c r="Q47" s="133">
        <f t="shared" ref="Q47" si="120">SUM(Q52)-SUM(P52)-SUM(Q40:Q46)</f>
        <v>235</v>
      </c>
      <c r="R47" s="133">
        <f t="shared" ref="R47" si="121">SUM(R52)-SUM(Q52)-SUM(R40:R46)</f>
        <v>46</v>
      </c>
      <c r="S47" s="133">
        <f t="shared" ref="S47" si="122">SUM(S52)-SUM(R52)-SUM(S40:S46)</f>
        <v>243</v>
      </c>
      <c r="T47" s="131">
        <f t="shared" si="104"/>
        <v>-89</v>
      </c>
      <c r="U47" s="131">
        <f t="shared" si="105"/>
        <v>-709</v>
      </c>
      <c r="V47" s="131">
        <f t="shared" si="106"/>
        <v>-1020</v>
      </c>
      <c r="W47" s="131">
        <f t="shared" si="107"/>
        <v>-1116</v>
      </c>
      <c r="X47" s="131">
        <f t="shared" si="108"/>
        <v>-241</v>
      </c>
      <c r="Y47" s="131">
        <f t="shared" si="109"/>
        <v>-656</v>
      </c>
      <c r="Z47" s="131">
        <f t="shared" si="110"/>
        <v>-330</v>
      </c>
      <c r="AA47" s="131">
        <f t="shared" si="111"/>
        <v>-167</v>
      </c>
      <c r="AB47" s="131">
        <f>SUM(P47:S47)</f>
        <v>-511</v>
      </c>
    </row>
    <row r="48" spans="2:30" ht="12.75" customHeight="1">
      <c r="B48" s="12" t="s">
        <v>40</v>
      </c>
      <c r="C48" s="13">
        <f t="shared" ref="C48" si="123">SUM(C40+SUM(C42:C47))</f>
        <v>1471</v>
      </c>
      <c r="D48" s="13">
        <f t="shared" ref="D48:G48" si="124">SUM(D40+SUM(D42:D47))</f>
        <v>1814</v>
      </c>
      <c r="E48" s="13">
        <f t="shared" si="124"/>
        <v>-174</v>
      </c>
      <c r="F48" s="13">
        <f t="shared" si="124"/>
        <v>49</v>
      </c>
      <c r="G48" s="13">
        <f t="shared" si="124"/>
        <v>1532</v>
      </c>
      <c r="I48" s="13">
        <f t="shared" ref="I48:S48" si="125">SUM(I40+SUM(I42:I47))</f>
        <v>-1137</v>
      </c>
      <c r="J48" s="13">
        <f t="shared" si="125"/>
        <v>433</v>
      </c>
      <c r="K48" s="13">
        <f t="shared" si="125"/>
        <v>-644</v>
      </c>
      <c r="L48" s="13">
        <f t="shared" si="125"/>
        <v>1397</v>
      </c>
      <c r="M48" s="13">
        <f t="shared" si="125"/>
        <v>-804</v>
      </c>
      <c r="N48" s="13">
        <f t="shared" si="125"/>
        <v>637</v>
      </c>
      <c r="O48" s="13">
        <f t="shared" si="125"/>
        <v>-277</v>
      </c>
      <c r="P48" s="13">
        <f t="shared" si="125"/>
        <v>1976</v>
      </c>
      <c r="Q48" s="13">
        <f t="shared" si="125"/>
        <v>-1444</v>
      </c>
      <c r="R48" s="13">
        <f t="shared" si="125"/>
        <v>1020</v>
      </c>
      <c r="S48" s="13">
        <f t="shared" si="125"/>
        <v>-594</v>
      </c>
      <c r="U48" s="13">
        <f t="shared" ref="U48:AB48" si="126">SUM(U40+SUM(U42:U47))</f>
        <v>49</v>
      </c>
      <c r="V48" s="13">
        <f t="shared" si="126"/>
        <v>382</v>
      </c>
      <c r="W48" s="13">
        <f t="shared" si="126"/>
        <v>586</v>
      </c>
      <c r="X48" s="13">
        <f t="shared" si="126"/>
        <v>953</v>
      </c>
      <c r="Y48" s="13">
        <f t="shared" si="126"/>
        <v>1532</v>
      </c>
      <c r="Z48" s="13">
        <f t="shared" si="126"/>
        <v>892</v>
      </c>
      <c r="AA48" s="13">
        <f t="shared" si="126"/>
        <v>1275</v>
      </c>
      <c r="AB48" s="13">
        <f t="shared" si="126"/>
        <v>958</v>
      </c>
    </row>
    <row r="49" spans="1:28" ht="5.0999999999999996" customHeight="1"/>
    <row r="50" spans="1:28" ht="12.75" customHeight="1">
      <c r="A50" s="5"/>
      <c r="B50" s="31" t="s">
        <v>41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 spans="1:28" ht="5.0999999999999996" customHeight="1"/>
    <row r="52" spans="1:28" ht="12.75" customHeight="1">
      <c r="B52" s="8" t="s">
        <v>211</v>
      </c>
      <c r="C52" s="80">
        <f>'Historical Financials'!C49</f>
        <v>2091</v>
      </c>
      <c r="D52" s="80">
        <f>'Historical Financials'!D49</f>
        <v>3905</v>
      </c>
      <c r="E52" s="80">
        <f>'Historical Financials'!E49</f>
        <v>3731</v>
      </c>
      <c r="F52" s="80">
        <f>'Historical Financials'!F49</f>
        <v>3780</v>
      </c>
      <c r="G52" s="80">
        <f>'Historical Financials'!G49</f>
        <v>5312</v>
      </c>
      <c r="H52" s="30"/>
      <c r="I52" s="80">
        <f>'Historical Financials'!I49</f>
        <v>2594</v>
      </c>
      <c r="J52" s="80">
        <f>'Historical Financials'!J49</f>
        <v>3027</v>
      </c>
      <c r="K52" s="80">
        <f>'Historical Financials'!K49</f>
        <v>2383</v>
      </c>
      <c r="L52" s="80">
        <f>'Historical Financials'!L49</f>
        <v>3780</v>
      </c>
      <c r="M52" s="80">
        <f>'Historical Financials'!M49</f>
        <v>2976</v>
      </c>
      <c r="N52" s="80">
        <f>'Historical Financials'!N49</f>
        <v>3613</v>
      </c>
      <c r="O52" s="80">
        <f>'Historical Financials'!O49</f>
        <v>3336</v>
      </c>
      <c r="P52" s="80">
        <f>'Historical Financials'!P49</f>
        <v>5312</v>
      </c>
      <c r="Q52" s="80">
        <f>'Historical Financials'!Q49</f>
        <v>3868</v>
      </c>
      <c r="R52" s="80">
        <f>'Historical Financials'!R49</f>
        <v>4888</v>
      </c>
      <c r="S52" s="80">
        <f>'Historical Financials'!S49</f>
        <v>4294</v>
      </c>
      <c r="T52" s="10"/>
      <c r="U52" s="10">
        <f t="shared" ref="U52:AA52" si="127">L52</f>
        <v>3780</v>
      </c>
      <c r="V52" s="10">
        <f t="shared" si="127"/>
        <v>2976</v>
      </c>
      <c r="W52" s="10">
        <f t="shared" si="127"/>
        <v>3613</v>
      </c>
      <c r="X52" s="10">
        <f t="shared" si="127"/>
        <v>3336</v>
      </c>
      <c r="Y52" s="10">
        <f t="shared" si="127"/>
        <v>5312</v>
      </c>
      <c r="Z52" s="10">
        <f t="shared" si="127"/>
        <v>3868</v>
      </c>
      <c r="AA52" s="10">
        <f t="shared" si="127"/>
        <v>4888</v>
      </c>
      <c r="AB52" s="10">
        <f>S52</f>
        <v>4294</v>
      </c>
    </row>
    <row r="53" spans="1:28" ht="12.75" customHeight="1">
      <c r="B53" s="8" t="s">
        <v>224</v>
      </c>
      <c r="C53" s="75">
        <v>4000</v>
      </c>
      <c r="D53" s="75">
        <v>4000</v>
      </c>
      <c r="E53" s="75">
        <v>4000</v>
      </c>
      <c r="F53" s="75">
        <v>4000</v>
      </c>
      <c r="G53" s="75">
        <v>4000</v>
      </c>
      <c r="H53" s="30"/>
      <c r="I53" s="75">
        <v>4000</v>
      </c>
      <c r="J53" s="75">
        <v>4000</v>
      </c>
      <c r="K53" s="75">
        <v>4000</v>
      </c>
      <c r="L53" s="106">
        <f>E53</f>
        <v>4000</v>
      </c>
      <c r="M53" s="75">
        <v>4000</v>
      </c>
      <c r="N53" s="75">
        <v>4000</v>
      </c>
      <c r="O53" s="75">
        <v>4000</v>
      </c>
      <c r="P53" s="106">
        <f>F53</f>
        <v>4000</v>
      </c>
      <c r="Q53" s="75">
        <v>4000</v>
      </c>
      <c r="R53" s="75">
        <v>4000</v>
      </c>
      <c r="S53" s="75">
        <v>4000</v>
      </c>
      <c r="U53" s="10">
        <f>N53</f>
        <v>4000</v>
      </c>
      <c r="V53" s="10">
        <f>O53</f>
        <v>4000</v>
      </c>
      <c r="W53" s="10">
        <f>P53</f>
        <v>4000</v>
      </c>
      <c r="X53" s="10">
        <f t="shared" ref="X53" si="128">O53</f>
        <v>4000</v>
      </c>
      <c r="Y53" s="10">
        <f t="shared" ref="Y53" si="129">P53</f>
        <v>4000</v>
      </c>
      <c r="Z53" s="10">
        <f t="shared" ref="Z53" si="130">Q53</f>
        <v>4000</v>
      </c>
      <c r="AA53" s="10">
        <f t="shared" ref="AA53" si="131">R53</f>
        <v>4000</v>
      </c>
      <c r="AB53" s="10">
        <f>S53</f>
        <v>4000</v>
      </c>
    </row>
    <row r="54" spans="1:28" ht="12.75" customHeight="1">
      <c r="B54" s="12" t="s">
        <v>42</v>
      </c>
      <c r="C54" s="13">
        <f>SUM(C52:C53)</f>
        <v>6091</v>
      </c>
      <c r="D54" s="13">
        <f>SUM(D52:D53)</f>
        <v>7905</v>
      </c>
      <c r="E54" s="13">
        <f>SUM(E52:E53)</f>
        <v>7731</v>
      </c>
      <c r="F54" s="13">
        <f>SUM(F52:F53)</f>
        <v>7780</v>
      </c>
      <c r="G54" s="13">
        <f>SUM(G52:G53)</f>
        <v>9312</v>
      </c>
      <c r="H54" s="30"/>
      <c r="I54" s="13">
        <f>SUM(I52:I53)</f>
        <v>6594</v>
      </c>
      <c r="J54" s="13">
        <f>SUM(J52:J53)</f>
        <v>7027</v>
      </c>
      <c r="K54" s="13">
        <f>SUM(K52:K53)</f>
        <v>6383</v>
      </c>
      <c r="L54" s="13">
        <f>SUM(L52:L53)</f>
        <v>7780</v>
      </c>
      <c r="M54" s="13">
        <f>SUM(M52:M53)</f>
        <v>6976</v>
      </c>
      <c r="N54" s="13">
        <f>SUM(N52:N53)</f>
        <v>7613</v>
      </c>
      <c r="O54" s="13">
        <f>SUM(O52:O53)</f>
        <v>7336</v>
      </c>
      <c r="P54" s="13">
        <f>SUM(P52:P53)</f>
        <v>9312</v>
      </c>
      <c r="Q54" s="13">
        <f>SUM(Q52:Q53)</f>
        <v>7868</v>
      </c>
      <c r="R54" s="13">
        <f>SUM(R52:R53)</f>
        <v>8888</v>
      </c>
      <c r="S54" s="13">
        <f>SUM(S52:S53)</f>
        <v>8294</v>
      </c>
      <c r="U54" s="13">
        <f>SUM(U52:U53)</f>
        <v>7780</v>
      </c>
      <c r="V54" s="13">
        <f>SUM(V52:V53)</f>
        <v>6976</v>
      </c>
      <c r="W54" s="13">
        <f>SUM(W52:W53)</f>
        <v>7613</v>
      </c>
      <c r="X54" s="13">
        <f>SUM(X52:X53)</f>
        <v>7336</v>
      </c>
      <c r="Y54" s="13">
        <f>SUM(Y52:Y53)</f>
        <v>9312</v>
      </c>
      <c r="Z54" s="13">
        <f>SUM(Z52:Z53)</f>
        <v>7868</v>
      </c>
      <c r="AA54" s="13">
        <f>SUM(AA52:AA53)</f>
        <v>8888</v>
      </c>
      <c r="AB54" s="13">
        <f>SUM(AB52:AB53)</f>
        <v>8294</v>
      </c>
    </row>
    <row r="55" spans="1:28" ht="5.0999999999999996" customHeight="1"/>
    <row r="56" spans="1:28" ht="12.75" customHeight="1">
      <c r="B56" s="32" t="s">
        <v>43</v>
      </c>
    </row>
    <row r="57" spans="1:28" ht="12.75" customHeight="1">
      <c r="B57" s="8" t="s">
        <v>107</v>
      </c>
      <c r="C57" s="80">
        <f>'Historical Financials'!C50</f>
        <v>2537</v>
      </c>
      <c r="D57" s="80">
        <f>'Historical Financials'!D50</f>
        <v>2446</v>
      </c>
      <c r="E57" s="80">
        <f>'Historical Financials'!E50</f>
        <v>6380</v>
      </c>
      <c r="F57" s="80">
        <f>'Historical Financials'!F50</f>
        <v>6047</v>
      </c>
      <c r="G57" s="80">
        <f>'Historical Financials'!G50</f>
        <v>4947</v>
      </c>
      <c r="I57" s="80">
        <f>'Historical Financials'!I50</f>
        <v>6833</v>
      </c>
      <c r="J57" s="80">
        <f>'Historical Financials'!J50</f>
        <v>6770</v>
      </c>
      <c r="K57" s="80">
        <f>'Historical Financials'!K50</f>
        <v>6312</v>
      </c>
      <c r="L57" s="80">
        <f>'Historical Financials'!L50</f>
        <v>6047</v>
      </c>
      <c r="M57" s="80">
        <f>'Historical Financials'!M50</f>
        <v>6303</v>
      </c>
      <c r="N57" s="80">
        <f>'Historical Financials'!N50</f>
        <v>6166</v>
      </c>
      <c r="O57" s="80">
        <f>'Historical Financials'!O50</f>
        <v>5534</v>
      </c>
      <c r="P57" s="80">
        <f>'Historical Financials'!P50</f>
        <v>4947</v>
      </c>
      <c r="Q57" s="80">
        <f>'Historical Financials'!Q50</f>
        <v>4664</v>
      </c>
      <c r="R57" s="80">
        <f>'Historical Financials'!R50</f>
        <v>5383</v>
      </c>
      <c r="S57" s="80">
        <f>'Historical Financials'!S50</f>
        <v>5128</v>
      </c>
      <c r="T57" s="10"/>
      <c r="U57" s="10">
        <f>N57</f>
        <v>6166</v>
      </c>
      <c r="V57" s="10">
        <f>O57</f>
        <v>5534</v>
      </c>
      <c r="W57" s="10">
        <f>P57</f>
        <v>4947</v>
      </c>
      <c r="X57" s="10">
        <f t="shared" ref="X57" si="132">O57</f>
        <v>5534</v>
      </c>
      <c r="Y57" s="10">
        <f t="shared" ref="Y57" si="133">P57</f>
        <v>4947</v>
      </c>
      <c r="Z57" s="10">
        <f t="shared" ref="Z57" si="134">Q57</f>
        <v>4664</v>
      </c>
      <c r="AA57" s="10">
        <f t="shared" ref="AA57" si="135">R57</f>
        <v>5383</v>
      </c>
      <c r="AB57" s="10">
        <f>S57</f>
        <v>5128</v>
      </c>
    </row>
    <row r="58" spans="1:28" ht="12.75" customHeight="1">
      <c r="B58" s="8" t="s">
        <v>168</v>
      </c>
      <c r="C58" s="80">
        <f>'Historical Financials'!C55</f>
        <v>3439</v>
      </c>
      <c r="D58" s="80">
        <f>'Historical Financials'!D55</f>
        <v>3832</v>
      </c>
      <c r="E58" s="80">
        <f>'Historical Financials'!E55</f>
        <v>26652</v>
      </c>
      <c r="F58" s="80">
        <f>'Historical Financials'!F55</f>
        <v>21229</v>
      </c>
      <c r="G58" s="80">
        <f>'Historical Financials'!G55</f>
        <v>19102</v>
      </c>
      <c r="I58" s="80">
        <f>'Historical Financials'!I55</f>
        <v>25473</v>
      </c>
      <c r="J58" s="80">
        <f>'Historical Financials'!J55</f>
        <v>24393</v>
      </c>
      <c r="K58" s="80">
        <f>'Historical Financials'!K55</f>
        <v>22454</v>
      </c>
      <c r="L58" s="80">
        <f>'Historical Financials'!L55</f>
        <v>21229</v>
      </c>
      <c r="M58" s="80">
        <f>'Historical Financials'!M55</f>
        <v>20439</v>
      </c>
      <c r="N58" s="80">
        <f>'Historical Financials'!N55</f>
        <v>20010</v>
      </c>
      <c r="O58" s="80">
        <f>'Historical Financials'!O55</f>
        <v>20039</v>
      </c>
      <c r="P58" s="80">
        <f>'Historical Financials'!P55</f>
        <v>19102</v>
      </c>
      <c r="Q58" s="80">
        <f>'Historical Financials'!Q55</f>
        <v>18821</v>
      </c>
      <c r="R58" s="80">
        <f>'Historical Financials'!R55</f>
        <v>18817</v>
      </c>
      <c r="S58" s="80">
        <f>'Historical Financials'!S55</f>
        <v>19104</v>
      </c>
      <c r="T58" s="10"/>
      <c r="U58" s="10">
        <f>N58</f>
        <v>20010</v>
      </c>
      <c r="V58" s="10">
        <f>O58</f>
        <v>20039</v>
      </c>
      <c r="W58" s="10">
        <f>P58</f>
        <v>19102</v>
      </c>
      <c r="X58" s="10">
        <f t="shared" ref="X58:X63" si="136">O58</f>
        <v>20039</v>
      </c>
      <c r="Y58" s="10">
        <f t="shared" ref="Y58:Y63" si="137">P58</f>
        <v>19102</v>
      </c>
      <c r="Z58" s="10">
        <f t="shared" ref="Z58:Z63" si="138">Q58</f>
        <v>18821</v>
      </c>
      <c r="AA58" s="10">
        <f t="shared" ref="AA58:AA63" si="139">R58</f>
        <v>18817</v>
      </c>
      <c r="AB58" s="10">
        <f t="shared" ref="AB58:AB63" si="140">S58</f>
        <v>19104</v>
      </c>
    </row>
    <row r="59" spans="1:28" ht="12.75" customHeight="1">
      <c r="B59" s="8" t="s">
        <v>109</v>
      </c>
      <c r="C59" s="80">
        <f>'Historical Financials'!C56</f>
        <v>1206</v>
      </c>
      <c r="D59" s="80">
        <f>'Historical Financials'!D56</f>
        <v>1336</v>
      </c>
      <c r="E59" s="80">
        <f>'Historical Financials'!E56</f>
        <v>5301</v>
      </c>
      <c r="F59" s="80">
        <f>'Historical Financials'!F56</f>
        <v>5957</v>
      </c>
      <c r="G59" s="80">
        <f>'Historical Financials'!G56</f>
        <v>6087</v>
      </c>
      <c r="I59" s="80">
        <f>'Historical Financials'!I56</f>
        <v>5325</v>
      </c>
      <c r="J59" s="80">
        <f>'Historical Financials'!J56</f>
        <v>5473</v>
      </c>
      <c r="K59" s="80">
        <f>'Historical Financials'!K56</f>
        <v>5810</v>
      </c>
      <c r="L59" s="80">
        <f>'Historical Financials'!L56</f>
        <v>5957</v>
      </c>
      <c r="M59" s="80">
        <f>'Historical Financials'!M56</f>
        <v>5937</v>
      </c>
      <c r="N59" s="80">
        <f>'Historical Financials'!N56</f>
        <v>6043</v>
      </c>
      <c r="O59" s="80">
        <f>'Historical Financials'!O56</f>
        <v>6158</v>
      </c>
      <c r="P59" s="80">
        <f>'Historical Financials'!P56</f>
        <v>6087</v>
      </c>
      <c r="Q59" s="80">
        <f>'Historical Financials'!Q56</f>
        <v>6211</v>
      </c>
      <c r="R59" s="80">
        <f>'Historical Financials'!R56</f>
        <v>6413</v>
      </c>
      <c r="S59" s="80">
        <f>'Historical Financials'!S56</f>
        <v>6517</v>
      </c>
      <c r="T59" s="10"/>
      <c r="U59" s="10">
        <f>N59</f>
        <v>6043</v>
      </c>
      <c r="V59" s="10">
        <f>O59</f>
        <v>6158</v>
      </c>
      <c r="W59" s="10">
        <f>P59</f>
        <v>6087</v>
      </c>
      <c r="X59" s="10">
        <f t="shared" si="136"/>
        <v>6158</v>
      </c>
      <c r="Y59" s="10">
        <f t="shared" si="137"/>
        <v>6087</v>
      </c>
      <c r="Z59" s="10">
        <f t="shared" si="138"/>
        <v>6211</v>
      </c>
      <c r="AA59" s="10">
        <f t="shared" si="139"/>
        <v>6413</v>
      </c>
      <c r="AB59" s="10">
        <f t="shared" si="140"/>
        <v>6517</v>
      </c>
    </row>
    <row r="60" spans="1:28" ht="12.75" customHeight="1">
      <c r="B60" s="8" t="s">
        <v>112</v>
      </c>
      <c r="C60" s="80">
        <f>'Historical Financials'!C63</f>
        <v>397</v>
      </c>
      <c r="D60" s="80">
        <f>'Historical Financials'!D63</f>
        <v>412</v>
      </c>
      <c r="E60" s="80">
        <f>'Historical Financials'!E63</f>
        <v>1454</v>
      </c>
      <c r="F60" s="80">
        <f>'Historical Financials'!F63</f>
        <v>1260</v>
      </c>
      <c r="G60" s="80">
        <f>'Historical Financials'!G63</f>
        <v>1055</v>
      </c>
      <c r="I60" s="80">
        <f>'Historical Financials'!I63</f>
        <v>1123</v>
      </c>
      <c r="J60" s="80">
        <f>'Historical Financials'!J63</f>
        <v>1689</v>
      </c>
      <c r="K60" s="80">
        <f>'Historical Financials'!K63</f>
        <v>1329</v>
      </c>
      <c r="L60" s="80">
        <f>'Historical Financials'!L63</f>
        <v>1260</v>
      </c>
      <c r="M60" s="80">
        <f>'Historical Financials'!M63</f>
        <v>1245</v>
      </c>
      <c r="N60" s="80">
        <f>'Historical Financials'!N63</f>
        <v>1151</v>
      </c>
      <c r="O60" s="80">
        <f>'Historical Financials'!O63</f>
        <v>1120</v>
      </c>
      <c r="P60" s="80">
        <f>'Historical Financials'!P63</f>
        <v>1055</v>
      </c>
      <c r="Q60" s="80">
        <f>'Historical Financials'!Q63</f>
        <v>1008</v>
      </c>
      <c r="R60" s="80">
        <f>'Historical Financials'!R63</f>
        <v>1074</v>
      </c>
      <c r="S60" s="80">
        <f>'Historical Financials'!S63</f>
        <v>1083</v>
      </c>
      <c r="T60" s="10"/>
      <c r="U60" s="10">
        <f>N60</f>
        <v>1151</v>
      </c>
      <c r="V60" s="10">
        <f>O60</f>
        <v>1120</v>
      </c>
      <c r="W60" s="10">
        <f>P60</f>
        <v>1055</v>
      </c>
      <c r="X60" s="10">
        <f t="shared" si="136"/>
        <v>1120</v>
      </c>
      <c r="Y60" s="10">
        <f t="shared" si="137"/>
        <v>1055</v>
      </c>
      <c r="Z60" s="10">
        <f t="shared" si="138"/>
        <v>1008</v>
      </c>
      <c r="AA60" s="10">
        <f t="shared" si="139"/>
        <v>1074</v>
      </c>
      <c r="AB60" s="10">
        <f t="shared" si="140"/>
        <v>1083</v>
      </c>
    </row>
    <row r="61" spans="1:28" ht="12.75" customHeight="1">
      <c r="B61" s="8" t="s">
        <v>113</v>
      </c>
      <c r="C61" s="80">
        <f>'Historical Financials'!C65</f>
        <v>557</v>
      </c>
      <c r="D61" s="80">
        <f>'Historical Financials'!D65</f>
        <v>478</v>
      </c>
      <c r="E61" s="80">
        <f>'Historical Financials'!E65</f>
        <v>1694</v>
      </c>
      <c r="F61" s="80">
        <f>'Historical Financials'!F65</f>
        <v>1924</v>
      </c>
      <c r="G61" s="80">
        <f>'Historical Financials'!G65</f>
        <v>1569</v>
      </c>
      <c r="H61" s="80"/>
      <c r="I61" s="80">
        <f>'Historical Financials'!I65</f>
        <v>1603</v>
      </c>
      <c r="J61" s="80">
        <f>'Historical Financials'!J65</f>
        <v>1548</v>
      </c>
      <c r="K61" s="80">
        <f>'Historical Financials'!K65</f>
        <v>1917</v>
      </c>
      <c r="L61" s="80">
        <f>'Historical Financials'!L65</f>
        <v>1924</v>
      </c>
      <c r="M61" s="80">
        <f>'Historical Financials'!M65</f>
        <v>1993</v>
      </c>
      <c r="N61" s="80">
        <f>'Historical Financials'!N65</f>
        <v>2022</v>
      </c>
      <c r="O61" s="80">
        <f>'Historical Financials'!O65</f>
        <v>1530</v>
      </c>
      <c r="P61" s="80">
        <f>'Historical Financials'!P65</f>
        <v>1569</v>
      </c>
      <c r="Q61" s="80">
        <f>'Historical Financials'!Q65</f>
        <v>1600</v>
      </c>
      <c r="R61" s="80">
        <f>'Historical Financials'!R65</f>
        <v>1527</v>
      </c>
      <c r="S61" s="80">
        <f>'Historical Financials'!S65</f>
        <v>1649</v>
      </c>
      <c r="U61" s="10">
        <f>N61</f>
        <v>2022</v>
      </c>
      <c r="V61" s="10">
        <f>O61</f>
        <v>1530</v>
      </c>
      <c r="W61" s="10">
        <f>P61</f>
        <v>1569</v>
      </c>
      <c r="X61" s="10">
        <f t="shared" si="136"/>
        <v>1530</v>
      </c>
      <c r="Y61" s="10">
        <f t="shared" si="137"/>
        <v>1569</v>
      </c>
      <c r="Z61" s="10">
        <f t="shared" si="138"/>
        <v>1600</v>
      </c>
      <c r="AA61" s="10">
        <f t="shared" si="139"/>
        <v>1527</v>
      </c>
      <c r="AB61" s="10">
        <f t="shared" si="140"/>
        <v>1649</v>
      </c>
    </row>
    <row r="62" spans="1:28" ht="12.75" customHeight="1">
      <c r="B62" s="8" t="s">
        <v>44</v>
      </c>
      <c r="C62" s="80">
        <f>'Historical Financials'!C67</f>
        <v>3082</v>
      </c>
      <c r="D62" s="80">
        <f>'Historical Financials'!D67</f>
        <v>3459</v>
      </c>
      <c r="E62" s="80">
        <f>'Historical Financials'!E67</f>
        <v>15017</v>
      </c>
      <c r="F62" s="80">
        <f>'Historical Financials'!F67</f>
        <v>15332</v>
      </c>
      <c r="G62" s="80">
        <f>'Historical Financials'!G67</f>
        <v>15810</v>
      </c>
      <c r="H62" s="80"/>
      <c r="I62" s="80">
        <f>'Historical Financials'!I67</f>
        <v>16380</v>
      </c>
      <c r="J62" s="80">
        <f>'Historical Financials'!J67</f>
        <v>16906</v>
      </c>
      <c r="K62" s="80">
        <f>'Historical Financials'!K67</f>
        <v>14588</v>
      </c>
      <c r="L62" s="80">
        <f>'Historical Financials'!L67</f>
        <v>15332</v>
      </c>
      <c r="M62" s="80">
        <f>'Historical Financials'!M67</f>
        <v>16956</v>
      </c>
      <c r="N62" s="80">
        <f>'Historical Financials'!N67</f>
        <v>17768</v>
      </c>
      <c r="O62" s="80">
        <f>'Historical Financials'!O67</f>
        <v>15695</v>
      </c>
      <c r="P62" s="80">
        <f>'Historical Financials'!P67</f>
        <v>15810</v>
      </c>
      <c r="Q62" s="80">
        <f>'Historical Financials'!Q67</f>
        <v>15286</v>
      </c>
      <c r="R62" s="80">
        <f>'Historical Financials'!R67</f>
        <v>13040</v>
      </c>
      <c r="S62" s="80">
        <f>'Historical Financials'!S67</f>
        <v>12163</v>
      </c>
      <c r="U62" s="10">
        <f>N62</f>
        <v>17768</v>
      </c>
      <c r="V62" s="10">
        <f>O62</f>
        <v>15695</v>
      </c>
      <c r="W62" s="10">
        <f>P62</f>
        <v>15810</v>
      </c>
      <c r="X62" s="10">
        <f t="shared" si="136"/>
        <v>15695</v>
      </c>
      <c r="Y62" s="10">
        <f t="shared" si="137"/>
        <v>15810</v>
      </c>
      <c r="Z62" s="10">
        <f t="shared" si="138"/>
        <v>15286</v>
      </c>
      <c r="AA62" s="10">
        <f t="shared" si="139"/>
        <v>13040</v>
      </c>
      <c r="AB62" s="10">
        <f t="shared" si="140"/>
        <v>12163</v>
      </c>
    </row>
    <row r="63" spans="1:28" ht="12.75" customHeight="1">
      <c r="B63" s="8" t="s">
        <v>15</v>
      </c>
      <c r="C63" s="80">
        <f>'Historical Financials'!C73</f>
        <v>21704</v>
      </c>
      <c r="D63" s="80">
        <f>'Historical Financials'!D73</f>
        <v>21031</v>
      </c>
      <c r="E63" s="80">
        <f>'Historical Financials'!E73</f>
        <v>85334</v>
      </c>
      <c r="F63" s="80">
        <f>'Historical Financials'!F73</f>
        <v>76285</v>
      </c>
      <c r="G63" s="80">
        <f>'Historical Financials'!G73</f>
        <v>69622</v>
      </c>
      <c r="H63" s="80"/>
      <c r="I63" s="80">
        <f>'Historical Financials'!I73</f>
        <v>82742</v>
      </c>
      <c r="J63" s="80">
        <f>'Historical Financials'!J73</f>
        <v>81833</v>
      </c>
      <c r="K63" s="80">
        <f>'Historical Financials'!K73</f>
        <v>77607</v>
      </c>
      <c r="L63" s="80">
        <f>'Historical Financials'!L73</f>
        <v>76285</v>
      </c>
      <c r="M63" s="80">
        <f>'Historical Financials'!M73</f>
        <v>74525</v>
      </c>
      <c r="N63" s="80">
        <f>'Historical Financials'!N73</f>
        <v>72614</v>
      </c>
      <c r="O63" s="80">
        <f>'Historical Financials'!O73</f>
        <v>70159</v>
      </c>
      <c r="P63" s="80">
        <f>'Historical Financials'!P73</f>
        <v>69622</v>
      </c>
      <c r="Q63" s="80">
        <f>'Historical Financials'!Q73</f>
        <v>66508</v>
      </c>
      <c r="R63" s="80">
        <f>'Historical Financials'!R73</f>
        <v>64381</v>
      </c>
      <c r="S63" s="80">
        <f>'Historical Financials'!S73</f>
        <v>63214</v>
      </c>
      <c r="U63" s="10">
        <f>N63</f>
        <v>72614</v>
      </c>
      <c r="V63" s="10">
        <f>O63</f>
        <v>70159</v>
      </c>
      <c r="W63" s="10">
        <f>P63</f>
        <v>69622</v>
      </c>
      <c r="X63" s="10">
        <f t="shared" si="136"/>
        <v>70159</v>
      </c>
      <c r="Y63" s="10">
        <f t="shared" si="137"/>
        <v>69622</v>
      </c>
      <c r="Z63" s="10">
        <f t="shared" si="138"/>
        <v>66508</v>
      </c>
      <c r="AA63" s="10">
        <f t="shared" si="139"/>
        <v>64381</v>
      </c>
      <c r="AB63" s="10">
        <f t="shared" si="140"/>
        <v>63214</v>
      </c>
    </row>
    <row r="64" spans="1:28" ht="5.0999999999999996" customHeight="1">
      <c r="G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 spans="1:28">
      <c r="B65" s="32" t="s">
        <v>95</v>
      </c>
      <c r="G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 spans="1:28">
      <c r="B66" s="8" t="s">
        <v>96</v>
      </c>
      <c r="C66" s="80">
        <f>'Historical Financials'!C66</f>
        <v>335</v>
      </c>
      <c r="D66" s="80">
        <f>'Historical Financials'!D66</f>
        <v>339</v>
      </c>
      <c r="E66" s="80">
        <f>'Historical Financials'!E66</f>
        <v>365</v>
      </c>
      <c r="F66" s="80">
        <f>'Historical Financials'!F66</f>
        <v>1780</v>
      </c>
      <c r="G66" s="80">
        <f>'Historical Financials'!G66</f>
        <v>2748</v>
      </c>
      <c r="I66" s="80">
        <f>'Historical Financials'!I66</f>
        <v>3496</v>
      </c>
      <c r="J66" s="80">
        <f>'Historical Financials'!J66</f>
        <v>3001</v>
      </c>
      <c r="K66" s="80">
        <f>'Historical Financials'!K66</f>
        <v>1302</v>
      </c>
      <c r="L66" s="80">
        <f>'Historical Financials'!L66</f>
        <v>1780</v>
      </c>
      <c r="M66" s="80">
        <f>'Historical Financials'!M66</f>
        <v>3430</v>
      </c>
      <c r="N66" s="80">
        <f>'Historical Financials'!N66</f>
        <v>3669</v>
      </c>
      <c r="O66" s="80">
        <f>'Historical Financials'!O66</f>
        <v>3043</v>
      </c>
      <c r="P66" s="80">
        <f>'Historical Financials'!P66</f>
        <v>2748</v>
      </c>
      <c r="Q66" s="80">
        <f>'Historical Financials'!Q66</f>
        <v>2779</v>
      </c>
      <c r="R66" s="80">
        <f>'Historical Financials'!R66</f>
        <v>221</v>
      </c>
      <c r="S66" s="80">
        <f>'Historical Financials'!S66</f>
        <v>139</v>
      </c>
      <c r="U66" s="10">
        <f>N66</f>
        <v>3669</v>
      </c>
      <c r="V66" s="10">
        <f>O66</f>
        <v>3043</v>
      </c>
      <c r="W66" s="10">
        <f>P66</f>
        <v>2748</v>
      </c>
      <c r="X66" s="10">
        <f t="shared" ref="X66:X67" si="141">O66</f>
        <v>3043</v>
      </c>
      <c r="Y66" s="10">
        <f t="shared" ref="Y66:Y67" si="142">P66</f>
        <v>2748</v>
      </c>
      <c r="Z66" s="10">
        <f t="shared" ref="Z66:Z67" si="143">Q66</f>
        <v>2779</v>
      </c>
      <c r="AA66" s="10">
        <f t="shared" ref="AA66:AA67" si="144">R66</f>
        <v>221</v>
      </c>
      <c r="AB66" s="10">
        <f t="shared" ref="AB66:AB67" si="145">S66</f>
        <v>139</v>
      </c>
    </row>
    <row r="67" spans="1:28">
      <c r="B67" s="8" t="s">
        <v>97</v>
      </c>
      <c r="C67" s="80">
        <f>'Historical Financials'!C70</f>
        <v>15069</v>
      </c>
      <c r="D67" s="80">
        <f>'Historical Financials'!D70</f>
        <v>14420</v>
      </c>
      <c r="E67" s="80">
        <f>'Historical Financials'!E70</f>
        <v>48634</v>
      </c>
      <c r="F67" s="80">
        <f>'Historical Financials'!F70</f>
        <v>41889</v>
      </c>
      <c r="G67" s="80">
        <f>'Historical Financials'!G70</f>
        <v>36757</v>
      </c>
      <c r="I67" s="80">
        <f>'Historical Financials'!I70</f>
        <v>45434</v>
      </c>
      <c r="J67" s="80">
        <f>'Historical Financials'!J70</f>
        <v>44276</v>
      </c>
      <c r="K67" s="80">
        <f>'Historical Financials'!K70</f>
        <v>43498</v>
      </c>
      <c r="L67" s="80">
        <f>'Historical Financials'!L70</f>
        <v>41889</v>
      </c>
      <c r="M67" s="80">
        <f>'Historical Financials'!M70</f>
        <v>39148</v>
      </c>
      <c r="N67" s="80">
        <f>'Historical Financials'!N70</f>
        <v>37289</v>
      </c>
      <c r="O67" s="80">
        <f>'Historical Financials'!O70</f>
        <v>37166</v>
      </c>
      <c r="P67" s="80">
        <f>'Historical Financials'!P70</f>
        <v>36757</v>
      </c>
      <c r="Q67" s="80">
        <f>'Historical Financials'!Q70</f>
        <v>34647</v>
      </c>
      <c r="R67" s="80">
        <f>'Historical Financials'!R70</f>
        <v>34411</v>
      </c>
      <c r="S67" s="80">
        <f>'Historical Financials'!S70</f>
        <v>33382</v>
      </c>
      <c r="U67" s="10">
        <f>N67</f>
        <v>37289</v>
      </c>
      <c r="V67" s="10">
        <f>O67</f>
        <v>37166</v>
      </c>
      <c r="W67" s="10">
        <f>P67</f>
        <v>36757</v>
      </c>
      <c r="X67" s="10">
        <f t="shared" si="141"/>
        <v>37166</v>
      </c>
      <c r="Y67" s="10">
        <f t="shared" si="142"/>
        <v>36757</v>
      </c>
      <c r="Z67" s="10">
        <f t="shared" si="143"/>
        <v>34647</v>
      </c>
      <c r="AA67" s="10">
        <f t="shared" si="144"/>
        <v>34411</v>
      </c>
      <c r="AB67" s="10">
        <f t="shared" si="145"/>
        <v>33382</v>
      </c>
    </row>
    <row r="68" spans="1:28">
      <c r="G68" s="10"/>
    </row>
    <row r="69" spans="1:28">
      <c r="B69" s="130" t="s">
        <v>225</v>
      </c>
      <c r="C69" s="106">
        <f>SUM(C66:C67)</f>
        <v>15404</v>
      </c>
      <c r="D69" s="106">
        <f t="shared" ref="D69:S69" si="146">SUM(D66:D67)</f>
        <v>14759</v>
      </c>
      <c r="E69" s="106">
        <f t="shared" si="146"/>
        <v>48999</v>
      </c>
      <c r="F69" s="106">
        <f t="shared" si="146"/>
        <v>43669</v>
      </c>
      <c r="G69" s="106">
        <f t="shared" si="146"/>
        <v>39505</v>
      </c>
      <c r="I69" s="106">
        <f t="shared" si="146"/>
        <v>48930</v>
      </c>
      <c r="J69" s="106">
        <f t="shared" si="146"/>
        <v>47277</v>
      </c>
      <c r="K69" s="106">
        <f t="shared" si="146"/>
        <v>44800</v>
      </c>
      <c r="L69" s="106">
        <f t="shared" si="146"/>
        <v>43669</v>
      </c>
      <c r="M69" s="106">
        <f t="shared" si="146"/>
        <v>42578</v>
      </c>
      <c r="N69" s="106">
        <f t="shared" si="146"/>
        <v>40958</v>
      </c>
      <c r="O69" s="106">
        <f t="shared" si="146"/>
        <v>40209</v>
      </c>
      <c r="P69" s="106">
        <f t="shared" si="146"/>
        <v>39505</v>
      </c>
      <c r="Q69" s="106">
        <f t="shared" si="146"/>
        <v>37426</v>
      </c>
      <c r="R69" s="106">
        <f t="shared" si="146"/>
        <v>34632</v>
      </c>
      <c r="S69" s="106">
        <f t="shared" si="146"/>
        <v>33521</v>
      </c>
      <c r="U69" s="10">
        <f>N69</f>
        <v>40958</v>
      </c>
      <c r="V69" s="10">
        <f>O69</f>
        <v>40209</v>
      </c>
      <c r="W69" s="10">
        <f>P69</f>
        <v>39505</v>
      </c>
      <c r="X69" s="10">
        <f t="shared" ref="X69" si="147">O69</f>
        <v>40209</v>
      </c>
      <c r="Y69" s="10">
        <f t="shared" ref="Y69" si="148">P69</f>
        <v>39505</v>
      </c>
      <c r="Z69" s="10">
        <f t="shared" ref="Z69" si="149">Q69</f>
        <v>37426</v>
      </c>
      <c r="AA69" s="10">
        <f t="shared" ref="AA69" si="150">R69</f>
        <v>34632</v>
      </c>
      <c r="AB69" s="10">
        <f t="shared" ref="AB69" si="151">S69</f>
        <v>33521</v>
      </c>
    </row>
    <row r="70" spans="1:28" ht="12.75" customHeight="1">
      <c r="B70" s="12" t="s">
        <v>21</v>
      </c>
      <c r="C70" s="13">
        <f>SUM(C69:C69)</f>
        <v>15404</v>
      </c>
      <c r="D70" s="13">
        <f>SUM(D69:D69)</f>
        <v>14759</v>
      </c>
      <c r="E70" s="13">
        <f>SUM(E69:E69)</f>
        <v>48999</v>
      </c>
      <c r="F70" s="13">
        <f>SUM(F69:F69)</f>
        <v>43669</v>
      </c>
      <c r="G70" s="13">
        <f>SUM(G69:G69)</f>
        <v>39505</v>
      </c>
      <c r="I70" s="13">
        <f>SUM(I69:I69)</f>
        <v>48930</v>
      </c>
      <c r="J70" s="13">
        <f>SUM(J69:J69)</f>
        <v>47277</v>
      </c>
      <c r="K70" s="13">
        <f>SUM(K69:K69)</f>
        <v>44800</v>
      </c>
      <c r="L70" s="13">
        <f>SUM(L69:L69)</f>
        <v>43669</v>
      </c>
      <c r="M70" s="13">
        <f>SUM(M69:M69)</f>
        <v>42578</v>
      </c>
      <c r="N70" s="13">
        <f>SUM(N69:N69)</f>
        <v>40958</v>
      </c>
      <c r="O70" s="13">
        <f>SUM(O69:O69)</f>
        <v>40209</v>
      </c>
      <c r="P70" s="13">
        <f>SUM(P69:P69)</f>
        <v>39505</v>
      </c>
      <c r="Q70" s="13">
        <f>SUM(Q69:Q69)</f>
        <v>37426</v>
      </c>
      <c r="R70" s="13">
        <f>SUM(R69:R69)</f>
        <v>34632</v>
      </c>
      <c r="S70" s="13">
        <f>SUM(S69:S69)</f>
        <v>33521</v>
      </c>
      <c r="U70" s="13">
        <f>SUM(U69:U69)</f>
        <v>40958</v>
      </c>
      <c r="V70" s="13">
        <f>SUM(V69:V69)</f>
        <v>40209</v>
      </c>
      <c r="W70" s="13">
        <f>SUM(W69:W69)</f>
        <v>39505</v>
      </c>
      <c r="X70" s="13">
        <f>SUM(X69:X69)</f>
        <v>40209</v>
      </c>
      <c r="Y70" s="13">
        <f>SUM(Y69:Y69)</f>
        <v>39505</v>
      </c>
      <c r="Z70" s="13">
        <f>SUM(Z69:Z69)</f>
        <v>37426</v>
      </c>
      <c r="AA70" s="13">
        <f>SUM(AA69:AA69)</f>
        <v>34632</v>
      </c>
      <c r="AB70" s="13">
        <f>SUM(AB69:AB69)</f>
        <v>33521</v>
      </c>
    </row>
    <row r="71" spans="1:28" ht="5.0999999999999996" customHeight="1"/>
    <row r="72" spans="1:28" ht="12.75" customHeight="1">
      <c r="B72" s="8" t="s">
        <v>45</v>
      </c>
      <c r="C72" s="80">
        <f>'Historical Financials'!C89</f>
        <v>12000</v>
      </c>
      <c r="D72" s="80">
        <f>'Historical Financials'!D89</f>
        <v>13033</v>
      </c>
      <c r="E72" s="80">
        <f>'Historical Financials'!E89</f>
        <v>48349</v>
      </c>
      <c r="F72" s="80">
        <f>'Historical Financials'!F89</f>
        <v>46307</v>
      </c>
      <c r="G72" s="80">
        <f>'Historical Financials'!G89</f>
        <v>34829</v>
      </c>
      <c r="I72" s="80">
        <f>'Historical Financials'!I89</f>
        <v>47533</v>
      </c>
      <c r="J72" s="80">
        <f>'Historical Financials'!J89</f>
        <v>46479</v>
      </c>
      <c r="K72" s="80">
        <f>'Historical Financials'!K89</f>
        <v>45861</v>
      </c>
      <c r="L72" s="80">
        <f>'Historical Financials'!L89</f>
        <v>46307</v>
      </c>
      <c r="M72" s="80">
        <f>'Historical Financials'!M89</f>
        <v>45115</v>
      </c>
      <c r="N72" s="80">
        <f>'Historical Financials'!N89</f>
        <v>35297</v>
      </c>
      <c r="O72" s="80">
        <f>'Historical Financials'!O89</f>
        <v>36057</v>
      </c>
      <c r="P72" s="80">
        <f>'Historical Financials'!P89</f>
        <v>34829</v>
      </c>
      <c r="Q72" s="80">
        <f>'Historical Financials'!Q89</f>
        <v>35148</v>
      </c>
      <c r="R72" s="80">
        <f>'Historical Financials'!R89</f>
        <v>37323</v>
      </c>
      <c r="S72" s="80">
        <f>'Historical Financials'!S89</f>
        <v>37282</v>
      </c>
      <c r="U72" s="10">
        <f>N72</f>
        <v>35297</v>
      </c>
      <c r="V72" s="10">
        <f>O72</f>
        <v>36057</v>
      </c>
      <c r="W72" s="10">
        <f>P72</f>
        <v>34829</v>
      </c>
      <c r="X72" s="10">
        <f t="shared" ref="X72" si="152">O72</f>
        <v>36057</v>
      </c>
      <c r="Y72" s="10">
        <f t="shared" ref="Y72" si="153">P72</f>
        <v>34829</v>
      </c>
      <c r="Z72" s="10">
        <f t="shared" ref="Z72" si="154">Q72</f>
        <v>35148</v>
      </c>
      <c r="AA72" s="10">
        <f t="shared" ref="AA72" si="155">R72</f>
        <v>37323</v>
      </c>
      <c r="AB72" s="10">
        <f>S72</f>
        <v>37282</v>
      </c>
    </row>
    <row r="73" spans="1:28" ht="12.75" customHeight="1">
      <c r="B73" s="12" t="s">
        <v>46</v>
      </c>
      <c r="C73" s="13">
        <f t="shared" ref="C73" si="156">SUM(C70:C72)</f>
        <v>27404</v>
      </c>
      <c r="D73" s="13">
        <f t="shared" ref="D73:G73" si="157">SUM(D70:D72)</f>
        <v>27792</v>
      </c>
      <c r="E73" s="13">
        <f t="shared" si="157"/>
        <v>97348</v>
      </c>
      <c r="F73" s="13">
        <f t="shared" si="157"/>
        <v>89976</v>
      </c>
      <c r="G73" s="13">
        <f t="shared" si="157"/>
        <v>74334</v>
      </c>
      <c r="I73" s="13">
        <f>SUM(I70:I72)</f>
        <v>96463</v>
      </c>
      <c r="J73" s="13">
        <f>SUM(J70:J72)</f>
        <v>93756</v>
      </c>
      <c r="K73" s="13">
        <f>SUM(K70:K72)</f>
        <v>90661</v>
      </c>
      <c r="L73" s="13">
        <f>SUM(L70:L72)</f>
        <v>89976</v>
      </c>
      <c r="M73" s="13">
        <f t="shared" ref="M73:R73" si="158">SUM(M70:M72)</f>
        <v>87693</v>
      </c>
      <c r="N73" s="13">
        <f t="shared" si="158"/>
        <v>76255</v>
      </c>
      <c r="O73" s="13">
        <f t="shared" si="158"/>
        <v>76266</v>
      </c>
      <c r="P73" s="13">
        <f t="shared" si="158"/>
        <v>74334</v>
      </c>
      <c r="Q73" s="13">
        <f t="shared" si="158"/>
        <v>72574</v>
      </c>
      <c r="R73" s="13">
        <f t="shared" si="158"/>
        <v>71955</v>
      </c>
      <c r="S73" s="13">
        <f t="shared" ref="S73" si="159">SUM(S70:S72)</f>
        <v>70803</v>
      </c>
      <c r="U73" s="13">
        <f t="shared" ref="U73:Z73" si="160">SUM(U70:U72)</f>
        <v>76255</v>
      </c>
      <c r="V73" s="13">
        <f t="shared" si="160"/>
        <v>76266</v>
      </c>
      <c r="W73" s="13">
        <f t="shared" si="160"/>
        <v>74334</v>
      </c>
      <c r="X73" s="13">
        <f t="shared" si="160"/>
        <v>76266</v>
      </c>
      <c r="Y73" s="13">
        <f t="shared" si="160"/>
        <v>74334</v>
      </c>
      <c r="Z73" s="13">
        <f t="shared" si="160"/>
        <v>72574</v>
      </c>
      <c r="AA73" s="13">
        <f>SUM(AA70:AA72)</f>
        <v>71955</v>
      </c>
      <c r="AB73" s="13">
        <f>SUM(AB70:AB72)</f>
        <v>70803</v>
      </c>
    </row>
    <row r="74" spans="1:28" ht="5.0999999999999996" customHeight="1"/>
    <row r="75" spans="1:28" ht="12.75" customHeight="1">
      <c r="A75" s="5"/>
      <c r="B75" s="31" t="s">
        <v>68</v>
      </c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 spans="1:28" ht="5.0999999999999996" customHeight="1"/>
    <row r="77" spans="1:28" ht="12.75" customHeight="1">
      <c r="B77" s="29" t="s">
        <v>98</v>
      </c>
      <c r="C77" s="134">
        <f>C70/C32</f>
        <v>3.6684924982138605</v>
      </c>
      <c r="D77" s="134">
        <f>D70/D32</f>
        <v>3.9536565764800429</v>
      </c>
      <c r="E77" s="134">
        <f>E70/E32</f>
        <v>11.924799221221708</v>
      </c>
      <c r="F77" s="134">
        <f>F70/F32</f>
        <v>5.7466771943676802</v>
      </c>
      <c r="G77" s="134">
        <f>G70/G32</f>
        <v>5.1898318444561218</v>
      </c>
      <c r="I77" s="136"/>
      <c r="J77" s="136"/>
      <c r="K77" s="136"/>
      <c r="L77" s="134">
        <f>SUM(L70/SUM(I32:L32))</f>
        <v>5.7466771943676802</v>
      </c>
      <c r="M77" s="134">
        <f>SUM(M70/SUM(J32:M32))</f>
        <v>5.5803407601572736</v>
      </c>
      <c r="N77" s="134">
        <f>SUM(N70/SUM(K32:N32))</f>
        <v>5.43209549071618</v>
      </c>
      <c r="O77" s="134">
        <f>SUM(O70/SUM(L32:O32))</f>
        <v>5.5583356372684545</v>
      </c>
      <c r="P77" s="134">
        <f>SUM(P70/SUM(M32:P32))</f>
        <v>5.1898318444561218</v>
      </c>
      <c r="Q77" s="134">
        <f>SUM(Q70/SUM(N32:Q32))</f>
        <v>4.9115485564304464</v>
      </c>
      <c r="R77" s="134">
        <f>SUM(R70/SUM(O32:R32))</f>
        <v>4.3529411764705879</v>
      </c>
      <c r="S77" s="134">
        <f>SUM(S70/SUM(P32:S32))</f>
        <v>4.1373734880276478</v>
      </c>
      <c r="T77" s="134"/>
      <c r="U77" s="134">
        <f>U70/U32</f>
        <v>5.389919726279774</v>
      </c>
      <c r="V77" s="134">
        <f>V70/V32</f>
        <v>5.2698558322411531</v>
      </c>
      <c r="W77" s="134">
        <f>W70/W32</f>
        <v>5.2393899204244034</v>
      </c>
      <c r="X77" s="134">
        <f>X70/X32</f>
        <v>5.5583356372684545</v>
      </c>
      <c r="Y77" s="134">
        <f>Y70/Y32</f>
        <v>5.1898318444561218</v>
      </c>
      <c r="Z77" s="134">
        <f>Z70/Z32</f>
        <v>4.9115485564304464</v>
      </c>
      <c r="AA77" s="134">
        <f>AA70/AA32</f>
        <v>4.3529411764705879</v>
      </c>
      <c r="AB77" s="134">
        <f>AB70/AB32</f>
        <v>4.1373734880276478</v>
      </c>
    </row>
    <row r="78" spans="1:28" ht="12.75" customHeight="1">
      <c r="B78" s="29" t="s">
        <v>99</v>
      </c>
      <c r="C78" s="134">
        <f>SUM(C70-C52)/C32</f>
        <v>3.170516789711836</v>
      </c>
      <c r="D78" s="134">
        <f>SUM(D70-D52)/D32</f>
        <v>2.9075810340208945</v>
      </c>
      <c r="E78" s="134">
        <f>SUM(E70-E52)/E32</f>
        <v>11.016792406911657</v>
      </c>
      <c r="F78" s="134">
        <f>SUM(F70-F52)/F32</f>
        <v>5.2492433214896694</v>
      </c>
      <c r="G78" s="134">
        <f>SUM(G70-G52)/G32</f>
        <v>4.4919863373620599</v>
      </c>
      <c r="I78" s="136"/>
      <c r="J78" s="136"/>
      <c r="K78" s="136"/>
      <c r="L78" s="134">
        <f>SUM(L70-L52)/SUM(I32:L32)</f>
        <v>5.2492433214896694</v>
      </c>
      <c r="M78" s="134">
        <f>SUM(M70-M52)/SUM(J32:M32)</f>
        <v>5.1903014416775886</v>
      </c>
      <c r="N78" s="134">
        <f>SUM(N70-N52)/SUM(K32:N32)</f>
        <v>4.9529177718832891</v>
      </c>
      <c r="O78" s="134">
        <f>SUM(O70-O52)/SUM(L32:O32)</f>
        <v>5.0971799834116673</v>
      </c>
      <c r="P78" s="134">
        <f>SUM(P70-P52)/SUM(M32:P32)</f>
        <v>4.4919863373620599</v>
      </c>
      <c r="Q78" s="134">
        <f>SUM(Q70-Q52)/SUM(N32:Q32)</f>
        <v>4.4039370078740161</v>
      </c>
      <c r="R78" s="134">
        <f>SUM(R70-R52)/SUM(O32:R32)</f>
        <v>3.738562091503268</v>
      </c>
      <c r="S78" s="134">
        <f>SUM(S70-S52)/SUM(P32:S32)</f>
        <v>3.6073808936065168</v>
      </c>
      <c r="T78" s="134"/>
      <c r="U78" s="134">
        <f>SUM(U70-U52)/U32</f>
        <v>4.8924858534017632</v>
      </c>
      <c r="V78" s="134">
        <f>SUM(V70-V52)/V32</f>
        <v>4.879816513761468</v>
      </c>
      <c r="W78" s="134">
        <f>SUM(W70-W52)/W32</f>
        <v>4.7602122015915116</v>
      </c>
      <c r="X78" s="134">
        <f>SUM(X70-X52)/X32</f>
        <v>5.0971799834116673</v>
      </c>
      <c r="Y78" s="134">
        <f>SUM(Y70-Y52)/Y32</f>
        <v>4.4919863373620599</v>
      </c>
      <c r="Z78" s="134">
        <f>SUM(Z70-Z52)/Z32</f>
        <v>4.4039370078740161</v>
      </c>
      <c r="AA78" s="134">
        <f>SUM(AA70-AA52)/AA32</f>
        <v>3.738562091503268</v>
      </c>
      <c r="AB78" s="134">
        <f>SUM(AB70-AB52)/AB32</f>
        <v>3.6073808936065168</v>
      </c>
    </row>
    <row r="79" spans="1:28" ht="12.75" customHeight="1">
      <c r="B79" s="29" t="s">
        <v>100</v>
      </c>
      <c r="C79" s="134">
        <f>C32/-C37</f>
        <v>6.2392273402674592</v>
      </c>
      <c r="D79" s="134">
        <f>D32/-D37</f>
        <v>5.6219879518072293</v>
      </c>
      <c r="E79" s="134">
        <f>E32/-E37</f>
        <v>2.6699155295646522</v>
      </c>
      <c r="F79" s="134">
        <f>F32/-F37</f>
        <v>3.3969602145730891</v>
      </c>
      <c r="G79" s="134">
        <f>G32/-G37</f>
        <v>3.8136272545090182</v>
      </c>
      <c r="I79" s="136"/>
      <c r="J79" s="136"/>
      <c r="K79" s="136"/>
      <c r="L79" s="134" cm="1">
        <f t="array" ref="L79">SUM(I32:L32)/SUM(-I37:L37)</f>
        <v>3.3969602145730891</v>
      </c>
      <c r="M79" s="134" cm="1">
        <f t="array" ref="M79">SUM(J32:M32)/SUM(-J37:M37)</f>
        <v>3.4935897435897436</v>
      </c>
      <c r="N79" s="134" cm="1">
        <f t="array" ref="N79">SUM(K32:N32)/SUM(-K37:N37)</f>
        <v>3.4891254049051366</v>
      </c>
      <c r="O79" s="134" cm="1">
        <f t="array" ref="O79">SUM(L32:O32)/SUM(-L37:O37)</f>
        <v>3.5374083129584353</v>
      </c>
      <c r="P79" s="134" cm="1">
        <f t="array" ref="P79">SUM(M32:P32)/SUM(-M37:P37)</f>
        <v>3.8136272545090182</v>
      </c>
      <c r="Q79" s="134" cm="1">
        <f t="array" ref="Q79">SUM(N32:Q32)/SUM(-N37:Q37)</f>
        <v>4.7714464621164687</v>
      </c>
      <c r="R79" s="134" cm="1">
        <f t="array" ref="R79">SUM(O32:R32)/SUM(-O37:R37)</f>
        <v>4.2636655948553051</v>
      </c>
      <c r="S79" s="134" cm="1">
        <f t="array" ref="S79">SUM(P32:S32)/SUM(-P37:S37)</f>
        <v>4.9889162561576352</v>
      </c>
      <c r="T79" s="134"/>
      <c r="U79" s="134">
        <f>U32/-U37</f>
        <v>3.3969602145730891</v>
      </c>
      <c r="V79" s="134">
        <f>V32/-V37</f>
        <v>3.4935897435897436</v>
      </c>
      <c r="W79" s="134">
        <f>W32/-W37</f>
        <v>3.4891254049051366</v>
      </c>
      <c r="X79" s="134">
        <f>X32/-X37</f>
        <v>3.5374083129584353</v>
      </c>
      <c r="Y79" s="134">
        <f>Y32/-Y37</f>
        <v>3.8136272545090182</v>
      </c>
      <c r="Z79" s="134">
        <f>Z32/-Z37</f>
        <v>4.7714464621164687</v>
      </c>
      <c r="AA79" s="134">
        <f>AA32/-AA37</f>
        <v>4.2636655948553051</v>
      </c>
      <c r="AB79" s="134">
        <f>AB32/-AB37</f>
        <v>4.9889162561576352</v>
      </c>
    </row>
    <row r="80" spans="1:28" ht="12.75" customHeight="1">
      <c r="B80" s="29" t="s">
        <v>101</v>
      </c>
      <c r="C80" s="134" cm="1">
        <f t="array" ref="C80">SUM(C32+C35)/SUM(-C36:C37)</f>
        <v>2.8896499238964992</v>
      </c>
      <c r="D80" s="134" cm="1">
        <f t="array" ref="D80">SUM(D32+D35)/SUM(-D36:D37)</f>
        <v>2.5707727620504972</v>
      </c>
      <c r="E80" s="134" cm="1">
        <f t="array" ref="E80">SUM(E32+E35)/SUM(-E36:E37)</f>
        <v>1.2166796570537801</v>
      </c>
      <c r="F80" s="134" cm="1">
        <f t="array" ref="F80">SUM(F32+F35)/SUM(-F36:F37)</f>
        <v>1.7087299428882241</v>
      </c>
      <c r="G80" s="134" cm="1">
        <f t="array" ref="G80">SUM(G32+G35)/SUM(-G36:G37)</f>
        <v>2.1434544869733032</v>
      </c>
      <c r="I80" s="136"/>
      <c r="J80" s="136"/>
      <c r="K80" s="136"/>
      <c r="L80" s="134" cm="1">
        <f t="array" ref="L80">SUM(I32:L32+I35:L35)/SUM(-I36:L37)</f>
        <v>1.7087299428882241</v>
      </c>
      <c r="M80" s="134" cm="1">
        <f t="array" ref="M80">SUM(J32:M32+J35:M35)/SUM(-J36:M37)</f>
        <v>1.871137026239067</v>
      </c>
      <c r="N80" s="134" cm="1">
        <f t="array" ref="N80">SUM(K32:N32+K35:N35)/SUM(-K36:N37)</f>
        <v>1.9563748079877112</v>
      </c>
      <c r="O80" s="134" cm="1">
        <f t="array" ref="O80">SUM(L32:O32+L35:O35)/SUM(-L36:O37)</f>
        <v>2.0166346769033909</v>
      </c>
      <c r="P80" s="134" cm="1">
        <f t="array" ref="P80">SUM(M32:P32+M35:P35)/SUM(-M36:P37)</f>
        <v>2.1434544869733032</v>
      </c>
      <c r="Q80" s="134" cm="1">
        <f t="array" ref="Q80">SUM(N32:Q32+N35:Q35)/SUM(-N36:Q37)</f>
        <v>2.5377828922132721</v>
      </c>
      <c r="R80" s="134" cm="1">
        <f t="array" ref="R80">SUM(O32:R32+O35:R35)/SUM(-O36:R37)</f>
        <v>2.0506516587677726</v>
      </c>
      <c r="S80" s="134" cm="1">
        <f t="array" ref="S80">SUM(P32:S32+P35:S35)/SUM(-P36:S37)</f>
        <v>2.3700947225981057</v>
      </c>
      <c r="T80" s="134"/>
      <c r="U80" s="134" cm="1">
        <f t="array" ref="U80">SUM(U32+U35)/SUM(-U36:U37)</f>
        <v>1.7087299428882241</v>
      </c>
      <c r="V80" s="134" cm="1">
        <f t="array" ref="V80">SUM(V32+V35)/SUM(-V36:V37)</f>
        <v>1.871137026239067</v>
      </c>
      <c r="W80" s="134" cm="1">
        <f t="array" ref="W80">SUM(W32+W35)/SUM(-W36:W37)</f>
        <v>1.9563748079877112</v>
      </c>
      <c r="X80" s="134" cm="1">
        <f t="array" ref="X80">SUM(X32+X35)/SUM(-X36:X37)</f>
        <v>2.0166346769033909</v>
      </c>
      <c r="Y80" s="134" cm="1">
        <f t="array" ref="Y80">SUM(Y32+Y35)/SUM(-Y36:Y37)</f>
        <v>2.1434544869733032</v>
      </c>
      <c r="Z80" s="134" cm="1">
        <f t="array" ref="Z80">SUM(Z32+Z35)/SUM(-Z36:Z37)</f>
        <v>2.5377828922132721</v>
      </c>
      <c r="AA80" s="134" cm="1">
        <f t="array" ref="AA80">SUM(AA32+AA35)/SUM(-AA36:AA37)</f>
        <v>2.0506516587677726</v>
      </c>
      <c r="AB80" s="134" cm="1">
        <f t="array" ref="AB80">SUM(AB32+AB35)/SUM(-AB36:AB37)</f>
        <v>2.3700947225981057</v>
      </c>
    </row>
    <row r="81" spans="2:28" ht="12.75" customHeight="1">
      <c r="B81" s="29" t="s">
        <v>102</v>
      </c>
      <c r="C81" s="134" cm="1">
        <f t="array" ref="C81">SUM(C32)/SUM(-C35:C37)</f>
        <v>2.4469696969696968</v>
      </c>
      <c r="D81" s="134" cm="1">
        <f t="array" ref="D81">SUM(D32)/SUM(-D35:D37)</f>
        <v>2.2220238095238094</v>
      </c>
      <c r="E81" s="134" cm="1">
        <f t="array" ref="E81">SUM(E32)/SUM(-E35:E37)</f>
        <v>1.1564874753729242</v>
      </c>
      <c r="F81" s="134" cm="1">
        <f t="array" ref="F81">SUM(F32)/SUM(-F35:F37)</f>
        <v>1.5219307029841778</v>
      </c>
      <c r="G81" s="134" cm="1">
        <f t="array" ref="G81">SUM(G32)/SUM(-G35:G37)</f>
        <v>1.8762632487059403</v>
      </c>
      <c r="I81" s="136"/>
      <c r="J81" s="136"/>
      <c r="K81" s="136"/>
      <c r="L81" s="134" cm="1">
        <f t="array" ref="L81">SUM(I32:L32)/SUM(-I35:L37)</f>
        <v>1.5219307029841778</v>
      </c>
      <c r="M81" s="134" cm="1">
        <f t="array" ref="M81">SUM(J32:M32)/SUM(-J35:M37)</f>
        <v>1.6436880654890134</v>
      </c>
      <c r="N81" s="134" cm="1">
        <f t="array" ref="N81">SUM(K32:N32)/SUM(-K35:N37)</f>
        <v>1.7031850011294329</v>
      </c>
      <c r="O81" s="134" cm="1">
        <f t="array" ref="O81">SUM(L32:O32)/SUM(-L35:O37)</f>
        <v>1.7835305719921104</v>
      </c>
      <c r="P81" s="134" cm="1">
        <f t="array" ref="P81">SUM(M32:P32)/SUM(-M35:P37)</f>
        <v>1.8762632487059403</v>
      </c>
      <c r="Q81" s="134" cm="1">
        <f t="array" ref="Q81">SUM(N32:Q32)/SUM(-N35:Q37)</f>
        <v>2.1102187759623372</v>
      </c>
      <c r="R81" s="134" cm="1">
        <f t="array" ref="R81">SUM(O32:R32)/SUM(-O35:R37)</f>
        <v>1.8044908142435927</v>
      </c>
      <c r="S81" s="134" cm="1">
        <f t="array" ref="S81">SUM(P32:S32)/SUM(-P35:S37)</f>
        <v>1.9995064165844028</v>
      </c>
      <c r="T81" s="134"/>
      <c r="U81" s="134" cm="1">
        <f t="array" ref="U81">SUM(U32)/SUM(-U35:U37)</f>
        <v>1.5219307029841778</v>
      </c>
      <c r="V81" s="134" cm="1">
        <f t="array" ref="V81">SUM(V32)/SUM(-V35:V37)</f>
        <v>1.6436880654890134</v>
      </c>
      <c r="W81" s="134" cm="1">
        <f t="array" ref="W81">SUM(W32)/SUM(-W35:W37)</f>
        <v>1.7031850011294329</v>
      </c>
      <c r="X81" s="134" cm="1">
        <f t="array" ref="X81">SUM(X32)/SUM(-X35:X37)</f>
        <v>1.7835305719921104</v>
      </c>
      <c r="Y81" s="134" cm="1">
        <f t="array" ref="Y81">SUM(Y32)/SUM(-Y35:Y37)</f>
        <v>1.8762632487059403</v>
      </c>
      <c r="Z81" s="134" cm="1">
        <f t="array" ref="Z81">SUM(Z32)/SUM(-Z35:Z37)</f>
        <v>2.1102187759623372</v>
      </c>
      <c r="AA81" s="134" cm="1">
        <f t="array" ref="AA81">SUM(AA32)/SUM(-AA35:AA37)</f>
        <v>1.8044908142435927</v>
      </c>
      <c r="AB81" s="134" cm="1">
        <f t="array" ref="AB81">SUM(AB32)/SUM(-AB35:AB37)</f>
        <v>1.9995064165844028</v>
      </c>
    </row>
    <row r="82" spans="2:28" ht="12.75" customHeight="1">
      <c r="B82" s="8" t="s">
        <v>47</v>
      </c>
      <c r="C82" s="134">
        <f t="shared" ref="C82" si="161">C73/C70</f>
        <v>1.7790184367696702</v>
      </c>
      <c r="D82" s="134">
        <f t="shared" ref="D82:G82" si="162">D73/D70</f>
        <v>1.8830544074801816</v>
      </c>
      <c r="E82" s="134">
        <f t="shared" si="162"/>
        <v>1.986734423151493</v>
      </c>
      <c r="F82" s="134">
        <f t="shared" si="162"/>
        <v>2.0604089857793859</v>
      </c>
      <c r="G82" s="134">
        <f t="shared" si="162"/>
        <v>1.8816352360460702</v>
      </c>
      <c r="I82" s="136"/>
      <c r="J82" s="136"/>
      <c r="K82" s="136"/>
      <c r="L82" s="134">
        <f t="shared" ref="L82:S82" si="163">L73/L70</f>
        <v>2.0604089857793859</v>
      </c>
      <c r="M82" s="134">
        <f t="shared" si="163"/>
        <v>2.0595847620837051</v>
      </c>
      <c r="N82" s="134">
        <f t="shared" si="163"/>
        <v>1.8617852434200888</v>
      </c>
      <c r="O82" s="134">
        <f t="shared" si="163"/>
        <v>1.8967395359247929</v>
      </c>
      <c r="P82" s="134">
        <f t="shared" si="163"/>
        <v>1.8816352360460702</v>
      </c>
      <c r="Q82" s="134">
        <f t="shared" si="163"/>
        <v>1.9391332228931759</v>
      </c>
      <c r="R82" s="134">
        <f t="shared" si="163"/>
        <v>2.0777027027027026</v>
      </c>
      <c r="S82" s="134">
        <f t="shared" si="163"/>
        <v>2.112198323439038</v>
      </c>
      <c r="T82" s="134"/>
      <c r="U82" s="134">
        <f t="shared" ref="U82:Z82" si="164">U73/U70</f>
        <v>1.8617852434200888</v>
      </c>
      <c r="V82" s="134">
        <f t="shared" si="164"/>
        <v>1.8967395359247929</v>
      </c>
      <c r="W82" s="134">
        <f t="shared" si="164"/>
        <v>1.8816352360460702</v>
      </c>
      <c r="X82" s="134">
        <f t="shared" si="164"/>
        <v>1.8967395359247929</v>
      </c>
      <c r="Y82" s="134">
        <f t="shared" si="164"/>
        <v>1.8816352360460702</v>
      </c>
      <c r="Z82" s="134">
        <f t="shared" si="164"/>
        <v>1.9391332228931759</v>
      </c>
      <c r="AA82" s="134">
        <f>AA73/AA70</f>
        <v>2.0777027027027026</v>
      </c>
      <c r="AB82" s="134">
        <f>AB73/AB70</f>
        <v>2.112198323439038</v>
      </c>
    </row>
    <row r="83" spans="2:28" ht="5.0999999999999996" customHeight="1" thickBot="1"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</row>
  </sheetData>
  <mergeCells count="1">
    <mergeCell ref="AD2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Segment Analysis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2026-01-13T03:04:26Z</dcterms:modified>
</cp:coreProperties>
</file>