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Felix\Downloads\"/>
    </mc:Choice>
  </mc:AlternateContent>
  <xr:revisionPtr revIDLastSave="0" documentId="8_{AC309E0A-B0B6-4D29-B070-90393B65597E}" xr6:coauthVersionLast="47" xr6:coauthVersionMax="47" xr10:uidLastSave="{00000000-0000-0000-0000-000000000000}"/>
  <bookViews>
    <workbookView xWindow="-120" yWindow="-120" windowWidth="29040" windowHeight="15720" activeTab="1" xr2:uid="{BC9106CE-9107-4097-8948-317996376CB5}"/>
  </bookViews>
  <sheets>
    <sheet name="Base Financials" sheetId="8" r:id="rId1"/>
    <sheet name="3-Statement Model" sheetId="11" r:id="rId2"/>
    <sheet name="FCF" sheetId="9" r:id="rId3"/>
    <sheet name="Revenue Drivers" sheetId="10" r:id="rId4"/>
    <sheet name="Street Consensus" sheetId="13" r:id="rId5"/>
    <sheet name="DCF" sheetId="12" r:id="rId6"/>
  </sheet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14" i="11" l="1"/>
  <c r="L110" i="11"/>
  <c r="K110" i="11"/>
  <c r="J110" i="11"/>
  <c r="I110" i="11"/>
  <c r="H110" i="11"/>
  <c r="H94" i="11" s="1"/>
  <c r="H95" i="11" s="1"/>
  <c r="H66" i="13"/>
  <c r="G66" i="13"/>
  <c r="F66" i="13"/>
  <c r="E66" i="13"/>
  <c r="D66" i="13"/>
  <c r="C66" i="13"/>
  <c r="H65" i="13"/>
  <c r="G65" i="13"/>
  <c r="F65" i="13"/>
  <c r="E65" i="13"/>
  <c r="D65" i="13"/>
  <c r="C65" i="13"/>
  <c r="H64" i="13"/>
  <c r="G64" i="13"/>
  <c r="F64" i="13"/>
  <c r="E64" i="13"/>
  <c r="D64" i="13"/>
  <c r="C64" i="13"/>
  <c r="F62" i="13"/>
  <c r="F61" i="13"/>
  <c r="F60" i="13"/>
  <c r="G60" i="13" s="1"/>
  <c r="G94" i="11"/>
  <c r="G110" i="11" s="1"/>
  <c r="G114" i="11" s="1"/>
  <c r="F94" i="11"/>
  <c r="F110" i="11" s="1"/>
  <c r="F114" i="11" s="1"/>
  <c r="E94" i="11"/>
  <c r="D94" i="11"/>
  <c r="D110" i="11" s="1"/>
  <c r="E110" i="11"/>
  <c r="J71" i="11"/>
  <c r="K71" i="11" s="1"/>
  <c r="L71" i="11" s="1"/>
  <c r="I71" i="11"/>
  <c r="H71" i="11"/>
  <c r="I54" i="11"/>
  <c r="J54" i="11" s="1"/>
  <c r="K54" i="11" s="1"/>
  <c r="L54" i="11" s="1"/>
  <c r="H54" i="11"/>
  <c r="F95" i="11"/>
  <c r="E95" i="11"/>
  <c r="G101" i="11"/>
  <c r="F101" i="11"/>
  <c r="E101" i="11"/>
  <c r="D101" i="11"/>
  <c r="G76" i="11"/>
  <c r="H76" i="11" s="1"/>
  <c r="I76" i="11" s="1"/>
  <c r="J76" i="11" s="1"/>
  <c r="K76" i="11" s="1"/>
  <c r="L76" i="11" s="1"/>
  <c r="F76" i="11"/>
  <c r="E76" i="11"/>
  <c r="D76" i="11"/>
  <c r="G75" i="11"/>
  <c r="H75" i="11" s="1"/>
  <c r="I75" i="11" s="1"/>
  <c r="J75" i="11" s="1"/>
  <c r="K75" i="11" s="1"/>
  <c r="L75" i="11" s="1"/>
  <c r="F75" i="11"/>
  <c r="E75" i="11"/>
  <c r="D75" i="11"/>
  <c r="G74" i="11"/>
  <c r="F74" i="11"/>
  <c r="E74" i="11"/>
  <c r="D74" i="11"/>
  <c r="G73" i="11"/>
  <c r="H73" i="11" s="1"/>
  <c r="I73" i="11" s="1"/>
  <c r="J73" i="11" s="1"/>
  <c r="K73" i="11" s="1"/>
  <c r="L73" i="11" s="1"/>
  <c r="F73" i="11"/>
  <c r="E73" i="11"/>
  <c r="D73" i="11"/>
  <c r="G72" i="11"/>
  <c r="G132" i="11" s="1"/>
  <c r="H128" i="11" s="1"/>
  <c r="F72" i="11"/>
  <c r="F132" i="11" s="1"/>
  <c r="E72" i="11"/>
  <c r="D72" i="11"/>
  <c r="G71" i="11"/>
  <c r="F71" i="11"/>
  <c r="E71" i="11"/>
  <c r="D71" i="11"/>
  <c r="H74" i="11"/>
  <c r="I74" i="11" s="1"/>
  <c r="J74" i="11" s="1"/>
  <c r="K74" i="11" s="1"/>
  <c r="L74" i="11" s="1"/>
  <c r="G68" i="11"/>
  <c r="F68" i="11"/>
  <c r="E68" i="11"/>
  <c r="D68" i="11"/>
  <c r="G67" i="11"/>
  <c r="F67" i="11"/>
  <c r="E67" i="11"/>
  <c r="D67" i="11"/>
  <c r="G66" i="11"/>
  <c r="F66" i="11"/>
  <c r="E66" i="11"/>
  <c r="D66" i="11"/>
  <c r="G63" i="11"/>
  <c r="F63" i="11"/>
  <c r="E63" i="11"/>
  <c r="D63" i="11"/>
  <c r="G62" i="11"/>
  <c r="H62" i="11" s="1"/>
  <c r="I62" i="11" s="1"/>
  <c r="J62" i="11" s="1"/>
  <c r="K62" i="11" s="1"/>
  <c r="L62" i="11" s="1"/>
  <c r="F62" i="11"/>
  <c r="E62" i="11"/>
  <c r="D62" i="11"/>
  <c r="G61" i="11"/>
  <c r="F61" i="11"/>
  <c r="E61" i="11"/>
  <c r="D61" i="11"/>
  <c r="G60" i="11"/>
  <c r="F60" i="11"/>
  <c r="E60" i="11"/>
  <c r="D60" i="11"/>
  <c r="H61" i="11"/>
  <c r="I61" i="11" s="1"/>
  <c r="J61" i="11" s="1"/>
  <c r="K61" i="11" s="1"/>
  <c r="L61" i="11" s="1"/>
  <c r="D52" i="8"/>
  <c r="G57" i="11"/>
  <c r="G125" i="11" s="1"/>
  <c r="H122" i="11" s="1"/>
  <c r="F57" i="11"/>
  <c r="F125" i="11" s="1"/>
  <c r="E57" i="11"/>
  <c r="E125" i="11" s="1"/>
  <c r="D57" i="11"/>
  <c r="G56" i="11"/>
  <c r="G112" i="11" s="1"/>
  <c r="H109" i="11" s="1"/>
  <c r="F56" i="11"/>
  <c r="F112" i="11" s="1"/>
  <c r="E56" i="11"/>
  <c r="E112" i="11" s="1"/>
  <c r="D56" i="11"/>
  <c r="D112" i="11" s="1"/>
  <c r="G55" i="11"/>
  <c r="F55" i="11"/>
  <c r="E55" i="11"/>
  <c r="D55" i="11"/>
  <c r="G54" i="11"/>
  <c r="H139" i="11" s="1"/>
  <c r="F54" i="11"/>
  <c r="E54" i="11"/>
  <c r="D54" i="11"/>
  <c r="G51" i="11"/>
  <c r="F51" i="11"/>
  <c r="E51" i="11"/>
  <c r="D51" i="11"/>
  <c r="G50" i="11"/>
  <c r="F50" i="11"/>
  <c r="E50" i="11"/>
  <c r="D50" i="11"/>
  <c r="G49" i="11"/>
  <c r="F49" i="11"/>
  <c r="E49" i="11"/>
  <c r="D49" i="11"/>
  <c r="G48" i="11"/>
  <c r="F48" i="11"/>
  <c r="E48" i="11"/>
  <c r="D48" i="11"/>
  <c r="G47" i="11"/>
  <c r="F47" i="11"/>
  <c r="E47" i="11"/>
  <c r="D47" i="11"/>
  <c r="D132" i="11"/>
  <c r="G163" i="11"/>
  <c r="J41" i="11"/>
  <c r="I41" i="11"/>
  <c r="H41" i="11"/>
  <c r="E39" i="13"/>
  <c r="D39" i="13"/>
  <c r="C39" i="13"/>
  <c r="E37" i="13"/>
  <c r="D37" i="13"/>
  <c r="C37" i="13"/>
  <c r="E35" i="13"/>
  <c r="D35" i="13"/>
  <c r="C35" i="13"/>
  <c r="E22" i="13"/>
  <c r="D22" i="13"/>
  <c r="C22" i="13"/>
  <c r="E20" i="13"/>
  <c r="D20" i="13"/>
  <c r="C20" i="13"/>
  <c r="E18" i="13"/>
  <c r="D18" i="13"/>
  <c r="C18" i="13"/>
  <c r="E14" i="13"/>
  <c r="F14" i="13" s="1"/>
  <c r="G14" i="13" s="1"/>
  <c r="H14" i="13" s="1"/>
  <c r="D14" i="13"/>
  <c r="C14" i="13"/>
  <c r="C16" i="13"/>
  <c r="F57" i="13"/>
  <c r="G57" i="13" s="1"/>
  <c r="H57" i="13" s="1"/>
  <c r="F32" i="13"/>
  <c r="G32" i="13" s="1"/>
  <c r="E33" i="13"/>
  <c r="D33" i="13"/>
  <c r="C33" i="13"/>
  <c r="F13" i="13"/>
  <c r="G13" i="13" s="1"/>
  <c r="H13" i="13" s="1"/>
  <c r="G16" i="13"/>
  <c r="H16" i="13" s="1"/>
  <c r="F16" i="13"/>
  <c r="E16" i="13"/>
  <c r="D16" i="13"/>
  <c r="H15" i="13"/>
  <c r="F30" i="13"/>
  <c r="G30" i="13" s="1"/>
  <c r="H30" i="13" s="1"/>
  <c r="F12" i="13"/>
  <c r="G12" i="13" s="1"/>
  <c r="H12" i="13" s="1"/>
  <c r="E31" i="13"/>
  <c r="D31" i="13"/>
  <c r="C31" i="13"/>
  <c r="C56" i="13"/>
  <c r="D56" i="13"/>
  <c r="F56" i="13"/>
  <c r="G56" i="13" s="1"/>
  <c r="H56" i="13" s="1"/>
  <c r="F11" i="13"/>
  <c r="G11" i="13" s="1"/>
  <c r="H11" i="13" s="1"/>
  <c r="E52" i="13"/>
  <c r="D52" i="13"/>
  <c r="C52" i="13"/>
  <c r="F51" i="13"/>
  <c r="E46" i="13"/>
  <c r="D46" i="13"/>
  <c r="C46" i="13"/>
  <c r="F45" i="13"/>
  <c r="G45" i="13" s="1"/>
  <c r="H45" i="13" s="1"/>
  <c r="F28" i="13"/>
  <c r="G28" i="13" s="1"/>
  <c r="E29" i="13"/>
  <c r="D29" i="13"/>
  <c r="C29" i="13"/>
  <c r="F10" i="13"/>
  <c r="G10" i="13" s="1"/>
  <c r="H10" i="13" s="1"/>
  <c r="F9" i="13"/>
  <c r="G9" i="13" s="1"/>
  <c r="H9" i="13" s="1"/>
  <c r="F55" i="13"/>
  <c r="K41" i="11" s="1"/>
  <c r="F49" i="13"/>
  <c r="G49" i="13" s="1"/>
  <c r="E50" i="13"/>
  <c r="J40" i="11" s="1"/>
  <c r="D50" i="13"/>
  <c r="I40" i="11" s="1"/>
  <c r="C50" i="13"/>
  <c r="H40" i="11" s="1"/>
  <c r="E44" i="13"/>
  <c r="J39" i="11" s="1"/>
  <c r="D44" i="13"/>
  <c r="I39" i="11" s="1"/>
  <c r="C44" i="13"/>
  <c r="H39" i="11" s="1"/>
  <c r="F43" i="13"/>
  <c r="G43" i="13" s="1"/>
  <c r="E27" i="13"/>
  <c r="D27" i="13"/>
  <c r="C27" i="13"/>
  <c r="F26" i="13"/>
  <c r="G26" i="13" s="1"/>
  <c r="H26" i="13" s="1"/>
  <c r="F8" i="13"/>
  <c r="G8" i="13" s="1"/>
  <c r="H8" i="13" s="1"/>
  <c r="F7" i="13"/>
  <c r="G7" i="13" s="1"/>
  <c r="H7" i="13" s="1"/>
  <c r="G33" i="11"/>
  <c r="G87" i="11" s="1"/>
  <c r="F33" i="11"/>
  <c r="F87" i="11" s="1"/>
  <c r="E33" i="11"/>
  <c r="E87" i="11" s="1"/>
  <c r="D33" i="11"/>
  <c r="D87" i="11" s="1"/>
  <c r="G28" i="11"/>
  <c r="F28" i="11"/>
  <c r="E28" i="11"/>
  <c r="D28" i="11"/>
  <c r="G22" i="11"/>
  <c r="F22" i="11"/>
  <c r="E22" i="11"/>
  <c r="D22" i="11"/>
  <c r="G21" i="11"/>
  <c r="F21" i="11"/>
  <c r="E21" i="11"/>
  <c r="D21" i="11"/>
  <c r="G20" i="11"/>
  <c r="F20" i="11"/>
  <c r="E20" i="11"/>
  <c r="D20" i="11"/>
  <c r="G31" i="11"/>
  <c r="G119" i="11" s="1"/>
  <c r="G117" i="11" s="1"/>
  <c r="F31" i="11"/>
  <c r="F119" i="11" s="1"/>
  <c r="F117" i="11" s="1"/>
  <c r="E31" i="11"/>
  <c r="E119" i="11" s="1"/>
  <c r="E117" i="11" s="1"/>
  <c r="D31" i="11"/>
  <c r="D119" i="11" s="1"/>
  <c r="D117" i="11" s="1"/>
  <c r="G18" i="11"/>
  <c r="F18" i="11"/>
  <c r="E18" i="11"/>
  <c r="D18" i="11"/>
  <c r="D11" i="11"/>
  <c r="H187" i="11" s="1"/>
  <c r="G17" i="11"/>
  <c r="F17" i="11"/>
  <c r="E17" i="11"/>
  <c r="D17" i="11"/>
  <c r="D9" i="11"/>
  <c r="D10" i="11"/>
  <c r="G15" i="11" s="1"/>
  <c r="F15" i="11" s="1"/>
  <c r="E15" i="11" s="1"/>
  <c r="E83" i="11" s="1"/>
  <c r="L216" i="11"/>
  <c r="K216" i="11"/>
  <c r="J216" i="11"/>
  <c r="I216" i="11"/>
  <c r="H216" i="11"/>
  <c r="L214" i="11"/>
  <c r="K214" i="11"/>
  <c r="J214" i="11"/>
  <c r="I214" i="11"/>
  <c r="H214" i="11"/>
  <c r="L212" i="11"/>
  <c r="K212" i="11"/>
  <c r="J212" i="11"/>
  <c r="I212" i="11"/>
  <c r="H212" i="11"/>
  <c r="L210" i="11"/>
  <c r="K210" i="11"/>
  <c r="J210" i="11"/>
  <c r="I210" i="11"/>
  <c r="H210" i="11"/>
  <c r="L208" i="11"/>
  <c r="K208" i="11"/>
  <c r="J208" i="11"/>
  <c r="I208" i="11"/>
  <c r="H208" i="11"/>
  <c r="L206" i="11"/>
  <c r="K206" i="11"/>
  <c r="J206" i="11"/>
  <c r="I206" i="11"/>
  <c r="H206" i="11"/>
  <c r="I204" i="11"/>
  <c r="H204" i="11"/>
  <c r="J203" i="11"/>
  <c r="I202" i="11"/>
  <c r="H202" i="11"/>
  <c r="L199" i="11"/>
  <c r="K199" i="11"/>
  <c r="J199" i="11"/>
  <c r="I199" i="11"/>
  <c r="H199" i="11"/>
  <c r="G199" i="11"/>
  <c r="L198" i="11"/>
  <c r="K198" i="11"/>
  <c r="J198" i="11"/>
  <c r="I198" i="11"/>
  <c r="H198" i="11"/>
  <c r="G198" i="11"/>
  <c r="L197" i="11"/>
  <c r="K197" i="11"/>
  <c r="J197" i="11"/>
  <c r="I197" i="11"/>
  <c r="H197" i="11"/>
  <c r="G197" i="11"/>
  <c r="I196" i="11"/>
  <c r="H196" i="11"/>
  <c r="G196" i="11"/>
  <c r="D194" i="11"/>
  <c r="G169" i="11"/>
  <c r="F169" i="11"/>
  <c r="E169" i="11"/>
  <c r="D169" i="11"/>
  <c r="H168" i="11"/>
  <c r="I168" i="11" s="1"/>
  <c r="J168" i="11" s="1"/>
  <c r="K168" i="11" s="1"/>
  <c r="L168" i="11" s="1"/>
  <c r="G159" i="11"/>
  <c r="F159" i="11"/>
  <c r="E159" i="11"/>
  <c r="E160" i="11" s="1"/>
  <c r="H158" i="11"/>
  <c r="I158" i="11" s="1"/>
  <c r="J158" i="11" s="1"/>
  <c r="K158" i="11" s="1"/>
  <c r="L158" i="11" s="1"/>
  <c r="G155" i="11"/>
  <c r="F155" i="11"/>
  <c r="E155" i="11"/>
  <c r="D155" i="11"/>
  <c r="C153" i="11"/>
  <c r="C152" i="11"/>
  <c r="G148" i="11"/>
  <c r="H145" i="11" s="1"/>
  <c r="F148" i="11"/>
  <c r="E148" i="11"/>
  <c r="C136" i="11"/>
  <c r="C135" i="11"/>
  <c r="H131" i="11"/>
  <c r="H99" i="11" s="1"/>
  <c r="H182" i="11" s="1"/>
  <c r="E114" i="11"/>
  <c r="C107" i="11"/>
  <c r="C106" i="11"/>
  <c r="I94" i="11"/>
  <c r="I95" i="11" s="1"/>
  <c r="C83" i="11"/>
  <c r="C82" i="11"/>
  <c r="C45" i="11"/>
  <c r="C44" i="11"/>
  <c r="H26" i="11"/>
  <c r="I26" i="11" s="1"/>
  <c r="J26" i="11" s="1"/>
  <c r="K26" i="11" s="1"/>
  <c r="L26" i="11" s="1"/>
  <c r="C2" i="11"/>
  <c r="I8" i="10"/>
  <c r="I9" i="10"/>
  <c r="L38" i="10"/>
  <c r="L37" i="10"/>
  <c r="AA37" i="10" s="1"/>
  <c r="L36" i="10"/>
  <c r="P38" i="10"/>
  <c r="AE38" i="10" s="1"/>
  <c r="P37" i="10"/>
  <c r="AC37" i="10" s="1"/>
  <c r="P36" i="10"/>
  <c r="P39" i="10" s="1"/>
  <c r="T38" i="10"/>
  <c r="AI38" i="10" s="1"/>
  <c r="T37" i="10"/>
  <c r="T36" i="10"/>
  <c r="AH36" i="10" s="1"/>
  <c r="AH39" i="10" s="1"/>
  <c r="T31" i="10"/>
  <c r="AF31" i="10" s="1"/>
  <c r="T30" i="10"/>
  <c r="P31" i="10"/>
  <c r="AC31" i="10" s="1"/>
  <c r="AC32" i="10" s="1"/>
  <c r="P30" i="10"/>
  <c r="L31" i="10"/>
  <c r="L30" i="10"/>
  <c r="L25" i="10"/>
  <c r="AA25" i="10" s="1"/>
  <c r="L24" i="10"/>
  <c r="P25" i="10"/>
  <c r="AD25" i="10" s="1"/>
  <c r="P24" i="10"/>
  <c r="T25" i="10"/>
  <c r="AI25" i="10" s="1"/>
  <c r="T24" i="10"/>
  <c r="T19" i="10"/>
  <c r="T18" i="10"/>
  <c r="AF18" i="10" s="1"/>
  <c r="T17" i="10"/>
  <c r="P19" i="10"/>
  <c r="AD19" i="10" s="1"/>
  <c r="P18" i="10"/>
  <c r="P17" i="10"/>
  <c r="AE17" i="10" s="1"/>
  <c r="L19" i="10"/>
  <c r="L18" i="10"/>
  <c r="Y18" i="10" s="1"/>
  <c r="L17" i="10"/>
  <c r="AA17" i="10" s="1"/>
  <c r="C9" i="10"/>
  <c r="C8" i="9"/>
  <c r="L12" i="10"/>
  <c r="Z12" i="10" s="1"/>
  <c r="L9" i="10"/>
  <c r="AA9" i="10" s="1"/>
  <c r="L8" i="10"/>
  <c r="Z8" i="10" s="1"/>
  <c r="P9" i="10"/>
  <c r="P8" i="10"/>
  <c r="P7" i="10"/>
  <c r="AD7" i="10" s="1"/>
  <c r="T12" i="10"/>
  <c r="AH12" i="10" s="1"/>
  <c r="T9" i="10"/>
  <c r="T8" i="10"/>
  <c r="T7" i="10"/>
  <c r="T6" i="9" s="1"/>
  <c r="AH38" i="10"/>
  <c r="AF38" i="10"/>
  <c r="AA38" i="10"/>
  <c r="Z38" i="10"/>
  <c r="Y38" i="10"/>
  <c r="AI37" i="10"/>
  <c r="AK37" i="10" s="1"/>
  <c r="AH37" i="10"/>
  <c r="AG37" i="10"/>
  <c r="AF37" i="10"/>
  <c r="AE37" i="10"/>
  <c r="AD37" i="10"/>
  <c r="AB37" i="10"/>
  <c r="AI36" i="10"/>
  <c r="AF36" i="10"/>
  <c r="AF39" i="10" s="1"/>
  <c r="AC36" i="10"/>
  <c r="AB36" i="10"/>
  <c r="AA36" i="10"/>
  <c r="AA39" i="10" s="1"/>
  <c r="Z36" i="10"/>
  <c r="Y36" i="10"/>
  <c r="AA31" i="10"/>
  <c r="Z31" i="10"/>
  <c r="Y31" i="10"/>
  <c r="AI30" i="10"/>
  <c r="AH30" i="10"/>
  <c r="AG30" i="10"/>
  <c r="AF30" i="10"/>
  <c r="AF32" i="10" s="1"/>
  <c r="AE30" i="10"/>
  <c r="AK30" i="10" s="1"/>
  <c r="AD30" i="10"/>
  <c r="AC30" i="10"/>
  <c r="AB30" i="10"/>
  <c r="AA30" i="10"/>
  <c r="AA32" i="10" s="1"/>
  <c r="Z30" i="10"/>
  <c r="Z32" i="10" s="1"/>
  <c r="Y30" i="10"/>
  <c r="Y32" i="10" s="1"/>
  <c r="AF25" i="10"/>
  <c r="AE25" i="10"/>
  <c r="Z25" i="10"/>
  <c r="Y25" i="10"/>
  <c r="AI24" i="10"/>
  <c r="AI26" i="10" s="1"/>
  <c r="AH24" i="10"/>
  <c r="AG24" i="10"/>
  <c r="AF24" i="10"/>
  <c r="AF26" i="10" s="1"/>
  <c r="AE24" i="10"/>
  <c r="AE26" i="10" s="1"/>
  <c r="AE27" i="10" s="1"/>
  <c r="AD24" i="10"/>
  <c r="AD26" i="10" s="1"/>
  <c r="AC24" i="10"/>
  <c r="AB24" i="10"/>
  <c r="AA24" i="10"/>
  <c r="AA26" i="10" s="1"/>
  <c r="Z24" i="10"/>
  <c r="Z26" i="10" s="1"/>
  <c r="Y24" i="10"/>
  <c r="Y26" i="10" s="1"/>
  <c r="Y148" i="8"/>
  <c r="Y147" i="8"/>
  <c r="Y141" i="8"/>
  <c r="Y140" i="8"/>
  <c r="Y139" i="8"/>
  <c r="Y142" i="8" s="1"/>
  <c r="Y144" i="8" s="1"/>
  <c r="Y136" i="8"/>
  <c r="Y135" i="8"/>
  <c r="Y134" i="8"/>
  <c r="Y133" i="8"/>
  <c r="Y132" i="8"/>
  <c r="Y131" i="8"/>
  <c r="Y130" i="8"/>
  <c r="Y129" i="8"/>
  <c r="Y128" i="8"/>
  <c r="Y127" i="8"/>
  <c r="Y137" i="8" s="1"/>
  <c r="Y123" i="8"/>
  <c r="Y122" i="8"/>
  <c r="Y121" i="8"/>
  <c r="Y120" i="8"/>
  <c r="Y119" i="8"/>
  <c r="Y118" i="8"/>
  <c r="Y117" i="8"/>
  <c r="Y116" i="8"/>
  <c r="Y124" i="8" s="1"/>
  <c r="Y115" i="8"/>
  <c r="Y114" i="8"/>
  <c r="Y113" i="8"/>
  <c r="Y112" i="8"/>
  <c r="Y108" i="8"/>
  <c r="Y107" i="8"/>
  <c r="Y106" i="8"/>
  <c r="Y105" i="8"/>
  <c r="Y104" i="8"/>
  <c r="Y103" i="8"/>
  <c r="Y102" i="8"/>
  <c r="Y101" i="8"/>
  <c r="Y98" i="8"/>
  <c r="Y97" i="8"/>
  <c r="Y96" i="8"/>
  <c r="Y95" i="8"/>
  <c r="Y94" i="8"/>
  <c r="Y93" i="8"/>
  <c r="Y92" i="8"/>
  <c r="Y91" i="8"/>
  <c r="Y90" i="8"/>
  <c r="Y89" i="8"/>
  <c r="Y88" i="8"/>
  <c r="Y109" i="8" s="1"/>
  <c r="Y87" i="8"/>
  <c r="Y86" i="8"/>
  <c r="Y85" i="8"/>
  <c r="Y82" i="8"/>
  <c r="Y73" i="8"/>
  <c r="Y74" i="8" s="1"/>
  <c r="Y72" i="8"/>
  <c r="Y71" i="8"/>
  <c r="Y70" i="8"/>
  <c r="Y69" i="8"/>
  <c r="Y68" i="8"/>
  <c r="Y65" i="8"/>
  <c r="Y64" i="8"/>
  <c r="Y63" i="8"/>
  <c r="Y60" i="8"/>
  <c r="Y59" i="8"/>
  <c r="Y58" i="8"/>
  <c r="Y57" i="8"/>
  <c r="Y56" i="8"/>
  <c r="Y55" i="8"/>
  <c r="Y54" i="8"/>
  <c r="Y61" i="8" s="1"/>
  <c r="Y66" i="8" s="1"/>
  <c r="Y51" i="8"/>
  <c r="Y50" i="8"/>
  <c r="Y49" i="8"/>
  <c r="Y48" i="8"/>
  <c r="Y47" i="8"/>
  <c r="Y45" i="8"/>
  <c r="Y52" i="8" s="1"/>
  <c r="Y44" i="8"/>
  <c r="Y43" i="8"/>
  <c r="Y42" i="8"/>
  <c r="Y41" i="8"/>
  <c r="Y40" i="8"/>
  <c r="Y39" i="8"/>
  <c r="Y38" i="8"/>
  <c r="Y33" i="8"/>
  <c r="Y26" i="8"/>
  <c r="Y23" i="8"/>
  <c r="Y22" i="8"/>
  <c r="Y21" i="8"/>
  <c r="Y17" i="8"/>
  <c r="Y16" i="8"/>
  <c r="Y15" i="8"/>
  <c r="Y11" i="8"/>
  <c r="Y8" i="8"/>
  <c r="Y9" i="8" s="1"/>
  <c r="Y12" i="8" s="1"/>
  <c r="Y4" i="8"/>
  <c r="Y3" i="8"/>
  <c r="AI19" i="10"/>
  <c r="AH19" i="10"/>
  <c r="AG19" i="10"/>
  <c r="AF19" i="10"/>
  <c r="AE19" i="10"/>
  <c r="AK19" i="10" s="1"/>
  <c r="AC19" i="10"/>
  <c r="AB19" i="10"/>
  <c r="AA19" i="10"/>
  <c r="Z19" i="10"/>
  <c r="Y19" i="10"/>
  <c r="AI18" i="10"/>
  <c r="AG18" i="10"/>
  <c r="AG20" i="10" s="1"/>
  <c r="AE18" i="10"/>
  <c r="AD18" i="10"/>
  <c r="AC18" i="10"/>
  <c r="AB18" i="10"/>
  <c r="AI17" i="10"/>
  <c r="AH17" i="10"/>
  <c r="AG17" i="10"/>
  <c r="AF17" i="10"/>
  <c r="AF20" i="10" s="1"/>
  <c r="AD17" i="10"/>
  <c r="Y17" i="10"/>
  <c r="AI12" i="10"/>
  <c r="AE12" i="10"/>
  <c r="AD12" i="10"/>
  <c r="AC12" i="10"/>
  <c r="AB12" i="10"/>
  <c r="AA12" i="10"/>
  <c r="AH9" i="10"/>
  <c r="AG9" i="10"/>
  <c r="AF9" i="10"/>
  <c r="AE9" i="10"/>
  <c r="AD9" i="10"/>
  <c r="AC9" i="10"/>
  <c r="AB9" i="10"/>
  <c r="AH8" i="10"/>
  <c r="AG8" i="10"/>
  <c r="AF8" i="10"/>
  <c r="AE8" i="10"/>
  <c r="AD8" i="10"/>
  <c r="AC8" i="10"/>
  <c r="AB8" i="10"/>
  <c r="AI9" i="10"/>
  <c r="AI8" i="10"/>
  <c r="AH4" i="10"/>
  <c r="AA4" i="10"/>
  <c r="Z4" i="10"/>
  <c r="AC3" i="10"/>
  <c r="AB3" i="10"/>
  <c r="AK65" i="8"/>
  <c r="AK57" i="8"/>
  <c r="AK56" i="8"/>
  <c r="AK47" i="8"/>
  <c r="AK39" i="8"/>
  <c r="AK38" i="8"/>
  <c r="F60" i="9"/>
  <c r="S60" i="9"/>
  <c r="R60" i="9"/>
  <c r="Q60" i="9"/>
  <c r="P59" i="9"/>
  <c r="L59" i="9"/>
  <c r="W75" i="9"/>
  <c r="V75" i="9"/>
  <c r="D77" i="9"/>
  <c r="J76" i="9"/>
  <c r="I77" i="9"/>
  <c r="N76" i="9"/>
  <c r="M77" i="9"/>
  <c r="M76" i="9"/>
  <c r="S76" i="9"/>
  <c r="Q76" i="9"/>
  <c r="U76" i="9"/>
  <c r="V60" i="9"/>
  <c r="AI60" i="9" s="1"/>
  <c r="G60" i="9"/>
  <c r="E60" i="9"/>
  <c r="AF60" i="9"/>
  <c r="O60" i="9"/>
  <c r="N60" i="9"/>
  <c r="M60" i="9"/>
  <c r="U60" i="9"/>
  <c r="AH60" i="9" s="1"/>
  <c r="AE60" i="9"/>
  <c r="AI59" i="9"/>
  <c r="AH59" i="9"/>
  <c r="AG59" i="9"/>
  <c r="AF59" i="9"/>
  <c r="AE59" i="9"/>
  <c r="W67" i="9"/>
  <c r="V67" i="9"/>
  <c r="U67" i="9"/>
  <c r="S67" i="9"/>
  <c r="R67" i="9"/>
  <c r="Q67" i="9"/>
  <c r="O67" i="9"/>
  <c r="N67" i="9"/>
  <c r="M67" i="9"/>
  <c r="K67" i="9"/>
  <c r="J67" i="9"/>
  <c r="I67" i="9"/>
  <c r="G67" i="9"/>
  <c r="F67" i="9"/>
  <c r="E67" i="9"/>
  <c r="D67" i="9"/>
  <c r="C67" i="9"/>
  <c r="W66" i="9"/>
  <c r="V66" i="9"/>
  <c r="AI66" i="9" s="1"/>
  <c r="U66" i="9"/>
  <c r="AH66" i="9" s="1"/>
  <c r="T66" i="9"/>
  <c r="AG66" i="9" s="1"/>
  <c r="S66" i="9"/>
  <c r="AF66" i="9" s="1"/>
  <c r="R66" i="9"/>
  <c r="AE66" i="9" s="1"/>
  <c r="Q66" i="9"/>
  <c r="P66" i="9"/>
  <c r="O66" i="9"/>
  <c r="N66" i="9"/>
  <c r="M66" i="9"/>
  <c r="L66" i="9"/>
  <c r="K66" i="9"/>
  <c r="J66" i="9"/>
  <c r="I66" i="9"/>
  <c r="G66" i="9"/>
  <c r="F66" i="9"/>
  <c r="E66" i="9"/>
  <c r="D66" i="9"/>
  <c r="C66" i="9"/>
  <c r="W65" i="9"/>
  <c r="V65" i="9"/>
  <c r="U65" i="9"/>
  <c r="S65" i="9"/>
  <c r="R65" i="9"/>
  <c r="Q65" i="9"/>
  <c r="O65" i="9"/>
  <c r="N65" i="9"/>
  <c r="M65" i="9"/>
  <c r="K65" i="9"/>
  <c r="J65" i="9"/>
  <c r="I65" i="9"/>
  <c r="G65" i="9"/>
  <c r="F65" i="9"/>
  <c r="E65" i="9"/>
  <c r="D65" i="9"/>
  <c r="C65" i="9"/>
  <c r="W64" i="9"/>
  <c r="V64" i="9"/>
  <c r="U64" i="9"/>
  <c r="S64" i="9"/>
  <c r="R64" i="9"/>
  <c r="Q64" i="9"/>
  <c r="O64" i="9"/>
  <c r="N64" i="9"/>
  <c r="M64" i="9"/>
  <c r="K64" i="9"/>
  <c r="J64" i="9"/>
  <c r="I64" i="9"/>
  <c r="G64" i="9"/>
  <c r="F64" i="9"/>
  <c r="E64" i="9"/>
  <c r="D64" i="9"/>
  <c r="C64" i="9"/>
  <c r="W73" i="9"/>
  <c r="W77" i="9" s="1"/>
  <c r="V73" i="9"/>
  <c r="V77" i="9" s="1"/>
  <c r="U73" i="9"/>
  <c r="U77" i="9" s="1"/>
  <c r="S73" i="9"/>
  <c r="S77" i="9" s="1"/>
  <c r="R73" i="9"/>
  <c r="R77" i="9" s="1"/>
  <c r="Q73" i="9"/>
  <c r="Q77" i="9" s="1"/>
  <c r="O73" i="9"/>
  <c r="O77" i="9" s="1"/>
  <c r="N73" i="9"/>
  <c r="N77" i="9" s="1"/>
  <c r="M73" i="9"/>
  <c r="K73" i="9"/>
  <c r="K77" i="9" s="1"/>
  <c r="J73" i="9"/>
  <c r="J77" i="9" s="1"/>
  <c r="W72" i="9"/>
  <c r="V72" i="9"/>
  <c r="V76" i="9" s="1"/>
  <c r="U72" i="9"/>
  <c r="S72" i="9"/>
  <c r="R72" i="9"/>
  <c r="R76" i="9" s="1"/>
  <c r="Q72" i="9"/>
  <c r="O72" i="9"/>
  <c r="O76" i="9" s="1"/>
  <c r="N72" i="9"/>
  <c r="M72" i="9"/>
  <c r="K72" i="9"/>
  <c r="K76" i="9" s="1"/>
  <c r="J72" i="9"/>
  <c r="I73" i="9"/>
  <c r="I72" i="9"/>
  <c r="I76" i="9" s="1"/>
  <c r="G73" i="9"/>
  <c r="G77" i="9" s="1"/>
  <c r="F73" i="9"/>
  <c r="F77" i="9" s="1"/>
  <c r="E73" i="9"/>
  <c r="E77" i="9" s="1"/>
  <c r="D73" i="9"/>
  <c r="C73" i="9"/>
  <c r="C77" i="9" s="1"/>
  <c r="G72" i="9"/>
  <c r="G76" i="9" s="1"/>
  <c r="F72" i="9"/>
  <c r="F76" i="9" s="1"/>
  <c r="E72" i="9"/>
  <c r="E76" i="9" s="1"/>
  <c r="D72" i="9"/>
  <c r="D76" i="9" s="1"/>
  <c r="C72" i="9"/>
  <c r="C76" i="9" s="1"/>
  <c r="W58" i="9"/>
  <c r="V58" i="9"/>
  <c r="U58" i="9"/>
  <c r="S58" i="9"/>
  <c r="R58" i="9"/>
  <c r="Q58" i="9"/>
  <c r="O58" i="9"/>
  <c r="N58" i="9"/>
  <c r="M58" i="9"/>
  <c r="K58" i="9"/>
  <c r="J58" i="9"/>
  <c r="I58" i="9"/>
  <c r="G58" i="9"/>
  <c r="F58" i="9"/>
  <c r="E58" i="9"/>
  <c r="D58" i="9"/>
  <c r="C58" i="9"/>
  <c r="W57" i="9"/>
  <c r="V57" i="9"/>
  <c r="U57" i="9"/>
  <c r="S57" i="9"/>
  <c r="R57" i="9"/>
  <c r="Q57" i="9"/>
  <c r="O57" i="9"/>
  <c r="N57" i="9"/>
  <c r="M57" i="9"/>
  <c r="M61" i="9" s="1"/>
  <c r="K57" i="9"/>
  <c r="J57" i="9"/>
  <c r="I57" i="9"/>
  <c r="G57" i="9"/>
  <c r="F57" i="9"/>
  <c r="E57" i="9"/>
  <c r="E61" i="9" s="1"/>
  <c r="D57" i="9"/>
  <c r="D61" i="9" s="1"/>
  <c r="C57" i="9"/>
  <c r="U50" i="9"/>
  <c r="Q50" i="9"/>
  <c r="M50" i="9"/>
  <c r="K50" i="9"/>
  <c r="J50" i="9"/>
  <c r="I50" i="9"/>
  <c r="G50" i="9"/>
  <c r="F50" i="9"/>
  <c r="E50" i="9"/>
  <c r="D50" i="9"/>
  <c r="C50" i="9"/>
  <c r="U51" i="9"/>
  <c r="S51" i="9"/>
  <c r="R51" i="9"/>
  <c r="Q51" i="9"/>
  <c r="O51" i="9"/>
  <c r="N51" i="9"/>
  <c r="M51" i="9"/>
  <c r="K51" i="9"/>
  <c r="J51" i="9"/>
  <c r="I51" i="9"/>
  <c r="G51" i="9"/>
  <c r="F51" i="9"/>
  <c r="E51" i="9"/>
  <c r="D51" i="9"/>
  <c r="C51" i="9"/>
  <c r="W49" i="9"/>
  <c r="V49" i="9"/>
  <c r="U49" i="9"/>
  <c r="S49" i="9"/>
  <c r="R49" i="9"/>
  <c r="Q49" i="9"/>
  <c r="O49" i="9"/>
  <c r="N49" i="9"/>
  <c r="M49" i="9"/>
  <c r="K49" i="9"/>
  <c r="J49" i="9"/>
  <c r="I49" i="9"/>
  <c r="G49" i="9"/>
  <c r="F49" i="9"/>
  <c r="E49" i="9"/>
  <c r="D49" i="9"/>
  <c r="C49" i="9"/>
  <c r="W48" i="9"/>
  <c r="V48" i="9"/>
  <c r="U48" i="9"/>
  <c r="Q48" i="9"/>
  <c r="M48" i="9"/>
  <c r="I48" i="9"/>
  <c r="G48" i="9"/>
  <c r="F48" i="9"/>
  <c r="E48" i="9"/>
  <c r="D48" i="9"/>
  <c r="C48" i="9"/>
  <c r="U47" i="9"/>
  <c r="Q47" i="9"/>
  <c r="M47" i="9"/>
  <c r="I47" i="9"/>
  <c r="G47" i="9"/>
  <c r="F47" i="9"/>
  <c r="E47" i="9"/>
  <c r="D47" i="9"/>
  <c r="C47" i="9"/>
  <c r="W46" i="9"/>
  <c r="V46" i="9"/>
  <c r="U46" i="9"/>
  <c r="S46" i="9"/>
  <c r="R46" i="9"/>
  <c r="Q46" i="9"/>
  <c r="O46" i="9"/>
  <c r="N46" i="9"/>
  <c r="M46" i="9"/>
  <c r="K46" i="9"/>
  <c r="J46" i="9"/>
  <c r="I46" i="9"/>
  <c r="G46" i="9"/>
  <c r="F46" i="9"/>
  <c r="E46" i="9"/>
  <c r="D46" i="9"/>
  <c r="C46" i="9"/>
  <c r="U45" i="9"/>
  <c r="Q45" i="9"/>
  <c r="M45" i="9"/>
  <c r="J45" i="9"/>
  <c r="I45" i="9"/>
  <c r="G45" i="9"/>
  <c r="F45" i="9"/>
  <c r="E45" i="9"/>
  <c r="D45" i="9"/>
  <c r="C45" i="9"/>
  <c r="R134" i="8"/>
  <c r="R48" i="9" s="1"/>
  <c r="N134" i="8"/>
  <c r="N48" i="9" s="1"/>
  <c r="J134" i="8"/>
  <c r="J48" i="9" s="1"/>
  <c r="W129" i="8"/>
  <c r="R129" i="8"/>
  <c r="N129" i="8"/>
  <c r="O129" i="8" s="1"/>
  <c r="J129" i="8"/>
  <c r="R128" i="8"/>
  <c r="S128" i="8" s="1"/>
  <c r="N128" i="8"/>
  <c r="O128" i="8" s="1"/>
  <c r="K128" i="8"/>
  <c r="L128" i="8" s="1"/>
  <c r="V44" i="9"/>
  <c r="U44" i="9"/>
  <c r="S44" i="9"/>
  <c r="R44" i="9"/>
  <c r="Q44" i="9"/>
  <c r="M44" i="9"/>
  <c r="I44" i="9"/>
  <c r="G44" i="9"/>
  <c r="F44" i="9"/>
  <c r="E44" i="9"/>
  <c r="D44" i="9"/>
  <c r="C44" i="9"/>
  <c r="U43" i="9"/>
  <c r="Q43" i="9"/>
  <c r="M43" i="9"/>
  <c r="I43" i="9"/>
  <c r="G43" i="9"/>
  <c r="F43" i="9"/>
  <c r="E43" i="9"/>
  <c r="D43" i="9"/>
  <c r="C43" i="9"/>
  <c r="U42" i="9"/>
  <c r="S42" i="9"/>
  <c r="R42" i="9"/>
  <c r="Q42" i="9"/>
  <c r="O42" i="9"/>
  <c r="N42" i="9"/>
  <c r="M42" i="9"/>
  <c r="G42" i="9"/>
  <c r="F42" i="9"/>
  <c r="E42" i="9"/>
  <c r="D42" i="9"/>
  <c r="C42" i="9"/>
  <c r="V114" i="8"/>
  <c r="W114" i="8" s="1"/>
  <c r="W42" i="9" s="1"/>
  <c r="T114" i="8"/>
  <c r="P114" i="8"/>
  <c r="AE114" i="8" s="1"/>
  <c r="I114" i="8"/>
  <c r="J114" i="8" s="1"/>
  <c r="K114" i="8" s="1"/>
  <c r="K42" i="9" s="1"/>
  <c r="U39" i="9"/>
  <c r="Q39" i="9"/>
  <c r="M39" i="9"/>
  <c r="I39" i="9"/>
  <c r="G39" i="9"/>
  <c r="F39" i="9"/>
  <c r="E39" i="9"/>
  <c r="D39" i="9"/>
  <c r="C39" i="9"/>
  <c r="U37" i="9"/>
  <c r="Q37" i="9"/>
  <c r="M37" i="9"/>
  <c r="U36" i="9"/>
  <c r="Q36" i="9"/>
  <c r="M36" i="9"/>
  <c r="I37" i="9"/>
  <c r="I36" i="9"/>
  <c r="G37" i="9"/>
  <c r="F37" i="9"/>
  <c r="E37" i="9"/>
  <c r="D37" i="9"/>
  <c r="G36" i="9"/>
  <c r="F36" i="9"/>
  <c r="E36" i="9"/>
  <c r="D36" i="9"/>
  <c r="C37" i="9"/>
  <c r="C36" i="9"/>
  <c r="U35" i="9"/>
  <c r="Q35" i="9"/>
  <c r="M35" i="9"/>
  <c r="I35" i="9"/>
  <c r="G35" i="9"/>
  <c r="F35" i="9"/>
  <c r="E35" i="9"/>
  <c r="D35" i="9"/>
  <c r="C35" i="9"/>
  <c r="V31" i="9"/>
  <c r="U31" i="9"/>
  <c r="S31" i="9"/>
  <c r="R31" i="9"/>
  <c r="Q31" i="9"/>
  <c r="O31" i="9"/>
  <c r="M31" i="9"/>
  <c r="I31" i="9"/>
  <c r="G31" i="9"/>
  <c r="F31" i="9"/>
  <c r="E31" i="9"/>
  <c r="D31" i="9"/>
  <c r="C31" i="9"/>
  <c r="U30" i="9"/>
  <c r="Q30" i="9"/>
  <c r="M30" i="9"/>
  <c r="I30" i="9"/>
  <c r="G30" i="9"/>
  <c r="F30" i="9"/>
  <c r="E30" i="9"/>
  <c r="D30" i="9"/>
  <c r="C30" i="9"/>
  <c r="U29" i="9"/>
  <c r="Q29" i="9"/>
  <c r="M29" i="9"/>
  <c r="I29" i="9"/>
  <c r="G29" i="9"/>
  <c r="F29" i="9"/>
  <c r="E29" i="9"/>
  <c r="D29" i="9"/>
  <c r="C29" i="9"/>
  <c r="U28" i="9"/>
  <c r="Q28" i="9"/>
  <c r="M28" i="9"/>
  <c r="I28" i="9"/>
  <c r="G28" i="9"/>
  <c r="F28" i="9"/>
  <c r="E28" i="9"/>
  <c r="D28" i="9"/>
  <c r="C28" i="9"/>
  <c r="U24" i="9"/>
  <c r="Q24" i="9"/>
  <c r="M24" i="9"/>
  <c r="I24" i="9"/>
  <c r="G24" i="9"/>
  <c r="F24" i="9"/>
  <c r="E24" i="9"/>
  <c r="D24" i="9"/>
  <c r="C24" i="9"/>
  <c r="W20" i="9"/>
  <c r="V20" i="9"/>
  <c r="U20" i="9"/>
  <c r="S20" i="9"/>
  <c r="R20" i="9"/>
  <c r="Q20" i="9"/>
  <c r="O20" i="9"/>
  <c r="N20" i="9"/>
  <c r="M20" i="9"/>
  <c r="K20" i="9"/>
  <c r="J20" i="9"/>
  <c r="W19" i="9"/>
  <c r="V19" i="9"/>
  <c r="U19" i="9"/>
  <c r="S19" i="9"/>
  <c r="R19" i="9"/>
  <c r="Q19" i="9"/>
  <c r="O19" i="9"/>
  <c r="N19" i="9"/>
  <c r="M19" i="9"/>
  <c r="K19" i="9"/>
  <c r="J19" i="9"/>
  <c r="W18" i="9"/>
  <c r="V18" i="9"/>
  <c r="U18" i="9"/>
  <c r="S18" i="9"/>
  <c r="R18" i="9"/>
  <c r="Q18" i="9"/>
  <c r="O18" i="9"/>
  <c r="N18" i="9"/>
  <c r="M18" i="9"/>
  <c r="K18" i="9"/>
  <c r="J18" i="9"/>
  <c r="I20" i="9"/>
  <c r="I19" i="9"/>
  <c r="I18" i="9"/>
  <c r="G20" i="9"/>
  <c r="F20" i="9"/>
  <c r="E20" i="9"/>
  <c r="D20" i="9"/>
  <c r="C20" i="9"/>
  <c r="G19" i="9"/>
  <c r="F19" i="9"/>
  <c r="E19" i="9"/>
  <c r="D19" i="9"/>
  <c r="C19" i="9"/>
  <c r="G18" i="9"/>
  <c r="F18" i="9"/>
  <c r="E18" i="9"/>
  <c r="D18" i="9"/>
  <c r="C18" i="9"/>
  <c r="W14" i="9"/>
  <c r="V14" i="9"/>
  <c r="U14" i="9"/>
  <c r="S14" i="9"/>
  <c r="R14" i="9"/>
  <c r="Q14" i="9"/>
  <c r="O14" i="9"/>
  <c r="N14" i="9"/>
  <c r="M14" i="9"/>
  <c r="K14" i="9"/>
  <c r="J14" i="9"/>
  <c r="I14" i="9"/>
  <c r="G14" i="9"/>
  <c r="F14" i="9"/>
  <c r="E14" i="9"/>
  <c r="D14" i="9"/>
  <c r="C14" i="9"/>
  <c r="W4" i="9"/>
  <c r="V4" i="9"/>
  <c r="U4" i="9"/>
  <c r="S4" i="9"/>
  <c r="R4" i="9"/>
  <c r="Q4" i="9"/>
  <c r="O4" i="9"/>
  <c r="N4" i="9"/>
  <c r="M4" i="9"/>
  <c r="K4" i="9"/>
  <c r="J4" i="9"/>
  <c r="W3" i="9"/>
  <c r="V3" i="9"/>
  <c r="U3" i="9"/>
  <c r="T3" i="9"/>
  <c r="S3" i="9"/>
  <c r="R3" i="9"/>
  <c r="Q3" i="9"/>
  <c r="P3" i="9"/>
  <c r="O3" i="9"/>
  <c r="N3" i="9"/>
  <c r="M3" i="9"/>
  <c r="L3" i="9"/>
  <c r="K3" i="9"/>
  <c r="J3" i="9"/>
  <c r="I4" i="9"/>
  <c r="I3" i="9"/>
  <c r="W9" i="9"/>
  <c r="V9" i="9"/>
  <c r="U9" i="9"/>
  <c r="S9" i="9"/>
  <c r="R9" i="9"/>
  <c r="Q9" i="9"/>
  <c r="P9" i="9"/>
  <c r="O9" i="9"/>
  <c r="N9" i="9"/>
  <c r="M9" i="9"/>
  <c r="L9" i="9"/>
  <c r="K9" i="9"/>
  <c r="J9" i="9"/>
  <c r="W8" i="9"/>
  <c r="V8" i="9"/>
  <c r="U8" i="9"/>
  <c r="T8" i="9"/>
  <c r="S8" i="9"/>
  <c r="R8" i="9"/>
  <c r="Q8" i="9"/>
  <c r="P8" i="9"/>
  <c r="O8" i="9"/>
  <c r="N8" i="9"/>
  <c r="M8" i="9"/>
  <c r="L8" i="9"/>
  <c r="K8" i="9"/>
  <c r="J8" i="9"/>
  <c r="W7" i="9"/>
  <c r="V7" i="9"/>
  <c r="U7" i="9"/>
  <c r="T7" i="9"/>
  <c r="S7" i="9"/>
  <c r="R7" i="9"/>
  <c r="Q7" i="9"/>
  <c r="P7" i="9"/>
  <c r="O7" i="9"/>
  <c r="N7" i="9"/>
  <c r="M7" i="9"/>
  <c r="K7" i="9"/>
  <c r="J7" i="9"/>
  <c r="W6" i="9"/>
  <c r="V6" i="9"/>
  <c r="U6" i="9"/>
  <c r="S6" i="9"/>
  <c r="R6" i="9"/>
  <c r="Q6" i="9"/>
  <c r="O6" i="9"/>
  <c r="N6" i="9"/>
  <c r="M6" i="9"/>
  <c r="K6" i="9"/>
  <c r="J6" i="9"/>
  <c r="I9" i="9"/>
  <c r="I8" i="9"/>
  <c r="I7" i="9"/>
  <c r="G9" i="9"/>
  <c r="F9" i="9"/>
  <c r="E9" i="9"/>
  <c r="D9" i="9"/>
  <c r="C9" i="9"/>
  <c r="G8" i="9"/>
  <c r="F8" i="9"/>
  <c r="E8" i="9"/>
  <c r="D8" i="9"/>
  <c r="G7" i="9"/>
  <c r="F7" i="9"/>
  <c r="E7" i="9"/>
  <c r="D7" i="9"/>
  <c r="G6" i="9"/>
  <c r="F6" i="9"/>
  <c r="E6" i="9"/>
  <c r="D6" i="9"/>
  <c r="G4" i="9"/>
  <c r="F4" i="9"/>
  <c r="E4" i="9"/>
  <c r="D4" i="9"/>
  <c r="C4" i="9"/>
  <c r="G3" i="9"/>
  <c r="F3" i="9"/>
  <c r="E3" i="9"/>
  <c r="D3" i="9"/>
  <c r="C3" i="9"/>
  <c r="B8" i="9"/>
  <c r="B7" i="9"/>
  <c r="B6" i="9"/>
  <c r="V9" i="10"/>
  <c r="U9" i="10"/>
  <c r="U40" i="10" s="1"/>
  <c r="N9" i="10"/>
  <c r="M9" i="10"/>
  <c r="M40" i="10" s="1"/>
  <c r="K9" i="10"/>
  <c r="E9" i="10"/>
  <c r="E40" i="10" s="1"/>
  <c r="D9" i="10"/>
  <c r="W39" i="10"/>
  <c r="W9" i="10" s="1"/>
  <c r="W40" i="10" s="1"/>
  <c r="V39" i="10"/>
  <c r="U39" i="10"/>
  <c r="T39" i="10"/>
  <c r="S39" i="10"/>
  <c r="R39" i="10"/>
  <c r="R40" i="10" s="1"/>
  <c r="Q39" i="10"/>
  <c r="O39" i="10"/>
  <c r="O9" i="10" s="1"/>
  <c r="O40" i="10" s="1"/>
  <c r="N39" i="10"/>
  <c r="M39" i="10"/>
  <c r="L39" i="10"/>
  <c r="K39" i="10"/>
  <c r="J39" i="10"/>
  <c r="J9" i="10" s="1"/>
  <c r="J40" i="10" s="1"/>
  <c r="I39" i="10"/>
  <c r="G39" i="10"/>
  <c r="F39" i="10"/>
  <c r="E39" i="10"/>
  <c r="D39" i="10"/>
  <c r="C39" i="10"/>
  <c r="W32" i="10"/>
  <c r="W8" i="10" s="1"/>
  <c r="W33" i="10" s="1"/>
  <c r="V32" i="10"/>
  <c r="V8" i="10" s="1"/>
  <c r="V33" i="10" s="1"/>
  <c r="U32" i="10"/>
  <c r="U8" i="10" s="1"/>
  <c r="U33" i="10" s="1"/>
  <c r="S32" i="10"/>
  <c r="S33" i="10" s="1"/>
  <c r="R32" i="10"/>
  <c r="Q32" i="10"/>
  <c r="Q33" i="10" s="1"/>
  <c r="O32" i="10"/>
  <c r="O8" i="10" s="1"/>
  <c r="O33" i="10" s="1"/>
  <c r="N32" i="10"/>
  <c r="N8" i="10" s="1"/>
  <c r="N33" i="10" s="1"/>
  <c r="M32" i="10"/>
  <c r="M8" i="10" s="1"/>
  <c r="M33" i="10" s="1"/>
  <c r="L32" i="10"/>
  <c r="K32" i="10"/>
  <c r="K8" i="10" s="1"/>
  <c r="K33" i="10" s="1"/>
  <c r="J32" i="10"/>
  <c r="J8" i="10" s="1"/>
  <c r="I32" i="10"/>
  <c r="G32" i="10"/>
  <c r="F32" i="10"/>
  <c r="E32" i="10"/>
  <c r="D32" i="10"/>
  <c r="C32" i="10"/>
  <c r="W26" i="10"/>
  <c r="W27" i="10" s="1"/>
  <c r="V26" i="10"/>
  <c r="V27" i="10" s="1"/>
  <c r="U26" i="10"/>
  <c r="U27" i="10" s="1"/>
  <c r="T26" i="10"/>
  <c r="T27" i="10" s="1"/>
  <c r="S26" i="10"/>
  <c r="S27" i="10" s="1"/>
  <c r="R26" i="10"/>
  <c r="R27" i="10" s="1"/>
  <c r="Q26" i="10"/>
  <c r="Q27" i="10" s="1"/>
  <c r="P26" i="10"/>
  <c r="P27" i="10" s="1"/>
  <c r="O26" i="10"/>
  <c r="O27" i="10" s="1"/>
  <c r="N26" i="10"/>
  <c r="N27" i="10" s="1"/>
  <c r="M26" i="10"/>
  <c r="M27" i="10" s="1"/>
  <c r="L26" i="10"/>
  <c r="L27" i="10" s="1"/>
  <c r="K26" i="10"/>
  <c r="K27" i="10" s="1"/>
  <c r="J26" i="10"/>
  <c r="J27" i="10" s="1"/>
  <c r="I26" i="10"/>
  <c r="G26" i="10"/>
  <c r="G27" i="10" s="1"/>
  <c r="F26" i="10"/>
  <c r="F18" i="10" s="1"/>
  <c r="F20" i="10" s="1"/>
  <c r="F7" i="10" s="1"/>
  <c r="E26" i="10"/>
  <c r="E18" i="10" s="1"/>
  <c r="D26" i="10"/>
  <c r="D18" i="10" s="1"/>
  <c r="C26" i="10"/>
  <c r="W20" i="10"/>
  <c r="W7" i="10" s="1"/>
  <c r="V20" i="10"/>
  <c r="V7" i="10" s="1"/>
  <c r="U20" i="10"/>
  <c r="U7" i="10" s="1"/>
  <c r="T20" i="10"/>
  <c r="S20" i="10"/>
  <c r="R20" i="10"/>
  <c r="Q20" i="10"/>
  <c r="P20" i="10"/>
  <c r="O20" i="10"/>
  <c r="O7" i="10" s="1"/>
  <c r="N20" i="10"/>
  <c r="N7" i="10" s="1"/>
  <c r="M20" i="10"/>
  <c r="M7" i="10" s="1"/>
  <c r="L20" i="10"/>
  <c r="K20" i="10"/>
  <c r="J20" i="10"/>
  <c r="J7" i="10" s="1"/>
  <c r="W4" i="10"/>
  <c r="AI4" i="10" s="1"/>
  <c r="V4" i="10"/>
  <c r="U4" i="10"/>
  <c r="AG4" i="10" s="1"/>
  <c r="S4" i="10"/>
  <c r="AE4" i="10" s="1"/>
  <c r="R4" i="10"/>
  <c r="AD4" i="10" s="1"/>
  <c r="Q4" i="10"/>
  <c r="AC4" i="10" s="1"/>
  <c r="O4" i="10"/>
  <c r="N4" i="10"/>
  <c r="M4" i="10"/>
  <c r="Y4" i="10" s="1"/>
  <c r="K4" i="10"/>
  <c r="J4" i="10"/>
  <c r="W3" i="10"/>
  <c r="AI3" i="10" s="1"/>
  <c r="V3" i="10"/>
  <c r="AH3" i="10" s="1"/>
  <c r="U3" i="10"/>
  <c r="AG3" i="10" s="1"/>
  <c r="T3" i="10"/>
  <c r="AF3" i="10" s="1"/>
  <c r="S3" i="10"/>
  <c r="AE3" i="10" s="1"/>
  <c r="R3" i="10"/>
  <c r="AD3" i="10" s="1"/>
  <c r="Q3" i="10"/>
  <c r="P3" i="10"/>
  <c r="O3" i="10"/>
  <c r="AA3" i="10" s="1"/>
  <c r="N3" i="10"/>
  <c r="Z3" i="10" s="1"/>
  <c r="M3" i="10"/>
  <c r="Y3" i="10" s="1"/>
  <c r="L3" i="10"/>
  <c r="K3" i="10"/>
  <c r="J3" i="10"/>
  <c r="I4" i="10"/>
  <c r="I3" i="10"/>
  <c r="G4" i="10"/>
  <c r="F4" i="10"/>
  <c r="E4" i="10"/>
  <c r="D4" i="10"/>
  <c r="C4" i="10"/>
  <c r="G3" i="10"/>
  <c r="F3" i="10"/>
  <c r="E3" i="10"/>
  <c r="D3" i="10"/>
  <c r="C3" i="10"/>
  <c r="AI30" i="8"/>
  <c r="AH30" i="8"/>
  <c r="AG30" i="8"/>
  <c r="AF30" i="8"/>
  <c r="AE30" i="8"/>
  <c r="AH33" i="8"/>
  <c r="AG33" i="8"/>
  <c r="AF33" i="8"/>
  <c r="AE33" i="8"/>
  <c r="AD33" i="8"/>
  <c r="AC33" i="8"/>
  <c r="AB33" i="8"/>
  <c r="AA33" i="8"/>
  <c r="Z33" i="8"/>
  <c r="AI33" i="8"/>
  <c r="Z141" i="8"/>
  <c r="AH141" i="8"/>
  <c r="AG141" i="8"/>
  <c r="AF141" i="8"/>
  <c r="AE141" i="8"/>
  <c r="AD141" i="8"/>
  <c r="AC141" i="8"/>
  <c r="AB141" i="8"/>
  <c r="AA141" i="8"/>
  <c r="AE73" i="8"/>
  <c r="AD73" i="8"/>
  <c r="AC73" i="8"/>
  <c r="AA73" i="8"/>
  <c r="Z73" i="8"/>
  <c r="AE72" i="8"/>
  <c r="AD72" i="8"/>
  <c r="AC72" i="8"/>
  <c r="AB72" i="8"/>
  <c r="AA72" i="8"/>
  <c r="Z72" i="8"/>
  <c r="AE71" i="8"/>
  <c r="AD71" i="8"/>
  <c r="AC71" i="8"/>
  <c r="AA71" i="8"/>
  <c r="Z71" i="8"/>
  <c r="AE70" i="8"/>
  <c r="AD70" i="8"/>
  <c r="AC70" i="8"/>
  <c r="AA70" i="8"/>
  <c r="Z70" i="8"/>
  <c r="AE69" i="8"/>
  <c r="AD69" i="8"/>
  <c r="AC69" i="8"/>
  <c r="AA69" i="8"/>
  <c r="Z69" i="8"/>
  <c r="AE68" i="8"/>
  <c r="AD68" i="8"/>
  <c r="AC68" i="8"/>
  <c r="AA68" i="8"/>
  <c r="Z68" i="8"/>
  <c r="AE65" i="8"/>
  <c r="AD65" i="8"/>
  <c r="AC65" i="8"/>
  <c r="AA65" i="8"/>
  <c r="Z65" i="8"/>
  <c r="AE64" i="8"/>
  <c r="AD64" i="8"/>
  <c r="AC64" i="8"/>
  <c r="AA64" i="8"/>
  <c r="Z64" i="8"/>
  <c r="AE63" i="8"/>
  <c r="AD63" i="8"/>
  <c r="AC63" i="8"/>
  <c r="AA63" i="8"/>
  <c r="Z63" i="8"/>
  <c r="AE60" i="8"/>
  <c r="AD60" i="8"/>
  <c r="AC60" i="8"/>
  <c r="AA60" i="8"/>
  <c r="Z60" i="8"/>
  <c r="AE59" i="8"/>
  <c r="AD59" i="8"/>
  <c r="AC59" i="8"/>
  <c r="AA59" i="8"/>
  <c r="Z59" i="8"/>
  <c r="AE58" i="8"/>
  <c r="AD58" i="8"/>
  <c r="AC58" i="8"/>
  <c r="AA58" i="8"/>
  <c r="Z58" i="8"/>
  <c r="AE57" i="8"/>
  <c r="AD57" i="8"/>
  <c r="AC57" i="8"/>
  <c r="AA57" i="8"/>
  <c r="Z57" i="8"/>
  <c r="AE56" i="8"/>
  <c r="AD56" i="8"/>
  <c r="AC56" i="8"/>
  <c r="AA56" i="8"/>
  <c r="Z56" i="8"/>
  <c r="AE55" i="8"/>
  <c r="AD55" i="8"/>
  <c r="AC55" i="8"/>
  <c r="AA55" i="8"/>
  <c r="Z55" i="8"/>
  <c r="AE54" i="8"/>
  <c r="AD54" i="8"/>
  <c r="AC54" i="8"/>
  <c r="AA54" i="8"/>
  <c r="Z54" i="8"/>
  <c r="AE51" i="8"/>
  <c r="AD51" i="8"/>
  <c r="AC51" i="8"/>
  <c r="AA51" i="8"/>
  <c r="Z51" i="8"/>
  <c r="AE50" i="8"/>
  <c r="AD50" i="8"/>
  <c r="AC50" i="8"/>
  <c r="AA50" i="8"/>
  <c r="Z50" i="8"/>
  <c r="AE49" i="8"/>
  <c r="AD49" i="8"/>
  <c r="AC49" i="8"/>
  <c r="AA49" i="8"/>
  <c r="Z49" i="8"/>
  <c r="AE48" i="8"/>
  <c r="AK48" i="8" s="1"/>
  <c r="AD48" i="8"/>
  <c r="AC48" i="8"/>
  <c r="AA48" i="8"/>
  <c r="Z48" i="8"/>
  <c r="AE47" i="8"/>
  <c r="AD47" i="8"/>
  <c r="AC47" i="8"/>
  <c r="AA47" i="8"/>
  <c r="Z47" i="8"/>
  <c r="AE44" i="8"/>
  <c r="AD44" i="8"/>
  <c r="AC44" i="8"/>
  <c r="AA44" i="8"/>
  <c r="Z44" i="8"/>
  <c r="AE43" i="8"/>
  <c r="AD43" i="8"/>
  <c r="AC43" i="8"/>
  <c r="AA43" i="8"/>
  <c r="Z43" i="8"/>
  <c r="AE42" i="8"/>
  <c r="AD42" i="8"/>
  <c r="AC42" i="8"/>
  <c r="AB42" i="8"/>
  <c r="AA42" i="8"/>
  <c r="Z42" i="8"/>
  <c r="AE41" i="8"/>
  <c r="AD41" i="8"/>
  <c r="AC41" i="8"/>
  <c r="AA41" i="8"/>
  <c r="Z41" i="8"/>
  <c r="AE40" i="8"/>
  <c r="AD40" i="8"/>
  <c r="AC40" i="8"/>
  <c r="AA40" i="8"/>
  <c r="Z40" i="8"/>
  <c r="AE39" i="8"/>
  <c r="AD39" i="8"/>
  <c r="AC39" i="8"/>
  <c r="AA39" i="8"/>
  <c r="Z39" i="8"/>
  <c r="AE38" i="8"/>
  <c r="AD38" i="8"/>
  <c r="AC38" i="8"/>
  <c r="AA38" i="8"/>
  <c r="Z38" i="8"/>
  <c r="AE4" i="8"/>
  <c r="AD4" i="8"/>
  <c r="AC4" i="8"/>
  <c r="AA4" i="8"/>
  <c r="Z4" i="8"/>
  <c r="AE3" i="8"/>
  <c r="AD3" i="8"/>
  <c r="AC3" i="8"/>
  <c r="AB3" i="8"/>
  <c r="AA3" i="8"/>
  <c r="Z3" i="8"/>
  <c r="AH73" i="8"/>
  <c r="AG73" i="8"/>
  <c r="AH72" i="8"/>
  <c r="AG72" i="8"/>
  <c r="AF72" i="8"/>
  <c r="AH71" i="8"/>
  <c r="AG71" i="8"/>
  <c r="AH70" i="8"/>
  <c r="AG70" i="8"/>
  <c r="AH69" i="8"/>
  <c r="AG69" i="8"/>
  <c r="AH68" i="8"/>
  <c r="AG68" i="8"/>
  <c r="AH65" i="8"/>
  <c r="AG65" i="8"/>
  <c r="AH64" i="8"/>
  <c r="AG64" i="8"/>
  <c r="AH63" i="8"/>
  <c r="AG63" i="8"/>
  <c r="AH60" i="8"/>
  <c r="AG60" i="8"/>
  <c r="AH59" i="8"/>
  <c r="AG59" i="8"/>
  <c r="AH58" i="8"/>
  <c r="AG58" i="8"/>
  <c r="AH57" i="8"/>
  <c r="AG57" i="8"/>
  <c r="AH56" i="8"/>
  <c r="AG56" i="8"/>
  <c r="AH55" i="8"/>
  <c r="AG55" i="8"/>
  <c r="AH54" i="8"/>
  <c r="AG54" i="8"/>
  <c r="AH51" i="8"/>
  <c r="AG51" i="8"/>
  <c r="AH50" i="8"/>
  <c r="AG50" i="8"/>
  <c r="AH49" i="8"/>
  <c r="AG49" i="8"/>
  <c r="AH48" i="8"/>
  <c r="AG48" i="8"/>
  <c r="AH47" i="8"/>
  <c r="AG47" i="8"/>
  <c r="AH44" i="8"/>
  <c r="AG44" i="8"/>
  <c r="AH43" i="8"/>
  <c r="AG43" i="8"/>
  <c r="AH42" i="8"/>
  <c r="AG42" i="8"/>
  <c r="AF42" i="8"/>
  <c r="AH41" i="8"/>
  <c r="AG41" i="8"/>
  <c r="AH40" i="8"/>
  <c r="AG40" i="8"/>
  <c r="AH39" i="8"/>
  <c r="AG39" i="8"/>
  <c r="AH38" i="8"/>
  <c r="AG38" i="8"/>
  <c r="AH4" i="8"/>
  <c r="AG4" i="8"/>
  <c r="AH3" i="8"/>
  <c r="AG3" i="8"/>
  <c r="AF3" i="8"/>
  <c r="AI73" i="8"/>
  <c r="AK73" i="8" s="1"/>
  <c r="AI72" i="8"/>
  <c r="AK72" i="8" s="1"/>
  <c r="AI71" i="8"/>
  <c r="AK71" i="8" s="1"/>
  <c r="AI70" i="8"/>
  <c r="AK70" i="8" s="1"/>
  <c r="AI69" i="8"/>
  <c r="AK69" i="8" s="1"/>
  <c r="AI68" i="8"/>
  <c r="AK68" i="8" s="1"/>
  <c r="AI65" i="8"/>
  <c r="AI64" i="8"/>
  <c r="AK64" i="8" s="1"/>
  <c r="AI63" i="8"/>
  <c r="AK63" i="8" s="1"/>
  <c r="AI60" i="8"/>
  <c r="AK60" i="8" s="1"/>
  <c r="AI59" i="8"/>
  <c r="AK59" i="8" s="1"/>
  <c r="AI58" i="8"/>
  <c r="AK58" i="8" s="1"/>
  <c r="AI57" i="8"/>
  <c r="AI56" i="8"/>
  <c r="AI55" i="8"/>
  <c r="AK55" i="8" s="1"/>
  <c r="AI54" i="8"/>
  <c r="AK54" i="8" s="1"/>
  <c r="AI51" i="8"/>
  <c r="AK51" i="8" s="1"/>
  <c r="AI50" i="8"/>
  <c r="AK50" i="8" s="1"/>
  <c r="AI49" i="8"/>
  <c r="AK49" i="8" s="1"/>
  <c r="AI48" i="8"/>
  <c r="AI47" i="8"/>
  <c r="AI44" i="8"/>
  <c r="AK44" i="8" s="1"/>
  <c r="AI43" i="8"/>
  <c r="AK43" i="8" s="1"/>
  <c r="AI42" i="8"/>
  <c r="AK42" i="8" s="1"/>
  <c r="AI41" i="8"/>
  <c r="AK41" i="8" s="1"/>
  <c r="AI40" i="8"/>
  <c r="AK40" i="8" s="1"/>
  <c r="AI39" i="8"/>
  <c r="AI38" i="8"/>
  <c r="AI4" i="8"/>
  <c r="AI3" i="8"/>
  <c r="T4" i="8"/>
  <c r="AF4" i="8" s="1"/>
  <c r="P4" i="8"/>
  <c r="AB4" i="8" s="1"/>
  <c r="L4" i="8"/>
  <c r="L4" i="9" s="1"/>
  <c r="W141" i="8"/>
  <c r="AI141" i="8" s="1"/>
  <c r="W118" i="8"/>
  <c r="W44" i="9" s="1"/>
  <c r="W96" i="8"/>
  <c r="W31" i="9" s="1"/>
  <c r="W74" i="8"/>
  <c r="W80" i="9" s="1"/>
  <c r="W61" i="8"/>
  <c r="W66" i="8" s="1"/>
  <c r="W69" i="9" s="1"/>
  <c r="W45" i="8"/>
  <c r="W52" i="8" s="1"/>
  <c r="W9" i="8"/>
  <c r="W12" i="8" s="1"/>
  <c r="W13" i="8" s="1"/>
  <c r="T26" i="8"/>
  <c r="AI26" i="8" s="1"/>
  <c r="T23" i="8"/>
  <c r="AG23" i="8" s="1"/>
  <c r="T22" i="8"/>
  <c r="AH22" i="8" s="1"/>
  <c r="T21" i="8"/>
  <c r="AI21" i="8" s="1"/>
  <c r="T17" i="8"/>
  <c r="AH17" i="8" s="1"/>
  <c r="T16" i="8"/>
  <c r="AH16" i="8" s="1"/>
  <c r="T15" i="8"/>
  <c r="AF15" i="8" s="1"/>
  <c r="T11" i="8"/>
  <c r="AG11" i="8" s="1"/>
  <c r="T8" i="8"/>
  <c r="AI8" i="8" s="1"/>
  <c r="P26" i="8"/>
  <c r="AE26" i="8" s="1"/>
  <c r="P23" i="8"/>
  <c r="P22" i="8"/>
  <c r="AE22" i="8" s="1"/>
  <c r="P21" i="8"/>
  <c r="AB21" i="8" s="1"/>
  <c r="P17" i="8"/>
  <c r="AD17" i="8" s="1"/>
  <c r="P16" i="8"/>
  <c r="AE16" i="8" s="1"/>
  <c r="P15" i="8"/>
  <c r="AD15" i="8" s="1"/>
  <c r="P11" i="8"/>
  <c r="AC11" i="8" s="1"/>
  <c r="P8" i="8"/>
  <c r="AD8" i="8" s="1"/>
  <c r="AD9" i="8" s="1"/>
  <c r="L8" i="8"/>
  <c r="AA8" i="8" s="1"/>
  <c r="AA9" i="8" s="1"/>
  <c r="L11" i="8"/>
  <c r="L14" i="9" s="1"/>
  <c r="L17" i="8"/>
  <c r="Z17" i="8" s="1"/>
  <c r="L16" i="8"/>
  <c r="Z16" i="8" s="1"/>
  <c r="L15" i="8"/>
  <c r="AA15" i="8" s="1"/>
  <c r="L23" i="8"/>
  <c r="Z23" i="8" s="1"/>
  <c r="L22" i="8"/>
  <c r="AA22" i="8" s="1"/>
  <c r="L21" i="8"/>
  <c r="AA21" i="8" s="1"/>
  <c r="L26" i="8"/>
  <c r="Z26" i="8" s="1"/>
  <c r="V148" i="8"/>
  <c r="W148" i="8" s="1"/>
  <c r="W37" i="9" s="1"/>
  <c r="V147" i="8"/>
  <c r="W147" i="8" s="1"/>
  <c r="W36" i="9" s="1"/>
  <c r="R148" i="8"/>
  <c r="S148" i="8" s="1"/>
  <c r="T148" i="8" s="1"/>
  <c r="T37" i="9" s="1"/>
  <c r="R147" i="8"/>
  <c r="S147" i="8" s="1"/>
  <c r="S36" i="9" s="1"/>
  <c r="N148" i="8"/>
  <c r="O148" i="8" s="1"/>
  <c r="P148" i="8" s="1"/>
  <c r="P37" i="9" s="1"/>
  <c r="N147" i="8"/>
  <c r="O147" i="8" s="1"/>
  <c r="P147" i="8" s="1"/>
  <c r="P36" i="9" s="1"/>
  <c r="J148" i="8"/>
  <c r="K148" i="8" s="1"/>
  <c r="K37" i="9" s="1"/>
  <c r="J147" i="8"/>
  <c r="K147" i="8" s="1"/>
  <c r="K36" i="9" s="1"/>
  <c r="P73" i="8"/>
  <c r="AB73" i="8" s="1"/>
  <c r="P71" i="8"/>
  <c r="AB71" i="8" s="1"/>
  <c r="P70" i="8"/>
  <c r="AB70" i="8" s="1"/>
  <c r="P69" i="8"/>
  <c r="AB69" i="8" s="1"/>
  <c r="P68" i="8"/>
  <c r="AB68" i="8" s="1"/>
  <c r="V45" i="8"/>
  <c r="U45" i="8"/>
  <c r="S45" i="8"/>
  <c r="R45" i="8"/>
  <c r="Q45" i="8"/>
  <c r="O45" i="8"/>
  <c r="N45" i="8"/>
  <c r="M45" i="8"/>
  <c r="K45" i="8"/>
  <c r="J45" i="8"/>
  <c r="I45" i="8"/>
  <c r="F45" i="8"/>
  <c r="E45" i="8"/>
  <c r="D45" i="8"/>
  <c r="C45" i="8"/>
  <c r="G45" i="8"/>
  <c r="G62" i="13" l="1"/>
  <c r="H62" i="13" s="1"/>
  <c r="G61" i="13"/>
  <c r="H60" i="13"/>
  <c r="H114" i="11"/>
  <c r="H111" i="11" s="1"/>
  <c r="H112" i="11" s="1"/>
  <c r="H56" i="11" s="1"/>
  <c r="G95" i="11"/>
  <c r="D95" i="11"/>
  <c r="G86" i="11"/>
  <c r="D86" i="11"/>
  <c r="E86" i="11"/>
  <c r="F83" i="11"/>
  <c r="F86" i="11"/>
  <c r="G83" i="11"/>
  <c r="E64" i="11"/>
  <c r="E69" i="11" s="1"/>
  <c r="G64" i="11"/>
  <c r="G69" i="11" s="1"/>
  <c r="D64" i="11"/>
  <c r="D69" i="11" s="1"/>
  <c r="F64" i="11"/>
  <c r="F69" i="11" s="1"/>
  <c r="D52" i="11"/>
  <c r="D58" i="11" s="1"/>
  <c r="E52" i="11"/>
  <c r="E58" i="11" s="1"/>
  <c r="F52" i="11"/>
  <c r="F58" i="11" s="1"/>
  <c r="E37" i="11"/>
  <c r="D118" i="11"/>
  <c r="D40" i="11"/>
  <c r="G52" i="11"/>
  <c r="G58" i="11" s="1"/>
  <c r="I97" i="11"/>
  <c r="F40" i="11"/>
  <c r="D19" i="11"/>
  <c r="D38" i="11" s="1"/>
  <c r="G160" i="11"/>
  <c r="G165" i="11" s="1"/>
  <c r="H22" i="11"/>
  <c r="I22" i="11" s="1"/>
  <c r="J22" i="11" s="1"/>
  <c r="K22" i="11" s="1"/>
  <c r="L22" i="11" s="1"/>
  <c r="D39" i="11"/>
  <c r="E77" i="11"/>
  <c r="E132" i="11"/>
  <c r="E40" i="11"/>
  <c r="D77" i="11"/>
  <c r="F77" i="11"/>
  <c r="G77" i="11"/>
  <c r="G37" i="11"/>
  <c r="F118" i="11"/>
  <c r="F19" i="11"/>
  <c r="F38" i="11" s="1"/>
  <c r="F39" i="11"/>
  <c r="F37" i="11"/>
  <c r="E163" i="11"/>
  <c r="E173" i="11"/>
  <c r="E45" i="11"/>
  <c r="F45" i="11"/>
  <c r="F173" i="11"/>
  <c r="F107" i="11"/>
  <c r="F153" i="11"/>
  <c r="F136" i="11"/>
  <c r="D38" i="13"/>
  <c r="I38" i="11" s="1"/>
  <c r="C38" i="13"/>
  <c r="H38" i="11" s="1"/>
  <c r="D21" i="13"/>
  <c r="I37" i="11" s="1"/>
  <c r="E38" i="13"/>
  <c r="J38" i="11" s="1"/>
  <c r="G39" i="13"/>
  <c r="C36" i="13"/>
  <c r="C40" i="13"/>
  <c r="D36" i="13"/>
  <c r="F37" i="13"/>
  <c r="D40" i="13"/>
  <c r="G35" i="13"/>
  <c r="E36" i="13"/>
  <c r="G37" i="13"/>
  <c r="E40" i="13"/>
  <c r="F35" i="13"/>
  <c r="F39" i="13"/>
  <c r="C21" i="13"/>
  <c r="H37" i="11" s="1"/>
  <c r="H23" i="13"/>
  <c r="H20" i="13"/>
  <c r="E21" i="13"/>
  <c r="J37" i="11" s="1"/>
  <c r="G18" i="13"/>
  <c r="G22" i="13"/>
  <c r="C19" i="13"/>
  <c r="H18" i="13"/>
  <c r="D19" i="13"/>
  <c r="F21" i="13"/>
  <c r="K37" i="11" s="1"/>
  <c r="H22" i="13"/>
  <c r="E19" i="13"/>
  <c r="G21" i="13"/>
  <c r="L37" i="11" s="1"/>
  <c r="C23" i="13"/>
  <c r="F19" i="13"/>
  <c r="H21" i="13"/>
  <c r="D23" i="13"/>
  <c r="G19" i="13"/>
  <c r="E23" i="13"/>
  <c r="F20" i="13"/>
  <c r="H19" i="13"/>
  <c r="F23" i="13"/>
  <c r="G20" i="13"/>
  <c r="G23" i="13"/>
  <c r="F18" i="13"/>
  <c r="F22" i="13"/>
  <c r="F33" i="13"/>
  <c r="H32" i="13"/>
  <c r="H33" i="13" s="1"/>
  <c r="G33" i="13"/>
  <c r="H46" i="13"/>
  <c r="H31" i="13"/>
  <c r="F31" i="13"/>
  <c r="G31" i="13"/>
  <c r="H27" i="13"/>
  <c r="F46" i="13"/>
  <c r="G46" i="13"/>
  <c r="F52" i="13"/>
  <c r="G51" i="13"/>
  <c r="H28" i="13"/>
  <c r="H29" i="13" s="1"/>
  <c r="G29" i="13"/>
  <c r="F29" i="13"/>
  <c r="H43" i="13"/>
  <c r="H44" i="13" s="1"/>
  <c r="G44" i="13"/>
  <c r="L39" i="11" s="1"/>
  <c r="F27" i="13"/>
  <c r="F44" i="13"/>
  <c r="K39" i="11" s="1"/>
  <c r="G27" i="13"/>
  <c r="G55" i="13"/>
  <c r="H49" i="13"/>
  <c r="H50" i="13" s="1"/>
  <c r="G50" i="13"/>
  <c r="L40" i="11" s="1"/>
  <c r="F50" i="13"/>
  <c r="K40" i="11" s="1"/>
  <c r="G40" i="11"/>
  <c r="G39" i="11"/>
  <c r="G14" i="11"/>
  <c r="I131" i="11"/>
  <c r="J131" i="11" s="1"/>
  <c r="E19" i="11"/>
  <c r="E38" i="11" s="1"/>
  <c r="E39" i="11"/>
  <c r="E118" i="11"/>
  <c r="G19" i="11"/>
  <c r="G23" i="11" s="1"/>
  <c r="G118" i="11"/>
  <c r="H118" i="11" s="1"/>
  <c r="I118" i="11" s="1"/>
  <c r="G45" i="11"/>
  <c r="H15" i="11"/>
  <c r="H107" i="11" s="1"/>
  <c r="E165" i="11"/>
  <c r="J204" i="11"/>
  <c r="J202" i="11"/>
  <c r="K203" i="11"/>
  <c r="J196" i="11"/>
  <c r="G107" i="11"/>
  <c r="I114" i="11"/>
  <c r="F160" i="11"/>
  <c r="F165" i="11" s="1"/>
  <c r="F163" i="11"/>
  <c r="E136" i="11"/>
  <c r="E153" i="11"/>
  <c r="G173" i="11"/>
  <c r="G136" i="11"/>
  <c r="G153" i="11"/>
  <c r="D15" i="11"/>
  <c r="D83" i="11" s="1"/>
  <c r="E107" i="11"/>
  <c r="Y8" i="10"/>
  <c r="Y12" i="10"/>
  <c r="Y9" i="10"/>
  <c r="Z18" i="10"/>
  <c r="Z27" i="10"/>
  <c r="Z20" i="10"/>
  <c r="Z17" i="10"/>
  <c r="Y37" i="10"/>
  <c r="Y39" i="10" s="1"/>
  <c r="Y40" i="10" s="1"/>
  <c r="Z37" i="10"/>
  <c r="Z39" i="10" s="1"/>
  <c r="Z40" i="10" s="1"/>
  <c r="AB39" i="10"/>
  <c r="AB40" i="10" s="1"/>
  <c r="AD36" i="10"/>
  <c r="AD39" i="10" s="1"/>
  <c r="AE40" i="10"/>
  <c r="AE36" i="10"/>
  <c r="AE39" i="10" s="1"/>
  <c r="AB38" i="10"/>
  <c r="AC38" i="10"/>
  <c r="AC39" i="10" s="1"/>
  <c r="AC40" i="10" s="1"/>
  <c r="AK38" i="10"/>
  <c r="AD38" i="10"/>
  <c r="AG38" i="10"/>
  <c r="AG36" i="10"/>
  <c r="AG39" i="10" s="1"/>
  <c r="AG40" i="10"/>
  <c r="AI39" i="10"/>
  <c r="AK39" i="10" s="1"/>
  <c r="AF40" i="10"/>
  <c r="AH32" i="10"/>
  <c r="AH33" i="10" s="1"/>
  <c r="AG32" i="10"/>
  <c r="AG33" i="10" s="1"/>
  <c r="AI31" i="10"/>
  <c r="AI32" i="10" s="1"/>
  <c r="AI33" i="10" s="1"/>
  <c r="AF33" i="10"/>
  <c r="AG31" i="10"/>
  <c r="AH31" i="10"/>
  <c r="T32" i="10"/>
  <c r="T33" i="10" s="1"/>
  <c r="AE31" i="10"/>
  <c r="AE32" i="10"/>
  <c r="P32" i="10"/>
  <c r="P33" i="10" s="1"/>
  <c r="AE33" i="10"/>
  <c r="AD31" i="10"/>
  <c r="AD32" i="10" s="1"/>
  <c r="AB31" i="10"/>
  <c r="AB32" i="10" s="1"/>
  <c r="AK26" i="10"/>
  <c r="AB25" i="10"/>
  <c r="AB26" i="10" s="1"/>
  <c r="AB27" i="10" s="1"/>
  <c r="AD27" i="10"/>
  <c r="AC25" i="10"/>
  <c r="AC26" i="10" s="1"/>
  <c r="AC27" i="10" s="1"/>
  <c r="AK25" i="10"/>
  <c r="AG25" i="10"/>
  <c r="AG26" i="10" s="1"/>
  <c r="AG27" i="10" s="1"/>
  <c r="AI27" i="10"/>
  <c r="AH25" i="10"/>
  <c r="AH26" i="10" s="1"/>
  <c r="AK24" i="10"/>
  <c r="AF27" i="10"/>
  <c r="AI20" i="10"/>
  <c r="AH18" i="10"/>
  <c r="AK18" i="10"/>
  <c r="AD20" i="10"/>
  <c r="AE20" i="10"/>
  <c r="AK20" i="10" s="1"/>
  <c r="AK17" i="10"/>
  <c r="AD21" i="10"/>
  <c r="AB17" i="10"/>
  <c r="AB20" i="10" s="1"/>
  <c r="AC17" i="10"/>
  <c r="AC20" i="10" s="1"/>
  <c r="AC21" i="10" s="1"/>
  <c r="Y20" i="10"/>
  <c r="Y27" i="10"/>
  <c r="AA18" i="10"/>
  <c r="AA27" i="10" s="1"/>
  <c r="C40" i="10"/>
  <c r="Z9" i="10"/>
  <c r="AA8" i="10"/>
  <c r="L33" i="10"/>
  <c r="L7" i="9"/>
  <c r="AB7" i="10"/>
  <c r="AC7" i="10"/>
  <c r="AE7" i="10"/>
  <c r="AE21" i="10" s="1"/>
  <c r="P6" i="9"/>
  <c r="T9" i="9"/>
  <c r="AK12" i="10"/>
  <c r="AF12" i="10"/>
  <c r="AG12" i="10"/>
  <c r="AF7" i="10"/>
  <c r="AF21" i="10" s="1"/>
  <c r="AI7" i="10"/>
  <c r="AG7" i="10"/>
  <c r="AH7" i="10"/>
  <c r="AH10" i="10" s="1"/>
  <c r="AH13" i="10" s="1"/>
  <c r="AK7" i="10"/>
  <c r="AG10" i="10"/>
  <c r="AG13" i="10" s="1"/>
  <c r="AC10" i="10"/>
  <c r="AC13" i="10" s="1"/>
  <c r="AD10" i="10"/>
  <c r="AD13" i="10" s="1"/>
  <c r="AD14" i="10" s="1"/>
  <c r="AK8" i="10"/>
  <c r="AI21" i="10"/>
  <c r="AB21" i="10"/>
  <c r="AH40" i="10"/>
  <c r="AA40" i="10"/>
  <c r="AF10" i="10"/>
  <c r="AI10" i="10"/>
  <c r="AB10" i="10"/>
  <c r="AB13" i="10" s="1"/>
  <c r="AK9" i="10"/>
  <c r="AD40" i="10"/>
  <c r="AG21" i="10"/>
  <c r="Y75" i="8"/>
  <c r="Y77" i="8" s="1"/>
  <c r="Y13" i="8"/>
  <c r="Y18" i="8"/>
  <c r="C78" i="9"/>
  <c r="W68" i="9"/>
  <c r="I61" i="9"/>
  <c r="K45" i="9"/>
  <c r="S61" i="9"/>
  <c r="Q61" i="9"/>
  <c r="K61" i="9"/>
  <c r="W76" i="9"/>
  <c r="W78" i="9" s="1"/>
  <c r="W81" i="9" s="1"/>
  <c r="W90" i="9" s="1"/>
  <c r="W60" i="9"/>
  <c r="W61" i="9" s="1"/>
  <c r="V61" i="9"/>
  <c r="C61" i="9"/>
  <c r="N61" i="9"/>
  <c r="U61" i="9"/>
  <c r="F61" i="9"/>
  <c r="O61" i="9"/>
  <c r="G61" i="9"/>
  <c r="J61" i="9"/>
  <c r="R61" i="9"/>
  <c r="O134" i="8"/>
  <c r="O48" i="9" s="1"/>
  <c r="S134" i="8"/>
  <c r="S48" i="9" s="1"/>
  <c r="K134" i="8"/>
  <c r="K48" i="9" s="1"/>
  <c r="K129" i="8"/>
  <c r="L129" i="8" s="1"/>
  <c r="AA129" i="8" s="1"/>
  <c r="AA128" i="8"/>
  <c r="P128" i="8"/>
  <c r="AE128" i="8" s="1"/>
  <c r="T128" i="8"/>
  <c r="AH128" i="8" s="1"/>
  <c r="P129" i="8"/>
  <c r="AC129" i="8" s="1"/>
  <c r="Z128" i="8"/>
  <c r="S129" i="8"/>
  <c r="T129" i="8" s="1"/>
  <c r="AI129" i="8" s="1"/>
  <c r="AC128" i="8"/>
  <c r="I42" i="9"/>
  <c r="AI114" i="8"/>
  <c r="J42" i="9"/>
  <c r="V42" i="9"/>
  <c r="V37" i="9"/>
  <c r="N37" i="9"/>
  <c r="AB114" i="8"/>
  <c r="AD114" i="8"/>
  <c r="L114" i="8"/>
  <c r="AA114" i="8" s="1"/>
  <c r="AC114" i="8"/>
  <c r="AF114" i="8"/>
  <c r="AG114" i="8"/>
  <c r="AH114" i="8"/>
  <c r="J36" i="9"/>
  <c r="R36" i="9"/>
  <c r="L4" i="10"/>
  <c r="T4" i="10"/>
  <c r="AF4" i="10" s="1"/>
  <c r="L19" i="9"/>
  <c r="T19" i="9"/>
  <c r="P4" i="9"/>
  <c r="T14" i="9"/>
  <c r="L18" i="9"/>
  <c r="T18" i="9"/>
  <c r="P20" i="9"/>
  <c r="O37" i="9"/>
  <c r="N36" i="9"/>
  <c r="V36" i="9"/>
  <c r="P4" i="10"/>
  <c r="AB4" i="10" s="1"/>
  <c r="P19" i="9"/>
  <c r="O36" i="9"/>
  <c r="J37" i="9"/>
  <c r="R37" i="9"/>
  <c r="T4" i="9"/>
  <c r="P14" i="9"/>
  <c r="P18" i="9"/>
  <c r="L20" i="9"/>
  <c r="T20" i="9"/>
  <c r="S37" i="9"/>
  <c r="W10" i="9"/>
  <c r="W15" i="9" s="1"/>
  <c r="L40" i="10"/>
  <c r="D40" i="10"/>
  <c r="N40" i="10"/>
  <c r="V40" i="10"/>
  <c r="F40" i="10"/>
  <c r="T40" i="10"/>
  <c r="K40" i="10"/>
  <c r="S40" i="10"/>
  <c r="F9" i="10"/>
  <c r="P40" i="10"/>
  <c r="I40" i="10"/>
  <c r="Q40" i="10"/>
  <c r="G40" i="10"/>
  <c r="M10" i="10"/>
  <c r="M13" i="10" s="1"/>
  <c r="U10" i="10"/>
  <c r="U13" i="10" s="1"/>
  <c r="N10" i="10"/>
  <c r="N13" i="10" s="1"/>
  <c r="V10" i="10"/>
  <c r="V13" i="10" s="1"/>
  <c r="Q10" i="10"/>
  <c r="Q13" i="10" s="1"/>
  <c r="O10" i="10"/>
  <c r="O13" i="10" s="1"/>
  <c r="R10" i="10"/>
  <c r="R13" i="10" s="1"/>
  <c r="J10" i="10"/>
  <c r="J13" i="10" s="1"/>
  <c r="I33" i="10"/>
  <c r="W10" i="10"/>
  <c r="W13" i="10" s="1"/>
  <c r="W14" i="10" s="1"/>
  <c r="M21" i="10"/>
  <c r="U21" i="10"/>
  <c r="O21" i="10"/>
  <c r="W21" i="10"/>
  <c r="Q21" i="10"/>
  <c r="J33" i="10"/>
  <c r="R33" i="10"/>
  <c r="K7" i="10"/>
  <c r="K10" i="10" s="1"/>
  <c r="K13" i="10" s="1"/>
  <c r="S10" i="10"/>
  <c r="S13" i="10" s="1"/>
  <c r="T10" i="10"/>
  <c r="T13" i="10" s="1"/>
  <c r="P21" i="10"/>
  <c r="J21" i="10"/>
  <c r="R21" i="10"/>
  <c r="N21" i="10"/>
  <c r="V21" i="10"/>
  <c r="P10" i="10"/>
  <c r="P13" i="10" s="1"/>
  <c r="C8" i="10"/>
  <c r="D8" i="10"/>
  <c r="D33" i="10" s="1"/>
  <c r="E8" i="10"/>
  <c r="E33" i="10" s="1"/>
  <c r="F8" i="10"/>
  <c r="G33" i="10"/>
  <c r="I20" i="10"/>
  <c r="I7" i="10" s="1"/>
  <c r="I27" i="10"/>
  <c r="C20" i="10"/>
  <c r="C7" i="10" s="1"/>
  <c r="C6" i="9" s="1"/>
  <c r="C27" i="10"/>
  <c r="D27" i="10"/>
  <c r="D20" i="10"/>
  <c r="D7" i="10" s="1"/>
  <c r="E27" i="10"/>
  <c r="E20" i="10"/>
  <c r="E7" i="10" s="1"/>
  <c r="F27" i="10"/>
  <c r="G20" i="10"/>
  <c r="G7" i="10" s="1"/>
  <c r="F21" i="10"/>
  <c r="AA74" i="8"/>
  <c r="AE8" i="8"/>
  <c r="AE9" i="8" s="1"/>
  <c r="AA17" i="8"/>
  <c r="AC21" i="8"/>
  <c r="AD11" i="8"/>
  <c r="AD12" i="8" s="1"/>
  <c r="Z22" i="8"/>
  <c r="AE45" i="8"/>
  <c r="AE52" i="8" s="1"/>
  <c r="Z15" i="8"/>
  <c r="AA23" i="8"/>
  <c r="AE15" i="8"/>
  <c r="AC26" i="8"/>
  <c r="AE74" i="8"/>
  <c r="AE21" i="8"/>
  <c r="AK21" i="8" s="1"/>
  <c r="AE147" i="8"/>
  <c r="AK26" i="8"/>
  <c r="AB16" i="8"/>
  <c r="AD26" i="8"/>
  <c r="AD147" i="8"/>
  <c r="AE17" i="8"/>
  <c r="AB17" i="8"/>
  <c r="Z8" i="8"/>
  <c r="Z9" i="8" s="1"/>
  <c r="AA16" i="8"/>
  <c r="AA11" i="8"/>
  <c r="AA12" i="8" s="1"/>
  <c r="Z11" i="8"/>
  <c r="AD22" i="8"/>
  <c r="AC22" i="8"/>
  <c r="AB22" i="8"/>
  <c r="AB23" i="8"/>
  <c r="AE23" i="8"/>
  <c r="AD23" i="8"/>
  <c r="AC23" i="8"/>
  <c r="AA26" i="8"/>
  <c r="AC17" i="8"/>
  <c r="AB74" i="8"/>
  <c r="AE148" i="8"/>
  <c r="AC45" i="8"/>
  <c r="AC52" i="8" s="1"/>
  <c r="AE61" i="8"/>
  <c r="AE66" i="8" s="1"/>
  <c r="AE11" i="8"/>
  <c r="AD21" i="8"/>
  <c r="AB26" i="8"/>
  <c r="AD61" i="8"/>
  <c r="AD66" i="8" s="1"/>
  <c r="Z61" i="8"/>
  <c r="Z66" i="8" s="1"/>
  <c r="AG17" i="8"/>
  <c r="AC16" i="8"/>
  <c r="AB148" i="8"/>
  <c r="AB8" i="8"/>
  <c r="AB9" i="8" s="1"/>
  <c r="AB15" i="8"/>
  <c r="AD16" i="8"/>
  <c r="Z21" i="8"/>
  <c r="Z45" i="8"/>
  <c r="Z52" i="8" s="1"/>
  <c r="AD45" i="8"/>
  <c r="AD52" i="8" s="1"/>
  <c r="AC74" i="8"/>
  <c r="AC148" i="8"/>
  <c r="AC8" i="8"/>
  <c r="AC9" i="8" s="1"/>
  <c r="AC12" i="8" s="1"/>
  <c r="AC13" i="8" s="1"/>
  <c r="AB11" i="8"/>
  <c r="AC15" i="8"/>
  <c r="AA45" i="8"/>
  <c r="AA52" i="8" s="1"/>
  <c r="AA61" i="8"/>
  <c r="AA66" i="8" s="1"/>
  <c r="AC61" i="8"/>
  <c r="AC66" i="8" s="1"/>
  <c r="AD74" i="8"/>
  <c r="Z74" i="8"/>
  <c r="AB147" i="8"/>
  <c r="AD148" i="8"/>
  <c r="AC147" i="8"/>
  <c r="AH23" i="8"/>
  <c r="AF21" i="8"/>
  <c r="AI148" i="8"/>
  <c r="AI11" i="8"/>
  <c r="AG21" i="8"/>
  <c r="AI17" i="8"/>
  <c r="AF22" i="8"/>
  <c r="AG74" i="8"/>
  <c r="AI23" i="8"/>
  <c r="AF23" i="8"/>
  <c r="AH11" i="8"/>
  <c r="AG15" i="8"/>
  <c r="AF26" i="8"/>
  <c r="AG45" i="8"/>
  <c r="AG52" i="8" s="1"/>
  <c r="AH74" i="8"/>
  <c r="AI16" i="8"/>
  <c r="AK16" i="8" s="1"/>
  <c r="AG8" i="8"/>
  <c r="AG9" i="8" s="1"/>
  <c r="AF16" i="8"/>
  <c r="AH21" i="8"/>
  <c r="AG26" i="8"/>
  <c r="AG61" i="8"/>
  <c r="AG66" i="8" s="1"/>
  <c r="AI15" i="8"/>
  <c r="AH15" i="8"/>
  <c r="AG16" i="8"/>
  <c r="AH26" i="8"/>
  <c r="AH61" i="8"/>
  <c r="AH66" i="8" s="1"/>
  <c r="AF11" i="8"/>
  <c r="AG22" i="8"/>
  <c r="AF8" i="8"/>
  <c r="AF9" i="8" s="1"/>
  <c r="AH8" i="8"/>
  <c r="AH9" i="8" s="1"/>
  <c r="AI22" i="8"/>
  <c r="AK22" i="8" s="1"/>
  <c r="AF17" i="8"/>
  <c r="AH45" i="8"/>
  <c r="AH52" i="8" s="1"/>
  <c r="AF148" i="8"/>
  <c r="AG148" i="8"/>
  <c r="AH148" i="8"/>
  <c r="W75" i="8"/>
  <c r="W77" i="8" s="1"/>
  <c r="W18" i="8"/>
  <c r="T147" i="8"/>
  <c r="L148" i="8"/>
  <c r="L37" i="9" s="1"/>
  <c r="L147" i="8"/>
  <c r="H55" i="13" l="1"/>
  <c r="L41" i="11"/>
  <c r="H61" i="13"/>
  <c r="G106" i="11"/>
  <c r="G82" i="11"/>
  <c r="H51" i="11"/>
  <c r="I51" i="11" s="1"/>
  <c r="J51" i="11" s="1"/>
  <c r="K51" i="11" s="1"/>
  <c r="L51" i="11" s="1"/>
  <c r="H63" i="11"/>
  <c r="I63" i="11" s="1"/>
  <c r="J63" i="11" s="1"/>
  <c r="K63" i="11" s="1"/>
  <c r="L63" i="11" s="1"/>
  <c r="D23" i="11"/>
  <c r="D32" i="11" s="1"/>
  <c r="D34" i="11" s="1"/>
  <c r="H48" i="11"/>
  <c r="I48" i="11" s="1"/>
  <c r="J48" i="11" s="1"/>
  <c r="K48" i="11" s="1"/>
  <c r="L48" i="11" s="1"/>
  <c r="H49" i="11"/>
  <c r="I49" i="11" s="1"/>
  <c r="J49" i="11" s="1"/>
  <c r="K49" i="11" s="1"/>
  <c r="L49" i="11" s="1"/>
  <c r="J97" i="11"/>
  <c r="I163" i="11"/>
  <c r="H163" i="11"/>
  <c r="H97" i="11"/>
  <c r="G164" i="11"/>
  <c r="H164" i="11" s="1"/>
  <c r="I164" i="11" s="1"/>
  <c r="F79" i="11"/>
  <c r="E23" i="11"/>
  <c r="E32" i="11" s="1"/>
  <c r="E34" i="11" s="1"/>
  <c r="G79" i="11"/>
  <c r="G38" i="11"/>
  <c r="E79" i="11"/>
  <c r="H45" i="11"/>
  <c r="F14" i="11"/>
  <c r="D79" i="11"/>
  <c r="F23" i="11"/>
  <c r="F32" i="11" s="1"/>
  <c r="F34" i="11" s="1"/>
  <c r="H153" i="11"/>
  <c r="G135" i="11"/>
  <c r="H14" i="11"/>
  <c r="H44" i="11" s="1"/>
  <c r="H136" i="11"/>
  <c r="H195" i="11"/>
  <c r="G152" i="11"/>
  <c r="G172" i="11"/>
  <c r="D173" i="11"/>
  <c r="D45" i="11"/>
  <c r="G44" i="11"/>
  <c r="E164" i="11"/>
  <c r="F40" i="13"/>
  <c r="F36" i="13"/>
  <c r="F38" i="13"/>
  <c r="K38" i="11" s="1"/>
  <c r="H39" i="13"/>
  <c r="G40" i="13"/>
  <c r="G36" i="13"/>
  <c r="G38" i="13"/>
  <c r="L38" i="11" s="1"/>
  <c r="H35" i="13"/>
  <c r="H40" i="13"/>
  <c r="H36" i="13"/>
  <c r="H38" i="13"/>
  <c r="H37" i="13"/>
  <c r="H67" i="11"/>
  <c r="I67" i="11" s="1"/>
  <c r="J67" i="11" s="1"/>
  <c r="H68" i="11"/>
  <c r="I68" i="11" s="1"/>
  <c r="J68" i="11" s="1"/>
  <c r="H17" i="11"/>
  <c r="H20" i="11" s="1"/>
  <c r="H57" i="11"/>
  <c r="H125" i="11" s="1"/>
  <c r="I91" i="11"/>
  <c r="H33" i="11"/>
  <c r="I33" i="11" s="1"/>
  <c r="I183" i="11" s="1"/>
  <c r="G52" i="13"/>
  <c r="H51" i="13"/>
  <c r="H52" i="13" s="1"/>
  <c r="I15" i="11"/>
  <c r="I195" i="11" s="1"/>
  <c r="I99" i="11"/>
  <c r="I182" i="11" s="1"/>
  <c r="F164" i="11"/>
  <c r="H83" i="11"/>
  <c r="H173" i="11"/>
  <c r="K131" i="11"/>
  <c r="J99" i="11"/>
  <c r="J182" i="11" s="1"/>
  <c r="I109" i="11"/>
  <c r="J94" i="11"/>
  <c r="J95" i="11" s="1"/>
  <c r="J118" i="11"/>
  <c r="L203" i="11"/>
  <c r="K196" i="11"/>
  <c r="K204" i="11"/>
  <c r="K202" i="11"/>
  <c r="I111" i="11"/>
  <c r="J114" i="11"/>
  <c r="G27" i="11"/>
  <c r="G32" i="11"/>
  <c r="G34" i="11" s="1"/>
  <c r="AA20" i="10"/>
  <c r="L7" i="10"/>
  <c r="I6" i="9"/>
  <c r="AK36" i="10"/>
  <c r="AI40" i="10"/>
  <c r="AK32" i="10"/>
  <c r="AK31" i="10"/>
  <c r="AH27" i="10"/>
  <c r="AH20" i="10"/>
  <c r="C33" i="10"/>
  <c r="C7" i="9"/>
  <c r="C10" i="9"/>
  <c r="C15" i="9" s="1"/>
  <c r="C21" i="9" s="1"/>
  <c r="C25" i="9" s="1"/>
  <c r="AE10" i="10"/>
  <c r="AE13" i="10" s="1"/>
  <c r="AE14" i="10" s="1"/>
  <c r="AB14" i="10"/>
  <c r="AF13" i="10"/>
  <c r="AF14" i="10" s="1"/>
  <c r="AH21" i="10"/>
  <c r="AH14" i="10"/>
  <c r="AK10" i="10"/>
  <c r="AI13" i="10"/>
  <c r="AK13" i="10" s="1"/>
  <c r="Y24" i="8"/>
  <c r="Y27" i="8" s="1"/>
  <c r="Y19" i="8"/>
  <c r="AD129" i="8"/>
  <c r="AG12" i="8"/>
  <c r="AG13" i="8" s="1"/>
  <c r="AG14" i="10"/>
  <c r="AC14" i="10"/>
  <c r="AB129" i="8"/>
  <c r="AD128" i="8"/>
  <c r="T134" i="8"/>
  <c r="P134" i="8"/>
  <c r="P48" i="9" s="1"/>
  <c r="AF48" i="9" s="1"/>
  <c r="L134" i="8"/>
  <c r="AB128" i="8"/>
  <c r="AF129" i="8"/>
  <c r="Z129" i="8"/>
  <c r="AH129" i="8"/>
  <c r="AG129" i="8"/>
  <c r="AE129" i="8"/>
  <c r="AI128" i="8"/>
  <c r="AF128" i="8"/>
  <c r="AG128" i="8"/>
  <c r="AK8" i="8"/>
  <c r="Z114" i="8"/>
  <c r="AI147" i="8"/>
  <c r="T36" i="9"/>
  <c r="AA147" i="8"/>
  <c r="L36" i="9"/>
  <c r="W16" i="9"/>
  <c r="W21" i="9"/>
  <c r="S21" i="10"/>
  <c r="K21" i="10"/>
  <c r="I10" i="10"/>
  <c r="I13" i="10" s="1"/>
  <c r="T21" i="10"/>
  <c r="L21" i="10"/>
  <c r="D10" i="10"/>
  <c r="D13" i="10" s="1"/>
  <c r="C10" i="10"/>
  <c r="C13" i="10" s="1"/>
  <c r="F10" i="10"/>
  <c r="F13" i="10" s="1"/>
  <c r="F33" i="10"/>
  <c r="G10" i="10"/>
  <c r="G13" i="10" s="1"/>
  <c r="E10" i="10"/>
  <c r="E13" i="10" s="1"/>
  <c r="E21" i="10"/>
  <c r="C21" i="10"/>
  <c r="G21" i="10"/>
  <c r="D21" i="10"/>
  <c r="AE75" i="8"/>
  <c r="AE77" i="8" s="1"/>
  <c r="AC75" i="8"/>
  <c r="AC77" i="8" s="1"/>
  <c r="AA75" i="8"/>
  <c r="AA77" i="8" s="1"/>
  <c r="AK15" i="8"/>
  <c r="AD75" i="8"/>
  <c r="AD77" i="8" s="1"/>
  <c r="AE12" i="8"/>
  <c r="AE13" i="8" s="1"/>
  <c r="AD18" i="8"/>
  <c r="AD24" i="8" s="1"/>
  <c r="AD27" i="8" s="1"/>
  <c r="Z75" i="8"/>
  <c r="Z77" i="8" s="1"/>
  <c r="AC18" i="8"/>
  <c r="AC24" i="8" s="1"/>
  <c r="AC27" i="8" s="1"/>
  <c r="AB12" i="8"/>
  <c r="AB18" i="8" s="1"/>
  <c r="AB24" i="8" s="1"/>
  <c r="AB27" i="8" s="1"/>
  <c r="AD13" i="8"/>
  <c r="AK11" i="8"/>
  <c r="AA18" i="8"/>
  <c r="AA13" i="8"/>
  <c r="AK23" i="8"/>
  <c r="Z12" i="8"/>
  <c r="AA148" i="8"/>
  <c r="Z148" i="8"/>
  <c r="Z147" i="8"/>
  <c r="AK17" i="8"/>
  <c r="AG75" i="8"/>
  <c r="AG77" i="8" s="1"/>
  <c r="AH12" i="8"/>
  <c r="AH13" i="8" s="1"/>
  <c r="AF12" i="8"/>
  <c r="AF13" i="8" s="1"/>
  <c r="AF147" i="8"/>
  <c r="AG18" i="8"/>
  <c r="AG24" i="8" s="1"/>
  <c r="AG27" i="8" s="1"/>
  <c r="AH75" i="8"/>
  <c r="AH77" i="8" s="1"/>
  <c r="AG147" i="8"/>
  <c r="AH147" i="8"/>
  <c r="W19" i="8"/>
  <c r="W24" i="8"/>
  <c r="W27" i="8" s="1"/>
  <c r="J64" i="11" l="1"/>
  <c r="H64" i="11"/>
  <c r="I64" i="11"/>
  <c r="E14" i="11"/>
  <c r="E106" i="11" s="1"/>
  <c r="F82" i="11"/>
  <c r="K64" i="11"/>
  <c r="L64" i="11"/>
  <c r="D27" i="11"/>
  <c r="D41" i="11" s="1"/>
  <c r="J163" i="11"/>
  <c r="K97" i="11"/>
  <c r="F135" i="11"/>
  <c r="F172" i="11"/>
  <c r="F106" i="11"/>
  <c r="H165" i="11"/>
  <c r="H106" i="11"/>
  <c r="E27" i="11"/>
  <c r="E41" i="11" s="1"/>
  <c r="I83" i="11"/>
  <c r="I14" i="11"/>
  <c r="I82" i="11" s="1"/>
  <c r="H135" i="11"/>
  <c r="H172" i="11"/>
  <c r="F44" i="11"/>
  <c r="I136" i="11"/>
  <c r="F27" i="11"/>
  <c r="F41" i="11" s="1"/>
  <c r="F152" i="11"/>
  <c r="I45" i="11"/>
  <c r="I173" i="11"/>
  <c r="I153" i="11"/>
  <c r="J15" i="11"/>
  <c r="J153" i="11" s="1"/>
  <c r="H82" i="11"/>
  <c r="H194" i="11"/>
  <c r="H152" i="11"/>
  <c r="H117" i="11"/>
  <c r="H119" i="11" s="1"/>
  <c r="H31" i="11" s="1"/>
  <c r="H86" i="11" s="1"/>
  <c r="I87" i="11"/>
  <c r="H19" i="11"/>
  <c r="H18" i="11" s="1"/>
  <c r="I17" i="11"/>
  <c r="I117" i="11" s="1"/>
  <c r="I123" i="11" s="1"/>
  <c r="H87" i="11"/>
  <c r="I57" i="11"/>
  <c r="I125" i="11" s="1"/>
  <c r="H21" i="11"/>
  <c r="J91" i="11"/>
  <c r="H91" i="11"/>
  <c r="J33" i="11"/>
  <c r="J183" i="11" s="1"/>
  <c r="H183" i="11"/>
  <c r="H188" i="11" s="1"/>
  <c r="H189" i="11" s="1"/>
  <c r="I187" i="11" s="1"/>
  <c r="I107" i="11"/>
  <c r="K68" i="11"/>
  <c r="K94" i="11"/>
  <c r="K95" i="11" s="1"/>
  <c r="K67" i="11"/>
  <c r="L131" i="11"/>
  <c r="L99" i="11" s="1"/>
  <c r="L182" i="11" s="1"/>
  <c r="K99" i="11"/>
  <c r="K182" i="11" s="1"/>
  <c r="G41" i="11"/>
  <c r="G29" i="11"/>
  <c r="G85" i="11" s="1"/>
  <c r="G92" i="11" s="1"/>
  <c r="G103" i="11" s="1"/>
  <c r="K163" i="11"/>
  <c r="L204" i="11"/>
  <c r="L202" i="11"/>
  <c r="L196" i="11"/>
  <c r="L94" i="11" s="1"/>
  <c r="L95" i="11" s="1"/>
  <c r="I122" i="11"/>
  <c r="J111" i="11"/>
  <c r="K114" i="11"/>
  <c r="J164" i="11"/>
  <c r="I165" i="11"/>
  <c r="K118" i="11"/>
  <c r="I112" i="11"/>
  <c r="Z7" i="10"/>
  <c r="L10" i="10"/>
  <c r="L13" i="10" s="1"/>
  <c r="AA7" i="10"/>
  <c r="Y7" i="10"/>
  <c r="L6" i="9"/>
  <c r="C16" i="9"/>
  <c r="C22" i="9"/>
  <c r="AD33" i="10"/>
  <c r="Y34" i="8"/>
  <c r="Y31" i="8"/>
  <c r="Y28" i="8"/>
  <c r="AA134" i="8"/>
  <c r="L48" i="9"/>
  <c r="AI134" i="8"/>
  <c r="T48" i="9"/>
  <c r="AE48" i="9"/>
  <c r="AF134" i="8"/>
  <c r="AE134" i="8"/>
  <c r="AC134" i="8"/>
  <c r="AB134" i="8"/>
  <c r="AD134" i="8"/>
  <c r="Z134" i="8"/>
  <c r="AH134" i="8"/>
  <c r="AG134" i="8"/>
  <c r="AG28" i="8"/>
  <c r="AG34" i="8"/>
  <c r="AG31" i="8"/>
  <c r="AB28" i="8"/>
  <c r="AB31" i="8"/>
  <c r="AB34" i="8"/>
  <c r="AD28" i="8"/>
  <c r="AD31" i="8"/>
  <c r="AD34" i="8"/>
  <c r="AC28" i="8"/>
  <c r="AC31" i="8"/>
  <c r="AC34" i="8"/>
  <c r="W82" i="8"/>
  <c r="W34" i="8"/>
  <c r="W31" i="8"/>
  <c r="AE18" i="8"/>
  <c r="AE24" i="8" s="1"/>
  <c r="AE27" i="8" s="1"/>
  <c r="W22" i="9"/>
  <c r="C26" i="9"/>
  <c r="C32" i="9"/>
  <c r="I21" i="10"/>
  <c r="AD19" i="8"/>
  <c r="AB19" i="8"/>
  <c r="AH18" i="8"/>
  <c r="AH19" i="8" s="1"/>
  <c r="AB13" i="8"/>
  <c r="AC19" i="8"/>
  <c r="Z13" i="8"/>
  <c r="Z18" i="8"/>
  <c r="AA19" i="8"/>
  <c r="AA24" i="8"/>
  <c r="AA27" i="8" s="1"/>
  <c r="AF18" i="8"/>
  <c r="AF24" i="8" s="1"/>
  <c r="AF27" i="8" s="1"/>
  <c r="AG19" i="8"/>
  <c r="W28" i="8"/>
  <c r="E172" i="11" l="1"/>
  <c r="E135" i="11"/>
  <c r="E44" i="11"/>
  <c r="E152" i="11"/>
  <c r="D14" i="11"/>
  <c r="E82" i="11"/>
  <c r="D29" i="11"/>
  <c r="H66" i="11"/>
  <c r="H89" i="11" s="1"/>
  <c r="H50" i="11"/>
  <c r="F29" i="11"/>
  <c r="E29" i="11"/>
  <c r="J14" i="11"/>
  <c r="I172" i="11"/>
  <c r="I44" i="11"/>
  <c r="I194" i="11"/>
  <c r="I152" i="11"/>
  <c r="I106" i="11"/>
  <c r="I135" i="11"/>
  <c r="J45" i="11"/>
  <c r="K15" i="11"/>
  <c r="L15" i="11" s="1"/>
  <c r="J136" i="11"/>
  <c r="J195" i="11"/>
  <c r="J83" i="11"/>
  <c r="J107" i="11"/>
  <c r="J173" i="11"/>
  <c r="H123" i="11"/>
  <c r="H124" i="11" s="1"/>
  <c r="H90" i="11" s="1"/>
  <c r="J57" i="11"/>
  <c r="J125" i="11" s="1"/>
  <c r="L91" i="11"/>
  <c r="H176" i="11"/>
  <c r="H179" i="11" s="1"/>
  <c r="J17" i="11"/>
  <c r="K17" i="11" s="1"/>
  <c r="K20" i="11" s="1"/>
  <c r="I20" i="11"/>
  <c r="I21" i="11"/>
  <c r="I19" i="11"/>
  <c r="I18" i="11" s="1"/>
  <c r="I119" i="11"/>
  <c r="I31" i="11" s="1"/>
  <c r="I86" i="11" s="1"/>
  <c r="H190" i="11"/>
  <c r="K33" i="11"/>
  <c r="K183" i="11" s="1"/>
  <c r="J87" i="11"/>
  <c r="H55" i="11"/>
  <c r="H88" i="11" s="1"/>
  <c r="H23" i="11"/>
  <c r="H32" i="11" s="1"/>
  <c r="H34" i="11" s="1"/>
  <c r="L68" i="11"/>
  <c r="I56" i="11"/>
  <c r="J109" i="11"/>
  <c r="J112" i="11" s="1"/>
  <c r="L114" i="11"/>
  <c r="L111" i="11" s="1"/>
  <c r="K111" i="11"/>
  <c r="L163" i="11"/>
  <c r="L97" i="11"/>
  <c r="L118" i="11"/>
  <c r="G129" i="11"/>
  <c r="G175" i="11"/>
  <c r="J122" i="11"/>
  <c r="I124" i="11"/>
  <c r="I90" i="11" s="1"/>
  <c r="K164" i="11"/>
  <c r="J165" i="11"/>
  <c r="L67" i="11"/>
  <c r="AA10" i="10"/>
  <c r="AA13" i="10" s="1"/>
  <c r="AA14" i="10" s="1"/>
  <c r="AA21" i="10"/>
  <c r="Y10" i="10"/>
  <c r="Y13" i="10" s="1"/>
  <c r="Y14" i="10" s="1"/>
  <c r="Y21" i="10"/>
  <c r="Z10" i="10"/>
  <c r="Z13" i="10" s="1"/>
  <c r="Z14" i="10" s="1"/>
  <c r="Z21" i="10"/>
  <c r="AA33" i="10"/>
  <c r="Y33" i="10"/>
  <c r="Z33" i="10"/>
  <c r="AB33" i="10"/>
  <c r="AC33" i="10"/>
  <c r="AH48" i="9"/>
  <c r="AG48" i="9"/>
  <c r="AI48" i="9"/>
  <c r="AE19" i="8"/>
  <c r="AF28" i="8"/>
  <c r="AF34" i="8"/>
  <c r="AF31" i="8"/>
  <c r="AE28" i="8"/>
  <c r="AE31" i="8"/>
  <c r="AE34" i="8"/>
  <c r="AA28" i="8"/>
  <c r="AA31" i="8"/>
  <c r="AA34" i="8"/>
  <c r="C89" i="9" a="1"/>
  <c r="C89" i="9" s="1"/>
  <c r="C88" i="9" a="1"/>
  <c r="C88" i="9" s="1"/>
  <c r="C87" i="9"/>
  <c r="C33" i="9"/>
  <c r="C85" i="9"/>
  <c r="C40" i="9"/>
  <c r="C53" i="9" s="1"/>
  <c r="C86" i="9"/>
  <c r="AH24" i="8"/>
  <c r="AH27" i="8" s="1"/>
  <c r="AF19" i="8"/>
  <c r="Z24" i="8"/>
  <c r="Z27" i="8" s="1"/>
  <c r="Z19" i="8"/>
  <c r="D129" i="11" l="1"/>
  <c r="D85" i="11"/>
  <c r="D92" i="11" s="1"/>
  <c r="D103" i="11" s="1"/>
  <c r="D172" i="11"/>
  <c r="D82" i="11"/>
  <c r="D44" i="11"/>
  <c r="E175" i="11"/>
  <c r="E177" i="11" s="1"/>
  <c r="E85" i="11"/>
  <c r="E92" i="11" s="1"/>
  <c r="E103" i="11" s="1"/>
  <c r="F129" i="11"/>
  <c r="F85" i="11"/>
  <c r="F92" i="11" s="1"/>
  <c r="F103" i="11" s="1"/>
  <c r="D175" i="11"/>
  <c r="D177" i="11" s="1"/>
  <c r="E129" i="11"/>
  <c r="I50" i="11"/>
  <c r="F175" i="11"/>
  <c r="F177" i="11" s="1"/>
  <c r="K83" i="11"/>
  <c r="K107" i="11"/>
  <c r="K153" i="11"/>
  <c r="K173" i="11"/>
  <c r="K45" i="11"/>
  <c r="K195" i="11"/>
  <c r="K136" i="11"/>
  <c r="K14" i="11"/>
  <c r="J106" i="11"/>
  <c r="J44" i="11"/>
  <c r="J82" i="11"/>
  <c r="J194" i="11"/>
  <c r="J152" i="11"/>
  <c r="J135" i="11"/>
  <c r="J172" i="11"/>
  <c r="I23" i="11"/>
  <c r="I32" i="11" s="1"/>
  <c r="I34" i="11" s="1"/>
  <c r="K57" i="11"/>
  <c r="L57" i="11" s="1"/>
  <c r="L125" i="11" s="1"/>
  <c r="L17" i="11"/>
  <c r="L20" i="11" s="1"/>
  <c r="J20" i="11"/>
  <c r="J117" i="11"/>
  <c r="J123" i="11" s="1"/>
  <c r="J124" i="11" s="1"/>
  <c r="J90" i="11" s="1"/>
  <c r="K117" i="11"/>
  <c r="K123" i="11" s="1"/>
  <c r="K21" i="11"/>
  <c r="K19" i="11"/>
  <c r="K18" i="11" s="1"/>
  <c r="J21" i="11"/>
  <c r="K91" i="11"/>
  <c r="J19" i="11"/>
  <c r="J18" i="11" s="1"/>
  <c r="L33" i="11"/>
  <c r="L183" i="11" s="1"/>
  <c r="K87" i="11"/>
  <c r="I55" i="11"/>
  <c r="I66" i="11"/>
  <c r="L164" i="11"/>
  <c r="L165" i="11" s="1"/>
  <c r="K165" i="11"/>
  <c r="J56" i="11"/>
  <c r="K109" i="11"/>
  <c r="K112" i="11" s="1"/>
  <c r="L173" i="11"/>
  <c r="L107" i="11"/>
  <c r="L195" i="11"/>
  <c r="L83" i="11"/>
  <c r="L45" i="11"/>
  <c r="L153" i="11"/>
  <c r="L136" i="11"/>
  <c r="K122" i="11"/>
  <c r="G180" i="11"/>
  <c r="G177" i="11"/>
  <c r="Z28" i="8"/>
  <c r="Z31" i="8"/>
  <c r="Z34" i="8"/>
  <c r="AH28" i="8"/>
  <c r="AH31" i="8"/>
  <c r="AH34" i="8"/>
  <c r="D180" i="11" l="1"/>
  <c r="E180" i="11"/>
  <c r="J50" i="11"/>
  <c r="K50" i="11" s="1"/>
  <c r="F180" i="11"/>
  <c r="K82" i="11"/>
  <c r="K106" i="11"/>
  <c r="L14" i="11"/>
  <c r="K172" i="11"/>
  <c r="K44" i="11"/>
  <c r="K194" i="11"/>
  <c r="K152" i="11"/>
  <c r="K135" i="11"/>
  <c r="K125" i="11"/>
  <c r="K124" i="11" s="1"/>
  <c r="K90" i="11" s="1"/>
  <c r="L117" i="11"/>
  <c r="L123" i="11" s="1"/>
  <c r="L21" i="11"/>
  <c r="L19" i="11"/>
  <c r="L18" i="11" s="1"/>
  <c r="J119" i="11"/>
  <c r="J31" i="11" s="1"/>
  <c r="J86" i="11" s="1"/>
  <c r="J23" i="11"/>
  <c r="K119" i="11"/>
  <c r="K31" i="11" s="1"/>
  <c r="K86" i="11" s="1"/>
  <c r="K23" i="11"/>
  <c r="L87" i="11"/>
  <c r="I89" i="11"/>
  <c r="J66" i="11"/>
  <c r="I88" i="11"/>
  <c r="J55" i="11"/>
  <c r="K55" i="11" s="1"/>
  <c r="K56" i="11"/>
  <c r="L109" i="11"/>
  <c r="L112" i="11" s="1"/>
  <c r="L56" i="11" s="1"/>
  <c r="L50" i="11" l="1"/>
  <c r="L82" i="11"/>
  <c r="L194" i="11"/>
  <c r="L44" i="11"/>
  <c r="L152" i="11"/>
  <c r="L106" i="11"/>
  <c r="L135" i="11"/>
  <c r="L172" i="11"/>
  <c r="L122" i="11"/>
  <c r="L124" i="11" s="1"/>
  <c r="L90" i="11" s="1"/>
  <c r="L23" i="11"/>
  <c r="L119" i="11"/>
  <c r="L31" i="11" s="1"/>
  <c r="L86" i="11" s="1"/>
  <c r="J32" i="11"/>
  <c r="J34" i="11" s="1"/>
  <c r="K32" i="11"/>
  <c r="K34" i="11" s="1"/>
  <c r="J88" i="11"/>
  <c r="L55" i="11"/>
  <c r="L88" i="11" s="1"/>
  <c r="K66" i="11"/>
  <c r="K89" i="11" s="1"/>
  <c r="J89" i="11"/>
  <c r="K88" i="11"/>
  <c r="L32" i="11" l="1"/>
  <c r="L34" i="11" s="1"/>
  <c r="L66" i="11"/>
  <c r="L89" i="11" s="1"/>
  <c r="L135" i="8" l="1"/>
  <c r="L51" i="9" s="1"/>
  <c r="L133" i="8"/>
  <c r="L46" i="9" s="1"/>
  <c r="L131" i="8"/>
  <c r="L130" i="8"/>
  <c r="L50" i="9" s="1"/>
  <c r="L127" i="8"/>
  <c r="L45" i="9" s="1"/>
  <c r="P135" i="8"/>
  <c r="P51" i="9" s="1"/>
  <c r="P133" i="8"/>
  <c r="P46" i="9" s="1"/>
  <c r="P131" i="8"/>
  <c r="T135" i="8"/>
  <c r="T51" i="9" s="1"/>
  <c r="T133" i="8"/>
  <c r="T46" i="9" s="1"/>
  <c r="T131" i="8"/>
  <c r="T121" i="8"/>
  <c r="T49" i="9" s="1"/>
  <c r="T120" i="8"/>
  <c r="T119" i="8"/>
  <c r="T118" i="8"/>
  <c r="T117" i="8"/>
  <c r="T113" i="8"/>
  <c r="T42" i="9" s="1"/>
  <c r="P122" i="8"/>
  <c r="P121" i="8"/>
  <c r="P49" i="9" s="1"/>
  <c r="P120" i="8"/>
  <c r="P119" i="8"/>
  <c r="P117" i="8"/>
  <c r="P113" i="8"/>
  <c r="P42" i="9" s="1"/>
  <c r="L122" i="8"/>
  <c r="L121" i="8"/>
  <c r="L49" i="9" s="1"/>
  <c r="L120" i="8"/>
  <c r="L119" i="8"/>
  <c r="L115" i="8"/>
  <c r="L113" i="8"/>
  <c r="L42" i="9" s="1"/>
  <c r="U136" i="8"/>
  <c r="V136" i="8" s="1"/>
  <c r="W136" i="8" s="1"/>
  <c r="R136" i="8"/>
  <c r="M136" i="8"/>
  <c r="J136" i="8"/>
  <c r="K136" i="8" s="1"/>
  <c r="V135" i="8"/>
  <c r="V132" i="8"/>
  <c r="R132" i="8"/>
  <c r="R47" i="9" s="1"/>
  <c r="N132" i="8"/>
  <c r="N47" i="9" s="1"/>
  <c r="J132" i="8"/>
  <c r="V130" i="8"/>
  <c r="R130" i="8"/>
  <c r="R50" i="9" s="1"/>
  <c r="N130" i="8"/>
  <c r="N50" i="9" s="1"/>
  <c r="V127" i="8"/>
  <c r="R127" i="8"/>
  <c r="R45" i="9" s="1"/>
  <c r="N127" i="8"/>
  <c r="N45" i="9" s="1"/>
  <c r="V123" i="8"/>
  <c r="W123" i="8" s="1"/>
  <c r="R123" i="8"/>
  <c r="N123" i="8"/>
  <c r="J123" i="8"/>
  <c r="K123" i="8" s="1"/>
  <c r="V122" i="8"/>
  <c r="R122" i="8"/>
  <c r="N118" i="8"/>
  <c r="N44" i="9" s="1"/>
  <c r="J118" i="8"/>
  <c r="K118" i="8" s="1"/>
  <c r="J117" i="8"/>
  <c r="V116" i="8"/>
  <c r="W116" i="8" s="1"/>
  <c r="R116" i="8"/>
  <c r="N116" i="8"/>
  <c r="J116" i="8"/>
  <c r="V115" i="8"/>
  <c r="R115" i="8"/>
  <c r="N115" i="8"/>
  <c r="V112" i="8"/>
  <c r="R112" i="8"/>
  <c r="R35" i="9" s="1"/>
  <c r="N112" i="8"/>
  <c r="N35" i="9" s="1"/>
  <c r="J112" i="8"/>
  <c r="T96" i="8"/>
  <c r="T31" i="9" s="1"/>
  <c r="T95" i="8"/>
  <c r="T93" i="8"/>
  <c r="T91" i="8"/>
  <c r="T90" i="8"/>
  <c r="T87" i="8"/>
  <c r="T86" i="8"/>
  <c r="P98" i="8"/>
  <c r="P97" i="8"/>
  <c r="P95" i="8"/>
  <c r="P93" i="8"/>
  <c r="P91" i="8"/>
  <c r="P90" i="8"/>
  <c r="P87" i="8"/>
  <c r="P86" i="8"/>
  <c r="L98" i="8"/>
  <c r="L97" i="8"/>
  <c r="L95" i="8"/>
  <c r="L93" i="8"/>
  <c r="L91" i="8"/>
  <c r="L90" i="8"/>
  <c r="L87" i="8"/>
  <c r="L86" i="8"/>
  <c r="V98" i="8"/>
  <c r="W98" i="8" s="1"/>
  <c r="S98" i="8"/>
  <c r="V97" i="8"/>
  <c r="W97" i="8" s="1"/>
  <c r="S97" i="8"/>
  <c r="N96" i="8"/>
  <c r="N31" i="9" s="1"/>
  <c r="J96" i="8"/>
  <c r="V94" i="8"/>
  <c r="R94" i="8"/>
  <c r="R30" i="9" s="1"/>
  <c r="N94" i="8"/>
  <c r="N30" i="9" s="1"/>
  <c r="J94" i="8"/>
  <c r="V92" i="8"/>
  <c r="W92" i="8" s="1"/>
  <c r="R92" i="8"/>
  <c r="N92" i="8"/>
  <c r="J92" i="8"/>
  <c r="K92" i="8" s="1"/>
  <c r="V89" i="8"/>
  <c r="R89" i="8"/>
  <c r="R29" i="9" s="1"/>
  <c r="N89" i="8"/>
  <c r="N29" i="9" s="1"/>
  <c r="J89" i="8"/>
  <c r="V88" i="8"/>
  <c r="R88" i="8"/>
  <c r="R28" i="9" s="1"/>
  <c r="N88" i="8"/>
  <c r="N28" i="9" s="1"/>
  <c r="J88" i="8"/>
  <c r="V85" i="8"/>
  <c r="R85" i="8"/>
  <c r="N85" i="8"/>
  <c r="J85" i="8"/>
  <c r="L101" i="8"/>
  <c r="P101" i="8"/>
  <c r="T101" i="8"/>
  <c r="J102" i="8"/>
  <c r="N102" i="8"/>
  <c r="R102" i="8"/>
  <c r="V102" i="8"/>
  <c r="T106" i="8"/>
  <c r="P106" i="8"/>
  <c r="V108" i="8"/>
  <c r="W108" i="8" s="1"/>
  <c r="R108" i="8"/>
  <c r="N108" i="8"/>
  <c r="J108" i="8"/>
  <c r="K108" i="8" s="1"/>
  <c r="V107" i="8"/>
  <c r="W107" i="8" s="1"/>
  <c r="R107" i="8"/>
  <c r="N107" i="8"/>
  <c r="J107" i="8"/>
  <c r="K107" i="8" s="1"/>
  <c r="J106" i="8"/>
  <c r="K106" i="8" s="1"/>
  <c r="V105" i="8"/>
  <c r="W105" i="8" s="1"/>
  <c r="R105" i="8"/>
  <c r="N105" i="8"/>
  <c r="J105" i="8"/>
  <c r="K105" i="8" s="1"/>
  <c r="V104" i="8"/>
  <c r="W104" i="8" s="1"/>
  <c r="R104" i="8"/>
  <c r="N104" i="8"/>
  <c r="J104" i="8"/>
  <c r="K104" i="8" s="1"/>
  <c r="V103" i="8"/>
  <c r="W103" i="8" s="1"/>
  <c r="R103" i="8"/>
  <c r="N103" i="8"/>
  <c r="J103" i="8"/>
  <c r="K103" i="8" s="1"/>
  <c r="L68" i="8"/>
  <c r="T68" i="8"/>
  <c r="AF68" i="8" s="1"/>
  <c r="T65" i="8"/>
  <c r="AF65" i="8" s="1"/>
  <c r="T64" i="8"/>
  <c r="AF64" i="8" s="1"/>
  <c r="T63" i="8"/>
  <c r="P65" i="8"/>
  <c r="AB65" i="8" s="1"/>
  <c r="P64" i="8"/>
  <c r="AB64" i="8" s="1"/>
  <c r="P63" i="8"/>
  <c r="L65" i="8"/>
  <c r="L64" i="8"/>
  <c r="L63" i="8"/>
  <c r="L73" i="9" s="1"/>
  <c r="L77" i="9" s="1"/>
  <c r="T60" i="8"/>
  <c r="AF60" i="8" s="1"/>
  <c r="T59" i="8"/>
  <c r="AF59" i="8" s="1"/>
  <c r="T58" i="8"/>
  <c r="AF58" i="8" s="1"/>
  <c r="T57" i="8"/>
  <c r="AF57" i="8" s="1"/>
  <c r="T56" i="8"/>
  <c r="AF56" i="8" s="1"/>
  <c r="T55" i="8"/>
  <c r="T54" i="8"/>
  <c r="P60" i="8"/>
  <c r="AB60" i="8" s="1"/>
  <c r="P59" i="8"/>
  <c r="AB59" i="8" s="1"/>
  <c r="P58" i="8"/>
  <c r="AB58" i="8" s="1"/>
  <c r="P57" i="8"/>
  <c r="AB57" i="8" s="1"/>
  <c r="P56" i="8"/>
  <c r="AB56" i="8" s="1"/>
  <c r="P55" i="8"/>
  <c r="P54" i="8"/>
  <c r="L60" i="8"/>
  <c r="L59" i="8"/>
  <c r="L58" i="8"/>
  <c r="L57" i="8"/>
  <c r="L56" i="8"/>
  <c r="L55" i="8"/>
  <c r="L65" i="9" s="1"/>
  <c r="L54" i="8"/>
  <c r="L72" i="9" s="1"/>
  <c r="T51" i="8"/>
  <c r="AF51" i="8" s="1"/>
  <c r="T50" i="8"/>
  <c r="AF50" i="8" s="1"/>
  <c r="T49" i="8"/>
  <c r="AF49" i="8" s="1"/>
  <c r="T48" i="8"/>
  <c r="AF48" i="8" s="1"/>
  <c r="T47" i="8"/>
  <c r="P51" i="8"/>
  <c r="AB51" i="8" s="1"/>
  <c r="P50" i="8"/>
  <c r="AB50" i="8" s="1"/>
  <c r="P49" i="8"/>
  <c r="AB49" i="8" s="1"/>
  <c r="P48" i="8"/>
  <c r="AB48" i="8" s="1"/>
  <c r="P47" i="8"/>
  <c r="L51" i="8"/>
  <c r="L50" i="8"/>
  <c r="L49" i="8"/>
  <c r="L48" i="8"/>
  <c r="L47" i="8"/>
  <c r="L67" i="9" s="1"/>
  <c r="T44" i="8"/>
  <c r="AF44" i="8" s="1"/>
  <c r="T43" i="8"/>
  <c r="AF43" i="8" s="1"/>
  <c r="P44" i="8"/>
  <c r="AB44" i="8" s="1"/>
  <c r="P43" i="8"/>
  <c r="AB43" i="8" s="1"/>
  <c r="L44" i="8"/>
  <c r="L43" i="8"/>
  <c r="K132" i="8" l="1"/>
  <c r="K47" i="9" s="1"/>
  <c r="J47" i="9"/>
  <c r="AF47" i="8"/>
  <c r="T67" i="9"/>
  <c r="AF63" i="8"/>
  <c r="T73" i="9"/>
  <c r="T77" i="9" s="1"/>
  <c r="N43" i="9"/>
  <c r="AG49" i="9"/>
  <c r="AI49" i="9"/>
  <c r="AH49" i="9"/>
  <c r="AB55" i="8"/>
  <c r="P65" i="9"/>
  <c r="W132" i="8"/>
  <c r="W47" i="9" s="1"/>
  <c r="V47" i="9"/>
  <c r="AF49" i="9"/>
  <c r="AE49" i="9"/>
  <c r="W127" i="8"/>
  <c r="W45" i="9" s="1"/>
  <c r="V45" i="9"/>
  <c r="W135" i="8"/>
  <c r="W51" i="9" s="1"/>
  <c r="V51" i="9"/>
  <c r="AB63" i="8"/>
  <c r="P73" i="9"/>
  <c r="P77" i="9" s="1"/>
  <c r="W130" i="8"/>
  <c r="W50" i="9" s="1"/>
  <c r="V50" i="9"/>
  <c r="AB47" i="8"/>
  <c r="P67" i="9"/>
  <c r="AF54" i="8"/>
  <c r="T72" i="9"/>
  <c r="AB54" i="8"/>
  <c r="P72" i="9"/>
  <c r="AF55" i="8"/>
  <c r="T65" i="9"/>
  <c r="R43" i="9"/>
  <c r="K117" i="8"/>
  <c r="K44" i="9" s="1"/>
  <c r="J44" i="9"/>
  <c r="W115" i="8"/>
  <c r="W43" i="9" s="1"/>
  <c r="V43" i="9"/>
  <c r="K116" i="8"/>
  <c r="K43" i="9" s="1"/>
  <c r="J43" i="9"/>
  <c r="N24" i="9"/>
  <c r="W122" i="8"/>
  <c r="R24" i="9"/>
  <c r="T44" i="9"/>
  <c r="K94" i="8"/>
  <c r="K30" i="9" s="1"/>
  <c r="J30" i="9"/>
  <c r="W102" i="8"/>
  <c r="W39" i="9" s="1"/>
  <c r="V39" i="9"/>
  <c r="K112" i="8"/>
  <c r="K35" i="9" s="1"/>
  <c r="J35" i="9"/>
  <c r="K89" i="8"/>
  <c r="K29" i="9" s="1"/>
  <c r="J29" i="9"/>
  <c r="R39" i="9"/>
  <c r="K85" i="8"/>
  <c r="K24" i="9" s="1"/>
  <c r="J24" i="9"/>
  <c r="N39" i="9"/>
  <c r="W85" i="8"/>
  <c r="W24" i="9" s="1"/>
  <c r="W25" i="9" s="1"/>
  <c r="V24" i="9"/>
  <c r="W89" i="8"/>
  <c r="W29" i="9" s="1"/>
  <c r="V29" i="9"/>
  <c r="W94" i="8"/>
  <c r="W30" i="9" s="1"/>
  <c r="V30" i="9"/>
  <c r="W88" i="8"/>
  <c r="W28" i="9" s="1"/>
  <c r="V28" i="9"/>
  <c r="K102" i="8"/>
  <c r="K39" i="9" s="1"/>
  <c r="J39" i="9"/>
  <c r="K88" i="8"/>
  <c r="K28" i="9" s="1"/>
  <c r="J28" i="9"/>
  <c r="K96" i="8"/>
  <c r="K31" i="9" s="1"/>
  <c r="J31" i="9"/>
  <c r="W112" i="8"/>
  <c r="W35" i="9" s="1"/>
  <c r="V35" i="9"/>
  <c r="AG31" i="9"/>
  <c r="AI31" i="9"/>
  <c r="AH31" i="9"/>
  <c r="O104" i="8"/>
  <c r="P104" i="8" s="1"/>
  <c r="AC133" i="8"/>
  <c r="AB133" i="8"/>
  <c r="AE133" i="8"/>
  <c r="AD133" i="8"/>
  <c r="AE135" i="8"/>
  <c r="AD135" i="8"/>
  <c r="AC135" i="8"/>
  <c r="AB135" i="8"/>
  <c r="AB61" i="8"/>
  <c r="AB66" i="8" s="1"/>
  <c r="AB75" i="8" s="1"/>
  <c r="O89" i="8"/>
  <c r="O94" i="8"/>
  <c r="AA98" i="8"/>
  <c r="Z98" i="8"/>
  <c r="AE98" i="8"/>
  <c r="AD98" i="8"/>
  <c r="AC98" i="8"/>
  <c r="AB98" i="8"/>
  <c r="O116" i="8"/>
  <c r="P116" i="8" s="1"/>
  <c r="AA119" i="8"/>
  <c r="Z119" i="8"/>
  <c r="AC121" i="8"/>
  <c r="AE121" i="8"/>
  <c r="AD121" i="8"/>
  <c r="AB121" i="8"/>
  <c r="Z127" i="8"/>
  <c r="AC95" i="8"/>
  <c r="AE95" i="8"/>
  <c r="AD95" i="8"/>
  <c r="AB95" i="8"/>
  <c r="AA113" i="8"/>
  <c r="Z113" i="8"/>
  <c r="Z115" i="8"/>
  <c r="AA86" i="8"/>
  <c r="Z86" i="8"/>
  <c r="AE86" i="8"/>
  <c r="AD86" i="8"/>
  <c r="AC86" i="8"/>
  <c r="AB86" i="8"/>
  <c r="O112" i="8"/>
  <c r="O35" i="9" s="1"/>
  <c r="O130" i="8"/>
  <c r="AA120" i="8"/>
  <c r="Z120" i="8"/>
  <c r="Z130" i="8"/>
  <c r="AE106" i="8"/>
  <c r="AC106" i="8"/>
  <c r="AB106" i="8"/>
  <c r="AD106" i="8"/>
  <c r="AA95" i="8"/>
  <c r="Z95" i="8"/>
  <c r="AC97" i="8"/>
  <c r="AB97" i="8"/>
  <c r="AE97" i="8"/>
  <c r="AD97" i="8"/>
  <c r="AE120" i="8"/>
  <c r="AD120" i="8"/>
  <c r="AC120" i="8"/>
  <c r="AB120" i="8"/>
  <c r="O103" i="8"/>
  <c r="P103" i="8" s="1"/>
  <c r="O105" i="8"/>
  <c r="O102" i="8"/>
  <c r="AA87" i="8"/>
  <c r="Z87" i="8"/>
  <c r="AE87" i="8"/>
  <c r="AD87" i="8"/>
  <c r="AC87" i="8"/>
  <c r="AB87" i="8"/>
  <c r="L123" i="8"/>
  <c r="Z123" i="8" s="1"/>
  <c r="AA121" i="8"/>
  <c r="Z121" i="8"/>
  <c r="AC122" i="8"/>
  <c r="AB122" i="8"/>
  <c r="AD122" i="8"/>
  <c r="AA131" i="8"/>
  <c r="Z131" i="8"/>
  <c r="AA101" i="8"/>
  <c r="Z101" i="8"/>
  <c r="AC119" i="8"/>
  <c r="AB119" i="8"/>
  <c r="AE119" i="8"/>
  <c r="AD119" i="8"/>
  <c r="O108" i="8"/>
  <c r="P108" i="8" s="1"/>
  <c r="AA90" i="8"/>
  <c r="Z90" i="8"/>
  <c r="AE90" i="8"/>
  <c r="AD90" i="8"/>
  <c r="AC90" i="8"/>
  <c r="AB90" i="8"/>
  <c r="O123" i="8"/>
  <c r="P123" i="8" s="1"/>
  <c r="O132" i="8"/>
  <c r="AA122" i="8"/>
  <c r="Z122" i="8"/>
  <c r="AA133" i="8"/>
  <c r="Z133" i="8"/>
  <c r="O127" i="8"/>
  <c r="O107" i="8"/>
  <c r="P107" i="8" s="1"/>
  <c r="AC107" i="8" s="1"/>
  <c r="O88" i="8"/>
  <c r="O92" i="8"/>
  <c r="P92" i="8" s="1"/>
  <c r="P96" i="8"/>
  <c r="AA91" i="8"/>
  <c r="Z91" i="8"/>
  <c r="AC91" i="8"/>
  <c r="AE91" i="8"/>
  <c r="AD91" i="8"/>
  <c r="AB91" i="8"/>
  <c r="O115" i="8"/>
  <c r="AE113" i="8"/>
  <c r="AC113" i="8"/>
  <c r="AB113" i="8"/>
  <c r="AD113" i="8"/>
  <c r="AA135" i="8"/>
  <c r="Z135" i="8"/>
  <c r="AA97" i="8"/>
  <c r="Z97" i="8"/>
  <c r="AC101" i="8"/>
  <c r="AE101" i="8"/>
  <c r="AD101" i="8"/>
  <c r="AB101" i="8"/>
  <c r="AA93" i="8"/>
  <c r="Z93" i="8"/>
  <c r="AC93" i="8"/>
  <c r="AB93" i="8"/>
  <c r="AE93" i="8"/>
  <c r="AD93" i="8"/>
  <c r="O118" i="8"/>
  <c r="AC117" i="8"/>
  <c r="AE117" i="8"/>
  <c r="AD117" i="8"/>
  <c r="AB117" i="8"/>
  <c r="AC131" i="8"/>
  <c r="AB131" i="8"/>
  <c r="AE131" i="8"/>
  <c r="AD131" i="8"/>
  <c r="AF119" i="8"/>
  <c r="AH119" i="8"/>
  <c r="AG119" i="8"/>
  <c r="AI119" i="8"/>
  <c r="AF61" i="8"/>
  <c r="AF66" i="8" s="1"/>
  <c r="S104" i="8"/>
  <c r="T104" i="8" s="1"/>
  <c r="AI104" i="8" s="1"/>
  <c r="AH106" i="8"/>
  <c r="AG106" i="8"/>
  <c r="AF106" i="8"/>
  <c r="AI106" i="8"/>
  <c r="T98" i="8"/>
  <c r="AI98" i="8" s="1"/>
  <c r="AH96" i="8"/>
  <c r="AG96" i="8"/>
  <c r="AF96" i="8"/>
  <c r="AI96" i="8"/>
  <c r="S127" i="8"/>
  <c r="AH120" i="8"/>
  <c r="AF120" i="8"/>
  <c r="AG120" i="8"/>
  <c r="AI120" i="8"/>
  <c r="W137" i="8"/>
  <c r="S102" i="8"/>
  <c r="S85" i="8"/>
  <c r="S89" i="8"/>
  <c r="S94" i="8"/>
  <c r="AF86" i="8"/>
  <c r="AI86" i="8"/>
  <c r="AG86" i="8"/>
  <c r="AH86" i="8"/>
  <c r="S116" i="8"/>
  <c r="T116" i="8" s="1"/>
  <c r="AI116" i="8" s="1"/>
  <c r="S107" i="8"/>
  <c r="T107" i="8" s="1"/>
  <c r="AI107" i="8" s="1"/>
  <c r="AI87" i="8"/>
  <c r="AH87" i="8"/>
  <c r="AG87" i="8"/>
  <c r="AF87" i="8"/>
  <c r="S112" i="8"/>
  <c r="S35" i="9" s="1"/>
  <c r="S130" i="8"/>
  <c r="S50" i="9" s="1"/>
  <c r="AF131" i="8"/>
  <c r="AH131" i="8"/>
  <c r="AG131" i="8"/>
  <c r="AI131" i="8"/>
  <c r="S103" i="8"/>
  <c r="T103" i="8" s="1"/>
  <c r="AI103" i="8" s="1"/>
  <c r="S105" i="8"/>
  <c r="T105" i="8" s="1"/>
  <c r="AI105" i="8" s="1"/>
  <c r="AH90" i="8"/>
  <c r="AF90" i="8"/>
  <c r="AG90" i="8"/>
  <c r="AI90" i="8"/>
  <c r="AH113" i="8"/>
  <c r="AI113" i="8"/>
  <c r="AG113" i="8"/>
  <c r="AF113" i="8"/>
  <c r="AH133" i="8"/>
  <c r="AG133" i="8"/>
  <c r="AI133" i="8"/>
  <c r="AF133" i="8"/>
  <c r="S122" i="8"/>
  <c r="S108" i="8"/>
  <c r="T108" i="8" s="1"/>
  <c r="AI108" i="8" s="1"/>
  <c r="AH101" i="8"/>
  <c r="AG101" i="8"/>
  <c r="AF101" i="8"/>
  <c r="AI101" i="8"/>
  <c r="AH91" i="8"/>
  <c r="AG91" i="8"/>
  <c r="AF91" i="8"/>
  <c r="AI91" i="8"/>
  <c r="S123" i="8"/>
  <c r="T123" i="8" s="1"/>
  <c r="AI123" i="8" s="1"/>
  <c r="S132" i="8"/>
  <c r="S136" i="8"/>
  <c r="T136" i="8" s="1"/>
  <c r="AI136" i="8" s="1"/>
  <c r="AI117" i="8"/>
  <c r="AH117" i="8"/>
  <c r="AG117" i="8"/>
  <c r="AF117" i="8"/>
  <c r="AG135" i="8"/>
  <c r="AF135" i="8"/>
  <c r="AI135" i="8"/>
  <c r="AH135" i="8"/>
  <c r="AI95" i="8"/>
  <c r="AH95" i="8"/>
  <c r="AG95" i="8"/>
  <c r="AF95" i="8"/>
  <c r="AH121" i="8"/>
  <c r="AG121" i="8"/>
  <c r="AF121" i="8"/>
  <c r="AI121" i="8"/>
  <c r="S88" i="8"/>
  <c r="S28" i="9" s="1"/>
  <c r="S92" i="8"/>
  <c r="T97" i="8"/>
  <c r="AI97" i="8" s="1"/>
  <c r="AH93" i="8"/>
  <c r="AG93" i="8"/>
  <c r="AI93" i="8"/>
  <c r="AF93" i="8"/>
  <c r="S115" i="8"/>
  <c r="AH118" i="8"/>
  <c r="AG118" i="8"/>
  <c r="AF118" i="8"/>
  <c r="AI118" i="8"/>
  <c r="V137" i="8"/>
  <c r="N136" i="8"/>
  <c r="L117" i="8"/>
  <c r="L118" i="8"/>
  <c r="L132" i="8"/>
  <c r="L47" i="9" s="1"/>
  <c r="L136" i="8"/>
  <c r="L92" i="8"/>
  <c r="O85" i="8"/>
  <c r="L88" i="8"/>
  <c r="L28" i="9" s="1"/>
  <c r="L96" i="8"/>
  <c r="L94" i="8"/>
  <c r="L30" i="9" s="1"/>
  <c r="L89" i="8"/>
  <c r="L29" i="9" s="1"/>
  <c r="L105" i="8"/>
  <c r="L108" i="8"/>
  <c r="L103" i="8"/>
  <c r="L104" i="8"/>
  <c r="L106" i="8"/>
  <c r="AA106" i="8" s="1"/>
  <c r="L107" i="8"/>
  <c r="T132" i="8" l="1"/>
  <c r="S47" i="9"/>
  <c r="P127" i="8"/>
  <c r="P45" i="9" s="1"/>
  <c r="O45" i="9"/>
  <c r="AA130" i="8"/>
  <c r="O50" i="9"/>
  <c r="T127" i="8"/>
  <c r="S45" i="9"/>
  <c r="P132" i="8"/>
  <c r="P47" i="9" s="1"/>
  <c r="O47" i="9"/>
  <c r="AA103" i="8"/>
  <c r="L116" i="8"/>
  <c r="L43" i="9" s="1"/>
  <c r="L85" i="8"/>
  <c r="L24" i="9" s="1"/>
  <c r="W109" i="8"/>
  <c r="O43" i="9"/>
  <c r="S43" i="9"/>
  <c r="L112" i="8"/>
  <c r="L35" i="9" s="1"/>
  <c r="AA117" i="8"/>
  <c r="L44" i="9"/>
  <c r="O24" i="9"/>
  <c r="W124" i="8"/>
  <c r="P118" i="8"/>
  <c r="AC118" i="8" s="1"/>
  <c r="O44" i="9"/>
  <c r="T122" i="8"/>
  <c r="AH122" i="8" s="1"/>
  <c r="O39" i="9"/>
  <c r="P89" i="8"/>
  <c r="P29" i="9" s="1"/>
  <c r="O29" i="9"/>
  <c r="T102" i="8"/>
  <c r="AF102" i="8" s="1"/>
  <c r="S39" i="9"/>
  <c r="P94" i="8"/>
  <c r="P30" i="9" s="1"/>
  <c r="O30" i="9"/>
  <c r="AC96" i="8"/>
  <c r="P31" i="9"/>
  <c r="W26" i="9"/>
  <c r="W32" i="9"/>
  <c r="T94" i="8"/>
  <c r="AG94" i="8" s="1"/>
  <c r="S30" i="9"/>
  <c r="P88" i="8"/>
  <c r="AE88" i="8" s="1"/>
  <c r="O28" i="9"/>
  <c r="AA96" i="8"/>
  <c r="L31" i="9"/>
  <c r="T89" i="8"/>
  <c r="AF89" i="8" s="1"/>
  <c r="S29" i="9"/>
  <c r="L102" i="8"/>
  <c r="L39" i="9" s="1"/>
  <c r="T85" i="8"/>
  <c r="AG85" i="8" s="1"/>
  <c r="S24" i="9"/>
  <c r="AA107" i="8"/>
  <c r="AA94" i="8"/>
  <c r="AA118" i="8"/>
  <c r="AA89" i="8"/>
  <c r="P130" i="8"/>
  <c r="AE103" i="8"/>
  <c r="AE104" i="8"/>
  <c r="AE108" i="8"/>
  <c r="AE123" i="8"/>
  <c r="Z136" i="8"/>
  <c r="AA104" i="8"/>
  <c r="AE116" i="8"/>
  <c r="AG98" i="8"/>
  <c r="AA132" i="8"/>
  <c r="AA108" i="8"/>
  <c r="AF98" i="8"/>
  <c r="AA88" i="8"/>
  <c r="AA92" i="8"/>
  <c r="AE92" i="8"/>
  <c r="AA85" i="8"/>
  <c r="AA123" i="8"/>
  <c r="Z103" i="8"/>
  <c r="AB107" i="8"/>
  <c r="AB103" i="8"/>
  <c r="AB116" i="8"/>
  <c r="Z106" i="8"/>
  <c r="AC127" i="8"/>
  <c r="AC116" i="8"/>
  <c r="P112" i="8"/>
  <c r="Z104" i="8"/>
  <c r="AE96" i="8"/>
  <c r="AD96" i="8"/>
  <c r="AD123" i="8"/>
  <c r="Z96" i="8"/>
  <c r="Z89" i="8"/>
  <c r="Z132" i="8"/>
  <c r="AB92" i="8"/>
  <c r="Z117" i="8"/>
  <c r="Z92" i="8"/>
  <c r="AC103" i="8"/>
  <c r="AA115" i="8"/>
  <c r="AD116" i="8"/>
  <c r="AC92" i="8"/>
  <c r="AD107" i="8"/>
  <c r="Z88" i="8"/>
  <c r="AE122" i="8"/>
  <c r="AD103" i="8"/>
  <c r="Z94" i="8"/>
  <c r="AA127" i="8"/>
  <c r="AE132" i="8"/>
  <c r="Z107" i="8"/>
  <c r="AD92" i="8"/>
  <c r="P102" i="8"/>
  <c r="Z118" i="8"/>
  <c r="AB108" i="8"/>
  <c r="Z108" i="8"/>
  <c r="AB104" i="8"/>
  <c r="O136" i="8"/>
  <c r="P136" i="8" s="1"/>
  <c r="AE136" i="8" s="1"/>
  <c r="P105" i="8"/>
  <c r="AE105" i="8" s="1"/>
  <c r="AA105" i="8"/>
  <c r="AD132" i="8"/>
  <c r="AC108" i="8"/>
  <c r="AC104" i="8"/>
  <c r="AC123" i="8"/>
  <c r="AE107" i="8"/>
  <c r="P85" i="8"/>
  <c r="P115" i="8"/>
  <c r="AB96" i="8"/>
  <c r="AB123" i="8"/>
  <c r="AD108" i="8"/>
  <c r="Z105" i="8"/>
  <c r="AD104" i="8"/>
  <c r="AH98" i="8"/>
  <c r="AG136" i="8"/>
  <c r="AF132" i="8"/>
  <c r="AF107" i="8"/>
  <c r="AF123" i="8"/>
  <c r="AF103" i="8"/>
  <c r="AG108" i="8"/>
  <c r="T130" i="8"/>
  <c r="AF108" i="8"/>
  <c r="AG107" i="8"/>
  <c r="T115" i="8"/>
  <c r="AH136" i="8"/>
  <c r="AH108" i="8"/>
  <c r="AF105" i="8"/>
  <c r="AH132" i="8"/>
  <c r="AH105" i="8"/>
  <c r="AF104" i="8"/>
  <c r="AG132" i="8"/>
  <c r="AG97" i="8"/>
  <c r="AF116" i="8"/>
  <c r="AG104" i="8"/>
  <c r="AG105" i="8"/>
  <c r="AH97" i="8"/>
  <c r="T88" i="8"/>
  <c r="AG123" i="8"/>
  <c r="AG103" i="8"/>
  <c r="AG116" i="8"/>
  <c r="AH104" i="8"/>
  <c r="AH107" i="8"/>
  <c r="T92" i="8"/>
  <c r="T112" i="8"/>
  <c r="AF97" i="8"/>
  <c r="AF136" i="8"/>
  <c r="AH123" i="8"/>
  <c r="AH103" i="8"/>
  <c r="AH116" i="8"/>
  <c r="AD127" i="8" l="1"/>
  <c r="AA116" i="8"/>
  <c r="AI127" i="8"/>
  <c r="T45" i="9"/>
  <c r="Z85" i="8"/>
  <c r="AC130" i="8"/>
  <c r="P50" i="9"/>
  <c r="AF50" i="9" s="1"/>
  <c r="AE130" i="8"/>
  <c r="AH127" i="8"/>
  <c r="Z116" i="8"/>
  <c r="AB132" i="8"/>
  <c r="AI130" i="8"/>
  <c r="T50" i="9"/>
  <c r="AB127" i="8"/>
  <c r="AI132" i="8"/>
  <c r="T47" i="9"/>
  <c r="AG127" i="8"/>
  <c r="AF127" i="8"/>
  <c r="AC89" i="8"/>
  <c r="AC132" i="8"/>
  <c r="AE127" i="8"/>
  <c r="Z112" i="8"/>
  <c r="AA112" i="8"/>
  <c r="W139" i="8"/>
  <c r="AD130" i="8"/>
  <c r="AG89" i="8"/>
  <c r="AD89" i="8"/>
  <c r="AF94" i="8"/>
  <c r="AH102" i="8"/>
  <c r="AG102" i="8"/>
  <c r="AH94" i="8"/>
  <c r="AF122" i="8"/>
  <c r="AG122" i="8"/>
  <c r="AD118" i="8"/>
  <c r="AB94" i="8"/>
  <c r="AH89" i="8"/>
  <c r="AB89" i="8"/>
  <c r="AI115" i="8"/>
  <c r="T43" i="9"/>
  <c r="AI122" i="8"/>
  <c r="AE118" i="8"/>
  <c r="P44" i="9"/>
  <c r="AE89" i="8"/>
  <c r="AH85" i="8"/>
  <c r="AE115" i="8"/>
  <c r="P43" i="9"/>
  <c r="AB118" i="8"/>
  <c r="AD94" i="8"/>
  <c r="AF85" i="8"/>
  <c r="AA102" i="8"/>
  <c r="Z102" i="8"/>
  <c r="AD85" i="8"/>
  <c r="P24" i="9"/>
  <c r="AC88" i="8"/>
  <c r="P28" i="9"/>
  <c r="AE30" i="9"/>
  <c r="AF30" i="9"/>
  <c r="AI85" i="8"/>
  <c r="T24" i="9"/>
  <c r="AH88" i="8"/>
  <c r="T28" i="9"/>
  <c r="AI112" i="8"/>
  <c r="T35" i="9"/>
  <c r="AD102" i="8"/>
  <c r="P39" i="9"/>
  <c r="AI94" i="8"/>
  <c r="T30" i="9"/>
  <c r="AI30" i="9" s="1"/>
  <c r="AI102" i="8"/>
  <c r="T39" i="9"/>
  <c r="AB88" i="8"/>
  <c r="AC94" i="8"/>
  <c r="W40" i="9"/>
  <c r="W52" i="9" s="1"/>
  <c r="W33" i="9"/>
  <c r="AD88" i="8"/>
  <c r="AI89" i="8"/>
  <c r="T29" i="9"/>
  <c r="AE112" i="8"/>
  <c r="P35" i="9"/>
  <c r="AE94" i="8"/>
  <c r="AE31" i="9"/>
  <c r="AF31" i="9"/>
  <c r="AB130" i="8"/>
  <c r="AC136" i="8"/>
  <c r="AB105" i="8"/>
  <c r="AC105" i="8"/>
  <c r="AB115" i="8"/>
  <c r="AA124" i="8"/>
  <c r="Z137" i="8"/>
  <c r="AB136" i="8"/>
  <c r="AC115" i="8"/>
  <c r="AC112" i="8"/>
  <c r="Z124" i="8"/>
  <c r="AE85" i="8"/>
  <c r="AB85" i="8"/>
  <c r="AE137" i="8"/>
  <c r="AD136" i="8"/>
  <c r="AD137" i="8" s="1"/>
  <c r="AD105" i="8"/>
  <c r="AD112" i="8"/>
  <c r="AE102" i="8"/>
  <c r="AC102" i="8"/>
  <c r="AB102" i="8"/>
  <c r="AD115" i="8"/>
  <c r="AB112" i="8"/>
  <c r="AA136" i="8"/>
  <c r="AA137" i="8" s="1"/>
  <c r="AC85" i="8"/>
  <c r="AH130" i="8"/>
  <c r="AH112" i="8"/>
  <c r="AF112" i="8"/>
  <c r="AG112" i="8"/>
  <c r="AF130" i="8"/>
  <c r="AG130" i="8"/>
  <c r="AG115" i="8"/>
  <c r="AI88" i="8"/>
  <c r="AF88" i="8"/>
  <c r="AI92" i="8"/>
  <c r="AG92" i="8"/>
  <c r="AF115" i="8"/>
  <c r="AH115" i="8"/>
  <c r="AF92" i="8"/>
  <c r="AH92" i="8"/>
  <c r="AG88" i="8"/>
  <c r="AH50" i="9" l="1"/>
  <c r="AG50" i="9"/>
  <c r="AI50" i="9"/>
  <c r="AE50" i="9"/>
  <c r="AE124" i="8"/>
  <c r="AH30" i="9"/>
  <c r="AG30" i="9"/>
  <c r="AC137" i="8"/>
  <c r="AH137" i="8"/>
  <c r="AB137" i="8"/>
  <c r="AB124" i="8"/>
  <c r="AC124" i="8"/>
  <c r="AD124" i="8"/>
  <c r="AF137" i="8"/>
  <c r="AF124" i="8"/>
  <c r="AG137" i="8"/>
  <c r="AH124" i="8"/>
  <c r="AG124" i="8"/>
  <c r="C124" i="8" l="1"/>
  <c r="C74" i="8"/>
  <c r="C80" i="9" s="1"/>
  <c r="C81" i="9" s="1"/>
  <c r="C90" i="9" s="1"/>
  <c r="C61" i="8"/>
  <c r="C52" i="8"/>
  <c r="C9" i="8"/>
  <c r="L38" i="8"/>
  <c r="L57" i="9" s="1"/>
  <c r="P38" i="8"/>
  <c r="T38" i="8"/>
  <c r="L39" i="8"/>
  <c r="P39" i="8"/>
  <c r="AB39" i="8" s="1"/>
  <c r="T39" i="8"/>
  <c r="AF39" i="8" s="1"/>
  <c r="L40" i="8"/>
  <c r="L58" i="9" s="1"/>
  <c r="P40" i="8"/>
  <c r="T40" i="8"/>
  <c r="L41" i="8"/>
  <c r="L64" i="9" s="1"/>
  <c r="P41" i="8"/>
  <c r="T41" i="8"/>
  <c r="U9" i="8"/>
  <c r="U14" i="10" s="1"/>
  <c r="S9" i="8"/>
  <c r="S14" i="10" s="1"/>
  <c r="R9" i="8"/>
  <c r="R14" i="10" s="1"/>
  <c r="Q9" i="8"/>
  <c r="Q14" i="10" s="1"/>
  <c r="O9" i="8"/>
  <c r="O14" i="10" s="1"/>
  <c r="N9" i="8"/>
  <c r="N14" i="10" s="1"/>
  <c r="M9" i="8"/>
  <c r="M14" i="10" s="1"/>
  <c r="K9" i="8"/>
  <c r="K14" i="10" s="1"/>
  <c r="J9" i="8"/>
  <c r="J14" i="10" s="1"/>
  <c r="I9" i="8"/>
  <c r="I14" i="10" s="1"/>
  <c r="V9" i="8"/>
  <c r="V14" i="10" s="1"/>
  <c r="G9" i="8"/>
  <c r="G14" i="10" s="1"/>
  <c r="F9" i="8"/>
  <c r="F14" i="10" s="1"/>
  <c r="E9" i="8"/>
  <c r="E14" i="10" s="1"/>
  <c r="D9" i="8"/>
  <c r="D14" i="10" s="1"/>
  <c r="I137" i="8"/>
  <c r="U124" i="8"/>
  <c r="Q124" i="8"/>
  <c r="M124" i="8"/>
  <c r="I124" i="8"/>
  <c r="G124" i="8"/>
  <c r="F124" i="8"/>
  <c r="E124" i="8"/>
  <c r="D124" i="8"/>
  <c r="V74" i="8"/>
  <c r="V80" i="9" s="1"/>
  <c r="AI80" i="9" s="1"/>
  <c r="U74" i="8"/>
  <c r="U80" i="9" s="1"/>
  <c r="S74" i="8"/>
  <c r="S80" i="9" s="1"/>
  <c r="R74" i="8"/>
  <c r="R80" i="9" s="1"/>
  <c r="Q74" i="8"/>
  <c r="Q80" i="9" s="1"/>
  <c r="O74" i="8"/>
  <c r="O80" i="9" s="1"/>
  <c r="AB80" i="9" s="1"/>
  <c r="N74" i="8"/>
  <c r="N80" i="9" s="1"/>
  <c r="M74" i="8"/>
  <c r="M80" i="9" s="1"/>
  <c r="K74" i="8"/>
  <c r="K80" i="9" s="1"/>
  <c r="J74" i="8"/>
  <c r="J80" i="9" s="1"/>
  <c r="I74" i="8"/>
  <c r="I80" i="9" s="1"/>
  <c r="G74" i="8"/>
  <c r="G80" i="9" s="1"/>
  <c r="F74" i="8"/>
  <c r="F80" i="9" s="1"/>
  <c r="E74" i="8"/>
  <c r="E80" i="9" s="1"/>
  <c r="D74" i="8"/>
  <c r="D80" i="9" s="1"/>
  <c r="T73" i="8"/>
  <c r="AF73" i="8" s="1"/>
  <c r="L73" i="8"/>
  <c r="T71" i="8"/>
  <c r="AF71" i="8" s="1"/>
  <c r="L71" i="8"/>
  <c r="T70" i="8"/>
  <c r="AF70" i="8" s="1"/>
  <c r="L70" i="8"/>
  <c r="T69" i="8"/>
  <c r="AF69" i="8" s="1"/>
  <c r="L69" i="8"/>
  <c r="V61" i="8"/>
  <c r="U61" i="8"/>
  <c r="S61" i="8"/>
  <c r="R61" i="8"/>
  <c r="Q61" i="8"/>
  <c r="O61" i="8"/>
  <c r="N61" i="8"/>
  <c r="M61" i="8"/>
  <c r="K61" i="8"/>
  <c r="J61" i="8"/>
  <c r="I61" i="8"/>
  <c r="G61" i="8"/>
  <c r="F61" i="8"/>
  <c r="E61" i="8"/>
  <c r="D61" i="8"/>
  <c r="V52" i="8"/>
  <c r="U52" i="8"/>
  <c r="S52" i="8"/>
  <c r="R52" i="8"/>
  <c r="Q52" i="8"/>
  <c r="O52" i="8"/>
  <c r="N52" i="8"/>
  <c r="M52" i="8"/>
  <c r="K52" i="8"/>
  <c r="J52" i="8"/>
  <c r="I52" i="8"/>
  <c r="G52" i="8"/>
  <c r="F52" i="8"/>
  <c r="E52" i="8"/>
  <c r="T9" i="8"/>
  <c r="T14" i="10" s="1"/>
  <c r="AI9" i="8"/>
  <c r="AH80" i="9"/>
  <c r="AF80" i="9"/>
  <c r="AE80" i="9"/>
  <c r="AD80" i="9"/>
  <c r="AA80" i="9"/>
  <c r="Z80" i="9"/>
  <c r="V78" i="9"/>
  <c r="V81" i="9" s="1"/>
  <c r="V90" i="9" s="1"/>
  <c r="U78" i="9"/>
  <c r="U81" i="9" s="1"/>
  <c r="U90" i="9" s="1"/>
  <c r="S78" i="9"/>
  <c r="R78" i="9"/>
  <c r="Q78" i="9"/>
  <c r="O78" i="9"/>
  <c r="N78" i="9"/>
  <c r="N81" i="9" s="1"/>
  <c r="N90" i="9" s="1"/>
  <c r="M78" i="9"/>
  <c r="M81" i="9" s="1"/>
  <c r="M90" i="9" s="1"/>
  <c r="K78" i="9"/>
  <c r="J78" i="9"/>
  <c r="I78" i="9"/>
  <c r="G78" i="9"/>
  <c r="F78" i="9"/>
  <c r="E78" i="9"/>
  <c r="D78" i="9"/>
  <c r="AI77" i="9"/>
  <c r="AH77" i="9"/>
  <c r="AF77" i="9"/>
  <c r="AE77" i="9"/>
  <c r="AD77" i="9"/>
  <c r="AB77" i="9"/>
  <c r="AA77" i="9"/>
  <c r="Z77" i="9"/>
  <c r="AG77" i="9"/>
  <c r="AC77" i="9"/>
  <c r="Y77" i="9"/>
  <c r="AI76" i="9"/>
  <c r="AH76" i="9"/>
  <c r="AF76" i="9"/>
  <c r="AE76" i="9"/>
  <c r="AD76" i="9"/>
  <c r="AB76" i="9"/>
  <c r="AA76" i="9"/>
  <c r="Z76" i="9"/>
  <c r="AI75" i="9"/>
  <c r="AH75" i="9"/>
  <c r="AF75" i="9"/>
  <c r="AE75" i="9"/>
  <c r="AD75" i="9"/>
  <c r="AB75" i="9"/>
  <c r="AA75" i="9"/>
  <c r="Z75" i="9"/>
  <c r="T75" i="9"/>
  <c r="P75" i="9"/>
  <c r="L75" i="9"/>
  <c r="AI73" i="9"/>
  <c r="AH73" i="9"/>
  <c r="AG73" i="9"/>
  <c r="AF73" i="9"/>
  <c r="AE73" i="9"/>
  <c r="AD73" i="9"/>
  <c r="AC73" i="9"/>
  <c r="AB73" i="9"/>
  <c r="AA73" i="9"/>
  <c r="Z73" i="9"/>
  <c r="Y73" i="9"/>
  <c r="AI72" i="9"/>
  <c r="AH72" i="9"/>
  <c r="AG72" i="9"/>
  <c r="AF72" i="9"/>
  <c r="AE72" i="9"/>
  <c r="AD72" i="9"/>
  <c r="AC72" i="9"/>
  <c r="AB72" i="9"/>
  <c r="AA72" i="9"/>
  <c r="Z72" i="9"/>
  <c r="Y72" i="9"/>
  <c r="AI67" i="9"/>
  <c r="AH67" i="9"/>
  <c r="AG67" i="9"/>
  <c r="AF67" i="9"/>
  <c r="AE67" i="9"/>
  <c r="AD67" i="9"/>
  <c r="AC67" i="9"/>
  <c r="AB67" i="9"/>
  <c r="AA67" i="9"/>
  <c r="Z67" i="9"/>
  <c r="Y67" i="9"/>
  <c r="AI65" i="9"/>
  <c r="AH65" i="9"/>
  <c r="AG65" i="9"/>
  <c r="AF65" i="9"/>
  <c r="AE65" i="9"/>
  <c r="AD65" i="9"/>
  <c r="AC65" i="9"/>
  <c r="AB65" i="9"/>
  <c r="AA65" i="9"/>
  <c r="Z65" i="9"/>
  <c r="Y65" i="9"/>
  <c r="AI64" i="9"/>
  <c r="AH64" i="9"/>
  <c r="AF64" i="9"/>
  <c r="AE64" i="9"/>
  <c r="AD64" i="9"/>
  <c r="AB64" i="9"/>
  <c r="AA64" i="9"/>
  <c r="Z64" i="9"/>
  <c r="Y64" i="9"/>
  <c r="AI58" i="9"/>
  <c r="AH58" i="9"/>
  <c r="AD58" i="9"/>
  <c r="AB58" i="9"/>
  <c r="AA58" i="9"/>
  <c r="Z58" i="9"/>
  <c r="Y58" i="9"/>
  <c r="AH57" i="9"/>
  <c r="AH61" i="9" s="1"/>
  <c r="AF57" i="9"/>
  <c r="AE57" i="9"/>
  <c r="AD57" i="9"/>
  <c r="AA57" i="9"/>
  <c r="AF39" i="9"/>
  <c r="AD39" i="9"/>
  <c r="AI38" i="9"/>
  <c r="AH38" i="9"/>
  <c r="AG38" i="9"/>
  <c r="AF38" i="9"/>
  <c r="AE38" i="9"/>
  <c r="AD38" i="9"/>
  <c r="AC38" i="9"/>
  <c r="AB38" i="9"/>
  <c r="AA38" i="9"/>
  <c r="Z38" i="9"/>
  <c r="Y38" i="9"/>
  <c r="AC35" i="9"/>
  <c r="AF28" i="9"/>
  <c r="AE28" i="9"/>
  <c r="AG24" i="9"/>
  <c r="Y24" i="9"/>
  <c r="AA20" i="9"/>
  <c r="Y20" i="9"/>
  <c r="AD19" i="9"/>
  <c r="AG18" i="9"/>
  <c r="Y18" i="9"/>
  <c r="AH9" i="9"/>
  <c r="AB9" i="9"/>
  <c r="Z9" i="9"/>
  <c r="AH8" i="9"/>
  <c r="Z8" i="9"/>
  <c r="AF7" i="9"/>
  <c r="U10" i="9"/>
  <c r="M10" i="9"/>
  <c r="G10" i="9"/>
  <c r="F10" i="9"/>
  <c r="E10" i="9"/>
  <c r="D10" i="9"/>
  <c r="D11" i="9" s="1"/>
  <c r="AI4" i="9"/>
  <c r="AH4" i="9"/>
  <c r="AG4" i="9"/>
  <c r="AF4" i="9"/>
  <c r="AE4" i="9"/>
  <c r="AD4" i="9"/>
  <c r="AC4" i="9"/>
  <c r="AB4" i="9"/>
  <c r="AA4" i="9"/>
  <c r="Z4" i="9"/>
  <c r="Y4" i="9"/>
  <c r="AI3" i="9"/>
  <c r="AH3" i="9"/>
  <c r="AG3" i="9"/>
  <c r="AF3" i="9"/>
  <c r="AE3" i="9"/>
  <c r="AD3" i="9"/>
  <c r="AC3" i="9"/>
  <c r="AB3" i="9"/>
  <c r="AA3" i="9"/>
  <c r="Z3" i="9"/>
  <c r="Y3" i="9"/>
  <c r="D66" i="8" l="1"/>
  <c r="D69" i="9" s="1"/>
  <c r="D68" i="9"/>
  <c r="N66" i="8"/>
  <c r="N69" i="9" s="1"/>
  <c r="AA69" i="9" s="1"/>
  <c r="N68" i="9"/>
  <c r="AA68" i="9" s="1"/>
  <c r="AB38" i="8"/>
  <c r="P57" i="9"/>
  <c r="AC57" i="9" s="1"/>
  <c r="E66" i="8"/>
  <c r="E69" i="9" s="1"/>
  <c r="E68" i="9"/>
  <c r="O66" i="8"/>
  <c r="O69" i="9" s="1"/>
  <c r="AB69" i="9" s="1"/>
  <c r="O68" i="9"/>
  <c r="AB68" i="9" s="1"/>
  <c r="AF40" i="8"/>
  <c r="T58" i="9"/>
  <c r="AG58" i="9" s="1"/>
  <c r="F66" i="8"/>
  <c r="F69" i="9" s="1"/>
  <c r="F68" i="9"/>
  <c r="Q66" i="8"/>
  <c r="Q69" i="9" s="1"/>
  <c r="AD69" i="9" s="1"/>
  <c r="Q68" i="9"/>
  <c r="AD68" i="9" s="1"/>
  <c r="AB40" i="8"/>
  <c r="P58" i="9"/>
  <c r="AC58" i="9" s="1"/>
  <c r="G66" i="8"/>
  <c r="G69" i="9" s="1"/>
  <c r="G68" i="9"/>
  <c r="R66" i="8"/>
  <c r="R69" i="9" s="1"/>
  <c r="AE69" i="9" s="1"/>
  <c r="R68" i="9"/>
  <c r="AE68" i="9" s="1"/>
  <c r="I66" i="8"/>
  <c r="I69" i="9" s="1"/>
  <c r="I68" i="9"/>
  <c r="S66" i="8"/>
  <c r="S69" i="9" s="1"/>
  <c r="AF69" i="9" s="1"/>
  <c r="S68" i="9"/>
  <c r="AF68" i="9" s="1"/>
  <c r="C66" i="8"/>
  <c r="C69" i="9" s="1"/>
  <c r="C68" i="9"/>
  <c r="J66" i="8"/>
  <c r="J69" i="9" s="1"/>
  <c r="J68" i="9"/>
  <c r="U66" i="8"/>
  <c r="U69" i="9" s="1"/>
  <c r="AH69" i="9" s="1"/>
  <c r="U68" i="9"/>
  <c r="AH68" i="9" s="1"/>
  <c r="E81" i="9"/>
  <c r="E90" i="9" s="1"/>
  <c r="O81" i="9"/>
  <c r="O90" i="9" s="1"/>
  <c r="K66" i="8"/>
  <c r="K69" i="9" s="1"/>
  <c r="K68" i="9"/>
  <c r="V66" i="8"/>
  <c r="V69" i="9" s="1"/>
  <c r="AI69" i="9" s="1"/>
  <c r="V68" i="9"/>
  <c r="AI68" i="9" s="1"/>
  <c r="AF41" i="8"/>
  <c r="T64" i="9"/>
  <c r="AG64" i="9" s="1"/>
  <c r="AK9" i="8"/>
  <c r="AI14" i="10"/>
  <c r="M66" i="8"/>
  <c r="M69" i="9" s="1"/>
  <c r="Z69" i="9" s="1"/>
  <c r="M68" i="9"/>
  <c r="Z68" i="9" s="1"/>
  <c r="AB41" i="8"/>
  <c r="P64" i="9"/>
  <c r="AC64" i="9" s="1"/>
  <c r="AF38" i="8"/>
  <c r="T57" i="9"/>
  <c r="AG57" i="9" s="1"/>
  <c r="AC75" i="9"/>
  <c r="P60" i="9"/>
  <c r="P76" i="9"/>
  <c r="AC76" i="9" s="1"/>
  <c r="AC78" i="9" s="1"/>
  <c r="AG75" i="9"/>
  <c r="T76" i="9"/>
  <c r="AG76" i="9" s="1"/>
  <c r="T60" i="9"/>
  <c r="Y75" i="9"/>
  <c r="L76" i="9"/>
  <c r="Y76" i="9" s="1"/>
  <c r="L60" i="9"/>
  <c r="L61" i="9" s="1"/>
  <c r="C12" i="8"/>
  <c r="C13" i="8" s="1"/>
  <c r="C14" i="10"/>
  <c r="K81" i="9"/>
  <c r="AF45" i="9"/>
  <c r="AD46" i="9"/>
  <c r="AH51" i="9"/>
  <c r="AB46" i="9"/>
  <c r="AI57" i="9"/>
  <c r="AI61" i="9" s="1"/>
  <c r="W53" i="9"/>
  <c r="AC47" i="9"/>
  <c r="AB44" i="9"/>
  <c r="Z45" i="9"/>
  <c r="AH45" i="9"/>
  <c r="AD47" i="9"/>
  <c r="AF24" i="9"/>
  <c r="AD28" i="9"/>
  <c r="AB35" i="9"/>
  <c r="AE39" i="9"/>
  <c r="AE45" i="9"/>
  <c r="AG51" i="9"/>
  <c r="AA78" i="9"/>
  <c r="AA81" i="9" s="1"/>
  <c r="AA90" i="9" s="1"/>
  <c r="G81" i="9"/>
  <c r="G90" i="9" s="1"/>
  <c r="AE7" i="9"/>
  <c r="Y8" i="9"/>
  <c r="AG8" i="9"/>
  <c r="AA9" i="9"/>
  <c r="J81" i="9"/>
  <c r="N10" i="9"/>
  <c r="AA8" i="9"/>
  <c r="AI8" i="9"/>
  <c r="AC9" i="9"/>
  <c r="P10" i="9"/>
  <c r="AB8" i="9"/>
  <c r="AD9" i="9"/>
  <c r="AF19" i="9"/>
  <c r="AK38" i="9"/>
  <c r="AI9" i="9"/>
  <c r="AF18" i="9"/>
  <c r="Z20" i="9"/>
  <c r="AH20" i="9"/>
  <c r="Y57" i="9"/>
  <c r="Y61" i="9" s="1"/>
  <c r="O10" i="9"/>
  <c r="O15" i="9" s="1"/>
  <c r="AI20" i="9"/>
  <c r="Z57" i="9"/>
  <c r="Z61" i="9" s="1"/>
  <c r="AD35" i="9"/>
  <c r="AA44" i="9"/>
  <c r="AI44" i="9"/>
  <c r="AE46" i="9"/>
  <c r="I10" i="9"/>
  <c r="M11" i="9" s="1"/>
  <c r="Q10" i="9"/>
  <c r="U11" i="9" s="1"/>
  <c r="Y19" i="9"/>
  <c r="AG19" i="9"/>
  <c r="AA28" i="9"/>
  <c r="AI28" i="9"/>
  <c r="AK28" i="9" s="1"/>
  <c r="AC44" i="9"/>
  <c r="AE47" i="9"/>
  <c r="AI78" i="9"/>
  <c r="AI81" i="9" s="1"/>
  <c r="AI90" i="9" s="1"/>
  <c r="AI6" i="9"/>
  <c r="Z19" i="9"/>
  <c r="AH19" i="9"/>
  <c r="AD44" i="9"/>
  <c r="Z46" i="9"/>
  <c r="AH46" i="9"/>
  <c r="AF47" i="9"/>
  <c r="AF8" i="9"/>
  <c r="AH42" i="9"/>
  <c r="AE44" i="9"/>
  <c r="AA46" i="9"/>
  <c r="AI46" i="9"/>
  <c r="Y47" i="9"/>
  <c r="AG47" i="9"/>
  <c r="F81" i="9"/>
  <c r="F90" i="9" s="1"/>
  <c r="Z7" i="9"/>
  <c r="AH7" i="9"/>
  <c r="AA19" i="9"/>
  <c r="AI19" i="9"/>
  <c r="AB20" i="9"/>
  <c r="AD42" i="9"/>
  <c r="Y44" i="9"/>
  <c r="AG44" i="9"/>
  <c r="AC45" i="9"/>
  <c r="Y46" i="9"/>
  <c r="AG46" i="9"/>
  <c r="AA47" i="9"/>
  <c r="AI47" i="9"/>
  <c r="AE51" i="9"/>
  <c r="AH78" i="9"/>
  <c r="AH81" i="9" s="1"/>
  <c r="AH90" i="9" s="1"/>
  <c r="AA29" i="9"/>
  <c r="AC6" i="9"/>
  <c r="AE8" i="9"/>
  <c r="Y9" i="9"/>
  <c r="AG9" i="9"/>
  <c r="Z18" i="9"/>
  <c r="AH18" i="9"/>
  <c r="Z35" i="9"/>
  <c r="AH35" i="9"/>
  <c r="AB43" i="9"/>
  <c r="Z44" i="9"/>
  <c r="AH44" i="9"/>
  <c r="AD45" i="9"/>
  <c r="AB47" i="9"/>
  <c r="AF51" i="9"/>
  <c r="Z78" i="9"/>
  <c r="Z81" i="9" s="1"/>
  <c r="Z90" i="9" s="1"/>
  <c r="I81" i="9"/>
  <c r="AC7" i="9"/>
  <c r="AI7" i="9"/>
  <c r="AE20" i="9"/>
  <c r="AI24" i="9"/>
  <c r="AC61" i="9"/>
  <c r="J10" i="9"/>
  <c r="R10" i="9"/>
  <c r="AD7" i="9"/>
  <c r="AC18" i="9"/>
  <c r="AE24" i="9"/>
  <c r="Z42" i="9"/>
  <c r="AE42" i="9"/>
  <c r="AE43" i="9"/>
  <c r="Y45" i="9"/>
  <c r="AG45" i="9"/>
  <c r="AC46" i="9"/>
  <c r="AI51" i="9"/>
  <c r="AD61" i="9"/>
  <c r="AI29" i="9"/>
  <c r="AA6" i="9"/>
  <c r="AI18" i="9"/>
  <c r="AG20" i="9"/>
  <c r="AA42" i="9"/>
  <c r="AI42" i="9"/>
  <c r="AB6" i="9"/>
  <c r="T10" i="9"/>
  <c r="U12" i="9" s="1"/>
  <c r="AE18" i="9"/>
  <c r="AB29" i="9"/>
  <c r="AE35" i="9"/>
  <c r="AB42" i="9"/>
  <c r="AE78" i="9"/>
  <c r="AE81" i="9" s="1"/>
  <c r="AE90" i="9" s="1"/>
  <c r="AD6" i="9"/>
  <c r="Y7" i="9"/>
  <c r="AG7" i="9"/>
  <c r="Z24" i="9"/>
  <c r="AH24" i="9"/>
  <c r="AC28" i="9"/>
  <c r="Y39" i="9"/>
  <c r="AG39" i="9"/>
  <c r="AF44" i="9"/>
  <c r="AF46" i="9"/>
  <c r="AF78" i="9"/>
  <c r="AF81" i="9" s="1"/>
  <c r="AF90" i="9" s="1"/>
  <c r="AB45" i="8"/>
  <c r="AB52" i="8" s="1"/>
  <c r="AB77" i="8" s="1"/>
  <c r="AF74" i="8"/>
  <c r="AF75" i="8" s="1"/>
  <c r="AF45" i="8"/>
  <c r="AF52" i="8" s="1"/>
  <c r="T45" i="8"/>
  <c r="P45" i="8"/>
  <c r="P52" i="8" s="1"/>
  <c r="L45" i="8"/>
  <c r="L52" i="8" s="1"/>
  <c r="C75" i="8"/>
  <c r="C77" i="8" s="1"/>
  <c r="C137" i="8"/>
  <c r="C18" i="8"/>
  <c r="F12" i="8"/>
  <c r="F18" i="8" s="1"/>
  <c r="U12" i="8"/>
  <c r="U18" i="8" s="1"/>
  <c r="E12" i="8"/>
  <c r="E18" i="8" s="1"/>
  <c r="Q12" i="8"/>
  <c r="Q13" i="8" s="1"/>
  <c r="J12" i="8"/>
  <c r="J13" i="8" s="1"/>
  <c r="P9" i="8"/>
  <c r="P14" i="10" s="1"/>
  <c r="L9" i="8"/>
  <c r="L14" i="10" s="1"/>
  <c r="G12" i="8"/>
  <c r="G18" i="8" s="1"/>
  <c r="R12" i="8"/>
  <c r="R13" i="8" s="1"/>
  <c r="F75" i="8"/>
  <c r="F77" i="8" s="1"/>
  <c r="I12" i="8"/>
  <c r="I13" i="8" s="1"/>
  <c r="S12" i="8"/>
  <c r="S13" i="8" s="1"/>
  <c r="Q137" i="8"/>
  <c r="T52" i="8"/>
  <c r="K12" i="8"/>
  <c r="K18" i="8" s="1"/>
  <c r="V12" i="8"/>
  <c r="V13" i="8" s="1"/>
  <c r="G137" i="8"/>
  <c r="N137" i="8"/>
  <c r="M12" i="8"/>
  <c r="M18" i="8" s="1"/>
  <c r="D12" i="8"/>
  <c r="D13" i="8" s="1"/>
  <c r="N12" i="8"/>
  <c r="N13" i="8" s="1"/>
  <c r="O75" i="8"/>
  <c r="O77" i="8" s="1"/>
  <c r="D137" i="8"/>
  <c r="T12" i="8"/>
  <c r="N75" i="8"/>
  <c r="N77" i="8" s="1"/>
  <c r="E75" i="8"/>
  <c r="E77" i="8" s="1"/>
  <c r="T61" i="8"/>
  <c r="L74" i="8"/>
  <c r="L80" i="9" s="1"/>
  <c r="Y80" i="9" s="1"/>
  <c r="Q75" i="8"/>
  <c r="Q77" i="8" s="1"/>
  <c r="J124" i="8"/>
  <c r="F137" i="8"/>
  <c r="L61" i="8"/>
  <c r="P74" i="8"/>
  <c r="P80" i="9" s="1"/>
  <c r="AC80" i="9" s="1"/>
  <c r="R75" i="8"/>
  <c r="R77" i="8" s="1"/>
  <c r="V124" i="8"/>
  <c r="S137" i="8"/>
  <c r="E137" i="8"/>
  <c r="P61" i="8"/>
  <c r="T74" i="8"/>
  <c r="T80" i="9" s="1"/>
  <c r="AG80" i="9" s="1"/>
  <c r="U137" i="8"/>
  <c r="J137" i="8"/>
  <c r="J75" i="8"/>
  <c r="J77" i="8" s="1"/>
  <c r="V75" i="8"/>
  <c r="V77" i="8" s="1"/>
  <c r="O12" i="8"/>
  <c r="O18" i="8" s="1"/>
  <c r="AI61" i="8"/>
  <c r="N124" i="8"/>
  <c r="D75" i="8"/>
  <c r="D77" i="8" s="1"/>
  <c r="G75" i="8"/>
  <c r="G77" i="8" s="1"/>
  <c r="I75" i="8"/>
  <c r="I77" i="8" s="1"/>
  <c r="S75" i="8"/>
  <c r="S77" i="8" s="1"/>
  <c r="U75" i="8"/>
  <c r="U77" i="8" s="1"/>
  <c r="K75" i="8"/>
  <c r="K77" i="8" s="1"/>
  <c r="M75" i="8"/>
  <c r="M77" i="8" s="1"/>
  <c r="K124" i="8"/>
  <c r="M137" i="8"/>
  <c r="R124" i="8"/>
  <c r="AI74" i="8"/>
  <c r="AK74" i="8" s="1"/>
  <c r="G15" i="9"/>
  <c r="G11" i="9"/>
  <c r="E15" i="9"/>
  <c r="E11" i="9"/>
  <c r="F15" i="9"/>
  <c r="F11" i="9"/>
  <c r="K10" i="9"/>
  <c r="L10" i="9"/>
  <c r="M12" i="9" s="1"/>
  <c r="AE19" i="9"/>
  <c r="AC19" i="9"/>
  <c r="AB19" i="9"/>
  <c r="AF20" i="9"/>
  <c r="AD20" i="9"/>
  <c r="AC20" i="9"/>
  <c r="AB28" i="9"/>
  <c r="Z28" i="9"/>
  <c r="Y28" i="9"/>
  <c r="AH28" i="9"/>
  <c r="AG28" i="9"/>
  <c r="AG78" i="9"/>
  <c r="AE6" i="9"/>
  <c r="Y14" i="9"/>
  <c r="AD18" i="9"/>
  <c r="AB18" i="9"/>
  <c r="AA18" i="9"/>
  <c r="AA35" i="9"/>
  <c r="Y35" i="9"/>
  <c r="AI35" i="9"/>
  <c r="AG35" i="9"/>
  <c r="AF35" i="9"/>
  <c r="AB39" i="9"/>
  <c r="S10" i="9"/>
  <c r="W11" i="9" s="1"/>
  <c r="V10" i="9"/>
  <c r="W12" i="9" s="1"/>
  <c r="AF6" i="9"/>
  <c r="AC39" i="9"/>
  <c r="AA39" i="9"/>
  <c r="Z39" i="9"/>
  <c r="AI39" i="9"/>
  <c r="AH39" i="9"/>
  <c r="Y6" i="9"/>
  <c r="AG6" i="9"/>
  <c r="AA7" i="9"/>
  <c r="AC8" i="9"/>
  <c r="AE9" i="9"/>
  <c r="AG14" i="9"/>
  <c r="Y37" i="9"/>
  <c r="AE58" i="9"/>
  <c r="AE61" i="9" s="1"/>
  <c r="Z6" i="9"/>
  <c r="AH6" i="9"/>
  <c r="AH10" i="9" s="1"/>
  <c r="AB7" i="9"/>
  <c r="AD8" i="9"/>
  <c r="AF9" i="9"/>
  <c r="Q81" i="9"/>
  <c r="Q90" i="9" s="1"/>
  <c r="D15" i="9"/>
  <c r="Y29" i="9"/>
  <c r="AG29" i="9"/>
  <c r="AC24" i="9"/>
  <c r="AI37" i="9"/>
  <c r="AD14" i="9"/>
  <c r="Z29" i="9"/>
  <c r="AH29" i="9"/>
  <c r="AD24" i="9"/>
  <c r="AB24" i="9"/>
  <c r="AA24" i="9"/>
  <c r="AA43" i="9"/>
  <c r="Z43" i="9"/>
  <c r="Y43" i="9"/>
  <c r="AI43" i="9"/>
  <c r="AH43" i="9"/>
  <c r="AG43" i="9"/>
  <c r="AC43" i="9"/>
  <c r="AA45" i="9"/>
  <c r="AI45" i="9"/>
  <c r="AC42" i="9"/>
  <c r="AD43" i="9"/>
  <c r="AB45" i="9"/>
  <c r="Z47" i="9"/>
  <c r="AH47" i="9"/>
  <c r="AB78" i="9"/>
  <c r="AF43" i="9"/>
  <c r="AI36" i="9"/>
  <c r="AF42" i="9"/>
  <c r="AA61" i="9"/>
  <c r="AD78" i="9"/>
  <c r="Y42" i="9"/>
  <c r="AG42" i="9"/>
  <c r="AB57" i="9"/>
  <c r="AB61" i="9" s="1"/>
  <c r="Y78" i="9"/>
  <c r="T78" i="9"/>
  <c r="R81" i="9"/>
  <c r="R90" i="9" s="1"/>
  <c r="AF58" i="9"/>
  <c r="AF61" i="9" s="1"/>
  <c r="S81" i="9"/>
  <c r="S90" i="9" s="1"/>
  <c r="D81" i="9"/>
  <c r="D90" i="9" s="1"/>
  <c r="L66" i="8" l="1"/>
  <c r="L69" i="9" s="1"/>
  <c r="Y69" i="9" s="1"/>
  <c r="L68" i="9"/>
  <c r="Y68" i="9" s="1"/>
  <c r="P66" i="8"/>
  <c r="P69" i="9" s="1"/>
  <c r="AC69" i="9" s="1"/>
  <c r="P68" i="9"/>
  <c r="AC68" i="9" s="1"/>
  <c r="P78" i="9"/>
  <c r="P81" i="9" s="1"/>
  <c r="P90" i="9" s="1"/>
  <c r="AI66" i="8"/>
  <c r="AK66" i="8" s="1"/>
  <c r="AK61" i="8"/>
  <c r="P61" i="9"/>
  <c r="L78" i="9"/>
  <c r="T66" i="8"/>
  <c r="T69" i="9" s="1"/>
  <c r="AG69" i="9" s="1"/>
  <c r="T68" i="9"/>
  <c r="AG68" i="9" s="1"/>
  <c r="P12" i="9"/>
  <c r="AG60" i="9"/>
  <c r="T61" i="9"/>
  <c r="AG61" i="9"/>
  <c r="T11" i="9"/>
  <c r="AK7" i="9"/>
  <c r="Q11" i="9"/>
  <c r="R12" i="9"/>
  <c r="AK35" i="9"/>
  <c r="T15" i="9"/>
  <c r="T21" i="9" s="1"/>
  <c r="O12" i="9"/>
  <c r="AI10" i="9"/>
  <c r="Q12" i="9"/>
  <c r="Z10" i="9"/>
  <c r="AK24" i="9"/>
  <c r="AK8" i="9"/>
  <c r="N12" i="9"/>
  <c r="AK39" i="9"/>
  <c r="AK9" i="9"/>
  <c r="AK19" i="9"/>
  <c r="R15" i="9"/>
  <c r="R16" i="9" s="1"/>
  <c r="P15" i="9"/>
  <c r="P21" i="9" s="1"/>
  <c r="AC36" i="9"/>
  <c r="AG10" i="9"/>
  <c r="AG15" i="9" s="1"/>
  <c r="AA37" i="9"/>
  <c r="J12" i="9"/>
  <c r="AC10" i="9"/>
  <c r="AA36" i="9"/>
  <c r="AB37" i="9"/>
  <c r="AB10" i="9"/>
  <c r="AK18" i="9"/>
  <c r="Z37" i="9"/>
  <c r="R11" i="9"/>
  <c r="AK20" i="9"/>
  <c r="AD10" i="9"/>
  <c r="AD15" i="9" s="1"/>
  <c r="AE10" i="9"/>
  <c r="AA10" i="9"/>
  <c r="AE37" i="9"/>
  <c r="AK37" i="9" s="1"/>
  <c r="AF29" i="9"/>
  <c r="Y36" i="9"/>
  <c r="N11" i="9"/>
  <c r="Z36" i="9"/>
  <c r="Y10" i="9"/>
  <c r="Y15" i="9" s="1"/>
  <c r="J15" i="9"/>
  <c r="J16" i="9" s="1"/>
  <c r="AF36" i="9"/>
  <c r="AC37" i="9"/>
  <c r="P11" i="9"/>
  <c r="AF77" i="8"/>
  <c r="AI75" i="8"/>
  <c r="AK75" i="8" s="1"/>
  <c r="AI45" i="8"/>
  <c r="C24" i="8"/>
  <c r="C27" i="8" s="1"/>
  <c r="C19" i="8"/>
  <c r="F13" i="8"/>
  <c r="G13" i="8"/>
  <c r="E13" i="8"/>
  <c r="J18" i="8"/>
  <c r="J19" i="8" s="1"/>
  <c r="Q18" i="8"/>
  <c r="Q24" i="8" s="1"/>
  <c r="Q27" i="8" s="1"/>
  <c r="U13" i="8"/>
  <c r="R18" i="8"/>
  <c r="R24" i="8" s="1"/>
  <c r="R27" i="8" s="1"/>
  <c r="P12" i="8"/>
  <c r="P18" i="8" s="1"/>
  <c r="P24" i="8" s="1"/>
  <c r="P27" i="8" s="1"/>
  <c r="K13" i="8"/>
  <c r="D18" i="8"/>
  <c r="D24" i="8" s="1"/>
  <c r="D27" i="8" s="1"/>
  <c r="P75" i="8"/>
  <c r="P77" i="8" s="1"/>
  <c r="S18" i="8"/>
  <c r="S24" i="8" s="1"/>
  <c r="S27" i="8" s="1"/>
  <c r="N18" i="8"/>
  <c r="N24" i="8" s="1"/>
  <c r="N27" i="8" s="1"/>
  <c r="T75" i="8"/>
  <c r="T77" i="8" s="1"/>
  <c r="L12" i="8"/>
  <c r="L18" i="8" s="1"/>
  <c r="L19" i="8" s="1"/>
  <c r="V18" i="8"/>
  <c r="V24" i="8" s="1"/>
  <c r="V27" i="8" s="1"/>
  <c r="I18" i="8"/>
  <c r="I24" i="8" s="1"/>
  <c r="I27" i="8" s="1"/>
  <c r="T137" i="8"/>
  <c r="O13" i="8"/>
  <c r="AI12" i="8"/>
  <c r="AI137" i="8"/>
  <c r="R137" i="8"/>
  <c r="M13" i="8"/>
  <c r="L75" i="8"/>
  <c r="L77" i="8" s="1"/>
  <c r="O124" i="8"/>
  <c r="P124" i="8"/>
  <c r="P137" i="8"/>
  <c r="U19" i="8"/>
  <c r="U24" i="8"/>
  <c r="U27" i="8" s="1"/>
  <c r="L124" i="8"/>
  <c r="T124" i="8"/>
  <c r="O24" i="8"/>
  <c r="O27" i="8" s="1"/>
  <c r="O19" i="8"/>
  <c r="K19" i="8"/>
  <c r="K24" i="8"/>
  <c r="K27" i="8" s="1"/>
  <c r="F24" i="8"/>
  <c r="F27" i="8" s="1"/>
  <c r="F19" i="8"/>
  <c r="M19" i="8"/>
  <c r="M24" i="8"/>
  <c r="M27" i="8" s="1"/>
  <c r="O137" i="8"/>
  <c r="K137" i="8"/>
  <c r="T18" i="8"/>
  <c r="T13" i="8"/>
  <c r="E24" i="8"/>
  <c r="E27" i="8" s="1"/>
  <c r="E19" i="8"/>
  <c r="S124" i="8"/>
  <c r="G24" i="8"/>
  <c r="G27" i="8" s="1"/>
  <c r="G19" i="8"/>
  <c r="AE29" i="9"/>
  <c r="AK29" i="9" s="1"/>
  <c r="O21" i="9"/>
  <c r="O16" i="9"/>
  <c r="AD29" i="9"/>
  <c r="AF37" i="9"/>
  <c r="AH36" i="9"/>
  <c r="AG36" i="9"/>
  <c r="AI14" i="9"/>
  <c r="AE14" i="9"/>
  <c r="AG81" i="9"/>
  <c r="AG90" i="9" s="1"/>
  <c r="F21" i="9"/>
  <c r="F16" i="9"/>
  <c r="AC81" i="9"/>
  <c r="AC90" i="9" s="1"/>
  <c r="Y81" i="9"/>
  <c r="Y90" i="9" s="1"/>
  <c r="AC14" i="9"/>
  <c r="S11" i="9"/>
  <c r="S15" i="9"/>
  <c r="S12" i="9"/>
  <c r="AC29" i="9"/>
  <c r="K15" i="9"/>
  <c r="K12" i="9"/>
  <c r="AA14" i="9"/>
  <c r="U15" i="9"/>
  <c r="AK6" i="9"/>
  <c r="AB81" i="9"/>
  <c r="AB90" i="9" s="1"/>
  <c r="Z14" i="9"/>
  <c r="AB14" i="9"/>
  <c r="L81" i="9"/>
  <c r="L90" i="9" s="1"/>
  <c r="AE36" i="9"/>
  <c r="AK36" i="9" s="1"/>
  <c r="AH14" i="9"/>
  <c r="AH15" i="9" s="1"/>
  <c r="AF10" i="9"/>
  <c r="AF14" i="9"/>
  <c r="N15" i="9"/>
  <c r="T12" i="9"/>
  <c r="AD81" i="9"/>
  <c r="AD90" i="9" s="1"/>
  <c r="D21" i="9"/>
  <c r="D16" i="9"/>
  <c r="AG37" i="9"/>
  <c r="AD37" i="9"/>
  <c r="V11" i="9"/>
  <c r="V15" i="9"/>
  <c r="V12" i="9"/>
  <c r="L15" i="9"/>
  <c r="L12" i="9"/>
  <c r="O11" i="9"/>
  <c r="M15" i="9"/>
  <c r="G21" i="9"/>
  <c r="G16" i="9"/>
  <c r="Q15" i="9"/>
  <c r="E21" i="9"/>
  <c r="E16" i="9"/>
  <c r="T81" i="9"/>
  <c r="T90" i="9" s="1"/>
  <c r="AH37" i="9"/>
  <c r="AD36" i="9"/>
  <c r="AB36" i="9"/>
  <c r="I15" i="9"/>
  <c r="AI52" i="8" l="1"/>
  <c r="AK52" i="8" s="1"/>
  <c r="AK45" i="8"/>
  <c r="T16" i="9"/>
  <c r="P16" i="9"/>
  <c r="AK10" i="9"/>
  <c r="P31" i="8"/>
  <c r="P34" i="8"/>
  <c r="G31" i="8"/>
  <c r="G34" i="8"/>
  <c r="R31" i="8"/>
  <c r="R34" i="8"/>
  <c r="U31" i="8"/>
  <c r="U34" i="8"/>
  <c r="N31" i="8"/>
  <c r="N34" i="8"/>
  <c r="Q31" i="8"/>
  <c r="Q34" i="8"/>
  <c r="V82" i="8"/>
  <c r="V109" i="8" s="1"/>
  <c r="V139" i="8" s="1"/>
  <c r="V34" i="8"/>
  <c r="V31" i="8"/>
  <c r="E31" i="8"/>
  <c r="E34" i="8"/>
  <c r="F34" i="8"/>
  <c r="F31" i="8"/>
  <c r="S31" i="8"/>
  <c r="S34" i="8"/>
  <c r="M31" i="8"/>
  <c r="M34" i="8"/>
  <c r="K31" i="8"/>
  <c r="K34" i="8"/>
  <c r="O34" i="8"/>
  <c r="O31" i="8"/>
  <c r="C82" i="8"/>
  <c r="C109" i="8" s="1"/>
  <c r="C139" i="8" s="1"/>
  <c r="C142" i="8" s="1"/>
  <c r="D140" i="8" s="1"/>
  <c r="C34" i="8"/>
  <c r="C31" i="8"/>
  <c r="D31" i="8"/>
  <c r="D34" i="8"/>
  <c r="I31" i="8"/>
  <c r="I34" i="8"/>
  <c r="R21" i="9"/>
  <c r="R22" i="9" s="1"/>
  <c r="Z15" i="9"/>
  <c r="Z16" i="9" s="1"/>
  <c r="AG11" i="9"/>
  <c r="AC11" i="9"/>
  <c r="AE11" i="9"/>
  <c r="AE15" i="9"/>
  <c r="AE16" i="9" s="1"/>
  <c r="AI11" i="9"/>
  <c r="AD11" i="9"/>
  <c r="AA15" i="9"/>
  <c r="AA16" i="9" s="1"/>
  <c r="AH11" i="9"/>
  <c r="AB15" i="9"/>
  <c r="AB16" i="9" s="1"/>
  <c r="AC15" i="9"/>
  <c r="AC21" i="9" s="1"/>
  <c r="J21" i="9"/>
  <c r="J22" i="9" s="1"/>
  <c r="AK14" i="9"/>
  <c r="AI18" i="8"/>
  <c r="AK18" i="8" s="1"/>
  <c r="AK12" i="8"/>
  <c r="AI77" i="8"/>
  <c r="O28" i="8"/>
  <c r="O82" i="8"/>
  <c r="S28" i="8"/>
  <c r="S82" i="8"/>
  <c r="G28" i="8"/>
  <c r="G82" i="8"/>
  <c r="G109" i="8" s="1"/>
  <c r="G139" i="8" s="1"/>
  <c r="U28" i="8"/>
  <c r="U82" i="8"/>
  <c r="U109" i="8" s="1"/>
  <c r="U139" i="8" s="1"/>
  <c r="D28" i="8"/>
  <c r="D82" i="8"/>
  <c r="D109" i="8" s="1"/>
  <c r="D139" i="8" s="1"/>
  <c r="N28" i="8"/>
  <c r="N82" i="8"/>
  <c r="I28" i="8"/>
  <c r="I82" i="8"/>
  <c r="I109" i="8" s="1"/>
  <c r="I139" i="8" s="1"/>
  <c r="E28" i="8"/>
  <c r="E82" i="8"/>
  <c r="E109" i="8" s="1"/>
  <c r="E139" i="8" s="1"/>
  <c r="F28" i="8"/>
  <c r="F82" i="8"/>
  <c r="F109" i="8" s="1"/>
  <c r="F139" i="8" s="1"/>
  <c r="V28" i="8"/>
  <c r="P28" i="8"/>
  <c r="P82" i="8"/>
  <c r="Q28" i="8"/>
  <c r="Q82" i="8"/>
  <c r="M28" i="8"/>
  <c r="M82" i="8"/>
  <c r="K28" i="8"/>
  <c r="K82" i="8"/>
  <c r="R28" i="8"/>
  <c r="R82" i="8"/>
  <c r="C28" i="8"/>
  <c r="Q19" i="8"/>
  <c r="J24" i="8"/>
  <c r="J27" i="8" s="1"/>
  <c r="R19" i="8"/>
  <c r="S19" i="8"/>
  <c r="D19" i="8"/>
  <c r="I19" i="8"/>
  <c r="P13" i="8"/>
  <c r="N19" i="8"/>
  <c r="L24" i="8"/>
  <c r="L27" i="8" s="1"/>
  <c r="V19" i="8"/>
  <c r="L13" i="8"/>
  <c r="AI124" i="8"/>
  <c r="AI13" i="8"/>
  <c r="AK13" i="8" s="1"/>
  <c r="P19" i="8"/>
  <c r="T19" i="8"/>
  <c r="T24" i="8"/>
  <c r="T27" i="8" s="1"/>
  <c r="L137" i="8"/>
  <c r="AH21" i="9"/>
  <c r="AH16" i="9"/>
  <c r="I21" i="9"/>
  <c r="I16" i="9"/>
  <c r="E25" i="9"/>
  <c r="E22" i="9"/>
  <c r="D25" i="9"/>
  <c r="D22" i="9"/>
  <c r="AF15" i="9"/>
  <c r="AF11" i="9"/>
  <c r="K16" i="9"/>
  <c r="K21" i="9"/>
  <c r="AG21" i="9"/>
  <c r="AG16" i="9"/>
  <c r="Q21" i="9"/>
  <c r="Q16" i="9"/>
  <c r="L16" i="9"/>
  <c r="L21" i="9"/>
  <c r="F25" i="9"/>
  <c r="F22" i="9"/>
  <c r="O25" i="9"/>
  <c r="O22" i="9"/>
  <c r="V21" i="9"/>
  <c r="V16" i="9"/>
  <c r="S16" i="9"/>
  <c r="S21" i="9"/>
  <c r="T25" i="9"/>
  <c r="T22" i="9"/>
  <c r="P22" i="9"/>
  <c r="P25" i="9"/>
  <c r="AD16" i="9"/>
  <c r="AD21" i="9"/>
  <c r="AI15" i="9"/>
  <c r="G22" i="9"/>
  <c r="G25" i="9"/>
  <c r="U21" i="9"/>
  <c r="U16" i="9"/>
  <c r="M21" i="9"/>
  <c r="M16" i="9"/>
  <c r="N21" i="9"/>
  <c r="N16" i="9"/>
  <c r="Y21" i="9"/>
  <c r="Y16" i="9"/>
  <c r="Z21" i="9" l="1"/>
  <c r="Z25" i="9" s="1"/>
  <c r="C144" i="8"/>
  <c r="AC16" i="9"/>
  <c r="R25" i="9"/>
  <c r="R32" i="9" s="1"/>
  <c r="AA21" i="9"/>
  <c r="L31" i="8"/>
  <c r="L34" i="8"/>
  <c r="J31" i="8"/>
  <c r="J34" i="8"/>
  <c r="T34" i="8"/>
  <c r="T31" i="8"/>
  <c r="AE21" i="9"/>
  <c r="AE25" i="9" s="1"/>
  <c r="AK11" i="9"/>
  <c r="J25" i="9"/>
  <c r="J32" i="9" s="1"/>
  <c r="AB21" i="9"/>
  <c r="AB22" i="9" s="1"/>
  <c r="AI19" i="8"/>
  <c r="AK19" i="8" s="1"/>
  <c r="AI24" i="8"/>
  <c r="AK24" i="8" s="1"/>
  <c r="K109" i="8"/>
  <c r="K139" i="8" s="1"/>
  <c r="O109" i="8"/>
  <c r="O139" i="8" s="1"/>
  <c r="AD82" i="8"/>
  <c r="AD109" i="8" s="1"/>
  <c r="M109" i="8"/>
  <c r="M139" i="8" s="1"/>
  <c r="AB82" i="8"/>
  <c r="AB109" i="8" s="1"/>
  <c r="P109" i="8"/>
  <c r="P139" i="8" s="1"/>
  <c r="AE82" i="8"/>
  <c r="AE109" i="8" s="1"/>
  <c r="AI27" i="8"/>
  <c r="N109" i="8"/>
  <c r="N139" i="8" s="1"/>
  <c r="AC82" i="8"/>
  <c r="AC109" i="8" s="1"/>
  <c r="R109" i="8"/>
  <c r="R139" i="8" s="1"/>
  <c r="S109" i="8"/>
  <c r="S139" i="8" s="1"/>
  <c r="Q109" i="8"/>
  <c r="Q139" i="8" s="1"/>
  <c r="D142" i="8"/>
  <c r="T28" i="8"/>
  <c r="T82" i="8"/>
  <c r="AH82" i="8" s="1"/>
  <c r="AH109" i="8" s="1"/>
  <c r="J28" i="8"/>
  <c r="J82" i="8"/>
  <c r="J109" i="8" s="1"/>
  <c r="J139" i="8" s="1"/>
  <c r="L28" i="8"/>
  <c r="L82" i="8"/>
  <c r="AA82" i="8" s="1"/>
  <c r="AA109" i="8" s="1"/>
  <c r="G26" i="9"/>
  <c r="G32" i="9"/>
  <c r="N25" i="9"/>
  <c r="N22" i="9"/>
  <c r="T32" i="9"/>
  <c r="T26" i="9"/>
  <c r="F26" i="9"/>
  <c r="F32" i="9"/>
  <c r="AG25" i="9"/>
  <c r="AG22" i="9"/>
  <c r="D32" i="9"/>
  <c r="D26" i="9"/>
  <c r="AH22" i="9"/>
  <c r="AH25" i="9"/>
  <c r="AF21" i="9"/>
  <c r="AF16" i="9"/>
  <c r="AD25" i="9"/>
  <c r="AD22" i="9"/>
  <c r="AC22" i="9"/>
  <c r="AC25" i="9"/>
  <c r="O26" i="9"/>
  <c r="O32" i="9"/>
  <c r="S22" i="9"/>
  <c r="S25" i="9"/>
  <c r="AA22" i="9"/>
  <c r="AA25" i="9"/>
  <c r="E32" i="9"/>
  <c r="E26" i="9"/>
  <c r="U25" i="9"/>
  <c r="U22" i="9"/>
  <c r="Q22" i="9"/>
  <c r="Q25" i="9"/>
  <c r="M25" i="9"/>
  <c r="M22" i="9"/>
  <c r="P26" i="9"/>
  <c r="P32" i="9"/>
  <c r="L25" i="9"/>
  <c r="L22" i="9"/>
  <c r="AI21" i="9"/>
  <c r="AK15" i="9"/>
  <c r="AI16" i="9"/>
  <c r="AK16" i="9" s="1"/>
  <c r="K22" i="9"/>
  <c r="K25" i="9"/>
  <c r="Y25" i="9"/>
  <c r="Y22" i="9"/>
  <c r="V25" i="9"/>
  <c r="V22" i="9"/>
  <c r="I22" i="9"/>
  <c r="I25" i="9"/>
  <c r="Z22" i="9" l="1"/>
  <c r="R26" i="9"/>
  <c r="AE22" i="9"/>
  <c r="AI31" i="8"/>
  <c r="AI34" i="8"/>
  <c r="J26" i="9"/>
  <c r="AB25" i="9"/>
  <c r="AB32" i="9" s="1"/>
  <c r="AB139" i="8"/>
  <c r="AE139" i="8"/>
  <c r="AC139" i="8"/>
  <c r="AD139" i="8"/>
  <c r="Z82" i="8"/>
  <c r="Z109" i="8" s="1"/>
  <c r="AI28" i="8"/>
  <c r="AK27" i="8"/>
  <c r="AF82" i="8"/>
  <c r="AF109" i="8" s="1"/>
  <c r="T109" i="8"/>
  <c r="T139" i="8" s="1"/>
  <c r="AI139" i="8" s="1"/>
  <c r="AI82" i="8"/>
  <c r="AI109" i="8" s="1"/>
  <c r="AG82" i="8"/>
  <c r="AG109" i="8" s="1"/>
  <c r="I140" i="8"/>
  <c r="I142" i="8" s="1"/>
  <c r="E140" i="8"/>
  <c r="E142" i="8" s="1"/>
  <c r="D144" i="8"/>
  <c r="L109" i="8"/>
  <c r="L139" i="8" s="1"/>
  <c r="AA139" i="8" s="1"/>
  <c r="AA26" i="9"/>
  <c r="AA32" i="9"/>
  <c r="M32" i="9"/>
  <c r="M26" i="9"/>
  <c r="AE32" i="9"/>
  <c r="AE26" i="9"/>
  <c r="Q26" i="9"/>
  <c r="Q32" i="9"/>
  <c r="R89" i="9" s="1" a="1"/>
  <c r="R89" i="9" s="1"/>
  <c r="AI22" i="9"/>
  <c r="AK21" i="9"/>
  <c r="AI25" i="9"/>
  <c r="J40" i="9"/>
  <c r="J52" i="9" s="1"/>
  <c r="J33" i="9"/>
  <c r="AD32" i="9"/>
  <c r="AD26" i="9"/>
  <c r="AG26" i="9"/>
  <c r="AG32" i="9"/>
  <c r="N32" i="9"/>
  <c r="N26" i="9"/>
  <c r="D88" i="9" a="1"/>
  <c r="D88" i="9" s="1"/>
  <c r="D89" i="9" a="1"/>
  <c r="D89" i="9" s="1"/>
  <c r="D87" i="9"/>
  <c r="D40" i="9"/>
  <c r="D33" i="9"/>
  <c r="D86" i="9"/>
  <c r="D85" i="9"/>
  <c r="F89" i="9" a="1"/>
  <c r="F89" i="9" s="1"/>
  <c r="F87" i="9"/>
  <c r="F88" i="9" a="1"/>
  <c r="F88" i="9" s="1"/>
  <c r="F33" i="9"/>
  <c r="F40" i="9"/>
  <c r="F52" i="9" s="1"/>
  <c r="F85" i="9"/>
  <c r="F86" i="9"/>
  <c r="G88" i="9" a="1"/>
  <c r="G88" i="9" s="1"/>
  <c r="G87" i="9"/>
  <c r="G89" i="9" a="1"/>
  <c r="G89" i="9" s="1"/>
  <c r="G33" i="9"/>
  <c r="G86" i="9"/>
  <c r="G40" i="9"/>
  <c r="G52" i="9" s="1"/>
  <c r="G85" i="9"/>
  <c r="R33" i="9"/>
  <c r="R40" i="9"/>
  <c r="R52" i="9" s="1"/>
  <c r="V32" i="9"/>
  <c r="V26" i="9"/>
  <c r="Z26" i="9"/>
  <c r="Z32" i="9"/>
  <c r="L32" i="9"/>
  <c r="L26" i="9"/>
  <c r="U32" i="9"/>
  <c r="U26" i="9"/>
  <c r="AF25" i="9"/>
  <c r="AF22" i="9"/>
  <c r="AC32" i="9"/>
  <c r="AC26" i="9"/>
  <c r="Y26" i="9"/>
  <c r="Y32" i="9"/>
  <c r="P40" i="9"/>
  <c r="P52" i="9" s="1"/>
  <c r="P33" i="9"/>
  <c r="O40" i="9"/>
  <c r="O52" i="9" s="1"/>
  <c r="O33" i="9"/>
  <c r="AH26" i="9"/>
  <c r="AH32" i="9"/>
  <c r="S32" i="9"/>
  <c r="S26" i="9"/>
  <c r="I26" i="9"/>
  <c r="I32" i="9"/>
  <c r="K32" i="9"/>
  <c r="K26" i="9"/>
  <c r="E89" i="9" a="1"/>
  <c r="E89" i="9" s="1"/>
  <c r="E87" i="9"/>
  <c r="E40" i="9"/>
  <c r="E52" i="9" s="1"/>
  <c r="E33" i="9"/>
  <c r="E88" i="9" a="1"/>
  <c r="E88" i="9" s="1"/>
  <c r="E86" i="9"/>
  <c r="E85" i="9"/>
  <c r="T33" i="9"/>
  <c r="T40" i="9"/>
  <c r="T52" i="9" s="1"/>
  <c r="R88" i="9" l="1" a="1"/>
  <c r="R88" i="9" s="1"/>
  <c r="AK22" i="9"/>
  <c r="D52" i="9"/>
  <c r="D53" i="9" s="1"/>
  <c r="U88" i="9" a="1"/>
  <c r="U88" i="9" s="1"/>
  <c r="W86" i="9"/>
  <c r="W88" i="9" a="1"/>
  <c r="W88" i="9" s="1"/>
  <c r="W85" i="9"/>
  <c r="W87" i="9" a="1"/>
  <c r="W87" i="9" s="1"/>
  <c r="AB26" i="9"/>
  <c r="W89" i="9" a="1"/>
  <c r="W89" i="9" s="1"/>
  <c r="S88" i="9" a="1"/>
  <c r="S88" i="9" s="1"/>
  <c r="U86" i="9"/>
  <c r="AK28" i="8"/>
  <c r="AG139" i="8"/>
  <c r="Z139" i="8"/>
  <c r="AH139" i="8"/>
  <c r="AF139" i="8"/>
  <c r="E144" i="8"/>
  <c r="F140" i="8"/>
  <c r="F142" i="8" s="1"/>
  <c r="J140" i="8"/>
  <c r="J142" i="8" s="1"/>
  <c r="Z140" i="8" s="1"/>
  <c r="I144" i="8"/>
  <c r="N89" i="9" a="1"/>
  <c r="N89" i="9" s="1"/>
  <c r="N88" i="9" a="1"/>
  <c r="N88" i="9" s="1"/>
  <c r="N87" i="9" a="1"/>
  <c r="N87" i="9" s="1"/>
  <c r="N85" i="9"/>
  <c r="K40" i="9"/>
  <c r="K52" i="9" s="1"/>
  <c r="K33" i="9"/>
  <c r="N86" i="9"/>
  <c r="M88" i="9" a="1"/>
  <c r="M88" i="9" s="1"/>
  <c r="Q40" i="9"/>
  <c r="Q52" i="9" s="1"/>
  <c r="T88" i="9" a="1"/>
  <c r="T88" i="9" s="1"/>
  <c r="T87" i="9" a="1"/>
  <c r="T87" i="9" s="1"/>
  <c r="T89" i="9" a="1"/>
  <c r="T89" i="9" s="1"/>
  <c r="Q33" i="9"/>
  <c r="T85" i="9"/>
  <c r="T86" i="9"/>
  <c r="I40" i="9"/>
  <c r="L88" i="9" a="1"/>
  <c r="L88" i="9" s="1"/>
  <c r="L87" i="9" a="1"/>
  <c r="L87" i="9" s="1"/>
  <c r="L89" i="9" a="1"/>
  <c r="L89" i="9" s="1"/>
  <c r="I33" i="9"/>
  <c r="L85" i="9"/>
  <c r="L86" i="9"/>
  <c r="R86" i="9"/>
  <c r="S85" i="9"/>
  <c r="Y40" i="9"/>
  <c r="Y88" i="9" a="1"/>
  <c r="Y88" i="9" s="1"/>
  <c r="Y87" i="9"/>
  <c r="Y33" i="9"/>
  <c r="Y89" i="9" a="1"/>
  <c r="Y89" i="9" s="1"/>
  <c r="Y86" i="9"/>
  <c r="Y85" i="9"/>
  <c r="G53" i="9"/>
  <c r="AG40" i="9"/>
  <c r="AG88" i="9" a="1"/>
  <c r="AG88" i="9" s="1"/>
  <c r="AG87" i="9"/>
  <c r="AG33" i="9"/>
  <c r="AG89" i="9" a="1"/>
  <c r="AG89" i="9" s="1"/>
  <c r="AG86" i="9"/>
  <c r="AG85" i="9"/>
  <c r="J53" i="9"/>
  <c r="R85" i="9"/>
  <c r="O88" i="9" a="1"/>
  <c r="O88" i="9" s="1"/>
  <c r="O87" i="9" a="1"/>
  <c r="O87" i="9" s="1"/>
  <c r="L40" i="9"/>
  <c r="L52" i="9" s="1"/>
  <c r="L33" i="9"/>
  <c r="O89" i="9" a="1"/>
  <c r="O89" i="9" s="1"/>
  <c r="O85" i="9"/>
  <c r="O86" i="9"/>
  <c r="F53" i="9"/>
  <c r="M85" i="9"/>
  <c r="U40" i="9"/>
  <c r="U52" i="9" s="1"/>
  <c r="U33" i="9"/>
  <c r="Q87" i="9" a="1"/>
  <c r="Q87" i="9" s="1"/>
  <c r="Q89" i="9" a="1"/>
  <c r="Q89" i="9" s="1"/>
  <c r="N40" i="9"/>
  <c r="N52" i="9" s="1"/>
  <c r="N33" i="9"/>
  <c r="Q88" i="9" a="1"/>
  <c r="Q88" i="9" s="1"/>
  <c r="Q85" i="9"/>
  <c r="Q86" i="9"/>
  <c r="S89" i="9" a="1"/>
  <c r="S89" i="9" s="1"/>
  <c r="Z88" i="9" a="1"/>
  <c r="Z88" i="9" s="1"/>
  <c r="Z87" i="9"/>
  <c r="Z89" i="9" a="1"/>
  <c r="Z89" i="9" s="1"/>
  <c r="Z33" i="9"/>
  <c r="Z40" i="9"/>
  <c r="Z86" i="9"/>
  <c r="Z85" i="9"/>
  <c r="U85" i="9"/>
  <c r="M89" i="9" a="1"/>
  <c r="M89" i="9" s="1"/>
  <c r="AE89" i="9" a="1"/>
  <c r="AE89" i="9" s="1"/>
  <c r="AE40" i="9"/>
  <c r="AE87" i="9"/>
  <c r="AE88" i="9" a="1"/>
  <c r="AE88" i="9" s="1"/>
  <c r="AE85" i="9"/>
  <c r="AE33" i="9"/>
  <c r="AE86" i="9"/>
  <c r="E53" i="9"/>
  <c r="AC87" i="9"/>
  <c r="AC88" i="9" a="1"/>
  <c r="AC88" i="9" s="1"/>
  <c r="AC40" i="9"/>
  <c r="AC89" i="9" a="1"/>
  <c r="AC89" i="9" s="1"/>
  <c r="AC33" i="9"/>
  <c r="AC85" i="9"/>
  <c r="AC86" i="9"/>
  <c r="AD88" i="9" a="1"/>
  <c r="AD88" i="9" s="1"/>
  <c r="AD89" i="9" a="1"/>
  <c r="AD89" i="9" s="1"/>
  <c r="AD87" i="9"/>
  <c r="AD40" i="9"/>
  <c r="AD33" i="9"/>
  <c r="AD85" i="9"/>
  <c r="AD86" i="9"/>
  <c r="M87" i="9" a="1"/>
  <c r="M87" i="9" s="1"/>
  <c r="V89" i="9" a="1"/>
  <c r="V89" i="9" s="1"/>
  <c r="V88" i="9" a="1"/>
  <c r="V88" i="9" s="1"/>
  <c r="V87" i="9" a="1"/>
  <c r="V87" i="9" s="1"/>
  <c r="V85" i="9"/>
  <c r="S33" i="9"/>
  <c r="S40" i="9"/>
  <c r="S52" i="9" s="1"/>
  <c r="V86" i="9"/>
  <c r="T53" i="9"/>
  <c r="R87" i="9" a="1"/>
  <c r="R87" i="9" s="1"/>
  <c r="U89" i="9" a="1"/>
  <c r="U89" i="9" s="1"/>
  <c r="AI26" i="9"/>
  <c r="AK26" i="9" s="1"/>
  <c r="AI32" i="9"/>
  <c r="AK25" i="9"/>
  <c r="P88" i="9" a="1"/>
  <c r="P88" i="9" s="1"/>
  <c r="P87" i="9" a="1"/>
  <c r="P87" i="9" s="1"/>
  <c r="P89" i="9" a="1"/>
  <c r="P89" i="9" s="1"/>
  <c r="M40" i="9"/>
  <c r="M52" i="9" s="1"/>
  <c r="M33" i="9"/>
  <c r="P85" i="9"/>
  <c r="P86" i="9"/>
  <c r="S86" i="9"/>
  <c r="AB89" i="9" a="1"/>
  <c r="AB89" i="9" s="1"/>
  <c r="AB87" i="9"/>
  <c r="AB88" i="9" a="1"/>
  <c r="AB88" i="9" s="1"/>
  <c r="AB40" i="9"/>
  <c r="AB33" i="9"/>
  <c r="AB85" i="9"/>
  <c r="AB86" i="9"/>
  <c r="AF32" i="9"/>
  <c r="AF26" i="9"/>
  <c r="V33" i="9"/>
  <c r="V40" i="9"/>
  <c r="V52" i="9" s="1"/>
  <c r="U87" i="9" a="1"/>
  <c r="U87" i="9" s="1"/>
  <c r="M86" i="9"/>
  <c r="AA40" i="9"/>
  <c r="AA87" i="9"/>
  <c r="AA89" i="9" a="1"/>
  <c r="AA89" i="9" s="1"/>
  <c r="AA88" i="9" a="1"/>
  <c r="AA88" i="9" s="1"/>
  <c r="AA33" i="9"/>
  <c r="AA86" i="9"/>
  <c r="AA85" i="9"/>
  <c r="AH88" i="9" a="1"/>
  <c r="AH88" i="9" s="1"/>
  <c r="AH87" i="9"/>
  <c r="AH89" i="9" a="1"/>
  <c r="AH89" i="9" s="1"/>
  <c r="AH33" i="9"/>
  <c r="AH40" i="9"/>
  <c r="AH85" i="9"/>
  <c r="AH86" i="9"/>
  <c r="S87" i="9" a="1"/>
  <c r="S87" i="9" s="1"/>
  <c r="I52" i="9" l="1"/>
  <c r="I53" i="9" s="1"/>
  <c r="AK31" i="8"/>
  <c r="AK34" i="8"/>
  <c r="Z142" i="8"/>
  <c r="Z144" i="8" s="1"/>
  <c r="J144" i="8"/>
  <c r="K140" i="8"/>
  <c r="K142" i="8" s="1"/>
  <c r="AA140" i="8" s="1"/>
  <c r="AA142" i="8" s="1"/>
  <c r="AA144" i="8" s="1"/>
  <c r="G140" i="8"/>
  <c r="F144" i="8"/>
  <c r="U53" i="9"/>
  <c r="V53" i="9"/>
  <c r="AI40" i="9"/>
  <c r="AI87" i="9"/>
  <c r="AI89" i="9" a="1"/>
  <c r="AI89" i="9" s="1"/>
  <c r="AI88" i="9" a="1"/>
  <c r="AI88" i="9" s="1"/>
  <c r="AK32" i="9"/>
  <c r="AI33" i="9"/>
  <c r="AK33" i="9" s="1"/>
  <c r="AI86" i="9"/>
  <c r="AI85" i="9"/>
  <c r="S53" i="9"/>
  <c r="K53" i="9"/>
  <c r="R53" i="9"/>
  <c r="AF89" i="9" a="1"/>
  <c r="AF89" i="9" s="1"/>
  <c r="AF88" i="9" a="1"/>
  <c r="AF88" i="9" s="1"/>
  <c r="AF87" i="9"/>
  <c r="AF33" i="9"/>
  <c r="AF40" i="9"/>
  <c r="AF85" i="9"/>
  <c r="AF86" i="9"/>
  <c r="M53" i="9"/>
  <c r="AD52" i="9"/>
  <c r="AD53" i="9" s="1"/>
  <c r="AE52" i="9"/>
  <c r="AE53" i="9" s="1"/>
  <c r="O53" i="9"/>
  <c r="P53" i="9"/>
  <c r="AB52" i="9" l="1"/>
  <c r="AB53" i="9" s="1"/>
  <c r="AH52" i="9"/>
  <c r="AH53" i="9" s="1"/>
  <c r="AG52" i="9"/>
  <c r="AG53" i="9" s="1"/>
  <c r="N53" i="9"/>
  <c r="G142" i="8"/>
  <c r="G144" i="8" s="1"/>
  <c r="K144" i="8"/>
  <c r="L140" i="8"/>
  <c r="L142" i="8" s="1"/>
  <c r="AB140" i="8" s="1"/>
  <c r="AB142" i="8" s="1"/>
  <c r="AB144" i="8" s="1"/>
  <c r="AK40" i="9"/>
  <c r="AA52" i="9"/>
  <c r="AA53" i="9" s="1"/>
  <c r="Q53" i="9"/>
  <c r="AC52" i="9"/>
  <c r="AC53" i="9" s="1"/>
  <c r="Y52" i="9"/>
  <c r="Y53" i="9" s="1"/>
  <c r="AI52" i="9"/>
  <c r="AI53" i="9" s="1"/>
  <c r="Z52" i="9"/>
  <c r="Z53" i="9" s="1"/>
  <c r="AF52" i="9"/>
  <c r="AF53" i="9" s="1"/>
  <c r="L53" i="9"/>
  <c r="M140" i="8" l="1"/>
  <c r="M142" i="8" s="1"/>
  <c r="AC140" i="8" s="1"/>
  <c r="AC142" i="8" s="1"/>
  <c r="AC144" i="8" s="1"/>
  <c r="L144" i="8"/>
  <c r="N140" i="8" l="1"/>
  <c r="N142" i="8" s="1"/>
  <c r="AD140" i="8" s="1"/>
  <c r="AD142" i="8" s="1"/>
  <c r="AD144" i="8" s="1"/>
  <c r="M144" i="8"/>
  <c r="N144" i="8" l="1"/>
  <c r="O140" i="8"/>
  <c r="O142" i="8" s="1"/>
  <c r="AE140" i="8" s="1"/>
  <c r="AE142" i="8" s="1"/>
  <c r="AE144" i="8" s="1"/>
  <c r="P140" i="8" l="1"/>
  <c r="O144" i="8"/>
  <c r="P142" i="8" l="1"/>
  <c r="P144" i="8" l="1"/>
  <c r="AF140" i="8"/>
  <c r="AF142" i="8" s="1"/>
  <c r="Q140" i="8"/>
  <c r="AF144" i="8" l="1"/>
  <c r="Q142" i="8"/>
  <c r="AG140" i="8" s="1"/>
  <c r="AG142" i="8" s="1"/>
  <c r="AG144" i="8" s="1"/>
  <c r="R140" i="8" l="1"/>
  <c r="Q144" i="8"/>
  <c r="R142" i="8" l="1"/>
  <c r="AH140" i="8" s="1"/>
  <c r="AH142" i="8" s="1"/>
  <c r="AH144" i="8" s="1"/>
  <c r="S140" i="8" l="1"/>
  <c r="R144" i="8"/>
  <c r="S142" i="8" l="1"/>
  <c r="AI140" i="8" s="1"/>
  <c r="AI142" i="8" s="1"/>
  <c r="AI144" i="8" s="1"/>
  <c r="S144" i="8" l="1"/>
  <c r="T140" i="8"/>
  <c r="T142" i="8" s="1"/>
  <c r="U140" i="8" l="1"/>
  <c r="U142" i="8" s="1"/>
  <c r="T144" i="8"/>
  <c r="V140" i="8" l="1"/>
  <c r="V142" i="8" s="1"/>
  <c r="U144" i="8"/>
  <c r="V144" i="8" l="1"/>
  <c r="W140" i="8"/>
  <c r="W142" i="8" l="1"/>
  <c r="W144" i="8" s="1"/>
  <c r="H101" i="11"/>
  <c r="I101" i="11"/>
  <c r="J101" i="11"/>
  <c r="K101" i="11"/>
  <c r="L101" i="11"/>
  <c r="H69" i="11"/>
  <c r="I69" i="11"/>
  <c r="J69" i="11"/>
  <c r="K69" i="11"/>
  <c r="L69" i="11"/>
  <c r="H98" i="11"/>
  <c r="I98" i="11"/>
  <c r="J98" i="11"/>
  <c r="K98" i="11"/>
  <c r="L98" i="11"/>
  <c r="H148" i="11"/>
  <c r="I145" i="11" s="1"/>
  <c r="I148" i="11" s="1"/>
  <c r="H155" i="11"/>
  <c r="H25" i="11" s="1"/>
  <c r="I155" i="11"/>
  <c r="I25" i="11" s="1"/>
  <c r="H159" i="11"/>
  <c r="I159" i="11"/>
  <c r="J159" i="11"/>
  <c r="K160" i="11" s="1"/>
  <c r="K155" i="11" s="1"/>
  <c r="K25" i="11" s="1"/>
  <c r="K159" i="11"/>
  <c r="L160" i="11" s="1"/>
  <c r="L155" i="11" s="1"/>
  <c r="L25" i="11" s="1"/>
  <c r="L159" i="11"/>
  <c r="H160" i="11"/>
  <c r="I160" i="11"/>
  <c r="J160" i="11"/>
  <c r="J155" i="11" s="1"/>
  <c r="J25" i="11" s="1"/>
  <c r="H149" i="11" l="1"/>
  <c r="I149" i="11"/>
  <c r="J145" i="11"/>
  <c r="J148" i="11" s="1"/>
  <c r="J149" i="11" l="1"/>
  <c r="K145" i="11"/>
  <c r="K148" i="11" s="1"/>
  <c r="K149" i="11" l="1"/>
  <c r="L145" i="11"/>
  <c r="L148" i="11" s="1"/>
  <c r="L149" i="11" s="1"/>
  <c r="I139" i="11"/>
  <c r="H169" i="11"/>
  <c r="H24" i="11" s="1"/>
  <c r="H27" i="11" s="1"/>
  <c r="H29" i="11" l="1"/>
  <c r="H28" i="11"/>
  <c r="H85" i="11" l="1"/>
  <c r="H92" i="11" s="1"/>
  <c r="H129" i="11"/>
  <c r="H175" i="11"/>
  <c r="H177" i="11" l="1"/>
  <c r="H180" i="11"/>
  <c r="H132" i="11"/>
  <c r="H130" i="11"/>
  <c r="H100" i="11" s="1"/>
  <c r="H141" i="11"/>
  <c r="H142" i="11" s="1"/>
  <c r="H146" i="11" s="1"/>
  <c r="H103" i="11"/>
  <c r="H47" i="11" s="1"/>
  <c r="H52" i="11" s="1"/>
  <c r="H58" i="11" s="1"/>
  <c r="H72" i="11" l="1"/>
  <c r="H77" i="11" s="1"/>
  <c r="H79" i="11" s="1"/>
  <c r="I128" i="11"/>
  <c r="I132" i="11" s="1"/>
  <c r="I72" i="11" l="1"/>
  <c r="I77" i="11" s="1"/>
  <c r="J128" i="11"/>
  <c r="J132" i="11" s="1"/>
  <c r="J72" i="11" l="1"/>
  <c r="J77" i="11" s="1"/>
  <c r="K128" i="11"/>
  <c r="K132" i="11" s="1"/>
  <c r="K72" i="11" l="1"/>
  <c r="K77" i="11" s="1"/>
  <c r="L128" i="11"/>
  <c r="L132" i="11" s="1"/>
  <c r="L72" i="11" s="1"/>
  <c r="L77" i="11" s="1"/>
  <c r="K24" i="11"/>
  <c r="K27" i="11" s="1"/>
  <c r="I27" i="11"/>
  <c r="I28" i="11" s="1"/>
  <c r="J139" i="11"/>
  <c r="K139" i="11"/>
  <c r="L139" i="11"/>
  <c r="I169" i="11"/>
  <c r="I24" i="11" s="1"/>
  <c r="J169" i="11"/>
  <c r="J24" i="11" s="1"/>
  <c r="J27" i="11" s="1"/>
  <c r="K169" i="11"/>
  <c r="L169" i="11"/>
  <c r="L24" i="11" s="1"/>
  <c r="L27" i="11" s="1"/>
  <c r="L29" i="11" l="1"/>
  <c r="L28" i="11"/>
  <c r="K29" i="11"/>
  <c r="K28" i="11"/>
  <c r="J29" i="11"/>
  <c r="J28" i="11"/>
  <c r="I29" i="11"/>
  <c r="I85" i="11" l="1"/>
  <c r="I92" i="11" s="1"/>
  <c r="I129" i="11"/>
  <c r="I130" i="11" s="1"/>
  <c r="I100" i="11" s="1"/>
  <c r="I175" i="11"/>
  <c r="J85" i="11"/>
  <c r="J92" i="11" s="1"/>
  <c r="J129" i="11"/>
  <c r="J130" i="11" s="1"/>
  <c r="J100" i="11" s="1"/>
  <c r="J175" i="11"/>
  <c r="K175" i="11"/>
  <c r="K85" i="11"/>
  <c r="K92" i="11" s="1"/>
  <c r="K129" i="11"/>
  <c r="L175" i="11"/>
  <c r="L85" i="11"/>
  <c r="L92" i="11" s="1"/>
  <c r="L129" i="11"/>
  <c r="K185" i="11" l="1"/>
  <c r="L141" i="11"/>
  <c r="L142" i="11" s="1"/>
  <c r="L146" i="11" s="1"/>
  <c r="L103" i="11"/>
  <c r="K141" i="11"/>
  <c r="K142" i="11" s="1"/>
  <c r="K146" i="11" s="1"/>
  <c r="K103" i="11"/>
  <c r="J185" i="11"/>
  <c r="J103" i="11"/>
  <c r="J141" i="11"/>
  <c r="J142" i="11" s="1"/>
  <c r="J146" i="11" s="1"/>
  <c r="I185" i="11"/>
  <c r="I184" i="11" s="1"/>
  <c r="L185" i="11"/>
  <c r="K130" i="11"/>
  <c r="K100" i="11" s="1"/>
  <c r="I103" i="11"/>
  <c r="I47" i="11" s="1"/>
  <c r="I52" i="11" s="1"/>
  <c r="I58" i="11" s="1"/>
  <c r="I79" i="11" s="1"/>
  <c r="I141" i="11"/>
  <c r="I142" i="11" s="1"/>
  <c r="I146" i="11" s="1"/>
  <c r="I188" i="11" l="1"/>
  <c r="I189" i="11" s="1"/>
  <c r="I176" i="11"/>
  <c r="J184" i="11"/>
  <c r="J47" i="11"/>
  <c r="J52" i="11" s="1"/>
  <c r="J58" i="11" s="1"/>
  <c r="J79" i="11" s="1"/>
  <c r="L130" i="11"/>
  <c r="L100" i="11" s="1"/>
  <c r="K47" i="11" l="1"/>
  <c r="K184" i="11"/>
  <c r="J188" i="11"/>
  <c r="I179" i="11"/>
  <c r="I180" i="11" s="1"/>
  <c r="J176" i="11"/>
  <c r="I177" i="11"/>
  <c r="J187" i="11"/>
  <c r="J189" i="11" s="1"/>
  <c r="I190" i="11"/>
  <c r="K187" i="11" l="1"/>
  <c r="K189" i="11" s="1"/>
  <c r="J190" i="11"/>
  <c r="K176" i="11"/>
  <c r="J179" i="11"/>
  <c r="J180" i="11" s="1"/>
  <c r="J177" i="11"/>
  <c r="L184" i="11"/>
  <c r="L188" i="11" s="1"/>
  <c r="K188" i="11"/>
  <c r="K52" i="11"/>
  <c r="K58" i="11" s="1"/>
  <c r="K79" i="11" s="1"/>
  <c r="L47" i="11"/>
  <c r="L52" i="11" s="1"/>
  <c r="L58" i="11" s="1"/>
  <c r="L79" i="11" s="1"/>
  <c r="K179" i="11" l="1"/>
  <c r="K180" i="11" s="1"/>
  <c r="L176" i="11"/>
  <c r="K177" i="11"/>
  <c r="L187" i="11"/>
  <c r="L189" i="11" s="1"/>
  <c r="L190" i="11" s="1"/>
  <c r="K190" i="11"/>
  <c r="L179" i="11" l="1"/>
  <c r="L180" i="11" s="1"/>
  <c r="L177"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Jang, Duksan - RSCH AMRS</author>
  </authors>
  <commentList>
    <comment ref="U122" authorId="0" shapeId="0" xr:uid="{A49C214A-1D83-4C89-8CF4-5DC323DF8E8A}">
      <text>
        <r>
          <rPr>
            <b/>
            <sz val="9"/>
            <rFont val="Tahoma"/>
            <family val="2"/>
          </rPr>
          <t>Jang, Duksan - RSCH AMRS:</t>
        </r>
        <r>
          <rPr>
            <sz val="9"/>
            <rFont val="Tahoma"/>
            <family val="2"/>
          </rPr>
          <t xml:space="preserve">
4Q24 call: $1.1bn received in January 2025</t>
        </r>
      </text>
    </comment>
    <comment ref="O130" authorId="0" shapeId="0" xr:uid="{8D736F29-F052-46C1-B87A-9840B1CF91EF}">
      <text>
        <r>
          <rPr>
            <b/>
            <sz val="9"/>
            <rFont val="Tahoma"/>
            <family val="2"/>
          </rPr>
          <t>Jang, Duksan - RSCH AMRS:</t>
        </r>
        <r>
          <rPr>
            <sz val="9"/>
            <rFont val="Tahoma"/>
            <family val="2"/>
          </rPr>
          <t xml:space="preserve">
1Q23 call:
Offsets 2H-weighted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Matan Feldman</author>
  </authors>
  <commentList>
    <comment ref="D11" authorId="0" shapeId="0" xr:uid="{B0939108-B91D-4F52-B6BF-C6D4DC0060D5}">
      <text>
        <r>
          <rPr>
            <sz val="9"/>
            <color indexed="81"/>
            <rFont val="Tahoma"/>
            <family val="2"/>
          </rPr>
          <t>Front cover of Apple 2019 10K
As of October 18, 2019</t>
        </r>
      </text>
    </comment>
    <comment ref="C51" authorId="0" shapeId="0" xr:uid="{11DCF064-98E2-41FD-84EA-1137BD9BFC34}">
      <text>
        <r>
          <rPr>
            <sz val="9"/>
            <color indexed="81"/>
            <rFont val="Tahoma"/>
            <family val="2"/>
          </rPr>
          <t>Includes vendor non-trade receivables</t>
        </r>
      </text>
    </comment>
    <comment ref="C57" authorId="0" shapeId="0" xr:uid="{2D5018F8-93FD-4494-9AD1-73CC4EDB00A2}">
      <text>
        <r>
          <rPr>
            <sz val="9"/>
            <color indexed="81"/>
            <rFont val="Tahoma"/>
            <family val="2"/>
          </rPr>
          <t>AAPL started aggregating goodwill, intangible assets and other non current assets into one line item in 2018, with no footnote breakout of the individual line items. 10Ks prior to 2018 did have a breakout.</t>
        </r>
      </text>
    </comment>
    <comment ref="N114" authorId="0" shapeId="0" xr:uid="{68DDF303-9724-4EAE-A55F-F220EAA80B11}">
      <text>
        <r>
          <rPr>
            <sz val="9"/>
            <color indexed="81"/>
            <rFont val="Tahoma"/>
            <family val="2"/>
          </rPr>
          <t>WSP estimate</t>
        </r>
      </text>
    </comment>
    <comment ref="C130" authorId="0" shapeId="0" xr:uid="{1AE9E568-9F52-4EEB-B0B5-0A685142FDED}">
      <text>
        <r>
          <rPr>
            <sz val="9"/>
            <color indexed="81"/>
            <rFont val="Tahoma"/>
            <family val="2"/>
          </rPr>
          <t>Statement of shareholders equity schedule, p.41 Apple 2018 10K</t>
        </r>
      </text>
    </comment>
    <comment ref="C131" authorId="0" shapeId="0" xr:uid="{F3F9ABD0-5BC4-41B1-9F11-2BD341A1B758}">
      <text>
        <r>
          <rPr>
            <sz val="9"/>
            <color indexed="81"/>
            <rFont val="Tahoma"/>
            <family val="2"/>
          </rPr>
          <t>Statement of shareholders equity schedule, p.41 Apple 2018 10K</t>
        </r>
      </text>
    </comment>
    <comment ref="E158" authorId="0" shapeId="0" xr:uid="{E2C058D8-E11D-4E0E-93DE-383879FC08A0}">
      <text>
        <r>
          <rPr>
            <sz val="9"/>
            <color indexed="81"/>
            <rFont val="Tahoma"/>
            <family val="2"/>
          </rPr>
          <t>2018 Note 5 - Debt. 10K p55</t>
        </r>
      </text>
    </comment>
    <comment ref="F158" authorId="0" shapeId="0" xr:uid="{2468D6A8-FF55-4B32-8406-F8F2772FC066}">
      <text>
        <r>
          <rPr>
            <b/>
            <sz val="9"/>
            <color indexed="81"/>
            <rFont val="Tahoma"/>
            <family val="2"/>
          </rPr>
          <t>Matan Feldman:</t>
        </r>
        <r>
          <rPr>
            <sz val="9"/>
            <color indexed="81"/>
            <rFont val="Tahoma"/>
            <family val="2"/>
          </rPr>
          <t xml:space="preserve">
2019 10k p.47</t>
        </r>
      </text>
    </comment>
    <comment ref="G158" authorId="0" shapeId="0" xr:uid="{814C7EED-7651-4A91-89B7-4A16861B434B}">
      <text>
        <r>
          <rPr>
            <b/>
            <sz val="9"/>
            <color indexed="81"/>
            <rFont val="Tahoma"/>
            <family val="2"/>
          </rPr>
          <t>Matan Feldman:</t>
        </r>
        <r>
          <rPr>
            <sz val="9"/>
            <color indexed="81"/>
            <rFont val="Tahoma"/>
            <family val="2"/>
          </rPr>
          <t xml:space="preserve">
2019 10k p.47</t>
        </r>
      </text>
    </comment>
    <comment ref="C164" authorId="0" shapeId="0" xr:uid="{44BECC16-4612-4842-A00C-2A85402CDE58}">
      <text>
        <r>
          <rPr>
            <sz val="9"/>
            <color indexed="81"/>
            <rFont val="Tahoma"/>
            <family val="2"/>
          </rPr>
          <t xml:space="preserve">We estimate the historical interest rate (though not explicitly disclosed by Apple). </t>
        </r>
      </text>
    </comment>
    <comment ref="C165" authorId="0" shapeId="0" xr:uid="{9A7A0D86-5916-4496-9BB3-E52F77E44635}">
      <text>
        <r>
          <rPr>
            <sz val="9"/>
            <color indexed="81"/>
            <rFont val="Tahoma"/>
            <family val="2"/>
          </rPr>
          <t>Although Apple doesn't disclose interest expense specifically, it does disclose the interest rate on commercial paper which enables us to back into interest expense for LTD</t>
        </r>
      </text>
    </comment>
    <comment ref="D168" authorId="0" shapeId="0" xr:uid="{BDB95F8B-E097-4E89-A79F-C1A8B828A690}">
      <text>
        <r>
          <rPr>
            <sz val="9"/>
            <color indexed="81"/>
            <rFont val="Tahoma"/>
            <family val="2"/>
          </rPr>
          <t>2018 p.27 in the 'Other Income/(Expense), Net' section.</t>
        </r>
      </text>
    </comment>
    <comment ref="E168" authorId="0" shapeId="0" xr:uid="{0085219B-CE6B-40BD-AE94-6DE72E95A5D0}">
      <text>
        <r>
          <rPr>
            <sz val="9"/>
            <color indexed="81"/>
            <rFont val="Tahoma"/>
            <family val="2"/>
          </rPr>
          <t>2018 p.27 in the 'Other Income/(Expense), Net' section.</t>
        </r>
      </text>
    </comment>
    <comment ref="F168" authorId="0" shapeId="0" xr:uid="{C1E7C087-21AD-4977-AAD3-6BCEA660BC21}">
      <text>
        <r>
          <rPr>
            <b/>
            <sz val="9"/>
            <color indexed="81"/>
            <rFont val="Tahoma"/>
            <family val="2"/>
          </rPr>
          <t>Matan Feldman:</t>
        </r>
        <r>
          <rPr>
            <sz val="9"/>
            <color indexed="81"/>
            <rFont val="Tahoma"/>
            <family val="2"/>
          </rPr>
          <t xml:space="preserve">
2019 10k p.22</t>
        </r>
      </text>
    </comment>
    <comment ref="G168" authorId="0" shapeId="0" xr:uid="{35C307EB-880C-4B79-9484-117BEBABE124}">
      <text>
        <r>
          <rPr>
            <b/>
            <sz val="9"/>
            <color indexed="81"/>
            <rFont val="Tahoma"/>
            <family val="2"/>
          </rPr>
          <t>Matan Feldman:</t>
        </r>
        <r>
          <rPr>
            <sz val="9"/>
            <color indexed="81"/>
            <rFont val="Tahoma"/>
            <family val="2"/>
          </rPr>
          <t xml:space="preserve">
2019 10k p.22</t>
        </r>
      </text>
    </comment>
    <comment ref="C179" authorId="0" shapeId="0" xr:uid="{A61FB9D7-3739-46B0-8A6D-EC52F6BB3C93}">
      <text>
        <r>
          <rPr>
            <sz val="9"/>
            <color indexed="81"/>
            <rFont val="Tahoma"/>
            <family val="2"/>
          </rPr>
          <t>We straight line last actual year's dilutive securities (calculated as diluted - basic shares) and add this number to the basic share count to arrive at diluted shares</t>
        </r>
      </text>
    </comment>
    <comment ref="C183" authorId="0" shapeId="0" xr:uid="{41FDD9F1-1616-41D8-929D-C4057511C5A4}">
      <text>
        <r>
          <rPr>
            <sz val="9"/>
            <color indexed="81"/>
            <rFont val="Tahoma"/>
            <family val="2"/>
          </rPr>
          <t>Although we are not forecasting explicit share issuances, stock based compensation will eventually increase the basic share count. We need to account for this somehow, otherwise we will be undercounting future basic shares. For simplicty, we are using the SBC expense as a proxy for the current value of common stock issuance.</t>
        </r>
      </text>
    </comment>
    <comment ref="H184" authorId="0" shapeId="0" xr:uid="{A704A259-2BEC-4052-8B45-5BB492E018F9}">
      <text>
        <r>
          <rPr>
            <sz val="9"/>
            <color indexed="81"/>
            <rFont val="Tahoma"/>
            <family val="2"/>
          </rPr>
          <t xml:space="preserve">Use latest share count or last 12 month average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<sst xmlns="http://schemas.openxmlformats.org/spreadsheetml/2006/main" count="636" uniqueCount="433">
  <si>
    <t>FYE</t>
  </si>
  <si>
    <t>Quarterly</t>
  </si>
  <si>
    <t>1Q24</t>
  </si>
  <si>
    <t>2Q24</t>
  </si>
  <si>
    <t>3Q24</t>
  </si>
  <si>
    <t>4Q24</t>
  </si>
  <si>
    <t>1Q23</t>
  </si>
  <si>
    <t>2Q23</t>
  </si>
  <si>
    <t>3Q23</t>
  </si>
  <si>
    <t>4Q23</t>
  </si>
  <si>
    <t>LTM</t>
  </si>
  <si>
    <t>EBITDA</t>
  </si>
  <si>
    <t>Adjusted EBITDA</t>
  </si>
  <si>
    <t>Total Revenue</t>
  </si>
  <si>
    <t>Cost of Sales</t>
  </si>
  <si>
    <t>Share-based compensation</t>
  </si>
  <si>
    <t>Accounts receivable</t>
  </si>
  <si>
    <t>Inventories</t>
  </si>
  <si>
    <t>Accounts payable</t>
  </si>
  <si>
    <t>Accrued compensation and benefits</t>
  </si>
  <si>
    <t>Other assets and liabilities</t>
  </si>
  <si>
    <t>(Gains) losses on divestitures</t>
  </si>
  <si>
    <t>Net income</t>
  </si>
  <si>
    <t>Depreciation</t>
  </si>
  <si>
    <t>Changes in assets and liabilities:</t>
  </si>
  <si>
    <t>Proceeds from divestitures</t>
  </si>
  <si>
    <t>Payment of dividends to stockholders</t>
  </si>
  <si>
    <t>Other financing</t>
  </si>
  <si>
    <t>Income taxes, net of refunds</t>
  </si>
  <si>
    <t>Cash-Flows Statement</t>
  </si>
  <si>
    <t>Short-term investments</t>
  </si>
  <si>
    <t>Accounts receivable, net</t>
  </si>
  <si>
    <t>Other current assets</t>
  </si>
  <si>
    <t>Other long-term assets</t>
  </si>
  <si>
    <t>Short-term debt</t>
  </si>
  <si>
    <t>Income taxes payable</t>
  </si>
  <si>
    <t>Other accrued liabilities</t>
  </si>
  <si>
    <t>Other long-term liabilities</t>
  </si>
  <si>
    <t>Accumulated other comprehensive income (loss)</t>
  </si>
  <si>
    <t>Non-controlling interests</t>
  </si>
  <si>
    <t>Total stockholders' equity</t>
  </si>
  <si>
    <t xml:space="preserve">Balance Sheet Statement </t>
  </si>
  <si>
    <t>Gains (losses) on equity investments, net</t>
  </si>
  <si>
    <t>Interest and other, net</t>
  </si>
  <si>
    <t xml:space="preserve">Income Statement </t>
  </si>
  <si>
    <t>Total Liabilities</t>
  </si>
  <si>
    <t>X</t>
  </si>
  <si>
    <t>Total Current Liabilities</t>
  </si>
  <si>
    <t>Restructuring and Other Charges</t>
  </si>
  <si>
    <t>Total Current Assets</t>
  </si>
  <si>
    <t>Total Assets</t>
  </si>
  <si>
    <t>Gross Profit</t>
  </si>
  <si>
    <t>Revenue</t>
  </si>
  <si>
    <t>Capex</t>
  </si>
  <si>
    <t>Total Debt</t>
  </si>
  <si>
    <t>Variance</t>
  </si>
  <si>
    <t>FCF Analysis</t>
  </si>
  <si>
    <t>1Q22</t>
  </si>
  <si>
    <t>2Q22</t>
  </si>
  <si>
    <t>3Q22</t>
  </si>
  <si>
    <t>4Q22</t>
  </si>
  <si>
    <t>1Q25</t>
  </si>
  <si>
    <t>2Q25</t>
  </si>
  <si>
    <t>($ In Thousands)</t>
  </si>
  <si>
    <t>Y/Y Growth (%)</t>
  </si>
  <si>
    <t>Q/Q Growth (%)</t>
  </si>
  <si>
    <t>N/A</t>
  </si>
  <si>
    <t>(-) Cost of Sales</t>
  </si>
  <si>
    <t>Gross Margin (%)</t>
  </si>
  <si>
    <t>Earning before Interest &amp; Taxes (EBIT)</t>
  </si>
  <si>
    <t>Operating Margin (%)</t>
  </si>
  <si>
    <t>(+) Depreciation and Amortization</t>
  </si>
  <si>
    <t>EBITDA Margin (%)</t>
  </si>
  <si>
    <t xml:space="preserve">(+) Share-based Compensation </t>
  </si>
  <si>
    <t>Adj. EBITDA</t>
  </si>
  <si>
    <t>Adj. EBITDA Margin (%)</t>
  </si>
  <si>
    <t>(-) Capital Expenditures</t>
  </si>
  <si>
    <t>(-) Cash Interest</t>
  </si>
  <si>
    <t>(-) Cash Taxes</t>
  </si>
  <si>
    <t>(-) Mandatory Amortization</t>
  </si>
  <si>
    <t>(+/-) Changes in NWC</t>
  </si>
  <si>
    <t>Discretionary Cash-Flows</t>
  </si>
  <si>
    <t>Free-Cash Flows</t>
  </si>
  <si>
    <t>Capitalization</t>
  </si>
  <si>
    <t>Cash &amp; Cash Equivelants</t>
  </si>
  <si>
    <t>Total Liquidity</t>
  </si>
  <si>
    <t>Balance Sheet Metrics:</t>
  </si>
  <si>
    <t>Accounts Receivable</t>
  </si>
  <si>
    <t>Accounts Payable</t>
  </si>
  <si>
    <t>Property Plant, and Equiptment</t>
  </si>
  <si>
    <t>Current Liabilities</t>
  </si>
  <si>
    <t>Summary Debt (BS):</t>
  </si>
  <si>
    <t>CPLTD</t>
  </si>
  <si>
    <t>LTD</t>
  </si>
  <si>
    <t>Total Shareholder Equity</t>
  </si>
  <si>
    <t>Total Book Capitalization</t>
  </si>
  <si>
    <t>Total Leverage</t>
  </si>
  <si>
    <t>Net Leverage (C&amp;CE)</t>
  </si>
  <si>
    <t xml:space="preserve">Interest Coverage </t>
  </si>
  <si>
    <t>Debt Service Coverage</t>
  </si>
  <si>
    <t>Fixed Charge Coverage</t>
  </si>
  <si>
    <t>Debt-to-Book Capitalization</t>
  </si>
  <si>
    <t>Profit From Operations</t>
  </si>
  <si>
    <t>Net loss before provision for income taxes</t>
  </si>
  <si>
    <t>Net loss</t>
  </si>
  <si>
    <t>Cash and cash equivalents</t>
  </si>
  <si>
    <t xml:space="preserve">Preferred Stock </t>
  </si>
  <si>
    <t>(Accumulated deficit) retained earnings</t>
  </si>
  <si>
    <t>Total liabilities and stockholders' equity</t>
  </si>
  <si>
    <t>Cash-Flows From Operating Activities</t>
  </si>
  <si>
    <t>Net income (loss)</t>
  </si>
  <si>
    <t>Depreciation and amortization</t>
  </si>
  <si>
    <t>Deferred taxes</t>
  </si>
  <si>
    <t>Net cash used in operating activities</t>
  </si>
  <si>
    <t>Cash flows from investing activities:</t>
  </si>
  <si>
    <t>Net cash used in investing activities</t>
  </si>
  <si>
    <t>Cash flows from financing activities:</t>
  </si>
  <si>
    <t>Net cash provided by financing activities</t>
  </si>
  <si>
    <t>Base Financials</t>
  </si>
  <si>
    <t>Consolidated Revenue</t>
  </si>
  <si>
    <t>Marketing, General, and Administrative (MG&amp;A)</t>
  </si>
  <si>
    <t>Research and Development (R&amp;D)</t>
  </si>
  <si>
    <t>Gains (losses) from divestitures</t>
  </si>
  <si>
    <t>Trading assets</t>
  </si>
  <si>
    <t>Deferred tax assets</t>
  </si>
  <si>
    <t>Property, plant and equipment</t>
  </si>
  <si>
    <t>Marketable equity securities</t>
  </si>
  <si>
    <t>Other long-term investments</t>
  </si>
  <si>
    <t>Goodwill &amp; intangibles</t>
  </si>
  <si>
    <t>Accrued advertising</t>
  </si>
  <si>
    <t>Deferred income on shipments to disti</t>
  </si>
  <si>
    <t>Long-term debt</t>
  </si>
  <si>
    <t>Long-term deferred tax liabilities</t>
  </si>
  <si>
    <t>Common Stock</t>
  </si>
  <si>
    <t>Additional Paid-in Capital</t>
  </si>
  <si>
    <t>Cust. deposits &amp; prepaid supply agreements</t>
  </si>
  <si>
    <t>Income taxes payable and receivable</t>
  </si>
  <si>
    <t>Adjustments to reconcile net income:</t>
  </si>
  <si>
    <t>Impairment of goodwill</t>
  </si>
  <si>
    <t>Amortization of goodwill</t>
  </si>
  <si>
    <t>Restructuring, asset impairment, etc.</t>
  </si>
  <si>
    <t>Amortization of debt discount</t>
  </si>
  <si>
    <t>Excess tax benefit from stock comp</t>
  </si>
  <si>
    <t>Amortization of intangibles, acquisition costs</t>
  </si>
  <si>
    <t>Purchased in-process R&amp;D</t>
  </si>
  <si>
    <t>(Gains) losses on equity method investments</t>
  </si>
  <si>
    <t>(Gains) losses on other equity investments</t>
  </si>
  <si>
    <t>Other</t>
  </si>
  <si>
    <t>Additions to property, plant and equipment</t>
  </si>
  <si>
    <t>Acquisitions, net of cash acquired</t>
  </si>
  <si>
    <t>Purchases of available-for-sale investments</t>
  </si>
  <si>
    <t>Maturities and sales of investments</t>
  </si>
  <si>
    <t>Purchases of trading assets</t>
  </si>
  <si>
    <t>Maturities and sales of trading assets</t>
  </si>
  <si>
    <t>Loans receivable</t>
  </si>
  <si>
    <t>Investments in non-marketable equities</t>
  </si>
  <si>
    <t>Return of equity method investment</t>
  </si>
  <si>
    <t>Proceeds from capital-related government incentives</t>
  </si>
  <si>
    <t>Other investing activities</t>
  </si>
  <si>
    <t>Increase (decrease) in short-term debt, net</t>
  </si>
  <si>
    <t>Proceeds from gov't grants, partner contributions</t>
  </si>
  <si>
    <t>Excess tax benefit from share-based payment</t>
  </si>
  <si>
    <t>Issuance of long-term debt</t>
  </si>
  <si>
    <t>Repayment of notes payable</t>
  </si>
  <si>
    <t>Proceeds from sales of equity plan shares</t>
  </si>
  <si>
    <t>Repurchase and retirement of common stock</t>
  </si>
  <si>
    <t>Balance Check</t>
  </si>
  <si>
    <t>Net Change in Cash</t>
  </si>
  <si>
    <t>Cash paid during the period for:</t>
  </si>
  <si>
    <t xml:space="preserve">Interest, net of capitalized interest	</t>
  </si>
  <si>
    <t xml:space="preserve">Provision for taxes </t>
  </si>
  <si>
    <t>Cash BOP</t>
  </si>
  <si>
    <r>
      <t xml:space="preserve">Cash EOP </t>
    </r>
    <r>
      <rPr>
        <b/>
        <vertAlign val="superscript"/>
        <sz val="9"/>
        <rFont val="Calibri"/>
        <family val="2"/>
      </rPr>
      <t>(1)</t>
    </r>
  </si>
  <si>
    <t xml:space="preserve">1) Includes $50MM cash recorded within other current assets on the Consolidated Condensed Balance Sheets relating to Altera cash held for sale. </t>
  </si>
  <si>
    <t>Intel, Corporation. (NASDAQ: INTC)</t>
  </si>
  <si>
    <r>
      <t xml:space="preserve">EOP Adjustments </t>
    </r>
    <r>
      <rPr>
        <b/>
        <vertAlign val="superscript"/>
        <sz val="9"/>
        <rFont val="Calibri"/>
        <family val="2"/>
      </rPr>
      <t>(1)</t>
    </r>
  </si>
  <si>
    <t>3Q25</t>
  </si>
  <si>
    <t>($ In Millions)</t>
  </si>
  <si>
    <t>Net Margin (%)</t>
  </si>
  <si>
    <t>Basic shares</t>
  </si>
  <si>
    <t>Basic EPS</t>
  </si>
  <si>
    <t>Fully Diluted Shares</t>
  </si>
  <si>
    <t>Diluted EPS</t>
  </si>
  <si>
    <t>Segment Anaysis</t>
  </si>
  <si>
    <t xml:space="preserve">Revenue by End Market </t>
  </si>
  <si>
    <t>Intel Products</t>
  </si>
  <si>
    <t>Data Center &amp; AI (DCAI)</t>
  </si>
  <si>
    <t>Intel Foundry</t>
  </si>
  <si>
    <t>All Other</t>
  </si>
  <si>
    <t>Total Gross Revenue</t>
  </si>
  <si>
    <t>Total Net Revenue</t>
  </si>
  <si>
    <t>Revenue by Product Offerings: Intel Products</t>
  </si>
  <si>
    <t>(-) Intersegment Elimination</t>
  </si>
  <si>
    <t>Client Computing Group (CCG)</t>
  </si>
  <si>
    <t>Networking &amp; Edge (NEX)</t>
  </si>
  <si>
    <t>Total Intel Products Revenue</t>
  </si>
  <si>
    <t xml:space="preserve">Revenue by Product Offerings: Intel Products: Data Center &amp; AI (DCAI) </t>
  </si>
  <si>
    <t>Server CPU</t>
  </si>
  <si>
    <t>Accelerator &amp; Other</t>
  </si>
  <si>
    <t/>
  </si>
  <si>
    <t>Revenue by Product Offerings: Intel Foundry</t>
  </si>
  <si>
    <t>Internal Only</t>
  </si>
  <si>
    <t>External Only</t>
  </si>
  <si>
    <t>Altera (ALTR/PSG)</t>
  </si>
  <si>
    <t>Intel Automotive</t>
  </si>
  <si>
    <t>Intersegment Elimination</t>
  </si>
  <si>
    <t>(-) Marketing, General, and Administrative (MG&amp;A)</t>
  </si>
  <si>
    <t>(-) Research and Development (R&amp;D)</t>
  </si>
  <si>
    <t>(-) Restructuring and Other Charges</t>
  </si>
  <si>
    <t>(+/-) Restructuring, asset impairment, and Other</t>
  </si>
  <si>
    <t>(+/-) (Gains) losses on equity method investments</t>
  </si>
  <si>
    <t>(+/-) (Gains) losses on divestitures</t>
  </si>
  <si>
    <t>(+/-) Divestitures / Acquisitions</t>
  </si>
  <si>
    <t>(+/-) Maturities and Sales / (Purchases) of Investments</t>
  </si>
  <si>
    <t>(+/-) Maturities and Sales / (Purchases) of Trading Assets</t>
  </si>
  <si>
    <t>(+/-) Proceeds from capital-related government incentives</t>
  </si>
  <si>
    <t xml:space="preserve">(+/-) Other </t>
  </si>
  <si>
    <t>(+/-) Issuance / (Repayment) of Debt</t>
  </si>
  <si>
    <t>(+/-) Share Repurchases</t>
  </si>
  <si>
    <t>(+/-) Other Equity Activity</t>
  </si>
  <si>
    <t xml:space="preserve">(+/-) Dividends </t>
  </si>
  <si>
    <t>(+/-) Additions to property, plant and equipment</t>
  </si>
  <si>
    <t>(+/-) Proceeds from gov't grants, partner contributions</t>
  </si>
  <si>
    <t>Trading Assets</t>
  </si>
  <si>
    <t>$7.0Bn Revolving Credit Facility (5-Year Tenor) due 2029</t>
  </si>
  <si>
    <t>$5.0Bn Revolving Credit Facility (364-Day CP Backstop) due 2026</t>
  </si>
  <si>
    <t>Aggregate Sr. Unsecured Notes &amp; Other Borrowings, Current</t>
  </si>
  <si>
    <t>Aggregate Sr. Unsecured Notes &amp; Other Borrowings, Non-Current</t>
  </si>
  <si>
    <t>Credit Metrics</t>
  </si>
  <si>
    <t xml:space="preserve">$10.0Bn 4.60% Commercial Paper Program </t>
  </si>
  <si>
    <t>Revenue by Product Offerings: All Other</t>
  </si>
  <si>
    <t>$ in thousands except per share</t>
  </si>
  <si>
    <t>Company name</t>
  </si>
  <si>
    <t>Select an operating scenario:</t>
  </si>
  <si>
    <t>Base case</t>
  </si>
  <si>
    <t>Ticker</t>
  </si>
  <si>
    <t>Circ break 1=off, 0=on</t>
  </si>
  <si>
    <t>Latest closing share price</t>
  </si>
  <si>
    <t>Latest closing share price date</t>
  </si>
  <si>
    <t>Latest fiscal year end date</t>
  </si>
  <si>
    <t>Shares outstanding (millions)</t>
  </si>
  <si>
    <t>INCOME STATEMENT</t>
  </si>
  <si>
    <t xml:space="preserve">Fiscal year  </t>
  </si>
  <si>
    <t>Fiscal year end date</t>
  </si>
  <si>
    <t>Plug = Revenue - Gross Profit</t>
  </si>
  <si>
    <t>Revenue x Gross Profit Margin forecast</t>
  </si>
  <si>
    <t>Operating profit (EBIT)</t>
  </si>
  <si>
    <t>Gross Profit - R&amp;D - SG&amp;A</t>
  </si>
  <si>
    <t>Interest income</t>
  </si>
  <si>
    <t>Reference from interest on cash schedule</t>
  </si>
  <si>
    <t>Reference from interest expense schedule</t>
  </si>
  <si>
    <t>Straight-line</t>
  </si>
  <si>
    <t>Pretax profit</t>
  </si>
  <si>
    <t>EBIT + interest income less interest expense less other expense</t>
  </si>
  <si>
    <t>Pre-tax Profit less taxes</t>
  </si>
  <si>
    <t>Depreciation &amp; amortization</t>
  </si>
  <si>
    <t>Reference from D&amp;A schedule</t>
  </si>
  <si>
    <t>EBIT + D&amp;A</t>
  </si>
  <si>
    <t>Stock based compensation</t>
  </si>
  <si>
    <t>WSP assumption: grow SBC in-line with revenue growth</t>
  </si>
  <si>
    <t>EBITDA + Stock-based compensation</t>
  </si>
  <si>
    <t>Growth rates &amp; margins</t>
  </si>
  <si>
    <t>Revenue growth</t>
  </si>
  <si>
    <t>Consensus estimates through 2021; straight-line growth rate thereafter</t>
  </si>
  <si>
    <t>Gross profit margin</t>
  </si>
  <si>
    <t>Straight line last historical year</t>
  </si>
  <si>
    <t>R&amp;D % of sales</t>
  </si>
  <si>
    <t>SG&amp;A % of sales</t>
  </si>
  <si>
    <t>Tax rate</t>
  </si>
  <si>
    <t>BALANCE SHEET</t>
  </si>
  <si>
    <t>Reference from 'net change in cash' line on the cash flow statement</t>
  </si>
  <si>
    <t>Grow in-line with revenue growth</t>
  </si>
  <si>
    <t>Grow in-line with cost of sales growth</t>
  </si>
  <si>
    <t>Property, plant &amp; equipment</t>
  </si>
  <si>
    <t>Reference from PP&amp;E schedule</t>
  </si>
  <si>
    <t>Other non current assets</t>
  </si>
  <si>
    <t>Reference EOP balance from CP/revolver schedule</t>
  </si>
  <si>
    <t>WSP assumption: straight-line</t>
  </si>
  <si>
    <t>Other non current liabilities</t>
  </si>
  <si>
    <t>Total liabilities</t>
  </si>
  <si>
    <t>Increase by stock-based compensation forecasted in the I/S section</t>
  </si>
  <si>
    <t>Reference from Retained Earnings schedule</t>
  </si>
  <si>
    <t>Total equity</t>
  </si>
  <si>
    <t>Balance check</t>
  </si>
  <si>
    <t>CASH FLOW STATEMENT</t>
  </si>
  <si>
    <t>Reference from the I/S</t>
  </si>
  <si>
    <t>Decreases / (Increases) in working capital assets</t>
  </si>
  <si>
    <t>Increases / (Decreases) in working capital liabilities</t>
  </si>
  <si>
    <t>Reference from schedule NOT the B/S: Only include 'Additions' (as outflow)</t>
  </si>
  <si>
    <t>Cash from operating activities</t>
  </si>
  <si>
    <t>Capital expenditures</t>
  </si>
  <si>
    <t>Cash from investing activities</t>
  </si>
  <si>
    <t>Long term debt</t>
  </si>
  <si>
    <t>Commercial paper/ Revolver</t>
  </si>
  <si>
    <t>Reference from B/S</t>
  </si>
  <si>
    <t>Share repurchases</t>
  </si>
  <si>
    <t>Common dividends</t>
  </si>
  <si>
    <t>Cash from financing activities</t>
  </si>
  <si>
    <t>Net change in cash during period</t>
  </si>
  <si>
    <t>PROPERTY, PLANT &amp; EQUIPMENT</t>
  </si>
  <si>
    <t>Forecast</t>
  </si>
  <si>
    <t>Beginning of period</t>
  </si>
  <si>
    <t xml:space="preserve">BOP = Previous year EOP </t>
  </si>
  <si>
    <t>Plus: Capital expenditures</t>
  </si>
  <si>
    <t>First two years - consensus estimates, then grow with revenue</t>
  </si>
  <si>
    <t>Less: Depreciation</t>
  </si>
  <si>
    <t>Capex x 'D&amp;A related to PP&amp;E as a % of capex' ratio (below)</t>
  </si>
  <si>
    <t>End of period</t>
  </si>
  <si>
    <t>BOP + Capex - Depreciation</t>
  </si>
  <si>
    <t>Step</t>
  </si>
  <si>
    <t>D&amp;A related to PP&amp;E as a % of capex</t>
  </si>
  <si>
    <t>IMPUTING TOTAL DEPRECIATION &amp; AMORTIZATION</t>
  </si>
  <si>
    <t>Revenue x 'as % of revenue' assumption</t>
  </si>
  <si>
    <t>as % of revenue</t>
  </si>
  <si>
    <t>Straight line last historical % of revenue - WSP assumption</t>
  </si>
  <si>
    <t xml:space="preserve">Depreciation &amp; Amortization - Total </t>
  </si>
  <si>
    <t>D&amp;A from PP&amp;E + D&amp;A not from PP&amp;E</t>
  </si>
  <si>
    <t>OTHER NON-CURRENT ASSETS</t>
  </si>
  <si>
    <t>Less: Amortization of intangible assets</t>
  </si>
  <si>
    <t xml:space="preserve">Assume all D&amp;A not from PP&amp;E is in non-current assets </t>
  </si>
  <si>
    <t xml:space="preserve">Plus: Additions </t>
  </si>
  <si>
    <t>Because we already know the EOP balance, this is a plug: EOP - D&amp;A not from PP&amp;E - BOP</t>
  </si>
  <si>
    <t>Referenced from balance sheet</t>
  </si>
  <si>
    <t>RETAINED EARNINGS</t>
  </si>
  <si>
    <t>Plus: Net income</t>
  </si>
  <si>
    <t>Reference from income statement</t>
  </si>
  <si>
    <t>Less: Dividends</t>
  </si>
  <si>
    <t>WSP assumption: Hold last historical year's dividend payout ratio constant</t>
  </si>
  <si>
    <t>Less: Repurchases</t>
  </si>
  <si>
    <t>WSP assumption: Straight-line last historical year repurchases</t>
  </si>
  <si>
    <t>BOP + net income - dividends - repurchases</t>
  </si>
  <si>
    <t>REVOLVER (MODEL PLUG)</t>
  </si>
  <si>
    <t>Revolver needs analysis</t>
  </si>
  <si>
    <t>Cash at beginning of period (BOP)</t>
  </si>
  <si>
    <t>Reference prior period EOP from B/S</t>
  </si>
  <si>
    <t>Less: Minimum cash balance</t>
  </si>
  <si>
    <t>WSP assumption</t>
  </si>
  <si>
    <t>Plus: Free cash flows generated during period</t>
  </si>
  <si>
    <t>Equals: Cash available (needed) to pay down (draw from) revolver</t>
  </si>
  <si>
    <t>Commercial paper / Revolver</t>
  </si>
  <si>
    <t>Draw / (paydown)</t>
  </si>
  <si>
    <t xml:space="preserve">Cash (paydown) / additional borrowing from revolver. Paydown not to exceed BOP balance. </t>
  </si>
  <si>
    <t>Discretionary borrowing / (paydown)</t>
  </si>
  <si>
    <t>Debt balance:</t>
  </si>
  <si>
    <t>INTEREST EXPENSE AND INTEREST INCOME</t>
  </si>
  <si>
    <t>Total interest expense (from I/S)</t>
  </si>
  <si>
    <t>Interest expense from revolver/CP + interest expense from long term debt</t>
  </si>
  <si>
    <t>Commercial Paper / Revolver</t>
  </si>
  <si>
    <t>Weighted average interest rate</t>
  </si>
  <si>
    <t>WSP assumption: Straight-line</t>
  </si>
  <si>
    <t>End of period balance (from B/S)</t>
  </si>
  <si>
    <t>Reference from revolver / CP schedule above</t>
  </si>
  <si>
    <t>Interest expense</t>
  </si>
  <si>
    <t>Interest rate x average of BOP &amp; EOP revolver balances (circularity)</t>
  </si>
  <si>
    <t xml:space="preserve">Interest expense </t>
  </si>
  <si>
    <t>Interest rate x average of BOP &amp; EOP LTD balances</t>
  </si>
  <si>
    <t>Interest rate on cash</t>
  </si>
  <si>
    <t>Weighted average interest rate on cash</t>
  </si>
  <si>
    <t>Interest rate x average of BOP &amp; EOP cash balances (circularity)</t>
  </si>
  <si>
    <t>EARNINGS PER SHARE</t>
  </si>
  <si>
    <t>Reference from I/S</t>
  </si>
  <si>
    <t xml:space="preserve">Basic shares </t>
  </si>
  <si>
    <t>Last period basic shares + ($ shares issued - $ shares repurchased)/Current period average share price OR reference average Basic shares from schedule below</t>
  </si>
  <si>
    <t>Net income / Basic shares</t>
  </si>
  <si>
    <t>Diluted Shares</t>
  </si>
  <si>
    <t>Basic shares + Dilutive securities</t>
  </si>
  <si>
    <t>Net income/Diluted Shares</t>
  </si>
  <si>
    <t>$ amount of shares repurchased</t>
  </si>
  <si>
    <t>Reference from RE schedule - treasury repurchases (flip sign)</t>
  </si>
  <si>
    <t>$ amount of new shares issued</t>
  </si>
  <si>
    <t xml:space="preserve">Reference SBC from I/S </t>
  </si>
  <si>
    <t>Average share price</t>
  </si>
  <si>
    <t>Last period share price x (1+growth rate)</t>
  </si>
  <si>
    <t>Share price increase</t>
  </si>
  <si>
    <t>WSP assumption OR grow with net income growth rate (calculated below)</t>
  </si>
  <si>
    <t>Optional analysis for calculating weighted average basic shares</t>
  </si>
  <si>
    <t>Basic Shares - BOP</t>
  </si>
  <si>
    <t>Reference from latest share count &gt;</t>
  </si>
  <si>
    <t xml:space="preserve">Link to prior year Basic shares - EOP </t>
  </si>
  <si>
    <t>Net change in basic shares</t>
  </si>
  <si>
    <t xml:space="preserve"> ($ shares issued - $ shares repurchased)/Current period average share price</t>
  </si>
  <si>
    <t>Basic shares - EOP</t>
  </si>
  <si>
    <t>Basic Shares - BOP + Net change in basic shares</t>
  </si>
  <si>
    <t>Basic shares - average</t>
  </si>
  <si>
    <t>Average(Basic Shares BOP,Basic Shares EOP)</t>
  </si>
  <si>
    <t>SCENARIO ANALYSIS</t>
  </si>
  <si>
    <t>Active case:</t>
  </si>
  <si>
    <t xml:space="preserve">Variance from </t>
  </si>
  <si>
    <t>base case</t>
  </si>
  <si>
    <t>Best case</t>
  </si>
  <si>
    <t>NM</t>
  </si>
  <si>
    <t>Weak case</t>
  </si>
  <si>
    <r>
      <t xml:space="preserve">D&amp;A </t>
    </r>
    <r>
      <rPr>
        <u/>
        <sz val="9"/>
        <color theme="1"/>
        <rFont val="Calibri"/>
        <family val="2"/>
      </rPr>
      <t>not</t>
    </r>
    <r>
      <rPr>
        <sz val="9"/>
        <color theme="1"/>
        <rFont val="Calibri"/>
        <family val="2"/>
      </rPr>
      <t xml:space="preserve"> related to PP&amp;E</t>
    </r>
  </si>
  <si>
    <r>
      <t xml:space="preserve">CFO + CFI + CFF </t>
    </r>
    <r>
      <rPr>
        <u/>
        <sz val="9"/>
        <color theme="1"/>
        <rFont val="Calibri"/>
        <family val="2"/>
      </rPr>
      <t>except revolver</t>
    </r>
  </si>
  <si>
    <t>Intel</t>
  </si>
  <si>
    <t>INTC</t>
  </si>
  <si>
    <t xml:space="preserve">(-) Cost of sales </t>
  </si>
  <si>
    <t>(-) Research &amp; Development (R&amp;D)</t>
  </si>
  <si>
    <t>(-) Interest expense</t>
  </si>
  <si>
    <t xml:space="preserve">(-) Other expense, net </t>
  </si>
  <si>
    <t>(+) Interest income</t>
  </si>
  <si>
    <t>(-) Taxes</t>
  </si>
  <si>
    <t>Street Consensus</t>
  </si>
  <si>
    <t>BofA</t>
  </si>
  <si>
    <t>2025E</t>
  </si>
  <si>
    <t>12/28/2024E</t>
  </si>
  <si>
    <t>2026E</t>
  </si>
  <si>
    <t>12/26/2026E</t>
  </si>
  <si>
    <t>2027E</t>
  </si>
  <si>
    <t>12/26/2027E</t>
  </si>
  <si>
    <t>2028E</t>
  </si>
  <si>
    <t>12/26/2028E</t>
  </si>
  <si>
    <t>2029E</t>
  </si>
  <si>
    <t>12/26/2029E</t>
  </si>
  <si>
    <t>2030E</t>
  </si>
  <si>
    <t>12/26/2030E</t>
  </si>
  <si>
    <t>Margin (%)</t>
  </si>
  <si>
    <t>R&amp;D</t>
  </si>
  <si>
    <t>SG&amp;A</t>
  </si>
  <si>
    <t>Tax Expense</t>
  </si>
  <si>
    <t>Wells Fargo</t>
  </si>
  <si>
    <t>HSBC</t>
  </si>
  <si>
    <t>UBS</t>
  </si>
  <si>
    <t xml:space="preserve">Low </t>
  </si>
  <si>
    <t>High</t>
  </si>
  <si>
    <t>Median</t>
  </si>
  <si>
    <t>(%)</t>
  </si>
  <si>
    <t>WedBush</t>
  </si>
  <si>
    <t>Comments</t>
  </si>
  <si>
    <t>Average of Historical</t>
  </si>
  <si>
    <t>Short-term debt (Commercial paper / revolver)</t>
  </si>
  <si>
    <t>Cash &amp; equivalents, ST Marketable Securities</t>
  </si>
  <si>
    <t>LT Marketable equity securities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</si>
</sst>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5" formatCode="&quot;$&quot;#,##0_);\(&quot;$&quot;#,##0\)"/>
    <numFmt numFmtId="7" formatCode="&quot;$&quot;#,##0.00_);\(&quot;$&quot;#,##0.00\)"/>
    <numFmt numFmtId="8" formatCode="&quot;$&quot;#,##0.00_);[Red]\(&quot;$&quot;#,##0.00\)"/>
    <numFmt numFmtId="41" formatCode="_(* #,##0_);_(* \(#,##0\);_(* &quot;-&quot;_);_(@_)"/>
    <numFmt numFmtId="43" formatCode="_(* #,##0.00_);_(* \(#,##0.00\);_(* &quot;-&quot;??_);_(@_)"/>
    <numFmt numFmtId="165" formatCode="_(* #,##0_);_(* \(#,##0\);_(* &quot;-&quot;??_);_(@_)"/>
    <numFmt numFmtId="166" formatCode="_(&quot;$ &quot;#,##0_);_(&quot;$ &quot;\(#,##0\)"/>
    <numFmt numFmtId="169" formatCode="0.0%"/>
    <numFmt numFmtId="170" formatCode="#,##0.0%;\(#,##0.0%\)"/>
    <numFmt numFmtId="171" formatCode="#,##0.0&quot;bps&quot;_);\(#,##0.0&quot;bps&quot;\)"/>
    <numFmt numFmtId="172" formatCode="_(* #,##0.0&quot;x&quot;_);_(* \(#,##0.0&quot;x&quot;\);_(* &quot;-&quot;_);_(@_)"/>
    <numFmt numFmtId="177" formatCode="#,##0.00&quot;bps&quot;_);\(#,##0.00&quot;bps&quot;\)"/>
    <numFmt numFmtId="180" formatCode="_(* #,##0.00&quot;x&quot;_);_(* \(#,##0.00&quot;x&quot;\);_(* &quot;-&quot;_);_(@_)"/>
    <numFmt numFmtId="181" formatCode="_(#,##0_)_%;\(#,##0\)_%;_(&quot;–&quot;_)_%;_(@_)_%"/>
    <numFmt numFmtId="182" formatCode="m/d/yy;@"/>
    <numFmt numFmtId="184" formatCode="0\A;[Red]0\A"/>
    <numFmt numFmtId="185" formatCode="0\P_);\(0\P\)"/>
    <numFmt numFmtId="186" formatCode="0.0%_);\(0.0%\);@_)"/>
    <numFmt numFmtId="187" formatCode="_(#,##0.0%_);\(#,##0.0%\);_(&quot;–&quot;_)_%;_(@_)_%"/>
    <numFmt numFmtId="188" formatCode="0.00%_);\(0.00%\);@_)"/>
    <numFmt numFmtId="189" formatCode="_(#,##0.00%_);\(#,##0.00%\);_(&quot;–&quot;_)_%;_(@_)_%"/>
    <numFmt numFmtId="190" formatCode="0%_);\(0%\);@_)"/>
  </numFmts>
  <fonts count="41" x14ac:knownFonts="1">
    <font>
      <sz val="11"/>
      <color theme="1"/>
      <name val="Tw Cen MT"/>
      <family val="2"/>
      <scheme val="minor"/>
    </font>
    <font>
      <sz val="11"/>
      <color theme="1"/>
      <name val="Tw Cen MT"/>
      <family val="2"/>
      <scheme val="minor"/>
    </font>
    <font>
      <b/>
      <sz val="9"/>
      <color theme="0"/>
      <name val="Calibri"/>
      <family val="2"/>
    </font>
    <font>
      <i/>
      <sz val="9"/>
      <color theme="0"/>
      <name val="Calibri"/>
      <family val="2"/>
    </font>
    <font>
      <sz val="9"/>
      <color theme="1"/>
      <name val="Calibri"/>
      <family val="2"/>
    </font>
    <font>
      <b/>
      <i/>
      <sz val="9"/>
      <color theme="0"/>
      <name val="Calibri"/>
      <family val="2"/>
    </font>
    <font>
      <sz val="9"/>
      <name val="Calibri"/>
      <family val="2"/>
    </font>
    <font>
      <i/>
      <sz val="9"/>
      <name val="Calibri"/>
      <family val="2"/>
    </font>
    <font>
      <b/>
      <sz val="9"/>
      <name val="Calibri"/>
      <family val="2"/>
    </font>
    <font>
      <b/>
      <i/>
      <sz val="9"/>
      <name val="Calibri"/>
      <family val="2"/>
    </font>
    <font>
      <i/>
      <sz val="8"/>
      <name val="Calibri"/>
      <family val="2"/>
    </font>
    <font>
      <sz val="9"/>
      <color rgb="FF0000CC"/>
      <name val="Calibri"/>
      <family val="2"/>
    </font>
    <font>
      <sz val="9"/>
      <color rgb="FF0000FF"/>
      <name val="Calibri"/>
      <family val="2"/>
    </font>
    <font>
      <sz val="8"/>
      <name val="Calibri"/>
      <family val="2"/>
    </font>
    <font>
      <sz val="8"/>
      <color theme="1"/>
      <name val="Calibri"/>
      <family val="2"/>
    </font>
    <font>
      <b/>
      <sz val="9"/>
      <color theme="1"/>
      <name val="Calibri"/>
      <family val="2"/>
    </font>
    <font>
      <i/>
      <sz val="9"/>
      <color theme="1"/>
      <name val="Calibri"/>
      <family val="2"/>
    </font>
    <font>
      <b/>
      <sz val="9"/>
      <color indexed="8"/>
      <name val="Calibri"/>
      <family val="2"/>
    </font>
    <font>
      <b/>
      <sz val="9"/>
      <color rgb="FF0000FF"/>
      <name val="Calibri"/>
      <family val="2"/>
    </font>
    <font>
      <sz val="9"/>
      <color rgb="FF0000E1"/>
      <name val="Calibri"/>
      <family val="2"/>
    </font>
    <font>
      <sz val="10"/>
      <name val="Arial"/>
      <family val="2"/>
    </font>
    <font>
      <b/>
      <sz val="9"/>
      <name val="Tahoma"/>
      <family val="2"/>
    </font>
    <font>
      <sz val="9"/>
      <name val="Tahoma"/>
      <family val="2"/>
    </font>
    <font>
      <sz val="9"/>
      <color rgb="FFFF0000"/>
      <name val="Tw Cen MT"/>
      <family val="2"/>
      <scheme val="minor"/>
    </font>
    <font>
      <sz val="9"/>
      <color rgb="FFFF0000"/>
      <name val="Calibri"/>
      <family val="2"/>
    </font>
    <font>
      <sz val="8"/>
      <color rgb="FFFF0000"/>
      <name val="Calibri"/>
      <family val="2"/>
    </font>
    <font>
      <b/>
      <sz val="8"/>
      <color theme="1"/>
      <name val="Calibri"/>
      <family val="2"/>
    </font>
    <font>
      <i/>
      <sz val="8"/>
      <color theme="1"/>
      <name val="Calibri"/>
      <family val="2"/>
    </font>
    <font>
      <b/>
      <vertAlign val="superscript"/>
      <sz val="9"/>
      <name val="Calibri"/>
      <family val="2"/>
    </font>
    <font>
      <sz val="9"/>
      <color indexed="81"/>
      <name val="Tahoma"/>
      <family val="2"/>
    </font>
    <font>
      <sz val="7"/>
      <color rgb="FFFF0000"/>
      <name val="Calibri"/>
      <family val="2"/>
    </font>
    <font>
      <sz val="9"/>
      <color rgb="FF00B050"/>
      <name val="Calibri"/>
      <family val="2"/>
    </font>
    <font>
      <b/>
      <sz val="9"/>
      <color indexed="81"/>
      <name val="Tahoma"/>
      <family val="2"/>
    </font>
    <font>
      <sz val="9"/>
      <color rgb="FF008000"/>
      <name val="Calibri"/>
      <family val="2"/>
    </font>
    <font>
      <i/>
      <sz val="9"/>
      <color rgb="FF000000"/>
      <name val="Calibri"/>
      <family val="2"/>
    </font>
    <font>
      <sz val="9"/>
      <color rgb="FF000000"/>
      <name val="Calibri"/>
      <family val="2"/>
    </font>
    <font>
      <i/>
      <sz val="9"/>
      <color rgb="FF0000FF"/>
      <name val="Calibri"/>
      <family val="2"/>
    </font>
    <font>
      <b/>
      <sz val="9"/>
      <color rgb="FF000000"/>
      <name val="Calibri"/>
      <family val="2"/>
    </font>
    <font>
      <u/>
      <sz val="9"/>
      <color theme="1"/>
      <name val="Calibri"/>
      <family val="2"/>
    </font>
    <font>
      <b/>
      <u/>
      <sz val="9"/>
      <color theme="1"/>
      <name val="Calibri"/>
      <family val="2"/>
    </font>
    <font>
      <sz val="9"/>
      <color theme="8"/>
      <name val="Calibri"/>
      <family val="2"/>
    </font>
  </fonts>
  <fills count="10">
    <fill>
      <patternFill patternType="none"/>
    </fill>
    <fill>
      <patternFill patternType="gray125"/>
    </fill>
    <fill>
      <patternFill patternType="solid">
        <fgColor rgb="FF002060"/>
        <bgColor indexed="64"/>
      </patternFill>
    </fill>
    <fill>
      <patternFill patternType="solid">
        <fgColor theme="3" tint="0.89999084444715716"/>
        <bgColor indexed="64"/>
      </patternFill>
    </fill>
    <fill>
      <patternFill patternType="lightGray"/>
    </fill>
    <fill>
      <patternFill patternType="solid">
        <fgColor theme="9" tint="0.79998168889431442"/>
        <bgColor indexed="64"/>
      </patternFill>
    </fill>
    <fill>
      <patternFill patternType="solid">
        <fgColor theme="3" tint="0.79998168889431442"/>
        <bgColor indexed="64"/>
      </patternFill>
    </fill>
    <fill>
      <patternFill patternType="solid">
        <fgColor rgb="FFFCE5CD"/>
        <bgColor indexed="64"/>
      </patternFill>
    </fill>
    <fill>
      <patternFill patternType="solid">
        <fgColor theme="4" tint="0.79998168889431442"/>
        <bgColor indexed="64"/>
      </patternFill>
    </fill>
    <fill>
      <patternFill patternType="solid">
        <fgColor theme="6" tint="0.79998168889431442"/>
        <bgColor indexed="64"/>
      </patternFill>
    </fill>
  </fills>
  <borders count="34">
    <border>
      <left/>
      <right/>
      <top/>
      <bottom/>
      <diagonal/>
    </border>
    <border>
      <left/>
      <right/>
      <top/>
      <bottom style="medium">
        <color indexed="64"/>
      </bottom>
      <diagonal/>
    </border>
    <border>
      <left/>
      <right/>
      <top style="thin">
        <color indexed="64"/>
      </top>
      <bottom/>
      <diagonal/>
    </border>
    <border>
      <left/>
      <right/>
      <top style="medium">
        <color indexed="64"/>
      </top>
      <bottom/>
      <diagonal/>
    </border>
    <border>
      <left/>
      <right/>
      <top/>
      <bottom style="thin">
        <color theme="0"/>
      </bottom>
      <diagonal/>
    </border>
    <border>
      <left/>
      <right/>
      <top style="thin">
        <color theme="0"/>
      </top>
      <bottom/>
      <diagonal/>
    </border>
    <border>
      <left/>
      <right/>
      <top/>
      <bottom style="thin">
        <color indexed="64"/>
      </bottom>
      <diagonal/>
    </border>
    <border>
      <left/>
      <right/>
      <top style="medium">
        <color rgb="FF000000"/>
      </top>
      <bottom style="medium">
        <color rgb="FF000000"/>
      </bottom>
      <diagonal/>
    </border>
    <border>
      <left/>
      <right/>
      <top style="medium">
        <color rgb="FF000000"/>
      </top>
      <bottom/>
      <diagonal/>
    </border>
    <border>
      <left style="hair">
        <color rgb="FF000000"/>
      </left>
      <right style="hair">
        <color rgb="FF000000"/>
      </right>
      <top style="hair">
        <color rgb="FF000000"/>
      </top>
      <bottom style="hair">
        <color rgb="FF000000"/>
      </bottom>
      <diagonal/>
    </border>
    <border>
      <left/>
      <right/>
      <top/>
      <bottom style="thin">
        <color rgb="FF000000"/>
      </bottom>
      <diagonal/>
    </border>
    <border>
      <left/>
      <right/>
      <top style="thin">
        <color rgb="FF000000"/>
      </top>
      <bottom/>
      <diagonal/>
    </border>
    <border>
      <left/>
      <right/>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top style="hair">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dotted">
        <color indexed="64"/>
      </bottom>
      <diagonal/>
    </border>
    <border>
      <left style="dotted">
        <color indexed="64"/>
      </left>
      <right/>
      <top/>
      <bottom style="dotted">
        <color indexed="64"/>
      </bottom>
      <diagonal/>
    </border>
    <border>
      <left style="dotted">
        <color indexed="64"/>
      </left>
      <right/>
      <top/>
      <bottom/>
      <diagonal/>
    </border>
    <border>
      <left style="dott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
    <xf numFmtId="0" fontId="0" fillId="0" borderId="0"/>
    <xf numFmtId="9" fontId="1" fillId="0" borderId="0" applyFont="0" applyFill="0" applyBorder="0" applyAlignment="0" applyProtection="0"/>
    <xf numFmtId="43" fontId="1" fillId="0" borderId="0" applyFont="0" applyFill="0" applyBorder="0" applyAlignment="0" applyProtection="0"/>
    <xf numFmtId="0" fontId="20" fillId="0" borderId="0"/>
  </cellStyleXfs>
  <cellXfs count="291">
    <xf numFmtId="0" fontId="0" fillId="0" borderId="0" xfId="0"/>
    <xf numFmtId="0" fontId="2" fillId="2" borderId="0" xfId="0" applyFont="1" applyFill="1" applyAlignment="1">
      <alignment vertical="center" wrapText="1"/>
    </xf>
    <xf numFmtId="0" fontId="2" fillId="2" borderId="4" xfId="0" applyFont="1" applyFill="1" applyBorder="1" applyAlignment="1">
      <alignment horizontal="centerContinuous" vertical="center" wrapText="1"/>
    </xf>
    <xf numFmtId="14" fontId="3" fillId="2" borderId="0" xfId="0" applyNumberFormat="1" applyFont="1" applyFill="1" applyAlignment="1">
      <alignment horizontal="center" vertical="center" wrapText="1"/>
    </xf>
    <xf numFmtId="0" fontId="2" fillId="2" borderId="0" xfId="0" applyFont="1" applyFill="1" applyAlignment="1">
      <alignment horizontal="center" vertical="center" wrapText="1"/>
    </xf>
    <xf numFmtId="0" fontId="4" fillId="0" borderId="0" xfId="0" applyFont="1" applyAlignment="1">
      <alignment wrapText="1"/>
    </xf>
    <xf numFmtId="0" fontId="3" fillId="2" borderId="0" xfId="0" applyFont="1" applyFill="1" applyAlignment="1">
      <alignment vertical="center" wrapText="1"/>
    </xf>
    <xf numFmtId="0" fontId="5" fillId="2" borderId="0" xfId="0" applyFont="1" applyFill="1" applyAlignment="1">
      <alignment horizontal="center" vertical="center" wrapText="1"/>
    </xf>
    <xf numFmtId="0" fontId="2" fillId="2" borderId="0" xfId="0" applyFont="1" applyFill="1" applyAlignment="1">
      <alignment horizontal="center" vertical="center" wrapText="1"/>
    </xf>
    <xf numFmtId="0" fontId="4" fillId="0" borderId="0" xfId="0" applyFont="1"/>
    <xf numFmtId="0" fontId="4" fillId="3" borderId="0" xfId="0" applyFont="1" applyFill="1"/>
    <xf numFmtId="0" fontId="6" fillId="0" borderId="0" xfId="0" applyFont="1" applyAlignment="1">
      <alignment vertical="top" wrapText="1"/>
    </xf>
    <xf numFmtId="41" fontId="4" fillId="0" borderId="0" xfId="0" applyNumberFormat="1" applyFont="1"/>
    <xf numFmtId="37" fontId="4" fillId="0" borderId="0" xfId="0" applyNumberFormat="1" applyFont="1" applyAlignment="1">
      <alignment wrapText="1"/>
    </xf>
    <xf numFmtId="170" fontId="7" fillId="3" borderId="0" xfId="1" applyNumberFormat="1" applyFont="1" applyFill="1" applyBorder="1" applyAlignment="1">
      <alignment horizontal="right" vertical="center" wrapText="1"/>
    </xf>
    <xf numFmtId="0" fontId="8" fillId="3" borderId="5" xfId="0" applyFont="1" applyFill="1" applyBorder="1" applyAlignment="1">
      <alignment vertical="top" wrapText="1"/>
    </xf>
    <xf numFmtId="5" fontId="8" fillId="3" borderId="2" xfId="0" applyNumberFormat="1" applyFont="1" applyFill="1" applyBorder="1" applyAlignment="1">
      <alignment horizontal="right" vertical="top" wrapText="1"/>
    </xf>
    <xf numFmtId="170" fontId="9" fillId="3" borderId="0" xfId="1" applyNumberFormat="1" applyFont="1" applyFill="1" applyBorder="1" applyAlignment="1">
      <alignment horizontal="right" vertical="center" wrapText="1"/>
    </xf>
    <xf numFmtId="0" fontId="10" fillId="0" borderId="0" xfId="0" applyFont="1" applyAlignment="1">
      <alignment horizontal="left" vertical="center" wrapText="1" indent="1"/>
    </xf>
    <xf numFmtId="5" fontId="8" fillId="4" borderId="0" xfId="0" applyNumberFormat="1" applyFont="1" applyFill="1" applyAlignment="1">
      <alignment horizontal="right" vertical="top" wrapText="1"/>
    </xf>
    <xf numFmtId="170" fontId="10" fillId="0" borderId="0" xfId="1" applyNumberFormat="1" applyFont="1" applyBorder="1" applyAlignment="1">
      <alignment horizontal="right" vertical="center" wrapText="1"/>
    </xf>
    <xf numFmtId="171" fontId="9" fillId="3" borderId="0" xfId="1" applyNumberFormat="1" applyFont="1" applyFill="1" applyBorder="1" applyAlignment="1">
      <alignment horizontal="right" vertical="center" wrapText="1"/>
    </xf>
    <xf numFmtId="9" fontId="6" fillId="0" borderId="0" xfId="1" applyFont="1" applyAlignment="1">
      <alignment horizontal="left" vertical="top" wrapText="1" indent="1"/>
    </xf>
    <xf numFmtId="9" fontId="11" fillId="0" borderId="0" xfId="1" applyFont="1" applyAlignment="1">
      <alignment horizontal="right" vertical="top" wrapText="1"/>
    </xf>
    <xf numFmtId="9" fontId="4" fillId="0" borderId="0" xfId="1" applyFont="1" applyAlignment="1">
      <alignment wrapText="1"/>
    </xf>
    <xf numFmtId="9" fontId="12" fillId="0" borderId="0" xfId="1" applyFont="1" applyAlignment="1">
      <alignment horizontal="right" vertical="top" wrapText="1"/>
    </xf>
    <xf numFmtId="9" fontId="4" fillId="0" borderId="0" xfId="1" applyFont="1"/>
    <xf numFmtId="0" fontId="6" fillId="0" borderId="0" xfId="0" quotePrefix="1" applyFont="1" applyAlignment="1">
      <alignment vertical="top" wrapText="1"/>
    </xf>
    <xf numFmtId="37" fontId="6" fillId="0" borderId="0" xfId="0" applyNumberFormat="1" applyFont="1" applyAlignment="1">
      <alignment horizontal="right" vertical="top" wrapText="1"/>
    </xf>
    <xf numFmtId="0" fontId="8" fillId="0" borderId="0" xfId="0" applyFont="1" applyAlignment="1">
      <alignment vertical="top" wrapText="1"/>
    </xf>
    <xf numFmtId="5" fontId="8" fillId="0" borderId="2" xfId="0" applyNumberFormat="1" applyFont="1" applyBorder="1" applyAlignment="1">
      <alignment horizontal="right" vertical="top" wrapText="1"/>
    </xf>
    <xf numFmtId="9" fontId="13" fillId="0" borderId="0" xfId="1" applyFont="1" applyBorder="1" applyAlignment="1">
      <alignment horizontal="right" vertical="center" wrapText="1"/>
    </xf>
    <xf numFmtId="0" fontId="14" fillId="0" borderId="0" xfId="0" applyFont="1" applyAlignment="1">
      <alignment wrapText="1"/>
    </xf>
    <xf numFmtId="0" fontId="7" fillId="0" borderId="0" xfId="0" applyFont="1" applyAlignment="1">
      <alignment horizontal="left" vertical="center" wrapText="1" indent="1"/>
    </xf>
    <xf numFmtId="9" fontId="6" fillId="0" borderId="0" xfId="1" applyFont="1" applyBorder="1" applyAlignment="1">
      <alignment horizontal="right" vertical="center" wrapText="1"/>
    </xf>
    <xf numFmtId="0" fontId="4" fillId="0" borderId="0" xfId="0" quotePrefix="1" applyFont="1"/>
    <xf numFmtId="41" fontId="6" fillId="0" borderId="0" xfId="0" applyNumberFormat="1" applyFont="1" applyAlignment="1">
      <alignment horizontal="right" vertical="top" wrapText="1"/>
    </xf>
    <xf numFmtId="171" fontId="7" fillId="3" borderId="0" xfId="1" applyNumberFormat="1" applyFont="1" applyFill="1" applyBorder="1" applyAlignment="1">
      <alignment horizontal="right" vertical="center" wrapText="1"/>
    </xf>
    <xf numFmtId="0" fontId="2" fillId="2" borderId="0" xfId="0" applyFont="1" applyFill="1" applyAlignment="1">
      <alignment wrapText="1"/>
    </xf>
    <xf numFmtId="41" fontId="8" fillId="3" borderId="2" xfId="0" applyNumberFormat="1" applyFont="1" applyFill="1" applyBorder="1" applyAlignment="1">
      <alignment horizontal="right" vertical="top" wrapText="1"/>
    </xf>
    <xf numFmtId="0" fontId="15" fillId="0" borderId="6" xfId="0" applyFont="1" applyBorder="1"/>
    <xf numFmtId="0" fontId="4" fillId="0" borderId="0" xfId="0" quotePrefix="1" applyFont="1" applyAlignment="1">
      <alignment wrapText="1"/>
    </xf>
    <xf numFmtId="0" fontId="15" fillId="0" borderId="2" xfId="0" applyFont="1" applyBorder="1"/>
    <xf numFmtId="0" fontId="15" fillId="0" borderId="0" xfId="0" applyFont="1"/>
    <xf numFmtId="172" fontId="4" fillId="0" borderId="0" xfId="0" applyNumberFormat="1" applyFont="1"/>
    <xf numFmtId="0" fontId="4" fillId="4" borderId="0" xfId="0" applyFont="1" applyFill="1"/>
    <xf numFmtId="0" fontId="4" fillId="0" borderId="1" xfId="0" applyFont="1" applyBorder="1"/>
    <xf numFmtId="0" fontId="4" fillId="2" borderId="0" xfId="0" applyFont="1" applyFill="1" applyAlignment="1">
      <alignment wrapText="1"/>
    </xf>
    <xf numFmtId="0" fontId="4" fillId="3" borderId="0" xfId="0" applyFont="1" applyFill="1" applyAlignment="1">
      <alignment wrapText="1"/>
    </xf>
    <xf numFmtId="166" fontId="4" fillId="0" borderId="0" xfId="0" applyNumberFormat="1" applyFont="1" applyAlignment="1">
      <alignment wrapText="1"/>
    </xf>
    <xf numFmtId="37" fontId="8" fillId="0" borderId="0" xfId="0" applyNumberFormat="1" applyFont="1" applyAlignment="1">
      <alignment horizontal="right" vertical="top" wrapText="1"/>
    </xf>
    <xf numFmtId="166" fontId="15" fillId="0" borderId="0" xfId="0" applyNumberFormat="1" applyFont="1" applyAlignment="1">
      <alignment wrapText="1"/>
    </xf>
    <xf numFmtId="9" fontId="6" fillId="0" borderId="0" xfId="1" applyFont="1" applyFill="1" applyBorder="1" applyAlignment="1">
      <alignment horizontal="right" vertical="center" wrapText="1"/>
    </xf>
    <xf numFmtId="170" fontId="7" fillId="0" borderId="0" xfId="1" applyNumberFormat="1" applyFont="1" applyBorder="1" applyAlignment="1">
      <alignment horizontal="right" vertical="center" wrapText="1"/>
    </xf>
    <xf numFmtId="37" fontId="15" fillId="0" borderId="0" xfId="0" applyNumberFormat="1" applyFont="1"/>
    <xf numFmtId="37" fontId="6" fillId="0" borderId="0" xfId="1" applyNumberFormat="1" applyFont="1" applyBorder="1" applyAlignment="1">
      <alignment horizontal="right" vertical="center" wrapText="1"/>
    </xf>
    <xf numFmtId="0" fontId="6" fillId="0" borderId="0" xfId="0" applyFont="1" applyAlignment="1">
      <alignment horizontal="left" vertical="top" wrapText="1"/>
    </xf>
    <xf numFmtId="10" fontId="16" fillId="0" borderId="0" xfId="1" applyNumberFormat="1" applyFont="1" applyFill="1" applyAlignment="1">
      <alignment horizont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5" fontId="8" fillId="0" borderId="0" xfId="0" applyNumberFormat="1" applyFont="1" applyAlignment="1">
      <alignment horizontal="right" vertical="top" wrapText="1"/>
    </xf>
    <xf numFmtId="37" fontId="15" fillId="0" borderId="0" xfId="0" applyNumberFormat="1" applyFont="1" applyAlignment="1">
      <alignment wrapText="1"/>
    </xf>
    <xf numFmtId="37" fontId="8" fillId="0" borderId="0" xfId="0" applyNumberFormat="1" applyFont="1" applyAlignment="1">
      <alignment wrapText="1"/>
    </xf>
    <xf numFmtId="0" fontId="12" fillId="0" borderId="0" xfId="0" applyFont="1" applyAlignment="1">
      <alignment wrapText="1"/>
    </xf>
    <xf numFmtId="0" fontId="8" fillId="0" borderId="0" xfId="0" applyFont="1" applyAlignment="1">
      <alignment wrapText="1"/>
    </xf>
    <xf numFmtId="0" fontId="15" fillId="0" borderId="0" xfId="0" applyFont="1" applyAlignment="1">
      <alignment wrapText="1"/>
    </xf>
    <xf numFmtId="0" fontId="2" fillId="2" borderId="0" xfId="0" applyFont="1" applyFill="1" applyAlignment="1">
      <alignment horizontal="center" wrapText="1"/>
    </xf>
    <xf numFmtId="0" fontId="3" fillId="0" borderId="0" xfId="0" applyFont="1" applyAlignment="1">
      <alignment wrapText="1"/>
    </xf>
    <xf numFmtId="0" fontId="17" fillId="0" borderId="0" xfId="0" applyFont="1" applyAlignment="1">
      <alignment wrapText="1"/>
    </xf>
    <xf numFmtId="165" fontId="4" fillId="0" borderId="0" xfId="2" applyNumberFormat="1" applyFont="1" applyBorder="1" applyAlignment="1">
      <alignment wrapText="1"/>
    </xf>
    <xf numFmtId="0" fontId="4" fillId="0" borderId="0" xfId="0" applyFont="1" applyAlignment="1">
      <alignment horizontal="left" wrapText="1" indent="1"/>
    </xf>
    <xf numFmtId="37" fontId="11" fillId="0" borderId="0" xfId="2" applyNumberFormat="1" applyFont="1" applyBorder="1" applyAlignment="1">
      <alignment wrapText="1"/>
    </xf>
    <xf numFmtId="37" fontId="11" fillId="0" borderId="0" xfId="2" applyNumberFormat="1" applyFont="1" applyFill="1" applyBorder="1" applyAlignment="1">
      <alignment wrapText="1"/>
    </xf>
    <xf numFmtId="0" fontId="4" fillId="0" borderId="0" xfId="0" applyFont="1" applyAlignment="1">
      <alignment horizontal="left" indent="1"/>
    </xf>
    <xf numFmtId="37" fontId="8" fillId="0" borderId="0" xfId="2" applyNumberFormat="1" applyFont="1" applyBorder="1" applyAlignment="1">
      <alignment wrapText="1"/>
    </xf>
    <xf numFmtId="37" fontId="6" fillId="0" borderId="0" xfId="2" applyNumberFormat="1" applyFont="1" applyBorder="1" applyAlignment="1">
      <alignment wrapText="1"/>
    </xf>
    <xf numFmtId="37" fontId="15" fillId="0" borderId="0" xfId="2" applyNumberFormat="1" applyFont="1" applyBorder="1" applyAlignment="1">
      <alignment wrapText="1"/>
    </xf>
    <xf numFmtId="37" fontId="18" fillId="0" borderId="0" xfId="2" applyNumberFormat="1" applyFont="1" applyBorder="1" applyAlignment="1">
      <alignment wrapText="1"/>
    </xf>
    <xf numFmtId="37" fontId="15" fillId="0" borderId="0" xfId="2" applyNumberFormat="1" applyFont="1" applyFill="1" applyBorder="1" applyAlignment="1">
      <alignment wrapText="1"/>
    </xf>
    <xf numFmtId="37" fontId="4" fillId="0" borderId="0" xfId="0" applyNumberFormat="1" applyFont="1"/>
    <xf numFmtId="37" fontId="19" fillId="0" borderId="0" xfId="2" applyNumberFormat="1" applyFont="1" applyFill="1" applyBorder="1" applyAlignment="1">
      <alignment wrapText="1"/>
    </xf>
    <xf numFmtId="37" fontId="12" fillId="0" borderId="0" xfId="2" applyNumberFormat="1" applyFont="1" applyFill="1" applyBorder="1" applyAlignment="1">
      <alignment wrapText="1"/>
    </xf>
    <xf numFmtId="37" fontId="12" fillId="0" borderId="0" xfId="2" applyNumberFormat="1" applyFont="1" applyBorder="1" applyAlignment="1">
      <alignment wrapText="1"/>
    </xf>
    <xf numFmtId="37" fontId="6" fillId="0" borderId="0" xfId="2" applyNumberFormat="1" applyFont="1" applyFill="1" applyBorder="1" applyAlignment="1">
      <alignment wrapText="1"/>
    </xf>
    <xf numFmtId="165" fontId="15" fillId="0" borderId="0" xfId="2" applyNumberFormat="1" applyFont="1" applyBorder="1" applyAlignment="1">
      <alignment wrapText="1"/>
    </xf>
    <xf numFmtId="5" fontId="6" fillId="0" borderId="0" xfId="0" applyNumberFormat="1" applyFont="1" applyAlignment="1">
      <alignment horizontal="right" vertical="top" wrapText="1"/>
    </xf>
    <xf numFmtId="0" fontId="23" fillId="0" borderId="0" xfId="0" applyFont="1" applyAlignment="1">
      <alignment vertical="top" wrapText="1"/>
    </xf>
    <xf numFmtId="43" fontId="23" fillId="0" borderId="0" xfId="0" applyNumberFormat="1" applyFont="1" applyAlignment="1">
      <alignment wrapText="1"/>
    </xf>
    <xf numFmtId="0" fontId="25" fillId="0" borderId="0" xfId="0" applyFont="1" applyAlignment="1">
      <alignment vertical="top" wrapText="1"/>
    </xf>
    <xf numFmtId="43" fontId="25" fillId="0" borderId="0" xfId="0" applyNumberFormat="1" applyFont="1" applyAlignment="1">
      <alignment wrapText="1"/>
    </xf>
    <xf numFmtId="0" fontId="26" fillId="0" borderId="0" xfId="0" applyFont="1" applyAlignment="1">
      <alignment wrapText="1"/>
    </xf>
    <xf numFmtId="41" fontId="8" fillId="0" borderId="0" xfId="0" applyNumberFormat="1" applyFont="1" applyAlignment="1">
      <alignment horizontal="right" vertical="top" wrapText="1"/>
    </xf>
    <xf numFmtId="0" fontId="25" fillId="0" borderId="0" xfId="0" applyFont="1" applyAlignment="1">
      <alignment horizontal="right" vertical="top" wrapText="1"/>
    </xf>
    <xf numFmtId="0" fontId="17" fillId="0" borderId="6" xfId="0" applyFont="1" applyBorder="1"/>
    <xf numFmtId="0" fontId="4" fillId="0" borderId="1" xfId="0" applyFont="1" applyBorder="1" applyAlignment="1">
      <alignment wrapText="1"/>
    </xf>
    <xf numFmtId="165" fontId="4" fillId="0" borderId="1" xfId="2" applyNumberFormat="1" applyFont="1" applyBorder="1" applyAlignment="1">
      <alignment wrapText="1"/>
    </xf>
    <xf numFmtId="0" fontId="27" fillId="0" borderId="3" xfId="0" applyFont="1" applyBorder="1" applyAlignment="1">
      <alignment horizontal="left" wrapText="1"/>
    </xf>
    <xf numFmtId="0" fontId="8" fillId="0" borderId="0" xfId="0" applyFont="1" applyAlignment="1">
      <alignment horizontal="right" vertical="center" wrapText="1"/>
    </xf>
    <xf numFmtId="170" fontId="7" fillId="5" borderId="0" xfId="1" applyNumberFormat="1" applyFont="1" applyFill="1" applyBorder="1" applyAlignment="1">
      <alignment horizontal="right" vertical="center" wrapText="1"/>
    </xf>
    <xf numFmtId="170" fontId="9" fillId="5" borderId="0" xfId="1" applyNumberFormat="1" applyFont="1" applyFill="1" applyBorder="1" applyAlignment="1">
      <alignment horizontal="right" vertical="center" wrapText="1"/>
    </xf>
    <xf numFmtId="177" fontId="9" fillId="5" borderId="0" xfId="1" applyNumberFormat="1" applyFont="1" applyFill="1" applyBorder="1" applyAlignment="1">
      <alignment horizontal="right" vertical="center" wrapText="1"/>
    </xf>
    <xf numFmtId="7" fontId="8" fillId="3" borderId="2" xfId="0" applyNumberFormat="1" applyFont="1" applyFill="1" applyBorder="1" applyAlignment="1">
      <alignment horizontal="right" vertical="top" wrapText="1"/>
    </xf>
    <xf numFmtId="0" fontId="15" fillId="0" borderId="0" xfId="0" applyFont="1" applyBorder="1"/>
    <xf numFmtId="41" fontId="6" fillId="6" borderId="0" xfId="0" applyNumberFormat="1" applyFont="1" applyFill="1" applyAlignment="1">
      <alignment horizontal="right" vertical="top" wrapText="1"/>
    </xf>
    <xf numFmtId="0" fontId="8" fillId="0" borderId="6" xfId="0" applyFont="1" applyBorder="1" applyAlignment="1">
      <alignment vertical="top" wrapText="1"/>
    </xf>
    <xf numFmtId="0" fontId="30" fillId="0" borderId="0" xfId="0" applyFont="1" applyAlignment="1">
      <alignment horizontal="right" vertical="center" wrapText="1"/>
    </xf>
    <xf numFmtId="41" fontId="30" fillId="0" borderId="0" xfId="0" applyNumberFormat="1" applyFont="1" applyAlignment="1">
      <alignment horizontal="right" vertical="center" wrapText="1"/>
    </xf>
    <xf numFmtId="0" fontId="15" fillId="0" borderId="0" xfId="0" applyFont="1" applyAlignment="1">
      <alignment horizontal="center"/>
    </xf>
    <xf numFmtId="0" fontId="8" fillId="0" borderId="5" xfId="0" applyFont="1" applyFill="1" applyBorder="1" applyAlignment="1">
      <alignment vertical="top" wrapText="1"/>
    </xf>
    <xf numFmtId="5" fontId="8" fillId="0" borderId="2" xfId="0" applyNumberFormat="1" applyFont="1" applyFill="1" applyBorder="1" applyAlignment="1">
      <alignment horizontal="right" vertical="top" wrapText="1"/>
    </xf>
    <xf numFmtId="41" fontId="4" fillId="0" borderId="0" xfId="0" applyNumberFormat="1" applyFont="1" applyFill="1"/>
    <xf numFmtId="0" fontId="4" fillId="0" borderId="0" xfId="0" applyFont="1" applyFill="1" applyAlignment="1">
      <alignment wrapText="1"/>
    </xf>
    <xf numFmtId="41" fontId="11" fillId="0" borderId="0" xfId="0" applyNumberFormat="1" applyFont="1"/>
    <xf numFmtId="41" fontId="6" fillId="0" borderId="0" xfId="0" applyNumberFormat="1" applyFont="1"/>
    <xf numFmtId="9" fontId="11" fillId="0" borderId="0" xfId="1" applyFont="1" applyAlignment="1">
      <alignment wrapText="1"/>
    </xf>
    <xf numFmtId="5" fontId="6" fillId="0" borderId="0" xfId="0" applyNumberFormat="1" applyFont="1"/>
    <xf numFmtId="41" fontId="11" fillId="0" borderId="0" xfId="0" applyNumberFormat="1" applyFont="1" applyAlignment="1">
      <alignment horizontal="right" vertical="top" wrapText="1"/>
    </xf>
    <xf numFmtId="180" fontId="4" fillId="0" borderId="0" xfId="0" applyNumberFormat="1" applyFont="1"/>
    <xf numFmtId="0" fontId="6" fillId="0" borderId="0" xfId="0" applyFont="1"/>
    <xf numFmtId="41" fontId="31" fillId="0" borderId="0" xfId="0" applyNumberFormat="1" applyFont="1" applyAlignment="1">
      <alignment horizontal="right" vertical="top" wrapText="1"/>
    </xf>
    <xf numFmtId="0" fontId="33" fillId="0" borderId="13" xfId="0" applyFont="1" applyBorder="1" applyAlignment="1">
      <alignment horizontal="left" indent="2"/>
    </xf>
    <xf numFmtId="0" fontId="33" fillId="0" borderId="14" xfId="0" applyFont="1" applyBorder="1" applyAlignment="1">
      <alignment horizontal="left" indent="2"/>
    </xf>
    <xf numFmtId="0" fontId="33" fillId="0" borderId="0" xfId="0" applyFont="1" applyAlignment="1">
      <alignment horizontal="center"/>
    </xf>
    <xf numFmtId="0" fontId="15" fillId="0" borderId="18" xfId="0" applyFont="1" applyBorder="1" applyAlignment="1">
      <alignment horizontal="center"/>
    </xf>
    <xf numFmtId="0" fontId="15" fillId="0" borderId="19" xfId="0" applyFont="1" applyBorder="1" applyAlignment="1">
      <alignment horizontal="center"/>
    </xf>
    <xf numFmtId="0" fontId="15" fillId="0" borderId="7" xfId="0" applyFont="1" applyBorder="1"/>
    <xf numFmtId="0" fontId="4" fillId="0" borderId="7" xfId="0" applyFont="1" applyBorder="1"/>
    <xf numFmtId="14" fontId="34" fillId="0" borderId="0" xfId="0" applyNumberFormat="1" applyFont="1" applyAlignment="1">
      <alignment horizontal="left"/>
    </xf>
    <xf numFmtId="0" fontId="4" fillId="0" borderId="8" xfId="0" applyFont="1" applyBorder="1"/>
    <xf numFmtId="0" fontId="35" fillId="0" borderId="0" xfId="0" applyFont="1"/>
    <xf numFmtId="0" fontId="12" fillId="0" borderId="0" xfId="0" applyFont="1" applyAlignment="1">
      <alignment horizontal="center"/>
    </xf>
    <xf numFmtId="181" fontId="12" fillId="7" borderId="9" xfId="0" applyNumberFormat="1" applyFont="1" applyFill="1" applyBorder="1" applyAlignment="1">
      <alignment horizontal="center"/>
    </xf>
    <xf numFmtId="8" fontId="12" fillId="0" borderId="0" xfId="0" applyNumberFormat="1" applyFont="1" applyAlignment="1">
      <alignment horizontal="center"/>
    </xf>
    <xf numFmtId="14" fontId="12" fillId="0" borderId="0" xfId="0" applyNumberFormat="1" applyFont="1" applyAlignment="1">
      <alignment horizontal="center"/>
    </xf>
    <xf numFmtId="182" fontId="12" fillId="0" borderId="0" xfId="0" applyNumberFormat="1" applyFont="1" applyAlignment="1">
      <alignment horizontal="center"/>
    </xf>
    <xf numFmtId="0" fontId="15" fillId="0" borderId="10" xfId="0" applyFont="1" applyBorder="1"/>
    <xf numFmtId="0" fontId="4" fillId="0" borderId="10" xfId="0" applyFont="1" applyBorder="1"/>
    <xf numFmtId="184" fontId="15" fillId="0" borderId="0" xfId="0" applyNumberFormat="1" applyFont="1"/>
    <xf numFmtId="185" fontId="15" fillId="0" borderId="0" xfId="0" applyNumberFormat="1" applyFont="1"/>
    <xf numFmtId="0" fontId="16" fillId="0" borderId="10" xfId="0" applyFont="1" applyBorder="1"/>
    <xf numFmtId="182" fontId="16" fillId="0" borderId="6" xfId="0" applyNumberFormat="1" applyFont="1" applyBorder="1"/>
    <xf numFmtId="0" fontId="4" fillId="0" borderId="6" xfId="0" applyFont="1" applyBorder="1"/>
    <xf numFmtId="0" fontId="16" fillId="0" borderId="0" xfId="0" applyFont="1"/>
    <xf numFmtId="182" fontId="36" fillId="0" borderId="0" xfId="0" applyNumberFormat="1" applyFont="1"/>
    <xf numFmtId="182" fontId="16" fillId="0" borderId="0" xfId="0" applyNumberFormat="1" applyFont="1"/>
    <xf numFmtId="9" fontId="16" fillId="0" borderId="0" xfId="0" applyNumberFormat="1" applyFont="1"/>
    <xf numFmtId="169" fontId="16" fillId="0" borderId="0" xfId="0" applyNumberFormat="1" applyFont="1"/>
    <xf numFmtId="37" fontId="12" fillId="0" borderId="0" xfId="0" applyNumberFormat="1" applyFont="1"/>
    <xf numFmtId="37" fontId="35" fillId="0" borderId="0" xfId="0" applyNumberFormat="1" applyFont="1"/>
    <xf numFmtId="37" fontId="37" fillId="0" borderId="0" xfId="0" applyNumberFormat="1" applyFont="1"/>
    <xf numFmtId="0" fontId="4" fillId="0" borderId="0" xfId="0" applyFont="1" applyAlignment="1">
      <alignment horizontal="left"/>
    </xf>
    <xf numFmtId="0" fontId="15" fillId="0" borderId="0" xfId="0" applyFont="1" applyAlignment="1">
      <alignment horizontal="left"/>
    </xf>
    <xf numFmtId="4" fontId="4" fillId="0" borderId="0" xfId="0" applyNumberFormat="1" applyFont="1"/>
    <xf numFmtId="0" fontId="38" fillId="0" borderId="0" xfId="0" applyFont="1"/>
    <xf numFmtId="186" fontId="35" fillId="0" borderId="0" xfId="0" applyNumberFormat="1" applyFont="1"/>
    <xf numFmtId="186" fontId="12" fillId="0" borderId="0" xfId="0" applyNumberFormat="1" applyFont="1"/>
    <xf numFmtId="182" fontId="16" fillId="0" borderId="10" xfId="0" applyNumberFormat="1" applyFont="1" applyBorder="1"/>
    <xf numFmtId="14" fontId="16" fillId="0" borderId="0" xfId="0" applyNumberFormat="1" applyFont="1"/>
    <xf numFmtId="184" fontId="37" fillId="0" borderId="0" xfId="0" applyNumberFormat="1" applyFont="1"/>
    <xf numFmtId="185" fontId="37" fillId="0" borderId="0" xfId="0" applyNumberFormat="1" applyFont="1"/>
    <xf numFmtId="182" fontId="34" fillId="0" borderId="10" xfId="0" applyNumberFormat="1" applyFont="1" applyBorder="1"/>
    <xf numFmtId="37" fontId="16" fillId="0" borderId="0" xfId="0" applyNumberFormat="1" applyFont="1"/>
    <xf numFmtId="3" fontId="4" fillId="0" borderId="0" xfId="0" applyNumberFormat="1" applyFont="1"/>
    <xf numFmtId="0" fontId="15" fillId="0" borderId="11" xfId="0" applyFont="1" applyBorder="1" applyAlignment="1">
      <alignment horizontal="centerContinuous"/>
    </xf>
    <xf numFmtId="0" fontId="4" fillId="0" borderId="0" xfId="0" quotePrefix="1" applyFont="1" applyAlignment="1">
      <alignment horizontal="left" indent="1"/>
    </xf>
    <xf numFmtId="0" fontId="4" fillId="0" borderId="12" xfId="0" quotePrefix="1" applyFont="1" applyBorder="1" applyAlignment="1">
      <alignment horizontal="left" indent="1"/>
    </xf>
    <xf numFmtId="37" fontId="12" fillId="0" borderId="12" xfId="0" applyNumberFormat="1" applyFont="1" applyBorder="1"/>
    <xf numFmtId="37" fontId="4" fillId="0" borderId="12" xfId="0" applyNumberFormat="1" applyFont="1" applyBorder="1"/>
    <xf numFmtId="0" fontId="15" fillId="0" borderId="0" xfId="0" applyFont="1" applyAlignment="1">
      <alignment horizontal="left" indent="1"/>
    </xf>
    <xf numFmtId="186" fontId="4" fillId="0" borderId="0" xfId="0" applyNumberFormat="1" applyFont="1"/>
    <xf numFmtId="187" fontId="12" fillId="0" borderId="0" xfId="0" applyNumberFormat="1" applyFont="1"/>
    <xf numFmtId="181" fontId="4" fillId="0" borderId="0" xfId="0" applyNumberFormat="1" applyFont="1"/>
    <xf numFmtId="0" fontId="15" fillId="0" borderId="10" xfId="0" applyFont="1" applyBorder="1" applyAlignment="1">
      <alignment horizontal="left"/>
    </xf>
    <xf numFmtId="186" fontId="4" fillId="0" borderId="10" xfId="0" applyNumberFormat="1" applyFont="1" applyBorder="1"/>
    <xf numFmtId="186" fontId="35" fillId="0" borderId="10" xfId="0" applyNumberFormat="1" applyFont="1" applyBorder="1"/>
    <xf numFmtId="187" fontId="4" fillId="0" borderId="0" xfId="0" applyNumberFormat="1" applyFont="1"/>
    <xf numFmtId="37" fontId="15" fillId="0" borderId="10" xfId="0" applyNumberFormat="1" applyFont="1" applyBorder="1"/>
    <xf numFmtId="37" fontId="35" fillId="0" borderId="11" xfId="0" applyNumberFormat="1" applyFont="1" applyBorder="1"/>
    <xf numFmtId="0" fontId="4" fillId="0" borderId="12" xfId="0" applyFont="1" applyBorder="1" applyAlignment="1">
      <alignment horizontal="left" indent="1"/>
    </xf>
    <xf numFmtId="0" fontId="4" fillId="0" borderId="12" xfId="0" applyFont="1" applyBorder="1"/>
    <xf numFmtId="37" fontId="35" fillId="0" borderId="12" xfId="0" applyNumberFormat="1" applyFont="1" applyBorder="1"/>
    <xf numFmtId="37" fontId="15" fillId="0" borderId="10" xfId="0" applyNumberFormat="1" applyFont="1" applyBorder="1" applyAlignment="1">
      <alignment horizontal="left"/>
    </xf>
    <xf numFmtId="37" fontId="15" fillId="0" borderId="12" xfId="0" applyNumberFormat="1" applyFont="1" applyBorder="1"/>
    <xf numFmtId="37" fontId="4" fillId="0" borderId="14" xfId="0" applyNumberFormat="1" applyFont="1" applyBorder="1"/>
    <xf numFmtId="0" fontId="4" fillId="0" borderId="14" xfId="0" applyFont="1" applyBorder="1"/>
    <xf numFmtId="37" fontId="24" fillId="0" borderId="14" xfId="0" applyNumberFormat="1" applyFont="1" applyBorder="1" applyAlignment="1">
      <alignment horizontal="right"/>
    </xf>
    <xf numFmtId="37" fontId="24" fillId="0" borderId="0" xfId="0" applyNumberFormat="1" applyFont="1" applyAlignment="1">
      <alignment horizontal="right"/>
    </xf>
    <xf numFmtId="9" fontId="12" fillId="0" borderId="10" xfId="0" applyNumberFormat="1" applyFont="1" applyBorder="1"/>
    <xf numFmtId="3" fontId="35" fillId="0" borderId="0" xfId="0" applyNumberFormat="1" applyFont="1"/>
    <xf numFmtId="37" fontId="4" fillId="0" borderId="11" xfId="0" applyNumberFormat="1" applyFont="1" applyBorder="1"/>
    <xf numFmtId="0" fontId="38" fillId="0" borderId="0" xfId="0" applyFont="1" applyAlignment="1">
      <alignment horizontal="left" indent="1"/>
    </xf>
    <xf numFmtId="0" fontId="39" fillId="0" borderId="0" xfId="0" applyFont="1" applyAlignment="1">
      <alignment horizontal="left"/>
    </xf>
    <xf numFmtId="188" fontId="12" fillId="0" borderId="0" xfId="0" applyNumberFormat="1" applyFont="1"/>
    <xf numFmtId="189" fontId="6" fillId="0" borderId="0" xfId="0" applyNumberFormat="1" applyFont="1"/>
    <xf numFmtId="0" fontId="37" fillId="0" borderId="15" xfId="0" applyFont="1" applyBorder="1" applyAlignment="1">
      <alignment horizontal="left" indent="1"/>
    </xf>
    <xf numFmtId="0" fontId="37" fillId="0" borderId="0" xfId="0" applyFont="1" applyAlignment="1">
      <alignment horizontal="left" indent="1"/>
    </xf>
    <xf numFmtId="37" fontId="37" fillId="0" borderId="15" xfId="0" applyNumberFormat="1" applyFont="1" applyBorder="1"/>
    <xf numFmtId="0" fontId="4" fillId="0" borderId="0" xfId="0" applyFont="1" applyAlignment="1">
      <alignment horizontal="left" indent="2"/>
    </xf>
    <xf numFmtId="187" fontId="6" fillId="0" borderId="0" xfId="0" applyNumberFormat="1" applyFont="1"/>
    <xf numFmtId="10" fontId="12" fillId="0" borderId="0" xfId="0" applyNumberFormat="1" applyFont="1"/>
    <xf numFmtId="189" fontId="35" fillId="0" borderId="0" xfId="0" applyNumberFormat="1" applyFont="1"/>
    <xf numFmtId="37" fontId="35" fillId="0" borderId="0" xfId="0" applyNumberFormat="1" applyFont="1" applyAlignment="1">
      <alignment horizontal="left" indent="1"/>
    </xf>
    <xf numFmtId="7" fontId="37" fillId="0" borderId="0" xfId="0" applyNumberFormat="1" applyFont="1"/>
    <xf numFmtId="8" fontId="4" fillId="0" borderId="0" xfId="0" applyNumberFormat="1" applyFont="1"/>
    <xf numFmtId="8" fontId="12" fillId="0" borderId="0" xfId="0" applyNumberFormat="1" applyFont="1"/>
    <xf numFmtId="9" fontId="35" fillId="0" borderId="0" xfId="0" applyNumberFormat="1" applyFont="1"/>
    <xf numFmtId="0" fontId="4" fillId="0" borderId="0" xfId="0" applyFont="1" applyAlignment="1">
      <alignment horizontal="right"/>
    </xf>
    <xf numFmtId="37" fontId="15" fillId="0" borderId="16" xfId="0" applyNumberFormat="1" applyFont="1" applyBorder="1"/>
    <xf numFmtId="181" fontId="15" fillId="0" borderId="17" xfId="0" applyNumberFormat="1" applyFont="1" applyBorder="1"/>
    <xf numFmtId="186" fontId="4" fillId="0" borderId="20" xfId="0" applyNumberFormat="1" applyFont="1" applyBorder="1" applyAlignment="1">
      <alignment horizontal="center"/>
    </xf>
    <xf numFmtId="0" fontId="4" fillId="0" borderId="20" xfId="0" applyFont="1" applyBorder="1"/>
    <xf numFmtId="187" fontId="12" fillId="0" borderId="20" xfId="0" applyNumberFormat="1" applyFont="1" applyBorder="1" applyAlignment="1">
      <alignment horizontal="center"/>
    </xf>
    <xf numFmtId="0" fontId="4" fillId="0" borderId="20" xfId="0" applyFont="1" applyBorder="1" applyAlignment="1">
      <alignment horizontal="center"/>
    </xf>
    <xf numFmtId="190" fontId="4" fillId="0" borderId="0" xfId="0" applyNumberFormat="1" applyFont="1"/>
    <xf numFmtId="187" fontId="12" fillId="0" borderId="21" xfId="0" applyNumberFormat="1" applyFont="1" applyBorder="1" applyAlignment="1">
      <alignment horizontal="center"/>
    </xf>
    <xf numFmtId="37" fontId="12" fillId="0" borderId="0" xfId="0" applyNumberFormat="1" applyFont="1" applyAlignment="1">
      <alignment horizontal="center"/>
    </xf>
    <xf numFmtId="37" fontId="40" fillId="0" borderId="0" xfId="0" applyNumberFormat="1" applyFont="1"/>
    <xf numFmtId="0" fontId="4" fillId="0" borderId="0" xfId="0" applyFont="1" applyBorder="1"/>
    <xf numFmtId="0" fontId="39" fillId="6" borderId="25" xfId="0" applyFont="1" applyFill="1" applyBorder="1"/>
    <xf numFmtId="0" fontId="4" fillId="6" borderId="26" xfId="0" applyFont="1" applyFill="1" applyBorder="1"/>
    <xf numFmtId="0" fontId="4" fillId="6" borderId="27" xfId="0" applyFont="1" applyFill="1" applyBorder="1"/>
    <xf numFmtId="0" fontId="4" fillId="6" borderId="24" xfId="0" applyFont="1" applyFill="1" applyBorder="1" applyAlignment="1">
      <alignment horizontal="left" indent="1"/>
    </xf>
    <xf numFmtId="186" fontId="35" fillId="6" borderId="0" xfId="0" applyNumberFormat="1" applyFont="1" applyFill="1" applyBorder="1"/>
    <xf numFmtId="0" fontId="4" fillId="6" borderId="23" xfId="0" applyFont="1" applyFill="1" applyBorder="1" applyAlignment="1">
      <alignment horizontal="left" indent="1"/>
    </xf>
    <xf numFmtId="186" fontId="35" fillId="6" borderId="22" xfId="0" applyNumberFormat="1" applyFont="1" applyFill="1" applyBorder="1"/>
    <xf numFmtId="37" fontId="37" fillId="0" borderId="2" xfId="0" applyNumberFormat="1" applyFont="1" applyBorder="1"/>
    <xf numFmtId="0" fontId="15" fillId="0" borderId="2" xfId="0" applyFont="1" applyBorder="1" applyAlignment="1">
      <alignment horizontal="left"/>
    </xf>
    <xf numFmtId="37" fontId="15" fillId="0" borderId="2" xfId="0" applyNumberFormat="1" applyFont="1" applyBorder="1"/>
    <xf numFmtId="0" fontId="2" fillId="2" borderId="0" xfId="0" applyFont="1" applyFill="1" applyAlignment="1">
      <alignment vertical="center"/>
    </xf>
    <xf numFmtId="0" fontId="2" fillId="2" borderId="4" xfId="0" applyFont="1" applyFill="1" applyBorder="1" applyAlignment="1">
      <alignment horizontal="centerContinuous" vertical="center"/>
    </xf>
    <xf numFmtId="0" fontId="3" fillId="2" borderId="0" xfId="0" applyFont="1" applyFill="1" applyAlignment="1">
      <alignment vertical="center"/>
    </xf>
    <xf numFmtId="0" fontId="5" fillId="2" borderId="0" xfId="0" applyFont="1" applyFill="1" applyAlignment="1">
      <alignment horizontal="center" vertical="center"/>
    </xf>
    <xf numFmtId="14" fontId="3" fillId="2" borderId="0" xfId="0" applyNumberFormat="1" applyFont="1" applyFill="1" applyAlignment="1">
      <alignment horizontal="center" vertical="center"/>
    </xf>
    <xf numFmtId="0" fontId="8" fillId="0" borderId="1" xfId="0" applyFont="1" applyBorder="1" applyAlignment="1">
      <alignment vertical="top" wrapText="1"/>
    </xf>
    <xf numFmtId="0" fontId="10" fillId="6" borderId="0" xfId="0" applyFont="1" applyFill="1" applyAlignment="1">
      <alignment horizontal="left" vertical="center" wrapText="1" indent="1"/>
    </xf>
    <xf numFmtId="0" fontId="6" fillId="0" borderId="0" xfId="0" applyFont="1" applyBorder="1" applyAlignment="1">
      <alignment vertical="center" wrapText="1"/>
    </xf>
    <xf numFmtId="41" fontId="4" fillId="0" borderId="0" xfId="0" applyNumberFormat="1" applyFont="1" applyAlignment="1">
      <alignment vertical="center"/>
    </xf>
    <xf numFmtId="0" fontId="10" fillId="6" borderId="0" xfId="0" applyFont="1" applyFill="1" applyAlignment="1">
      <alignment horizontal="left" vertical="center" wrapText="1"/>
    </xf>
    <xf numFmtId="10" fontId="4" fillId="6" borderId="0" xfId="0" applyNumberFormat="1" applyFont="1" applyFill="1" applyAlignment="1">
      <alignment vertical="center"/>
    </xf>
    <xf numFmtId="0" fontId="0" fillId="0" borderId="0" xfId="0" applyAlignment="1">
      <alignment vertical="center"/>
    </xf>
    <xf numFmtId="0" fontId="8" fillId="0" borderId="1" xfId="0" applyFont="1" applyBorder="1" applyAlignment="1">
      <alignment vertical="center" wrapText="1"/>
    </xf>
    <xf numFmtId="0" fontId="7" fillId="0" borderId="0" xfId="0" applyFont="1" applyBorder="1" applyAlignment="1">
      <alignment vertical="center" wrapText="1"/>
    </xf>
    <xf numFmtId="0" fontId="6" fillId="0" borderId="0" xfId="0" applyFont="1" applyBorder="1" applyAlignment="1">
      <alignment wrapText="1"/>
    </xf>
    <xf numFmtId="41" fontId="4" fillId="0" borderId="0" xfId="0" applyNumberFormat="1" applyFont="1" applyAlignment="1"/>
    <xf numFmtId="0" fontId="10" fillId="6" borderId="0" xfId="0" applyFont="1" applyFill="1" applyAlignment="1">
      <alignment horizontal="left" wrapText="1"/>
    </xf>
    <xf numFmtId="10" fontId="4" fillId="6" borderId="0" xfId="0" applyNumberFormat="1" applyFont="1" applyFill="1" applyAlignment="1"/>
    <xf numFmtId="0" fontId="8" fillId="0" borderId="0" xfId="0" applyFont="1" applyBorder="1" applyAlignment="1">
      <alignment horizontal="center" vertical="center" wrapText="1"/>
    </xf>
    <xf numFmtId="41" fontId="11" fillId="0" borderId="0" xfId="0" applyNumberFormat="1" applyFont="1" applyAlignment="1">
      <alignment vertical="center"/>
    </xf>
    <xf numFmtId="41" fontId="11" fillId="0" borderId="0" xfId="0" applyNumberFormat="1" applyFont="1" applyAlignment="1"/>
    <xf numFmtId="10" fontId="11" fillId="6" borderId="0" xfId="0" applyNumberFormat="1" applyFont="1" applyFill="1" applyAlignment="1">
      <alignment vertical="center"/>
    </xf>
    <xf numFmtId="169" fontId="11" fillId="0" borderId="0" xfId="1" applyNumberFormat="1" applyFont="1" applyAlignment="1">
      <alignment vertical="center"/>
    </xf>
    <xf numFmtId="169" fontId="4" fillId="0" borderId="0" xfId="1" applyNumberFormat="1" applyFont="1" applyAlignment="1">
      <alignment vertical="center"/>
    </xf>
    <xf numFmtId="10" fontId="11" fillId="0" borderId="0" xfId="1" applyNumberFormat="1" applyFont="1" applyAlignment="1">
      <alignment vertical="center"/>
    </xf>
    <xf numFmtId="10" fontId="4" fillId="0" borderId="0" xfId="1" applyNumberFormat="1" applyFont="1" applyAlignment="1">
      <alignment vertical="center"/>
    </xf>
    <xf numFmtId="10" fontId="4" fillId="6" borderId="0" xfId="1" applyNumberFormat="1" applyFont="1" applyFill="1" applyAlignment="1">
      <alignment vertical="center"/>
    </xf>
    <xf numFmtId="10" fontId="6" fillId="6" borderId="0" xfId="0" applyNumberFormat="1" applyFont="1" applyFill="1" applyAlignment="1">
      <alignment vertical="center"/>
    </xf>
    <xf numFmtId="0" fontId="0" fillId="0" borderId="0" xfId="0" applyFill="1"/>
    <xf numFmtId="0" fontId="10" fillId="0" borderId="0" xfId="0" applyFont="1" applyFill="1" applyAlignment="1">
      <alignment horizontal="left" vertical="center" wrapText="1"/>
    </xf>
    <xf numFmtId="10" fontId="6" fillId="0" borderId="0" xfId="0" applyNumberFormat="1" applyFont="1" applyFill="1" applyAlignment="1">
      <alignment vertical="center"/>
    </xf>
    <xf numFmtId="0" fontId="10" fillId="0" borderId="28" xfId="0" applyFont="1" applyFill="1" applyBorder="1" applyAlignment="1">
      <alignment horizontal="left" vertical="center" wrapText="1"/>
    </xf>
    <xf numFmtId="41" fontId="6" fillId="0" borderId="3" xfId="0" applyNumberFormat="1" applyFont="1" applyFill="1" applyBorder="1" applyAlignment="1">
      <alignment vertical="center"/>
    </xf>
    <xf numFmtId="41" fontId="6" fillId="0" borderId="29" xfId="0" applyNumberFormat="1" applyFont="1" applyFill="1" applyBorder="1" applyAlignment="1">
      <alignment vertical="center"/>
    </xf>
    <xf numFmtId="0" fontId="10" fillId="0" borderId="30" xfId="0" applyFont="1" applyFill="1" applyBorder="1" applyAlignment="1">
      <alignment horizontal="left" vertical="center" wrapText="1"/>
    </xf>
    <xf numFmtId="169" fontId="7" fillId="0" borderId="0" xfId="1" applyNumberFormat="1" applyFont="1" applyFill="1" applyBorder="1" applyAlignment="1">
      <alignment vertical="center"/>
    </xf>
    <xf numFmtId="169" fontId="7" fillId="0" borderId="31" xfId="1" applyNumberFormat="1" applyFont="1" applyFill="1" applyBorder="1" applyAlignment="1">
      <alignment vertical="center"/>
    </xf>
    <xf numFmtId="41" fontId="6" fillId="0" borderId="0" xfId="0" applyNumberFormat="1" applyFont="1" applyFill="1" applyBorder="1" applyAlignment="1">
      <alignment vertical="center"/>
    </xf>
    <xf numFmtId="41" fontId="6" fillId="0" borderId="31" xfId="0" applyNumberFormat="1" applyFont="1" applyFill="1" applyBorder="1" applyAlignment="1">
      <alignment vertical="center"/>
    </xf>
    <xf numFmtId="0" fontId="10" fillId="0" borderId="32" xfId="0" applyFont="1" applyFill="1" applyBorder="1" applyAlignment="1">
      <alignment horizontal="left" vertical="center" wrapText="1"/>
    </xf>
    <xf numFmtId="169" fontId="7" fillId="0" borderId="1" xfId="1" applyNumberFormat="1" applyFont="1" applyFill="1" applyBorder="1" applyAlignment="1">
      <alignment vertical="center"/>
    </xf>
    <xf numFmtId="169" fontId="7" fillId="0" borderId="33" xfId="1" applyNumberFormat="1" applyFont="1" applyFill="1" applyBorder="1" applyAlignment="1">
      <alignment vertical="center"/>
    </xf>
    <xf numFmtId="0" fontId="10" fillId="8" borderId="30" xfId="0" applyFont="1" applyFill="1" applyBorder="1" applyAlignment="1">
      <alignment horizontal="left" vertical="center" wrapText="1"/>
    </xf>
    <xf numFmtId="41" fontId="6" fillId="8" borderId="0" xfId="0" applyNumberFormat="1" applyFont="1" applyFill="1" applyBorder="1" applyAlignment="1">
      <alignment vertical="center"/>
    </xf>
    <xf numFmtId="41" fontId="6" fillId="8" borderId="31" xfId="0" applyNumberFormat="1" applyFont="1" applyFill="1" applyBorder="1" applyAlignment="1">
      <alignment vertical="center"/>
    </xf>
    <xf numFmtId="169" fontId="7" fillId="8" borderId="0" xfId="1" applyNumberFormat="1" applyFont="1" applyFill="1" applyBorder="1" applyAlignment="1">
      <alignment vertical="center"/>
    </xf>
    <xf numFmtId="169" fontId="7" fillId="8" borderId="31" xfId="1" applyNumberFormat="1" applyFont="1" applyFill="1" applyBorder="1" applyAlignment="1">
      <alignment vertical="center"/>
    </xf>
    <xf numFmtId="186" fontId="31" fillId="6" borderId="0" xfId="0" applyNumberFormat="1" applyFont="1" applyFill="1" applyBorder="1"/>
    <xf numFmtId="0" fontId="10" fillId="9" borderId="30" xfId="0" applyFont="1" applyFill="1" applyBorder="1" applyAlignment="1">
      <alignment horizontal="left" vertical="center" wrapText="1"/>
    </xf>
    <xf numFmtId="41" fontId="6" fillId="9" borderId="0" xfId="0" applyNumberFormat="1" applyFont="1" applyFill="1" applyBorder="1" applyAlignment="1">
      <alignment vertical="center"/>
    </xf>
    <xf numFmtId="41" fontId="6" fillId="9" borderId="31" xfId="0" applyNumberFormat="1" applyFont="1" applyFill="1" applyBorder="1" applyAlignment="1">
      <alignment vertical="center"/>
    </xf>
    <xf numFmtId="169" fontId="7" fillId="9" borderId="0" xfId="1" applyNumberFormat="1" applyFont="1" applyFill="1" applyBorder="1" applyAlignment="1">
      <alignment vertical="center"/>
    </xf>
    <xf numFmtId="169" fontId="7" fillId="9" borderId="31" xfId="1" applyNumberFormat="1" applyFont="1" applyFill="1" applyBorder="1" applyAlignment="1">
      <alignment vertical="center"/>
    </xf>
    <xf numFmtId="10" fontId="4" fillId="0" borderId="0" xfId="0" applyNumberFormat="1" applyFont="1" applyFill="1" applyAlignment="1">
      <alignment vertical="center"/>
    </xf>
    <xf numFmtId="0" fontId="10" fillId="0" borderId="1" xfId="0" applyFont="1" applyFill="1" applyBorder="1" applyAlignment="1">
      <alignment horizontal="left" vertical="center" wrapText="1"/>
    </xf>
    <xf numFmtId="0" fontId="10" fillId="0" borderId="0" xfId="0" applyFont="1" applyFill="1" applyBorder="1" applyAlignment="1">
      <alignment horizontal="left" vertical="center" wrapText="1"/>
    </xf>
    <xf numFmtId="182" fontId="34" fillId="0" borderId="0" xfId="0" applyNumberFormat="1" applyFont="1" applyBorder="1"/>
    <xf numFmtId="0" fontId="15" fillId="0" borderId="0" xfId="0" applyFont="1" applyBorder="1" applyAlignment="1">
      <alignment horizontal="left"/>
    </xf>
    <xf numFmtId="37" fontId="37" fillId="0" borderId="0" xfId="0" applyNumberFormat="1" applyFont="1" applyBorder="1"/>
    <xf numFmtId="37" fontId="15" fillId="0" borderId="0" xfId="0" applyNumberFormat="1" applyFont="1" applyBorder="1"/>
    <xf numFmtId="37" fontId="31" fillId="0" borderId="0" xfId="0" applyNumberFormat="1" applyFont="1"/>
    <xf numFmtId="41" fontId="6" fillId="0" borderId="1" xfId="0" applyNumberFormat="1" applyFont="1" applyFill="1" applyBorder="1" applyAlignment="1">
      <alignment vertical="center"/>
    </xf>
    <xf numFmtId="41" fontId="6" fillId="0" borderId="33" xfId="0" applyNumberFormat="1" applyFont="1" applyFill="1" applyBorder="1" applyAlignment="1">
      <alignment vertical="center"/>
    </xf>
  </cellXfs>
  <cellStyles count="4">
    <cellStyle name="%" xfId="3" xr:uid="{B2D0E839-0EB6-4A26-A036-4291FCE77A81}"/>
    <cellStyle name="Comma" xfId="2" builtinId="3"/>
    <cellStyle name="Normal" xfId="0" builtinId="0"/>
    <cellStyle name="Percent" xfId="1" builtinId="5"/>
  </cellStyles>
  <dxfs count="3">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
      <fill>
        <patternFill>
          <bgColor theme="8"/>
        </patternFill>
      </fill>
      <border>
        <left/>
        <right/>
        <top style="thin">
          <color rgb="FF9C0006"/>
        </top>
        <bottom style="thin">
          <color rgb="FF9C0006"/>
        </bottom>
        <vertical/>
        <horizontal/>
      </border>
    </dxf>
  </dxfs>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7A1EF-DD86-43F0-AF53-6181CD7220DC}">
  <sheetPr>
    <tabColor rgb="FF002060"/>
  </sheetPr>
  <dimension ref="A2:AK158"/>
  <sheetViews>
    <sheetView showGridLines="0" topLeftCell="A98" zoomScale="145" zoomScaleNormal="145" workbookViewId="0">
      <selection activeCell="D68" sqref="D68"/>
    </sheetView>
  </sheetViews>
  <sheetFormatPr defaultRowHeight="12" outlineLevelCol="1" x14ac:dyDescent="0.2"/>
  <cols>
    <col min="1" max="1" width="1.625" style="5" bestFit="1" customWidth="1"/>
    <col min="2" max="2" width="43.25" style="5" bestFit="1" customWidth="1"/>
    <col min="3" max="3" width="8.625" style="5" hidden="1" customWidth="1" outlineLevel="1"/>
    <col min="4" max="4" width="8.625" style="5" customWidth="1" outlineLevel="1"/>
    <col min="5" max="6" width="8.75" style="5" bestFit="1" customWidth="1"/>
    <col min="7" max="7" width="9.5" style="5" bestFit="1" customWidth="1"/>
    <col min="8" max="8" width="1.5" style="5" customWidth="1"/>
    <col min="9" max="9" width="8" style="5" hidden="1" customWidth="1" outlineLevel="1"/>
    <col min="10" max="10" width="8.625" style="5" hidden="1" customWidth="1" outlineLevel="1"/>
    <col min="11" max="11" width="8.25" style="5" hidden="1" customWidth="1" outlineLevel="1"/>
    <col min="12" max="12" width="8.625" style="5" hidden="1" customWidth="1" outlineLevel="1"/>
    <col min="13" max="14" width="8" style="5" hidden="1" customWidth="1" outlineLevel="1"/>
    <col min="15" max="15" width="8.25" style="5" hidden="1" customWidth="1" outlineLevel="1"/>
    <col min="16" max="18" width="8.625" style="5" hidden="1" customWidth="1" outlineLevel="1"/>
    <col min="19" max="19" width="8.75" style="5" bestFit="1" customWidth="1" collapsed="1"/>
    <col min="20" max="23" width="9.5" style="5" bestFit="1" customWidth="1"/>
    <col min="24" max="24" width="1.5" style="5" customWidth="1"/>
    <col min="25" max="30" width="9" style="5" customWidth="1" outlineLevel="1"/>
    <col min="31" max="31" width="9" style="5" bestFit="1" customWidth="1"/>
    <col min="32" max="34" width="9" style="5" hidden="1" customWidth="1" outlineLevel="1"/>
    <col min="35" max="35" width="9" style="5" bestFit="1" customWidth="1" collapsed="1"/>
    <col min="36" max="36" width="1.25" style="5" customWidth="1"/>
    <col min="37" max="37" width="8.125" style="5" bestFit="1" customWidth="1"/>
    <col min="38" max="38" width="1.375" style="5" customWidth="1"/>
    <col min="39" max="16384" width="9" style="5"/>
  </cols>
  <sheetData>
    <row r="2" spans="1:37" ht="12.75" customHeight="1" x14ac:dyDescent="0.2">
      <c r="B2" s="1" t="s">
        <v>174</v>
      </c>
      <c r="C2" s="2" t="s">
        <v>0</v>
      </c>
      <c r="D2" s="2"/>
      <c r="E2" s="2" t="s">
        <v>0</v>
      </c>
      <c r="F2" s="2"/>
      <c r="G2" s="2"/>
      <c r="H2" s="3"/>
      <c r="I2" s="2" t="s">
        <v>1</v>
      </c>
      <c r="J2" s="2"/>
      <c r="K2" s="2"/>
      <c r="L2" s="2"/>
      <c r="M2" s="2"/>
      <c r="N2" s="2"/>
      <c r="O2" s="2" t="s">
        <v>1</v>
      </c>
      <c r="P2" s="2"/>
      <c r="Q2" s="2"/>
      <c r="R2" s="2" t="s">
        <v>1</v>
      </c>
      <c r="S2" s="2" t="s">
        <v>1</v>
      </c>
      <c r="T2" s="2"/>
      <c r="U2" s="2"/>
      <c r="V2" s="2"/>
      <c r="W2" s="2"/>
      <c r="X2" s="3"/>
      <c r="Y2" s="2"/>
      <c r="Z2" s="2"/>
      <c r="AA2" s="2"/>
      <c r="AB2" s="2"/>
      <c r="AC2" s="2"/>
      <c r="AD2" s="2"/>
      <c r="AE2" s="2" t="s">
        <v>10</v>
      </c>
      <c r="AF2" s="2"/>
      <c r="AG2" s="2"/>
      <c r="AH2" s="2"/>
      <c r="AI2" s="2"/>
      <c r="AJ2" s="3"/>
      <c r="AK2" s="4" t="s">
        <v>55</v>
      </c>
    </row>
    <row r="3" spans="1:37" ht="12.75" customHeight="1" x14ac:dyDescent="0.2">
      <c r="B3" s="6" t="s">
        <v>118</v>
      </c>
      <c r="C3" s="7">
        <v>2020</v>
      </c>
      <c r="D3" s="7">
        <v>2021</v>
      </c>
      <c r="E3" s="7">
        <v>2022</v>
      </c>
      <c r="F3" s="7">
        <v>2023</v>
      </c>
      <c r="G3" s="7">
        <v>2024</v>
      </c>
      <c r="H3" s="3"/>
      <c r="I3" s="8" t="s">
        <v>57</v>
      </c>
      <c r="J3" s="8" t="s">
        <v>58</v>
      </c>
      <c r="K3" s="8" t="s">
        <v>59</v>
      </c>
      <c r="L3" s="8" t="s">
        <v>60</v>
      </c>
      <c r="M3" s="8" t="s">
        <v>6</v>
      </c>
      <c r="N3" s="8" t="s">
        <v>7</v>
      </c>
      <c r="O3" s="8" t="s">
        <v>8</v>
      </c>
      <c r="P3" s="8" t="s">
        <v>9</v>
      </c>
      <c r="Q3" s="8" t="s">
        <v>2</v>
      </c>
      <c r="R3" s="8" t="s">
        <v>3</v>
      </c>
      <c r="S3" s="8" t="s">
        <v>4</v>
      </c>
      <c r="T3" s="8" t="s">
        <v>5</v>
      </c>
      <c r="U3" s="8" t="s">
        <v>61</v>
      </c>
      <c r="V3" s="8" t="s">
        <v>62</v>
      </c>
      <c r="W3" s="8" t="s">
        <v>176</v>
      </c>
      <c r="X3" s="3"/>
      <c r="Y3" s="8" t="str">
        <f t="shared" ref="Y3:Z4" si="0">M3</f>
        <v>1Q23</v>
      </c>
      <c r="Z3" s="8" t="str">
        <f t="shared" si="0"/>
        <v>2Q23</v>
      </c>
      <c r="AA3" s="8" t="str">
        <f t="shared" ref="AA3:AA4" si="1">O3</f>
        <v>3Q23</v>
      </c>
      <c r="AB3" s="8" t="str">
        <f t="shared" ref="AB3:AB4" si="2">P3</f>
        <v>4Q23</v>
      </c>
      <c r="AC3" s="8" t="str">
        <f t="shared" ref="AC3:AC4" si="3">Q3</f>
        <v>1Q24</v>
      </c>
      <c r="AD3" s="8" t="str">
        <f t="shared" ref="AD3:AD4" si="4">R3</f>
        <v>2Q24</v>
      </c>
      <c r="AE3" s="8" t="str">
        <f t="shared" ref="AE3:AE4" si="5">S3</f>
        <v>3Q24</v>
      </c>
      <c r="AF3" s="8" t="str">
        <f t="shared" ref="AF3:AH4" si="6">T3</f>
        <v>4Q24</v>
      </c>
      <c r="AG3" s="8" t="str">
        <f t="shared" si="6"/>
        <v>1Q25</v>
      </c>
      <c r="AH3" s="8" t="str">
        <f t="shared" si="6"/>
        <v>2Q25</v>
      </c>
      <c r="AI3" s="8" t="str">
        <f>W3</f>
        <v>3Q25</v>
      </c>
      <c r="AJ3" s="3"/>
      <c r="AK3" s="4"/>
    </row>
    <row r="4" spans="1:37" ht="12.75" customHeight="1" x14ac:dyDescent="0.2">
      <c r="B4" s="6" t="s">
        <v>177</v>
      </c>
      <c r="C4" s="3">
        <v>44191</v>
      </c>
      <c r="D4" s="3">
        <v>44555</v>
      </c>
      <c r="E4" s="3">
        <v>44926</v>
      </c>
      <c r="F4" s="3">
        <v>45290</v>
      </c>
      <c r="G4" s="3">
        <v>45654</v>
      </c>
      <c r="H4" s="3"/>
      <c r="I4" s="3">
        <v>44653</v>
      </c>
      <c r="J4" s="3">
        <v>44744</v>
      </c>
      <c r="K4" s="3">
        <v>44835</v>
      </c>
      <c r="L4" s="3">
        <f>E4</f>
        <v>44926</v>
      </c>
      <c r="M4" s="3">
        <v>45017</v>
      </c>
      <c r="N4" s="3">
        <v>45108</v>
      </c>
      <c r="O4" s="3">
        <v>45199</v>
      </c>
      <c r="P4" s="3">
        <f>F4</f>
        <v>45290</v>
      </c>
      <c r="Q4" s="3">
        <v>45381</v>
      </c>
      <c r="R4" s="3">
        <v>45472</v>
      </c>
      <c r="S4" s="3">
        <v>45563</v>
      </c>
      <c r="T4" s="3">
        <f>G4</f>
        <v>45654</v>
      </c>
      <c r="U4" s="3">
        <v>45745</v>
      </c>
      <c r="V4" s="3">
        <v>45836</v>
      </c>
      <c r="W4" s="3">
        <v>45925</v>
      </c>
      <c r="X4" s="3"/>
      <c r="Y4" s="3">
        <f t="shared" si="0"/>
        <v>45017</v>
      </c>
      <c r="Z4" s="3">
        <f t="shared" si="0"/>
        <v>45108</v>
      </c>
      <c r="AA4" s="3">
        <f t="shared" si="1"/>
        <v>45199</v>
      </c>
      <c r="AB4" s="3">
        <f t="shared" si="2"/>
        <v>45290</v>
      </c>
      <c r="AC4" s="3">
        <f t="shared" si="3"/>
        <v>45381</v>
      </c>
      <c r="AD4" s="3">
        <f t="shared" si="4"/>
        <v>45472</v>
      </c>
      <c r="AE4" s="3">
        <f t="shared" si="5"/>
        <v>45563</v>
      </c>
      <c r="AF4" s="3">
        <f t="shared" si="6"/>
        <v>45654</v>
      </c>
      <c r="AG4" s="3">
        <f t="shared" si="6"/>
        <v>45745</v>
      </c>
      <c r="AH4" s="3">
        <f t="shared" si="6"/>
        <v>45836</v>
      </c>
      <c r="AI4" s="3">
        <f>W4</f>
        <v>45925</v>
      </c>
      <c r="AJ4" s="3"/>
      <c r="AK4" s="4"/>
    </row>
    <row r="5" spans="1:37" ht="5.0999999999999996" customHeight="1" x14ac:dyDescent="0.2"/>
    <row r="6" spans="1:37" ht="12.75" customHeight="1" x14ac:dyDescent="0.2">
      <c r="A6" s="5" t="s">
        <v>46</v>
      </c>
      <c r="B6" s="38" t="s">
        <v>44</v>
      </c>
      <c r="C6" s="8"/>
      <c r="D6" s="8"/>
      <c r="E6" s="8"/>
      <c r="F6" s="8"/>
      <c r="G6" s="8"/>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47"/>
      <c r="AK6" s="47"/>
    </row>
    <row r="7" spans="1:37" ht="5.0999999999999996" customHeight="1" x14ac:dyDescent="0.2">
      <c r="AK7" s="98"/>
    </row>
    <row r="8" spans="1:37" ht="12.75" customHeight="1" x14ac:dyDescent="0.2">
      <c r="B8" s="11" t="s">
        <v>119</v>
      </c>
      <c r="C8" s="28">
        <v>77867</v>
      </c>
      <c r="D8" s="28">
        <v>79024</v>
      </c>
      <c r="E8" s="28">
        <v>63054</v>
      </c>
      <c r="F8" s="28">
        <v>54228</v>
      </c>
      <c r="G8" s="28">
        <v>53101</v>
      </c>
      <c r="H8" s="13"/>
      <c r="I8" s="28">
        <v>18353</v>
      </c>
      <c r="J8" s="28">
        <v>15321</v>
      </c>
      <c r="K8" s="28">
        <v>15338</v>
      </c>
      <c r="L8" s="36">
        <f t="shared" ref="L8" si="7">SUM(E8-SUM(I8:K8))</f>
        <v>14042</v>
      </c>
      <c r="M8" s="28">
        <v>11715</v>
      </c>
      <c r="N8" s="28">
        <v>12949</v>
      </c>
      <c r="O8" s="28">
        <v>14158</v>
      </c>
      <c r="P8" s="36">
        <f t="shared" ref="P8" si="8">SUM(F8-SUM(M8:O8))</f>
        <v>15406</v>
      </c>
      <c r="Q8" s="28">
        <v>12724</v>
      </c>
      <c r="R8" s="28">
        <v>12833</v>
      </c>
      <c r="S8" s="28">
        <v>13284</v>
      </c>
      <c r="T8" s="36">
        <f t="shared" ref="T8" si="9">SUM(G8-SUM(Q8:S8))</f>
        <v>14260</v>
      </c>
      <c r="U8" s="36">
        <v>12667</v>
      </c>
      <c r="V8" s="36">
        <v>12859</v>
      </c>
      <c r="W8" s="36">
        <v>13653</v>
      </c>
      <c r="Y8" s="36">
        <f>SUM(J8:M8)</f>
        <v>56416</v>
      </c>
      <c r="Z8" s="36">
        <f>SUM(K8:N8)</f>
        <v>54044</v>
      </c>
      <c r="AA8" s="36">
        <f>SUM(L8:O8)</f>
        <v>52864</v>
      </c>
      <c r="AB8" s="36">
        <f>SUM(M8:P8)</f>
        <v>54228</v>
      </c>
      <c r="AC8" s="36">
        <f>SUM(N8:Q8)</f>
        <v>55237</v>
      </c>
      <c r="AD8" s="36">
        <f>SUM(O8:R8)</f>
        <v>55121</v>
      </c>
      <c r="AE8" s="36">
        <f>SUM(P8:S8)</f>
        <v>54247</v>
      </c>
      <c r="AF8" s="36">
        <f>SUM(Q8:T8)</f>
        <v>53101</v>
      </c>
      <c r="AG8" s="36">
        <f>SUM(R8:U8)</f>
        <v>53044</v>
      </c>
      <c r="AH8" s="36">
        <f>SUM(S8:V8)</f>
        <v>53070</v>
      </c>
      <c r="AI8" s="36">
        <f>SUM(T8:W8)</f>
        <v>53439</v>
      </c>
      <c r="AJ8" s="49"/>
      <c r="AK8" s="98">
        <f>SUM(AI8/AE8)-1</f>
        <v>-1.4894832893984966E-2</v>
      </c>
    </row>
    <row r="9" spans="1:37" ht="12.75" customHeight="1" x14ac:dyDescent="0.2">
      <c r="B9" s="15" t="s">
        <v>13</v>
      </c>
      <c r="C9" s="16">
        <f>+SUM(C8:C8)</f>
        <v>77867</v>
      </c>
      <c r="D9" s="16">
        <f>+SUM(D8:D8)</f>
        <v>79024</v>
      </c>
      <c r="E9" s="16">
        <f>+SUM(E8:E8)</f>
        <v>63054</v>
      </c>
      <c r="F9" s="16">
        <f>+SUM(F8:F8)</f>
        <v>54228</v>
      </c>
      <c r="G9" s="16">
        <f>+SUM(G8:G8)</f>
        <v>53101</v>
      </c>
      <c r="H9" s="13"/>
      <c r="I9" s="16">
        <f>+SUM(I8:I8)</f>
        <v>18353</v>
      </c>
      <c r="J9" s="16">
        <f>+SUM(J8:J8)</f>
        <v>15321</v>
      </c>
      <c r="K9" s="16">
        <f>+SUM(K8:K8)</f>
        <v>15338</v>
      </c>
      <c r="L9" s="16">
        <f>+SUM(L8:L8)</f>
        <v>14042</v>
      </c>
      <c r="M9" s="16">
        <f>+SUM(M8:M8)</f>
        <v>11715</v>
      </c>
      <c r="N9" s="16">
        <f>+SUM(N8:N8)</f>
        <v>12949</v>
      </c>
      <c r="O9" s="16">
        <f>+SUM(O8:O8)</f>
        <v>14158</v>
      </c>
      <c r="P9" s="16">
        <f>+SUM(P8:P8)</f>
        <v>15406</v>
      </c>
      <c r="Q9" s="16">
        <f>+SUM(Q8:Q8)</f>
        <v>12724</v>
      </c>
      <c r="R9" s="16">
        <f>+SUM(R8:R8)</f>
        <v>12833</v>
      </c>
      <c r="S9" s="16">
        <f>+SUM(S8:S8)</f>
        <v>13284</v>
      </c>
      <c r="T9" s="16">
        <f>+SUM(T8:T8)</f>
        <v>14260</v>
      </c>
      <c r="U9" s="16">
        <f>+SUM(U8:U8)</f>
        <v>12667</v>
      </c>
      <c r="V9" s="16">
        <f>+SUM(V8:V8)</f>
        <v>12859</v>
      </c>
      <c r="W9" s="16">
        <f>+SUM(W8:W8)</f>
        <v>13653</v>
      </c>
      <c r="Y9" s="16">
        <f t="shared" ref="Y9:Z9" si="10">+SUM(Y8:Y8)</f>
        <v>56416</v>
      </c>
      <c r="Z9" s="16">
        <f t="shared" si="10"/>
        <v>54044</v>
      </c>
      <c r="AA9" s="16">
        <f t="shared" ref="AA9" si="11">+SUM(AA8:AA8)</f>
        <v>52864</v>
      </c>
      <c r="AB9" s="16">
        <f t="shared" ref="AB9" si="12">+SUM(AB8:AB8)</f>
        <v>54228</v>
      </c>
      <c r="AC9" s="16">
        <f t="shared" ref="AC9" si="13">+SUM(AC8:AC8)</f>
        <v>55237</v>
      </c>
      <c r="AD9" s="16">
        <f t="shared" ref="AD9" si="14">+SUM(AD8:AD8)</f>
        <v>55121</v>
      </c>
      <c r="AE9" s="16">
        <f t="shared" ref="AE9" si="15">+SUM(AE8:AE8)</f>
        <v>54247</v>
      </c>
      <c r="AF9" s="16">
        <f t="shared" ref="AF9:AH9" si="16">+SUM(AF8:AF8)</f>
        <v>53101</v>
      </c>
      <c r="AG9" s="16">
        <f t="shared" si="16"/>
        <v>53044</v>
      </c>
      <c r="AH9" s="16">
        <f t="shared" si="16"/>
        <v>53070</v>
      </c>
      <c r="AI9" s="16">
        <f>+SUM(AI8:AI8)</f>
        <v>53439</v>
      </c>
      <c r="AJ9" s="49"/>
      <c r="AK9" s="99">
        <f t="shared" ref="AK9:AK27" si="17">SUM(AI9/AE9)-1</f>
        <v>-1.4894832893984966E-2</v>
      </c>
    </row>
    <row r="10" spans="1:37" s="24" customFormat="1" ht="5.0999999999999996" customHeight="1" x14ac:dyDescent="0.2">
      <c r="B10" s="22"/>
      <c r="C10" s="23"/>
      <c r="D10" s="23"/>
      <c r="E10" s="23"/>
      <c r="F10" s="23"/>
      <c r="G10" s="23"/>
      <c r="I10" s="25"/>
      <c r="J10" s="25"/>
      <c r="K10" s="25"/>
      <c r="L10" s="26"/>
      <c r="M10" s="25"/>
      <c r="N10" s="25"/>
      <c r="O10" s="25"/>
      <c r="P10" s="26"/>
      <c r="Q10" s="25"/>
      <c r="R10" s="25"/>
      <c r="S10" s="25"/>
      <c r="T10" s="25"/>
      <c r="U10" s="25"/>
      <c r="V10" s="25"/>
      <c r="W10" s="25"/>
      <c r="AK10" s="98"/>
    </row>
    <row r="11" spans="1:37" ht="12.75" customHeight="1" x14ac:dyDescent="0.2">
      <c r="B11" s="11" t="s">
        <v>14</v>
      </c>
      <c r="C11" s="36">
        <v>-34255</v>
      </c>
      <c r="D11" s="36">
        <v>-35209</v>
      </c>
      <c r="E11" s="36">
        <v>-36188</v>
      </c>
      <c r="F11" s="36">
        <v>-32517</v>
      </c>
      <c r="G11" s="36">
        <v>-35756</v>
      </c>
      <c r="H11" s="28"/>
      <c r="I11" s="36">
        <v>-9109</v>
      </c>
      <c r="J11" s="36">
        <v>-9734</v>
      </c>
      <c r="K11" s="36">
        <v>-8803</v>
      </c>
      <c r="L11" s="36">
        <f t="shared" ref="L11" si="18">SUM(E11-SUM(I11:K11))</f>
        <v>-8542</v>
      </c>
      <c r="M11" s="36">
        <v>-7707</v>
      </c>
      <c r="N11" s="36">
        <v>-8311</v>
      </c>
      <c r="O11" s="36">
        <v>-8140</v>
      </c>
      <c r="P11" s="36">
        <f t="shared" ref="P11" si="19">SUM(F11-SUM(M11:O11))</f>
        <v>-8359</v>
      </c>
      <c r="Q11" s="36">
        <v>-7507</v>
      </c>
      <c r="R11" s="36">
        <v>-8286</v>
      </c>
      <c r="S11" s="36">
        <v>-11287</v>
      </c>
      <c r="T11" s="36">
        <f t="shared" ref="T11" si="20">SUM(G11-SUM(Q11:S11))</f>
        <v>-8676</v>
      </c>
      <c r="U11" s="36">
        <v>-7995</v>
      </c>
      <c r="V11" s="36">
        <v>-9317</v>
      </c>
      <c r="W11" s="36">
        <v>-8435</v>
      </c>
      <c r="Y11" s="36">
        <f>SUM(J11:M11)</f>
        <v>-34786</v>
      </c>
      <c r="Z11" s="36">
        <f>SUM(K11:N11)</f>
        <v>-33363</v>
      </c>
      <c r="AA11" s="36">
        <f>SUM(L11:O11)</f>
        <v>-32700</v>
      </c>
      <c r="AB11" s="36">
        <f>SUM(M11:P11)</f>
        <v>-32517</v>
      </c>
      <c r="AC11" s="36">
        <f>SUM(N11:Q11)</f>
        <v>-32317</v>
      </c>
      <c r="AD11" s="36">
        <f>SUM(O11:R11)</f>
        <v>-32292</v>
      </c>
      <c r="AE11" s="36">
        <f>SUM(P11:S11)</f>
        <v>-35439</v>
      </c>
      <c r="AF11" s="36">
        <f>SUM(Q11:T11)</f>
        <v>-35756</v>
      </c>
      <c r="AG11" s="36">
        <f>SUM(R11:U11)</f>
        <v>-36244</v>
      </c>
      <c r="AH11" s="36">
        <f>SUM(S11:V11)</f>
        <v>-37275</v>
      </c>
      <c r="AI11" s="36">
        <f>SUM(T11:W11)</f>
        <v>-34423</v>
      </c>
      <c r="AJ11" s="13"/>
      <c r="AK11" s="98">
        <f t="shared" si="17"/>
        <v>-2.8668980501707186E-2</v>
      </c>
    </row>
    <row r="12" spans="1:37" ht="12.75" customHeight="1" x14ac:dyDescent="0.2">
      <c r="B12" s="29" t="s">
        <v>51</v>
      </c>
      <c r="C12" s="30">
        <f>+SUM(C9+SUM(C11:C11))</f>
        <v>43612</v>
      </c>
      <c r="D12" s="30">
        <f>+SUM(D9+SUM(D11:D11))</f>
        <v>43815</v>
      </c>
      <c r="E12" s="30">
        <f>+SUM(E9+SUM(E11:E11))</f>
        <v>26866</v>
      </c>
      <c r="F12" s="30">
        <f>+SUM(F9+SUM(F11:F11))</f>
        <v>21711</v>
      </c>
      <c r="G12" s="30">
        <f>+SUM(G9+SUM(G11:G11))</f>
        <v>17345</v>
      </c>
      <c r="I12" s="30">
        <f>+SUM(I9+SUM(I11:I11))</f>
        <v>9244</v>
      </c>
      <c r="J12" s="30">
        <f>+SUM(J9+SUM(J11:J11))</f>
        <v>5587</v>
      </c>
      <c r="K12" s="30">
        <f>+SUM(K9+SUM(K11:K11))</f>
        <v>6535</v>
      </c>
      <c r="L12" s="30">
        <f>+SUM(L9+SUM(L11:L11))</f>
        <v>5500</v>
      </c>
      <c r="M12" s="30">
        <f>+SUM(M9+SUM(M11:M11))</f>
        <v>4008</v>
      </c>
      <c r="N12" s="30">
        <f>+SUM(N9+SUM(N11:N11))</f>
        <v>4638</v>
      </c>
      <c r="O12" s="30">
        <f>+SUM(O9+SUM(O11:O11))</f>
        <v>6018</v>
      </c>
      <c r="P12" s="30">
        <f>+SUM(P9+SUM(P11:P11))</f>
        <v>7047</v>
      </c>
      <c r="Q12" s="30">
        <f>+SUM(Q9+SUM(Q11:Q11))</f>
        <v>5217</v>
      </c>
      <c r="R12" s="30">
        <f>+SUM(R9+SUM(R11:R11))</f>
        <v>4547</v>
      </c>
      <c r="S12" s="30">
        <f>+SUM(S9+SUM(S11:S11))</f>
        <v>1997</v>
      </c>
      <c r="T12" s="30">
        <f>+SUM(T9+SUM(T11:T11))</f>
        <v>5584</v>
      </c>
      <c r="U12" s="30">
        <f>+SUM(U9+SUM(U11:U11))</f>
        <v>4672</v>
      </c>
      <c r="V12" s="30">
        <f>+SUM(V9+SUM(V11:V11))</f>
        <v>3542</v>
      </c>
      <c r="W12" s="30">
        <f>+SUM(W9+SUM(W11:W11))</f>
        <v>5218</v>
      </c>
      <c r="Y12" s="30">
        <f t="shared" ref="Y12:Z12" si="21">+SUM(Y9+SUM(Y11:Y11))</f>
        <v>21630</v>
      </c>
      <c r="Z12" s="30">
        <f t="shared" si="21"/>
        <v>20681</v>
      </c>
      <c r="AA12" s="30">
        <f t="shared" ref="AA12" si="22">+SUM(AA9+SUM(AA11:AA11))</f>
        <v>20164</v>
      </c>
      <c r="AB12" s="30">
        <f t="shared" ref="AB12" si="23">+SUM(AB9+SUM(AB11:AB11))</f>
        <v>21711</v>
      </c>
      <c r="AC12" s="30">
        <f t="shared" ref="AC12" si="24">+SUM(AC9+SUM(AC11:AC11))</f>
        <v>22920</v>
      </c>
      <c r="AD12" s="30">
        <f t="shared" ref="AD12" si="25">+SUM(AD9+SUM(AD11:AD11))</f>
        <v>22829</v>
      </c>
      <c r="AE12" s="30">
        <f t="shared" ref="AE12" si="26">+SUM(AE9+SUM(AE11:AE11))</f>
        <v>18808</v>
      </c>
      <c r="AF12" s="30">
        <f t="shared" ref="AF12:AH12" si="27">+SUM(AF9+SUM(AF11:AF11))</f>
        <v>17345</v>
      </c>
      <c r="AG12" s="30">
        <f t="shared" si="27"/>
        <v>16800</v>
      </c>
      <c r="AH12" s="30">
        <f t="shared" si="27"/>
        <v>15795</v>
      </c>
      <c r="AI12" s="30">
        <f>+SUM(AI9+SUM(AI11:AI11))</f>
        <v>19016</v>
      </c>
      <c r="AJ12" s="51"/>
      <c r="AK12" s="99">
        <f t="shared" si="17"/>
        <v>1.1059123777116042E-2</v>
      </c>
    </row>
    <row r="13" spans="1:37" ht="12.75" customHeight="1" x14ac:dyDescent="0.2">
      <c r="B13" s="18" t="s">
        <v>68</v>
      </c>
      <c r="C13" s="20">
        <f>C12/C9</f>
        <v>0.5600832188218372</v>
      </c>
      <c r="D13" s="20">
        <f>D12/D9</f>
        <v>0.5544518121077141</v>
      </c>
      <c r="E13" s="20">
        <f>E12/E9</f>
        <v>0.42607923367272499</v>
      </c>
      <c r="F13" s="20">
        <f>F12/F9</f>
        <v>0.40036512502766097</v>
      </c>
      <c r="G13" s="20">
        <f>G12/G9</f>
        <v>0.32664168283083184</v>
      </c>
      <c r="H13" s="31"/>
      <c r="I13" s="20">
        <f>I12/I9</f>
        <v>0.50367787282733067</v>
      </c>
      <c r="J13" s="20">
        <f>J12/J9</f>
        <v>0.36466288101298872</v>
      </c>
      <c r="K13" s="20">
        <f>K12/K9</f>
        <v>0.42606597991915501</v>
      </c>
      <c r="L13" s="20">
        <f>L12/L9</f>
        <v>0.39168209656744052</v>
      </c>
      <c r="M13" s="20">
        <f>M12/M9</f>
        <v>0.34212548015364919</v>
      </c>
      <c r="N13" s="20">
        <f>N12/N9</f>
        <v>0.35817437639972199</v>
      </c>
      <c r="O13" s="20">
        <f>O12/O9</f>
        <v>0.42506003672835146</v>
      </c>
      <c r="P13" s="20">
        <f>P12/P9</f>
        <v>0.45741918732961184</v>
      </c>
      <c r="Q13" s="20">
        <f>Q12/Q9</f>
        <v>0.41001257466205598</v>
      </c>
      <c r="R13" s="20">
        <f>R12/R9</f>
        <v>0.35432089145172602</v>
      </c>
      <c r="S13" s="20">
        <f>S12/S9</f>
        <v>0.15033122553447756</v>
      </c>
      <c r="T13" s="20">
        <f>T12/T9</f>
        <v>0.39158485273492288</v>
      </c>
      <c r="U13" s="20">
        <f>U12/U9</f>
        <v>0.36883239914739085</v>
      </c>
      <c r="V13" s="20">
        <f>V12/V9</f>
        <v>0.27544910179640719</v>
      </c>
      <c r="W13" s="20">
        <f>W12/W9</f>
        <v>0.38218706511389439</v>
      </c>
      <c r="X13" s="32"/>
      <c r="Y13" s="20">
        <f t="shared" ref="Y13:Z13" si="28">Y12/Y9</f>
        <v>0.38340187180941576</v>
      </c>
      <c r="Z13" s="20">
        <f t="shared" si="28"/>
        <v>0.38266967655984013</v>
      </c>
      <c r="AA13" s="20">
        <f t="shared" ref="AA13" si="29">AA12/AA9</f>
        <v>0.38143159806295401</v>
      </c>
      <c r="AB13" s="20">
        <f t="shared" ref="AB13" si="30">AB12/AB9</f>
        <v>0.40036512502766097</v>
      </c>
      <c r="AC13" s="20">
        <f t="shared" ref="AC13" si="31">AC12/AC9</f>
        <v>0.41493926172674112</v>
      </c>
      <c r="AD13" s="20">
        <f t="shared" ref="AD13" si="32">AD12/AD9</f>
        <v>0.41416157181473484</v>
      </c>
      <c r="AE13" s="20">
        <f t="shared" ref="AE13" si="33">AE12/AE9</f>
        <v>0.34671041716592621</v>
      </c>
      <c r="AF13" s="20">
        <f t="shared" ref="AF13:AH13" si="34">AF12/AF9</f>
        <v>0.32664168283083184</v>
      </c>
      <c r="AG13" s="20">
        <f t="shared" si="34"/>
        <v>0.31671819621446345</v>
      </c>
      <c r="AH13" s="20">
        <f t="shared" si="34"/>
        <v>0.29762577727529677</v>
      </c>
      <c r="AI13" s="20">
        <f>AI12/AI9</f>
        <v>0.35584498212915661</v>
      </c>
      <c r="AJ13" s="51"/>
      <c r="AK13" s="100">
        <f>SUM(AI13-AE13)*1000</f>
        <v>9.134564963230396</v>
      </c>
    </row>
    <row r="14" spans="1:37" ht="5.0999999999999996" customHeight="1" x14ac:dyDescent="0.2">
      <c r="B14" s="33"/>
      <c r="C14" s="34"/>
      <c r="D14" s="34"/>
      <c r="E14" s="34"/>
      <c r="F14" s="34"/>
      <c r="G14" s="34"/>
      <c r="H14" s="34"/>
      <c r="I14" s="34"/>
      <c r="J14" s="34"/>
      <c r="K14" s="34"/>
      <c r="L14" s="34"/>
      <c r="M14" s="34"/>
      <c r="N14" s="34"/>
      <c r="O14" s="34"/>
      <c r="P14" s="34"/>
      <c r="Q14" s="34"/>
      <c r="R14" s="34"/>
      <c r="S14" s="34"/>
      <c r="T14" s="34"/>
      <c r="U14" s="34"/>
      <c r="V14" s="34"/>
      <c r="W14" s="34"/>
      <c r="Y14" s="34"/>
      <c r="Z14" s="34"/>
      <c r="AA14" s="34"/>
      <c r="AB14" s="34"/>
      <c r="AC14" s="34"/>
      <c r="AD14" s="34"/>
      <c r="AE14" s="34"/>
      <c r="AF14" s="34"/>
      <c r="AG14" s="34"/>
      <c r="AH14" s="34"/>
      <c r="AI14" s="34"/>
      <c r="AJ14" s="51"/>
      <c r="AK14" s="98"/>
    </row>
    <row r="15" spans="1:37" ht="12.75" customHeight="1" x14ac:dyDescent="0.2">
      <c r="B15" s="11" t="s">
        <v>120</v>
      </c>
      <c r="C15" s="36">
        <v>-6180</v>
      </c>
      <c r="D15" s="36">
        <v>-6543</v>
      </c>
      <c r="E15" s="36">
        <v>-7002</v>
      </c>
      <c r="F15" s="36">
        <v>-5634</v>
      </c>
      <c r="G15" s="36">
        <v>-5507</v>
      </c>
      <c r="H15" s="36"/>
      <c r="I15" s="36">
        <v>-1752</v>
      </c>
      <c r="J15" s="36">
        <v>-1800</v>
      </c>
      <c r="K15" s="36">
        <v>-1744</v>
      </c>
      <c r="L15" s="36">
        <f t="shared" ref="L15:L17" si="35">SUM(E15-SUM(I15:K15))</f>
        <v>-1706</v>
      </c>
      <c r="M15" s="36">
        <v>-1303</v>
      </c>
      <c r="N15" s="36">
        <v>-1374</v>
      </c>
      <c r="O15" s="36">
        <v>-1340</v>
      </c>
      <c r="P15" s="36">
        <f t="shared" ref="P15:P17" si="36">SUM(F15-SUM(M15:O15))</f>
        <v>-1617</v>
      </c>
      <c r="Q15" s="36">
        <v>-1556</v>
      </c>
      <c r="R15" s="36">
        <v>-1329</v>
      </c>
      <c r="S15" s="36">
        <v>-1383</v>
      </c>
      <c r="T15" s="36">
        <f t="shared" ref="T15:T17" si="37">SUM(G15-SUM(Q15:S15))</f>
        <v>-1239</v>
      </c>
      <c r="U15" s="36">
        <v>-1177</v>
      </c>
      <c r="V15" s="36">
        <v>-1144</v>
      </c>
      <c r="W15" s="36">
        <v>-1129</v>
      </c>
      <c r="Y15" s="36">
        <f>SUM(J15:M15)</f>
        <v>-6553</v>
      </c>
      <c r="Z15" s="36">
        <f>SUM(K15:N15)</f>
        <v>-6127</v>
      </c>
      <c r="AA15" s="36">
        <f>SUM(L15:O15)</f>
        <v>-5723</v>
      </c>
      <c r="AB15" s="36">
        <f>SUM(M15:P15)</f>
        <v>-5634</v>
      </c>
      <c r="AC15" s="36">
        <f>SUM(N15:Q15)</f>
        <v>-5887</v>
      </c>
      <c r="AD15" s="36">
        <f>SUM(O15:R15)</f>
        <v>-5842</v>
      </c>
      <c r="AE15" s="36">
        <f>SUM(P15:S15)</f>
        <v>-5885</v>
      </c>
      <c r="AF15" s="36">
        <f>SUM(Q15:T15)</f>
        <v>-5507</v>
      </c>
      <c r="AG15" s="36">
        <f>SUM(R15:U15)</f>
        <v>-5128</v>
      </c>
      <c r="AH15" s="36">
        <f>SUM(S15:V15)</f>
        <v>-4943</v>
      </c>
      <c r="AI15" s="36">
        <f>SUM(T15:W15)</f>
        <v>-4689</v>
      </c>
      <c r="AJ15" s="13"/>
      <c r="AK15" s="98">
        <f t="shared" si="17"/>
        <v>-0.2032285471537808</v>
      </c>
    </row>
    <row r="16" spans="1:37" ht="12.75" customHeight="1" x14ac:dyDescent="0.2">
      <c r="B16" s="11" t="s">
        <v>121</v>
      </c>
      <c r="C16" s="36">
        <v>-13556</v>
      </c>
      <c r="D16" s="36">
        <v>-15190</v>
      </c>
      <c r="E16" s="36">
        <v>-17528</v>
      </c>
      <c r="F16" s="36">
        <v>-16046</v>
      </c>
      <c r="G16" s="36">
        <v>-16546</v>
      </c>
      <c r="H16" s="36"/>
      <c r="I16" s="36">
        <v>-4362</v>
      </c>
      <c r="J16" s="36">
        <v>-4400</v>
      </c>
      <c r="K16" s="36">
        <v>-4302</v>
      </c>
      <c r="L16" s="36">
        <f t="shared" si="35"/>
        <v>-4464</v>
      </c>
      <c r="M16" s="36">
        <v>-4109</v>
      </c>
      <c r="N16" s="36">
        <v>-4080</v>
      </c>
      <c r="O16" s="36">
        <v>-3870</v>
      </c>
      <c r="P16" s="36">
        <f t="shared" si="36"/>
        <v>-3987</v>
      </c>
      <c r="Q16" s="36">
        <v>-4382</v>
      </c>
      <c r="R16" s="36">
        <v>-4239</v>
      </c>
      <c r="S16" s="36">
        <v>-4049</v>
      </c>
      <c r="T16" s="36">
        <f t="shared" si="37"/>
        <v>-3876</v>
      </c>
      <c r="U16" s="36">
        <v>-3640</v>
      </c>
      <c r="V16" s="36">
        <v>-3684</v>
      </c>
      <c r="W16" s="36">
        <v>-3231</v>
      </c>
      <c r="Y16" s="36">
        <f>SUM(J16:M16)</f>
        <v>-17275</v>
      </c>
      <c r="Z16" s="36">
        <f>SUM(K16:N16)</f>
        <v>-16955</v>
      </c>
      <c r="AA16" s="36">
        <f>SUM(L16:O16)</f>
        <v>-16523</v>
      </c>
      <c r="AB16" s="36">
        <f>SUM(M16:P16)</f>
        <v>-16046</v>
      </c>
      <c r="AC16" s="36">
        <f>SUM(N16:Q16)</f>
        <v>-16319</v>
      </c>
      <c r="AD16" s="36">
        <f>SUM(O16:R16)</f>
        <v>-16478</v>
      </c>
      <c r="AE16" s="36">
        <f>SUM(P16:S16)</f>
        <v>-16657</v>
      </c>
      <c r="AF16" s="36">
        <f>SUM(Q16:T16)</f>
        <v>-16546</v>
      </c>
      <c r="AG16" s="36">
        <f>SUM(R16:U16)</f>
        <v>-15804</v>
      </c>
      <c r="AH16" s="36">
        <f>SUM(S16:V16)</f>
        <v>-15249</v>
      </c>
      <c r="AI16" s="36">
        <f>SUM(T16:W16)</f>
        <v>-14431</v>
      </c>
      <c r="AJ16" s="13"/>
      <c r="AK16" s="98">
        <f t="shared" si="17"/>
        <v>-0.13363750975565825</v>
      </c>
    </row>
    <row r="17" spans="2:37" ht="12.75" customHeight="1" x14ac:dyDescent="0.2">
      <c r="B17" s="11" t="s">
        <v>48</v>
      </c>
      <c r="C17" s="36">
        <v>-198</v>
      </c>
      <c r="D17" s="36">
        <v>-2626</v>
      </c>
      <c r="E17" s="36">
        <v>-2</v>
      </c>
      <c r="F17" s="36">
        <v>62</v>
      </c>
      <c r="G17" s="36">
        <v>-6970</v>
      </c>
      <c r="H17" s="36"/>
      <c r="I17" s="36">
        <v>1211</v>
      </c>
      <c r="J17" s="36">
        <v>-87</v>
      </c>
      <c r="K17" s="36">
        <v>-664</v>
      </c>
      <c r="L17" s="36">
        <f t="shared" si="35"/>
        <v>-462</v>
      </c>
      <c r="M17" s="36">
        <v>-64</v>
      </c>
      <c r="N17" s="36">
        <v>-200</v>
      </c>
      <c r="O17" s="36">
        <v>-816</v>
      </c>
      <c r="P17" s="36">
        <f t="shared" si="36"/>
        <v>1142</v>
      </c>
      <c r="Q17" s="36">
        <v>-348</v>
      </c>
      <c r="R17" s="36">
        <v>-943</v>
      </c>
      <c r="S17" s="36">
        <v>-5622</v>
      </c>
      <c r="T17" s="36">
        <f t="shared" si="37"/>
        <v>-57</v>
      </c>
      <c r="U17" s="36">
        <v>-156</v>
      </c>
      <c r="V17" s="36">
        <v>-1890</v>
      </c>
      <c r="W17" s="36">
        <v>-175</v>
      </c>
      <c r="Y17" s="36">
        <f>SUM(J17:M17)</f>
        <v>-1277</v>
      </c>
      <c r="Z17" s="36">
        <f>SUM(K17:N17)</f>
        <v>-1390</v>
      </c>
      <c r="AA17" s="36">
        <f>SUM(L17:O17)</f>
        <v>-1542</v>
      </c>
      <c r="AB17" s="36">
        <f>SUM(M17:P17)</f>
        <v>62</v>
      </c>
      <c r="AC17" s="36">
        <f>SUM(N17:Q17)</f>
        <v>-222</v>
      </c>
      <c r="AD17" s="36">
        <f>SUM(O17:R17)</f>
        <v>-965</v>
      </c>
      <c r="AE17" s="36">
        <f>SUM(P17:S17)</f>
        <v>-5771</v>
      </c>
      <c r="AF17" s="36">
        <f>SUM(Q17:T17)</f>
        <v>-6970</v>
      </c>
      <c r="AG17" s="36">
        <f>SUM(R17:U17)</f>
        <v>-6778</v>
      </c>
      <c r="AH17" s="36">
        <f>SUM(S17:V17)</f>
        <v>-7725</v>
      </c>
      <c r="AI17" s="36">
        <f>SUM(T17:W17)</f>
        <v>-2278</v>
      </c>
      <c r="AJ17" s="13"/>
      <c r="AK17" s="98">
        <f t="shared" si="17"/>
        <v>-0.60526771789984402</v>
      </c>
    </row>
    <row r="18" spans="2:37" ht="12.75" customHeight="1" x14ac:dyDescent="0.2">
      <c r="B18" s="29" t="s">
        <v>102</v>
      </c>
      <c r="C18" s="30">
        <f>SUM(C12+SUM(C15:C17))</f>
        <v>23678</v>
      </c>
      <c r="D18" s="30">
        <f>SUM(D12+SUM(D15:D17))</f>
        <v>19456</v>
      </c>
      <c r="E18" s="30">
        <f>SUM(E12+SUM(E15:E17))</f>
        <v>2334</v>
      </c>
      <c r="F18" s="30">
        <f>SUM(F12+SUM(F15:F17))</f>
        <v>93</v>
      </c>
      <c r="G18" s="30">
        <f>SUM(G12+SUM(G15:G17))</f>
        <v>-11678</v>
      </c>
      <c r="I18" s="30">
        <f>SUM(I12+SUM(I15:I17))</f>
        <v>4341</v>
      </c>
      <c r="J18" s="30">
        <f>SUM(J12+SUM(J15:J17))</f>
        <v>-700</v>
      </c>
      <c r="K18" s="30">
        <f>SUM(K12+SUM(K15:K17))</f>
        <v>-175</v>
      </c>
      <c r="L18" s="30">
        <f>SUM(L12+SUM(L15:L17))</f>
        <v>-1132</v>
      </c>
      <c r="M18" s="30">
        <f>SUM(M12+SUM(M15:M17))</f>
        <v>-1468</v>
      </c>
      <c r="N18" s="30">
        <f>SUM(N12+SUM(N15:N17))</f>
        <v>-1016</v>
      </c>
      <c r="O18" s="30">
        <f>SUM(O12+SUM(O15:O17))</f>
        <v>-8</v>
      </c>
      <c r="P18" s="30">
        <f>SUM(P12+SUM(P15:P17))</f>
        <v>2585</v>
      </c>
      <c r="Q18" s="30">
        <f>SUM(Q12+SUM(Q15:Q17))</f>
        <v>-1069</v>
      </c>
      <c r="R18" s="30">
        <f>SUM(R12+SUM(R15:R17))</f>
        <v>-1964</v>
      </c>
      <c r="S18" s="30">
        <f>SUM(S12+SUM(S15:S17))</f>
        <v>-9057</v>
      </c>
      <c r="T18" s="30">
        <f>SUM(T12+SUM(T15:T17))</f>
        <v>412</v>
      </c>
      <c r="U18" s="30">
        <f>SUM(U12+SUM(U15:U17))</f>
        <v>-301</v>
      </c>
      <c r="V18" s="30">
        <f>SUM(V12+SUM(V15:V17))</f>
        <v>-3176</v>
      </c>
      <c r="W18" s="30">
        <f>SUM(W12+SUM(W15:W17))</f>
        <v>683</v>
      </c>
      <c r="Y18" s="30">
        <f t="shared" ref="Y18:Z18" si="38">SUM(Y12+SUM(Y15:Y17))</f>
        <v>-3475</v>
      </c>
      <c r="Z18" s="30">
        <f t="shared" si="38"/>
        <v>-3791</v>
      </c>
      <c r="AA18" s="30">
        <f t="shared" ref="AA18" si="39">SUM(AA12+SUM(AA15:AA17))</f>
        <v>-3624</v>
      </c>
      <c r="AB18" s="30">
        <f t="shared" ref="AB18" si="40">SUM(AB12+SUM(AB15:AB17))</f>
        <v>93</v>
      </c>
      <c r="AC18" s="30">
        <f t="shared" ref="AC18" si="41">SUM(AC12+SUM(AC15:AC17))</f>
        <v>492</v>
      </c>
      <c r="AD18" s="30">
        <f t="shared" ref="AD18" si="42">SUM(AD12+SUM(AD15:AD17))</f>
        <v>-456</v>
      </c>
      <c r="AE18" s="30">
        <f t="shared" ref="AE18" si="43">SUM(AE12+SUM(AE15:AE17))</f>
        <v>-9505</v>
      </c>
      <c r="AF18" s="30">
        <f t="shared" ref="AF18:AH18" si="44">SUM(AF12+SUM(AF15:AF17))</f>
        <v>-11678</v>
      </c>
      <c r="AG18" s="30">
        <f t="shared" si="44"/>
        <v>-10910</v>
      </c>
      <c r="AH18" s="30">
        <f t="shared" si="44"/>
        <v>-12122</v>
      </c>
      <c r="AI18" s="30">
        <f>SUM(AI12+SUM(AI15:AI17))</f>
        <v>-2382</v>
      </c>
      <c r="AJ18" s="51"/>
      <c r="AK18" s="98">
        <f t="shared" si="17"/>
        <v>-0.74939505523408734</v>
      </c>
    </row>
    <row r="19" spans="2:37" ht="12.75" customHeight="1" x14ac:dyDescent="0.2">
      <c r="B19" s="18" t="s">
        <v>70</v>
      </c>
      <c r="C19" s="20">
        <f>C18/C9</f>
        <v>0.30408260238611995</v>
      </c>
      <c r="D19" s="20">
        <f>D18/D9</f>
        <v>0.24620368495646891</v>
      </c>
      <c r="E19" s="20">
        <f>E18/E9</f>
        <v>3.7015891140926828E-2</v>
      </c>
      <c r="F19" s="20">
        <f>F18/F9</f>
        <v>1.714981190528878E-3</v>
      </c>
      <c r="G19" s="20">
        <f>G18/G9</f>
        <v>-0.21992052880360069</v>
      </c>
      <c r="H19" s="31"/>
      <c r="I19" s="20">
        <f>I18/I9</f>
        <v>0.23652808805099984</v>
      </c>
      <c r="J19" s="20">
        <f>J18/J9</f>
        <v>-4.5688923699497425E-2</v>
      </c>
      <c r="K19" s="20">
        <f>K18/K9</f>
        <v>-1.1409571000130394E-2</v>
      </c>
      <c r="L19" s="20">
        <f>L18/L9</f>
        <v>-8.0615296966244129E-2</v>
      </c>
      <c r="M19" s="20">
        <f>M18/M9</f>
        <v>-0.12530943235168587</v>
      </c>
      <c r="N19" s="20">
        <f>N18/N9</f>
        <v>-7.8461657270831722E-2</v>
      </c>
      <c r="O19" s="20">
        <f>O18/O9</f>
        <v>-5.6505156095493713E-4</v>
      </c>
      <c r="P19" s="20">
        <f>P18/P9</f>
        <v>0.16779176944047774</v>
      </c>
      <c r="Q19" s="20">
        <f>Q18/Q9</f>
        <v>-8.4014460861364354E-2</v>
      </c>
      <c r="R19" s="20">
        <f>R18/R9</f>
        <v>-0.15304293618016052</v>
      </c>
      <c r="S19" s="20">
        <f>S18/S9</f>
        <v>-0.68179765130984649</v>
      </c>
      <c r="T19" s="20">
        <f>T18/T9</f>
        <v>2.8892005610098175E-2</v>
      </c>
      <c r="U19" s="20">
        <f>U18/U9</f>
        <v>-2.3762532564932503E-2</v>
      </c>
      <c r="V19" s="20">
        <f>V18/V9</f>
        <v>-0.246986546387744</v>
      </c>
      <c r="W19" s="20">
        <f>W18/W9</f>
        <v>5.0025635391489048E-2</v>
      </c>
      <c r="X19" s="32"/>
      <c r="Y19" s="20">
        <f t="shared" ref="Y19:Z19" si="45">Y18/Y9</f>
        <v>-6.1596001134429951E-2</v>
      </c>
      <c r="Z19" s="20">
        <f t="shared" si="45"/>
        <v>-7.0146547257789946E-2</v>
      </c>
      <c r="AA19" s="20">
        <f t="shared" ref="AA19" si="46">AA18/AA9</f>
        <v>-6.8553268765133166E-2</v>
      </c>
      <c r="AB19" s="20">
        <f t="shared" ref="AB19" si="47">AB18/AB9</f>
        <v>1.714981190528878E-3</v>
      </c>
      <c r="AC19" s="20">
        <f t="shared" ref="AC19" si="48">AC18/AC9</f>
        <v>8.9070731574850195E-3</v>
      </c>
      <c r="AD19" s="20">
        <f t="shared" ref="AD19" si="49">AD18/AD9</f>
        <v>-8.272709130821284E-3</v>
      </c>
      <c r="AE19" s="20">
        <f t="shared" ref="AE19" si="50">AE18/AE9</f>
        <v>-0.17521706269471124</v>
      </c>
      <c r="AF19" s="20">
        <f t="shared" ref="AF19:AH19" si="51">AF18/AF9</f>
        <v>-0.21992052880360069</v>
      </c>
      <c r="AG19" s="20">
        <f t="shared" si="51"/>
        <v>-0.20567830480355931</v>
      </c>
      <c r="AH19" s="20">
        <f t="shared" si="51"/>
        <v>-0.2284153005464481</v>
      </c>
      <c r="AI19" s="20">
        <f>AI18/AI9</f>
        <v>-4.4574187391231125E-2</v>
      </c>
      <c r="AJ19" s="52"/>
      <c r="AK19" s="100">
        <f>SUM(AI19-AE19)*1000</f>
        <v>130.64287530348011</v>
      </c>
    </row>
    <row r="20" spans="2:37" ht="5.0999999999999996" customHeight="1" x14ac:dyDescent="0.2">
      <c r="B20" s="33"/>
      <c r="C20" s="53"/>
      <c r="D20" s="53"/>
      <c r="E20" s="53"/>
      <c r="F20" s="53"/>
      <c r="G20" s="53"/>
      <c r="H20" s="34"/>
      <c r="I20" s="53"/>
      <c r="J20" s="53"/>
      <c r="K20" s="53"/>
      <c r="L20" s="53"/>
      <c r="M20" s="53"/>
      <c r="N20" s="53"/>
      <c r="O20" s="53"/>
      <c r="P20" s="53"/>
      <c r="Q20" s="53"/>
      <c r="R20" s="53"/>
      <c r="S20" s="53"/>
      <c r="T20" s="53"/>
      <c r="U20" s="53"/>
      <c r="V20" s="53"/>
      <c r="W20" s="53"/>
      <c r="Y20" s="53"/>
      <c r="Z20" s="53"/>
      <c r="AA20" s="53"/>
      <c r="AB20" s="53"/>
      <c r="AC20" s="53"/>
      <c r="AD20" s="53"/>
      <c r="AE20" s="53"/>
      <c r="AF20" s="53"/>
      <c r="AG20" s="53"/>
      <c r="AH20" s="53"/>
      <c r="AI20" s="53"/>
      <c r="AJ20" s="52"/>
      <c r="AK20" s="98"/>
    </row>
    <row r="21" spans="2:37" ht="12.75" customHeight="1" x14ac:dyDescent="0.2">
      <c r="B21" s="11" t="s">
        <v>43</v>
      </c>
      <c r="C21" s="36">
        <v>-504</v>
      </c>
      <c r="D21" s="36">
        <v>-482</v>
      </c>
      <c r="E21" s="36">
        <v>1166</v>
      </c>
      <c r="F21" s="36">
        <v>629</v>
      </c>
      <c r="G21" s="36">
        <v>226</v>
      </c>
      <c r="H21" s="28"/>
      <c r="I21" s="36">
        <v>997</v>
      </c>
      <c r="J21" s="36">
        <v>-119</v>
      </c>
      <c r="K21" s="36">
        <v>138</v>
      </c>
      <c r="L21" s="36">
        <f t="shared" ref="L21:L23" si="52">SUM(E21-SUM(I21:K21))</f>
        <v>150</v>
      </c>
      <c r="M21" s="36">
        <v>141</v>
      </c>
      <c r="N21" s="36">
        <v>224</v>
      </c>
      <c r="O21" s="36">
        <v>147</v>
      </c>
      <c r="P21" s="36">
        <f t="shared" ref="P21:P23" si="53">SUM(F21-SUM(M21:O21))</f>
        <v>117</v>
      </c>
      <c r="Q21" s="36">
        <v>145</v>
      </c>
      <c r="R21" s="36">
        <v>80</v>
      </c>
      <c r="S21" s="36">
        <v>130</v>
      </c>
      <c r="T21" s="36">
        <f t="shared" ref="T21:T23" si="54">SUM(G21-SUM(Q21:S21))</f>
        <v>-129</v>
      </c>
      <c r="U21" s="36">
        <v>-173</v>
      </c>
      <c r="V21" s="36">
        <v>-95</v>
      </c>
      <c r="W21" s="36">
        <v>3670</v>
      </c>
      <c r="X21" s="36"/>
      <c r="Y21" s="36">
        <f>SUM(J21:M21)</f>
        <v>310</v>
      </c>
      <c r="Z21" s="36">
        <f>SUM(K21:N21)</f>
        <v>653</v>
      </c>
      <c r="AA21" s="36">
        <f>SUM(L21:O21)</f>
        <v>662</v>
      </c>
      <c r="AB21" s="36">
        <f>SUM(M21:P21)</f>
        <v>629</v>
      </c>
      <c r="AC21" s="36">
        <f>SUM(N21:Q21)</f>
        <v>633</v>
      </c>
      <c r="AD21" s="36">
        <f>SUM(O21:R21)</f>
        <v>489</v>
      </c>
      <c r="AE21" s="36">
        <f>SUM(P21:S21)</f>
        <v>472</v>
      </c>
      <c r="AF21" s="36">
        <f>SUM(Q21:T21)</f>
        <v>226</v>
      </c>
      <c r="AG21" s="36">
        <f>SUM(R21:U21)</f>
        <v>-92</v>
      </c>
      <c r="AH21" s="36">
        <f>SUM(S21:V21)</f>
        <v>-267</v>
      </c>
      <c r="AI21" s="36">
        <f>SUM(T21:W21)</f>
        <v>3273</v>
      </c>
      <c r="AJ21" s="52"/>
      <c r="AK21" s="98">
        <f t="shared" si="17"/>
        <v>5.9343220338983054</v>
      </c>
    </row>
    <row r="22" spans="2:37" ht="12.75" customHeight="1" x14ac:dyDescent="0.2">
      <c r="B22" s="11" t="s">
        <v>42</v>
      </c>
      <c r="C22" s="36">
        <v>1904</v>
      </c>
      <c r="D22" s="36">
        <v>2729</v>
      </c>
      <c r="E22" s="36">
        <v>4268</v>
      </c>
      <c r="F22" s="36">
        <v>40</v>
      </c>
      <c r="G22" s="36">
        <v>242</v>
      </c>
      <c r="H22" s="28"/>
      <c r="I22" s="36">
        <v>4323</v>
      </c>
      <c r="J22" s="36">
        <v>-90</v>
      </c>
      <c r="K22" s="36">
        <v>-151</v>
      </c>
      <c r="L22" s="36">
        <f t="shared" si="52"/>
        <v>186</v>
      </c>
      <c r="M22" s="36">
        <v>169</v>
      </c>
      <c r="N22" s="36">
        <v>-24</v>
      </c>
      <c r="O22" s="36">
        <v>-191</v>
      </c>
      <c r="P22" s="36">
        <f t="shared" si="53"/>
        <v>86</v>
      </c>
      <c r="Q22" s="36">
        <v>205</v>
      </c>
      <c r="R22" s="36">
        <v>-120</v>
      </c>
      <c r="S22" s="36">
        <v>-159</v>
      </c>
      <c r="T22" s="36">
        <f t="shared" si="54"/>
        <v>316</v>
      </c>
      <c r="U22" s="36">
        <v>-112</v>
      </c>
      <c r="V22" s="36">
        <v>502</v>
      </c>
      <c r="W22" s="36">
        <v>221</v>
      </c>
      <c r="X22" s="36"/>
      <c r="Y22" s="36">
        <f>SUM(J22:M22)</f>
        <v>114</v>
      </c>
      <c r="Z22" s="36">
        <f>SUM(K22:N22)</f>
        <v>180</v>
      </c>
      <c r="AA22" s="36">
        <f>SUM(L22:O22)</f>
        <v>140</v>
      </c>
      <c r="AB22" s="36">
        <f>SUM(M22:P22)</f>
        <v>40</v>
      </c>
      <c r="AC22" s="36">
        <f>SUM(N22:Q22)</f>
        <v>76</v>
      </c>
      <c r="AD22" s="36">
        <f>SUM(O22:R22)</f>
        <v>-20</v>
      </c>
      <c r="AE22" s="36">
        <f>SUM(P22:S22)</f>
        <v>12</v>
      </c>
      <c r="AF22" s="36">
        <f>SUM(Q22:T22)</f>
        <v>242</v>
      </c>
      <c r="AG22" s="36">
        <f>SUM(R22:U22)</f>
        <v>-75</v>
      </c>
      <c r="AH22" s="36">
        <f>SUM(S22:V22)</f>
        <v>547</v>
      </c>
      <c r="AI22" s="36">
        <f>SUM(T22:W22)</f>
        <v>927</v>
      </c>
      <c r="AJ22" s="52"/>
      <c r="AK22" s="98">
        <f t="shared" si="17"/>
        <v>76.25</v>
      </c>
    </row>
    <row r="23" spans="2:37" ht="12.75" customHeight="1" x14ac:dyDescent="0.2">
      <c r="B23" s="11" t="s">
        <v>122</v>
      </c>
      <c r="C23" s="36">
        <v>0</v>
      </c>
      <c r="D23" s="36">
        <v>0</v>
      </c>
      <c r="E23" s="36">
        <v>0</v>
      </c>
      <c r="F23" s="36">
        <v>0</v>
      </c>
      <c r="G23" s="36">
        <v>0</v>
      </c>
      <c r="H23" s="28"/>
      <c r="I23" s="36">
        <v>0</v>
      </c>
      <c r="J23" s="36">
        <v>0</v>
      </c>
      <c r="K23" s="36">
        <v>0</v>
      </c>
      <c r="L23" s="36">
        <f t="shared" si="52"/>
        <v>0</v>
      </c>
      <c r="M23" s="36">
        <v>0</v>
      </c>
      <c r="N23" s="36">
        <v>0</v>
      </c>
      <c r="O23" s="36">
        <v>0</v>
      </c>
      <c r="P23" s="36">
        <f t="shared" si="53"/>
        <v>0</v>
      </c>
      <c r="Q23" s="36">
        <v>0</v>
      </c>
      <c r="R23" s="36">
        <v>0</v>
      </c>
      <c r="S23" s="36">
        <v>0</v>
      </c>
      <c r="T23" s="36">
        <f t="shared" si="54"/>
        <v>0</v>
      </c>
      <c r="U23" s="36">
        <v>0</v>
      </c>
      <c r="V23" s="36">
        <v>0</v>
      </c>
      <c r="W23" s="36">
        <v>0</v>
      </c>
      <c r="X23" s="36"/>
      <c r="Y23" s="36">
        <f>SUM(J23:M23)</f>
        <v>0</v>
      </c>
      <c r="Z23" s="36">
        <f>SUM(K23:N23)</f>
        <v>0</v>
      </c>
      <c r="AA23" s="36">
        <f>SUM(L23:O23)</f>
        <v>0</v>
      </c>
      <c r="AB23" s="36">
        <f>SUM(M23:P23)</f>
        <v>0</v>
      </c>
      <c r="AC23" s="36">
        <f>SUM(N23:Q23)</f>
        <v>0</v>
      </c>
      <c r="AD23" s="36">
        <f>SUM(O23:R23)</f>
        <v>0</v>
      </c>
      <c r="AE23" s="36">
        <f>SUM(P23:S23)</f>
        <v>0</v>
      </c>
      <c r="AF23" s="36">
        <f>SUM(Q23:T23)</f>
        <v>0</v>
      </c>
      <c r="AG23" s="36">
        <f>SUM(R23:U23)</f>
        <v>0</v>
      </c>
      <c r="AH23" s="36">
        <f>SUM(S23:V23)</f>
        <v>0</v>
      </c>
      <c r="AI23" s="36">
        <f>SUM(T23:W23)</f>
        <v>0</v>
      </c>
      <c r="AJ23" s="52"/>
      <c r="AK23" s="98" t="e">
        <f t="shared" si="17"/>
        <v>#DIV/0!</v>
      </c>
    </row>
    <row r="24" spans="2:37" ht="12.75" customHeight="1" x14ac:dyDescent="0.2">
      <c r="B24" s="29" t="s">
        <v>103</v>
      </c>
      <c r="C24" s="30">
        <f>SUM(C21:C23)+C18</f>
        <v>25078</v>
      </c>
      <c r="D24" s="30">
        <f>SUM(D21:D23)+D18</f>
        <v>21703</v>
      </c>
      <c r="E24" s="30">
        <f>SUM(E21:E23)+E18</f>
        <v>7768</v>
      </c>
      <c r="F24" s="30">
        <f>SUM(F21:F23)+F18</f>
        <v>762</v>
      </c>
      <c r="G24" s="30">
        <f>SUM(G21:G23)+G18</f>
        <v>-11210</v>
      </c>
      <c r="I24" s="30">
        <f t="shared" ref="I24:W24" si="55">SUM(I21:I23)+I18</f>
        <v>9661</v>
      </c>
      <c r="J24" s="30">
        <f t="shared" si="55"/>
        <v>-909</v>
      </c>
      <c r="K24" s="30">
        <f t="shared" si="55"/>
        <v>-188</v>
      </c>
      <c r="L24" s="30">
        <f t="shared" si="55"/>
        <v>-796</v>
      </c>
      <c r="M24" s="30">
        <f t="shared" si="55"/>
        <v>-1158</v>
      </c>
      <c r="N24" s="30">
        <f t="shared" si="55"/>
        <v>-816</v>
      </c>
      <c r="O24" s="30">
        <f t="shared" si="55"/>
        <v>-52</v>
      </c>
      <c r="P24" s="30">
        <f t="shared" si="55"/>
        <v>2788</v>
      </c>
      <c r="Q24" s="30">
        <f t="shared" si="55"/>
        <v>-719</v>
      </c>
      <c r="R24" s="30">
        <f t="shared" si="55"/>
        <v>-2004</v>
      </c>
      <c r="S24" s="30">
        <f t="shared" si="55"/>
        <v>-9086</v>
      </c>
      <c r="T24" s="30">
        <f t="shared" si="55"/>
        <v>599</v>
      </c>
      <c r="U24" s="30">
        <f t="shared" si="55"/>
        <v>-586</v>
      </c>
      <c r="V24" s="30">
        <f t="shared" si="55"/>
        <v>-2769</v>
      </c>
      <c r="W24" s="30">
        <f t="shared" si="55"/>
        <v>4574</v>
      </c>
      <c r="Y24" s="30">
        <f t="shared" ref="Y24:Z24" si="56">SUM(Y21:Y23)+Y18</f>
        <v>-3051</v>
      </c>
      <c r="Z24" s="30">
        <f t="shared" si="56"/>
        <v>-2958</v>
      </c>
      <c r="AA24" s="30">
        <f t="shared" ref="AA24" si="57">SUM(AA21:AA23)+AA18</f>
        <v>-2822</v>
      </c>
      <c r="AB24" s="30">
        <f t="shared" ref="AB24" si="58">SUM(AB21:AB23)+AB18</f>
        <v>762</v>
      </c>
      <c r="AC24" s="30">
        <f t="shared" ref="AC24" si="59">SUM(AC21:AC23)+AC18</f>
        <v>1201</v>
      </c>
      <c r="AD24" s="30">
        <f t="shared" ref="AD24" si="60">SUM(AD21:AD23)+AD18</f>
        <v>13</v>
      </c>
      <c r="AE24" s="30">
        <f t="shared" ref="AE24" si="61">SUM(AE21:AE23)+AE18</f>
        <v>-9021</v>
      </c>
      <c r="AF24" s="30">
        <f t="shared" ref="AF24:AH24" si="62">SUM(AF21:AF23)+AF18</f>
        <v>-11210</v>
      </c>
      <c r="AG24" s="30">
        <f t="shared" si="62"/>
        <v>-11077</v>
      </c>
      <c r="AH24" s="30">
        <f t="shared" si="62"/>
        <v>-11842</v>
      </c>
      <c r="AI24" s="30">
        <f>SUM(AI21:AI23)+AI18</f>
        <v>1818</v>
      </c>
      <c r="AJ24" s="52"/>
      <c r="AK24" s="99">
        <f t="shared" si="17"/>
        <v>-1.2015297638842701</v>
      </c>
    </row>
    <row r="25" spans="2:37" ht="5.0999999999999996" customHeight="1" x14ac:dyDescent="0.2">
      <c r="B25" s="29"/>
      <c r="C25" s="54"/>
      <c r="D25" s="54"/>
      <c r="E25" s="54"/>
      <c r="F25" s="54"/>
      <c r="G25" s="54"/>
      <c r="H25" s="55"/>
      <c r="I25" s="54"/>
      <c r="J25" s="54"/>
      <c r="K25" s="54"/>
      <c r="L25" s="54"/>
      <c r="M25" s="54"/>
      <c r="N25" s="54"/>
      <c r="O25" s="54"/>
      <c r="P25" s="54"/>
      <c r="Q25" s="54"/>
      <c r="R25" s="54"/>
      <c r="S25" s="54"/>
      <c r="T25" s="54"/>
      <c r="U25" s="54"/>
      <c r="V25" s="54"/>
      <c r="W25" s="54"/>
      <c r="Y25" s="54"/>
      <c r="Z25" s="54"/>
      <c r="AA25" s="54"/>
      <c r="AB25" s="54"/>
      <c r="AC25" s="54"/>
      <c r="AD25" s="54"/>
      <c r="AE25" s="54"/>
      <c r="AF25" s="54"/>
      <c r="AG25" s="54"/>
      <c r="AH25" s="54"/>
      <c r="AI25" s="54"/>
      <c r="AJ25" s="52"/>
      <c r="AK25" s="98"/>
    </row>
    <row r="26" spans="2:37" ht="12.75" customHeight="1" x14ac:dyDescent="0.2">
      <c r="B26" s="56" t="s">
        <v>170</v>
      </c>
      <c r="C26" s="36">
        <v>-4179</v>
      </c>
      <c r="D26" s="36">
        <v>-1835</v>
      </c>
      <c r="E26" s="36">
        <v>249</v>
      </c>
      <c r="F26" s="36">
        <v>913</v>
      </c>
      <c r="G26" s="36">
        <v>-8023</v>
      </c>
      <c r="H26" s="36"/>
      <c r="I26" s="36">
        <v>-1548</v>
      </c>
      <c r="J26" s="36">
        <v>455</v>
      </c>
      <c r="K26" s="36">
        <v>1207</v>
      </c>
      <c r="L26" s="36">
        <f t="shared" ref="L26" si="63">SUM(E26-SUM(I26:K26))</f>
        <v>135</v>
      </c>
      <c r="M26" s="36">
        <v>-1610</v>
      </c>
      <c r="N26" s="36">
        <v>2289</v>
      </c>
      <c r="O26" s="36">
        <v>362</v>
      </c>
      <c r="P26" s="36">
        <f t="shared" ref="P26" si="64">SUM(F26-SUM(M26:O26))</f>
        <v>-128</v>
      </c>
      <c r="Q26" s="36">
        <v>282</v>
      </c>
      <c r="R26" s="36">
        <v>350</v>
      </c>
      <c r="S26" s="36">
        <v>-7903</v>
      </c>
      <c r="T26" s="36">
        <f t="shared" ref="T26" si="65">SUM(G26-SUM(Q26:S26))</f>
        <v>-752</v>
      </c>
      <c r="U26" s="36">
        <v>-301</v>
      </c>
      <c r="V26" s="36">
        <v>-255</v>
      </c>
      <c r="W26" s="36">
        <v>-304</v>
      </c>
      <c r="X26" s="36"/>
      <c r="Y26" s="36">
        <f>SUM(J26:M26)</f>
        <v>187</v>
      </c>
      <c r="Z26" s="36">
        <f>SUM(K26:N26)</f>
        <v>2021</v>
      </c>
      <c r="AA26" s="36">
        <f>SUM(L26:O26)</f>
        <v>1176</v>
      </c>
      <c r="AB26" s="36">
        <f>SUM(M26:P26)</f>
        <v>913</v>
      </c>
      <c r="AC26" s="36">
        <f>SUM(N26:Q26)</f>
        <v>2805</v>
      </c>
      <c r="AD26" s="36">
        <f>SUM(O26:R26)</f>
        <v>866</v>
      </c>
      <c r="AE26" s="36">
        <f>SUM(P26:S26)</f>
        <v>-7399</v>
      </c>
      <c r="AF26" s="36">
        <f>SUM(Q26:T26)</f>
        <v>-8023</v>
      </c>
      <c r="AG26" s="36">
        <f>SUM(R26:U26)</f>
        <v>-8606</v>
      </c>
      <c r="AH26" s="36">
        <f>SUM(S26:V26)</f>
        <v>-9211</v>
      </c>
      <c r="AI26" s="36">
        <f>SUM(T26:W26)</f>
        <v>-1612</v>
      </c>
      <c r="AJ26" s="52"/>
      <c r="AK26" s="98">
        <f t="shared" si="17"/>
        <v>-0.78213272063792405</v>
      </c>
    </row>
    <row r="27" spans="2:37" ht="12.75" customHeight="1" x14ac:dyDescent="0.2">
      <c r="B27" s="15" t="s">
        <v>104</v>
      </c>
      <c r="C27" s="16">
        <f>SUM(C24+C26)</f>
        <v>20899</v>
      </c>
      <c r="D27" s="16">
        <f>SUM(D24+D26)</f>
        <v>19868</v>
      </c>
      <c r="E27" s="16">
        <f t="shared" ref="E27:G27" si="66">SUM(E24+E26)</f>
        <v>8017</v>
      </c>
      <c r="F27" s="16">
        <f t="shared" si="66"/>
        <v>1675</v>
      </c>
      <c r="G27" s="16">
        <f t="shared" si="66"/>
        <v>-19233</v>
      </c>
      <c r="H27" s="13"/>
      <c r="I27" s="16">
        <f t="shared" ref="I27:AI27" si="67">SUM(I24+I26)</f>
        <v>8113</v>
      </c>
      <c r="J27" s="16">
        <f t="shared" si="67"/>
        <v>-454</v>
      </c>
      <c r="K27" s="16">
        <f t="shared" si="67"/>
        <v>1019</v>
      </c>
      <c r="L27" s="16">
        <f t="shared" si="67"/>
        <v>-661</v>
      </c>
      <c r="M27" s="16">
        <f t="shared" si="67"/>
        <v>-2768</v>
      </c>
      <c r="N27" s="16">
        <f t="shared" si="67"/>
        <v>1473</v>
      </c>
      <c r="O27" s="16">
        <f t="shared" si="67"/>
        <v>310</v>
      </c>
      <c r="P27" s="16">
        <f t="shared" si="67"/>
        <v>2660</v>
      </c>
      <c r="Q27" s="16">
        <f t="shared" si="67"/>
        <v>-437</v>
      </c>
      <c r="R27" s="16">
        <f t="shared" si="67"/>
        <v>-1654</v>
      </c>
      <c r="S27" s="16">
        <f t="shared" si="67"/>
        <v>-16989</v>
      </c>
      <c r="T27" s="16">
        <f t="shared" si="67"/>
        <v>-153</v>
      </c>
      <c r="U27" s="16">
        <f t="shared" si="67"/>
        <v>-887</v>
      </c>
      <c r="V27" s="16">
        <f t="shared" si="67"/>
        <v>-3024</v>
      </c>
      <c r="W27" s="16">
        <f t="shared" ref="W27" si="68">SUM(W24+W26)</f>
        <v>4270</v>
      </c>
      <c r="Y27" s="16">
        <f t="shared" ref="Y27" si="69">SUM(Y24+Y26)</f>
        <v>-2864</v>
      </c>
      <c r="Z27" s="16">
        <f t="shared" ref="Z27:AE27" si="70">SUM(Z24+Z26)</f>
        <v>-937</v>
      </c>
      <c r="AA27" s="16">
        <f t="shared" si="70"/>
        <v>-1646</v>
      </c>
      <c r="AB27" s="16">
        <f t="shared" si="70"/>
        <v>1675</v>
      </c>
      <c r="AC27" s="16">
        <f t="shared" si="70"/>
        <v>4006</v>
      </c>
      <c r="AD27" s="16">
        <f t="shared" si="70"/>
        <v>879</v>
      </c>
      <c r="AE27" s="16">
        <f t="shared" si="70"/>
        <v>-16420</v>
      </c>
      <c r="AF27" s="16">
        <f t="shared" ref="AF27:AH27" si="71">SUM(AF24+AF26)</f>
        <v>-19233</v>
      </c>
      <c r="AG27" s="16">
        <f t="shared" si="71"/>
        <v>-19683</v>
      </c>
      <c r="AH27" s="16">
        <f t="shared" si="71"/>
        <v>-21053</v>
      </c>
      <c r="AI27" s="16">
        <f t="shared" si="67"/>
        <v>206</v>
      </c>
      <c r="AJ27" s="102"/>
      <c r="AK27" s="99">
        <f t="shared" si="17"/>
        <v>-1.0125456760048721</v>
      </c>
    </row>
    <row r="28" spans="2:37" ht="12.75" customHeight="1" x14ac:dyDescent="0.2">
      <c r="B28" s="18" t="s">
        <v>178</v>
      </c>
      <c r="C28" s="20">
        <f>C27/C9</f>
        <v>0.26839354283586114</v>
      </c>
      <c r="D28" s="20">
        <f>D27/D9</f>
        <v>0.25141729094958493</v>
      </c>
      <c r="E28" s="20">
        <f>E27/E9</f>
        <v>0.12714498683667966</v>
      </c>
      <c r="F28" s="20">
        <f>F27/F9</f>
        <v>3.088810208748248E-2</v>
      </c>
      <c r="G28" s="20">
        <f>G27/G9</f>
        <v>-0.3621965688028474</v>
      </c>
      <c r="H28" s="31"/>
      <c r="I28" s="20">
        <f>I27/I9</f>
        <v>0.44205307034272329</v>
      </c>
      <c r="J28" s="20">
        <f>J27/J9</f>
        <v>-2.9632530513674041E-2</v>
      </c>
      <c r="K28" s="20">
        <f>K27/K9</f>
        <v>6.643630199504498E-2</v>
      </c>
      <c r="L28" s="20">
        <f>L27/L9</f>
        <v>-4.7073066514741489E-2</v>
      </c>
      <c r="M28" s="20">
        <f>M27/M9</f>
        <v>-0.23627827571489543</v>
      </c>
      <c r="N28" s="20">
        <f>N27/N9</f>
        <v>0.11375395783458182</v>
      </c>
      <c r="O28" s="20">
        <f>O27/O9</f>
        <v>2.1895747987003816E-2</v>
      </c>
      <c r="P28" s="20">
        <f>P27/P9</f>
        <v>0.17266000259639103</v>
      </c>
      <c r="Q28" s="20">
        <f>Q27/Q9</f>
        <v>-3.4344545740333229E-2</v>
      </c>
      <c r="R28" s="20">
        <f>R27/R9</f>
        <v>-0.12888646458349567</v>
      </c>
      <c r="S28" s="20">
        <f>S27/S9</f>
        <v>-1.278906955736224</v>
      </c>
      <c r="T28" s="20">
        <f>T27/T9</f>
        <v>-1.0729312762973352E-2</v>
      </c>
      <c r="U28" s="20">
        <f>U27/U9</f>
        <v>-7.0024473040183152E-2</v>
      </c>
      <c r="V28" s="20">
        <f>V27/V9</f>
        <v>-0.23516603157321719</v>
      </c>
      <c r="W28" s="20">
        <f>W27/W9</f>
        <v>0.31275177616641031</v>
      </c>
      <c r="X28" s="32"/>
      <c r="Y28" s="20">
        <f t="shared" ref="Y28:Z28" si="72">Y27/Y9</f>
        <v>-5.0765740215541692E-2</v>
      </c>
      <c r="Z28" s="20">
        <f t="shared" si="72"/>
        <v>-1.7337724816815926E-2</v>
      </c>
      <c r="AA28" s="20">
        <f t="shared" ref="AA28" si="73">AA27/AA9</f>
        <v>-3.1136501210653752E-2</v>
      </c>
      <c r="AB28" s="20">
        <f t="shared" ref="AB28" si="74">AB27/AB9</f>
        <v>3.088810208748248E-2</v>
      </c>
      <c r="AC28" s="20">
        <f t="shared" ref="AC28" si="75">AC27/AC9</f>
        <v>7.2523851766026395E-2</v>
      </c>
      <c r="AD28" s="20">
        <f t="shared" ref="AD28" si="76">AD27/AD9</f>
        <v>1.5946735364017344E-2</v>
      </c>
      <c r="AE28" s="20">
        <f t="shared" ref="AE28" si="77">AE27/AE9</f>
        <v>-0.30268954965251532</v>
      </c>
      <c r="AF28" s="20">
        <f t="shared" ref="AF28:AH28" si="78">AF27/AF9</f>
        <v>-0.3621965688028474</v>
      </c>
      <c r="AG28" s="20">
        <f t="shared" si="78"/>
        <v>-0.37106930095769552</v>
      </c>
      <c r="AH28" s="20">
        <f t="shared" si="78"/>
        <v>-0.39670246843791218</v>
      </c>
      <c r="AI28" s="20">
        <f>AI27/AI9</f>
        <v>3.8548625535657481E-3</v>
      </c>
      <c r="AJ28" s="52"/>
      <c r="AK28" s="100">
        <f>SUM(AI28-AE28)*1000</f>
        <v>306.54441220608106</v>
      </c>
    </row>
    <row r="29" spans="2:37" ht="5.0999999999999996" customHeight="1" x14ac:dyDescent="0.2">
      <c r="B29" s="18"/>
      <c r="C29" s="20"/>
      <c r="D29" s="20"/>
      <c r="E29" s="20"/>
      <c r="F29" s="20"/>
      <c r="G29" s="20"/>
      <c r="H29" s="31"/>
      <c r="I29" s="20"/>
      <c r="J29" s="20"/>
      <c r="K29" s="20"/>
      <c r="L29" s="20"/>
      <c r="M29" s="20"/>
      <c r="N29" s="20"/>
      <c r="O29" s="20"/>
      <c r="P29" s="20"/>
      <c r="Q29" s="20"/>
      <c r="R29" s="20"/>
      <c r="S29" s="20"/>
      <c r="T29" s="20"/>
      <c r="U29" s="20"/>
      <c r="V29" s="20"/>
      <c r="W29" s="20"/>
      <c r="X29" s="32"/>
      <c r="Y29" s="20"/>
      <c r="Z29" s="20"/>
      <c r="AA29" s="20"/>
      <c r="AB29" s="20"/>
      <c r="AC29" s="20"/>
      <c r="AD29" s="20"/>
      <c r="AE29" s="20"/>
      <c r="AF29" s="20"/>
      <c r="AG29" s="20"/>
      <c r="AH29" s="20"/>
      <c r="AI29" s="20"/>
      <c r="AJ29" s="52"/>
      <c r="AK29" s="100"/>
    </row>
    <row r="30" spans="2:37" ht="12.75" customHeight="1" x14ac:dyDescent="0.2">
      <c r="B30" s="56" t="s">
        <v>179</v>
      </c>
      <c r="C30" s="36">
        <v>4198.5</v>
      </c>
      <c r="D30" s="36">
        <v>4058.75</v>
      </c>
      <c r="E30" s="36">
        <v>4107.5</v>
      </c>
      <c r="F30" s="36">
        <v>4190</v>
      </c>
      <c r="G30" s="36">
        <v>4280</v>
      </c>
      <c r="H30" s="31"/>
      <c r="I30" s="36">
        <v>4079</v>
      </c>
      <c r="J30" s="36">
        <v>4100</v>
      </c>
      <c r="K30" s="36">
        <v>4118</v>
      </c>
      <c r="L30" s="36">
        <v>4133</v>
      </c>
      <c r="M30" s="36">
        <v>4154</v>
      </c>
      <c r="N30" s="36">
        <v>4182</v>
      </c>
      <c r="O30" s="36">
        <v>4202</v>
      </c>
      <c r="P30" s="36">
        <v>4222</v>
      </c>
      <c r="Q30" s="36">
        <v>4242</v>
      </c>
      <c r="R30" s="36">
        <v>4267</v>
      </c>
      <c r="S30" s="36">
        <v>4292</v>
      </c>
      <c r="T30" s="36">
        <v>4319</v>
      </c>
      <c r="U30" s="36">
        <v>4343</v>
      </c>
      <c r="V30" s="36">
        <v>4369</v>
      </c>
      <c r="W30" s="36">
        <v>4514</v>
      </c>
      <c r="X30" s="32"/>
      <c r="Y30" s="20"/>
      <c r="Z30" s="20"/>
      <c r="AA30" s="20"/>
      <c r="AB30" s="20"/>
      <c r="AC30" s="20"/>
      <c r="AD30" s="20"/>
      <c r="AE30" s="36">
        <f t="shared" ref="AE30" si="79">S30</f>
        <v>4292</v>
      </c>
      <c r="AF30" s="36">
        <f t="shared" ref="AF30" si="80">T30</f>
        <v>4319</v>
      </c>
      <c r="AG30" s="36">
        <f t="shared" ref="AG30" si="81">U30</f>
        <v>4343</v>
      </c>
      <c r="AH30" s="36">
        <f t="shared" ref="AH30" si="82">V30</f>
        <v>4369</v>
      </c>
      <c r="AI30" s="36">
        <f>W30</f>
        <v>4514</v>
      </c>
      <c r="AJ30" s="52"/>
      <c r="AK30" s="100"/>
    </row>
    <row r="31" spans="2:37" ht="12.75" customHeight="1" x14ac:dyDescent="0.2">
      <c r="B31" s="15" t="s">
        <v>180</v>
      </c>
      <c r="C31" s="101">
        <f>C27/C30</f>
        <v>4.9777301417172799</v>
      </c>
      <c r="D31" s="101">
        <f t="shared" ref="D31:G31" si="83">D27/D30</f>
        <v>4.8951031721589162</v>
      </c>
      <c r="E31" s="101">
        <f t="shared" si="83"/>
        <v>1.9517954960438222</v>
      </c>
      <c r="F31" s="101">
        <f t="shared" si="83"/>
        <v>0.3997613365155131</v>
      </c>
      <c r="G31" s="101">
        <f t="shared" si="83"/>
        <v>-4.4936915887850466</v>
      </c>
      <c r="H31" s="13"/>
      <c r="I31" s="101">
        <f t="shared" ref="I31" si="84">I27/I30</f>
        <v>1.988967884285364</v>
      </c>
      <c r="J31" s="101">
        <f t="shared" ref="J31" si="85">J27/J30</f>
        <v>-0.11073170731707317</v>
      </c>
      <c r="K31" s="101">
        <f t="shared" ref="K31" si="86">K27/K30</f>
        <v>0.24745021855269547</v>
      </c>
      <c r="L31" s="101">
        <f t="shared" ref="L31" si="87">L27/L30</f>
        <v>-0.15993225260101621</v>
      </c>
      <c r="M31" s="101">
        <f t="shared" ref="M31" si="88">M27/M30</f>
        <v>-0.66634569090033702</v>
      </c>
      <c r="N31" s="101">
        <f t="shared" ref="N31" si="89">N27/N30</f>
        <v>0.35222381635581063</v>
      </c>
      <c r="O31" s="101">
        <f t="shared" ref="O31" si="90">O27/O30</f>
        <v>7.3774393146120901E-2</v>
      </c>
      <c r="P31" s="101">
        <f t="shared" ref="P31" si="91">P27/P30</f>
        <v>0.63003315963998108</v>
      </c>
      <c r="Q31" s="101">
        <f t="shared" ref="Q31" si="92">Q27/Q30</f>
        <v>-0.10301744460160302</v>
      </c>
      <c r="R31" s="101">
        <f t="shared" ref="R31" si="93">R27/R30</f>
        <v>-0.38762596672134991</v>
      </c>
      <c r="S31" s="101">
        <f t="shared" ref="S31" si="94">S27/S30</f>
        <v>-3.9582945013979498</v>
      </c>
      <c r="T31" s="101">
        <f t="shared" ref="T31" si="95">T27/T30</f>
        <v>-3.5424866867330401E-2</v>
      </c>
      <c r="U31" s="101">
        <f t="shared" ref="U31" si="96">U27/U30</f>
        <v>-0.20423670274004144</v>
      </c>
      <c r="V31" s="101">
        <f t="shared" ref="V31" si="97">V27/V30</f>
        <v>-0.69214923323414967</v>
      </c>
      <c r="W31" s="101">
        <f t="shared" ref="W31" si="98">W27/W30</f>
        <v>0.94594594594594594</v>
      </c>
      <c r="X31" s="32"/>
      <c r="Y31" s="101" t="e">
        <f t="shared" ref="Y31:Z31" si="99">Y27/Y30</f>
        <v>#DIV/0!</v>
      </c>
      <c r="Z31" s="101" t="e">
        <f t="shared" si="99"/>
        <v>#DIV/0!</v>
      </c>
      <c r="AA31" s="101" t="e">
        <f t="shared" ref="AA31" si="100">AA27/AA30</f>
        <v>#DIV/0!</v>
      </c>
      <c r="AB31" s="101" t="e">
        <f t="shared" ref="AB31" si="101">AB27/AB30</f>
        <v>#DIV/0!</v>
      </c>
      <c r="AC31" s="101" t="e">
        <f t="shared" ref="AC31" si="102">AC27/AC30</f>
        <v>#DIV/0!</v>
      </c>
      <c r="AD31" s="101" t="e">
        <f t="shared" ref="AD31" si="103">AD27/AD30</f>
        <v>#DIV/0!</v>
      </c>
      <c r="AE31" s="101">
        <f t="shared" ref="AE31" si="104">AE27/AE30</f>
        <v>-3.825722273998136</v>
      </c>
      <c r="AF31" s="101">
        <f t="shared" ref="AF31" si="105">AF27/AF30</f>
        <v>-4.4531141467932391</v>
      </c>
      <c r="AG31" s="101">
        <f t="shared" ref="AG31" si="106">AG27/AG30</f>
        <v>-4.5321206539258574</v>
      </c>
      <c r="AH31" s="101">
        <f t="shared" ref="AH31" si="107">AH27/AH30</f>
        <v>-4.8187228198672463</v>
      </c>
      <c r="AI31" s="101">
        <f t="shared" ref="AI31" si="108">AI27/AI30</f>
        <v>4.563579973416039E-2</v>
      </c>
      <c r="AJ31" s="102"/>
      <c r="AK31" s="99">
        <f t="shared" ref="AK31" si="109">SUM(AI31/AE31)-1</f>
        <v>-1.0119286755456161</v>
      </c>
    </row>
    <row r="32" spans="2:37" ht="5.0999999999999996" customHeight="1" x14ac:dyDescent="0.2">
      <c r="B32" s="18"/>
      <c r="C32" s="20"/>
      <c r="D32" s="20"/>
      <c r="E32" s="20"/>
      <c r="F32" s="20"/>
      <c r="G32" s="20"/>
      <c r="H32" s="31"/>
      <c r="I32" s="20"/>
      <c r="J32" s="20"/>
      <c r="K32" s="20"/>
      <c r="L32" s="20"/>
      <c r="M32" s="20"/>
      <c r="N32" s="20"/>
      <c r="O32" s="20"/>
      <c r="P32" s="20"/>
      <c r="Q32" s="20"/>
      <c r="R32" s="20"/>
      <c r="S32" s="20"/>
      <c r="T32" s="20"/>
      <c r="U32" s="20"/>
      <c r="V32" s="20"/>
      <c r="W32" s="20"/>
      <c r="X32" s="32"/>
      <c r="Y32" s="20"/>
      <c r="Z32" s="20"/>
      <c r="AA32" s="20"/>
      <c r="AB32" s="20"/>
      <c r="AC32" s="20"/>
      <c r="AD32" s="20"/>
      <c r="AE32" s="20"/>
      <c r="AF32" s="20"/>
      <c r="AG32" s="20"/>
      <c r="AH32" s="20"/>
      <c r="AI32" s="20"/>
      <c r="AJ32" s="52"/>
      <c r="AK32" s="100"/>
    </row>
    <row r="33" spans="1:37" ht="12.75" customHeight="1" x14ac:dyDescent="0.2">
      <c r="B33" s="56" t="s">
        <v>181</v>
      </c>
      <c r="C33" s="36">
        <v>4231.5</v>
      </c>
      <c r="D33" s="36">
        <v>4090.25</v>
      </c>
      <c r="E33" s="36">
        <v>4116.25</v>
      </c>
      <c r="F33" s="36">
        <v>4209.75</v>
      </c>
      <c r="G33" s="36">
        <v>4280</v>
      </c>
      <c r="H33" s="31"/>
      <c r="I33" s="36">
        <v>4107</v>
      </c>
      <c r="J33" s="36">
        <v>4100</v>
      </c>
      <c r="K33" s="36">
        <v>4125</v>
      </c>
      <c r="L33" s="36">
        <v>4133</v>
      </c>
      <c r="M33" s="36">
        <v>4154</v>
      </c>
      <c r="N33" s="36">
        <v>4196</v>
      </c>
      <c r="O33" s="36">
        <v>4229</v>
      </c>
      <c r="P33" s="36">
        <v>4260</v>
      </c>
      <c r="Q33" s="36">
        <v>4242</v>
      </c>
      <c r="R33" s="36">
        <v>4267</v>
      </c>
      <c r="S33" s="36">
        <v>4292</v>
      </c>
      <c r="T33" s="36">
        <v>4319</v>
      </c>
      <c r="U33" s="36">
        <v>4343</v>
      </c>
      <c r="V33" s="36">
        <v>4369</v>
      </c>
      <c r="W33" s="36">
        <v>4531</v>
      </c>
      <c r="X33" s="36"/>
      <c r="Y33" s="36">
        <f>M33</f>
        <v>4154</v>
      </c>
      <c r="Z33" s="36">
        <f>N33</f>
        <v>4196</v>
      </c>
      <c r="AA33" s="36">
        <f>O33</f>
        <v>4229</v>
      </c>
      <c r="AB33" s="36">
        <f>P33</f>
        <v>4260</v>
      </c>
      <c r="AC33" s="36">
        <f>Q33</f>
        <v>4242</v>
      </c>
      <c r="AD33" s="36">
        <f>R33</f>
        <v>4267</v>
      </c>
      <c r="AE33" s="36">
        <f>S33</f>
        <v>4292</v>
      </c>
      <c r="AF33" s="36">
        <f>T33</f>
        <v>4319</v>
      </c>
      <c r="AG33" s="36">
        <f>U33</f>
        <v>4343</v>
      </c>
      <c r="AH33" s="36">
        <f>V33</f>
        <v>4369</v>
      </c>
      <c r="AI33" s="36">
        <f>W33</f>
        <v>4531</v>
      </c>
      <c r="AJ33" s="52"/>
      <c r="AK33" s="100"/>
    </row>
    <row r="34" spans="1:37" ht="12.75" customHeight="1" x14ac:dyDescent="0.2">
      <c r="B34" s="15" t="s">
        <v>182</v>
      </c>
      <c r="C34" s="101">
        <f>C27/C33</f>
        <v>4.9389105518137777</v>
      </c>
      <c r="D34" s="101">
        <f t="shared" ref="D34:G34" si="110">D27/D33</f>
        <v>4.8574048041073281</v>
      </c>
      <c r="E34" s="101">
        <f t="shared" si="110"/>
        <v>1.9476465229274218</v>
      </c>
      <c r="F34" s="101">
        <f t="shared" si="110"/>
        <v>0.39788586020547539</v>
      </c>
      <c r="G34" s="101">
        <f t="shared" si="110"/>
        <v>-4.4936915887850466</v>
      </c>
      <c r="H34" s="31"/>
      <c r="I34" s="101">
        <f t="shared" ref="I34" si="111">I27/I33</f>
        <v>1.9754078402727051</v>
      </c>
      <c r="J34" s="101">
        <f t="shared" ref="J34" si="112">J27/J33</f>
        <v>-0.11073170731707317</v>
      </c>
      <c r="K34" s="101">
        <f t="shared" ref="K34" si="113">K27/K33</f>
        <v>0.24703030303030302</v>
      </c>
      <c r="L34" s="101">
        <f t="shared" ref="L34" si="114">L27/L33</f>
        <v>-0.15993225260101621</v>
      </c>
      <c r="M34" s="101">
        <f t="shared" ref="M34" si="115">M27/M33</f>
        <v>-0.66634569090033702</v>
      </c>
      <c r="N34" s="101">
        <f t="shared" ref="N34" si="116">N27/N33</f>
        <v>0.35104861773117252</v>
      </c>
      <c r="O34" s="101">
        <f t="shared" ref="O34" si="117">O27/O33</f>
        <v>7.3303381414045868E-2</v>
      </c>
      <c r="P34" s="101">
        <f t="shared" ref="P34" si="118">P27/P33</f>
        <v>0.62441314553990612</v>
      </c>
      <c r="Q34" s="101">
        <f t="shared" ref="Q34" si="119">Q27/Q33</f>
        <v>-0.10301744460160302</v>
      </c>
      <c r="R34" s="101">
        <f t="shared" ref="R34" si="120">R27/R33</f>
        <v>-0.38762596672134991</v>
      </c>
      <c r="S34" s="101">
        <f t="shared" ref="S34" si="121">S27/S33</f>
        <v>-3.9582945013979498</v>
      </c>
      <c r="T34" s="101">
        <f t="shared" ref="T34" si="122">T27/T33</f>
        <v>-3.5424866867330401E-2</v>
      </c>
      <c r="U34" s="101">
        <f t="shared" ref="U34" si="123">U27/U33</f>
        <v>-0.20423670274004144</v>
      </c>
      <c r="V34" s="101">
        <f t="shared" ref="V34" si="124">V27/V33</f>
        <v>-0.69214923323414967</v>
      </c>
      <c r="W34" s="101">
        <f t="shared" ref="W34" si="125">W27/W33</f>
        <v>0.94239682189362173</v>
      </c>
      <c r="X34" s="36"/>
      <c r="Y34" s="101">
        <f t="shared" ref="Y34:Z34" si="126">Y27/Y33</f>
        <v>-0.6894559460760713</v>
      </c>
      <c r="Z34" s="101">
        <f t="shared" si="126"/>
        <v>-0.22330791229742611</v>
      </c>
      <c r="AA34" s="101">
        <f t="shared" ref="AA34" si="127">AA27/AA33</f>
        <v>-0.38921730905651453</v>
      </c>
      <c r="AB34" s="101">
        <f t="shared" ref="AB34" si="128">AB27/AB33</f>
        <v>0.39319248826291081</v>
      </c>
      <c r="AC34" s="101">
        <f t="shared" ref="AC34" si="129">AC27/AC33</f>
        <v>0.94436586515794441</v>
      </c>
      <c r="AD34" s="101">
        <f t="shared" ref="AD34" si="130">AD27/AD33</f>
        <v>0.20599953128661824</v>
      </c>
      <c r="AE34" s="101">
        <f t="shared" ref="AE34" si="131">AE27/AE33</f>
        <v>-3.825722273998136</v>
      </c>
      <c r="AF34" s="101">
        <f t="shared" ref="AF34" si="132">AF27/AF33</f>
        <v>-4.4531141467932391</v>
      </c>
      <c r="AG34" s="101">
        <f t="shared" ref="AG34" si="133">AG27/AG33</f>
        <v>-4.5321206539258574</v>
      </c>
      <c r="AH34" s="101">
        <f t="shared" ref="AH34" si="134">AH27/AH33</f>
        <v>-4.8187228198672463</v>
      </c>
      <c r="AI34" s="101">
        <f t="shared" ref="AI34" si="135">AI27/AI33</f>
        <v>4.5464577355992054E-2</v>
      </c>
      <c r="AJ34" s="102"/>
      <c r="AK34" s="99">
        <f t="shared" ref="AK34" si="136">SUM(AI34/AE34)-1</f>
        <v>-1.0118839199763652</v>
      </c>
    </row>
    <row r="35" spans="1:37" ht="5.0999999999999996" customHeight="1" x14ac:dyDescent="0.2">
      <c r="B35" s="18"/>
      <c r="C35" s="20"/>
      <c r="D35" s="20"/>
      <c r="E35" s="20"/>
      <c r="F35" s="20"/>
      <c r="G35" s="20"/>
      <c r="H35" s="31"/>
      <c r="I35" s="20"/>
      <c r="J35" s="20"/>
      <c r="K35" s="20"/>
      <c r="L35" s="20"/>
      <c r="M35" s="20"/>
      <c r="N35" s="20"/>
      <c r="O35" s="20"/>
      <c r="P35" s="20"/>
      <c r="Q35" s="20"/>
      <c r="R35" s="20"/>
      <c r="S35" s="20"/>
      <c r="T35" s="20"/>
      <c r="U35" s="20"/>
      <c r="V35" s="20"/>
      <c r="W35" s="20"/>
      <c r="X35" s="32"/>
      <c r="Y35" s="20"/>
      <c r="Z35" s="20"/>
      <c r="AA35" s="20"/>
      <c r="AB35" s="20"/>
      <c r="AC35" s="20"/>
      <c r="AD35" s="20"/>
      <c r="AE35" s="20"/>
      <c r="AF35" s="20"/>
      <c r="AG35" s="20"/>
      <c r="AH35" s="20"/>
      <c r="AI35" s="20"/>
      <c r="AJ35" s="52"/>
      <c r="AK35" s="48"/>
    </row>
    <row r="36" spans="1:37" ht="12.75" customHeight="1" x14ac:dyDescent="0.2">
      <c r="A36" s="5" t="s">
        <v>46</v>
      </c>
      <c r="B36" s="38" t="s">
        <v>41</v>
      </c>
      <c r="C36" s="8"/>
      <c r="D36" s="8"/>
      <c r="E36" s="8"/>
      <c r="F36" s="8"/>
      <c r="G36" s="8"/>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row>
    <row r="37" spans="1:37" ht="5.0999999999999996" customHeight="1" x14ac:dyDescent="0.2">
      <c r="B37" s="58"/>
      <c r="C37" s="59"/>
      <c r="D37" s="59"/>
      <c r="E37" s="59"/>
      <c r="F37" s="59"/>
      <c r="G37" s="59"/>
      <c r="AK37" s="48"/>
    </row>
    <row r="38" spans="1:37" ht="12.75" customHeight="1" x14ac:dyDescent="0.2">
      <c r="B38" s="11" t="s">
        <v>105</v>
      </c>
      <c r="C38" s="36">
        <v>5865</v>
      </c>
      <c r="D38" s="36">
        <v>4827</v>
      </c>
      <c r="E38" s="36">
        <v>11144</v>
      </c>
      <c r="F38" s="36">
        <v>7079</v>
      </c>
      <c r="G38" s="36">
        <v>8249</v>
      </c>
      <c r="I38" s="36">
        <v>6215</v>
      </c>
      <c r="J38" s="36">
        <v>4390</v>
      </c>
      <c r="K38" s="36">
        <v>4529</v>
      </c>
      <c r="L38" s="36">
        <f>E38</f>
        <v>11144</v>
      </c>
      <c r="M38" s="36">
        <v>8232</v>
      </c>
      <c r="N38" s="36">
        <v>8349</v>
      </c>
      <c r="O38" s="36">
        <v>7621</v>
      </c>
      <c r="P38" s="36">
        <f>F38</f>
        <v>7079</v>
      </c>
      <c r="Q38" s="36">
        <v>6923</v>
      </c>
      <c r="R38" s="36">
        <v>11287</v>
      </c>
      <c r="S38" s="36">
        <v>8785</v>
      </c>
      <c r="T38" s="36">
        <f>G38</f>
        <v>8249</v>
      </c>
      <c r="U38" s="36">
        <v>8947</v>
      </c>
      <c r="V38" s="36">
        <v>9643</v>
      </c>
      <c r="W38" s="36">
        <v>11141</v>
      </c>
      <c r="Y38" s="36">
        <f t="shared" ref="Y38:Z44" si="137">M38</f>
        <v>8232</v>
      </c>
      <c r="Z38" s="36">
        <f t="shared" si="137"/>
        <v>8349</v>
      </c>
      <c r="AA38" s="36">
        <f t="shared" ref="AA38:AA44" si="138">O38</f>
        <v>7621</v>
      </c>
      <c r="AB38" s="36">
        <f t="shared" ref="AB38:AB44" si="139">P38</f>
        <v>7079</v>
      </c>
      <c r="AC38" s="36">
        <f t="shared" ref="AC38:AC44" si="140">Q38</f>
        <v>6923</v>
      </c>
      <c r="AD38" s="36">
        <f t="shared" ref="AD38:AD44" si="141">R38</f>
        <v>11287</v>
      </c>
      <c r="AE38" s="36">
        <f t="shared" ref="AE38:AE44" si="142">S38</f>
        <v>8785</v>
      </c>
      <c r="AF38" s="36">
        <f t="shared" ref="AF38:AH44" si="143">T38</f>
        <v>8249</v>
      </c>
      <c r="AG38" s="36">
        <f t="shared" si="143"/>
        <v>8947</v>
      </c>
      <c r="AH38" s="36">
        <f t="shared" si="143"/>
        <v>9643</v>
      </c>
      <c r="AI38" s="36">
        <f>W38</f>
        <v>11141</v>
      </c>
      <c r="AJ38" s="13"/>
      <c r="AK38" s="98">
        <f t="shared" ref="AK38:AK75" si="144">SUM(AI38/AE38)-1</f>
        <v>0.26818440523619813</v>
      </c>
    </row>
    <row r="39" spans="1:37" ht="12.75" customHeight="1" x14ac:dyDescent="0.2">
      <c r="B39" s="11" t="s">
        <v>30</v>
      </c>
      <c r="C39" s="36">
        <v>2292</v>
      </c>
      <c r="D39" s="36">
        <v>2103</v>
      </c>
      <c r="E39" s="36">
        <v>0</v>
      </c>
      <c r="F39" s="36">
        <v>0</v>
      </c>
      <c r="G39" s="36">
        <v>0</v>
      </c>
      <c r="I39" s="36">
        <v>10998</v>
      </c>
      <c r="J39" s="36">
        <v>0</v>
      </c>
      <c r="K39" s="36">
        <v>0</v>
      </c>
      <c r="L39" s="36">
        <f t="shared" ref="L39:L44" si="145">E39</f>
        <v>0</v>
      </c>
      <c r="M39" s="36">
        <v>0</v>
      </c>
      <c r="N39" s="36">
        <v>0</v>
      </c>
      <c r="O39" s="36">
        <v>0</v>
      </c>
      <c r="P39" s="36">
        <f t="shared" ref="P39:P44" si="146">F39</f>
        <v>0</v>
      </c>
      <c r="Q39" s="36">
        <v>0</v>
      </c>
      <c r="R39" s="36">
        <v>0</v>
      </c>
      <c r="S39" s="36">
        <v>0</v>
      </c>
      <c r="T39" s="36">
        <f t="shared" ref="T39:T44" si="147">G39</f>
        <v>0</v>
      </c>
      <c r="U39" s="36">
        <v>0</v>
      </c>
      <c r="V39" s="36">
        <v>0</v>
      </c>
      <c r="W39" s="36">
        <v>0</v>
      </c>
      <c r="Y39" s="36">
        <f t="shared" si="137"/>
        <v>0</v>
      </c>
      <c r="Z39" s="36">
        <f t="shared" si="137"/>
        <v>0</v>
      </c>
      <c r="AA39" s="36">
        <f t="shared" si="138"/>
        <v>0</v>
      </c>
      <c r="AB39" s="36">
        <f t="shared" si="139"/>
        <v>0</v>
      </c>
      <c r="AC39" s="36">
        <f t="shared" si="140"/>
        <v>0</v>
      </c>
      <c r="AD39" s="36">
        <f t="shared" si="141"/>
        <v>0</v>
      </c>
      <c r="AE39" s="36">
        <f t="shared" si="142"/>
        <v>0</v>
      </c>
      <c r="AF39" s="36">
        <f t="shared" si="143"/>
        <v>0</v>
      </c>
      <c r="AG39" s="36">
        <f t="shared" si="143"/>
        <v>0</v>
      </c>
      <c r="AH39" s="36">
        <f t="shared" si="143"/>
        <v>0</v>
      </c>
      <c r="AI39" s="36">
        <f t="shared" ref="AI39:AI44" si="148">W39</f>
        <v>0</v>
      </c>
      <c r="AJ39" s="13"/>
      <c r="AK39" s="98" t="e">
        <f t="shared" si="144"/>
        <v>#DIV/0!</v>
      </c>
    </row>
    <row r="40" spans="1:37" ht="12.75" customHeight="1" x14ac:dyDescent="0.2">
      <c r="B40" s="11" t="s">
        <v>123</v>
      </c>
      <c r="C40" s="36">
        <v>15738</v>
      </c>
      <c r="D40" s="36">
        <v>21483</v>
      </c>
      <c r="E40" s="36">
        <v>17194</v>
      </c>
      <c r="F40" s="36">
        <v>17955</v>
      </c>
      <c r="G40" s="36">
        <v>13813</v>
      </c>
      <c r="I40" s="36">
        <v>21483</v>
      </c>
      <c r="J40" s="36">
        <v>22654</v>
      </c>
      <c r="K40" s="36">
        <v>18030</v>
      </c>
      <c r="L40" s="36">
        <f t="shared" si="145"/>
        <v>17194</v>
      </c>
      <c r="M40" s="36">
        <v>19302</v>
      </c>
      <c r="N40" s="36">
        <v>15908</v>
      </c>
      <c r="O40" s="36">
        <v>17409</v>
      </c>
      <c r="P40" s="36">
        <f t="shared" si="146"/>
        <v>17955</v>
      </c>
      <c r="Q40" s="36">
        <v>14388</v>
      </c>
      <c r="R40" s="36">
        <v>17986</v>
      </c>
      <c r="S40" s="36">
        <v>15301</v>
      </c>
      <c r="T40" s="36">
        <f t="shared" si="147"/>
        <v>13813</v>
      </c>
      <c r="U40" s="36">
        <v>12101</v>
      </c>
      <c r="V40" s="36">
        <v>11563</v>
      </c>
      <c r="W40" s="36">
        <v>19794</v>
      </c>
      <c r="Y40" s="36">
        <f t="shared" si="137"/>
        <v>19302</v>
      </c>
      <c r="Z40" s="36">
        <f t="shared" si="137"/>
        <v>15908</v>
      </c>
      <c r="AA40" s="36">
        <f t="shared" si="138"/>
        <v>17409</v>
      </c>
      <c r="AB40" s="36">
        <f t="shared" si="139"/>
        <v>17955</v>
      </c>
      <c r="AC40" s="36">
        <f t="shared" si="140"/>
        <v>14388</v>
      </c>
      <c r="AD40" s="36">
        <f t="shared" si="141"/>
        <v>17986</v>
      </c>
      <c r="AE40" s="36">
        <f t="shared" si="142"/>
        <v>15301</v>
      </c>
      <c r="AF40" s="36">
        <f t="shared" si="143"/>
        <v>13813</v>
      </c>
      <c r="AG40" s="36">
        <f t="shared" si="143"/>
        <v>12101</v>
      </c>
      <c r="AH40" s="36">
        <f t="shared" si="143"/>
        <v>11563</v>
      </c>
      <c r="AI40" s="36">
        <f t="shared" si="148"/>
        <v>19794</v>
      </c>
      <c r="AJ40" s="13"/>
      <c r="AK40" s="98">
        <f t="shared" si="144"/>
        <v>0.29364093850075168</v>
      </c>
    </row>
    <row r="41" spans="1:37" ht="12.75" customHeight="1" x14ac:dyDescent="0.2">
      <c r="B41" s="11" t="s">
        <v>31</v>
      </c>
      <c r="C41" s="36">
        <v>6782</v>
      </c>
      <c r="D41" s="36">
        <v>9457</v>
      </c>
      <c r="E41" s="36">
        <v>4133</v>
      </c>
      <c r="F41" s="36">
        <v>3402</v>
      </c>
      <c r="G41" s="36">
        <v>3478</v>
      </c>
      <c r="I41" s="36">
        <v>7074</v>
      </c>
      <c r="J41" s="36">
        <v>6063</v>
      </c>
      <c r="K41" s="36">
        <v>7469</v>
      </c>
      <c r="L41" s="36">
        <f t="shared" si="145"/>
        <v>4133</v>
      </c>
      <c r="M41" s="36">
        <v>3847</v>
      </c>
      <c r="N41" s="36">
        <v>2996</v>
      </c>
      <c r="O41" s="36">
        <v>2843</v>
      </c>
      <c r="P41" s="36">
        <f t="shared" si="146"/>
        <v>3402</v>
      </c>
      <c r="Q41" s="36">
        <v>3323</v>
      </c>
      <c r="R41" s="36">
        <v>3131</v>
      </c>
      <c r="S41" s="36">
        <v>3121</v>
      </c>
      <c r="T41" s="36">
        <f t="shared" si="147"/>
        <v>3478</v>
      </c>
      <c r="U41" s="36">
        <v>3064</v>
      </c>
      <c r="V41" s="36">
        <v>2360</v>
      </c>
      <c r="W41" s="36">
        <v>3202</v>
      </c>
      <c r="Y41" s="36">
        <f t="shared" si="137"/>
        <v>3847</v>
      </c>
      <c r="Z41" s="36">
        <f t="shared" si="137"/>
        <v>2996</v>
      </c>
      <c r="AA41" s="36">
        <f t="shared" si="138"/>
        <v>2843</v>
      </c>
      <c r="AB41" s="36">
        <f t="shared" si="139"/>
        <v>3402</v>
      </c>
      <c r="AC41" s="36">
        <f t="shared" si="140"/>
        <v>3323</v>
      </c>
      <c r="AD41" s="36">
        <f t="shared" si="141"/>
        <v>3131</v>
      </c>
      <c r="AE41" s="36">
        <f t="shared" si="142"/>
        <v>3121</v>
      </c>
      <c r="AF41" s="36">
        <f t="shared" si="143"/>
        <v>3478</v>
      </c>
      <c r="AG41" s="36">
        <f t="shared" si="143"/>
        <v>3064</v>
      </c>
      <c r="AH41" s="36">
        <f t="shared" si="143"/>
        <v>2360</v>
      </c>
      <c r="AI41" s="36">
        <f t="shared" si="148"/>
        <v>3202</v>
      </c>
      <c r="AJ41" s="13"/>
      <c r="AK41" s="98">
        <f t="shared" si="144"/>
        <v>2.5953220121755827E-2</v>
      </c>
    </row>
    <row r="42" spans="1:37" ht="12.75" customHeight="1" x14ac:dyDescent="0.2">
      <c r="B42" s="11" t="s">
        <v>17</v>
      </c>
      <c r="C42" s="36">
        <v>8427</v>
      </c>
      <c r="D42" s="36">
        <v>10776</v>
      </c>
      <c r="E42" s="36">
        <v>13224</v>
      </c>
      <c r="F42" s="36">
        <v>11127</v>
      </c>
      <c r="G42" s="36">
        <v>12198</v>
      </c>
      <c r="I42" s="36">
        <v>11935</v>
      </c>
      <c r="J42" s="36">
        <v>12174</v>
      </c>
      <c r="K42" s="36">
        <v>12831</v>
      </c>
      <c r="L42" s="36">
        <v>13224</v>
      </c>
      <c r="M42" s="36">
        <v>12993</v>
      </c>
      <c r="N42" s="36">
        <v>11984</v>
      </c>
      <c r="O42" s="36">
        <v>11466</v>
      </c>
      <c r="P42" s="36">
        <v>11127</v>
      </c>
      <c r="Q42" s="36">
        <v>11494</v>
      </c>
      <c r="R42" s="36">
        <v>11244</v>
      </c>
      <c r="S42" s="36">
        <v>12062</v>
      </c>
      <c r="T42" s="36">
        <v>12198</v>
      </c>
      <c r="U42" s="36">
        <v>12281</v>
      </c>
      <c r="V42" s="36">
        <v>11377</v>
      </c>
      <c r="W42" s="36">
        <v>11489</v>
      </c>
      <c r="Y42" s="36">
        <f t="shared" si="137"/>
        <v>12993</v>
      </c>
      <c r="Z42" s="36">
        <f t="shared" si="137"/>
        <v>11984</v>
      </c>
      <c r="AA42" s="36">
        <f t="shared" si="138"/>
        <v>11466</v>
      </c>
      <c r="AB42" s="36">
        <f t="shared" si="139"/>
        <v>11127</v>
      </c>
      <c r="AC42" s="36">
        <f t="shared" si="140"/>
        <v>11494</v>
      </c>
      <c r="AD42" s="36">
        <f t="shared" si="141"/>
        <v>11244</v>
      </c>
      <c r="AE42" s="36">
        <f t="shared" si="142"/>
        <v>12062</v>
      </c>
      <c r="AF42" s="36">
        <f t="shared" si="143"/>
        <v>12198</v>
      </c>
      <c r="AG42" s="36">
        <f t="shared" si="143"/>
        <v>12281</v>
      </c>
      <c r="AH42" s="36">
        <f t="shared" si="143"/>
        <v>11377</v>
      </c>
      <c r="AI42" s="36">
        <f t="shared" si="148"/>
        <v>11489</v>
      </c>
      <c r="AJ42" s="13"/>
      <c r="AK42" s="98">
        <f t="shared" si="144"/>
        <v>-4.7504559774498412E-2</v>
      </c>
    </row>
    <row r="43" spans="1:37" ht="12.75" customHeight="1" x14ac:dyDescent="0.2">
      <c r="B43" s="11" t="s">
        <v>124</v>
      </c>
      <c r="C43" s="36">
        <v>0</v>
      </c>
      <c r="D43" s="36">
        <v>0</v>
      </c>
      <c r="E43" s="36">
        <v>0</v>
      </c>
      <c r="F43" s="36">
        <v>0</v>
      </c>
      <c r="G43" s="36">
        <v>0</v>
      </c>
      <c r="I43" s="36">
        <v>0</v>
      </c>
      <c r="J43" s="36">
        <v>0</v>
      </c>
      <c r="K43" s="36">
        <v>0</v>
      </c>
      <c r="L43" s="36">
        <f t="shared" si="145"/>
        <v>0</v>
      </c>
      <c r="M43" s="36">
        <v>0</v>
      </c>
      <c r="N43" s="36">
        <v>0</v>
      </c>
      <c r="O43" s="36">
        <v>0</v>
      </c>
      <c r="P43" s="36">
        <f t="shared" si="146"/>
        <v>0</v>
      </c>
      <c r="Q43" s="36">
        <v>0</v>
      </c>
      <c r="R43" s="36">
        <v>0</v>
      </c>
      <c r="S43" s="36">
        <v>0</v>
      </c>
      <c r="T43" s="36">
        <f t="shared" si="147"/>
        <v>0</v>
      </c>
      <c r="U43" s="36">
        <v>0</v>
      </c>
      <c r="V43" s="36">
        <v>0</v>
      </c>
      <c r="W43" s="36">
        <v>0</v>
      </c>
      <c r="Y43" s="36">
        <f t="shared" si="137"/>
        <v>0</v>
      </c>
      <c r="Z43" s="36">
        <f t="shared" si="137"/>
        <v>0</v>
      </c>
      <c r="AA43" s="36">
        <f t="shared" si="138"/>
        <v>0</v>
      </c>
      <c r="AB43" s="36">
        <f t="shared" si="139"/>
        <v>0</v>
      </c>
      <c r="AC43" s="36">
        <f t="shared" si="140"/>
        <v>0</v>
      </c>
      <c r="AD43" s="36">
        <f t="shared" si="141"/>
        <v>0</v>
      </c>
      <c r="AE43" s="36">
        <f t="shared" si="142"/>
        <v>0</v>
      </c>
      <c r="AF43" s="36">
        <f t="shared" si="143"/>
        <v>0</v>
      </c>
      <c r="AG43" s="36">
        <f t="shared" si="143"/>
        <v>0</v>
      </c>
      <c r="AH43" s="36">
        <f t="shared" si="143"/>
        <v>0</v>
      </c>
      <c r="AI43" s="36">
        <f t="shared" si="148"/>
        <v>0</v>
      </c>
      <c r="AJ43" s="13"/>
      <c r="AK43" s="98" t="e">
        <f t="shared" si="144"/>
        <v>#DIV/0!</v>
      </c>
    </row>
    <row r="44" spans="1:37" ht="12.75" customHeight="1" x14ac:dyDescent="0.2">
      <c r="B44" s="11" t="s">
        <v>32</v>
      </c>
      <c r="C44" s="36">
        <v>8145</v>
      </c>
      <c r="D44" s="36">
        <v>9072</v>
      </c>
      <c r="E44" s="36">
        <v>4712</v>
      </c>
      <c r="F44" s="36">
        <v>3706</v>
      </c>
      <c r="G44" s="36">
        <v>9586</v>
      </c>
      <c r="I44" s="36">
        <v>4863</v>
      </c>
      <c r="J44" s="36">
        <v>5307</v>
      </c>
      <c r="K44" s="36">
        <v>6404</v>
      </c>
      <c r="L44" s="36">
        <f t="shared" si="145"/>
        <v>4712</v>
      </c>
      <c r="M44" s="36">
        <v>3940</v>
      </c>
      <c r="N44" s="36">
        <v>4119</v>
      </c>
      <c r="O44" s="36">
        <v>4472</v>
      </c>
      <c r="P44" s="36">
        <f t="shared" si="146"/>
        <v>3706</v>
      </c>
      <c r="Q44" s="36">
        <v>6480</v>
      </c>
      <c r="R44" s="36">
        <v>7181</v>
      </c>
      <c r="S44" s="36">
        <v>6868</v>
      </c>
      <c r="T44" s="36">
        <f t="shared" si="147"/>
        <v>9586</v>
      </c>
      <c r="U44" s="36">
        <v>5741</v>
      </c>
      <c r="V44" s="36">
        <v>8432</v>
      </c>
      <c r="W44" s="36">
        <v>6105</v>
      </c>
      <c r="Y44" s="36">
        <f t="shared" si="137"/>
        <v>3940</v>
      </c>
      <c r="Z44" s="36">
        <f t="shared" si="137"/>
        <v>4119</v>
      </c>
      <c r="AA44" s="36">
        <f t="shared" si="138"/>
        <v>4472</v>
      </c>
      <c r="AB44" s="36">
        <f t="shared" si="139"/>
        <v>3706</v>
      </c>
      <c r="AC44" s="36">
        <f t="shared" si="140"/>
        <v>6480</v>
      </c>
      <c r="AD44" s="36">
        <f t="shared" si="141"/>
        <v>7181</v>
      </c>
      <c r="AE44" s="36">
        <f t="shared" si="142"/>
        <v>6868</v>
      </c>
      <c r="AF44" s="36">
        <f t="shared" si="143"/>
        <v>9586</v>
      </c>
      <c r="AG44" s="36">
        <f t="shared" si="143"/>
        <v>5741</v>
      </c>
      <c r="AH44" s="36">
        <f t="shared" si="143"/>
        <v>8432</v>
      </c>
      <c r="AI44" s="36">
        <f t="shared" si="148"/>
        <v>6105</v>
      </c>
      <c r="AJ44" s="13"/>
      <c r="AK44" s="98">
        <f t="shared" si="144"/>
        <v>-0.111094933022714</v>
      </c>
    </row>
    <row r="45" spans="1:37" ht="12.75" customHeight="1" x14ac:dyDescent="0.2">
      <c r="B45" s="29" t="s">
        <v>49</v>
      </c>
      <c r="C45" s="30">
        <f t="shared" ref="C45:F45" si="149">SUM(C38:C44)</f>
        <v>47249</v>
      </c>
      <c r="D45" s="30">
        <f t="shared" si="149"/>
        <v>57718</v>
      </c>
      <c r="E45" s="30">
        <f t="shared" si="149"/>
        <v>50407</v>
      </c>
      <c r="F45" s="30">
        <f t="shared" si="149"/>
        <v>43269</v>
      </c>
      <c r="G45" s="30">
        <f>SUM(G38:G44)</f>
        <v>47324</v>
      </c>
      <c r="H45" s="60"/>
      <c r="I45" s="30">
        <f t="shared" ref="I45:W45" si="150">SUM(I38:I44)</f>
        <v>62568</v>
      </c>
      <c r="J45" s="30">
        <f t="shared" si="150"/>
        <v>50588</v>
      </c>
      <c r="K45" s="30">
        <f t="shared" si="150"/>
        <v>49263</v>
      </c>
      <c r="L45" s="30">
        <f t="shared" si="150"/>
        <v>50407</v>
      </c>
      <c r="M45" s="30">
        <f t="shared" si="150"/>
        <v>48314</v>
      </c>
      <c r="N45" s="30">
        <f t="shared" si="150"/>
        <v>43356</v>
      </c>
      <c r="O45" s="30">
        <f t="shared" si="150"/>
        <v>43811</v>
      </c>
      <c r="P45" s="30">
        <f t="shared" si="150"/>
        <v>43269</v>
      </c>
      <c r="Q45" s="30">
        <f t="shared" si="150"/>
        <v>42608</v>
      </c>
      <c r="R45" s="30">
        <f t="shared" si="150"/>
        <v>50829</v>
      </c>
      <c r="S45" s="30">
        <f t="shared" si="150"/>
        <v>46137</v>
      </c>
      <c r="T45" s="30">
        <f t="shared" si="150"/>
        <v>47324</v>
      </c>
      <c r="U45" s="30">
        <f t="shared" si="150"/>
        <v>42134</v>
      </c>
      <c r="V45" s="30">
        <f t="shared" si="150"/>
        <v>43375</v>
      </c>
      <c r="W45" s="30">
        <f t="shared" si="150"/>
        <v>51731</v>
      </c>
      <c r="X45" s="60"/>
      <c r="Y45" s="30">
        <f t="shared" ref="Y45:Z45" si="151">SUM(Y38:Y44)</f>
        <v>48314</v>
      </c>
      <c r="Z45" s="30">
        <f t="shared" si="151"/>
        <v>43356</v>
      </c>
      <c r="AA45" s="30">
        <f t="shared" ref="AA45" si="152">SUM(AA38:AA44)</f>
        <v>43811</v>
      </c>
      <c r="AB45" s="30">
        <f t="shared" ref="AB45" si="153">SUM(AB38:AB44)</f>
        <v>43269</v>
      </c>
      <c r="AC45" s="30">
        <f t="shared" ref="AC45" si="154">SUM(AC38:AC44)</f>
        <v>42608</v>
      </c>
      <c r="AD45" s="30">
        <f t="shared" ref="AD45" si="155">SUM(AD38:AD44)</f>
        <v>50829</v>
      </c>
      <c r="AE45" s="30">
        <f t="shared" ref="AE45" si="156">SUM(AE38:AE44)</f>
        <v>46137</v>
      </c>
      <c r="AF45" s="30">
        <f t="shared" ref="AF45" si="157">SUM(AF38:AF44)</f>
        <v>47324</v>
      </c>
      <c r="AG45" s="30">
        <f t="shared" ref="AG45" si="158">SUM(AG38:AG44)</f>
        <v>42134</v>
      </c>
      <c r="AH45" s="30">
        <f t="shared" ref="AH45" si="159">SUM(AH38:AH44)</f>
        <v>43375</v>
      </c>
      <c r="AI45" s="30">
        <f t="shared" ref="AI45" si="160">SUM(AI38:AI44)</f>
        <v>51731</v>
      </c>
      <c r="AJ45" s="51"/>
      <c r="AK45" s="99">
        <f t="shared" si="144"/>
        <v>0.12124758870321006</v>
      </c>
    </row>
    <row r="46" spans="1:37" ht="5.0999999999999996" customHeight="1" x14ac:dyDescent="0.2">
      <c r="B46" s="29"/>
      <c r="C46" s="61"/>
      <c r="D46" s="61"/>
      <c r="E46" s="61"/>
      <c r="F46" s="50"/>
      <c r="G46" s="50"/>
      <c r="I46" s="50"/>
      <c r="J46" s="50"/>
      <c r="K46" s="50"/>
      <c r="L46" s="50"/>
      <c r="M46" s="50"/>
      <c r="N46" s="50"/>
      <c r="O46" s="50"/>
      <c r="P46" s="50"/>
      <c r="Q46" s="50"/>
      <c r="R46" s="50"/>
      <c r="Y46" s="51"/>
      <c r="Z46" s="51"/>
      <c r="AA46" s="51"/>
      <c r="AB46" s="51"/>
      <c r="AC46" s="51"/>
      <c r="AD46" s="51"/>
      <c r="AE46" s="51"/>
      <c r="AF46" s="51"/>
      <c r="AG46" s="51"/>
      <c r="AH46" s="51"/>
      <c r="AI46" s="51"/>
      <c r="AJ46" s="51"/>
      <c r="AK46" s="48"/>
    </row>
    <row r="47" spans="1:37" ht="12.75" customHeight="1" x14ac:dyDescent="0.2">
      <c r="B47" s="11" t="s">
        <v>125</v>
      </c>
      <c r="C47" s="36">
        <v>56584</v>
      </c>
      <c r="D47" s="36">
        <v>63245</v>
      </c>
      <c r="E47" s="36">
        <v>80860</v>
      </c>
      <c r="F47" s="36">
        <v>96647</v>
      </c>
      <c r="G47" s="36">
        <v>107919</v>
      </c>
      <c r="I47" s="36">
        <v>66718</v>
      </c>
      <c r="J47" s="36">
        <v>71660</v>
      </c>
      <c r="K47" s="36">
        <v>75763</v>
      </c>
      <c r="L47" s="36">
        <f t="shared" ref="L47:L51" si="161">E47</f>
        <v>80860</v>
      </c>
      <c r="M47" s="36">
        <v>85734</v>
      </c>
      <c r="N47" s="36">
        <v>90945</v>
      </c>
      <c r="O47" s="36">
        <v>93352</v>
      </c>
      <c r="P47" s="36">
        <f t="shared" ref="P47:P51" si="162">F47</f>
        <v>96647</v>
      </c>
      <c r="Q47" s="36">
        <v>99924</v>
      </c>
      <c r="R47" s="36">
        <v>103398</v>
      </c>
      <c r="S47" s="36">
        <v>104248</v>
      </c>
      <c r="T47" s="36">
        <f t="shared" ref="T47:T51" si="163">G47</f>
        <v>107919</v>
      </c>
      <c r="U47" s="36">
        <v>109763</v>
      </c>
      <c r="V47" s="36">
        <v>109510</v>
      </c>
      <c r="W47" s="36">
        <v>105047</v>
      </c>
      <c r="Y47" s="36">
        <f t="shared" ref="Y47:Z51" si="164">M47</f>
        <v>85734</v>
      </c>
      <c r="Z47" s="36">
        <f t="shared" si="164"/>
        <v>90945</v>
      </c>
      <c r="AA47" s="36">
        <f t="shared" ref="AA47:AA51" si="165">O47</f>
        <v>93352</v>
      </c>
      <c r="AB47" s="36">
        <f t="shared" ref="AB47:AB51" si="166">P47</f>
        <v>96647</v>
      </c>
      <c r="AC47" s="36">
        <f t="shared" ref="AC47:AC51" si="167">Q47</f>
        <v>99924</v>
      </c>
      <c r="AD47" s="36">
        <f t="shared" ref="AD47:AD51" si="168">R47</f>
        <v>103398</v>
      </c>
      <c r="AE47" s="36">
        <f t="shared" ref="AE47:AE51" si="169">S47</f>
        <v>104248</v>
      </c>
      <c r="AF47" s="36">
        <f t="shared" ref="AF47:AF51" si="170">T47</f>
        <v>107919</v>
      </c>
      <c r="AG47" s="36">
        <f t="shared" ref="AG47:AG51" si="171">U47</f>
        <v>109763</v>
      </c>
      <c r="AH47" s="36">
        <f t="shared" ref="AH47:AH51" si="172">V47</f>
        <v>109510</v>
      </c>
      <c r="AI47" s="36">
        <f t="shared" ref="AI47:AI51" si="173">W47</f>
        <v>105047</v>
      </c>
      <c r="AJ47" s="13"/>
      <c r="AK47" s="98">
        <f t="shared" si="144"/>
        <v>7.6644156242806627E-3</v>
      </c>
    </row>
    <row r="48" spans="1:37" ht="12.75" customHeight="1" x14ac:dyDescent="0.2">
      <c r="B48" s="11" t="s">
        <v>126</v>
      </c>
      <c r="C48" s="36">
        <v>5152</v>
      </c>
      <c r="D48" s="36">
        <v>6298</v>
      </c>
      <c r="E48" s="36">
        <v>5912</v>
      </c>
      <c r="F48" s="36">
        <v>5829</v>
      </c>
      <c r="G48" s="36">
        <v>5383</v>
      </c>
      <c r="I48" s="36">
        <v>6036</v>
      </c>
      <c r="J48" s="36">
        <v>5929</v>
      </c>
      <c r="K48" s="36">
        <v>5822</v>
      </c>
      <c r="L48" s="36">
        <f t="shared" si="161"/>
        <v>5912</v>
      </c>
      <c r="M48" s="36">
        <v>6029</v>
      </c>
      <c r="N48" s="36">
        <v>5893</v>
      </c>
      <c r="O48" s="36">
        <v>5700</v>
      </c>
      <c r="P48" s="36">
        <f t="shared" si="162"/>
        <v>5829</v>
      </c>
      <c r="Q48" s="36">
        <v>6139</v>
      </c>
      <c r="R48" s="36">
        <v>5824</v>
      </c>
      <c r="S48" s="36">
        <v>5496</v>
      </c>
      <c r="T48" s="36">
        <f t="shared" si="163"/>
        <v>5383</v>
      </c>
      <c r="U48" s="36">
        <v>5027</v>
      </c>
      <c r="V48" s="36">
        <v>5383</v>
      </c>
      <c r="W48" s="36">
        <v>8667</v>
      </c>
      <c r="Y48" s="36">
        <f t="shared" si="164"/>
        <v>6029</v>
      </c>
      <c r="Z48" s="36">
        <f t="shared" si="164"/>
        <v>5893</v>
      </c>
      <c r="AA48" s="36">
        <f t="shared" si="165"/>
        <v>5700</v>
      </c>
      <c r="AB48" s="36">
        <f t="shared" si="166"/>
        <v>5829</v>
      </c>
      <c r="AC48" s="36">
        <f t="shared" si="167"/>
        <v>6139</v>
      </c>
      <c r="AD48" s="36">
        <f t="shared" si="168"/>
        <v>5824</v>
      </c>
      <c r="AE48" s="36">
        <f t="shared" si="169"/>
        <v>5496</v>
      </c>
      <c r="AF48" s="36">
        <f t="shared" si="170"/>
        <v>5383</v>
      </c>
      <c r="AG48" s="36">
        <f t="shared" si="171"/>
        <v>5027</v>
      </c>
      <c r="AH48" s="36">
        <f t="shared" si="172"/>
        <v>5383</v>
      </c>
      <c r="AI48" s="36">
        <f t="shared" si="173"/>
        <v>8667</v>
      </c>
      <c r="AJ48" s="13"/>
      <c r="AK48" s="98">
        <f t="shared" si="144"/>
        <v>0.57696506550218341</v>
      </c>
    </row>
    <row r="49" spans="2:37" ht="12.75" customHeight="1" x14ac:dyDescent="0.2">
      <c r="B49" s="11" t="s">
        <v>127</v>
      </c>
      <c r="C49" s="36">
        <v>2192</v>
      </c>
      <c r="D49" s="36">
        <v>840</v>
      </c>
      <c r="E49" s="36">
        <v>0</v>
      </c>
      <c r="F49" s="36">
        <v>0</v>
      </c>
      <c r="G49" s="36">
        <v>0</v>
      </c>
      <c r="I49" s="36">
        <v>0</v>
      </c>
      <c r="J49" s="36">
        <v>0</v>
      </c>
      <c r="K49" s="36">
        <v>0</v>
      </c>
      <c r="L49" s="36">
        <f t="shared" si="161"/>
        <v>0</v>
      </c>
      <c r="M49" s="36">
        <v>0</v>
      </c>
      <c r="N49" s="36">
        <v>0</v>
      </c>
      <c r="O49" s="36">
        <v>0</v>
      </c>
      <c r="P49" s="36">
        <f t="shared" si="162"/>
        <v>0</v>
      </c>
      <c r="Q49" s="36">
        <v>0</v>
      </c>
      <c r="R49" s="36">
        <v>0</v>
      </c>
      <c r="S49" s="36">
        <v>0</v>
      </c>
      <c r="T49" s="36">
        <f t="shared" si="163"/>
        <v>0</v>
      </c>
      <c r="U49" s="36">
        <v>0</v>
      </c>
      <c r="V49" s="36">
        <v>0</v>
      </c>
      <c r="W49" s="36">
        <v>0</v>
      </c>
      <c r="Y49" s="36">
        <f t="shared" si="164"/>
        <v>0</v>
      </c>
      <c r="Z49" s="36">
        <f t="shared" si="164"/>
        <v>0</v>
      </c>
      <c r="AA49" s="36">
        <f t="shared" si="165"/>
        <v>0</v>
      </c>
      <c r="AB49" s="36">
        <f t="shared" si="166"/>
        <v>0</v>
      </c>
      <c r="AC49" s="36">
        <f t="shared" si="167"/>
        <v>0</v>
      </c>
      <c r="AD49" s="36">
        <f t="shared" si="168"/>
        <v>0</v>
      </c>
      <c r="AE49" s="36">
        <f t="shared" si="169"/>
        <v>0</v>
      </c>
      <c r="AF49" s="36">
        <f t="shared" si="170"/>
        <v>0</v>
      </c>
      <c r="AG49" s="36">
        <f t="shared" si="171"/>
        <v>0</v>
      </c>
      <c r="AH49" s="36">
        <f t="shared" si="172"/>
        <v>0</v>
      </c>
      <c r="AI49" s="36">
        <f t="shared" si="173"/>
        <v>0</v>
      </c>
      <c r="AJ49" s="13"/>
      <c r="AK49" s="98" t="e">
        <f t="shared" si="144"/>
        <v>#DIV/0!</v>
      </c>
    </row>
    <row r="50" spans="2:37" ht="12.75" customHeight="1" x14ac:dyDescent="0.2">
      <c r="B50" s="11" t="s">
        <v>128</v>
      </c>
      <c r="C50" s="36">
        <v>35997</v>
      </c>
      <c r="D50" s="36">
        <v>26963</v>
      </c>
      <c r="E50" s="36">
        <v>27591</v>
      </c>
      <c r="F50" s="36">
        <v>27591</v>
      </c>
      <c r="G50" s="36">
        <v>24693</v>
      </c>
      <c r="I50" s="36">
        <v>27011</v>
      </c>
      <c r="J50" s="36">
        <v>27587</v>
      </c>
      <c r="K50" s="36">
        <v>27591</v>
      </c>
      <c r="L50" s="36">
        <f t="shared" si="161"/>
        <v>27591</v>
      </c>
      <c r="M50" s="36">
        <v>27591</v>
      </c>
      <c r="N50" s="36">
        <v>27591</v>
      </c>
      <c r="O50" s="36">
        <v>27591</v>
      </c>
      <c r="P50" s="36">
        <f t="shared" si="162"/>
        <v>27591</v>
      </c>
      <c r="Q50" s="36">
        <v>27440</v>
      </c>
      <c r="R50" s="36">
        <v>27442</v>
      </c>
      <c r="S50" s="36">
        <v>24680</v>
      </c>
      <c r="T50" s="36">
        <f t="shared" si="163"/>
        <v>24693</v>
      </c>
      <c r="U50" s="36">
        <v>24693</v>
      </c>
      <c r="V50" s="36">
        <v>23912</v>
      </c>
      <c r="W50" s="36">
        <v>23912</v>
      </c>
      <c r="Y50" s="36">
        <f t="shared" si="164"/>
        <v>27591</v>
      </c>
      <c r="Z50" s="36">
        <f t="shared" si="164"/>
        <v>27591</v>
      </c>
      <c r="AA50" s="36">
        <f t="shared" si="165"/>
        <v>27591</v>
      </c>
      <c r="AB50" s="36">
        <f t="shared" si="166"/>
        <v>27591</v>
      </c>
      <c r="AC50" s="36">
        <f t="shared" si="167"/>
        <v>27440</v>
      </c>
      <c r="AD50" s="36">
        <f t="shared" si="168"/>
        <v>27442</v>
      </c>
      <c r="AE50" s="36">
        <f t="shared" si="169"/>
        <v>24680</v>
      </c>
      <c r="AF50" s="36">
        <f t="shared" si="170"/>
        <v>24693</v>
      </c>
      <c r="AG50" s="36">
        <f t="shared" si="171"/>
        <v>24693</v>
      </c>
      <c r="AH50" s="36">
        <f t="shared" si="172"/>
        <v>23912</v>
      </c>
      <c r="AI50" s="36">
        <f t="shared" si="173"/>
        <v>23912</v>
      </c>
      <c r="AJ50" s="13"/>
      <c r="AK50" s="98">
        <f t="shared" si="144"/>
        <v>-3.1118314424635307E-2</v>
      </c>
    </row>
    <row r="51" spans="2:37" ht="12.75" customHeight="1" x14ac:dyDescent="0.2">
      <c r="B51" s="11" t="s">
        <v>33</v>
      </c>
      <c r="C51" s="36">
        <v>5917</v>
      </c>
      <c r="D51" s="36">
        <v>13342</v>
      </c>
      <c r="E51" s="36">
        <v>17333</v>
      </c>
      <c r="F51" s="36">
        <v>18236</v>
      </c>
      <c r="G51" s="36">
        <v>11166</v>
      </c>
      <c r="I51" s="36">
        <v>14023</v>
      </c>
      <c r="J51" s="36">
        <v>14654</v>
      </c>
      <c r="K51" s="36">
        <v>16402</v>
      </c>
      <c r="L51" s="36">
        <f t="shared" si="161"/>
        <v>17333</v>
      </c>
      <c r="M51" s="36">
        <v>17635</v>
      </c>
      <c r="N51" s="36">
        <v>17844</v>
      </c>
      <c r="O51" s="36">
        <v>18383</v>
      </c>
      <c r="P51" s="36">
        <f t="shared" si="162"/>
        <v>18236</v>
      </c>
      <c r="Q51" s="36">
        <v>16622</v>
      </c>
      <c r="R51" s="36">
        <v>18712</v>
      </c>
      <c r="S51" s="36">
        <v>12981</v>
      </c>
      <c r="T51" s="36">
        <f t="shared" si="163"/>
        <v>11166</v>
      </c>
      <c r="U51" s="36">
        <v>10625</v>
      </c>
      <c r="V51" s="36">
        <v>10340</v>
      </c>
      <c r="W51" s="36">
        <v>15157</v>
      </c>
      <c r="Y51" s="36">
        <f t="shared" si="164"/>
        <v>17635</v>
      </c>
      <c r="Z51" s="36">
        <f t="shared" si="164"/>
        <v>17844</v>
      </c>
      <c r="AA51" s="36">
        <f t="shared" si="165"/>
        <v>18383</v>
      </c>
      <c r="AB51" s="36">
        <f t="shared" si="166"/>
        <v>18236</v>
      </c>
      <c r="AC51" s="36">
        <f t="shared" si="167"/>
        <v>16622</v>
      </c>
      <c r="AD51" s="36">
        <f t="shared" si="168"/>
        <v>18712</v>
      </c>
      <c r="AE51" s="36">
        <f t="shared" si="169"/>
        <v>12981</v>
      </c>
      <c r="AF51" s="36">
        <f t="shared" si="170"/>
        <v>11166</v>
      </c>
      <c r="AG51" s="36">
        <f t="shared" si="171"/>
        <v>10625</v>
      </c>
      <c r="AH51" s="36">
        <f t="shared" si="172"/>
        <v>10340</v>
      </c>
      <c r="AI51" s="36">
        <f t="shared" si="173"/>
        <v>15157</v>
      </c>
      <c r="AJ51" s="13"/>
      <c r="AK51" s="98">
        <f t="shared" si="144"/>
        <v>0.1676296125105925</v>
      </c>
    </row>
    <row r="52" spans="2:37" ht="12.75" customHeight="1" x14ac:dyDescent="0.2">
      <c r="B52" s="15" t="s">
        <v>50</v>
      </c>
      <c r="C52" s="16">
        <f>SUM(C47:C51)+C45</f>
        <v>153091</v>
      </c>
      <c r="D52" s="39">
        <f>SUM(D47:D51)+D45</f>
        <v>168406</v>
      </c>
      <c r="E52" s="16">
        <f>SUM(E47:E51)+E45</f>
        <v>182103</v>
      </c>
      <c r="F52" s="16">
        <f>SUM(F47:F51)+F45</f>
        <v>191572</v>
      </c>
      <c r="G52" s="16">
        <f>SUM(G47:G51)+G45</f>
        <v>196485</v>
      </c>
      <c r="I52" s="16">
        <f t="shared" ref="I52:V52" si="174">SUM(I47:I51)+I45</f>
        <v>176356</v>
      </c>
      <c r="J52" s="16">
        <f t="shared" si="174"/>
        <v>170418</v>
      </c>
      <c r="K52" s="16">
        <f t="shared" si="174"/>
        <v>174841</v>
      </c>
      <c r="L52" s="16">
        <f t="shared" si="174"/>
        <v>182103</v>
      </c>
      <c r="M52" s="16">
        <f t="shared" si="174"/>
        <v>185303</v>
      </c>
      <c r="N52" s="16">
        <f t="shared" si="174"/>
        <v>185629</v>
      </c>
      <c r="O52" s="16">
        <f t="shared" si="174"/>
        <v>188837</v>
      </c>
      <c r="P52" s="16">
        <f t="shared" si="174"/>
        <v>191572</v>
      </c>
      <c r="Q52" s="16">
        <f t="shared" si="174"/>
        <v>192733</v>
      </c>
      <c r="R52" s="16">
        <f t="shared" si="174"/>
        <v>206205</v>
      </c>
      <c r="S52" s="16">
        <f t="shared" si="174"/>
        <v>193542</v>
      </c>
      <c r="T52" s="16">
        <f t="shared" si="174"/>
        <v>196485</v>
      </c>
      <c r="U52" s="16">
        <f t="shared" si="174"/>
        <v>192242</v>
      </c>
      <c r="V52" s="16">
        <f t="shared" si="174"/>
        <v>192520</v>
      </c>
      <c r="W52" s="16">
        <f t="shared" ref="W52" si="175">SUM(W47:W51)+W45</f>
        <v>204514</v>
      </c>
      <c r="Y52" s="16">
        <f t="shared" ref="Y52" si="176">SUM(Y47:Y51)+Y45</f>
        <v>185303</v>
      </c>
      <c r="Z52" s="16">
        <f t="shared" ref="Z52:AE52" si="177">SUM(Z47:Z51)+Z45</f>
        <v>185629</v>
      </c>
      <c r="AA52" s="16">
        <f t="shared" si="177"/>
        <v>188837</v>
      </c>
      <c r="AB52" s="16">
        <f t="shared" si="177"/>
        <v>191572</v>
      </c>
      <c r="AC52" s="16">
        <f t="shared" si="177"/>
        <v>192733</v>
      </c>
      <c r="AD52" s="16">
        <f t="shared" si="177"/>
        <v>206205</v>
      </c>
      <c r="AE52" s="16">
        <f t="shared" si="177"/>
        <v>193542</v>
      </c>
      <c r="AF52" s="16">
        <f t="shared" ref="AF52:AH52" si="178">SUM(AF47:AF51)+AF45</f>
        <v>196485</v>
      </c>
      <c r="AG52" s="16">
        <f t="shared" si="178"/>
        <v>192242</v>
      </c>
      <c r="AH52" s="16">
        <f t="shared" si="178"/>
        <v>192520</v>
      </c>
      <c r="AI52" s="16">
        <f t="shared" ref="AI52" si="179">SUM(AI47:AI51)+AI45</f>
        <v>204514</v>
      </c>
      <c r="AJ52" s="51"/>
      <c r="AK52" s="99">
        <f t="shared" si="144"/>
        <v>5.6690537454402667E-2</v>
      </c>
    </row>
    <row r="53" spans="2:37" ht="12.75" customHeight="1" x14ac:dyDescent="0.2">
      <c r="B53" s="29"/>
      <c r="C53" s="62"/>
      <c r="D53" s="62"/>
      <c r="E53" s="62"/>
      <c r="F53" s="50"/>
      <c r="G53" s="50"/>
      <c r="I53" s="50"/>
      <c r="J53" s="50"/>
      <c r="K53" s="50"/>
      <c r="L53" s="50"/>
      <c r="M53" s="50"/>
      <c r="N53" s="50"/>
      <c r="O53" s="50"/>
      <c r="P53" s="50"/>
      <c r="Q53" s="50"/>
      <c r="R53" s="50"/>
      <c r="Y53" s="51"/>
      <c r="Z53" s="51"/>
      <c r="AA53" s="51"/>
      <c r="AB53" s="51"/>
      <c r="AC53" s="51"/>
      <c r="AD53" s="51"/>
      <c r="AE53" s="51"/>
      <c r="AF53" s="51"/>
      <c r="AG53" s="51"/>
      <c r="AH53" s="51"/>
      <c r="AI53" s="51"/>
      <c r="AJ53" s="51"/>
      <c r="AK53" s="48"/>
    </row>
    <row r="54" spans="2:37" ht="12.75" customHeight="1" x14ac:dyDescent="0.2">
      <c r="B54" s="11" t="s">
        <v>34</v>
      </c>
      <c r="C54" s="36">
        <v>2504</v>
      </c>
      <c r="D54" s="36">
        <v>4591</v>
      </c>
      <c r="E54" s="36">
        <v>4367</v>
      </c>
      <c r="F54" s="36">
        <v>2288</v>
      </c>
      <c r="G54" s="36">
        <v>3729</v>
      </c>
      <c r="I54" s="36">
        <v>4459</v>
      </c>
      <c r="J54" s="36">
        <v>2882</v>
      </c>
      <c r="K54" s="36">
        <v>2283</v>
      </c>
      <c r="L54" s="36">
        <f t="shared" ref="L54:L60" si="180">E54</f>
        <v>4367</v>
      </c>
      <c r="M54" s="36">
        <v>1437</v>
      </c>
      <c r="N54" s="36">
        <v>2711</v>
      </c>
      <c r="O54" s="36">
        <v>2288</v>
      </c>
      <c r="P54" s="36">
        <f t="shared" ref="P54:P60" si="181">F54</f>
        <v>2288</v>
      </c>
      <c r="Q54" s="36">
        <v>4581</v>
      </c>
      <c r="R54" s="36">
        <v>4695</v>
      </c>
      <c r="S54" s="36">
        <v>3765</v>
      </c>
      <c r="T54" s="36">
        <f t="shared" ref="T54:T60" si="182">G54</f>
        <v>3729</v>
      </c>
      <c r="U54" s="36">
        <v>5240</v>
      </c>
      <c r="V54" s="36">
        <v>6731</v>
      </c>
      <c r="W54" s="36">
        <v>2496</v>
      </c>
      <c r="Y54" s="36">
        <f t="shared" ref="Y54:Z60" si="183">M54</f>
        <v>1437</v>
      </c>
      <c r="Z54" s="36">
        <f t="shared" si="183"/>
        <v>2711</v>
      </c>
      <c r="AA54" s="36">
        <f t="shared" ref="AA54:AA60" si="184">O54</f>
        <v>2288</v>
      </c>
      <c r="AB54" s="36">
        <f t="shared" ref="AB54:AB60" si="185">P54</f>
        <v>2288</v>
      </c>
      <c r="AC54" s="36">
        <f t="shared" ref="AC54:AC60" si="186">Q54</f>
        <v>4581</v>
      </c>
      <c r="AD54" s="36">
        <f t="shared" ref="AD54:AD60" si="187">R54</f>
        <v>4695</v>
      </c>
      <c r="AE54" s="36">
        <f t="shared" ref="AE54:AE60" si="188">S54</f>
        <v>3765</v>
      </c>
      <c r="AF54" s="36">
        <f t="shared" ref="AF54:AF60" si="189">T54</f>
        <v>3729</v>
      </c>
      <c r="AG54" s="36">
        <f t="shared" ref="AG54:AG60" si="190">U54</f>
        <v>5240</v>
      </c>
      <c r="AH54" s="36">
        <f t="shared" ref="AH54:AH60" si="191">V54</f>
        <v>6731</v>
      </c>
      <c r="AI54" s="36">
        <f t="shared" ref="AI54:AI60" si="192">W54</f>
        <v>2496</v>
      </c>
      <c r="AJ54" s="13"/>
      <c r="AK54" s="98">
        <f t="shared" si="144"/>
        <v>-0.33705179282868525</v>
      </c>
    </row>
    <row r="55" spans="2:37" ht="12.75" customHeight="1" x14ac:dyDescent="0.2">
      <c r="B55" s="11" t="s">
        <v>18</v>
      </c>
      <c r="C55" s="36">
        <v>5581</v>
      </c>
      <c r="D55" s="36">
        <v>5747</v>
      </c>
      <c r="E55" s="36">
        <v>9595</v>
      </c>
      <c r="F55" s="36">
        <v>8578</v>
      </c>
      <c r="G55" s="36">
        <v>12556</v>
      </c>
      <c r="I55" s="36">
        <v>7210</v>
      </c>
      <c r="J55" s="36">
        <v>7945</v>
      </c>
      <c r="K55" s="36">
        <v>7133</v>
      </c>
      <c r="L55" s="36">
        <f t="shared" si="180"/>
        <v>9595</v>
      </c>
      <c r="M55" s="36">
        <v>8083</v>
      </c>
      <c r="N55" s="36">
        <v>8757</v>
      </c>
      <c r="O55" s="36">
        <v>8669</v>
      </c>
      <c r="P55" s="36">
        <f t="shared" si="181"/>
        <v>8578</v>
      </c>
      <c r="Q55" s="36">
        <v>8559</v>
      </c>
      <c r="R55" s="36">
        <v>9618</v>
      </c>
      <c r="S55" s="36">
        <v>11074</v>
      </c>
      <c r="T55" s="36">
        <f t="shared" si="182"/>
        <v>12556</v>
      </c>
      <c r="U55" s="36">
        <v>10896</v>
      </c>
      <c r="V55" s="36">
        <v>10666</v>
      </c>
      <c r="W55" s="36">
        <v>10268</v>
      </c>
      <c r="Y55" s="36">
        <f t="shared" si="183"/>
        <v>8083</v>
      </c>
      <c r="Z55" s="36">
        <f t="shared" si="183"/>
        <v>8757</v>
      </c>
      <c r="AA55" s="36">
        <f t="shared" si="184"/>
        <v>8669</v>
      </c>
      <c r="AB55" s="36">
        <f t="shared" si="185"/>
        <v>8578</v>
      </c>
      <c r="AC55" s="36">
        <f t="shared" si="186"/>
        <v>8559</v>
      </c>
      <c r="AD55" s="36">
        <f t="shared" si="187"/>
        <v>9618</v>
      </c>
      <c r="AE55" s="36">
        <f t="shared" si="188"/>
        <v>11074</v>
      </c>
      <c r="AF55" s="36">
        <f t="shared" si="189"/>
        <v>12556</v>
      </c>
      <c r="AG55" s="36">
        <f t="shared" si="190"/>
        <v>10896</v>
      </c>
      <c r="AH55" s="36">
        <f t="shared" si="191"/>
        <v>10666</v>
      </c>
      <c r="AI55" s="36">
        <f t="shared" si="192"/>
        <v>10268</v>
      </c>
      <c r="AJ55" s="13"/>
      <c r="AK55" s="98">
        <f t="shared" si="144"/>
        <v>-7.2783095539100562E-2</v>
      </c>
    </row>
    <row r="56" spans="2:37" ht="12.75" customHeight="1" x14ac:dyDescent="0.2">
      <c r="B56" s="11" t="s">
        <v>19</v>
      </c>
      <c r="C56" s="36">
        <v>3999</v>
      </c>
      <c r="D56" s="36">
        <v>4535</v>
      </c>
      <c r="E56" s="36">
        <v>4084</v>
      </c>
      <c r="F56" s="36">
        <v>3655</v>
      </c>
      <c r="G56" s="36">
        <v>3343</v>
      </c>
      <c r="I56" s="36">
        <v>2731</v>
      </c>
      <c r="J56" s="36">
        <v>2730</v>
      </c>
      <c r="K56" s="36">
        <v>3421</v>
      </c>
      <c r="L56" s="36">
        <f t="shared" si="180"/>
        <v>4084</v>
      </c>
      <c r="M56" s="36">
        <v>2497</v>
      </c>
      <c r="N56" s="36">
        <v>2887</v>
      </c>
      <c r="O56" s="36">
        <v>3115</v>
      </c>
      <c r="P56" s="36">
        <f t="shared" si="181"/>
        <v>3655</v>
      </c>
      <c r="Q56" s="36">
        <v>2506</v>
      </c>
      <c r="R56" s="36">
        <v>2651</v>
      </c>
      <c r="S56" s="36">
        <v>5015</v>
      </c>
      <c r="T56" s="36">
        <f t="shared" si="182"/>
        <v>3343</v>
      </c>
      <c r="U56" s="36">
        <v>2652</v>
      </c>
      <c r="V56" s="36">
        <v>4249</v>
      </c>
      <c r="W56" s="36">
        <v>3756</v>
      </c>
      <c r="Y56" s="36">
        <f t="shared" si="183"/>
        <v>2497</v>
      </c>
      <c r="Z56" s="36">
        <f t="shared" si="183"/>
        <v>2887</v>
      </c>
      <c r="AA56" s="36">
        <f t="shared" si="184"/>
        <v>3115</v>
      </c>
      <c r="AB56" s="36">
        <f t="shared" si="185"/>
        <v>3655</v>
      </c>
      <c r="AC56" s="36">
        <f t="shared" si="186"/>
        <v>2506</v>
      </c>
      <c r="AD56" s="36">
        <f t="shared" si="187"/>
        <v>2651</v>
      </c>
      <c r="AE56" s="36">
        <f t="shared" si="188"/>
        <v>5015</v>
      </c>
      <c r="AF56" s="36">
        <f t="shared" si="189"/>
        <v>3343</v>
      </c>
      <c r="AG56" s="36">
        <f t="shared" si="190"/>
        <v>2652</v>
      </c>
      <c r="AH56" s="36">
        <f t="shared" si="191"/>
        <v>4249</v>
      </c>
      <c r="AI56" s="36">
        <f t="shared" si="192"/>
        <v>3756</v>
      </c>
      <c r="AJ56" s="13"/>
      <c r="AK56" s="98">
        <f t="shared" si="144"/>
        <v>-0.25104685942173477</v>
      </c>
    </row>
    <row r="57" spans="2:37" ht="12.75" customHeight="1" x14ac:dyDescent="0.2">
      <c r="B57" s="11" t="s">
        <v>129</v>
      </c>
      <c r="C57" s="36">
        <v>0</v>
      </c>
      <c r="D57" s="36">
        <v>0</v>
      </c>
      <c r="E57" s="36">
        <v>0</v>
      </c>
      <c r="F57" s="36">
        <v>0</v>
      </c>
      <c r="G57" s="36">
        <v>0</v>
      </c>
      <c r="I57" s="36">
        <v>0</v>
      </c>
      <c r="J57" s="36">
        <v>0</v>
      </c>
      <c r="K57" s="36">
        <v>0</v>
      </c>
      <c r="L57" s="36">
        <f t="shared" si="180"/>
        <v>0</v>
      </c>
      <c r="M57" s="36">
        <v>0</v>
      </c>
      <c r="N57" s="36">
        <v>0</v>
      </c>
      <c r="O57" s="36">
        <v>0</v>
      </c>
      <c r="P57" s="36">
        <f t="shared" si="181"/>
        <v>0</v>
      </c>
      <c r="Q57" s="36">
        <v>0</v>
      </c>
      <c r="R57" s="36">
        <v>0</v>
      </c>
      <c r="S57" s="36">
        <v>0</v>
      </c>
      <c r="T57" s="36">
        <f t="shared" si="182"/>
        <v>0</v>
      </c>
      <c r="U57" s="36">
        <v>0</v>
      </c>
      <c r="V57" s="36">
        <v>0</v>
      </c>
      <c r="W57" s="36">
        <v>0</v>
      </c>
      <c r="Y57" s="36">
        <f t="shared" si="183"/>
        <v>0</v>
      </c>
      <c r="Z57" s="36">
        <f t="shared" si="183"/>
        <v>0</v>
      </c>
      <c r="AA57" s="36">
        <f t="shared" si="184"/>
        <v>0</v>
      </c>
      <c r="AB57" s="36">
        <f t="shared" si="185"/>
        <v>0</v>
      </c>
      <c r="AC57" s="36">
        <f t="shared" si="186"/>
        <v>0</v>
      </c>
      <c r="AD57" s="36">
        <f t="shared" si="187"/>
        <v>0</v>
      </c>
      <c r="AE57" s="36">
        <f t="shared" si="188"/>
        <v>0</v>
      </c>
      <c r="AF57" s="36">
        <f t="shared" si="189"/>
        <v>0</v>
      </c>
      <c r="AG57" s="36">
        <f t="shared" si="190"/>
        <v>0</v>
      </c>
      <c r="AH57" s="36">
        <f t="shared" si="191"/>
        <v>0</v>
      </c>
      <c r="AI57" s="36">
        <f t="shared" si="192"/>
        <v>0</v>
      </c>
      <c r="AJ57" s="13"/>
      <c r="AK57" s="98" t="e">
        <f t="shared" si="144"/>
        <v>#DIV/0!</v>
      </c>
    </row>
    <row r="58" spans="2:37" ht="12.75" customHeight="1" x14ac:dyDescent="0.2">
      <c r="B58" s="11" t="s">
        <v>130</v>
      </c>
      <c r="C58" s="36">
        <v>0</v>
      </c>
      <c r="D58" s="36">
        <v>0</v>
      </c>
      <c r="E58" s="36">
        <v>0</v>
      </c>
      <c r="F58" s="36">
        <v>0</v>
      </c>
      <c r="G58" s="36">
        <v>0</v>
      </c>
      <c r="I58" s="36">
        <v>0</v>
      </c>
      <c r="J58" s="36">
        <v>0</v>
      </c>
      <c r="K58" s="36">
        <v>0</v>
      </c>
      <c r="L58" s="36">
        <f t="shared" si="180"/>
        <v>0</v>
      </c>
      <c r="M58" s="36">
        <v>0</v>
      </c>
      <c r="N58" s="36">
        <v>0</v>
      </c>
      <c r="O58" s="36">
        <v>0</v>
      </c>
      <c r="P58" s="36">
        <f t="shared" si="181"/>
        <v>0</v>
      </c>
      <c r="Q58" s="36">
        <v>0</v>
      </c>
      <c r="R58" s="36">
        <v>0</v>
      </c>
      <c r="S58" s="36">
        <v>0</v>
      </c>
      <c r="T58" s="36">
        <f t="shared" si="182"/>
        <v>0</v>
      </c>
      <c r="U58" s="36">
        <v>0</v>
      </c>
      <c r="V58" s="36">
        <v>0</v>
      </c>
      <c r="W58" s="36">
        <v>0</v>
      </c>
      <c r="Y58" s="36">
        <f t="shared" si="183"/>
        <v>0</v>
      </c>
      <c r="Z58" s="36">
        <f t="shared" si="183"/>
        <v>0</v>
      </c>
      <c r="AA58" s="36">
        <f t="shared" si="184"/>
        <v>0</v>
      </c>
      <c r="AB58" s="36">
        <f t="shared" si="185"/>
        <v>0</v>
      </c>
      <c r="AC58" s="36">
        <f t="shared" si="186"/>
        <v>0</v>
      </c>
      <c r="AD58" s="36">
        <f t="shared" si="187"/>
        <v>0</v>
      </c>
      <c r="AE58" s="36">
        <f t="shared" si="188"/>
        <v>0</v>
      </c>
      <c r="AF58" s="36">
        <f t="shared" si="189"/>
        <v>0</v>
      </c>
      <c r="AG58" s="36">
        <f t="shared" si="190"/>
        <v>0</v>
      </c>
      <c r="AH58" s="36">
        <f t="shared" si="191"/>
        <v>0</v>
      </c>
      <c r="AI58" s="36">
        <f t="shared" si="192"/>
        <v>0</v>
      </c>
      <c r="AJ58" s="13"/>
      <c r="AK58" s="98" t="e">
        <f t="shared" si="144"/>
        <v>#DIV/0!</v>
      </c>
    </row>
    <row r="59" spans="2:37" ht="12.75" customHeight="1" x14ac:dyDescent="0.2">
      <c r="B59" s="11" t="s">
        <v>35</v>
      </c>
      <c r="C59" s="36">
        <v>0</v>
      </c>
      <c r="D59" s="36">
        <v>0</v>
      </c>
      <c r="E59" s="36">
        <v>0</v>
      </c>
      <c r="F59" s="36">
        <v>1107</v>
      </c>
      <c r="G59" s="36">
        <v>1756</v>
      </c>
      <c r="I59" s="36">
        <v>0</v>
      </c>
      <c r="J59" s="36">
        <v>0</v>
      </c>
      <c r="K59" s="36">
        <v>0</v>
      </c>
      <c r="L59" s="36">
        <f t="shared" si="180"/>
        <v>0</v>
      </c>
      <c r="M59" s="36">
        <v>0</v>
      </c>
      <c r="N59" s="36">
        <v>0</v>
      </c>
      <c r="O59" s="36">
        <v>0</v>
      </c>
      <c r="P59" s="36">
        <f t="shared" si="181"/>
        <v>1107</v>
      </c>
      <c r="Q59" s="36">
        <v>346</v>
      </c>
      <c r="R59" s="36">
        <v>1856</v>
      </c>
      <c r="S59" s="36">
        <v>2440</v>
      </c>
      <c r="T59" s="36">
        <f t="shared" si="182"/>
        <v>1756</v>
      </c>
      <c r="U59" s="36">
        <v>1873</v>
      </c>
      <c r="V59" s="36">
        <v>887</v>
      </c>
      <c r="W59" s="36">
        <v>825</v>
      </c>
      <c r="Y59" s="36">
        <f t="shared" si="183"/>
        <v>0</v>
      </c>
      <c r="Z59" s="36">
        <f t="shared" si="183"/>
        <v>0</v>
      </c>
      <c r="AA59" s="36">
        <f t="shared" si="184"/>
        <v>0</v>
      </c>
      <c r="AB59" s="36">
        <f t="shared" si="185"/>
        <v>1107</v>
      </c>
      <c r="AC59" s="36">
        <f t="shared" si="186"/>
        <v>346</v>
      </c>
      <c r="AD59" s="36">
        <f t="shared" si="187"/>
        <v>1856</v>
      </c>
      <c r="AE59" s="36">
        <f t="shared" si="188"/>
        <v>2440</v>
      </c>
      <c r="AF59" s="36">
        <f t="shared" si="189"/>
        <v>1756</v>
      </c>
      <c r="AG59" s="36">
        <f t="shared" si="190"/>
        <v>1873</v>
      </c>
      <c r="AH59" s="36">
        <f t="shared" si="191"/>
        <v>887</v>
      </c>
      <c r="AI59" s="36">
        <f t="shared" si="192"/>
        <v>825</v>
      </c>
      <c r="AJ59" s="13"/>
      <c r="AK59" s="98">
        <f t="shared" si="144"/>
        <v>-0.66188524590163933</v>
      </c>
    </row>
    <row r="60" spans="2:37" ht="12.75" customHeight="1" x14ac:dyDescent="0.2">
      <c r="B60" s="11" t="s">
        <v>36</v>
      </c>
      <c r="C60" s="36">
        <v>12670</v>
      </c>
      <c r="D60" s="36">
        <v>12589</v>
      </c>
      <c r="E60" s="36">
        <v>14109</v>
      </c>
      <c r="F60" s="36">
        <v>12425</v>
      </c>
      <c r="G60" s="36">
        <v>14282</v>
      </c>
      <c r="I60" s="36">
        <v>14922</v>
      </c>
      <c r="J60" s="36">
        <v>13661</v>
      </c>
      <c r="K60" s="36">
        <v>14976</v>
      </c>
      <c r="L60" s="36">
        <f t="shared" si="180"/>
        <v>14109</v>
      </c>
      <c r="M60" s="36">
        <v>15376</v>
      </c>
      <c r="N60" s="36">
        <v>12825</v>
      </c>
      <c r="O60" s="36">
        <v>14542</v>
      </c>
      <c r="P60" s="36">
        <f t="shared" si="181"/>
        <v>12425</v>
      </c>
      <c r="Q60" s="36">
        <v>11221</v>
      </c>
      <c r="R60" s="36">
        <v>13207</v>
      </c>
      <c r="S60" s="36">
        <v>12865</v>
      </c>
      <c r="T60" s="36">
        <f t="shared" si="182"/>
        <v>14282</v>
      </c>
      <c r="U60" s="36">
        <v>11513</v>
      </c>
      <c r="V60" s="36">
        <v>12433</v>
      </c>
      <c r="W60" s="36">
        <v>14952</v>
      </c>
      <c r="Y60" s="36">
        <f t="shared" si="183"/>
        <v>15376</v>
      </c>
      <c r="Z60" s="36">
        <f t="shared" si="183"/>
        <v>12825</v>
      </c>
      <c r="AA60" s="36">
        <f t="shared" si="184"/>
        <v>14542</v>
      </c>
      <c r="AB60" s="36">
        <f t="shared" si="185"/>
        <v>12425</v>
      </c>
      <c r="AC60" s="36">
        <f t="shared" si="186"/>
        <v>11221</v>
      </c>
      <c r="AD60" s="36">
        <f t="shared" si="187"/>
        <v>13207</v>
      </c>
      <c r="AE60" s="36">
        <f t="shared" si="188"/>
        <v>12865</v>
      </c>
      <c r="AF60" s="36">
        <f t="shared" si="189"/>
        <v>14282</v>
      </c>
      <c r="AG60" s="36">
        <f t="shared" si="190"/>
        <v>11513</v>
      </c>
      <c r="AH60" s="36">
        <f t="shared" si="191"/>
        <v>12433</v>
      </c>
      <c r="AI60" s="36">
        <f t="shared" si="192"/>
        <v>14952</v>
      </c>
      <c r="AJ60" s="13"/>
      <c r="AK60" s="98">
        <f t="shared" si="144"/>
        <v>0.16222308589195489</v>
      </c>
    </row>
    <row r="61" spans="2:37" ht="12.75" customHeight="1" x14ac:dyDescent="0.2">
      <c r="B61" s="29" t="s">
        <v>47</v>
      </c>
      <c r="C61" s="30">
        <f>SUM(C54:C60)</f>
        <v>24754</v>
      </c>
      <c r="D61" s="30">
        <f>SUM(D54:D60)</f>
        <v>27462</v>
      </c>
      <c r="E61" s="30">
        <f>SUM(E54:E60)</f>
        <v>32155</v>
      </c>
      <c r="F61" s="30">
        <f>SUM(F54:F60)</f>
        <v>28053</v>
      </c>
      <c r="G61" s="30">
        <f>SUM(G54:G60)</f>
        <v>35666</v>
      </c>
      <c r="I61" s="30">
        <f>SUM(I54:I60)</f>
        <v>29322</v>
      </c>
      <c r="J61" s="30">
        <f>SUM(J54:J60)</f>
        <v>27218</v>
      </c>
      <c r="K61" s="30">
        <f>SUM(K54:K60)</f>
        <v>27813</v>
      </c>
      <c r="L61" s="30">
        <f>SUM(L54:L60)</f>
        <v>32155</v>
      </c>
      <c r="M61" s="30">
        <f>SUM(M54:M60)</f>
        <v>27393</v>
      </c>
      <c r="N61" s="30">
        <f>SUM(N54:N60)</f>
        <v>27180</v>
      </c>
      <c r="O61" s="30">
        <f>SUM(O54:O60)</f>
        <v>28614</v>
      </c>
      <c r="P61" s="30">
        <f>SUM(P54:P60)</f>
        <v>28053</v>
      </c>
      <c r="Q61" s="30">
        <f>SUM(Q54:Q60)</f>
        <v>27213</v>
      </c>
      <c r="R61" s="30">
        <f>SUM(R54:R60)</f>
        <v>32027</v>
      </c>
      <c r="S61" s="30">
        <f>SUM(S54:S60)</f>
        <v>35159</v>
      </c>
      <c r="T61" s="30">
        <f>SUM(T54:T60)</f>
        <v>35666</v>
      </c>
      <c r="U61" s="30">
        <f>SUM(U54:U60)</f>
        <v>32174</v>
      </c>
      <c r="V61" s="30">
        <f>SUM(V54:V60)</f>
        <v>34966</v>
      </c>
      <c r="W61" s="30">
        <f>SUM(W54:W60)</f>
        <v>32297</v>
      </c>
      <c r="X61" s="60"/>
      <c r="Y61" s="30">
        <f t="shared" ref="Y61:Z61" si="193">SUM(Y54:Y60)</f>
        <v>27393</v>
      </c>
      <c r="Z61" s="30">
        <f t="shared" si="193"/>
        <v>27180</v>
      </c>
      <c r="AA61" s="30">
        <f t="shared" ref="AA61" si="194">SUM(AA54:AA60)</f>
        <v>28614</v>
      </c>
      <c r="AB61" s="30">
        <f t="shared" ref="AB61" si="195">SUM(AB54:AB60)</f>
        <v>28053</v>
      </c>
      <c r="AC61" s="30">
        <f t="shared" ref="AC61" si="196">SUM(AC54:AC60)</f>
        <v>27213</v>
      </c>
      <c r="AD61" s="30">
        <f t="shared" ref="AD61" si="197">SUM(AD54:AD60)</f>
        <v>32027</v>
      </c>
      <c r="AE61" s="30">
        <f t="shared" ref="AE61" si="198">SUM(AE54:AE60)</f>
        <v>35159</v>
      </c>
      <c r="AF61" s="30">
        <f t="shared" ref="AF61:AH61" si="199">SUM(AF54:AF60)</f>
        <v>35666</v>
      </c>
      <c r="AG61" s="30">
        <f t="shared" si="199"/>
        <v>32174</v>
      </c>
      <c r="AH61" s="30">
        <f t="shared" si="199"/>
        <v>34966</v>
      </c>
      <c r="AI61" s="30">
        <f>SUM(AI54:AI60)</f>
        <v>32297</v>
      </c>
      <c r="AJ61" s="51"/>
      <c r="AK61" s="99">
        <f t="shared" si="144"/>
        <v>-8.1401632583406824E-2</v>
      </c>
    </row>
    <row r="62" spans="2:37" ht="5.0999999999999996" customHeight="1" x14ac:dyDescent="0.2">
      <c r="B62" s="29"/>
      <c r="C62" s="62"/>
      <c r="D62" s="62"/>
      <c r="E62" s="62"/>
      <c r="F62" s="50"/>
      <c r="G62" s="50"/>
      <c r="I62" s="50"/>
      <c r="J62" s="50"/>
      <c r="K62" s="50"/>
      <c r="L62" s="50"/>
      <c r="M62" s="50"/>
      <c r="N62" s="50"/>
      <c r="O62" s="50"/>
      <c r="P62" s="50"/>
      <c r="Q62" s="50"/>
      <c r="R62" s="50"/>
      <c r="Y62" s="51"/>
      <c r="Z62" s="51"/>
      <c r="AA62" s="51"/>
      <c r="AB62" s="51"/>
      <c r="AC62" s="51"/>
      <c r="AD62" s="51"/>
      <c r="AE62" s="51"/>
      <c r="AF62" s="51"/>
      <c r="AG62" s="51"/>
      <c r="AH62" s="51"/>
      <c r="AI62" s="51"/>
      <c r="AJ62" s="51"/>
      <c r="AK62" s="48"/>
    </row>
    <row r="63" spans="2:37" ht="12.75" customHeight="1" x14ac:dyDescent="0.2">
      <c r="B63" s="11" t="s">
        <v>131</v>
      </c>
      <c r="C63" s="36">
        <v>33897</v>
      </c>
      <c r="D63" s="36">
        <v>33510</v>
      </c>
      <c r="E63" s="36">
        <v>37684</v>
      </c>
      <c r="F63" s="36">
        <v>46978</v>
      </c>
      <c r="G63" s="36">
        <v>46282</v>
      </c>
      <c r="H63" s="63"/>
      <c r="I63" s="36">
        <v>32788</v>
      </c>
      <c r="J63" s="36">
        <v>32548</v>
      </c>
      <c r="K63" s="36">
        <v>37240</v>
      </c>
      <c r="L63" s="36">
        <f t="shared" ref="L63:L65" si="200">E63</f>
        <v>37684</v>
      </c>
      <c r="M63" s="36">
        <v>48836</v>
      </c>
      <c r="N63" s="36">
        <v>46335</v>
      </c>
      <c r="O63" s="36">
        <v>46591</v>
      </c>
      <c r="P63" s="36">
        <f t="shared" ref="P63:P65" si="201">F63</f>
        <v>46978</v>
      </c>
      <c r="Q63" s="36">
        <v>47869</v>
      </c>
      <c r="R63" s="36">
        <v>48334</v>
      </c>
      <c r="S63" s="36">
        <v>46471</v>
      </c>
      <c r="T63" s="36">
        <f t="shared" ref="T63:T65" si="202">G63</f>
        <v>46282</v>
      </c>
      <c r="U63" s="36">
        <v>44911</v>
      </c>
      <c r="V63" s="36">
        <v>44026</v>
      </c>
      <c r="W63" s="36">
        <v>44057</v>
      </c>
      <c r="Y63" s="36">
        <f t="shared" ref="Y63:Z65" si="203">M63</f>
        <v>48836</v>
      </c>
      <c r="Z63" s="36">
        <f t="shared" si="203"/>
        <v>46335</v>
      </c>
      <c r="AA63" s="36">
        <f t="shared" ref="AA63:AA65" si="204">O63</f>
        <v>46591</v>
      </c>
      <c r="AB63" s="36">
        <f t="shared" ref="AB63:AB65" si="205">P63</f>
        <v>46978</v>
      </c>
      <c r="AC63" s="36">
        <f t="shared" ref="AC63:AC65" si="206">Q63</f>
        <v>47869</v>
      </c>
      <c r="AD63" s="36">
        <f t="shared" ref="AD63:AD65" si="207">R63</f>
        <v>48334</v>
      </c>
      <c r="AE63" s="36">
        <f t="shared" ref="AE63:AE65" si="208">S63</f>
        <v>46471</v>
      </c>
      <c r="AF63" s="36">
        <f t="shared" ref="AF63:AF65" si="209">T63</f>
        <v>46282</v>
      </c>
      <c r="AG63" s="36">
        <f t="shared" ref="AG63:AG65" si="210">U63</f>
        <v>44911</v>
      </c>
      <c r="AH63" s="36">
        <f t="shared" ref="AH63:AH65" si="211">V63</f>
        <v>44026</v>
      </c>
      <c r="AI63" s="36">
        <f t="shared" ref="AI63:AI65" si="212">W63</f>
        <v>44057</v>
      </c>
      <c r="AJ63" s="51"/>
      <c r="AK63" s="98">
        <f t="shared" si="144"/>
        <v>-5.1946375158701152E-2</v>
      </c>
    </row>
    <row r="64" spans="2:37" ht="12.75" customHeight="1" x14ac:dyDescent="0.2">
      <c r="B64" s="11" t="s">
        <v>132</v>
      </c>
      <c r="C64" s="36">
        <v>3843</v>
      </c>
      <c r="D64" s="36">
        <v>2667</v>
      </c>
      <c r="E64" s="36">
        <v>202</v>
      </c>
      <c r="F64" s="36">
        <v>0</v>
      </c>
      <c r="G64" s="36">
        <v>0</v>
      </c>
      <c r="H64" s="63"/>
      <c r="I64" s="36">
        <v>1547</v>
      </c>
      <c r="J64" s="36">
        <v>572</v>
      </c>
      <c r="K64" s="36">
        <v>361</v>
      </c>
      <c r="L64" s="36">
        <f t="shared" si="200"/>
        <v>202</v>
      </c>
      <c r="M64" s="36">
        <v>0</v>
      </c>
      <c r="N64" s="36">
        <v>0</v>
      </c>
      <c r="O64" s="36">
        <v>0</v>
      </c>
      <c r="P64" s="36">
        <f t="shared" si="201"/>
        <v>0</v>
      </c>
      <c r="Q64" s="36">
        <v>0</v>
      </c>
      <c r="R64" s="36">
        <v>0</v>
      </c>
      <c r="S64" s="36">
        <v>0</v>
      </c>
      <c r="T64" s="36">
        <f t="shared" si="202"/>
        <v>0</v>
      </c>
      <c r="U64" s="36">
        <v>0</v>
      </c>
      <c r="V64" s="36">
        <v>0</v>
      </c>
      <c r="W64" s="36">
        <v>0</v>
      </c>
      <c r="Y64" s="36">
        <f t="shared" si="203"/>
        <v>0</v>
      </c>
      <c r="Z64" s="36">
        <f t="shared" si="203"/>
        <v>0</v>
      </c>
      <c r="AA64" s="36">
        <f t="shared" si="204"/>
        <v>0</v>
      </c>
      <c r="AB64" s="36">
        <f t="shared" si="205"/>
        <v>0</v>
      </c>
      <c r="AC64" s="36">
        <f t="shared" si="206"/>
        <v>0</v>
      </c>
      <c r="AD64" s="36">
        <f t="shared" si="207"/>
        <v>0</v>
      </c>
      <c r="AE64" s="36">
        <f t="shared" si="208"/>
        <v>0</v>
      </c>
      <c r="AF64" s="36">
        <f t="shared" si="209"/>
        <v>0</v>
      </c>
      <c r="AG64" s="36">
        <f t="shared" si="210"/>
        <v>0</v>
      </c>
      <c r="AH64" s="36">
        <f t="shared" si="211"/>
        <v>0</v>
      </c>
      <c r="AI64" s="36">
        <f t="shared" si="212"/>
        <v>0</v>
      </c>
      <c r="AJ64" s="13"/>
      <c r="AK64" s="98" t="e">
        <f t="shared" si="144"/>
        <v>#DIV/0!</v>
      </c>
    </row>
    <row r="65" spans="1:37" ht="12.75" customHeight="1" x14ac:dyDescent="0.2">
      <c r="B65" s="11" t="s">
        <v>37</v>
      </c>
      <c r="C65" s="36">
        <v>9559</v>
      </c>
      <c r="D65" s="36">
        <v>9376</v>
      </c>
      <c r="E65" s="36">
        <v>8776</v>
      </c>
      <c r="F65" s="36">
        <v>6576</v>
      </c>
      <c r="G65" s="36">
        <v>9505</v>
      </c>
      <c r="H65" s="63"/>
      <c r="I65" s="36">
        <v>9563</v>
      </c>
      <c r="J65" s="36">
        <v>8862</v>
      </c>
      <c r="K65" s="36">
        <v>9542</v>
      </c>
      <c r="L65" s="36">
        <f t="shared" si="200"/>
        <v>8776</v>
      </c>
      <c r="M65" s="36">
        <v>8671</v>
      </c>
      <c r="N65" s="36">
        <v>7643</v>
      </c>
      <c r="O65" s="36">
        <v>7946</v>
      </c>
      <c r="P65" s="36">
        <f t="shared" si="201"/>
        <v>6576</v>
      </c>
      <c r="Q65" s="36">
        <v>6895</v>
      </c>
      <c r="R65" s="36">
        <v>5410</v>
      </c>
      <c r="S65" s="36">
        <v>7048</v>
      </c>
      <c r="T65" s="36">
        <f t="shared" si="202"/>
        <v>9505</v>
      </c>
      <c r="U65" s="36">
        <v>8744</v>
      </c>
      <c r="V65" s="36">
        <v>7777</v>
      </c>
      <c r="W65" s="36">
        <v>11430</v>
      </c>
      <c r="Y65" s="36">
        <f t="shared" si="203"/>
        <v>8671</v>
      </c>
      <c r="Z65" s="36">
        <f t="shared" si="203"/>
        <v>7643</v>
      </c>
      <c r="AA65" s="36">
        <f t="shared" si="204"/>
        <v>7946</v>
      </c>
      <c r="AB65" s="36">
        <f t="shared" si="205"/>
        <v>6576</v>
      </c>
      <c r="AC65" s="36">
        <f t="shared" si="206"/>
        <v>6895</v>
      </c>
      <c r="AD65" s="36">
        <f t="shared" si="207"/>
        <v>5410</v>
      </c>
      <c r="AE65" s="36">
        <f t="shared" si="208"/>
        <v>7048</v>
      </c>
      <c r="AF65" s="36">
        <f t="shared" si="209"/>
        <v>9505</v>
      </c>
      <c r="AG65" s="36">
        <f t="shared" si="210"/>
        <v>8744</v>
      </c>
      <c r="AH65" s="36">
        <f t="shared" si="211"/>
        <v>7777</v>
      </c>
      <c r="AI65" s="36">
        <f t="shared" si="212"/>
        <v>11430</v>
      </c>
      <c r="AJ65" s="13"/>
      <c r="AK65" s="98">
        <f t="shared" si="144"/>
        <v>0.62173666288308738</v>
      </c>
    </row>
    <row r="66" spans="1:37" ht="12.75" customHeight="1" x14ac:dyDescent="0.2">
      <c r="B66" s="15" t="s">
        <v>45</v>
      </c>
      <c r="C66" s="16">
        <f>SUM(C63:C65)+C61</f>
        <v>72053</v>
      </c>
      <c r="D66" s="16">
        <f>SUM(D63:D65)+D61</f>
        <v>73015</v>
      </c>
      <c r="E66" s="16">
        <f>SUM(E63:E65)+E61</f>
        <v>78817</v>
      </c>
      <c r="F66" s="16">
        <f>SUM(F63:F65)+F61</f>
        <v>81607</v>
      </c>
      <c r="G66" s="16">
        <f>SUM(G63:G65)+G61</f>
        <v>91453</v>
      </c>
      <c r="I66" s="16">
        <f>SUM(I63:I65)+I61</f>
        <v>73220</v>
      </c>
      <c r="J66" s="16">
        <f>SUM(J63:J65)+J61</f>
        <v>69200</v>
      </c>
      <c r="K66" s="16">
        <f>SUM(K63:K65)+K61</f>
        <v>74956</v>
      </c>
      <c r="L66" s="16">
        <f>SUM(L63:L65)+L61</f>
        <v>78817</v>
      </c>
      <c r="M66" s="16">
        <f>SUM(M63:M65)+M61</f>
        <v>84900</v>
      </c>
      <c r="N66" s="16">
        <f>SUM(N63:N65)+N61</f>
        <v>81158</v>
      </c>
      <c r="O66" s="16">
        <f>SUM(O63:O65)+O61</f>
        <v>83151</v>
      </c>
      <c r="P66" s="16">
        <f>SUM(P63:P65)+P61</f>
        <v>81607</v>
      </c>
      <c r="Q66" s="16">
        <f>SUM(Q63:Q65)+Q61</f>
        <v>81977</v>
      </c>
      <c r="R66" s="16">
        <f>SUM(R63:R65)+R61</f>
        <v>85771</v>
      </c>
      <c r="S66" s="16">
        <f>SUM(S63:S65)+S61</f>
        <v>88678</v>
      </c>
      <c r="T66" s="16">
        <f>SUM(T63:T65)+T61</f>
        <v>91453</v>
      </c>
      <c r="U66" s="16">
        <f>SUM(U63:U65)+U61</f>
        <v>85829</v>
      </c>
      <c r="V66" s="16">
        <f>SUM(V63:V65)+V61</f>
        <v>86769</v>
      </c>
      <c r="W66" s="16">
        <f>SUM(W63:W65)+W61</f>
        <v>87784</v>
      </c>
      <c r="Y66" s="16">
        <f t="shared" ref="Y66:Z66" si="213">SUM(Y63:Y65)+Y61</f>
        <v>84900</v>
      </c>
      <c r="Z66" s="16">
        <f t="shared" si="213"/>
        <v>81158</v>
      </c>
      <c r="AA66" s="16">
        <f t="shared" ref="AA66" si="214">SUM(AA63:AA65)+AA61</f>
        <v>83151</v>
      </c>
      <c r="AB66" s="16">
        <f t="shared" ref="AB66" si="215">SUM(AB63:AB65)+AB61</f>
        <v>81607</v>
      </c>
      <c r="AC66" s="16">
        <f t="shared" ref="AC66" si="216">SUM(AC63:AC65)+AC61</f>
        <v>81977</v>
      </c>
      <c r="AD66" s="16">
        <f t="shared" ref="AD66" si="217">SUM(AD63:AD65)+AD61</f>
        <v>85771</v>
      </c>
      <c r="AE66" s="16">
        <f t="shared" ref="AE66" si="218">SUM(AE63:AE65)+AE61</f>
        <v>88678</v>
      </c>
      <c r="AF66" s="16">
        <f t="shared" ref="AF66:AH66" si="219">SUM(AF63:AF65)+AF61</f>
        <v>91453</v>
      </c>
      <c r="AG66" s="16">
        <f t="shared" si="219"/>
        <v>85829</v>
      </c>
      <c r="AH66" s="16">
        <f t="shared" si="219"/>
        <v>86769</v>
      </c>
      <c r="AI66" s="16">
        <f>SUM(AI63:AI65)+AI61</f>
        <v>87784</v>
      </c>
      <c r="AJ66" s="51"/>
      <c r="AK66" s="99">
        <f t="shared" si="144"/>
        <v>-1.0081418164595513E-2</v>
      </c>
    </row>
    <row r="67" spans="1:37" ht="5.0999999999999996" customHeight="1" x14ac:dyDescent="0.2">
      <c r="B67" s="29"/>
      <c r="C67" s="61"/>
      <c r="D67" s="61"/>
      <c r="E67" s="61"/>
      <c r="F67" s="50"/>
      <c r="G67" s="50"/>
      <c r="I67" s="50"/>
      <c r="J67" s="50"/>
      <c r="K67" s="50"/>
      <c r="L67" s="50"/>
      <c r="M67" s="50"/>
      <c r="N67" s="50"/>
      <c r="O67" s="50"/>
      <c r="P67" s="50"/>
      <c r="Q67" s="50"/>
      <c r="R67" s="50"/>
      <c r="Y67" s="51"/>
      <c r="Z67" s="51"/>
      <c r="AA67" s="51"/>
      <c r="AB67" s="51"/>
      <c r="AC67" s="51"/>
      <c r="AD67" s="51"/>
      <c r="AE67" s="51"/>
      <c r="AF67" s="51"/>
      <c r="AG67" s="51"/>
      <c r="AH67" s="51"/>
      <c r="AI67" s="51"/>
      <c r="AJ67" s="51"/>
      <c r="AK67" s="48"/>
    </row>
    <row r="68" spans="1:37" ht="12.75" customHeight="1" x14ac:dyDescent="0.2">
      <c r="B68" s="11" t="s">
        <v>106</v>
      </c>
      <c r="C68" s="36"/>
      <c r="D68" s="36">
        <v>0</v>
      </c>
      <c r="E68" s="36">
        <v>0</v>
      </c>
      <c r="F68" s="36">
        <v>0</v>
      </c>
      <c r="G68" s="36">
        <v>0</v>
      </c>
      <c r="H68" s="36"/>
      <c r="I68" s="36">
        <v>0</v>
      </c>
      <c r="J68" s="36">
        <v>0</v>
      </c>
      <c r="K68" s="36">
        <v>0</v>
      </c>
      <c r="L68" s="36">
        <f t="shared" ref="L68:L73" si="220">E68</f>
        <v>0</v>
      </c>
      <c r="M68" s="36">
        <v>0</v>
      </c>
      <c r="N68" s="36">
        <v>0</v>
      </c>
      <c r="O68" s="36">
        <v>0</v>
      </c>
      <c r="P68" s="36">
        <f>F68</f>
        <v>0</v>
      </c>
      <c r="Q68" s="36">
        <v>0</v>
      </c>
      <c r="R68" s="36">
        <v>0</v>
      </c>
      <c r="S68" s="36">
        <v>0</v>
      </c>
      <c r="T68" s="36">
        <f t="shared" ref="T68:T73" si="221">G68</f>
        <v>0</v>
      </c>
      <c r="U68" s="36">
        <v>0</v>
      </c>
      <c r="V68" s="36">
        <v>0</v>
      </c>
      <c r="W68" s="36">
        <v>0</v>
      </c>
      <c r="Y68" s="36">
        <f t="shared" ref="Y68:Z73" si="222">M68</f>
        <v>0</v>
      </c>
      <c r="Z68" s="36">
        <f t="shared" si="222"/>
        <v>0</v>
      </c>
      <c r="AA68" s="36">
        <f t="shared" ref="AA68:AA73" si="223">O68</f>
        <v>0</v>
      </c>
      <c r="AB68" s="36">
        <f t="shared" ref="AB68:AB73" si="224">P68</f>
        <v>0</v>
      </c>
      <c r="AC68" s="36">
        <f t="shared" ref="AC68:AC73" si="225">Q68</f>
        <v>0</v>
      </c>
      <c r="AD68" s="36">
        <f t="shared" ref="AD68:AD73" si="226">R68</f>
        <v>0</v>
      </c>
      <c r="AE68" s="36">
        <f t="shared" ref="AE68:AE73" si="227">S68</f>
        <v>0</v>
      </c>
      <c r="AF68" s="36">
        <f t="shared" ref="AF68:AF73" si="228">T68</f>
        <v>0</v>
      </c>
      <c r="AG68" s="36">
        <f t="shared" ref="AG68:AG73" si="229">U68</f>
        <v>0</v>
      </c>
      <c r="AH68" s="36">
        <f t="shared" ref="AH68:AH73" si="230">V68</f>
        <v>0</v>
      </c>
      <c r="AI68" s="36">
        <f t="shared" ref="AI68:AI73" si="231">W68</f>
        <v>0</v>
      </c>
      <c r="AJ68" s="13"/>
      <c r="AK68" s="98" t="e">
        <f t="shared" si="144"/>
        <v>#DIV/0!</v>
      </c>
    </row>
    <row r="69" spans="1:37" ht="12.75" customHeight="1" x14ac:dyDescent="0.2">
      <c r="B69" s="11" t="s">
        <v>133</v>
      </c>
      <c r="C69" s="36">
        <v>25556</v>
      </c>
      <c r="D69" s="36">
        <v>28006</v>
      </c>
      <c r="E69" s="36">
        <v>31580</v>
      </c>
      <c r="F69" s="36">
        <v>36649</v>
      </c>
      <c r="G69" s="36">
        <v>50949</v>
      </c>
      <c r="H69" s="36"/>
      <c r="I69" s="36">
        <v>29244</v>
      </c>
      <c r="J69" s="36">
        <v>29858</v>
      </c>
      <c r="K69" s="36">
        <v>30912</v>
      </c>
      <c r="L69" s="36">
        <f t="shared" si="220"/>
        <v>31580</v>
      </c>
      <c r="M69" s="36">
        <v>32829</v>
      </c>
      <c r="N69" s="36">
        <v>34330</v>
      </c>
      <c r="O69" s="36">
        <v>35653</v>
      </c>
      <c r="P69" s="36">
        <f t="shared" ref="P69:P73" si="232">F69</f>
        <v>36649</v>
      </c>
      <c r="Q69" s="36">
        <v>38291</v>
      </c>
      <c r="R69" s="36">
        <v>49763</v>
      </c>
      <c r="S69" s="36">
        <v>50665</v>
      </c>
      <c r="T69" s="36">
        <f t="shared" si="221"/>
        <v>50949</v>
      </c>
      <c r="U69" s="36">
        <v>51920</v>
      </c>
      <c r="V69" s="36">
        <v>52334</v>
      </c>
      <c r="W69" s="36">
        <v>56755</v>
      </c>
      <c r="Y69" s="36">
        <f t="shared" si="222"/>
        <v>32829</v>
      </c>
      <c r="Z69" s="36">
        <f t="shared" si="222"/>
        <v>34330</v>
      </c>
      <c r="AA69" s="36">
        <f t="shared" si="223"/>
        <v>35653</v>
      </c>
      <c r="AB69" s="36">
        <f t="shared" si="224"/>
        <v>36649</v>
      </c>
      <c r="AC69" s="36">
        <f t="shared" si="225"/>
        <v>38291</v>
      </c>
      <c r="AD69" s="36">
        <f t="shared" si="226"/>
        <v>49763</v>
      </c>
      <c r="AE69" s="36">
        <f t="shared" si="227"/>
        <v>50665</v>
      </c>
      <c r="AF69" s="36">
        <f t="shared" si="228"/>
        <v>50949</v>
      </c>
      <c r="AG69" s="36">
        <f t="shared" si="229"/>
        <v>51920</v>
      </c>
      <c r="AH69" s="36">
        <f t="shared" si="230"/>
        <v>52334</v>
      </c>
      <c r="AI69" s="36">
        <f t="shared" si="231"/>
        <v>56755</v>
      </c>
      <c r="AJ69" s="13"/>
      <c r="AK69" s="98">
        <f t="shared" si="144"/>
        <v>0.12020132241192139</v>
      </c>
    </row>
    <row r="70" spans="1:37" ht="12.75" customHeight="1" x14ac:dyDescent="0.2">
      <c r="B70" s="11" t="s">
        <v>134</v>
      </c>
      <c r="C70" s="36">
        <v>-751</v>
      </c>
      <c r="D70" s="36">
        <v>-880</v>
      </c>
      <c r="E70" s="36">
        <v>-562</v>
      </c>
      <c r="F70" s="36">
        <v>-215</v>
      </c>
      <c r="G70" s="36">
        <v>-711</v>
      </c>
      <c r="H70" s="36"/>
      <c r="I70" s="36">
        <v>-1002</v>
      </c>
      <c r="J70" s="36">
        <v>-1625</v>
      </c>
      <c r="K70" s="36">
        <v>-2051</v>
      </c>
      <c r="L70" s="36">
        <f t="shared" si="220"/>
        <v>-562</v>
      </c>
      <c r="M70" s="36">
        <v>-419</v>
      </c>
      <c r="N70" s="36">
        <v>-544</v>
      </c>
      <c r="O70" s="36">
        <v>-861</v>
      </c>
      <c r="P70" s="36">
        <f t="shared" si="232"/>
        <v>-215</v>
      </c>
      <c r="Q70" s="36">
        <v>-542</v>
      </c>
      <c r="R70" s="36">
        <v>-696</v>
      </c>
      <c r="S70" s="36">
        <v>-185</v>
      </c>
      <c r="T70" s="36">
        <f t="shared" si="221"/>
        <v>-711</v>
      </c>
      <c r="U70" s="36">
        <v>-486</v>
      </c>
      <c r="V70" s="36">
        <v>65</v>
      </c>
      <c r="W70" s="36">
        <v>0</v>
      </c>
      <c r="Y70" s="36">
        <f t="shared" si="222"/>
        <v>-419</v>
      </c>
      <c r="Z70" s="36">
        <f t="shared" si="222"/>
        <v>-544</v>
      </c>
      <c r="AA70" s="36">
        <f t="shared" si="223"/>
        <v>-861</v>
      </c>
      <c r="AB70" s="36">
        <f t="shared" si="224"/>
        <v>-215</v>
      </c>
      <c r="AC70" s="36">
        <f t="shared" si="225"/>
        <v>-542</v>
      </c>
      <c r="AD70" s="36">
        <f t="shared" si="226"/>
        <v>-696</v>
      </c>
      <c r="AE70" s="36">
        <f t="shared" si="227"/>
        <v>-185</v>
      </c>
      <c r="AF70" s="36">
        <f t="shared" si="228"/>
        <v>-711</v>
      </c>
      <c r="AG70" s="36">
        <f t="shared" si="229"/>
        <v>-486</v>
      </c>
      <c r="AH70" s="36">
        <f t="shared" si="230"/>
        <v>65</v>
      </c>
      <c r="AI70" s="36">
        <f t="shared" si="231"/>
        <v>0</v>
      </c>
      <c r="AJ70" s="13"/>
      <c r="AK70" s="98">
        <f t="shared" si="144"/>
        <v>-1</v>
      </c>
    </row>
    <row r="71" spans="1:37" ht="12.75" customHeight="1" x14ac:dyDescent="0.2">
      <c r="B71" s="11" t="s">
        <v>107</v>
      </c>
      <c r="C71" s="36">
        <v>56233</v>
      </c>
      <c r="D71" s="36">
        <v>68265</v>
      </c>
      <c r="E71" s="36">
        <v>70405</v>
      </c>
      <c r="F71" s="36">
        <v>69156</v>
      </c>
      <c r="G71" s="36">
        <v>49032</v>
      </c>
      <c r="H71" s="36"/>
      <c r="I71" s="36">
        <v>74894</v>
      </c>
      <c r="J71" s="36">
        <v>72985</v>
      </c>
      <c r="K71" s="36">
        <v>71024</v>
      </c>
      <c r="L71" s="36">
        <f t="shared" si="220"/>
        <v>70405</v>
      </c>
      <c r="M71" s="36">
        <v>65649</v>
      </c>
      <c r="N71" s="36">
        <v>67231</v>
      </c>
      <c r="O71" s="36">
        <v>67021</v>
      </c>
      <c r="P71" s="36">
        <f t="shared" si="232"/>
        <v>69156</v>
      </c>
      <c r="Q71" s="36">
        <v>68224</v>
      </c>
      <c r="R71" s="36">
        <v>66162</v>
      </c>
      <c r="S71" s="36">
        <v>49052</v>
      </c>
      <c r="T71" s="36">
        <f t="shared" si="221"/>
        <v>49032</v>
      </c>
      <c r="U71" s="36">
        <v>48322</v>
      </c>
      <c r="V71" s="36">
        <v>45484</v>
      </c>
      <c r="W71" s="36">
        <v>49602</v>
      </c>
      <c r="Y71" s="36">
        <f t="shared" si="222"/>
        <v>65649</v>
      </c>
      <c r="Z71" s="36">
        <f t="shared" si="222"/>
        <v>67231</v>
      </c>
      <c r="AA71" s="36">
        <f t="shared" si="223"/>
        <v>67021</v>
      </c>
      <c r="AB71" s="36">
        <f t="shared" si="224"/>
        <v>69156</v>
      </c>
      <c r="AC71" s="36">
        <f t="shared" si="225"/>
        <v>68224</v>
      </c>
      <c r="AD71" s="36">
        <f t="shared" si="226"/>
        <v>66162</v>
      </c>
      <c r="AE71" s="36">
        <f t="shared" si="227"/>
        <v>49052</v>
      </c>
      <c r="AF71" s="36">
        <f t="shared" si="228"/>
        <v>49032</v>
      </c>
      <c r="AG71" s="36">
        <f t="shared" si="229"/>
        <v>48322</v>
      </c>
      <c r="AH71" s="36">
        <f t="shared" si="230"/>
        <v>45484</v>
      </c>
      <c r="AI71" s="36">
        <f t="shared" si="231"/>
        <v>49602</v>
      </c>
      <c r="AJ71" s="13"/>
      <c r="AK71" s="98">
        <f t="shared" si="144"/>
        <v>1.1212590720052207E-2</v>
      </c>
    </row>
    <row r="72" spans="1:37" ht="12.75" customHeight="1" x14ac:dyDescent="0.2">
      <c r="B72" s="11" t="s">
        <v>38</v>
      </c>
      <c r="C72" s="36"/>
      <c r="D72" s="36"/>
      <c r="E72" s="36"/>
      <c r="F72" s="36"/>
      <c r="G72" s="36"/>
      <c r="H72" s="36"/>
      <c r="I72" s="36"/>
      <c r="J72" s="36"/>
      <c r="K72" s="36"/>
      <c r="L72" s="36"/>
      <c r="M72" s="36"/>
      <c r="N72" s="36"/>
      <c r="O72" s="36"/>
      <c r="P72" s="36"/>
      <c r="Q72" s="36"/>
      <c r="R72" s="36"/>
      <c r="S72" s="36"/>
      <c r="T72" s="36"/>
      <c r="U72" s="36"/>
      <c r="V72" s="36"/>
      <c r="W72" s="36">
        <v>19</v>
      </c>
      <c r="Y72" s="36">
        <f t="shared" si="222"/>
        <v>0</v>
      </c>
      <c r="Z72" s="36">
        <f t="shared" si="222"/>
        <v>0</v>
      </c>
      <c r="AA72" s="36">
        <f t="shared" si="223"/>
        <v>0</v>
      </c>
      <c r="AB72" s="36">
        <f t="shared" si="224"/>
        <v>0</v>
      </c>
      <c r="AC72" s="36">
        <f t="shared" si="225"/>
        <v>0</v>
      </c>
      <c r="AD72" s="36">
        <f t="shared" si="226"/>
        <v>0</v>
      </c>
      <c r="AE72" s="36">
        <f t="shared" si="227"/>
        <v>0</v>
      </c>
      <c r="AF72" s="36">
        <f t="shared" si="228"/>
        <v>0</v>
      </c>
      <c r="AG72" s="36">
        <f t="shared" si="229"/>
        <v>0</v>
      </c>
      <c r="AH72" s="36">
        <f t="shared" si="230"/>
        <v>0</v>
      </c>
      <c r="AI72" s="36">
        <f t="shared" si="231"/>
        <v>19</v>
      </c>
      <c r="AJ72" s="13"/>
      <c r="AK72" s="98" t="e">
        <f t="shared" si="144"/>
        <v>#DIV/0!</v>
      </c>
    </row>
    <row r="73" spans="1:37" ht="12.75" customHeight="1" x14ac:dyDescent="0.2">
      <c r="B73" s="11" t="s">
        <v>39</v>
      </c>
      <c r="C73" s="36">
        <v>0</v>
      </c>
      <c r="D73" s="36">
        <v>0</v>
      </c>
      <c r="E73" s="36">
        <v>1863</v>
      </c>
      <c r="F73" s="36">
        <v>4375</v>
      </c>
      <c r="G73" s="36">
        <v>5762</v>
      </c>
      <c r="H73" s="36"/>
      <c r="I73" s="36">
        <v>0</v>
      </c>
      <c r="J73" s="36">
        <v>0</v>
      </c>
      <c r="K73" s="36">
        <v>0</v>
      </c>
      <c r="L73" s="36">
        <f t="shared" si="220"/>
        <v>1863</v>
      </c>
      <c r="M73" s="36">
        <v>2344</v>
      </c>
      <c r="N73" s="36">
        <v>3454</v>
      </c>
      <c r="O73" s="36">
        <v>3873</v>
      </c>
      <c r="P73" s="36">
        <f t="shared" si="232"/>
        <v>4375</v>
      </c>
      <c r="Q73" s="36">
        <v>4783</v>
      </c>
      <c r="R73" s="36">
        <v>5205</v>
      </c>
      <c r="S73" s="36">
        <v>5332</v>
      </c>
      <c r="T73" s="36">
        <f t="shared" si="221"/>
        <v>5762</v>
      </c>
      <c r="U73" s="36">
        <v>6657</v>
      </c>
      <c r="V73" s="36">
        <v>7868</v>
      </c>
      <c r="W73" s="36">
        <v>10354</v>
      </c>
      <c r="Y73" s="36">
        <f t="shared" si="222"/>
        <v>2344</v>
      </c>
      <c r="Z73" s="36">
        <f t="shared" si="222"/>
        <v>3454</v>
      </c>
      <c r="AA73" s="36">
        <f t="shared" si="223"/>
        <v>3873</v>
      </c>
      <c r="AB73" s="36">
        <f t="shared" si="224"/>
        <v>4375</v>
      </c>
      <c r="AC73" s="36">
        <f t="shared" si="225"/>
        <v>4783</v>
      </c>
      <c r="AD73" s="36">
        <f t="shared" si="226"/>
        <v>5205</v>
      </c>
      <c r="AE73" s="36">
        <f t="shared" si="227"/>
        <v>5332</v>
      </c>
      <c r="AF73" s="36">
        <f t="shared" si="228"/>
        <v>5762</v>
      </c>
      <c r="AG73" s="36">
        <f t="shared" si="229"/>
        <v>6657</v>
      </c>
      <c r="AH73" s="36">
        <f t="shared" si="230"/>
        <v>7868</v>
      </c>
      <c r="AI73" s="36">
        <f t="shared" si="231"/>
        <v>10354</v>
      </c>
      <c r="AJ73" s="13"/>
      <c r="AK73" s="98">
        <f t="shared" si="144"/>
        <v>0.94186046511627897</v>
      </c>
    </row>
    <row r="74" spans="1:37" ht="12.75" customHeight="1" x14ac:dyDescent="0.2">
      <c r="B74" s="15" t="s">
        <v>40</v>
      </c>
      <c r="C74" s="16">
        <f>SUM(C68:C73)</f>
        <v>81038</v>
      </c>
      <c r="D74" s="16">
        <f>SUM(D68:D73)</f>
        <v>95391</v>
      </c>
      <c r="E74" s="16">
        <f>SUM(E68:E73)</f>
        <v>103286</v>
      </c>
      <c r="F74" s="16">
        <f>SUM(F68:F73)</f>
        <v>109965</v>
      </c>
      <c r="G74" s="16">
        <f>SUM(G68:G73)</f>
        <v>105032</v>
      </c>
      <c r="H74" s="64"/>
      <c r="I74" s="16">
        <f>SUM(I68:I73)</f>
        <v>103136</v>
      </c>
      <c r="J74" s="16">
        <f>SUM(J68:J73)</f>
        <v>101218</v>
      </c>
      <c r="K74" s="16">
        <f>SUM(K68:K73)</f>
        <v>99885</v>
      </c>
      <c r="L74" s="16">
        <f>SUM(L68:L73)</f>
        <v>103286</v>
      </c>
      <c r="M74" s="16">
        <f>SUM(M68:M73)</f>
        <v>100403</v>
      </c>
      <c r="N74" s="16">
        <f>SUM(N68:N73)</f>
        <v>104471</v>
      </c>
      <c r="O74" s="16">
        <f>SUM(O68:O73)</f>
        <v>105686</v>
      </c>
      <c r="P74" s="16">
        <f>SUM(P68:P73)</f>
        <v>109965</v>
      </c>
      <c r="Q74" s="16">
        <f>SUM(Q68:Q73)</f>
        <v>110756</v>
      </c>
      <c r="R74" s="16">
        <f>SUM(R68:R73)</f>
        <v>120434</v>
      </c>
      <c r="S74" s="16">
        <f>SUM(S68:S73)</f>
        <v>104864</v>
      </c>
      <c r="T74" s="16">
        <f>SUM(T68:T73)</f>
        <v>105032</v>
      </c>
      <c r="U74" s="39">
        <f>SUM(U68:U73)</f>
        <v>106413</v>
      </c>
      <c r="V74" s="39">
        <f>SUM(V68:V73)</f>
        <v>105751</v>
      </c>
      <c r="W74" s="39">
        <f>SUM(W68:W73)</f>
        <v>116730</v>
      </c>
      <c r="Y74" s="16">
        <f t="shared" ref="Y74:Z74" si="233">SUM(Y68:Y73)</f>
        <v>100403</v>
      </c>
      <c r="Z74" s="16">
        <f t="shared" si="233"/>
        <v>104471</v>
      </c>
      <c r="AA74" s="16">
        <f t="shared" ref="AA74" si="234">SUM(AA68:AA73)</f>
        <v>105686</v>
      </c>
      <c r="AB74" s="16">
        <f t="shared" ref="AB74" si="235">SUM(AB68:AB73)</f>
        <v>109965</v>
      </c>
      <c r="AC74" s="16">
        <f t="shared" ref="AC74" si="236">SUM(AC68:AC73)</f>
        <v>110756</v>
      </c>
      <c r="AD74" s="16">
        <f t="shared" ref="AD74" si="237">SUM(AD68:AD73)</f>
        <v>120434</v>
      </c>
      <c r="AE74" s="16">
        <f t="shared" ref="AE74" si="238">SUM(AE68:AE73)</f>
        <v>104864</v>
      </c>
      <c r="AF74" s="16">
        <f t="shared" ref="AF74:AH74" si="239">SUM(AF68:AF73)</f>
        <v>105032</v>
      </c>
      <c r="AG74" s="16">
        <f t="shared" si="239"/>
        <v>106413</v>
      </c>
      <c r="AH74" s="16">
        <f t="shared" si="239"/>
        <v>105751</v>
      </c>
      <c r="AI74" s="16">
        <f>SUM(AI68:AI73)</f>
        <v>116730</v>
      </c>
      <c r="AJ74" s="51"/>
      <c r="AK74" s="99">
        <f t="shared" si="144"/>
        <v>0.11315608788526088</v>
      </c>
    </row>
    <row r="75" spans="1:37" ht="12.75" customHeight="1" x14ac:dyDescent="0.2">
      <c r="B75" s="29" t="s">
        <v>108</v>
      </c>
      <c r="C75" s="36">
        <f>SUM(C74+C66)</f>
        <v>153091</v>
      </c>
      <c r="D75" s="36">
        <f>SUM(D74+D66)</f>
        <v>168406</v>
      </c>
      <c r="E75" s="36">
        <f>SUM(E74+E66)</f>
        <v>182103</v>
      </c>
      <c r="F75" s="36">
        <f>SUM(F74+F66)</f>
        <v>191572</v>
      </c>
      <c r="G75" s="36">
        <f>SUM(G74+G66)</f>
        <v>196485</v>
      </c>
      <c r="H75" s="36"/>
      <c r="I75" s="36">
        <f>SUM(I74+I66)</f>
        <v>176356</v>
      </c>
      <c r="J75" s="36">
        <f>SUM(J74+J66)</f>
        <v>170418</v>
      </c>
      <c r="K75" s="36">
        <f>SUM(K74+K66)</f>
        <v>174841</v>
      </c>
      <c r="L75" s="36">
        <f>SUM(L74+L66)</f>
        <v>182103</v>
      </c>
      <c r="M75" s="36">
        <f>SUM(M74+M66)</f>
        <v>185303</v>
      </c>
      <c r="N75" s="36">
        <f>SUM(N74+N66)</f>
        <v>185629</v>
      </c>
      <c r="O75" s="36">
        <f>SUM(O74+O66)</f>
        <v>188837</v>
      </c>
      <c r="P75" s="36">
        <f>SUM(P74+P66)</f>
        <v>191572</v>
      </c>
      <c r="Q75" s="36">
        <f>SUM(Q74+Q66)</f>
        <v>192733</v>
      </c>
      <c r="R75" s="36">
        <f>SUM(R74+R66)</f>
        <v>206205</v>
      </c>
      <c r="S75" s="36">
        <f>SUM(S74+S66)</f>
        <v>193542</v>
      </c>
      <c r="T75" s="36">
        <f>SUM(T74+T66)</f>
        <v>196485</v>
      </c>
      <c r="U75" s="36">
        <f>SUM(U74+U66)</f>
        <v>192242</v>
      </c>
      <c r="V75" s="36">
        <f>SUM(V74+V66)</f>
        <v>192520</v>
      </c>
      <c r="W75" s="36">
        <f>SUM(W74+W66)</f>
        <v>204514</v>
      </c>
      <c r="X75" s="36"/>
      <c r="Y75" s="36">
        <f t="shared" ref="Y75:Z75" si="240">SUM(Y74+Y66)</f>
        <v>185303</v>
      </c>
      <c r="Z75" s="36">
        <f t="shared" si="240"/>
        <v>185629</v>
      </c>
      <c r="AA75" s="36">
        <f t="shared" ref="AA75" si="241">SUM(AA74+AA66)</f>
        <v>188837</v>
      </c>
      <c r="AB75" s="36">
        <f t="shared" ref="AB75" si="242">SUM(AB74+AB66)</f>
        <v>191572</v>
      </c>
      <c r="AC75" s="36">
        <f t="shared" ref="AC75" si="243">SUM(AC74+AC66)</f>
        <v>192733</v>
      </c>
      <c r="AD75" s="36">
        <f t="shared" ref="AD75" si="244">SUM(AD74+AD66)</f>
        <v>206205</v>
      </c>
      <c r="AE75" s="36">
        <f t="shared" ref="AE75" si="245">SUM(AE74+AE66)</f>
        <v>193542</v>
      </c>
      <c r="AF75" s="36">
        <f t="shared" ref="AF75" si="246">SUM(AF74+AF66)</f>
        <v>196485</v>
      </c>
      <c r="AG75" s="36">
        <f t="shared" ref="AG75" si="247">SUM(AG74+AG66)</f>
        <v>192242</v>
      </c>
      <c r="AH75" s="36">
        <f t="shared" ref="AH75" si="248">SUM(AH74+AH66)</f>
        <v>192520</v>
      </c>
      <c r="AI75" s="36">
        <f t="shared" ref="AI75" si="249">SUM(AI74+AI66)</f>
        <v>204514</v>
      </c>
      <c r="AJ75" s="13"/>
      <c r="AK75" s="99">
        <f t="shared" si="144"/>
        <v>5.6690537454402667E-2</v>
      </c>
    </row>
    <row r="76" spans="1:37" ht="5.0999999999999996" customHeight="1" x14ac:dyDescent="0.2">
      <c r="B76" s="29"/>
      <c r="C76" s="36"/>
      <c r="D76" s="36"/>
      <c r="E76" s="36"/>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13"/>
    </row>
    <row r="77" spans="1:37" ht="12.75" customHeight="1" x14ac:dyDescent="0.2">
      <c r="B77" s="88" t="s">
        <v>166</v>
      </c>
      <c r="C77" s="89">
        <f>C75-C52</f>
        <v>0</v>
      </c>
      <c r="D77" s="89">
        <f>D75-D52</f>
        <v>0</v>
      </c>
      <c r="E77" s="89">
        <f>E75-E52</f>
        <v>0</v>
      </c>
      <c r="F77" s="89">
        <f>F75-F52</f>
        <v>0</v>
      </c>
      <c r="G77" s="89">
        <f>G75-G52</f>
        <v>0</v>
      </c>
      <c r="H77" s="90"/>
      <c r="I77" s="89">
        <f>I75-I52</f>
        <v>0</v>
      </c>
      <c r="J77" s="89">
        <f>J75-J52</f>
        <v>0</v>
      </c>
      <c r="K77" s="89">
        <f>K75-K52</f>
        <v>0</v>
      </c>
      <c r="L77" s="89">
        <f>L75-L52</f>
        <v>0</v>
      </c>
      <c r="M77" s="89">
        <f>M75-M52</f>
        <v>0</v>
      </c>
      <c r="N77" s="89">
        <f>N75-N52</f>
        <v>0</v>
      </c>
      <c r="O77" s="89">
        <f>O75-O52</f>
        <v>0</v>
      </c>
      <c r="P77" s="89">
        <f>P75-P52</f>
        <v>0</v>
      </c>
      <c r="Q77" s="89">
        <f>Q75-Q52</f>
        <v>0</v>
      </c>
      <c r="R77" s="89">
        <f>R75-R52</f>
        <v>0</v>
      </c>
      <c r="S77" s="89">
        <f>S75-S52</f>
        <v>0</v>
      </c>
      <c r="T77" s="89">
        <f>T75-T52</f>
        <v>0</v>
      </c>
      <c r="U77" s="89">
        <f>U75-U52</f>
        <v>0</v>
      </c>
      <c r="V77" s="89">
        <f>V75-V52</f>
        <v>0</v>
      </c>
      <c r="W77" s="89">
        <f t="shared" ref="W77" si="250">W75-W52</f>
        <v>0</v>
      </c>
      <c r="X77" s="32"/>
      <c r="Y77" s="89">
        <f t="shared" ref="Y77" si="251">Y75-Y52</f>
        <v>0</v>
      </c>
      <c r="Z77" s="89">
        <f t="shared" ref="Z77:AE77" si="252">Z75-Z52</f>
        <v>0</v>
      </c>
      <c r="AA77" s="89">
        <f t="shared" si="252"/>
        <v>0</v>
      </c>
      <c r="AB77" s="89">
        <f t="shared" si="252"/>
        <v>0</v>
      </c>
      <c r="AC77" s="89">
        <f t="shared" si="252"/>
        <v>0</v>
      </c>
      <c r="AD77" s="89">
        <f t="shared" si="252"/>
        <v>0</v>
      </c>
      <c r="AE77" s="89">
        <f t="shared" si="252"/>
        <v>0</v>
      </c>
      <c r="AF77" s="89">
        <f t="shared" ref="AF77:AH77" si="253">AF75-AF52</f>
        <v>0</v>
      </c>
      <c r="AG77" s="89">
        <f t="shared" si="253"/>
        <v>0</v>
      </c>
      <c r="AH77" s="89">
        <f t="shared" si="253"/>
        <v>0</v>
      </c>
      <c r="AI77" s="89">
        <f>AI75-AI52</f>
        <v>0</v>
      </c>
    </row>
    <row r="78" spans="1:37" ht="5.0999999999999996" customHeight="1" x14ac:dyDescent="0.2">
      <c r="B78" s="86"/>
      <c r="C78" s="87"/>
      <c r="D78" s="65"/>
      <c r="E78" s="28"/>
      <c r="F78" s="28"/>
      <c r="G78" s="28"/>
      <c r="H78" s="65"/>
    </row>
    <row r="79" spans="1:37" ht="12.75" customHeight="1" x14ac:dyDescent="0.2">
      <c r="A79" s="5" t="s">
        <v>46</v>
      </c>
      <c r="B79" s="38" t="s">
        <v>29</v>
      </c>
      <c r="C79" s="66"/>
      <c r="D79" s="66"/>
      <c r="E79" s="66"/>
      <c r="F79" s="66"/>
      <c r="G79" s="66"/>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row>
    <row r="80" spans="1:37" ht="5.0999999999999996" customHeight="1" x14ac:dyDescent="0.2">
      <c r="B80" s="67"/>
      <c r="C80" s="59"/>
      <c r="D80" s="59"/>
      <c r="E80" s="59"/>
      <c r="F80" s="59"/>
      <c r="G80" s="59"/>
      <c r="AK80" s="48"/>
    </row>
    <row r="81" spans="2:37" ht="12.75" customHeight="1" x14ac:dyDescent="0.2">
      <c r="B81" s="68" t="s">
        <v>109</v>
      </c>
      <c r="C81" s="69"/>
      <c r="D81" s="69"/>
      <c r="E81" s="69"/>
      <c r="F81" s="69"/>
      <c r="G81" s="69"/>
      <c r="AK81" s="48"/>
    </row>
    <row r="82" spans="2:37" ht="12.75" customHeight="1" x14ac:dyDescent="0.2">
      <c r="B82" s="70" t="s">
        <v>110</v>
      </c>
      <c r="C82" s="85">
        <f>C27</f>
        <v>20899</v>
      </c>
      <c r="D82" s="36">
        <f>D27</f>
        <v>19868</v>
      </c>
      <c r="E82" s="36">
        <f>E27</f>
        <v>8017</v>
      </c>
      <c r="F82" s="36">
        <f>F27</f>
        <v>1675</v>
      </c>
      <c r="G82" s="36">
        <f>G27</f>
        <v>-19233</v>
      </c>
      <c r="H82" s="36"/>
      <c r="I82" s="36">
        <f>I27</f>
        <v>8113</v>
      </c>
      <c r="J82" s="36">
        <f>J27</f>
        <v>-454</v>
      </c>
      <c r="K82" s="36">
        <f>K27</f>
        <v>1019</v>
      </c>
      <c r="L82" s="36">
        <f>L27</f>
        <v>-661</v>
      </c>
      <c r="M82" s="36">
        <f>M27</f>
        <v>-2768</v>
      </c>
      <c r="N82" s="36">
        <f>N27</f>
        <v>1473</v>
      </c>
      <c r="O82" s="36">
        <f>O27</f>
        <v>310</v>
      </c>
      <c r="P82" s="36">
        <f>P27</f>
        <v>2660</v>
      </c>
      <c r="Q82" s="36">
        <f>Q27</f>
        <v>-437</v>
      </c>
      <c r="R82" s="36">
        <f>R27</f>
        <v>-1654</v>
      </c>
      <c r="S82" s="36">
        <f>S27</f>
        <v>-16989</v>
      </c>
      <c r="T82" s="36">
        <f>T27</f>
        <v>-153</v>
      </c>
      <c r="U82" s="36">
        <f>U27</f>
        <v>-887</v>
      </c>
      <c r="V82" s="36">
        <f>V27</f>
        <v>-3024</v>
      </c>
      <c r="W82" s="36">
        <f>W27</f>
        <v>4270</v>
      </c>
      <c r="Y82" s="36">
        <f>SUM(J82:M82)</f>
        <v>-2864</v>
      </c>
      <c r="Z82" s="36">
        <f>SUM(K82:N82)</f>
        <v>-937</v>
      </c>
      <c r="AA82" s="36">
        <f>SUM(L82:O82)</f>
        <v>-1646</v>
      </c>
      <c r="AB82" s="36">
        <f>SUM(M82:P82)</f>
        <v>1675</v>
      </c>
      <c r="AC82" s="36">
        <f>SUM(N82:Q82)</f>
        <v>4006</v>
      </c>
      <c r="AD82" s="36">
        <f>SUM(O82:R82)</f>
        <v>879</v>
      </c>
      <c r="AE82" s="36">
        <f>SUM(P82:S82)</f>
        <v>-16420</v>
      </c>
      <c r="AF82" s="36">
        <f>SUM(Q82:T82)</f>
        <v>-19233</v>
      </c>
      <c r="AG82" s="36">
        <f>SUM(R82:U82)</f>
        <v>-19683</v>
      </c>
      <c r="AH82" s="36">
        <f>SUM(S82:V82)</f>
        <v>-21053</v>
      </c>
      <c r="AI82" s="36">
        <f>SUM(T82:W82)</f>
        <v>206</v>
      </c>
      <c r="AJ82" s="13"/>
      <c r="AK82" s="48"/>
    </row>
    <row r="83" spans="2:37" ht="5.0999999999999996" customHeight="1" x14ac:dyDescent="0.2">
      <c r="C83" s="36"/>
      <c r="D83" s="36"/>
      <c r="E83" s="36"/>
      <c r="F83" s="36"/>
      <c r="G83" s="36"/>
      <c r="H83" s="36"/>
      <c r="I83" s="36"/>
      <c r="J83" s="36"/>
      <c r="K83" s="36"/>
      <c r="L83" s="36"/>
      <c r="M83" s="36"/>
      <c r="N83" s="36"/>
      <c r="O83" s="36"/>
      <c r="P83" s="36"/>
      <c r="Q83" s="36"/>
      <c r="R83" s="36"/>
      <c r="S83" s="36"/>
      <c r="T83" s="36"/>
      <c r="U83" s="36"/>
      <c r="V83" s="36"/>
      <c r="W83" s="36"/>
      <c r="Y83" s="36"/>
      <c r="Z83" s="36"/>
      <c r="AA83" s="36"/>
      <c r="AB83" s="36"/>
      <c r="AC83" s="36"/>
      <c r="AD83" s="36"/>
      <c r="AE83" s="36"/>
      <c r="AF83" s="36"/>
      <c r="AG83" s="36"/>
      <c r="AH83" s="36"/>
      <c r="AI83" s="36"/>
      <c r="AJ83" s="13"/>
      <c r="AK83" s="48"/>
    </row>
    <row r="84" spans="2:37" ht="12.75" customHeight="1" x14ac:dyDescent="0.2">
      <c r="B84" s="43" t="s">
        <v>137</v>
      </c>
      <c r="C84" s="36"/>
      <c r="D84" s="36"/>
      <c r="E84" s="36"/>
      <c r="F84" s="36"/>
      <c r="G84" s="36"/>
      <c r="H84" s="36"/>
      <c r="I84" s="36"/>
      <c r="J84" s="36"/>
      <c r="K84" s="36"/>
      <c r="L84" s="36"/>
      <c r="M84" s="36"/>
      <c r="N84" s="36"/>
      <c r="O84" s="36"/>
      <c r="P84" s="36"/>
      <c r="Q84" s="36"/>
      <c r="R84" s="36"/>
      <c r="S84" s="36"/>
      <c r="T84" s="36"/>
      <c r="U84" s="36"/>
      <c r="V84" s="36"/>
      <c r="W84" s="36"/>
      <c r="Y84" s="36"/>
      <c r="Z84" s="36"/>
      <c r="AA84" s="36"/>
      <c r="AB84" s="36"/>
      <c r="AC84" s="36"/>
      <c r="AD84" s="36"/>
      <c r="AE84" s="36"/>
      <c r="AF84" s="36"/>
      <c r="AG84" s="36"/>
      <c r="AH84" s="36"/>
      <c r="AI84" s="36"/>
      <c r="AJ84" s="72"/>
      <c r="AK84" s="48"/>
    </row>
    <row r="85" spans="2:37" ht="12.75" customHeight="1" x14ac:dyDescent="0.2">
      <c r="B85" s="73" t="s">
        <v>23</v>
      </c>
      <c r="C85" s="36">
        <v>10482</v>
      </c>
      <c r="D85" s="36">
        <v>9953</v>
      </c>
      <c r="E85" s="36">
        <v>11128</v>
      </c>
      <c r="F85" s="36">
        <v>7847</v>
      </c>
      <c r="G85" s="36">
        <v>9951</v>
      </c>
      <c r="H85" s="36"/>
      <c r="I85" s="36">
        <v>2847</v>
      </c>
      <c r="J85" s="36">
        <f>5528-I85</f>
        <v>2681</v>
      </c>
      <c r="K85" s="36">
        <f>8309-J85-I85</f>
        <v>2781</v>
      </c>
      <c r="L85" s="36">
        <f t="shared" ref="L85:L98" si="254">SUM(E85-SUM(I85:K85))</f>
        <v>2819</v>
      </c>
      <c r="M85" s="36">
        <v>1901</v>
      </c>
      <c r="N85" s="36">
        <f>3733-M85</f>
        <v>1832</v>
      </c>
      <c r="O85" s="36">
        <f>5753-N85-M85</f>
        <v>2020</v>
      </c>
      <c r="P85" s="36">
        <f t="shared" ref="P85:P98" si="255">SUM(F85-SUM(M85:O85))</f>
        <v>2094</v>
      </c>
      <c r="Q85" s="36">
        <v>2200</v>
      </c>
      <c r="R85" s="36">
        <f>4403-Q85</f>
        <v>2203</v>
      </c>
      <c r="S85" s="36">
        <f>7651-R85-Q85</f>
        <v>3248</v>
      </c>
      <c r="T85" s="36">
        <f t="shared" ref="T85:T98" si="256">SUM(G85-SUM(Q85:S85))</f>
        <v>2300</v>
      </c>
      <c r="U85" s="36">
        <v>2425</v>
      </c>
      <c r="V85" s="36">
        <f>5213-U85</f>
        <v>2788</v>
      </c>
      <c r="W85" s="36">
        <f>7971-V85-U85</f>
        <v>2758</v>
      </c>
      <c r="Y85" s="36">
        <f>SUM(J85:M85)</f>
        <v>10182</v>
      </c>
      <c r="Z85" s="36">
        <f>SUM(K85:N85)</f>
        <v>9333</v>
      </c>
      <c r="AA85" s="36">
        <f>SUM(L85:O85)</f>
        <v>8572</v>
      </c>
      <c r="AB85" s="36">
        <f>SUM(M85:P85)</f>
        <v>7847</v>
      </c>
      <c r="AC85" s="36">
        <f>SUM(N85:Q85)</f>
        <v>8146</v>
      </c>
      <c r="AD85" s="36">
        <f>SUM(O85:R85)</f>
        <v>8517</v>
      </c>
      <c r="AE85" s="36">
        <f>SUM(P85:S85)</f>
        <v>9745</v>
      </c>
      <c r="AF85" s="36">
        <f>SUM(Q85:T85)</f>
        <v>9951</v>
      </c>
      <c r="AG85" s="36">
        <f>SUM(R85:U85)</f>
        <v>10176</v>
      </c>
      <c r="AH85" s="36">
        <f>SUM(S85:V85)</f>
        <v>10761</v>
      </c>
      <c r="AI85" s="36">
        <f>SUM(T85:W85)</f>
        <v>10271</v>
      </c>
      <c r="AJ85" s="13"/>
      <c r="AK85" s="48"/>
    </row>
    <row r="86" spans="2:37" ht="12.75" customHeight="1" x14ac:dyDescent="0.2">
      <c r="B86" s="73" t="s">
        <v>138</v>
      </c>
      <c r="C86" s="36">
        <v>0</v>
      </c>
      <c r="D86" s="36">
        <v>0</v>
      </c>
      <c r="E86" s="36">
        <v>0</v>
      </c>
      <c r="F86" s="36">
        <v>0</v>
      </c>
      <c r="G86" s="36">
        <v>0</v>
      </c>
      <c r="H86" s="36"/>
      <c r="I86" s="36">
        <v>0</v>
      </c>
      <c r="J86" s="36">
        <v>0</v>
      </c>
      <c r="K86" s="36">
        <v>0</v>
      </c>
      <c r="L86" s="36">
        <f t="shared" si="254"/>
        <v>0</v>
      </c>
      <c r="M86" s="36">
        <v>0</v>
      </c>
      <c r="N86" s="36">
        <v>0</v>
      </c>
      <c r="O86" s="36">
        <v>0</v>
      </c>
      <c r="P86" s="36">
        <f t="shared" si="255"/>
        <v>0</v>
      </c>
      <c r="Q86" s="36">
        <v>0</v>
      </c>
      <c r="R86" s="36">
        <v>0</v>
      </c>
      <c r="S86" s="36">
        <v>0</v>
      </c>
      <c r="T86" s="36">
        <f t="shared" si="256"/>
        <v>0</v>
      </c>
      <c r="U86" s="36">
        <v>0</v>
      </c>
      <c r="V86" s="36">
        <v>0</v>
      </c>
      <c r="W86" s="36">
        <v>0</v>
      </c>
      <c r="Y86" s="36">
        <f>SUM(J86:M86)</f>
        <v>0</v>
      </c>
      <c r="Z86" s="36">
        <f>SUM(K86:N86)</f>
        <v>0</v>
      </c>
      <c r="AA86" s="36">
        <f>SUM(L86:O86)</f>
        <v>0</v>
      </c>
      <c r="AB86" s="36">
        <f>SUM(M86:P86)</f>
        <v>0</v>
      </c>
      <c r="AC86" s="36">
        <f>SUM(N86:Q86)</f>
        <v>0</v>
      </c>
      <c r="AD86" s="36">
        <f>SUM(O86:R86)</f>
        <v>0</v>
      </c>
      <c r="AE86" s="36">
        <f>SUM(P86:S86)</f>
        <v>0</v>
      </c>
      <c r="AF86" s="36">
        <f>SUM(Q86:T86)</f>
        <v>0</v>
      </c>
      <c r="AG86" s="36">
        <f>SUM(R86:U86)</f>
        <v>0</v>
      </c>
      <c r="AH86" s="36">
        <f>SUM(S86:V86)</f>
        <v>0</v>
      </c>
      <c r="AI86" s="36">
        <f>SUM(T86:W86)</f>
        <v>0</v>
      </c>
      <c r="AJ86" s="13"/>
      <c r="AK86" s="48"/>
    </row>
    <row r="87" spans="2:37" ht="12.75" customHeight="1" x14ac:dyDescent="0.2">
      <c r="B87" s="73" t="s">
        <v>139</v>
      </c>
      <c r="C87" s="36">
        <v>0</v>
      </c>
      <c r="D87" s="36">
        <v>0</v>
      </c>
      <c r="E87" s="36">
        <v>0</v>
      </c>
      <c r="F87" s="36">
        <v>0</v>
      </c>
      <c r="G87" s="36">
        <v>0</v>
      </c>
      <c r="H87" s="36"/>
      <c r="I87" s="36">
        <v>0</v>
      </c>
      <c r="J87" s="36">
        <v>0</v>
      </c>
      <c r="K87" s="36">
        <v>0</v>
      </c>
      <c r="L87" s="36">
        <f t="shared" si="254"/>
        <v>0</v>
      </c>
      <c r="M87" s="36">
        <v>0</v>
      </c>
      <c r="N87" s="36">
        <v>0</v>
      </c>
      <c r="O87" s="36">
        <v>0</v>
      </c>
      <c r="P87" s="36">
        <f t="shared" si="255"/>
        <v>0</v>
      </c>
      <c r="Q87" s="36">
        <v>0</v>
      </c>
      <c r="R87" s="36">
        <v>0</v>
      </c>
      <c r="S87" s="36">
        <v>0</v>
      </c>
      <c r="T87" s="36">
        <f t="shared" si="256"/>
        <v>0</v>
      </c>
      <c r="U87" s="36">
        <v>0</v>
      </c>
      <c r="V87" s="36">
        <v>0</v>
      </c>
      <c r="W87" s="36">
        <v>0</v>
      </c>
      <c r="Y87" s="36">
        <f>SUM(J87:M87)</f>
        <v>0</v>
      </c>
      <c r="Z87" s="36">
        <f>SUM(K87:N87)</f>
        <v>0</v>
      </c>
      <c r="AA87" s="36">
        <f>SUM(L87:O87)</f>
        <v>0</v>
      </c>
      <c r="AB87" s="36">
        <f>SUM(M87:P87)</f>
        <v>0</v>
      </c>
      <c r="AC87" s="36">
        <f>SUM(N87:Q87)</f>
        <v>0</v>
      </c>
      <c r="AD87" s="36">
        <f>SUM(O87:R87)</f>
        <v>0</v>
      </c>
      <c r="AE87" s="36">
        <f>SUM(P87:S87)</f>
        <v>0</v>
      </c>
      <c r="AF87" s="36">
        <f>SUM(Q87:T87)</f>
        <v>0</v>
      </c>
      <c r="AG87" s="36">
        <f>SUM(R87:U87)</f>
        <v>0</v>
      </c>
      <c r="AH87" s="36">
        <f>SUM(S87:V87)</f>
        <v>0</v>
      </c>
      <c r="AI87" s="36">
        <f>SUM(T87:W87)</f>
        <v>0</v>
      </c>
      <c r="AJ87" s="13"/>
      <c r="AK87" s="48"/>
    </row>
    <row r="88" spans="2:37" ht="12.75" customHeight="1" x14ac:dyDescent="0.2">
      <c r="B88" s="73" t="s">
        <v>15</v>
      </c>
      <c r="C88" s="36">
        <v>1854</v>
      </c>
      <c r="D88" s="36">
        <v>2036</v>
      </c>
      <c r="E88" s="36">
        <v>3128</v>
      </c>
      <c r="F88" s="36">
        <v>3229</v>
      </c>
      <c r="G88" s="36">
        <v>3410</v>
      </c>
      <c r="H88" s="36"/>
      <c r="I88" s="36">
        <v>707</v>
      </c>
      <c r="J88" s="36">
        <f>1599-I88</f>
        <v>892</v>
      </c>
      <c r="K88" s="36">
        <f>2392-J88-I88</f>
        <v>793</v>
      </c>
      <c r="L88" s="36">
        <f t="shared" si="254"/>
        <v>736</v>
      </c>
      <c r="M88" s="36">
        <v>739</v>
      </c>
      <c r="N88" s="36">
        <f>1661-M88</f>
        <v>922</v>
      </c>
      <c r="O88" s="36">
        <f>2433-N88-M88</f>
        <v>772</v>
      </c>
      <c r="P88" s="36">
        <f t="shared" si="255"/>
        <v>796</v>
      </c>
      <c r="Q88" s="36">
        <v>1179</v>
      </c>
      <c r="R88" s="36">
        <f>1959-Q88</f>
        <v>780</v>
      </c>
      <c r="S88" s="36">
        <f>2759-R88-Q88</f>
        <v>800</v>
      </c>
      <c r="T88" s="36">
        <f t="shared" si="256"/>
        <v>651</v>
      </c>
      <c r="U88" s="36">
        <v>684</v>
      </c>
      <c r="V88" s="36">
        <f>1348-U88</f>
        <v>664</v>
      </c>
      <c r="W88" s="36">
        <f>1896-V88-U88</f>
        <v>548</v>
      </c>
      <c r="Y88" s="36">
        <f>SUM(J88:M88)</f>
        <v>3160</v>
      </c>
      <c r="Z88" s="36">
        <f>SUM(K88:N88)</f>
        <v>3190</v>
      </c>
      <c r="AA88" s="36">
        <f>SUM(L88:O88)</f>
        <v>3169</v>
      </c>
      <c r="AB88" s="36">
        <f>SUM(M88:P88)</f>
        <v>3229</v>
      </c>
      <c r="AC88" s="36">
        <f>SUM(N88:Q88)</f>
        <v>3669</v>
      </c>
      <c r="AD88" s="36">
        <f>SUM(O88:R88)</f>
        <v>3527</v>
      </c>
      <c r="AE88" s="36">
        <f>SUM(P88:S88)</f>
        <v>3555</v>
      </c>
      <c r="AF88" s="36">
        <f>SUM(Q88:T88)</f>
        <v>3410</v>
      </c>
      <c r="AG88" s="36">
        <f>SUM(R88:U88)</f>
        <v>2915</v>
      </c>
      <c r="AH88" s="36">
        <f>SUM(S88:V88)</f>
        <v>2799</v>
      </c>
      <c r="AI88" s="36">
        <f>SUM(T88:W88)</f>
        <v>2547</v>
      </c>
      <c r="AJ88" s="13"/>
      <c r="AK88" s="48"/>
    </row>
    <row r="89" spans="2:37" ht="12.75" customHeight="1" x14ac:dyDescent="0.2">
      <c r="B89" s="73" t="s">
        <v>140</v>
      </c>
      <c r="C89" s="36">
        <v>0</v>
      </c>
      <c r="D89" s="36">
        <v>2626</v>
      </c>
      <c r="E89" s="36">
        <v>1074</v>
      </c>
      <c r="F89" s="36">
        <v>-424</v>
      </c>
      <c r="G89" s="36">
        <v>3491</v>
      </c>
      <c r="H89" s="36"/>
      <c r="I89" s="36">
        <v>17</v>
      </c>
      <c r="J89" s="36">
        <f>73-I89</f>
        <v>56</v>
      </c>
      <c r="K89" s="36">
        <f>665-J89-I89</f>
        <v>592</v>
      </c>
      <c r="L89" s="36">
        <f t="shared" si="254"/>
        <v>409</v>
      </c>
      <c r="M89" s="36">
        <v>55</v>
      </c>
      <c r="N89" s="36">
        <f>255-M89</f>
        <v>200</v>
      </c>
      <c r="O89" s="36">
        <f>718-N89-M89</f>
        <v>463</v>
      </c>
      <c r="P89" s="36">
        <f t="shared" si="255"/>
        <v>-1142</v>
      </c>
      <c r="Q89" s="36">
        <v>348</v>
      </c>
      <c r="R89" s="36">
        <f>1291-Q89</f>
        <v>943</v>
      </c>
      <c r="S89" s="36">
        <f>3626-R89-Q89</f>
        <v>2335</v>
      </c>
      <c r="T89" s="36">
        <f t="shared" si="256"/>
        <v>-135</v>
      </c>
      <c r="U89" s="36">
        <v>0</v>
      </c>
      <c r="V89" s="36">
        <f>382-U89</f>
        <v>382</v>
      </c>
      <c r="W89" s="36">
        <f>372-V89-U89</f>
        <v>-10</v>
      </c>
      <c r="Y89" s="36">
        <f>SUM(J89:M89)</f>
        <v>1112</v>
      </c>
      <c r="Z89" s="36">
        <f>SUM(K89:N89)</f>
        <v>1256</v>
      </c>
      <c r="AA89" s="36">
        <f>SUM(L89:O89)</f>
        <v>1127</v>
      </c>
      <c r="AB89" s="36">
        <f>SUM(M89:P89)</f>
        <v>-424</v>
      </c>
      <c r="AC89" s="36">
        <f>SUM(N89:Q89)</f>
        <v>-131</v>
      </c>
      <c r="AD89" s="36">
        <f>SUM(O89:R89)</f>
        <v>612</v>
      </c>
      <c r="AE89" s="36">
        <f>SUM(P89:S89)</f>
        <v>2484</v>
      </c>
      <c r="AF89" s="36">
        <f>SUM(Q89:T89)</f>
        <v>3491</v>
      </c>
      <c r="AG89" s="36">
        <f>SUM(R89:U89)</f>
        <v>3143</v>
      </c>
      <c r="AH89" s="36">
        <f>SUM(S89:V89)</f>
        <v>2582</v>
      </c>
      <c r="AI89" s="36">
        <f>SUM(T89:W89)</f>
        <v>237</v>
      </c>
      <c r="AJ89" s="13"/>
      <c r="AK89" s="48"/>
    </row>
    <row r="90" spans="2:37" ht="12.75" customHeight="1" x14ac:dyDescent="0.2">
      <c r="B90" s="73" t="s">
        <v>141</v>
      </c>
      <c r="C90" s="36">
        <v>0</v>
      </c>
      <c r="D90" s="36">
        <v>0</v>
      </c>
      <c r="E90" s="36">
        <v>0</v>
      </c>
      <c r="F90" s="36">
        <v>0</v>
      </c>
      <c r="G90" s="36">
        <v>0</v>
      </c>
      <c r="H90" s="36"/>
      <c r="I90" s="36">
        <v>0</v>
      </c>
      <c r="J90" s="36">
        <v>0</v>
      </c>
      <c r="K90" s="36">
        <v>0</v>
      </c>
      <c r="L90" s="36">
        <f t="shared" si="254"/>
        <v>0</v>
      </c>
      <c r="M90" s="36">
        <v>0</v>
      </c>
      <c r="N90" s="36">
        <v>0</v>
      </c>
      <c r="O90" s="36">
        <v>0</v>
      </c>
      <c r="P90" s="36">
        <f t="shared" si="255"/>
        <v>0</v>
      </c>
      <c r="Q90" s="36">
        <v>0</v>
      </c>
      <c r="R90" s="36">
        <v>0</v>
      </c>
      <c r="S90" s="36">
        <v>0</v>
      </c>
      <c r="T90" s="36">
        <f t="shared" si="256"/>
        <v>0</v>
      </c>
      <c r="U90" s="36">
        <v>0</v>
      </c>
      <c r="V90" s="36">
        <v>0</v>
      </c>
      <c r="W90" s="36">
        <v>0</v>
      </c>
      <c r="Y90" s="36">
        <f>SUM(J90:M90)</f>
        <v>0</v>
      </c>
      <c r="Z90" s="36">
        <f>SUM(K90:N90)</f>
        <v>0</v>
      </c>
      <c r="AA90" s="36">
        <f>SUM(L90:O90)</f>
        <v>0</v>
      </c>
      <c r="AB90" s="36">
        <f>SUM(M90:P90)</f>
        <v>0</v>
      </c>
      <c r="AC90" s="36">
        <f>SUM(N90:Q90)</f>
        <v>0</v>
      </c>
      <c r="AD90" s="36">
        <f>SUM(O90:R90)</f>
        <v>0</v>
      </c>
      <c r="AE90" s="36">
        <f>SUM(P90:S90)</f>
        <v>0</v>
      </c>
      <c r="AF90" s="36">
        <f>SUM(Q90:T90)</f>
        <v>0</v>
      </c>
      <c r="AG90" s="36">
        <f>SUM(R90:U90)</f>
        <v>0</v>
      </c>
      <c r="AH90" s="36">
        <f>SUM(S90:V90)</f>
        <v>0</v>
      </c>
      <c r="AI90" s="36">
        <f>SUM(T90:W90)</f>
        <v>0</v>
      </c>
      <c r="AJ90" s="13"/>
      <c r="AK90" s="48"/>
    </row>
    <row r="91" spans="2:37" ht="12.75" customHeight="1" x14ac:dyDescent="0.2">
      <c r="B91" s="73" t="s">
        <v>142</v>
      </c>
      <c r="C91" s="36">
        <v>0</v>
      </c>
      <c r="D91" s="36">
        <v>0</v>
      </c>
      <c r="E91" s="36">
        <v>0</v>
      </c>
      <c r="F91" s="36">
        <v>0</v>
      </c>
      <c r="G91" s="36">
        <v>0</v>
      </c>
      <c r="H91" s="36"/>
      <c r="I91" s="36">
        <v>0</v>
      </c>
      <c r="J91" s="36">
        <v>0</v>
      </c>
      <c r="K91" s="36">
        <v>0</v>
      </c>
      <c r="L91" s="36">
        <f t="shared" si="254"/>
        <v>0</v>
      </c>
      <c r="M91" s="36">
        <v>0</v>
      </c>
      <c r="N91" s="36">
        <v>0</v>
      </c>
      <c r="O91" s="36">
        <v>0</v>
      </c>
      <c r="P91" s="36">
        <f t="shared" si="255"/>
        <v>0</v>
      </c>
      <c r="Q91" s="36">
        <v>0</v>
      </c>
      <c r="R91" s="36">
        <v>0</v>
      </c>
      <c r="S91" s="36">
        <v>0</v>
      </c>
      <c r="T91" s="36">
        <f t="shared" si="256"/>
        <v>0</v>
      </c>
      <c r="U91" s="36">
        <v>0</v>
      </c>
      <c r="V91" s="36">
        <v>0</v>
      </c>
      <c r="W91" s="36">
        <v>0</v>
      </c>
      <c r="Y91" s="36">
        <f>SUM(J91:M91)</f>
        <v>0</v>
      </c>
      <c r="Z91" s="36">
        <f>SUM(K91:N91)</f>
        <v>0</v>
      </c>
      <c r="AA91" s="36">
        <f>SUM(L91:O91)</f>
        <v>0</v>
      </c>
      <c r="AB91" s="36">
        <f>SUM(M91:P91)</f>
        <v>0</v>
      </c>
      <c r="AC91" s="36">
        <f>SUM(N91:Q91)</f>
        <v>0</v>
      </c>
      <c r="AD91" s="36">
        <f>SUM(O91:R91)</f>
        <v>0</v>
      </c>
      <c r="AE91" s="36">
        <f>SUM(P91:S91)</f>
        <v>0</v>
      </c>
      <c r="AF91" s="36">
        <f>SUM(Q91:T91)</f>
        <v>0</v>
      </c>
      <c r="AG91" s="36">
        <f>SUM(R91:U91)</f>
        <v>0</v>
      </c>
      <c r="AH91" s="36">
        <f>SUM(S91:V91)</f>
        <v>0</v>
      </c>
      <c r="AI91" s="36">
        <f>SUM(T91:W91)</f>
        <v>0</v>
      </c>
      <c r="AJ91" s="13"/>
      <c r="AK91" s="48"/>
    </row>
    <row r="92" spans="2:37" ht="12.75" customHeight="1" x14ac:dyDescent="0.2">
      <c r="B92" s="73" t="s">
        <v>143</v>
      </c>
      <c r="C92" s="36">
        <v>1757</v>
      </c>
      <c r="D92" s="36">
        <v>1839</v>
      </c>
      <c r="E92" s="36">
        <v>1907</v>
      </c>
      <c r="F92" s="36">
        <v>1755</v>
      </c>
      <c r="G92" s="36">
        <v>1428</v>
      </c>
      <c r="H92" s="36"/>
      <c r="I92" s="36">
        <v>501</v>
      </c>
      <c r="J92" s="36">
        <f>968-I92</f>
        <v>467</v>
      </c>
      <c r="K92" s="36">
        <f>1439-J92-I92</f>
        <v>471</v>
      </c>
      <c r="L92" s="36">
        <f t="shared" si="254"/>
        <v>468</v>
      </c>
      <c r="M92" s="36">
        <v>465</v>
      </c>
      <c r="N92" s="36">
        <f>909-M92</f>
        <v>444</v>
      </c>
      <c r="O92" s="36">
        <f>1336-N92-M92</f>
        <v>427</v>
      </c>
      <c r="P92" s="36">
        <f t="shared" si="255"/>
        <v>419</v>
      </c>
      <c r="Q92" s="36">
        <v>351</v>
      </c>
      <c r="R92" s="36">
        <f>717-Q92</f>
        <v>366</v>
      </c>
      <c r="S92" s="36">
        <f>1081-R92-Q92</f>
        <v>364</v>
      </c>
      <c r="T92" s="36">
        <f t="shared" si="256"/>
        <v>347</v>
      </c>
      <c r="U92" s="36">
        <v>249</v>
      </c>
      <c r="V92" s="36">
        <f>474-U92</f>
        <v>225</v>
      </c>
      <c r="W92" s="36">
        <f>708-V92-U92</f>
        <v>234</v>
      </c>
      <c r="Y92" s="36">
        <f>SUM(J92:M92)</f>
        <v>1871</v>
      </c>
      <c r="Z92" s="36">
        <f>SUM(K92:N92)</f>
        <v>1848</v>
      </c>
      <c r="AA92" s="36">
        <f>SUM(L92:O92)</f>
        <v>1804</v>
      </c>
      <c r="AB92" s="36">
        <f>SUM(M92:P92)</f>
        <v>1755</v>
      </c>
      <c r="AC92" s="36">
        <f>SUM(N92:Q92)</f>
        <v>1641</v>
      </c>
      <c r="AD92" s="36">
        <f>SUM(O92:R92)</f>
        <v>1563</v>
      </c>
      <c r="AE92" s="36">
        <f>SUM(P92:S92)</f>
        <v>1500</v>
      </c>
      <c r="AF92" s="36">
        <f>SUM(Q92:T92)</f>
        <v>1428</v>
      </c>
      <c r="AG92" s="36">
        <f>SUM(R92:U92)</f>
        <v>1326</v>
      </c>
      <c r="AH92" s="36">
        <f>SUM(S92:V92)</f>
        <v>1185</v>
      </c>
      <c r="AI92" s="36">
        <f>SUM(T92:W92)</f>
        <v>1055</v>
      </c>
      <c r="AJ92" s="13"/>
      <c r="AK92" s="48"/>
    </row>
    <row r="93" spans="2:37" ht="12.75" customHeight="1" x14ac:dyDescent="0.2">
      <c r="B93" s="73" t="s">
        <v>144</v>
      </c>
      <c r="C93" s="36">
        <v>0</v>
      </c>
      <c r="D93" s="36">
        <v>0</v>
      </c>
      <c r="E93" s="36">
        <v>0</v>
      </c>
      <c r="F93" s="36">
        <v>0</v>
      </c>
      <c r="G93" s="36">
        <v>0</v>
      </c>
      <c r="H93" s="36"/>
      <c r="I93" s="36">
        <v>0</v>
      </c>
      <c r="J93" s="36">
        <v>0</v>
      </c>
      <c r="K93" s="36">
        <v>0</v>
      </c>
      <c r="L93" s="36">
        <f t="shared" si="254"/>
        <v>0</v>
      </c>
      <c r="M93" s="36">
        <v>0</v>
      </c>
      <c r="N93" s="36">
        <v>0</v>
      </c>
      <c r="O93" s="36">
        <v>0</v>
      </c>
      <c r="P93" s="36">
        <f t="shared" si="255"/>
        <v>0</v>
      </c>
      <c r="Q93" s="36">
        <v>0</v>
      </c>
      <c r="R93" s="36">
        <v>0</v>
      </c>
      <c r="S93" s="36">
        <v>0</v>
      </c>
      <c r="T93" s="36">
        <f t="shared" si="256"/>
        <v>0</v>
      </c>
      <c r="U93" s="36">
        <v>0</v>
      </c>
      <c r="V93" s="36">
        <v>0</v>
      </c>
      <c r="W93" s="36">
        <v>0</v>
      </c>
      <c r="Y93" s="36">
        <f>SUM(J93:M93)</f>
        <v>0</v>
      </c>
      <c r="Z93" s="36">
        <f>SUM(K93:N93)</f>
        <v>0</v>
      </c>
      <c r="AA93" s="36">
        <f>SUM(L93:O93)</f>
        <v>0</v>
      </c>
      <c r="AB93" s="36">
        <f>SUM(M93:P93)</f>
        <v>0</v>
      </c>
      <c r="AC93" s="36">
        <f>SUM(N93:Q93)</f>
        <v>0</v>
      </c>
      <c r="AD93" s="36">
        <f>SUM(O93:R93)</f>
        <v>0</v>
      </c>
      <c r="AE93" s="36">
        <f>SUM(P93:S93)</f>
        <v>0</v>
      </c>
      <c r="AF93" s="36">
        <f>SUM(Q93:T93)</f>
        <v>0</v>
      </c>
      <c r="AG93" s="36">
        <f>SUM(R93:U93)</f>
        <v>0</v>
      </c>
      <c r="AH93" s="36">
        <f>SUM(S93:V93)</f>
        <v>0</v>
      </c>
      <c r="AI93" s="36">
        <f>SUM(T93:W93)</f>
        <v>0</v>
      </c>
      <c r="AJ93" s="13"/>
      <c r="AK93" s="48"/>
    </row>
    <row r="94" spans="2:37" ht="12.75" customHeight="1" x14ac:dyDescent="0.2">
      <c r="B94" s="73" t="s">
        <v>145</v>
      </c>
      <c r="C94" s="36">
        <v>-1757</v>
      </c>
      <c r="D94" s="36">
        <v>-1458</v>
      </c>
      <c r="E94" s="36">
        <v>-4254</v>
      </c>
      <c r="F94" s="36">
        <v>-42</v>
      </c>
      <c r="G94" s="36">
        <v>-246</v>
      </c>
      <c r="H94" s="36"/>
      <c r="I94" s="36">
        <v>-4325</v>
      </c>
      <c r="J94" s="36">
        <f>-4230-I94</f>
        <v>95</v>
      </c>
      <c r="K94" s="36">
        <f>-4075-J94-I94</f>
        <v>155</v>
      </c>
      <c r="L94" s="36">
        <f t="shared" si="254"/>
        <v>-179</v>
      </c>
      <c r="M94" s="36">
        <v>-167</v>
      </c>
      <c r="N94" s="36">
        <f>-146-M94</f>
        <v>21</v>
      </c>
      <c r="O94" s="36">
        <f>47-N94-M94</f>
        <v>193</v>
      </c>
      <c r="P94" s="36">
        <f t="shared" si="255"/>
        <v>-89</v>
      </c>
      <c r="Q94" s="36">
        <v>-208</v>
      </c>
      <c r="R94" s="36">
        <f>-84-Q94</f>
        <v>124</v>
      </c>
      <c r="S94" s="36">
        <f>75-R94-Q94</f>
        <v>159</v>
      </c>
      <c r="T94" s="36">
        <f t="shared" si="256"/>
        <v>-321</v>
      </c>
      <c r="U94" s="36">
        <v>112</v>
      </c>
      <c r="V94" s="36">
        <f>-390-U94</f>
        <v>-502</v>
      </c>
      <c r="W94" s="36">
        <f>-611-V94-U94</f>
        <v>-221</v>
      </c>
      <c r="Y94" s="36">
        <f>SUM(J94:M94)</f>
        <v>-96</v>
      </c>
      <c r="Z94" s="36">
        <f>SUM(K94:N94)</f>
        <v>-170</v>
      </c>
      <c r="AA94" s="36">
        <f>SUM(L94:O94)</f>
        <v>-132</v>
      </c>
      <c r="AB94" s="36">
        <f>SUM(M94:P94)</f>
        <v>-42</v>
      </c>
      <c r="AC94" s="36">
        <f>SUM(N94:Q94)</f>
        <v>-83</v>
      </c>
      <c r="AD94" s="36">
        <f>SUM(O94:R94)</f>
        <v>20</v>
      </c>
      <c r="AE94" s="36">
        <f>SUM(P94:S94)</f>
        <v>-14</v>
      </c>
      <c r="AF94" s="36">
        <f>SUM(Q94:T94)</f>
        <v>-246</v>
      </c>
      <c r="AG94" s="36">
        <f>SUM(R94:U94)</f>
        <v>74</v>
      </c>
      <c r="AH94" s="36">
        <f>SUM(S94:V94)</f>
        <v>-552</v>
      </c>
      <c r="AI94" s="36">
        <f>SUM(T94:W94)</f>
        <v>-932</v>
      </c>
      <c r="AJ94" s="13"/>
      <c r="AK94" s="48"/>
    </row>
    <row r="95" spans="2:37" ht="12.75" customHeight="1" x14ac:dyDescent="0.2">
      <c r="B95" s="73" t="s">
        <v>146</v>
      </c>
      <c r="C95" s="36">
        <v>0</v>
      </c>
      <c r="D95" s="36">
        <v>0</v>
      </c>
      <c r="E95" s="36">
        <v>0</v>
      </c>
      <c r="F95" s="36">
        <v>0</v>
      </c>
      <c r="G95" s="36">
        <v>0</v>
      </c>
      <c r="H95" s="36"/>
      <c r="I95" s="36">
        <v>0</v>
      </c>
      <c r="J95" s="36">
        <v>0</v>
      </c>
      <c r="K95" s="36">
        <v>0</v>
      </c>
      <c r="L95" s="36">
        <f t="shared" si="254"/>
        <v>0</v>
      </c>
      <c r="M95" s="36">
        <v>0</v>
      </c>
      <c r="N95" s="36">
        <v>0</v>
      </c>
      <c r="O95" s="36">
        <v>0</v>
      </c>
      <c r="P95" s="36">
        <f t="shared" si="255"/>
        <v>0</v>
      </c>
      <c r="Q95" s="36">
        <v>0</v>
      </c>
      <c r="R95" s="36">
        <v>0</v>
      </c>
      <c r="S95" s="36">
        <v>0</v>
      </c>
      <c r="T95" s="36">
        <f t="shared" si="256"/>
        <v>0</v>
      </c>
      <c r="U95" s="36">
        <v>0</v>
      </c>
      <c r="V95" s="36">
        <v>0</v>
      </c>
      <c r="W95" s="36">
        <v>0</v>
      </c>
      <c r="Y95" s="36">
        <f>SUM(J95:M95)</f>
        <v>0</v>
      </c>
      <c r="Z95" s="36">
        <f>SUM(K95:N95)</f>
        <v>0</v>
      </c>
      <c r="AA95" s="36">
        <f>SUM(L95:O95)</f>
        <v>0</v>
      </c>
      <c r="AB95" s="36">
        <f>SUM(M95:P95)</f>
        <v>0</v>
      </c>
      <c r="AC95" s="36">
        <f>SUM(N95:Q95)</f>
        <v>0</v>
      </c>
      <c r="AD95" s="36">
        <f>SUM(O95:R95)</f>
        <v>0</v>
      </c>
      <c r="AE95" s="36">
        <f>SUM(P95:S95)</f>
        <v>0</v>
      </c>
      <c r="AF95" s="36">
        <f>SUM(Q95:T95)</f>
        <v>0</v>
      </c>
      <c r="AG95" s="36">
        <f>SUM(R95:U95)</f>
        <v>0</v>
      </c>
      <c r="AH95" s="36">
        <f>SUM(S95:V95)</f>
        <v>0</v>
      </c>
      <c r="AI95" s="36">
        <f>SUM(T95:W95)</f>
        <v>0</v>
      </c>
      <c r="AJ95" s="13"/>
      <c r="AK95" s="48"/>
    </row>
    <row r="96" spans="2:37" ht="12.75" customHeight="1" x14ac:dyDescent="0.2">
      <c r="B96" s="70" t="s">
        <v>21</v>
      </c>
      <c r="C96" s="36">
        <v>-30</v>
      </c>
      <c r="D96" s="36">
        <v>0</v>
      </c>
      <c r="E96" s="36">
        <v>-1059</v>
      </c>
      <c r="F96" s="36">
        <v>0</v>
      </c>
      <c r="G96" s="36">
        <v>0</v>
      </c>
      <c r="H96" s="36"/>
      <c r="I96" s="36">
        <v>-1121</v>
      </c>
      <c r="J96" s="36">
        <f>-1072-I96</f>
        <v>49</v>
      </c>
      <c r="K96" s="36">
        <f>-1072-J96-I96</f>
        <v>0</v>
      </c>
      <c r="L96" s="36">
        <f t="shared" si="254"/>
        <v>13</v>
      </c>
      <c r="M96" s="36">
        <v>0</v>
      </c>
      <c r="N96" s="36">
        <f>0-M96</f>
        <v>0</v>
      </c>
      <c r="O96" s="36">
        <v>0</v>
      </c>
      <c r="P96" s="36">
        <f t="shared" si="255"/>
        <v>0</v>
      </c>
      <c r="Q96" s="36">
        <v>0</v>
      </c>
      <c r="R96" s="36">
        <v>0</v>
      </c>
      <c r="S96" s="36">
        <v>0</v>
      </c>
      <c r="T96" s="36">
        <f t="shared" si="256"/>
        <v>0</v>
      </c>
      <c r="U96" s="36">
        <v>0</v>
      </c>
      <c r="V96" s="36">
        <v>0</v>
      </c>
      <c r="W96" s="36">
        <f>-5355-V96-U96</f>
        <v>-5355</v>
      </c>
      <c r="Y96" s="36">
        <f>SUM(J96:M96)</f>
        <v>62</v>
      </c>
      <c r="Z96" s="36">
        <f>SUM(K96:N96)</f>
        <v>13</v>
      </c>
      <c r="AA96" s="36">
        <f>SUM(L96:O96)</f>
        <v>13</v>
      </c>
      <c r="AB96" s="36">
        <f>SUM(M96:P96)</f>
        <v>0</v>
      </c>
      <c r="AC96" s="36">
        <f>SUM(N96:Q96)</f>
        <v>0</v>
      </c>
      <c r="AD96" s="36">
        <f>SUM(O96:R96)</f>
        <v>0</v>
      </c>
      <c r="AE96" s="36">
        <f>SUM(P96:S96)</f>
        <v>0</v>
      </c>
      <c r="AF96" s="36">
        <f>SUM(Q96:T96)</f>
        <v>0</v>
      </c>
      <c r="AG96" s="36">
        <f>SUM(R96:U96)</f>
        <v>0</v>
      </c>
      <c r="AH96" s="36">
        <f>SUM(S96:V96)</f>
        <v>0</v>
      </c>
      <c r="AI96" s="36">
        <f>SUM(T96:W96)</f>
        <v>-5355</v>
      </c>
      <c r="AJ96" s="13"/>
      <c r="AK96" s="48"/>
    </row>
    <row r="97" spans="2:37" ht="12.75" customHeight="1" x14ac:dyDescent="0.2">
      <c r="B97" s="73" t="s">
        <v>112</v>
      </c>
      <c r="C97" s="36">
        <v>0</v>
      </c>
      <c r="D97" s="36">
        <v>0</v>
      </c>
      <c r="E97" s="36">
        <v>0</v>
      </c>
      <c r="F97" s="36">
        <v>0</v>
      </c>
      <c r="G97" s="36">
        <v>6132</v>
      </c>
      <c r="H97" s="36"/>
      <c r="I97" s="36">
        <v>0</v>
      </c>
      <c r="J97" s="36">
        <v>0</v>
      </c>
      <c r="K97" s="36">
        <v>0</v>
      </c>
      <c r="L97" s="36">
        <f t="shared" si="254"/>
        <v>0</v>
      </c>
      <c r="M97" s="36">
        <v>0</v>
      </c>
      <c r="N97" s="36">
        <v>0</v>
      </c>
      <c r="O97" s="36">
        <v>0</v>
      </c>
      <c r="P97" s="36">
        <f t="shared" si="255"/>
        <v>0</v>
      </c>
      <c r="Q97" s="36">
        <v>0</v>
      </c>
      <c r="R97" s="36">
        <v>0</v>
      </c>
      <c r="S97" s="36">
        <f>6368-R97-Q97</f>
        <v>6368</v>
      </c>
      <c r="T97" s="36">
        <f t="shared" si="256"/>
        <v>-236</v>
      </c>
      <c r="U97" s="36">
        <v>19</v>
      </c>
      <c r="V97" s="36">
        <f>106-U97</f>
        <v>87</v>
      </c>
      <c r="W97" s="36">
        <f>123-V97-U97</f>
        <v>17</v>
      </c>
      <c r="Y97" s="36">
        <f>SUM(J97:M97)</f>
        <v>0</v>
      </c>
      <c r="Z97" s="36">
        <f>SUM(K97:N97)</f>
        <v>0</v>
      </c>
      <c r="AA97" s="36">
        <f>SUM(L97:O97)</f>
        <v>0</v>
      </c>
      <c r="AB97" s="36">
        <f>SUM(M97:P97)</f>
        <v>0</v>
      </c>
      <c r="AC97" s="36">
        <f>SUM(N97:Q97)</f>
        <v>0</v>
      </c>
      <c r="AD97" s="36">
        <f>SUM(O97:R97)</f>
        <v>0</v>
      </c>
      <c r="AE97" s="36">
        <f>SUM(P97:S97)</f>
        <v>6368</v>
      </c>
      <c r="AF97" s="36">
        <f>SUM(Q97:T97)</f>
        <v>6132</v>
      </c>
      <c r="AG97" s="36">
        <f>SUM(R97:U97)</f>
        <v>6151</v>
      </c>
      <c r="AH97" s="36">
        <f>SUM(S97:V97)</f>
        <v>6238</v>
      </c>
      <c r="AI97" s="36">
        <f>SUM(T97:W97)</f>
        <v>-113</v>
      </c>
      <c r="AJ97" s="13"/>
      <c r="AK97" s="48"/>
    </row>
    <row r="98" spans="2:37" ht="12.75" customHeight="1" x14ac:dyDescent="0.2">
      <c r="B98" s="73" t="s">
        <v>147</v>
      </c>
      <c r="C98" s="36">
        <v>0</v>
      </c>
      <c r="D98" s="36">
        <v>0</v>
      </c>
      <c r="E98" s="36">
        <v>0</v>
      </c>
      <c r="F98" s="36">
        <v>0</v>
      </c>
      <c r="G98" s="36">
        <v>2252</v>
      </c>
      <c r="H98" s="36"/>
      <c r="I98" s="36">
        <v>0</v>
      </c>
      <c r="J98" s="36">
        <v>0</v>
      </c>
      <c r="K98" s="36">
        <v>0</v>
      </c>
      <c r="L98" s="36">
        <f t="shared" si="254"/>
        <v>0</v>
      </c>
      <c r="M98" s="36">
        <v>0</v>
      </c>
      <c r="N98" s="36">
        <v>0</v>
      </c>
      <c r="O98" s="36">
        <v>0</v>
      </c>
      <c r="P98" s="36">
        <f t="shared" si="255"/>
        <v>0</v>
      </c>
      <c r="Q98" s="36">
        <v>0</v>
      </c>
      <c r="R98" s="36">
        <v>0</v>
      </c>
      <c r="S98" s="36">
        <f>2290-R98-Q98</f>
        <v>2290</v>
      </c>
      <c r="T98" s="36">
        <f t="shared" si="256"/>
        <v>-38</v>
      </c>
      <c r="U98" s="36">
        <v>0</v>
      </c>
      <c r="V98" s="36">
        <f>482-U98</f>
        <v>482</v>
      </c>
      <c r="W98" s="36">
        <f>465+1687-V98-U98</f>
        <v>1670</v>
      </c>
      <c r="Y98" s="36">
        <f>SUM(J98:M98)</f>
        <v>0</v>
      </c>
      <c r="Z98" s="36">
        <f>SUM(K98:N98)</f>
        <v>0</v>
      </c>
      <c r="AA98" s="36">
        <f>SUM(L98:O98)</f>
        <v>0</v>
      </c>
      <c r="AB98" s="36">
        <f>SUM(M98:P98)</f>
        <v>0</v>
      </c>
      <c r="AC98" s="36">
        <f>SUM(N98:Q98)</f>
        <v>0</v>
      </c>
      <c r="AD98" s="36">
        <f>SUM(O98:R98)</f>
        <v>0</v>
      </c>
      <c r="AE98" s="36">
        <f>SUM(P98:S98)</f>
        <v>2290</v>
      </c>
      <c r="AF98" s="36">
        <f>SUM(Q98:T98)</f>
        <v>2252</v>
      </c>
      <c r="AG98" s="36">
        <f>SUM(R98:U98)</f>
        <v>2252</v>
      </c>
      <c r="AH98" s="36">
        <f>SUM(S98:V98)</f>
        <v>2734</v>
      </c>
      <c r="AI98" s="36">
        <f>SUM(T98:W98)</f>
        <v>2114</v>
      </c>
      <c r="AJ98" s="13"/>
      <c r="AK98" s="48"/>
    </row>
    <row r="99" spans="2:37" ht="5.0999999999999996" customHeight="1" x14ac:dyDescent="0.2">
      <c r="B99" s="9"/>
      <c r="C99" s="36"/>
      <c r="D99" s="36"/>
      <c r="E99" s="36"/>
      <c r="F99" s="36"/>
      <c r="G99" s="36"/>
      <c r="H99" s="36"/>
      <c r="I99" s="36"/>
      <c r="J99" s="36"/>
      <c r="K99" s="36"/>
      <c r="L99" s="36"/>
      <c r="M99" s="36"/>
      <c r="N99" s="36"/>
      <c r="O99" s="36"/>
      <c r="P99" s="36"/>
      <c r="Q99" s="36"/>
      <c r="R99" s="36"/>
      <c r="S99" s="36"/>
      <c r="T99" s="36"/>
      <c r="U99" s="36"/>
      <c r="V99" s="36"/>
      <c r="W99" s="36"/>
      <c r="Y99" s="36"/>
      <c r="Z99" s="36"/>
      <c r="AA99" s="36"/>
      <c r="AB99" s="36"/>
      <c r="AC99" s="36"/>
      <c r="AD99" s="36"/>
      <c r="AE99" s="36"/>
      <c r="AF99" s="36"/>
      <c r="AG99" s="36"/>
      <c r="AH99" s="36"/>
      <c r="AI99" s="36"/>
      <c r="AJ99" s="13"/>
      <c r="AK99" s="48"/>
    </row>
    <row r="100" spans="2:37" ht="12.75" customHeight="1" x14ac:dyDescent="0.2">
      <c r="B100" s="43" t="s">
        <v>24</v>
      </c>
      <c r="C100" s="36"/>
      <c r="D100" s="36"/>
      <c r="E100" s="36"/>
      <c r="F100" s="36"/>
      <c r="G100" s="36"/>
      <c r="H100" s="36"/>
      <c r="I100" s="36"/>
      <c r="J100" s="36"/>
      <c r="K100" s="36"/>
      <c r="L100" s="36"/>
      <c r="M100" s="36"/>
      <c r="N100" s="36"/>
      <c r="O100" s="36"/>
      <c r="P100" s="36"/>
      <c r="Q100" s="36"/>
      <c r="R100" s="36"/>
      <c r="S100" s="36"/>
      <c r="T100" s="36"/>
      <c r="U100" s="36"/>
      <c r="V100" s="36"/>
      <c r="W100" s="36"/>
      <c r="Y100" s="36"/>
      <c r="Z100" s="36"/>
      <c r="AA100" s="36"/>
      <c r="AB100" s="36"/>
      <c r="AC100" s="36"/>
      <c r="AD100" s="36"/>
      <c r="AE100" s="36"/>
      <c r="AF100" s="36"/>
      <c r="AG100" s="36"/>
      <c r="AH100" s="36"/>
      <c r="AI100" s="36"/>
      <c r="AJ100" s="72"/>
      <c r="AK100" s="48"/>
    </row>
    <row r="101" spans="2:37" ht="12.75" customHeight="1" x14ac:dyDescent="0.2">
      <c r="B101" s="73" t="s">
        <v>123</v>
      </c>
      <c r="C101" s="36">
        <v>0</v>
      </c>
      <c r="D101" s="36">
        <v>0</v>
      </c>
      <c r="E101" s="36">
        <v>0</v>
      </c>
      <c r="F101" s="36">
        <v>0</v>
      </c>
      <c r="G101" s="36">
        <v>0</v>
      </c>
      <c r="H101" s="36"/>
      <c r="I101" s="36">
        <v>0</v>
      </c>
      <c r="J101" s="36">
        <v>0</v>
      </c>
      <c r="K101" s="36">
        <v>0</v>
      </c>
      <c r="L101" s="36">
        <f t="shared" ref="L101:L108" si="257">SUM(E101-SUM(I101:K101))</f>
        <v>0</v>
      </c>
      <c r="M101" s="36">
        <v>0</v>
      </c>
      <c r="N101" s="36">
        <v>0</v>
      </c>
      <c r="O101" s="36">
        <v>0</v>
      </c>
      <c r="P101" s="36">
        <f t="shared" ref="P101:P108" si="258">SUM(F101-SUM(M101:O101))</f>
        <v>0</v>
      </c>
      <c r="Q101" s="36">
        <v>0</v>
      </c>
      <c r="R101" s="36">
        <v>0</v>
      </c>
      <c r="S101" s="36">
        <v>0</v>
      </c>
      <c r="T101" s="36">
        <f t="shared" ref="T101:T108" si="259">SUM(G101-SUM(Q101:S101))</f>
        <v>0</v>
      </c>
      <c r="U101" s="36">
        <v>0</v>
      </c>
      <c r="V101" s="36">
        <v>0</v>
      </c>
      <c r="W101" s="36">
        <v>0</v>
      </c>
      <c r="Y101" s="36">
        <f>SUM(J101:M101)</f>
        <v>0</v>
      </c>
      <c r="Z101" s="36">
        <f>SUM(K101:N101)</f>
        <v>0</v>
      </c>
      <c r="AA101" s="36">
        <f>SUM(L101:O101)</f>
        <v>0</v>
      </c>
      <c r="AB101" s="36">
        <f>SUM(M101:P101)</f>
        <v>0</v>
      </c>
      <c r="AC101" s="36">
        <f>SUM(N101:Q101)</f>
        <v>0</v>
      </c>
      <c r="AD101" s="36">
        <f>SUM(O101:R101)</f>
        <v>0</v>
      </c>
      <c r="AE101" s="36">
        <f>SUM(P101:S101)</f>
        <v>0</v>
      </c>
      <c r="AF101" s="36">
        <f>SUM(Q101:T101)</f>
        <v>0</v>
      </c>
      <c r="AG101" s="36">
        <f>SUM(R101:U101)</f>
        <v>0</v>
      </c>
      <c r="AH101" s="36">
        <f>SUM(S101:V101)</f>
        <v>0</v>
      </c>
      <c r="AI101" s="36">
        <f>SUM(T101:W101)</f>
        <v>0</v>
      </c>
      <c r="AJ101" s="72"/>
      <c r="AK101" s="48"/>
    </row>
    <row r="102" spans="2:37" ht="12.75" customHeight="1" x14ac:dyDescent="0.2">
      <c r="B102" s="73" t="s">
        <v>16</v>
      </c>
      <c r="C102" s="36">
        <v>883</v>
      </c>
      <c r="D102" s="36">
        <v>-2674</v>
      </c>
      <c r="E102" s="36">
        <v>5327</v>
      </c>
      <c r="F102" s="36">
        <v>731</v>
      </c>
      <c r="G102" s="36">
        <v>-75</v>
      </c>
      <c r="H102" s="36"/>
      <c r="I102" s="36">
        <v>2384</v>
      </c>
      <c r="J102" s="36">
        <f>3397-I102</f>
        <v>1013</v>
      </c>
      <c r="K102" s="36">
        <f>1991-J102-I102</f>
        <v>-1406</v>
      </c>
      <c r="L102" s="36">
        <f t="shared" si="257"/>
        <v>3336</v>
      </c>
      <c r="M102" s="36">
        <v>286</v>
      </c>
      <c r="N102" s="36">
        <f>1137-M102</f>
        <v>851</v>
      </c>
      <c r="O102" s="36">
        <f>1290-N102-M102</f>
        <v>153</v>
      </c>
      <c r="P102" s="36">
        <f t="shared" si="258"/>
        <v>-559</v>
      </c>
      <c r="Q102" s="36">
        <v>80</v>
      </c>
      <c r="R102" s="36">
        <f>272-Q102</f>
        <v>192</v>
      </c>
      <c r="S102" s="36">
        <f>282-R102-Q102</f>
        <v>10</v>
      </c>
      <c r="T102" s="36">
        <f t="shared" si="259"/>
        <v>-357</v>
      </c>
      <c r="U102" s="36">
        <v>414</v>
      </c>
      <c r="V102" s="36">
        <f>1004-U102</f>
        <v>590</v>
      </c>
      <c r="W102" s="36">
        <f>162-V102-U102</f>
        <v>-842</v>
      </c>
      <c r="Y102" s="36">
        <f>SUM(J102:M102)</f>
        <v>3229</v>
      </c>
      <c r="Z102" s="36">
        <f>SUM(K102:N102)</f>
        <v>3067</v>
      </c>
      <c r="AA102" s="36">
        <f>SUM(L102:O102)</f>
        <v>4626</v>
      </c>
      <c r="AB102" s="36">
        <f>SUM(M102:P102)</f>
        <v>731</v>
      </c>
      <c r="AC102" s="36">
        <f>SUM(N102:Q102)</f>
        <v>525</v>
      </c>
      <c r="AD102" s="36">
        <f>SUM(O102:R102)</f>
        <v>-134</v>
      </c>
      <c r="AE102" s="36">
        <f>SUM(P102:S102)</f>
        <v>-277</v>
      </c>
      <c r="AF102" s="36">
        <f>SUM(Q102:T102)</f>
        <v>-75</v>
      </c>
      <c r="AG102" s="36">
        <f>SUM(R102:U102)</f>
        <v>259</v>
      </c>
      <c r="AH102" s="36">
        <f>SUM(S102:V102)</f>
        <v>657</v>
      </c>
      <c r="AI102" s="36">
        <f>SUM(T102:W102)</f>
        <v>-195</v>
      </c>
      <c r="AJ102" s="72"/>
      <c r="AK102" s="48"/>
    </row>
    <row r="103" spans="2:37" ht="12.75" customHeight="1" x14ac:dyDescent="0.2">
      <c r="B103" s="73" t="s">
        <v>17</v>
      </c>
      <c r="C103" s="36">
        <v>-687</v>
      </c>
      <c r="D103" s="36">
        <v>-2339</v>
      </c>
      <c r="E103" s="36">
        <v>-2436</v>
      </c>
      <c r="F103" s="36">
        <v>2097</v>
      </c>
      <c r="G103" s="36">
        <v>-1105</v>
      </c>
      <c r="H103" s="36"/>
      <c r="I103" s="36">
        <v>-1147</v>
      </c>
      <c r="J103" s="36">
        <f>-1386-I103</f>
        <v>-239</v>
      </c>
      <c r="K103" s="36">
        <f>-2043-J103-I103</f>
        <v>-657</v>
      </c>
      <c r="L103" s="36">
        <f t="shared" si="257"/>
        <v>-393</v>
      </c>
      <c r="M103" s="36">
        <v>231</v>
      </c>
      <c r="N103" s="36">
        <f>1240-M103</f>
        <v>1009</v>
      </c>
      <c r="O103" s="36">
        <f>1758-N103-M103</f>
        <v>518</v>
      </c>
      <c r="P103" s="36">
        <f t="shared" si="258"/>
        <v>339</v>
      </c>
      <c r="Q103" s="36">
        <v>-366</v>
      </c>
      <c r="R103" s="36">
        <f>-116-Q103</f>
        <v>250</v>
      </c>
      <c r="S103" s="36">
        <f>-969-R103-Q103</f>
        <v>-853</v>
      </c>
      <c r="T103" s="36">
        <f t="shared" si="259"/>
        <v>-136</v>
      </c>
      <c r="U103" s="36">
        <v>-83</v>
      </c>
      <c r="V103" s="36">
        <f>99-U103</f>
        <v>182</v>
      </c>
      <c r="W103" s="36">
        <f>-9-V103-U103</f>
        <v>-108</v>
      </c>
      <c r="Y103" s="36">
        <f>SUM(J103:M103)</f>
        <v>-1058</v>
      </c>
      <c r="Z103" s="36">
        <f>SUM(K103:N103)</f>
        <v>190</v>
      </c>
      <c r="AA103" s="36">
        <f>SUM(L103:O103)</f>
        <v>1365</v>
      </c>
      <c r="AB103" s="36">
        <f>SUM(M103:P103)</f>
        <v>2097</v>
      </c>
      <c r="AC103" s="36">
        <f>SUM(N103:Q103)</f>
        <v>1500</v>
      </c>
      <c r="AD103" s="36">
        <f>SUM(O103:R103)</f>
        <v>741</v>
      </c>
      <c r="AE103" s="36">
        <f>SUM(P103:S103)</f>
        <v>-630</v>
      </c>
      <c r="AF103" s="36">
        <f>SUM(Q103:T103)</f>
        <v>-1105</v>
      </c>
      <c r="AG103" s="36">
        <f>SUM(R103:U103)</f>
        <v>-822</v>
      </c>
      <c r="AH103" s="36">
        <f>SUM(S103:V103)</f>
        <v>-890</v>
      </c>
      <c r="AI103" s="36">
        <f>SUM(T103:W103)</f>
        <v>-145</v>
      </c>
      <c r="AJ103" s="72"/>
      <c r="AK103" s="48"/>
    </row>
    <row r="104" spans="2:37" ht="12.75" customHeight="1" x14ac:dyDescent="0.2">
      <c r="B104" s="73" t="s">
        <v>18</v>
      </c>
      <c r="C104" s="36">
        <v>412</v>
      </c>
      <c r="D104" s="36">
        <v>1190</v>
      </c>
      <c r="E104" s="36">
        <v>-29</v>
      </c>
      <c r="F104" s="36">
        <v>-801</v>
      </c>
      <c r="G104" s="36">
        <v>634</v>
      </c>
      <c r="H104" s="36"/>
      <c r="I104" s="36">
        <v>-128</v>
      </c>
      <c r="J104" s="36">
        <f>117-I104</f>
        <v>245</v>
      </c>
      <c r="K104" s="36">
        <f>-485-J104-I104</f>
        <v>-602</v>
      </c>
      <c r="L104" s="36">
        <f t="shared" si="257"/>
        <v>456</v>
      </c>
      <c r="M104" s="36">
        <v>-771</v>
      </c>
      <c r="N104" s="36">
        <f>-1102-M104</f>
        <v>-331</v>
      </c>
      <c r="O104" s="36">
        <f>-1082-N104-M104</f>
        <v>20</v>
      </c>
      <c r="P104" s="36">
        <f t="shared" si="258"/>
        <v>281</v>
      </c>
      <c r="Q104" s="36">
        <v>-386</v>
      </c>
      <c r="R104" s="36">
        <f>184-Q104</f>
        <v>570</v>
      </c>
      <c r="S104" s="36">
        <f>566-R104-Q104</f>
        <v>382</v>
      </c>
      <c r="T104" s="36">
        <f t="shared" si="259"/>
        <v>68</v>
      </c>
      <c r="U104" s="36">
        <v>-240</v>
      </c>
      <c r="V104" s="36">
        <f>114-U104</f>
        <v>354</v>
      </c>
      <c r="W104" s="36">
        <f>-281-V104-U104</f>
        <v>-395</v>
      </c>
      <c r="Y104" s="36">
        <f>SUM(J104:M104)</f>
        <v>-672</v>
      </c>
      <c r="Z104" s="36">
        <f>SUM(K104:N104)</f>
        <v>-1248</v>
      </c>
      <c r="AA104" s="36">
        <f>SUM(L104:O104)</f>
        <v>-626</v>
      </c>
      <c r="AB104" s="36">
        <f>SUM(M104:P104)</f>
        <v>-801</v>
      </c>
      <c r="AC104" s="36">
        <f>SUM(N104:Q104)</f>
        <v>-416</v>
      </c>
      <c r="AD104" s="36">
        <f>SUM(O104:R104)</f>
        <v>485</v>
      </c>
      <c r="AE104" s="36">
        <f>SUM(P104:S104)</f>
        <v>847</v>
      </c>
      <c r="AF104" s="36">
        <f>SUM(Q104:T104)</f>
        <v>634</v>
      </c>
      <c r="AG104" s="36">
        <f>SUM(R104:U104)</f>
        <v>780</v>
      </c>
      <c r="AH104" s="36">
        <f>SUM(S104:V104)</f>
        <v>564</v>
      </c>
      <c r="AI104" s="36">
        <f>SUM(T104:W104)</f>
        <v>-213</v>
      </c>
      <c r="AJ104" s="72"/>
      <c r="AK104" s="48"/>
    </row>
    <row r="105" spans="2:37" ht="12.75" customHeight="1" x14ac:dyDescent="0.2">
      <c r="B105" s="73" t="s">
        <v>19</v>
      </c>
      <c r="C105" s="36">
        <v>463</v>
      </c>
      <c r="D105" s="36">
        <v>515</v>
      </c>
      <c r="E105" s="36">
        <v>-1533</v>
      </c>
      <c r="F105" s="36">
        <v>-614</v>
      </c>
      <c r="G105" s="36">
        <v>-218</v>
      </c>
      <c r="H105" s="36"/>
      <c r="I105" s="36">
        <v>-1884</v>
      </c>
      <c r="J105" s="36">
        <f>-1985-I105</f>
        <v>-101</v>
      </c>
      <c r="K105" s="36">
        <f>-1912-J105-I105</f>
        <v>73</v>
      </c>
      <c r="L105" s="36">
        <f t="shared" si="257"/>
        <v>379</v>
      </c>
      <c r="M105" s="36">
        <v>-1560</v>
      </c>
      <c r="N105" s="36">
        <f>-1340-M105</f>
        <v>220</v>
      </c>
      <c r="O105" s="36">
        <f>-1171-N105-M105</f>
        <v>169</v>
      </c>
      <c r="P105" s="36">
        <f t="shared" si="258"/>
        <v>557</v>
      </c>
      <c r="Q105" s="36">
        <v>-1289</v>
      </c>
      <c r="R105" s="36">
        <f>-1309-Q105</f>
        <v>-20</v>
      </c>
      <c r="S105" s="36">
        <f>1384-R105-Q105</f>
        <v>2693</v>
      </c>
      <c r="T105" s="36">
        <f t="shared" si="259"/>
        <v>-1602</v>
      </c>
      <c r="U105" s="36">
        <v>-741</v>
      </c>
      <c r="V105" s="36">
        <f>1022-U105</f>
        <v>1763</v>
      </c>
      <c r="W105" s="36">
        <f>541-V105-U105</f>
        <v>-481</v>
      </c>
      <c r="Y105" s="36">
        <f>SUM(J105:M105)</f>
        <v>-1209</v>
      </c>
      <c r="Z105" s="36">
        <f>SUM(K105:N105)</f>
        <v>-888</v>
      </c>
      <c r="AA105" s="36">
        <f>SUM(L105:O105)</f>
        <v>-792</v>
      </c>
      <c r="AB105" s="36">
        <f>SUM(M105:P105)</f>
        <v>-614</v>
      </c>
      <c r="AC105" s="36">
        <f>SUM(N105:Q105)</f>
        <v>-343</v>
      </c>
      <c r="AD105" s="36">
        <f>SUM(O105:R105)</f>
        <v>-583</v>
      </c>
      <c r="AE105" s="36">
        <f>SUM(P105:S105)</f>
        <v>1941</v>
      </c>
      <c r="AF105" s="36">
        <f>SUM(Q105:T105)</f>
        <v>-218</v>
      </c>
      <c r="AG105" s="36">
        <f>SUM(R105:U105)</f>
        <v>330</v>
      </c>
      <c r="AH105" s="36">
        <f>SUM(S105:V105)</f>
        <v>2113</v>
      </c>
      <c r="AI105" s="36">
        <f>SUM(T105:W105)</f>
        <v>-1061</v>
      </c>
      <c r="AJ105" s="72"/>
      <c r="AK105" s="48"/>
    </row>
    <row r="106" spans="2:37" ht="12.75" customHeight="1" x14ac:dyDescent="0.2">
      <c r="B106" s="73" t="s">
        <v>135</v>
      </c>
      <c r="C106" s="36">
        <v>-181</v>
      </c>
      <c r="D106" s="36">
        <v>-1583</v>
      </c>
      <c r="E106" s="36">
        <v>-24</v>
      </c>
      <c r="F106" s="36">
        <v>0</v>
      </c>
      <c r="G106" s="36">
        <v>0</v>
      </c>
      <c r="H106" s="36"/>
      <c r="I106" s="36">
        <v>-6</v>
      </c>
      <c r="J106" s="36">
        <f>-12-I106</f>
        <v>-6</v>
      </c>
      <c r="K106" s="36">
        <f>-18-J106-I106</f>
        <v>-6</v>
      </c>
      <c r="L106" s="36">
        <f t="shared" si="257"/>
        <v>-6</v>
      </c>
      <c r="M106" s="36"/>
      <c r="N106" s="36"/>
      <c r="O106" s="36"/>
      <c r="P106" s="36">
        <f t="shared" si="258"/>
        <v>0</v>
      </c>
      <c r="Q106" s="36"/>
      <c r="R106" s="36">
        <v>0</v>
      </c>
      <c r="S106" s="36">
        <v>0</v>
      </c>
      <c r="T106" s="36">
        <f t="shared" si="259"/>
        <v>0</v>
      </c>
      <c r="U106" s="36">
        <v>0</v>
      </c>
      <c r="V106" s="36">
        <v>0</v>
      </c>
      <c r="W106" s="36">
        <v>0</v>
      </c>
      <c r="Y106" s="36">
        <f>SUM(J106:M106)</f>
        <v>-18</v>
      </c>
      <c r="Z106" s="36">
        <f>SUM(K106:N106)</f>
        <v>-12</v>
      </c>
      <c r="AA106" s="36">
        <f>SUM(L106:O106)</f>
        <v>-6</v>
      </c>
      <c r="AB106" s="36">
        <f>SUM(M106:P106)</f>
        <v>0</v>
      </c>
      <c r="AC106" s="36">
        <f>SUM(N106:Q106)</f>
        <v>0</v>
      </c>
      <c r="AD106" s="36">
        <f>SUM(O106:R106)</f>
        <v>0</v>
      </c>
      <c r="AE106" s="36">
        <f>SUM(P106:S106)</f>
        <v>0</v>
      </c>
      <c r="AF106" s="36">
        <f>SUM(Q106:T106)</f>
        <v>0</v>
      </c>
      <c r="AG106" s="36">
        <f>SUM(R106:U106)</f>
        <v>0</v>
      </c>
      <c r="AH106" s="36">
        <f>SUM(S106:V106)</f>
        <v>0</v>
      </c>
      <c r="AI106" s="36">
        <f>SUM(T106:W106)</f>
        <v>0</v>
      </c>
      <c r="AJ106" s="72"/>
      <c r="AK106" s="48"/>
    </row>
    <row r="107" spans="2:37" ht="12.75" customHeight="1" x14ac:dyDescent="0.2">
      <c r="B107" s="73" t="s">
        <v>136</v>
      </c>
      <c r="C107" s="36">
        <v>1620</v>
      </c>
      <c r="D107" s="36">
        <v>-441</v>
      </c>
      <c r="E107" s="36">
        <v>-4535</v>
      </c>
      <c r="F107" s="36">
        <v>-3531</v>
      </c>
      <c r="G107" s="36">
        <v>-356</v>
      </c>
      <c r="H107" s="36"/>
      <c r="I107" s="36">
        <v>1219</v>
      </c>
      <c r="J107" s="36">
        <f>-2232-I107</f>
        <v>-3451</v>
      </c>
      <c r="K107" s="36">
        <f>-4062-J107-I107</f>
        <v>-1830</v>
      </c>
      <c r="L107" s="36">
        <f t="shared" si="257"/>
        <v>-473</v>
      </c>
      <c r="M107" s="36">
        <v>1344</v>
      </c>
      <c r="N107" s="36">
        <f>-2186-M107</f>
        <v>-3530</v>
      </c>
      <c r="O107" s="36">
        <f>-2676-N107-M107</f>
        <v>-490</v>
      </c>
      <c r="P107" s="36">
        <f t="shared" si="258"/>
        <v>-855</v>
      </c>
      <c r="Q107" s="36">
        <v>-591</v>
      </c>
      <c r="R107" s="36">
        <f>-2174-Q107</f>
        <v>-1583</v>
      </c>
      <c r="S107" s="36">
        <f>-930-R107-Q107</f>
        <v>1244</v>
      </c>
      <c r="T107" s="36">
        <f t="shared" si="259"/>
        <v>574</v>
      </c>
      <c r="U107" s="36">
        <v>67</v>
      </c>
      <c r="V107" s="36">
        <f>-1338-U107</f>
        <v>-1405</v>
      </c>
      <c r="W107" s="36">
        <f>-1196-V107-U107</f>
        <v>142</v>
      </c>
      <c r="Y107" s="36">
        <f>SUM(J107:M107)</f>
        <v>-4410</v>
      </c>
      <c r="Z107" s="36">
        <f>SUM(K107:N107)</f>
        <v>-4489</v>
      </c>
      <c r="AA107" s="36">
        <f>SUM(L107:O107)</f>
        <v>-3149</v>
      </c>
      <c r="AB107" s="36">
        <f>SUM(M107:P107)</f>
        <v>-3531</v>
      </c>
      <c r="AC107" s="36">
        <f>SUM(N107:Q107)</f>
        <v>-5466</v>
      </c>
      <c r="AD107" s="36">
        <f>SUM(O107:R107)</f>
        <v>-3519</v>
      </c>
      <c r="AE107" s="36">
        <f>SUM(P107:S107)</f>
        <v>-1785</v>
      </c>
      <c r="AF107" s="36">
        <f>SUM(Q107:T107)</f>
        <v>-356</v>
      </c>
      <c r="AG107" s="36">
        <f>SUM(R107:U107)</f>
        <v>302</v>
      </c>
      <c r="AH107" s="36">
        <f>SUM(S107:V107)</f>
        <v>480</v>
      </c>
      <c r="AI107" s="36">
        <f>SUM(T107:W107)</f>
        <v>-622</v>
      </c>
      <c r="AJ107" s="72"/>
      <c r="AK107" s="48"/>
    </row>
    <row r="108" spans="2:37" ht="12.75" customHeight="1" x14ac:dyDescent="0.2">
      <c r="B108" s="73" t="s">
        <v>20</v>
      </c>
      <c r="C108" s="36">
        <v>-331</v>
      </c>
      <c r="D108" s="36">
        <v>459</v>
      </c>
      <c r="E108" s="36">
        <v>-1278</v>
      </c>
      <c r="F108" s="36">
        <v>-451</v>
      </c>
      <c r="G108" s="36">
        <v>2223</v>
      </c>
      <c r="H108" s="36"/>
      <c r="I108" s="36">
        <v>-1286</v>
      </c>
      <c r="J108" s="36">
        <f>-1724-I108</f>
        <v>-438</v>
      </c>
      <c r="K108" s="36">
        <f>-2077-J108-I108</f>
        <v>-353</v>
      </c>
      <c r="L108" s="36">
        <f t="shared" si="257"/>
        <v>799</v>
      </c>
      <c r="M108" s="36">
        <v>-1540</v>
      </c>
      <c r="N108" s="36">
        <f>-1843-M108</f>
        <v>-303</v>
      </c>
      <c r="O108" s="36">
        <f>-574-N108-M108</f>
        <v>1269</v>
      </c>
      <c r="P108" s="36">
        <f t="shared" si="258"/>
        <v>123</v>
      </c>
      <c r="Q108" s="36">
        <v>-2104</v>
      </c>
      <c r="R108" s="36">
        <f>-1983-Q108</f>
        <v>121</v>
      </c>
      <c r="S108" s="36">
        <f>20-R108-Q108</f>
        <v>2003</v>
      </c>
      <c r="T108" s="36">
        <f t="shared" si="259"/>
        <v>2203</v>
      </c>
      <c r="U108" s="36">
        <v>-1206</v>
      </c>
      <c r="V108" s="36">
        <f>-1742-U108</f>
        <v>-536</v>
      </c>
      <c r="W108" s="36">
        <f>-1423-V108-U108</f>
        <v>319</v>
      </c>
      <c r="Y108" s="36">
        <f>SUM(J108:M108)</f>
        <v>-1532</v>
      </c>
      <c r="Z108" s="36">
        <f>SUM(K108:N108)</f>
        <v>-1397</v>
      </c>
      <c r="AA108" s="36">
        <f>SUM(L108:O108)</f>
        <v>225</v>
      </c>
      <c r="AB108" s="36">
        <f>SUM(M108:P108)</f>
        <v>-451</v>
      </c>
      <c r="AC108" s="36">
        <f>SUM(N108:Q108)</f>
        <v>-1015</v>
      </c>
      <c r="AD108" s="36">
        <f>SUM(O108:R108)</f>
        <v>-591</v>
      </c>
      <c r="AE108" s="36">
        <f>SUM(P108:S108)</f>
        <v>143</v>
      </c>
      <c r="AF108" s="36">
        <f>SUM(Q108:T108)</f>
        <v>2223</v>
      </c>
      <c r="AG108" s="36">
        <f>SUM(R108:U108)</f>
        <v>3121</v>
      </c>
      <c r="AH108" s="36">
        <f>SUM(S108:V108)</f>
        <v>2464</v>
      </c>
      <c r="AI108" s="36">
        <f>SUM(T108:W108)</f>
        <v>780</v>
      </c>
      <c r="AJ108" s="13"/>
      <c r="AK108" s="48"/>
    </row>
    <row r="109" spans="2:37" ht="12.75" customHeight="1" x14ac:dyDescent="0.2">
      <c r="B109" s="15" t="s">
        <v>113</v>
      </c>
      <c r="C109" s="39">
        <f>SUM(C82:C108)</f>
        <v>35384</v>
      </c>
      <c r="D109" s="16">
        <f>SUM(D82:D108)</f>
        <v>29991</v>
      </c>
      <c r="E109" s="16">
        <f>SUM(E82:E108)</f>
        <v>15433</v>
      </c>
      <c r="F109" s="16">
        <f>SUM(F82:F108)</f>
        <v>11471</v>
      </c>
      <c r="G109" s="16">
        <f>SUM(G82:G108)</f>
        <v>8288</v>
      </c>
      <c r="I109" s="16">
        <f>SUM(I82:I108)</f>
        <v>5891</v>
      </c>
      <c r="J109" s="16">
        <f>SUM(J82:J108)</f>
        <v>809</v>
      </c>
      <c r="K109" s="16">
        <f>SUM(K82:K108)</f>
        <v>1030</v>
      </c>
      <c r="L109" s="16">
        <f>SUM(L82:L108)</f>
        <v>7703</v>
      </c>
      <c r="M109" s="16">
        <f>SUM(M82:M108)</f>
        <v>-1785</v>
      </c>
      <c r="N109" s="16">
        <f>SUM(N82:N108)</f>
        <v>2808</v>
      </c>
      <c r="O109" s="16">
        <f>SUM(O82:O108)</f>
        <v>5824</v>
      </c>
      <c r="P109" s="16">
        <f>SUM(P82:P108)</f>
        <v>4624</v>
      </c>
      <c r="Q109" s="16">
        <f>SUM(Q82:Q108)</f>
        <v>-1223</v>
      </c>
      <c r="R109" s="16">
        <f>SUM(R82:R108)</f>
        <v>2292</v>
      </c>
      <c r="S109" s="16">
        <f>SUM(S82:S108)</f>
        <v>4054</v>
      </c>
      <c r="T109" s="16">
        <f>SUM(T82:T108)</f>
        <v>3165</v>
      </c>
      <c r="U109" s="16">
        <f>SUM(U82:U108)</f>
        <v>813</v>
      </c>
      <c r="V109" s="39">
        <f>SUM(V82:V108)</f>
        <v>2050</v>
      </c>
      <c r="W109" s="39">
        <f>SUM(W82:W108)</f>
        <v>2546</v>
      </c>
      <c r="Y109" s="16">
        <f t="shared" ref="Y109:Z109" si="260">SUM(Y82:Y108)</f>
        <v>7757</v>
      </c>
      <c r="Z109" s="16">
        <f t="shared" si="260"/>
        <v>9756</v>
      </c>
      <c r="AA109" s="16">
        <f t="shared" ref="AA109" si="261">SUM(AA82:AA108)</f>
        <v>14550</v>
      </c>
      <c r="AB109" s="16">
        <f t="shared" ref="AB109" si="262">SUM(AB82:AB108)</f>
        <v>11471</v>
      </c>
      <c r="AC109" s="16">
        <f t="shared" ref="AC109" si="263">SUM(AC82:AC108)</f>
        <v>12033</v>
      </c>
      <c r="AD109" s="16">
        <f t="shared" ref="AD109" si="264">SUM(AD82:AD108)</f>
        <v>11517</v>
      </c>
      <c r="AE109" s="16">
        <f t="shared" ref="AE109" si="265">SUM(AE82:AE108)</f>
        <v>9747</v>
      </c>
      <c r="AF109" s="16">
        <f t="shared" ref="AF109:AH109" si="266">SUM(AF82:AF108)</f>
        <v>8288</v>
      </c>
      <c r="AG109" s="16">
        <f t="shared" si="266"/>
        <v>10324</v>
      </c>
      <c r="AH109" s="16">
        <f t="shared" si="266"/>
        <v>10082</v>
      </c>
      <c r="AI109" s="16">
        <f>SUM(AI82:AI108)</f>
        <v>8574</v>
      </c>
      <c r="AJ109" s="51"/>
      <c r="AK109" s="48"/>
    </row>
    <row r="110" spans="2:37" ht="12.75" customHeight="1" x14ac:dyDescent="0.2">
      <c r="B110" s="65"/>
      <c r="C110" s="74"/>
      <c r="D110" s="74"/>
      <c r="E110" s="74"/>
      <c r="F110" s="74"/>
      <c r="G110" s="74"/>
      <c r="I110" s="74"/>
      <c r="J110" s="74"/>
      <c r="K110" s="74"/>
      <c r="L110" s="74"/>
      <c r="M110" s="74"/>
      <c r="N110" s="74"/>
      <c r="O110" s="74"/>
      <c r="P110" s="74"/>
      <c r="Q110" s="74"/>
      <c r="R110" s="74"/>
      <c r="S110" s="74"/>
      <c r="T110" s="74"/>
      <c r="U110" s="74"/>
      <c r="V110" s="74"/>
      <c r="W110" s="74"/>
      <c r="Y110" s="51"/>
      <c r="Z110" s="51"/>
      <c r="AA110" s="51"/>
      <c r="AB110" s="51"/>
      <c r="AC110" s="51"/>
      <c r="AD110" s="51"/>
      <c r="AE110" s="51"/>
      <c r="AF110" s="51"/>
      <c r="AG110" s="51"/>
      <c r="AH110" s="51"/>
      <c r="AI110" s="51"/>
      <c r="AJ110" s="51"/>
      <c r="AK110" s="48"/>
    </row>
    <row r="111" spans="2:37" ht="12.75" customHeight="1" x14ac:dyDescent="0.2">
      <c r="B111" s="65" t="s">
        <v>114</v>
      </c>
      <c r="C111" s="71"/>
      <c r="D111" s="71"/>
      <c r="E111" s="71"/>
      <c r="F111" s="71"/>
      <c r="G111" s="71"/>
      <c r="I111" s="71"/>
      <c r="J111" s="71"/>
      <c r="K111" s="75"/>
      <c r="L111" s="71"/>
      <c r="M111" s="71"/>
      <c r="N111" s="71"/>
      <c r="O111" s="75"/>
      <c r="P111" s="71"/>
      <c r="Q111" s="71"/>
      <c r="R111" s="71"/>
      <c r="S111" s="71"/>
      <c r="T111" s="71"/>
      <c r="U111" s="71"/>
      <c r="V111" s="71"/>
      <c r="W111" s="71"/>
      <c r="Y111" s="71"/>
      <c r="Z111" s="71"/>
      <c r="AA111" s="71"/>
      <c r="AB111" s="71"/>
      <c r="AC111" s="71"/>
      <c r="AD111" s="71"/>
      <c r="AE111" s="71"/>
      <c r="AF111" s="71"/>
      <c r="AG111" s="71"/>
      <c r="AH111" s="71"/>
      <c r="AI111" s="71"/>
      <c r="AJ111" s="72"/>
      <c r="AK111" s="48"/>
    </row>
    <row r="112" spans="2:37" ht="12.75" customHeight="1" x14ac:dyDescent="0.2">
      <c r="B112" s="73" t="s">
        <v>148</v>
      </c>
      <c r="C112" s="36">
        <v>-14259</v>
      </c>
      <c r="D112" s="36">
        <v>-18733</v>
      </c>
      <c r="E112" s="36">
        <v>-24844</v>
      </c>
      <c r="F112" s="36">
        <v>-25750</v>
      </c>
      <c r="G112" s="36">
        <v>-23944</v>
      </c>
      <c r="H112" s="36"/>
      <c r="I112" s="36">
        <v>-4604</v>
      </c>
      <c r="J112" s="36">
        <f>-11846-I112</f>
        <v>-7242</v>
      </c>
      <c r="K112" s="36">
        <f>-19145-J112-I112</f>
        <v>-7299</v>
      </c>
      <c r="L112" s="36">
        <f t="shared" ref="L112:L123" si="267">SUM(E112-SUM(I112:K112))</f>
        <v>-5699</v>
      </c>
      <c r="M112" s="36">
        <v>-7413</v>
      </c>
      <c r="N112" s="36">
        <f>-13301-M112</f>
        <v>-5888</v>
      </c>
      <c r="O112" s="36">
        <f>-19054-N112-M112</f>
        <v>-5753</v>
      </c>
      <c r="P112" s="36">
        <f t="shared" ref="P112:P123" si="268">SUM(F112-SUM(M112:O112))</f>
        <v>-6696</v>
      </c>
      <c r="Q112" s="36">
        <v>-5970</v>
      </c>
      <c r="R112" s="36">
        <f>-11652-Q112</f>
        <v>-5682</v>
      </c>
      <c r="S112" s="36">
        <f>-18110-R112-Q112</f>
        <v>-6458</v>
      </c>
      <c r="T112" s="36">
        <f t="shared" ref="T112:T123" si="269">SUM(G112-SUM(Q112:S112))</f>
        <v>-5834</v>
      </c>
      <c r="U112" s="36">
        <v>-5183</v>
      </c>
      <c r="V112" s="36">
        <f>-8733-U112</f>
        <v>-3550</v>
      </c>
      <c r="W112" s="36">
        <f>-11158-V112-U112</f>
        <v>-2425</v>
      </c>
      <c r="X112" s="36"/>
      <c r="Y112" s="36">
        <f>SUM(J112:M112)</f>
        <v>-27653</v>
      </c>
      <c r="Z112" s="36">
        <f>SUM(K112:N112)</f>
        <v>-26299</v>
      </c>
      <c r="AA112" s="36">
        <f>SUM(L112:O112)</f>
        <v>-24753</v>
      </c>
      <c r="AB112" s="36">
        <f>SUM(M112:P112)</f>
        <v>-25750</v>
      </c>
      <c r="AC112" s="36">
        <f>SUM(N112:Q112)</f>
        <v>-24307</v>
      </c>
      <c r="AD112" s="36">
        <f>SUM(O112:R112)</f>
        <v>-24101</v>
      </c>
      <c r="AE112" s="36">
        <f>SUM(P112:S112)</f>
        <v>-24806</v>
      </c>
      <c r="AF112" s="36">
        <f>SUM(Q112:T112)</f>
        <v>-23944</v>
      </c>
      <c r="AG112" s="36">
        <f>SUM(R112:U112)</f>
        <v>-23157</v>
      </c>
      <c r="AH112" s="36">
        <f>SUM(S112:V112)</f>
        <v>-21025</v>
      </c>
      <c r="AI112" s="36">
        <f>SUM(T112:W112)</f>
        <v>-16992</v>
      </c>
      <c r="AJ112" s="72"/>
      <c r="AK112" s="48"/>
    </row>
    <row r="113" spans="2:37" ht="12.75" customHeight="1" x14ac:dyDescent="0.2">
      <c r="B113" s="73" t="s">
        <v>149</v>
      </c>
      <c r="C113" s="36">
        <v>0</v>
      </c>
      <c r="D113" s="36">
        <v>0</v>
      </c>
      <c r="E113" s="36">
        <v>0</v>
      </c>
      <c r="F113" s="36">
        <v>0</v>
      </c>
      <c r="G113" s="36">
        <v>-82</v>
      </c>
      <c r="H113" s="36"/>
      <c r="I113" s="36">
        <v>0</v>
      </c>
      <c r="J113" s="36">
        <v>0</v>
      </c>
      <c r="K113" s="36">
        <v>0</v>
      </c>
      <c r="L113" s="36">
        <f t="shared" si="267"/>
        <v>0</v>
      </c>
      <c r="M113" s="36">
        <v>0</v>
      </c>
      <c r="N113" s="36">
        <v>0</v>
      </c>
      <c r="O113" s="36">
        <v>0</v>
      </c>
      <c r="P113" s="36">
        <f t="shared" si="268"/>
        <v>0</v>
      </c>
      <c r="Q113" s="36">
        <v>0</v>
      </c>
      <c r="R113" s="36">
        <v>0</v>
      </c>
      <c r="S113" s="36">
        <v>0</v>
      </c>
      <c r="T113" s="36">
        <f t="shared" si="269"/>
        <v>-82</v>
      </c>
      <c r="U113" s="36">
        <v>0</v>
      </c>
      <c r="V113" s="36">
        <v>0</v>
      </c>
      <c r="W113" s="36">
        <v>0</v>
      </c>
      <c r="X113" s="36"/>
      <c r="Y113" s="36">
        <f>SUM(J113:M113)</f>
        <v>0</v>
      </c>
      <c r="Z113" s="36">
        <f>SUM(K113:N113)</f>
        <v>0</v>
      </c>
      <c r="AA113" s="36">
        <f>SUM(L113:O113)</f>
        <v>0</v>
      </c>
      <c r="AB113" s="36">
        <f>SUM(M113:P113)</f>
        <v>0</v>
      </c>
      <c r="AC113" s="36">
        <f>SUM(N113:Q113)</f>
        <v>0</v>
      </c>
      <c r="AD113" s="36">
        <f>SUM(O113:R113)</f>
        <v>0</v>
      </c>
      <c r="AE113" s="36">
        <f>SUM(P113:S113)</f>
        <v>0</v>
      </c>
      <c r="AF113" s="36">
        <f>SUM(Q113:T113)</f>
        <v>-82</v>
      </c>
      <c r="AG113" s="36">
        <f>SUM(R113:U113)</f>
        <v>-82</v>
      </c>
      <c r="AH113" s="36">
        <f>SUM(S113:V113)</f>
        <v>-82</v>
      </c>
      <c r="AI113" s="36">
        <f>SUM(T113:W113)</f>
        <v>-82</v>
      </c>
      <c r="AJ113" s="72"/>
      <c r="AK113" s="48"/>
    </row>
    <row r="114" spans="2:37" ht="12.75" customHeight="1" x14ac:dyDescent="0.2">
      <c r="B114" s="73" t="s">
        <v>25</v>
      </c>
      <c r="C114" s="36">
        <v>123</v>
      </c>
      <c r="D114" s="36">
        <v>-1596</v>
      </c>
      <c r="E114" s="36">
        <v>6579</v>
      </c>
      <c r="F114" s="36">
        <v>0</v>
      </c>
      <c r="G114" s="36">
        <v>0</v>
      </c>
      <c r="H114" s="36"/>
      <c r="I114" s="36">
        <f>6544-193</f>
        <v>6351</v>
      </c>
      <c r="J114" s="36">
        <f>6579-206-I114</f>
        <v>22</v>
      </c>
      <c r="K114" s="36">
        <f>6579-J114-I114</f>
        <v>206</v>
      </c>
      <c r="L114" s="36">
        <f t="shared" ref="L114" si="270">SUM(E114-SUM(I114:K114))</f>
        <v>0</v>
      </c>
      <c r="M114" s="36">
        <v>0</v>
      </c>
      <c r="N114" s="36">
        <v>0</v>
      </c>
      <c r="O114" s="36">
        <v>0</v>
      </c>
      <c r="P114" s="36">
        <f t="shared" ref="P114" si="271">SUM(F114-SUM(M114:O114))</f>
        <v>0</v>
      </c>
      <c r="Q114" s="36">
        <v>0</v>
      </c>
      <c r="R114" s="36">
        <v>0</v>
      </c>
      <c r="S114" s="36">
        <v>0</v>
      </c>
      <c r="T114" s="36">
        <f t="shared" ref="T114" si="272">SUM(G114-SUM(Q114:S114))</f>
        <v>0</v>
      </c>
      <c r="U114" s="36">
        <v>1935</v>
      </c>
      <c r="V114" s="36">
        <f>1935-U114</f>
        <v>0</v>
      </c>
      <c r="W114" s="36">
        <f>6186-V114-U114</f>
        <v>4251</v>
      </c>
      <c r="X114" s="36"/>
      <c r="Y114" s="36">
        <f t="shared" ref="Y114:Z114" si="273">SUM(J114:M114)</f>
        <v>228</v>
      </c>
      <c r="Z114" s="36">
        <f t="shared" si="273"/>
        <v>206</v>
      </c>
      <c r="AA114" s="36">
        <f t="shared" ref="AA114" si="274">SUM(L114:O114)</f>
        <v>0</v>
      </c>
      <c r="AB114" s="36">
        <f t="shared" ref="AB114" si="275">SUM(M114:P114)</f>
        <v>0</v>
      </c>
      <c r="AC114" s="36">
        <f t="shared" ref="AC114" si="276">SUM(N114:Q114)</f>
        <v>0</v>
      </c>
      <c r="AD114" s="36">
        <f t="shared" ref="AD114" si="277">SUM(O114:R114)</f>
        <v>0</v>
      </c>
      <c r="AE114" s="36">
        <f t="shared" ref="AE114" si="278">SUM(P114:S114)</f>
        <v>0</v>
      </c>
      <c r="AF114" s="36">
        <f>SUM(Q114:T114)</f>
        <v>0</v>
      </c>
      <c r="AG114" s="36">
        <f>SUM(R114:U114)</f>
        <v>1935</v>
      </c>
      <c r="AH114" s="36">
        <f>SUM(S114:V114)</f>
        <v>1935</v>
      </c>
      <c r="AI114" s="36">
        <f>SUM(T114:W114)</f>
        <v>6186</v>
      </c>
      <c r="AJ114" s="72"/>
      <c r="AK114" s="48"/>
    </row>
    <row r="115" spans="2:37" ht="12.75" customHeight="1" x14ac:dyDescent="0.2">
      <c r="B115" s="73" t="s">
        <v>150</v>
      </c>
      <c r="C115" s="36">
        <v>-6862</v>
      </c>
      <c r="D115" s="36">
        <v>-5051</v>
      </c>
      <c r="E115" s="36">
        <v>-510</v>
      </c>
      <c r="F115" s="36">
        <v>-44414</v>
      </c>
      <c r="G115" s="36">
        <v>-37940</v>
      </c>
      <c r="H115" s="36"/>
      <c r="I115" s="36">
        <v>0</v>
      </c>
      <c r="J115" s="36">
        <v>0</v>
      </c>
      <c r="K115" s="36">
        <v>0</v>
      </c>
      <c r="L115" s="36">
        <f t="shared" si="267"/>
        <v>-510</v>
      </c>
      <c r="M115" s="36">
        <v>-16132</v>
      </c>
      <c r="N115" s="36">
        <f>-25696-M115</f>
        <v>-9564</v>
      </c>
      <c r="O115" s="36">
        <f>-37287-N115-M115</f>
        <v>-11591</v>
      </c>
      <c r="P115" s="36">
        <f t="shared" si="268"/>
        <v>-7127</v>
      </c>
      <c r="Q115" s="36">
        <v>-6460</v>
      </c>
      <c r="R115" s="36">
        <f>-17634-Q115</f>
        <v>-11174</v>
      </c>
      <c r="S115" s="36">
        <f>-31519-R115-Q115</f>
        <v>-13885</v>
      </c>
      <c r="T115" s="36">
        <f t="shared" si="269"/>
        <v>-6421</v>
      </c>
      <c r="U115" s="36">
        <v>-3386</v>
      </c>
      <c r="V115" s="36">
        <f>-5730-U115</f>
        <v>-2344</v>
      </c>
      <c r="W115" s="36">
        <f>-16401-V115-U115</f>
        <v>-10671</v>
      </c>
      <c r="X115" s="36"/>
      <c r="Y115" s="36">
        <f>SUM(J115:M115)</f>
        <v>-16642</v>
      </c>
      <c r="Z115" s="36">
        <f>SUM(K115:N115)</f>
        <v>-26206</v>
      </c>
      <c r="AA115" s="36">
        <f>SUM(L115:O115)</f>
        <v>-37797</v>
      </c>
      <c r="AB115" s="36">
        <f>SUM(M115:P115)</f>
        <v>-44414</v>
      </c>
      <c r="AC115" s="36">
        <f>SUM(N115:Q115)</f>
        <v>-34742</v>
      </c>
      <c r="AD115" s="36">
        <f>SUM(O115:R115)</f>
        <v>-36352</v>
      </c>
      <c r="AE115" s="36">
        <f>SUM(P115:S115)</f>
        <v>-38646</v>
      </c>
      <c r="AF115" s="36">
        <f>SUM(Q115:T115)</f>
        <v>-37940</v>
      </c>
      <c r="AG115" s="36">
        <f>SUM(R115:U115)</f>
        <v>-34866</v>
      </c>
      <c r="AH115" s="36">
        <f>SUM(S115:V115)</f>
        <v>-26036</v>
      </c>
      <c r="AI115" s="36">
        <f>SUM(T115:W115)</f>
        <v>-22822</v>
      </c>
      <c r="AJ115" s="72"/>
      <c r="AK115" s="48"/>
    </row>
    <row r="116" spans="2:37" ht="12.75" customHeight="1" x14ac:dyDescent="0.2">
      <c r="B116" s="73" t="s">
        <v>151</v>
      </c>
      <c r="C116" s="36">
        <v>6781</v>
      </c>
      <c r="D116" s="36">
        <v>6467</v>
      </c>
      <c r="E116" s="36">
        <v>4961</v>
      </c>
      <c r="F116" s="36">
        <v>44077</v>
      </c>
      <c r="G116" s="36">
        <v>41463</v>
      </c>
      <c r="H116" s="36"/>
      <c r="I116" s="36">
        <v>10490</v>
      </c>
      <c r="J116" s="36">
        <f>25407-I116</f>
        <v>14917</v>
      </c>
      <c r="K116" s="36">
        <f>4880-J116-I116</f>
        <v>-20527</v>
      </c>
      <c r="L116" s="36">
        <f t="shared" si="267"/>
        <v>81</v>
      </c>
      <c r="M116" s="36">
        <v>14173</v>
      </c>
      <c r="N116" s="36">
        <f>26957-M116</f>
        <v>12784</v>
      </c>
      <c r="O116" s="36">
        <f>36725-N116-M116</f>
        <v>9768</v>
      </c>
      <c r="P116" s="36">
        <f t="shared" si="268"/>
        <v>7352</v>
      </c>
      <c r="Q116" s="36">
        <v>9598</v>
      </c>
      <c r="R116" s="36">
        <f>17214-Q116</f>
        <v>7616</v>
      </c>
      <c r="S116" s="36">
        <f>34268-R116-Q116</f>
        <v>17054</v>
      </c>
      <c r="T116" s="36">
        <f t="shared" si="269"/>
        <v>7195</v>
      </c>
      <c r="U116" s="36">
        <v>5327</v>
      </c>
      <c r="V116" s="36">
        <f>8575-U116</f>
        <v>3248</v>
      </c>
      <c r="W116" s="36">
        <f>10964-V116-U116</f>
        <v>2389</v>
      </c>
      <c r="X116" s="36"/>
      <c r="Y116" s="36">
        <f>SUM(J116:M116)</f>
        <v>8644</v>
      </c>
      <c r="Z116" s="36">
        <f>SUM(K116:N116)</f>
        <v>6511</v>
      </c>
      <c r="AA116" s="36">
        <f>SUM(L116:O116)</f>
        <v>36806</v>
      </c>
      <c r="AB116" s="36">
        <f>SUM(M116:P116)</f>
        <v>44077</v>
      </c>
      <c r="AC116" s="36">
        <f>SUM(N116:Q116)</f>
        <v>39502</v>
      </c>
      <c r="AD116" s="36">
        <f>SUM(O116:R116)</f>
        <v>34334</v>
      </c>
      <c r="AE116" s="36">
        <f>SUM(P116:S116)</f>
        <v>41620</v>
      </c>
      <c r="AF116" s="36">
        <f>SUM(Q116:T116)</f>
        <v>41463</v>
      </c>
      <c r="AG116" s="36">
        <f>SUM(R116:U116)</f>
        <v>37192</v>
      </c>
      <c r="AH116" s="36">
        <f>SUM(S116:V116)</f>
        <v>32824</v>
      </c>
      <c r="AI116" s="36">
        <f>SUM(T116:W116)</f>
        <v>18159</v>
      </c>
      <c r="AJ116" s="72"/>
      <c r="AK116" s="48"/>
    </row>
    <row r="117" spans="2:37" ht="12.75" customHeight="1" x14ac:dyDescent="0.2">
      <c r="B117" s="73" t="s">
        <v>152</v>
      </c>
      <c r="C117" s="36">
        <v>-22377</v>
      </c>
      <c r="D117" s="36">
        <v>-35503</v>
      </c>
      <c r="E117" s="36">
        <v>-43647</v>
      </c>
      <c r="F117" s="36">
        <v>-399</v>
      </c>
      <c r="G117" s="36">
        <v>0</v>
      </c>
      <c r="H117" s="36"/>
      <c r="I117" s="36">
        <v>-19091</v>
      </c>
      <c r="J117" s="36">
        <f>-25514-I117</f>
        <v>-6423</v>
      </c>
      <c r="K117" s="36">
        <f>-31669-J117-I117</f>
        <v>-6155</v>
      </c>
      <c r="L117" s="36">
        <f t="shared" si="267"/>
        <v>-11978</v>
      </c>
      <c r="M117" s="36">
        <v>0</v>
      </c>
      <c r="N117" s="36">
        <v>0</v>
      </c>
      <c r="O117" s="36">
        <v>0</v>
      </c>
      <c r="P117" s="36">
        <f t="shared" si="268"/>
        <v>-399</v>
      </c>
      <c r="Q117" s="36">
        <v>0</v>
      </c>
      <c r="R117" s="36">
        <v>0</v>
      </c>
      <c r="S117" s="36">
        <v>0</v>
      </c>
      <c r="T117" s="36">
        <f t="shared" si="269"/>
        <v>0</v>
      </c>
      <c r="U117" s="36">
        <v>0</v>
      </c>
      <c r="V117" s="36">
        <v>0</v>
      </c>
      <c r="W117" s="36">
        <v>0</v>
      </c>
      <c r="X117" s="36"/>
      <c r="Y117" s="36">
        <f>SUM(J117:M117)</f>
        <v>-24556</v>
      </c>
      <c r="Z117" s="36">
        <f>SUM(K117:N117)</f>
        <v>-18133</v>
      </c>
      <c r="AA117" s="36">
        <f>SUM(L117:O117)</f>
        <v>-11978</v>
      </c>
      <c r="AB117" s="36">
        <f>SUM(M117:P117)</f>
        <v>-399</v>
      </c>
      <c r="AC117" s="36">
        <f>SUM(N117:Q117)</f>
        <v>-399</v>
      </c>
      <c r="AD117" s="36">
        <f>SUM(O117:R117)</f>
        <v>-399</v>
      </c>
      <c r="AE117" s="36">
        <f>SUM(P117:S117)</f>
        <v>-399</v>
      </c>
      <c r="AF117" s="36">
        <f>SUM(Q117:T117)</f>
        <v>0</v>
      </c>
      <c r="AG117" s="36">
        <f>SUM(R117:U117)</f>
        <v>0</v>
      </c>
      <c r="AH117" s="36">
        <f>SUM(S117:V117)</f>
        <v>0</v>
      </c>
      <c r="AI117" s="36">
        <f>SUM(T117:W117)</f>
        <v>0</v>
      </c>
      <c r="AJ117" s="72"/>
      <c r="AK117" s="48"/>
    </row>
    <row r="118" spans="2:37" ht="12.75" customHeight="1" x14ac:dyDescent="0.2">
      <c r="B118" s="73" t="s">
        <v>153</v>
      </c>
      <c r="C118" s="36">
        <v>15377</v>
      </c>
      <c r="D118" s="36">
        <v>28832</v>
      </c>
      <c r="E118" s="36">
        <v>48730</v>
      </c>
      <c r="F118" s="36">
        <v>472</v>
      </c>
      <c r="G118" s="36">
        <v>1047</v>
      </c>
      <c r="H118" s="36"/>
      <c r="I118" s="36">
        <v>4682</v>
      </c>
      <c r="J118" s="36">
        <f>4775-I118</f>
        <v>93</v>
      </c>
      <c r="K118" s="36">
        <f>35129-J118-I118</f>
        <v>30354</v>
      </c>
      <c r="L118" s="36">
        <f t="shared" si="267"/>
        <v>13601</v>
      </c>
      <c r="M118" s="36">
        <v>116</v>
      </c>
      <c r="N118" s="36">
        <f>253-M118</f>
        <v>137</v>
      </c>
      <c r="O118" s="36">
        <f>375-N118-M118</f>
        <v>122</v>
      </c>
      <c r="P118" s="36">
        <f t="shared" si="268"/>
        <v>97</v>
      </c>
      <c r="Q118" s="36">
        <v>0</v>
      </c>
      <c r="R118" s="36">
        <v>0</v>
      </c>
      <c r="S118" s="36">
        <v>0</v>
      </c>
      <c r="T118" s="36">
        <f t="shared" si="269"/>
        <v>1047</v>
      </c>
      <c r="U118" s="36">
        <v>0</v>
      </c>
      <c r="V118" s="36">
        <v>0</v>
      </c>
      <c r="W118" s="36">
        <f>642-V118-U118</f>
        <v>642</v>
      </c>
      <c r="X118" s="36"/>
      <c r="Y118" s="36">
        <f>SUM(J118:M118)</f>
        <v>44164</v>
      </c>
      <c r="Z118" s="36">
        <f>SUM(K118:N118)</f>
        <v>44208</v>
      </c>
      <c r="AA118" s="36">
        <f>SUM(L118:O118)</f>
        <v>13976</v>
      </c>
      <c r="AB118" s="36">
        <f>SUM(M118:P118)</f>
        <v>472</v>
      </c>
      <c r="AC118" s="36">
        <f>SUM(N118:Q118)</f>
        <v>356</v>
      </c>
      <c r="AD118" s="36">
        <f>SUM(O118:R118)</f>
        <v>219</v>
      </c>
      <c r="AE118" s="36">
        <f>SUM(P118:S118)</f>
        <v>97</v>
      </c>
      <c r="AF118" s="36">
        <f>SUM(Q118:T118)</f>
        <v>1047</v>
      </c>
      <c r="AG118" s="36">
        <f>SUM(R118:U118)</f>
        <v>1047</v>
      </c>
      <c r="AH118" s="36">
        <f>SUM(S118:V118)</f>
        <v>1047</v>
      </c>
      <c r="AI118" s="36">
        <f>SUM(T118:W118)</f>
        <v>1689</v>
      </c>
      <c r="AJ118" s="72"/>
      <c r="AK118" s="48"/>
    </row>
    <row r="119" spans="2:37" ht="12.75" customHeight="1" x14ac:dyDescent="0.2">
      <c r="B119" s="73" t="s">
        <v>154</v>
      </c>
      <c r="C119" s="36">
        <v>0</v>
      </c>
      <c r="D119" s="36">
        <v>0</v>
      </c>
      <c r="E119" s="36">
        <v>0</v>
      </c>
      <c r="F119" s="36">
        <v>0</v>
      </c>
      <c r="G119" s="36">
        <v>0</v>
      </c>
      <c r="H119" s="36"/>
      <c r="I119" s="36">
        <v>0</v>
      </c>
      <c r="J119" s="36">
        <v>0</v>
      </c>
      <c r="K119" s="36">
        <v>0</v>
      </c>
      <c r="L119" s="36">
        <f t="shared" si="267"/>
        <v>0</v>
      </c>
      <c r="M119" s="36">
        <v>0</v>
      </c>
      <c r="N119" s="36">
        <v>0</v>
      </c>
      <c r="O119" s="36">
        <v>0</v>
      </c>
      <c r="P119" s="36">
        <f t="shared" si="268"/>
        <v>0</v>
      </c>
      <c r="Q119" s="36">
        <v>0</v>
      </c>
      <c r="R119" s="36">
        <v>0</v>
      </c>
      <c r="S119" s="36">
        <v>0</v>
      </c>
      <c r="T119" s="36">
        <f t="shared" si="269"/>
        <v>0</v>
      </c>
      <c r="U119" s="36">
        <v>0</v>
      </c>
      <c r="V119" s="36">
        <v>0</v>
      </c>
      <c r="W119" s="36">
        <v>0</v>
      </c>
      <c r="X119" s="36"/>
      <c r="Y119" s="36">
        <f>SUM(J119:M119)</f>
        <v>0</v>
      </c>
      <c r="Z119" s="36">
        <f>SUM(K119:N119)</f>
        <v>0</v>
      </c>
      <c r="AA119" s="36">
        <f>SUM(L119:O119)</f>
        <v>0</v>
      </c>
      <c r="AB119" s="36">
        <f>SUM(M119:P119)</f>
        <v>0</v>
      </c>
      <c r="AC119" s="36">
        <f>SUM(N119:Q119)</f>
        <v>0</v>
      </c>
      <c r="AD119" s="36">
        <f>SUM(O119:R119)</f>
        <v>0</v>
      </c>
      <c r="AE119" s="36">
        <f>SUM(P119:S119)</f>
        <v>0</v>
      </c>
      <c r="AF119" s="36">
        <f>SUM(Q119:T119)</f>
        <v>0</v>
      </c>
      <c r="AG119" s="36">
        <f>SUM(R119:U119)</f>
        <v>0</v>
      </c>
      <c r="AH119" s="36">
        <f>SUM(S119:V119)</f>
        <v>0</v>
      </c>
      <c r="AI119" s="36">
        <f>SUM(T119:W119)</f>
        <v>0</v>
      </c>
      <c r="AJ119" s="72"/>
      <c r="AK119" s="48"/>
    </row>
    <row r="120" spans="2:37" ht="12.75" customHeight="1" x14ac:dyDescent="0.2">
      <c r="B120" s="73" t="s">
        <v>155</v>
      </c>
      <c r="C120" s="36">
        <v>0</v>
      </c>
      <c r="D120" s="36">
        <v>0</v>
      </c>
      <c r="E120" s="36">
        <v>0</v>
      </c>
      <c r="F120" s="36">
        <v>0</v>
      </c>
      <c r="G120" s="36">
        <v>0</v>
      </c>
      <c r="H120" s="36"/>
      <c r="I120" s="36">
        <v>0</v>
      </c>
      <c r="J120" s="36">
        <v>0</v>
      </c>
      <c r="K120" s="36">
        <v>0</v>
      </c>
      <c r="L120" s="36">
        <f t="shared" si="267"/>
        <v>0</v>
      </c>
      <c r="M120" s="36">
        <v>0</v>
      </c>
      <c r="N120" s="36">
        <v>0</v>
      </c>
      <c r="O120" s="36">
        <v>0</v>
      </c>
      <c r="P120" s="36">
        <f t="shared" si="268"/>
        <v>0</v>
      </c>
      <c r="Q120" s="36">
        <v>0</v>
      </c>
      <c r="R120" s="36">
        <v>0</v>
      </c>
      <c r="S120" s="36">
        <v>0</v>
      </c>
      <c r="T120" s="36">
        <f t="shared" si="269"/>
        <v>0</v>
      </c>
      <c r="U120" s="36">
        <v>0</v>
      </c>
      <c r="V120" s="36">
        <v>0</v>
      </c>
      <c r="W120" s="36">
        <v>0</v>
      </c>
      <c r="X120" s="36"/>
      <c r="Y120" s="36">
        <f>SUM(J120:M120)</f>
        <v>0</v>
      </c>
      <c r="Z120" s="36">
        <f>SUM(K120:N120)</f>
        <v>0</v>
      </c>
      <c r="AA120" s="36">
        <f>SUM(L120:O120)</f>
        <v>0</v>
      </c>
      <c r="AB120" s="36">
        <f>SUM(M120:P120)</f>
        <v>0</v>
      </c>
      <c r="AC120" s="36">
        <f>SUM(N120:Q120)</f>
        <v>0</v>
      </c>
      <c r="AD120" s="36">
        <f>SUM(O120:R120)</f>
        <v>0</v>
      </c>
      <c r="AE120" s="36">
        <f>SUM(P120:S120)</f>
        <v>0</v>
      </c>
      <c r="AF120" s="36">
        <f>SUM(Q120:T120)</f>
        <v>0</v>
      </c>
      <c r="AG120" s="36">
        <f>SUM(R120:U120)</f>
        <v>0</v>
      </c>
      <c r="AH120" s="36">
        <f>SUM(S120:V120)</f>
        <v>0</v>
      </c>
      <c r="AI120" s="36">
        <f>SUM(T120:W120)</f>
        <v>0</v>
      </c>
      <c r="AJ120" s="72"/>
      <c r="AK120" s="48"/>
    </row>
    <row r="121" spans="2:37" ht="12.75" customHeight="1" x14ac:dyDescent="0.2">
      <c r="B121" s="73" t="s">
        <v>156</v>
      </c>
      <c r="C121" s="36">
        <v>190</v>
      </c>
      <c r="D121" s="36">
        <v>-613</v>
      </c>
      <c r="E121" s="36">
        <v>0</v>
      </c>
      <c r="F121" s="36">
        <v>0</v>
      </c>
      <c r="G121" s="36">
        <v>0</v>
      </c>
      <c r="H121" s="36"/>
      <c r="I121" s="36">
        <v>0</v>
      </c>
      <c r="J121" s="36">
        <v>0</v>
      </c>
      <c r="K121" s="36">
        <v>0</v>
      </c>
      <c r="L121" s="36">
        <f t="shared" si="267"/>
        <v>0</v>
      </c>
      <c r="M121" s="36">
        <v>0</v>
      </c>
      <c r="N121" s="36">
        <v>0</v>
      </c>
      <c r="O121" s="36">
        <v>0</v>
      </c>
      <c r="P121" s="36">
        <f t="shared" si="268"/>
        <v>0</v>
      </c>
      <c r="Q121" s="36">
        <v>0</v>
      </c>
      <c r="R121" s="36">
        <v>0</v>
      </c>
      <c r="S121" s="36">
        <v>0</v>
      </c>
      <c r="T121" s="36">
        <f t="shared" si="269"/>
        <v>0</v>
      </c>
      <c r="U121" s="36">
        <v>0</v>
      </c>
      <c r="V121" s="36">
        <v>0</v>
      </c>
      <c r="W121" s="36">
        <v>0</v>
      </c>
      <c r="X121" s="36"/>
      <c r="Y121" s="36">
        <f>SUM(J121:M121)</f>
        <v>0</v>
      </c>
      <c r="Z121" s="36">
        <f>SUM(K121:N121)</f>
        <v>0</v>
      </c>
      <c r="AA121" s="36">
        <f>SUM(L121:O121)</f>
        <v>0</v>
      </c>
      <c r="AB121" s="36">
        <f>SUM(M121:P121)</f>
        <v>0</v>
      </c>
      <c r="AC121" s="36">
        <f>SUM(N121:Q121)</f>
        <v>0</v>
      </c>
      <c r="AD121" s="36">
        <f>SUM(O121:R121)</f>
        <v>0</v>
      </c>
      <c r="AE121" s="36">
        <f>SUM(P121:S121)</f>
        <v>0</v>
      </c>
      <c r="AF121" s="36">
        <f>SUM(Q121:T121)</f>
        <v>0</v>
      </c>
      <c r="AG121" s="36">
        <f>SUM(R121:U121)</f>
        <v>0</v>
      </c>
      <c r="AH121" s="36">
        <f>SUM(S121:V121)</f>
        <v>0</v>
      </c>
      <c r="AI121" s="36">
        <f>SUM(T121:W121)</f>
        <v>0</v>
      </c>
      <c r="AJ121" s="72"/>
      <c r="AK121" s="48"/>
    </row>
    <row r="122" spans="2:37" ht="12.75" customHeight="1" x14ac:dyDescent="0.2">
      <c r="B122" s="73" t="s">
        <v>157</v>
      </c>
      <c r="C122" s="36">
        <v>0</v>
      </c>
      <c r="D122" s="36">
        <v>0</v>
      </c>
      <c r="E122" s="36">
        <v>0</v>
      </c>
      <c r="F122" s="36">
        <v>1011</v>
      </c>
      <c r="G122" s="36">
        <v>1936</v>
      </c>
      <c r="H122" s="36"/>
      <c r="I122" s="36">
        <v>0</v>
      </c>
      <c r="J122" s="36">
        <v>0</v>
      </c>
      <c r="K122" s="36">
        <v>0</v>
      </c>
      <c r="L122" s="36">
        <f t="shared" si="267"/>
        <v>0</v>
      </c>
      <c r="M122" s="36">
        <v>0</v>
      </c>
      <c r="N122" s="36">
        <v>0</v>
      </c>
      <c r="O122" s="36">
        <v>0</v>
      </c>
      <c r="P122" s="36">
        <f t="shared" si="268"/>
        <v>1011</v>
      </c>
      <c r="Q122" s="36">
        <v>592</v>
      </c>
      <c r="R122" s="36">
        <f>699-Q122</f>
        <v>107</v>
      </c>
      <c r="S122" s="36">
        <f>725-R122-Q122</f>
        <v>26</v>
      </c>
      <c r="T122" s="36">
        <f t="shared" si="269"/>
        <v>1211</v>
      </c>
      <c r="U122" s="36">
        <v>803</v>
      </c>
      <c r="V122" s="36">
        <f>964-U122</f>
        <v>161</v>
      </c>
      <c r="W122" s="36">
        <f>1018-V122-U122</f>
        <v>54</v>
      </c>
      <c r="X122" s="36"/>
      <c r="Y122" s="36">
        <f>SUM(J122:M122)</f>
        <v>0</v>
      </c>
      <c r="Z122" s="36">
        <f>SUM(K122:N122)</f>
        <v>0</v>
      </c>
      <c r="AA122" s="36">
        <f>SUM(L122:O122)</f>
        <v>0</v>
      </c>
      <c r="AB122" s="36">
        <f>SUM(M122:P122)</f>
        <v>1011</v>
      </c>
      <c r="AC122" s="36">
        <f>SUM(N122:Q122)</f>
        <v>1603</v>
      </c>
      <c r="AD122" s="36">
        <f>SUM(O122:R122)</f>
        <v>1710</v>
      </c>
      <c r="AE122" s="36">
        <f>SUM(P122:S122)</f>
        <v>1736</v>
      </c>
      <c r="AF122" s="36">
        <f>SUM(Q122:T122)</f>
        <v>1936</v>
      </c>
      <c r="AG122" s="36">
        <f>SUM(R122:U122)</f>
        <v>2147</v>
      </c>
      <c r="AH122" s="36">
        <f>SUM(S122:V122)</f>
        <v>2201</v>
      </c>
      <c r="AI122" s="36">
        <f>SUM(T122:W122)</f>
        <v>2229</v>
      </c>
      <c r="AJ122" s="72"/>
      <c r="AK122" s="48"/>
    </row>
    <row r="123" spans="2:37" ht="12.75" customHeight="1" x14ac:dyDescent="0.2">
      <c r="B123" s="73" t="s">
        <v>158</v>
      </c>
      <c r="C123" s="36">
        <v>231</v>
      </c>
      <c r="D123" s="36">
        <v>1030</v>
      </c>
      <c r="E123" s="36">
        <v>-1746</v>
      </c>
      <c r="F123" s="36">
        <v>962</v>
      </c>
      <c r="G123" s="36">
        <v>-736</v>
      </c>
      <c r="H123" s="36"/>
      <c r="I123" s="36">
        <v>-468</v>
      </c>
      <c r="J123" s="36">
        <f>-1667-I123</f>
        <v>-1199</v>
      </c>
      <c r="K123" s="36">
        <f>-206-2614-J123-I123</f>
        <v>-1153</v>
      </c>
      <c r="L123" s="36">
        <f t="shared" si="267"/>
        <v>1074</v>
      </c>
      <c r="M123" s="36">
        <v>735</v>
      </c>
      <c r="N123" s="36">
        <f>458-M123</f>
        <v>-277</v>
      </c>
      <c r="O123" s="36">
        <f>518-N123-M123</f>
        <v>60</v>
      </c>
      <c r="P123" s="36">
        <f t="shared" si="268"/>
        <v>444</v>
      </c>
      <c r="Q123" s="36">
        <v>-323</v>
      </c>
      <c r="R123" s="36">
        <f>-355-Q123</f>
        <v>-32</v>
      </c>
      <c r="S123" s="36">
        <f>144-R123-Q123</f>
        <v>499</v>
      </c>
      <c r="T123" s="36">
        <f t="shared" si="269"/>
        <v>-880</v>
      </c>
      <c r="U123" s="36">
        <v>585</v>
      </c>
      <c r="V123" s="36">
        <f>984-U123</f>
        <v>399</v>
      </c>
      <c r="W123" s="36">
        <f>494-V123-U123</f>
        <v>-490</v>
      </c>
      <c r="X123" s="36"/>
      <c r="Y123" s="36">
        <f>SUM(J123:M123)</f>
        <v>-543</v>
      </c>
      <c r="Z123" s="36">
        <f>SUM(K123:N123)</f>
        <v>379</v>
      </c>
      <c r="AA123" s="36">
        <f>SUM(L123:O123)</f>
        <v>1592</v>
      </c>
      <c r="AB123" s="36">
        <f>SUM(M123:P123)</f>
        <v>962</v>
      </c>
      <c r="AC123" s="36">
        <f>SUM(N123:Q123)</f>
        <v>-96</v>
      </c>
      <c r="AD123" s="36">
        <f>SUM(O123:R123)</f>
        <v>149</v>
      </c>
      <c r="AE123" s="36">
        <f>SUM(P123:S123)</f>
        <v>588</v>
      </c>
      <c r="AF123" s="36">
        <f>SUM(Q123:T123)</f>
        <v>-736</v>
      </c>
      <c r="AG123" s="36">
        <f>SUM(R123:U123)</f>
        <v>172</v>
      </c>
      <c r="AH123" s="36">
        <f>SUM(S123:V123)</f>
        <v>603</v>
      </c>
      <c r="AI123" s="36">
        <f>SUM(T123:W123)</f>
        <v>-386</v>
      </c>
      <c r="AJ123" s="72"/>
      <c r="AK123" s="48"/>
    </row>
    <row r="124" spans="2:37" ht="12.75" customHeight="1" x14ac:dyDescent="0.2">
      <c r="B124" s="15" t="s">
        <v>115</v>
      </c>
      <c r="C124" s="16">
        <f>SUM(C112:C123)</f>
        <v>-20796</v>
      </c>
      <c r="D124" s="16">
        <f>SUM(D112:D123)</f>
        <v>-25167</v>
      </c>
      <c r="E124" s="16">
        <f>SUM(E112:E123)</f>
        <v>-10477</v>
      </c>
      <c r="F124" s="16">
        <f>SUM(F112:F123)</f>
        <v>-24041</v>
      </c>
      <c r="G124" s="16">
        <f>SUM(G112:G123)</f>
        <v>-18256</v>
      </c>
      <c r="I124" s="16">
        <f>SUM(I112:I123)</f>
        <v>-2640</v>
      </c>
      <c r="J124" s="16">
        <f>SUM(J112:J123)</f>
        <v>168</v>
      </c>
      <c r="K124" s="16">
        <f>SUM(K112:K123)</f>
        <v>-4574</v>
      </c>
      <c r="L124" s="16">
        <f>SUM(L112:L123)</f>
        <v>-3431</v>
      </c>
      <c r="M124" s="16">
        <f>SUM(M112:M123)</f>
        <v>-8521</v>
      </c>
      <c r="N124" s="16">
        <f>SUM(N112:N123)</f>
        <v>-2808</v>
      </c>
      <c r="O124" s="16">
        <f>SUM(O112:O123)</f>
        <v>-7394</v>
      </c>
      <c r="P124" s="16">
        <f>SUM(P112:P123)</f>
        <v>-5318</v>
      </c>
      <c r="Q124" s="16">
        <f>SUM(Q112:Q123)</f>
        <v>-2563</v>
      </c>
      <c r="R124" s="16">
        <f>SUM(R112:R123)</f>
        <v>-9165</v>
      </c>
      <c r="S124" s="16">
        <f>SUM(S112:S123)</f>
        <v>-2764</v>
      </c>
      <c r="T124" s="16">
        <f>SUM(T112:T123)</f>
        <v>-3764</v>
      </c>
      <c r="U124" s="16">
        <f>SUM(U112:U123)</f>
        <v>81</v>
      </c>
      <c r="V124" s="16">
        <f>SUM(V112:V123)</f>
        <v>-2086</v>
      </c>
      <c r="W124" s="16">
        <f>SUM(W112:W123)</f>
        <v>-6250</v>
      </c>
      <c r="Y124" s="16">
        <f>SUM(Y112:Y123)</f>
        <v>-16358</v>
      </c>
      <c r="Z124" s="16">
        <f>SUM(Z112:Z123)</f>
        <v>-19334</v>
      </c>
      <c r="AA124" s="16">
        <f>SUM(AA112:AA123)</f>
        <v>-22154</v>
      </c>
      <c r="AB124" s="16">
        <f>SUM(AB112:AB123)</f>
        <v>-24041</v>
      </c>
      <c r="AC124" s="16">
        <f>SUM(AC112:AC123)</f>
        <v>-18083</v>
      </c>
      <c r="AD124" s="16">
        <f>SUM(AD112:AD123)</f>
        <v>-24440</v>
      </c>
      <c r="AE124" s="16">
        <f>SUM(AE112:AE123)</f>
        <v>-19810</v>
      </c>
      <c r="AF124" s="16">
        <f>SUM(AF112:AF123)</f>
        <v>-18256</v>
      </c>
      <c r="AG124" s="16">
        <f>SUM(AG112:AG123)</f>
        <v>-15612</v>
      </c>
      <c r="AH124" s="16">
        <f>SUM(AH112:AH123)</f>
        <v>-8533</v>
      </c>
      <c r="AI124" s="16">
        <f>SUM(AI112:AI123)</f>
        <v>-12019</v>
      </c>
      <c r="AJ124" s="51"/>
      <c r="AK124" s="48"/>
    </row>
    <row r="125" spans="2:37" ht="12.75" customHeight="1" x14ac:dyDescent="0.2">
      <c r="B125" s="64"/>
      <c r="C125" s="74"/>
      <c r="D125" s="74"/>
      <c r="E125" s="74"/>
      <c r="F125" s="74"/>
      <c r="G125" s="74"/>
      <c r="I125" s="74"/>
      <c r="J125" s="74"/>
      <c r="K125" s="74"/>
      <c r="L125" s="74"/>
      <c r="M125" s="74"/>
      <c r="N125" s="74"/>
      <c r="O125" s="74"/>
      <c r="P125" s="74"/>
      <c r="Q125" s="74"/>
      <c r="R125" s="74"/>
      <c r="S125" s="74"/>
      <c r="T125" s="74"/>
      <c r="U125" s="74"/>
      <c r="V125" s="74"/>
      <c r="W125" s="74"/>
      <c r="Y125" s="51"/>
      <c r="Z125" s="51"/>
      <c r="AA125" s="51"/>
      <c r="AB125" s="51"/>
      <c r="AC125" s="51"/>
      <c r="AD125" s="51"/>
      <c r="AE125" s="51"/>
      <c r="AF125" s="51"/>
      <c r="AG125" s="51"/>
      <c r="AH125" s="51"/>
      <c r="AI125" s="51"/>
      <c r="AJ125" s="51"/>
      <c r="AK125" s="48"/>
    </row>
    <row r="126" spans="2:37" ht="12.75" customHeight="1" x14ac:dyDescent="0.2">
      <c r="B126" s="65" t="s">
        <v>116</v>
      </c>
      <c r="C126" s="76"/>
      <c r="D126" s="76"/>
      <c r="E126" s="76"/>
      <c r="F126" s="76"/>
      <c r="G126" s="76"/>
      <c r="I126" s="76"/>
      <c r="J126" s="76"/>
      <c r="K126" s="76"/>
      <c r="L126" s="76"/>
      <c r="M126" s="76"/>
      <c r="N126" s="76"/>
      <c r="O126" s="76"/>
      <c r="P126" s="77"/>
      <c r="Q126" s="76"/>
      <c r="R126" s="76"/>
      <c r="S126" s="76"/>
      <c r="T126" s="76"/>
      <c r="U126" s="76"/>
      <c r="V126" s="76"/>
      <c r="W126" s="76"/>
      <c r="Y126" s="76"/>
      <c r="Z126" s="76"/>
      <c r="AA126" s="76"/>
      <c r="AB126" s="76"/>
      <c r="AC126" s="76"/>
      <c r="AD126" s="76"/>
      <c r="AE126" s="76"/>
      <c r="AF126" s="76"/>
      <c r="AG126" s="76"/>
      <c r="AH126" s="76"/>
      <c r="AI126" s="76"/>
      <c r="AJ126" s="78"/>
      <c r="AK126" s="48"/>
    </row>
    <row r="127" spans="2:37" ht="12.75" customHeight="1" x14ac:dyDescent="0.2">
      <c r="B127" s="73" t="s">
        <v>159</v>
      </c>
      <c r="C127" s="36">
        <v>0</v>
      </c>
      <c r="D127" s="36">
        <v>0</v>
      </c>
      <c r="E127" s="36">
        <v>3945</v>
      </c>
      <c r="F127" s="36">
        <v>-3944</v>
      </c>
      <c r="G127" s="36">
        <v>0</v>
      </c>
      <c r="H127" s="79"/>
      <c r="I127" s="36">
        <v>0</v>
      </c>
      <c r="J127" s="36">
        <v>0</v>
      </c>
      <c r="K127" s="36">
        <v>0</v>
      </c>
      <c r="L127" s="36">
        <f t="shared" ref="L127:L136" si="279">SUM(E127-SUM(I127:K127))</f>
        <v>3945</v>
      </c>
      <c r="M127" s="36">
        <v>-2930</v>
      </c>
      <c r="N127" s="36">
        <f>-3944-M127</f>
        <v>-1014</v>
      </c>
      <c r="O127" s="36">
        <f>-3944-N127-M127</f>
        <v>0</v>
      </c>
      <c r="P127" s="36">
        <f t="shared" ref="P127:P136" si="280">SUM(F127-SUM(M127:O127))</f>
        <v>0</v>
      </c>
      <c r="Q127" s="36">
        <v>793</v>
      </c>
      <c r="R127" s="36">
        <f>5804-2609-Q127</f>
        <v>2402</v>
      </c>
      <c r="S127" s="36">
        <f>7349-7349-R127-Q127</f>
        <v>-3195</v>
      </c>
      <c r="T127" s="36">
        <f t="shared" ref="T127:T136" si="281">SUM(G127-SUM(Q127:S127))</f>
        <v>0</v>
      </c>
      <c r="U127" s="36">
        <v>1496</v>
      </c>
      <c r="V127" s="36">
        <f>3493-1496-U127</f>
        <v>501</v>
      </c>
      <c r="W127" s="36">
        <f>3493-3493-V127-U127</f>
        <v>-1997</v>
      </c>
      <c r="Y127" s="36">
        <f>SUM(J127:M127)</f>
        <v>1015</v>
      </c>
      <c r="Z127" s="36">
        <f>SUM(K127:N127)</f>
        <v>1</v>
      </c>
      <c r="AA127" s="36">
        <f>SUM(L127:O127)</f>
        <v>1</v>
      </c>
      <c r="AB127" s="36">
        <f>SUM(M127:P127)</f>
        <v>-3944</v>
      </c>
      <c r="AC127" s="36">
        <f>SUM(N127:Q127)</f>
        <v>-221</v>
      </c>
      <c r="AD127" s="36">
        <f>SUM(O127:R127)</f>
        <v>3195</v>
      </c>
      <c r="AE127" s="36">
        <f>SUM(P127:S127)</f>
        <v>0</v>
      </c>
      <c r="AF127" s="36">
        <f>SUM(Q127:T127)</f>
        <v>0</v>
      </c>
      <c r="AG127" s="36">
        <f>SUM(R127:U127)</f>
        <v>703</v>
      </c>
      <c r="AH127" s="36">
        <f>SUM(S127:V127)</f>
        <v>-1198</v>
      </c>
      <c r="AI127" s="36">
        <f>SUM(T127:W127)</f>
        <v>0</v>
      </c>
      <c r="AJ127" s="13"/>
      <c r="AK127" s="48"/>
    </row>
    <row r="128" spans="2:37" ht="12.75" customHeight="1" x14ac:dyDescent="0.2">
      <c r="B128" s="73" t="s">
        <v>162</v>
      </c>
      <c r="C128" s="36">
        <v>10247</v>
      </c>
      <c r="D128" s="36">
        <v>4974</v>
      </c>
      <c r="E128" s="36">
        <v>6548</v>
      </c>
      <c r="F128" s="36">
        <v>11391</v>
      </c>
      <c r="G128" s="36">
        <v>2975</v>
      </c>
      <c r="H128" s="79"/>
      <c r="I128" s="36">
        <v>0</v>
      </c>
      <c r="J128" s="36">
        <v>0</v>
      </c>
      <c r="K128" s="36">
        <f>6103-J128-I128</f>
        <v>6103</v>
      </c>
      <c r="L128" s="36">
        <f t="shared" ref="L128:L129" si="282">SUM(E128-SUM(I128:K128))</f>
        <v>445</v>
      </c>
      <c r="M128" s="36">
        <v>10968</v>
      </c>
      <c r="N128" s="36">
        <f>10968-M128</f>
        <v>0</v>
      </c>
      <c r="O128" s="36">
        <f>11391-N128-M128</f>
        <v>423</v>
      </c>
      <c r="P128" s="36">
        <f t="shared" ref="P128:P129" si="283">SUM(F128-SUM(M128:O128))</f>
        <v>0</v>
      </c>
      <c r="Q128" s="36">
        <v>2537</v>
      </c>
      <c r="R128" s="36">
        <f>2975-Q128</f>
        <v>438</v>
      </c>
      <c r="S128" s="36">
        <f>2975-R128-Q128</f>
        <v>0</v>
      </c>
      <c r="T128" s="36">
        <f t="shared" ref="T128:T129" si="284">SUM(G128-SUM(Q128:S128))</f>
        <v>0</v>
      </c>
      <c r="U128" s="36">
        <v>0</v>
      </c>
      <c r="V128" s="36">
        <v>0</v>
      </c>
      <c r="W128" s="36">
        <v>0</v>
      </c>
      <c r="Y128" s="36">
        <f t="shared" ref="Y128:Z129" si="285">SUM(J128:M128)</f>
        <v>17516</v>
      </c>
      <c r="Z128" s="36">
        <f t="shared" si="285"/>
        <v>17516</v>
      </c>
      <c r="AA128" s="36">
        <f t="shared" ref="AA128:AA129" si="286">SUM(L128:O128)</f>
        <v>11836</v>
      </c>
      <c r="AB128" s="36">
        <f t="shared" ref="AB128:AB129" si="287">SUM(M128:P128)</f>
        <v>11391</v>
      </c>
      <c r="AC128" s="36">
        <f t="shared" ref="AC128:AC129" si="288">SUM(N128:Q128)</f>
        <v>2960</v>
      </c>
      <c r="AD128" s="36">
        <f t="shared" ref="AD128:AD129" si="289">SUM(O128:R128)</f>
        <v>3398</v>
      </c>
      <c r="AE128" s="36">
        <f t="shared" ref="AE128:AE129" si="290">SUM(P128:S128)</f>
        <v>2975</v>
      </c>
      <c r="AF128" s="36">
        <f>SUM(Q128:T128)</f>
        <v>2975</v>
      </c>
      <c r="AG128" s="36">
        <f>SUM(R128:U128)</f>
        <v>438</v>
      </c>
      <c r="AH128" s="36">
        <f>SUM(S128:V128)</f>
        <v>0</v>
      </c>
      <c r="AI128" s="36">
        <f>SUM(T128:W128)</f>
        <v>0</v>
      </c>
      <c r="AJ128" s="13"/>
      <c r="AK128" s="48"/>
    </row>
    <row r="129" spans="2:37" ht="12.75" customHeight="1" x14ac:dyDescent="0.2">
      <c r="B129" s="73" t="s">
        <v>163</v>
      </c>
      <c r="C129" s="36">
        <v>-4525</v>
      </c>
      <c r="D129" s="36">
        <v>-2500</v>
      </c>
      <c r="E129" s="36">
        <v>-4984</v>
      </c>
      <c r="F129" s="36">
        <v>-423</v>
      </c>
      <c r="G129" s="36">
        <v>-2288</v>
      </c>
      <c r="H129" s="79"/>
      <c r="I129" s="36">
        <v>-299</v>
      </c>
      <c r="J129" s="36">
        <f>-299-1688-I129</f>
        <v>-1688</v>
      </c>
      <c r="K129" s="36">
        <f>-3088-J129-I129</f>
        <v>-1101</v>
      </c>
      <c r="L129" s="36">
        <f t="shared" si="282"/>
        <v>-1896</v>
      </c>
      <c r="M129" s="36">
        <v>-15</v>
      </c>
      <c r="N129" s="36">
        <f>-96-M129</f>
        <v>-81</v>
      </c>
      <c r="O129" s="36">
        <f>-423-N129-M129</f>
        <v>-327</v>
      </c>
      <c r="P129" s="36">
        <f t="shared" si="283"/>
        <v>0</v>
      </c>
      <c r="Q129" s="36"/>
      <c r="R129" s="36">
        <f>-2288-Q129</f>
        <v>-2288</v>
      </c>
      <c r="S129" s="36">
        <f>-2288-R129-Q129</f>
        <v>0</v>
      </c>
      <c r="T129" s="36">
        <f t="shared" si="284"/>
        <v>0</v>
      </c>
      <c r="U129" s="36">
        <v>-1500</v>
      </c>
      <c r="V129" s="36">
        <v>0</v>
      </c>
      <c r="W129" s="36">
        <f>-3750-V129-U129</f>
        <v>-2250</v>
      </c>
      <c r="Y129" s="36">
        <f t="shared" si="285"/>
        <v>-4700</v>
      </c>
      <c r="Z129" s="36">
        <f t="shared" si="285"/>
        <v>-3093</v>
      </c>
      <c r="AA129" s="36">
        <f t="shared" si="286"/>
        <v>-2319</v>
      </c>
      <c r="AB129" s="36">
        <f t="shared" si="287"/>
        <v>-423</v>
      </c>
      <c r="AC129" s="36">
        <f t="shared" si="288"/>
        <v>-408</v>
      </c>
      <c r="AD129" s="36">
        <f t="shared" si="289"/>
        <v>-2615</v>
      </c>
      <c r="AE129" s="36">
        <f t="shared" si="290"/>
        <v>-2288</v>
      </c>
      <c r="AF129" s="36">
        <f>SUM(Q129:T129)</f>
        <v>-2288</v>
      </c>
      <c r="AG129" s="36">
        <f>SUM(R129:U129)</f>
        <v>-3788</v>
      </c>
      <c r="AH129" s="36">
        <f>SUM(S129:V129)</f>
        <v>-1500</v>
      </c>
      <c r="AI129" s="36">
        <f>SUM(T129:W129)</f>
        <v>-3750</v>
      </c>
      <c r="AJ129" s="13"/>
      <c r="AK129" s="48"/>
    </row>
    <row r="130" spans="2:37" ht="12.75" customHeight="1" x14ac:dyDescent="0.2">
      <c r="B130" s="73" t="s">
        <v>160</v>
      </c>
      <c r="C130" s="36">
        <v>0</v>
      </c>
      <c r="D130" s="36">
        <v>0</v>
      </c>
      <c r="E130" s="36">
        <v>874</v>
      </c>
      <c r="F130" s="36">
        <v>1511</v>
      </c>
      <c r="G130" s="36">
        <v>12714</v>
      </c>
      <c r="H130" s="79"/>
      <c r="I130" s="36">
        <v>0</v>
      </c>
      <c r="J130" s="36">
        <v>0</v>
      </c>
      <c r="K130" s="36">
        <v>0</v>
      </c>
      <c r="L130" s="36">
        <f t="shared" si="279"/>
        <v>874</v>
      </c>
      <c r="M130" s="36">
        <v>449</v>
      </c>
      <c r="N130" s="36">
        <f>834-M130</f>
        <v>385</v>
      </c>
      <c r="O130" s="36">
        <f>1106-N130-M130</f>
        <v>272</v>
      </c>
      <c r="P130" s="36">
        <f t="shared" si="280"/>
        <v>405</v>
      </c>
      <c r="Q130" s="36">
        <v>423</v>
      </c>
      <c r="R130" s="36">
        <f>11861-Q130</f>
        <v>11438</v>
      </c>
      <c r="S130" s="36">
        <f>12278-R130-Q130</f>
        <v>417</v>
      </c>
      <c r="T130" s="36">
        <f t="shared" si="281"/>
        <v>436</v>
      </c>
      <c r="U130" s="36">
        <v>955</v>
      </c>
      <c r="V130" s="36">
        <f>2238-U130</f>
        <v>1283</v>
      </c>
      <c r="W130" s="36">
        <f>3652-V130-U130</f>
        <v>1414</v>
      </c>
      <c r="Y130" s="36">
        <f>SUM(J130:M130)</f>
        <v>1323</v>
      </c>
      <c r="Z130" s="36">
        <f>SUM(K130:N130)</f>
        <v>1708</v>
      </c>
      <c r="AA130" s="36">
        <f>SUM(L130:O130)</f>
        <v>1980</v>
      </c>
      <c r="AB130" s="36">
        <f>SUM(M130:P130)</f>
        <v>1511</v>
      </c>
      <c r="AC130" s="36">
        <f>SUM(N130:Q130)</f>
        <v>1485</v>
      </c>
      <c r="AD130" s="36">
        <f>SUM(O130:R130)</f>
        <v>12538</v>
      </c>
      <c r="AE130" s="36">
        <f>SUM(P130:S130)</f>
        <v>12683</v>
      </c>
      <c r="AF130" s="36">
        <f>SUM(Q130:T130)</f>
        <v>12714</v>
      </c>
      <c r="AG130" s="36">
        <f>SUM(R130:U130)</f>
        <v>13246</v>
      </c>
      <c r="AH130" s="36">
        <f>SUM(S130:V130)</f>
        <v>3091</v>
      </c>
      <c r="AI130" s="36">
        <f>SUM(T130:W130)</f>
        <v>4088</v>
      </c>
      <c r="AJ130" s="13"/>
      <c r="AK130" s="48"/>
    </row>
    <row r="131" spans="2:37" ht="12.75" customHeight="1" x14ac:dyDescent="0.2">
      <c r="B131" s="73" t="s">
        <v>161</v>
      </c>
      <c r="C131" s="36">
        <v>0</v>
      </c>
      <c r="D131" s="36">
        <v>0</v>
      </c>
      <c r="E131" s="36">
        <v>0</v>
      </c>
      <c r="F131" s="36">
        <v>0</v>
      </c>
      <c r="G131" s="36">
        <v>0</v>
      </c>
      <c r="H131" s="79"/>
      <c r="I131" s="36">
        <v>0</v>
      </c>
      <c r="J131" s="36">
        <v>0</v>
      </c>
      <c r="K131" s="36">
        <v>0</v>
      </c>
      <c r="L131" s="36">
        <f t="shared" si="279"/>
        <v>0</v>
      </c>
      <c r="M131" s="36">
        <v>0</v>
      </c>
      <c r="N131" s="36">
        <v>0</v>
      </c>
      <c r="O131" s="36">
        <v>0</v>
      </c>
      <c r="P131" s="36">
        <f t="shared" si="280"/>
        <v>0</v>
      </c>
      <c r="Q131" s="36">
        <v>0</v>
      </c>
      <c r="R131" s="36">
        <v>0</v>
      </c>
      <c r="S131" s="36">
        <v>0</v>
      </c>
      <c r="T131" s="36">
        <f t="shared" si="281"/>
        <v>0</v>
      </c>
      <c r="U131" s="36">
        <v>0</v>
      </c>
      <c r="V131" s="36">
        <v>0</v>
      </c>
      <c r="W131" s="36">
        <v>0</v>
      </c>
      <c r="Y131" s="36">
        <f>SUM(J131:M131)</f>
        <v>0</v>
      </c>
      <c r="Z131" s="36">
        <f>SUM(K131:N131)</f>
        <v>0</v>
      </c>
      <c r="AA131" s="36">
        <f>SUM(L131:O131)</f>
        <v>0</v>
      </c>
      <c r="AB131" s="36">
        <f>SUM(M131:P131)</f>
        <v>0</v>
      </c>
      <c r="AC131" s="36">
        <f>SUM(N131:Q131)</f>
        <v>0</v>
      </c>
      <c r="AD131" s="36">
        <f>SUM(O131:R131)</f>
        <v>0</v>
      </c>
      <c r="AE131" s="36">
        <f>SUM(P131:S131)</f>
        <v>0</v>
      </c>
      <c r="AF131" s="36">
        <f>SUM(Q131:T131)</f>
        <v>0</v>
      </c>
      <c r="AG131" s="36">
        <f>SUM(R131:U131)</f>
        <v>0</v>
      </c>
      <c r="AH131" s="36">
        <f>SUM(S131:V131)</f>
        <v>0</v>
      </c>
      <c r="AI131" s="36">
        <f>SUM(T131:W131)</f>
        <v>0</v>
      </c>
      <c r="AJ131" s="13"/>
      <c r="AK131" s="48"/>
    </row>
    <row r="132" spans="2:37" ht="12.75" customHeight="1" x14ac:dyDescent="0.2">
      <c r="B132" s="73" t="s">
        <v>164</v>
      </c>
      <c r="C132" s="36">
        <v>897</v>
      </c>
      <c r="D132" s="36">
        <v>1020</v>
      </c>
      <c r="E132" s="36">
        <v>977</v>
      </c>
      <c r="F132" s="36">
        <v>2959</v>
      </c>
      <c r="G132" s="36">
        <v>987</v>
      </c>
      <c r="H132" s="36"/>
      <c r="I132" s="36">
        <v>589</v>
      </c>
      <c r="J132" s="36">
        <f>589-I132</f>
        <v>0</v>
      </c>
      <c r="K132" s="36">
        <f>972-J132-I132</f>
        <v>383</v>
      </c>
      <c r="L132" s="36">
        <f t="shared" si="279"/>
        <v>5</v>
      </c>
      <c r="M132" s="36">
        <v>659</v>
      </c>
      <c r="N132" s="36">
        <f>1573-M132</f>
        <v>914</v>
      </c>
      <c r="O132" s="36">
        <f>2423-N132-M132</f>
        <v>850</v>
      </c>
      <c r="P132" s="36">
        <f t="shared" si="280"/>
        <v>536</v>
      </c>
      <c r="Q132" s="36">
        <v>626</v>
      </c>
      <c r="R132" s="36">
        <f>631-Q132</f>
        <v>5</v>
      </c>
      <c r="S132" s="36">
        <f>986-R132-Q132</f>
        <v>355</v>
      </c>
      <c r="T132" s="36">
        <f t="shared" si="281"/>
        <v>1</v>
      </c>
      <c r="U132" s="36">
        <v>491</v>
      </c>
      <c r="V132" s="36">
        <f>491-U132</f>
        <v>0</v>
      </c>
      <c r="W132" s="36">
        <f>777+3737-V132-U132</f>
        <v>4023</v>
      </c>
      <c r="Y132" s="36">
        <f>SUM(J132:M132)</f>
        <v>1047</v>
      </c>
      <c r="Z132" s="36">
        <f>SUM(K132:N132)</f>
        <v>1961</v>
      </c>
      <c r="AA132" s="36">
        <f>SUM(L132:O132)</f>
        <v>2428</v>
      </c>
      <c r="AB132" s="36">
        <f>SUM(M132:P132)</f>
        <v>2959</v>
      </c>
      <c r="AC132" s="36">
        <f>SUM(N132:Q132)</f>
        <v>2926</v>
      </c>
      <c r="AD132" s="36">
        <f>SUM(O132:R132)</f>
        <v>2017</v>
      </c>
      <c r="AE132" s="36">
        <f>SUM(P132:S132)</f>
        <v>1522</v>
      </c>
      <c r="AF132" s="36">
        <f>SUM(Q132:T132)</f>
        <v>987</v>
      </c>
      <c r="AG132" s="36">
        <f>SUM(R132:U132)</f>
        <v>852</v>
      </c>
      <c r="AH132" s="36">
        <f>SUM(S132:V132)</f>
        <v>847</v>
      </c>
      <c r="AI132" s="36">
        <f>SUM(T132:W132)</f>
        <v>4515</v>
      </c>
      <c r="AJ132" s="13"/>
      <c r="AK132" s="48"/>
    </row>
    <row r="133" spans="2:37" ht="12.75" customHeight="1" x14ac:dyDescent="0.2">
      <c r="B133" s="73" t="s">
        <v>165</v>
      </c>
      <c r="C133" s="36">
        <v>-14229</v>
      </c>
      <c r="D133" s="36">
        <v>-2415</v>
      </c>
      <c r="E133" s="36">
        <v>0</v>
      </c>
      <c r="F133" s="36">
        <v>0</v>
      </c>
      <c r="G133" s="36">
        <v>0</v>
      </c>
      <c r="H133" s="79"/>
      <c r="I133" s="36">
        <v>0</v>
      </c>
      <c r="J133" s="36">
        <v>0</v>
      </c>
      <c r="K133" s="36">
        <v>0</v>
      </c>
      <c r="L133" s="36">
        <f t="shared" si="279"/>
        <v>0</v>
      </c>
      <c r="M133" s="36">
        <v>0</v>
      </c>
      <c r="N133" s="36">
        <v>0</v>
      </c>
      <c r="O133" s="36">
        <v>0</v>
      </c>
      <c r="P133" s="36">
        <f t="shared" si="280"/>
        <v>0</v>
      </c>
      <c r="Q133" s="36">
        <v>0</v>
      </c>
      <c r="R133" s="36">
        <v>0</v>
      </c>
      <c r="S133" s="36">
        <v>0</v>
      </c>
      <c r="T133" s="36">
        <f t="shared" si="281"/>
        <v>0</v>
      </c>
      <c r="U133" s="36">
        <v>0</v>
      </c>
      <c r="V133" s="36">
        <v>0</v>
      </c>
      <c r="W133" s="36">
        <v>0</v>
      </c>
      <c r="Y133" s="36">
        <f>SUM(J133:M133)</f>
        <v>0</v>
      </c>
      <c r="Z133" s="36">
        <f>SUM(K133:N133)</f>
        <v>0</v>
      </c>
      <c r="AA133" s="36">
        <f>SUM(L133:O133)</f>
        <v>0</v>
      </c>
      <c r="AB133" s="36">
        <f>SUM(M133:P133)</f>
        <v>0</v>
      </c>
      <c r="AC133" s="36">
        <f>SUM(N133:Q133)</f>
        <v>0</v>
      </c>
      <c r="AD133" s="36">
        <f>SUM(O133:R133)</f>
        <v>0</v>
      </c>
      <c r="AE133" s="36">
        <f>SUM(P133:S133)</f>
        <v>0</v>
      </c>
      <c r="AF133" s="36">
        <f>SUM(Q133:T133)</f>
        <v>0</v>
      </c>
      <c r="AG133" s="36">
        <f>SUM(R133:U133)</f>
        <v>0</v>
      </c>
      <c r="AH133" s="36">
        <f>SUM(S133:V133)</f>
        <v>0</v>
      </c>
      <c r="AI133" s="36">
        <f>SUM(T133:W133)</f>
        <v>0</v>
      </c>
      <c r="AJ133" s="13"/>
      <c r="AK133" s="48"/>
    </row>
    <row r="134" spans="2:37" ht="12.75" customHeight="1" x14ac:dyDescent="0.2">
      <c r="B134" s="73" t="s">
        <v>26</v>
      </c>
      <c r="C134" s="36">
        <v>-5568</v>
      </c>
      <c r="D134" s="36">
        <v>-5644</v>
      </c>
      <c r="E134" s="36">
        <v>-5997</v>
      </c>
      <c r="F134" s="36">
        <v>-3088</v>
      </c>
      <c r="G134" s="36">
        <v>-1599</v>
      </c>
      <c r="H134" s="79"/>
      <c r="I134" s="36">
        <v>-1487</v>
      </c>
      <c r="J134" s="36">
        <f>-2986-I134</f>
        <v>-1499</v>
      </c>
      <c r="K134" s="36">
        <f>-4488-J134-I134</f>
        <v>-1502</v>
      </c>
      <c r="L134" s="36">
        <f t="shared" ref="L134" si="291">SUM(E134-SUM(I134:K134))</f>
        <v>-1509</v>
      </c>
      <c r="M134" s="36">
        <v>-1512</v>
      </c>
      <c r="N134" s="36">
        <f>-2036-M134</f>
        <v>-524</v>
      </c>
      <c r="O134" s="36">
        <f>-2561-N134-M134</f>
        <v>-525</v>
      </c>
      <c r="P134" s="36">
        <f t="shared" ref="P134" si="292">SUM(F134-SUM(M134:O134))</f>
        <v>-527</v>
      </c>
      <c r="Q134" s="36">
        <v>-529</v>
      </c>
      <c r="R134" s="36">
        <f>-1063-Q134</f>
        <v>-534</v>
      </c>
      <c r="S134" s="36">
        <f>-1599-R134-Q134</f>
        <v>-536</v>
      </c>
      <c r="T134" s="36">
        <f t="shared" ref="T134" si="293">SUM(G134-SUM(Q134:S134))</f>
        <v>0</v>
      </c>
      <c r="U134" s="36">
        <v>0</v>
      </c>
      <c r="V134" s="36">
        <v>0</v>
      </c>
      <c r="W134" s="36">
        <v>0</v>
      </c>
      <c r="Y134" s="36">
        <f t="shared" ref="Y134:Z134" si="294">SUM(J134:M134)</f>
        <v>-6022</v>
      </c>
      <c r="Z134" s="36">
        <f t="shared" si="294"/>
        <v>-5047</v>
      </c>
      <c r="AA134" s="36">
        <f t="shared" ref="AA134" si="295">SUM(L134:O134)</f>
        <v>-4070</v>
      </c>
      <c r="AB134" s="36">
        <f t="shared" ref="AB134" si="296">SUM(M134:P134)</f>
        <v>-3088</v>
      </c>
      <c r="AC134" s="36">
        <f t="shared" ref="AC134" si="297">SUM(N134:Q134)</f>
        <v>-2105</v>
      </c>
      <c r="AD134" s="36">
        <f t="shared" ref="AD134" si="298">SUM(O134:R134)</f>
        <v>-2115</v>
      </c>
      <c r="AE134" s="36">
        <f t="shared" ref="AE134" si="299">SUM(P134:S134)</f>
        <v>-2126</v>
      </c>
      <c r="AF134" s="36">
        <f>SUM(Q134:T134)</f>
        <v>-1599</v>
      </c>
      <c r="AG134" s="36">
        <f>SUM(R134:U134)</f>
        <v>-1070</v>
      </c>
      <c r="AH134" s="36">
        <f>SUM(S134:V134)</f>
        <v>-536</v>
      </c>
      <c r="AI134" s="36">
        <f>SUM(T134:W134)</f>
        <v>0</v>
      </c>
      <c r="AJ134" s="13"/>
      <c r="AK134" s="48"/>
    </row>
    <row r="135" spans="2:37" ht="12.75" customHeight="1" x14ac:dyDescent="0.2">
      <c r="B135" s="73" t="s">
        <v>148</v>
      </c>
      <c r="C135" s="36">
        <v>0</v>
      </c>
      <c r="D135" s="36">
        <v>0</v>
      </c>
      <c r="E135" s="36">
        <v>0</v>
      </c>
      <c r="F135" s="36">
        <v>0</v>
      </c>
      <c r="G135" s="36">
        <v>-1178</v>
      </c>
      <c r="H135" s="79"/>
      <c r="I135" s="36">
        <v>0</v>
      </c>
      <c r="J135" s="36">
        <v>0</v>
      </c>
      <c r="K135" s="36">
        <v>0</v>
      </c>
      <c r="L135" s="36">
        <f t="shared" si="279"/>
        <v>0</v>
      </c>
      <c r="M135" s="36">
        <v>0</v>
      </c>
      <c r="N135" s="36">
        <v>0</v>
      </c>
      <c r="O135" s="36">
        <v>0</v>
      </c>
      <c r="P135" s="36">
        <f t="shared" si="280"/>
        <v>0</v>
      </c>
      <c r="Q135" s="36">
        <v>0</v>
      </c>
      <c r="R135" s="36">
        <v>0</v>
      </c>
      <c r="S135" s="36">
        <v>0</v>
      </c>
      <c r="T135" s="36">
        <f t="shared" si="281"/>
        <v>-1178</v>
      </c>
      <c r="U135" s="36">
        <v>-1020</v>
      </c>
      <c r="V135" s="36">
        <f>-1962-U135</f>
        <v>-942</v>
      </c>
      <c r="W135" s="36">
        <f>-2493-V135-U135</f>
        <v>-531</v>
      </c>
      <c r="Y135" s="36">
        <f>SUM(J135:M135)</f>
        <v>0</v>
      </c>
      <c r="Z135" s="36">
        <f>SUM(K135:N135)</f>
        <v>0</v>
      </c>
      <c r="AA135" s="36">
        <f>SUM(L135:O135)</f>
        <v>0</v>
      </c>
      <c r="AB135" s="36">
        <f>SUM(M135:P135)</f>
        <v>0</v>
      </c>
      <c r="AC135" s="36">
        <f>SUM(N135:Q135)</f>
        <v>0</v>
      </c>
      <c r="AD135" s="36">
        <f>SUM(O135:R135)</f>
        <v>0</v>
      </c>
      <c r="AE135" s="36">
        <f>SUM(P135:S135)</f>
        <v>0</v>
      </c>
      <c r="AF135" s="36">
        <f>SUM(Q135:T135)</f>
        <v>-1178</v>
      </c>
      <c r="AG135" s="36">
        <f>SUM(R135:U135)</f>
        <v>-2198</v>
      </c>
      <c r="AH135" s="36">
        <f>SUM(S135:V135)</f>
        <v>-3140</v>
      </c>
      <c r="AI135" s="36">
        <f>SUM(T135:W135)</f>
        <v>-3671</v>
      </c>
      <c r="AJ135" s="13"/>
      <c r="AK135" s="48"/>
    </row>
    <row r="136" spans="2:37" ht="12.75" customHeight="1" x14ac:dyDescent="0.2">
      <c r="B136" s="70" t="s">
        <v>27</v>
      </c>
      <c r="C136" s="36">
        <v>261</v>
      </c>
      <c r="D136" s="36">
        <v>-1297</v>
      </c>
      <c r="E136" s="36">
        <v>-2</v>
      </c>
      <c r="F136" s="36">
        <v>99</v>
      </c>
      <c r="G136" s="36">
        <v>-473</v>
      </c>
      <c r="H136" s="36"/>
      <c r="I136" s="36">
        <v>-666</v>
      </c>
      <c r="J136" s="36">
        <f>-281-I136</f>
        <v>385</v>
      </c>
      <c r="K136" s="36">
        <f>-341-140-J136-I136</f>
        <v>-200</v>
      </c>
      <c r="L136" s="36">
        <f t="shared" si="279"/>
        <v>479</v>
      </c>
      <c r="M136" s="36">
        <f>-225</f>
        <v>-225</v>
      </c>
      <c r="N136" s="36">
        <f>212-M136</f>
        <v>437</v>
      </c>
      <c r="O136" s="36">
        <f>457-96-N136-M136</f>
        <v>149</v>
      </c>
      <c r="P136" s="36">
        <f t="shared" si="280"/>
        <v>-262</v>
      </c>
      <c r="Q136" s="36">
        <v>-220</v>
      </c>
      <c r="R136" s="36">
        <f>-444-Q136</f>
        <v>-224</v>
      </c>
      <c r="S136" s="36">
        <f>-1277-R136-Q136</f>
        <v>-833</v>
      </c>
      <c r="T136" s="36">
        <f t="shared" si="281"/>
        <v>804</v>
      </c>
      <c r="U136" s="36">
        <f>-618</f>
        <v>-618</v>
      </c>
      <c r="V136" s="36">
        <f>-678-U136</f>
        <v>-60</v>
      </c>
      <c r="W136" s="36">
        <f>922+3945-1052-V136-U136</f>
        <v>4493</v>
      </c>
      <c r="Y136" s="36">
        <f>SUM(J136:M136)</f>
        <v>439</v>
      </c>
      <c r="Z136" s="36">
        <f>SUM(K136:N136)</f>
        <v>491</v>
      </c>
      <c r="AA136" s="36">
        <f>SUM(L136:O136)</f>
        <v>840</v>
      </c>
      <c r="AB136" s="36">
        <f>SUM(M136:P136)</f>
        <v>99</v>
      </c>
      <c r="AC136" s="36">
        <f>SUM(N136:Q136)</f>
        <v>104</v>
      </c>
      <c r="AD136" s="36">
        <f>SUM(O136:R136)</f>
        <v>-557</v>
      </c>
      <c r="AE136" s="36">
        <f>SUM(P136:S136)</f>
        <v>-1539</v>
      </c>
      <c r="AF136" s="36">
        <f>SUM(Q136:T136)</f>
        <v>-473</v>
      </c>
      <c r="AG136" s="36">
        <f>SUM(R136:U136)</f>
        <v>-871</v>
      </c>
      <c r="AH136" s="36">
        <f>SUM(S136:V136)</f>
        <v>-707</v>
      </c>
      <c r="AI136" s="36">
        <f>SUM(T136:W136)</f>
        <v>4619</v>
      </c>
      <c r="AJ136" s="13"/>
      <c r="AK136" s="48"/>
    </row>
    <row r="137" spans="2:37" ht="12.75" customHeight="1" x14ac:dyDescent="0.2">
      <c r="B137" s="15" t="s">
        <v>117</v>
      </c>
      <c r="C137" s="16">
        <f>SUM(C127:C136)</f>
        <v>-12917</v>
      </c>
      <c r="D137" s="16">
        <f>SUM(D127:D136)</f>
        <v>-5862</v>
      </c>
      <c r="E137" s="16">
        <f>SUM(E127:E136)</f>
        <v>1361</v>
      </c>
      <c r="F137" s="16">
        <f>SUM(F127:F136)</f>
        <v>8505</v>
      </c>
      <c r="G137" s="16">
        <f>SUM(G127:G136)</f>
        <v>11138</v>
      </c>
      <c r="H137" s="36"/>
      <c r="I137" s="16">
        <f>SUM(I127:I136)</f>
        <v>-1863</v>
      </c>
      <c r="J137" s="16">
        <f>SUM(J127:J136)</f>
        <v>-2802</v>
      </c>
      <c r="K137" s="16">
        <f>SUM(K127:K136)</f>
        <v>3683</v>
      </c>
      <c r="L137" s="16">
        <f>SUM(L127:L136)</f>
        <v>2343</v>
      </c>
      <c r="M137" s="16">
        <f>SUM(M127:M136)</f>
        <v>7394</v>
      </c>
      <c r="N137" s="16">
        <f>SUM(N127:N136)</f>
        <v>117</v>
      </c>
      <c r="O137" s="16">
        <f>SUM(O127:O136)</f>
        <v>842</v>
      </c>
      <c r="P137" s="16">
        <f>SUM(P127:P136)</f>
        <v>152</v>
      </c>
      <c r="Q137" s="16">
        <f>SUM(Q127:Q136)</f>
        <v>3630</v>
      </c>
      <c r="R137" s="16">
        <f>SUM(R127:R136)</f>
        <v>11237</v>
      </c>
      <c r="S137" s="16">
        <f>SUM(S127:S136)</f>
        <v>-3792</v>
      </c>
      <c r="T137" s="16">
        <f>SUM(T127:T136)</f>
        <v>63</v>
      </c>
      <c r="U137" s="16">
        <f>SUM(U127:U136)</f>
        <v>-196</v>
      </c>
      <c r="V137" s="39">
        <f>SUM(V127:V136)</f>
        <v>782</v>
      </c>
      <c r="W137" s="39">
        <f>SUM(W127:W136)</f>
        <v>5152</v>
      </c>
      <c r="Y137" s="39">
        <f>SUM(Y127:Y136)</f>
        <v>10618</v>
      </c>
      <c r="Z137" s="39">
        <f>SUM(Z127:Z136)</f>
        <v>13537</v>
      </c>
      <c r="AA137" s="16">
        <f>SUM(AA127:AA136)</f>
        <v>10696</v>
      </c>
      <c r="AB137" s="16">
        <f>SUM(AB127:AB136)</f>
        <v>8505</v>
      </c>
      <c r="AC137" s="16">
        <f>SUM(AC127:AC136)</f>
        <v>4741</v>
      </c>
      <c r="AD137" s="16">
        <f>SUM(AD127:AD136)</f>
        <v>15861</v>
      </c>
      <c r="AE137" s="16">
        <f>SUM(AE127:AE136)</f>
        <v>11227</v>
      </c>
      <c r="AF137" s="16">
        <f>SUM(AF127:AF136)</f>
        <v>11138</v>
      </c>
      <c r="AG137" s="16">
        <f>SUM(AG127:AG136)</f>
        <v>7312</v>
      </c>
      <c r="AH137" s="16">
        <f>SUM(AH127:AH136)</f>
        <v>-3143</v>
      </c>
      <c r="AI137" s="16">
        <f>SUM(AI127:AI136)</f>
        <v>5801</v>
      </c>
      <c r="AJ137" s="51"/>
      <c r="AK137" s="48"/>
    </row>
    <row r="138" spans="2:37" ht="5.0999999999999996" customHeight="1" x14ac:dyDescent="0.2">
      <c r="B138" s="9"/>
      <c r="C138" s="80"/>
      <c r="D138" s="80"/>
      <c r="E138" s="80"/>
      <c r="F138" s="80"/>
      <c r="G138" s="80"/>
      <c r="H138" s="36"/>
      <c r="I138" s="80"/>
      <c r="J138" s="80"/>
      <c r="K138" s="80"/>
      <c r="L138" s="80"/>
      <c r="M138" s="80"/>
      <c r="N138" s="80"/>
      <c r="O138" s="80"/>
      <c r="P138" s="80"/>
      <c r="Q138" s="81"/>
      <c r="R138" s="80"/>
      <c r="S138" s="80"/>
      <c r="T138" s="80"/>
      <c r="U138" s="80"/>
      <c r="V138" s="80"/>
      <c r="W138" s="80"/>
      <c r="Y138" s="13"/>
      <c r="Z138" s="13"/>
      <c r="AA138" s="13"/>
      <c r="AB138" s="13"/>
      <c r="AC138" s="13"/>
      <c r="AD138" s="13"/>
      <c r="AE138" s="13"/>
      <c r="AF138" s="13"/>
      <c r="AG138" s="13"/>
      <c r="AH138" s="13"/>
      <c r="AI138" s="13"/>
      <c r="AJ138" s="13"/>
      <c r="AK138" s="57"/>
    </row>
    <row r="139" spans="2:37" x14ac:dyDescent="0.2">
      <c r="B139" s="91" t="s">
        <v>167</v>
      </c>
      <c r="C139" s="60">
        <f>SUM(C109,C124,C137)</f>
        <v>1671</v>
      </c>
      <c r="D139" s="36">
        <f>SUM(D137+D124+D109)</f>
        <v>-1038</v>
      </c>
      <c r="E139" s="36">
        <f>SUM(E137+E124+E109)</f>
        <v>6317</v>
      </c>
      <c r="F139" s="36">
        <f>SUM(F137+F124+F109)</f>
        <v>-4065</v>
      </c>
      <c r="G139" s="36">
        <f>SUM(G137+G124+G109)</f>
        <v>1170</v>
      </c>
      <c r="H139" s="36"/>
      <c r="I139" s="36">
        <f>SUM(I137+I124+I109)</f>
        <v>1388</v>
      </c>
      <c r="J139" s="36">
        <f>SUM(J137+J124+J109)</f>
        <v>-1825</v>
      </c>
      <c r="K139" s="36">
        <f>SUM(K137+K124+K109)</f>
        <v>139</v>
      </c>
      <c r="L139" s="36">
        <f>SUM(L137+L124+L109)</f>
        <v>6615</v>
      </c>
      <c r="M139" s="36">
        <f>SUM(M137+M124+M109)</f>
        <v>-2912</v>
      </c>
      <c r="N139" s="36">
        <f>SUM(N137+N124+N109)</f>
        <v>117</v>
      </c>
      <c r="O139" s="36">
        <f>SUM(O137+O124+O109)</f>
        <v>-728</v>
      </c>
      <c r="P139" s="36">
        <f>SUM(P137+P124+P109)</f>
        <v>-542</v>
      </c>
      <c r="Q139" s="36">
        <f>SUM(Q137+Q124+Q109)</f>
        <v>-156</v>
      </c>
      <c r="R139" s="36">
        <f>SUM(R137+R124+R109)</f>
        <v>4364</v>
      </c>
      <c r="S139" s="36">
        <f>SUM(S137+S124+S109)</f>
        <v>-2502</v>
      </c>
      <c r="T139" s="36">
        <f>SUM(T137+T124+T109)</f>
        <v>-536</v>
      </c>
      <c r="U139" s="36">
        <f>SUM(U137+U124+U109)</f>
        <v>698</v>
      </c>
      <c r="V139" s="36">
        <f>SUM(V137+V124+V109)</f>
        <v>746</v>
      </c>
      <c r="W139" s="36">
        <f>SUM(W137+W124+W109)</f>
        <v>1448</v>
      </c>
      <c r="X139" s="36"/>
      <c r="Y139" s="36">
        <f t="shared" ref="Y139:Z139" si="300">SUM(J139:M139)</f>
        <v>2017</v>
      </c>
      <c r="Z139" s="36">
        <f t="shared" si="300"/>
        <v>3959</v>
      </c>
      <c r="AA139" s="36">
        <f t="shared" ref="AA139" si="301">SUM(L139:O139)</f>
        <v>3092</v>
      </c>
      <c r="AB139" s="36">
        <f t="shared" ref="AB139" si="302">SUM(M139:P139)</f>
        <v>-4065</v>
      </c>
      <c r="AC139" s="36">
        <f t="shared" ref="AC139" si="303">SUM(N139:Q139)</f>
        <v>-1309</v>
      </c>
      <c r="AD139" s="36">
        <f t="shared" ref="AD139" si="304">SUM(O139:R139)</f>
        <v>2938</v>
      </c>
      <c r="AE139" s="36">
        <f t="shared" ref="AE139" si="305">SUM(P139:S139)</f>
        <v>1164</v>
      </c>
      <c r="AF139" s="36">
        <f>SUM(Q139:T139)</f>
        <v>1170</v>
      </c>
      <c r="AG139" s="36">
        <f>SUM(R139:U139)</f>
        <v>2024</v>
      </c>
      <c r="AH139" s="36">
        <f>SUM(S139:V139)</f>
        <v>-1594</v>
      </c>
      <c r="AI139" s="36">
        <f>SUM(T139:W139)</f>
        <v>2356</v>
      </c>
      <c r="AJ139" s="13"/>
      <c r="AK139" s="57"/>
    </row>
    <row r="140" spans="2:37" x14ac:dyDescent="0.2">
      <c r="B140" s="91" t="s">
        <v>171</v>
      </c>
      <c r="C140" s="36">
        <v>4194</v>
      </c>
      <c r="D140" s="36">
        <f>C142</f>
        <v>5865</v>
      </c>
      <c r="E140" s="36">
        <f t="shared" ref="E140:G140" si="306">D142</f>
        <v>4827</v>
      </c>
      <c r="F140" s="36">
        <f t="shared" si="306"/>
        <v>11144</v>
      </c>
      <c r="G140" s="36">
        <f t="shared" si="306"/>
        <v>7079</v>
      </c>
      <c r="H140" s="36"/>
      <c r="I140" s="36">
        <f>D142</f>
        <v>4827</v>
      </c>
      <c r="J140" s="36">
        <f t="shared" ref="J140:V140" si="307">I142</f>
        <v>6215</v>
      </c>
      <c r="K140" s="36">
        <f t="shared" si="307"/>
        <v>4390</v>
      </c>
      <c r="L140" s="36">
        <f t="shared" si="307"/>
        <v>4529</v>
      </c>
      <c r="M140" s="36">
        <f t="shared" si="307"/>
        <v>11144</v>
      </c>
      <c r="N140" s="36">
        <f t="shared" si="307"/>
        <v>8232</v>
      </c>
      <c r="O140" s="36">
        <f t="shared" si="307"/>
        <v>8349</v>
      </c>
      <c r="P140" s="36">
        <f t="shared" si="307"/>
        <v>7621</v>
      </c>
      <c r="Q140" s="36">
        <f t="shared" si="307"/>
        <v>7079</v>
      </c>
      <c r="R140" s="36">
        <f t="shared" si="307"/>
        <v>6923</v>
      </c>
      <c r="S140" s="36">
        <f t="shared" si="307"/>
        <v>11287</v>
      </c>
      <c r="T140" s="36">
        <f t="shared" si="307"/>
        <v>8785</v>
      </c>
      <c r="U140" s="36">
        <f t="shared" si="307"/>
        <v>8249</v>
      </c>
      <c r="V140" s="36">
        <f>U142</f>
        <v>8947</v>
      </c>
      <c r="W140" s="36">
        <f>V142</f>
        <v>9643</v>
      </c>
      <c r="X140" s="36"/>
      <c r="Y140" s="36">
        <f t="shared" ref="Y140:AB140" si="308">I142</f>
        <v>6215</v>
      </c>
      <c r="Z140" s="36">
        <f t="shared" si="308"/>
        <v>4390</v>
      </c>
      <c r="AA140" s="36">
        <f t="shared" si="308"/>
        <v>4529</v>
      </c>
      <c r="AB140" s="36">
        <f t="shared" si="308"/>
        <v>11144</v>
      </c>
      <c r="AC140" s="36">
        <f t="shared" ref="AC140" si="309">M142</f>
        <v>8232</v>
      </c>
      <c r="AD140" s="36">
        <f t="shared" ref="AD140" si="310">N142</f>
        <v>8349</v>
      </c>
      <c r="AE140" s="36">
        <f t="shared" ref="AE140" si="311">O142</f>
        <v>7621</v>
      </c>
      <c r="AF140" s="36">
        <f t="shared" ref="AF140:AH140" si="312">P142</f>
        <v>7079</v>
      </c>
      <c r="AG140" s="36">
        <f t="shared" si="312"/>
        <v>6923</v>
      </c>
      <c r="AH140" s="36">
        <f t="shared" si="312"/>
        <v>11287</v>
      </c>
      <c r="AI140" s="36">
        <f>S142</f>
        <v>8785</v>
      </c>
      <c r="AJ140" s="13"/>
      <c r="AK140" s="57"/>
    </row>
    <row r="141" spans="2:37" ht="14.25" x14ac:dyDescent="0.2">
      <c r="B141" s="97" t="s">
        <v>175</v>
      </c>
      <c r="C141" s="36">
        <v>0</v>
      </c>
      <c r="D141" s="36">
        <v>0</v>
      </c>
      <c r="E141" s="36">
        <v>0</v>
      </c>
      <c r="F141" s="36">
        <v>0</v>
      </c>
      <c r="G141" s="36">
        <v>0</v>
      </c>
      <c r="H141" s="36"/>
      <c r="I141" s="36">
        <v>0</v>
      </c>
      <c r="J141" s="36">
        <v>0</v>
      </c>
      <c r="K141" s="36">
        <v>0</v>
      </c>
      <c r="L141" s="36">
        <v>0</v>
      </c>
      <c r="M141" s="36">
        <v>0</v>
      </c>
      <c r="N141" s="36">
        <v>0</v>
      </c>
      <c r="O141" s="36">
        <v>0</v>
      </c>
      <c r="P141" s="36">
        <v>0</v>
      </c>
      <c r="Q141" s="36">
        <v>0</v>
      </c>
      <c r="R141" s="36">
        <v>0</v>
      </c>
      <c r="S141" s="36">
        <v>0</v>
      </c>
      <c r="T141" s="36">
        <v>0</v>
      </c>
      <c r="U141" s="36">
        <v>0</v>
      </c>
      <c r="V141" s="36">
        <v>-50</v>
      </c>
      <c r="W141" s="36">
        <f>-V141</f>
        <v>50</v>
      </c>
      <c r="X141" s="36"/>
      <c r="Y141" s="36">
        <f>SUM(J141:M141)</f>
        <v>0</v>
      </c>
      <c r="Z141" s="36">
        <f>SUM(K141:N141)</f>
        <v>0</v>
      </c>
      <c r="AA141" s="36">
        <f t="shared" ref="AA141" si="313">SUM(L141:O141)</f>
        <v>0</v>
      </c>
      <c r="AB141" s="36">
        <f t="shared" ref="AB141" si="314">SUM(M141:P141)</f>
        <v>0</v>
      </c>
      <c r="AC141" s="36">
        <f t="shared" ref="AC141" si="315">SUM(N141:Q141)</f>
        <v>0</v>
      </c>
      <c r="AD141" s="36">
        <f t="shared" ref="AD141" si="316">SUM(O141:R141)</f>
        <v>0</v>
      </c>
      <c r="AE141" s="36">
        <f t="shared" ref="AE141" si="317">SUM(P141:S141)</f>
        <v>0</v>
      </c>
      <c r="AF141" s="36">
        <f>SUM(Q141:T141)</f>
        <v>0</v>
      </c>
      <c r="AG141" s="36">
        <f>SUM(R141:U141)</f>
        <v>0</v>
      </c>
      <c r="AH141" s="36">
        <f>SUM(S141:V141)</f>
        <v>-50</v>
      </c>
      <c r="AI141" s="36">
        <f>SUM(T141:W141)</f>
        <v>0</v>
      </c>
      <c r="AJ141" s="13"/>
      <c r="AK141" s="57"/>
    </row>
    <row r="142" spans="2:37" ht="14.25" x14ac:dyDescent="0.2">
      <c r="B142" s="97" t="s">
        <v>172</v>
      </c>
      <c r="C142" s="36">
        <f>SUM(C139:C141)</f>
        <v>5865</v>
      </c>
      <c r="D142" s="36">
        <f t="shared" ref="D142:G142" si="318">SUM(D139:D141)</f>
        <v>4827</v>
      </c>
      <c r="E142" s="36">
        <f t="shared" si="318"/>
        <v>11144</v>
      </c>
      <c r="F142" s="36">
        <f t="shared" si="318"/>
        <v>7079</v>
      </c>
      <c r="G142" s="36">
        <f t="shared" si="318"/>
        <v>8249</v>
      </c>
      <c r="H142" s="36"/>
      <c r="I142" s="36">
        <f t="shared" ref="I142" si="319">SUM(I139:I141)</f>
        <v>6215</v>
      </c>
      <c r="J142" s="36">
        <f t="shared" ref="J142" si="320">SUM(J139:J141)</f>
        <v>4390</v>
      </c>
      <c r="K142" s="36">
        <f t="shared" ref="K142" si="321">SUM(K139:K141)</f>
        <v>4529</v>
      </c>
      <c r="L142" s="36">
        <f t="shared" ref="L142" si="322">SUM(L139:L141)</f>
        <v>11144</v>
      </c>
      <c r="M142" s="36">
        <f t="shared" ref="M142" si="323">SUM(M139:M141)</f>
        <v>8232</v>
      </c>
      <c r="N142" s="36">
        <f t="shared" ref="N142" si="324">SUM(N139:N141)</f>
        <v>8349</v>
      </c>
      <c r="O142" s="36">
        <f t="shared" ref="O142" si="325">SUM(O139:O141)</f>
        <v>7621</v>
      </c>
      <c r="P142" s="36">
        <f t="shared" ref="P142" si="326">SUM(P139:P141)</f>
        <v>7079</v>
      </c>
      <c r="Q142" s="36">
        <f t="shared" ref="Q142" si="327">SUM(Q139:Q141)</f>
        <v>6923</v>
      </c>
      <c r="R142" s="36">
        <f t="shared" ref="R142" si="328">SUM(R139:R141)</f>
        <v>11287</v>
      </c>
      <c r="S142" s="36">
        <f t="shared" ref="S142" si="329">SUM(S139:S141)</f>
        <v>8785</v>
      </c>
      <c r="T142" s="36">
        <f t="shared" ref="T142" si="330">SUM(T139:T141)</f>
        <v>8249</v>
      </c>
      <c r="U142" s="36">
        <f t="shared" ref="U142" si="331">SUM(U139:U141)</f>
        <v>8947</v>
      </c>
      <c r="V142" s="36">
        <f t="shared" ref="V142" si="332">SUM(V139:V141)</f>
        <v>9643</v>
      </c>
      <c r="W142" s="36">
        <f t="shared" ref="W142" si="333">SUM(W139:W141)</f>
        <v>11141</v>
      </c>
      <c r="X142" s="36"/>
      <c r="Y142" s="36">
        <f t="shared" ref="Y142:Z142" si="334">SUM(Y139:Y141)</f>
        <v>8232</v>
      </c>
      <c r="Z142" s="36">
        <f t="shared" si="334"/>
        <v>8349</v>
      </c>
      <c r="AA142" s="36">
        <f t="shared" ref="AA142" si="335">SUM(AA139:AA141)</f>
        <v>7621</v>
      </c>
      <c r="AB142" s="36">
        <f t="shared" ref="AB142" si="336">SUM(AB139:AB141)</f>
        <v>7079</v>
      </c>
      <c r="AC142" s="36">
        <f t="shared" ref="AC142" si="337">SUM(AC139:AC141)</f>
        <v>6923</v>
      </c>
      <c r="AD142" s="36">
        <f t="shared" ref="AD142" si="338">SUM(AD139:AD141)</f>
        <v>11287</v>
      </c>
      <c r="AE142" s="36">
        <f t="shared" ref="AE142" si="339">SUM(AE139:AE141)</f>
        <v>8785</v>
      </c>
      <c r="AF142" s="36">
        <f t="shared" ref="AF142" si="340">SUM(AF139:AF141)</f>
        <v>8249</v>
      </c>
      <c r="AG142" s="36">
        <f t="shared" ref="AG142" si="341">SUM(AG139:AG141)</f>
        <v>8947</v>
      </c>
      <c r="AH142" s="36">
        <f t="shared" ref="AH142" si="342">SUM(AH139:AH141)</f>
        <v>9643</v>
      </c>
      <c r="AI142" s="36">
        <f t="shared" ref="AI142" si="343">SUM(AI139:AI141)</f>
        <v>11141</v>
      </c>
      <c r="AJ142" s="13"/>
      <c r="AK142" s="57"/>
    </row>
    <row r="143" spans="2:37" ht="5.0999999999999996" customHeight="1" x14ac:dyDescent="0.2">
      <c r="B143" s="9"/>
      <c r="C143" s="80"/>
      <c r="D143" s="80"/>
      <c r="E143" s="80"/>
      <c r="F143" s="80"/>
      <c r="G143" s="80"/>
      <c r="H143" s="36"/>
      <c r="I143" s="80"/>
      <c r="J143" s="80"/>
      <c r="K143" s="80"/>
      <c r="L143" s="80"/>
      <c r="M143" s="80"/>
      <c r="N143" s="80"/>
      <c r="O143" s="80"/>
      <c r="P143" s="80"/>
      <c r="Q143" s="81"/>
      <c r="R143" s="80"/>
      <c r="S143" s="80"/>
      <c r="T143" s="80"/>
      <c r="U143" s="80"/>
      <c r="V143" s="80"/>
      <c r="W143" s="80"/>
      <c r="Y143" s="13"/>
      <c r="Z143" s="13"/>
      <c r="AA143" s="13"/>
      <c r="AB143" s="13"/>
      <c r="AC143" s="13"/>
      <c r="AD143" s="13"/>
      <c r="AE143" s="13"/>
      <c r="AF143" s="13"/>
      <c r="AG143" s="13"/>
      <c r="AH143" s="13"/>
      <c r="AI143" s="13"/>
      <c r="AJ143" s="13"/>
      <c r="AK143" s="57"/>
    </row>
    <row r="144" spans="2:37" x14ac:dyDescent="0.2">
      <c r="B144" s="92" t="s">
        <v>166</v>
      </c>
      <c r="C144" s="89">
        <f>C142-C38</f>
        <v>0</v>
      </c>
      <c r="D144" s="89">
        <f>D142-D38</f>
        <v>0</v>
      </c>
      <c r="E144" s="89">
        <f>E142-E38</f>
        <v>0</v>
      </c>
      <c r="F144" s="89">
        <f>F142-F38</f>
        <v>0</v>
      </c>
      <c r="G144" s="89">
        <f>G142-G38</f>
        <v>0</v>
      </c>
      <c r="H144" s="36"/>
      <c r="I144" s="89">
        <f>I142-I38</f>
        <v>0</v>
      </c>
      <c r="J144" s="89">
        <f>J142-J38</f>
        <v>0</v>
      </c>
      <c r="K144" s="89">
        <f>K142-K38</f>
        <v>0</v>
      </c>
      <c r="L144" s="89">
        <f>L142-L38</f>
        <v>0</v>
      </c>
      <c r="M144" s="89">
        <f>M142-M38</f>
        <v>0</v>
      </c>
      <c r="N144" s="89">
        <f>N142-N38</f>
        <v>0</v>
      </c>
      <c r="O144" s="89">
        <f>O142-O38</f>
        <v>0</v>
      </c>
      <c r="P144" s="89">
        <f>P142-P38</f>
        <v>0</v>
      </c>
      <c r="Q144" s="89">
        <f>Q142-Q38</f>
        <v>0</v>
      </c>
      <c r="R144" s="89">
        <f>R142-R38</f>
        <v>0</v>
      </c>
      <c r="S144" s="89">
        <f>S142-S38</f>
        <v>0</v>
      </c>
      <c r="T144" s="89">
        <f>T142-T38</f>
        <v>0</v>
      </c>
      <c r="U144" s="89">
        <f>U142-U38</f>
        <v>0</v>
      </c>
      <c r="V144" s="89">
        <f>V142-V38</f>
        <v>0</v>
      </c>
      <c r="W144" s="89">
        <f>W142-W38</f>
        <v>0</v>
      </c>
      <c r="Y144" s="89">
        <f>Y142-Y38</f>
        <v>0</v>
      </c>
      <c r="Z144" s="89">
        <f>Z142-Z38</f>
        <v>0</v>
      </c>
      <c r="AA144" s="89">
        <f>AA142-AA38</f>
        <v>0</v>
      </c>
      <c r="AB144" s="89">
        <f>AB142-AB38</f>
        <v>0</v>
      </c>
      <c r="AC144" s="89">
        <f>AC142-AC38</f>
        <v>0</v>
      </c>
      <c r="AD144" s="89">
        <f>AD142-AD38</f>
        <v>0</v>
      </c>
      <c r="AE144" s="89">
        <f>AE142-AE38</f>
        <v>0</v>
      </c>
      <c r="AF144" s="89">
        <f>AF142-AF38</f>
        <v>0</v>
      </c>
      <c r="AG144" s="89">
        <f>AG142-AG38</f>
        <v>0</v>
      </c>
      <c r="AH144" s="89">
        <f>AH142-AH38</f>
        <v>0</v>
      </c>
      <c r="AI144" s="89">
        <f>AI142-AI38</f>
        <v>0</v>
      </c>
      <c r="AJ144" s="13"/>
      <c r="AK144" s="57"/>
    </row>
    <row r="145" spans="2:37" ht="5.0999999999999996" customHeight="1" x14ac:dyDescent="0.2">
      <c r="B145" s="9"/>
      <c r="C145" s="80"/>
      <c r="D145" s="80"/>
      <c r="E145" s="80"/>
      <c r="F145" s="80"/>
      <c r="G145" s="80"/>
      <c r="H145" s="36"/>
      <c r="I145" s="80"/>
      <c r="J145" s="80"/>
      <c r="K145" s="80"/>
      <c r="L145" s="80"/>
      <c r="M145" s="80"/>
      <c r="N145" s="80"/>
      <c r="O145" s="80"/>
      <c r="P145" s="80"/>
      <c r="Q145" s="81"/>
      <c r="R145" s="80"/>
      <c r="S145" s="80"/>
      <c r="T145" s="80"/>
      <c r="U145" s="80"/>
      <c r="V145" s="80"/>
      <c r="W145" s="80"/>
      <c r="Y145" s="13"/>
      <c r="Z145" s="13"/>
      <c r="AA145" s="13"/>
      <c r="AB145" s="13"/>
      <c r="AC145" s="13"/>
      <c r="AD145" s="13"/>
      <c r="AE145" s="13"/>
      <c r="AF145" s="13"/>
      <c r="AG145" s="13"/>
      <c r="AH145" s="13"/>
      <c r="AI145" s="13"/>
      <c r="AJ145" s="13"/>
      <c r="AK145" s="57"/>
    </row>
    <row r="146" spans="2:37" ht="12.75" customHeight="1" x14ac:dyDescent="0.2">
      <c r="B146" s="93" t="s">
        <v>168</v>
      </c>
      <c r="C146" s="75"/>
      <c r="D146" s="75"/>
      <c r="E146" s="75"/>
      <c r="F146" s="75"/>
      <c r="G146" s="75"/>
      <c r="H146" s="13"/>
      <c r="I146" s="75"/>
      <c r="J146" s="75"/>
      <c r="K146" s="75"/>
      <c r="L146" s="75"/>
      <c r="M146" s="75"/>
      <c r="N146" s="75"/>
      <c r="O146" s="75"/>
      <c r="P146" s="75"/>
      <c r="Q146" s="82"/>
      <c r="R146" s="75"/>
      <c r="S146" s="75"/>
      <c r="T146" s="75"/>
      <c r="U146" s="75"/>
      <c r="V146" s="75"/>
      <c r="W146" s="75"/>
      <c r="Y146" s="75"/>
      <c r="Z146" s="75"/>
      <c r="AA146" s="75"/>
      <c r="AB146" s="75"/>
      <c r="AC146" s="75"/>
      <c r="AD146" s="75"/>
      <c r="AE146" s="75"/>
      <c r="AF146" s="75"/>
      <c r="AG146" s="75"/>
      <c r="AH146" s="75"/>
      <c r="AI146" s="75"/>
      <c r="AJ146" s="83"/>
      <c r="AK146" s="57"/>
    </row>
    <row r="147" spans="2:37" ht="12.75" customHeight="1" x14ac:dyDescent="0.2">
      <c r="B147" s="9" t="s">
        <v>169</v>
      </c>
      <c r="C147" s="36">
        <v>594</v>
      </c>
      <c r="D147" s="36">
        <v>545</v>
      </c>
      <c r="E147" s="36">
        <v>459</v>
      </c>
      <c r="F147" s="36">
        <v>613</v>
      </c>
      <c r="G147" s="36">
        <v>987</v>
      </c>
      <c r="H147" s="36"/>
      <c r="I147" s="36">
        <v>177</v>
      </c>
      <c r="J147" s="36">
        <f>214-I147</f>
        <v>37</v>
      </c>
      <c r="K147" s="36">
        <f>315-J147-I147</f>
        <v>101</v>
      </c>
      <c r="L147" s="36">
        <f t="shared" ref="L147:L148" si="344">SUM(E147-SUM(I147:K147))</f>
        <v>144</v>
      </c>
      <c r="M147" s="36">
        <v>239</v>
      </c>
      <c r="N147" s="36">
        <f>161-M147</f>
        <v>-78</v>
      </c>
      <c r="O147" s="36">
        <f>663-N147-M147</f>
        <v>502</v>
      </c>
      <c r="P147" s="36">
        <f t="shared" ref="P147:P148" si="345">SUM(F147-SUM(M147:O147))</f>
        <v>-50</v>
      </c>
      <c r="Q147" s="36">
        <v>540</v>
      </c>
      <c r="R147" s="36">
        <f>488-Q147</f>
        <v>-52</v>
      </c>
      <c r="S147" s="36">
        <f>1099-R147-Q147</f>
        <v>611</v>
      </c>
      <c r="T147" s="36">
        <f>SUM(G147-SUM(Q147:S147))</f>
        <v>-112</v>
      </c>
      <c r="U147" s="36">
        <v>635</v>
      </c>
      <c r="V147" s="36">
        <f>514-U147</f>
        <v>-121</v>
      </c>
      <c r="W147" s="103">
        <f>V147</f>
        <v>-121</v>
      </c>
      <c r="X147" s="36"/>
      <c r="Y147" s="36">
        <f>SUM(J147:M147)</f>
        <v>521</v>
      </c>
      <c r="Z147" s="36">
        <f>SUM(K147:N147)</f>
        <v>406</v>
      </c>
      <c r="AA147" s="36">
        <f>SUM(L147:O147)</f>
        <v>807</v>
      </c>
      <c r="AB147" s="36">
        <f>SUM(M147:P147)</f>
        <v>613</v>
      </c>
      <c r="AC147" s="36">
        <f>SUM(N147:Q147)</f>
        <v>914</v>
      </c>
      <c r="AD147" s="36">
        <f>SUM(O147:R147)</f>
        <v>940</v>
      </c>
      <c r="AE147" s="36">
        <f>SUM(P147:S147)</f>
        <v>1049</v>
      </c>
      <c r="AF147" s="36">
        <f>SUM(Q147:T147)</f>
        <v>987</v>
      </c>
      <c r="AG147" s="36">
        <f>SUM(R147:U147)</f>
        <v>1082</v>
      </c>
      <c r="AH147" s="36">
        <f>SUM(S147:V147)</f>
        <v>1013</v>
      </c>
      <c r="AI147" s="36">
        <f>SUM(T147:W147)</f>
        <v>281</v>
      </c>
      <c r="AJ147" s="13"/>
      <c r="AK147" s="57"/>
    </row>
    <row r="148" spans="2:37" ht="12.75" customHeight="1" x14ac:dyDescent="0.2">
      <c r="B148" s="5" t="s">
        <v>28</v>
      </c>
      <c r="C148" s="36">
        <v>2436</v>
      </c>
      <c r="D148" s="36">
        <v>2263</v>
      </c>
      <c r="E148" s="36">
        <v>4282</v>
      </c>
      <c r="F148" s="36">
        <v>2621</v>
      </c>
      <c r="G148" s="36">
        <v>2202</v>
      </c>
      <c r="H148" s="36"/>
      <c r="I148" s="36">
        <v>335</v>
      </c>
      <c r="J148" s="36">
        <f>3326-I148</f>
        <v>2991</v>
      </c>
      <c r="K148" s="36">
        <f>3960-J148-I148</f>
        <v>634</v>
      </c>
      <c r="L148" s="36">
        <f t="shared" si="344"/>
        <v>322</v>
      </c>
      <c r="M148" s="36">
        <v>267</v>
      </c>
      <c r="N148" s="36">
        <f>1520-M148</f>
        <v>1253</v>
      </c>
      <c r="O148" s="36">
        <f>1649-N148-M148</f>
        <v>129</v>
      </c>
      <c r="P148" s="36">
        <f t="shared" si="345"/>
        <v>972</v>
      </c>
      <c r="Q148" s="36">
        <v>315</v>
      </c>
      <c r="R148" s="36">
        <f>1555-Q148</f>
        <v>1240</v>
      </c>
      <c r="S148" s="36">
        <f>1880-R148-Q148</f>
        <v>325</v>
      </c>
      <c r="T148" s="36">
        <f t="shared" ref="T148" si="346">SUM(G148-SUM(Q148:S148))</f>
        <v>322</v>
      </c>
      <c r="U148" s="36">
        <v>221</v>
      </c>
      <c r="V148" s="36">
        <f>1793-U148</f>
        <v>1572</v>
      </c>
      <c r="W148" s="103">
        <f>V148</f>
        <v>1572</v>
      </c>
      <c r="X148" s="36"/>
      <c r="Y148" s="36">
        <f>SUM(J148:M148)</f>
        <v>4214</v>
      </c>
      <c r="Z148" s="36">
        <f>SUM(K148:N148)</f>
        <v>2476</v>
      </c>
      <c r="AA148" s="36">
        <f>SUM(L148:O148)</f>
        <v>1971</v>
      </c>
      <c r="AB148" s="36">
        <f>SUM(M148:P148)</f>
        <v>2621</v>
      </c>
      <c r="AC148" s="36">
        <f>SUM(N148:Q148)</f>
        <v>2669</v>
      </c>
      <c r="AD148" s="36">
        <f>SUM(O148:R148)</f>
        <v>2656</v>
      </c>
      <c r="AE148" s="36">
        <f>SUM(P148:S148)</f>
        <v>2852</v>
      </c>
      <c r="AF148" s="36">
        <f>SUM(Q148:T148)</f>
        <v>2202</v>
      </c>
      <c r="AG148" s="36">
        <f>SUM(R148:U148)</f>
        <v>2108</v>
      </c>
      <c r="AH148" s="36">
        <f>SUM(S148:V148)</f>
        <v>2440</v>
      </c>
      <c r="AI148" s="36">
        <f>SUM(T148:W148)</f>
        <v>3687</v>
      </c>
      <c r="AK148" s="57"/>
    </row>
    <row r="149" spans="2:37" ht="5.0999999999999996" customHeight="1" thickBot="1" x14ac:dyDescent="0.25">
      <c r="B149" s="94"/>
      <c r="C149" s="95"/>
      <c r="D149" s="95"/>
      <c r="E149" s="95"/>
      <c r="F149" s="95"/>
      <c r="G149" s="95"/>
      <c r="H149" s="94"/>
      <c r="I149" s="94"/>
      <c r="J149" s="94"/>
      <c r="K149" s="94"/>
      <c r="L149" s="94"/>
      <c r="M149" s="94"/>
      <c r="N149" s="94"/>
      <c r="O149" s="94"/>
      <c r="P149" s="94"/>
      <c r="Q149" s="94"/>
      <c r="R149" s="94"/>
      <c r="S149" s="94"/>
      <c r="T149" s="94"/>
      <c r="U149" s="94"/>
      <c r="V149" s="94"/>
      <c r="W149" s="94"/>
      <c r="X149" s="94"/>
      <c r="Y149" s="94"/>
      <c r="Z149" s="94"/>
      <c r="AA149" s="94"/>
      <c r="AB149" s="94"/>
      <c r="AC149" s="94"/>
      <c r="AD149" s="94"/>
      <c r="AE149" s="94"/>
      <c r="AF149" s="94"/>
      <c r="AG149" s="94"/>
      <c r="AH149" s="94"/>
      <c r="AI149" s="94"/>
      <c r="AK149" s="57"/>
    </row>
    <row r="150" spans="2:37" ht="12.75" customHeight="1" x14ac:dyDescent="0.2">
      <c r="B150" s="96" t="s">
        <v>173</v>
      </c>
      <c r="C150" s="96"/>
      <c r="D150" s="96"/>
      <c r="E150" s="96"/>
      <c r="F150" s="96"/>
      <c r="G150" s="96"/>
      <c r="H150" s="96"/>
      <c r="I150" s="96"/>
      <c r="J150" s="96"/>
      <c r="K150" s="96"/>
      <c r="L150" s="96"/>
      <c r="M150" s="96"/>
      <c r="N150" s="96"/>
      <c r="O150" s="96"/>
      <c r="P150" s="96"/>
      <c r="Q150" s="96"/>
      <c r="R150" s="96"/>
      <c r="S150" s="96"/>
      <c r="T150" s="96"/>
      <c r="U150" s="96"/>
      <c r="V150" s="96"/>
      <c r="W150" s="96"/>
      <c r="X150" s="96"/>
      <c r="Y150" s="96"/>
      <c r="Z150" s="96"/>
      <c r="AA150" s="96"/>
      <c r="AB150" s="96"/>
      <c r="AC150" s="96"/>
      <c r="AD150" s="96"/>
      <c r="AE150" s="96"/>
      <c r="AF150" s="96"/>
      <c r="AG150" s="96"/>
      <c r="AH150" s="96"/>
      <c r="AI150" s="96"/>
      <c r="AK150" s="57"/>
    </row>
    <row r="151" spans="2:37" ht="12.75" customHeight="1" x14ac:dyDescent="0.2">
      <c r="B151" s="65"/>
      <c r="C151" s="84"/>
      <c r="D151" s="84"/>
      <c r="E151" s="84"/>
      <c r="F151" s="84"/>
      <c r="G151" s="84"/>
    </row>
    <row r="152" spans="2:37" ht="12.75" customHeight="1" x14ac:dyDescent="0.2">
      <c r="C152" s="69"/>
      <c r="D152" s="69"/>
      <c r="E152" s="69"/>
      <c r="F152" s="69"/>
      <c r="G152" s="69"/>
    </row>
    <row r="153" spans="2:37" ht="12.75" customHeight="1" x14ac:dyDescent="0.2">
      <c r="C153" s="69"/>
      <c r="D153" s="69"/>
      <c r="E153" s="69"/>
      <c r="F153" s="69"/>
      <c r="G153" s="69"/>
    </row>
    <row r="154" spans="2:37" ht="12.75" customHeight="1" x14ac:dyDescent="0.2">
      <c r="C154" s="69"/>
      <c r="D154" s="69"/>
      <c r="E154" s="69"/>
      <c r="F154" s="69"/>
      <c r="G154" s="69"/>
    </row>
    <row r="155" spans="2:37" ht="12.75" customHeight="1" x14ac:dyDescent="0.2">
      <c r="C155" s="69"/>
      <c r="D155" s="69"/>
      <c r="E155" s="69"/>
      <c r="F155" s="69"/>
      <c r="G155" s="69"/>
    </row>
    <row r="156" spans="2:37" ht="12.75" customHeight="1" x14ac:dyDescent="0.2">
      <c r="C156" s="69"/>
      <c r="D156" s="69"/>
      <c r="E156" s="69"/>
      <c r="F156" s="69"/>
      <c r="G156" s="69"/>
    </row>
    <row r="157" spans="2:37" ht="12.75" customHeight="1" x14ac:dyDescent="0.2">
      <c r="C157" s="69"/>
      <c r="D157" s="69"/>
      <c r="E157" s="69"/>
      <c r="F157" s="69"/>
      <c r="G157" s="69"/>
    </row>
    <row r="158" spans="2:37" ht="12.75" customHeight="1" x14ac:dyDescent="0.2">
      <c r="C158" s="69"/>
      <c r="D158" s="69"/>
      <c r="E158" s="69"/>
      <c r="F158" s="69"/>
      <c r="G158" s="69"/>
    </row>
  </sheetData>
  <mergeCells count="2">
    <mergeCell ref="AK2:AK4"/>
    <mergeCell ref="B150:AI150"/>
  </mergeCells>
  <pageMargins left="0.7" right="0.7" top="0.75" bottom="0.75" header="0.3" footer="0.3"/>
  <ignoredErrors>
    <ignoredError sqref="AI12:AI14 AI27:AI28 H45" formulaRange="1"/>
    <ignoredError sqref="Z141:AI141" formula="1" formulaRange="1"/>
    <ignoredError sqref="Z140:AI140" formula="1"/>
    <ignoredError sqref="AK23" evalError="1"/>
  </ignoredErrors>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7B1D1-7788-4401-BB60-A7F5FD5AFE33}">
  <sheetPr>
    <tabColor rgb="FFFFC000"/>
  </sheetPr>
  <dimension ref="C1:U216"/>
  <sheetViews>
    <sheetView showGridLines="0" tabSelected="1" zoomScaleNormal="100" workbookViewId="0">
      <selection activeCell="D30" sqref="D30"/>
    </sheetView>
  </sheetViews>
  <sheetFormatPr defaultColWidth="7.75" defaultRowHeight="12" x14ac:dyDescent="0.2"/>
  <cols>
    <col min="1" max="2" width="1.5" style="9" customWidth="1"/>
    <col min="3" max="3" width="40.875" style="9" bestFit="1" customWidth="1"/>
    <col min="4" max="4" width="10.875" style="9" bestFit="1" customWidth="1"/>
    <col min="5" max="12" width="10" style="9" customWidth="1"/>
    <col min="13" max="13" width="2.875" style="9" customWidth="1"/>
    <col min="14" max="14" width="10.375" style="9" customWidth="1"/>
    <col min="15" max="17" width="9" style="9" bestFit="1" customWidth="1"/>
    <col min="18" max="19" width="8.25" style="9" bestFit="1" customWidth="1"/>
    <col min="20" max="16384" width="7.75" style="9"/>
  </cols>
  <sheetData>
    <row r="1" spans="3:20" ht="12.75" thickBot="1" x14ac:dyDescent="0.25"/>
    <row r="2" spans="3:20" ht="12.75" thickBot="1" x14ac:dyDescent="0.25">
      <c r="C2" s="125" t="str">
        <f>"Financial Statement Model for "&amp;D5</f>
        <v>Financial Statement Model for Intel</v>
      </c>
      <c r="D2" s="126"/>
      <c r="E2" s="126"/>
      <c r="F2" s="126"/>
      <c r="G2" s="126"/>
      <c r="H2" s="126"/>
      <c r="I2" s="126"/>
      <c r="J2" s="126"/>
      <c r="K2" s="126"/>
      <c r="L2" s="126"/>
    </row>
    <row r="3" spans="3:20" x14ac:dyDescent="0.2">
      <c r="C3" s="127" t="s">
        <v>231</v>
      </c>
      <c r="D3" s="128"/>
      <c r="E3" s="128"/>
      <c r="F3" s="128"/>
      <c r="G3" s="128"/>
      <c r="H3" s="128"/>
    </row>
    <row r="5" spans="3:20" x14ac:dyDescent="0.2">
      <c r="C5" s="129" t="s">
        <v>232</v>
      </c>
      <c r="D5" s="130" t="s">
        <v>394</v>
      </c>
      <c r="I5" s="9" t="s">
        <v>233</v>
      </c>
      <c r="L5" s="131" t="s">
        <v>234</v>
      </c>
    </row>
    <row r="6" spans="3:20" x14ac:dyDescent="0.2">
      <c r="C6" s="129" t="s">
        <v>235</v>
      </c>
      <c r="D6" s="130" t="s">
        <v>395</v>
      </c>
    </row>
    <row r="7" spans="3:20" x14ac:dyDescent="0.2">
      <c r="C7" s="9" t="s">
        <v>236</v>
      </c>
      <c r="D7" s="131">
        <v>1</v>
      </c>
    </row>
    <row r="8" spans="3:20" x14ac:dyDescent="0.2">
      <c r="C8" s="9" t="s">
        <v>237</v>
      </c>
      <c r="D8" s="132">
        <v>293.64999999999998</v>
      </c>
    </row>
    <row r="9" spans="3:20" x14ac:dyDescent="0.2">
      <c r="C9" s="9" t="s">
        <v>238</v>
      </c>
      <c r="D9" s="133">
        <f ca="1">NOW()</f>
        <v>45956.565051967591</v>
      </c>
    </row>
    <row r="10" spans="3:20" x14ac:dyDescent="0.2">
      <c r="C10" s="129" t="s">
        <v>239</v>
      </c>
      <c r="D10" s="134">
        <f>'Base Financials'!G4</f>
        <v>45654</v>
      </c>
    </row>
    <row r="11" spans="3:20" ht="15" customHeight="1" x14ac:dyDescent="0.2">
      <c r="C11" s="9" t="s">
        <v>240</v>
      </c>
      <c r="D11" s="215">
        <f>4377*1000</f>
        <v>4377000</v>
      </c>
    </row>
    <row r="13" spans="3:20" x14ac:dyDescent="0.2">
      <c r="C13" s="135" t="s">
        <v>241</v>
      </c>
      <c r="D13" s="136"/>
      <c r="E13" s="136"/>
      <c r="F13" s="136"/>
      <c r="G13" s="136"/>
      <c r="H13" s="136"/>
      <c r="I13" s="136"/>
      <c r="J13" s="136"/>
      <c r="K13" s="136"/>
      <c r="L13" s="136"/>
    </row>
    <row r="14" spans="3:20" x14ac:dyDescent="0.2">
      <c r="C14" s="9" t="s">
        <v>242</v>
      </c>
      <c r="D14" s="137">
        <f>E14-1</f>
        <v>2021</v>
      </c>
      <c r="E14" s="137">
        <f>F14-1</f>
        <v>2022</v>
      </c>
      <c r="F14" s="137">
        <f>G14-1</f>
        <v>2023</v>
      </c>
      <c r="G14" s="137">
        <f>YEAR(D10)</f>
        <v>2024</v>
      </c>
      <c r="H14" s="138">
        <f>G14+1</f>
        <v>2025</v>
      </c>
      <c r="I14" s="138">
        <f>H14+1</f>
        <v>2026</v>
      </c>
      <c r="J14" s="138">
        <f>I14+1</f>
        <v>2027</v>
      </c>
      <c r="K14" s="138">
        <f>J14+1</f>
        <v>2028</v>
      </c>
      <c r="L14" s="138">
        <f>K14+1</f>
        <v>2029</v>
      </c>
    </row>
    <row r="15" spans="3:20" x14ac:dyDescent="0.2">
      <c r="C15" s="139" t="s">
        <v>243</v>
      </c>
      <c r="D15" s="140">
        <f>EOMONTH(E15,-12)</f>
        <v>44561</v>
      </c>
      <c r="E15" s="140">
        <f>EOMONTH(F15,-12)</f>
        <v>44926</v>
      </c>
      <c r="F15" s="140">
        <f>EOMONTH(G15,-12)</f>
        <v>45291</v>
      </c>
      <c r="G15" s="140">
        <f>D10</f>
        <v>45654</v>
      </c>
      <c r="H15" s="140">
        <f>EOMONTH(G15,12)</f>
        <v>46022</v>
      </c>
      <c r="I15" s="140">
        <f>EOMONTH(H15,12)</f>
        <v>46387</v>
      </c>
      <c r="J15" s="140">
        <f>EOMONTH(I15,12)</f>
        <v>46752</v>
      </c>
      <c r="K15" s="140">
        <f>EOMONTH(J15,12)</f>
        <v>47118</v>
      </c>
      <c r="L15" s="140">
        <f>EOMONTH(K15,12)</f>
        <v>47483</v>
      </c>
      <c r="N15" s="40" t="s">
        <v>428</v>
      </c>
      <c r="O15" s="141"/>
      <c r="P15" s="141"/>
      <c r="Q15" s="141"/>
      <c r="R15" s="141"/>
      <c r="S15" s="141"/>
      <c r="T15" s="141"/>
    </row>
    <row r="16" spans="3:20" ht="5.0999999999999996" customHeight="1" x14ac:dyDescent="0.2">
      <c r="C16" s="142"/>
      <c r="D16" s="142"/>
      <c r="E16" s="143"/>
      <c r="F16" s="144"/>
      <c r="G16" s="144"/>
      <c r="H16" s="145"/>
      <c r="I16" s="146"/>
      <c r="J16" s="146"/>
      <c r="K16" s="144"/>
      <c r="L16" s="144"/>
    </row>
    <row r="17" spans="3:15" x14ac:dyDescent="0.2">
      <c r="C17" s="9" t="s">
        <v>52</v>
      </c>
      <c r="D17" s="216">
        <f>'Base Financials'!D8</f>
        <v>79024</v>
      </c>
      <c r="E17" s="216">
        <f>'Base Financials'!E8</f>
        <v>63054</v>
      </c>
      <c r="F17" s="216">
        <f>'Base Financials'!F8</f>
        <v>54228</v>
      </c>
      <c r="G17" s="216">
        <f>'Base Financials'!G8</f>
        <v>53101</v>
      </c>
      <c r="H17" s="148">
        <f>G17*(1+H37)</f>
        <v>52038.979999999996</v>
      </c>
      <c r="I17" s="148">
        <f>H17*(1+I37)</f>
        <v>53652.188379999992</v>
      </c>
      <c r="J17" s="148">
        <f>I17*(1+J37)</f>
        <v>56012.884668719991</v>
      </c>
      <c r="K17" s="148">
        <f>J17*(1+K37)</f>
        <v>58813.528902155995</v>
      </c>
      <c r="L17" s="148">
        <f>K17*(1+L37)</f>
        <v>61401.324173850859</v>
      </c>
      <c r="N17" s="9" t="s">
        <v>402</v>
      </c>
    </row>
    <row r="18" spans="3:15" x14ac:dyDescent="0.2">
      <c r="C18" s="35" t="s">
        <v>396</v>
      </c>
      <c r="D18" s="216">
        <f>'Base Financials'!C11</f>
        <v>-34255</v>
      </c>
      <c r="E18" s="216">
        <f>'Base Financials'!D11</f>
        <v>-35209</v>
      </c>
      <c r="F18" s="216">
        <f>'Base Financials'!E11</f>
        <v>-36188</v>
      </c>
      <c r="G18" s="216">
        <f>'Base Financials'!F11</f>
        <v>-32517</v>
      </c>
      <c r="H18" s="148">
        <f>H19-H17</f>
        <v>-33334.744582603991</v>
      </c>
      <c r="I18" s="148">
        <f>I19-I17</f>
        <v>-33413.32329054625</v>
      </c>
      <c r="J18" s="148">
        <f>J19-J17</f>
        <v>-32691.279274043674</v>
      </c>
      <c r="K18" s="148">
        <f>K19-K17</f>
        <v>-34325.843237745859</v>
      </c>
      <c r="L18" s="148">
        <f>L19-L17</f>
        <v>-35836.180340206673</v>
      </c>
      <c r="N18" s="9" t="s">
        <v>244</v>
      </c>
    </row>
    <row r="19" spans="3:15" x14ac:dyDescent="0.2">
      <c r="C19" s="43" t="s">
        <v>51</v>
      </c>
      <c r="D19" s="225">
        <f>SUM(D17:D18)</f>
        <v>44769</v>
      </c>
      <c r="E19" s="225">
        <f>SUM(E17:E18)</f>
        <v>27845</v>
      </c>
      <c r="F19" s="225">
        <f>SUM(F17:F18)</f>
        <v>18040</v>
      </c>
      <c r="G19" s="225">
        <f>SUM(G17:G18)</f>
        <v>20584</v>
      </c>
      <c r="H19" s="225">
        <f>H17*H38</f>
        <v>18704.235417396005</v>
      </c>
      <c r="I19" s="225">
        <f>I17*I38</f>
        <v>20238.865089453742</v>
      </c>
      <c r="J19" s="225">
        <f>J17*J38</f>
        <v>23321.605394676317</v>
      </c>
      <c r="K19" s="225">
        <f>K17*K38</f>
        <v>24487.685664410135</v>
      </c>
      <c r="L19" s="225">
        <f>L17*L38</f>
        <v>25565.143833644182</v>
      </c>
      <c r="N19" s="35" t="s">
        <v>245</v>
      </c>
    </row>
    <row r="20" spans="3:15" x14ac:dyDescent="0.2">
      <c r="C20" s="35" t="s">
        <v>397</v>
      </c>
      <c r="D20" s="216">
        <f>'Base Financials'!D16</f>
        <v>-15190</v>
      </c>
      <c r="E20" s="216">
        <f>'Base Financials'!E16</f>
        <v>-17528</v>
      </c>
      <c r="F20" s="216">
        <f>'Base Financials'!F16</f>
        <v>-16046</v>
      </c>
      <c r="G20" s="216">
        <f>'Base Financials'!G16</f>
        <v>-16546</v>
      </c>
      <c r="H20" s="148">
        <f>-H39*H17</f>
        <v>-13826.648065591255</v>
      </c>
      <c r="I20" s="148">
        <f>-I39*I17</f>
        <v>-13168.533908018024</v>
      </c>
      <c r="J20" s="148">
        <f>-J39*J17</f>
        <v>-13210.93202336132</v>
      </c>
      <c r="K20" s="148">
        <f>-K39*K17</f>
        <v>-13871.478624529387</v>
      </c>
      <c r="L20" s="148">
        <f>-L39*L17</f>
        <v>-14481.823684008679</v>
      </c>
      <c r="N20" s="9" t="s">
        <v>402</v>
      </c>
    </row>
    <row r="21" spans="3:15" x14ac:dyDescent="0.2">
      <c r="C21" s="35" t="s">
        <v>206</v>
      </c>
      <c r="D21" s="216">
        <f>'Base Financials'!D15</f>
        <v>-6543</v>
      </c>
      <c r="E21" s="216">
        <f>'Base Financials'!E15</f>
        <v>-7002</v>
      </c>
      <c r="F21" s="216">
        <f>'Base Financials'!F15</f>
        <v>-5634</v>
      </c>
      <c r="G21" s="216">
        <f>'Base Financials'!G15</f>
        <v>-5507</v>
      </c>
      <c r="H21" s="148">
        <f>-H17*H40</f>
        <v>-4627.3829702706307</v>
      </c>
      <c r="I21" s="148">
        <f>-I17*I40</f>
        <v>-4772.3424863432019</v>
      </c>
      <c r="J21" s="148">
        <f>-J17*J40</f>
        <v>-4880.1244354324135</v>
      </c>
      <c r="K21" s="148">
        <f>-K17*K40</f>
        <v>-5124.1306572040348</v>
      </c>
      <c r="L21" s="148">
        <f>-L17*L40</f>
        <v>-5349.5924061210117</v>
      </c>
      <c r="N21" s="9" t="s">
        <v>402</v>
      </c>
    </row>
    <row r="22" spans="3:15" x14ac:dyDescent="0.2">
      <c r="C22" s="35" t="s">
        <v>208</v>
      </c>
      <c r="D22" s="216">
        <f>'Base Financials'!D17</f>
        <v>-2626</v>
      </c>
      <c r="E22" s="216">
        <f>'Base Financials'!E17</f>
        <v>-2</v>
      </c>
      <c r="F22" s="216">
        <f>'Base Financials'!F17</f>
        <v>62</v>
      </c>
      <c r="G22" s="216">
        <f>'Base Financials'!G17</f>
        <v>-6970</v>
      </c>
      <c r="H22" s="148">
        <f>AVERAGE(D22:G22)</f>
        <v>-2384</v>
      </c>
      <c r="I22" s="148">
        <f>H22</f>
        <v>-2384</v>
      </c>
      <c r="J22" s="148">
        <f t="shared" ref="J22:L22" si="0">I22</f>
        <v>-2384</v>
      </c>
      <c r="K22" s="148">
        <f t="shared" si="0"/>
        <v>-2384</v>
      </c>
      <c r="L22" s="148">
        <f t="shared" si="0"/>
        <v>-2384</v>
      </c>
      <c r="N22" s="35" t="s">
        <v>429</v>
      </c>
    </row>
    <row r="23" spans="3:15" x14ac:dyDescent="0.2">
      <c r="C23" s="43" t="s">
        <v>246</v>
      </c>
      <c r="D23" s="225">
        <f>D19+D20+D21+D22</f>
        <v>20410</v>
      </c>
      <c r="E23" s="225">
        <f t="shared" ref="E23:L23" si="1">E19+E20+E21+E22</f>
        <v>3313</v>
      </c>
      <c r="F23" s="225">
        <f t="shared" si="1"/>
        <v>-3578</v>
      </c>
      <c r="G23" s="225">
        <f t="shared" si="1"/>
        <v>-8439</v>
      </c>
      <c r="H23" s="225">
        <f t="shared" si="1"/>
        <v>-2133.7956184658806</v>
      </c>
      <c r="I23" s="225">
        <f t="shared" si="1"/>
        <v>-86.011304907483463</v>
      </c>
      <c r="J23" s="225">
        <f t="shared" si="1"/>
        <v>2846.5489358825835</v>
      </c>
      <c r="K23" s="225">
        <f t="shared" si="1"/>
        <v>3108.0763826767134</v>
      </c>
      <c r="L23" s="225">
        <f t="shared" si="1"/>
        <v>3349.7277435144915</v>
      </c>
      <c r="N23" s="43" t="s">
        <v>247</v>
      </c>
    </row>
    <row r="24" spans="3:15" x14ac:dyDescent="0.2">
      <c r="C24" s="35" t="s">
        <v>400</v>
      </c>
      <c r="D24" s="216">
        <v>144</v>
      </c>
      <c r="E24" s="216">
        <v>589</v>
      </c>
      <c r="F24" s="216">
        <v>1335</v>
      </c>
      <c r="G24" s="216">
        <v>1245</v>
      </c>
      <c r="H24" s="79">
        <f>H169</f>
        <v>0</v>
      </c>
      <c r="I24" s="79">
        <f t="shared" ref="I24:L24" si="2">I169</f>
        <v>0</v>
      </c>
      <c r="J24" s="79">
        <f t="shared" si="2"/>
        <v>0</v>
      </c>
      <c r="K24" s="79">
        <f t="shared" si="2"/>
        <v>0</v>
      </c>
      <c r="L24" s="79">
        <f t="shared" si="2"/>
        <v>0</v>
      </c>
      <c r="N24" s="9" t="s">
        <v>249</v>
      </c>
    </row>
    <row r="25" spans="3:15" x14ac:dyDescent="0.2">
      <c r="C25" s="35" t="s">
        <v>398</v>
      </c>
      <c r="D25" s="216">
        <v>-597</v>
      </c>
      <c r="E25" s="216">
        <v>-496</v>
      </c>
      <c r="F25" s="216">
        <v>-878</v>
      </c>
      <c r="G25" s="216">
        <v>-1034</v>
      </c>
      <c r="H25" s="79" t="e">
        <f>-H155</f>
        <v>#REF!</v>
      </c>
      <c r="I25" s="79" t="e">
        <f t="shared" ref="I25:L25" si="3">-I155</f>
        <v>#REF!</v>
      </c>
      <c r="J25" s="79" t="e">
        <f t="shared" si="3"/>
        <v>#REF!</v>
      </c>
      <c r="K25" s="79" t="e">
        <f t="shared" si="3"/>
        <v>#REF!</v>
      </c>
      <c r="L25" s="79" t="e">
        <f t="shared" si="3"/>
        <v>#REF!</v>
      </c>
      <c r="N25" s="9" t="s">
        <v>250</v>
      </c>
    </row>
    <row r="26" spans="3:15" x14ac:dyDescent="0.2">
      <c r="C26" s="35" t="s">
        <v>399</v>
      </c>
      <c r="D26" s="216">
        <v>-29</v>
      </c>
      <c r="E26" s="216">
        <v>1073</v>
      </c>
      <c r="F26" s="216">
        <v>172</v>
      </c>
      <c r="G26" s="216">
        <v>15</v>
      </c>
      <c r="H26" s="79">
        <f>G26</f>
        <v>15</v>
      </c>
      <c r="I26" s="79">
        <f>H26</f>
        <v>15</v>
      </c>
      <c r="J26" s="79">
        <f>I26</f>
        <v>15</v>
      </c>
      <c r="K26" s="79">
        <f>J26</f>
        <v>15</v>
      </c>
      <c r="L26" s="79">
        <f>K26</f>
        <v>15</v>
      </c>
      <c r="N26" s="9" t="s">
        <v>251</v>
      </c>
    </row>
    <row r="27" spans="3:15" x14ac:dyDescent="0.2">
      <c r="C27" s="43" t="s">
        <v>252</v>
      </c>
      <c r="D27" s="225">
        <f t="shared" ref="D27" si="4">SUM(D23:D26)</f>
        <v>19928</v>
      </c>
      <c r="E27" s="225">
        <f>SUM(E23:E26)</f>
        <v>4479</v>
      </c>
      <c r="F27" s="225">
        <f>SUM(F23:F26)</f>
        <v>-2949</v>
      </c>
      <c r="G27" s="225">
        <f>SUM(G23:G26)</f>
        <v>-8213</v>
      </c>
      <c r="H27" s="225" t="e">
        <f>SUM(H23:H26)</f>
        <v>#REF!</v>
      </c>
      <c r="I27" s="225" t="e">
        <f>SUM(I23:I26)</f>
        <v>#REF!</v>
      </c>
      <c r="J27" s="225" t="e">
        <f t="shared" ref="J27:L27" si="5">SUM(J23:J26)</f>
        <v>#REF!</v>
      </c>
      <c r="K27" s="225" t="e">
        <f t="shared" si="5"/>
        <v>#REF!</v>
      </c>
      <c r="L27" s="225" t="e">
        <f t="shared" si="5"/>
        <v>#REF!</v>
      </c>
      <c r="N27" s="43" t="s">
        <v>253</v>
      </c>
      <c r="O27" s="43"/>
    </row>
    <row r="28" spans="3:15" x14ac:dyDescent="0.2">
      <c r="C28" s="35" t="s">
        <v>401</v>
      </c>
      <c r="D28" s="216">
        <f>'Base Financials'!D26</f>
        <v>-1835</v>
      </c>
      <c r="E28" s="216">
        <f>'Base Financials'!E26</f>
        <v>249</v>
      </c>
      <c r="F28" s="216">
        <f>'Base Financials'!F26</f>
        <v>913</v>
      </c>
      <c r="G28" s="216">
        <f>'Base Financials'!G26</f>
        <v>-8023</v>
      </c>
      <c r="H28" s="148" t="e">
        <f>-H41*H27</f>
        <v>#REF!</v>
      </c>
      <c r="I28" s="148" t="e">
        <f>-I41*I27</f>
        <v>#REF!</v>
      </c>
      <c r="J28" s="148" t="e">
        <f>-J41*J27</f>
        <v>#REF!</v>
      </c>
      <c r="K28" s="148" t="e">
        <f>-K41*K27</f>
        <v>#REF!</v>
      </c>
      <c r="L28" s="148" t="e">
        <f>-L41*L27</f>
        <v>#REF!</v>
      </c>
      <c r="N28" s="9" t="s">
        <v>402</v>
      </c>
    </row>
    <row r="29" spans="3:15" x14ac:dyDescent="0.2">
      <c r="C29" s="43" t="s">
        <v>22</v>
      </c>
      <c r="D29" s="225">
        <f t="shared" ref="D29:L29" si="6">SUM(D27:D28)</f>
        <v>18093</v>
      </c>
      <c r="E29" s="225">
        <f t="shared" si="6"/>
        <v>4728</v>
      </c>
      <c r="F29" s="225">
        <f t="shared" si="6"/>
        <v>-2036</v>
      </c>
      <c r="G29" s="225">
        <f t="shared" si="6"/>
        <v>-16236</v>
      </c>
      <c r="H29" s="225" t="e">
        <f t="shared" si="6"/>
        <v>#REF!</v>
      </c>
      <c r="I29" s="225" t="e">
        <f t="shared" si="6"/>
        <v>#REF!</v>
      </c>
      <c r="J29" s="225" t="e">
        <f t="shared" si="6"/>
        <v>#REF!</v>
      </c>
      <c r="K29" s="225" t="e">
        <f t="shared" si="6"/>
        <v>#REF!</v>
      </c>
      <c r="L29" s="225" t="e">
        <f t="shared" si="6"/>
        <v>#REF!</v>
      </c>
      <c r="N29" s="43" t="s">
        <v>254</v>
      </c>
    </row>
    <row r="30" spans="3:15" x14ac:dyDescent="0.2">
      <c r="C30" s="73"/>
      <c r="D30" s="79"/>
      <c r="E30" s="79"/>
      <c r="F30" s="79"/>
      <c r="G30" s="79"/>
      <c r="H30" s="79"/>
      <c r="I30" s="79"/>
      <c r="J30" s="79"/>
      <c r="K30" s="79"/>
      <c r="L30" s="79"/>
    </row>
    <row r="31" spans="3:15" x14ac:dyDescent="0.2">
      <c r="C31" s="150" t="s">
        <v>255</v>
      </c>
      <c r="D31" s="216">
        <f>'Base Financials'!D85+'Base Financials'!D92</f>
        <v>11792</v>
      </c>
      <c r="E31" s="216">
        <f>'Base Financials'!E85+'Base Financials'!E92</f>
        <v>13035</v>
      </c>
      <c r="F31" s="216">
        <f>'Base Financials'!F85+'Base Financials'!F92</f>
        <v>9602</v>
      </c>
      <c r="G31" s="216">
        <f>'Base Financials'!G85+'Base Financials'!G92</f>
        <v>11379</v>
      </c>
      <c r="H31" s="79">
        <f>H119</f>
        <v>11151.419999999998</v>
      </c>
      <c r="I31" s="79">
        <f>I119</f>
        <v>11737.114019999997</v>
      </c>
      <c r="J31" s="79">
        <f>J119</f>
        <v>12482.987036879998</v>
      </c>
      <c r="K31" s="79">
        <f>K119</f>
        <v>13323.136388723999</v>
      </c>
      <c r="L31" s="79">
        <f>L119</f>
        <v>14117.674389827855</v>
      </c>
      <c r="N31" s="9" t="s">
        <v>256</v>
      </c>
    </row>
    <row r="32" spans="3:15" x14ac:dyDescent="0.2">
      <c r="C32" s="151" t="s">
        <v>11</v>
      </c>
      <c r="D32" s="225">
        <f t="shared" ref="D32" si="7">D23+D31</f>
        <v>32202</v>
      </c>
      <c r="E32" s="225">
        <f>E23+E31</f>
        <v>16348</v>
      </c>
      <c r="F32" s="225">
        <f>F23+F31</f>
        <v>6024</v>
      </c>
      <c r="G32" s="225">
        <f>G23+G31</f>
        <v>2940</v>
      </c>
      <c r="H32" s="225">
        <f t="shared" ref="H32:L32" si="8">H23+H31</f>
        <v>9017.6243815341186</v>
      </c>
      <c r="I32" s="225">
        <f t="shared" si="8"/>
        <v>11651.102715092515</v>
      </c>
      <c r="J32" s="225">
        <f t="shared" si="8"/>
        <v>15329.535972762582</v>
      </c>
      <c r="K32" s="225">
        <f t="shared" si="8"/>
        <v>16431.212771400711</v>
      </c>
      <c r="L32" s="225">
        <f t="shared" si="8"/>
        <v>17467.402133342344</v>
      </c>
      <c r="N32" s="43" t="s">
        <v>257</v>
      </c>
    </row>
    <row r="33" spans="3:21" x14ac:dyDescent="0.2">
      <c r="C33" s="150" t="s">
        <v>258</v>
      </c>
      <c r="D33" s="216">
        <f>'Base Financials'!D88</f>
        <v>2036</v>
      </c>
      <c r="E33" s="216">
        <f>'Base Financials'!E88</f>
        <v>3128</v>
      </c>
      <c r="F33" s="216">
        <f>'Base Financials'!F88</f>
        <v>3229</v>
      </c>
      <c r="G33" s="216">
        <f>'Base Financials'!G88</f>
        <v>3410</v>
      </c>
      <c r="H33" s="79">
        <f>G33*(1+H37)</f>
        <v>3341.7999999999997</v>
      </c>
      <c r="I33" s="79">
        <f>H33*(1+I37)</f>
        <v>3445.3957999999993</v>
      </c>
      <c r="J33" s="79">
        <f>I33*(1+J37)</f>
        <v>3596.9932151999992</v>
      </c>
      <c r="K33" s="79">
        <f>J33*(1+K37)</f>
        <v>3776.8428759599992</v>
      </c>
      <c r="L33" s="79">
        <f>K33*(1+L37)</f>
        <v>3943.0239625022396</v>
      </c>
      <c r="N33" s="9" t="s">
        <v>259</v>
      </c>
    </row>
    <row r="34" spans="3:21" x14ac:dyDescent="0.2">
      <c r="C34" s="151" t="s">
        <v>12</v>
      </c>
      <c r="D34" s="225">
        <f t="shared" ref="D34" si="9">SUM(D32:D33)</f>
        <v>34238</v>
      </c>
      <c r="E34" s="225">
        <f>SUM(E32:E33)</f>
        <v>19476</v>
      </c>
      <c r="F34" s="225">
        <f>SUM(F32:F33)</f>
        <v>9253</v>
      </c>
      <c r="G34" s="225">
        <f>SUM(G32:G33)</f>
        <v>6350</v>
      </c>
      <c r="H34" s="225">
        <f t="shared" ref="H34:L34" si="10">SUM(H32:H33)</f>
        <v>12359.424381534118</v>
      </c>
      <c r="I34" s="225">
        <f t="shared" si="10"/>
        <v>15096.498515092513</v>
      </c>
      <c r="J34" s="225">
        <f t="shared" si="10"/>
        <v>18926.52918796258</v>
      </c>
      <c r="K34" s="225">
        <f t="shared" si="10"/>
        <v>20208.05564736071</v>
      </c>
      <c r="L34" s="225">
        <f t="shared" si="10"/>
        <v>21410.426095844585</v>
      </c>
      <c r="N34" s="43" t="s">
        <v>260</v>
      </c>
    </row>
    <row r="35" spans="3:21" x14ac:dyDescent="0.2">
      <c r="C35" s="73"/>
      <c r="H35" s="152"/>
    </row>
    <row r="36" spans="3:21" x14ac:dyDescent="0.2">
      <c r="C36" s="218" t="s">
        <v>261</v>
      </c>
      <c r="D36" s="219"/>
      <c r="E36" s="219"/>
      <c r="F36" s="219"/>
      <c r="G36" s="219"/>
      <c r="H36" s="219"/>
      <c r="I36" s="219"/>
      <c r="J36" s="219"/>
      <c r="K36" s="219"/>
      <c r="L36" s="220"/>
    </row>
    <row r="37" spans="3:21" x14ac:dyDescent="0.2">
      <c r="C37" s="221" t="s">
        <v>262</v>
      </c>
      <c r="D37" s="222"/>
      <c r="E37" s="222">
        <f>E17/D17-1</f>
        <v>-0.20209050415063778</v>
      </c>
      <c r="F37" s="222">
        <f>F17/E17-1</f>
        <v>-0.13997525930155108</v>
      </c>
      <c r="G37" s="222">
        <f>G17/F17-1</f>
        <v>-2.0782621523935951E-2</v>
      </c>
      <c r="H37" s="275">
        <f>'Street Consensus'!C21</f>
        <v>-0.02</v>
      </c>
      <c r="I37" s="275">
        <f>'Street Consensus'!D21</f>
        <v>3.1E-2</v>
      </c>
      <c r="J37" s="275">
        <f>'Street Consensus'!E21</f>
        <v>4.3999999999999997E-2</v>
      </c>
      <c r="K37" s="275">
        <f>'Street Consensus'!F21</f>
        <v>0.05</v>
      </c>
      <c r="L37" s="275">
        <f>'Street Consensus'!G21</f>
        <v>4.3999999999999997E-2</v>
      </c>
      <c r="N37" s="9" t="s">
        <v>263</v>
      </c>
      <c r="P37" s="155"/>
      <c r="Q37" s="155"/>
      <c r="R37" s="155"/>
      <c r="S37" s="155"/>
      <c r="T37" s="155"/>
      <c r="U37" s="155"/>
    </row>
    <row r="38" spans="3:21" x14ac:dyDescent="0.2">
      <c r="C38" s="221" t="s">
        <v>264</v>
      </c>
      <c r="D38" s="222">
        <f>D19/D17</f>
        <v>0.56652409394614289</v>
      </c>
      <c r="E38" s="222">
        <f>E19/E17</f>
        <v>0.44160560789164843</v>
      </c>
      <c r="F38" s="222">
        <f>F19/F17</f>
        <v>0.33266946964667699</v>
      </c>
      <c r="G38" s="222">
        <f>G19/G17</f>
        <v>0.38763865087286492</v>
      </c>
      <c r="H38" s="275">
        <f>'Street Consensus'!C38</f>
        <v>0.35942740263925244</v>
      </c>
      <c r="I38" s="275">
        <f>'Street Consensus'!D38</f>
        <v>0.37722347774724163</v>
      </c>
      <c r="J38" s="275">
        <f>'Street Consensus'!E38</f>
        <v>0.41636144134708541</v>
      </c>
      <c r="K38" s="275">
        <f>'Street Consensus'!F38</f>
        <v>0.41636144134708541</v>
      </c>
      <c r="L38" s="275">
        <f>'Street Consensus'!G38</f>
        <v>0.41636144134708541</v>
      </c>
      <c r="N38" s="9" t="s">
        <v>265</v>
      </c>
      <c r="P38" s="155"/>
      <c r="Q38" s="155"/>
      <c r="R38" s="155"/>
      <c r="S38" s="155"/>
      <c r="T38" s="155"/>
      <c r="U38" s="155"/>
    </row>
    <row r="39" spans="3:21" x14ac:dyDescent="0.2">
      <c r="C39" s="221" t="s">
        <v>266</v>
      </c>
      <c r="D39" s="222">
        <f>-D20/D17</f>
        <v>0.19222008503745697</v>
      </c>
      <c r="E39" s="222">
        <f>-E20/E17</f>
        <v>0.27798395026485234</v>
      </c>
      <c r="F39" s="222">
        <f>-F20/F17</f>
        <v>0.29589879766910082</v>
      </c>
      <c r="G39" s="222">
        <f>-G20/G17</f>
        <v>0.31159488521873413</v>
      </c>
      <c r="H39" s="275">
        <f>'Street Consensus'!C44</f>
        <v>0.26569790694574058</v>
      </c>
      <c r="I39" s="275">
        <f>'Street Consensus'!D44</f>
        <v>0.24544262416194151</v>
      </c>
      <c r="J39" s="275">
        <f>'Street Consensus'!E44</f>
        <v>0.23585523405008407</v>
      </c>
      <c r="K39" s="275">
        <f>'Street Consensus'!F44</f>
        <v>0.23585523405008407</v>
      </c>
      <c r="L39" s="275">
        <f>'Street Consensus'!G44</f>
        <v>0.23585523405008407</v>
      </c>
      <c r="N39" s="9" t="s">
        <v>265</v>
      </c>
      <c r="P39" s="155"/>
      <c r="Q39" s="155"/>
      <c r="R39" s="155"/>
      <c r="S39" s="155"/>
      <c r="T39" s="155"/>
      <c r="U39" s="155"/>
    </row>
    <row r="40" spans="3:21" x14ac:dyDescent="0.2">
      <c r="C40" s="221" t="s">
        <v>267</v>
      </c>
      <c r="D40" s="222">
        <f>-D21/D17</f>
        <v>8.2797631099412836E-2</v>
      </c>
      <c r="E40" s="222">
        <f>-E21/E17</f>
        <v>0.11104767342278048</v>
      </c>
      <c r="F40" s="222">
        <f>-F21/F17</f>
        <v>0.10389466696171719</v>
      </c>
      <c r="G40" s="222">
        <f>-G21/G17</f>
        <v>0.10370802809739929</v>
      </c>
      <c r="H40" s="275">
        <f>'Street Consensus'!C50</f>
        <v>8.8921477136381821E-2</v>
      </c>
      <c r="I40" s="275">
        <f>'Street Consensus'!D50</f>
        <v>8.894963337827605E-2</v>
      </c>
      <c r="J40" s="275">
        <f>'Street Consensus'!E50</f>
        <v>8.7125033182904169E-2</v>
      </c>
      <c r="K40" s="275">
        <f>'Street Consensus'!F50</f>
        <v>8.7125033182904169E-2</v>
      </c>
      <c r="L40" s="275">
        <f>'Street Consensus'!G50</f>
        <v>8.7125033182904169E-2</v>
      </c>
      <c r="N40" s="9" t="s">
        <v>265</v>
      </c>
      <c r="P40" s="155"/>
      <c r="Q40" s="155"/>
      <c r="R40" s="155"/>
      <c r="S40" s="155"/>
      <c r="T40" s="155"/>
      <c r="U40" s="155"/>
    </row>
    <row r="41" spans="3:21" x14ac:dyDescent="0.2">
      <c r="C41" s="223" t="s">
        <v>268</v>
      </c>
      <c r="D41" s="224">
        <f>-(D28/D27)</f>
        <v>9.208149337615415E-2</v>
      </c>
      <c r="E41" s="224">
        <f>-(E28/E27)</f>
        <v>-5.5592766242464835E-2</v>
      </c>
      <c r="F41" s="224">
        <f>-(F28/F27)</f>
        <v>0.30959647338080704</v>
      </c>
      <c r="G41" s="224">
        <f>-(G28/G27)</f>
        <v>-0.97686594423474982</v>
      </c>
      <c r="H41" s="275">
        <f>'Street Consensus'!C55</f>
        <v>0.12</v>
      </c>
      <c r="I41" s="275">
        <f>'Street Consensus'!D55</f>
        <v>0.12</v>
      </c>
      <c r="J41" s="275">
        <f>'Street Consensus'!E55</f>
        <v>0.12</v>
      </c>
      <c r="K41" s="275">
        <f>'Street Consensus'!F55</f>
        <v>0.12</v>
      </c>
      <c r="L41" s="275">
        <f>'Street Consensus'!G55</f>
        <v>0.12</v>
      </c>
      <c r="N41" s="9" t="s">
        <v>265</v>
      </c>
      <c r="P41" s="155"/>
      <c r="Q41" s="155"/>
      <c r="R41" s="155"/>
      <c r="S41" s="155"/>
      <c r="T41" s="155"/>
      <c r="U41" s="155"/>
    </row>
    <row r="42" spans="3:21" x14ac:dyDescent="0.2">
      <c r="C42" s="73"/>
      <c r="D42" s="73"/>
      <c r="H42" s="152"/>
    </row>
    <row r="43" spans="3:21" x14ac:dyDescent="0.2">
      <c r="C43" s="135" t="s">
        <v>269</v>
      </c>
      <c r="D43" s="135"/>
      <c r="E43" s="156"/>
      <c r="F43" s="156"/>
      <c r="G43" s="156"/>
      <c r="H43" s="136"/>
      <c r="I43" s="136"/>
      <c r="J43" s="136"/>
      <c r="K43" s="136"/>
      <c r="L43" s="136"/>
    </row>
    <row r="44" spans="3:21" x14ac:dyDescent="0.2">
      <c r="C44" s="157" t="str">
        <f>C14</f>
        <v xml:space="preserve">Fiscal year  </v>
      </c>
      <c r="D44" s="158">
        <f>D14</f>
        <v>2021</v>
      </c>
      <c r="E44" s="158">
        <f>E14</f>
        <v>2022</v>
      </c>
      <c r="F44" s="158">
        <f>F14</f>
        <v>2023</v>
      </c>
      <c r="G44" s="158">
        <f>G14</f>
        <v>2024</v>
      </c>
      <c r="H44" s="159">
        <f>H14</f>
        <v>2025</v>
      </c>
      <c r="I44" s="159">
        <f>I14</f>
        <v>2026</v>
      </c>
      <c r="J44" s="159">
        <f>J14</f>
        <v>2027</v>
      </c>
      <c r="K44" s="159">
        <f>K14</f>
        <v>2028</v>
      </c>
      <c r="L44" s="159">
        <f>L14</f>
        <v>2029</v>
      </c>
    </row>
    <row r="45" spans="3:21" x14ac:dyDescent="0.2">
      <c r="C45" s="136" t="str">
        <f>C15</f>
        <v>Fiscal year end date</v>
      </c>
      <c r="D45" s="160">
        <f>D15</f>
        <v>44561</v>
      </c>
      <c r="E45" s="160">
        <f>E15</f>
        <v>44926</v>
      </c>
      <c r="F45" s="160">
        <f>F15</f>
        <v>45291</v>
      </c>
      <c r="G45" s="160">
        <f>G15</f>
        <v>45654</v>
      </c>
      <c r="H45" s="160">
        <f>H15</f>
        <v>46022</v>
      </c>
      <c r="I45" s="160">
        <f>I15</f>
        <v>46387</v>
      </c>
      <c r="J45" s="160">
        <f>J15</f>
        <v>46752</v>
      </c>
      <c r="K45" s="160">
        <f>K15</f>
        <v>47118</v>
      </c>
      <c r="L45" s="160">
        <f>L15</f>
        <v>47483</v>
      </c>
    </row>
    <row r="46" spans="3:21" x14ac:dyDescent="0.2">
      <c r="C46" s="217"/>
      <c r="D46" s="284"/>
      <c r="E46" s="284"/>
      <c r="F46" s="284"/>
      <c r="G46" s="284"/>
      <c r="H46" s="284"/>
      <c r="I46" s="284"/>
      <c r="J46" s="284"/>
      <c r="K46" s="284"/>
      <c r="L46" s="284"/>
    </row>
    <row r="47" spans="3:21" x14ac:dyDescent="0.2">
      <c r="C47" s="9" t="s">
        <v>431</v>
      </c>
      <c r="D47" s="119">
        <f>+SUM('Base Financials'!D38+'Base Financials'!D39)</f>
        <v>6930</v>
      </c>
      <c r="E47" s="119">
        <f>+SUM('Base Financials'!E38+'Base Financials'!E39)</f>
        <v>11144</v>
      </c>
      <c r="F47" s="119">
        <f>+SUM('Base Financials'!F38+'Base Financials'!F39)</f>
        <v>7079</v>
      </c>
      <c r="G47" s="119">
        <f>+SUM('Base Financials'!G38+'Base Financials'!G39)</f>
        <v>8249</v>
      </c>
      <c r="H47" s="79" t="e">
        <f>H103+G47</f>
        <v>#REF!</v>
      </c>
      <c r="I47" s="79" t="e">
        <f>I103+H47</f>
        <v>#REF!</v>
      </c>
      <c r="J47" s="79" t="e">
        <f>J103+I47</f>
        <v>#REF!</v>
      </c>
      <c r="K47" s="79" t="e">
        <f>K103+J47</f>
        <v>#REF!</v>
      </c>
      <c r="L47" s="79" t="e">
        <f>L103+K47</f>
        <v>#REF!</v>
      </c>
      <c r="N47" s="9" t="s">
        <v>270</v>
      </c>
    </row>
    <row r="48" spans="3:21" x14ac:dyDescent="0.2">
      <c r="C48" s="9" t="s">
        <v>223</v>
      </c>
      <c r="D48" s="119">
        <f>'Base Financials'!D40</f>
        <v>21483</v>
      </c>
      <c r="E48" s="119">
        <f>'Base Financials'!E40</f>
        <v>17194</v>
      </c>
      <c r="F48" s="119">
        <f>'Base Financials'!F40</f>
        <v>17955</v>
      </c>
      <c r="G48" s="119">
        <f>'Base Financials'!G40</f>
        <v>13813</v>
      </c>
      <c r="H48" s="79">
        <f>G48*(1+H37)</f>
        <v>13536.74</v>
      </c>
      <c r="I48" s="79">
        <f t="shared" ref="I48:L48" si="11">H48*(1+I37)</f>
        <v>13956.378939999999</v>
      </c>
      <c r="J48" s="79">
        <f t="shared" si="11"/>
        <v>14570.459613359999</v>
      </c>
      <c r="K48" s="79">
        <f t="shared" si="11"/>
        <v>15298.982594027999</v>
      </c>
      <c r="L48" s="79">
        <f t="shared" si="11"/>
        <v>15972.137828165231</v>
      </c>
      <c r="N48" s="9" t="s">
        <v>271</v>
      </c>
    </row>
    <row r="49" spans="3:14" x14ac:dyDescent="0.2">
      <c r="C49" s="9" t="s">
        <v>16</v>
      </c>
      <c r="D49" s="119">
        <f>'Base Financials'!D41</f>
        <v>9457</v>
      </c>
      <c r="E49" s="119">
        <f>'Base Financials'!E41</f>
        <v>4133</v>
      </c>
      <c r="F49" s="119">
        <f>'Base Financials'!F41</f>
        <v>3402</v>
      </c>
      <c r="G49" s="119">
        <f>'Base Financials'!G41</f>
        <v>3478</v>
      </c>
      <c r="H49" s="79">
        <f>G49*(1+H37)</f>
        <v>3408.44</v>
      </c>
      <c r="I49" s="79">
        <f t="shared" ref="I49:L49" si="12">H49*(1+I37)</f>
        <v>3514.1016399999999</v>
      </c>
      <c r="J49" s="79">
        <f t="shared" si="12"/>
        <v>3668.7221121600001</v>
      </c>
      <c r="K49" s="79">
        <f t="shared" si="12"/>
        <v>3852.1582177680002</v>
      </c>
      <c r="L49" s="79">
        <f t="shared" si="12"/>
        <v>4021.6531793497925</v>
      </c>
      <c r="N49" s="9" t="s">
        <v>271</v>
      </c>
    </row>
    <row r="50" spans="3:14" x14ac:dyDescent="0.2">
      <c r="C50" s="9" t="s">
        <v>17</v>
      </c>
      <c r="D50" s="119">
        <f>'Base Financials'!D42</f>
        <v>10776</v>
      </c>
      <c r="E50" s="119">
        <f>'Base Financials'!E42</f>
        <v>13224</v>
      </c>
      <c r="F50" s="119">
        <f>'Base Financials'!F42</f>
        <v>11127</v>
      </c>
      <c r="G50" s="119">
        <f>'Base Financials'!G42</f>
        <v>12198</v>
      </c>
      <c r="H50" s="79">
        <f>G50*H18/G18</f>
        <v>12504.757954872943</v>
      </c>
      <c r="I50" s="79">
        <f t="shared" ref="I50:L50" si="13">H50*I18/H18</f>
        <v>12534.234938588526</v>
      </c>
      <c r="J50" s="79">
        <f t="shared" si="13"/>
        <v>12263.376836263638</v>
      </c>
      <c r="K50" s="79">
        <f t="shared" si="13"/>
        <v>12876.54567807682</v>
      </c>
      <c r="L50" s="79">
        <f t="shared" si="13"/>
        <v>13443.113687912199</v>
      </c>
      <c r="N50" s="9" t="s">
        <v>272</v>
      </c>
    </row>
    <row r="51" spans="3:14" x14ac:dyDescent="0.2">
      <c r="C51" s="9" t="s">
        <v>32</v>
      </c>
      <c r="D51" s="119">
        <f>'Base Financials'!D43+'Base Financials'!D44</f>
        <v>9072</v>
      </c>
      <c r="E51" s="119">
        <f>'Base Financials'!E43+'Base Financials'!E44</f>
        <v>4712</v>
      </c>
      <c r="F51" s="119">
        <f>'Base Financials'!F43+'Base Financials'!F44</f>
        <v>3706</v>
      </c>
      <c r="G51" s="119">
        <f>'Base Financials'!G43+'Base Financials'!G44</f>
        <v>9586</v>
      </c>
      <c r="H51" s="79">
        <f>G51*(1+H37)</f>
        <v>9394.2800000000007</v>
      </c>
      <c r="I51" s="79">
        <f t="shared" ref="I51:L51" si="14">H51*(1+I37)</f>
        <v>9685.5026799999996</v>
      </c>
      <c r="J51" s="79">
        <f t="shared" si="14"/>
        <v>10111.664797920001</v>
      </c>
      <c r="K51" s="79">
        <f t="shared" si="14"/>
        <v>10617.248037816002</v>
      </c>
      <c r="L51" s="79">
        <f t="shared" si="14"/>
        <v>11084.406951479907</v>
      </c>
      <c r="N51" s="9" t="s">
        <v>271</v>
      </c>
    </row>
    <row r="52" spans="3:14" x14ac:dyDescent="0.2">
      <c r="C52" s="226" t="s">
        <v>49</v>
      </c>
      <c r="D52" s="225">
        <f>SUM(D47:D51)</f>
        <v>57718</v>
      </c>
      <c r="E52" s="225">
        <f>SUM(E47:E51)</f>
        <v>50407</v>
      </c>
      <c r="F52" s="225">
        <f>SUM(F47:F51)</f>
        <v>43269</v>
      </c>
      <c r="G52" s="225">
        <f>SUM(G47:G51)</f>
        <v>47324</v>
      </c>
      <c r="H52" s="227" t="e">
        <f>SUM(H47:H51)</f>
        <v>#REF!</v>
      </c>
      <c r="I52" s="227" t="e">
        <f>SUM(I47:I51)</f>
        <v>#REF!</v>
      </c>
      <c r="J52" s="227" t="e">
        <f>SUM(J47:J51)</f>
        <v>#REF!</v>
      </c>
      <c r="K52" s="227" t="e">
        <f>SUM(K47:K51)</f>
        <v>#REF!</v>
      </c>
      <c r="L52" s="227" t="e">
        <f>SUM(L47:L51)</f>
        <v>#REF!</v>
      </c>
    </row>
    <row r="53" spans="3:14" x14ac:dyDescent="0.2">
      <c r="C53" s="217"/>
      <c r="D53" s="284"/>
      <c r="E53" s="284"/>
      <c r="F53" s="284"/>
      <c r="G53" s="284"/>
      <c r="H53" s="284"/>
      <c r="I53" s="284"/>
      <c r="J53" s="284"/>
      <c r="K53" s="284"/>
      <c r="L53" s="284"/>
    </row>
    <row r="54" spans="3:14" x14ac:dyDescent="0.2">
      <c r="C54" s="9" t="s">
        <v>432</v>
      </c>
      <c r="D54" s="119">
        <f>'Base Financials'!D48</f>
        <v>6298</v>
      </c>
      <c r="E54" s="119">
        <f>'Base Financials'!E48</f>
        <v>5912</v>
      </c>
      <c r="F54" s="119">
        <f>'Base Financials'!F48</f>
        <v>5829</v>
      </c>
      <c r="G54" s="119">
        <f>'Base Financials'!G48</f>
        <v>5383</v>
      </c>
      <c r="H54" s="79">
        <f>G54</f>
        <v>5383</v>
      </c>
      <c r="I54" s="79">
        <f t="shared" ref="I54:L54" si="15">H54</f>
        <v>5383</v>
      </c>
      <c r="J54" s="79">
        <f t="shared" si="15"/>
        <v>5383</v>
      </c>
      <c r="K54" s="79">
        <f t="shared" si="15"/>
        <v>5383</v>
      </c>
      <c r="L54" s="79">
        <f t="shared" si="15"/>
        <v>5383</v>
      </c>
      <c r="N54" s="9" t="s">
        <v>270</v>
      </c>
    </row>
    <row r="55" spans="3:14" x14ac:dyDescent="0.2">
      <c r="C55" s="9" t="s">
        <v>128</v>
      </c>
      <c r="D55" s="119">
        <f>'Base Financials'!D50</f>
        <v>26963</v>
      </c>
      <c r="E55" s="119">
        <f>'Base Financials'!E50</f>
        <v>27591</v>
      </c>
      <c r="F55" s="119">
        <f>'Base Financials'!F50</f>
        <v>27591</v>
      </c>
      <c r="G55" s="119">
        <f>'Base Financials'!G50</f>
        <v>24693</v>
      </c>
      <c r="H55" s="79">
        <f>G55*H18/G18</f>
        <v>25313.984930290015</v>
      </c>
      <c r="I55" s="79">
        <f>H55*I18/H18</f>
        <v>25373.656610802307</v>
      </c>
      <c r="J55" s="79">
        <f>I55*J18/I18</f>
        <v>24825.345484330057</v>
      </c>
      <c r="K55" s="79">
        <f>J55*K18/J18</f>
        <v>26066.612758546562</v>
      </c>
      <c r="L55" s="79">
        <f>K55*L18/K18</f>
        <v>27213.543719922607</v>
      </c>
      <c r="N55" s="9" t="s">
        <v>272</v>
      </c>
    </row>
    <row r="56" spans="3:14" x14ac:dyDescent="0.2">
      <c r="C56" s="9" t="s">
        <v>273</v>
      </c>
      <c r="D56" s="119">
        <f>'Base Financials'!D47</f>
        <v>63245</v>
      </c>
      <c r="E56" s="119">
        <f>'Base Financials'!E47</f>
        <v>80860</v>
      </c>
      <c r="F56" s="119">
        <f>'Base Financials'!F47</f>
        <v>96647</v>
      </c>
      <c r="G56" s="119">
        <f>'Base Financials'!G47</f>
        <v>107919</v>
      </c>
      <c r="H56" s="79">
        <f>H112</f>
        <v>122577</v>
      </c>
      <c r="I56" s="79">
        <f t="shared" ref="I56:L56" si="16">I112</f>
        <v>134337</v>
      </c>
      <c r="J56" s="79">
        <f t="shared" si="16"/>
        <v>145857</v>
      </c>
      <c r="K56" s="79">
        <f t="shared" si="16"/>
        <v>157137</v>
      </c>
      <c r="L56" s="79">
        <f t="shared" si="16"/>
        <v>168177</v>
      </c>
      <c r="N56" s="9" t="s">
        <v>274</v>
      </c>
    </row>
    <row r="57" spans="3:14" x14ac:dyDescent="0.2">
      <c r="C57" s="9" t="s">
        <v>33</v>
      </c>
      <c r="D57" s="119">
        <f>'Base Financials'!D49+'Base Financials'!D51</f>
        <v>14182</v>
      </c>
      <c r="E57" s="119">
        <f>'Base Financials'!E49+'Base Financials'!E51</f>
        <v>17333</v>
      </c>
      <c r="F57" s="119">
        <f>'Base Financials'!F49+'Base Financials'!F51</f>
        <v>18236</v>
      </c>
      <c r="G57" s="119">
        <f>'Base Financials'!G49+'Base Financials'!G51</f>
        <v>11166</v>
      </c>
      <c r="H57" s="79">
        <f>G57*(1+H37)</f>
        <v>10942.68</v>
      </c>
      <c r="I57" s="79">
        <f>H57*(1+I37)</f>
        <v>11281.90308</v>
      </c>
      <c r="J57" s="79">
        <f>I57*(1+J37)</f>
        <v>11778.30681552</v>
      </c>
      <c r="K57" s="79">
        <f>J57*(1+K37)</f>
        <v>12367.222156296</v>
      </c>
      <c r="L57" s="79">
        <f>K57*(1+L37)</f>
        <v>12911.379931173025</v>
      </c>
      <c r="N57" s="9" t="s">
        <v>271</v>
      </c>
    </row>
    <row r="58" spans="3:14" x14ac:dyDescent="0.2">
      <c r="C58" s="226" t="s">
        <v>50</v>
      </c>
      <c r="D58" s="225">
        <f>SUM(D54:D57)+D52</f>
        <v>168406</v>
      </c>
      <c r="E58" s="225">
        <f t="shared" ref="E58:L58" si="17">SUM(E54:E57)+E52</f>
        <v>182103</v>
      </c>
      <c r="F58" s="225">
        <f t="shared" si="17"/>
        <v>191572</v>
      </c>
      <c r="G58" s="225">
        <f t="shared" si="17"/>
        <v>196485</v>
      </c>
      <c r="H58" s="225" t="e">
        <f t="shared" si="17"/>
        <v>#REF!</v>
      </c>
      <c r="I58" s="225" t="e">
        <f t="shared" si="17"/>
        <v>#REF!</v>
      </c>
      <c r="J58" s="225" t="e">
        <f t="shared" si="17"/>
        <v>#REF!</v>
      </c>
      <c r="K58" s="225" t="e">
        <f t="shared" si="17"/>
        <v>#REF!</v>
      </c>
      <c r="L58" s="225" t="e">
        <f t="shared" si="17"/>
        <v>#REF!</v>
      </c>
    </row>
    <row r="59" spans="3:14" ht="5.0999999999999996" customHeight="1" x14ac:dyDescent="0.2">
      <c r="C59" s="150"/>
      <c r="D59" s="150"/>
      <c r="E59" s="79"/>
      <c r="F59" s="79"/>
      <c r="G59" s="79"/>
      <c r="H59" s="79"/>
      <c r="I59" s="79"/>
      <c r="J59" s="79"/>
      <c r="K59" s="79"/>
      <c r="L59" s="79"/>
    </row>
    <row r="60" spans="3:14" x14ac:dyDescent="0.2">
      <c r="C60" s="150" t="s">
        <v>430</v>
      </c>
      <c r="D60" s="119">
        <f>'Base Financials'!D54</f>
        <v>4591</v>
      </c>
      <c r="E60" s="119">
        <f>'Base Financials'!E54</f>
        <v>4367</v>
      </c>
      <c r="F60" s="119">
        <f>'Base Financials'!F54</f>
        <v>2288</v>
      </c>
      <c r="G60" s="119">
        <f>'Base Financials'!G54</f>
        <v>3729</v>
      </c>
      <c r="H60" s="79"/>
      <c r="I60" s="79"/>
      <c r="J60" s="79"/>
      <c r="K60" s="79"/>
      <c r="L60" s="79"/>
      <c r="N60" s="9" t="s">
        <v>276</v>
      </c>
    </row>
    <row r="61" spans="3:14" x14ac:dyDescent="0.2">
      <c r="C61" s="150" t="s">
        <v>18</v>
      </c>
      <c r="D61" s="119">
        <f>'Base Financials'!D55</f>
        <v>5747</v>
      </c>
      <c r="E61" s="119">
        <f>'Base Financials'!E55</f>
        <v>9595</v>
      </c>
      <c r="F61" s="119">
        <f>'Base Financials'!F55</f>
        <v>8578</v>
      </c>
      <c r="G61" s="119">
        <f>'Base Financials'!G55</f>
        <v>12556</v>
      </c>
      <c r="H61" s="79">
        <f>G61*(1+H30)</f>
        <v>12556</v>
      </c>
      <c r="I61" s="79">
        <f>H61*(1+I30)</f>
        <v>12556</v>
      </c>
      <c r="J61" s="79">
        <f>I61*(1+J30)</f>
        <v>12556</v>
      </c>
      <c r="K61" s="79">
        <f>J61*(1+K30)</f>
        <v>12556</v>
      </c>
      <c r="L61" s="79">
        <f>K61*(1+L30)</f>
        <v>12556</v>
      </c>
      <c r="N61" s="9" t="s">
        <v>271</v>
      </c>
    </row>
    <row r="62" spans="3:14" x14ac:dyDescent="0.2">
      <c r="C62" s="150" t="s">
        <v>19</v>
      </c>
      <c r="D62" s="119">
        <f>'Base Financials'!D56</f>
        <v>4535</v>
      </c>
      <c r="E62" s="119">
        <f>'Base Financials'!E56</f>
        <v>4084</v>
      </c>
      <c r="F62" s="119">
        <f>'Base Financials'!F56</f>
        <v>3655</v>
      </c>
      <c r="G62" s="119">
        <f>'Base Financials'!G56</f>
        <v>3343</v>
      </c>
      <c r="H62" s="79">
        <f>G62*(1+H30)</f>
        <v>3343</v>
      </c>
      <c r="I62" s="79">
        <f>H62*(1+I30)</f>
        <v>3343</v>
      </c>
      <c r="J62" s="79">
        <f>I62*(1+J30)</f>
        <v>3343</v>
      </c>
      <c r="K62" s="79">
        <f>J62*(1+K30)</f>
        <v>3343</v>
      </c>
      <c r="L62" s="79">
        <f>K62*(1+L30)</f>
        <v>3343</v>
      </c>
      <c r="N62" s="9" t="s">
        <v>271</v>
      </c>
    </row>
    <row r="63" spans="3:14" x14ac:dyDescent="0.2">
      <c r="C63" s="150" t="s">
        <v>278</v>
      </c>
      <c r="D63" s="119">
        <f>SUM('Base Financials'!D57+'Base Financials'!D58+'Base Financials'!D59+'Base Financials'!D60)</f>
        <v>12589</v>
      </c>
      <c r="E63" s="119">
        <f>SUM('Base Financials'!E57+'Base Financials'!E58+'Base Financials'!E59+'Base Financials'!E60)</f>
        <v>14109</v>
      </c>
      <c r="F63" s="119">
        <f>SUM('Base Financials'!F57+'Base Financials'!F58+'Base Financials'!F59+'Base Financials'!F60)</f>
        <v>13532</v>
      </c>
      <c r="G63" s="119">
        <f>SUM('Base Financials'!G57+'Base Financials'!G58+'Base Financials'!G59+'Base Financials'!G60)</f>
        <v>16038</v>
      </c>
      <c r="H63" s="79">
        <f>G63*(1+H37)</f>
        <v>15717.24</v>
      </c>
      <c r="I63" s="79">
        <f>H63*(1+I37)</f>
        <v>16204.474439999998</v>
      </c>
      <c r="J63" s="79">
        <f>I63*(1+J37)</f>
        <v>16917.471315359999</v>
      </c>
      <c r="K63" s="79">
        <f>J63*(1+K37)</f>
        <v>17763.344881128</v>
      </c>
      <c r="L63" s="79">
        <f>K63*(1+L37)</f>
        <v>18544.932055897632</v>
      </c>
      <c r="N63" s="9" t="s">
        <v>276</v>
      </c>
    </row>
    <row r="64" spans="3:14" x14ac:dyDescent="0.2">
      <c r="C64" s="226" t="s">
        <v>279</v>
      </c>
      <c r="D64" s="225">
        <f>SUM(D60:D63)</f>
        <v>27462</v>
      </c>
      <c r="E64" s="225">
        <f>SUM(E60:E63)</f>
        <v>32155</v>
      </c>
      <c r="F64" s="225">
        <f>SUM(F60:F63)</f>
        <v>28053</v>
      </c>
      <c r="G64" s="225">
        <f>SUM(G60:G63)</f>
        <v>35666</v>
      </c>
      <c r="H64" s="227">
        <f>SUM(H60:H63)</f>
        <v>31616.239999999998</v>
      </c>
      <c r="I64" s="227">
        <f>SUM(I60:I63)</f>
        <v>32103.474439999998</v>
      </c>
      <c r="J64" s="227">
        <f>SUM(J60:J63)</f>
        <v>32816.471315360002</v>
      </c>
      <c r="K64" s="227">
        <f>SUM(K60:K63)</f>
        <v>33662.344881127996</v>
      </c>
      <c r="L64" s="227">
        <f>SUM(L60:L63)</f>
        <v>34443.932055897632</v>
      </c>
    </row>
    <row r="65" spans="3:15" ht="5.0999999999999996" customHeight="1" x14ac:dyDescent="0.2">
      <c r="C65" s="285"/>
      <c r="D65" s="286"/>
      <c r="E65" s="286"/>
      <c r="F65" s="286"/>
      <c r="G65" s="286"/>
      <c r="H65" s="287"/>
      <c r="I65" s="287"/>
      <c r="J65" s="287"/>
      <c r="K65" s="287"/>
      <c r="L65" s="287"/>
    </row>
    <row r="66" spans="3:15" x14ac:dyDescent="0.2">
      <c r="C66" s="150" t="s">
        <v>131</v>
      </c>
      <c r="D66" s="119">
        <f>'Base Financials'!D63</f>
        <v>33510</v>
      </c>
      <c r="E66" s="119">
        <f>'Base Financials'!E63</f>
        <v>37684</v>
      </c>
      <c r="F66" s="119">
        <f>'Base Financials'!F63</f>
        <v>46978</v>
      </c>
      <c r="G66" s="119">
        <f>'Base Financials'!G63</f>
        <v>46282</v>
      </c>
      <c r="H66" s="36">
        <f>G66*H18/G18</f>
        <v>47445.90979401784</v>
      </c>
      <c r="I66" s="36">
        <f>H66*I18/H18</f>
        <v>47557.75220755487</v>
      </c>
      <c r="J66" s="36">
        <f>I66*J18/I18</f>
        <v>46530.054659448579</v>
      </c>
      <c r="K66" s="36">
        <f>J66*K18/J18</f>
        <v>48856.557392421011</v>
      </c>
      <c r="L66" s="36">
        <f>K66*L18/K18</f>
        <v>51006.245917687527</v>
      </c>
      <c r="N66" s="9" t="s">
        <v>272</v>
      </c>
    </row>
    <row r="67" spans="3:15" x14ac:dyDescent="0.2">
      <c r="C67" s="150" t="s">
        <v>132</v>
      </c>
      <c r="D67" s="119">
        <f>'Base Financials'!D64</f>
        <v>2667</v>
      </c>
      <c r="E67" s="119">
        <f>'Base Financials'!E64</f>
        <v>202</v>
      </c>
      <c r="F67" s="119">
        <f>'Base Financials'!F64</f>
        <v>0</v>
      </c>
      <c r="G67" s="119">
        <f>'Base Financials'!G64</f>
        <v>0</v>
      </c>
      <c r="H67" s="36">
        <f>G67*(1+H37)</f>
        <v>0</v>
      </c>
      <c r="I67" s="36">
        <f>H67*(1+I37)</f>
        <v>0</v>
      </c>
      <c r="J67" s="36">
        <f>I67*(1+J37)</f>
        <v>0</v>
      </c>
      <c r="K67" s="36">
        <f>J67*(1+K37)</f>
        <v>0</v>
      </c>
      <c r="L67" s="36">
        <f>K67*(1+L37)</f>
        <v>0</v>
      </c>
      <c r="N67" s="9" t="s">
        <v>271</v>
      </c>
    </row>
    <row r="68" spans="3:15" x14ac:dyDescent="0.2">
      <c r="C68" s="150" t="s">
        <v>37</v>
      </c>
      <c r="D68" s="119">
        <f>'Base Financials'!D65</f>
        <v>9376</v>
      </c>
      <c r="E68" s="119">
        <f>'Base Financials'!E65</f>
        <v>8776</v>
      </c>
      <c r="F68" s="119">
        <f>'Base Financials'!F65</f>
        <v>6576</v>
      </c>
      <c r="G68" s="119">
        <f>'Base Financials'!G65</f>
        <v>9505</v>
      </c>
      <c r="H68" s="36">
        <f>G68*(1+H37)</f>
        <v>9314.9</v>
      </c>
      <c r="I68" s="36">
        <f>H68*(1+I37)</f>
        <v>9603.6618999999992</v>
      </c>
      <c r="J68" s="36">
        <f>I68*(1+J37)</f>
        <v>10026.2230236</v>
      </c>
      <c r="K68" s="36">
        <f>J68*(1+K37)</f>
        <v>10527.534174779999</v>
      </c>
      <c r="L68" s="36">
        <f>K68*(1+L37)</f>
        <v>10990.745678470319</v>
      </c>
      <c r="N68" s="9" t="s">
        <v>271</v>
      </c>
      <c r="O68" s="79"/>
    </row>
    <row r="69" spans="3:15" x14ac:dyDescent="0.2">
      <c r="C69" s="226" t="s">
        <v>279</v>
      </c>
      <c r="D69" s="225">
        <f>SUM(D66:D68)+D64</f>
        <v>73015</v>
      </c>
      <c r="E69" s="225">
        <f>SUM(E66:E68)+E64</f>
        <v>78817</v>
      </c>
      <c r="F69" s="225">
        <f>SUM(F66:F68)+F64</f>
        <v>81607</v>
      </c>
      <c r="G69" s="225">
        <f>SUM(G66:G68)+G64</f>
        <v>91453</v>
      </c>
      <c r="H69" s="225">
        <f>SUM(H66:H68)+H64</f>
        <v>88377.049794017832</v>
      </c>
      <c r="I69" s="225">
        <f>SUM(I66:I68)+I64</f>
        <v>89264.888547554874</v>
      </c>
      <c r="J69" s="225">
        <f>SUM(J66:J68)+J64</f>
        <v>89372.748998408584</v>
      </c>
      <c r="K69" s="225">
        <f>SUM(K66:K68)+K64</f>
        <v>93046.436448329012</v>
      </c>
      <c r="L69" s="225">
        <f>SUM(L66:L68)+L64</f>
        <v>96440.92365205547</v>
      </c>
    </row>
    <row r="70" spans="3:15" x14ac:dyDescent="0.2">
      <c r="C70" s="151"/>
      <c r="D70" s="151"/>
      <c r="E70" s="149"/>
      <c r="F70" s="149"/>
      <c r="G70" s="149"/>
      <c r="H70" s="79"/>
      <c r="I70" s="79"/>
      <c r="J70" s="79"/>
      <c r="K70" s="79"/>
      <c r="L70" s="79"/>
    </row>
    <row r="71" spans="3:15" x14ac:dyDescent="0.2">
      <c r="C71" s="150" t="s">
        <v>106</v>
      </c>
      <c r="D71" s="119">
        <f>'Base Financials'!D68</f>
        <v>0</v>
      </c>
      <c r="E71" s="119">
        <f>'Base Financials'!E68</f>
        <v>0</v>
      </c>
      <c r="F71" s="119">
        <f>'Base Financials'!F68</f>
        <v>0</v>
      </c>
      <c r="G71" s="119">
        <f>'Base Financials'!G68</f>
        <v>0</v>
      </c>
      <c r="H71" s="36">
        <f>G71</f>
        <v>0</v>
      </c>
      <c r="I71" s="36">
        <f t="shared" ref="I71:L71" si="18">H71</f>
        <v>0</v>
      </c>
      <c r="J71" s="36">
        <f t="shared" si="18"/>
        <v>0</v>
      </c>
      <c r="K71" s="36">
        <f t="shared" si="18"/>
        <v>0</v>
      </c>
      <c r="L71" s="36">
        <f t="shared" si="18"/>
        <v>0</v>
      </c>
      <c r="N71" s="9" t="s">
        <v>280</v>
      </c>
    </row>
    <row r="72" spans="3:15" x14ac:dyDescent="0.2">
      <c r="C72" s="150" t="s">
        <v>133</v>
      </c>
      <c r="D72" s="119">
        <f>'Base Financials'!D69</f>
        <v>28006</v>
      </c>
      <c r="E72" s="119">
        <f>'Base Financials'!E69</f>
        <v>31580</v>
      </c>
      <c r="F72" s="119">
        <f>'Base Financials'!F69</f>
        <v>36649</v>
      </c>
      <c r="G72" s="119">
        <f>'Base Financials'!G69</f>
        <v>50949</v>
      </c>
      <c r="H72" s="79" t="e">
        <f>H132</f>
        <v>#REF!</v>
      </c>
      <c r="I72" s="79" t="e">
        <f t="shared" ref="I72:L72" si="19">I132</f>
        <v>#REF!</v>
      </c>
      <c r="J72" s="79" t="e">
        <f t="shared" si="19"/>
        <v>#REF!</v>
      </c>
      <c r="K72" s="79" t="e">
        <f t="shared" si="19"/>
        <v>#REF!</v>
      </c>
      <c r="L72" s="79" t="e">
        <f t="shared" si="19"/>
        <v>#REF!</v>
      </c>
      <c r="N72" s="9" t="s">
        <v>281</v>
      </c>
      <c r="O72" s="79"/>
    </row>
    <row r="73" spans="3:15" x14ac:dyDescent="0.2">
      <c r="C73" s="11" t="s">
        <v>134</v>
      </c>
      <c r="D73" s="119">
        <f>'Base Financials'!D70</f>
        <v>-880</v>
      </c>
      <c r="E73" s="119">
        <f>'Base Financials'!E70</f>
        <v>-562</v>
      </c>
      <c r="F73" s="119">
        <f>'Base Financials'!F70</f>
        <v>-215</v>
      </c>
      <c r="G73" s="119">
        <f>'Base Financials'!G70</f>
        <v>-711</v>
      </c>
      <c r="H73" s="79">
        <f>G73</f>
        <v>-711</v>
      </c>
      <c r="I73" s="79">
        <f>H73</f>
        <v>-711</v>
      </c>
      <c r="J73" s="79">
        <f>I73</f>
        <v>-711</v>
      </c>
      <c r="K73" s="79">
        <f>J73</f>
        <v>-711</v>
      </c>
      <c r="L73" s="79">
        <f>K73</f>
        <v>-711</v>
      </c>
      <c r="O73" s="79"/>
    </row>
    <row r="74" spans="3:15" x14ac:dyDescent="0.2">
      <c r="C74" s="11" t="s">
        <v>107</v>
      </c>
      <c r="D74" s="119">
        <f>'Base Financials'!D71</f>
        <v>68265</v>
      </c>
      <c r="E74" s="119">
        <f>'Base Financials'!E71</f>
        <v>70405</v>
      </c>
      <c r="F74" s="119">
        <f>'Base Financials'!F71</f>
        <v>69156</v>
      </c>
      <c r="G74" s="119">
        <f>'Base Financials'!G71</f>
        <v>49032</v>
      </c>
      <c r="H74" s="79">
        <f>G74</f>
        <v>49032</v>
      </c>
      <c r="I74" s="79">
        <f>H74</f>
        <v>49032</v>
      </c>
      <c r="J74" s="79">
        <f>I74</f>
        <v>49032</v>
      </c>
      <c r="K74" s="79">
        <f>J74</f>
        <v>49032</v>
      </c>
      <c r="L74" s="79">
        <f>K74</f>
        <v>49032</v>
      </c>
      <c r="O74" s="79"/>
    </row>
    <row r="75" spans="3:15" x14ac:dyDescent="0.2">
      <c r="C75" s="11" t="s">
        <v>38</v>
      </c>
      <c r="D75" s="119">
        <f>'Base Financials'!D72</f>
        <v>0</v>
      </c>
      <c r="E75" s="119">
        <f>'Base Financials'!E72</f>
        <v>0</v>
      </c>
      <c r="F75" s="119">
        <f>'Base Financials'!F72</f>
        <v>0</v>
      </c>
      <c r="G75" s="119">
        <f>'Base Financials'!G72</f>
        <v>0</v>
      </c>
      <c r="H75" s="79">
        <f>G75</f>
        <v>0</v>
      </c>
      <c r="I75" s="79">
        <f>H75</f>
        <v>0</v>
      </c>
      <c r="J75" s="79">
        <f>I75</f>
        <v>0</v>
      </c>
      <c r="K75" s="79">
        <f>J75</f>
        <v>0</v>
      </c>
      <c r="L75" s="79">
        <f>K75</f>
        <v>0</v>
      </c>
      <c r="N75" s="9" t="s">
        <v>277</v>
      </c>
      <c r="O75" s="79"/>
    </row>
    <row r="76" spans="3:15" x14ac:dyDescent="0.2">
      <c r="C76" s="150" t="s">
        <v>39</v>
      </c>
      <c r="D76" s="119">
        <f>'Base Financials'!D73</f>
        <v>0</v>
      </c>
      <c r="E76" s="119">
        <f>'Base Financials'!E73</f>
        <v>1863</v>
      </c>
      <c r="F76" s="119">
        <f>'Base Financials'!F73</f>
        <v>4375</v>
      </c>
      <c r="G76" s="119">
        <f>'Base Financials'!G73</f>
        <v>5762</v>
      </c>
      <c r="H76" s="79">
        <f>G76</f>
        <v>5762</v>
      </c>
      <c r="I76" s="79">
        <f>H76</f>
        <v>5762</v>
      </c>
      <c r="J76" s="79">
        <f>I76</f>
        <v>5762</v>
      </c>
      <c r="K76" s="79">
        <f>J76</f>
        <v>5762</v>
      </c>
      <c r="L76" s="79">
        <f>K76</f>
        <v>5762</v>
      </c>
      <c r="N76" s="9" t="s">
        <v>277</v>
      </c>
    </row>
    <row r="77" spans="3:15" x14ac:dyDescent="0.2">
      <c r="C77" s="226" t="s">
        <v>282</v>
      </c>
      <c r="D77" s="227">
        <f t="shared" ref="D77:L77" si="20">SUM(D71:D76)</f>
        <v>95391</v>
      </c>
      <c r="E77" s="227">
        <f t="shared" si="20"/>
        <v>103286</v>
      </c>
      <c r="F77" s="227">
        <f t="shared" si="20"/>
        <v>109965</v>
      </c>
      <c r="G77" s="227">
        <f t="shared" si="20"/>
        <v>105032</v>
      </c>
      <c r="H77" s="227" t="e">
        <f t="shared" si="20"/>
        <v>#REF!</v>
      </c>
      <c r="I77" s="227" t="e">
        <f t="shared" si="20"/>
        <v>#REF!</v>
      </c>
      <c r="J77" s="227" t="e">
        <f t="shared" si="20"/>
        <v>#REF!</v>
      </c>
      <c r="K77" s="227" t="e">
        <f t="shared" si="20"/>
        <v>#REF!</v>
      </c>
      <c r="L77" s="227" t="e">
        <f t="shared" si="20"/>
        <v>#REF!</v>
      </c>
    </row>
    <row r="78" spans="3:15" x14ac:dyDescent="0.2">
      <c r="E78" s="79"/>
      <c r="F78" s="79"/>
      <c r="G78" s="79"/>
    </row>
    <row r="79" spans="3:15" x14ac:dyDescent="0.2">
      <c r="C79" s="142" t="s">
        <v>283</v>
      </c>
      <c r="D79" s="161">
        <f>ROUND(D58-D69-D77,3)</f>
        <v>0</v>
      </c>
      <c r="E79" s="161">
        <f>ROUND(E58-E69-E77,3)</f>
        <v>0</v>
      </c>
      <c r="F79" s="161">
        <f>ROUND(F58-F69-F77,3)</f>
        <v>0</v>
      </c>
      <c r="G79" s="161">
        <f>ROUND(G58-G69-G77,3)</f>
        <v>0</v>
      </c>
      <c r="H79" s="161" t="e">
        <f>ROUND(H58-H69-H77,3)</f>
        <v>#REF!</v>
      </c>
      <c r="I79" s="161" t="e">
        <f>ROUND(I58-I69-I77,3)</f>
        <v>#REF!</v>
      </c>
      <c r="J79" s="161" t="e">
        <f>ROUND(J58-J69-J77,3)</f>
        <v>#REF!</v>
      </c>
      <c r="K79" s="161" t="e">
        <f>ROUND(K58-K69-K77,3)</f>
        <v>#REF!</v>
      </c>
      <c r="L79" s="161" t="e">
        <f>ROUND(L58-L69-L77,3)</f>
        <v>#REF!</v>
      </c>
    </row>
    <row r="80" spans="3:15" x14ac:dyDescent="0.2">
      <c r="F80" s="79"/>
      <c r="G80" s="79"/>
      <c r="I80" s="79"/>
      <c r="J80" s="79"/>
      <c r="K80" s="79"/>
      <c r="L80" s="79"/>
    </row>
    <row r="81" spans="3:14" x14ac:dyDescent="0.2">
      <c r="C81" s="135" t="s">
        <v>284</v>
      </c>
      <c r="D81" s="135"/>
      <c r="E81" s="156"/>
      <c r="F81" s="156"/>
      <c r="G81" s="156"/>
      <c r="H81" s="156"/>
      <c r="I81" s="156"/>
      <c r="J81" s="156"/>
      <c r="K81" s="156"/>
      <c r="L81" s="156"/>
    </row>
    <row r="82" spans="3:14" x14ac:dyDescent="0.2">
      <c r="C82" s="157" t="str">
        <f>C14</f>
        <v xml:space="preserve">Fiscal year  </v>
      </c>
      <c r="D82" s="159">
        <f t="shared" ref="D82:H82" si="21">D14</f>
        <v>2021</v>
      </c>
      <c r="E82" s="159">
        <f t="shared" si="21"/>
        <v>2022</v>
      </c>
      <c r="F82" s="159">
        <f t="shared" si="21"/>
        <v>2023</v>
      </c>
      <c r="G82" s="159">
        <f t="shared" si="21"/>
        <v>2024</v>
      </c>
      <c r="H82" s="159">
        <f>H14</f>
        <v>2025</v>
      </c>
      <c r="I82" s="159">
        <f>I14</f>
        <v>2026</v>
      </c>
      <c r="J82" s="159">
        <f>J14</f>
        <v>2027</v>
      </c>
      <c r="K82" s="159">
        <f>K14</f>
        <v>2028</v>
      </c>
      <c r="L82" s="159">
        <f>L14</f>
        <v>2029</v>
      </c>
    </row>
    <row r="83" spans="3:14" x14ac:dyDescent="0.2">
      <c r="C83" s="136" t="str">
        <f>C15</f>
        <v>Fiscal year end date</v>
      </c>
      <c r="D83" s="160">
        <f t="shared" ref="D83:H83" si="22">D15</f>
        <v>44561</v>
      </c>
      <c r="E83" s="160">
        <f t="shared" si="22"/>
        <v>44926</v>
      </c>
      <c r="F83" s="160">
        <f t="shared" si="22"/>
        <v>45291</v>
      </c>
      <c r="G83" s="160">
        <f t="shared" si="22"/>
        <v>45654</v>
      </c>
      <c r="H83" s="160">
        <f>H15</f>
        <v>46022</v>
      </c>
      <c r="I83" s="160">
        <f>I15</f>
        <v>46387</v>
      </c>
      <c r="J83" s="160">
        <f>J15</f>
        <v>46752</v>
      </c>
      <c r="K83" s="160">
        <f>K15</f>
        <v>47118</v>
      </c>
      <c r="L83" s="160">
        <f>L15</f>
        <v>47483</v>
      </c>
    </row>
    <row r="84" spans="3:14" ht="5.0999999999999996" customHeight="1" x14ac:dyDescent="0.2"/>
    <row r="85" spans="3:14" x14ac:dyDescent="0.2">
      <c r="C85" s="9" t="s">
        <v>22</v>
      </c>
      <c r="D85" s="79">
        <f>D29</f>
        <v>18093</v>
      </c>
      <c r="E85" s="79">
        <f t="shared" ref="E85:G85" si="23">E29</f>
        <v>4728</v>
      </c>
      <c r="F85" s="79">
        <f t="shared" si="23"/>
        <v>-2036</v>
      </c>
      <c r="G85" s="79">
        <f t="shared" si="23"/>
        <v>-16236</v>
      </c>
      <c r="H85" s="79" t="e">
        <f>H29</f>
        <v>#REF!</v>
      </c>
      <c r="I85" s="79" t="e">
        <f>I29</f>
        <v>#REF!</v>
      </c>
      <c r="J85" s="79" t="e">
        <f>J29</f>
        <v>#REF!</v>
      </c>
      <c r="K85" s="79" t="e">
        <f>K29</f>
        <v>#REF!</v>
      </c>
      <c r="L85" s="79" t="e">
        <f>L29</f>
        <v>#REF!</v>
      </c>
      <c r="N85" s="43"/>
    </row>
    <row r="86" spans="3:14" x14ac:dyDescent="0.2">
      <c r="C86" s="9" t="s">
        <v>111</v>
      </c>
      <c r="D86" s="36">
        <f>D31</f>
        <v>11792</v>
      </c>
      <c r="E86" s="36">
        <f t="shared" ref="E86:G86" si="24">E31</f>
        <v>13035</v>
      </c>
      <c r="F86" s="36">
        <f t="shared" si="24"/>
        <v>9602</v>
      </c>
      <c r="G86" s="36">
        <f t="shared" si="24"/>
        <v>11379</v>
      </c>
      <c r="H86" s="79">
        <f>H31</f>
        <v>11151.419999999998</v>
      </c>
      <c r="I86" s="79">
        <f>I31</f>
        <v>11737.114019999997</v>
      </c>
      <c r="J86" s="79">
        <f>J31</f>
        <v>12482.987036879998</v>
      </c>
      <c r="K86" s="79">
        <f>K31</f>
        <v>13323.136388723999</v>
      </c>
      <c r="L86" s="79">
        <f>L31</f>
        <v>14117.674389827855</v>
      </c>
      <c r="N86" s="9" t="s">
        <v>285</v>
      </c>
    </row>
    <row r="87" spans="3:14" x14ac:dyDescent="0.2">
      <c r="C87" s="9" t="s">
        <v>258</v>
      </c>
      <c r="D87" s="36">
        <f>D33</f>
        <v>2036</v>
      </c>
      <c r="E87" s="36">
        <f t="shared" ref="E87:G87" si="25">E33</f>
        <v>3128</v>
      </c>
      <c r="F87" s="36">
        <f t="shared" si="25"/>
        <v>3229</v>
      </c>
      <c r="G87" s="36">
        <f t="shared" si="25"/>
        <v>3410</v>
      </c>
      <c r="H87" s="79">
        <f>H33</f>
        <v>3341.7999999999997</v>
      </c>
      <c r="I87" s="79">
        <f>I33</f>
        <v>3445.3957999999993</v>
      </c>
      <c r="J87" s="79">
        <f>J33</f>
        <v>3596.9932151999992</v>
      </c>
      <c r="K87" s="79">
        <f>K33</f>
        <v>3776.8428759599992</v>
      </c>
      <c r="L87" s="79">
        <f>L33</f>
        <v>3943.0239625022396</v>
      </c>
    </row>
    <row r="88" spans="3:14" x14ac:dyDescent="0.2">
      <c r="C88" s="9" t="s">
        <v>286</v>
      </c>
      <c r="E88" s="79"/>
      <c r="F88" s="79"/>
      <c r="G88" s="79"/>
      <c r="H88" s="79">
        <f>SUM(G55:G55)-SUM(H55:H55)</f>
        <v>-620.98493029001474</v>
      </c>
      <c r="I88" s="79">
        <f>SUM(H55:H55)-SUM(I55:I55)</f>
        <v>-59.671680512292369</v>
      </c>
      <c r="J88" s="79">
        <f>SUM(I55:I55)-SUM(J55:J55)</f>
        <v>548.31112647225018</v>
      </c>
      <c r="K88" s="79">
        <f>SUM(J55:J55)-SUM(K55:K55)</f>
        <v>-1241.267274216505</v>
      </c>
      <c r="L88" s="79">
        <f>SUM(K55:K55)-SUM(L55:L55)</f>
        <v>-1146.9309613760452</v>
      </c>
    </row>
    <row r="89" spans="3:14" x14ac:dyDescent="0.2">
      <c r="C89" s="9" t="s">
        <v>287</v>
      </c>
      <c r="E89" s="79"/>
      <c r="F89" s="79"/>
      <c r="G89" s="79"/>
      <c r="H89" s="79">
        <f>SUM(H66:H68)-SUM(G66:G68)</f>
        <v>973.80979401784134</v>
      </c>
      <c r="I89" s="79">
        <f>SUM(I66:I68)-SUM(H66:H68)</f>
        <v>400.60431353702734</v>
      </c>
      <c r="J89" s="79">
        <f>SUM(J66:J68)-SUM(I66:I68)</f>
        <v>-605.13642450628686</v>
      </c>
      <c r="K89" s="79">
        <f>SUM(K66:K68)-SUM(J66:J68)</f>
        <v>2827.8138841524269</v>
      </c>
      <c r="L89" s="79">
        <f>SUM(L66:L68)-SUM(K66:K68)</f>
        <v>2612.9000289568357</v>
      </c>
    </row>
    <row r="90" spans="3:14" x14ac:dyDescent="0.2">
      <c r="C90" s="9" t="s">
        <v>275</v>
      </c>
      <c r="H90" s="79">
        <f>-H124</f>
        <v>-10928.099999999999</v>
      </c>
      <c r="I90" s="79">
        <f t="shared" ref="I90:L90" si="26">-I124</f>
        <v>-11836.337099999997</v>
      </c>
      <c r="J90" s="79">
        <f t="shared" si="26"/>
        <v>-12499.390772399998</v>
      </c>
      <c r="K90" s="79">
        <f t="shared" si="26"/>
        <v>-13192.051729499997</v>
      </c>
      <c r="L90" s="79">
        <f t="shared" si="26"/>
        <v>-13701.83216470488</v>
      </c>
      <c r="N90" s="9" t="s">
        <v>288</v>
      </c>
    </row>
    <row r="91" spans="3:14" x14ac:dyDescent="0.2">
      <c r="C91" s="9" t="s">
        <v>278</v>
      </c>
      <c r="H91" s="79" t="e">
        <f>#REF!-#REF!</f>
        <v>#REF!</v>
      </c>
      <c r="I91" s="79" t="e">
        <f>#REF!-#REF!</f>
        <v>#REF!</v>
      </c>
      <c r="J91" s="79" t="e">
        <f>#REF!-#REF!</f>
        <v>#REF!</v>
      </c>
      <c r="K91" s="79" t="e">
        <f>#REF!-#REF!</f>
        <v>#REF!</v>
      </c>
      <c r="L91" s="79" t="e">
        <f>#REF!-#REF!</f>
        <v>#REF!</v>
      </c>
      <c r="N91" s="43"/>
    </row>
    <row r="92" spans="3:14" x14ac:dyDescent="0.2">
      <c r="C92" s="42" t="s">
        <v>289</v>
      </c>
      <c r="D92" s="227">
        <f t="shared" ref="D92:G92" si="27">SUM(D85:D91)</f>
        <v>31921</v>
      </c>
      <c r="E92" s="227">
        <f t="shared" si="27"/>
        <v>20891</v>
      </c>
      <c r="F92" s="227">
        <f t="shared" si="27"/>
        <v>10795</v>
      </c>
      <c r="G92" s="227">
        <f t="shared" si="27"/>
        <v>-1447</v>
      </c>
      <c r="H92" s="227" t="e">
        <f>SUM(H85:H91)</f>
        <v>#REF!</v>
      </c>
      <c r="I92" s="227" t="e">
        <f>SUM(I85:I91)</f>
        <v>#REF!</v>
      </c>
      <c r="J92" s="227" t="e">
        <f>SUM(J85:J91)</f>
        <v>#REF!</v>
      </c>
      <c r="K92" s="227" t="e">
        <f>SUM(K85:K91)</f>
        <v>#REF!</v>
      </c>
      <c r="L92" s="227" t="e">
        <f>SUM(L85:L91)</f>
        <v>#REF!</v>
      </c>
    </row>
    <row r="93" spans="3:14" x14ac:dyDescent="0.2">
      <c r="H93" s="79"/>
      <c r="I93" s="79"/>
      <c r="J93" s="79"/>
      <c r="K93" s="79"/>
      <c r="L93" s="79"/>
    </row>
    <row r="94" spans="3:14" x14ac:dyDescent="0.2">
      <c r="C94" s="9" t="s">
        <v>290</v>
      </c>
      <c r="D94" s="119">
        <f>'Base Financials'!D112</f>
        <v>-18733</v>
      </c>
      <c r="E94" s="119">
        <f>'Base Financials'!E112</f>
        <v>-24844</v>
      </c>
      <c r="F94" s="119">
        <f>'Base Financials'!F112</f>
        <v>-25750</v>
      </c>
      <c r="G94" s="119">
        <f>'Base Financials'!G112</f>
        <v>-23944</v>
      </c>
      <c r="H94" s="79">
        <f>-(H110)</f>
        <v>-14658</v>
      </c>
      <c r="I94" s="79">
        <f t="shared" ref="I94:L94" si="28">-(I110)</f>
        <v>-12000</v>
      </c>
      <c r="J94" s="79">
        <f t="shared" si="28"/>
        <v>-12000</v>
      </c>
      <c r="K94" s="79">
        <f t="shared" si="28"/>
        <v>-12000</v>
      </c>
      <c r="L94" s="79">
        <f t="shared" si="28"/>
        <v>-12000</v>
      </c>
      <c r="N94" s="9" t="s">
        <v>274</v>
      </c>
    </row>
    <row r="95" spans="3:14" x14ac:dyDescent="0.2">
      <c r="C95" s="42" t="s">
        <v>291</v>
      </c>
      <c r="D95" s="227">
        <f t="shared" ref="D95:G95" si="29">IFERROR(D94,"NA")</f>
        <v>-18733</v>
      </c>
      <c r="E95" s="227">
        <f t="shared" si="29"/>
        <v>-24844</v>
      </c>
      <c r="F95" s="227">
        <f t="shared" si="29"/>
        <v>-25750</v>
      </c>
      <c r="G95" s="227">
        <f t="shared" si="29"/>
        <v>-23944</v>
      </c>
      <c r="H95" s="227">
        <f>IFERROR(H94,"NA")</f>
        <v>-14658</v>
      </c>
      <c r="I95" s="227">
        <f>IFERROR(I94,"NA")</f>
        <v>-12000</v>
      </c>
      <c r="J95" s="227">
        <f>IFERROR(J94,"NA")</f>
        <v>-12000</v>
      </c>
      <c r="K95" s="227">
        <f>IFERROR(K94,"NA")</f>
        <v>-12000</v>
      </c>
      <c r="L95" s="227">
        <f>IFERROR(L94,"NA")</f>
        <v>-12000</v>
      </c>
    </row>
    <row r="96" spans="3:14" x14ac:dyDescent="0.2">
      <c r="H96" s="79"/>
      <c r="I96" s="79"/>
      <c r="J96" s="79"/>
      <c r="K96" s="79"/>
      <c r="L96" s="79"/>
    </row>
    <row r="97" spans="3:14" x14ac:dyDescent="0.2">
      <c r="C97" s="9" t="s">
        <v>292</v>
      </c>
      <c r="H97" s="79" t="e">
        <f>#REF!-#REF!</f>
        <v>#REF!</v>
      </c>
      <c r="I97" s="79" t="e">
        <f>#REF!-#REF!</f>
        <v>#REF!</v>
      </c>
      <c r="J97" s="79" t="e">
        <f>#REF!-#REF!</f>
        <v>#REF!</v>
      </c>
      <c r="K97" s="79" t="e">
        <f>#REF!-#REF!</f>
        <v>#REF!</v>
      </c>
      <c r="L97" s="79" t="e">
        <f>#REF!-#REF!</f>
        <v>#REF!</v>
      </c>
    </row>
    <row r="98" spans="3:14" x14ac:dyDescent="0.2">
      <c r="C98" s="9" t="s">
        <v>293</v>
      </c>
      <c r="H98" s="79" t="e">
        <f>#REF!-#REF!</f>
        <v>#REF!</v>
      </c>
      <c r="I98" s="79" t="e">
        <f>#REF!-#REF!</f>
        <v>#REF!</v>
      </c>
      <c r="J98" s="79" t="e">
        <f>#REF!-#REF!</f>
        <v>#REF!</v>
      </c>
      <c r="K98" s="79" t="e">
        <f>#REF!-#REF!</f>
        <v>#REF!</v>
      </c>
      <c r="L98" s="79" t="e">
        <f>#REF!-#REF!</f>
        <v>#REF!</v>
      </c>
      <c r="N98" s="9" t="s">
        <v>294</v>
      </c>
    </row>
    <row r="99" spans="3:14" x14ac:dyDescent="0.2">
      <c r="C99" s="9" t="s">
        <v>295</v>
      </c>
      <c r="H99" s="79">
        <f>H131</f>
        <v>0</v>
      </c>
      <c r="I99" s="79">
        <f t="shared" ref="I99:L99" si="30">I131</f>
        <v>0</v>
      </c>
      <c r="J99" s="79">
        <f t="shared" si="30"/>
        <v>0</v>
      </c>
      <c r="K99" s="79">
        <f t="shared" si="30"/>
        <v>0</v>
      </c>
      <c r="L99" s="79">
        <f t="shared" si="30"/>
        <v>0</v>
      </c>
      <c r="N99" s="9" t="s">
        <v>281</v>
      </c>
    </row>
    <row r="100" spans="3:14" x14ac:dyDescent="0.2">
      <c r="C100" s="9" t="s">
        <v>296</v>
      </c>
      <c r="H100" s="79" t="e">
        <f>H130</f>
        <v>#REF!</v>
      </c>
      <c r="I100" s="79" t="e">
        <f t="shared" ref="I100:L100" si="31">I130</f>
        <v>#REF!</v>
      </c>
      <c r="J100" s="79" t="e">
        <f t="shared" si="31"/>
        <v>#REF!</v>
      </c>
      <c r="K100" s="79" t="e">
        <f t="shared" si="31"/>
        <v>#REF!</v>
      </c>
      <c r="L100" s="79" t="e">
        <f t="shared" si="31"/>
        <v>#REF!</v>
      </c>
      <c r="N100" s="9" t="s">
        <v>281</v>
      </c>
    </row>
    <row r="101" spans="3:14" x14ac:dyDescent="0.2">
      <c r="C101" s="42" t="s">
        <v>297</v>
      </c>
      <c r="D101" s="227">
        <f t="shared" ref="D101:G101" si="32">SUM(D97:D100)</f>
        <v>0</v>
      </c>
      <c r="E101" s="227">
        <f t="shared" si="32"/>
        <v>0</v>
      </c>
      <c r="F101" s="227">
        <f t="shared" si="32"/>
        <v>0</v>
      </c>
      <c r="G101" s="227">
        <f t="shared" si="32"/>
        <v>0</v>
      </c>
      <c r="H101" s="227" t="e">
        <f>SUM(H97:H100)</f>
        <v>#REF!</v>
      </c>
      <c r="I101" s="227" t="e">
        <f t="shared" ref="I101:L101" si="33">SUM(I97:I100)</f>
        <v>#REF!</v>
      </c>
      <c r="J101" s="227" t="e">
        <f t="shared" si="33"/>
        <v>#REF!</v>
      </c>
      <c r="K101" s="227" t="e">
        <f t="shared" si="33"/>
        <v>#REF!</v>
      </c>
      <c r="L101" s="227" t="e">
        <f t="shared" si="33"/>
        <v>#REF!</v>
      </c>
    </row>
    <row r="102" spans="3:14" x14ac:dyDescent="0.2">
      <c r="H102" s="79"/>
      <c r="I102" s="79"/>
      <c r="J102" s="79"/>
      <c r="K102" s="79"/>
      <c r="L102" s="79"/>
    </row>
    <row r="103" spans="3:14" x14ac:dyDescent="0.2">
      <c r="C103" s="43" t="s">
        <v>298</v>
      </c>
      <c r="D103" s="54">
        <f t="shared" ref="D103:G103" si="34">D92+D95+D101</f>
        <v>13188</v>
      </c>
      <c r="E103" s="54">
        <f t="shared" si="34"/>
        <v>-3953</v>
      </c>
      <c r="F103" s="54">
        <f t="shared" si="34"/>
        <v>-14955</v>
      </c>
      <c r="G103" s="54">
        <f t="shared" si="34"/>
        <v>-25391</v>
      </c>
      <c r="H103" s="54" t="e">
        <f>H92+H95+H101</f>
        <v>#REF!</v>
      </c>
      <c r="I103" s="54" t="e">
        <f>I92+I95+I101</f>
        <v>#REF!</v>
      </c>
      <c r="J103" s="54" t="e">
        <f>J92+J95+J101</f>
        <v>#REF!</v>
      </c>
      <c r="K103" s="54" t="e">
        <f>K92+K95+K101</f>
        <v>#REF!</v>
      </c>
      <c r="L103" s="54" t="e">
        <f>L92+L95+L101</f>
        <v>#REF!</v>
      </c>
    </row>
    <row r="105" spans="3:14" x14ac:dyDescent="0.2">
      <c r="C105" s="135" t="s">
        <v>299</v>
      </c>
      <c r="D105" s="135"/>
      <c r="E105" s="136"/>
      <c r="F105" s="136"/>
      <c r="G105" s="136"/>
      <c r="H105" s="136"/>
      <c r="I105" s="136"/>
      <c r="J105" s="136"/>
      <c r="K105" s="136"/>
      <c r="L105" s="136"/>
    </row>
    <row r="106" spans="3:14" x14ac:dyDescent="0.2">
      <c r="C106" s="157" t="str">
        <f>C14</f>
        <v xml:space="preserve">Fiscal year  </v>
      </c>
      <c r="D106" s="157"/>
      <c r="E106" s="158">
        <f>E14</f>
        <v>2022</v>
      </c>
      <c r="F106" s="158">
        <f>F14</f>
        <v>2023</v>
      </c>
      <c r="G106" s="158">
        <f>G14</f>
        <v>2024</v>
      </c>
      <c r="H106" s="159">
        <f>H14</f>
        <v>2025</v>
      </c>
      <c r="I106" s="159">
        <f>I14</f>
        <v>2026</v>
      </c>
      <c r="J106" s="159">
        <f>J14</f>
        <v>2027</v>
      </c>
      <c r="K106" s="159">
        <f>K14</f>
        <v>2028</v>
      </c>
      <c r="L106" s="159">
        <f>L14</f>
        <v>2029</v>
      </c>
    </row>
    <row r="107" spans="3:14" x14ac:dyDescent="0.2">
      <c r="C107" s="136" t="str">
        <f>C15</f>
        <v>Fiscal year end date</v>
      </c>
      <c r="D107" s="136"/>
      <c r="E107" s="160">
        <f>E15</f>
        <v>44926</v>
      </c>
      <c r="F107" s="160">
        <f>F15</f>
        <v>45291</v>
      </c>
      <c r="G107" s="160">
        <f>G15</f>
        <v>45654</v>
      </c>
      <c r="H107" s="160">
        <f>H15</f>
        <v>46022</v>
      </c>
      <c r="I107" s="160">
        <f>I15</f>
        <v>46387</v>
      </c>
      <c r="J107" s="160">
        <f>J15</f>
        <v>46752</v>
      </c>
      <c r="K107" s="160">
        <f>K15</f>
        <v>47118</v>
      </c>
      <c r="L107" s="160">
        <f>L15</f>
        <v>47483</v>
      </c>
    </row>
    <row r="108" spans="3:14" x14ac:dyDescent="0.2">
      <c r="C108" s="43"/>
      <c r="D108" s="43"/>
      <c r="H108" s="163" t="s">
        <v>300</v>
      </c>
      <c r="I108" s="163"/>
      <c r="J108" s="163"/>
      <c r="K108" s="163"/>
      <c r="L108" s="163"/>
    </row>
    <row r="109" spans="3:14" x14ac:dyDescent="0.2">
      <c r="C109" s="150" t="s">
        <v>301</v>
      </c>
      <c r="D109" s="150"/>
      <c r="H109" s="79">
        <f>G112</f>
        <v>107919</v>
      </c>
      <c r="I109" s="79">
        <f>H112</f>
        <v>122577</v>
      </c>
      <c r="J109" s="79">
        <f>I112</f>
        <v>134337</v>
      </c>
      <c r="K109" s="79">
        <f>J112</f>
        <v>145857</v>
      </c>
      <c r="L109" s="79">
        <f>K112</f>
        <v>157137</v>
      </c>
      <c r="N109" s="9" t="s">
        <v>302</v>
      </c>
    </row>
    <row r="110" spans="3:14" x14ac:dyDescent="0.2">
      <c r="C110" s="164" t="s">
        <v>303</v>
      </c>
      <c r="D110" s="288">
        <f>D94</f>
        <v>-18733</v>
      </c>
      <c r="E110" s="288">
        <f t="shared" ref="E110:G110" si="35">E94</f>
        <v>-24844</v>
      </c>
      <c r="F110" s="288">
        <f t="shared" si="35"/>
        <v>-25750</v>
      </c>
      <c r="G110" s="288">
        <f t="shared" si="35"/>
        <v>-23944</v>
      </c>
      <c r="H110" s="288">
        <f>'Street Consensus'!C65</f>
        <v>14658</v>
      </c>
      <c r="I110" s="288">
        <f>'Street Consensus'!D65</f>
        <v>12000</v>
      </c>
      <c r="J110" s="288">
        <f>'Street Consensus'!E65</f>
        <v>12000</v>
      </c>
      <c r="K110" s="288">
        <f>'Street Consensus'!F65</f>
        <v>12000</v>
      </c>
      <c r="L110" s="288">
        <f>'Street Consensus'!G65</f>
        <v>12000</v>
      </c>
      <c r="N110" s="9" t="s">
        <v>304</v>
      </c>
    </row>
    <row r="111" spans="3:14" x14ac:dyDescent="0.2">
      <c r="C111" s="165" t="s">
        <v>305</v>
      </c>
      <c r="D111" s="166"/>
      <c r="E111" s="166"/>
      <c r="F111" s="166"/>
      <c r="G111" s="166"/>
      <c r="H111" s="167">
        <f>-(H114*H110)</f>
        <v>0</v>
      </c>
      <c r="I111" s="167">
        <f>-(I114*I110)</f>
        <v>-240</v>
      </c>
      <c r="J111" s="167">
        <f>-(J114*J110)</f>
        <v>-480</v>
      </c>
      <c r="K111" s="167">
        <f>-(K114*K110)</f>
        <v>-720</v>
      </c>
      <c r="L111" s="167">
        <f>-(L114*L110)</f>
        <v>-960</v>
      </c>
      <c r="N111" s="9" t="s">
        <v>306</v>
      </c>
    </row>
    <row r="112" spans="3:14" x14ac:dyDescent="0.2">
      <c r="C112" s="168" t="s">
        <v>307</v>
      </c>
      <c r="D112" s="54">
        <f>D56</f>
        <v>63245</v>
      </c>
      <c r="E112" s="54">
        <f>E56</f>
        <v>80860</v>
      </c>
      <c r="F112" s="54">
        <f>F56</f>
        <v>96647</v>
      </c>
      <c r="G112" s="54">
        <f>G56</f>
        <v>107919</v>
      </c>
      <c r="H112" s="54">
        <f>SUM(H109:H111)</f>
        <v>122577</v>
      </c>
      <c r="I112" s="54">
        <f>SUM(I109:I111)</f>
        <v>134337</v>
      </c>
      <c r="J112" s="54">
        <f>SUM(J109:J111)</f>
        <v>145857</v>
      </c>
      <c r="K112" s="54">
        <f>SUM(K109:K111)</f>
        <v>157137</v>
      </c>
      <c r="L112" s="54">
        <f>SUM(L109:L111)</f>
        <v>168177</v>
      </c>
      <c r="N112" s="9" t="s">
        <v>308</v>
      </c>
    </row>
    <row r="113" spans="3:18" x14ac:dyDescent="0.2">
      <c r="C113" s="150"/>
      <c r="D113" s="150"/>
      <c r="N113" s="153" t="s">
        <v>309</v>
      </c>
    </row>
    <row r="114" spans="3:18" x14ac:dyDescent="0.2">
      <c r="C114" s="150" t="s">
        <v>310</v>
      </c>
      <c r="D114" s="169">
        <f>-(D111/D110)</f>
        <v>0</v>
      </c>
      <c r="E114" s="169">
        <f>-(E111/E110)</f>
        <v>0</v>
      </c>
      <c r="F114" s="169">
        <f>-(F111/F110)</f>
        <v>0</v>
      </c>
      <c r="G114" s="169">
        <f>-(G111/G110)</f>
        <v>0</v>
      </c>
      <c r="H114" s="154">
        <f>AVERAGE(E114:G114)</f>
        <v>0</v>
      </c>
      <c r="I114" s="154">
        <f>H114+$N$114</f>
        <v>0.02</v>
      </c>
      <c r="J114" s="154">
        <f>I114+$N$114</f>
        <v>0.04</v>
      </c>
      <c r="K114" s="154">
        <f>J114+$N$114</f>
        <v>0.06</v>
      </c>
      <c r="L114" s="154">
        <f>K114+$N$114</f>
        <v>0.08</v>
      </c>
      <c r="N114" s="170">
        <v>0.02</v>
      </c>
      <c r="P114" s="171"/>
      <c r="Q114" s="171"/>
      <c r="R114" s="171"/>
    </row>
    <row r="115" spans="3:18" x14ac:dyDescent="0.2">
      <c r="C115" s="150"/>
      <c r="D115" s="150"/>
      <c r="E115" s="169"/>
      <c r="F115" s="169"/>
      <c r="G115" s="169"/>
      <c r="H115" s="154"/>
      <c r="I115" s="154"/>
      <c r="J115" s="154"/>
      <c r="K115" s="154"/>
      <c r="L115" s="154"/>
      <c r="P115" s="171"/>
      <c r="Q115" s="171"/>
      <c r="R115" s="171"/>
    </row>
    <row r="116" spans="3:18" x14ac:dyDescent="0.2">
      <c r="C116" s="172" t="s">
        <v>311</v>
      </c>
      <c r="D116" s="172"/>
      <c r="E116" s="173"/>
      <c r="F116" s="173"/>
      <c r="G116" s="173"/>
      <c r="H116" s="174"/>
      <c r="I116" s="174"/>
      <c r="J116" s="174"/>
      <c r="K116" s="174"/>
      <c r="L116" s="174"/>
      <c r="P116" s="171"/>
      <c r="Q116" s="171"/>
      <c r="R116" s="171"/>
    </row>
    <row r="117" spans="3:18" x14ac:dyDescent="0.2">
      <c r="C117" s="150" t="s">
        <v>392</v>
      </c>
      <c r="D117" s="79">
        <f t="shared" ref="D117" si="36">D119+D111</f>
        <v>11792</v>
      </c>
      <c r="E117" s="79">
        <f>E119+E111</f>
        <v>13035</v>
      </c>
      <c r="F117" s="79">
        <f>F119+F111</f>
        <v>9602</v>
      </c>
      <c r="G117" s="79">
        <f>G119+G111</f>
        <v>11379</v>
      </c>
      <c r="H117" s="148">
        <f>H118*H17</f>
        <v>11151.419999999998</v>
      </c>
      <c r="I117" s="148">
        <f>I118*I17</f>
        <v>11497.114019999997</v>
      </c>
      <c r="J117" s="148">
        <f>J118*J17</f>
        <v>12002.987036879998</v>
      </c>
      <c r="K117" s="148">
        <f>K118*K17</f>
        <v>12603.136388723999</v>
      </c>
      <c r="L117" s="148">
        <f>L118*L17</f>
        <v>13157.674389827855</v>
      </c>
      <c r="N117" s="9" t="s">
        <v>312</v>
      </c>
      <c r="P117" s="171"/>
      <c r="Q117" s="171"/>
      <c r="R117" s="171"/>
    </row>
    <row r="118" spans="3:18" x14ac:dyDescent="0.2">
      <c r="C118" s="73" t="s">
        <v>313</v>
      </c>
      <c r="D118" s="175">
        <f>D117/D17</f>
        <v>0.1492204899777283</v>
      </c>
      <c r="E118" s="175">
        <f>E117/E17</f>
        <v>0.20672756684746407</v>
      </c>
      <c r="F118" s="175">
        <f>F117/F17</f>
        <v>0.17706719775761598</v>
      </c>
      <c r="G118" s="175">
        <f>G117/G17</f>
        <v>0.21428974972222745</v>
      </c>
      <c r="H118" s="154">
        <f>G118</f>
        <v>0.21428974972222745</v>
      </c>
      <c r="I118" s="154">
        <f>H118</f>
        <v>0.21428974972222745</v>
      </c>
      <c r="J118" s="154">
        <f>I118</f>
        <v>0.21428974972222745</v>
      </c>
      <c r="K118" s="154">
        <f>J118</f>
        <v>0.21428974972222745</v>
      </c>
      <c r="L118" s="154">
        <f>K118</f>
        <v>0.21428974972222745</v>
      </c>
      <c r="N118" s="9" t="s">
        <v>314</v>
      </c>
    </row>
    <row r="119" spans="3:18" x14ac:dyDescent="0.2">
      <c r="C119" s="151" t="s">
        <v>315</v>
      </c>
      <c r="D119" s="54">
        <f>D31</f>
        <v>11792</v>
      </c>
      <c r="E119" s="54">
        <f>E31</f>
        <v>13035</v>
      </c>
      <c r="F119" s="54">
        <f>F31</f>
        <v>9602</v>
      </c>
      <c r="G119" s="54">
        <f>G31</f>
        <v>11379</v>
      </c>
      <c r="H119" s="149">
        <f>-H111+H117</f>
        <v>11151.419999999998</v>
      </c>
      <c r="I119" s="149">
        <f>-I111+I117</f>
        <v>11737.114019999997</v>
      </c>
      <c r="J119" s="149">
        <f>-J111+J117</f>
        <v>12482.987036879998</v>
      </c>
      <c r="K119" s="149">
        <f>-K111+K117</f>
        <v>13323.136388723999</v>
      </c>
      <c r="L119" s="149">
        <f>-L111+L117</f>
        <v>14117.674389827855</v>
      </c>
      <c r="N119" s="9" t="s">
        <v>316</v>
      </c>
    </row>
    <row r="120" spans="3:18" x14ac:dyDescent="0.2">
      <c r="C120" s="150"/>
      <c r="D120" s="150"/>
      <c r="E120" s="79"/>
      <c r="F120" s="79"/>
      <c r="G120" s="79"/>
      <c r="I120" s="79"/>
      <c r="J120" s="79"/>
      <c r="K120" s="79"/>
      <c r="L120" s="79"/>
    </row>
    <row r="121" spans="3:18" x14ac:dyDescent="0.2">
      <c r="C121" s="176" t="s">
        <v>317</v>
      </c>
      <c r="D121" s="176"/>
      <c r="E121" s="136"/>
      <c r="F121" s="136"/>
      <c r="G121" s="136"/>
      <c r="I121" s="79"/>
      <c r="J121" s="79"/>
      <c r="K121" s="79"/>
      <c r="L121" s="79"/>
    </row>
    <row r="122" spans="3:18" x14ac:dyDescent="0.2">
      <c r="C122" s="150" t="s">
        <v>301</v>
      </c>
      <c r="D122" s="150"/>
      <c r="E122" s="79"/>
      <c r="H122" s="177">
        <f>G125</f>
        <v>11166</v>
      </c>
      <c r="I122" s="177">
        <f>H125</f>
        <v>10942.68</v>
      </c>
      <c r="J122" s="177">
        <f>I125</f>
        <v>11281.90308</v>
      </c>
      <c r="K122" s="177">
        <f>J125</f>
        <v>11778.30681552</v>
      </c>
      <c r="L122" s="177">
        <f>K125</f>
        <v>12367.222156296</v>
      </c>
      <c r="N122" s="9" t="s">
        <v>302</v>
      </c>
    </row>
    <row r="123" spans="3:18" x14ac:dyDescent="0.2">
      <c r="C123" s="73" t="s">
        <v>318</v>
      </c>
      <c r="D123" s="73"/>
      <c r="H123" s="79">
        <f>-(H117)</f>
        <v>-11151.419999999998</v>
      </c>
      <c r="I123" s="79">
        <f>-(I117)</f>
        <v>-11497.114019999997</v>
      </c>
      <c r="J123" s="79">
        <f>-(J117)</f>
        <v>-12002.987036879998</v>
      </c>
      <c r="K123" s="79">
        <f>-(K117)</f>
        <v>-12603.136388723999</v>
      </c>
      <c r="L123" s="79">
        <f>-(L117)</f>
        <v>-13157.674389827855</v>
      </c>
      <c r="N123" s="9" t="s">
        <v>319</v>
      </c>
    </row>
    <row r="124" spans="3:18" ht="15" customHeight="1" x14ac:dyDescent="0.2">
      <c r="C124" s="178" t="s">
        <v>320</v>
      </c>
      <c r="D124" s="178"/>
      <c r="E124" s="179"/>
      <c r="F124" s="179"/>
      <c r="G124" s="179"/>
      <c r="H124" s="180">
        <f>H125-H123-H122</f>
        <v>10928.099999999999</v>
      </c>
      <c r="I124" s="180">
        <f>I125-I123-I122</f>
        <v>11836.337099999997</v>
      </c>
      <c r="J124" s="180">
        <f>J125-J123-J122</f>
        <v>12499.390772399998</v>
      </c>
      <c r="K124" s="180">
        <f>K125-K123-K122</f>
        <v>13192.051729499997</v>
      </c>
      <c r="L124" s="180">
        <f>L125-L123-L122</f>
        <v>13701.83216470488</v>
      </c>
      <c r="N124" s="9" t="s">
        <v>321</v>
      </c>
    </row>
    <row r="125" spans="3:18" x14ac:dyDescent="0.2">
      <c r="C125" s="168" t="s">
        <v>307</v>
      </c>
      <c r="D125" s="54"/>
      <c r="E125" s="54">
        <f>E57</f>
        <v>17333</v>
      </c>
      <c r="F125" s="54">
        <f>F57</f>
        <v>18236</v>
      </c>
      <c r="G125" s="54">
        <f>G57</f>
        <v>11166</v>
      </c>
      <c r="H125" s="54">
        <f>H57</f>
        <v>10942.68</v>
      </c>
      <c r="I125" s="54">
        <f>I57</f>
        <v>11281.90308</v>
      </c>
      <c r="J125" s="54">
        <f>J57</f>
        <v>11778.30681552</v>
      </c>
      <c r="K125" s="54">
        <f>K57</f>
        <v>12367.222156296</v>
      </c>
      <c r="L125" s="54">
        <f>L57</f>
        <v>12911.379931173025</v>
      </c>
      <c r="N125" s="9" t="s">
        <v>322</v>
      </c>
    </row>
    <row r="126" spans="3:18" x14ac:dyDescent="0.2">
      <c r="C126" s="73"/>
      <c r="D126" s="73"/>
      <c r="F126" s="79"/>
      <c r="G126" s="79"/>
      <c r="I126" s="79"/>
      <c r="J126" s="79"/>
      <c r="K126" s="79"/>
      <c r="L126" s="79"/>
    </row>
    <row r="127" spans="3:18" x14ac:dyDescent="0.2">
      <c r="C127" s="181" t="s">
        <v>323</v>
      </c>
      <c r="D127" s="181"/>
      <c r="E127" s="176"/>
      <c r="F127" s="176"/>
      <c r="G127" s="176"/>
      <c r="H127" s="136"/>
      <c r="I127" s="136"/>
      <c r="J127" s="136"/>
      <c r="K127" s="136"/>
      <c r="L127" s="136"/>
    </row>
    <row r="128" spans="3:18" x14ac:dyDescent="0.2">
      <c r="C128" s="150" t="s">
        <v>301</v>
      </c>
      <c r="D128" s="150"/>
      <c r="H128" s="79">
        <f>G132</f>
        <v>50949</v>
      </c>
      <c r="I128" s="79" t="e">
        <f>H132</f>
        <v>#REF!</v>
      </c>
      <c r="J128" s="79" t="e">
        <f>I132</f>
        <v>#REF!</v>
      </c>
      <c r="K128" s="79" t="e">
        <f>J132</f>
        <v>#REF!</v>
      </c>
      <c r="L128" s="79" t="e">
        <f>K132</f>
        <v>#REF!</v>
      </c>
      <c r="N128" s="9" t="s">
        <v>302</v>
      </c>
    </row>
    <row r="129" spans="3:18" x14ac:dyDescent="0.2">
      <c r="C129" s="73" t="s">
        <v>324</v>
      </c>
      <c r="D129" s="148">
        <f>D29</f>
        <v>18093</v>
      </c>
      <c r="E129" s="148">
        <f>E29</f>
        <v>4728</v>
      </c>
      <c r="F129" s="148">
        <f>F29</f>
        <v>-2036</v>
      </c>
      <c r="G129" s="148">
        <f>G29</f>
        <v>-16236</v>
      </c>
      <c r="H129" s="79" t="e">
        <f>H29</f>
        <v>#REF!</v>
      </c>
      <c r="I129" s="79" t="e">
        <f>I29</f>
        <v>#REF!</v>
      </c>
      <c r="J129" s="79" t="e">
        <f>J29</f>
        <v>#REF!</v>
      </c>
      <c r="K129" s="79" t="e">
        <f>K29</f>
        <v>#REF!</v>
      </c>
      <c r="L129" s="79" t="e">
        <f>L29</f>
        <v>#REF!</v>
      </c>
      <c r="N129" s="9" t="s">
        <v>325</v>
      </c>
    </row>
    <row r="130" spans="3:18" x14ac:dyDescent="0.2">
      <c r="C130" s="73" t="s">
        <v>326</v>
      </c>
      <c r="D130" s="147"/>
      <c r="E130" s="147"/>
      <c r="F130" s="147"/>
      <c r="G130" s="147"/>
      <c r="H130" s="79" t="e">
        <f>H129*G130/G129</f>
        <v>#REF!</v>
      </c>
      <c r="I130" s="79" t="e">
        <f t="shared" ref="I130:L130" si="37">I129*H130/H129</f>
        <v>#REF!</v>
      </c>
      <c r="J130" s="79" t="e">
        <f t="shared" si="37"/>
        <v>#REF!</v>
      </c>
      <c r="K130" s="79" t="e">
        <f t="shared" si="37"/>
        <v>#REF!</v>
      </c>
      <c r="L130" s="79" t="e">
        <f t="shared" si="37"/>
        <v>#REF!</v>
      </c>
      <c r="N130" s="9" t="s">
        <v>327</v>
      </c>
    </row>
    <row r="131" spans="3:18" x14ac:dyDescent="0.2">
      <c r="C131" s="178" t="s">
        <v>328</v>
      </c>
      <c r="D131" s="166"/>
      <c r="E131" s="166"/>
      <c r="F131" s="166"/>
      <c r="G131" s="166"/>
      <c r="H131" s="167">
        <f>G131</f>
        <v>0</v>
      </c>
      <c r="I131" s="167">
        <f t="shared" ref="I131:L131" si="38">H131</f>
        <v>0</v>
      </c>
      <c r="J131" s="167">
        <f t="shared" si="38"/>
        <v>0</v>
      </c>
      <c r="K131" s="167">
        <f t="shared" si="38"/>
        <v>0</v>
      </c>
      <c r="L131" s="167">
        <f t="shared" si="38"/>
        <v>0</v>
      </c>
      <c r="N131" s="9" t="s">
        <v>329</v>
      </c>
    </row>
    <row r="132" spans="3:18" x14ac:dyDescent="0.2">
      <c r="C132" s="168" t="s">
        <v>307</v>
      </c>
      <c r="D132" s="149">
        <f>D72</f>
        <v>28006</v>
      </c>
      <c r="E132" s="149">
        <f>E72</f>
        <v>31580</v>
      </c>
      <c r="F132" s="149">
        <f>F72</f>
        <v>36649</v>
      </c>
      <c r="G132" s="149">
        <f>G72</f>
        <v>50949</v>
      </c>
      <c r="H132" s="54" t="e">
        <f>SUM(H128:H131)</f>
        <v>#REF!</v>
      </c>
      <c r="I132" s="54" t="e">
        <f>SUM(I128:I131)</f>
        <v>#REF!</v>
      </c>
      <c r="J132" s="54" t="e">
        <f>SUM(J128:J131)</f>
        <v>#REF!</v>
      </c>
      <c r="K132" s="54" t="e">
        <f>SUM(K128:K131)</f>
        <v>#REF!</v>
      </c>
      <c r="L132" s="54" t="e">
        <f>SUM(L128:L131)</f>
        <v>#REF!</v>
      </c>
      <c r="N132" s="9" t="s">
        <v>330</v>
      </c>
    </row>
    <row r="133" spans="3:18" x14ac:dyDescent="0.2">
      <c r="F133" s="162"/>
      <c r="G133" s="162"/>
    </row>
    <row r="134" spans="3:18" x14ac:dyDescent="0.2">
      <c r="C134" s="135" t="s">
        <v>331</v>
      </c>
      <c r="D134" s="135"/>
      <c r="E134" s="136"/>
      <c r="F134" s="136"/>
      <c r="G134" s="136"/>
      <c r="H134" s="136"/>
      <c r="I134" s="136"/>
      <c r="J134" s="136"/>
      <c r="K134" s="136"/>
      <c r="L134" s="136"/>
      <c r="P134" s="171"/>
      <c r="Q134" s="171"/>
    </row>
    <row r="135" spans="3:18" x14ac:dyDescent="0.2">
      <c r="C135" s="157" t="str">
        <f>C14</f>
        <v xml:space="preserve">Fiscal year  </v>
      </c>
      <c r="D135" s="157"/>
      <c r="E135" s="158">
        <f>E14</f>
        <v>2022</v>
      </c>
      <c r="F135" s="158">
        <f>F14</f>
        <v>2023</v>
      </c>
      <c r="G135" s="158">
        <f>G14</f>
        <v>2024</v>
      </c>
      <c r="H135" s="159">
        <f>H14</f>
        <v>2025</v>
      </c>
      <c r="I135" s="159">
        <f>I14</f>
        <v>2026</v>
      </c>
      <c r="J135" s="159">
        <f>J14</f>
        <v>2027</v>
      </c>
      <c r="K135" s="159">
        <f>K14</f>
        <v>2028</v>
      </c>
      <c r="L135" s="159">
        <f>L14</f>
        <v>2029</v>
      </c>
      <c r="P135" s="171"/>
      <c r="Q135" s="171"/>
    </row>
    <row r="136" spans="3:18" x14ac:dyDescent="0.2">
      <c r="C136" s="136" t="str">
        <f>C15</f>
        <v>Fiscal year end date</v>
      </c>
      <c r="D136" s="136"/>
      <c r="E136" s="160">
        <f>E15</f>
        <v>44926</v>
      </c>
      <c r="F136" s="160">
        <f>F15</f>
        <v>45291</v>
      </c>
      <c r="G136" s="160">
        <f>G15</f>
        <v>45654</v>
      </c>
      <c r="H136" s="160">
        <f>H15</f>
        <v>46022</v>
      </c>
      <c r="I136" s="160">
        <f>I15</f>
        <v>46387</v>
      </c>
      <c r="J136" s="160">
        <f>J15</f>
        <v>46752</v>
      </c>
      <c r="K136" s="160">
        <f>K15</f>
        <v>47118</v>
      </c>
      <c r="L136" s="160">
        <f>L15</f>
        <v>47483</v>
      </c>
      <c r="P136" s="171"/>
      <c r="Q136" s="171"/>
    </row>
    <row r="137" spans="3:18" x14ac:dyDescent="0.2">
      <c r="C137" s="43"/>
      <c r="D137" s="43"/>
      <c r="P137" s="171"/>
      <c r="Q137" s="171"/>
    </row>
    <row r="138" spans="3:18" x14ac:dyDescent="0.2">
      <c r="C138" s="153" t="s">
        <v>332</v>
      </c>
      <c r="D138" s="153"/>
      <c r="P138" s="171"/>
      <c r="Q138" s="171"/>
      <c r="R138" s="171"/>
    </row>
    <row r="139" spans="3:18" x14ac:dyDescent="0.2">
      <c r="C139" s="73" t="s">
        <v>333</v>
      </c>
      <c r="D139" s="73"/>
      <c r="H139" s="79">
        <f>G54</f>
        <v>5383</v>
      </c>
      <c r="I139" s="79">
        <f>H54</f>
        <v>5383</v>
      </c>
      <c r="J139" s="79">
        <f>I54</f>
        <v>5383</v>
      </c>
      <c r="K139" s="79">
        <f>J54</f>
        <v>5383</v>
      </c>
      <c r="L139" s="79">
        <f>K54</f>
        <v>5383</v>
      </c>
      <c r="N139" s="9" t="s">
        <v>334</v>
      </c>
      <c r="P139" s="171"/>
      <c r="Q139" s="171"/>
    </row>
    <row r="140" spans="3:18" x14ac:dyDescent="0.2">
      <c r="C140" s="73" t="s">
        <v>335</v>
      </c>
      <c r="D140" s="73"/>
      <c r="H140" s="147"/>
      <c r="I140" s="147"/>
      <c r="J140" s="147"/>
      <c r="K140" s="147"/>
      <c r="L140" s="147"/>
      <c r="N140" s="9" t="s">
        <v>336</v>
      </c>
      <c r="P140" s="171"/>
      <c r="Q140" s="171"/>
    </row>
    <row r="141" spans="3:18" x14ac:dyDescent="0.2">
      <c r="C141" s="178" t="s">
        <v>337</v>
      </c>
      <c r="D141" s="178"/>
      <c r="E141" s="179"/>
      <c r="F141" s="179"/>
      <c r="G141" s="179"/>
      <c r="H141" s="167" t="e">
        <f>SUM(H92,H95,H97,H99,H100)</f>
        <v>#REF!</v>
      </c>
      <c r="I141" s="167" t="e">
        <f>SUM(I92,I95,I97,I99,I100)</f>
        <v>#REF!</v>
      </c>
      <c r="J141" s="167" t="e">
        <f>SUM(J92,J95,J97,J99,J100)</f>
        <v>#REF!</v>
      </c>
      <c r="K141" s="167" t="e">
        <f>SUM(K92,K95,K97,K99,K100)</f>
        <v>#REF!</v>
      </c>
      <c r="L141" s="167" t="e">
        <f>SUM(L92,L95,L97,L99,L100)</f>
        <v>#REF!</v>
      </c>
      <c r="N141" s="9" t="s">
        <v>393</v>
      </c>
    </row>
    <row r="142" spans="3:18" x14ac:dyDescent="0.2">
      <c r="C142" s="168" t="s">
        <v>338</v>
      </c>
      <c r="D142" s="168"/>
      <c r="H142" s="54" t="e">
        <f>SUM(H139:H141)</f>
        <v>#REF!</v>
      </c>
      <c r="I142" s="54" t="e">
        <f>SUM(I139:I141)</f>
        <v>#REF!</v>
      </c>
      <c r="J142" s="54" t="e">
        <f>SUM(J139:J141)</f>
        <v>#REF!</v>
      </c>
      <c r="K142" s="54" t="e">
        <f>SUM(K139:K141)</f>
        <v>#REF!</v>
      </c>
      <c r="L142" s="54" t="e">
        <f>SUM(L139:L141)</f>
        <v>#REF!</v>
      </c>
    </row>
    <row r="144" spans="3:18" x14ac:dyDescent="0.2">
      <c r="C144" s="43" t="s">
        <v>339</v>
      </c>
      <c r="D144" s="43"/>
    </row>
    <row r="145" spans="3:20" x14ac:dyDescent="0.2">
      <c r="C145" s="73" t="s">
        <v>301</v>
      </c>
      <c r="D145" s="73"/>
      <c r="H145" s="79" t="e">
        <f>G148</f>
        <v>#REF!</v>
      </c>
      <c r="I145" s="79" t="e">
        <f>H148</f>
        <v>#REF!</v>
      </c>
      <c r="J145" s="79" t="e">
        <f>I148</f>
        <v>#REF!</v>
      </c>
      <c r="K145" s="79" t="e">
        <f>J148</f>
        <v>#REF!</v>
      </c>
      <c r="L145" s="79" t="e">
        <f>K148</f>
        <v>#REF!</v>
      </c>
      <c r="N145" s="9" t="s">
        <v>302</v>
      </c>
    </row>
    <row r="146" spans="3:20" x14ac:dyDescent="0.2">
      <c r="C146" s="164" t="s">
        <v>340</v>
      </c>
      <c r="D146" s="164"/>
      <c r="H146" s="79" t="e">
        <f>-MIN(H142,H145)</f>
        <v>#REF!</v>
      </c>
      <c r="I146" s="79" t="e">
        <f>-MIN(I142,I145)</f>
        <v>#REF!</v>
      </c>
      <c r="J146" s="79" t="e">
        <f>-MIN(J142,J145)</f>
        <v>#REF!</v>
      </c>
      <c r="K146" s="79" t="e">
        <f>-MIN(K142,K145)</f>
        <v>#REF!</v>
      </c>
      <c r="L146" s="79" t="e">
        <f>-MIN(L142,L145)</f>
        <v>#REF!</v>
      </c>
      <c r="N146" s="9" t="s">
        <v>341</v>
      </c>
    </row>
    <row r="147" spans="3:20" x14ac:dyDescent="0.2">
      <c r="C147" s="165" t="s">
        <v>342</v>
      </c>
      <c r="D147" s="165"/>
      <c r="E147" s="179"/>
      <c r="F147" s="179"/>
      <c r="G147" s="179"/>
      <c r="H147" s="166"/>
      <c r="I147" s="166"/>
      <c r="J147" s="166"/>
      <c r="K147" s="166"/>
      <c r="L147" s="166"/>
      <c r="N147" s="9" t="s">
        <v>336</v>
      </c>
    </row>
    <row r="148" spans="3:20" x14ac:dyDescent="0.2">
      <c r="C148" s="73" t="s">
        <v>307</v>
      </c>
      <c r="D148" s="167"/>
      <c r="E148" s="167" t="e">
        <f>#REF!</f>
        <v>#REF!</v>
      </c>
      <c r="F148" s="167" t="e">
        <f>#REF!</f>
        <v>#REF!</v>
      </c>
      <c r="G148" s="167" t="e">
        <f>#REF!</f>
        <v>#REF!</v>
      </c>
      <c r="H148" s="182" t="e">
        <f>SUM(H145:H147)</f>
        <v>#REF!</v>
      </c>
      <c r="I148" s="182" t="e">
        <f>SUM(I145:I147)</f>
        <v>#REF!</v>
      </c>
      <c r="J148" s="182" t="e">
        <f>SUM(J145:J147)</f>
        <v>#REF!</v>
      </c>
      <c r="K148" s="182" t="e">
        <f>SUM(K145:K147)</f>
        <v>#REF!</v>
      </c>
      <c r="L148" s="182" t="e">
        <f>SUM(L145:L147)</f>
        <v>#REF!</v>
      </c>
    </row>
    <row r="149" spans="3:20" x14ac:dyDescent="0.2">
      <c r="C149" s="120" t="s">
        <v>343</v>
      </c>
      <c r="D149" s="121"/>
      <c r="E149" s="183"/>
      <c r="F149" s="183"/>
      <c r="G149" s="184"/>
      <c r="H149" s="185" t="e">
        <f>IF(H148&lt;0,"Negative Debt","OK")</f>
        <v>#REF!</v>
      </c>
      <c r="I149" s="185" t="e">
        <f>IF(I148&lt;0,"Negative Debt","OK")</f>
        <v>#REF!</v>
      </c>
      <c r="J149" s="185" t="e">
        <f>IF(J148&lt;0,"Negative Debt","OK")</f>
        <v>#REF!</v>
      </c>
      <c r="K149" s="185" t="e">
        <f>IF(K148&lt;0,"Negative Debt","OK")</f>
        <v>#REF!</v>
      </c>
      <c r="L149" s="185" t="e">
        <f>IF(L148&lt;0,"Negative Debt","OK")</f>
        <v>#REF!</v>
      </c>
      <c r="T149" s="162"/>
    </row>
    <row r="150" spans="3:20" x14ac:dyDescent="0.2">
      <c r="E150" s="79"/>
      <c r="F150" s="79"/>
      <c r="G150" s="122"/>
      <c r="H150" s="186"/>
      <c r="I150" s="186"/>
      <c r="J150" s="186"/>
      <c r="K150" s="186"/>
      <c r="L150" s="186"/>
      <c r="T150" s="162"/>
    </row>
    <row r="151" spans="3:20" x14ac:dyDescent="0.2">
      <c r="C151" s="135" t="s">
        <v>344</v>
      </c>
      <c r="D151" s="135"/>
      <c r="E151" s="173"/>
      <c r="F151" s="173"/>
      <c r="G151" s="173"/>
      <c r="H151" s="187"/>
      <c r="I151" s="187"/>
      <c r="J151" s="187"/>
      <c r="K151" s="187"/>
      <c r="L151" s="187"/>
      <c r="S151" s="188"/>
    </row>
    <row r="152" spans="3:20" x14ac:dyDescent="0.2">
      <c r="C152" s="157" t="str">
        <f>C14</f>
        <v xml:space="preserve">Fiscal year  </v>
      </c>
      <c r="D152" s="157"/>
      <c r="E152" s="158">
        <f>E14</f>
        <v>2022</v>
      </c>
      <c r="F152" s="158">
        <f>F14</f>
        <v>2023</v>
      </c>
      <c r="G152" s="158">
        <f>G14</f>
        <v>2024</v>
      </c>
      <c r="H152" s="159">
        <f>H14</f>
        <v>2025</v>
      </c>
      <c r="I152" s="159">
        <f>I14</f>
        <v>2026</v>
      </c>
      <c r="J152" s="159">
        <f>J14</f>
        <v>2027</v>
      </c>
      <c r="K152" s="159">
        <f>K14</f>
        <v>2028</v>
      </c>
      <c r="L152" s="159">
        <f>L14</f>
        <v>2029</v>
      </c>
      <c r="S152" s="188"/>
      <c r="T152" s="162"/>
    </row>
    <row r="153" spans="3:20" x14ac:dyDescent="0.2">
      <c r="C153" s="136" t="str">
        <f>C15</f>
        <v>Fiscal year end date</v>
      </c>
      <c r="D153" s="136"/>
      <c r="E153" s="160">
        <f>E15</f>
        <v>44926</v>
      </c>
      <c r="F153" s="160">
        <f>F15</f>
        <v>45291</v>
      </c>
      <c r="G153" s="160">
        <f>G15</f>
        <v>45654</v>
      </c>
      <c r="H153" s="160">
        <f>H15</f>
        <v>46022</v>
      </c>
      <c r="I153" s="160">
        <f>I15</f>
        <v>46387</v>
      </c>
      <c r="J153" s="160">
        <f>J15</f>
        <v>46752</v>
      </c>
      <c r="K153" s="160">
        <f>K15</f>
        <v>47118</v>
      </c>
      <c r="L153" s="160">
        <f>L15</f>
        <v>47483</v>
      </c>
      <c r="S153" s="188"/>
    </row>
    <row r="154" spans="3:20" x14ac:dyDescent="0.2">
      <c r="C154" s="73"/>
      <c r="D154" s="73"/>
      <c r="E154" s="79"/>
      <c r="F154" s="79"/>
      <c r="G154" s="79"/>
      <c r="H154" s="189"/>
      <c r="I154" s="189"/>
      <c r="J154" s="189"/>
      <c r="K154" s="189"/>
      <c r="L154" s="189"/>
      <c r="S154" s="188"/>
    </row>
    <row r="155" spans="3:20" x14ac:dyDescent="0.2">
      <c r="C155" s="150" t="s">
        <v>345</v>
      </c>
      <c r="D155" s="79">
        <f>-(D25)</f>
        <v>597</v>
      </c>
      <c r="E155" s="79">
        <f>-(E25)</f>
        <v>496</v>
      </c>
      <c r="F155" s="79">
        <f>-(F25)</f>
        <v>878</v>
      </c>
      <c r="G155" s="79">
        <f>-(G25)</f>
        <v>1034</v>
      </c>
      <c r="H155" s="79" t="e">
        <f>H160+H165</f>
        <v>#REF!</v>
      </c>
      <c r="I155" s="79" t="e">
        <f>I160+I165</f>
        <v>#REF!</v>
      </c>
      <c r="J155" s="79" t="e">
        <f>J160+J165</f>
        <v>#REF!</v>
      </c>
      <c r="K155" s="79" t="e">
        <f>K160+K165</f>
        <v>#REF!</v>
      </c>
      <c r="L155" s="79" t="e">
        <f>L160+L165</f>
        <v>#REF!</v>
      </c>
      <c r="N155" s="9" t="s">
        <v>346</v>
      </c>
      <c r="S155" s="162"/>
    </row>
    <row r="156" spans="3:20" x14ac:dyDescent="0.2">
      <c r="C156" s="190"/>
      <c r="D156" s="190"/>
      <c r="S156" s="162"/>
    </row>
    <row r="157" spans="3:20" x14ac:dyDescent="0.2">
      <c r="C157" s="191" t="s">
        <v>347</v>
      </c>
      <c r="D157" s="191"/>
      <c r="S157" s="162"/>
    </row>
    <row r="158" spans="3:20" x14ac:dyDescent="0.2">
      <c r="C158" s="73" t="s">
        <v>348</v>
      </c>
      <c r="D158" s="73"/>
      <c r="E158" s="192"/>
      <c r="F158" s="192"/>
      <c r="G158" s="192"/>
      <c r="H158" s="193">
        <f>G158</f>
        <v>0</v>
      </c>
      <c r="I158" s="193">
        <f>H158</f>
        <v>0</v>
      </c>
      <c r="J158" s="193">
        <f>I158</f>
        <v>0</v>
      </c>
      <c r="K158" s="193">
        <f>J158</f>
        <v>0</v>
      </c>
      <c r="L158" s="193">
        <f>K158</f>
        <v>0</v>
      </c>
      <c r="N158" s="9" t="s">
        <v>349</v>
      </c>
    </row>
    <row r="159" spans="3:20" x14ac:dyDescent="0.2">
      <c r="C159" s="73" t="s">
        <v>350</v>
      </c>
      <c r="D159" s="178"/>
      <c r="E159" s="167" t="e">
        <f>#REF!</f>
        <v>#REF!</v>
      </c>
      <c r="F159" s="167" t="e">
        <f>#REF!</f>
        <v>#REF!</v>
      </c>
      <c r="G159" s="167" t="e">
        <f>#REF!</f>
        <v>#REF!</v>
      </c>
      <c r="H159" s="79" t="e">
        <f>#REF!</f>
        <v>#REF!</v>
      </c>
      <c r="I159" s="79" t="e">
        <f>#REF!</f>
        <v>#REF!</v>
      </c>
      <c r="J159" s="79" t="e">
        <f>#REF!</f>
        <v>#REF!</v>
      </c>
      <c r="K159" s="79" t="e">
        <f>#REF!</f>
        <v>#REF!</v>
      </c>
      <c r="L159" s="79" t="e">
        <f>#REF!</f>
        <v>#REF!</v>
      </c>
      <c r="N159" s="9" t="s">
        <v>351</v>
      </c>
    </row>
    <row r="160" spans="3:20" x14ac:dyDescent="0.2">
      <c r="C160" s="194" t="s">
        <v>352</v>
      </c>
      <c r="D160" s="195"/>
      <c r="E160" s="54" t="e">
        <f>AVERAGE(D159:E159)*E158</f>
        <v>#REF!</v>
      </c>
      <c r="F160" s="54" t="e">
        <f>AVERAGE(E159:F159)*F158</f>
        <v>#REF!</v>
      </c>
      <c r="G160" s="54" t="e">
        <f>AVERAGE(F159:G159)*G158</f>
        <v>#REF!</v>
      </c>
      <c r="H160" s="196" t="e">
        <f>IF($D$7=1,AVERAGE(G159,H159)*H158,0)</f>
        <v>#REF!</v>
      </c>
      <c r="I160" s="196" t="e">
        <f t="shared" ref="I160:L160" si="39">IF($D$7=1,AVERAGE(H159,I159)*I158,0)</f>
        <v>#REF!</v>
      </c>
      <c r="J160" s="196" t="e">
        <f t="shared" si="39"/>
        <v>#REF!</v>
      </c>
      <c r="K160" s="196" t="e">
        <f t="shared" si="39"/>
        <v>#REF!</v>
      </c>
      <c r="L160" s="196" t="e">
        <f t="shared" si="39"/>
        <v>#REF!</v>
      </c>
      <c r="N160" s="9" t="s">
        <v>353</v>
      </c>
    </row>
    <row r="161" spans="3:19" x14ac:dyDescent="0.2">
      <c r="C161" s="197"/>
      <c r="D161" s="197"/>
      <c r="E161" s="79"/>
      <c r="F161" s="79"/>
      <c r="G161" s="79"/>
    </row>
    <row r="162" spans="3:19" x14ac:dyDescent="0.2">
      <c r="C162" s="191" t="s">
        <v>292</v>
      </c>
      <c r="D162" s="191"/>
      <c r="E162" s="79"/>
      <c r="F162" s="79"/>
      <c r="G162" s="79"/>
    </row>
    <row r="163" spans="3:19" x14ac:dyDescent="0.2">
      <c r="C163" s="73" t="s">
        <v>350</v>
      </c>
      <c r="D163" s="73"/>
      <c r="E163" s="79" t="e">
        <f>#REF!</f>
        <v>#REF!</v>
      </c>
      <c r="F163" s="79" t="e">
        <f>#REF!</f>
        <v>#REF!</v>
      </c>
      <c r="G163" s="79" t="e">
        <f>#REF!</f>
        <v>#REF!</v>
      </c>
      <c r="H163" s="79" t="e">
        <f>#REF!</f>
        <v>#REF!</v>
      </c>
      <c r="I163" s="79" t="e">
        <f>#REF!</f>
        <v>#REF!</v>
      </c>
      <c r="J163" s="79" t="e">
        <f>#REF!</f>
        <v>#REF!</v>
      </c>
      <c r="K163" s="79" t="e">
        <f>#REF!</f>
        <v>#REF!</v>
      </c>
      <c r="L163" s="79" t="e">
        <f>#REF!</f>
        <v>#REF!</v>
      </c>
      <c r="N163" s="9" t="s">
        <v>294</v>
      </c>
    </row>
    <row r="164" spans="3:19" x14ac:dyDescent="0.2">
      <c r="C164" s="73" t="s">
        <v>348</v>
      </c>
      <c r="D164" s="73"/>
      <c r="E164" s="175" t="e">
        <f t="shared" ref="E164:F164" si="40">E165/AVERAGE(D163:E163)</f>
        <v>#REF!</v>
      </c>
      <c r="F164" s="175" t="e">
        <f t="shared" si="40"/>
        <v>#REF!</v>
      </c>
      <c r="G164" s="175" t="e">
        <f>G165/AVERAGE(F163:G163)</f>
        <v>#REF!</v>
      </c>
      <c r="H164" s="198" t="e">
        <f>G164</f>
        <v>#REF!</v>
      </c>
      <c r="I164" s="198" t="e">
        <f>H164</f>
        <v>#REF!</v>
      </c>
      <c r="J164" s="198" t="e">
        <f>I164</f>
        <v>#REF!</v>
      </c>
      <c r="K164" s="198" t="e">
        <f>J164</f>
        <v>#REF!</v>
      </c>
      <c r="L164" s="198" t="e">
        <f>K164</f>
        <v>#REF!</v>
      </c>
      <c r="N164" s="9" t="s">
        <v>349</v>
      </c>
      <c r="S164" s="188"/>
    </row>
    <row r="165" spans="3:19" x14ac:dyDescent="0.2">
      <c r="C165" s="168" t="s">
        <v>354</v>
      </c>
      <c r="D165" s="168"/>
      <c r="E165" s="54" t="e">
        <f t="shared" ref="E165" si="41">E155-E160</f>
        <v>#REF!</v>
      </c>
      <c r="F165" s="54" t="e">
        <f>F155-F160</f>
        <v>#REF!</v>
      </c>
      <c r="G165" s="54" t="e">
        <f>G155-G160</f>
        <v>#REF!</v>
      </c>
      <c r="H165" s="149" t="e">
        <f>H164*AVERAGE(G163:H163)</f>
        <v>#REF!</v>
      </c>
      <c r="I165" s="149" t="e">
        <f>I164*AVERAGE(H163:I163)</f>
        <v>#REF!</v>
      </c>
      <c r="J165" s="149" t="e">
        <f>J164*AVERAGE(I163:J163)</f>
        <v>#REF!</v>
      </c>
      <c r="K165" s="149" t="e">
        <f>K164*AVERAGE(J163:K163)</f>
        <v>#REF!</v>
      </c>
      <c r="L165" s="149" t="e">
        <f>L164*AVERAGE(K163:L163)</f>
        <v>#REF!</v>
      </c>
      <c r="N165" s="9" t="s">
        <v>355</v>
      </c>
    </row>
    <row r="166" spans="3:19" x14ac:dyDescent="0.2">
      <c r="F166" s="79"/>
    </row>
    <row r="167" spans="3:19" x14ac:dyDescent="0.2">
      <c r="C167" s="190" t="s">
        <v>356</v>
      </c>
      <c r="D167" s="190"/>
      <c r="F167" s="79"/>
      <c r="G167" s="79"/>
    </row>
    <row r="168" spans="3:19" ht="15" customHeight="1" x14ac:dyDescent="0.2">
      <c r="C168" s="73" t="s">
        <v>357</v>
      </c>
      <c r="D168" s="199"/>
      <c r="E168" s="192"/>
      <c r="F168" s="192"/>
      <c r="G168" s="192"/>
      <c r="H168" s="200">
        <f>G168</f>
        <v>0</v>
      </c>
      <c r="I168" s="200">
        <f>H168</f>
        <v>0</v>
      </c>
      <c r="J168" s="200">
        <f>I168</f>
        <v>0</v>
      </c>
      <c r="K168" s="200">
        <f>J168</f>
        <v>0</v>
      </c>
      <c r="L168" s="200">
        <f>K168</f>
        <v>0</v>
      </c>
      <c r="N168" s="9" t="s">
        <v>349</v>
      </c>
    </row>
    <row r="169" spans="3:19" ht="15" customHeight="1" x14ac:dyDescent="0.2">
      <c r="C169" s="73" t="s">
        <v>248</v>
      </c>
      <c r="D169" s="79">
        <f>D24</f>
        <v>144</v>
      </c>
      <c r="E169" s="79">
        <f>E24</f>
        <v>589</v>
      </c>
      <c r="F169" s="79">
        <f>F24</f>
        <v>1335</v>
      </c>
      <c r="G169" s="79">
        <f>G24</f>
        <v>1245</v>
      </c>
      <c r="H169" s="148">
        <f>IF($D$7=1,AVERAGE(G54,H54)*H168,0)</f>
        <v>0</v>
      </c>
      <c r="I169" s="148">
        <f>IF($D$7=1,AVERAGE(H54,I54)*I168,0)</f>
        <v>0</v>
      </c>
      <c r="J169" s="148">
        <f>IF($D$7=1,AVERAGE(I54,J54)*J168,0)</f>
        <v>0</v>
      </c>
      <c r="K169" s="148">
        <f>IF($D$7=1,AVERAGE(J54,K54)*K168,0)</f>
        <v>0</v>
      </c>
      <c r="L169" s="148">
        <f>IF($D$7=1,AVERAGE(K54,L54)*L168,0)</f>
        <v>0</v>
      </c>
      <c r="N169" s="9" t="s">
        <v>358</v>
      </c>
    </row>
    <row r="170" spans="3:19" x14ac:dyDescent="0.2">
      <c r="C170" s="201"/>
      <c r="D170" s="201"/>
      <c r="E170" s="175"/>
      <c r="F170" s="175"/>
      <c r="G170" s="175"/>
      <c r="H170" s="175"/>
      <c r="I170" s="175"/>
    </row>
    <row r="171" spans="3:19" x14ac:dyDescent="0.2">
      <c r="C171" s="135" t="s">
        <v>359</v>
      </c>
      <c r="D171" s="135"/>
      <c r="E171" s="135"/>
      <c r="F171" s="135"/>
      <c r="G171" s="135"/>
      <c r="H171" s="135"/>
      <c r="I171" s="135"/>
      <c r="J171" s="135"/>
      <c r="K171" s="135"/>
      <c r="L171" s="135"/>
    </row>
    <row r="172" spans="3:19" x14ac:dyDescent="0.2">
      <c r="C172" s="157"/>
      <c r="D172" s="158">
        <f>D14</f>
        <v>2021</v>
      </c>
      <c r="E172" s="158">
        <f>E14</f>
        <v>2022</v>
      </c>
      <c r="F172" s="158">
        <f>F14</f>
        <v>2023</v>
      </c>
      <c r="G172" s="159">
        <f>G14</f>
        <v>2024</v>
      </c>
      <c r="H172" s="159">
        <f>H14</f>
        <v>2025</v>
      </c>
      <c r="I172" s="159">
        <f>I14</f>
        <v>2026</v>
      </c>
      <c r="J172" s="159">
        <f>J14</f>
        <v>2027</v>
      </c>
      <c r="K172" s="159">
        <f>K14</f>
        <v>2028</v>
      </c>
      <c r="L172" s="159">
        <f>L14</f>
        <v>2029</v>
      </c>
    </row>
    <row r="173" spans="3:19" x14ac:dyDescent="0.2">
      <c r="C173" s="136"/>
      <c r="D173" s="160">
        <f>D15</f>
        <v>44561</v>
      </c>
      <c r="E173" s="160">
        <f>E15</f>
        <v>44926</v>
      </c>
      <c r="F173" s="160">
        <f>F15</f>
        <v>45291</v>
      </c>
      <c r="G173" s="160">
        <f>G15</f>
        <v>45654</v>
      </c>
      <c r="H173" s="160">
        <f>H15</f>
        <v>46022</v>
      </c>
      <c r="I173" s="160">
        <f>I15</f>
        <v>46387</v>
      </c>
      <c r="J173" s="160">
        <f>J15</f>
        <v>46752</v>
      </c>
      <c r="K173" s="160">
        <f>K15</f>
        <v>47118</v>
      </c>
      <c r="L173" s="160">
        <f>L15</f>
        <v>47483</v>
      </c>
    </row>
    <row r="174" spans="3:19" x14ac:dyDescent="0.2">
      <c r="G174" s="155"/>
      <c r="H174" s="155"/>
      <c r="I174" s="155"/>
      <c r="J174" s="154"/>
      <c r="K174" s="154"/>
    </row>
    <row r="175" spans="3:19" x14ac:dyDescent="0.2">
      <c r="C175" s="9" t="s">
        <v>22</v>
      </c>
      <c r="D175" s="79">
        <f>D29</f>
        <v>18093</v>
      </c>
      <c r="E175" s="79">
        <f>E29</f>
        <v>4728</v>
      </c>
      <c r="F175" s="79">
        <f>F29</f>
        <v>-2036</v>
      </c>
      <c r="G175" s="79">
        <f>G29</f>
        <v>-16236</v>
      </c>
      <c r="H175" s="79" t="e">
        <f>H29</f>
        <v>#REF!</v>
      </c>
      <c r="I175" s="79" t="e">
        <f>I29</f>
        <v>#REF!</v>
      </c>
      <c r="J175" s="79" t="e">
        <f>J29</f>
        <v>#REF!</v>
      </c>
      <c r="K175" s="79" t="e">
        <f>K29</f>
        <v>#REF!</v>
      </c>
      <c r="L175" s="79" t="e">
        <f>L29</f>
        <v>#REF!</v>
      </c>
      <c r="N175" s="9" t="s">
        <v>360</v>
      </c>
    </row>
    <row r="176" spans="3:19" x14ac:dyDescent="0.2">
      <c r="C176" s="9" t="s">
        <v>361</v>
      </c>
      <c r="D176" s="147"/>
      <c r="E176" s="147"/>
      <c r="F176" s="147"/>
      <c r="G176" s="147"/>
      <c r="H176" s="79">
        <f>G176+(-H182+H183)/H184</f>
        <v>11.139333333333333</v>
      </c>
      <c r="I176" s="79" t="e">
        <f t="shared" ref="I176:L176" si="42">H176+(-I182+I183)/I184</f>
        <v>#REF!</v>
      </c>
      <c r="J176" s="79" t="e">
        <f t="shared" si="42"/>
        <v>#REF!</v>
      </c>
      <c r="K176" s="79" t="e">
        <f t="shared" si="42"/>
        <v>#REF!</v>
      </c>
      <c r="L176" s="79" t="e">
        <f t="shared" si="42"/>
        <v>#REF!</v>
      </c>
      <c r="N176" s="9" t="s">
        <v>362</v>
      </c>
    </row>
    <row r="177" spans="3:14" x14ac:dyDescent="0.2">
      <c r="C177" s="43" t="s">
        <v>180</v>
      </c>
      <c r="D177" s="202" t="e">
        <f t="shared" ref="D177:G177" si="43">D175/D176</f>
        <v>#DIV/0!</v>
      </c>
      <c r="E177" s="202" t="e">
        <f t="shared" si="43"/>
        <v>#DIV/0!</v>
      </c>
      <c r="F177" s="202" t="e">
        <f t="shared" si="43"/>
        <v>#DIV/0!</v>
      </c>
      <c r="G177" s="202" t="e">
        <f t="shared" si="43"/>
        <v>#DIV/0!</v>
      </c>
      <c r="H177" s="202" t="e">
        <f>H175/H176</f>
        <v>#REF!</v>
      </c>
      <c r="I177" s="202" t="e">
        <f>I175/I176</f>
        <v>#REF!</v>
      </c>
      <c r="J177" s="202" t="e">
        <f>J175/J176</f>
        <v>#REF!</v>
      </c>
      <c r="K177" s="202" t="e">
        <f>K175/K176</f>
        <v>#REF!</v>
      </c>
      <c r="L177" s="202" t="e">
        <f>L175/L176</f>
        <v>#REF!</v>
      </c>
      <c r="N177" s="9" t="s">
        <v>363</v>
      </c>
    </row>
    <row r="178" spans="3:14" x14ac:dyDescent="0.2">
      <c r="E178" s="147"/>
      <c r="F178" s="147"/>
      <c r="G178" s="147"/>
      <c r="H178" s="79"/>
    </row>
    <row r="179" spans="3:14" x14ac:dyDescent="0.2">
      <c r="C179" s="9" t="s">
        <v>364</v>
      </c>
      <c r="D179" s="147"/>
      <c r="E179" s="147"/>
      <c r="F179" s="147"/>
      <c r="G179" s="147"/>
      <c r="H179" s="79">
        <f>H176+G179-G176</f>
        <v>11.139333333333333</v>
      </c>
      <c r="I179" s="79" t="e">
        <f t="shared" ref="I179:L179" si="44">I176+H179-H176</f>
        <v>#REF!</v>
      </c>
      <c r="J179" s="79" t="e">
        <f t="shared" si="44"/>
        <v>#REF!</v>
      </c>
      <c r="K179" s="79" t="e">
        <f t="shared" si="44"/>
        <v>#REF!</v>
      </c>
      <c r="L179" s="79" t="e">
        <f t="shared" si="44"/>
        <v>#REF!</v>
      </c>
      <c r="N179" s="9" t="s">
        <v>365</v>
      </c>
    </row>
    <row r="180" spans="3:14" x14ac:dyDescent="0.2">
      <c r="C180" s="43" t="s">
        <v>182</v>
      </c>
      <c r="D180" s="202" t="e">
        <f>D175/D179</f>
        <v>#DIV/0!</v>
      </c>
      <c r="E180" s="202" t="e">
        <f t="shared" ref="E180:G180" si="45">E175/E179</f>
        <v>#DIV/0!</v>
      </c>
      <c r="F180" s="202" t="e">
        <f t="shared" si="45"/>
        <v>#DIV/0!</v>
      </c>
      <c r="G180" s="202" t="e">
        <f t="shared" si="45"/>
        <v>#DIV/0!</v>
      </c>
      <c r="H180" s="202" t="e">
        <f>H175/H179</f>
        <v>#REF!</v>
      </c>
      <c r="I180" s="202" t="e">
        <f>I175/I179</f>
        <v>#REF!</v>
      </c>
      <c r="J180" s="202" t="e">
        <f>J175/J179</f>
        <v>#REF!</v>
      </c>
      <c r="K180" s="202" t="e">
        <f>K175/K179</f>
        <v>#REF!</v>
      </c>
      <c r="L180" s="202" t="e">
        <f>L175/L179</f>
        <v>#REF!</v>
      </c>
      <c r="N180" s="9" t="s">
        <v>366</v>
      </c>
    </row>
    <row r="181" spans="3:14" x14ac:dyDescent="0.2">
      <c r="H181" s="203"/>
    </row>
    <row r="182" spans="3:14" x14ac:dyDescent="0.2">
      <c r="C182" s="9" t="s">
        <v>367</v>
      </c>
      <c r="H182" s="79">
        <f>-(H99)</f>
        <v>0</v>
      </c>
      <c r="I182" s="79">
        <f t="shared" ref="I182:L182" si="46">-(I99)</f>
        <v>0</v>
      </c>
      <c r="J182" s="79">
        <f t="shared" si="46"/>
        <v>0</v>
      </c>
      <c r="K182" s="79">
        <f t="shared" si="46"/>
        <v>0</v>
      </c>
      <c r="L182" s="79">
        <f t="shared" si="46"/>
        <v>0</v>
      </c>
      <c r="N182" s="9" t="s">
        <v>368</v>
      </c>
    </row>
    <row r="183" spans="3:14" x14ac:dyDescent="0.2">
      <c r="C183" s="9" t="s">
        <v>369</v>
      </c>
      <c r="H183" s="148">
        <f>H33</f>
        <v>3341.7999999999997</v>
      </c>
      <c r="I183" s="148">
        <f>I33</f>
        <v>3445.3957999999993</v>
      </c>
      <c r="J183" s="148">
        <f>J33</f>
        <v>3596.9932151999992</v>
      </c>
      <c r="K183" s="148">
        <f>K33</f>
        <v>3776.8428759599992</v>
      </c>
      <c r="L183" s="148">
        <f>L33</f>
        <v>3943.0239625022396</v>
      </c>
      <c r="N183" s="9" t="s">
        <v>370</v>
      </c>
    </row>
    <row r="184" spans="3:14" x14ac:dyDescent="0.2">
      <c r="C184" s="9" t="s">
        <v>371</v>
      </c>
      <c r="H184" s="204">
        <v>300</v>
      </c>
      <c r="I184" s="203" t="e">
        <f>H184*(1+I185)</f>
        <v>#REF!</v>
      </c>
      <c r="J184" s="203" t="e">
        <f>I184*(1+J185)</f>
        <v>#REF!</v>
      </c>
      <c r="K184" s="203" t="e">
        <f>J184*(1+K185)</f>
        <v>#REF!</v>
      </c>
      <c r="L184" s="203" t="e">
        <f>K184*(1+L185)</f>
        <v>#REF!</v>
      </c>
      <c r="N184" s="9" t="s">
        <v>372</v>
      </c>
    </row>
    <row r="185" spans="3:14" x14ac:dyDescent="0.2">
      <c r="C185" s="9" t="s">
        <v>373</v>
      </c>
      <c r="I185" s="205" t="e">
        <f>I175/H175-1</f>
        <v>#REF!</v>
      </c>
      <c r="J185" s="205" t="e">
        <f t="shared" ref="J185:L185" si="47">J175/I175-1</f>
        <v>#REF!</v>
      </c>
      <c r="K185" s="205" t="e">
        <f t="shared" si="47"/>
        <v>#REF!</v>
      </c>
      <c r="L185" s="205" t="e">
        <f t="shared" si="47"/>
        <v>#REF!</v>
      </c>
      <c r="N185" s="9" t="s">
        <v>374</v>
      </c>
    </row>
    <row r="186" spans="3:14" x14ac:dyDescent="0.2">
      <c r="N186" s="153" t="s">
        <v>375</v>
      </c>
    </row>
    <row r="187" spans="3:14" x14ac:dyDescent="0.2">
      <c r="C187" s="43" t="s">
        <v>376</v>
      </c>
      <c r="E187" s="43"/>
      <c r="F187" s="43"/>
      <c r="G187" s="206" t="s">
        <v>377</v>
      </c>
      <c r="H187" s="207">
        <f>D11</f>
        <v>4377000</v>
      </c>
      <c r="I187" s="54">
        <f>H189</f>
        <v>4377011.1393333329</v>
      </c>
      <c r="J187" s="54" t="e">
        <f t="shared" ref="J187:L187" si="48">I189</f>
        <v>#REF!</v>
      </c>
      <c r="K187" s="54" t="e">
        <f t="shared" si="48"/>
        <v>#REF!</v>
      </c>
      <c r="L187" s="54" t="e">
        <f t="shared" si="48"/>
        <v>#REF!</v>
      </c>
      <c r="N187" s="9" t="s">
        <v>378</v>
      </c>
    </row>
    <row r="188" spans="3:14" x14ac:dyDescent="0.2">
      <c r="C188" s="9" t="s">
        <v>379</v>
      </c>
      <c r="H188" s="79">
        <f>(-H182+H183)/H184</f>
        <v>11.139333333333333</v>
      </c>
      <c r="I188" s="79" t="e">
        <f t="shared" ref="I188:L188" si="49">(-I182+I183)/I184</f>
        <v>#REF!</v>
      </c>
      <c r="J188" s="79" t="e">
        <f t="shared" si="49"/>
        <v>#REF!</v>
      </c>
      <c r="K188" s="79" t="e">
        <f t="shared" si="49"/>
        <v>#REF!</v>
      </c>
      <c r="L188" s="79" t="e">
        <f t="shared" si="49"/>
        <v>#REF!</v>
      </c>
      <c r="N188" s="9" t="s">
        <v>380</v>
      </c>
    </row>
    <row r="189" spans="3:14" x14ac:dyDescent="0.2">
      <c r="C189" s="9" t="s">
        <v>381</v>
      </c>
      <c r="H189" s="79">
        <f>SUM(H187:H188)</f>
        <v>4377011.1393333329</v>
      </c>
      <c r="I189" s="79" t="e">
        <f t="shared" ref="I189:L189" si="50">SUM(I187:I188)</f>
        <v>#REF!</v>
      </c>
      <c r="J189" s="79" t="e">
        <f t="shared" si="50"/>
        <v>#REF!</v>
      </c>
      <c r="K189" s="79" t="e">
        <f t="shared" si="50"/>
        <v>#REF!</v>
      </c>
      <c r="L189" s="79" t="e">
        <f t="shared" si="50"/>
        <v>#REF!</v>
      </c>
      <c r="N189" s="9" t="s">
        <v>382</v>
      </c>
    </row>
    <row r="190" spans="3:14" x14ac:dyDescent="0.2">
      <c r="C190" s="43" t="s">
        <v>383</v>
      </c>
      <c r="E190" s="43"/>
      <c r="F190" s="43"/>
      <c r="G190" s="43"/>
      <c r="H190" s="54">
        <f>AVERAGE(H189,H187)</f>
        <v>4377005.5696666669</v>
      </c>
      <c r="I190" s="54" t="e">
        <f t="shared" ref="I190:L190" si="51">AVERAGE(I189,I187)</f>
        <v>#REF!</v>
      </c>
      <c r="J190" s="54" t="e">
        <f t="shared" si="51"/>
        <v>#REF!</v>
      </c>
      <c r="K190" s="54" t="e">
        <f t="shared" si="51"/>
        <v>#REF!</v>
      </c>
      <c r="L190" s="54" t="e">
        <f t="shared" si="51"/>
        <v>#REF!</v>
      </c>
      <c r="N190" s="9" t="s">
        <v>384</v>
      </c>
    </row>
    <row r="191" spans="3:14" x14ac:dyDescent="0.2">
      <c r="N191" s="153"/>
    </row>
    <row r="192" spans="3:14" x14ac:dyDescent="0.2">
      <c r="C192" s="135" t="s">
        <v>385</v>
      </c>
      <c r="D192" s="135"/>
      <c r="E192" s="135"/>
      <c r="F192" s="135"/>
      <c r="G192" s="135"/>
      <c r="H192" s="135"/>
      <c r="I192" s="135"/>
      <c r="J192" s="135"/>
      <c r="K192" s="135"/>
      <c r="L192" s="135"/>
    </row>
    <row r="193" spans="3:12" ht="12.75" thickBot="1" x14ac:dyDescent="0.25"/>
    <row r="194" spans="3:12" ht="12.75" thickBot="1" x14ac:dyDescent="0.25">
      <c r="C194" s="9" t="s">
        <v>386</v>
      </c>
      <c r="D194" s="208" t="str">
        <f>L5</f>
        <v>Base case</v>
      </c>
      <c r="G194" s="123" t="s">
        <v>387</v>
      </c>
      <c r="H194" s="159">
        <f>H14</f>
        <v>2025</v>
      </c>
      <c r="I194" s="159">
        <f>I14</f>
        <v>2026</v>
      </c>
      <c r="J194" s="159">
        <f>J14</f>
        <v>2027</v>
      </c>
      <c r="K194" s="159">
        <f>K14</f>
        <v>2028</v>
      </c>
      <c r="L194" s="159">
        <f>L14</f>
        <v>2029</v>
      </c>
    </row>
    <row r="195" spans="3:12" x14ac:dyDescent="0.2">
      <c r="G195" s="124" t="s">
        <v>388</v>
      </c>
      <c r="H195" s="160">
        <f>H15</f>
        <v>46022</v>
      </c>
      <c r="I195" s="160">
        <f>I15</f>
        <v>46387</v>
      </c>
      <c r="J195" s="160">
        <f>J15</f>
        <v>46752</v>
      </c>
      <c r="K195" s="160">
        <f>K15</f>
        <v>47118</v>
      </c>
      <c r="L195" s="160">
        <f>L15</f>
        <v>47483</v>
      </c>
    </row>
    <row r="196" spans="3:12" x14ac:dyDescent="0.2">
      <c r="C196" s="73" t="s">
        <v>262</v>
      </c>
      <c r="G196" s="209" t="str">
        <f ca="1">OFFSET(G$201,MATCH($L$5,$C$202:$C$204,0)+MATCH($C196,$C$201:$C$216,0)-1,0)</f>
        <v>NM</v>
      </c>
      <c r="H196" s="169">
        <f ca="1">OFFSET(H$201,MATCH($L$5,$C$202:$C$204,0)+MATCH($C196,$C$201:$C$216,0)-1,0)</f>
        <v>0.06</v>
      </c>
      <c r="I196" s="169">
        <f ca="1">OFFSET(I$201,MATCH($L$5,$C$202:$C$204,0)+MATCH($C196,$C$201:$C$216,0)-1,0)</f>
        <v>6.9000000000000006E-2</v>
      </c>
      <c r="J196" s="169">
        <f ca="1">OFFSET(J$201,MATCH($L$5,$C$202:$C$204,0)+MATCH($C196,$C$201:$C$216,0)-1,0)</f>
        <v>6.9000000000000006E-2</v>
      </c>
      <c r="K196" s="169">
        <f ca="1">OFFSET(K$201,MATCH($L$5,$C$202:$C$204,0)+MATCH($C196,$C$201:$C$216,0)-1,0)</f>
        <v>6.9000000000000006E-2</v>
      </c>
      <c r="L196" s="169">
        <f ca="1">OFFSET(L$201,MATCH($L$5,$C$202:$C$204,0)+MATCH($C196,$C$201:$C$216,0)-1,0)</f>
        <v>6.9000000000000006E-2</v>
      </c>
    </row>
    <row r="197" spans="3:12" x14ac:dyDescent="0.2">
      <c r="C197" s="73" t="s">
        <v>264</v>
      </c>
      <c r="G197" s="209" t="str">
        <f ca="1">OFFSET(G$201,MATCH($L$5,$C$202:$C$204,0)+MATCH($C197,$C$201:$C$216,0)-1,0)</f>
        <v>NM</v>
      </c>
      <c r="H197" s="169">
        <f ca="1">OFFSET(H$201,MATCH($L$5,$C$202:$C$204,0)+MATCH($C197,$C$201:$C$216,0)-1,0)</f>
        <v>0.378</v>
      </c>
      <c r="I197" s="169">
        <f ca="1">OFFSET(I$201,MATCH($L$5,$C$202:$C$204,0)+MATCH($C197,$C$201:$C$216,0)-1,0)</f>
        <v>0.378</v>
      </c>
      <c r="J197" s="169">
        <f ca="1">OFFSET(J$201,MATCH($L$5,$C$202:$C$204,0)+MATCH($C197,$C$201:$C$216,0)-1,0)</f>
        <v>0.378</v>
      </c>
      <c r="K197" s="169">
        <f ca="1">OFFSET(K$201,MATCH($L$5,$C$202:$C$204,0)+MATCH($C197,$C$201:$C$216,0)-1,0)</f>
        <v>0.378</v>
      </c>
      <c r="L197" s="169">
        <f ca="1">OFFSET(L$201,MATCH($L$5,$C$202:$C$204,0)+MATCH($C197,$C$201:$C$216,0)-1,0)</f>
        <v>0.378</v>
      </c>
    </row>
    <row r="198" spans="3:12" x14ac:dyDescent="0.2">
      <c r="C198" s="73" t="s">
        <v>266</v>
      </c>
      <c r="G198" s="209" t="str">
        <f ca="1">OFFSET(G$201,MATCH($L$5,$C$202:$C$204,0)+MATCH($C198,$C$201:$C$216,0)-1,0)</f>
        <v>NM</v>
      </c>
      <c r="H198" s="169">
        <f ca="1">OFFSET(H$201,MATCH($L$5,$C$202:$C$204,0)+MATCH($C198,$C$201:$C$216,0)-1,0)</f>
        <v>6.2E-2</v>
      </c>
      <c r="I198" s="169">
        <f ca="1">OFFSET(I$201,MATCH($L$5,$C$202:$C$204,0)+MATCH($C198,$C$201:$C$216,0)-1,0)</f>
        <v>6.2E-2</v>
      </c>
      <c r="J198" s="169">
        <f ca="1">OFFSET(J$201,MATCH($L$5,$C$202:$C$204,0)+MATCH($C198,$C$201:$C$216,0)-1,0)</f>
        <v>6.2E-2</v>
      </c>
      <c r="K198" s="169">
        <f ca="1">OFFSET(K$201,MATCH($L$5,$C$202:$C$204,0)+MATCH($C198,$C$201:$C$216,0)-1,0)</f>
        <v>6.2E-2</v>
      </c>
      <c r="L198" s="169">
        <f ca="1">OFFSET(L$201,MATCH($L$5,$C$202:$C$204,0)+MATCH($C198,$C$201:$C$216,0)-1,0)</f>
        <v>6.2E-2</v>
      </c>
    </row>
    <row r="199" spans="3:12" x14ac:dyDescent="0.2">
      <c r="C199" s="73" t="s">
        <v>267</v>
      </c>
      <c r="G199" s="209" t="str">
        <f ca="1">OFFSET(G$201,MATCH($L$5,$C$202:$C$204,0)+MATCH($C199,$C$201:$C$216,0)-1,0)</f>
        <v>NM</v>
      </c>
      <c r="H199" s="169">
        <f ca="1">OFFSET(H$201,MATCH($L$5,$C$202:$C$204,0)+MATCH($C199,$C$201:$C$216,0)-1,0)</f>
        <v>7.0000000000000007E-2</v>
      </c>
      <c r="I199" s="169">
        <f ca="1">OFFSET(I$201,MATCH($L$5,$C$202:$C$204,0)+MATCH($C199,$C$201:$C$216,0)-1,0)</f>
        <v>7.0000000000000007E-2</v>
      </c>
      <c r="J199" s="169">
        <f ca="1">OFFSET(J$201,MATCH($L$5,$C$202:$C$204,0)+MATCH($C199,$C$201:$C$216,0)-1,0)</f>
        <v>7.0000000000000007E-2</v>
      </c>
      <c r="K199" s="169">
        <f ca="1">OFFSET(K$201,MATCH($L$5,$C$202:$C$204,0)+MATCH($C199,$C$201:$C$216,0)-1,0)</f>
        <v>7.0000000000000007E-2</v>
      </c>
      <c r="L199" s="169">
        <f ca="1">OFFSET(L$201,MATCH($L$5,$C$202:$C$204,0)+MATCH($C199,$C$201:$C$216,0)-1,0)</f>
        <v>7.0000000000000007E-2</v>
      </c>
    </row>
    <row r="200" spans="3:12" x14ac:dyDescent="0.2">
      <c r="G200" s="210"/>
    </row>
    <row r="201" spans="3:12" x14ac:dyDescent="0.2">
      <c r="C201" s="168" t="s">
        <v>262</v>
      </c>
      <c r="G201" s="210"/>
    </row>
    <row r="202" spans="3:12" x14ac:dyDescent="0.2">
      <c r="C202" s="197" t="s">
        <v>389</v>
      </c>
      <c r="G202" s="211">
        <v>2.5000000000000001E-2</v>
      </c>
      <c r="H202" s="154">
        <f>H203+$G$202</f>
        <v>8.4999999999999992E-2</v>
      </c>
      <c r="I202" s="154">
        <f t="shared" ref="I202:L202" si="52">I203+$G$202</f>
        <v>9.4E-2</v>
      </c>
      <c r="J202" s="154">
        <f t="shared" si="52"/>
        <v>9.4E-2</v>
      </c>
      <c r="K202" s="154">
        <f t="shared" si="52"/>
        <v>9.4E-2</v>
      </c>
      <c r="L202" s="154">
        <f t="shared" si="52"/>
        <v>9.4E-2</v>
      </c>
    </row>
    <row r="203" spans="3:12" x14ac:dyDescent="0.2">
      <c r="C203" s="197" t="s">
        <v>234</v>
      </c>
      <c r="G203" s="212" t="s">
        <v>390</v>
      </c>
      <c r="H203" s="155">
        <v>0.06</v>
      </c>
      <c r="I203" s="155">
        <v>6.9000000000000006E-2</v>
      </c>
      <c r="J203" s="155">
        <f t="shared" ref="J203:L203" si="53">I203</f>
        <v>6.9000000000000006E-2</v>
      </c>
      <c r="K203" s="155">
        <f t="shared" si="53"/>
        <v>6.9000000000000006E-2</v>
      </c>
      <c r="L203" s="155">
        <f t="shared" si="53"/>
        <v>6.9000000000000006E-2</v>
      </c>
    </row>
    <row r="204" spans="3:12" x14ac:dyDescent="0.2">
      <c r="C204" s="197" t="s">
        <v>391</v>
      </c>
      <c r="G204" s="211">
        <v>-2.5000000000000001E-2</v>
      </c>
      <c r="H204" s="154">
        <f>H203+$G$204</f>
        <v>3.4999999999999996E-2</v>
      </c>
      <c r="I204" s="154">
        <f t="shared" ref="I204:L204" si="54">I203+$G$204</f>
        <v>4.4000000000000004E-2</v>
      </c>
      <c r="J204" s="154">
        <f t="shared" si="54"/>
        <v>4.4000000000000004E-2</v>
      </c>
      <c r="K204" s="154">
        <f t="shared" si="54"/>
        <v>4.4000000000000004E-2</v>
      </c>
      <c r="L204" s="154">
        <f t="shared" si="54"/>
        <v>4.4000000000000004E-2</v>
      </c>
    </row>
    <row r="205" spans="3:12" x14ac:dyDescent="0.2">
      <c r="C205" s="168" t="s">
        <v>264</v>
      </c>
      <c r="G205" s="212"/>
      <c r="H205" s="155"/>
      <c r="I205" s="155"/>
      <c r="J205" s="155"/>
      <c r="K205" s="155"/>
      <c r="L205" s="155"/>
    </row>
    <row r="206" spans="3:12" x14ac:dyDescent="0.2">
      <c r="C206" s="197" t="s">
        <v>389</v>
      </c>
      <c r="G206" s="211">
        <v>0.01</v>
      </c>
      <c r="H206" s="154">
        <f>H207+$G$206</f>
        <v>0.38800000000000001</v>
      </c>
      <c r="I206" s="154">
        <f t="shared" ref="I206:L206" si="55">I207+$G$206</f>
        <v>0.38800000000000001</v>
      </c>
      <c r="J206" s="154">
        <f t="shared" si="55"/>
        <v>0.38800000000000001</v>
      </c>
      <c r="K206" s="154">
        <f t="shared" si="55"/>
        <v>0.38800000000000001</v>
      </c>
      <c r="L206" s="154">
        <f t="shared" si="55"/>
        <v>0.38800000000000001</v>
      </c>
    </row>
    <row r="207" spans="3:12" x14ac:dyDescent="0.2">
      <c r="C207" s="197" t="s">
        <v>234</v>
      </c>
      <c r="G207" s="212" t="s">
        <v>390</v>
      </c>
      <c r="H207" s="155">
        <v>0.378</v>
      </c>
      <c r="I207" s="155">
        <v>0.378</v>
      </c>
      <c r="J207" s="155">
        <v>0.378</v>
      </c>
      <c r="K207" s="155">
        <v>0.378</v>
      </c>
      <c r="L207" s="155">
        <v>0.378</v>
      </c>
    </row>
    <row r="208" spans="3:12" x14ac:dyDescent="0.2">
      <c r="C208" s="197" t="s">
        <v>391</v>
      </c>
      <c r="G208" s="211">
        <v>-0.01</v>
      </c>
      <c r="H208" s="154">
        <f>H207+$G$208</f>
        <v>0.36799999999999999</v>
      </c>
      <c r="I208" s="154">
        <f t="shared" ref="I208:L208" si="56">I207+$G$208</f>
        <v>0.36799999999999999</v>
      </c>
      <c r="J208" s="154">
        <f t="shared" si="56"/>
        <v>0.36799999999999999</v>
      </c>
      <c r="K208" s="154">
        <f t="shared" si="56"/>
        <v>0.36799999999999999</v>
      </c>
      <c r="L208" s="154">
        <f t="shared" si="56"/>
        <v>0.36799999999999999</v>
      </c>
    </row>
    <row r="209" spans="3:12" x14ac:dyDescent="0.2">
      <c r="C209" s="168" t="s">
        <v>266</v>
      </c>
      <c r="G209" s="212"/>
      <c r="H209" s="213"/>
      <c r="I209" s="213"/>
      <c r="J209" s="213"/>
      <c r="K209" s="213"/>
      <c r="L209" s="213"/>
    </row>
    <row r="210" spans="3:12" x14ac:dyDescent="0.2">
      <c r="C210" s="197" t="s">
        <v>389</v>
      </c>
      <c r="G210" s="211">
        <v>-0.01</v>
      </c>
      <c r="H210" s="154">
        <f>H211+$G$210</f>
        <v>5.1999999999999998E-2</v>
      </c>
      <c r="I210" s="154">
        <f t="shared" ref="I210:L210" si="57">I211+$G$210</f>
        <v>5.1999999999999998E-2</v>
      </c>
      <c r="J210" s="154">
        <f t="shared" si="57"/>
        <v>5.1999999999999998E-2</v>
      </c>
      <c r="K210" s="154">
        <f t="shared" si="57"/>
        <v>5.1999999999999998E-2</v>
      </c>
      <c r="L210" s="154">
        <f t="shared" si="57"/>
        <v>5.1999999999999998E-2</v>
      </c>
    </row>
    <row r="211" spans="3:12" x14ac:dyDescent="0.2">
      <c r="C211" s="197" t="s">
        <v>234</v>
      </c>
      <c r="G211" s="212" t="s">
        <v>390</v>
      </c>
      <c r="H211" s="155">
        <v>6.2E-2</v>
      </c>
      <c r="I211" s="155">
        <v>6.2E-2</v>
      </c>
      <c r="J211" s="155">
        <v>6.2E-2</v>
      </c>
      <c r="K211" s="155">
        <v>6.2E-2</v>
      </c>
      <c r="L211" s="155">
        <v>6.2E-2</v>
      </c>
    </row>
    <row r="212" spans="3:12" x14ac:dyDescent="0.2">
      <c r="C212" s="197" t="s">
        <v>391</v>
      </c>
      <c r="G212" s="211">
        <v>0.01</v>
      </c>
      <c r="H212" s="154">
        <f>H211+$G$212</f>
        <v>7.1999999999999995E-2</v>
      </c>
      <c r="I212" s="154">
        <f t="shared" ref="I212:L212" si="58">I211+$G$212</f>
        <v>7.1999999999999995E-2</v>
      </c>
      <c r="J212" s="154">
        <f t="shared" si="58"/>
        <v>7.1999999999999995E-2</v>
      </c>
      <c r="K212" s="154">
        <f t="shared" si="58"/>
        <v>7.1999999999999995E-2</v>
      </c>
      <c r="L212" s="154">
        <f t="shared" si="58"/>
        <v>7.1999999999999995E-2</v>
      </c>
    </row>
    <row r="213" spans="3:12" x14ac:dyDescent="0.2">
      <c r="C213" s="168" t="s">
        <v>267</v>
      </c>
      <c r="G213" s="212"/>
      <c r="H213" s="213"/>
      <c r="I213" s="213"/>
      <c r="J213" s="213"/>
      <c r="K213" s="213"/>
      <c r="L213" s="213"/>
    </row>
    <row r="214" spans="3:12" x14ac:dyDescent="0.2">
      <c r="C214" s="197" t="s">
        <v>389</v>
      </c>
      <c r="G214" s="211">
        <v>-0.01</v>
      </c>
      <c r="H214" s="154">
        <f>H215+$G$214</f>
        <v>6.0000000000000005E-2</v>
      </c>
      <c r="I214" s="154">
        <f t="shared" ref="I214:L214" si="59">I215+$G$214</f>
        <v>6.0000000000000005E-2</v>
      </c>
      <c r="J214" s="154">
        <f t="shared" si="59"/>
        <v>6.0000000000000005E-2</v>
      </c>
      <c r="K214" s="154">
        <f t="shared" si="59"/>
        <v>6.0000000000000005E-2</v>
      </c>
      <c r="L214" s="154">
        <f t="shared" si="59"/>
        <v>6.0000000000000005E-2</v>
      </c>
    </row>
    <row r="215" spans="3:12" x14ac:dyDescent="0.2">
      <c r="C215" s="197" t="s">
        <v>234</v>
      </c>
      <c r="G215" s="212" t="s">
        <v>390</v>
      </c>
      <c r="H215" s="155">
        <v>7.0000000000000007E-2</v>
      </c>
      <c r="I215" s="155">
        <v>7.0000000000000007E-2</v>
      </c>
      <c r="J215" s="155">
        <v>7.0000000000000007E-2</v>
      </c>
      <c r="K215" s="155">
        <v>7.0000000000000007E-2</v>
      </c>
      <c r="L215" s="155">
        <v>7.0000000000000007E-2</v>
      </c>
    </row>
    <row r="216" spans="3:12" ht="12.75" thickBot="1" x14ac:dyDescent="0.25">
      <c r="C216" s="197" t="s">
        <v>391</v>
      </c>
      <c r="G216" s="214">
        <v>0.01</v>
      </c>
      <c r="H216" s="154">
        <f>H215+$G$216</f>
        <v>0.08</v>
      </c>
      <c r="I216" s="154">
        <f t="shared" ref="I216:L216" si="60">I215+$G$216</f>
        <v>0.08</v>
      </c>
      <c r="J216" s="154">
        <f t="shared" si="60"/>
        <v>0.08</v>
      </c>
      <c r="K216" s="154">
        <f t="shared" si="60"/>
        <v>0.08</v>
      </c>
      <c r="L216" s="154">
        <f t="shared" si="60"/>
        <v>0.08</v>
      </c>
    </row>
  </sheetData>
  <conditionalFormatting sqref="C199">
    <cfRule type="expression" dxfId="2" priority="1">
      <formula>#REF!=$C199</formula>
    </cfRule>
  </conditionalFormatting>
  <conditionalFormatting sqref="C213">
    <cfRule type="expression" dxfId="1" priority="2">
      <formula>#REF!=$C213</formula>
    </cfRule>
  </conditionalFormatting>
  <conditionalFormatting sqref="C40:D40">
    <cfRule type="expression" dxfId="0" priority="3">
      <formula>#REF!=$C40</formula>
    </cfRule>
  </conditionalFormatting>
  <dataValidations disablePrompts="1" count="3">
    <dataValidation type="list" allowBlank="1" showInputMessage="1" showErrorMessage="1" sqref="L5" xr:uid="{EA179E41-528A-4539-871C-06599F46E331}">
      <formula1>$C$202:$C$204</formula1>
    </dataValidation>
    <dataValidation type="list" allowBlank="1" showInputMessage="1" showErrorMessage="1" sqref="D7" xr:uid="{F0C76ADB-057F-4489-9982-23DF2A43CE12}">
      <formula1>"0,1"</formula1>
    </dataValidation>
    <dataValidation type="list" allowBlank="1" showInputMessage="1" showErrorMessage="1" sqref="C3" xr:uid="{A7181E45-1253-4570-94B4-67F8BB99D618}">
      <formula1>"$ bns except per share, $ mm except per share,$ in thousands except per share"</formula1>
    </dataValidation>
  </dataValidations>
  <pageMargins left="0.7" right="0.7" top="0.75" bottom="0.75" header="0.3" footer="0.3"/>
  <ignoredErrors>
    <ignoredError sqref="D34:L36 I175:L190 H26:L32 D37:G41 H44:L45 H61:L64 I24:L25 H47:L53 H55:L55 H57:L59 I56:L56" evalError="1"/>
  </ignoredErrors>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6C0D2-A617-43BF-9493-F1D2AA08251E}">
  <sheetPr>
    <tabColor theme="6" tint="-0.249977111117893"/>
  </sheetPr>
  <dimension ref="A2:AK91"/>
  <sheetViews>
    <sheetView showGridLines="0" topLeftCell="A47" zoomScale="115" zoomScaleNormal="115" workbookViewId="0">
      <selection activeCell="D75" sqref="D75"/>
    </sheetView>
  </sheetViews>
  <sheetFormatPr defaultRowHeight="12" outlineLevelCol="1" x14ac:dyDescent="0.2"/>
  <cols>
    <col min="1" max="1" width="1.5" style="9" customWidth="1"/>
    <col min="2" max="2" width="46.5" style="9" bestFit="1" customWidth="1"/>
    <col min="3" max="4" width="8.25" style="9" customWidth="1" outlineLevel="1"/>
    <col min="5" max="5" width="8.625" style="9" bestFit="1" customWidth="1"/>
    <col min="6" max="6" width="8.25" style="9" bestFit="1" customWidth="1"/>
    <col min="7" max="7" width="9" style="9"/>
    <col min="8" max="8" width="1.5" style="9" customWidth="1"/>
    <col min="9" max="11" width="7.875" style="9" hidden="1" customWidth="1" outlineLevel="1"/>
    <col min="12" max="12" width="8.75" style="9" hidden="1" customWidth="1" outlineLevel="1"/>
    <col min="13" max="15" width="8" style="9" hidden="1" customWidth="1" outlineLevel="1"/>
    <col min="16" max="16" width="8.75" style="9" hidden="1" customWidth="1" outlineLevel="1"/>
    <col min="17" max="17" width="8.5" style="9" hidden="1" customWidth="1" outlineLevel="1"/>
    <col min="18" max="18" width="8.25" style="9" bestFit="1" customWidth="1" collapsed="1"/>
    <col min="19" max="19" width="8.5" style="9" bestFit="1" customWidth="1"/>
    <col min="20" max="23" width="9.125" style="9" bestFit="1" customWidth="1"/>
    <col min="24" max="24" width="1.5" style="9" customWidth="1"/>
    <col min="25" max="30" width="8.75" style="9" hidden="1" customWidth="1" outlineLevel="1"/>
    <col min="31" max="31" width="8.75" style="9" bestFit="1" customWidth="1" collapsed="1"/>
    <col min="32" max="34" width="8.75" style="9" hidden="1" customWidth="1" outlineLevel="1"/>
    <col min="35" max="35" width="8.75" style="9" bestFit="1" customWidth="1" collapsed="1"/>
    <col min="36" max="36" width="1.5" style="9" customWidth="1"/>
    <col min="37" max="37" width="9.875" style="9" bestFit="1" customWidth="1"/>
    <col min="38" max="16384" width="9" style="9"/>
  </cols>
  <sheetData>
    <row r="2" spans="2:37" s="5" customFormat="1" ht="12.75" customHeight="1" x14ac:dyDescent="0.2">
      <c r="B2" s="1" t="s">
        <v>174</v>
      </c>
      <c r="C2" s="2" t="s">
        <v>0</v>
      </c>
      <c r="D2" s="2"/>
      <c r="E2" s="2"/>
      <c r="F2" s="2"/>
      <c r="G2" s="2"/>
      <c r="H2" s="3"/>
      <c r="I2" s="2" t="s">
        <v>1</v>
      </c>
      <c r="J2" s="2"/>
      <c r="K2" s="2"/>
      <c r="L2" s="2"/>
      <c r="M2" s="2"/>
      <c r="N2" s="2"/>
      <c r="O2" s="2"/>
      <c r="P2" s="2"/>
      <c r="Q2" s="2" t="s">
        <v>1</v>
      </c>
      <c r="R2" s="2" t="s">
        <v>1</v>
      </c>
      <c r="S2" s="2"/>
      <c r="T2" s="2"/>
      <c r="U2" s="2"/>
      <c r="V2" s="2"/>
      <c r="W2" s="2"/>
      <c r="X2" s="3"/>
      <c r="Y2" s="2" t="s">
        <v>10</v>
      </c>
      <c r="Z2" s="2"/>
      <c r="AA2" s="2"/>
      <c r="AB2" s="2"/>
      <c r="AC2" s="2" t="s">
        <v>10</v>
      </c>
      <c r="AD2" s="2"/>
      <c r="AE2" s="2"/>
      <c r="AF2" s="2"/>
      <c r="AG2" s="2"/>
      <c r="AH2" s="2"/>
      <c r="AI2" s="2"/>
      <c r="AJ2" s="3"/>
      <c r="AK2" s="4" t="s">
        <v>55</v>
      </c>
    </row>
    <row r="3" spans="2:37" s="5" customFormat="1" ht="12.75" customHeight="1" x14ac:dyDescent="0.2">
      <c r="B3" s="6" t="s">
        <v>56</v>
      </c>
      <c r="C3" s="7">
        <f>'Base Financials'!C3</f>
        <v>2020</v>
      </c>
      <c r="D3" s="7">
        <f>'Base Financials'!D3</f>
        <v>2021</v>
      </c>
      <c r="E3" s="7">
        <f>'Base Financials'!E3</f>
        <v>2022</v>
      </c>
      <c r="F3" s="7">
        <f>'Base Financials'!F3</f>
        <v>2023</v>
      </c>
      <c r="G3" s="7">
        <f>'Base Financials'!G3</f>
        <v>2024</v>
      </c>
      <c r="H3" s="3"/>
      <c r="I3" s="7" t="str">
        <f>'Base Financials'!I3</f>
        <v>1Q22</v>
      </c>
      <c r="J3" s="7" t="str">
        <f>'Base Financials'!J3</f>
        <v>2Q22</v>
      </c>
      <c r="K3" s="7" t="str">
        <f>'Base Financials'!K3</f>
        <v>3Q22</v>
      </c>
      <c r="L3" s="7" t="str">
        <f>'Base Financials'!L3</f>
        <v>4Q22</v>
      </c>
      <c r="M3" s="7" t="str">
        <f>'Base Financials'!M3</f>
        <v>1Q23</v>
      </c>
      <c r="N3" s="7" t="str">
        <f>'Base Financials'!N3</f>
        <v>2Q23</v>
      </c>
      <c r="O3" s="7" t="str">
        <f>'Base Financials'!O3</f>
        <v>3Q23</v>
      </c>
      <c r="P3" s="7" t="str">
        <f>'Base Financials'!P3</f>
        <v>4Q23</v>
      </c>
      <c r="Q3" s="7" t="str">
        <f>'Base Financials'!Q3</f>
        <v>1Q24</v>
      </c>
      <c r="R3" s="7" t="str">
        <f>'Base Financials'!R3</f>
        <v>2Q24</v>
      </c>
      <c r="S3" s="7" t="str">
        <f>'Base Financials'!S3</f>
        <v>3Q24</v>
      </c>
      <c r="T3" s="7" t="str">
        <f>'Base Financials'!T3</f>
        <v>4Q24</v>
      </c>
      <c r="U3" s="7" t="str">
        <f>'Base Financials'!U3</f>
        <v>1Q25</v>
      </c>
      <c r="V3" s="7" t="str">
        <f>'Base Financials'!V3</f>
        <v>2Q25</v>
      </c>
      <c r="W3" s="7" t="str">
        <f>'Base Financials'!W3</f>
        <v>3Q25</v>
      </c>
      <c r="X3" s="3"/>
      <c r="Y3" s="8" t="str">
        <f>L3</f>
        <v>4Q22</v>
      </c>
      <c r="Z3" s="8" t="str">
        <f>M3</f>
        <v>1Q23</v>
      </c>
      <c r="AA3" s="8" t="str">
        <f>N3</f>
        <v>2Q23</v>
      </c>
      <c r="AB3" s="8" t="str">
        <f>O3</f>
        <v>3Q23</v>
      </c>
      <c r="AC3" s="8" t="str">
        <f>P3</f>
        <v>4Q23</v>
      </c>
      <c r="AD3" s="8" t="str">
        <f>Q3</f>
        <v>1Q24</v>
      </c>
      <c r="AE3" s="8" t="str">
        <f>R3</f>
        <v>2Q24</v>
      </c>
      <c r="AF3" s="8" t="str">
        <f>S3</f>
        <v>3Q24</v>
      </c>
      <c r="AG3" s="8" t="str">
        <f>T3</f>
        <v>4Q24</v>
      </c>
      <c r="AH3" s="8" t="str">
        <f>U3</f>
        <v>1Q25</v>
      </c>
      <c r="AI3" s="8" t="str">
        <f>V3</f>
        <v>2Q25</v>
      </c>
      <c r="AJ3" s="3"/>
      <c r="AK3" s="4"/>
    </row>
    <row r="4" spans="2:37" s="5" customFormat="1" ht="12.75" customHeight="1" x14ac:dyDescent="0.2">
      <c r="B4" s="6" t="s">
        <v>63</v>
      </c>
      <c r="C4" s="3">
        <f>'Base Financials'!C4</f>
        <v>44191</v>
      </c>
      <c r="D4" s="3">
        <f>'Base Financials'!D4</f>
        <v>44555</v>
      </c>
      <c r="E4" s="3">
        <f>'Base Financials'!E4</f>
        <v>44926</v>
      </c>
      <c r="F4" s="3">
        <f>'Base Financials'!F4</f>
        <v>45290</v>
      </c>
      <c r="G4" s="3">
        <f>'Base Financials'!G4</f>
        <v>45654</v>
      </c>
      <c r="H4" s="3"/>
      <c r="I4" s="3">
        <f>'Base Financials'!I4</f>
        <v>44653</v>
      </c>
      <c r="J4" s="3">
        <f>'Base Financials'!J4</f>
        <v>44744</v>
      </c>
      <c r="K4" s="3">
        <f>'Base Financials'!K4</f>
        <v>44835</v>
      </c>
      <c r="L4" s="3">
        <f>'Base Financials'!L4</f>
        <v>44926</v>
      </c>
      <c r="M4" s="3">
        <f>'Base Financials'!M4</f>
        <v>45017</v>
      </c>
      <c r="N4" s="3">
        <f>'Base Financials'!N4</f>
        <v>45108</v>
      </c>
      <c r="O4" s="3">
        <f>'Base Financials'!O4</f>
        <v>45199</v>
      </c>
      <c r="P4" s="3">
        <f>'Base Financials'!P4</f>
        <v>45290</v>
      </c>
      <c r="Q4" s="3">
        <f>'Base Financials'!Q4</f>
        <v>45381</v>
      </c>
      <c r="R4" s="3">
        <f>'Base Financials'!R4</f>
        <v>45472</v>
      </c>
      <c r="S4" s="3">
        <f>'Base Financials'!S4</f>
        <v>45563</v>
      </c>
      <c r="T4" s="3">
        <f>'Base Financials'!T4</f>
        <v>45654</v>
      </c>
      <c r="U4" s="3">
        <f>'Base Financials'!U4</f>
        <v>45745</v>
      </c>
      <c r="V4" s="3">
        <f>'Base Financials'!V4</f>
        <v>45836</v>
      </c>
      <c r="W4" s="3">
        <f>'Base Financials'!W4</f>
        <v>45925</v>
      </c>
      <c r="X4" s="3"/>
      <c r="Y4" s="3">
        <f>L4</f>
        <v>44926</v>
      </c>
      <c r="Z4" s="3">
        <f>M4</f>
        <v>45017</v>
      </c>
      <c r="AA4" s="3">
        <f>N4</f>
        <v>45108</v>
      </c>
      <c r="AB4" s="3">
        <f>O4</f>
        <v>45199</v>
      </c>
      <c r="AC4" s="3">
        <f>P4</f>
        <v>45290</v>
      </c>
      <c r="AD4" s="3">
        <f>Q4</f>
        <v>45381</v>
      </c>
      <c r="AE4" s="3">
        <f>R4</f>
        <v>45472</v>
      </c>
      <c r="AF4" s="3">
        <f>S4</f>
        <v>45563</v>
      </c>
      <c r="AG4" s="3">
        <f>T4</f>
        <v>45654</v>
      </c>
      <c r="AH4" s="3">
        <f>U4</f>
        <v>45745</v>
      </c>
      <c r="AI4" s="3">
        <f>V4</f>
        <v>45836</v>
      </c>
      <c r="AJ4" s="3"/>
      <c r="AK4" s="4"/>
    </row>
    <row r="5" spans="2:37" ht="5.0999999999999996" customHeight="1" x14ac:dyDescent="0.2">
      <c r="AK5" s="10"/>
    </row>
    <row r="6" spans="2:37" ht="12.75" customHeight="1" x14ac:dyDescent="0.2">
      <c r="B6" s="11" t="str">
        <f>'Revenue Drivers'!B7</f>
        <v>Intel Products</v>
      </c>
      <c r="C6" s="12">
        <f>'Revenue Drivers'!C7</f>
        <v>71080</v>
      </c>
      <c r="D6" s="12">
        <f>'Revenue Drivers'!D7</f>
        <v>69532</v>
      </c>
      <c r="E6" s="12">
        <f>'Revenue Drivers'!E7</f>
        <v>57038</v>
      </c>
      <c r="F6" s="12">
        <f>'Revenue Drivers'!F7</f>
        <v>47667</v>
      </c>
      <c r="G6" s="12">
        <f>'Revenue Drivers'!G7</f>
        <v>48949</v>
      </c>
      <c r="H6" s="12"/>
      <c r="I6" s="12">
        <f>'Revenue Drivers'!I7</f>
        <v>17467</v>
      </c>
      <c r="J6" s="12">
        <f>'Revenue Drivers'!J7</f>
        <v>14073</v>
      </c>
      <c r="K6" s="12">
        <f>'Revenue Drivers'!K7</f>
        <v>13881</v>
      </c>
      <c r="L6" s="12">
        <f>'Revenue Drivers'!L7</f>
        <v>11617</v>
      </c>
      <c r="M6" s="12">
        <f>'Revenue Drivers'!M7</f>
        <v>10157</v>
      </c>
      <c r="N6" s="12">
        <f>'Revenue Drivers'!N7</f>
        <v>11299</v>
      </c>
      <c r="O6" s="12">
        <f>'Revenue Drivers'!O7</f>
        <v>12393</v>
      </c>
      <c r="P6" s="12">
        <f>'Revenue Drivers'!P7</f>
        <v>13818</v>
      </c>
      <c r="Q6" s="12">
        <f>'Revenue Drivers'!Q7</f>
        <v>11933</v>
      </c>
      <c r="R6" s="12">
        <f>'Revenue Drivers'!R7</f>
        <v>11799</v>
      </c>
      <c r="S6" s="12">
        <f>'Revenue Drivers'!S7</f>
        <v>12190</v>
      </c>
      <c r="T6" s="12">
        <f>'Revenue Drivers'!T7</f>
        <v>13027</v>
      </c>
      <c r="U6" s="12">
        <f>'Revenue Drivers'!U7</f>
        <v>11755</v>
      </c>
      <c r="V6" s="12">
        <f>'Revenue Drivers'!V7</f>
        <v>11810</v>
      </c>
      <c r="W6" s="12">
        <f>'Revenue Drivers'!W7</f>
        <v>12652</v>
      </c>
      <c r="X6" s="5"/>
      <c r="Y6" s="13">
        <f>SUM(I6:L6)</f>
        <v>57038</v>
      </c>
      <c r="Z6" s="13">
        <f>SUM(J6:M6)</f>
        <v>49728</v>
      </c>
      <c r="AA6" s="13">
        <f>SUM(K6:N6)</f>
        <v>46954</v>
      </c>
      <c r="AB6" s="13">
        <f>SUM(L6:O6)</f>
        <v>45466</v>
      </c>
      <c r="AC6" s="13">
        <f>SUM(M6:P6)</f>
        <v>47667</v>
      </c>
      <c r="AD6" s="13">
        <f>SUM(N6:Q6)</f>
        <v>49443</v>
      </c>
      <c r="AE6" s="13">
        <f>SUM(O6:R6)</f>
        <v>49943</v>
      </c>
      <c r="AF6" s="13">
        <f>SUM(P6:S6)</f>
        <v>49740</v>
      </c>
      <c r="AG6" s="13">
        <f>SUM(Q6:T6)</f>
        <v>48949</v>
      </c>
      <c r="AH6" s="13">
        <f>SUM(R6:U6)</f>
        <v>48771</v>
      </c>
      <c r="AI6" s="13">
        <f>SUM(S6:V6)</f>
        <v>48782</v>
      </c>
      <c r="AK6" s="14">
        <f>SUM(AI6/AE6)-1</f>
        <v>-2.3246501011152665E-2</v>
      </c>
    </row>
    <row r="7" spans="2:37" ht="12.75" customHeight="1" x14ac:dyDescent="0.2">
      <c r="B7" s="11" t="str">
        <f>'Revenue Drivers'!B8</f>
        <v>Intel Foundry</v>
      </c>
      <c r="C7" s="12">
        <f>'Revenue Drivers'!C8</f>
        <v>715</v>
      </c>
      <c r="D7" s="12">
        <f>'Revenue Drivers'!D8</f>
        <v>22848.999999999996</v>
      </c>
      <c r="E7" s="12">
        <f>'Revenue Drivers'!E8</f>
        <v>27491.200000000001</v>
      </c>
      <c r="F7" s="12">
        <f>'Revenue Drivers'!F8</f>
        <v>18910</v>
      </c>
      <c r="G7" s="12">
        <f>'Revenue Drivers'!G8</f>
        <v>17543</v>
      </c>
      <c r="H7" s="12"/>
      <c r="I7" s="12">
        <f>'Revenue Drivers'!I8</f>
        <v>6958.5169945838397</v>
      </c>
      <c r="J7" s="12">
        <f>'Revenue Drivers'!J8</f>
        <v>7324.9181496628717</v>
      </c>
      <c r="K7" s="12">
        <f>'Revenue Drivers'!K8</f>
        <v>6651.1669890571457</v>
      </c>
      <c r="L7" s="12">
        <f>'Revenue Drivers'!L8</f>
        <v>6556.5978666961419</v>
      </c>
      <c r="M7" s="12">
        <f>'Revenue Drivers'!M8</f>
        <v>4831</v>
      </c>
      <c r="N7" s="12">
        <f>'Revenue Drivers'!N8</f>
        <v>4172</v>
      </c>
      <c r="O7" s="12">
        <f>'Revenue Drivers'!O8</f>
        <v>4732</v>
      </c>
      <c r="P7" s="12">
        <f>'Revenue Drivers'!P8</f>
        <v>5175</v>
      </c>
      <c r="Q7" s="12">
        <f>'Revenue Drivers'!Q8</f>
        <v>4369</v>
      </c>
      <c r="R7" s="12">
        <f>'Revenue Drivers'!R8</f>
        <v>4320</v>
      </c>
      <c r="S7" s="12">
        <f>'Revenue Drivers'!S8</f>
        <v>4352</v>
      </c>
      <c r="T7" s="12">
        <f>'Revenue Drivers'!T8</f>
        <v>4502</v>
      </c>
      <c r="U7" s="12">
        <f>'Revenue Drivers'!U8</f>
        <v>4667</v>
      </c>
      <c r="V7" s="12">
        <f>'Revenue Drivers'!V8</f>
        <v>4417</v>
      </c>
      <c r="W7" s="12">
        <f>'Revenue Drivers'!W8</f>
        <v>4235</v>
      </c>
      <c r="X7" s="5"/>
      <c r="Y7" s="13">
        <f>SUM(I7:L7)</f>
        <v>27491.200000000001</v>
      </c>
      <c r="Z7" s="13">
        <f>SUM(J7:M7)</f>
        <v>25363.683005416158</v>
      </c>
      <c r="AA7" s="13">
        <f>SUM(K7:N7)</f>
        <v>22210.764855753288</v>
      </c>
      <c r="AB7" s="13">
        <f>SUM(L7:O7)</f>
        <v>20291.597866696142</v>
      </c>
      <c r="AC7" s="13">
        <f>SUM(M7:P7)</f>
        <v>18910</v>
      </c>
      <c r="AD7" s="13">
        <f>SUM(N7:Q7)</f>
        <v>18448</v>
      </c>
      <c r="AE7" s="13">
        <f>SUM(O7:R7)</f>
        <v>18596</v>
      </c>
      <c r="AF7" s="13">
        <f>SUM(P7:S7)</f>
        <v>18216</v>
      </c>
      <c r="AG7" s="13">
        <f>SUM(Q7:T7)</f>
        <v>17543</v>
      </c>
      <c r="AH7" s="13">
        <f>SUM(R7:U7)</f>
        <v>17841</v>
      </c>
      <c r="AI7" s="13">
        <f>SUM(S7:V7)</f>
        <v>17938</v>
      </c>
      <c r="AK7" s="14">
        <f t="shared" ref="AK7:AK10" si="0">SUM(AI7/AE7)-1</f>
        <v>-3.5383953538395407E-2</v>
      </c>
    </row>
    <row r="8" spans="2:37" ht="12.75" customHeight="1" x14ac:dyDescent="0.2">
      <c r="B8" s="11" t="str">
        <f>'Revenue Drivers'!B9</f>
        <v>All Other</v>
      </c>
      <c r="C8" s="12">
        <f>'Revenue Drivers'!C9</f>
        <v>6709</v>
      </c>
      <c r="D8" s="12">
        <f>'Revenue Drivers'!D9</f>
        <v>9137.0000000000073</v>
      </c>
      <c r="E8" s="12">
        <f>'Revenue Drivers'!E9</f>
        <v>5529.7999999999993</v>
      </c>
      <c r="F8" s="12">
        <f>'Revenue Drivers'!F9</f>
        <v>5608</v>
      </c>
      <c r="G8" s="12">
        <f>'Revenue Drivers'!G9</f>
        <v>3824</v>
      </c>
      <c r="H8" s="12"/>
      <c r="I8" s="12">
        <f>'Revenue Drivers'!I9</f>
        <v>1121.0483851534782</v>
      </c>
      <c r="J8" s="12">
        <f>'Revenue Drivers'!J9</f>
        <v>1160.0163130399801</v>
      </c>
      <c r="K8" s="12">
        <f>'Revenue Drivers'!K9</f>
        <v>1499.9821304968398</v>
      </c>
      <c r="L8" s="12">
        <f>'Revenue Drivers'!L9</f>
        <v>1748.7531713097014</v>
      </c>
      <c r="M8" s="12">
        <f>'Revenue Drivers'!M9</f>
        <v>1440</v>
      </c>
      <c r="N8" s="12">
        <f>'Revenue Drivers'!N9</f>
        <v>1419</v>
      </c>
      <c r="O8" s="12">
        <f>'Revenue Drivers'!O9</f>
        <v>1452</v>
      </c>
      <c r="P8" s="12">
        <f>'Revenue Drivers'!P9</f>
        <v>1297</v>
      </c>
      <c r="Q8" s="12">
        <f>'Revenue Drivers'!Q9</f>
        <v>775</v>
      </c>
      <c r="R8" s="12">
        <f>'Revenue Drivers'!R9</f>
        <v>968</v>
      </c>
      <c r="S8" s="12">
        <f>'Revenue Drivers'!S9</f>
        <v>1039</v>
      </c>
      <c r="T8" s="12">
        <f>'Revenue Drivers'!T9</f>
        <v>1042</v>
      </c>
      <c r="U8" s="12">
        <f>'Revenue Drivers'!U9</f>
        <v>943</v>
      </c>
      <c r="V8" s="12">
        <f>'Revenue Drivers'!V9</f>
        <v>1053</v>
      </c>
      <c r="W8" s="12">
        <f>'Revenue Drivers'!W9</f>
        <v>993</v>
      </c>
      <c r="X8" s="5"/>
      <c r="Y8" s="13">
        <f>SUM(I8:L8)</f>
        <v>5529.7999999999993</v>
      </c>
      <c r="Z8" s="13">
        <f>SUM(J8:M8)</f>
        <v>5848.7516148465211</v>
      </c>
      <c r="AA8" s="13">
        <f>SUM(K8:N8)</f>
        <v>6107.7353018065414</v>
      </c>
      <c r="AB8" s="13">
        <f>SUM(L8:O8)</f>
        <v>6059.7531713097014</v>
      </c>
      <c r="AC8" s="13">
        <f>SUM(M8:P8)</f>
        <v>5608</v>
      </c>
      <c r="AD8" s="13">
        <f>SUM(N8:Q8)</f>
        <v>4943</v>
      </c>
      <c r="AE8" s="13">
        <f>SUM(O8:R8)</f>
        <v>4492</v>
      </c>
      <c r="AF8" s="13">
        <f>SUM(P8:S8)</f>
        <v>4079</v>
      </c>
      <c r="AG8" s="13">
        <f>SUM(Q8:T8)</f>
        <v>3824</v>
      </c>
      <c r="AH8" s="13">
        <f>SUM(R8:U8)</f>
        <v>3992</v>
      </c>
      <c r="AI8" s="13">
        <f>SUM(S8:V8)</f>
        <v>4077</v>
      </c>
      <c r="AK8" s="14">
        <f t="shared" si="0"/>
        <v>-9.2386464826357928E-2</v>
      </c>
    </row>
    <row r="9" spans="2:37" ht="12.75" customHeight="1" x14ac:dyDescent="0.2">
      <c r="B9" s="11" t="s">
        <v>205</v>
      </c>
      <c r="C9" s="12">
        <f>'Revenue Drivers'!C12</f>
        <v>-637</v>
      </c>
      <c r="D9" s="12">
        <f>'Revenue Drivers'!D12</f>
        <v>-22493.999999999996</v>
      </c>
      <c r="E9" s="12">
        <f>'Revenue Drivers'!E12</f>
        <v>-27005</v>
      </c>
      <c r="F9" s="12">
        <f>'Revenue Drivers'!F12</f>
        <v>-17957</v>
      </c>
      <c r="G9" s="12">
        <f>'Revenue Drivers'!G12</f>
        <v>-17215</v>
      </c>
      <c r="H9" s="12"/>
      <c r="I9" s="12">
        <f>'Revenue Drivers'!I12</f>
        <v>-6797.5169945838397</v>
      </c>
      <c r="J9" s="12">
        <f>'Revenue Drivers'!J12</f>
        <v>-7263.9181496628717</v>
      </c>
      <c r="K9" s="12">
        <f>'Revenue Drivers'!K12</f>
        <v>-6569.1669890571457</v>
      </c>
      <c r="L9" s="12">
        <f>'Revenue Drivers'!L12</f>
        <v>-6374.3978666961411</v>
      </c>
      <c r="M9" s="12">
        <f>'Revenue Drivers'!M12</f>
        <v>-4713</v>
      </c>
      <c r="N9" s="12">
        <f>'Revenue Drivers'!N12</f>
        <v>-3941</v>
      </c>
      <c r="O9" s="12">
        <f>'Revenue Drivers'!O12</f>
        <v>-4419</v>
      </c>
      <c r="P9" s="12">
        <f>'Revenue Drivers'!P12</f>
        <v>-4884</v>
      </c>
      <c r="Q9" s="12">
        <f>'Revenue Drivers'!Q12</f>
        <v>-4353</v>
      </c>
      <c r="R9" s="12">
        <f>'Revenue Drivers'!R12</f>
        <v>-4254</v>
      </c>
      <c r="S9" s="12">
        <f>'Revenue Drivers'!S12</f>
        <v>-4297</v>
      </c>
      <c r="T9" s="12">
        <f>'Revenue Drivers'!T12</f>
        <v>-4311</v>
      </c>
      <c r="U9" s="12">
        <f>'Revenue Drivers'!U12</f>
        <v>-4698</v>
      </c>
      <c r="V9" s="12">
        <f>'Revenue Drivers'!V12</f>
        <v>-4421</v>
      </c>
      <c r="W9" s="12">
        <f>'Revenue Drivers'!W12</f>
        <v>-4227</v>
      </c>
      <c r="X9" s="5"/>
      <c r="Y9" s="13">
        <f>SUM(I9:L9)</f>
        <v>-27005</v>
      </c>
      <c r="Z9" s="13">
        <f>SUM(J9:M9)</f>
        <v>-24920.483005416158</v>
      </c>
      <c r="AA9" s="13">
        <f>SUM(K9:N9)</f>
        <v>-21597.564855753288</v>
      </c>
      <c r="AB9" s="13">
        <f>SUM(L9:O9)</f>
        <v>-19447.397866696141</v>
      </c>
      <c r="AC9" s="13">
        <f>SUM(M9:P9)</f>
        <v>-17957</v>
      </c>
      <c r="AD9" s="13">
        <f>SUM(N9:Q9)</f>
        <v>-17597</v>
      </c>
      <c r="AE9" s="13">
        <f>SUM(O9:R9)</f>
        <v>-17910</v>
      </c>
      <c r="AF9" s="13">
        <f>SUM(P9:S9)</f>
        <v>-17788</v>
      </c>
      <c r="AG9" s="13">
        <f>SUM(Q9:T9)</f>
        <v>-17215</v>
      </c>
      <c r="AH9" s="13">
        <f>SUM(R9:U9)</f>
        <v>-17560</v>
      </c>
      <c r="AI9" s="13">
        <f>SUM(S9:V9)</f>
        <v>-17727</v>
      </c>
      <c r="AK9" s="14">
        <f t="shared" si="0"/>
        <v>-1.0217755443886145E-2</v>
      </c>
    </row>
    <row r="10" spans="2:37" ht="12.75" customHeight="1" x14ac:dyDescent="0.2">
      <c r="B10" s="15" t="s">
        <v>13</v>
      </c>
      <c r="C10" s="16">
        <f>SUM(C6:C9)</f>
        <v>77867</v>
      </c>
      <c r="D10" s="16">
        <f>SUM(D6:D9)</f>
        <v>79024</v>
      </c>
      <c r="E10" s="16">
        <f t="shared" ref="E10:R10" si="1">SUM(E6:E9)</f>
        <v>63054</v>
      </c>
      <c r="F10" s="16">
        <f t="shared" si="1"/>
        <v>54228</v>
      </c>
      <c r="G10" s="16">
        <f t="shared" si="1"/>
        <v>53101</v>
      </c>
      <c r="H10" s="13"/>
      <c r="I10" s="16">
        <f t="shared" si="1"/>
        <v>18749.048385153477</v>
      </c>
      <c r="J10" s="16">
        <f t="shared" si="1"/>
        <v>15294.016313039983</v>
      </c>
      <c r="K10" s="16">
        <f t="shared" si="1"/>
        <v>15462.982130496839</v>
      </c>
      <c r="L10" s="16">
        <f t="shared" si="1"/>
        <v>13547.953171309702</v>
      </c>
      <c r="M10" s="16">
        <f t="shared" si="1"/>
        <v>11715</v>
      </c>
      <c r="N10" s="16">
        <f t="shared" si="1"/>
        <v>12949</v>
      </c>
      <c r="O10" s="16">
        <f t="shared" si="1"/>
        <v>14158</v>
      </c>
      <c r="P10" s="16">
        <f t="shared" si="1"/>
        <v>15406</v>
      </c>
      <c r="Q10" s="16">
        <f t="shared" si="1"/>
        <v>12724</v>
      </c>
      <c r="R10" s="16">
        <f t="shared" si="1"/>
        <v>12833</v>
      </c>
      <c r="S10" s="16">
        <f>SUM(S6:S9)</f>
        <v>13284</v>
      </c>
      <c r="T10" s="16">
        <f>SUM(T6:T9)</f>
        <v>14260</v>
      </c>
      <c r="U10" s="16">
        <f t="shared" ref="U10:V10" si="2">SUM(U6:U9)</f>
        <v>12667</v>
      </c>
      <c r="V10" s="16">
        <f t="shared" si="2"/>
        <v>12859</v>
      </c>
      <c r="W10" s="16">
        <f t="shared" ref="W10" si="3">SUM(W6:W9)</f>
        <v>13653</v>
      </c>
      <c r="X10" s="5"/>
      <c r="Y10" s="16">
        <f t="shared" ref="Y10:AI10" si="4">SUM(Y6:Y9)</f>
        <v>63054</v>
      </c>
      <c r="Z10" s="16">
        <f t="shared" si="4"/>
        <v>56019.951614846519</v>
      </c>
      <c r="AA10" s="16">
        <f t="shared" si="4"/>
        <v>53674.935301806545</v>
      </c>
      <c r="AB10" s="16">
        <f t="shared" si="4"/>
        <v>52369.953171309702</v>
      </c>
      <c r="AC10" s="16">
        <f t="shared" si="4"/>
        <v>54228</v>
      </c>
      <c r="AD10" s="16">
        <f t="shared" si="4"/>
        <v>55237</v>
      </c>
      <c r="AE10" s="16">
        <f t="shared" si="4"/>
        <v>55121</v>
      </c>
      <c r="AF10" s="16">
        <f t="shared" si="4"/>
        <v>54247</v>
      </c>
      <c r="AG10" s="16">
        <f t="shared" si="4"/>
        <v>53101</v>
      </c>
      <c r="AH10" s="16">
        <f t="shared" si="4"/>
        <v>53044</v>
      </c>
      <c r="AI10" s="16">
        <f t="shared" si="4"/>
        <v>53070</v>
      </c>
      <c r="AK10" s="17">
        <f t="shared" si="0"/>
        <v>-3.7209049182707177E-2</v>
      </c>
    </row>
    <row r="11" spans="2:37" ht="12.75" customHeight="1" x14ac:dyDescent="0.2">
      <c r="B11" s="18" t="s">
        <v>64</v>
      </c>
      <c r="C11" s="19"/>
      <c r="D11" s="20">
        <f>SUM(D10/C10)-1</f>
        <v>1.4858669269395275E-2</v>
      </c>
      <c r="E11" s="20">
        <f>SUM(E10/D10)-1</f>
        <v>-0.20209050415063778</v>
      </c>
      <c r="F11" s="20">
        <f t="shared" ref="F11:G11" si="5">SUM(F10/E10)-1</f>
        <v>-0.13997525930155108</v>
      </c>
      <c r="G11" s="20">
        <f t="shared" si="5"/>
        <v>-2.0782621523935951E-2</v>
      </c>
      <c r="H11" s="13"/>
      <c r="I11" s="19"/>
      <c r="J11" s="19"/>
      <c r="K11" s="19"/>
      <c r="L11" s="19"/>
      <c r="M11" s="20">
        <f>SUM(M10/I10)-1</f>
        <v>-0.37516828804620406</v>
      </c>
      <c r="N11" s="20">
        <f t="shared" ref="N11:W11" si="6">SUM(N10/J10)-1</f>
        <v>-0.15332900560859053</v>
      </c>
      <c r="O11" s="20">
        <f t="shared" si="6"/>
        <v>-8.4393949335496599E-2</v>
      </c>
      <c r="P11" s="20">
        <f t="shared" si="6"/>
        <v>0.13714594412867154</v>
      </c>
      <c r="Q11" s="20">
        <f t="shared" si="6"/>
        <v>8.6128894579598825E-2</v>
      </c>
      <c r="R11" s="20">
        <f t="shared" si="6"/>
        <v>-8.9582207120241231E-3</v>
      </c>
      <c r="S11" s="20">
        <f t="shared" si="6"/>
        <v>-6.1731883034326862E-2</v>
      </c>
      <c r="T11" s="20">
        <f t="shared" si="6"/>
        <v>-7.4386602622354969E-2</v>
      </c>
      <c r="U11" s="20">
        <f t="shared" si="6"/>
        <v>-4.4797233574347395E-3</v>
      </c>
      <c r="V11" s="20">
        <f t="shared" si="6"/>
        <v>2.0260266500429225E-3</v>
      </c>
      <c r="W11" s="20">
        <f t="shared" si="6"/>
        <v>2.7777777777777679E-2</v>
      </c>
      <c r="X11" s="5"/>
      <c r="Y11" s="19"/>
      <c r="Z11" s="19"/>
      <c r="AA11" s="19"/>
      <c r="AB11" s="19"/>
      <c r="AC11" s="20">
        <f t="shared" ref="AC11:AF11" si="7">SUM(AC10/Y10)-1</f>
        <v>-0.13997525930155108</v>
      </c>
      <c r="AD11" s="20">
        <f t="shared" si="7"/>
        <v>-1.3976299376863843E-2</v>
      </c>
      <c r="AE11" s="20">
        <f t="shared" si="7"/>
        <v>2.6941154005355461E-2</v>
      </c>
      <c r="AF11" s="20">
        <f t="shared" si="7"/>
        <v>3.5842056656995691E-2</v>
      </c>
      <c r="AG11" s="20">
        <f>SUM(AG10/AC10)-1</f>
        <v>-2.0782621523935951E-2</v>
      </c>
      <c r="AH11" s="20">
        <f t="shared" ref="AH11:AI11" si="8">SUM(AH10/AD10)-1</f>
        <v>-3.9701649256838722E-2</v>
      </c>
      <c r="AI11" s="20">
        <f t="shared" si="8"/>
        <v>-3.7209049182707177E-2</v>
      </c>
      <c r="AK11" s="21">
        <f>SUM(AI11-AE11)*10000</f>
        <v>-641.50203188062642</v>
      </c>
    </row>
    <row r="12" spans="2:37" ht="12.75" customHeight="1" x14ac:dyDescent="0.2">
      <c r="B12" s="18" t="s">
        <v>65</v>
      </c>
      <c r="C12" s="20" t="s">
        <v>66</v>
      </c>
      <c r="D12" s="20" t="s">
        <v>66</v>
      </c>
      <c r="E12" s="20" t="s">
        <v>66</v>
      </c>
      <c r="F12" s="20" t="s">
        <v>66</v>
      </c>
      <c r="G12" s="20" t="s">
        <v>66</v>
      </c>
      <c r="H12" s="13"/>
      <c r="I12" s="19"/>
      <c r="J12" s="20">
        <f>SUM(J10/I10)-1</f>
        <v>-0.18427772978864232</v>
      </c>
      <c r="K12" s="20">
        <f t="shared" ref="K12:W12" si="9">SUM(K10/J10)-1</f>
        <v>1.104783818706867E-2</v>
      </c>
      <c r="L12" s="20">
        <f t="shared" si="9"/>
        <v>-0.12384603067025635</v>
      </c>
      <c r="M12" s="20">
        <f t="shared" si="9"/>
        <v>-0.13529373390449262</v>
      </c>
      <c r="N12" s="20">
        <f t="shared" si="9"/>
        <v>0.10533504054630805</v>
      </c>
      <c r="O12" s="20">
        <f t="shared" si="9"/>
        <v>9.3366283110664972E-2</v>
      </c>
      <c r="P12" s="20">
        <f t="shared" si="9"/>
        <v>8.8148043508970098E-2</v>
      </c>
      <c r="Q12" s="20">
        <f t="shared" si="9"/>
        <v>-0.17408801765545889</v>
      </c>
      <c r="R12" s="20">
        <f t="shared" si="9"/>
        <v>8.5664885256209189E-3</v>
      </c>
      <c r="S12" s="20">
        <f t="shared" si="9"/>
        <v>3.514376996805102E-2</v>
      </c>
      <c r="T12" s="20">
        <f t="shared" si="9"/>
        <v>7.3471845829569338E-2</v>
      </c>
      <c r="U12" s="20">
        <f t="shared" si="9"/>
        <v>-0.11171107994389906</v>
      </c>
      <c r="V12" s="20">
        <f t="shared" si="9"/>
        <v>1.5157495855372183E-2</v>
      </c>
      <c r="W12" s="20">
        <f t="shared" si="9"/>
        <v>6.1746636596935911E-2</v>
      </c>
      <c r="X12" s="5"/>
      <c r="Y12" s="20" t="s">
        <v>66</v>
      </c>
      <c r="Z12" s="20" t="s">
        <v>66</v>
      </c>
      <c r="AA12" s="20" t="s">
        <v>66</v>
      </c>
      <c r="AB12" s="20" t="s">
        <v>66</v>
      </c>
      <c r="AC12" s="20" t="s">
        <v>66</v>
      </c>
      <c r="AD12" s="20" t="s">
        <v>66</v>
      </c>
      <c r="AE12" s="20" t="s">
        <v>66</v>
      </c>
      <c r="AF12" s="20" t="s">
        <v>66</v>
      </c>
      <c r="AG12" s="20" t="s">
        <v>66</v>
      </c>
      <c r="AH12" s="20" t="s">
        <v>66</v>
      </c>
      <c r="AI12" s="20" t="s">
        <v>66</v>
      </c>
      <c r="AK12" s="10"/>
    </row>
    <row r="13" spans="2:37" ht="5.0999999999999996" customHeight="1" x14ac:dyDescent="0.2">
      <c r="B13" s="22"/>
      <c r="C13" s="23"/>
      <c r="D13" s="23"/>
      <c r="E13" s="23"/>
      <c r="F13" s="23"/>
      <c r="G13" s="23"/>
      <c r="H13" s="24"/>
      <c r="I13" s="25"/>
      <c r="J13" s="25"/>
      <c r="K13" s="25"/>
      <c r="L13" s="26"/>
      <c r="M13" s="25"/>
      <c r="N13" s="25"/>
      <c r="O13" s="25"/>
      <c r="P13" s="26"/>
      <c r="Q13" s="25"/>
      <c r="R13" s="25"/>
      <c r="S13" s="25"/>
      <c r="T13" s="25"/>
      <c r="U13" s="25"/>
      <c r="V13" s="25"/>
      <c r="W13" s="25"/>
      <c r="X13" s="24"/>
      <c r="Y13" s="24"/>
      <c r="Z13" s="24"/>
      <c r="AA13" s="24"/>
      <c r="AB13" s="24"/>
      <c r="AC13" s="24"/>
      <c r="AD13" s="24"/>
      <c r="AE13" s="24"/>
      <c r="AF13" s="24"/>
      <c r="AG13" s="24"/>
      <c r="AH13" s="24"/>
      <c r="AI13" s="24"/>
      <c r="AK13" s="10"/>
    </row>
    <row r="14" spans="2:37" ht="12.75" customHeight="1" x14ac:dyDescent="0.2">
      <c r="B14" s="27" t="s">
        <v>67</v>
      </c>
      <c r="C14" s="12">
        <f>'Base Financials'!C11</f>
        <v>-34255</v>
      </c>
      <c r="D14" s="12">
        <f>'Base Financials'!D11</f>
        <v>-35209</v>
      </c>
      <c r="E14" s="12">
        <f>'Base Financials'!E11</f>
        <v>-36188</v>
      </c>
      <c r="F14" s="12">
        <f>'Base Financials'!F11</f>
        <v>-32517</v>
      </c>
      <c r="G14" s="12">
        <f>'Base Financials'!G11</f>
        <v>-35756</v>
      </c>
      <c r="H14" s="12"/>
      <c r="I14" s="12">
        <f>'Base Financials'!I11</f>
        <v>-9109</v>
      </c>
      <c r="J14" s="12">
        <f>'Base Financials'!J11</f>
        <v>-9734</v>
      </c>
      <c r="K14" s="12">
        <f>'Base Financials'!K11</f>
        <v>-8803</v>
      </c>
      <c r="L14" s="12">
        <f>'Base Financials'!L11</f>
        <v>-8542</v>
      </c>
      <c r="M14" s="12">
        <f>'Base Financials'!M11</f>
        <v>-7707</v>
      </c>
      <c r="N14" s="12">
        <f>'Base Financials'!N11</f>
        <v>-8311</v>
      </c>
      <c r="O14" s="12">
        <f>'Base Financials'!O11</f>
        <v>-8140</v>
      </c>
      <c r="P14" s="12">
        <f>'Base Financials'!P11</f>
        <v>-8359</v>
      </c>
      <c r="Q14" s="12">
        <f>'Base Financials'!Q11</f>
        <v>-7507</v>
      </c>
      <c r="R14" s="12">
        <f>'Base Financials'!R11</f>
        <v>-8286</v>
      </c>
      <c r="S14" s="12">
        <f>'Base Financials'!S11</f>
        <v>-11287</v>
      </c>
      <c r="T14" s="12">
        <f>'Base Financials'!T11</f>
        <v>-8676</v>
      </c>
      <c r="U14" s="12">
        <f>'Base Financials'!U11</f>
        <v>-7995</v>
      </c>
      <c r="V14" s="12">
        <f>'Base Financials'!V11</f>
        <v>-9317</v>
      </c>
      <c r="W14" s="12">
        <f>'Base Financials'!W11</f>
        <v>-8435</v>
      </c>
      <c r="X14" s="5"/>
      <c r="Y14" s="13">
        <f t="shared" ref="Y14" si="10">SUM(I14:L14)</f>
        <v>-36188</v>
      </c>
      <c r="Z14" s="13">
        <f>SUM(J14:M14)</f>
        <v>-34786</v>
      </c>
      <c r="AA14" s="13">
        <f>SUM(K14:N14)</f>
        <v>-33363</v>
      </c>
      <c r="AB14" s="13">
        <f>SUM(L14:O14)</f>
        <v>-32700</v>
      </c>
      <c r="AC14" s="13">
        <f>SUM(M14:P14)</f>
        <v>-32517</v>
      </c>
      <c r="AD14" s="13">
        <f>SUM(N14:Q14)</f>
        <v>-32317</v>
      </c>
      <c r="AE14" s="13">
        <f>SUM(O14:R14)</f>
        <v>-32292</v>
      </c>
      <c r="AF14" s="13">
        <f>SUM(P14:S14)</f>
        <v>-35439</v>
      </c>
      <c r="AG14" s="13">
        <f>SUM(Q14:T14)</f>
        <v>-35756</v>
      </c>
      <c r="AH14" s="13">
        <f>SUM(R14:U14)</f>
        <v>-36244</v>
      </c>
      <c r="AI14" s="13">
        <f>SUM(S14:V14)</f>
        <v>-37275</v>
      </c>
      <c r="AK14" s="14">
        <f t="shared" ref="AK14:AK21" si="11">SUM(AI14/AE14)-1</f>
        <v>0.1543106651802304</v>
      </c>
    </row>
    <row r="15" spans="2:37" ht="12.75" customHeight="1" x14ac:dyDescent="0.2">
      <c r="B15" s="29" t="s">
        <v>51</v>
      </c>
      <c r="C15" s="30">
        <f>+C10+C14</f>
        <v>43612</v>
      </c>
      <c r="D15" s="30">
        <f>+D10+D14</f>
        <v>43815</v>
      </c>
      <c r="E15" s="30">
        <f>+E10+E14</f>
        <v>26866</v>
      </c>
      <c r="F15" s="30">
        <f>+F10+F14</f>
        <v>21711</v>
      </c>
      <c r="G15" s="30">
        <f>+G10+G14</f>
        <v>17345</v>
      </c>
      <c r="H15" s="5"/>
      <c r="I15" s="30">
        <f>+I10+I14</f>
        <v>9640.0483851534773</v>
      </c>
      <c r="J15" s="30">
        <f>+J10+J14</f>
        <v>5560.0163130399833</v>
      </c>
      <c r="K15" s="30">
        <f>+K10+K14</f>
        <v>6659.9821304968391</v>
      </c>
      <c r="L15" s="30">
        <f>+L10+L14</f>
        <v>5005.9531713097022</v>
      </c>
      <c r="M15" s="30">
        <f>+M10+M14</f>
        <v>4008</v>
      </c>
      <c r="N15" s="30">
        <f>+N10+N14</f>
        <v>4638</v>
      </c>
      <c r="O15" s="30">
        <f>+O10+O14</f>
        <v>6018</v>
      </c>
      <c r="P15" s="30">
        <f>+P10+P14</f>
        <v>7047</v>
      </c>
      <c r="Q15" s="30">
        <f>+Q10+Q14</f>
        <v>5217</v>
      </c>
      <c r="R15" s="30">
        <f>+R10+R14</f>
        <v>4547</v>
      </c>
      <c r="S15" s="30">
        <f>+S10+S14</f>
        <v>1997</v>
      </c>
      <c r="T15" s="30">
        <f>+T10+T14</f>
        <v>5584</v>
      </c>
      <c r="U15" s="30">
        <f>+U10+U14</f>
        <v>4672</v>
      </c>
      <c r="V15" s="30">
        <f>+V10+V14</f>
        <v>3542</v>
      </c>
      <c r="W15" s="30">
        <f>+W10+W14</f>
        <v>5218</v>
      </c>
      <c r="X15" s="5"/>
      <c r="Y15" s="30">
        <f>+Y10+Y14</f>
        <v>26866</v>
      </c>
      <c r="Z15" s="30">
        <f>+Z10+Z14</f>
        <v>21233.951614846519</v>
      </c>
      <c r="AA15" s="30">
        <f>+AA10+AA14</f>
        <v>20311.935301806545</v>
      </c>
      <c r="AB15" s="30">
        <f>+AB10+AB14</f>
        <v>19669.953171309702</v>
      </c>
      <c r="AC15" s="30">
        <f>+AC10+AC14</f>
        <v>21711</v>
      </c>
      <c r="AD15" s="30">
        <f>+AD10+AD14</f>
        <v>22920</v>
      </c>
      <c r="AE15" s="30">
        <f>+AE10+AE14</f>
        <v>22829</v>
      </c>
      <c r="AF15" s="30">
        <f>+AF10+AF14</f>
        <v>18808</v>
      </c>
      <c r="AG15" s="30">
        <f>+AG10+AG14</f>
        <v>17345</v>
      </c>
      <c r="AH15" s="30">
        <f>+AH10+AH14</f>
        <v>16800</v>
      </c>
      <c r="AI15" s="30">
        <f>+AI10+AI14</f>
        <v>15795</v>
      </c>
      <c r="AK15" s="17">
        <f t="shared" si="11"/>
        <v>-0.3081168688948267</v>
      </c>
    </row>
    <row r="16" spans="2:37" ht="12.75" customHeight="1" x14ac:dyDescent="0.2">
      <c r="B16" s="18" t="s">
        <v>68</v>
      </c>
      <c r="C16" s="20">
        <f>C15/C10</f>
        <v>0.5600832188218372</v>
      </c>
      <c r="D16" s="20">
        <f>D15/D10</f>
        <v>0.5544518121077141</v>
      </c>
      <c r="E16" s="20">
        <f>E15/E10</f>
        <v>0.42607923367272499</v>
      </c>
      <c r="F16" s="20">
        <f>F15/F10</f>
        <v>0.40036512502766097</v>
      </c>
      <c r="G16" s="20">
        <f>G15/G10</f>
        <v>0.32664168283083184</v>
      </c>
      <c r="H16" s="31"/>
      <c r="I16" s="20">
        <f>I15/I10</f>
        <v>0.51416200903225551</v>
      </c>
      <c r="J16" s="20">
        <f>J15/J10</f>
        <v>0.36354193687497266</v>
      </c>
      <c r="K16" s="20">
        <f>K15/K10</f>
        <v>0.43070489730190537</v>
      </c>
      <c r="L16" s="20">
        <f>L15/L10</f>
        <v>0.36949885403433003</v>
      </c>
      <c r="M16" s="20">
        <f>M15/M10</f>
        <v>0.34212548015364919</v>
      </c>
      <c r="N16" s="20">
        <f>N15/N10</f>
        <v>0.35817437639972199</v>
      </c>
      <c r="O16" s="20">
        <f>O15/O10</f>
        <v>0.42506003672835146</v>
      </c>
      <c r="P16" s="20">
        <f>P15/P10</f>
        <v>0.45741918732961184</v>
      </c>
      <c r="Q16" s="20">
        <f>Q15/Q10</f>
        <v>0.41001257466205598</v>
      </c>
      <c r="R16" s="20">
        <f>R15/R10</f>
        <v>0.35432089145172602</v>
      </c>
      <c r="S16" s="20">
        <f>S15/S10</f>
        <v>0.15033122553447756</v>
      </c>
      <c r="T16" s="20">
        <f>T15/T10</f>
        <v>0.39158485273492288</v>
      </c>
      <c r="U16" s="20">
        <f>U15/U10</f>
        <v>0.36883239914739085</v>
      </c>
      <c r="V16" s="20">
        <f>V15/V10</f>
        <v>0.27544910179640719</v>
      </c>
      <c r="W16" s="20">
        <f>W15/W10</f>
        <v>0.38218706511389439</v>
      </c>
      <c r="X16" s="32"/>
      <c r="Y16" s="20">
        <f>Y15/Y10</f>
        <v>0.42607923367272499</v>
      </c>
      <c r="Z16" s="20">
        <f>Z15/Z10</f>
        <v>0.37904266252916674</v>
      </c>
      <c r="AA16" s="20">
        <f>AA15/AA10</f>
        <v>0.3784249610660062</v>
      </c>
      <c r="AB16" s="20">
        <f>AB15/AB10</f>
        <v>0.37559615734171914</v>
      </c>
      <c r="AC16" s="20">
        <f>AC15/AC10</f>
        <v>0.40036512502766097</v>
      </c>
      <c r="AD16" s="20">
        <f>AD15/AD10</f>
        <v>0.41493926172674112</v>
      </c>
      <c r="AE16" s="20">
        <f>AE15/AE10</f>
        <v>0.41416157181473484</v>
      </c>
      <c r="AF16" s="20">
        <f>AF15/AF10</f>
        <v>0.34671041716592621</v>
      </c>
      <c r="AG16" s="20">
        <f>AG15/AG10</f>
        <v>0.32664168283083184</v>
      </c>
      <c r="AH16" s="20">
        <f>AH15/AH10</f>
        <v>0.31671819621446345</v>
      </c>
      <c r="AI16" s="20">
        <f>AI15/AI10</f>
        <v>0.29762577727529677</v>
      </c>
      <c r="AK16" s="21">
        <f>SUM(AI16-AE16)*10000</f>
        <v>-1165.3579453943807</v>
      </c>
    </row>
    <row r="17" spans="2:37" ht="5.0999999999999996" customHeight="1" x14ac:dyDescent="0.2">
      <c r="B17" s="33"/>
      <c r="C17" s="34"/>
      <c r="D17" s="34"/>
      <c r="E17" s="34"/>
      <c r="F17" s="34"/>
      <c r="G17" s="34"/>
      <c r="H17" s="34"/>
      <c r="I17" s="34"/>
      <c r="J17" s="34"/>
      <c r="K17" s="34"/>
      <c r="L17" s="34"/>
      <c r="M17" s="34"/>
      <c r="N17" s="34"/>
      <c r="O17" s="34"/>
      <c r="P17" s="34"/>
      <c r="Q17" s="34"/>
      <c r="R17" s="34"/>
      <c r="S17" s="34"/>
      <c r="T17" s="34"/>
      <c r="U17" s="34"/>
      <c r="V17" s="34"/>
      <c r="W17" s="34"/>
      <c r="X17" s="5"/>
      <c r="Y17" s="34"/>
      <c r="Z17" s="34"/>
      <c r="AA17" s="34"/>
      <c r="AB17" s="34"/>
      <c r="AC17" s="34"/>
      <c r="AD17" s="34"/>
      <c r="AE17" s="34"/>
      <c r="AF17" s="34"/>
      <c r="AG17" s="34"/>
      <c r="AH17" s="34"/>
      <c r="AI17" s="34"/>
      <c r="AK17" s="10"/>
    </row>
    <row r="18" spans="2:37" ht="12.75" customHeight="1" x14ac:dyDescent="0.2">
      <c r="B18" s="27" t="s">
        <v>206</v>
      </c>
      <c r="C18" s="12">
        <f>'Base Financials'!C15</f>
        <v>-6180</v>
      </c>
      <c r="D18" s="12">
        <f>'Base Financials'!D15</f>
        <v>-6543</v>
      </c>
      <c r="E18" s="12">
        <f>'Base Financials'!E15</f>
        <v>-7002</v>
      </c>
      <c r="F18" s="12">
        <f>'Base Financials'!F15</f>
        <v>-5634</v>
      </c>
      <c r="G18" s="12">
        <f>'Base Financials'!G15</f>
        <v>-5507</v>
      </c>
      <c r="H18" s="12"/>
      <c r="I18" s="12">
        <f>'Base Financials'!I15</f>
        <v>-1752</v>
      </c>
      <c r="J18" s="12">
        <f>'Base Financials'!J15</f>
        <v>-1800</v>
      </c>
      <c r="K18" s="12">
        <f>'Base Financials'!K15</f>
        <v>-1744</v>
      </c>
      <c r="L18" s="12">
        <f>'Base Financials'!L15</f>
        <v>-1706</v>
      </c>
      <c r="M18" s="12">
        <f>'Base Financials'!M15</f>
        <v>-1303</v>
      </c>
      <c r="N18" s="12">
        <f>'Base Financials'!N15</f>
        <v>-1374</v>
      </c>
      <c r="O18" s="12">
        <f>'Base Financials'!O15</f>
        <v>-1340</v>
      </c>
      <c r="P18" s="12">
        <f>'Base Financials'!P15</f>
        <v>-1617</v>
      </c>
      <c r="Q18" s="12">
        <f>'Base Financials'!Q15</f>
        <v>-1556</v>
      </c>
      <c r="R18" s="12">
        <f>'Base Financials'!R15</f>
        <v>-1329</v>
      </c>
      <c r="S18" s="12">
        <f>'Base Financials'!S15</f>
        <v>-1383</v>
      </c>
      <c r="T18" s="12">
        <f>'Base Financials'!T15</f>
        <v>-1239</v>
      </c>
      <c r="U18" s="12">
        <f>'Base Financials'!U15</f>
        <v>-1177</v>
      </c>
      <c r="V18" s="12">
        <f>'Base Financials'!V15</f>
        <v>-1144</v>
      </c>
      <c r="W18" s="12">
        <f>'Base Financials'!W15</f>
        <v>-1129</v>
      </c>
      <c r="X18" s="5"/>
      <c r="Y18" s="13">
        <f t="shared" ref="Y18:Y20" si="12">SUM(I18:L18)</f>
        <v>-7002</v>
      </c>
      <c r="Z18" s="13">
        <f>SUM(J18:M18)</f>
        <v>-6553</v>
      </c>
      <c r="AA18" s="13">
        <f>SUM(K18:N18)</f>
        <v>-6127</v>
      </c>
      <c r="AB18" s="13">
        <f>SUM(L18:O18)</f>
        <v>-5723</v>
      </c>
      <c r="AC18" s="13">
        <f>SUM(M18:P18)</f>
        <v>-5634</v>
      </c>
      <c r="AD18" s="13">
        <f>SUM(N18:Q18)</f>
        <v>-5887</v>
      </c>
      <c r="AE18" s="12">
        <f>SUM(O18:R18)</f>
        <v>-5842</v>
      </c>
      <c r="AF18" s="12">
        <f>SUM(P18:S18)</f>
        <v>-5885</v>
      </c>
      <c r="AG18" s="12">
        <f>SUM(Q18:T18)</f>
        <v>-5507</v>
      </c>
      <c r="AH18" s="12">
        <f>SUM(R18:U18)</f>
        <v>-5128</v>
      </c>
      <c r="AI18" s="12">
        <f>SUM(S18:V18)</f>
        <v>-4943</v>
      </c>
      <c r="AK18" s="14">
        <f t="shared" si="11"/>
        <v>-0.1538856555973982</v>
      </c>
    </row>
    <row r="19" spans="2:37" ht="12.75" customHeight="1" x14ac:dyDescent="0.2">
      <c r="B19" s="27" t="s">
        <v>207</v>
      </c>
      <c r="C19" s="12">
        <f>'Base Financials'!C16</f>
        <v>-13556</v>
      </c>
      <c r="D19" s="12">
        <f>'Base Financials'!D16</f>
        <v>-15190</v>
      </c>
      <c r="E19" s="12">
        <f>'Base Financials'!E16</f>
        <v>-17528</v>
      </c>
      <c r="F19" s="12">
        <f>'Base Financials'!F16</f>
        <v>-16046</v>
      </c>
      <c r="G19" s="12">
        <f>'Base Financials'!G16</f>
        <v>-16546</v>
      </c>
      <c r="H19" s="12"/>
      <c r="I19" s="12">
        <f>'Base Financials'!I16</f>
        <v>-4362</v>
      </c>
      <c r="J19" s="12">
        <f>'Base Financials'!J16</f>
        <v>-4400</v>
      </c>
      <c r="K19" s="12">
        <f>'Base Financials'!K16</f>
        <v>-4302</v>
      </c>
      <c r="L19" s="12">
        <f>'Base Financials'!L16</f>
        <v>-4464</v>
      </c>
      <c r="M19" s="12">
        <f>'Base Financials'!M16</f>
        <v>-4109</v>
      </c>
      <c r="N19" s="12">
        <f>'Base Financials'!N16</f>
        <v>-4080</v>
      </c>
      <c r="O19" s="12">
        <f>'Base Financials'!O16</f>
        <v>-3870</v>
      </c>
      <c r="P19" s="12">
        <f>'Base Financials'!P16</f>
        <v>-3987</v>
      </c>
      <c r="Q19" s="12">
        <f>'Base Financials'!Q16</f>
        <v>-4382</v>
      </c>
      <c r="R19" s="12">
        <f>'Base Financials'!R16</f>
        <v>-4239</v>
      </c>
      <c r="S19" s="12">
        <f>'Base Financials'!S16</f>
        <v>-4049</v>
      </c>
      <c r="T19" s="12">
        <f>'Base Financials'!T16</f>
        <v>-3876</v>
      </c>
      <c r="U19" s="12">
        <f>'Base Financials'!U16</f>
        <v>-3640</v>
      </c>
      <c r="V19" s="12">
        <f>'Base Financials'!V16</f>
        <v>-3684</v>
      </c>
      <c r="W19" s="12">
        <f>'Base Financials'!W16</f>
        <v>-3231</v>
      </c>
      <c r="X19" s="5"/>
      <c r="Y19" s="13">
        <f t="shared" si="12"/>
        <v>-17528</v>
      </c>
      <c r="Z19" s="13">
        <f>SUM(J19:M19)</f>
        <v>-17275</v>
      </c>
      <c r="AA19" s="13">
        <f>SUM(K19:N19)</f>
        <v>-16955</v>
      </c>
      <c r="AB19" s="13">
        <f>SUM(L19:O19)</f>
        <v>-16523</v>
      </c>
      <c r="AC19" s="13">
        <f>SUM(M19:P19)</f>
        <v>-16046</v>
      </c>
      <c r="AD19" s="13">
        <f>SUM(N19:Q19)</f>
        <v>-16319</v>
      </c>
      <c r="AE19" s="12">
        <f>SUM(O19:R19)</f>
        <v>-16478</v>
      </c>
      <c r="AF19" s="12">
        <f>SUM(P19:S19)</f>
        <v>-16657</v>
      </c>
      <c r="AG19" s="12">
        <f>SUM(Q19:T19)</f>
        <v>-16546</v>
      </c>
      <c r="AH19" s="12">
        <f>SUM(R19:U19)</f>
        <v>-15804</v>
      </c>
      <c r="AI19" s="12">
        <f>SUM(S19:V19)</f>
        <v>-15249</v>
      </c>
      <c r="AK19" s="14">
        <f t="shared" si="11"/>
        <v>-7.4584294210462421E-2</v>
      </c>
    </row>
    <row r="20" spans="2:37" ht="12.75" customHeight="1" x14ac:dyDescent="0.2">
      <c r="B20" s="27" t="s">
        <v>208</v>
      </c>
      <c r="C20" s="12">
        <f>'Base Financials'!C17</f>
        <v>-198</v>
      </c>
      <c r="D20" s="12">
        <f>'Base Financials'!D17</f>
        <v>-2626</v>
      </c>
      <c r="E20" s="12">
        <f>'Base Financials'!E17</f>
        <v>-2</v>
      </c>
      <c r="F20" s="12">
        <f>'Base Financials'!F17</f>
        <v>62</v>
      </c>
      <c r="G20" s="12">
        <f>'Base Financials'!G17</f>
        <v>-6970</v>
      </c>
      <c r="H20" s="12"/>
      <c r="I20" s="12">
        <f>'Base Financials'!I17</f>
        <v>1211</v>
      </c>
      <c r="J20" s="12">
        <f>'Base Financials'!J17</f>
        <v>-87</v>
      </c>
      <c r="K20" s="12">
        <f>'Base Financials'!K17</f>
        <v>-664</v>
      </c>
      <c r="L20" s="12">
        <f>'Base Financials'!L17</f>
        <v>-462</v>
      </c>
      <c r="M20" s="12">
        <f>'Base Financials'!M17</f>
        <v>-64</v>
      </c>
      <c r="N20" s="12">
        <f>'Base Financials'!N17</f>
        <v>-200</v>
      </c>
      <c r="O20" s="12">
        <f>'Base Financials'!O17</f>
        <v>-816</v>
      </c>
      <c r="P20" s="12">
        <f>'Base Financials'!P17</f>
        <v>1142</v>
      </c>
      <c r="Q20" s="12">
        <f>'Base Financials'!Q17</f>
        <v>-348</v>
      </c>
      <c r="R20" s="12">
        <f>'Base Financials'!R17</f>
        <v>-943</v>
      </c>
      <c r="S20" s="12">
        <f>'Base Financials'!S17</f>
        <v>-5622</v>
      </c>
      <c r="T20" s="12">
        <f>'Base Financials'!T17</f>
        <v>-57</v>
      </c>
      <c r="U20" s="12">
        <f>'Base Financials'!U17</f>
        <v>-156</v>
      </c>
      <c r="V20" s="12">
        <f>'Base Financials'!V17</f>
        <v>-1890</v>
      </c>
      <c r="W20" s="12">
        <f>'Base Financials'!W17</f>
        <v>-175</v>
      </c>
      <c r="X20" s="5"/>
      <c r="Y20" s="13">
        <f t="shared" si="12"/>
        <v>-2</v>
      </c>
      <c r="Z20" s="13">
        <f>SUM(J20:M20)</f>
        <v>-1277</v>
      </c>
      <c r="AA20" s="13">
        <f>SUM(K20:N20)</f>
        <v>-1390</v>
      </c>
      <c r="AB20" s="13">
        <f>SUM(L20:O20)</f>
        <v>-1542</v>
      </c>
      <c r="AC20" s="13">
        <f>SUM(M20:P20)</f>
        <v>62</v>
      </c>
      <c r="AD20" s="13">
        <f>SUM(N20:Q20)</f>
        <v>-222</v>
      </c>
      <c r="AE20" s="12">
        <f>SUM(O20:R20)</f>
        <v>-965</v>
      </c>
      <c r="AF20" s="12">
        <f>SUM(P20:S20)</f>
        <v>-5771</v>
      </c>
      <c r="AG20" s="12">
        <f>SUM(Q20:T20)</f>
        <v>-6970</v>
      </c>
      <c r="AH20" s="12">
        <f>SUM(R20:U20)</f>
        <v>-6778</v>
      </c>
      <c r="AI20" s="12">
        <f>SUM(S20:V20)</f>
        <v>-7725</v>
      </c>
      <c r="AK20" s="14">
        <f t="shared" si="11"/>
        <v>7.0051813471502591</v>
      </c>
    </row>
    <row r="21" spans="2:37" ht="12.75" customHeight="1" x14ac:dyDescent="0.2">
      <c r="B21" s="15" t="s">
        <v>69</v>
      </c>
      <c r="C21" s="16">
        <f>SUM(C15+SUM(C18:C20))</f>
        <v>23678</v>
      </c>
      <c r="D21" s="16">
        <f>SUM(D15+SUM(D18:D20))</f>
        <v>19456</v>
      </c>
      <c r="E21" s="16">
        <f>SUM(E15+SUM(E18:E20))</f>
        <v>2334</v>
      </c>
      <c r="F21" s="16">
        <f>SUM(F15+SUM(F18:F20))</f>
        <v>93</v>
      </c>
      <c r="G21" s="16">
        <f>SUM(G15+SUM(G18:G20))</f>
        <v>-11678</v>
      </c>
      <c r="H21" s="13"/>
      <c r="I21" s="16">
        <f>SUM(I15+SUM(I18:I20))</f>
        <v>4737.0483851534773</v>
      </c>
      <c r="J21" s="16">
        <f>SUM(J15+SUM(J18:J20))</f>
        <v>-726.98368696001671</v>
      </c>
      <c r="K21" s="16">
        <f>SUM(K15+SUM(K18:K20))</f>
        <v>-50.01786950316091</v>
      </c>
      <c r="L21" s="16">
        <f>SUM(L15+SUM(L18:L20))</f>
        <v>-1626.0468286902978</v>
      </c>
      <c r="M21" s="16">
        <f>SUM(M15+SUM(M18:M20))</f>
        <v>-1468</v>
      </c>
      <c r="N21" s="16">
        <f>SUM(N15+SUM(N18:N20))</f>
        <v>-1016</v>
      </c>
      <c r="O21" s="16">
        <f>SUM(O15+SUM(O18:O20))</f>
        <v>-8</v>
      </c>
      <c r="P21" s="16">
        <f>SUM(P15+SUM(P18:P20))</f>
        <v>2585</v>
      </c>
      <c r="Q21" s="16">
        <f>SUM(Q15+SUM(Q18:Q20))</f>
        <v>-1069</v>
      </c>
      <c r="R21" s="16">
        <f>SUM(R15+SUM(R18:R20))</f>
        <v>-1964</v>
      </c>
      <c r="S21" s="16">
        <f>SUM(S15+SUM(S18:S20))</f>
        <v>-9057</v>
      </c>
      <c r="T21" s="16">
        <f>SUM(T15+SUM(T18:T20))</f>
        <v>412</v>
      </c>
      <c r="U21" s="16">
        <f>SUM(U15+SUM(U18:U20))</f>
        <v>-301</v>
      </c>
      <c r="V21" s="16">
        <f>SUM(V15+SUM(V18:V20))</f>
        <v>-3176</v>
      </c>
      <c r="W21" s="16">
        <f>SUM(W15+SUM(W18:W20))</f>
        <v>683</v>
      </c>
      <c r="X21" s="5"/>
      <c r="Y21" s="16">
        <f>SUM(Y15+SUM(Y18:Y20))</f>
        <v>2334</v>
      </c>
      <c r="Z21" s="16">
        <f>SUM(Z15+SUM(Z18:Z20))</f>
        <v>-3871.0483851534809</v>
      </c>
      <c r="AA21" s="16">
        <f>SUM(AA15+SUM(AA18:AA20))</f>
        <v>-4160.0646981934551</v>
      </c>
      <c r="AB21" s="16">
        <f>SUM(AB15+SUM(AB18:AB20))</f>
        <v>-4118.0468286902978</v>
      </c>
      <c r="AC21" s="16">
        <f>SUM(AC15+SUM(AC18:AC20))</f>
        <v>93</v>
      </c>
      <c r="AD21" s="16">
        <f>SUM(AD15+SUM(AD18:AD20))</f>
        <v>492</v>
      </c>
      <c r="AE21" s="16">
        <f>SUM(AE15+SUM(AE18:AE20))</f>
        <v>-456</v>
      </c>
      <c r="AF21" s="16">
        <f>SUM(AF15+SUM(AF18:AF20))</f>
        <v>-9505</v>
      </c>
      <c r="AG21" s="16">
        <f>SUM(AG15+SUM(AG18:AG20))</f>
        <v>-11678</v>
      </c>
      <c r="AH21" s="16">
        <f>SUM(AH15+SUM(AH18:AH20))</f>
        <v>-10910</v>
      </c>
      <c r="AI21" s="16">
        <f>SUM(AI15+SUM(AI18:AI20))</f>
        <v>-12122</v>
      </c>
      <c r="AK21" s="17">
        <f t="shared" si="11"/>
        <v>25.583333333333332</v>
      </c>
    </row>
    <row r="22" spans="2:37" ht="12.75" customHeight="1" x14ac:dyDescent="0.2">
      <c r="B22" s="18" t="s">
        <v>70</v>
      </c>
      <c r="C22" s="20">
        <f>C21/C10</f>
        <v>0.30408260238611995</v>
      </c>
      <c r="D22" s="20">
        <f>D21/D10</f>
        <v>0.24620368495646891</v>
      </c>
      <c r="E22" s="20">
        <f>E21/E10</f>
        <v>3.7015891140926828E-2</v>
      </c>
      <c r="F22" s="20">
        <f>F21/F10</f>
        <v>1.714981190528878E-3</v>
      </c>
      <c r="G22" s="20">
        <f>G21/G10</f>
        <v>-0.21992052880360069</v>
      </c>
      <c r="H22" s="31"/>
      <c r="I22" s="20">
        <f>I21/I10</f>
        <v>0.25265540350861387</v>
      </c>
      <c r="J22" s="20">
        <f>J21/J10</f>
        <v>-4.7533863707218356E-2</v>
      </c>
      <c r="K22" s="20">
        <f>K21/K10</f>
        <v>-3.234684557030772E-3</v>
      </c>
      <c r="L22" s="20">
        <f>L21/L10</f>
        <v>-0.12002158614880312</v>
      </c>
      <c r="M22" s="20">
        <f>M21/M10</f>
        <v>-0.12530943235168587</v>
      </c>
      <c r="N22" s="20">
        <f>N21/N10</f>
        <v>-7.8461657270831722E-2</v>
      </c>
      <c r="O22" s="20">
        <f>O21/O10</f>
        <v>-5.6505156095493713E-4</v>
      </c>
      <c r="P22" s="20">
        <f>P21/P10</f>
        <v>0.16779176944047774</v>
      </c>
      <c r="Q22" s="20">
        <f>Q21/Q10</f>
        <v>-8.4014460861364354E-2</v>
      </c>
      <c r="R22" s="20">
        <f>R21/R10</f>
        <v>-0.15304293618016052</v>
      </c>
      <c r="S22" s="20">
        <f>S21/S10</f>
        <v>-0.68179765130984649</v>
      </c>
      <c r="T22" s="20">
        <f>T21/T10</f>
        <v>2.8892005610098175E-2</v>
      </c>
      <c r="U22" s="20">
        <f>U21/U10</f>
        <v>-2.3762532564932503E-2</v>
      </c>
      <c r="V22" s="20">
        <f>V21/V10</f>
        <v>-0.246986546387744</v>
      </c>
      <c r="W22" s="20">
        <f>W21/W10</f>
        <v>5.0025635391489048E-2</v>
      </c>
      <c r="X22" s="32"/>
      <c r="Y22" s="20">
        <f>Y21/Y10</f>
        <v>3.7015891140926828E-2</v>
      </c>
      <c r="Z22" s="20">
        <f>Z21/Z10</f>
        <v>-6.9101244709528956E-2</v>
      </c>
      <c r="AA22" s="20">
        <f>AA21/AA10</f>
        <v>-7.750479203751251E-2</v>
      </c>
      <c r="AB22" s="20">
        <f>AB21/AB10</f>
        <v>-7.8633769543760529E-2</v>
      </c>
      <c r="AC22" s="20">
        <f>AC21/AC10</f>
        <v>1.714981190528878E-3</v>
      </c>
      <c r="AD22" s="20">
        <f>AD21/AD10</f>
        <v>8.9070731574850195E-3</v>
      </c>
      <c r="AE22" s="20">
        <f>AE21/AE10</f>
        <v>-8.272709130821284E-3</v>
      </c>
      <c r="AF22" s="20">
        <f>AF21/AF10</f>
        <v>-0.17521706269471124</v>
      </c>
      <c r="AG22" s="20">
        <f>AG21/AG10</f>
        <v>-0.21992052880360069</v>
      </c>
      <c r="AH22" s="20">
        <f>AH21/AH10</f>
        <v>-0.20567830480355931</v>
      </c>
      <c r="AI22" s="20">
        <f>AI21/AI10</f>
        <v>-0.2284153005464481</v>
      </c>
      <c r="AK22" s="21">
        <f>SUM(AI22-AE22)*10000</f>
        <v>-2201.4259141562679</v>
      </c>
    </row>
    <row r="23" spans="2:37" ht="5.0999999999999996" customHeight="1" x14ac:dyDescent="0.2">
      <c r="AK23" s="10"/>
    </row>
    <row r="24" spans="2:37" ht="12.75" customHeight="1" x14ac:dyDescent="0.2">
      <c r="B24" s="35" t="s">
        <v>71</v>
      </c>
      <c r="C24" s="12">
        <f>'Base Financials'!C85+'Base Financials'!C87+'Base Financials'!C92</f>
        <v>12239</v>
      </c>
      <c r="D24" s="12">
        <f>'Base Financials'!D85+'Base Financials'!D87+'Base Financials'!D92</f>
        <v>11792</v>
      </c>
      <c r="E24" s="12">
        <f>'Base Financials'!E85+'Base Financials'!E87+'Base Financials'!E92</f>
        <v>13035</v>
      </c>
      <c r="F24" s="12">
        <f>'Base Financials'!F85+'Base Financials'!F87+'Base Financials'!F92</f>
        <v>9602</v>
      </c>
      <c r="G24" s="12">
        <f>'Base Financials'!G85+'Base Financials'!G87+'Base Financials'!G92</f>
        <v>11379</v>
      </c>
      <c r="I24" s="12">
        <f>'Base Financials'!I85+'Base Financials'!I87+'Base Financials'!I92</f>
        <v>3348</v>
      </c>
      <c r="J24" s="12">
        <f>'Base Financials'!J85+'Base Financials'!J87+'Base Financials'!J92</f>
        <v>3148</v>
      </c>
      <c r="K24" s="12">
        <f>'Base Financials'!K85+'Base Financials'!K87+'Base Financials'!K92</f>
        <v>3252</v>
      </c>
      <c r="L24" s="12">
        <f>'Base Financials'!L85+'Base Financials'!L87+'Base Financials'!L92</f>
        <v>3287</v>
      </c>
      <c r="M24" s="12">
        <f>'Base Financials'!M85+'Base Financials'!M87+'Base Financials'!M92</f>
        <v>2366</v>
      </c>
      <c r="N24" s="12">
        <f>'Base Financials'!N85+'Base Financials'!N87+'Base Financials'!N92</f>
        <v>2276</v>
      </c>
      <c r="O24" s="12">
        <f>'Base Financials'!O85+'Base Financials'!O87+'Base Financials'!O92</f>
        <v>2447</v>
      </c>
      <c r="P24" s="12">
        <f>'Base Financials'!P85+'Base Financials'!P87+'Base Financials'!P92</f>
        <v>2513</v>
      </c>
      <c r="Q24" s="12">
        <f>'Base Financials'!Q85+'Base Financials'!Q87+'Base Financials'!Q92</f>
        <v>2551</v>
      </c>
      <c r="R24" s="12">
        <f>'Base Financials'!R85+'Base Financials'!R87+'Base Financials'!R92</f>
        <v>2569</v>
      </c>
      <c r="S24" s="12">
        <f>'Base Financials'!S85+'Base Financials'!S87+'Base Financials'!S92</f>
        <v>3612</v>
      </c>
      <c r="T24" s="12">
        <f>'Base Financials'!T85+'Base Financials'!T87+'Base Financials'!T92</f>
        <v>2647</v>
      </c>
      <c r="U24" s="12">
        <f>'Base Financials'!U85+'Base Financials'!U87+'Base Financials'!U92</f>
        <v>2674</v>
      </c>
      <c r="V24" s="12">
        <f>'Base Financials'!V85+'Base Financials'!V87+'Base Financials'!V92</f>
        <v>3013</v>
      </c>
      <c r="W24" s="12">
        <f>'Base Financials'!W85+'Base Financials'!W87+'Base Financials'!W92</f>
        <v>2992</v>
      </c>
      <c r="Y24" s="13">
        <f>SUM(I24:L24)</f>
        <v>13035</v>
      </c>
      <c r="Z24" s="13">
        <f>SUM(J24:M24)</f>
        <v>12053</v>
      </c>
      <c r="AA24" s="13">
        <f>SUM(K24:N24)</f>
        <v>11181</v>
      </c>
      <c r="AB24" s="13">
        <f>SUM(L24:O24)</f>
        <v>10376</v>
      </c>
      <c r="AC24" s="13">
        <f>SUM(M24:P24)</f>
        <v>9602</v>
      </c>
      <c r="AD24" s="13">
        <f>SUM(N24:Q24)</f>
        <v>9787</v>
      </c>
      <c r="AE24" s="13">
        <f>SUM(O24:R24)</f>
        <v>10080</v>
      </c>
      <c r="AF24" s="13">
        <f>SUM(P24:S24)</f>
        <v>11245</v>
      </c>
      <c r="AG24" s="13">
        <f>SUM(Q24:T24)</f>
        <v>11379</v>
      </c>
      <c r="AH24" s="13">
        <f>SUM(R24:U24)</f>
        <v>11502</v>
      </c>
      <c r="AI24" s="13">
        <f>SUM(S24:V24)</f>
        <v>11946</v>
      </c>
      <c r="AK24" s="14">
        <f t="shared" ref="AK24:AK32" si="13">SUM(AI24/AE24)-1</f>
        <v>0.18511904761904763</v>
      </c>
    </row>
    <row r="25" spans="2:37" ht="12.75" customHeight="1" x14ac:dyDescent="0.2">
      <c r="B25" s="29" t="s">
        <v>11</v>
      </c>
      <c r="C25" s="30">
        <f t="shared" ref="C25" si="14">SUM(C21+C24)</f>
        <v>35917</v>
      </c>
      <c r="D25" s="30">
        <f t="shared" ref="D25:E25" si="15">SUM(D21+D24)</f>
        <v>31248</v>
      </c>
      <c r="E25" s="30">
        <f t="shared" si="15"/>
        <v>15369</v>
      </c>
      <c r="F25" s="30">
        <f>SUM(F21+F24)</f>
        <v>9695</v>
      </c>
      <c r="G25" s="30">
        <f>SUM(G21+G24)</f>
        <v>-299</v>
      </c>
      <c r="I25" s="30">
        <f t="shared" ref="I25:AI25" si="16">SUM(I21+I24)</f>
        <v>8085.0483851534773</v>
      </c>
      <c r="J25" s="30">
        <f t="shared" si="16"/>
        <v>2421.0163130399833</v>
      </c>
      <c r="K25" s="30">
        <f t="shared" si="16"/>
        <v>3201.9821304968391</v>
      </c>
      <c r="L25" s="30">
        <f t="shared" si="16"/>
        <v>1660.9531713097022</v>
      </c>
      <c r="M25" s="30">
        <f t="shared" si="16"/>
        <v>898</v>
      </c>
      <c r="N25" s="30">
        <f t="shared" si="16"/>
        <v>1260</v>
      </c>
      <c r="O25" s="30">
        <f t="shared" si="16"/>
        <v>2439</v>
      </c>
      <c r="P25" s="30">
        <f t="shared" si="16"/>
        <v>5098</v>
      </c>
      <c r="Q25" s="30">
        <f t="shared" si="16"/>
        <v>1482</v>
      </c>
      <c r="R25" s="30">
        <f t="shared" si="16"/>
        <v>605</v>
      </c>
      <c r="S25" s="30">
        <f>SUM(S21+S24)</f>
        <v>-5445</v>
      </c>
      <c r="T25" s="30">
        <f>SUM(T21+T24)</f>
        <v>3059</v>
      </c>
      <c r="U25" s="30">
        <f t="shared" ref="U25:V25" si="17">SUM(U21+U24)</f>
        <v>2373</v>
      </c>
      <c r="V25" s="30">
        <f t="shared" si="17"/>
        <v>-163</v>
      </c>
      <c r="W25" s="30">
        <f t="shared" ref="W25" si="18">SUM(W21+W24)</f>
        <v>3675</v>
      </c>
      <c r="Y25" s="30">
        <f t="shared" ref="Y25:AF25" si="19">SUM(Y21+Y24)</f>
        <v>15369</v>
      </c>
      <c r="Z25" s="30">
        <f t="shared" si="19"/>
        <v>8181.9516148465191</v>
      </c>
      <c r="AA25" s="30">
        <f t="shared" si="19"/>
        <v>7020.9353018065449</v>
      </c>
      <c r="AB25" s="30">
        <f t="shared" si="19"/>
        <v>6257.9531713097022</v>
      </c>
      <c r="AC25" s="30">
        <f t="shared" si="19"/>
        <v>9695</v>
      </c>
      <c r="AD25" s="30">
        <f t="shared" si="19"/>
        <v>10279</v>
      </c>
      <c r="AE25" s="30">
        <f t="shared" si="19"/>
        <v>9624</v>
      </c>
      <c r="AF25" s="30">
        <f t="shared" si="19"/>
        <v>1740</v>
      </c>
      <c r="AG25" s="30">
        <f t="shared" si="16"/>
        <v>-299</v>
      </c>
      <c r="AH25" s="30">
        <f t="shared" si="16"/>
        <v>592</v>
      </c>
      <c r="AI25" s="30">
        <f t="shared" si="16"/>
        <v>-176</v>
      </c>
      <c r="AK25" s="17">
        <f t="shared" si="13"/>
        <v>-1.0182876142975894</v>
      </c>
    </row>
    <row r="26" spans="2:37" ht="12.75" customHeight="1" x14ac:dyDescent="0.2">
      <c r="B26" s="18" t="s">
        <v>72</v>
      </c>
      <c r="C26" s="20">
        <f>C25/C10</f>
        <v>0.46126086789012033</v>
      </c>
      <c r="D26" s="20">
        <f>D25/D10</f>
        <v>0.39542417493419718</v>
      </c>
      <c r="E26" s="20">
        <f>E25/E10</f>
        <v>0.24374345798839089</v>
      </c>
      <c r="F26" s="20">
        <f>F25/F10</f>
        <v>0.17878217894814488</v>
      </c>
      <c r="G26" s="20">
        <f>G25/G10</f>
        <v>-5.6307790813732318E-3</v>
      </c>
      <c r="I26" s="20">
        <f>I25/I10</f>
        <v>0.43122446638708667</v>
      </c>
      <c r="J26" s="20">
        <f>J25/J10</f>
        <v>0.15829826930260146</v>
      </c>
      <c r="K26" s="20">
        <f>K25/K10</f>
        <v>0.20707403678503486</v>
      </c>
      <c r="L26" s="20">
        <f>L25/L10</f>
        <v>0.12259808919527991</v>
      </c>
      <c r="M26" s="20">
        <f>M25/M10</f>
        <v>7.6653862569355524E-2</v>
      </c>
      <c r="N26" s="20">
        <f>N25/N10</f>
        <v>9.7304811182330683E-2</v>
      </c>
      <c r="O26" s="20">
        <f>O25/O10</f>
        <v>0.17227009464613646</v>
      </c>
      <c r="P26" s="20">
        <f>P25/P10</f>
        <v>0.33091003505127875</v>
      </c>
      <c r="Q26" s="20">
        <f>Q25/Q10</f>
        <v>0.11647280729330399</v>
      </c>
      <c r="R26" s="20">
        <f>R25/R10</f>
        <v>4.7144081664458819E-2</v>
      </c>
      <c r="S26" s="20">
        <f>S25/S10</f>
        <v>-0.40989159891598914</v>
      </c>
      <c r="T26" s="20">
        <f>T25/T10</f>
        <v>0.21451612903225806</v>
      </c>
      <c r="U26" s="20">
        <f>U25/U10</f>
        <v>0.18733717533749111</v>
      </c>
      <c r="V26" s="20">
        <f>V25/V10</f>
        <v>-1.2675946807683334E-2</v>
      </c>
      <c r="W26" s="20">
        <f>W25/W10</f>
        <v>0.26917161063502526</v>
      </c>
      <c r="Y26" s="20">
        <f>Y25/Y10</f>
        <v>0.24374345798839089</v>
      </c>
      <c r="Z26" s="20">
        <f>Z25/Z10</f>
        <v>0.14605424280084744</v>
      </c>
      <c r="AA26" s="20">
        <f>AA25/AA10</f>
        <v>0.13080472779946212</v>
      </c>
      <c r="AB26" s="20">
        <f>AB25/AB10</f>
        <v>0.11949510725814536</v>
      </c>
      <c r="AC26" s="20">
        <f>AC25/AC10</f>
        <v>0.17878217894814488</v>
      </c>
      <c r="AD26" s="20">
        <f>AD25/AD10</f>
        <v>0.18608903452396039</v>
      </c>
      <c r="AE26" s="20">
        <f>AE25/AE10</f>
        <v>0.17459770323470183</v>
      </c>
      <c r="AF26" s="20">
        <f>AF25/AF10</f>
        <v>3.2075506479620992E-2</v>
      </c>
      <c r="AG26" s="20">
        <f>AG25/AG10</f>
        <v>-5.6307790813732318E-3</v>
      </c>
      <c r="AH26" s="20">
        <f>AH25/AH10</f>
        <v>1.1160545961842998E-2</v>
      </c>
      <c r="AI26" s="20">
        <f>AI25/AI10</f>
        <v>-3.3163745995854533E-3</v>
      </c>
      <c r="AK26" s="21">
        <f>SUM(AI26-AE26)*10000</f>
        <v>-1779.1407783428729</v>
      </c>
    </row>
    <row r="27" spans="2:37" ht="5.0999999999999996" customHeight="1" x14ac:dyDescent="0.2">
      <c r="AK27" s="10"/>
    </row>
    <row r="28" spans="2:37" ht="12.75" customHeight="1" x14ac:dyDescent="0.2">
      <c r="B28" s="35" t="s">
        <v>73</v>
      </c>
      <c r="C28" s="12">
        <f>'Base Financials'!C88</f>
        <v>1854</v>
      </c>
      <c r="D28" s="12">
        <f>'Base Financials'!D88</f>
        <v>2036</v>
      </c>
      <c r="E28" s="12">
        <f>'Base Financials'!E88</f>
        <v>3128</v>
      </c>
      <c r="F28" s="12">
        <f>'Base Financials'!F88</f>
        <v>3229</v>
      </c>
      <c r="G28" s="12">
        <f>'Base Financials'!G88</f>
        <v>3410</v>
      </c>
      <c r="I28" s="12">
        <f>'Base Financials'!I88</f>
        <v>707</v>
      </c>
      <c r="J28" s="12">
        <f>'Base Financials'!J88</f>
        <v>892</v>
      </c>
      <c r="K28" s="12">
        <f>'Base Financials'!K88</f>
        <v>793</v>
      </c>
      <c r="L28" s="12">
        <f>'Base Financials'!L88</f>
        <v>736</v>
      </c>
      <c r="M28" s="12">
        <f>'Base Financials'!M88</f>
        <v>739</v>
      </c>
      <c r="N28" s="12">
        <f>'Base Financials'!N88</f>
        <v>922</v>
      </c>
      <c r="O28" s="12">
        <f>'Base Financials'!O88</f>
        <v>772</v>
      </c>
      <c r="P28" s="12">
        <f>'Base Financials'!P88</f>
        <v>796</v>
      </c>
      <c r="Q28" s="12">
        <f>'Base Financials'!Q88</f>
        <v>1179</v>
      </c>
      <c r="R28" s="12">
        <f>'Base Financials'!R88</f>
        <v>780</v>
      </c>
      <c r="S28" s="12">
        <f>'Base Financials'!S88</f>
        <v>800</v>
      </c>
      <c r="T28" s="12">
        <f>'Base Financials'!T88</f>
        <v>651</v>
      </c>
      <c r="U28" s="12">
        <f>'Base Financials'!U88</f>
        <v>684</v>
      </c>
      <c r="V28" s="12">
        <f>'Base Financials'!V88</f>
        <v>664</v>
      </c>
      <c r="W28" s="12">
        <f>'Base Financials'!W88</f>
        <v>548</v>
      </c>
      <c r="Y28" s="36">
        <f t="shared" ref="Y28:Y29" si="20">SUM(I28:L28)</f>
        <v>3128</v>
      </c>
      <c r="Z28" s="36">
        <f>SUM(J28:M28)</f>
        <v>3160</v>
      </c>
      <c r="AA28" s="36">
        <f>SUM(K28:N28)</f>
        <v>3190</v>
      </c>
      <c r="AB28" s="36">
        <f>SUM(L28:O28)</f>
        <v>3169</v>
      </c>
      <c r="AC28" s="36">
        <f>SUM(M28:P28)</f>
        <v>3229</v>
      </c>
      <c r="AD28" s="36">
        <f>SUM(N28:Q28)</f>
        <v>3669</v>
      </c>
      <c r="AE28" s="36">
        <f>SUM(O28:R28)</f>
        <v>3527</v>
      </c>
      <c r="AF28" s="36">
        <f>SUM(P28:S28)</f>
        <v>3555</v>
      </c>
      <c r="AG28" s="36">
        <f>SUM(Q28:T28)</f>
        <v>3410</v>
      </c>
      <c r="AH28" s="36">
        <f>SUM(R28:U28)</f>
        <v>2915</v>
      </c>
      <c r="AI28" s="36">
        <f>SUM(S28:V28)</f>
        <v>2799</v>
      </c>
      <c r="AK28" s="14">
        <f t="shared" si="13"/>
        <v>-0.20640771193648988</v>
      </c>
    </row>
    <row r="29" spans="2:37" ht="12.75" customHeight="1" x14ac:dyDescent="0.2">
      <c r="B29" s="27" t="s">
        <v>209</v>
      </c>
      <c r="C29" s="12">
        <f>'Base Financials'!C89</f>
        <v>0</v>
      </c>
      <c r="D29" s="12">
        <f>'Base Financials'!D89</f>
        <v>2626</v>
      </c>
      <c r="E29" s="12">
        <f>'Base Financials'!E89</f>
        <v>1074</v>
      </c>
      <c r="F29" s="12">
        <f>'Base Financials'!F89</f>
        <v>-424</v>
      </c>
      <c r="G29" s="12">
        <f>'Base Financials'!G89</f>
        <v>3491</v>
      </c>
      <c r="I29" s="12">
        <f>'Base Financials'!I89</f>
        <v>17</v>
      </c>
      <c r="J29" s="12">
        <f>'Base Financials'!J89</f>
        <v>56</v>
      </c>
      <c r="K29" s="12">
        <f>'Base Financials'!K89</f>
        <v>592</v>
      </c>
      <c r="L29" s="12">
        <f>'Base Financials'!L89</f>
        <v>409</v>
      </c>
      <c r="M29" s="12">
        <f>'Base Financials'!M89</f>
        <v>55</v>
      </c>
      <c r="N29" s="12">
        <f>'Base Financials'!N89</f>
        <v>200</v>
      </c>
      <c r="O29" s="12">
        <f>'Base Financials'!O89</f>
        <v>463</v>
      </c>
      <c r="P29" s="12">
        <f>'Base Financials'!P89</f>
        <v>-1142</v>
      </c>
      <c r="Q29" s="12">
        <f>'Base Financials'!Q89</f>
        <v>348</v>
      </c>
      <c r="R29" s="12">
        <f>'Base Financials'!R89</f>
        <v>943</v>
      </c>
      <c r="S29" s="12">
        <f>'Base Financials'!S89</f>
        <v>2335</v>
      </c>
      <c r="T29" s="12">
        <f>'Base Financials'!T89</f>
        <v>-135</v>
      </c>
      <c r="U29" s="12">
        <f>'Base Financials'!U89</f>
        <v>0</v>
      </c>
      <c r="V29" s="12">
        <f>'Base Financials'!V89</f>
        <v>382</v>
      </c>
      <c r="W29" s="12">
        <f>'Base Financials'!W89</f>
        <v>-10</v>
      </c>
      <c r="Y29" s="36">
        <f t="shared" si="20"/>
        <v>1074</v>
      </c>
      <c r="Z29" s="36">
        <f>SUM(J29:M29)</f>
        <v>1112</v>
      </c>
      <c r="AA29" s="36">
        <f>SUM(K29:N29)</f>
        <v>1256</v>
      </c>
      <c r="AB29" s="36">
        <f>SUM(L29:O29)</f>
        <v>1127</v>
      </c>
      <c r="AC29" s="36">
        <f>SUM(M29:P29)</f>
        <v>-424</v>
      </c>
      <c r="AD29" s="36">
        <f>SUM(N29:Q29)</f>
        <v>-131</v>
      </c>
      <c r="AE29" s="36">
        <f>SUM(O29:R29)</f>
        <v>612</v>
      </c>
      <c r="AF29" s="36">
        <f>SUM(P29:S29)</f>
        <v>2484</v>
      </c>
      <c r="AG29" s="36">
        <f>SUM(Q29:T29)</f>
        <v>3491</v>
      </c>
      <c r="AH29" s="36">
        <f>SUM(R29:U29)</f>
        <v>3143</v>
      </c>
      <c r="AI29" s="36">
        <f>SUM(S29:V29)</f>
        <v>2582</v>
      </c>
      <c r="AK29" s="14">
        <f t="shared" si="13"/>
        <v>3.2189542483660132</v>
      </c>
    </row>
    <row r="30" spans="2:37" ht="12.75" customHeight="1" x14ac:dyDescent="0.2">
      <c r="B30" s="27" t="s">
        <v>210</v>
      </c>
      <c r="C30" s="12">
        <f>'Base Financials'!C94</f>
        <v>-1757</v>
      </c>
      <c r="D30" s="12">
        <f>'Base Financials'!D94</f>
        <v>-1458</v>
      </c>
      <c r="E30" s="12">
        <f>'Base Financials'!E94</f>
        <v>-4254</v>
      </c>
      <c r="F30" s="12">
        <f>'Base Financials'!F94</f>
        <v>-42</v>
      </c>
      <c r="G30" s="12">
        <f>'Base Financials'!G94</f>
        <v>-246</v>
      </c>
      <c r="I30" s="12">
        <f>'Base Financials'!I94</f>
        <v>-4325</v>
      </c>
      <c r="J30" s="12">
        <f>'Base Financials'!J94</f>
        <v>95</v>
      </c>
      <c r="K30" s="12">
        <f>'Base Financials'!K94</f>
        <v>155</v>
      </c>
      <c r="L30" s="12">
        <f>'Base Financials'!L94</f>
        <v>-179</v>
      </c>
      <c r="M30" s="12">
        <f>'Base Financials'!M94</f>
        <v>-167</v>
      </c>
      <c r="N30" s="12">
        <f>'Base Financials'!N94</f>
        <v>21</v>
      </c>
      <c r="O30" s="12">
        <f>'Base Financials'!O94</f>
        <v>193</v>
      </c>
      <c r="P30" s="12">
        <f>'Base Financials'!P94</f>
        <v>-89</v>
      </c>
      <c r="Q30" s="12">
        <f>'Base Financials'!Q94</f>
        <v>-208</v>
      </c>
      <c r="R30" s="12">
        <f>'Base Financials'!R94</f>
        <v>124</v>
      </c>
      <c r="S30" s="12">
        <f>'Base Financials'!S94</f>
        <v>159</v>
      </c>
      <c r="T30" s="12">
        <f>'Base Financials'!T94</f>
        <v>-321</v>
      </c>
      <c r="U30" s="12">
        <f>'Base Financials'!U94</f>
        <v>112</v>
      </c>
      <c r="V30" s="12">
        <f>'Base Financials'!V94</f>
        <v>-502</v>
      </c>
      <c r="W30" s="12">
        <f>'Base Financials'!W94</f>
        <v>-221</v>
      </c>
      <c r="Y30" s="36"/>
      <c r="Z30" s="36"/>
      <c r="AA30" s="36"/>
      <c r="AB30" s="36"/>
      <c r="AC30" s="36"/>
      <c r="AD30" s="36"/>
      <c r="AE30" s="36">
        <f t="shared" ref="AE30:AE31" si="21">SUM(O30:R30)</f>
        <v>20</v>
      </c>
      <c r="AF30" s="36">
        <f t="shared" ref="AF30:AF31" si="22">SUM(P30:S30)</f>
        <v>-14</v>
      </c>
      <c r="AG30" s="36">
        <f t="shared" ref="AG30:AG31" si="23">SUM(Q30:T30)</f>
        <v>-246</v>
      </c>
      <c r="AH30" s="36">
        <f t="shared" ref="AH30:AH31" si="24">SUM(R30:U30)</f>
        <v>74</v>
      </c>
      <c r="AI30" s="36">
        <f t="shared" ref="AI30:AI31" si="25">SUM(S30:V30)</f>
        <v>-552</v>
      </c>
      <c r="AK30" s="14"/>
    </row>
    <row r="31" spans="2:37" ht="12.75" customHeight="1" x14ac:dyDescent="0.2">
      <c r="B31" s="27" t="s">
        <v>211</v>
      </c>
      <c r="C31" s="12">
        <f>'Base Financials'!C96</f>
        <v>-30</v>
      </c>
      <c r="D31" s="12">
        <f>'Base Financials'!D96</f>
        <v>0</v>
      </c>
      <c r="E31" s="12">
        <f>'Base Financials'!E96</f>
        <v>-1059</v>
      </c>
      <c r="F31" s="12">
        <f>'Base Financials'!F96</f>
        <v>0</v>
      </c>
      <c r="G31" s="12">
        <f>'Base Financials'!G96</f>
        <v>0</v>
      </c>
      <c r="I31" s="12">
        <f>'Base Financials'!I96</f>
        <v>-1121</v>
      </c>
      <c r="J31" s="12">
        <f>'Base Financials'!J96</f>
        <v>49</v>
      </c>
      <c r="K31" s="12">
        <f>'Base Financials'!K96</f>
        <v>0</v>
      </c>
      <c r="L31" s="12">
        <f>'Base Financials'!L96</f>
        <v>13</v>
      </c>
      <c r="M31" s="12">
        <f>'Base Financials'!M96</f>
        <v>0</v>
      </c>
      <c r="N31" s="12">
        <f>'Base Financials'!N96</f>
        <v>0</v>
      </c>
      <c r="O31" s="12">
        <f>'Base Financials'!O96</f>
        <v>0</v>
      </c>
      <c r="P31" s="12">
        <f>'Base Financials'!P96</f>
        <v>0</v>
      </c>
      <c r="Q31" s="12">
        <f>'Base Financials'!Q96</f>
        <v>0</v>
      </c>
      <c r="R31" s="12">
        <f>'Base Financials'!R96</f>
        <v>0</v>
      </c>
      <c r="S31" s="12">
        <f>'Base Financials'!S96</f>
        <v>0</v>
      </c>
      <c r="T31" s="12">
        <f>'Base Financials'!T96</f>
        <v>0</v>
      </c>
      <c r="U31" s="12">
        <f>'Base Financials'!U96</f>
        <v>0</v>
      </c>
      <c r="V31" s="12">
        <f>'Base Financials'!V96</f>
        <v>0</v>
      </c>
      <c r="W31" s="12">
        <f>'Base Financials'!W96</f>
        <v>-5355</v>
      </c>
      <c r="Y31" s="36"/>
      <c r="Z31" s="36"/>
      <c r="AA31" s="36"/>
      <c r="AB31" s="36"/>
      <c r="AC31" s="36"/>
      <c r="AD31" s="36"/>
      <c r="AE31" s="36">
        <f t="shared" si="21"/>
        <v>0</v>
      </c>
      <c r="AF31" s="36">
        <f t="shared" si="22"/>
        <v>0</v>
      </c>
      <c r="AG31" s="36">
        <f t="shared" si="23"/>
        <v>0</v>
      </c>
      <c r="AH31" s="36">
        <f t="shared" si="24"/>
        <v>0</v>
      </c>
      <c r="AI31" s="36">
        <f t="shared" si="25"/>
        <v>0</v>
      </c>
      <c r="AK31" s="14"/>
    </row>
    <row r="32" spans="2:37" ht="12.75" customHeight="1" x14ac:dyDescent="0.2">
      <c r="B32" s="15" t="s">
        <v>74</v>
      </c>
      <c r="C32" s="16">
        <f>+SUM(C25+SUM(C28:C31))</f>
        <v>35984</v>
      </c>
      <c r="D32" s="16">
        <f>+SUM(D25+SUM(D28:D31))</f>
        <v>34452</v>
      </c>
      <c r="E32" s="16">
        <f>+SUM(E25+SUM(E28:E31))</f>
        <v>14258</v>
      </c>
      <c r="F32" s="16">
        <f>+SUM(F25+SUM(F28:F31))</f>
        <v>12458</v>
      </c>
      <c r="G32" s="16">
        <f>+SUM(G25+SUM(G28:G31))</f>
        <v>6356</v>
      </c>
      <c r="H32" s="13"/>
      <c r="I32" s="16">
        <f>+SUM(I25+SUM(I28:I31))</f>
        <v>3363.0483851534773</v>
      </c>
      <c r="J32" s="16">
        <f>+SUM(J25+SUM(J28:J31))</f>
        <v>3513.0163130399833</v>
      </c>
      <c r="K32" s="16">
        <f>+SUM(K25+SUM(K28:K31))</f>
        <v>4741.9821304968391</v>
      </c>
      <c r="L32" s="16">
        <f>+SUM(L25+SUM(L28:L31))</f>
        <v>2639.9531713097022</v>
      </c>
      <c r="M32" s="16">
        <f>+SUM(M25+SUM(M28:M31))</f>
        <v>1525</v>
      </c>
      <c r="N32" s="16">
        <f>+SUM(N25+SUM(N28:N31))</f>
        <v>2403</v>
      </c>
      <c r="O32" s="16">
        <f>+SUM(O25+SUM(O28:O31))</f>
        <v>3867</v>
      </c>
      <c r="P32" s="16">
        <f>+SUM(P25+SUM(P28:P31))</f>
        <v>4663</v>
      </c>
      <c r="Q32" s="16">
        <f>+SUM(Q25+SUM(Q28:Q31))</f>
        <v>2801</v>
      </c>
      <c r="R32" s="16">
        <f>+SUM(R25+SUM(R28:R31))</f>
        <v>2452</v>
      </c>
      <c r="S32" s="16">
        <f>+SUM(S25+SUM(S28:S31))</f>
        <v>-2151</v>
      </c>
      <c r="T32" s="16">
        <f>+SUM(T25+SUM(T28:T31))</f>
        <v>3254</v>
      </c>
      <c r="U32" s="16">
        <f>+SUM(U25+SUM(U28:U31))</f>
        <v>3169</v>
      </c>
      <c r="V32" s="16">
        <f>+SUM(V25+SUM(V28:V31))</f>
        <v>381</v>
      </c>
      <c r="W32" s="16">
        <f>+SUM(W25+SUM(W28:W31))</f>
        <v>-1363</v>
      </c>
      <c r="X32" s="5"/>
      <c r="Y32" s="16">
        <f>+SUM(Y25+SUM(Y28:Y29))</f>
        <v>19571</v>
      </c>
      <c r="Z32" s="16">
        <f>+SUM(Z25+SUM(Z28:Z29))</f>
        <v>12453.951614846519</v>
      </c>
      <c r="AA32" s="16">
        <f>+SUM(AA25+SUM(AA28:AA29))</f>
        <v>11466.935301806545</v>
      </c>
      <c r="AB32" s="16">
        <f>+SUM(AB25+SUM(AB28:AB29))</f>
        <v>10553.953171309702</v>
      </c>
      <c r="AC32" s="16">
        <f>+SUM(AC25+SUM(AC28:AC29))</f>
        <v>12500</v>
      </c>
      <c r="AD32" s="16">
        <f>+SUM(AD25+SUM(AD28:AD29))</f>
        <v>13817</v>
      </c>
      <c r="AE32" s="16">
        <f>+SUM(AE25+SUM(AE28:AE31))</f>
        <v>13783</v>
      </c>
      <c r="AF32" s="16">
        <f>+SUM(AF25+SUM(AF28:AF31))</f>
        <v>7765</v>
      </c>
      <c r="AG32" s="16">
        <f>+SUM(AG25+SUM(AG28:AG31))</f>
        <v>6356</v>
      </c>
      <c r="AH32" s="16">
        <f>+SUM(AH25+SUM(AH28:AH31))</f>
        <v>6724</v>
      </c>
      <c r="AI32" s="16">
        <f>+SUM(AI25+SUM(AI28:AI31))</f>
        <v>4653</v>
      </c>
      <c r="AK32" s="14">
        <f t="shared" si="13"/>
        <v>-0.66241021548284118</v>
      </c>
    </row>
    <row r="33" spans="2:37" ht="12.75" customHeight="1" x14ac:dyDescent="0.2">
      <c r="B33" s="18" t="s">
        <v>75</v>
      </c>
      <c r="C33" s="20">
        <f>C32/C10</f>
        <v>0.46212130941220286</v>
      </c>
      <c r="D33" s="20">
        <f>D32/D10</f>
        <v>0.43596881959910916</v>
      </c>
      <c r="E33" s="20">
        <f>E32/E10</f>
        <v>0.2261236400545564</v>
      </c>
      <c r="F33" s="20">
        <f>F32/F10</f>
        <v>0.22973371689901895</v>
      </c>
      <c r="G33" s="20">
        <f>G32/G10</f>
        <v>0.11969642756256944</v>
      </c>
      <c r="I33" s="20">
        <f>I32/I10</f>
        <v>0.17937168415526214</v>
      </c>
      <c r="J33" s="20">
        <f>J32/J10</f>
        <v>0.22969874237970542</v>
      </c>
      <c r="K33" s="20">
        <f>K32/K10</f>
        <v>0.30666672770347919</v>
      </c>
      <c r="L33" s="20">
        <f>L32/L10</f>
        <v>0.19485992739481056</v>
      </c>
      <c r="M33" s="20">
        <f>M32/M10</f>
        <v>0.13017498932991892</v>
      </c>
      <c r="N33" s="20">
        <f>N32/N10</f>
        <v>0.18557417561201636</v>
      </c>
      <c r="O33" s="20">
        <f>O32/O10</f>
        <v>0.27313179827659273</v>
      </c>
      <c r="P33" s="20">
        <f>P32/P10</f>
        <v>0.30267428274698172</v>
      </c>
      <c r="Q33" s="20">
        <f>Q32/Q10</f>
        <v>0.22013517761710155</v>
      </c>
      <c r="R33" s="20">
        <f>R32/R10</f>
        <v>0.19106989791942647</v>
      </c>
      <c r="S33" s="20">
        <f>S32/S10</f>
        <v>-0.1619241192411924</v>
      </c>
      <c r="T33" s="20">
        <f>T32/T10</f>
        <v>0.22819074333800843</v>
      </c>
      <c r="U33" s="20">
        <f>U32/U10</f>
        <v>0.25017762690455514</v>
      </c>
      <c r="V33" s="20">
        <f>V32/V10</f>
        <v>2.9629053581149388E-2</v>
      </c>
      <c r="W33" s="20">
        <f>W32/W10</f>
        <v>-9.9831538855929103E-2</v>
      </c>
      <c r="Y33" s="20">
        <f>Y32/Y10</f>
        <v>0.31038474957972534</v>
      </c>
      <c r="Z33" s="20">
        <f>Z32/Z10</f>
        <v>0.22231278778087962</v>
      </c>
      <c r="AA33" s="20">
        <f>AA32/AA10</f>
        <v>0.21363668604963554</v>
      </c>
      <c r="AB33" s="20">
        <f>AB32/AB10</f>
        <v>0.2015268781468296</v>
      </c>
      <c r="AC33" s="20">
        <f>AC32/AC10</f>
        <v>0.23050822453345135</v>
      </c>
      <c r="AD33" s="20">
        <f>AD32/AD10</f>
        <v>0.25014030450603764</v>
      </c>
      <c r="AE33" s="20">
        <f>AE32/AE10</f>
        <v>0.25004989024146879</v>
      </c>
      <c r="AF33" s="20">
        <f>AF32/AF10</f>
        <v>0.14314155621509023</v>
      </c>
      <c r="AG33" s="20">
        <f>AG32/AG10</f>
        <v>0.11969642756256944</v>
      </c>
      <c r="AH33" s="20">
        <f>AH32/AH10</f>
        <v>0.12676268758012216</v>
      </c>
      <c r="AI33" s="20">
        <f>AI32/AI10</f>
        <v>8.7676653476540412E-2</v>
      </c>
      <c r="AK33" s="37">
        <f>SUM(AI33-AE33)*10000</f>
        <v>-1623.7323676492838</v>
      </c>
    </row>
    <row r="34" spans="2:37" ht="5.0999999999999996" customHeight="1" x14ac:dyDescent="0.2">
      <c r="AK34" s="10"/>
    </row>
    <row r="35" spans="2:37" ht="12.75" customHeight="1" x14ac:dyDescent="0.2">
      <c r="B35" s="27" t="s">
        <v>76</v>
      </c>
      <c r="C35" s="36">
        <f>'Base Financials'!C112</f>
        <v>-14259</v>
      </c>
      <c r="D35" s="36">
        <f>'Base Financials'!D112</f>
        <v>-18733</v>
      </c>
      <c r="E35" s="36">
        <f>'Base Financials'!E112</f>
        <v>-24844</v>
      </c>
      <c r="F35" s="36">
        <f>'Base Financials'!F112</f>
        <v>-25750</v>
      </c>
      <c r="G35" s="36">
        <f>'Base Financials'!G112</f>
        <v>-23944</v>
      </c>
      <c r="I35" s="36">
        <f>'Base Financials'!I112</f>
        <v>-4604</v>
      </c>
      <c r="J35" s="36">
        <f>'Base Financials'!J112</f>
        <v>-7242</v>
      </c>
      <c r="K35" s="36">
        <f>'Base Financials'!K112</f>
        <v>-7299</v>
      </c>
      <c r="L35" s="36">
        <f>'Base Financials'!L112</f>
        <v>-5699</v>
      </c>
      <c r="M35" s="36">
        <f>'Base Financials'!M112</f>
        <v>-7413</v>
      </c>
      <c r="N35" s="36">
        <f>'Base Financials'!N112</f>
        <v>-5888</v>
      </c>
      <c r="O35" s="36">
        <f>'Base Financials'!O112</f>
        <v>-5753</v>
      </c>
      <c r="P35" s="36">
        <f>'Base Financials'!P112</f>
        <v>-6696</v>
      </c>
      <c r="Q35" s="36">
        <f>'Base Financials'!Q112</f>
        <v>-5970</v>
      </c>
      <c r="R35" s="36">
        <f>'Base Financials'!R112</f>
        <v>-5682</v>
      </c>
      <c r="S35" s="36">
        <f>'Base Financials'!S112</f>
        <v>-6458</v>
      </c>
      <c r="T35" s="36">
        <f>'Base Financials'!T112</f>
        <v>-5834</v>
      </c>
      <c r="U35" s="36">
        <f>'Base Financials'!U112</f>
        <v>-5183</v>
      </c>
      <c r="V35" s="36">
        <f>'Base Financials'!V112</f>
        <v>-3550</v>
      </c>
      <c r="W35" s="36">
        <f>'Base Financials'!W112</f>
        <v>-2425</v>
      </c>
      <c r="Y35" s="36">
        <f t="shared" ref="Y35:Y39" si="26">SUM(I35:L35)</f>
        <v>-24844</v>
      </c>
      <c r="Z35" s="36">
        <f>SUM(J35:M35)</f>
        <v>-27653</v>
      </c>
      <c r="AA35" s="36">
        <f>SUM(K35:N35)</f>
        <v>-26299</v>
      </c>
      <c r="AB35" s="36">
        <f>SUM(L35:O35)</f>
        <v>-24753</v>
      </c>
      <c r="AC35" s="36">
        <f>SUM(M35:P35)</f>
        <v>-25750</v>
      </c>
      <c r="AD35" s="36">
        <f>SUM(N35:Q35)</f>
        <v>-24307</v>
      </c>
      <c r="AE35" s="36">
        <f>SUM(O35:R35)</f>
        <v>-24101</v>
      </c>
      <c r="AF35" s="36">
        <f>SUM(P35:S35)</f>
        <v>-24806</v>
      </c>
      <c r="AG35" s="36">
        <f>SUM(Q35:T35)</f>
        <v>-23944</v>
      </c>
      <c r="AH35" s="36">
        <f>SUM(R35:U35)</f>
        <v>-23157</v>
      </c>
      <c r="AI35" s="36">
        <f>SUM(S35:V35)</f>
        <v>-21025</v>
      </c>
      <c r="AK35" s="14">
        <f t="shared" ref="AK35:AK40" si="27">SUM(AI35/AE35)-1</f>
        <v>-0.12762955893946304</v>
      </c>
    </row>
    <row r="36" spans="2:37" ht="12.75" customHeight="1" x14ac:dyDescent="0.2">
      <c r="B36" s="27" t="s">
        <v>77</v>
      </c>
      <c r="C36" s="36">
        <f>-('Base Financials'!C147)</f>
        <v>-594</v>
      </c>
      <c r="D36" s="36">
        <f>-('Base Financials'!D147)</f>
        <v>-545</v>
      </c>
      <c r="E36" s="36">
        <f>-('Base Financials'!E147)</f>
        <v>-459</v>
      </c>
      <c r="F36" s="36">
        <f>-('Base Financials'!F147)</f>
        <v>-613</v>
      </c>
      <c r="G36" s="36">
        <f>-('Base Financials'!G147)</f>
        <v>-987</v>
      </c>
      <c r="I36" s="36">
        <f>-('Base Financials'!I147)</f>
        <v>-177</v>
      </c>
      <c r="J36" s="36">
        <f>-('Base Financials'!J147)</f>
        <v>-37</v>
      </c>
      <c r="K36" s="36">
        <f>-('Base Financials'!K147)</f>
        <v>-101</v>
      </c>
      <c r="L36" s="36">
        <f>-('Base Financials'!L147)</f>
        <v>-144</v>
      </c>
      <c r="M36" s="36">
        <f>-('Base Financials'!M147)</f>
        <v>-239</v>
      </c>
      <c r="N36" s="36">
        <f>-('Base Financials'!N147)</f>
        <v>78</v>
      </c>
      <c r="O36" s="36">
        <f>-('Base Financials'!O147)</f>
        <v>-502</v>
      </c>
      <c r="P36" s="36">
        <f>-('Base Financials'!P147)</f>
        <v>50</v>
      </c>
      <c r="Q36" s="36">
        <f>-('Base Financials'!Q147)</f>
        <v>-540</v>
      </c>
      <c r="R36" s="36">
        <f>-('Base Financials'!R147)</f>
        <v>52</v>
      </c>
      <c r="S36" s="36">
        <f>-('Base Financials'!S147)</f>
        <v>-611</v>
      </c>
      <c r="T36" s="36">
        <f>-('Base Financials'!T147)</f>
        <v>112</v>
      </c>
      <c r="U36" s="36">
        <f>-('Base Financials'!U147)</f>
        <v>-635</v>
      </c>
      <c r="V36" s="36">
        <f>-('Base Financials'!V147)</f>
        <v>121</v>
      </c>
      <c r="W36" s="36">
        <f>-('Base Financials'!W147)</f>
        <v>121</v>
      </c>
      <c r="Y36" s="36">
        <f t="shared" si="26"/>
        <v>-459</v>
      </c>
      <c r="Z36" s="36">
        <f>SUM(J36:M36)</f>
        <v>-521</v>
      </c>
      <c r="AA36" s="36">
        <f>SUM(K36:N36)</f>
        <v>-406</v>
      </c>
      <c r="AB36" s="36">
        <f>SUM(L36:O36)</f>
        <v>-807</v>
      </c>
      <c r="AC36" s="36">
        <f>SUM(M36:P36)</f>
        <v>-613</v>
      </c>
      <c r="AD36" s="36">
        <f>SUM(N36:Q36)</f>
        <v>-914</v>
      </c>
      <c r="AE36" s="36">
        <f>SUM(O36:R36)</f>
        <v>-940</v>
      </c>
      <c r="AF36" s="36">
        <f>SUM(P36:S36)</f>
        <v>-1049</v>
      </c>
      <c r="AG36" s="36">
        <f>SUM(Q36:T36)</f>
        <v>-987</v>
      </c>
      <c r="AH36" s="36">
        <f>SUM(R36:U36)</f>
        <v>-1082</v>
      </c>
      <c r="AI36" s="36">
        <f>SUM(S36:V36)</f>
        <v>-1013</v>
      </c>
      <c r="AK36" s="14">
        <f t="shared" si="27"/>
        <v>7.7659574468085024E-2</v>
      </c>
    </row>
    <row r="37" spans="2:37" ht="12.75" customHeight="1" x14ac:dyDescent="0.2">
      <c r="B37" s="27" t="s">
        <v>78</v>
      </c>
      <c r="C37" s="36">
        <f>-('Base Financials'!C148)</f>
        <v>-2436</v>
      </c>
      <c r="D37" s="36">
        <f>-('Base Financials'!D148)</f>
        <v>-2263</v>
      </c>
      <c r="E37" s="36">
        <f>-('Base Financials'!E148)</f>
        <v>-4282</v>
      </c>
      <c r="F37" s="36">
        <f>-('Base Financials'!F148)</f>
        <v>-2621</v>
      </c>
      <c r="G37" s="36">
        <f>-('Base Financials'!G148)</f>
        <v>-2202</v>
      </c>
      <c r="I37" s="36">
        <f>-('Base Financials'!I148)</f>
        <v>-335</v>
      </c>
      <c r="J37" s="36">
        <f>-('Base Financials'!J148)</f>
        <v>-2991</v>
      </c>
      <c r="K37" s="36">
        <f>-('Base Financials'!K148)</f>
        <v>-634</v>
      </c>
      <c r="L37" s="36">
        <f>-('Base Financials'!L148)</f>
        <v>-322</v>
      </c>
      <c r="M37" s="36">
        <f>-('Base Financials'!M148)</f>
        <v>-267</v>
      </c>
      <c r="N37" s="36">
        <f>-('Base Financials'!N148)</f>
        <v>-1253</v>
      </c>
      <c r="O37" s="36">
        <f>-('Base Financials'!O148)</f>
        <v>-129</v>
      </c>
      <c r="P37" s="36">
        <f>-('Base Financials'!P148)</f>
        <v>-972</v>
      </c>
      <c r="Q37" s="36">
        <f>-('Base Financials'!Q148)</f>
        <v>-315</v>
      </c>
      <c r="R37" s="36">
        <f>-('Base Financials'!R148)</f>
        <v>-1240</v>
      </c>
      <c r="S37" s="36">
        <f>-('Base Financials'!S148)</f>
        <v>-325</v>
      </c>
      <c r="T37" s="36">
        <f>-('Base Financials'!T148)</f>
        <v>-322</v>
      </c>
      <c r="U37" s="36">
        <f>-('Base Financials'!U148)</f>
        <v>-221</v>
      </c>
      <c r="V37" s="36">
        <f>-('Base Financials'!V148)</f>
        <v>-1572</v>
      </c>
      <c r="W37" s="36">
        <f>-('Base Financials'!W148)</f>
        <v>-1572</v>
      </c>
      <c r="Y37" s="36">
        <f t="shared" si="26"/>
        <v>-4282</v>
      </c>
      <c r="Z37" s="36">
        <f>SUM(J37:M37)</f>
        <v>-4214</v>
      </c>
      <c r="AA37" s="36">
        <f>SUM(K37:N37)</f>
        <v>-2476</v>
      </c>
      <c r="AB37" s="36">
        <f>SUM(L37:O37)</f>
        <v>-1971</v>
      </c>
      <c r="AC37" s="36">
        <f>SUM(M37:P37)</f>
        <v>-2621</v>
      </c>
      <c r="AD37" s="36">
        <f>SUM(N37:Q37)</f>
        <v>-2669</v>
      </c>
      <c r="AE37" s="36">
        <f>SUM(O37:R37)</f>
        <v>-2656</v>
      </c>
      <c r="AF37" s="36">
        <f>SUM(P37:S37)</f>
        <v>-2852</v>
      </c>
      <c r="AG37" s="36">
        <f>SUM(Q37:T37)</f>
        <v>-2202</v>
      </c>
      <c r="AH37" s="36">
        <f>SUM(R37:U37)</f>
        <v>-2108</v>
      </c>
      <c r="AI37" s="36">
        <f>SUM(S37:V37)</f>
        <v>-2440</v>
      </c>
      <c r="AK37" s="14">
        <f t="shared" si="27"/>
        <v>-8.1325301204819289E-2</v>
      </c>
    </row>
    <row r="38" spans="2:37" ht="12.75" customHeight="1" x14ac:dyDescent="0.2">
      <c r="B38" s="27" t="s">
        <v>79</v>
      </c>
      <c r="C38" s="36">
        <v>0</v>
      </c>
      <c r="D38" s="36">
        <v>0</v>
      </c>
      <c r="E38" s="36">
        <v>0</v>
      </c>
      <c r="F38" s="36">
        <v>0</v>
      </c>
      <c r="G38" s="36">
        <v>0</v>
      </c>
      <c r="I38" s="36">
        <v>0</v>
      </c>
      <c r="J38" s="36">
        <v>0</v>
      </c>
      <c r="K38" s="36">
        <v>0</v>
      </c>
      <c r="L38" s="36">
        <v>0</v>
      </c>
      <c r="M38" s="36">
        <v>0</v>
      </c>
      <c r="N38" s="36">
        <v>0</v>
      </c>
      <c r="O38" s="36">
        <v>0</v>
      </c>
      <c r="P38" s="36">
        <v>0</v>
      </c>
      <c r="Q38" s="36">
        <v>0</v>
      </c>
      <c r="R38" s="36">
        <v>0</v>
      </c>
      <c r="S38" s="36">
        <v>0</v>
      </c>
      <c r="T38" s="36">
        <v>0</v>
      </c>
      <c r="U38" s="36">
        <v>0</v>
      </c>
      <c r="V38" s="36">
        <v>0</v>
      </c>
      <c r="W38" s="36">
        <v>0</v>
      </c>
      <c r="Y38" s="36">
        <f t="shared" si="26"/>
        <v>0</v>
      </c>
      <c r="Z38" s="36">
        <f>SUM(J38:M38)</f>
        <v>0</v>
      </c>
      <c r="AA38" s="36">
        <f>SUM(K38:N38)</f>
        <v>0</v>
      </c>
      <c r="AB38" s="36">
        <f>SUM(L38:O38)</f>
        <v>0</v>
      </c>
      <c r="AC38" s="36">
        <f>SUM(M38:P38)</f>
        <v>0</v>
      </c>
      <c r="AD38" s="36">
        <f>SUM(N38:Q38)</f>
        <v>0</v>
      </c>
      <c r="AE38" s="36">
        <f>SUM(O38:R38)</f>
        <v>0</v>
      </c>
      <c r="AF38" s="36">
        <f>SUM(P38:S38)</f>
        <v>0</v>
      </c>
      <c r="AG38" s="36">
        <f>SUM(Q38:T38)</f>
        <v>0</v>
      </c>
      <c r="AH38" s="36">
        <f>SUM(R38:U38)</f>
        <v>0</v>
      </c>
      <c r="AI38" s="36">
        <f>SUM(S38:V38)</f>
        <v>0</v>
      </c>
      <c r="AK38" s="14" t="e">
        <f t="shared" si="27"/>
        <v>#DIV/0!</v>
      </c>
    </row>
    <row r="39" spans="2:37" ht="12.75" customHeight="1" x14ac:dyDescent="0.2">
      <c r="B39" s="27" t="s">
        <v>80</v>
      </c>
      <c r="C39" s="36">
        <f>SUM('Base Financials'!C101:C108)</f>
        <v>2179</v>
      </c>
      <c r="D39" s="36">
        <f>SUM('Base Financials'!D101:D108)</f>
        <v>-4873</v>
      </c>
      <c r="E39" s="36">
        <f>SUM('Base Financials'!E101:E108)</f>
        <v>-4508</v>
      </c>
      <c r="F39" s="36">
        <f>SUM('Base Financials'!F101:F108)</f>
        <v>-2569</v>
      </c>
      <c r="G39" s="36">
        <f>SUM('Base Financials'!G101:G108)</f>
        <v>1103</v>
      </c>
      <c r="I39" s="36">
        <f>SUM('Base Financials'!I101:I108)</f>
        <v>-848</v>
      </c>
      <c r="J39" s="36">
        <f>SUM('Base Financials'!J101:J108)</f>
        <v>-2977</v>
      </c>
      <c r="K39" s="36">
        <f>SUM('Base Financials'!K101:K108)</f>
        <v>-4781</v>
      </c>
      <c r="L39" s="36">
        <f>SUM('Base Financials'!L101:L108)</f>
        <v>4098</v>
      </c>
      <c r="M39" s="36">
        <f>SUM('Base Financials'!M101:M108)</f>
        <v>-2010</v>
      </c>
      <c r="N39" s="36">
        <f>SUM('Base Financials'!N101:N108)</f>
        <v>-2084</v>
      </c>
      <c r="O39" s="36">
        <f>SUM('Base Financials'!O101:O108)</f>
        <v>1639</v>
      </c>
      <c r="P39" s="36">
        <f>SUM('Base Financials'!P101:P108)</f>
        <v>-114</v>
      </c>
      <c r="Q39" s="36">
        <f>SUM('Base Financials'!Q101:Q108)</f>
        <v>-4656</v>
      </c>
      <c r="R39" s="36">
        <f>SUM('Base Financials'!R101:R108)</f>
        <v>-470</v>
      </c>
      <c r="S39" s="36">
        <f>SUM('Base Financials'!S101:S108)</f>
        <v>5479</v>
      </c>
      <c r="T39" s="36">
        <f>SUM('Base Financials'!T101:T108)</f>
        <v>750</v>
      </c>
      <c r="U39" s="36">
        <f>SUM('Base Financials'!U101:U108)</f>
        <v>-1789</v>
      </c>
      <c r="V39" s="36">
        <f>SUM('Base Financials'!V101:V108)</f>
        <v>948</v>
      </c>
      <c r="W39" s="36">
        <f>SUM('Base Financials'!W101:W108)</f>
        <v>-1365</v>
      </c>
      <c r="Y39" s="36">
        <f t="shared" si="26"/>
        <v>-4508</v>
      </c>
      <c r="Z39" s="36">
        <f>SUM(J39:M39)</f>
        <v>-5670</v>
      </c>
      <c r="AA39" s="36">
        <f>SUM(K39:N39)</f>
        <v>-4777</v>
      </c>
      <c r="AB39" s="36">
        <f>SUM(L39:O39)</f>
        <v>1643</v>
      </c>
      <c r="AC39" s="36">
        <f>SUM(M39:P39)</f>
        <v>-2569</v>
      </c>
      <c r="AD39" s="36">
        <f>SUM(N39:Q39)</f>
        <v>-5215</v>
      </c>
      <c r="AE39" s="36">
        <f>SUM(O39:R39)</f>
        <v>-3601</v>
      </c>
      <c r="AF39" s="36">
        <f>SUM(P39:S39)</f>
        <v>239</v>
      </c>
      <c r="AG39" s="36">
        <f>SUM(Q39:T39)</f>
        <v>1103</v>
      </c>
      <c r="AH39" s="36">
        <f>SUM(R39:U39)</f>
        <v>3970</v>
      </c>
      <c r="AI39" s="36">
        <f>SUM(S39:V39)</f>
        <v>5388</v>
      </c>
      <c r="AK39" s="14">
        <f t="shared" si="27"/>
        <v>-2.4962510413773948</v>
      </c>
    </row>
    <row r="40" spans="2:37" ht="12.75" customHeight="1" x14ac:dyDescent="0.2">
      <c r="B40" s="15" t="s">
        <v>81</v>
      </c>
      <c r="C40" s="16">
        <f>SUM(C32+SUM(C35:C39))</f>
        <v>20874</v>
      </c>
      <c r="D40" s="16">
        <f>SUM(D32+SUM(D35:D39))</f>
        <v>8038</v>
      </c>
      <c r="E40" s="16">
        <f t="shared" ref="E40:G40" si="28">SUM(E32+SUM(E35:E39))</f>
        <v>-19835</v>
      </c>
      <c r="F40" s="16">
        <f t="shared" si="28"/>
        <v>-19095</v>
      </c>
      <c r="G40" s="16">
        <f t="shared" si="28"/>
        <v>-19674</v>
      </c>
      <c r="I40" s="16">
        <f t="shared" ref="I40:R40" si="29">SUM(I32+SUM(I35:I39))</f>
        <v>-2600.9516148465227</v>
      </c>
      <c r="J40" s="16">
        <f t="shared" si="29"/>
        <v>-9733.9836869600167</v>
      </c>
      <c r="K40" s="16">
        <f t="shared" si="29"/>
        <v>-8073.0178695031609</v>
      </c>
      <c r="L40" s="16">
        <f t="shared" si="29"/>
        <v>572.95317130970216</v>
      </c>
      <c r="M40" s="16">
        <f t="shared" si="29"/>
        <v>-8404</v>
      </c>
      <c r="N40" s="16">
        <f t="shared" si="29"/>
        <v>-6744</v>
      </c>
      <c r="O40" s="16">
        <f t="shared" si="29"/>
        <v>-878</v>
      </c>
      <c r="P40" s="16">
        <f t="shared" si="29"/>
        <v>-3069</v>
      </c>
      <c r="Q40" s="16">
        <f t="shared" si="29"/>
        <v>-8680</v>
      </c>
      <c r="R40" s="16">
        <f t="shared" si="29"/>
        <v>-4888</v>
      </c>
      <c r="S40" s="16">
        <f>SUM(S32+SUM(S35:S39))</f>
        <v>-4066</v>
      </c>
      <c r="T40" s="16">
        <f>SUM(T32+SUM(T35:T39))</f>
        <v>-2040</v>
      </c>
      <c r="U40" s="16">
        <f t="shared" ref="U40:V40" si="30">SUM(U32+SUM(U35:U39))</f>
        <v>-4659</v>
      </c>
      <c r="V40" s="16">
        <f t="shared" si="30"/>
        <v>-3672</v>
      </c>
      <c r="W40" s="16">
        <f t="shared" ref="W40" si="31">SUM(W32+SUM(W35:W39))</f>
        <v>-6604</v>
      </c>
      <c r="Y40" s="16">
        <f t="shared" ref="Y40:AI40" si="32">SUM(Y32+SUM(Y35:Y39))</f>
        <v>-14522</v>
      </c>
      <c r="Z40" s="16">
        <f t="shared" si="32"/>
        <v>-25604.048385153481</v>
      </c>
      <c r="AA40" s="16">
        <f t="shared" si="32"/>
        <v>-22491.064698193455</v>
      </c>
      <c r="AB40" s="16">
        <f t="shared" si="32"/>
        <v>-15334.046828690298</v>
      </c>
      <c r="AC40" s="16">
        <f t="shared" si="32"/>
        <v>-19053</v>
      </c>
      <c r="AD40" s="16">
        <f t="shared" si="32"/>
        <v>-19288</v>
      </c>
      <c r="AE40" s="16">
        <f t="shared" si="32"/>
        <v>-17515</v>
      </c>
      <c r="AF40" s="16">
        <f t="shared" si="32"/>
        <v>-20703</v>
      </c>
      <c r="AG40" s="16">
        <f t="shared" si="32"/>
        <v>-19674</v>
      </c>
      <c r="AH40" s="16">
        <f t="shared" si="32"/>
        <v>-15653</v>
      </c>
      <c r="AI40" s="16">
        <f t="shared" si="32"/>
        <v>-14437</v>
      </c>
      <c r="AK40" s="17">
        <f t="shared" si="27"/>
        <v>-0.17573508421353123</v>
      </c>
    </row>
    <row r="41" spans="2:37" ht="5.0999999999999996" customHeight="1" x14ac:dyDescent="0.2"/>
    <row r="42" spans="2:37" ht="12.75" customHeight="1" x14ac:dyDescent="0.2">
      <c r="B42" s="35" t="s">
        <v>212</v>
      </c>
      <c r="C42" s="36">
        <f>SUM('Base Financials'!C113+'Base Financials'!C114)</f>
        <v>123</v>
      </c>
      <c r="D42" s="36">
        <f>SUM('Base Financials'!D113+'Base Financials'!D114)</f>
        <v>-1596</v>
      </c>
      <c r="E42" s="36">
        <f>SUM('Base Financials'!E113+'Base Financials'!E114)</f>
        <v>6579</v>
      </c>
      <c r="F42" s="36">
        <f>SUM('Base Financials'!F113+'Base Financials'!F114)</f>
        <v>0</v>
      </c>
      <c r="G42" s="36">
        <f>SUM('Base Financials'!G113+'Base Financials'!G114)</f>
        <v>-82</v>
      </c>
      <c r="H42" s="36"/>
      <c r="I42" s="36">
        <f>SUM('Base Financials'!I113+'Base Financials'!I114)</f>
        <v>6351</v>
      </c>
      <c r="J42" s="36">
        <f>SUM('Base Financials'!J113+'Base Financials'!J114)</f>
        <v>22</v>
      </c>
      <c r="K42" s="36">
        <f>SUM('Base Financials'!K113+'Base Financials'!K114)</f>
        <v>206</v>
      </c>
      <c r="L42" s="36">
        <f>SUM('Base Financials'!L113+'Base Financials'!L114)</f>
        <v>0</v>
      </c>
      <c r="M42" s="36">
        <f>SUM('Base Financials'!M113+'Base Financials'!M114)</f>
        <v>0</v>
      </c>
      <c r="N42" s="36">
        <f>SUM('Base Financials'!N113+'Base Financials'!N114)</f>
        <v>0</v>
      </c>
      <c r="O42" s="36">
        <f>SUM('Base Financials'!O113+'Base Financials'!O114)</f>
        <v>0</v>
      </c>
      <c r="P42" s="36">
        <f>SUM('Base Financials'!P113+'Base Financials'!P114)</f>
        <v>0</v>
      </c>
      <c r="Q42" s="36">
        <f>SUM('Base Financials'!Q113+'Base Financials'!Q114)</f>
        <v>0</v>
      </c>
      <c r="R42" s="36">
        <f>SUM('Base Financials'!R113+'Base Financials'!R114)</f>
        <v>0</v>
      </c>
      <c r="S42" s="36">
        <f>SUM('Base Financials'!S113+'Base Financials'!S114)</f>
        <v>0</v>
      </c>
      <c r="T42" s="36">
        <f>SUM('Base Financials'!T113+'Base Financials'!T114)</f>
        <v>-82</v>
      </c>
      <c r="U42" s="36">
        <f>SUM('Base Financials'!U113+'Base Financials'!U114)</f>
        <v>1935</v>
      </c>
      <c r="V42" s="36">
        <f>SUM('Base Financials'!V113+'Base Financials'!V114)</f>
        <v>0</v>
      </c>
      <c r="W42" s="36">
        <f>SUM('Base Financials'!W113+'Base Financials'!W114)</f>
        <v>4251</v>
      </c>
      <c r="Y42" s="36">
        <f t="shared" ref="Y42:Y47" si="33">SUM(I42:L42)</f>
        <v>6579</v>
      </c>
      <c r="Z42" s="36">
        <f>SUM(J42:M42)</f>
        <v>228</v>
      </c>
      <c r="AA42" s="36">
        <f>SUM(K42:N42)</f>
        <v>206</v>
      </c>
      <c r="AB42" s="36">
        <f>SUM(L42:O42)</f>
        <v>0</v>
      </c>
      <c r="AC42" s="36">
        <f>SUM(M42:P42)</f>
        <v>0</v>
      </c>
      <c r="AD42" s="36">
        <f>SUM(N42:Q42)</f>
        <v>0</v>
      </c>
      <c r="AE42" s="36">
        <f>SUM(O42:R42)</f>
        <v>0</v>
      </c>
      <c r="AF42" s="36">
        <f>SUM(P42:S42)</f>
        <v>0</v>
      </c>
      <c r="AG42" s="36">
        <f>SUM(Q42:T42)</f>
        <v>-82</v>
      </c>
      <c r="AH42" s="36">
        <f>SUM(R42:U42)</f>
        <v>1853</v>
      </c>
      <c r="AI42" s="36">
        <f>SUM(S42:V42)</f>
        <v>1853</v>
      </c>
    </row>
    <row r="43" spans="2:37" ht="12.75" customHeight="1" x14ac:dyDescent="0.2">
      <c r="B43" s="35" t="s">
        <v>213</v>
      </c>
      <c r="C43" s="36">
        <f>SUM('Base Financials'!C115:C116)</f>
        <v>-81</v>
      </c>
      <c r="D43" s="36">
        <f>SUM('Base Financials'!D115:D116)</f>
        <v>1416</v>
      </c>
      <c r="E43" s="36">
        <f>SUM('Base Financials'!E115:E116)</f>
        <v>4451</v>
      </c>
      <c r="F43" s="36">
        <f>SUM('Base Financials'!F115:F116)</f>
        <v>-337</v>
      </c>
      <c r="G43" s="36">
        <f>SUM('Base Financials'!G115:G116)</f>
        <v>3523</v>
      </c>
      <c r="H43" s="36"/>
      <c r="I43" s="36">
        <f>SUM('Base Financials'!I115:I116)</f>
        <v>10490</v>
      </c>
      <c r="J43" s="36">
        <f>SUM('Base Financials'!J115:J116)</f>
        <v>14917</v>
      </c>
      <c r="K43" s="36">
        <f>SUM('Base Financials'!K115:K116)</f>
        <v>-20527</v>
      </c>
      <c r="L43" s="36">
        <f>SUM('Base Financials'!L115:L116)</f>
        <v>-429</v>
      </c>
      <c r="M43" s="36">
        <f>SUM('Base Financials'!M115:M116)</f>
        <v>-1959</v>
      </c>
      <c r="N43" s="36">
        <f>SUM('Base Financials'!N115:N116)</f>
        <v>3220</v>
      </c>
      <c r="O43" s="36">
        <f>SUM('Base Financials'!O115:O116)</f>
        <v>-1823</v>
      </c>
      <c r="P43" s="36">
        <f>SUM('Base Financials'!P115:P116)</f>
        <v>225</v>
      </c>
      <c r="Q43" s="36">
        <f>SUM('Base Financials'!Q115:Q116)</f>
        <v>3138</v>
      </c>
      <c r="R43" s="36">
        <f>SUM('Base Financials'!R115:R116)</f>
        <v>-3558</v>
      </c>
      <c r="S43" s="36">
        <f>SUM('Base Financials'!S115:S116)</f>
        <v>3169</v>
      </c>
      <c r="T43" s="36">
        <f>SUM('Base Financials'!T115:T116)</f>
        <v>774</v>
      </c>
      <c r="U43" s="36">
        <f>SUM('Base Financials'!U115:U116)</f>
        <v>1941</v>
      </c>
      <c r="V43" s="36">
        <f>SUM('Base Financials'!V115:V116)</f>
        <v>904</v>
      </c>
      <c r="W43" s="36">
        <f>SUM('Base Financials'!W115:W116)</f>
        <v>-8282</v>
      </c>
      <c r="Y43" s="36">
        <f t="shared" si="33"/>
        <v>4451</v>
      </c>
      <c r="Z43" s="36">
        <f>SUM(J43:M43)</f>
        <v>-7998</v>
      </c>
      <c r="AA43" s="36">
        <f>SUM(K43:N43)</f>
        <v>-19695</v>
      </c>
      <c r="AB43" s="36">
        <f>SUM(L43:O43)</f>
        <v>-991</v>
      </c>
      <c r="AC43" s="36">
        <f>SUM(M43:P43)</f>
        <v>-337</v>
      </c>
      <c r="AD43" s="36">
        <f>SUM(N43:Q43)</f>
        <v>4760</v>
      </c>
      <c r="AE43" s="36">
        <f>SUM(O43:R43)</f>
        <v>-2018</v>
      </c>
      <c r="AF43" s="36">
        <f>SUM(P43:S43)</f>
        <v>2974</v>
      </c>
      <c r="AG43" s="36">
        <f>SUM(Q43:T43)</f>
        <v>3523</v>
      </c>
      <c r="AH43" s="36">
        <f>SUM(R43:U43)</f>
        <v>2326</v>
      </c>
      <c r="AI43" s="36">
        <f>SUM(S43:V43)</f>
        <v>6788</v>
      </c>
    </row>
    <row r="44" spans="2:37" ht="12.75" customHeight="1" x14ac:dyDescent="0.2">
      <c r="B44" s="35" t="s">
        <v>214</v>
      </c>
      <c r="C44" s="36">
        <f>SUM('Base Financials'!C117:C118)</f>
        <v>-7000</v>
      </c>
      <c r="D44" s="36">
        <f>SUM('Base Financials'!D117:D118)</f>
        <v>-6671</v>
      </c>
      <c r="E44" s="36">
        <f>SUM('Base Financials'!E117:E118)</f>
        <v>5083</v>
      </c>
      <c r="F44" s="36">
        <f>SUM('Base Financials'!F117:F118)</f>
        <v>73</v>
      </c>
      <c r="G44" s="36">
        <f>SUM('Base Financials'!G117:G118)</f>
        <v>1047</v>
      </c>
      <c r="H44" s="36"/>
      <c r="I44" s="36">
        <f>SUM('Base Financials'!I117:I118)</f>
        <v>-14409</v>
      </c>
      <c r="J44" s="36">
        <f>SUM('Base Financials'!J117:J118)</f>
        <v>-6330</v>
      </c>
      <c r="K44" s="36">
        <f>SUM('Base Financials'!K117:K118)</f>
        <v>24199</v>
      </c>
      <c r="L44" s="36">
        <f>SUM('Base Financials'!L117:L118)</f>
        <v>1623</v>
      </c>
      <c r="M44" s="36">
        <f>SUM('Base Financials'!M117:M118)</f>
        <v>116</v>
      </c>
      <c r="N44" s="36">
        <f>SUM('Base Financials'!N117:N118)</f>
        <v>137</v>
      </c>
      <c r="O44" s="36">
        <f>SUM('Base Financials'!O117:O118)</f>
        <v>122</v>
      </c>
      <c r="P44" s="36">
        <f>SUM('Base Financials'!P117:P118)</f>
        <v>-302</v>
      </c>
      <c r="Q44" s="36">
        <f>SUM('Base Financials'!Q117:Q118)</f>
        <v>0</v>
      </c>
      <c r="R44" s="36">
        <f>SUM('Base Financials'!R117:R118)</f>
        <v>0</v>
      </c>
      <c r="S44" s="36">
        <f>SUM('Base Financials'!S117:S118)</f>
        <v>0</v>
      </c>
      <c r="T44" s="36">
        <f>SUM('Base Financials'!T117:T118)</f>
        <v>1047</v>
      </c>
      <c r="U44" s="36">
        <f>SUM('Base Financials'!U117:U118)</f>
        <v>0</v>
      </c>
      <c r="V44" s="36">
        <f>SUM('Base Financials'!V117:V118)</f>
        <v>0</v>
      </c>
      <c r="W44" s="36">
        <f>SUM('Base Financials'!W117:W118)</f>
        <v>642</v>
      </c>
      <c r="Y44" s="36">
        <f t="shared" si="33"/>
        <v>5083</v>
      </c>
      <c r="Z44" s="36">
        <f>SUM(J44:M44)</f>
        <v>19608</v>
      </c>
      <c r="AA44" s="36">
        <f>SUM(K44:N44)</f>
        <v>26075</v>
      </c>
      <c r="AB44" s="36">
        <f>SUM(L44:O44)</f>
        <v>1998</v>
      </c>
      <c r="AC44" s="36">
        <f>SUM(M44:P44)</f>
        <v>73</v>
      </c>
      <c r="AD44" s="36">
        <f>SUM(N44:Q44)</f>
        <v>-43</v>
      </c>
      <c r="AE44" s="36">
        <f>SUM(O44:R44)</f>
        <v>-180</v>
      </c>
      <c r="AF44" s="36">
        <f>SUM(P44:S44)</f>
        <v>-302</v>
      </c>
      <c r="AG44" s="36">
        <f>SUM(Q44:T44)</f>
        <v>1047</v>
      </c>
      <c r="AH44" s="36">
        <f>SUM(R44:U44)</f>
        <v>1047</v>
      </c>
      <c r="AI44" s="36">
        <f>SUM(S44:V44)</f>
        <v>1047</v>
      </c>
    </row>
    <row r="45" spans="2:37" ht="12.75" customHeight="1" x14ac:dyDescent="0.2">
      <c r="B45" s="35" t="s">
        <v>217</v>
      </c>
      <c r="C45" s="36">
        <f>SUM('Base Financials'!C127:C129)</f>
        <v>5722</v>
      </c>
      <c r="D45" s="36">
        <f>SUM('Base Financials'!D127:D129)</f>
        <v>2474</v>
      </c>
      <c r="E45" s="36">
        <f>SUM('Base Financials'!E127:E129)</f>
        <v>5509</v>
      </c>
      <c r="F45" s="36">
        <f>SUM('Base Financials'!F127:F129)</f>
        <v>7024</v>
      </c>
      <c r="G45" s="36">
        <f>SUM('Base Financials'!G127:G129)</f>
        <v>687</v>
      </c>
      <c r="H45" s="36"/>
      <c r="I45" s="36">
        <f>SUM('Base Financials'!I127:I129)</f>
        <v>-299</v>
      </c>
      <c r="J45" s="36">
        <f>SUM('Base Financials'!J127:J129)</f>
        <v>-1688</v>
      </c>
      <c r="K45" s="36">
        <f>SUM('Base Financials'!K127:K129)</f>
        <v>5002</v>
      </c>
      <c r="L45" s="36">
        <f>SUM('Base Financials'!L127:L129)</f>
        <v>2494</v>
      </c>
      <c r="M45" s="36">
        <f>SUM('Base Financials'!M127:M129)</f>
        <v>8023</v>
      </c>
      <c r="N45" s="36">
        <f>SUM('Base Financials'!N127:N129)</f>
        <v>-1095</v>
      </c>
      <c r="O45" s="36">
        <f>SUM('Base Financials'!O127:O129)</f>
        <v>96</v>
      </c>
      <c r="P45" s="36">
        <f>SUM('Base Financials'!P127:P129)</f>
        <v>0</v>
      </c>
      <c r="Q45" s="36">
        <f>SUM('Base Financials'!Q127:Q129)</f>
        <v>3330</v>
      </c>
      <c r="R45" s="36">
        <f>SUM('Base Financials'!R127:R129)</f>
        <v>552</v>
      </c>
      <c r="S45" s="36">
        <f>SUM('Base Financials'!S127:S129)</f>
        <v>-3195</v>
      </c>
      <c r="T45" s="36">
        <f>SUM('Base Financials'!T127:T129)</f>
        <v>0</v>
      </c>
      <c r="U45" s="36">
        <f>SUM('Base Financials'!U127:U129)</f>
        <v>-4</v>
      </c>
      <c r="V45" s="36">
        <f>SUM('Base Financials'!V127:V129)</f>
        <v>501</v>
      </c>
      <c r="W45" s="36">
        <f>SUM('Base Financials'!W127:W129)</f>
        <v>-4247</v>
      </c>
      <c r="Y45" s="36">
        <f t="shared" si="33"/>
        <v>5509</v>
      </c>
      <c r="Z45" s="36">
        <f>SUM(J45:M45)</f>
        <v>13831</v>
      </c>
      <c r="AA45" s="36">
        <f>SUM(K45:N45)</f>
        <v>14424</v>
      </c>
      <c r="AB45" s="36">
        <f>SUM(L45:O45)</f>
        <v>9518</v>
      </c>
      <c r="AC45" s="36">
        <f>SUM(M45:P45)</f>
        <v>7024</v>
      </c>
      <c r="AD45" s="36">
        <f>SUM(N45:Q45)</f>
        <v>2331</v>
      </c>
      <c r="AE45" s="36">
        <f>SUM(O45:R45)</f>
        <v>3978</v>
      </c>
      <c r="AF45" s="36">
        <f>SUM(P45:S45)</f>
        <v>687</v>
      </c>
      <c r="AG45" s="36">
        <f>SUM(Q45:T45)</f>
        <v>687</v>
      </c>
      <c r="AH45" s="36">
        <f>SUM(R45:U45)</f>
        <v>-2647</v>
      </c>
      <c r="AI45" s="36">
        <f>SUM(S45:V45)</f>
        <v>-2698</v>
      </c>
    </row>
    <row r="46" spans="2:37" ht="12.75" customHeight="1" x14ac:dyDescent="0.2">
      <c r="B46" s="35" t="s">
        <v>218</v>
      </c>
      <c r="C46" s="36">
        <f>'Base Financials'!C133</f>
        <v>-14229</v>
      </c>
      <c r="D46" s="36">
        <f>'Base Financials'!D133</f>
        <v>-2415</v>
      </c>
      <c r="E46" s="36">
        <f>'Base Financials'!E133</f>
        <v>0</v>
      </c>
      <c r="F46" s="36">
        <f>'Base Financials'!F133</f>
        <v>0</v>
      </c>
      <c r="G46" s="36">
        <f>'Base Financials'!G133</f>
        <v>0</v>
      </c>
      <c r="H46" s="36"/>
      <c r="I46" s="36">
        <f>'Base Financials'!I133</f>
        <v>0</v>
      </c>
      <c r="J46" s="36">
        <f>'Base Financials'!J133</f>
        <v>0</v>
      </c>
      <c r="K46" s="36">
        <f>'Base Financials'!K133</f>
        <v>0</v>
      </c>
      <c r="L46" s="36">
        <f>'Base Financials'!L133</f>
        <v>0</v>
      </c>
      <c r="M46" s="36">
        <f>'Base Financials'!M133</f>
        <v>0</v>
      </c>
      <c r="N46" s="36">
        <f>'Base Financials'!N133</f>
        <v>0</v>
      </c>
      <c r="O46" s="36">
        <f>'Base Financials'!O133</f>
        <v>0</v>
      </c>
      <c r="P46" s="36">
        <f>'Base Financials'!P133</f>
        <v>0</v>
      </c>
      <c r="Q46" s="36">
        <f>'Base Financials'!Q133</f>
        <v>0</v>
      </c>
      <c r="R46" s="36">
        <f>'Base Financials'!R133</f>
        <v>0</v>
      </c>
      <c r="S46" s="36">
        <f>'Base Financials'!S133</f>
        <v>0</v>
      </c>
      <c r="T46" s="36">
        <f>'Base Financials'!T133</f>
        <v>0</v>
      </c>
      <c r="U46" s="36">
        <f>'Base Financials'!U133</f>
        <v>0</v>
      </c>
      <c r="V46" s="36">
        <f>'Base Financials'!V133</f>
        <v>0</v>
      </c>
      <c r="W46" s="36">
        <f>'Base Financials'!W133</f>
        <v>0</v>
      </c>
      <c r="Y46" s="36">
        <f t="shared" si="33"/>
        <v>0</v>
      </c>
      <c r="Z46" s="36">
        <f>SUM(J46:M46)</f>
        <v>0</v>
      </c>
      <c r="AA46" s="36">
        <f>SUM(K46:N46)</f>
        <v>0</v>
      </c>
      <c r="AB46" s="36">
        <f>SUM(L46:O46)</f>
        <v>0</v>
      </c>
      <c r="AC46" s="36">
        <f>SUM(M46:P46)</f>
        <v>0</v>
      </c>
      <c r="AD46" s="36">
        <f>SUM(N46:Q46)</f>
        <v>0</v>
      </c>
      <c r="AE46" s="36">
        <f>SUM(O46:R46)</f>
        <v>0</v>
      </c>
      <c r="AF46" s="36">
        <f>SUM(P46:S46)</f>
        <v>0</v>
      </c>
      <c r="AG46" s="36">
        <f>SUM(Q46:T46)</f>
        <v>0</v>
      </c>
      <c r="AH46" s="36">
        <f>SUM(R46:U46)</f>
        <v>0</v>
      </c>
      <c r="AI46" s="36">
        <f>SUM(S46:V46)</f>
        <v>0</v>
      </c>
    </row>
    <row r="47" spans="2:37" ht="12.75" customHeight="1" x14ac:dyDescent="0.2">
      <c r="B47" s="35" t="s">
        <v>219</v>
      </c>
      <c r="C47" s="36">
        <f>SUM('Base Financials'!C131:C132)</f>
        <v>897</v>
      </c>
      <c r="D47" s="36">
        <f>SUM('Base Financials'!D131:D132)</f>
        <v>1020</v>
      </c>
      <c r="E47" s="36">
        <f>SUM('Base Financials'!E131:E132)</f>
        <v>977</v>
      </c>
      <c r="F47" s="36">
        <f>SUM('Base Financials'!F131:F132)</f>
        <v>2959</v>
      </c>
      <c r="G47" s="36">
        <f>SUM('Base Financials'!G131:G132)</f>
        <v>987</v>
      </c>
      <c r="H47" s="36"/>
      <c r="I47" s="36">
        <f>SUM('Base Financials'!I131:I132)</f>
        <v>589</v>
      </c>
      <c r="J47" s="36">
        <f>SUM('Base Financials'!J131:J132)</f>
        <v>0</v>
      </c>
      <c r="K47" s="36">
        <f>SUM('Base Financials'!K131:K132)</f>
        <v>383</v>
      </c>
      <c r="L47" s="36">
        <f>SUM('Base Financials'!L131:L132)</f>
        <v>5</v>
      </c>
      <c r="M47" s="36">
        <f>SUM('Base Financials'!M131:M132)</f>
        <v>659</v>
      </c>
      <c r="N47" s="36">
        <f>SUM('Base Financials'!N131:N132)</f>
        <v>914</v>
      </c>
      <c r="O47" s="36">
        <f>SUM('Base Financials'!O131:O132)</f>
        <v>850</v>
      </c>
      <c r="P47" s="36">
        <f>SUM('Base Financials'!P131:P132)</f>
        <v>536</v>
      </c>
      <c r="Q47" s="36">
        <f>SUM('Base Financials'!Q131:Q132)</f>
        <v>626</v>
      </c>
      <c r="R47" s="36">
        <f>SUM('Base Financials'!R131:R132)</f>
        <v>5</v>
      </c>
      <c r="S47" s="36">
        <f>SUM('Base Financials'!S131:S132)</f>
        <v>355</v>
      </c>
      <c r="T47" s="36">
        <f>SUM('Base Financials'!T131:T132)</f>
        <v>1</v>
      </c>
      <c r="U47" s="36">
        <f>SUM('Base Financials'!U131:U132)</f>
        <v>491</v>
      </c>
      <c r="V47" s="36">
        <f>SUM('Base Financials'!V131:V132)</f>
        <v>0</v>
      </c>
      <c r="W47" s="36">
        <f>SUM('Base Financials'!W131:W132)</f>
        <v>4023</v>
      </c>
      <c r="Y47" s="36">
        <f t="shared" si="33"/>
        <v>977</v>
      </c>
      <c r="Z47" s="36">
        <f>SUM(J47:M47)</f>
        <v>1047</v>
      </c>
      <c r="AA47" s="36">
        <f>SUM(K47:N47)</f>
        <v>1961</v>
      </c>
      <c r="AB47" s="36">
        <f>SUM(L47:O47)</f>
        <v>2428</v>
      </c>
      <c r="AC47" s="36">
        <f>SUM(M47:P47)</f>
        <v>2959</v>
      </c>
      <c r="AD47" s="36">
        <f>SUM(N47:Q47)</f>
        <v>2926</v>
      </c>
      <c r="AE47" s="36">
        <f>SUM(O47:R47)</f>
        <v>2017</v>
      </c>
      <c r="AF47" s="36">
        <f>SUM(P47:S47)</f>
        <v>1522</v>
      </c>
      <c r="AG47" s="36">
        <f>SUM(Q47:T47)</f>
        <v>987</v>
      </c>
      <c r="AH47" s="36">
        <f>SUM(R47:U47)</f>
        <v>852</v>
      </c>
      <c r="AI47" s="36">
        <f>SUM(S47:V47)</f>
        <v>847</v>
      </c>
    </row>
    <row r="48" spans="2:37" ht="12.75" customHeight="1" x14ac:dyDescent="0.2">
      <c r="B48" s="35" t="s">
        <v>220</v>
      </c>
      <c r="C48" s="36">
        <f>'Base Financials'!C134</f>
        <v>-5568</v>
      </c>
      <c r="D48" s="36">
        <f>'Base Financials'!D134</f>
        <v>-5644</v>
      </c>
      <c r="E48" s="36">
        <f>'Base Financials'!E134</f>
        <v>-5997</v>
      </c>
      <c r="F48" s="36">
        <f>'Base Financials'!F134</f>
        <v>-3088</v>
      </c>
      <c r="G48" s="36">
        <f>'Base Financials'!G134</f>
        <v>-1599</v>
      </c>
      <c r="H48" s="36"/>
      <c r="I48" s="36">
        <f>'Base Financials'!I134</f>
        <v>-1487</v>
      </c>
      <c r="J48" s="36">
        <f>'Base Financials'!J134</f>
        <v>-1499</v>
      </c>
      <c r="K48" s="36">
        <f>'Base Financials'!K134</f>
        <v>-1502</v>
      </c>
      <c r="L48" s="36">
        <f>'Base Financials'!L134</f>
        <v>-1509</v>
      </c>
      <c r="M48" s="36">
        <f>'Base Financials'!M134</f>
        <v>-1512</v>
      </c>
      <c r="N48" s="36">
        <f>'Base Financials'!N134</f>
        <v>-524</v>
      </c>
      <c r="O48" s="36">
        <f>'Base Financials'!O134</f>
        <v>-525</v>
      </c>
      <c r="P48" s="36">
        <f>'Base Financials'!P134</f>
        <v>-527</v>
      </c>
      <c r="Q48" s="36">
        <f>'Base Financials'!Q134</f>
        <v>-529</v>
      </c>
      <c r="R48" s="36">
        <f>'Base Financials'!R134</f>
        <v>-534</v>
      </c>
      <c r="S48" s="36">
        <f>'Base Financials'!S134</f>
        <v>-536</v>
      </c>
      <c r="T48" s="36">
        <f>'Base Financials'!T134</f>
        <v>0</v>
      </c>
      <c r="U48" s="36">
        <f>'Base Financials'!U134</f>
        <v>0</v>
      </c>
      <c r="V48" s="36">
        <f>'Base Financials'!V134</f>
        <v>0</v>
      </c>
      <c r="W48" s="36">
        <f>'Base Financials'!W134</f>
        <v>0</v>
      </c>
      <c r="Y48" s="36"/>
      <c r="Z48" s="36"/>
      <c r="AA48" s="36"/>
      <c r="AB48" s="36"/>
      <c r="AC48" s="36"/>
      <c r="AD48" s="36"/>
      <c r="AE48" s="36">
        <f t="shared" ref="AE48" si="34">SUM(O48:R48)</f>
        <v>-2115</v>
      </c>
      <c r="AF48" s="36">
        <f t="shared" ref="AF48" si="35">SUM(P48:S48)</f>
        <v>-2126</v>
      </c>
      <c r="AG48" s="36">
        <f t="shared" ref="AG48" si="36">SUM(Q48:T48)</f>
        <v>-1599</v>
      </c>
      <c r="AH48" s="36">
        <f t="shared" ref="AH48" si="37">SUM(R48:U48)</f>
        <v>-1070</v>
      </c>
      <c r="AI48" s="36">
        <f t="shared" ref="AI48" si="38">SUM(S48:V48)</f>
        <v>-536</v>
      </c>
    </row>
    <row r="49" spans="1:35" ht="12.75" customHeight="1" x14ac:dyDescent="0.2">
      <c r="B49" s="35" t="s">
        <v>215</v>
      </c>
      <c r="C49" s="36">
        <f>'Base Financials'!C121</f>
        <v>190</v>
      </c>
      <c r="D49" s="36">
        <f>'Base Financials'!D121</f>
        <v>-613</v>
      </c>
      <c r="E49" s="36">
        <f>'Base Financials'!E121</f>
        <v>0</v>
      </c>
      <c r="F49" s="36">
        <f>'Base Financials'!F121</f>
        <v>0</v>
      </c>
      <c r="G49" s="36">
        <f>'Base Financials'!G121</f>
        <v>0</v>
      </c>
      <c r="H49" s="36"/>
      <c r="I49" s="36">
        <f>'Base Financials'!I121</f>
        <v>0</v>
      </c>
      <c r="J49" s="36">
        <f>'Base Financials'!J121</f>
        <v>0</v>
      </c>
      <c r="K49" s="36">
        <f>'Base Financials'!K121</f>
        <v>0</v>
      </c>
      <c r="L49" s="36">
        <f>'Base Financials'!L121</f>
        <v>0</v>
      </c>
      <c r="M49" s="36">
        <f>'Base Financials'!M121</f>
        <v>0</v>
      </c>
      <c r="N49" s="36">
        <f>'Base Financials'!N121</f>
        <v>0</v>
      </c>
      <c r="O49" s="36">
        <f>'Base Financials'!O121</f>
        <v>0</v>
      </c>
      <c r="P49" s="36">
        <f>'Base Financials'!P121</f>
        <v>0</v>
      </c>
      <c r="Q49" s="36">
        <f>'Base Financials'!Q121</f>
        <v>0</v>
      </c>
      <c r="R49" s="36">
        <f>'Base Financials'!R121</f>
        <v>0</v>
      </c>
      <c r="S49" s="36">
        <f>'Base Financials'!S121</f>
        <v>0</v>
      </c>
      <c r="T49" s="36">
        <f>'Base Financials'!T121</f>
        <v>0</v>
      </c>
      <c r="U49" s="36">
        <f>'Base Financials'!U121</f>
        <v>0</v>
      </c>
      <c r="V49" s="36">
        <f>'Base Financials'!V121</f>
        <v>0</v>
      </c>
      <c r="W49" s="36">
        <f>'Base Financials'!W121</f>
        <v>0</v>
      </c>
      <c r="Y49" s="36"/>
      <c r="Z49" s="36"/>
      <c r="AA49" s="36"/>
      <c r="AB49" s="36"/>
      <c r="AC49" s="36"/>
      <c r="AD49" s="36"/>
      <c r="AE49" s="36">
        <f>SUM(O49:R49)</f>
        <v>0</v>
      </c>
      <c r="AF49" s="36">
        <f>SUM(P49:S49)</f>
        <v>0</v>
      </c>
      <c r="AG49" s="36">
        <f>SUM(Q49:T49)</f>
        <v>0</v>
      </c>
      <c r="AH49" s="36">
        <f>SUM(R49:U49)</f>
        <v>0</v>
      </c>
      <c r="AI49" s="36">
        <f>SUM(S49:V49)</f>
        <v>0</v>
      </c>
    </row>
    <row r="50" spans="1:35" ht="12.75" customHeight="1" x14ac:dyDescent="0.2">
      <c r="B50" s="35" t="s">
        <v>222</v>
      </c>
      <c r="C50" s="36">
        <f>'Base Financials'!C130</f>
        <v>0</v>
      </c>
      <c r="D50" s="36">
        <f>'Base Financials'!D130</f>
        <v>0</v>
      </c>
      <c r="E50" s="36">
        <f>'Base Financials'!E130</f>
        <v>874</v>
      </c>
      <c r="F50" s="36">
        <f>'Base Financials'!F130</f>
        <v>1511</v>
      </c>
      <c r="G50" s="36">
        <f>'Base Financials'!G130</f>
        <v>12714</v>
      </c>
      <c r="H50" s="36"/>
      <c r="I50" s="36">
        <f>'Base Financials'!I130</f>
        <v>0</v>
      </c>
      <c r="J50" s="36">
        <f>'Base Financials'!J130</f>
        <v>0</v>
      </c>
      <c r="K50" s="36">
        <f>'Base Financials'!K130</f>
        <v>0</v>
      </c>
      <c r="L50" s="36">
        <f>'Base Financials'!L130</f>
        <v>874</v>
      </c>
      <c r="M50" s="36">
        <f>'Base Financials'!M130</f>
        <v>449</v>
      </c>
      <c r="N50" s="36">
        <f>'Base Financials'!N130</f>
        <v>385</v>
      </c>
      <c r="O50" s="36">
        <f>'Base Financials'!O130</f>
        <v>272</v>
      </c>
      <c r="P50" s="36">
        <f>'Base Financials'!P130</f>
        <v>405</v>
      </c>
      <c r="Q50" s="36">
        <f>'Base Financials'!Q130</f>
        <v>423</v>
      </c>
      <c r="R50" s="36">
        <f>'Base Financials'!R130</f>
        <v>11438</v>
      </c>
      <c r="S50" s="36">
        <f>'Base Financials'!S130</f>
        <v>417</v>
      </c>
      <c r="T50" s="36">
        <f>'Base Financials'!T130</f>
        <v>436</v>
      </c>
      <c r="U50" s="36">
        <f>'Base Financials'!U130</f>
        <v>955</v>
      </c>
      <c r="V50" s="36">
        <f>'Base Financials'!V130</f>
        <v>1283</v>
      </c>
      <c r="W50" s="36">
        <f>'Base Financials'!W130</f>
        <v>1414</v>
      </c>
      <c r="Y50" s="36"/>
      <c r="Z50" s="36"/>
      <c r="AA50" s="36"/>
      <c r="AB50" s="36"/>
      <c r="AC50" s="36"/>
      <c r="AD50" s="36"/>
      <c r="AE50" s="36">
        <f>SUM(O50:R50)</f>
        <v>12538</v>
      </c>
      <c r="AF50" s="36">
        <f>SUM(P50:S50)</f>
        <v>12683</v>
      </c>
      <c r="AG50" s="36">
        <f>SUM(Q50:T50)</f>
        <v>12714</v>
      </c>
      <c r="AH50" s="36">
        <f>SUM(R50:U50)</f>
        <v>13246</v>
      </c>
      <c r="AI50" s="36">
        <f>SUM(S50:V50)</f>
        <v>3091</v>
      </c>
    </row>
    <row r="51" spans="1:35" ht="12.75" customHeight="1" x14ac:dyDescent="0.2">
      <c r="B51" s="35" t="s">
        <v>221</v>
      </c>
      <c r="C51" s="36">
        <f>'Base Financials'!C135</f>
        <v>0</v>
      </c>
      <c r="D51" s="36">
        <f>'Base Financials'!D135</f>
        <v>0</v>
      </c>
      <c r="E51" s="36">
        <f>'Base Financials'!E135</f>
        <v>0</v>
      </c>
      <c r="F51" s="36">
        <f>'Base Financials'!F135</f>
        <v>0</v>
      </c>
      <c r="G51" s="36">
        <f>'Base Financials'!G135</f>
        <v>-1178</v>
      </c>
      <c r="H51" s="36"/>
      <c r="I51" s="36">
        <f>'Base Financials'!I135</f>
        <v>0</v>
      </c>
      <c r="J51" s="36">
        <f>'Base Financials'!J135</f>
        <v>0</v>
      </c>
      <c r="K51" s="36">
        <f>'Base Financials'!K135</f>
        <v>0</v>
      </c>
      <c r="L51" s="36">
        <f>'Base Financials'!L135</f>
        <v>0</v>
      </c>
      <c r="M51" s="36">
        <f>'Base Financials'!M135</f>
        <v>0</v>
      </c>
      <c r="N51" s="36">
        <f>'Base Financials'!N135</f>
        <v>0</v>
      </c>
      <c r="O51" s="36">
        <f>'Base Financials'!O135</f>
        <v>0</v>
      </c>
      <c r="P51" s="36">
        <f>'Base Financials'!P135</f>
        <v>0</v>
      </c>
      <c r="Q51" s="36">
        <f>'Base Financials'!Q135</f>
        <v>0</v>
      </c>
      <c r="R51" s="36">
        <f>'Base Financials'!R135</f>
        <v>0</v>
      </c>
      <c r="S51" s="36">
        <f>'Base Financials'!S135</f>
        <v>0</v>
      </c>
      <c r="T51" s="36">
        <f>'Base Financials'!T135</f>
        <v>-1178</v>
      </c>
      <c r="U51" s="36">
        <f>'Base Financials'!U135</f>
        <v>-1020</v>
      </c>
      <c r="V51" s="36">
        <f>'Base Financials'!V135</f>
        <v>-942</v>
      </c>
      <c r="W51" s="36">
        <f>'Base Financials'!W135</f>
        <v>-531</v>
      </c>
      <c r="Y51" s="36"/>
      <c r="Z51" s="36"/>
      <c r="AA51" s="36"/>
      <c r="AB51" s="36"/>
      <c r="AC51" s="36"/>
      <c r="AD51" s="36"/>
      <c r="AE51" s="36">
        <f>SUM(O51:R51)</f>
        <v>0</v>
      </c>
      <c r="AF51" s="36">
        <f>SUM(P51:S51)</f>
        <v>0</v>
      </c>
      <c r="AG51" s="36">
        <f>SUM(Q51:T51)</f>
        <v>-1178</v>
      </c>
      <c r="AH51" s="36">
        <f>SUM(R51:U51)</f>
        <v>-2198</v>
      </c>
      <c r="AI51" s="36">
        <f>SUM(S51:V51)</f>
        <v>-3140</v>
      </c>
    </row>
    <row r="52" spans="1:35" ht="12.75" customHeight="1" x14ac:dyDescent="0.2">
      <c r="B52" s="35" t="s">
        <v>216</v>
      </c>
      <c r="C52" s="36"/>
      <c r="D52" s="36">
        <f t="shared" ref="D52" si="39">SUM(D57-C57)-SUM(D40:D51)</f>
        <v>2953</v>
      </c>
      <c r="E52" s="36">
        <f t="shared" ref="E52:F52" si="40">SUM(E57-D57)-SUM(E40:E51)</f>
        <v>8676</v>
      </c>
      <c r="F52" s="36">
        <f t="shared" si="40"/>
        <v>6888</v>
      </c>
      <c r="G52" s="36">
        <f>SUM(G57-F57)-SUM(G40:G51)</f>
        <v>4745</v>
      </c>
      <c r="H52" s="36"/>
      <c r="I52" s="36">
        <f>SUM(I57-D57)-SUM(I40:I51)</f>
        <v>2753.9516148465227</v>
      </c>
      <c r="J52" s="36">
        <f t="shared" ref="J52:W52" si="41">SUM(J57-I57)-SUM(J40:J51)</f>
        <v>2486.9836869600167</v>
      </c>
      <c r="K52" s="36">
        <f t="shared" si="41"/>
        <v>451.01786950316091</v>
      </c>
      <c r="L52" s="36">
        <f t="shared" si="41"/>
        <v>2984.0468286902978</v>
      </c>
      <c r="M52" s="36">
        <f t="shared" si="41"/>
        <v>-284</v>
      </c>
      <c r="N52" s="36">
        <f t="shared" si="41"/>
        <v>3824</v>
      </c>
      <c r="O52" s="36">
        <f t="shared" si="41"/>
        <v>1158</v>
      </c>
      <c r="P52" s="36">
        <f t="shared" si="41"/>
        <v>2190</v>
      </c>
      <c r="Q52" s="36">
        <f t="shared" si="41"/>
        <v>1536</v>
      </c>
      <c r="R52" s="36">
        <f t="shared" si="41"/>
        <v>1349</v>
      </c>
      <c r="S52" s="36">
        <f t="shared" si="41"/>
        <v>1354</v>
      </c>
      <c r="T52" s="36">
        <f t="shared" si="41"/>
        <v>506</v>
      </c>
      <c r="U52" s="36">
        <f t="shared" si="41"/>
        <v>1059</v>
      </c>
      <c r="V52" s="36">
        <f t="shared" si="41"/>
        <v>2622</v>
      </c>
      <c r="W52" s="36">
        <f t="shared" si="41"/>
        <v>10832</v>
      </c>
      <c r="Y52" s="36">
        <f t="shared" ref="Y52" si="42">SUM(I52:L52)</f>
        <v>8675.9999999999982</v>
      </c>
      <c r="Z52" s="36">
        <f>SUM(J52:M52)</f>
        <v>5638.0483851534755</v>
      </c>
      <c r="AA52" s="36">
        <f>SUM(K52:N52)</f>
        <v>6975.0646981934588</v>
      </c>
      <c r="AB52" s="36">
        <f>SUM(L52:O52)</f>
        <v>7682.0468286902978</v>
      </c>
      <c r="AC52" s="36">
        <f>SUM(M52:P52)</f>
        <v>6888</v>
      </c>
      <c r="AD52" s="36">
        <f>SUM(N52:Q52)</f>
        <v>8708</v>
      </c>
      <c r="AE52" s="36">
        <f>SUM(O52:R52)</f>
        <v>6233</v>
      </c>
      <c r="AF52" s="36">
        <f>SUM(P52:S52)</f>
        <v>6429</v>
      </c>
      <c r="AG52" s="36">
        <f>SUM(Q52:T52)</f>
        <v>4745</v>
      </c>
      <c r="AH52" s="36">
        <f>SUM(R52:U52)</f>
        <v>4268</v>
      </c>
      <c r="AI52" s="36">
        <f>SUM(S52:V52)</f>
        <v>5541</v>
      </c>
    </row>
    <row r="53" spans="1:35" ht="12.75" customHeight="1" x14ac:dyDescent="0.2">
      <c r="B53" s="15" t="s">
        <v>82</v>
      </c>
      <c r="C53" s="16">
        <f>SUM(C40+SUM(C42:C52))</f>
        <v>928</v>
      </c>
      <c r="D53" s="16">
        <f>SUM(D40+SUM(D42:D52))</f>
        <v>-1038</v>
      </c>
      <c r="E53" s="16">
        <f>SUM(E40+SUM(E42:E52))</f>
        <v>6317</v>
      </c>
      <c r="F53" s="16">
        <f>SUM(F40+SUM(F42:F52))</f>
        <v>-4065</v>
      </c>
      <c r="G53" s="16">
        <f>SUM(G40+SUM(G42:G52))</f>
        <v>1170</v>
      </c>
      <c r="I53" s="16">
        <f t="shared" ref="I53:W53" si="43">SUM(I40+SUM(I42:I52))</f>
        <v>1388</v>
      </c>
      <c r="J53" s="16">
        <f t="shared" si="43"/>
        <v>-1825</v>
      </c>
      <c r="K53" s="16">
        <f t="shared" si="43"/>
        <v>139</v>
      </c>
      <c r="L53" s="16">
        <f t="shared" si="43"/>
        <v>6615</v>
      </c>
      <c r="M53" s="16">
        <f t="shared" si="43"/>
        <v>-2912</v>
      </c>
      <c r="N53" s="16">
        <f t="shared" si="43"/>
        <v>117</v>
      </c>
      <c r="O53" s="16">
        <f t="shared" si="43"/>
        <v>-728</v>
      </c>
      <c r="P53" s="16">
        <f t="shared" si="43"/>
        <v>-542</v>
      </c>
      <c r="Q53" s="16">
        <f t="shared" si="43"/>
        <v>-156</v>
      </c>
      <c r="R53" s="16">
        <f t="shared" si="43"/>
        <v>4364</v>
      </c>
      <c r="S53" s="16">
        <f t="shared" si="43"/>
        <v>-2502</v>
      </c>
      <c r="T53" s="16">
        <f t="shared" si="43"/>
        <v>-536</v>
      </c>
      <c r="U53" s="16">
        <f t="shared" si="43"/>
        <v>698</v>
      </c>
      <c r="V53" s="16">
        <f t="shared" si="43"/>
        <v>696</v>
      </c>
      <c r="W53" s="16">
        <f t="shared" si="43"/>
        <v>1498</v>
      </c>
      <c r="Y53" s="16">
        <f t="shared" ref="Y53:AF53" si="44">SUM(Y40+SUM(Y42:Y52))</f>
        <v>16753</v>
      </c>
      <c r="Z53" s="16">
        <f t="shared" si="44"/>
        <v>6749.9999999999927</v>
      </c>
      <c r="AA53" s="16">
        <f t="shared" si="44"/>
        <v>7455.0000000000036</v>
      </c>
      <c r="AB53" s="16">
        <f t="shared" si="44"/>
        <v>5301</v>
      </c>
      <c r="AC53" s="16">
        <f t="shared" si="44"/>
        <v>-2446</v>
      </c>
      <c r="AD53" s="16">
        <f t="shared" si="44"/>
        <v>-606</v>
      </c>
      <c r="AE53" s="16">
        <f t="shared" si="44"/>
        <v>2938</v>
      </c>
      <c r="AF53" s="16">
        <f t="shared" si="44"/>
        <v>1164</v>
      </c>
      <c r="AG53" s="16">
        <f>SUM(AG40+SUM(AG42:AG52))</f>
        <v>1170</v>
      </c>
      <c r="AH53" s="16">
        <f t="shared" ref="AH53:AI53" si="45">SUM(AH40+SUM(AH42:AH52))</f>
        <v>2024</v>
      </c>
      <c r="AI53" s="16">
        <f t="shared" si="45"/>
        <v>-1644</v>
      </c>
    </row>
    <row r="54" spans="1:35" ht="5.0999999999999996" customHeight="1" x14ac:dyDescent="0.2"/>
    <row r="55" spans="1:35" ht="12.75" customHeight="1" x14ac:dyDescent="0.2">
      <c r="A55" s="5"/>
      <c r="B55" s="38" t="s">
        <v>83</v>
      </c>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row>
    <row r="56" spans="1:35" ht="5.0999999999999996" customHeight="1" x14ac:dyDescent="0.2"/>
    <row r="57" spans="1:35" ht="12.75" customHeight="1" x14ac:dyDescent="0.2">
      <c r="B57" s="9" t="s">
        <v>84</v>
      </c>
      <c r="C57" s="36">
        <f>'Base Financials'!C38</f>
        <v>5865</v>
      </c>
      <c r="D57" s="36">
        <f>'Base Financials'!D38</f>
        <v>4827</v>
      </c>
      <c r="E57" s="36">
        <f>'Base Financials'!E38</f>
        <v>11144</v>
      </c>
      <c r="F57" s="36">
        <f>'Base Financials'!F38</f>
        <v>7079</v>
      </c>
      <c r="G57" s="36">
        <f>'Base Financials'!G38</f>
        <v>8249</v>
      </c>
      <c r="H57" s="36"/>
      <c r="I57" s="36">
        <f>'Base Financials'!I38</f>
        <v>6215</v>
      </c>
      <c r="J57" s="36">
        <f>'Base Financials'!J38</f>
        <v>4390</v>
      </c>
      <c r="K57" s="36">
        <f>'Base Financials'!K38</f>
        <v>4529</v>
      </c>
      <c r="L57" s="36">
        <f>'Base Financials'!L38</f>
        <v>11144</v>
      </c>
      <c r="M57" s="36">
        <f>'Base Financials'!M38</f>
        <v>8232</v>
      </c>
      <c r="N57" s="36">
        <f>'Base Financials'!N38</f>
        <v>8349</v>
      </c>
      <c r="O57" s="36">
        <f>'Base Financials'!O38</f>
        <v>7621</v>
      </c>
      <c r="P57" s="36">
        <f>'Base Financials'!P38</f>
        <v>7079</v>
      </c>
      <c r="Q57" s="36">
        <f>'Base Financials'!Q38</f>
        <v>6923</v>
      </c>
      <c r="R57" s="36">
        <f>'Base Financials'!R38</f>
        <v>11287</v>
      </c>
      <c r="S57" s="36">
        <f>'Base Financials'!S38</f>
        <v>8785</v>
      </c>
      <c r="T57" s="36">
        <f>'Base Financials'!T38</f>
        <v>8249</v>
      </c>
      <c r="U57" s="36">
        <f>'Base Financials'!U38</f>
        <v>8947</v>
      </c>
      <c r="V57" s="36">
        <f>'Base Financials'!V38</f>
        <v>9643</v>
      </c>
      <c r="W57" s="36">
        <f>'Base Financials'!W38</f>
        <v>11141</v>
      </c>
      <c r="Y57" s="12">
        <f>L57</f>
        <v>11144</v>
      </c>
      <c r="Z57" s="12">
        <f>M57</f>
        <v>8232</v>
      </c>
      <c r="AA57" s="12">
        <f>N57</f>
        <v>8349</v>
      </c>
      <c r="AB57" s="12">
        <f>O57</f>
        <v>7621</v>
      </c>
      <c r="AC57" s="12">
        <f>P57</f>
        <v>7079</v>
      </c>
      <c r="AD57" s="12">
        <f>Q57</f>
        <v>6923</v>
      </c>
      <c r="AE57" s="12">
        <f>R57</f>
        <v>11287</v>
      </c>
      <c r="AF57" s="12">
        <f>S57</f>
        <v>8785</v>
      </c>
      <c r="AG57" s="12">
        <f>T57</f>
        <v>8249</v>
      </c>
      <c r="AH57" s="12">
        <f>U57</f>
        <v>8947</v>
      </c>
      <c r="AI57" s="12">
        <f>V57</f>
        <v>9643</v>
      </c>
    </row>
    <row r="58" spans="1:35" ht="12.75" customHeight="1" x14ac:dyDescent="0.2">
      <c r="B58" s="9" t="s">
        <v>223</v>
      </c>
      <c r="C58" s="36">
        <f>'Base Financials'!C40</f>
        <v>15738</v>
      </c>
      <c r="D58" s="36">
        <f>'Base Financials'!D40</f>
        <v>21483</v>
      </c>
      <c r="E58" s="36">
        <f>'Base Financials'!E40</f>
        <v>17194</v>
      </c>
      <c r="F58" s="36">
        <f>'Base Financials'!F40</f>
        <v>17955</v>
      </c>
      <c r="G58" s="36">
        <f>'Base Financials'!G40</f>
        <v>13813</v>
      </c>
      <c r="H58" s="36"/>
      <c r="I58" s="36">
        <f>'Base Financials'!I40</f>
        <v>21483</v>
      </c>
      <c r="J58" s="36">
        <f>'Base Financials'!J40</f>
        <v>22654</v>
      </c>
      <c r="K58" s="36">
        <f>'Base Financials'!K40</f>
        <v>18030</v>
      </c>
      <c r="L58" s="36">
        <f>'Base Financials'!L40</f>
        <v>17194</v>
      </c>
      <c r="M58" s="36">
        <f>'Base Financials'!M40</f>
        <v>19302</v>
      </c>
      <c r="N58" s="36">
        <f>'Base Financials'!N40</f>
        <v>15908</v>
      </c>
      <c r="O58" s="36">
        <f>'Base Financials'!O40</f>
        <v>17409</v>
      </c>
      <c r="P58" s="36">
        <f>'Base Financials'!P40</f>
        <v>17955</v>
      </c>
      <c r="Q58" s="36">
        <f>'Base Financials'!Q40</f>
        <v>14388</v>
      </c>
      <c r="R58" s="36">
        <f>'Base Financials'!R40</f>
        <v>17986</v>
      </c>
      <c r="S58" s="36">
        <f>'Base Financials'!S40</f>
        <v>15301</v>
      </c>
      <c r="T58" s="36">
        <f>'Base Financials'!T40</f>
        <v>13813</v>
      </c>
      <c r="U58" s="36">
        <f>'Base Financials'!U40</f>
        <v>12101</v>
      </c>
      <c r="V58" s="36">
        <f>'Base Financials'!V40</f>
        <v>11563</v>
      </c>
      <c r="W58" s="36">
        <f>'Base Financials'!W40</f>
        <v>19794</v>
      </c>
      <c r="Y58" s="12">
        <f>L58</f>
        <v>17194</v>
      </c>
      <c r="Z58" s="12">
        <f>M58</f>
        <v>19302</v>
      </c>
      <c r="AA58" s="12">
        <f>N58</f>
        <v>15908</v>
      </c>
      <c r="AB58" s="12">
        <f>O58</f>
        <v>17409</v>
      </c>
      <c r="AC58" s="12">
        <f>P58</f>
        <v>17955</v>
      </c>
      <c r="AD58" s="12">
        <f>Q58</f>
        <v>14388</v>
      </c>
      <c r="AE58" s="12">
        <f>R58</f>
        <v>17986</v>
      </c>
      <c r="AF58" s="12">
        <f>S58</f>
        <v>15301</v>
      </c>
      <c r="AG58" s="12">
        <f>T58</f>
        <v>13813</v>
      </c>
      <c r="AH58" s="12">
        <f>U58</f>
        <v>12101</v>
      </c>
      <c r="AI58" s="12">
        <f>V58</f>
        <v>11563</v>
      </c>
    </row>
    <row r="59" spans="1:35" ht="12.75" customHeight="1" x14ac:dyDescent="0.2">
      <c r="B59" s="9" t="s">
        <v>224</v>
      </c>
      <c r="C59" s="116">
        <v>0</v>
      </c>
      <c r="D59" s="116">
        <v>5000</v>
      </c>
      <c r="E59" s="116">
        <v>5000</v>
      </c>
      <c r="F59" s="116">
        <v>7000</v>
      </c>
      <c r="G59" s="116">
        <v>7000</v>
      </c>
      <c r="H59" s="36"/>
      <c r="I59" s="116">
        <v>5000</v>
      </c>
      <c r="J59" s="116">
        <v>5000</v>
      </c>
      <c r="K59" s="116">
        <v>5000</v>
      </c>
      <c r="L59" s="36">
        <f>E59</f>
        <v>5000</v>
      </c>
      <c r="M59" s="116">
        <v>5000</v>
      </c>
      <c r="N59" s="116">
        <v>5000</v>
      </c>
      <c r="O59" s="116">
        <v>5000</v>
      </c>
      <c r="P59" s="36">
        <f>F59</f>
        <v>7000</v>
      </c>
      <c r="Q59" s="116">
        <v>7000</v>
      </c>
      <c r="R59" s="116">
        <v>7000</v>
      </c>
      <c r="S59" s="116">
        <v>7000</v>
      </c>
      <c r="T59" s="116">
        <v>7000</v>
      </c>
      <c r="U59" s="116">
        <v>7000</v>
      </c>
      <c r="V59" s="116">
        <v>7000</v>
      </c>
      <c r="W59" s="116">
        <v>7000</v>
      </c>
      <c r="X59" s="36"/>
      <c r="Y59" s="12"/>
      <c r="Z59" s="12"/>
      <c r="AA59" s="12"/>
      <c r="AB59" s="12"/>
      <c r="AC59" s="12"/>
      <c r="AD59" s="12"/>
      <c r="AE59" s="12">
        <f t="shared" ref="AE59:AE60" si="46">R59</f>
        <v>7000</v>
      </c>
      <c r="AF59" s="12">
        <f t="shared" ref="AF59:AF60" si="47">S59</f>
        <v>7000</v>
      </c>
      <c r="AG59" s="12">
        <f t="shared" ref="AG59:AG60" si="48">T59</f>
        <v>7000</v>
      </c>
      <c r="AH59" s="12">
        <f t="shared" ref="AH59:AH60" si="49">U59</f>
        <v>7000</v>
      </c>
      <c r="AI59" s="12">
        <f t="shared" ref="AI59:AI60" si="50">V59</f>
        <v>7000</v>
      </c>
    </row>
    <row r="60" spans="1:35" ht="12.75" customHeight="1" x14ac:dyDescent="0.2">
      <c r="B60" s="9" t="s">
        <v>225</v>
      </c>
      <c r="C60" s="36">
        <v>0</v>
      </c>
      <c r="D60" s="36">
        <v>0</v>
      </c>
      <c r="E60" s="36">
        <f t="shared" ref="C60:G60" si="51">5000-E75</f>
        <v>1100</v>
      </c>
      <c r="F60" s="36">
        <f t="shared" si="51"/>
        <v>5000</v>
      </c>
      <c r="G60" s="36">
        <f t="shared" si="51"/>
        <v>5000</v>
      </c>
      <c r="H60" s="36"/>
      <c r="I60" s="36">
        <v>0</v>
      </c>
      <c r="J60" s="36">
        <v>0</v>
      </c>
      <c r="K60" s="36">
        <v>0</v>
      </c>
      <c r="L60" s="36">
        <f t="shared" ref="I60:U60" si="52">5000-L75</f>
        <v>1100</v>
      </c>
      <c r="M60" s="36">
        <f t="shared" si="52"/>
        <v>4000</v>
      </c>
      <c r="N60" s="36">
        <f t="shared" si="52"/>
        <v>5000</v>
      </c>
      <c r="O60" s="36">
        <f t="shared" si="52"/>
        <v>5000</v>
      </c>
      <c r="P60" s="36">
        <f t="shared" si="52"/>
        <v>5000</v>
      </c>
      <c r="Q60" s="36">
        <f>8000-Q75</f>
        <v>7207</v>
      </c>
      <c r="R60" s="36">
        <f>8000-R75</f>
        <v>4800</v>
      </c>
      <c r="S60" s="36">
        <f>8000-S75</f>
        <v>8000</v>
      </c>
      <c r="T60" s="36">
        <f t="shared" si="52"/>
        <v>5000</v>
      </c>
      <c r="U60" s="36">
        <f>5000-U75</f>
        <v>3500</v>
      </c>
      <c r="V60" s="36">
        <f t="shared" ref="V60:W60" si="53">5000-V75</f>
        <v>3000</v>
      </c>
      <c r="W60" s="36">
        <f t="shared" si="53"/>
        <v>3000</v>
      </c>
      <c r="Y60" s="12"/>
      <c r="Z60" s="12"/>
      <c r="AA60" s="12"/>
      <c r="AB60" s="12"/>
      <c r="AC60" s="12"/>
      <c r="AD60" s="12"/>
      <c r="AE60" s="12">
        <f t="shared" si="46"/>
        <v>4800</v>
      </c>
      <c r="AF60" s="12">
        <f t="shared" si="47"/>
        <v>8000</v>
      </c>
      <c r="AG60" s="12">
        <f t="shared" si="48"/>
        <v>5000</v>
      </c>
      <c r="AH60" s="12">
        <f t="shared" si="49"/>
        <v>3500</v>
      </c>
      <c r="AI60" s="12">
        <f t="shared" si="50"/>
        <v>3000</v>
      </c>
    </row>
    <row r="61" spans="1:35" ht="12.75" customHeight="1" x14ac:dyDescent="0.2">
      <c r="B61" s="15" t="s">
        <v>85</v>
      </c>
      <c r="C61" s="16">
        <f>SUM(C57:C60)</f>
        <v>21603</v>
      </c>
      <c r="D61" s="16">
        <f t="shared" ref="D61:G61" si="54">SUM(D57:D60)</f>
        <v>31310</v>
      </c>
      <c r="E61" s="16">
        <f t="shared" si="54"/>
        <v>34438</v>
      </c>
      <c r="F61" s="16">
        <f t="shared" si="54"/>
        <v>37034</v>
      </c>
      <c r="G61" s="16">
        <f t="shared" si="54"/>
        <v>34062</v>
      </c>
      <c r="I61" s="16">
        <f t="shared" ref="I61" si="55">SUM(I57:I60)</f>
        <v>32698</v>
      </c>
      <c r="J61" s="16">
        <f t="shared" ref="J61" si="56">SUM(J57:J60)</f>
        <v>32044</v>
      </c>
      <c r="K61" s="16">
        <f t="shared" ref="K61" si="57">SUM(K57:K60)</f>
        <v>27559</v>
      </c>
      <c r="L61" s="16">
        <f t="shared" ref="L61" si="58">SUM(L57:L60)</f>
        <v>34438</v>
      </c>
      <c r="M61" s="16">
        <f t="shared" ref="M61" si="59">SUM(M57:M60)</f>
        <v>36534</v>
      </c>
      <c r="N61" s="16">
        <f t="shared" ref="N61" si="60">SUM(N57:N60)</f>
        <v>34257</v>
      </c>
      <c r="O61" s="16">
        <f t="shared" ref="O61" si="61">SUM(O57:O60)</f>
        <v>35030</v>
      </c>
      <c r="P61" s="16">
        <f t="shared" ref="P61" si="62">SUM(P57:P60)</f>
        <v>37034</v>
      </c>
      <c r="Q61" s="16">
        <f t="shared" ref="Q61" si="63">SUM(Q57:Q60)</f>
        <v>35518</v>
      </c>
      <c r="R61" s="16">
        <f t="shared" ref="R61" si="64">SUM(R57:R60)</f>
        <v>41073</v>
      </c>
      <c r="S61" s="16">
        <f t="shared" ref="S61" si="65">SUM(S57:S60)</f>
        <v>39086</v>
      </c>
      <c r="T61" s="16">
        <f t="shared" ref="T61" si="66">SUM(T57:T60)</f>
        <v>34062</v>
      </c>
      <c r="U61" s="16">
        <f t="shared" ref="U61" si="67">SUM(U57:U60)</f>
        <v>31548</v>
      </c>
      <c r="V61" s="16">
        <f t="shared" ref="V61" si="68">SUM(V57:V60)</f>
        <v>31206</v>
      </c>
      <c r="W61" s="16">
        <f t="shared" ref="W61" si="69">SUM(W57:W60)</f>
        <v>40935</v>
      </c>
      <c r="Y61" s="16">
        <f t="shared" ref="Y61:AD61" si="70">SUM(Y57:Y58)</f>
        <v>28338</v>
      </c>
      <c r="Z61" s="16">
        <f t="shared" si="70"/>
        <v>27534</v>
      </c>
      <c r="AA61" s="16">
        <f t="shared" si="70"/>
        <v>24257</v>
      </c>
      <c r="AB61" s="16">
        <f t="shared" si="70"/>
        <v>25030</v>
      </c>
      <c r="AC61" s="16">
        <f t="shared" si="70"/>
        <v>25034</v>
      </c>
      <c r="AD61" s="16">
        <f t="shared" si="70"/>
        <v>21311</v>
      </c>
      <c r="AE61" s="16">
        <f t="shared" ref="AE61" si="71">SUM(AE57:AE60)</f>
        <v>41073</v>
      </c>
      <c r="AF61" s="16">
        <f t="shared" ref="AF61" si="72">SUM(AF57:AF60)</f>
        <v>39086</v>
      </c>
      <c r="AG61" s="16">
        <f t="shared" ref="AG61" si="73">SUM(AG57:AG60)</f>
        <v>34062</v>
      </c>
      <c r="AH61" s="16">
        <f t="shared" ref="AH61" si="74">SUM(AH57:AH60)</f>
        <v>31548</v>
      </c>
      <c r="AI61" s="16">
        <f t="shared" ref="AI61" si="75">SUM(AI57:AI60)</f>
        <v>31206</v>
      </c>
    </row>
    <row r="62" spans="1:35" ht="5.0999999999999996" customHeight="1" x14ac:dyDescent="0.2"/>
    <row r="63" spans="1:35" ht="12.75" customHeight="1" x14ac:dyDescent="0.2">
      <c r="B63" s="40" t="s">
        <v>86</v>
      </c>
    </row>
    <row r="64" spans="1:35" ht="12.75" customHeight="1" x14ac:dyDescent="0.2">
      <c r="B64" s="9" t="s">
        <v>87</v>
      </c>
      <c r="C64" s="12">
        <f>'Base Financials'!C41</f>
        <v>6782</v>
      </c>
      <c r="D64" s="12">
        <f>'Base Financials'!D41</f>
        <v>9457</v>
      </c>
      <c r="E64" s="12">
        <f>'Base Financials'!E41</f>
        <v>4133</v>
      </c>
      <c r="F64" s="12">
        <f>'Base Financials'!F41</f>
        <v>3402</v>
      </c>
      <c r="G64" s="12">
        <f>'Base Financials'!G41</f>
        <v>3478</v>
      </c>
      <c r="I64" s="12">
        <f>'Base Financials'!I41</f>
        <v>7074</v>
      </c>
      <c r="J64" s="12">
        <f>'Base Financials'!J41</f>
        <v>6063</v>
      </c>
      <c r="K64" s="12">
        <f>'Base Financials'!K41</f>
        <v>7469</v>
      </c>
      <c r="L64" s="12">
        <f>'Base Financials'!L41</f>
        <v>4133</v>
      </c>
      <c r="M64" s="12">
        <f>'Base Financials'!M41</f>
        <v>3847</v>
      </c>
      <c r="N64" s="12">
        <f>'Base Financials'!N41</f>
        <v>2996</v>
      </c>
      <c r="O64" s="12">
        <f>'Base Financials'!O41</f>
        <v>2843</v>
      </c>
      <c r="P64" s="12">
        <f>'Base Financials'!P41</f>
        <v>3402</v>
      </c>
      <c r="Q64" s="12">
        <f>'Base Financials'!Q41</f>
        <v>3323</v>
      </c>
      <c r="R64" s="12">
        <f>'Base Financials'!R41</f>
        <v>3131</v>
      </c>
      <c r="S64" s="12">
        <f>'Base Financials'!S41</f>
        <v>3121</v>
      </c>
      <c r="T64" s="12">
        <f>'Base Financials'!T41</f>
        <v>3478</v>
      </c>
      <c r="U64" s="12">
        <f>'Base Financials'!U41</f>
        <v>3064</v>
      </c>
      <c r="V64" s="12">
        <f>'Base Financials'!V41</f>
        <v>2360</v>
      </c>
      <c r="W64" s="12">
        <f>'Base Financials'!W41</f>
        <v>3202</v>
      </c>
      <c r="X64" s="12"/>
      <c r="Y64" s="12">
        <f>L64</f>
        <v>4133</v>
      </c>
      <c r="Z64" s="12">
        <f>M64</f>
        <v>3847</v>
      </c>
      <c r="AA64" s="12">
        <f>N64</f>
        <v>2996</v>
      </c>
      <c r="AB64" s="12">
        <f>O64</f>
        <v>2843</v>
      </c>
      <c r="AC64" s="12">
        <f>P64</f>
        <v>3402</v>
      </c>
      <c r="AD64" s="12">
        <f>Q64</f>
        <v>3323</v>
      </c>
      <c r="AE64" s="12">
        <f>R64</f>
        <v>3131</v>
      </c>
      <c r="AF64" s="12">
        <f>S64</f>
        <v>3121</v>
      </c>
      <c r="AG64" s="12">
        <f>T64</f>
        <v>3478</v>
      </c>
      <c r="AH64" s="12">
        <f>U64</f>
        <v>3064</v>
      </c>
      <c r="AI64" s="12">
        <f>V64</f>
        <v>2360</v>
      </c>
    </row>
    <row r="65" spans="2:35" ht="12.75" customHeight="1" x14ac:dyDescent="0.2">
      <c r="B65" s="9" t="s">
        <v>88</v>
      </c>
      <c r="C65" s="12">
        <f>'Base Financials'!C55</f>
        <v>5581</v>
      </c>
      <c r="D65" s="12">
        <f>'Base Financials'!D55</f>
        <v>5747</v>
      </c>
      <c r="E65" s="12">
        <f>'Base Financials'!E55</f>
        <v>9595</v>
      </c>
      <c r="F65" s="12">
        <f>'Base Financials'!F55</f>
        <v>8578</v>
      </c>
      <c r="G65" s="12">
        <f>'Base Financials'!G55</f>
        <v>12556</v>
      </c>
      <c r="I65" s="12">
        <f>'Base Financials'!I55</f>
        <v>7210</v>
      </c>
      <c r="J65" s="12">
        <f>'Base Financials'!J55</f>
        <v>7945</v>
      </c>
      <c r="K65" s="12">
        <f>'Base Financials'!K55</f>
        <v>7133</v>
      </c>
      <c r="L65" s="12">
        <f>'Base Financials'!L55</f>
        <v>9595</v>
      </c>
      <c r="M65" s="12">
        <f>'Base Financials'!M55</f>
        <v>8083</v>
      </c>
      <c r="N65" s="12">
        <f>'Base Financials'!N55</f>
        <v>8757</v>
      </c>
      <c r="O65" s="12">
        <f>'Base Financials'!O55</f>
        <v>8669</v>
      </c>
      <c r="P65" s="12">
        <f>'Base Financials'!P55</f>
        <v>8578</v>
      </c>
      <c r="Q65" s="12">
        <f>'Base Financials'!Q55</f>
        <v>8559</v>
      </c>
      <c r="R65" s="12">
        <f>'Base Financials'!R55</f>
        <v>9618</v>
      </c>
      <c r="S65" s="12">
        <f>'Base Financials'!S55</f>
        <v>11074</v>
      </c>
      <c r="T65" s="12">
        <f>'Base Financials'!T55</f>
        <v>12556</v>
      </c>
      <c r="U65" s="12">
        <f>'Base Financials'!U55</f>
        <v>10896</v>
      </c>
      <c r="V65" s="12">
        <f>'Base Financials'!V55</f>
        <v>10666</v>
      </c>
      <c r="W65" s="12">
        <f>'Base Financials'!W55</f>
        <v>10268</v>
      </c>
      <c r="Y65" s="12">
        <f>L65</f>
        <v>9595</v>
      </c>
      <c r="Z65" s="12">
        <f>M65</f>
        <v>8083</v>
      </c>
      <c r="AA65" s="12">
        <f>N65</f>
        <v>8757</v>
      </c>
      <c r="AB65" s="12">
        <f>O65</f>
        <v>8669</v>
      </c>
      <c r="AC65" s="12">
        <f>P65</f>
        <v>8578</v>
      </c>
      <c r="AD65" s="12">
        <f>Q65</f>
        <v>8559</v>
      </c>
      <c r="AE65" s="12">
        <f>R65</f>
        <v>9618</v>
      </c>
      <c r="AF65" s="12">
        <f>S65</f>
        <v>11074</v>
      </c>
      <c r="AG65" s="12">
        <f>T65</f>
        <v>12556</v>
      </c>
      <c r="AH65" s="12">
        <f>U65</f>
        <v>10896</v>
      </c>
      <c r="AI65" s="12">
        <f>V65</f>
        <v>10666</v>
      </c>
    </row>
    <row r="66" spans="2:35" ht="12.75" customHeight="1" x14ac:dyDescent="0.2">
      <c r="B66" s="9" t="s">
        <v>17</v>
      </c>
      <c r="C66" s="12">
        <f>'Base Financials'!C42</f>
        <v>8427</v>
      </c>
      <c r="D66" s="12">
        <f>'Base Financials'!D42</f>
        <v>10776</v>
      </c>
      <c r="E66" s="12">
        <f>'Base Financials'!E42</f>
        <v>13224</v>
      </c>
      <c r="F66" s="12">
        <f>'Base Financials'!F42</f>
        <v>11127</v>
      </c>
      <c r="G66" s="12">
        <f>'Base Financials'!G42</f>
        <v>12198</v>
      </c>
      <c r="H66" s="12"/>
      <c r="I66" s="12">
        <f>'Base Financials'!I42</f>
        <v>11935</v>
      </c>
      <c r="J66" s="12">
        <f>'Base Financials'!J42</f>
        <v>12174</v>
      </c>
      <c r="K66" s="12">
        <f>'Base Financials'!K42</f>
        <v>12831</v>
      </c>
      <c r="L66" s="12">
        <f>'Base Financials'!L42</f>
        <v>13224</v>
      </c>
      <c r="M66" s="12">
        <f>'Base Financials'!M42</f>
        <v>12993</v>
      </c>
      <c r="N66" s="12">
        <f>'Base Financials'!N42</f>
        <v>11984</v>
      </c>
      <c r="O66" s="12">
        <f>'Base Financials'!O42</f>
        <v>11466</v>
      </c>
      <c r="P66" s="12">
        <f>'Base Financials'!P42</f>
        <v>11127</v>
      </c>
      <c r="Q66" s="12">
        <f>'Base Financials'!Q42</f>
        <v>11494</v>
      </c>
      <c r="R66" s="12">
        <f>'Base Financials'!R42</f>
        <v>11244</v>
      </c>
      <c r="S66" s="12">
        <f>'Base Financials'!S42</f>
        <v>12062</v>
      </c>
      <c r="T66" s="12">
        <f>'Base Financials'!T42</f>
        <v>12198</v>
      </c>
      <c r="U66" s="12">
        <f>'Base Financials'!U42</f>
        <v>12281</v>
      </c>
      <c r="V66" s="12">
        <f>'Base Financials'!V42</f>
        <v>11377</v>
      </c>
      <c r="W66" s="12">
        <f>'Base Financials'!W42</f>
        <v>11489</v>
      </c>
      <c r="Y66" s="12"/>
      <c r="Z66" s="12"/>
      <c r="AA66" s="12"/>
      <c r="AB66" s="12"/>
      <c r="AC66" s="12"/>
      <c r="AD66" s="12"/>
      <c r="AE66" s="12">
        <f>R66</f>
        <v>11244</v>
      </c>
      <c r="AF66" s="12">
        <f>S66</f>
        <v>12062</v>
      </c>
      <c r="AG66" s="12">
        <f>T66</f>
        <v>12198</v>
      </c>
      <c r="AH66" s="12">
        <f>U66</f>
        <v>12281</v>
      </c>
      <c r="AI66" s="12">
        <f>V66</f>
        <v>11377</v>
      </c>
    </row>
    <row r="67" spans="2:35" ht="12.75" customHeight="1" x14ac:dyDescent="0.2">
      <c r="B67" s="9" t="s">
        <v>89</v>
      </c>
      <c r="C67" s="12">
        <f>'Base Financials'!C47</f>
        <v>56584</v>
      </c>
      <c r="D67" s="12">
        <f>'Base Financials'!D47</f>
        <v>63245</v>
      </c>
      <c r="E67" s="12">
        <f>'Base Financials'!E47</f>
        <v>80860</v>
      </c>
      <c r="F67" s="12">
        <f>'Base Financials'!F47</f>
        <v>96647</v>
      </c>
      <c r="G67" s="12">
        <f>'Base Financials'!G47</f>
        <v>107919</v>
      </c>
      <c r="H67" s="12"/>
      <c r="I67" s="12">
        <f>'Base Financials'!I47</f>
        <v>66718</v>
      </c>
      <c r="J67" s="12">
        <f>'Base Financials'!J47</f>
        <v>71660</v>
      </c>
      <c r="K67" s="12">
        <f>'Base Financials'!K47</f>
        <v>75763</v>
      </c>
      <c r="L67" s="12">
        <f>'Base Financials'!L47</f>
        <v>80860</v>
      </c>
      <c r="M67" s="12">
        <f>'Base Financials'!M47</f>
        <v>85734</v>
      </c>
      <c r="N67" s="12">
        <f>'Base Financials'!N47</f>
        <v>90945</v>
      </c>
      <c r="O67" s="12">
        <f>'Base Financials'!O47</f>
        <v>93352</v>
      </c>
      <c r="P67" s="12">
        <f>'Base Financials'!P47</f>
        <v>96647</v>
      </c>
      <c r="Q67" s="12">
        <f>'Base Financials'!Q47</f>
        <v>99924</v>
      </c>
      <c r="R67" s="12">
        <f>'Base Financials'!R47</f>
        <v>103398</v>
      </c>
      <c r="S67" s="12">
        <f>'Base Financials'!S47</f>
        <v>104248</v>
      </c>
      <c r="T67" s="12">
        <f>'Base Financials'!T47</f>
        <v>107919</v>
      </c>
      <c r="U67" s="12">
        <f>'Base Financials'!U47</f>
        <v>109763</v>
      </c>
      <c r="V67" s="12">
        <f>'Base Financials'!V47</f>
        <v>109510</v>
      </c>
      <c r="W67" s="12">
        <f>'Base Financials'!W47</f>
        <v>105047</v>
      </c>
      <c r="Y67" s="12">
        <f>L67</f>
        <v>80860</v>
      </c>
      <c r="Z67" s="12">
        <f>M67</f>
        <v>85734</v>
      </c>
      <c r="AA67" s="12">
        <f>N67</f>
        <v>90945</v>
      </c>
      <c r="AB67" s="12">
        <f>O67</f>
        <v>93352</v>
      </c>
      <c r="AC67" s="12">
        <f>P67</f>
        <v>96647</v>
      </c>
      <c r="AD67" s="12">
        <f>Q67</f>
        <v>99924</v>
      </c>
      <c r="AE67" s="12">
        <f>R67</f>
        <v>103398</v>
      </c>
      <c r="AF67" s="12">
        <f>S67</f>
        <v>104248</v>
      </c>
      <c r="AG67" s="12">
        <f>T67</f>
        <v>107919</v>
      </c>
      <c r="AH67" s="12">
        <f>U67</f>
        <v>109763</v>
      </c>
      <c r="AI67" s="12">
        <f>V67</f>
        <v>109510</v>
      </c>
    </row>
    <row r="68" spans="2:35" ht="12.75" customHeight="1" x14ac:dyDescent="0.2">
      <c r="B68" s="9" t="s">
        <v>90</v>
      </c>
      <c r="C68" s="12">
        <f>'Base Financials'!C61</f>
        <v>24754</v>
      </c>
      <c r="D68" s="12">
        <f>'Base Financials'!D61</f>
        <v>27462</v>
      </c>
      <c r="E68" s="12">
        <f>'Base Financials'!E61</f>
        <v>32155</v>
      </c>
      <c r="F68" s="12">
        <f>'Base Financials'!F61</f>
        <v>28053</v>
      </c>
      <c r="G68" s="12">
        <f>'Base Financials'!G61</f>
        <v>35666</v>
      </c>
      <c r="H68" s="12"/>
      <c r="I68" s="12">
        <f>'Base Financials'!I61</f>
        <v>29322</v>
      </c>
      <c r="J68" s="12">
        <f>'Base Financials'!J61</f>
        <v>27218</v>
      </c>
      <c r="K68" s="12">
        <f>'Base Financials'!K61</f>
        <v>27813</v>
      </c>
      <c r="L68" s="12">
        <f>'Base Financials'!L61</f>
        <v>32155</v>
      </c>
      <c r="M68" s="12">
        <f>'Base Financials'!M61</f>
        <v>27393</v>
      </c>
      <c r="N68" s="12">
        <f>'Base Financials'!N61</f>
        <v>27180</v>
      </c>
      <c r="O68" s="12">
        <f>'Base Financials'!O61</f>
        <v>28614</v>
      </c>
      <c r="P68" s="12">
        <f>'Base Financials'!P61</f>
        <v>28053</v>
      </c>
      <c r="Q68" s="12">
        <f>'Base Financials'!Q61</f>
        <v>27213</v>
      </c>
      <c r="R68" s="12">
        <f>'Base Financials'!R61</f>
        <v>32027</v>
      </c>
      <c r="S68" s="12">
        <f>'Base Financials'!S61</f>
        <v>35159</v>
      </c>
      <c r="T68" s="12">
        <f>'Base Financials'!T61</f>
        <v>35666</v>
      </c>
      <c r="U68" s="12">
        <f>'Base Financials'!U61</f>
        <v>32174</v>
      </c>
      <c r="V68" s="12">
        <f>'Base Financials'!V61</f>
        <v>34966</v>
      </c>
      <c r="W68" s="12">
        <f>'Base Financials'!W61</f>
        <v>32297</v>
      </c>
      <c r="Y68" s="12">
        <f>L68</f>
        <v>32155</v>
      </c>
      <c r="Z68" s="12">
        <f>M68</f>
        <v>27393</v>
      </c>
      <c r="AA68" s="12">
        <f>N68</f>
        <v>27180</v>
      </c>
      <c r="AB68" s="12">
        <f>O68</f>
        <v>28614</v>
      </c>
      <c r="AC68" s="12">
        <f>P68</f>
        <v>28053</v>
      </c>
      <c r="AD68" s="12">
        <f>Q68</f>
        <v>27213</v>
      </c>
      <c r="AE68" s="12">
        <f>R68</f>
        <v>32027</v>
      </c>
      <c r="AF68" s="12">
        <f>S68</f>
        <v>35159</v>
      </c>
      <c r="AG68" s="12">
        <f>T68</f>
        <v>35666</v>
      </c>
      <c r="AH68" s="12">
        <f>U68</f>
        <v>32174</v>
      </c>
      <c r="AI68" s="12">
        <f>V68</f>
        <v>34966</v>
      </c>
    </row>
    <row r="69" spans="2:35" ht="12.75" customHeight="1" x14ac:dyDescent="0.2">
      <c r="B69" s="9" t="s">
        <v>45</v>
      </c>
      <c r="C69" s="12">
        <f>'Base Financials'!C66</f>
        <v>72053</v>
      </c>
      <c r="D69" s="12">
        <f>'Base Financials'!D66</f>
        <v>73015</v>
      </c>
      <c r="E69" s="12">
        <f>'Base Financials'!E66</f>
        <v>78817</v>
      </c>
      <c r="F69" s="12">
        <f>'Base Financials'!F66</f>
        <v>81607</v>
      </c>
      <c r="G69" s="12">
        <f>'Base Financials'!G66</f>
        <v>91453</v>
      </c>
      <c r="H69" s="12"/>
      <c r="I69" s="12">
        <f>'Base Financials'!I66</f>
        <v>73220</v>
      </c>
      <c r="J69" s="12">
        <f>'Base Financials'!J66</f>
        <v>69200</v>
      </c>
      <c r="K69" s="12">
        <f>'Base Financials'!K66</f>
        <v>74956</v>
      </c>
      <c r="L69" s="12">
        <f>'Base Financials'!L66</f>
        <v>78817</v>
      </c>
      <c r="M69" s="12">
        <f>'Base Financials'!M66</f>
        <v>84900</v>
      </c>
      <c r="N69" s="12">
        <f>'Base Financials'!N66</f>
        <v>81158</v>
      </c>
      <c r="O69" s="12">
        <f>'Base Financials'!O66</f>
        <v>83151</v>
      </c>
      <c r="P69" s="12">
        <f>'Base Financials'!P66</f>
        <v>81607</v>
      </c>
      <c r="Q69" s="12">
        <f>'Base Financials'!Q66</f>
        <v>81977</v>
      </c>
      <c r="R69" s="12">
        <f>'Base Financials'!R66</f>
        <v>85771</v>
      </c>
      <c r="S69" s="12">
        <f>'Base Financials'!S66</f>
        <v>88678</v>
      </c>
      <c r="T69" s="12">
        <f>'Base Financials'!T66</f>
        <v>91453</v>
      </c>
      <c r="U69" s="12">
        <f>'Base Financials'!U66</f>
        <v>85829</v>
      </c>
      <c r="V69" s="12">
        <f>'Base Financials'!V66</f>
        <v>86769</v>
      </c>
      <c r="W69" s="12">
        <f>'Base Financials'!W66</f>
        <v>87784</v>
      </c>
      <c r="Y69" s="12">
        <f>L69</f>
        <v>78817</v>
      </c>
      <c r="Z69" s="12">
        <f>M69</f>
        <v>84900</v>
      </c>
      <c r="AA69" s="12">
        <f>N69</f>
        <v>81158</v>
      </c>
      <c r="AB69" s="12">
        <f>O69</f>
        <v>83151</v>
      </c>
      <c r="AC69" s="12">
        <f>P69</f>
        <v>81607</v>
      </c>
      <c r="AD69" s="12">
        <f>Q69</f>
        <v>81977</v>
      </c>
      <c r="AE69" s="12">
        <f>R69</f>
        <v>85771</v>
      </c>
      <c r="AF69" s="12">
        <f>S69</f>
        <v>88678</v>
      </c>
      <c r="AG69" s="12">
        <f>T69</f>
        <v>91453</v>
      </c>
      <c r="AH69" s="12">
        <f>U69</f>
        <v>85829</v>
      </c>
      <c r="AI69" s="12">
        <f>V69</f>
        <v>86769</v>
      </c>
    </row>
    <row r="70" spans="2:35" ht="5.0999999999999996" customHeight="1" x14ac:dyDescent="0.2"/>
    <row r="71" spans="2:35" ht="12.75" customHeight="1" x14ac:dyDescent="0.2">
      <c r="B71" s="40" t="s">
        <v>91</v>
      </c>
    </row>
    <row r="72" spans="2:35" ht="12.75" customHeight="1" x14ac:dyDescent="0.2">
      <c r="B72" s="9" t="s">
        <v>92</v>
      </c>
      <c r="C72" s="12">
        <f>'Base Financials'!C54</f>
        <v>2504</v>
      </c>
      <c r="D72" s="12">
        <f>'Base Financials'!D54</f>
        <v>4591</v>
      </c>
      <c r="E72" s="12">
        <f>'Base Financials'!E54</f>
        <v>4367</v>
      </c>
      <c r="F72" s="12">
        <f>'Base Financials'!F54</f>
        <v>2288</v>
      </c>
      <c r="G72" s="12">
        <f>'Base Financials'!G54</f>
        <v>3729</v>
      </c>
      <c r="I72" s="12">
        <f>'Base Financials'!I54</f>
        <v>4459</v>
      </c>
      <c r="J72" s="12">
        <f>'Base Financials'!J54</f>
        <v>2882</v>
      </c>
      <c r="K72" s="12">
        <f>'Base Financials'!K54</f>
        <v>2283</v>
      </c>
      <c r="L72" s="12">
        <f>'Base Financials'!L54</f>
        <v>4367</v>
      </c>
      <c r="M72" s="12">
        <f>'Base Financials'!M54</f>
        <v>1437</v>
      </c>
      <c r="N72" s="12">
        <f>'Base Financials'!N54</f>
        <v>2711</v>
      </c>
      <c r="O72" s="12">
        <f>'Base Financials'!O54</f>
        <v>2288</v>
      </c>
      <c r="P72" s="12">
        <f>'Base Financials'!P54</f>
        <v>2288</v>
      </c>
      <c r="Q72" s="12">
        <f>'Base Financials'!Q54</f>
        <v>4581</v>
      </c>
      <c r="R72" s="12">
        <f>'Base Financials'!R54</f>
        <v>4695</v>
      </c>
      <c r="S72" s="12">
        <f>'Base Financials'!S54</f>
        <v>3765</v>
      </c>
      <c r="T72" s="12">
        <f>'Base Financials'!T54</f>
        <v>3729</v>
      </c>
      <c r="U72" s="12">
        <f>'Base Financials'!U54</f>
        <v>5240</v>
      </c>
      <c r="V72" s="12">
        <f>'Base Financials'!V54</f>
        <v>6731</v>
      </c>
      <c r="W72" s="12">
        <f>'Base Financials'!W54</f>
        <v>2496</v>
      </c>
      <c r="Y72" s="12">
        <f>L72</f>
        <v>4367</v>
      </c>
      <c r="Z72" s="12">
        <f>M72</f>
        <v>1437</v>
      </c>
      <c r="AA72" s="12">
        <f>N72</f>
        <v>2711</v>
      </c>
      <c r="AB72" s="12">
        <f>O72</f>
        <v>2288</v>
      </c>
      <c r="AC72" s="12">
        <f>P72</f>
        <v>2288</v>
      </c>
      <c r="AD72" s="12">
        <f>Q72</f>
        <v>4581</v>
      </c>
      <c r="AE72" s="12">
        <f>R72</f>
        <v>4695</v>
      </c>
      <c r="AF72" s="12">
        <f>S72</f>
        <v>3765</v>
      </c>
      <c r="AG72" s="12">
        <f>T72</f>
        <v>3729</v>
      </c>
      <c r="AH72" s="12">
        <f>U72</f>
        <v>5240</v>
      </c>
      <c r="AI72" s="12">
        <f>V72</f>
        <v>6731</v>
      </c>
    </row>
    <row r="73" spans="2:35" ht="12.75" customHeight="1" x14ac:dyDescent="0.2">
      <c r="B73" s="9" t="s">
        <v>93</v>
      </c>
      <c r="C73" s="12">
        <f>'Base Financials'!C63</f>
        <v>33897</v>
      </c>
      <c r="D73" s="12">
        <f>'Base Financials'!D63</f>
        <v>33510</v>
      </c>
      <c r="E73" s="12">
        <f>'Base Financials'!E63</f>
        <v>37684</v>
      </c>
      <c r="F73" s="12">
        <f>'Base Financials'!F63</f>
        <v>46978</v>
      </c>
      <c r="G73" s="12">
        <f>'Base Financials'!G63</f>
        <v>46282</v>
      </c>
      <c r="I73" s="12">
        <f>'Base Financials'!I63</f>
        <v>32788</v>
      </c>
      <c r="J73" s="12">
        <f>'Base Financials'!J63</f>
        <v>32548</v>
      </c>
      <c r="K73" s="12">
        <f>'Base Financials'!K63</f>
        <v>37240</v>
      </c>
      <c r="L73" s="12">
        <f>'Base Financials'!L63</f>
        <v>37684</v>
      </c>
      <c r="M73" s="12">
        <f>'Base Financials'!M63</f>
        <v>48836</v>
      </c>
      <c r="N73" s="12">
        <f>'Base Financials'!N63</f>
        <v>46335</v>
      </c>
      <c r="O73" s="12">
        <f>'Base Financials'!O63</f>
        <v>46591</v>
      </c>
      <c r="P73" s="12">
        <f>'Base Financials'!P63</f>
        <v>46978</v>
      </c>
      <c r="Q73" s="12">
        <f>'Base Financials'!Q63</f>
        <v>47869</v>
      </c>
      <c r="R73" s="12">
        <f>'Base Financials'!R63</f>
        <v>48334</v>
      </c>
      <c r="S73" s="12">
        <f>'Base Financials'!S63</f>
        <v>46471</v>
      </c>
      <c r="T73" s="12">
        <f>'Base Financials'!T63</f>
        <v>46282</v>
      </c>
      <c r="U73" s="12">
        <f>'Base Financials'!U63</f>
        <v>44911</v>
      </c>
      <c r="V73" s="12">
        <f>'Base Financials'!V63</f>
        <v>44026</v>
      </c>
      <c r="W73" s="12">
        <f>'Base Financials'!W63</f>
        <v>44057</v>
      </c>
      <c r="Y73" s="12">
        <f>L73</f>
        <v>37684</v>
      </c>
      <c r="Z73" s="12">
        <f>M73</f>
        <v>48836</v>
      </c>
      <c r="AA73" s="12">
        <f>N73</f>
        <v>46335</v>
      </c>
      <c r="AB73" s="12">
        <f>O73</f>
        <v>46591</v>
      </c>
      <c r="AC73" s="12">
        <f>P73</f>
        <v>46978</v>
      </c>
      <c r="AD73" s="12">
        <f>Q73</f>
        <v>47869</v>
      </c>
      <c r="AE73" s="12">
        <f>R73</f>
        <v>48334</v>
      </c>
      <c r="AF73" s="12">
        <f>S73</f>
        <v>46471</v>
      </c>
      <c r="AG73" s="12">
        <f>T73</f>
        <v>46282</v>
      </c>
      <c r="AH73" s="12">
        <f>U73</f>
        <v>44911</v>
      </c>
      <c r="AI73" s="12">
        <f>V73</f>
        <v>44026</v>
      </c>
    </row>
    <row r="75" spans="2:35" ht="12.75" customHeight="1" x14ac:dyDescent="0.2">
      <c r="B75" s="41" t="s">
        <v>229</v>
      </c>
      <c r="C75" s="116">
        <v>0</v>
      </c>
      <c r="D75" s="116">
        <v>0</v>
      </c>
      <c r="E75" s="116">
        <v>3900</v>
      </c>
      <c r="F75" s="116">
        <v>0</v>
      </c>
      <c r="G75" s="116">
        <v>0</v>
      </c>
      <c r="I75" s="116">
        <v>0</v>
      </c>
      <c r="J75" s="116">
        <v>0</v>
      </c>
      <c r="K75" s="116">
        <v>0</v>
      </c>
      <c r="L75" s="36">
        <f t="shared" ref="L75:L77" si="76">E75</f>
        <v>3900</v>
      </c>
      <c r="M75" s="116">
        <v>1000</v>
      </c>
      <c r="N75" s="116">
        <v>0</v>
      </c>
      <c r="O75" s="116">
        <v>0</v>
      </c>
      <c r="P75" s="36">
        <f>F75</f>
        <v>0</v>
      </c>
      <c r="Q75" s="116">
        <v>793</v>
      </c>
      <c r="R75" s="116">
        <v>3200</v>
      </c>
      <c r="S75" s="116">
        <v>0</v>
      </c>
      <c r="T75" s="116">
        <f t="shared" ref="T75:T77" si="77">G75</f>
        <v>0</v>
      </c>
      <c r="U75" s="116">
        <v>1500</v>
      </c>
      <c r="V75" s="116">
        <f>3500-1500</f>
        <v>2000</v>
      </c>
      <c r="W75" s="119">
        <f>V75</f>
        <v>2000</v>
      </c>
      <c r="Y75" s="12">
        <f>L75</f>
        <v>3900</v>
      </c>
      <c r="Z75" s="12">
        <f>M75</f>
        <v>1000</v>
      </c>
      <c r="AA75" s="12">
        <f>N75</f>
        <v>0</v>
      </c>
      <c r="AB75" s="12">
        <f>O75</f>
        <v>0</v>
      </c>
      <c r="AC75" s="12">
        <f>P75</f>
        <v>0</v>
      </c>
      <c r="AD75" s="12">
        <f>Q75</f>
        <v>793</v>
      </c>
      <c r="AE75" s="12">
        <f>R75</f>
        <v>3200</v>
      </c>
      <c r="AF75" s="12">
        <f>S75</f>
        <v>0</v>
      </c>
      <c r="AG75" s="12">
        <f>T75</f>
        <v>0</v>
      </c>
      <c r="AH75" s="12">
        <f>U75</f>
        <v>1500</v>
      </c>
      <c r="AI75" s="12">
        <f>V75</f>
        <v>2000</v>
      </c>
    </row>
    <row r="76" spans="2:35" ht="12.75" customHeight="1" x14ac:dyDescent="0.2">
      <c r="B76" s="35" t="s">
        <v>226</v>
      </c>
      <c r="C76" s="36">
        <f>C72-C75</f>
        <v>2504</v>
      </c>
      <c r="D76" s="36">
        <f>D72-D75</f>
        <v>4591</v>
      </c>
      <c r="E76" s="36">
        <f>E72-E75</f>
        <v>467</v>
      </c>
      <c r="F76" s="36">
        <f>F72-F75</f>
        <v>2288</v>
      </c>
      <c r="G76" s="36">
        <f>G72-G75</f>
        <v>3729</v>
      </c>
      <c r="H76" s="118"/>
      <c r="I76" s="36">
        <f>I72-I75</f>
        <v>4459</v>
      </c>
      <c r="J76" s="36">
        <f>J72-J75</f>
        <v>2882</v>
      </c>
      <c r="K76" s="36">
        <f>K72-K75</f>
        <v>2283</v>
      </c>
      <c r="L76" s="36">
        <f>L72-L75</f>
        <v>467</v>
      </c>
      <c r="M76" s="36">
        <f>M72-M75</f>
        <v>437</v>
      </c>
      <c r="N76" s="36">
        <f>N72-N75</f>
        <v>2711</v>
      </c>
      <c r="O76" s="36">
        <f>O72-O75</f>
        <v>2288</v>
      </c>
      <c r="P76" s="36">
        <f>P72-P75</f>
        <v>2288</v>
      </c>
      <c r="Q76" s="36">
        <f>Q72-Q75</f>
        <v>3788</v>
      </c>
      <c r="R76" s="36">
        <f>R72-R75</f>
        <v>1495</v>
      </c>
      <c r="S76" s="36">
        <f>S72-S75</f>
        <v>3765</v>
      </c>
      <c r="T76" s="36">
        <f>T72-T75</f>
        <v>3729</v>
      </c>
      <c r="U76" s="36">
        <f>U72-U75</f>
        <v>3740</v>
      </c>
      <c r="V76" s="36">
        <f>V72-V75</f>
        <v>4731</v>
      </c>
      <c r="W76" s="36">
        <f>W72-W75</f>
        <v>496</v>
      </c>
      <c r="Y76" s="12">
        <f>L76</f>
        <v>467</v>
      </c>
      <c r="Z76" s="12">
        <f>M76</f>
        <v>437</v>
      </c>
      <c r="AA76" s="12">
        <f>N76</f>
        <v>2711</v>
      </c>
      <c r="AB76" s="12">
        <f>O76</f>
        <v>2288</v>
      </c>
      <c r="AC76" s="12">
        <f>P76</f>
        <v>2288</v>
      </c>
      <c r="AD76" s="12">
        <f>Q76</f>
        <v>3788</v>
      </c>
      <c r="AE76" s="12">
        <f>R76</f>
        <v>1495</v>
      </c>
      <c r="AF76" s="12">
        <f>S76</f>
        <v>3765</v>
      </c>
      <c r="AG76" s="12">
        <f>T76</f>
        <v>3729</v>
      </c>
      <c r="AH76" s="12">
        <f>U76</f>
        <v>3740</v>
      </c>
      <c r="AI76" s="12">
        <f>V76</f>
        <v>4731</v>
      </c>
    </row>
    <row r="77" spans="2:35" ht="12.75" customHeight="1" x14ac:dyDescent="0.2">
      <c r="B77" s="35" t="s">
        <v>227</v>
      </c>
      <c r="C77" s="36">
        <f>C73</f>
        <v>33897</v>
      </c>
      <c r="D77" s="36">
        <f>D73</f>
        <v>33510</v>
      </c>
      <c r="E77" s="36">
        <f>E73</f>
        <v>37684</v>
      </c>
      <c r="F77" s="36">
        <f>F73</f>
        <v>46978</v>
      </c>
      <c r="G77" s="36">
        <f>G73</f>
        <v>46282</v>
      </c>
      <c r="H77" s="118"/>
      <c r="I77" s="36">
        <f>I73</f>
        <v>32788</v>
      </c>
      <c r="J77" s="36">
        <f>J73</f>
        <v>32548</v>
      </c>
      <c r="K77" s="36">
        <f>K73</f>
        <v>37240</v>
      </c>
      <c r="L77" s="36">
        <f>L73</f>
        <v>37684</v>
      </c>
      <c r="M77" s="36">
        <f>M73</f>
        <v>48836</v>
      </c>
      <c r="N77" s="36">
        <f>N73</f>
        <v>46335</v>
      </c>
      <c r="O77" s="36">
        <f>O73</f>
        <v>46591</v>
      </c>
      <c r="P77" s="36">
        <f>P73</f>
        <v>46978</v>
      </c>
      <c r="Q77" s="36">
        <f>Q73</f>
        <v>47869</v>
      </c>
      <c r="R77" s="36">
        <f>R73</f>
        <v>48334</v>
      </c>
      <c r="S77" s="36">
        <f>S73</f>
        <v>46471</v>
      </c>
      <c r="T77" s="36">
        <f>T73</f>
        <v>46282</v>
      </c>
      <c r="U77" s="36">
        <f>U73</f>
        <v>44911</v>
      </c>
      <c r="V77" s="36">
        <f t="shared" ref="V76:W77" si="78">V73</f>
        <v>44026</v>
      </c>
      <c r="W77" s="36">
        <f t="shared" si="78"/>
        <v>44057</v>
      </c>
      <c r="Y77" s="12">
        <f>L77</f>
        <v>37684</v>
      </c>
      <c r="Z77" s="12">
        <f>M77</f>
        <v>48836</v>
      </c>
      <c r="AA77" s="12">
        <f>N77</f>
        <v>46335</v>
      </c>
      <c r="AB77" s="12">
        <f>O77</f>
        <v>46591</v>
      </c>
      <c r="AC77" s="12">
        <f>P77</f>
        <v>46978</v>
      </c>
      <c r="AD77" s="12">
        <f>Q77</f>
        <v>47869</v>
      </c>
      <c r="AE77" s="12">
        <f>R77</f>
        <v>48334</v>
      </c>
      <c r="AF77" s="12">
        <f>S77</f>
        <v>46471</v>
      </c>
      <c r="AG77" s="12">
        <f>T77</f>
        <v>46282</v>
      </c>
      <c r="AH77" s="12">
        <f>U77</f>
        <v>44911</v>
      </c>
      <c r="AI77" s="12">
        <f>V77</f>
        <v>44026</v>
      </c>
    </row>
    <row r="78" spans="2:35" ht="12.75" customHeight="1" x14ac:dyDescent="0.2">
      <c r="B78" s="15" t="s">
        <v>54</v>
      </c>
      <c r="C78" s="16">
        <f>SUM(C75:C77)</f>
        <v>36401</v>
      </c>
      <c r="D78" s="16">
        <f>SUM(D75:D77)</f>
        <v>38101</v>
      </c>
      <c r="E78" s="16">
        <f>SUM(E75:E77)</f>
        <v>42051</v>
      </c>
      <c r="F78" s="16">
        <f>SUM(F75:F77)</f>
        <v>49266</v>
      </c>
      <c r="G78" s="16">
        <f>SUM(G75:G77)</f>
        <v>50011</v>
      </c>
      <c r="I78" s="16">
        <f>SUM(I75:I77)</f>
        <v>37247</v>
      </c>
      <c r="J78" s="16">
        <f>SUM(J75:J77)</f>
        <v>35430</v>
      </c>
      <c r="K78" s="16">
        <f>SUM(K75:K77)</f>
        <v>39523</v>
      </c>
      <c r="L78" s="16">
        <f>SUM(L75:L77)</f>
        <v>42051</v>
      </c>
      <c r="M78" s="16">
        <f>SUM(M75:M77)</f>
        <v>50273</v>
      </c>
      <c r="N78" s="16">
        <f>SUM(N75:N77)</f>
        <v>49046</v>
      </c>
      <c r="O78" s="16">
        <f>SUM(O75:O77)</f>
        <v>48879</v>
      </c>
      <c r="P78" s="16">
        <f>SUM(P75:P77)</f>
        <v>49266</v>
      </c>
      <c r="Q78" s="16">
        <f>SUM(Q75:Q77)</f>
        <v>52450</v>
      </c>
      <c r="R78" s="16">
        <f>SUM(R75:R77)</f>
        <v>53029</v>
      </c>
      <c r="S78" s="16">
        <f>SUM(S75:S77)</f>
        <v>50236</v>
      </c>
      <c r="T78" s="16">
        <f>SUM(T75:T77)</f>
        <v>50011</v>
      </c>
      <c r="U78" s="16">
        <f>SUM(U75:U77)</f>
        <v>50151</v>
      </c>
      <c r="V78" s="16">
        <f>SUM(V75:V77)</f>
        <v>50757</v>
      </c>
      <c r="W78" s="16">
        <f>SUM(W75:W77)</f>
        <v>46553</v>
      </c>
      <c r="Y78" s="16">
        <f>SUM(Y75:Y77)</f>
        <v>42051</v>
      </c>
      <c r="Z78" s="16">
        <f>SUM(Z75:Z77)</f>
        <v>50273</v>
      </c>
      <c r="AA78" s="16">
        <f>SUM(AA75:AA77)</f>
        <v>49046</v>
      </c>
      <c r="AB78" s="16">
        <f>SUM(AB75:AB77)</f>
        <v>48879</v>
      </c>
      <c r="AC78" s="16">
        <f>SUM(AC75:AC77)</f>
        <v>49266</v>
      </c>
      <c r="AD78" s="16">
        <f>SUM(AD75:AD77)</f>
        <v>52450</v>
      </c>
      <c r="AE78" s="16">
        <f>SUM(AE75:AE77)</f>
        <v>53029</v>
      </c>
      <c r="AF78" s="16">
        <f>SUM(AF75:AF77)</f>
        <v>50236</v>
      </c>
      <c r="AG78" s="16">
        <f>SUM(AG75:AG77)</f>
        <v>50011</v>
      </c>
      <c r="AH78" s="16">
        <f>SUM(AH75:AH77)</f>
        <v>50151</v>
      </c>
      <c r="AI78" s="16">
        <f>SUM(AI75:AI77)</f>
        <v>50757</v>
      </c>
    </row>
    <row r="79" spans="2:35" ht="5.0999999999999996" customHeight="1" x14ac:dyDescent="0.2"/>
    <row r="80" spans="2:35" ht="12.75" customHeight="1" x14ac:dyDescent="0.2">
      <c r="B80" s="9" t="s">
        <v>94</v>
      </c>
      <c r="C80" s="12">
        <f>'Base Financials'!C74</f>
        <v>81038</v>
      </c>
      <c r="D80" s="12">
        <f>'Base Financials'!D74</f>
        <v>95391</v>
      </c>
      <c r="E80" s="12">
        <f>'Base Financials'!E74</f>
        <v>103286</v>
      </c>
      <c r="F80" s="12">
        <f>'Base Financials'!F74</f>
        <v>109965</v>
      </c>
      <c r="G80" s="12">
        <f>'Base Financials'!G74</f>
        <v>105032</v>
      </c>
      <c r="I80" s="12">
        <f>'Base Financials'!I74</f>
        <v>103136</v>
      </c>
      <c r="J80" s="12">
        <f>'Base Financials'!J74</f>
        <v>101218</v>
      </c>
      <c r="K80" s="12">
        <f>'Base Financials'!K74</f>
        <v>99885</v>
      </c>
      <c r="L80" s="12">
        <f>'Base Financials'!L74</f>
        <v>103286</v>
      </c>
      <c r="M80" s="12">
        <f>'Base Financials'!M74</f>
        <v>100403</v>
      </c>
      <c r="N80" s="12">
        <f>'Base Financials'!N74</f>
        <v>104471</v>
      </c>
      <c r="O80" s="12">
        <f>'Base Financials'!O74</f>
        <v>105686</v>
      </c>
      <c r="P80" s="12">
        <f>'Base Financials'!P74</f>
        <v>109965</v>
      </c>
      <c r="Q80" s="12">
        <f>'Base Financials'!Q74</f>
        <v>110756</v>
      </c>
      <c r="R80" s="12">
        <f>'Base Financials'!R74</f>
        <v>120434</v>
      </c>
      <c r="S80" s="12">
        <f>'Base Financials'!S74</f>
        <v>104864</v>
      </c>
      <c r="T80" s="12">
        <f>'Base Financials'!T74</f>
        <v>105032</v>
      </c>
      <c r="U80" s="12">
        <f>'Base Financials'!U74</f>
        <v>106413</v>
      </c>
      <c r="V80" s="12">
        <f>'Base Financials'!V74</f>
        <v>105751</v>
      </c>
      <c r="W80" s="12">
        <f>'Base Financials'!W74</f>
        <v>116730</v>
      </c>
      <c r="Y80" s="12">
        <f>L80</f>
        <v>103286</v>
      </c>
      <c r="Z80" s="12">
        <f>M80</f>
        <v>100403</v>
      </c>
      <c r="AA80" s="12">
        <f>N80</f>
        <v>104471</v>
      </c>
      <c r="AB80" s="12">
        <f>O80</f>
        <v>105686</v>
      </c>
      <c r="AC80" s="12">
        <f>P80</f>
        <v>109965</v>
      </c>
      <c r="AD80" s="12">
        <f>Q80</f>
        <v>110756</v>
      </c>
      <c r="AE80" s="12">
        <f>R80</f>
        <v>120434</v>
      </c>
      <c r="AF80" s="12">
        <f>S80</f>
        <v>104864</v>
      </c>
      <c r="AG80" s="12">
        <f>T80</f>
        <v>105032</v>
      </c>
      <c r="AH80" s="12">
        <f>U80</f>
        <v>106413</v>
      </c>
      <c r="AI80" s="12">
        <f>V80</f>
        <v>105751</v>
      </c>
    </row>
    <row r="81" spans="1:35" ht="12.75" customHeight="1" x14ac:dyDescent="0.2">
      <c r="B81" s="15" t="s">
        <v>95</v>
      </c>
      <c r="C81" s="16">
        <f>SUM(C78:C80)</f>
        <v>117439</v>
      </c>
      <c r="D81" s="16">
        <f>SUM(D78:D80)</f>
        <v>133492</v>
      </c>
      <c r="E81" s="16">
        <f t="shared" ref="E81:G81" si="79">SUM(E78:E80)</f>
        <v>145337</v>
      </c>
      <c r="F81" s="16">
        <f t="shared" si="79"/>
        <v>159231</v>
      </c>
      <c r="G81" s="16">
        <f t="shared" si="79"/>
        <v>155043</v>
      </c>
      <c r="I81" s="16">
        <f t="shared" ref="I81:R81" si="80">SUM(I78:I80)</f>
        <v>140383</v>
      </c>
      <c r="J81" s="16">
        <f t="shared" si="80"/>
        <v>136648</v>
      </c>
      <c r="K81" s="16">
        <f t="shared" si="80"/>
        <v>139408</v>
      </c>
      <c r="L81" s="16">
        <f t="shared" si="80"/>
        <v>145337</v>
      </c>
      <c r="M81" s="16">
        <f t="shared" si="80"/>
        <v>150676</v>
      </c>
      <c r="N81" s="16">
        <f t="shared" si="80"/>
        <v>153517</v>
      </c>
      <c r="O81" s="16">
        <f t="shared" si="80"/>
        <v>154565</v>
      </c>
      <c r="P81" s="16">
        <f t="shared" si="80"/>
        <v>159231</v>
      </c>
      <c r="Q81" s="16">
        <f t="shared" si="80"/>
        <v>163206</v>
      </c>
      <c r="R81" s="16">
        <f t="shared" si="80"/>
        <v>173463</v>
      </c>
      <c r="S81" s="16">
        <f>SUM(S78:S80)</f>
        <v>155100</v>
      </c>
      <c r="T81" s="16">
        <f>SUM(T78:T80)</f>
        <v>155043</v>
      </c>
      <c r="U81" s="16">
        <f t="shared" ref="U81:V81" si="81">SUM(U78:U80)</f>
        <v>156564</v>
      </c>
      <c r="V81" s="16">
        <f t="shared" si="81"/>
        <v>156508</v>
      </c>
      <c r="W81" s="16">
        <f t="shared" ref="W81" si="82">SUM(W78:W80)</f>
        <v>163283</v>
      </c>
      <c r="Y81" s="16">
        <f t="shared" ref="Y81:AF81" si="83">SUM(Y78:Y80)</f>
        <v>145337</v>
      </c>
      <c r="Z81" s="16">
        <f t="shared" si="83"/>
        <v>150676</v>
      </c>
      <c r="AA81" s="16">
        <f t="shared" si="83"/>
        <v>153517</v>
      </c>
      <c r="AB81" s="16">
        <f t="shared" si="83"/>
        <v>154565</v>
      </c>
      <c r="AC81" s="16">
        <f t="shared" si="83"/>
        <v>159231</v>
      </c>
      <c r="AD81" s="16">
        <f t="shared" si="83"/>
        <v>163206</v>
      </c>
      <c r="AE81" s="16">
        <f t="shared" si="83"/>
        <v>173463</v>
      </c>
      <c r="AF81" s="16">
        <f t="shared" si="83"/>
        <v>155100</v>
      </c>
      <c r="AG81" s="16">
        <f>SUM(AG78:AG80)</f>
        <v>155043</v>
      </c>
      <c r="AH81" s="16">
        <f t="shared" ref="AH81:AI81" si="84">SUM(AH78:AH80)</f>
        <v>156564</v>
      </c>
      <c r="AI81" s="16">
        <f t="shared" si="84"/>
        <v>156508</v>
      </c>
    </row>
    <row r="82" spans="1:35" ht="5.0999999999999996" customHeight="1" x14ac:dyDescent="0.2"/>
    <row r="83" spans="1:35" ht="12.75" customHeight="1" x14ac:dyDescent="0.2">
      <c r="A83" s="5"/>
      <c r="B83" s="38" t="s">
        <v>228</v>
      </c>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row>
    <row r="84" spans="1:35" ht="5.0999999999999996" customHeight="1" x14ac:dyDescent="0.2"/>
    <row r="85" spans="1:35" ht="12.75" customHeight="1" x14ac:dyDescent="0.2">
      <c r="B85" s="9" t="s">
        <v>96</v>
      </c>
      <c r="C85" s="117">
        <f>C78/C32</f>
        <v>1.0115884837705647</v>
      </c>
      <c r="D85" s="117">
        <f>D78/D32</f>
        <v>1.1059154766051318</v>
      </c>
      <c r="E85" s="117">
        <f>E78/E32</f>
        <v>2.9492916257539625</v>
      </c>
      <c r="F85" s="117">
        <f>F78/F32</f>
        <v>3.9545673462835125</v>
      </c>
      <c r="G85" s="117">
        <f>G78/G32</f>
        <v>7.8683134046570169</v>
      </c>
      <c r="I85" s="45"/>
      <c r="J85" s="45"/>
      <c r="K85" s="45"/>
      <c r="L85" s="117">
        <f>SUM(L78/SUM(I32:L32))</f>
        <v>2.9492916257539625</v>
      </c>
      <c r="M85" s="117">
        <f>SUM(M78/SUM(J32:M32))</f>
        <v>4.047761340704807</v>
      </c>
      <c r="N85" s="117">
        <f>SUM(N78/SUM(K32:N32))</f>
        <v>4.33654116413609</v>
      </c>
      <c r="O85" s="117">
        <f>SUM(O78/SUM(L32:O32))</f>
        <v>4.6841609346546926</v>
      </c>
      <c r="P85" s="117">
        <f>SUM(P78/SUM(M32:P32))</f>
        <v>3.9545673462835125</v>
      </c>
      <c r="Q85" s="117">
        <f>SUM(Q78/SUM(N32:Q32))</f>
        <v>3.8189893694480852</v>
      </c>
      <c r="R85" s="117">
        <f>SUM(R78/SUM(O32:R32))</f>
        <v>3.8474207356888921</v>
      </c>
      <c r="S85" s="117">
        <f>SUM(S78/SUM(P32:S32))</f>
        <v>6.4695428203477139</v>
      </c>
      <c r="T85" s="117">
        <f>SUM(T78/SUM(Q32:T32))</f>
        <v>7.8683134046570169</v>
      </c>
      <c r="U85" s="117">
        <f>SUM(U78/SUM(R32:U32))</f>
        <v>7.4585068411659723</v>
      </c>
      <c r="V85" s="117">
        <f>SUM(V78/SUM(S32:V32))</f>
        <v>10.908446163765312</v>
      </c>
      <c r="W85" s="117">
        <f>SUM(W78/SUM(T32:W32))</f>
        <v>8.5559639772100713</v>
      </c>
      <c r="Y85" s="44">
        <f>Y78/Y32</f>
        <v>2.1486382913494455</v>
      </c>
      <c r="Z85" s="44">
        <f>Z78/Z32</f>
        <v>4.0367107208019739</v>
      </c>
      <c r="AA85" s="44">
        <f>AA78/AA32</f>
        <v>4.2771672385971433</v>
      </c>
      <c r="AB85" s="44">
        <f>AB78/AB32</f>
        <v>4.6313451657976534</v>
      </c>
      <c r="AC85" s="44">
        <f>AC78/AC32</f>
        <v>3.9412799999999999</v>
      </c>
      <c r="AD85" s="44">
        <f>AD78/AD32</f>
        <v>3.7960483462401391</v>
      </c>
      <c r="AE85" s="117">
        <f>AE78/AE32</f>
        <v>3.8474207356888921</v>
      </c>
      <c r="AF85" s="117">
        <f>AF78/AF32</f>
        <v>6.4695428203477139</v>
      </c>
      <c r="AG85" s="117">
        <f>AG78/AG32</f>
        <v>7.8683134046570169</v>
      </c>
      <c r="AH85" s="117">
        <f>AH78/AH32</f>
        <v>7.4585068411659723</v>
      </c>
      <c r="AI85" s="117">
        <f>AI78/AI32</f>
        <v>10.908446163765312</v>
      </c>
    </row>
    <row r="86" spans="1:35" ht="12.75" customHeight="1" x14ac:dyDescent="0.2">
      <c r="B86" s="9" t="s">
        <v>97</v>
      </c>
      <c r="C86" s="117">
        <f>SUM(C78-C57)/C32</f>
        <v>0.84859937750111158</v>
      </c>
      <c r="D86" s="117">
        <f>SUM(D78-D57)/D32</f>
        <v>0.96580750029025886</v>
      </c>
      <c r="E86" s="117">
        <f>SUM(E78-E57)/E32</f>
        <v>2.16769532893814</v>
      </c>
      <c r="F86" s="117">
        <f>SUM(F78-F57)/F32</f>
        <v>3.3863380960025684</v>
      </c>
      <c r="G86" s="117">
        <f>SUM(G78-G57)/G32</f>
        <v>6.570484581497797</v>
      </c>
      <c r="I86" s="45"/>
      <c r="J86" s="45"/>
      <c r="K86" s="45"/>
      <c r="L86" s="117">
        <f>SUM(L78-L57)/SUM(I32:L32)</f>
        <v>2.1676953289381395</v>
      </c>
      <c r="M86" s="117">
        <f>SUM(M78-M57)/SUM(J32:M32)</f>
        <v>3.3849568262202534</v>
      </c>
      <c r="N86" s="117">
        <f>SUM(N78-N57)/SUM(K32:N32)</f>
        <v>3.5983406548311065</v>
      </c>
      <c r="O86" s="117">
        <f>SUM(O78-O57)/SUM(L32:O32)</f>
        <v>3.9538270390552852</v>
      </c>
      <c r="P86" s="117">
        <f>SUM(P78-P57)/SUM(M32:P32)</f>
        <v>3.3863380960025684</v>
      </c>
      <c r="Q86" s="117">
        <f>SUM(Q78-Q57)/SUM(N32:Q32)</f>
        <v>3.3149118974807048</v>
      </c>
      <c r="R86" s="117">
        <f>SUM(R78-R57)/SUM(O32:R32)</f>
        <v>3.0285133860552853</v>
      </c>
      <c r="S86" s="117">
        <f>SUM(S78-S57)/SUM(P32:S32)</f>
        <v>5.338184159690921</v>
      </c>
      <c r="T86" s="117">
        <f>SUM(T78-T57)/SUM(Q32:T32)</f>
        <v>6.570484581497797</v>
      </c>
      <c r="U86" s="117">
        <f>SUM(U78-U57)/SUM(R32:U32)</f>
        <v>6.1279000594883994</v>
      </c>
      <c r="V86" s="117">
        <f>SUM(V78-V57)/SUM(S32:V32)</f>
        <v>8.8360197721899851</v>
      </c>
      <c r="W86" s="117">
        <f>SUM(W78-W57)/SUM(T32:W32)</f>
        <v>6.5083624333762176</v>
      </c>
      <c r="Y86" s="44">
        <f>SUM(Y78-Y57)/Y32</f>
        <v>1.5792243625772828</v>
      </c>
      <c r="Z86" s="44">
        <f>SUM(Z78-Z57)/Z32</f>
        <v>3.3757157005397684</v>
      </c>
      <c r="AA86" s="44">
        <f>SUM(AA78-AA57)/AA32</f>
        <v>3.5490738308768899</v>
      </c>
      <c r="AB86" s="44">
        <f>SUM(AB78-AB57)/AB32</f>
        <v>3.9092460739884118</v>
      </c>
      <c r="AC86" s="44">
        <f>SUM(AC78-AC57)/AC32</f>
        <v>3.3749600000000002</v>
      </c>
      <c r="AD86" s="44">
        <f>SUM(AD78-AD57)/AD32</f>
        <v>3.2949989143808351</v>
      </c>
      <c r="AE86" s="117">
        <f>SUM(AE78-AE57)/AE32</f>
        <v>3.0285133860552853</v>
      </c>
      <c r="AF86" s="117">
        <f>SUM(AF78-AF57)/AF32</f>
        <v>5.338184159690921</v>
      </c>
      <c r="AG86" s="117">
        <f>SUM(AG78-AG57)/AG32</f>
        <v>6.570484581497797</v>
      </c>
      <c r="AH86" s="117">
        <f>SUM(AH78-AH57)/AH32</f>
        <v>6.1279000594883994</v>
      </c>
      <c r="AI86" s="117">
        <f>SUM(AI78-AI57)/AI32</f>
        <v>8.8360197721899851</v>
      </c>
    </row>
    <row r="87" spans="1:35" ht="12.75" customHeight="1" x14ac:dyDescent="0.2">
      <c r="B87" s="9" t="s">
        <v>98</v>
      </c>
      <c r="C87" s="117">
        <f>C32/-C36</f>
        <v>60.579124579124581</v>
      </c>
      <c r="D87" s="117">
        <f>D32/-D36</f>
        <v>63.214678899082571</v>
      </c>
      <c r="E87" s="117">
        <f>E32/-E36</f>
        <v>31.063180827886711</v>
      </c>
      <c r="F87" s="117">
        <f>F32/-F36</f>
        <v>20.323001631321372</v>
      </c>
      <c r="G87" s="117">
        <f>G32/-G36</f>
        <v>6.4397163120567376</v>
      </c>
      <c r="I87" s="45"/>
      <c r="J87" s="45"/>
      <c r="K87" s="45"/>
      <c r="L87" s="117" cm="1">
        <f t="array" ref="L87">SUM(I32:L32)/SUM(-I36:L36)</f>
        <v>31.063180827886715</v>
      </c>
      <c r="M87" s="117" cm="1">
        <f t="array" ref="M87">SUM(J32:M32)/SUM(-J36:M36)</f>
        <v>23.838678723313866</v>
      </c>
      <c r="N87" s="117" cm="1">
        <f t="array" ref="N87">SUM(K32:N32)/SUM(-K36:N36)</f>
        <v>27.856983501986555</v>
      </c>
      <c r="O87" s="117" cm="1">
        <f t="array" ref="O87">SUM(L32:O32)/SUM(-L36:O36)</f>
        <v>12.930549158995914</v>
      </c>
      <c r="P87" s="117" cm="1">
        <f t="array" ref="P87">SUM(M32:P32)/SUM(-M36:P36)</f>
        <v>20.323001631321372</v>
      </c>
      <c r="Q87" s="117" cm="1">
        <f t="array" ref="Q87">SUM(N32:Q32)/SUM(-N36:Q36)</f>
        <v>15.026258205689278</v>
      </c>
      <c r="R87" s="117" cm="1">
        <f t="array" ref="R87">SUM(O32:R32)/SUM(-O36:R36)</f>
        <v>14.662765957446808</v>
      </c>
      <c r="S87" s="117" cm="1">
        <f t="array" ref="S87">SUM(P32:S32)/SUM(-P36:S36)</f>
        <v>7.4022878932316489</v>
      </c>
      <c r="T87" s="117" cm="1">
        <f t="array" ref="T87">SUM(Q32:T32)/SUM(-Q36:T36)</f>
        <v>6.4397163120567376</v>
      </c>
      <c r="U87" s="117" cm="1">
        <f t="array" ref="U87">SUM(R32:U32)/SUM(-R36:U36)</f>
        <v>6.2144177449168208</v>
      </c>
      <c r="V87" s="117" cm="1">
        <f t="array" ref="V87">SUM(S32:V32)/SUM(-S36:V36)</f>
        <v>4.593287265547878</v>
      </c>
      <c r="W87" s="117" cm="1">
        <f t="array" ref="W87">SUM(T32:W32)/SUM(-T36:W36)</f>
        <v>19.362989323843415</v>
      </c>
      <c r="Y87" s="44">
        <f>Y32/-Y36</f>
        <v>42.63834422657952</v>
      </c>
      <c r="Z87" s="44">
        <f>Z32/-Z36</f>
        <v>23.903937840396388</v>
      </c>
      <c r="AA87" s="44">
        <f>AA32/-AA36</f>
        <v>28.243683009375726</v>
      </c>
      <c r="AB87" s="44">
        <f>AB32/-AB36</f>
        <v>13.078008886381291</v>
      </c>
      <c r="AC87" s="44">
        <f>AC32/-AC36</f>
        <v>20.391517128874387</v>
      </c>
      <c r="AD87" s="44">
        <f>AD32/-AD36</f>
        <v>15.11706783369803</v>
      </c>
      <c r="AE87" s="117">
        <f>AE32/-AE36</f>
        <v>14.662765957446808</v>
      </c>
      <c r="AF87" s="117">
        <f>AF32/-AF36</f>
        <v>7.4022878932316489</v>
      </c>
      <c r="AG87" s="117">
        <f>AG32/-AG36</f>
        <v>6.4397163120567376</v>
      </c>
      <c r="AH87" s="117">
        <f>AH32/-AH36</f>
        <v>6.2144177449168208</v>
      </c>
      <c r="AI87" s="117">
        <f>AI32/-AI36</f>
        <v>4.593287265547878</v>
      </c>
    </row>
    <row r="88" spans="1:35" ht="12.75" customHeight="1" x14ac:dyDescent="0.2">
      <c r="B88" s="9" t="s">
        <v>99</v>
      </c>
      <c r="C88" s="117" cm="1">
        <f t="array" ref="C88">SUM(C32+C35)/SUM(-C36:C38)</f>
        <v>7.16996699669967</v>
      </c>
      <c r="D88" s="117" cm="1">
        <f t="array" ref="D88">SUM(D32+D35)/SUM(-D36:D38)</f>
        <v>5.5979344729344733</v>
      </c>
      <c r="E88" s="117" cm="1">
        <f t="array" ref="E88">SUM(E32+E35)/SUM(-E36:E38)</f>
        <v>-2.2328622653448638</v>
      </c>
      <c r="F88" s="117" cm="1">
        <f t="array" ref="F88">SUM(F32+F35)/SUM(-F36:F38)</f>
        <v>-4.1100803957946814</v>
      </c>
      <c r="G88" s="117" cm="1">
        <f t="array" ref="G88">SUM(G32+G35)/SUM(-G36:G38)</f>
        <v>-5.5152085293195361</v>
      </c>
      <c r="I88" s="45"/>
      <c r="J88" s="45"/>
      <c r="K88" s="45"/>
      <c r="L88" s="117" cm="1">
        <f t="array" ref="L88">SUM(I32:L32+I35:L35)/SUM(-I36:L38)</f>
        <v>-2.2328622653448638</v>
      </c>
      <c r="M88" s="117" cm="1">
        <f t="array" ref="M88">SUM(J32:M32+J35:M35)/SUM(-J36:M38)</f>
        <v>-3.2171168712045355</v>
      </c>
      <c r="N88" s="117" cm="1">
        <f t="array" ref="N88">SUM(K32:N32+K35:N35)/SUM(-K36:N38)</f>
        <v>-5.2009246003447114</v>
      </c>
      <c r="O88" s="117" cm="1">
        <f t="array" ref="O88">SUM(L32:O32+L35:O35)/SUM(-L36:O38)</f>
        <v>-5.1540845315659816</v>
      </c>
      <c r="P88" s="117" cm="1">
        <f t="array" ref="P88">SUM(M32:P32+M35:P35)/SUM(-M36:P38)</f>
        <v>-4.1100803957946814</v>
      </c>
      <c r="Q88" s="117" cm="1">
        <f t="array" ref="Q88">SUM(N32:Q32+N35:Q35)/SUM(-N36:Q38)</f>
        <v>-2.9508791515489814</v>
      </c>
      <c r="R88" s="117" cm="1">
        <f t="array" ref="R88">SUM(O32:R32+O35:R35)/SUM(-O36:R38)</f>
        <v>-2.8692992213570636</v>
      </c>
      <c r="S88" s="117" cm="1">
        <f t="array" ref="S88">SUM(P32:S32+P35:S35)/SUM(-P36:S38)</f>
        <v>-4.3683670853627277</v>
      </c>
      <c r="T88" s="117" cm="1">
        <f t="array" ref="T88">SUM(Q32:T32+Q35:T35)/SUM(-Q36:T38)</f>
        <v>-5.5152085293195361</v>
      </c>
      <c r="U88" s="117" cm="1">
        <f t="array" ref="U88">SUM(R32:U32+R35:U35)/SUM(-R36:U38)</f>
        <v>-5.1514106583072099</v>
      </c>
      <c r="V88" s="117" cm="1">
        <f t="array" ref="V88">SUM(S32:V32+S35:V35)/SUM(-S36:V38)</f>
        <v>-4.7413843035041996</v>
      </c>
      <c r="W88" s="117" cm="1">
        <f t="array" ref="W88">SUM(T32:W32+T35:W35)/SUM(-T36:W38)</f>
        <v>-2.911038306451613</v>
      </c>
      <c r="Y88" s="44" cm="1">
        <f t="array" ref="Y88">SUM(Y32+Y35)/SUM(-Y36:Y38)</f>
        <v>-1.1122126133727062</v>
      </c>
      <c r="Z88" s="44" cm="1">
        <f t="array" ref="Z88">SUM(Z32+Z35)/SUM(-Z36:Z38)</f>
        <v>-3.2099363009827839</v>
      </c>
      <c r="AA88" s="44" cm="1">
        <f t="array" ref="AA88">SUM(AA32+AA35)/SUM(-AA36:AA38)</f>
        <v>-5.146448542051858</v>
      </c>
      <c r="AB88" s="44" cm="1">
        <f t="array" ref="AB88">SUM(AB32+AB35)/SUM(-AB36:AB38)</f>
        <v>-5.1112479584918278</v>
      </c>
      <c r="AC88" s="44" cm="1">
        <f t="array" ref="AC88">SUM(AC32+AC35)/SUM(-AC36:AC38)</f>
        <v>-4.0970933828076683</v>
      </c>
      <c r="AD88" s="44" cm="1">
        <f t="array" ref="AD88">SUM(AD32+AD35)/SUM(-AD36:AD38)</f>
        <v>-2.9277142059726486</v>
      </c>
      <c r="AE88" s="117" cm="1">
        <f t="array" ref="AE88">SUM(AE32+AE35)/SUM(-AE36:AE38)</f>
        <v>-2.8692992213570636</v>
      </c>
      <c r="AF88" s="117" cm="1">
        <f t="array" ref="AF88">SUM(AF32+AF35)/SUM(-AF36:AF38)</f>
        <v>-4.3683670853627277</v>
      </c>
      <c r="AG88" s="117" cm="1">
        <f t="array" ref="AG88">SUM(AG32+AG35)/SUM(-AG36:AG38)</f>
        <v>-5.5152085293195361</v>
      </c>
      <c r="AH88" s="117" cm="1">
        <f t="array" ref="AH88">SUM(AH32+AH35)/SUM(-AH36:AH38)</f>
        <v>-5.1514106583072099</v>
      </c>
      <c r="AI88" s="117" cm="1">
        <f t="array" ref="AI88">SUM(AI32+AI35)/SUM(-AI36:AI38)</f>
        <v>-4.7413843035041996</v>
      </c>
    </row>
    <row r="89" spans="1:35" ht="12.75" customHeight="1" x14ac:dyDescent="0.2">
      <c r="B89" s="9" t="s">
        <v>100</v>
      </c>
      <c r="C89" s="117" cm="1">
        <f t="array" ref="C89">SUM(C32)/SUM(-C35:C38)</f>
        <v>2.0813233848111516</v>
      </c>
      <c r="D89" s="117" cm="1">
        <f t="array" ref="D89">SUM(D32)/SUM(-D35:D38)</f>
        <v>1.5993686458381691</v>
      </c>
      <c r="E89" s="117" cm="1">
        <f t="array" ref="E89">SUM(E32)/SUM(-E35:E38)</f>
        <v>0.48193341220212943</v>
      </c>
      <c r="F89" s="117" cm="1">
        <f t="array" ref="F89">SUM(F32)/SUM(-F35:F38)</f>
        <v>0.42982335081424233</v>
      </c>
      <c r="G89" s="117" cm="1">
        <f t="array" ref="G89">SUM(G32)/SUM(-G35:G38)</f>
        <v>0.23425349205764198</v>
      </c>
      <c r="I89" s="45"/>
      <c r="J89" s="45"/>
      <c r="K89" s="45"/>
      <c r="L89" s="117" cm="1">
        <f t="array" ref="L89">SUM(I32:L32)/SUM(-I35:L38)</f>
        <v>0.48193341220212954</v>
      </c>
      <c r="M89" s="117" cm="1">
        <f t="array" ref="M89">SUM(J32:M32)/SUM(-J35:M38)</f>
        <v>0.38347386732266658</v>
      </c>
      <c r="N89" s="117" cm="1">
        <f t="array" ref="N89">SUM(K32:N32)/SUM(-K35:N38)</f>
        <v>0.38757874307962514</v>
      </c>
      <c r="O89" s="117" cm="1">
        <f t="array" ref="O89">SUM(L32:O32)/SUM(-L35:O38)</f>
        <v>0.37902557739674192</v>
      </c>
      <c r="P89" s="117" cm="1">
        <f t="array" ref="P89">SUM(M32:P32)/SUM(-M35:P38)</f>
        <v>0.42982335081424233</v>
      </c>
      <c r="Q89" s="117" cm="1">
        <f t="array" ref="Q89">SUM(N32:Q32)/SUM(-N35:Q38)</f>
        <v>0.49243456435998567</v>
      </c>
      <c r="R89" s="117" cm="1">
        <f t="array" ref="R89">SUM(O32:R32)/SUM(-O35:R38)</f>
        <v>0.49763512293750228</v>
      </c>
      <c r="S89" s="117" cm="1">
        <f t="array" ref="S89">SUM(P32:S32)/SUM(-P35:S38)</f>
        <v>0.27049151774828439</v>
      </c>
      <c r="T89" s="117" cm="1">
        <f t="array" ref="T89">SUM(Q32:T32)/SUM(-Q35:T38)</f>
        <v>0.23425349205764198</v>
      </c>
      <c r="U89" s="117" cm="1">
        <f t="array" ref="U89">SUM(R32:U32)/SUM(-R35:U38)</f>
        <v>0.25520932174441113</v>
      </c>
      <c r="V89" s="117" cm="1">
        <f t="array" ref="V89">SUM(S32:V32)/SUM(-S35:V38)</f>
        <v>0.19008905956368985</v>
      </c>
      <c r="W89" s="117" cm="1">
        <f t="array" ref="W89">SUM(T32:W32)/SUM(-T35:W38)</f>
        <v>0.25958969465648857</v>
      </c>
      <c r="Y89" s="44" cm="1">
        <f t="array" ref="Y89">SUM(Y32)/SUM(-Y35:Y38)</f>
        <v>0.66151766097684639</v>
      </c>
      <c r="Z89" s="44" cm="1">
        <f t="array" ref="Z89">SUM(Z32)/SUM(-Z35:Z38)</f>
        <v>0.38452363884298257</v>
      </c>
      <c r="AA89" s="44" cm="1">
        <f t="array" ref="AA89">SUM(AA32)/SUM(-AA35:AA38)</f>
        <v>0.39295895623201893</v>
      </c>
      <c r="AB89" s="44" cm="1">
        <f t="array" ref="AB89">SUM(AB32)/SUM(-AB35:AB38)</f>
        <v>0.38334797760014899</v>
      </c>
      <c r="AC89" s="44" cm="1">
        <f t="array" ref="AC89">SUM(AC32)/SUM(-AC35:AC38)</f>
        <v>0.43127242616616063</v>
      </c>
      <c r="AD89" s="44" cm="1">
        <f t="array" ref="AD89">SUM(AD32)/SUM(-AD35:AD38)</f>
        <v>0.4954105414126927</v>
      </c>
      <c r="AE89" s="117" cm="1">
        <f t="array" ref="AE89">SUM(AE32)/SUM(-AE35:AE38)</f>
        <v>0.49763512293750228</v>
      </c>
      <c r="AF89" s="117" cm="1">
        <f t="array" ref="AF89">SUM(AF32)/SUM(-AF35:AF38)</f>
        <v>0.27049151774828439</v>
      </c>
      <c r="AG89" s="117" cm="1">
        <f t="array" ref="AG89">SUM(AG32)/SUM(-AG35:AG38)</f>
        <v>0.23425349205764198</v>
      </c>
      <c r="AH89" s="117" cm="1">
        <f t="array" ref="AH89">SUM(AH32)/SUM(-AH35:AH38)</f>
        <v>0.25520932174441113</v>
      </c>
      <c r="AI89" s="117" cm="1">
        <f t="array" ref="AI89">SUM(AI32)/SUM(-AI35:AI38)</f>
        <v>0.19008905956368985</v>
      </c>
    </row>
    <row r="90" spans="1:35" ht="12.75" customHeight="1" x14ac:dyDescent="0.2">
      <c r="B90" s="9" t="s">
        <v>101</v>
      </c>
      <c r="C90" s="44">
        <f>C81/C78</f>
        <v>3.2262575203977915</v>
      </c>
      <c r="D90" s="44">
        <f>D81/D78</f>
        <v>3.5036350751948766</v>
      </c>
      <c r="E90" s="44">
        <f t="shared" ref="E90:G90" si="85">E81/E78</f>
        <v>3.4562079379800719</v>
      </c>
      <c r="F90" s="44">
        <f t="shared" si="85"/>
        <v>3.2320667397393739</v>
      </c>
      <c r="G90" s="44">
        <f t="shared" si="85"/>
        <v>3.1001779608486135</v>
      </c>
      <c r="I90" s="45"/>
      <c r="J90" s="45"/>
      <c r="K90" s="45"/>
      <c r="L90" s="44">
        <f t="shared" ref="L90:V90" si="86">L81/L78</f>
        <v>3.4562079379800719</v>
      </c>
      <c r="M90" s="44">
        <f t="shared" si="86"/>
        <v>2.9971555308018218</v>
      </c>
      <c r="N90" s="44">
        <f t="shared" si="86"/>
        <v>3.130061574848102</v>
      </c>
      <c r="O90" s="44">
        <f t="shared" si="86"/>
        <v>3.1621964442807751</v>
      </c>
      <c r="P90" s="44">
        <f t="shared" si="86"/>
        <v>3.2320667397393739</v>
      </c>
      <c r="Q90" s="44">
        <f t="shared" si="86"/>
        <v>3.1116491897044805</v>
      </c>
      <c r="R90" s="44">
        <f t="shared" si="86"/>
        <v>3.2710969469535538</v>
      </c>
      <c r="S90" s="44">
        <f t="shared" si="86"/>
        <v>3.087427342941317</v>
      </c>
      <c r="T90" s="44">
        <f t="shared" si="86"/>
        <v>3.1001779608486135</v>
      </c>
      <c r="U90" s="44">
        <f t="shared" si="86"/>
        <v>3.1218520069390441</v>
      </c>
      <c r="V90" s="44">
        <f t="shared" si="86"/>
        <v>3.0834761707744747</v>
      </c>
      <c r="W90" s="44">
        <f t="shared" ref="W90" si="87">W81/W78</f>
        <v>3.5074646102292011</v>
      </c>
      <c r="Y90" s="44">
        <f t="shared" ref="Y90:AI90" si="88">Y81/Y78</f>
        <v>3.4562079379800719</v>
      </c>
      <c r="Z90" s="44">
        <f t="shared" si="88"/>
        <v>2.9971555308018218</v>
      </c>
      <c r="AA90" s="44">
        <f t="shared" si="88"/>
        <v>3.130061574848102</v>
      </c>
      <c r="AB90" s="44">
        <f t="shared" si="88"/>
        <v>3.1621964442807751</v>
      </c>
      <c r="AC90" s="44">
        <f t="shared" si="88"/>
        <v>3.2320667397393739</v>
      </c>
      <c r="AD90" s="44">
        <f t="shared" si="88"/>
        <v>3.1116491897044805</v>
      </c>
      <c r="AE90" s="117">
        <f t="shared" si="88"/>
        <v>3.2710969469535538</v>
      </c>
      <c r="AF90" s="117">
        <f t="shared" si="88"/>
        <v>3.087427342941317</v>
      </c>
      <c r="AG90" s="117">
        <f t="shared" si="88"/>
        <v>3.1001779608486135</v>
      </c>
      <c r="AH90" s="117">
        <f t="shared" si="88"/>
        <v>3.1218520069390441</v>
      </c>
      <c r="AI90" s="117">
        <f t="shared" si="88"/>
        <v>3.0834761707744747</v>
      </c>
    </row>
    <row r="91" spans="1:35" ht="5.0999999999999996" customHeight="1" thickBot="1" x14ac:dyDescent="0.25">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row>
  </sheetData>
  <mergeCells count="1">
    <mergeCell ref="AK2:AK4"/>
  </mergeCells>
  <pageMargins left="0.7" right="0.7" top="0.75" bottom="0.75" header="0.3" footer="0.3"/>
  <ignoredErrors>
    <ignoredError sqref="C35:AI37 C47:T50 C38:T45 U38:AI45 U46:AK47 AJ38:AK45"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177D2-8829-42BE-A7B1-460B1A987ED3}">
  <sheetPr>
    <tabColor rgb="FFC00000"/>
  </sheetPr>
  <dimension ref="A2:AK41"/>
  <sheetViews>
    <sheetView showGridLines="0" topLeftCell="B1" zoomScale="115" zoomScaleNormal="115" workbookViewId="0">
      <selection activeCell="F15" sqref="F15"/>
    </sheetView>
  </sheetViews>
  <sheetFormatPr defaultRowHeight="12" outlineLevelCol="1" x14ac:dyDescent="0.2"/>
  <cols>
    <col min="1" max="1" width="1.5" style="9" customWidth="1"/>
    <col min="2" max="2" width="46.5" style="9" bestFit="1" customWidth="1"/>
    <col min="3" max="4" width="8.25" style="9" hidden="1" customWidth="1" outlineLevel="1"/>
    <col min="5" max="5" width="8.625" style="9" bestFit="1" customWidth="1" collapsed="1"/>
    <col min="6" max="6" width="8.25" style="9" bestFit="1" customWidth="1"/>
    <col min="7" max="7" width="9" style="9"/>
    <col min="8" max="8" width="1.5" style="9" customWidth="1"/>
    <col min="9" max="11" width="7.875" style="9" hidden="1" customWidth="1" outlineLevel="1"/>
    <col min="12" max="12" width="8.75" style="9" hidden="1" customWidth="1" outlineLevel="1"/>
    <col min="13" max="15" width="8" style="9" hidden="1" customWidth="1" outlineLevel="1"/>
    <col min="16" max="16" width="8.75" style="9" hidden="1" customWidth="1" outlineLevel="1"/>
    <col min="17" max="17" width="8.5" style="9" hidden="1" customWidth="1" outlineLevel="1"/>
    <col min="18" max="18" width="8.25" style="9" bestFit="1" customWidth="1" collapsed="1"/>
    <col min="19" max="19" width="8.5" style="9" bestFit="1" customWidth="1"/>
    <col min="20" max="23" width="9.125" style="9" bestFit="1" customWidth="1"/>
    <col min="24" max="24" width="1.5" style="9" customWidth="1"/>
    <col min="25" max="30" width="8.75" style="9" hidden="1" customWidth="1" outlineLevel="1"/>
    <col min="31" max="31" width="8.75" style="9" bestFit="1" customWidth="1" collapsed="1"/>
    <col min="32" max="34" width="8.75" style="9" hidden="1" customWidth="1" outlineLevel="1"/>
    <col min="35" max="35" width="8.75" style="9" bestFit="1" customWidth="1" collapsed="1"/>
    <col min="36" max="36" width="1.5" style="9" customWidth="1"/>
    <col min="37" max="37" width="9.875" style="9" bestFit="1" customWidth="1"/>
    <col min="38" max="16384" width="9" style="9"/>
  </cols>
  <sheetData>
    <row r="2" spans="1:37" s="5" customFormat="1" ht="12.75" customHeight="1" x14ac:dyDescent="0.2">
      <c r="B2" s="1" t="s">
        <v>174</v>
      </c>
      <c r="C2" s="2" t="s">
        <v>0</v>
      </c>
      <c r="D2" s="2" t="s">
        <v>0</v>
      </c>
      <c r="E2" s="2" t="s">
        <v>0</v>
      </c>
      <c r="F2" s="2"/>
      <c r="G2" s="2"/>
      <c r="H2" s="3"/>
      <c r="I2" s="2" t="s">
        <v>1</v>
      </c>
      <c r="J2" s="2"/>
      <c r="K2" s="2"/>
      <c r="L2" s="2"/>
      <c r="M2" s="2"/>
      <c r="N2" s="2"/>
      <c r="O2" s="2"/>
      <c r="P2" s="2"/>
      <c r="Q2" s="2" t="s">
        <v>1</v>
      </c>
      <c r="R2" s="2" t="s">
        <v>1</v>
      </c>
      <c r="S2" s="2"/>
      <c r="T2" s="2"/>
      <c r="U2" s="2"/>
      <c r="V2" s="2"/>
      <c r="W2" s="2"/>
      <c r="X2" s="3"/>
      <c r="Y2" s="2" t="s">
        <v>10</v>
      </c>
      <c r="Z2" s="2"/>
      <c r="AA2" s="2"/>
      <c r="AB2" s="2"/>
      <c r="AC2" s="2" t="s">
        <v>10</v>
      </c>
      <c r="AD2" s="2"/>
      <c r="AE2" s="2"/>
      <c r="AF2" s="2"/>
      <c r="AG2" s="2"/>
      <c r="AH2" s="2"/>
      <c r="AI2" s="2"/>
      <c r="AJ2" s="3"/>
      <c r="AK2" s="4" t="s">
        <v>55</v>
      </c>
    </row>
    <row r="3" spans="1:37" s="5" customFormat="1" ht="12.75" customHeight="1" x14ac:dyDescent="0.2">
      <c r="B3" s="6" t="s">
        <v>183</v>
      </c>
      <c r="C3" s="7">
        <f>'Base Financials'!C3</f>
        <v>2020</v>
      </c>
      <c r="D3" s="7">
        <f>'Base Financials'!D3</f>
        <v>2021</v>
      </c>
      <c r="E3" s="7">
        <f>'Base Financials'!E3</f>
        <v>2022</v>
      </c>
      <c r="F3" s="7">
        <f>'Base Financials'!F3</f>
        <v>2023</v>
      </c>
      <c r="G3" s="7">
        <f>'Base Financials'!G3</f>
        <v>2024</v>
      </c>
      <c r="H3" s="3"/>
      <c r="I3" s="7" t="str">
        <f>'Base Financials'!I3</f>
        <v>1Q22</v>
      </c>
      <c r="J3" s="7" t="str">
        <f>'Base Financials'!J3</f>
        <v>2Q22</v>
      </c>
      <c r="K3" s="7" t="str">
        <f>'Base Financials'!K3</f>
        <v>3Q22</v>
      </c>
      <c r="L3" s="7" t="str">
        <f>'Base Financials'!L3</f>
        <v>4Q22</v>
      </c>
      <c r="M3" s="7" t="str">
        <f>'Base Financials'!M3</f>
        <v>1Q23</v>
      </c>
      <c r="N3" s="7" t="str">
        <f>'Base Financials'!N3</f>
        <v>2Q23</v>
      </c>
      <c r="O3" s="7" t="str">
        <f>'Base Financials'!O3</f>
        <v>3Q23</v>
      </c>
      <c r="P3" s="7" t="str">
        <f>'Base Financials'!P3</f>
        <v>4Q23</v>
      </c>
      <c r="Q3" s="7" t="str">
        <f>'Base Financials'!Q3</f>
        <v>1Q24</v>
      </c>
      <c r="R3" s="7" t="str">
        <f>'Base Financials'!R3</f>
        <v>2Q24</v>
      </c>
      <c r="S3" s="7" t="str">
        <f>'Base Financials'!S3</f>
        <v>3Q24</v>
      </c>
      <c r="T3" s="7" t="str">
        <f>'Base Financials'!T3</f>
        <v>4Q24</v>
      </c>
      <c r="U3" s="7" t="str">
        <f>'Base Financials'!U3</f>
        <v>1Q25</v>
      </c>
      <c r="V3" s="7" t="str">
        <f>'Base Financials'!V3</f>
        <v>2Q25</v>
      </c>
      <c r="W3" s="7" t="str">
        <f>'Base Financials'!W3</f>
        <v>3Q25</v>
      </c>
      <c r="X3" s="3"/>
      <c r="Y3" s="8" t="str">
        <f t="shared" ref="Y3:AH4" si="0">M3</f>
        <v>1Q23</v>
      </c>
      <c r="Z3" s="8" t="str">
        <f t="shared" si="0"/>
        <v>2Q23</v>
      </c>
      <c r="AA3" s="8" t="str">
        <f t="shared" si="0"/>
        <v>3Q23</v>
      </c>
      <c r="AB3" s="8" t="str">
        <f t="shared" si="0"/>
        <v>4Q23</v>
      </c>
      <c r="AC3" s="8" t="str">
        <f t="shared" si="0"/>
        <v>1Q24</v>
      </c>
      <c r="AD3" s="8" t="str">
        <f t="shared" si="0"/>
        <v>2Q24</v>
      </c>
      <c r="AE3" s="8" t="str">
        <f t="shared" si="0"/>
        <v>3Q24</v>
      </c>
      <c r="AF3" s="8" t="str">
        <f t="shared" si="0"/>
        <v>4Q24</v>
      </c>
      <c r="AG3" s="8" t="str">
        <f t="shared" si="0"/>
        <v>1Q25</v>
      </c>
      <c r="AH3" s="8" t="str">
        <f t="shared" si="0"/>
        <v>2Q25</v>
      </c>
      <c r="AI3" s="8" t="str">
        <f>W3</f>
        <v>3Q25</v>
      </c>
      <c r="AJ3" s="3"/>
      <c r="AK3" s="4"/>
    </row>
    <row r="4" spans="1:37" s="5" customFormat="1" ht="12.75" customHeight="1" x14ac:dyDescent="0.2">
      <c r="B4" s="6" t="s">
        <v>177</v>
      </c>
      <c r="C4" s="3">
        <f>'Base Financials'!C4</f>
        <v>44191</v>
      </c>
      <c r="D4" s="3">
        <f>'Base Financials'!D4</f>
        <v>44555</v>
      </c>
      <c r="E4" s="3">
        <f>'Base Financials'!E4</f>
        <v>44926</v>
      </c>
      <c r="F4" s="3">
        <f>'Base Financials'!F4</f>
        <v>45290</v>
      </c>
      <c r="G4" s="3">
        <f>'Base Financials'!G4</f>
        <v>45654</v>
      </c>
      <c r="H4" s="3"/>
      <c r="I4" s="3">
        <f>'Base Financials'!I4</f>
        <v>44653</v>
      </c>
      <c r="J4" s="3">
        <f>'Base Financials'!J4</f>
        <v>44744</v>
      </c>
      <c r="K4" s="3">
        <f>'Base Financials'!K4</f>
        <v>44835</v>
      </c>
      <c r="L4" s="3">
        <f>'Base Financials'!L4</f>
        <v>44926</v>
      </c>
      <c r="M4" s="3">
        <f>'Base Financials'!M4</f>
        <v>45017</v>
      </c>
      <c r="N4" s="3">
        <f>'Base Financials'!N4</f>
        <v>45108</v>
      </c>
      <c r="O4" s="3">
        <f>'Base Financials'!O4</f>
        <v>45199</v>
      </c>
      <c r="P4" s="3">
        <f>'Base Financials'!P4</f>
        <v>45290</v>
      </c>
      <c r="Q4" s="3">
        <f>'Base Financials'!Q4</f>
        <v>45381</v>
      </c>
      <c r="R4" s="3">
        <f>'Base Financials'!R4</f>
        <v>45472</v>
      </c>
      <c r="S4" s="3">
        <f>'Base Financials'!S4</f>
        <v>45563</v>
      </c>
      <c r="T4" s="3">
        <f>'Base Financials'!T4</f>
        <v>45654</v>
      </c>
      <c r="U4" s="3">
        <f>'Base Financials'!U4</f>
        <v>45745</v>
      </c>
      <c r="V4" s="3">
        <f>'Base Financials'!V4</f>
        <v>45836</v>
      </c>
      <c r="W4" s="3">
        <f>'Base Financials'!W4</f>
        <v>45925</v>
      </c>
      <c r="X4" s="3"/>
      <c r="Y4" s="3">
        <f t="shared" si="0"/>
        <v>45017</v>
      </c>
      <c r="Z4" s="3">
        <f t="shared" si="0"/>
        <v>45108</v>
      </c>
      <c r="AA4" s="3">
        <f t="shared" si="0"/>
        <v>45199</v>
      </c>
      <c r="AB4" s="3">
        <f t="shared" si="0"/>
        <v>45290</v>
      </c>
      <c r="AC4" s="3">
        <f t="shared" si="0"/>
        <v>45381</v>
      </c>
      <c r="AD4" s="3">
        <f t="shared" si="0"/>
        <v>45472</v>
      </c>
      <c r="AE4" s="3">
        <f t="shared" si="0"/>
        <v>45563</v>
      </c>
      <c r="AF4" s="3">
        <f t="shared" si="0"/>
        <v>45654</v>
      </c>
      <c r="AG4" s="3">
        <f t="shared" si="0"/>
        <v>45745</v>
      </c>
      <c r="AH4" s="3">
        <f t="shared" si="0"/>
        <v>45836</v>
      </c>
      <c r="AI4" s="3">
        <f>W4</f>
        <v>45925</v>
      </c>
      <c r="AJ4" s="3"/>
      <c r="AK4" s="4"/>
    </row>
    <row r="5" spans="1:37" ht="5.0999999999999996" customHeight="1" x14ac:dyDescent="0.2">
      <c r="AK5" s="10"/>
    </row>
    <row r="6" spans="1:37" ht="12.75" customHeight="1" x14ac:dyDescent="0.2">
      <c r="A6" s="107" t="s">
        <v>46</v>
      </c>
      <c r="B6" s="104" t="s">
        <v>184</v>
      </c>
      <c r="C6" s="12"/>
      <c r="D6" s="12"/>
      <c r="E6" s="12"/>
      <c r="F6" s="12"/>
      <c r="G6" s="12"/>
      <c r="H6" s="12"/>
      <c r="I6" s="12"/>
      <c r="J6" s="12"/>
      <c r="K6" s="12"/>
      <c r="L6" s="12"/>
      <c r="M6" s="12"/>
      <c r="N6" s="12"/>
      <c r="O6" s="12"/>
      <c r="P6" s="12"/>
      <c r="Q6" s="12"/>
      <c r="R6" s="12"/>
      <c r="S6" s="12"/>
      <c r="T6" s="12"/>
      <c r="U6" s="12"/>
      <c r="V6" s="12"/>
      <c r="W6" s="12"/>
      <c r="X6" s="5"/>
      <c r="Y6" s="13"/>
      <c r="Z6" s="13"/>
      <c r="AA6" s="13"/>
      <c r="AB6" s="13"/>
      <c r="AC6" s="13"/>
      <c r="AD6" s="13"/>
      <c r="AE6" s="13"/>
      <c r="AF6" s="13"/>
      <c r="AG6" s="13"/>
      <c r="AH6" s="13"/>
      <c r="AK6" s="14"/>
    </row>
    <row r="7" spans="1:37" ht="12.75" customHeight="1" x14ac:dyDescent="0.2">
      <c r="B7" s="11" t="s">
        <v>185</v>
      </c>
      <c r="C7" s="113">
        <f>C20</f>
        <v>71080</v>
      </c>
      <c r="D7" s="113">
        <f>D20</f>
        <v>69532</v>
      </c>
      <c r="E7" s="113">
        <f>E20</f>
        <v>57038</v>
      </c>
      <c r="F7" s="113">
        <f>F20</f>
        <v>47667</v>
      </c>
      <c r="G7" s="113">
        <f>G20</f>
        <v>48949</v>
      </c>
      <c r="H7" s="12"/>
      <c r="I7" s="113">
        <f>I20</f>
        <v>17467</v>
      </c>
      <c r="J7" s="113">
        <f t="shared" ref="J7:W7" si="1">J20</f>
        <v>14073</v>
      </c>
      <c r="K7" s="113">
        <f t="shared" si="1"/>
        <v>13881</v>
      </c>
      <c r="L7" s="113">
        <f>SUM(E7-SUM(I7:K7))</f>
        <v>11617</v>
      </c>
      <c r="M7" s="113">
        <f t="shared" si="1"/>
        <v>10157</v>
      </c>
      <c r="N7" s="113">
        <f t="shared" si="1"/>
        <v>11299</v>
      </c>
      <c r="O7" s="113">
        <f t="shared" si="1"/>
        <v>12393</v>
      </c>
      <c r="P7" s="113">
        <f>SUM(F7-SUM(M7:O7))</f>
        <v>13818</v>
      </c>
      <c r="Q7" s="112">
        <v>11933</v>
      </c>
      <c r="R7" s="112">
        <v>11799</v>
      </c>
      <c r="S7" s="112">
        <v>12190</v>
      </c>
      <c r="T7" s="113">
        <f>SUM(G7-SUM(Q7:S7))</f>
        <v>13027</v>
      </c>
      <c r="U7" s="113">
        <f t="shared" si="1"/>
        <v>11755</v>
      </c>
      <c r="V7" s="113">
        <f t="shared" si="1"/>
        <v>11810</v>
      </c>
      <c r="W7" s="113">
        <f t="shared" si="1"/>
        <v>12652</v>
      </c>
      <c r="X7" s="5"/>
      <c r="Y7" s="13">
        <f t="shared" ref="Y7:AH9" si="2">SUM(J7:M7)</f>
        <v>49728</v>
      </c>
      <c r="Z7" s="13">
        <f t="shared" si="2"/>
        <v>46954</v>
      </c>
      <c r="AA7" s="13">
        <f t="shared" si="2"/>
        <v>45466</v>
      </c>
      <c r="AB7" s="13">
        <f t="shared" si="2"/>
        <v>47667</v>
      </c>
      <c r="AC7" s="13">
        <f t="shared" si="2"/>
        <v>49443</v>
      </c>
      <c r="AD7" s="13">
        <f t="shared" si="2"/>
        <v>49943</v>
      </c>
      <c r="AE7" s="13">
        <f t="shared" si="2"/>
        <v>49740</v>
      </c>
      <c r="AF7" s="13">
        <f t="shared" si="2"/>
        <v>48949</v>
      </c>
      <c r="AG7" s="13">
        <f t="shared" si="2"/>
        <v>48771</v>
      </c>
      <c r="AH7" s="13">
        <f t="shared" si="2"/>
        <v>48782</v>
      </c>
      <c r="AI7" s="13">
        <f>SUM(T7:W7)</f>
        <v>49244</v>
      </c>
      <c r="AK7" s="14">
        <f t="shared" ref="AK7:AK10" si="3">SUM(AI7/AE7)-1</f>
        <v>-9.97185363892239E-3</v>
      </c>
    </row>
    <row r="8" spans="1:37" ht="12.75" customHeight="1" x14ac:dyDescent="0.2">
      <c r="B8" s="11" t="s">
        <v>187</v>
      </c>
      <c r="C8" s="113">
        <f t="shared" ref="C8:G8" si="4">C32</f>
        <v>715</v>
      </c>
      <c r="D8" s="113">
        <f t="shared" si="4"/>
        <v>22848.999999999996</v>
      </c>
      <c r="E8" s="113">
        <f t="shared" si="4"/>
        <v>27491.200000000001</v>
      </c>
      <c r="F8" s="113">
        <f t="shared" si="4"/>
        <v>18910</v>
      </c>
      <c r="G8" s="112">
        <v>17543</v>
      </c>
      <c r="H8" s="113"/>
      <c r="I8" s="113">
        <f>I32</f>
        <v>6958.5169945838397</v>
      </c>
      <c r="J8" s="113">
        <f t="shared" ref="J8:W8" si="5">J32</f>
        <v>7324.9181496628717</v>
      </c>
      <c r="K8" s="113">
        <f t="shared" si="5"/>
        <v>6651.1669890571457</v>
      </c>
      <c r="L8" s="113">
        <f t="shared" ref="L8:L9" si="6">SUM(E8-SUM(I8:K8))</f>
        <v>6556.5978666961419</v>
      </c>
      <c r="M8" s="113">
        <f t="shared" si="5"/>
        <v>4831</v>
      </c>
      <c r="N8" s="113">
        <f t="shared" si="5"/>
        <v>4172</v>
      </c>
      <c r="O8" s="113">
        <f t="shared" si="5"/>
        <v>4732</v>
      </c>
      <c r="P8" s="113">
        <f>SUM(F8-SUM(M8:O8))</f>
        <v>5175</v>
      </c>
      <c r="Q8" s="112">
        <v>4369</v>
      </c>
      <c r="R8" s="112">
        <v>4320</v>
      </c>
      <c r="S8" s="112">
        <v>4352</v>
      </c>
      <c r="T8" s="113">
        <f t="shared" ref="T8:T9" si="7">SUM(G8-SUM(Q8:S8))</f>
        <v>4502</v>
      </c>
      <c r="U8" s="113">
        <f t="shared" si="5"/>
        <v>4667</v>
      </c>
      <c r="V8" s="113">
        <f t="shared" si="5"/>
        <v>4417</v>
      </c>
      <c r="W8" s="113">
        <f t="shared" si="5"/>
        <v>4235</v>
      </c>
      <c r="X8" s="5"/>
      <c r="Y8" s="13">
        <f t="shared" si="2"/>
        <v>25363.683005416158</v>
      </c>
      <c r="Z8" s="13">
        <f t="shared" si="2"/>
        <v>22210.764855753288</v>
      </c>
      <c r="AA8" s="13">
        <f t="shared" si="2"/>
        <v>20291.597866696142</v>
      </c>
      <c r="AB8" s="13">
        <f t="shared" si="2"/>
        <v>18910</v>
      </c>
      <c r="AC8" s="13">
        <f t="shared" si="2"/>
        <v>18448</v>
      </c>
      <c r="AD8" s="13">
        <f t="shared" si="2"/>
        <v>18596</v>
      </c>
      <c r="AE8" s="13">
        <f t="shared" si="2"/>
        <v>18216</v>
      </c>
      <c r="AF8" s="13">
        <f t="shared" si="2"/>
        <v>17543</v>
      </c>
      <c r="AG8" s="13">
        <f t="shared" si="2"/>
        <v>17841</v>
      </c>
      <c r="AH8" s="13">
        <f t="shared" si="2"/>
        <v>17938</v>
      </c>
      <c r="AI8" s="13">
        <f t="shared" ref="AI8:AI9" si="8">SUM(T8:W8)</f>
        <v>17821</v>
      </c>
      <c r="AK8" s="14">
        <f t="shared" si="3"/>
        <v>-2.1684233640755335E-2</v>
      </c>
    </row>
    <row r="9" spans="1:37" ht="12.75" customHeight="1" x14ac:dyDescent="0.2">
      <c r="B9" s="11" t="s">
        <v>188</v>
      </c>
      <c r="C9" s="112">
        <f>5091+651+967</f>
        <v>6709</v>
      </c>
      <c r="D9" s="113">
        <f t="shared" ref="D9:W9" si="9">D39</f>
        <v>9137.0000000000073</v>
      </c>
      <c r="E9" s="113">
        <f t="shared" si="9"/>
        <v>5529.7999999999993</v>
      </c>
      <c r="F9" s="113">
        <f t="shared" si="9"/>
        <v>5608</v>
      </c>
      <c r="G9" s="112">
        <v>3824</v>
      </c>
      <c r="H9" s="12"/>
      <c r="I9" s="113">
        <f t="shared" si="9"/>
        <v>1121.0483851534782</v>
      </c>
      <c r="J9" s="113">
        <f t="shared" si="9"/>
        <v>1160.0163130399801</v>
      </c>
      <c r="K9" s="113">
        <f t="shared" si="9"/>
        <v>1499.9821304968398</v>
      </c>
      <c r="L9" s="113">
        <f t="shared" si="6"/>
        <v>1748.7531713097014</v>
      </c>
      <c r="M9" s="113">
        <f t="shared" si="9"/>
        <v>1440</v>
      </c>
      <c r="N9" s="113">
        <f t="shared" si="9"/>
        <v>1419</v>
      </c>
      <c r="O9" s="113">
        <f t="shared" si="9"/>
        <v>1452</v>
      </c>
      <c r="P9" s="113">
        <f>SUM(F9-SUM(M9:O9))</f>
        <v>1297</v>
      </c>
      <c r="Q9" s="112">
        <v>775</v>
      </c>
      <c r="R9" s="112">
        <v>968</v>
      </c>
      <c r="S9" s="112">
        <v>1039</v>
      </c>
      <c r="T9" s="113">
        <f t="shared" si="7"/>
        <v>1042</v>
      </c>
      <c r="U9" s="113">
        <f t="shared" si="9"/>
        <v>943</v>
      </c>
      <c r="V9" s="113">
        <f t="shared" si="9"/>
        <v>1053</v>
      </c>
      <c r="W9" s="113">
        <f t="shared" si="9"/>
        <v>993</v>
      </c>
      <c r="X9" s="5"/>
      <c r="Y9" s="13">
        <f t="shared" si="2"/>
        <v>5848.7516148465211</v>
      </c>
      <c r="Z9" s="13">
        <f t="shared" si="2"/>
        <v>6107.7353018065414</v>
      </c>
      <c r="AA9" s="13">
        <f t="shared" si="2"/>
        <v>6059.7531713097014</v>
      </c>
      <c r="AB9" s="13">
        <f t="shared" si="2"/>
        <v>5608</v>
      </c>
      <c r="AC9" s="13">
        <f t="shared" si="2"/>
        <v>4943</v>
      </c>
      <c r="AD9" s="13">
        <f t="shared" si="2"/>
        <v>4492</v>
      </c>
      <c r="AE9" s="13">
        <f t="shared" si="2"/>
        <v>4079</v>
      </c>
      <c r="AF9" s="13">
        <f t="shared" si="2"/>
        <v>3824</v>
      </c>
      <c r="AG9" s="13">
        <f t="shared" si="2"/>
        <v>3992</v>
      </c>
      <c r="AH9" s="13">
        <f t="shared" si="2"/>
        <v>4077</v>
      </c>
      <c r="AI9" s="13">
        <f t="shared" si="8"/>
        <v>4031</v>
      </c>
      <c r="AK9" s="14">
        <f t="shared" si="3"/>
        <v>-1.176759009561168E-2</v>
      </c>
    </row>
    <row r="10" spans="1:37" ht="12.75" customHeight="1" x14ac:dyDescent="0.2">
      <c r="B10" s="108" t="s">
        <v>189</v>
      </c>
      <c r="C10" s="109">
        <f>SUM(C7:C9)</f>
        <v>78504</v>
      </c>
      <c r="D10" s="109">
        <f t="shared" ref="D10:G10" si="10">SUM(D7:D9)</f>
        <v>101518</v>
      </c>
      <c r="E10" s="109">
        <f t="shared" si="10"/>
        <v>90059</v>
      </c>
      <c r="F10" s="109">
        <f t="shared" si="10"/>
        <v>72185</v>
      </c>
      <c r="G10" s="109">
        <f t="shared" si="10"/>
        <v>70316</v>
      </c>
      <c r="H10" s="110"/>
      <c r="I10" s="109">
        <f t="shared" ref="I10" si="11">SUM(I7:I9)</f>
        <v>25546.565379737316</v>
      </c>
      <c r="J10" s="109">
        <f t="shared" ref="J10" si="12">SUM(J7:J9)</f>
        <v>22557.934462702855</v>
      </c>
      <c r="K10" s="109">
        <f t="shared" ref="K10" si="13">SUM(K7:K9)</f>
        <v>22032.149119553986</v>
      </c>
      <c r="L10" s="109">
        <f t="shared" ref="L10" si="14">SUM(L7:L9)</f>
        <v>19922.351038005843</v>
      </c>
      <c r="M10" s="109">
        <f t="shared" ref="M10" si="15">SUM(M7:M9)</f>
        <v>16428</v>
      </c>
      <c r="N10" s="109">
        <f t="shared" ref="N10" si="16">SUM(N7:N9)</f>
        <v>16890</v>
      </c>
      <c r="O10" s="109">
        <f t="shared" ref="O10" si="17">SUM(O7:O9)</f>
        <v>18577</v>
      </c>
      <c r="P10" s="109">
        <f t="shared" ref="P10" si="18">SUM(P7:P9)</f>
        <v>20290</v>
      </c>
      <c r="Q10" s="109">
        <f t="shared" ref="Q10" si="19">SUM(Q7:Q9)</f>
        <v>17077</v>
      </c>
      <c r="R10" s="109">
        <f t="shared" ref="R10" si="20">SUM(R7:R9)</f>
        <v>17087</v>
      </c>
      <c r="S10" s="109">
        <f t="shared" ref="S10" si="21">SUM(S7:S9)</f>
        <v>17581</v>
      </c>
      <c r="T10" s="109">
        <f t="shared" ref="T10" si="22">SUM(T7:T9)</f>
        <v>18571</v>
      </c>
      <c r="U10" s="109">
        <f t="shared" ref="U10" si="23">SUM(U7:U9)</f>
        <v>17365</v>
      </c>
      <c r="V10" s="109">
        <f t="shared" ref="V10" si="24">SUM(V7:V9)</f>
        <v>17280</v>
      </c>
      <c r="W10" s="109">
        <f t="shared" ref="W10" si="25">SUM(W7:W9)</f>
        <v>17880</v>
      </c>
      <c r="X10" s="111"/>
      <c r="Y10" s="109">
        <f t="shared" ref="Y10" si="26">SUM(Y7:Y9)</f>
        <v>80940.434620262677</v>
      </c>
      <c r="Z10" s="109">
        <f t="shared" ref="Z10" si="27">SUM(Z7:Z9)</f>
        <v>75272.500157559829</v>
      </c>
      <c r="AA10" s="109">
        <f t="shared" ref="AA10" si="28">SUM(AA7:AA9)</f>
        <v>71817.351038005843</v>
      </c>
      <c r="AB10" s="109">
        <f t="shared" ref="AB10" si="29">SUM(AB7:AB9)</f>
        <v>72185</v>
      </c>
      <c r="AC10" s="109">
        <f t="shared" ref="AC10" si="30">SUM(AC7:AC9)</f>
        <v>72834</v>
      </c>
      <c r="AD10" s="109">
        <f t="shared" ref="AD10" si="31">SUM(AD7:AD9)</f>
        <v>73031</v>
      </c>
      <c r="AE10" s="109">
        <f t="shared" ref="AE10" si="32">SUM(AE7:AE9)</f>
        <v>72035</v>
      </c>
      <c r="AF10" s="109">
        <f t="shared" ref="AF10" si="33">SUM(AF7:AF9)</f>
        <v>70316</v>
      </c>
      <c r="AG10" s="109">
        <f t="shared" ref="AG10" si="34">SUM(AG7:AG9)</f>
        <v>70604</v>
      </c>
      <c r="AH10" s="109">
        <f t="shared" ref="AH10" si="35">SUM(AH7:AH9)</f>
        <v>70797</v>
      </c>
      <c r="AI10" s="109">
        <f>SUM(AI7:AI9)</f>
        <v>71096</v>
      </c>
      <c r="AK10" s="17">
        <f t="shared" si="3"/>
        <v>-1.3035330047893368E-2</v>
      </c>
    </row>
    <row r="11" spans="1:37" ht="5.0999999999999996" customHeight="1" x14ac:dyDescent="0.2">
      <c r="B11" s="11"/>
      <c r="C11" s="12"/>
      <c r="D11" s="12"/>
      <c r="E11" s="12"/>
      <c r="F11" s="12"/>
      <c r="G11" s="12"/>
      <c r="H11" s="12"/>
      <c r="I11" s="12"/>
      <c r="J11" s="12"/>
      <c r="K11" s="12"/>
      <c r="L11" s="12"/>
      <c r="M11" s="12"/>
      <c r="N11" s="12"/>
      <c r="O11" s="12"/>
      <c r="P11" s="12"/>
      <c r="Q11" s="12"/>
      <c r="R11" s="12"/>
      <c r="S11" s="12"/>
      <c r="T11" s="12"/>
      <c r="U11" s="12"/>
      <c r="V11" s="12"/>
      <c r="W11" s="12"/>
      <c r="X11" s="5"/>
      <c r="Y11" s="13"/>
      <c r="Z11" s="13"/>
      <c r="AA11" s="13"/>
      <c r="AB11" s="13"/>
      <c r="AC11" s="13"/>
      <c r="AD11" s="13"/>
      <c r="AE11" s="13"/>
      <c r="AF11" s="13"/>
      <c r="AG11" s="13"/>
      <c r="AH11" s="13"/>
      <c r="AI11" s="13"/>
      <c r="AK11" s="14"/>
    </row>
    <row r="12" spans="1:37" ht="12.75" customHeight="1" x14ac:dyDescent="0.2">
      <c r="B12" s="27" t="s">
        <v>192</v>
      </c>
      <c r="C12" s="12">
        <v>-637</v>
      </c>
      <c r="D12" s="113">
        <v>-22493.999999999996</v>
      </c>
      <c r="E12" s="113">
        <v>-27005</v>
      </c>
      <c r="F12" s="113">
        <v>-17957</v>
      </c>
      <c r="G12" s="113">
        <v>-17215</v>
      </c>
      <c r="H12" s="12"/>
      <c r="I12" s="112">
        <v>-6797.5169945838397</v>
      </c>
      <c r="J12" s="112">
        <v>-7263.9181496628717</v>
      </c>
      <c r="K12" s="112">
        <v>-6569.1669890571457</v>
      </c>
      <c r="L12" s="113">
        <f>SUM(E12-SUM(I12:K12))</f>
        <v>-6374.3978666961411</v>
      </c>
      <c r="M12" s="112">
        <v>-4713</v>
      </c>
      <c r="N12" s="112">
        <v>-3941</v>
      </c>
      <c r="O12" s="112">
        <v>-4419</v>
      </c>
      <c r="P12" s="112">
        <v>-4884</v>
      </c>
      <c r="Q12" s="112">
        <v>-4353</v>
      </c>
      <c r="R12" s="112">
        <v>-4254</v>
      </c>
      <c r="S12" s="112">
        <v>-4297</v>
      </c>
      <c r="T12" s="113">
        <f t="shared" ref="T12" si="36">SUM(G12-SUM(Q12:S12))</f>
        <v>-4311</v>
      </c>
      <c r="U12" s="112">
        <v>-4698</v>
      </c>
      <c r="V12" s="112">
        <v>-4421</v>
      </c>
      <c r="W12" s="112">
        <v>-4227</v>
      </c>
      <c r="X12" s="5"/>
      <c r="Y12" s="13">
        <f t="shared" ref="Y12" si="37">SUM(J12:M12)</f>
        <v>-24920.483005416158</v>
      </c>
      <c r="Z12" s="13">
        <f t="shared" ref="Z12" si="38">SUM(K12:N12)</f>
        <v>-21597.564855753288</v>
      </c>
      <c r="AA12" s="13">
        <f t="shared" ref="AA12" si="39">SUM(L12:O12)</f>
        <v>-19447.397866696141</v>
      </c>
      <c r="AB12" s="13">
        <f t="shared" ref="AB12" si="40">SUM(M12:P12)</f>
        <v>-17957</v>
      </c>
      <c r="AC12" s="13">
        <f t="shared" ref="AC12" si="41">SUM(N12:Q12)</f>
        <v>-17597</v>
      </c>
      <c r="AD12" s="13">
        <f t="shared" ref="AD12" si="42">SUM(O12:R12)</f>
        <v>-17910</v>
      </c>
      <c r="AE12" s="13">
        <f t="shared" ref="AE12" si="43">SUM(P12:S12)</f>
        <v>-17788</v>
      </c>
      <c r="AF12" s="13">
        <f t="shared" ref="AF12" si="44">SUM(Q12:T12)</f>
        <v>-17215</v>
      </c>
      <c r="AG12" s="13">
        <f t="shared" ref="AG12" si="45">SUM(R12:U12)</f>
        <v>-17560</v>
      </c>
      <c r="AH12" s="13">
        <f t="shared" ref="AH12" si="46">SUM(S12:V12)</f>
        <v>-17727</v>
      </c>
      <c r="AI12" s="13">
        <f>SUM(T12:W12)</f>
        <v>-17657</v>
      </c>
      <c r="AK12" s="14">
        <f t="shared" ref="AK12:AK13" si="47">SUM(AI12/AE12)-1</f>
        <v>-7.3645154036429128E-3</v>
      </c>
    </row>
    <row r="13" spans="1:37" ht="12.75" customHeight="1" x14ac:dyDescent="0.2">
      <c r="B13" s="15" t="s">
        <v>190</v>
      </c>
      <c r="C13" s="16">
        <f>SUM(C10+C12)</f>
        <v>77867</v>
      </c>
      <c r="D13" s="16">
        <f>SUM(D10+D12)</f>
        <v>79024</v>
      </c>
      <c r="E13" s="16">
        <f t="shared" ref="D13:G13" si="48">SUM(E10+E12)</f>
        <v>63054</v>
      </c>
      <c r="F13" s="16">
        <f t="shared" si="48"/>
        <v>54228</v>
      </c>
      <c r="G13" s="16">
        <f t="shared" si="48"/>
        <v>53101</v>
      </c>
      <c r="H13" s="13"/>
      <c r="I13" s="16">
        <f t="shared" ref="I13" si="49">SUM(I10+I12)</f>
        <v>18749.048385153477</v>
      </c>
      <c r="J13" s="16">
        <f t="shared" ref="J13" si="50">SUM(J10+J12)</f>
        <v>15294.016313039983</v>
      </c>
      <c r="K13" s="16">
        <f t="shared" ref="K13" si="51">SUM(K10+K12)</f>
        <v>15462.982130496839</v>
      </c>
      <c r="L13" s="16">
        <f t="shared" ref="L13" si="52">SUM(L10+L12)</f>
        <v>13547.953171309702</v>
      </c>
      <c r="M13" s="16">
        <f t="shared" ref="M13" si="53">SUM(M10+M12)</f>
        <v>11715</v>
      </c>
      <c r="N13" s="16">
        <f t="shared" ref="N13" si="54">SUM(N10+N12)</f>
        <v>12949</v>
      </c>
      <c r="O13" s="16">
        <f t="shared" ref="O13" si="55">SUM(O10+O12)</f>
        <v>14158</v>
      </c>
      <c r="P13" s="16">
        <f t="shared" ref="P13" si="56">SUM(P10+P12)</f>
        <v>15406</v>
      </c>
      <c r="Q13" s="16">
        <f t="shared" ref="Q13" si="57">SUM(Q10+Q12)</f>
        <v>12724</v>
      </c>
      <c r="R13" s="16">
        <f t="shared" ref="R13" si="58">SUM(R10+R12)</f>
        <v>12833</v>
      </c>
      <c r="S13" s="16">
        <f t="shared" ref="S13" si="59">SUM(S10+S12)</f>
        <v>13284</v>
      </c>
      <c r="T13" s="16">
        <f t="shared" ref="T13" si="60">SUM(T10+T12)</f>
        <v>14260</v>
      </c>
      <c r="U13" s="16">
        <f t="shared" ref="U13" si="61">SUM(U10+U12)</f>
        <v>12667</v>
      </c>
      <c r="V13" s="16">
        <f t="shared" ref="V13" si="62">SUM(V10+V12)</f>
        <v>12859</v>
      </c>
      <c r="W13" s="16">
        <f t="shared" ref="W13" si="63">SUM(W10+W12)</f>
        <v>13653</v>
      </c>
      <c r="X13" s="5"/>
      <c r="Y13" s="16">
        <f t="shared" ref="Y13" si="64">SUM(Y10+Y12)</f>
        <v>56019.951614846519</v>
      </c>
      <c r="Z13" s="16">
        <f t="shared" ref="Z13" si="65">SUM(Z10+Z12)</f>
        <v>53674.935301806545</v>
      </c>
      <c r="AA13" s="16">
        <f t="shared" ref="AA13" si="66">SUM(AA10+AA12)</f>
        <v>52369.953171309702</v>
      </c>
      <c r="AB13" s="16">
        <f t="shared" ref="AB13" si="67">SUM(AB10+AB12)</f>
        <v>54228</v>
      </c>
      <c r="AC13" s="16">
        <f t="shared" ref="AC13" si="68">SUM(AC10+AC12)</f>
        <v>55237</v>
      </c>
      <c r="AD13" s="16">
        <f t="shared" ref="AD13" si="69">SUM(AD10+AD12)</f>
        <v>55121</v>
      </c>
      <c r="AE13" s="16">
        <f t="shared" ref="AE13" si="70">SUM(AE10+AE12)</f>
        <v>54247</v>
      </c>
      <c r="AF13" s="16">
        <f t="shared" ref="AF13" si="71">SUM(AF10+AF12)</f>
        <v>53101</v>
      </c>
      <c r="AG13" s="16">
        <f t="shared" ref="AG13" si="72">SUM(AG10+AG12)</f>
        <v>53044</v>
      </c>
      <c r="AH13" s="16">
        <f t="shared" ref="AH13" si="73">SUM(AH10+AH12)</f>
        <v>53070</v>
      </c>
      <c r="AI13" s="16">
        <f t="shared" ref="AI13" si="74">SUM(AI10+AI12)</f>
        <v>53439</v>
      </c>
      <c r="AK13" s="17">
        <f t="shared" si="47"/>
        <v>-1.4894832893984966E-2</v>
      </c>
    </row>
    <row r="14" spans="1:37" x14ac:dyDescent="0.2">
      <c r="B14" s="105" t="s">
        <v>166</v>
      </c>
      <c r="C14" s="106">
        <f>C13-'Base Financials'!C9</f>
        <v>0</v>
      </c>
      <c r="D14" s="106">
        <f>D13-'Base Financials'!D9</f>
        <v>0</v>
      </c>
      <c r="E14" s="106">
        <f>E13-'Base Financials'!E9</f>
        <v>0</v>
      </c>
      <c r="F14" s="106">
        <f>F13-'Base Financials'!F9</f>
        <v>0</v>
      </c>
      <c r="G14" s="106">
        <f>G13-'Base Financials'!G9</f>
        <v>0</v>
      </c>
      <c r="H14" s="24"/>
      <c r="I14" s="106">
        <f>I13-'Base Financials'!I9</f>
        <v>396.04838515347728</v>
      </c>
      <c r="J14" s="106">
        <f>J13-'Base Financials'!J9</f>
        <v>-26.983686960016712</v>
      </c>
      <c r="K14" s="106">
        <f>K13-'Base Financials'!K9</f>
        <v>124.98213049683909</v>
      </c>
      <c r="L14" s="106">
        <f>L13-'Base Financials'!L9</f>
        <v>-494.04682869029784</v>
      </c>
      <c r="M14" s="106">
        <f>M13-'Base Financials'!M9</f>
        <v>0</v>
      </c>
      <c r="N14" s="106">
        <f>N13-'Base Financials'!N9</f>
        <v>0</v>
      </c>
      <c r="O14" s="106">
        <f>O13-'Base Financials'!O9</f>
        <v>0</v>
      </c>
      <c r="P14" s="106">
        <f>P13-'Base Financials'!P9</f>
        <v>0</v>
      </c>
      <c r="Q14" s="106">
        <f>Q13-'Base Financials'!Q9</f>
        <v>0</v>
      </c>
      <c r="R14" s="106">
        <f>R13-'Base Financials'!R9</f>
        <v>0</v>
      </c>
      <c r="S14" s="106">
        <f>S13-'Base Financials'!S9</f>
        <v>0</v>
      </c>
      <c r="T14" s="106">
        <f>T13-'Base Financials'!T9</f>
        <v>0</v>
      </c>
      <c r="U14" s="106">
        <f>U13-'Base Financials'!U9</f>
        <v>0</v>
      </c>
      <c r="V14" s="106">
        <f>V13-'Base Financials'!V9</f>
        <v>0</v>
      </c>
      <c r="W14" s="106">
        <f>W13-'Base Financials'!W9</f>
        <v>0</v>
      </c>
      <c r="X14" s="24"/>
      <c r="Y14" s="106">
        <f>Y13-'Base Financials'!Y9</f>
        <v>-396.04838515348092</v>
      </c>
      <c r="Z14" s="106">
        <f>Z13-'Base Financials'!Z9</f>
        <v>-369.06469819345511</v>
      </c>
      <c r="AA14" s="106">
        <f>AA13-'Base Financials'!AA9</f>
        <v>-494.04682869029784</v>
      </c>
      <c r="AB14" s="106">
        <f>AB13-'Base Financials'!AB9</f>
        <v>0</v>
      </c>
      <c r="AC14" s="106">
        <f>AC13-'Base Financials'!AC9</f>
        <v>0</v>
      </c>
      <c r="AD14" s="106">
        <f>AD13-'Base Financials'!AD9</f>
        <v>0</v>
      </c>
      <c r="AE14" s="106">
        <f>AE13-'Base Financials'!AE9</f>
        <v>0</v>
      </c>
      <c r="AF14" s="106">
        <f>AF13-'Base Financials'!AF9</f>
        <v>0</v>
      </c>
      <c r="AG14" s="106">
        <f>AG13-'Base Financials'!AG9</f>
        <v>0</v>
      </c>
      <c r="AH14" s="106">
        <f>AH13-'Base Financials'!AH9</f>
        <v>0</v>
      </c>
      <c r="AI14" s="106">
        <f>AI13-'Base Financials'!AI9</f>
        <v>0</v>
      </c>
      <c r="AK14" s="10"/>
    </row>
    <row r="15" spans="1:37" x14ac:dyDescent="0.2">
      <c r="B15" s="22"/>
      <c r="C15" s="23"/>
      <c r="D15" s="23"/>
      <c r="E15" s="23"/>
      <c r="F15" s="23"/>
      <c r="G15" s="23"/>
      <c r="H15" s="24"/>
      <c r="I15" s="25"/>
      <c r="J15" s="25"/>
      <c r="K15" s="25"/>
      <c r="L15" s="26"/>
      <c r="M15" s="25"/>
      <c r="N15" s="25"/>
      <c r="O15" s="25"/>
      <c r="P15" s="26"/>
      <c r="Q15" s="25"/>
      <c r="R15" s="25"/>
      <c r="S15" s="25"/>
      <c r="T15" s="25"/>
      <c r="U15" s="25"/>
      <c r="V15" s="25"/>
      <c r="W15" s="25"/>
      <c r="X15" s="24"/>
      <c r="Y15" s="24"/>
      <c r="Z15" s="24"/>
      <c r="AA15" s="24"/>
      <c r="AB15" s="24"/>
      <c r="AC15" s="24"/>
      <c r="AD15" s="24"/>
      <c r="AE15" s="24"/>
      <c r="AF15" s="24"/>
      <c r="AG15" s="24"/>
      <c r="AH15" s="24"/>
      <c r="AI15" s="24"/>
      <c r="AK15" s="10"/>
    </row>
    <row r="16" spans="1:37" x14ac:dyDescent="0.2">
      <c r="A16" s="107" t="s">
        <v>46</v>
      </c>
      <c r="B16" s="104" t="s">
        <v>191</v>
      </c>
      <c r="C16" s="23"/>
      <c r="D16" s="23"/>
      <c r="E16" s="23"/>
      <c r="F16" s="23"/>
      <c r="G16" s="23"/>
      <c r="H16" s="24"/>
      <c r="I16" s="12"/>
      <c r="J16" s="12"/>
      <c r="K16" s="12"/>
      <c r="L16" s="12"/>
      <c r="M16" s="12"/>
      <c r="N16" s="12"/>
      <c r="O16" s="12"/>
      <c r="P16" s="12"/>
      <c r="Q16" s="12"/>
      <c r="R16" s="12"/>
      <c r="S16" s="12"/>
      <c r="T16" s="12"/>
      <c r="U16" s="12"/>
      <c r="V16" s="12"/>
      <c r="W16" s="12"/>
      <c r="X16" s="24"/>
      <c r="Y16" s="24"/>
      <c r="Z16" s="24"/>
      <c r="AA16" s="24"/>
      <c r="AB16" s="24"/>
      <c r="AC16" s="24"/>
      <c r="AD16" s="24"/>
      <c r="AE16" s="24"/>
      <c r="AF16" s="24"/>
      <c r="AG16" s="24"/>
      <c r="AH16" s="24"/>
      <c r="AI16" s="24"/>
      <c r="AK16" s="10"/>
    </row>
    <row r="17" spans="1:37" x14ac:dyDescent="0.2">
      <c r="B17" s="27" t="s">
        <v>193</v>
      </c>
      <c r="C17" s="112">
        <v>40535</v>
      </c>
      <c r="D17" s="112">
        <v>41081</v>
      </c>
      <c r="E17" s="112">
        <v>31773</v>
      </c>
      <c r="F17" s="112">
        <v>29258</v>
      </c>
      <c r="G17" s="112">
        <v>30290</v>
      </c>
      <c r="H17" s="114"/>
      <c r="I17" s="112">
        <v>9294</v>
      </c>
      <c r="J17" s="112">
        <v>7678</v>
      </c>
      <c r="K17" s="112">
        <v>8129</v>
      </c>
      <c r="L17" s="113">
        <f t="shared" ref="L17:L19" si="75">SUM(E17-SUM(I17:K17))</f>
        <v>6672</v>
      </c>
      <c r="M17" s="112">
        <v>5767</v>
      </c>
      <c r="N17" s="112">
        <v>6780</v>
      </c>
      <c r="O17" s="112">
        <v>7867</v>
      </c>
      <c r="P17" s="113">
        <f t="shared" ref="P17:P19" si="76">SUM(F17-SUM(M17:O17))</f>
        <v>8844</v>
      </c>
      <c r="Q17" s="112">
        <v>8273</v>
      </c>
      <c r="R17" s="112">
        <v>8143</v>
      </c>
      <c r="S17" s="112">
        <v>8161</v>
      </c>
      <c r="T17" s="113">
        <f t="shared" ref="T17:T19" si="77">SUM(G17-SUM(Q17:S17))</f>
        <v>5713</v>
      </c>
      <c r="U17" s="112">
        <v>7629</v>
      </c>
      <c r="V17" s="112">
        <v>7871</v>
      </c>
      <c r="W17" s="112">
        <v>8535</v>
      </c>
      <c r="X17" s="24"/>
      <c r="Y17" s="13">
        <f t="shared" ref="Y17:Y19" si="78">SUM(J17:M17)</f>
        <v>28246</v>
      </c>
      <c r="Z17" s="13">
        <f t="shared" ref="Z17:Z19" si="79">SUM(K17:N17)</f>
        <v>27348</v>
      </c>
      <c r="AA17" s="13">
        <f t="shared" ref="AA17:AA19" si="80">SUM(L17:O17)</f>
        <v>27086</v>
      </c>
      <c r="AB17" s="13">
        <f t="shared" ref="AB17:AB19" si="81">SUM(M17:P17)</f>
        <v>29258</v>
      </c>
      <c r="AC17" s="13">
        <f t="shared" ref="AC17:AC19" si="82">SUM(N17:Q17)</f>
        <v>31764</v>
      </c>
      <c r="AD17" s="13">
        <f t="shared" ref="AD17:AD19" si="83">SUM(O17:R17)</f>
        <v>33127</v>
      </c>
      <c r="AE17" s="13">
        <f t="shared" ref="AE17:AE19" si="84">SUM(P17:S17)</f>
        <v>33421</v>
      </c>
      <c r="AF17" s="13">
        <f t="shared" ref="AF17:AF19" si="85">SUM(Q17:T17)</f>
        <v>30290</v>
      </c>
      <c r="AG17" s="13">
        <f t="shared" ref="AG17:AG19" si="86">SUM(R17:U17)</f>
        <v>29646</v>
      </c>
      <c r="AH17" s="13">
        <f t="shared" ref="AH17:AH19" si="87">SUM(S17:V17)</f>
        <v>29374</v>
      </c>
      <c r="AI17" s="13">
        <f>SUM(T17:W17)</f>
        <v>29748</v>
      </c>
      <c r="AK17" s="14">
        <f t="shared" ref="AK17:AK20" si="88">SUM(AI17/AE17)-1</f>
        <v>-0.10990096047395348</v>
      </c>
    </row>
    <row r="18" spans="1:37" x14ac:dyDescent="0.2">
      <c r="B18" s="27" t="s">
        <v>186</v>
      </c>
      <c r="C18" s="112">
        <v>23413</v>
      </c>
      <c r="D18" s="115">
        <f t="shared" ref="C18:F18" si="89">D26</f>
        <v>20786</v>
      </c>
      <c r="E18" s="115">
        <f t="shared" si="89"/>
        <v>16856.000000000004</v>
      </c>
      <c r="F18" s="115">
        <f t="shared" si="89"/>
        <v>12635</v>
      </c>
      <c r="G18" s="112">
        <v>12817</v>
      </c>
      <c r="H18" s="114"/>
      <c r="I18" s="115">
        <v>6034</v>
      </c>
      <c r="J18" s="113">
        <v>4185</v>
      </c>
      <c r="K18" s="113">
        <v>3619</v>
      </c>
      <c r="L18" s="113">
        <f t="shared" si="75"/>
        <v>3018.0000000000036</v>
      </c>
      <c r="M18" s="113">
        <v>2901</v>
      </c>
      <c r="N18" s="113">
        <v>3155</v>
      </c>
      <c r="O18" s="113">
        <v>3076</v>
      </c>
      <c r="P18" s="113">
        <f t="shared" si="76"/>
        <v>3503</v>
      </c>
      <c r="Q18" s="113">
        <v>3828</v>
      </c>
      <c r="R18" s="113">
        <v>3805</v>
      </c>
      <c r="S18" s="113">
        <v>4141</v>
      </c>
      <c r="T18" s="113">
        <f t="shared" si="77"/>
        <v>1043</v>
      </c>
      <c r="U18" s="113">
        <v>4126</v>
      </c>
      <c r="V18" s="113">
        <v>3939</v>
      </c>
      <c r="W18" s="113">
        <v>4117</v>
      </c>
      <c r="X18" s="24"/>
      <c r="Y18" s="13">
        <f t="shared" si="78"/>
        <v>13723.000000000004</v>
      </c>
      <c r="Z18" s="13">
        <f t="shared" si="79"/>
        <v>12693.000000000004</v>
      </c>
      <c r="AA18" s="13">
        <f t="shared" si="80"/>
        <v>12150.000000000004</v>
      </c>
      <c r="AB18" s="13">
        <f t="shared" si="81"/>
        <v>12635</v>
      </c>
      <c r="AC18" s="13">
        <f t="shared" si="82"/>
        <v>13562</v>
      </c>
      <c r="AD18" s="13">
        <f t="shared" si="83"/>
        <v>14212</v>
      </c>
      <c r="AE18" s="13">
        <f t="shared" si="84"/>
        <v>15277</v>
      </c>
      <c r="AF18" s="13">
        <f t="shared" si="85"/>
        <v>12817</v>
      </c>
      <c r="AG18" s="13">
        <f t="shared" si="86"/>
        <v>13115</v>
      </c>
      <c r="AH18" s="13">
        <f t="shared" si="87"/>
        <v>13249</v>
      </c>
      <c r="AI18" s="13">
        <f>SUM(T18:W18)</f>
        <v>13225</v>
      </c>
      <c r="AK18" s="14">
        <f t="shared" si="88"/>
        <v>-0.13431956535969103</v>
      </c>
    </row>
    <row r="19" spans="1:37" x14ac:dyDescent="0.2">
      <c r="B19" s="27" t="s">
        <v>194</v>
      </c>
      <c r="C19" s="112">
        <v>7132</v>
      </c>
      <c r="D19" s="112">
        <v>7665</v>
      </c>
      <c r="E19" s="112">
        <v>8409</v>
      </c>
      <c r="F19" s="112">
        <v>5774</v>
      </c>
      <c r="G19" s="112">
        <v>5842</v>
      </c>
      <c r="H19" s="114"/>
      <c r="I19" s="112">
        <v>2139</v>
      </c>
      <c r="J19" s="112">
        <v>2210</v>
      </c>
      <c r="K19" s="112">
        <v>2133</v>
      </c>
      <c r="L19" s="113">
        <f t="shared" si="75"/>
        <v>1927</v>
      </c>
      <c r="M19" s="112">
        <v>1489</v>
      </c>
      <c r="N19" s="112">
        <v>1364</v>
      </c>
      <c r="O19" s="112">
        <v>1450</v>
      </c>
      <c r="P19" s="113">
        <f t="shared" si="76"/>
        <v>1471</v>
      </c>
      <c r="Q19" s="112">
        <v>1364</v>
      </c>
      <c r="R19" s="112">
        <v>1344</v>
      </c>
      <c r="S19" s="112">
        <v>1511</v>
      </c>
      <c r="T19" s="113">
        <f t="shared" si="77"/>
        <v>1623</v>
      </c>
      <c r="U19" s="112">
        <v>0</v>
      </c>
      <c r="V19" s="112">
        <v>0</v>
      </c>
      <c r="W19" s="112">
        <v>0</v>
      </c>
      <c r="X19" s="24"/>
      <c r="Y19" s="13">
        <f t="shared" si="78"/>
        <v>7759</v>
      </c>
      <c r="Z19" s="13">
        <f t="shared" si="79"/>
        <v>6913</v>
      </c>
      <c r="AA19" s="13">
        <f t="shared" si="80"/>
        <v>6230</v>
      </c>
      <c r="AB19" s="13">
        <f t="shared" si="81"/>
        <v>5774</v>
      </c>
      <c r="AC19" s="13">
        <f t="shared" si="82"/>
        <v>5649</v>
      </c>
      <c r="AD19" s="13">
        <f t="shared" si="83"/>
        <v>5629</v>
      </c>
      <c r="AE19" s="13">
        <f t="shared" si="84"/>
        <v>5690</v>
      </c>
      <c r="AF19" s="13">
        <f t="shared" si="85"/>
        <v>5842</v>
      </c>
      <c r="AG19" s="13">
        <f t="shared" si="86"/>
        <v>4478</v>
      </c>
      <c r="AH19" s="13">
        <f t="shared" si="87"/>
        <v>3134</v>
      </c>
      <c r="AI19" s="13">
        <f>SUM(T19:W19)</f>
        <v>1623</v>
      </c>
      <c r="AK19" s="14">
        <f t="shared" si="88"/>
        <v>-0.71476274165202103</v>
      </c>
    </row>
    <row r="20" spans="1:37" x14ac:dyDescent="0.2">
      <c r="B20" s="15" t="s">
        <v>195</v>
      </c>
      <c r="C20" s="16">
        <f>SUM(C17:C19)</f>
        <v>71080</v>
      </c>
      <c r="D20" s="16">
        <f t="shared" ref="D20:G20" si="90">SUM(D17:D19)</f>
        <v>69532</v>
      </c>
      <c r="E20" s="16">
        <f t="shared" si="90"/>
        <v>57038</v>
      </c>
      <c r="F20" s="16">
        <f t="shared" si="90"/>
        <v>47667</v>
      </c>
      <c r="G20" s="16">
        <f t="shared" si="90"/>
        <v>48949</v>
      </c>
      <c r="H20" s="13"/>
      <c r="I20" s="16">
        <f t="shared" ref="I20" si="91">SUM(I17:I19)</f>
        <v>17467</v>
      </c>
      <c r="J20" s="16">
        <f t="shared" ref="J20" si="92">SUM(J17:J19)</f>
        <v>14073</v>
      </c>
      <c r="K20" s="16">
        <f t="shared" ref="K20" si="93">SUM(K17:K19)</f>
        <v>13881</v>
      </c>
      <c r="L20" s="16">
        <f t="shared" ref="L20" si="94">SUM(L17:L19)</f>
        <v>11617.000000000004</v>
      </c>
      <c r="M20" s="16">
        <f t="shared" ref="M20" si="95">SUM(M17:M19)</f>
        <v>10157</v>
      </c>
      <c r="N20" s="16">
        <f t="shared" ref="N20" si="96">SUM(N17:N19)</f>
        <v>11299</v>
      </c>
      <c r="O20" s="16">
        <f t="shared" ref="O20" si="97">SUM(O17:O19)</f>
        <v>12393</v>
      </c>
      <c r="P20" s="16">
        <f t="shared" ref="P20" si="98">SUM(P17:P19)</f>
        <v>13818</v>
      </c>
      <c r="Q20" s="16">
        <f t="shared" ref="Q20" si="99">SUM(Q17:Q19)</f>
        <v>13465</v>
      </c>
      <c r="R20" s="16">
        <f t="shared" ref="R20" si="100">SUM(R17:R19)</f>
        <v>13292</v>
      </c>
      <c r="S20" s="16">
        <f t="shared" ref="S20" si="101">SUM(S17:S19)</f>
        <v>13813</v>
      </c>
      <c r="T20" s="16">
        <f t="shared" ref="T20" si="102">SUM(T17:T19)</f>
        <v>8379</v>
      </c>
      <c r="U20" s="16">
        <f t="shared" ref="U20" si="103">SUM(U17:U19)</f>
        <v>11755</v>
      </c>
      <c r="V20" s="16">
        <f t="shared" ref="V20" si="104">SUM(V17:V19)</f>
        <v>11810</v>
      </c>
      <c r="W20" s="16">
        <f t="shared" ref="W20" si="105">SUM(W17:W19)</f>
        <v>12652</v>
      </c>
      <c r="X20" s="5"/>
      <c r="Y20" s="16">
        <f t="shared" ref="Y20" si="106">SUM(Y17:Y19)</f>
        <v>49728</v>
      </c>
      <c r="Z20" s="16">
        <f t="shared" ref="Z20" si="107">SUM(Z17:Z19)</f>
        <v>46954</v>
      </c>
      <c r="AA20" s="16">
        <f t="shared" ref="AA20" si="108">SUM(AA17:AA19)</f>
        <v>45466</v>
      </c>
      <c r="AB20" s="16">
        <f t="shared" ref="AB20" si="109">SUM(AB17:AB19)</f>
        <v>47667</v>
      </c>
      <c r="AC20" s="16">
        <f t="shared" ref="AC20" si="110">SUM(AC17:AC19)</f>
        <v>50975</v>
      </c>
      <c r="AD20" s="16">
        <f t="shared" ref="AD20" si="111">SUM(AD17:AD19)</f>
        <v>52968</v>
      </c>
      <c r="AE20" s="16">
        <f t="shared" ref="AE20" si="112">SUM(AE17:AE19)</f>
        <v>54388</v>
      </c>
      <c r="AF20" s="16">
        <f t="shared" ref="AF20" si="113">SUM(AF17:AF19)</f>
        <v>48949</v>
      </c>
      <c r="AG20" s="16">
        <f t="shared" ref="AG20" si="114">SUM(AG17:AG19)</f>
        <v>47239</v>
      </c>
      <c r="AH20" s="16">
        <f t="shared" ref="AH20" si="115">SUM(AH17:AH19)</f>
        <v>45757</v>
      </c>
      <c r="AI20" s="16">
        <f t="shared" ref="AI20" si="116">SUM(AI17:AI19)</f>
        <v>44596</v>
      </c>
      <c r="AK20" s="17">
        <f t="shared" si="88"/>
        <v>-0.18003971464293589</v>
      </c>
    </row>
    <row r="21" spans="1:37" x14ac:dyDescent="0.2">
      <c r="B21" s="105" t="s">
        <v>166</v>
      </c>
      <c r="C21" s="106">
        <f t="shared" ref="C21:G21" si="117">C7-C20</f>
        <v>0</v>
      </c>
      <c r="D21" s="106">
        <f t="shared" si="117"/>
        <v>0</v>
      </c>
      <c r="E21" s="106">
        <f t="shared" si="117"/>
        <v>0</v>
      </c>
      <c r="F21" s="106">
        <f t="shared" si="117"/>
        <v>0</v>
      </c>
      <c r="G21" s="106">
        <f t="shared" si="117"/>
        <v>0</v>
      </c>
      <c r="H21" s="24"/>
      <c r="I21" s="106">
        <f>I7-I20</f>
        <v>0</v>
      </c>
      <c r="J21" s="106">
        <f t="shared" ref="J21:W21" si="118">J7-J20</f>
        <v>0</v>
      </c>
      <c r="K21" s="106">
        <f t="shared" si="118"/>
        <v>0</v>
      </c>
      <c r="L21" s="106">
        <f t="shared" si="118"/>
        <v>0</v>
      </c>
      <c r="M21" s="106">
        <f t="shared" si="118"/>
        <v>0</v>
      </c>
      <c r="N21" s="106">
        <f t="shared" si="118"/>
        <v>0</v>
      </c>
      <c r="O21" s="106">
        <f t="shared" si="118"/>
        <v>0</v>
      </c>
      <c r="P21" s="106">
        <f t="shared" si="118"/>
        <v>0</v>
      </c>
      <c r="Q21" s="106">
        <f t="shared" si="118"/>
        <v>-1532</v>
      </c>
      <c r="R21" s="106">
        <f t="shared" si="118"/>
        <v>-1493</v>
      </c>
      <c r="S21" s="106">
        <f t="shared" si="118"/>
        <v>-1623</v>
      </c>
      <c r="T21" s="106">
        <f t="shared" si="118"/>
        <v>4648</v>
      </c>
      <c r="U21" s="106">
        <f t="shared" si="118"/>
        <v>0</v>
      </c>
      <c r="V21" s="106">
        <f t="shared" si="118"/>
        <v>0</v>
      </c>
      <c r="W21" s="106">
        <f t="shared" si="118"/>
        <v>0</v>
      </c>
      <c r="X21" s="24"/>
      <c r="Y21" s="106">
        <f t="shared" ref="Y21" si="119">Y7-Y20</f>
        <v>0</v>
      </c>
      <c r="Z21" s="106">
        <f t="shared" ref="Z21" si="120">Z7-Z20</f>
        <v>0</v>
      </c>
      <c r="AA21" s="106">
        <f t="shared" ref="AA21" si="121">AA7-AA20</f>
        <v>0</v>
      </c>
      <c r="AB21" s="106">
        <f t="shared" ref="AB21" si="122">AB7-AB20</f>
        <v>0</v>
      </c>
      <c r="AC21" s="106">
        <f t="shared" ref="AC21" si="123">AC7-AC20</f>
        <v>-1532</v>
      </c>
      <c r="AD21" s="106">
        <f t="shared" ref="AD21" si="124">AD7-AD20</f>
        <v>-3025</v>
      </c>
      <c r="AE21" s="106">
        <f t="shared" ref="AE21" si="125">AE7-AE20</f>
        <v>-4648</v>
      </c>
      <c r="AF21" s="106">
        <f t="shared" ref="AF21" si="126">AF7-AF20</f>
        <v>0</v>
      </c>
      <c r="AG21" s="106">
        <f t="shared" ref="AG21" si="127">AG7-AG20</f>
        <v>1532</v>
      </c>
      <c r="AH21" s="106">
        <f t="shared" ref="AH21" si="128">AH7-AH20</f>
        <v>3025</v>
      </c>
      <c r="AI21" s="106">
        <f t="shared" ref="AI21" si="129">AI7-AI20</f>
        <v>4648</v>
      </c>
      <c r="AK21" s="10"/>
    </row>
    <row r="22" spans="1:37" x14ac:dyDescent="0.2">
      <c r="B22" s="22"/>
      <c r="C22" s="23"/>
      <c r="D22" s="23"/>
      <c r="E22" s="23"/>
      <c r="F22" s="23"/>
      <c r="G22" s="23"/>
      <c r="H22" s="24"/>
      <c r="I22" s="25"/>
      <c r="J22" s="25"/>
      <c r="K22" s="25"/>
      <c r="L22" s="26"/>
      <c r="M22" s="25"/>
      <c r="N22" s="25"/>
      <c r="O22" s="25"/>
      <c r="P22" s="26"/>
      <c r="Q22" s="25"/>
      <c r="R22" s="25"/>
      <c r="S22" s="25"/>
      <c r="T22" s="25"/>
      <c r="U22" s="25"/>
      <c r="V22" s="25"/>
      <c r="W22" s="25"/>
      <c r="X22" s="24"/>
      <c r="Y22" s="24"/>
      <c r="Z22" s="24"/>
      <c r="AA22" s="24"/>
      <c r="AB22" s="24"/>
      <c r="AC22" s="24"/>
      <c r="AD22" s="24"/>
      <c r="AE22" s="24"/>
      <c r="AF22" s="24"/>
      <c r="AG22" s="24"/>
      <c r="AH22" s="24"/>
      <c r="AI22" s="24"/>
      <c r="AK22" s="10"/>
    </row>
    <row r="23" spans="1:37" x14ac:dyDescent="0.2">
      <c r="A23" s="107" t="s">
        <v>46</v>
      </c>
      <c r="B23" s="104" t="s">
        <v>196</v>
      </c>
      <c r="C23" s="23"/>
      <c r="D23" s="23"/>
      <c r="E23" s="23"/>
      <c r="F23" s="23"/>
      <c r="G23" s="23"/>
      <c r="H23" s="24"/>
      <c r="I23" s="12"/>
      <c r="J23" s="12"/>
      <c r="K23" s="12"/>
      <c r="L23" s="12"/>
      <c r="M23" s="12"/>
      <c r="N23" s="12"/>
      <c r="O23" s="12"/>
      <c r="P23" s="12"/>
      <c r="Q23" s="12"/>
      <c r="R23" s="12"/>
      <c r="S23" s="12"/>
      <c r="T23" s="12"/>
      <c r="U23" s="12"/>
      <c r="V23" s="12"/>
      <c r="W23" s="12"/>
      <c r="X23" s="24"/>
      <c r="Y23" s="24"/>
      <c r="Z23" s="24"/>
      <c r="AA23" s="24"/>
      <c r="AB23" s="24"/>
      <c r="AC23" s="24"/>
      <c r="AD23" s="24"/>
      <c r="AE23" s="24"/>
      <c r="AF23" s="24"/>
      <c r="AG23" s="24"/>
      <c r="AH23" s="24"/>
      <c r="AI23" s="24"/>
      <c r="AK23" s="10"/>
    </row>
    <row r="24" spans="1:37" x14ac:dyDescent="0.2">
      <c r="B24" s="27" t="s">
        <v>197</v>
      </c>
      <c r="C24" s="112">
        <v>21735.865465428295</v>
      </c>
      <c r="D24" s="112">
        <v>20756.488515350869</v>
      </c>
      <c r="E24" s="112">
        <v>16817.565633836581</v>
      </c>
      <c r="F24" s="112">
        <v>12353.643461490001</v>
      </c>
      <c r="G24" s="112">
        <v>12777.653388731855</v>
      </c>
      <c r="H24" s="114"/>
      <c r="I24" s="112">
        <v>5522.310989797058</v>
      </c>
      <c r="J24" s="112">
        <v>4177.2576900600006</v>
      </c>
      <c r="K24" s="112">
        <v>3609.1776</v>
      </c>
      <c r="L24" s="113">
        <f t="shared" ref="L24:L25" si="130">SUM(E24-SUM(I24:K24))</f>
        <v>3508.8193539795211</v>
      </c>
      <c r="M24" s="112">
        <v>2748.5314412400003</v>
      </c>
      <c r="N24" s="112">
        <v>3026.1120202500001</v>
      </c>
      <c r="O24" s="112">
        <v>3076.0000000000005</v>
      </c>
      <c r="P24" s="113">
        <f t="shared" ref="P24:P25" si="131">SUM(F24-SUM(M24:O24))</f>
        <v>3503</v>
      </c>
      <c r="Q24" s="112">
        <v>3017.7611980361748</v>
      </c>
      <c r="R24" s="112">
        <v>3095.00835833568</v>
      </c>
      <c r="S24" s="112">
        <v>3307.4415899999995</v>
      </c>
      <c r="T24" s="113">
        <f t="shared" ref="T24:T25" si="132">SUM(G24-SUM(Q24:S24))</f>
        <v>3357.4422423600008</v>
      </c>
      <c r="U24" s="112">
        <v>3018.5814615000004</v>
      </c>
      <c r="V24" s="112">
        <v>2994.02675</v>
      </c>
      <c r="W24" s="112">
        <v>3285.6194725874998</v>
      </c>
      <c r="X24" s="24"/>
      <c r="Y24" s="13">
        <f t="shared" ref="Y24:Y25" si="133">SUM(J24:M24)</f>
        <v>14043.786085279522</v>
      </c>
      <c r="Z24" s="13">
        <f t="shared" ref="Z24:Z25" si="134">SUM(K24:N24)</f>
        <v>12892.640415469521</v>
      </c>
      <c r="AA24" s="13">
        <f t="shared" ref="AA24:AA25" si="135">SUM(L24:O24)</f>
        <v>12359.462815469522</v>
      </c>
      <c r="AB24" s="13">
        <f t="shared" ref="AB24:AB25" si="136">SUM(M24:P24)</f>
        <v>12353.643461490001</v>
      </c>
      <c r="AC24" s="13">
        <f t="shared" ref="AC24:AC25" si="137">SUM(N24:Q24)</f>
        <v>12622.873218286175</v>
      </c>
      <c r="AD24" s="13">
        <f t="shared" ref="AD24:AD25" si="138">SUM(O24:R24)</f>
        <v>12691.769556371855</v>
      </c>
      <c r="AE24" s="13">
        <f t="shared" ref="AE24:AE25" si="139">SUM(P24:S24)</f>
        <v>12923.211146371854</v>
      </c>
      <c r="AF24" s="13">
        <f t="shared" ref="AF24:AF25" si="140">SUM(Q24:T24)</f>
        <v>12777.653388731855</v>
      </c>
      <c r="AG24" s="13">
        <f t="shared" ref="AG24:AG25" si="141">SUM(R24:U24)</f>
        <v>12778.47365219568</v>
      </c>
      <c r="AH24" s="13">
        <f t="shared" ref="AH24:AH25" si="142">SUM(S24:V24)</f>
        <v>12677.492043860002</v>
      </c>
      <c r="AI24" s="13">
        <f>SUM(T24:W24)</f>
        <v>12655.669926447499</v>
      </c>
      <c r="AK24" s="14">
        <f t="shared" ref="AK24:AK26" si="143">SUM(AI24/AE24)-1</f>
        <v>-2.0702379377239066E-2</v>
      </c>
    </row>
    <row r="25" spans="1:37" x14ac:dyDescent="0.2">
      <c r="B25" s="27" t="s">
        <v>198</v>
      </c>
      <c r="C25" s="112" t="s">
        <v>199</v>
      </c>
      <c r="D25" s="112">
        <v>29.511484649131489</v>
      </c>
      <c r="E25" s="112">
        <v>38.434366163421601</v>
      </c>
      <c r="F25" s="112">
        <v>281.35653850999961</v>
      </c>
      <c r="G25" s="112">
        <v>3347.3466112681454</v>
      </c>
      <c r="H25" s="114"/>
      <c r="I25" s="112">
        <v>4.6890102029419722</v>
      </c>
      <c r="J25" s="112">
        <v>7.7423099399993589</v>
      </c>
      <c r="K25" s="112">
        <v>9.822400000000016</v>
      </c>
      <c r="L25" s="113">
        <f t="shared" si="130"/>
        <v>16.180646020480253</v>
      </c>
      <c r="M25" s="112">
        <v>152.46855875999972</v>
      </c>
      <c r="N25" s="112">
        <v>128.88797974999989</v>
      </c>
      <c r="O25" s="112">
        <v>0</v>
      </c>
      <c r="P25" s="113">
        <f t="shared" si="131"/>
        <v>0</v>
      </c>
      <c r="Q25" s="112">
        <v>810.23880196382515</v>
      </c>
      <c r="R25" s="112">
        <v>709.99164166432001</v>
      </c>
      <c r="S25" s="112">
        <v>833.55841000000055</v>
      </c>
      <c r="T25" s="113">
        <f t="shared" si="132"/>
        <v>993.55775763999964</v>
      </c>
      <c r="U25" s="112">
        <v>1107.4185384999996</v>
      </c>
      <c r="V25" s="112">
        <v>944.97325000000001</v>
      </c>
      <c r="W25" s="112">
        <v>831.38052741250021</v>
      </c>
      <c r="X25" s="24"/>
      <c r="Y25" s="13">
        <f t="shared" si="133"/>
        <v>186.21391472047935</v>
      </c>
      <c r="Z25" s="13">
        <f t="shared" si="134"/>
        <v>307.35958453047988</v>
      </c>
      <c r="AA25" s="13">
        <f t="shared" si="135"/>
        <v>297.53718453047986</v>
      </c>
      <c r="AB25" s="13">
        <f t="shared" si="136"/>
        <v>281.35653850999961</v>
      </c>
      <c r="AC25" s="13">
        <f t="shared" si="137"/>
        <v>939.12678171382504</v>
      </c>
      <c r="AD25" s="13">
        <f t="shared" si="138"/>
        <v>1520.2304436281452</v>
      </c>
      <c r="AE25" s="13">
        <f t="shared" si="139"/>
        <v>2353.7888536281457</v>
      </c>
      <c r="AF25" s="13">
        <f t="shared" si="140"/>
        <v>3347.3466112681454</v>
      </c>
      <c r="AG25" s="13">
        <f t="shared" si="141"/>
        <v>3644.5263478043198</v>
      </c>
      <c r="AH25" s="13">
        <f t="shared" si="142"/>
        <v>3879.5079561399998</v>
      </c>
      <c r="AI25" s="13">
        <f>SUM(T25:W25)</f>
        <v>3877.3300735524995</v>
      </c>
      <c r="AK25" s="14">
        <f t="shared" si="143"/>
        <v>0.6472718305110321</v>
      </c>
    </row>
    <row r="26" spans="1:37" x14ac:dyDescent="0.2">
      <c r="B26" s="15" t="s">
        <v>195</v>
      </c>
      <c r="C26" s="16">
        <f>SUM(C24:C25)</f>
        <v>21735.865465428295</v>
      </c>
      <c r="D26" s="16">
        <f>SUM(D24:D25)</f>
        <v>20786</v>
      </c>
      <c r="E26" s="16">
        <f>SUM(E24:E25)</f>
        <v>16856.000000000004</v>
      </c>
      <c r="F26" s="16">
        <f>SUM(F24:F25)</f>
        <v>12635</v>
      </c>
      <c r="G26" s="16">
        <f>SUM(G24:G25)</f>
        <v>16125</v>
      </c>
      <c r="H26" s="13"/>
      <c r="I26" s="16">
        <f>SUM(I24:I25)</f>
        <v>5527</v>
      </c>
      <c r="J26" s="16">
        <f>SUM(J24:J25)</f>
        <v>4185</v>
      </c>
      <c r="K26" s="16">
        <f>SUM(K24:K25)</f>
        <v>3619</v>
      </c>
      <c r="L26" s="16">
        <f>SUM(L24:L25)</f>
        <v>3525.0000000000014</v>
      </c>
      <c r="M26" s="16">
        <f>SUM(M24:M25)</f>
        <v>2901</v>
      </c>
      <c r="N26" s="16">
        <f>SUM(N24:N25)</f>
        <v>3155</v>
      </c>
      <c r="O26" s="16">
        <f>SUM(O24:O25)</f>
        <v>3076.0000000000005</v>
      </c>
      <c r="P26" s="16">
        <f>SUM(P24:P25)</f>
        <v>3503</v>
      </c>
      <c r="Q26" s="16">
        <f>SUM(Q24:Q25)</f>
        <v>3828</v>
      </c>
      <c r="R26" s="16">
        <f>SUM(R24:R25)</f>
        <v>3805</v>
      </c>
      <c r="S26" s="16">
        <f>SUM(S24:S25)</f>
        <v>4141</v>
      </c>
      <c r="T26" s="16">
        <f>SUM(T24:T25)</f>
        <v>4351</v>
      </c>
      <c r="U26" s="16">
        <f>SUM(U24:U25)</f>
        <v>4126</v>
      </c>
      <c r="V26" s="16">
        <f>SUM(V24:V25)</f>
        <v>3939</v>
      </c>
      <c r="W26" s="16">
        <f>SUM(W24:W25)</f>
        <v>4117</v>
      </c>
      <c r="X26" s="5"/>
      <c r="Y26" s="16">
        <f t="shared" ref="Y26:AI26" si="144">SUM(Y24:Y25)</f>
        <v>14230.000000000002</v>
      </c>
      <c r="Z26" s="16">
        <f t="shared" si="144"/>
        <v>13200</v>
      </c>
      <c r="AA26" s="16">
        <f t="shared" si="144"/>
        <v>12657.000000000002</v>
      </c>
      <c r="AB26" s="16">
        <f t="shared" si="144"/>
        <v>12635</v>
      </c>
      <c r="AC26" s="16">
        <f t="shared" si="144"/>
        <v>13562</v>
      </c>
      <c r="AD26" s="16">
        <f t="shared" si="144"/>
        <v>14212</v>
      </c>
      <c r="AE26" s="16">
        <f t="shared" si="144"/>
        <v>15277</v>
      </c>
      <c r="AF26" s="16">
        <f t="shared" si="144"/>
        <v>16125</v>
      </c>
      <c r="AG26" s="16">
        <f t="shared" si="144"/>
        <v>16423</v>
      </c>
      <c r="AH26" s="16">
        <f t="shared" si="144"/>
        <v>16557</v>
      </c>
      <c r="AI26" s="16">
        <f t="shared" si="144"/>
        <v>16533</v>
      </c>
      <c r="AK26" s="17">
        <f t="shared" si="143"/>
        <v>8.2215094586633564E-2</v>
      </c>
    </row>
    <row r="27" spans="1:37" x14ac:dyDescent="0.2">
      <c r="B27" s="105" t="s">
        <v>166</v>
      </c>
      <c r="C27" s="106">
        <f t="shared" ref="C27" si="145">C18-C26</f>
        <v>1677.1345345717054</v>
      </c>
      <c r="D27" s="106">
        <f t="shared" ref="D27" si="146">D18-D26</f>
        <v>0</v>
      </c>
      <c r="E27" s="106">
        <f t="shared" ref="E27" si="147">E18-E26</f>
        <v>0</v>
      </c>
      <c r="F27" s="106">
        <f t="shared" ref="F27" si="148">F18-F26</f>
        <v>0</v>
      </c>
      <c r="G27" s="106">
        <f t="shared" ref="G27" si="149">G18-G26</f>
        <v>-3308</v>
      </c>
      <c r="H27" s="24"/>
      <c r="I27" s="106">
        <f>I18-I26</f>
        <v>507</v>
      </c>
      <c r="J27" s="106">
        <f t="shared" ref="J27:W27" si="150">J18-J26</f>
        <v>0</v>
      </c>
      <c r="K27" s="106">
        <f t="shared" si="150"/>
        <v>0</v>
      </c>
      <c r="L27" s="106">
        <f t="shared" si="150"/>
        <v>-506.99999999999773</v>
      </c>
      <c r="M27" s="106">
        <f t="shared" si="150"/>
        <v>0</v>
      </c>
      <c r="N27" s="106">
        <f t="shared" si="150"/>
        <v>0</v>
      </c>
      <c r="O27" s="106">
        <f t="shared" si="150"/>
        <v>0</v>
      </c>
      <c r="P27" s="106">
        <f t="shared" si="150"/>
        <v>0</v>
      </c>
      <c r="Q27" s="106">
        <f t="shared" si="150"/>
        <v>0</v>
      </c>
      <c r="R27" s="106">
        <f t="shared" si="150"/>
        <v>0</v>
      </c>
      <c r="S27" s="106">
        <f t="shared" si="150"/>
        <v>0</v>
      </c>
      <c r="T27" s="106">
        <f t="shared" si="150"/>
        <v>-3308</v>
      </c>
      <c r="U27" s="106">
        <f t="shared" si="150"/>
        <v>0</v>
      </c>
      <c r="V27" s="106">
        <f t="shared" si="150"/>
        <v>0</v>
      </c>
      <c r="W27" s="106">
        <f t="shared" si="150"/>
        <v>0</v>
      </c>
      <c r="X27" s="24"/>
      <c r="Y27" s="106">
        <f t="shared" ref="Y27" si="151">Y18-Y26</f>
        <v>-506.99999999999818</v>
      </c>
      <c r="Z27" s="106">
        <f t="shared" ref="Z27" si="152">Z18-Z26</f>
        <v>-506.99999999999636</v>
      </c>
      <c r="AA27" s="106">
        <f t="shared" ref="AA27" si="153">AA18-AA26</f>
        <v>-506.99999999999818</v>
      </c>
      <c r="AB27" s="106">
        <f t="shared" ref="AB27" si="154">AB18-AB26</f>
        <v>0</v>
      </c>
      <c r="AC27" s="106">
        <f t="shared" ref="AC27" si="155">AC18-AC26</f>
        <v>0</v>
      </c>
      <c r="AD27" s="106">
        <f t="shared" ref="AD27" si="156">AD18-AD26</f>
        <v>0</v>
      </c>
      <c r="AE27" s="106">
        <f t="shared" ref="AE27" si="157">AE18-AE26</f>
        <v>0</v>
      </c>
      <c r="AF27" s="106">
        <f t="shared" ref="AF27" si="158">AF18-AF26</f>
        <v>-3308</v>
      </c>
      <c r="AG27" s="106">
        <f t="shared" ref="AG27" si="159">AG18-AG26</f>
        <v>-3308</v>
      </c>
      <c r="AH27" s="106">
        <f t="shared" ref="AH27" si="160">AH18-AH26</f>
        <v>-3308</v>
      </c>
      <c r="AI27" s="106">
        <f t="shared" ref="AI27" si="161">AI18-AI26</f>
        <v>-3308</v>
      </c>
      <c r="AK27" s="10"/>
    </row>
    <row r="28" spans="1:37" x14ac:dyDescent="0.2">
      <c r="B28" s="22"/>
      <c r="C28" s="23"/>
      <c r="D28" s="23"/>
      <c r="E28" s="23"/>
      <c r="F28" s="23"/>
      <c r="G28" s="23"/>
      <c r="H28" s="24"/>
      <c r="I28" s="25"/>
      <c r="J28" s="25"/>
      <c r="K28" s="25"/>
      <c r="L28" s="26"/>
      <c r="M28" s="25"/>
      <c r="N28" s="25"/>
      <c r="O28" s="25"/>
      <c r="P28" s="26"/>
      <c r="Q28" s="25"/>
      <c r="R28" s="25"/>
      <c r="S28" s="25"/>
      <c r="T28" s="25"/>
      <c r="U28" s="25"/>
      <c r="V28" s="25"/>
      <c r="W28" s="25"/>
      <c r="X28" s="24"/>
      <c r="Y28" s="24"/>
      <c r="Z28" s="24"/>
      <c r="AA28" s="24"/>
      <c r="AB28" s="24"/>
      <c r="AC28" s="24"/>
      <c r="AD28" s="24"/>
      <c r="AE28" s="24"/>
      <c r="AF28" s="24"/>
      <c r="AG28" s="24"/>
      <c r="AH28" s="24"/>
      <c r="AI28" s="24"/>
      <c r="AK28" s="10"/>
    </row>
    <row r="29" spans="1:37" x14ac:dyDescent="0.2">
      <c r="A29" s="107" t="s">
        <v>46</v>
      </c>
      <c r="B29" s="104" t="s">
        <v>200</v>
      </c>
      <c r="C29" s="23"/>
      <c r="D29" s="23"/>
      <c r="E29" s="23"/>
      <c r="F29" s="23"/>
      <c r="G29" s="23"/>
      <c r="H29" s="24"/>
      <c r="I29" s="12"/>
      <c r="J29" s="12"/>
      <c r="K29" s="12"/>
      <c r="L29" s="12"/>
      <c r="M29" s="12"/>
      <c r="N29" s="12"/>
      <c r="O29" s="12"/>
      <c r="P29" s="12"/>
      <c r="Q29" s="12"/>
      <c r="R29" s="12"/>
      <c r="S29" s="12"/>
      <c r="T29" s="12"/>
      <c r="U29" s="12"/>
      <c r="V29" s="12"/>
      <c r="W29" s="12"/>
      <c r="X29" s="24"/>
      <c r="Y29" s="24"/>
      <c r="Z29" s="24"/>
      <c r="AA29" s="24"/>
      <c r="AB29" s="24"/>
      <c r="AC29" s="24"/>
      <c r="AD29" s="24"/>
      <c r="AE29" s="24"/>
      <c r="AF29" s="24"/>
      <c r="AG29" s="24"/>
      <c r="AH29" s="24"/>
      <c r="AI29" s="24"/>
      <c r="AK29" s="10"/>
    </row>
    <row r="30" spans="1:37" x14ac:dyDescent="0.2">
      <c r="B30" s="27" t="s">
        <v>201</v>
      </c>
      <c r="C30" s="112">
        <v>0</v>
      </c>
      <c r="D30" s="112">
        <v>22493.999999999996</v>
      </c>
      <c r="E30" s="112">
        <v>27005</v>
      </c>
      <c r="F30" s="112">
        <v>17957</v>
      </c>
      <c r="G30" s="112">
        <v>17288</v>
      </c>
      <c r="H30" s="114"/>
      <c r="I30" s="112">
        <v>6797.5169945838397</v>
      </c>
      <c r="J30" s="112">
        <v>7263.9181496628717</v>
      </c>
      <c r="K30" s="112">
        <v>6569.1669890571457</v>
      </c>
      <c r="L30" s="113">
        <f t="shared" ref="L30:L31" si="162">SUM(E30-SUM(I30:K30))</f>
        <v>6374.3978666961411</v>
      </c>
      <c r="M30" s="112">
        <v>4713</v>
      </c>
      <c r="N30" s="112">
        <v>3941</v>
      </c>
      <c r="O30" s="112">
        <v>4419</v>
      </c>
      <c r="P30" s="113">
        <f t="shared" ref="P30:P31" si="163">SUM(F30-SUM(M30:O30))</f>
        <v>4884</v>
      </c>
      <c r="Q30" s="112">
        <v>4376</v>
      </c>
      <c r="R30" s="112">
        <v>4278</v>
      </c>
      <c r="S30" s="112">
        <v>4321</v>
      </c>
      <c r="T30" s="113">
        <f t="shared" ref="T30:T31" si="164">SUM(G30-SUM(Q30:S30))</f>
        <v>4313</v>
      </c>
      <c r="U30" s="112">
        <v>4698</v>
      </c>
      <c r="V30" s="112">
        <v>4421</v>
      </c>
      <c r="W30" s="112">
        <v>4227</v>
      </c>
      <c r="X30" s="24"/>
      <c r="Y30" s="13">
        <f t="shared" ref="Y30:Y31" si="165">SUM(J30:M30)</f>
        <v>24920.483005416158</v>
      </c>
      <c r="Z30" s="13">
        <f t="shared" ref="Z30:Z31" si="166">SUM(K30:N30)</f>
        <v>21597.564855753288</v>
      </c>
      <c r="AA30" s="13">
        <f t="shared" ref="AA30:AA31" si="167">SUM(L30:O30)</f>
        <v>19447.397866696141</v>
      </c>
      <c r="AB30" s="13">
        <f t="shared" ref="AB30:AB31" si="168">SUM(M30:P30)</f>
        <v>17957</v>
      </c>
      <c r="AC30" s="13">
        <f t="shared" ref="AC30:AC31" si="169">SUM(N30:Q30)</f>
        <v>17620</v>
      </c>
      <c r="AD30" s="13">
        <f t="shared" ref="AD30:AD31" si="170">SUM(O30:R30)</f>
        <v>17957</v>
      </c>
      <c r="AE30" s="13">
        <f t="shared" ref="AE30:AE31" si="171">SUM(P30:S30)</f>
        <v>17859</v>
      </c>
      <c r="AF30" s="13">
        <f t="shared" ref="AF30:AF31" si="172">SUM(Q30:T30)</f>
        <v>17288</v>
      </c>
      <c r="AG30" s="13">
        <f t="shared" ref="AG30:AG31" si="173">SUM(R30:U30)</f>
        <v>17610</v>
      </c>
      <c r="AH30" s="13">
        <f t="shared" ref="AH30:AH31" si="174">SUM(S30:V30)</f>
        <v>17753</v>
      </c>
      <c r="AI30" s="13">
        <f>SUM(T30:W30)</f>
        <v>17659</v>
      </c>
      <c r="AK30" s="14">
        <f t="shared" ref="AK30:AK32" si="175">SUM(AI30/AE30)-1</f>
        <v>-1.1198835321126643E-2</v>
      </c>
    </row>
    <row r="31" spans="1:37" x14ac:dyDescent="0.2">
      <c r="B31" s="27" t="s">
        <v>202</v>
      </c>
      <c r="C31" s="112">
        <v>715</v>
      </c>
      <c r="D31" s="112">
        <v>355</v>
      </c>
      <c r="E31" s="112">
        <v>486.2</v>
      </c>
      <c r="F31" s="112">
        <v>953</v>
      </c>
      <c r="G31" s="112">
        <v>29</v>
      </c>
      <c r="H31" s="114"/>
      <c r="I31" s="112">
        <v>161</v>
      </c>
      <c r="J31" s="112">
        <v>61</v>
      </c>
      <c r="K31" s="112">
        <v>82</v>
      </c>
      <c r="L31" s="113">
        <f t="shared" si="162"/>
        <v>182.2</v>
      </c>
      <c r="M31" s="112">
        <v>118</v>
      </c>
      <c r="N31" s="112">
        <v>231</v>
      </c>
      <c r="O31" s="112">
        <v>313</v>
      </c>
      <c r="P31" s="113">
        <f t="shared" si="163"/>
        <v>291</v>
      </c>
      <c r="Q31" s="112">
        <v>-20</v>
      </c>
      <c r="R31" s="112">
        <v>4</v>
      </c>
      <c r="S31" s="112">
        <v>18</v>
      </c>
      <c r="T31" s="113">
        <f t="shared" si="164"/>
        <v>27</v>
      </c>
      <c r="U31" s="112">
        <v>-31</v>
      </c>
      <c r="V31" s="112">
        <v>-4</v>
      </c>
      <c r="W31" s="112">
        <v>8</v>
      </c>
      <c r="X31" s="24"/>
      <c r="Y31" s="13">
        <f t="shared" si="165"/>
        <v>443.2</v>
      </c>
      <c r="Z31" s="13">
        <f t="shared" si="166"/>
        <v>613.20000000000005</v>
      </c>
      <c r="AA31" s="13">
        <f t="shared" si="167"/>
        <v>844.2</v>
      </c>
      <c r="AB31" s="13">
        <f t="shared" si="168"/>
        <v>953</v>
      </c>
      <c r="AC31" s="13">
        <f t="shared" si="169"/>
        <v>815</v>
      </c>
      <c r="AD31" s="13">
        <f t="shared" si="170"/>
        <v>588</v>
      </c>
      <c r="AE31" s="13">
        <f t="shared" si="171"/>
        <v>293</v>
      </c>
      <c r="AF31" s="13">
        <f t="shared" si="172"/>
        <v>29</v>
      </c>
      <c r="AG31" s="13">
        <f t="shared" si="173"/>
        <v>18</v>
      </c>
      <c r="AH31" s="13">
        <f t="shared" si="174"/>
        <v>10</v>
      </c>
      <c r="AI31" s="13">
        <f>SUM(T31:W31)</f>
        <v>0</v>
      </c>
      <c r="AK31" s="14">
        <f t="shared" si="175"/>
        <v>-1</v>
      </c>
    </row>
    <row r="32" spans="1:37" x14ac:dyDescent="0.2">
      <c r="B32" s="15" t="s">
        <v>195</v>
      </c>
      <c r="C32" s="16">
        <f>SUM(C30:C31)</f>
        <v>715</v>
      </c>
      <c r="D32" s="16">
        <f>SUM(D30:D31)</f>
        <v>22848.999999999996</v>
      </c>
      <c r="E32" s="16">
        <f>SUM(E30:E31)</f>
        <v>27491.200000000001</v>
      </c>
      <c r="F32" s="16">
        <f>SUM(F30:F31)</f>
        <v>18910</v>
      </c>
      <c r="G32" s="16">
        <f>SUM(G30:G31)</f>
        <v>17317</v>
      </c>
      <c r="H32" s="13"/>
      <c r="I32" s="16">
        <f>SUM(I30:I31)</f>
        <v>6958.5169945838397</v>
      </c>
      <c r="J32" s="16">
        <f>SUM(J30:J31)</f>
        <v>7324.9181496628717</v>
      </c>
      <c r="K32" s="16">
        <f>SUM(K30:K31)</f>
        <v>6651.1669890571457</v>
      </c>
      <c r="L32" s="16">
        <f>SUM(L30:L31)</f>
        <v>6556.597866696141</v>
      </c>
      <c r="M32" s="16">
        <f>SUM(M30:M31)</f>
        <v>4831</v>
      </c>
      <c r="N32" s="16">
        <f>SUM(N30:N31)</f>
        <v>4172</v>
      </c>
      <c r="O32" s="16">
        <f>SUM(O30:O31)</f>
        <v>4732</v>
      </c>
      <c r="P32" s="16">
        <f>SUM(P30:P31)</f>
        <v>5175</v>
      </c>
      <c r="Q32" s="16">
        <f>SUM(Q30:Q31)</f>
        <v>4356</v>
      </c>
      <c r="R32" s="16">
        <f>SUM(R30:R31)</f>
        <v>4282</v>
      </c>
      <c r="S32" s="16">
        <f>SUM(S30:S31)</f>
        <v>4339</v>
      </c>
      <c r="T32" s="16">
        <f>SUM(T30:T31)</f>
        <v>4340</v>
      </c>
      <c r="U32" s="16">
        <f>SUM(U30:U31)</f>
        <v>4667</v>
      </c>
      <c r="V32" s="16">
        <f>SUM(V30:V31)</f>
        <v>4417</v>
      </c>
      <c r="W32" s="16">
        <f>SUM(W30:W31)</f>
        <v>4235</v>
      </c>
      <c r="X32" s="5"/>
      <c r="Y32" s="16">
        <f t="shared" ref="Y32:AI32" si="176">SUM(Y30:Y31)</f>
        <v>25363.683005416158</v>
      </c>
      <c r="Z32" s="16">
        <f t="shared" si="176"/>
        <v>22210.764855753288</v>
      </c>
      <c r="AA32" s="16">
        <f t="shared" si="176"/>
        <v>20291.597866696142</v>
      </c>
      <c r="AB32" s="16">
        <f t="shared" si="176"/>
        <v>18910</v>
      </c>
      <c r="AC32" s="16">
        <f t="shared" si="176"/>
        <v>18435</v>
      </c>
      <c r="AD32" s="16">
        <f t="shared" si="176"/>
        <v>18545</v>
      </c>
      <c r="AE32" s="16">
        <f t="shared" si="176"/>
        <v>18152</v>
      </c>
      <c r="AF32" s="16">
        <f t="shared" si="176"/>
        <v>17317</v>
      </c>
      <c r="AG32" s="16">
        <f t="shared" si="176"/>
        <v>17628</v>
      </c>
      <c r="AH32" s="16">
        <f t="shared" si="176"/>
        <v>17763</v>
      </c>
      <c r="AI32" s="16">
        <f t="shared" si="176"/>
        <v>17659</v>
      </c>
      <c r="AK32" s="17">
        <f t="shared" si="175"/>
        <v>-2.7159541648303254E-2</v>
      </c>
    </row>
    <row r="33" spans="1:37" x14ac:dyDescent="0.2">
      <c r="B33" s="105" t="s">
        <v>166</v>
      </c>
      <c r="C33" s="106">
        <f t="shared" ref="C33:G33" si="177">C8-C32</f>
        <v>0</v>
      </c>
      <c r="D33" s="106">
        <f t="shared" si="177"/>
        <v>0</v>
      </c>
      <c r="E33" s="106">
        <f t="shared" si="177"/>
        <v>0</v>
      </c>
      <c r="F33" s="106">
        <f t="shared" si="177"/>
        <v>0</v>
      </c>
      <c r="G33" s="106">
        <f t="shared" si="177"/>
        <v>226</v>
      </c>
      <c r="H33" s="24"/>
      <c r="I33" s="106">
        <f>I8-I32</f>
        <v>0</v>
      </c>
      <c r="J33" s="106">
        <f t="shared" ref="J33:W33" si="178">J8-J32</f>
        <v>0</v>
      </c>
      <c r="K33" s="106">
        <f t="shared" si="178"/>
        <v>0</v>
      </c>
      <c r="L33" s="106">
        <f t="shared" si="178"/>
        <v>0</v>
      </c>
      <c r="M33" s="106">
        <f t="shared" si="178"/>
        <v>0</v>
      </c>
      <c r="N33" s="106">
        <f t="shared" si="178"/>
        <v>0</v>
      </c>
      <c r="O33" s="106">
        <f t="shared" si="178"/>
        <v>0</v>
      </c>
      <c r="P33" s="106">
        <f t="shared" si="178"/>
        <v>0</v>
      </c>
      <c r="Q33" s="106">
        <f t="shared" si="178"/>
        <v>13</v>
      </c>
      <c r="R33" s="106">
        <f t="shared" si="178"/>
        <v>38</v>
      </c>
      <c r="S33" s="106">
        <f t="shared" si="178"/>
        <v>13</v>
      </c>
      <c r="T33" s="106">
        <f t="shared" si="178"/>
        <v>162</v>
      </c>
      <c r="U33" s="106">
        <f t="shared" si="178"/>
        <v>0</v>
      </c>
      <c r="V33" s="106">
        <f t="shared" si="178"/>
        <v>0</v>
      </c>
      <c r="W33" s="106">
        <f t="shared" si="178"/>
        <v>0</v>
      </c>
      <c r="X33" s="24"/>
      <c r="Y33" s="106">
        <f t="shared" ref="Y33" si="179">Y8-Y32</f>
        <v>0</v>
      </c>
      <c r="Z33" s="106">
        <f t="shared" ref="Z33" si="180">Z8-Z32</f>
        <v>0</v>
      </c>
      <c r="AA33" s="106">
        <f t="shared" ref="AA33" si="181">AA8-AA32</f>
        <v>0</v>
      </c>
      <c r="AB33" s="106">
        <f t="shared" ref="AB33" si="182">AB8-AB32</f>
        <v>0</v>
      </c>
      <c r="AC33" s="106">
        <f t="shared" ref="AC33" si="183">AC8-AC32</f>
        <v>13</v>
      </c>
      <c r="AD33" s="106">
        <f t="shared" ref="AD33" si="184">AD8-AD32</f>
        <v>51</v>
      </c>
      <c r="AE33" s="106">
        <f t="shared" ref="AE33" si="185">AE8-AE32</f>
        <v>64</v>
      </c>
      <c r="AF33" s="106">
        <f t="shared" ref="AF33" si="186">AF8-AF32</f>
        <v>226</v>
      </c>
      <c r="AG33" s="106">
        <f t="shared" ref="AG33" si="187">AG8-AG32</f>
        <v>213</v>
      </c>
      <c r="AH33" s="106">
        <f t="shared" ref="AH33" si="188">AH8-AH32</f>
        <v>175</v>
      </c>
      <c r="AI33" s="106">
        <f t="shared" ref="AI33" si="189">AI8-AI32</f>
        <v>162</v>
      </c>
      <c r="AK33" s="10"/>
    </row>
    <row r="34" spans="1:37" x14ac:dyDescent="0.2">
      <c r="B34" s="27"/>
      <c r="C34" s="12"/>
      <c r="D34" s="12"/>
      <c r="E34" s="12"/>
      <c r="F34" s="12"/>
      <c r="G34" s="12"/>
      <c r="H34" s="12"/>
      <c r="I34" s="12"/>
      <c r="J34" s="12"/>
      <c r="K34" s="12"/>
      <c r="L34" s="12"/>
      <c r="M34" s="12"/>
      <c r="N34" s="12"/>
      <c r="O34" s="12"/>
      <c r="P34" s="12"/>
      <c r="Q34" s="12"/>
      <c r="R34" s="12"/>
      <c r="S34" s="12"/>
      <c r="T34" s="12"/>
      <c r="U34" s="12"/>
      <c r="V34" s="12"/>
      <c r="W34" s="12"/>
      <c r="X34" s="5"/>
      <c r="Y34" s="13"/>
      <c r="Z34" s="13"/>
      <c r="AA34" s="13"/>
      <c r="AB34" s="13"/>
      <c r="AC34" s="13"/>
      <c r="AD34" s="13"/>
      <c r="AE34" s="13"/>
      <c r="AF34" s="13"/>
      <c r="AG34" s="13"/>
      <c r="AH34" s="13"/>
      <c r="AI34" s="13"/>
      <c r="AK34" s="14"/>
    </row>
    <row r="35" spans="1:37" x14ac:dyDescent="0.2">
      <c r="A35" s="107" t="s">
        <v>46</v>
      </c>
      <c r="B35" s="104" t="s">
        <v>230</v>
      </c>
      <c r="C35" s="23"/>
      <c r="D35" s="23"/>
      <c r="E35" s="23"/>
      <c r="F35" s="23"/>
      <c r="G35" s="23"/>
      <c r="H35" s="24"/>
      <c r="I35" s="12"/>
      <c r="J35" s="12"/>
      <c r="K35" s="12"/>
      <c r="L35" s="12"/>
      <c r="M35" s="12"/>
      <c r="N35" s="12"/>
      <c r="O35" s="12"/>
      <c r="P35" s="12"/>
      <c r="Q35" s="12"/>
      <c r="R35" s="12"/>
      <c r="S35" s="12"/>
      <c r="T35" s="12"/>
      <c r="U35" s="12"/>
      <c r="V35" s="12"/>
      <c r="W35" s="12"/>
      <c r="X35" s="24"/>
      <c r="Y35" s="24"/>
      <c r="Z35" s="24"/>
      <c r="AA35" s="24"/>
      <c r="AB35" s="24"/>
      <c r="AC35" s="24"/>
      <c r="AD35" s="24"/>
      <c r="AE35" s="24"/>
      <c r="AF35" s="24"/>
      <c r="AG35" s="24"/>
      <c r="AH35" s="24"/>
      <c r="AI35" s="24"/>
      <c r="AK35" s="10"/>
    </row>
    <row r="36" spans="1:37" x14ac:dyDescent="0.2">
      <c r="B36" s="27" t="s">
        <v>203</v>
      </c>
      <c r="C36" s="112">
        <v>1853</v>
      </c>
      <c r="D36" s="112">
        <v>1972</v>
      </c>
      <c r="E36" s="112">
        <v>2565.2999999999997</v>
      </c>
      <c r="F36" s="112">
        <v>2879</v>
      </c>
      <c r="G36" s="112">
        <v>1544</v>
      </c>
      <c r="H36" s="114"/>
      <c r="I36" s="112">
        <v>457.448385153478</v>
      </c>
      <c r="J36" s="112">
        <v>478.11631303998007</v>
      </c>
      <c r="K36" s="112">
        <v>754.68213049683982</v>
      </c>
      <c r="L36" s="113">
        <f t="shared" ref="L36:L38" si="190">SUM(E36-SUM(I36:K36))</f>
        <v>875.05317130970184</v>
      </c>
      <c r="M36" s="112">
        <v>816</v>
      </c>
      <c r="N36" s="112">
        <v>848</v>
      </c>
      <c r="O36" s="112">
        <v>735</v>
      </c>
      <c r="P36" s="113">
        <f t="shared" ref="P36:P38" si="191">SUM(F36-SUM(M36:O36))</f>
        <v>480</v>
      </c>
      <c r="Q36" s="112">
        <v>342</v>
      </c>
      <c r="R36" s="112">
        <v>361</v>
      </c>
      <c r="S36" s="112">
        <v>412</v>
      </c>
      <c r="T36" s="113">
        <f t="shared" ref="T36:T38" si="192">SUM(G36-SUM(Q36:S36))</f>
        <v>429</v>
      </c>
      <c r="U36" s="112">
        <v>394.68</v>
      </c>
      <c r="V36" s="112">
        <v>430</v>
      </c>
      <c r="W36" s="112">
        <v>361.91666666666669</v>
      </c>
      <c r="X36" s="24"/>
      <c r="Y36" s="13">
        <f t="shared" ref="Y36:Y38" si="193">SUM(J36:M36)</f>
        <v>2923.8516148465214</v>
      </c>
      <c r="Z36" s="13">
        <f t="shared" ref="Z36:Z38" si="194">SUM(K36:N36)</f>
        <v>3293.7353018065414</v>
      </c>
      <c r="AA36" s="13">
        <f t="shared" ref="AA36:AA38" si="195">SUM(L36:O36)</f>
        <v>3274.0531713097016</v>
      </c>
      <c r="AB36" s="13">
        <f t="shared" ref="AB36:AB38" si="196">SUM(M36:P36)</f>
        <v>2879</v>
      </c>
      <c r="AC36" s="13">
        <f t="shared" ref="AC36:AC38" si="197">SUM(N36:Q36)</f>
        <v>2405</v>
      </c>
      <c r="AD36" s="13">
        <f t="shared" ref="AD36:AD38" si="198">SUM(O36:R36)</f>
        <v>1918</v>
      </c>
      <c r="AE36" s="13">
        <f t="shared" ref="AE36:AE38" si="199">SUM(P36:S36)</f>
        <v>1595</v>
      </c>
      <c r="AF36" s="13">
        <f t="shared" ref="AF36:AF38" si="200">SUM(Q36:T36)</f>
        <v>1544</v>
      </c>
      <c r="AG36" s="13">
        <f t="shared" ref="AG36:AG38" si="201">SUM(R36:U36)</f>
        <v>1596.68</v>
      </c>
      <c r="AH36" s="13">
        <f t="shared" ref="AH36:AH38" si="202">SUM(S36:V36)</f>
        <v>1665.68</v>
      </c>
      <c r="AI36" s="13">
        <f>SUM(T36:W36)</f>
        <v>1615.5966666666668</v>
      </c>
      <c r="AK36" s="14">
        <f t="shared" ref="AK34:AK40" si="203">SUM(AI36/AE36)-1</f>
        <v>1.2913270637408658E-2</v>
      </c>
    </row>
    <row r="37" spans="1:37" x14ac:dyDescent="0.2">
      <c r="B37" s="27" t="s">
        <v>204</v>
      </c>
      <c r="C37" s="112">
        <v>967</v>
      </c>
      <c r="D37" s="112">
        <v>1386</v>
      </c>
      <c r="E37" s="112">
        <v>1869</v>
      </c>
      <c r="F37" s="112">
        <v>2079</v>
      </c>
      <c r="G37" s="112">
        <v>1654</v>
      </c>
      <c r="H37" s="114"/>
      <c r="I37" s="112">
        <v>394</v>
      </c>
      <c r="J37" s="112">
        <v>460</v>
      </c>
      <c r="K37" s="112">
        <v>450</v>
      </c>
      <c r="L37" s="113">
        <f t="shared" si="190"/>
        <v>565</v>
      </c>
      <c r="M37" s="112">
        <v>458</v>
      </c>
      <c r="N37" s="112">
        <v>454</v>
      </c>
      <c r="O37" s="112">
        <v>530</v>
      </c>
      <c r="P37" s="113">
        <f t="shared" si="191"/>
        <v>637</v>
      </c>
      <c r="Q37" s="112">
        <v>239</v>
      </c>
      <c r="R37" s="112">
        <v>440</v>
      </c>
      <c r="S37" s="112">
        <v>485</v>
      </c>
      <c r="T37" s="113">
        <f t="shared" si="192"/>
        <v>490</v>
      </c>
      <c r="U37" s="112">
        <v>438</v>
      </c>
      <c r="V37" s="112">
        <v>506</v>
      </c>
      <c r="W37" s="112">
        <v>504</v>
      </c>
      <c r="X37" s="24"/>
      <c r="Y37" s="13">
        <f t="shared" si="193"/>
        <v>1933</v>
      </c>
      <c r="Z37" s="13">
        <f t="shared" si="194"/>
        <v>1927</v>
      </c>
      <c r="AA37" s="13">
        <f t="shared" si="195"/>
        <v>2007</v>
      </c>
      <c r="AB37" s="13">
        <f t="shared" si="196"/>
        <v>2079</v>
      </c>
      <c r="AC37" s="13">
        <f t="shared" si="197"/>
        <v>1860</v>
      </c>
      <c r="AD37" s="13">
        <f t="shared" si="198"/>
        <v>1846</v>
      </c>
      <c r="AE37" s="13">
        <f t="shared" si="199"/>
        <v>1801</v>
      </c>
      <c r="AF37" s="13">
        <f t="shared" si="200"/>
        <v>1654</v>
      </c>
      <c r="AG37" s="13">
        <f t="shared" si="201"/>
        <v>1853</v>
      </c>
      <c r="AH37" s="13">
        <f t="shared" si="202"/>
        <v>1919</v>
      </c>
      <c r="AI37" s="13">
        <f>SUM(T37:W37)</f>
        <v>1938</v>
      </c>
      <c r="AK37" s="14">
        <f t="shared" si="203"/>
        <v>7.606885063853408E-2</v>
      </c>
    </row>
    <row r="38" spans="1:37" x14ac:dyDescent="0.2">
      <c r="B38" s="27" t="s">
        <v>147</v>
      </c>
      <c r="C38" s="112">
        <v>5556.7999999999993</v>
      </c>
      <c r="D38" s="112">
        <v>5779.0000000000073</v>
      </c>
      <c r="E38" s="112">
        <v>1095.5</v>
      </c>
      <c r="F38" s="112">
        <v>650</v>
      </c>
      <c r="G38" s="112">
        <v>403</v>
      </c>
      <c r="H38" s="114"/>
      <c r="I38" s="112">
        <v>269.60000000000002</v>
      </c>
      <c r="J38" s="112">
        <v>221.9</v>
      </c>
      <c r="K38" s="112">
        <v>295.3</v>
      </c>
      <c r="L38" s="113">
        <f t="shared" si="190"/>
        <v>308.70000000000005</v>
      </c>
      <c r="M38" s="112">
        <v>166</v>
      </c>
      <c r="N38" s="112">
        <v>117</v>
      </c>
      <c r="O38" s="112">
        <v>187</v>
      </c>
      <c r="P38" s="113">
        <f t="shared" si="191"/>
        <v>180</v>
      </c>
      <c r="Q38" s="112">
        <v>62</v>
      </c>
      <c r="R38" s="112">
        <v>80</v>
      </c>
      <c r="S38" s="112">
        <v>67</v>
      </c>
      <c r="T38" s="113">
        <f t="shared" si="192"/>
        <v>194</v>
      </c>
      <c r="U38" s="112">
        <v>110.31999999999994</v>
      </c>
      <c r="V38" s="112">
        <v>117</v>
      </c>
      <c r="W38" s="112">
        <v>127.08333333333326</v>
      </c>
      <c r="X38" s="24"/>
      <c r="Y38" s="13">
        <f t="shared" si="193"/>
        <v>991.90000000000009</v>
      </c>
      <c r="Z38" s="13">
        <f t="shared" si="194"/>
        <v>887</v>
      </c>
      <c r="AA38" s="13">
        <f t="shared" si="195"/>
        <v>778.7</v>
      </c>
      <c r="AB38" s="13">
        <f t="shared" si="196"/>
        <v>650</v>
      </c>
      <c r="AC38" s="13">
        <f t="shared" si="197"/>
        <v>546</v>
      </c>
      <c r="AD38" s="13">
        <f t="shared" si="198"/>
        <v>509</v>
      </c>
      <c r="AE38" s="13">
        <f t="shared" si="199"/>
        <v>389</v>
      </c>
      <c r="AF38" s="13">
        <f t="shared" si="200"/>
        <v>403</v>
      </c>
      <c r="AG38" s="13">
        <f t="shared" si="201"/>
        <v>451.31999999999994</v>
      </c>
      <c r="AH38" s="13">
        <f t="shared" si="202"/>
        <v>488.31999999999994</v>
      </c>
      <c r="AI38" s="13">
        <f>SUM(T38:W38)</f>
        <v>548.40333333333319</v>
      </c>
      <c r="AK38" s="14">
        <f t="shared" si="203"/>
        <v>0.40977720651242455</v>
      </c>
    </row>
    <row r="39" spans="1:37" x14ac:dyDescent="0.2">
      <c r="B39" s="15" t="s">
        <v>195</v>
      </c>
      <c r="C39" s="16">
        <f>SUM(C36:C38)</f>
        <v>8376.7999999999993</v>
      </c>
      <c r="D39" s="16">
        <f>SUM(D36:D38)</f>
        <v>9137.0000000000073</v>
      </c>
      <c r="E39" s="16">
        <f>SUM(E36:E38)</f>
        <v>5529.7999999999993</v>
      </c>
      <c r="F39" s="16">
        <f>SUM(F36:F38)</f>
        <v>5608</v>
      </c>
      <c r="G39" s="16">
        <f>SUM(G36:G38)</f>
        <v>3601</v>
      </c>
      <c r="H39" s="13"/>
      <c r="I39" s="16">
        <f>SUM(I36:I38)</f>
        <v>1121.0483851534782</v>
      </c>
      <c r="J39" s="16">
        <f>SUM(J36:J38)</f>
        <v>1160.0163130399801</v>
      </c>
      <c r="K39" s="16">
        <f>SUM(K36:K38)</f>
        <v>1499.9821304968398</v>
      </c>
      <c r="L39" s="16">
        <f>SUM(L36:L38)</f>
        <v>1748.7531713097019</v>
      </c>
      <c r="M39" s="16">
        <f>SUM(M36:M38)</f>
        <v>1440</v>
      </c>
      <c r="N39" s="16">
        <f>SUM(N36:N38)</f>
        <v>1419</v>
      </c>
      <c r="O39" s="16">
        <f>SUM(O36:O38)</f>
        <v>1452</v>
      </c>
      <c r="P39" s="16">
        <f>SUM(P36:P38)</f>
        <v>1297</v>
      </c>
      <c r="Q39" s="16">
        <f>SUM(Q36:Q38)</f>
        <v>643</v>
      </c>
      <c r="R39" s="16">
        <f>SUM(R36:R38)</f>
        <v>881</v>
      </c>
      <c r="S39" s="16">
        <f>SUM(S36:S38)</f>
        <v>964</v>
      </c>
      <c r="T39" s="16">
        <f>SUM(T36:T38)</f>
        <v>1113</v>
      </c>
      <c r="U39" s="16">
        <f>SUM(U36:U38)</f>
        <v>943</v>
      </c>
      <c r="V39" s="16">
        <f>SUM(V36:V38)</f>
        <v>1053</v>
      </c>
      <c r="W39" s="16">
        <f>SUM(W36:W38)</f>
        <v>993</v>
      </c>
      <c r="X39" s="5"/>
      <c r="Y39" s="16">
        <f t="shared" ref="Y39:AI39" si="204">SUM(Y36:Y38)</f>
        <v>5848.751614846522</v>
      </c>
      <c r="Z39" s="16">
        <f t="shared" si="204"/>
        <v>6107.7353018065414</v>
      </c>
      <c r="AA39" s="16">
        <f t="shared" si="204"/>
        <v>6059.7531713097014</v>
      </c>
      <c r="AB39" s="16">
        <f t="shared" si="204"/>
        <v>5608</v>
      </c>
      <c r="AC39" s="16">
        <f t="shared" si="204"/>
        <v>4811</v>
      </c>
      <c r="AD39" s="16">
        <f t="shared" si="204"/>
        <v>4273</v>
      </c>
      <c r="AE39" s="16">
        <f t="shared" si="204"/>
        <v>3785</v>
      </c>
      <c r="AF39" s="16">
        <f t="shared" si="204"/>
        <v>3601</v>
      </c>
      <c r="AG39" s="16">
        <f t="shared" si="204"/>
        <v>3901</v>
      </c>
      <c r="AH39" s="16">
        <f t="shared" si="204"/>
        <v>4073</v>
      </c>
      <c r="AI39" s="16">
        <f t="shared" si="204"/>
        <v>4102</v>
      </c>
      <c r="AK39" s="17">
        <f t="shared" si="203"/>
        <v>8.3751651254953874E-2</v>
      </c>
    </row>
    <row r="40" spans="1:37" x14ac:dyDescent="0.2">
      <c r="B40" s="105" t="s">
        <v>166</v>
      </c>
      <c r="C40" s="106">
        <f>C9-C39</f>
        <v>-1667.7999999999993</v>
      </c>
      <c r="D40" s="106">
        <f t="shared" ref="D40:G40" si="205">D9-D39</f>
        <v>0</v>
      </c>
      <c r="E40" s="106">
        <f t="shared" si="205"/>
        <v>0</v>
      </c>
      <c r="F40" s="106">
        <f t="shared" si="205"/>
        <v>0</v>
      </c>
      <c r="G40" s="106">
        <f t="shared" si="205"/>
        <v>223</v>
      </c>
      <c r="H40" s="24"/>
      <c r="I40" s="106">
        <f t="shared" ref="I40" si="206">I9-I39</f>
        <v>0</v>
      </c>
      <c r="J40" s="106">
        <f t="shared" ref="J40" si="207">J9-J39</f>
        <v>0</v>
      </c>
      <c r="K40" s="106">
        <f t="shared" ref="K40" si="208">K9-K39</f>
        <v>0</v>
      </c>
      <c r="L40" s="106">
        <f t="shared" ref="L40" si="209">L9-L39</f>
        <v>0</v>
      </c>
      <c r="M40" s="106">
        <f t="shared" ref="M40" si="210">M9-M39</f>
        <v>0</v>
      </c>
      <c r="N40" s="106">
        <f t="shared" ref="N40" si="211">N9-N39</f>
        <v>0</v>
      </c>
      <c r="O40" s="106">
        <f t="shared" ref="O40" si="212">O9-O39</f>
        <v>0</v>
      </c>
      <c r="P40" s="106">
        <f t="shared" ref="P40" si="213">P9-P39</f>
        <v>0</v>
      </c>
      <c r="Q40" s="106">
        <f t="shared" ref="Q40" si="214">Q9-Q39</f>
        <v>132</v>
      </c>
      <c r="R40" s="106">
        <f t="shared" ref="R40" si="215">R9-R39</f>
        <v>87</v>
      </c>
      <c r="S40" s="106">
        <f t="shared" ref="S40" si="216">S9-S39</f>
        <v>75</v>
      </c>
      <c r="T40" s="106">
        <f t="shared" ref="T40" si="217">T9-T39</f>
        <v>-71</v>
      </c>
      <c r="U40" s="106">
        <f t="shared" ref="U40" si="218">U9-U39</f>
        <v>0</v>
      </c>
      <c r="V40" s="106">
        <f t="shared" ref="V40" si="219">V9-V39</f>
        <v>0</v>
      </c>
      <c r="W40" s="106">
        <f t="shared" ref="W40" si="220">W9-W39</f>
        <v>0</v>
      </c>
      <c r="X40" s="24"/>
      <c r="Y40" s="106">
        <f t="shared" ref="Y40" si="221">Y9-Y39</f>
        <v>0</v>
      </c>
      <c r="Z40" s="106">
        <f t="shared" ref="Z40" si="222">Z9-Z39</f>
        <v>0</v>
      </c>
      <c r="AA40" s="106">
        <f t="shared" ref="AA40" si="223">AA9-AA39</f>
        <v>0</v>
      </c>
      <c r="AB40" s="106">
        <f t="shared" ref="AB40" si="224">AB9-AB39</f>
        <v>0</v>
      </c>
      <c r="AC40" s="106">
        <f t="shared" ref="AC40" si="225">AC9-AC39</f>
        <v>132</v>
      </c>
      <c r="AD40" s="106">
        <f t="shared" ref="AD40" si="226">AD9-AD39</f>
        <v>219</v>
      </c>
      <c r="AE40" s="106">
        <f t="shared" ref="AE40" si="227">AE9-AE39</f>
        <v>294</v>
      </c>
      <c r="AF40" s="106">
        <f t="shared" ref="AF40" si="228">AF9-AF39</f>
        <v>223</v>
      </c>
      <c r="AG40" s="106">
        <f t="shared" ref="AG40" si="229">AG9-AG39</f>
        <v>91</v>
      </c>
      <c r="AH40" s="106">
        <f t="shared" ref="AH40" si="230">AH9-AH39</f>
        <v>4</v>
      </c>
      <c r="AI40" s="106">
        <f t="shared" ref="AI40" si="231">AI9-AI39</f>
        <v>-71</v>
      </c>
    </row>
    <row r="41" spans="1:37" x14ac:dyDescent="0.2">
      <c r="B41" s="27"/>
      <c r="C41" s="12"/>
      <c r="D41" s="12"/>
      <c r="E41" s="12"/>
      <c r="F41" s="12"/>
      <c r="G41" s="12"/>
      <c r="H41" s="12"/>
      <c r="I41" s="12"/>
      <c r="J41" s="12"/>
      <c r="K41" s="12"/>
      <c r="L41" s="12"/>
      <c r="M41" s="12"/>
      <c r="N41" s="12"/>
      <c r="O41" s="12"/>
      <c r="P41" s="12"/>
      <c r="Q41" s="12"/>
      <c r="R41" s="12"/>
      <c r="S41" s="12"/>
      <c r="T41" s="12"/>
      <c r="U41" s="12"/>
      <c r="V41" s="12"/>
      <c r="W41" s="12"/>
      <c r="X41" s="5"/>
      <c r="Y41" s="13"/>
      <c r="Z41" s="13"/>
      <c r="AA41" s="13"/>
      <c r="AB41" s="13"/>
      <c r="AC41" s="13"/>
      <c r="AD41" s="13"/>
      <c r="AE41" s="13"/>
      <c r="AF41" s="13"/>
      <c r="AG41" s="13"/>
      <c r="AH41" s="13"/>
      <c r="AI41" s="13"/>
    </row>
  </sheetData>
  <mergeCells count="1">
    <mergeCell ref="AK2:AK4"/>
  </mergeCells>
  <pageMargins left="0.7" right="0.7" top="0.75" bottom="0.75" header="0.3" footer="0.3"/>
  <ignoredErrors>
    <ignoredError sqref="Y12:AI12 Y17:AI19 Y24:AI25 Y30:AI31 Y36:AI38 T12" formulaRange="1"/>
    <ignoredError sqref="L7:L9"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A5A30-5F94-4B08-8F31-3E69E52D57DB}">
  <sheetPr>
    <tabColor theme="6" tint="0.39997558519241921"/>
  </sheetPr>
  <dimension ref="A2:H66"/>
  <sheetViews>
    <sheetView showGridLines="0" topLeftCell="A42" zoomScale="115" zoomScaleNormal="115" workbookViewId="0">
      <selection activeCell="B65" sqref="B65"/>
    </sheetView>
  </sheetViews>
  <sheetFormatPr defaultRowHeight="14.25" x14ac:dyDescent="0.2"/>
  <cols>
    <col min="1" max="1" width="1.625" customWidth="1"/>
    <col min="2" max="2" width="22.75" bestFit="1" customWidth="1"/>
  </cols>
  <sheetData>
    <row r="2" spans="1:8" x14ac:dyDescent="0.2">
      <c r="B2" s="228" t="s">
        <v>174</v>
      </c>
      <c r="C2" s="229" t="s">
        <v>402</v>
      </c>
      <c r="D2" s="229"/>
      <c r="E2" s="229"/>
      <c r="F2" s="229"/>
      <c r="G2" s="229"/>
      <c r="H2" s="229"/>
    </row>
    <row r="3" spans="1:8" x14ac:dyDescent="0.2">
      <c r="B3" s="230" t="s">
        <v>402</v>
      </c>
      <c r="C3" s="231" t="s">
        <v>404</v>
      </c>
      <c r="D3" s="231" t="s">
        <v>406</v>
      </c>
      <c r="E3" s="231" t="s">
        <v>408</v>
      </c>
      <c r="F3" s="231" t="s">
        <v>410</v>
      </c>
      <c r="G3" s="231" t="s">
        <v>412</v>
      </c>
      <c r="H3" s="231" t="s">
        <v>414</v>
      </c>
    </row>
    <row r="4" spans="1:8" x14ac:dyDescent="0.2">
      <c r="B4" s="230" t="s">
        <v>177</v>
      </c>
      <c r="C4" s="232" t="s">
        <v>405</v>
      </c>
      <c r="D4" s="232" t="s">
        <v>407</v>
      </c>
      <c r="E4" s="232" t="s">
        <v>409</v>
      </c>
      <c r="F4" s="232" t="s">
        <v>411</v>
      </c>
      <c r="G4" s="232" t="s">
        <v>413</v>
      </c>
      <c r="H4" s="232" t="s">
        <v>415</v>
      </c>
    </row>
    <row r="5" spans="1:8" ht="5.0999999999999996" customHeight="1" x14ac:dyDescent="0.2"/>
    <row r="6" spans="1:8" ht="15" thickBot="1" x14ac:dyDescent="0.25">
      <c r="A6" s="246" t="s">
        <v>46</v>
      </c>
      <c r="B6" s="233" t="s">
        <v>52</v>
      </c>
    </row>
    <row r="7" spans="1:8" x14ac:dyDescent="0.2">
      <c r="B7" s="235" t="s">
        <v>403</v>
      </c>
      <c r="C7" s="247">
        <v>52507</v>
      </c>
      <c r="D7" s="247">
        <v>54143</v>
      </c>
      <c r="E7" s="247">
        <v>56505</v>
      </c>
      <c r="F7" s="236">
        <f>E7</f>
        <v>56505</v>
      </c>
      <c r="G7" s="236">
        <f t="shared" ref="G7:H7" si="0">F7</f>
        <v>56505</v>
      </c>
      <c r="H7" s="236">
        <f t="shared" si="0"/>
        <v>56505</v>
      </c>
    </row>
    <row r="8" spans="1:8" x14ac:dyDescent="0.2">
      <c r="B8" s="237" t="s">
        <v>64</v>
      </c>
      <c r="C8" s="249">
        <v>1.0999999999999999E-2</v>
      </c>
      <c r="D8" s="249">
        <v>3.1E-2</v>
      </c>
      <c r="E8" s="249">
        <v>4.3999999999999997E-2</v>
      </c>
      <c r="F8" s="238">
        <f>E8</f>
        <v>4.3999999999999997E-2</v>
      </c>
      <c r="G8" s="238">
        <f t="shared" ref="G8:H8" si="1">F8</f>
        <v>4.3999999999999997E-2</v>
      </c>
      <c r="H8" s="238">
        <f t="shared" si="1"/>
        <v>4.3999999999999997E-2</v>
      </c>
    </row>
    <row r="9" spans="1:8" x14ac:dyDescent="0.2">
      <c r="B9" s="235" t="s">
        <v>420</v>
      </c>
      <c r="C9" s="247">
        <v>51666</v>
      </c>
      <c r="D9" s="247">
        <v>52415</v>
      </c>
      <c r="E9" s="247">
        <v>55153</v>
      </c>
      <c r="F9" s="236">
        <f>E9</f>
        <v>55153</v>
      </c>
      <c r="G9" s="236">
        <f t="shared" ref="G9:H9" si="2">F9</f>
        <v>55153</v>
      </c>
      <c r="H9" s="236">
        <f t="shared" si="2"/>
        <v>55153</v>
      </c>
    </row>
    <row r="10" spans="1:8" x14ac:dyDescent="0.2">
      <c r="B10" s="237" t="s">
        <v>64</v>
      </c>
      <c r="C10" s="249">
        <v>-0.03</v>
      </c>
      <c r="D10" s="249">
        <v>0.01</v>
      </c>
      <c r="E10" s="249">
        <v>0.05</v>
      </c>
      <c r="F10" s="238">
        <f>E10</f>
        <v>0.05</v>
      </c>
      <c r="G10" s="238">
        <f t="shared" ref="G10:H15" si="3">F10</f>
        <v>0.05</v>
      </c>
      <c r="H10" s="238">
        <f t="shared" si="3"/>
        <v>0.05</v>
      </c>
    </row>
    <row r="11" spans="1:8" x14ac:dyDescent="0.2">
      <c r="B11" s="235" t="s">
        <v>421</v>
      </c>
      <c r="C11" s="247">
        <v>52210</v>
      </c>
      <c r="D11" s="247">
        <v>54842</v>
      </c>
      <c r="E11" s="247">
        <v>55974</v>
      </c>
      <c r="F11" s="236">
        <f>E11</f>
        <v>55974</v>
      </c>
      <c r="G11" s="236">
        <f t="shared" si="3"/>
        <v>55974</v>
      </c>
      <c r="H11" s="236">
        <f t="shared" si="3"/>
        <v>55974</v>
      </c>
    </row>
    <row r="12" spans="1:8" x14ac:dyDescent="0.2">
      <c r="B12" s="237" t="s">
        <v>64</v>
      </c>
      <c r="C12" s="249">
        <v>-0.02</v>
      </c>
      <c r="D12" s="249">
        <v>0.05</v>
      </c>
      <c r="E12" s="249">
        <v>0.02</v>
      </c>
      <c r="F12" s="254">
        <f>E12</f>
        <v>0.02</v>
      </c>
      <c r="G12" s="254">
        <f t="shared" si="3"/>
        <v>0.02</v>
      </c>
      <c r="H12" s="254">
        <f t="shared" si="3"/>
        <v>0.02</v>
      </c>
    </row>
    <row r="13" spans="1:8" x14ac:dyDescent="0.2">
      <c r="B13" s="235" t="s">
        <v>427</v>
      </c>
      <c r="C13" s="247">
        <v>52479</v>
      </c>
      <c r="D13" s="247">
        <v>54111</v>
      </c>
      <c r="E13" s="247">
        <v>58582</v>
      </c>
      <c r="F13" s="236">
        <f>E13</f>
        <v>58582</v>
      </c>
      <c r="G13" s="236">
        <f t="shared" ref="G13:H13" si="4">F13</f>
        <v>58582</v>
      </c>
      <c r="H13" s="236">
        <f t="shared" si="4"/>
        <v>58582</v>
      </c>
    </row>
    <row r="14" spans="1:8" x14ac:dyDescent="0.2">
      <c r="B14" s="237" t="s">
        <v>64</v>
      </c>
      <c r="C14" s="255">
        <f>SUM(C13/'Base Financials'!$G$9)-1</f>
        <v>-1.1713527052221284E-2</v>
      </c>
      <c r="D14" s="255">
        <f>SUM(D13/C13)-1</f>
        <v>3.1098153547133078E-2</v>
      </c>
      <c r="E14" s="255">
        <f>SUM(E13/D13)-1</f>
        <v>8.2626453031731106E-2</v>
      </c>
      <c r="F14" s="254">
        <f>E14</f>
        <v>8.2626453031731106E-2</v>
      </c>
      <c r="G14" s="254">
        <f t="shared" ref="G14:H14" si="5">F14</f>
        <v>8.2626453031731106E-2</v>
      </c>
      <c r="H14" s="254">
        <f t="shared" si="5"/>
        <v>8.2626453031731106E-2</v>
      </c>
    </row>
    <row r="15" spans="1:8" x14ac:dyDescent="0.2">
      <c r="B15" s="235" t="s">
        <v>422</v>
      </c>
      <c r="C15" s="247">
        <v>51784</v>
      </c>
      <c r="D15" s="247">
        <v>52029</v>
      </c>
      <c r="E15" s="247">
        <v>54248</v>
      </c>
      <c r="F15" s="247">
        <v>57110</v>
      </c>
      <c r="G15" s="247">
        <v>59187</v>
      </c>
      <c r="H15" s="236">
        <f t="shared" si="3"/>
        <v>59187</v>
      </c>
    </row>
    <row r="16" spans="1:8" x14ac:dyDescent="0.2">
      <c r="B16" s="237" t="s">
        <v>64</v>
      </c>
      <c r="C16" s="255">
        <f>SUM(C15/'Base Financials'!$G$9)-1</f>
        <v>-2.4801792809928225E-2</v>
      </c>
      <c r="D16" s="255">
        <f>SUM(D15/C15)-1</f>
        <v>4.7311911014984442E-3</v>
      </c>
      <c r="E16" s="255">
        <f t="shared" ref="E16:G16" si="6">SUM(E15/D15)-1</f>
        <v>4.2649291741144291E-2</v>
      </c>
      <c r="F16" s="255">
        <f t="shared" si="6"/>
        <v>5.2757705353192685E-2</v>
      </c>
      <c r="G16" s="255">
        <f t="shared" si="6"/>
        <v>3.6368411836806169E-2</v>
      </c>
      <c r="H16" s="255">
        <f>G16</f>
        <v>3.6368411836806169E-2</v>
      </c>
    </row>
    <row r="17" spans="1:8" s="256" customFormat="1" ht="5.0999999999999996" customHeight="1" thickBot="1" x14ac:dyDescent="0.25">
      <c r="B17" s="257"/>
      <c r="C17" s="258"/>
      <c r="D17" s="258"/>
      <c r="E17" s="258"/>
      <c r="F17" s="258"/>
      <c r="G17" s="258"/>
      <c r="H17" s="258"/>
    </row>
    <row r="18" spans="1:8" s="256" customFormat="1" x14ac:dyDescent="0.2">
      <c r="B18" s="259" t="s">
        <v>424</v>
      </c>
      <c r="C18" s="260">
        <f>MAX(C$7,C$9,C$11,C$13,C$15)</f>
        <v>52507</v>
      </c>
      <c r="D18" s="260">
        <f t="shared" ref="D18:H18" si="7">MAX(D$7,D$9,D$11,D$13,D$15)</f>
        <v>54842</v>
      </c>
      <c r="E18" s="260">
        <f t="shared" si="7"/>
        <v>58582</v>
      </c>
      <c r="F18" s="260">
        <f t="shared" si="7"/>
        <v>58582</v>
      </c>
      <c r="G18" s="260">
        <f t="shared" si="7"/>
        <v>59187</v>
      </c>
      <c r="H18" s="261">
        <f t="shared" si="7"/>
        <v>59187</v>
      </c>
    </row>
    <row r="19" spans="1:8" s="256" customFormat="1" x14ac:dyDescent="0.2">
      <c r="B19" s="262" t="s">
        <v>426</v>
      </c>
      <c r="C19" s="263">
        <f>MAX(C$8,C$10,C$12,C$14,C$16)</f>
        <v>1.0999999999999999E-2</v>
      </c>
      <c r="D19" s="263">
        <f t="shared" ref="D19:H19" si="8">MAX(D$8,D$10,D$12,D$14,D$16)</f>
        <v>0.05</v>
      </c>
      <c r="E19" s="263">
        <f t="shared" si="8"/>
        <v>8.2626453031731106E-2</v>
      </c>
      <c r="F19" s="263">
        <f t="shared" si="8"/>
        <v>8.2626453031731106E-2</v>
      </c>
      <c r="G19" s="263">
        <f t="shared" si="8"/>
        <v>8.2626453031731106E-2</v>
      </c>
      <c r="H19" s="264">
        <f t="shared" si="8"/>
        <v>8.2626453031731106E-2</v>
      </c>
    </row>
    <row r="20" spans="1:8" s="256" customFormat="1" x14ac:dyDescent="0.2">
      <c r="B20" s="276" t="s">
        <v>425</v>
      </c>
      <c r="C20" s="277">
        <f>MEDIAN(C$7,C$9,C$11,C$13,C$15)</f>
        <v>52210</v>
      </c>
      <c r="D20" s="277">
        <f t="shared" ref="D20:H20" si="9">MEDIAN(D$7,D$9,D$11,D$13,D$15)</f>
        <v>54111</v>
      </c>
      <c r="E20" s="277">
        <f t="shared" si="9"/>
        <v>55974</v>
      </c>
      <c r="F20" s="277">
        <f t="shared" si="9"/>
        <v>56505</v>
      </c>
      <c r="G20" s="277">
        <f t="shared" si="9"/>
        <v>56505</v>
      </c>
      <c r="H20" s="278">
        <f t="shared" si="9"/>
        <v>56505</v>
      </c>
    </row>
    <row r="21" spans="1:8" s="256" customFormat="1" x14ac:dyDescent="0.2">
      <c r="B21" s="276" t="s">
        <v>426</v>
      </c>
      <c r="C21" s="279">
        <f>MEDIAN(C$8,C$10,C$12,C$14,C$16)</f>
        <v>-0.02</v>
      </c>
      <c r="D21" s="279">
        <f t="shared" ref="D21:H21" si="10">MEDIAN(D$8,D$10,D$12,D$14,D$16)</f>
        <v>3.1E-2</v>
      </c>
      <c r="E21" s="279">
        <f t="shared" si="10"/>
        <v>4.3999999999999997E-2</v>
      </c>
      <c r="F21" s="279">
        <f t="shared" si="10"/>
        <v>0.05</v>
      </c>
      <c r="G21" s="279">
        <f t="shared" si="10"/>
        <v>4.3999999999999997E-2</v>
      </c>
      <c r="H21" s="280">
        <f t="shared" si="10"/>
        <v>4.3999999999999997E-2</v>
      </c>
    </row>
    <row r="22" spans="1:8" s="256" customFormat="1" x14ac:dyDescent="0.2">
      <c r="B22" s="262" t="s">
        <v>423</v>
      </c>
      <c r="C22" s="265">
        <f>MIN(C$7,C$9,C$11,C$13,C$15)</f>
        <v>51666</v>
      </c>
      <c r="D22" s="265">
        <f t="shared" ref="D22:H22" si="11">MIN(D$7,D$9,D$11,D$13,D$15)</f>
        <v>52029</v>
      </c>
      <c r="E22" s="265">
        <f t="shared" si="11"/>
        <v>54248</v>
      </c>
      <c r="F22" s="265">
        <f t="shared" si="11"/>
        <v>55153</v>
      </c>
      <c r="G22" s="265">
        <f t="shared" si="11"/>
        <v>55153</v>
      </c>
      <c r="H22" s="266">
        <f t="shared" si="11"/>
        <v>55153</v>
      </c>
    </row>
    <row r="23" spans="1:8" ht="15" thickBot="1" x14ac:dyDescent="0.25">
      <c r="B23" s="267" t="s">
        <v>426</v>
      </c>
      <c r="C23" s="268">
        <f>MIN(C$8,C$10,C$12,C$14,C$16)</f>
        <v>-0.03</v>
      </c>
      <c r="D23" s="268">
        <f t="shared" ref="D23:H23" si="12">MIN(D$8,D$10,D$12,D$14,D$16)</f>
        <v>4.7311911014984442E-3</v>
      </c>
      <c r="E23" s="268">
        <f t="shared" si="12"/>
        <v>0.02</v>
      </c>
      <c r="F23" s="268">
        <f t="shared" si="12"/>
        <v>0.02</v>
      </c>
      <c r="G23" s="268">
        <f t="shared" si="12"/>
        <v>0.02</v>
      </c>
      <c r="H23" s="269">
        <f t="shared" si="12"/>
        <v>0.02</v>
      </c>
    </row>
    <row r="24" spans="1:8" ht="5.0999999999999996" customHeight="1" thickBot="1" x14ac:dyDescent="0.25">
      <c r="B24" s="282"/>
      <c r="C24" s="263"/>
      <c r="D24" s="263"/>
      <c r="E24" s="263"/>
      <c r="F24" s="263"/>
      <c r="G24" s="263"/>
      <c r="H24" s="263"/>
    </row>
    <row r="25" spans="1:8" ht="15" thickBot="1" x14ac:dyDescent="0.25">
      <c r="A25" s="246" t="s">
        <v>46</v>
      </c>
      <c r="B25" s="233" t="s">
        <v>51</v>
      </c>
    </row>
    <row r="26" spans="1:8" x14ac:dyDescent="0.2">
      <c r="B26" s="235" t="s">
        <v>403</v>
      </c>
      <c r="C26" s="247">
        <v>19095</v>
      </c>
      <c r="D26" s="247">
        <v>20508</v>
      </c>
      <c r="E26" s="247">
        <v>22623</v>
      </c>
      <c r="F26" s="236">
        <f>E26</f>
        <v>22623</v>
      </c>
      <c r="G26" s="236">
        <f t="shared" ref="G26:H32" si="13">F26</f>
        <v>22623</v>
      </c>
      <c r="H26" s="236">
        <f t="shared" si="13"/>
        <v>22623</v>
      </c>
    </row>
    <row r="27" spans="1:8" x14ac:dyDescent="0.2">
      <c r="B27" s="237" t="s">
        <v>416</v>
      </c>
      <c r="C27" s="238">
        <f>C26/C7</f>
        <v>0.3636657969413602</v>
      </c>
      <c r="D27" s="238">
        <f>D26/D7</f>
        <v>0.37877472618805758</v>
      </c>
      <c r="E27" s="238">
        <f>E26/E7</f>
        <v>0.40037164852667906</v>
      </c>
      <c r="F27" s="238">
        <f>F26/F7</f>
        <v>0.40037164852667906</v>
      </c>
      <c r="G27" s="238">
        <f>G26/G7</f>
        <v>0.40037164852667906</v>
      </c>
      <c r="H27" s="238">
        <f>H26/H7</f>
        <v>0.40037164852667906</v>
      </c>
    </row>
    <row r="28" spans="1:8" x14ac:dyDescent="0.2">
      <c r="B28" s="235" t="s">
        <v>420</v>
      </c>
      <c r="C28" s="247">
        <v>18352</v>
      </c>
      <c r="D28" s="247">
        <v>20847</v>
      </c>
      <c r="E28" s="247">
        <v>24682</v>
      </c>
      <c r="F28" s="236">
        <f>E28</f>
        <v>24682</v>
      </c>
      <c r="G28" s="236">
        <f t="shared" si="13"/>
        <v>24682</v>
      </c>
      <c r="H28" s="236">
        <f t="shared" si="13"/>
        <v>24682</v>
      </c>
    </row>
    <row r="29" spans="1:8" x14ac:dyDescent="0.2">
      <c r="B29" s="234" t="s">
        <v>416</v>
      </c>
      <c r="C29" s="238">
        <f>C28/C9</f>
        <v>0.35520458328494559</v>
      </c>
      <c r="D29" s="238">
        <f>D28/D9</f>
        <v>0.39772965754078032</v>
      </c>
      <c r="E29" s="238">
        <f>E28/E9</f>
        <v>0.44751872064982867</v>
      </c>
      <c r="F29" s="238">
        <f>F28/F9</f>
        <v>0.44751872064982867</v>
      </c>
      <c r="G29" s="238">
        <f>G28/G9</f>
        <v>0.44751872064982867</v>
      </c>
      <c r="H29" s="238">
        <f>H28/H9</f>
        <v>0.44751872064982867</v>
      </c>
    </row>
    <row r="30" spans="1:8" x14ac:dyDescent="0.2">
      <c r="B30" s="235" t="s">
        <v>421</v>
      </c>
      <c r="C30" s="247">
        <v>17295</v>
      </c>
      <c r="D30" s="247">
        <v>19496</v>
      </c>
      <c r="E30" s="247">
        <v>20954</v>
      </c>
      <c r="F30" s="236">
        <f>E30</f>
        <v>20954</v>
      </c>
      <c r="G30" s="236">
        <f t="shared" si="13"/>
        <v>20954</v>
      </c>
      <c r="H30" s="236">
        <f t="shared" si="13"/>
        <v>20954</v>
      </c>
    </row>
    <row r="31" spans="1:8" x14ac:dyDescent="0.2">
      <c r="B31" s="237" t="s">
        <v>416</v>
      </c>
      <c r="C31" s="238">
        <f>C30/C11</f>
        <v>0.33125837962076232</v>
      </c>
      <c r="D31" s="238">
        <f>D30/D11</f>
        <v>0.35549396447977827</v>
      </c>
      <c r="E31" s="238">
        <f>E30/E11</f>
        <v>0.37435237788973452</v>
      </c>
      <c r="F31" s="238">
        <f>F30/F11</f>
        <v>0.37435237788973452</v>
      </c>
      <c r="G31" s="238">
        <f>G30/G11</f>
        <v>0.37435237788973452</v>
      </c>
      <c r="H31" s="238">
        <f>H30/H11</f>
        <v>0.37435237788973452</v>
      </c>
    </row>
    <row r="32" spans="1:8" x14ac:dyDescent="0.2">
      <c r="B32" s="235" t="s">
        <v>427</v>
      </c>
      <c r="C32" s="247">
        <v>19084</v>
      </c>
      <c r="D32" s="247">
        <v>20328</v>
      </c>
      <c r="E32" s="247">
        <v>25328</v>
      </c>
      <c r="F32" s="236">
        <f>E32</f>
        <v>25328</v>
      </c>
      <c r="G32" s="236">
        <f t="shared" si="13"/>
        <v>25328</v>
      </c>
      <c r="H32" s="236">
        <f t="shared" si="13"/>
        <v>25328</v>
      </c>
    </row>
    <row r="33" spans="1:8" x14ac:dyDescent="0.2">
      <c r="B33" s="237" t="s">
        <v>416</v>
      </c>
      <c r="C33" s="238">
        <f>C32/C13</f>
        <v>0.36365022199355934</v>
      </c>
      <c r="D33" s="238">
        <f>D32/D13</f>
        <v>0.37567222930642569</v>
      </c>
      <c r="E33" s="238">
        <f>E32/E13</f>
        <v>0.43235123416749172</v>
      </c>
      <c r="F33" s="238">
        <f>F32/F13</f>
        <v>0.43235123416749172</v>
      </c>
      <c r="G33" s="238">
        <f>G32/G13</f>
        <v>0.43235123416749172</v>
      </c>
      <c r="H33" s="238">
        <f>H32/H13</f>
        <v>0.43235123416749172</v>
      </c>
    </row>
    <row r="34" spans="1:8" s="256" customFormat="1" ht="5.0999999999999996" customHeight="1" thickBot="1" x14ac:dyDescent="0.25">
      <c r="B34" s="257"/>
      <c r="C34" s="281"/>
      <c r="D34" s="281"/>
      <c r="E34" s="281"/>
      <c r="F34" s="281"/>
      <c r="G34" s="281"/>
      <c r="H34" s="281"/>
    </row>
    <row r="35" spans="1:8" s="256" customFormat="1" x14ac:dyDescent="0.2">
      <c r="B35" s="259" t="s">
        <v>424</v>
      </c>
      <c r="C35" s="260">
        <f>MAX(C$26,C$28,C$30,C$32)</f>
        <v>19095</v>
      </c>
      <c r="D35" s="260">
        <f t="shared" ref="D35:H35" si="14">MAX(D$26,D$28,D$30,D$32)</f>
        <v>20847</v>
      </c>
      <c r="E35" s="260">
        <f t="shared" si="14"/>
        <v>25328</v>
      </c>
      <c r="F35" s="260">
        <f t="shared" si="14"/>
        <v>25328</v>
      </c>
      <c r="G35" s="260">
        <f t="shared" si="14"/>
        <v>25328</v>
      </c>
      <c r="H35" s="261">
        <f t="shared" si="14"/>
        <v>25328</v>
      </c>
    </row>
    <row r="36" spans="1:8" s="256" customFormat="1" x14ac:dyDescent="0.2">
      <c r="B36" s="262" t="s">
        <v>426</v>
      </c>
      <c r="C36" s="263">
        <f>MAX(C$27,C$29,C$31,C$33)</f>
        <v>0.3636657969413602</v>
      </c>
      <c r="D36" s="263">
        <f t="shared" ref="D36:H36" si="15">MAX(D$27,D$29,D$31,D$33)</f>
        <v>0.39772965754078032</v>
      </c>
      <c r="E36" s="263">
        <f t="shared" si="15"/>
        <v>0.44751872064982867</v>
      </c>
      <c r="F36" s="263">
        <f t="shared" si="15"/>
        <v>0.44751872064982867</v>
      </c>
      <c r="G36" s="263">
        <f t="shared" si="15"/>
        <v>0.44751872064982867</v>
      </c>
      <c r="H36" s="264">
        <f t="shared" si="15"/>
        <v>0.44751872064982867</v>
      </c>
    </row>
    <row r="37" spans="1:8" s="256" customFormat="1" x14ac:dyDescent="0.2">
      <c r="B37" s="270" t="s">
        <v>425</v>
      </c>
      <c r="C37" s="271">
        <f>MEDIAN(C$26,C$28,C$30,C$32)</f>
        <v>18718</v>
      </c>
      <c r="D37" s="271">
        <f t="shared" ref="D37:H37" si="16">MEDIAN(D$26,D$28,D$30,D$32)</f>
        <v>20418</v>
      </c>
      <c r="E37" s="271">
        <f t="shared" si="16"/>
        <v>23652.5</v>
      </c>
      <c r="F37" s="271">
        <f t="shared" si="16"/>
        <v>23652.5</v>
      </c>
      <c r="G37" s="271">
        <f t="shared" si="16"/>
        <v>23652.5</v>
      </c>
      <c r="H37" s="272">
        <f t="shared" si="16"/>
        <v>23652.5</v>
      </c>
    </row>
    <row r="38" spans="1:8" s="256" customFormat="1" x14ac:dyDescent="0.2">
      <c r="B38" s="270" t="s">
        <v>426</v>
      </c>
      <c r="C38" s="273">
        <f>MEDIAN(C$27,C$29,C$31,C$33)</f>
        <v>0.35942740263925244</v>
      </c>
      <c r="D38" s="273">
        <f t="shared" ref="D38:H38" si="17">MEDIAN(D$27,D$29,D$31,D$33)</f>
        <v>0.37722347774724163</v>
      </c>
      <c r="E38" s="273">
        <f t="shared" si="17"/>
        <v>0.41636144134708541</v>
      </c>
      <c r="F38" s="273">
        <f t="shared" si="17"/>
        <v>0.41636144134708541</v>
      </c>
      <c r="G38" s="273">
        <f t="shared" si="17"/>
        <v>0.41636144134708541</v>
      </c>
      <c r="H38" s="274">
        <f t="shared" si="17"/>
        <v>0.41636144134708541</v>
      </c>
    </row>
    <row r="39" spans="1:8" s="256" customFormat="1" x14ac:dyDescent="0.2">
      <c r="B39" s="262" t="s">
        <v>423</v>
      </c>
      <c r="C39" s="265">
        <f>MIN(C$26,C$28,C$30,C$32)</f>
        <v>17295</v>
      </c>
      <c r="D39" s="265">
        <f t="shared" ref="D39:H39" si="18">MIN(D$26,D$28,D$30,D$32)</f>
        <v>19496</v>
      </c>
      <c r="E39" s="265">
        <f t="shared" si="18"/>
        <v>20954</v>
      </c>
      <c r="F39" s="265">
        <f t="shared" si="18"/>
        <v>20954</v>
      </c>
      <c r="G39" s="265">
        <f t="shared" si="18"/>
        <v>20954</v>
      </c>
      <c r="H39" s="266">
        <f t="shared" si="18"/>
        <v>20954</v>
      </c>
    </row>
    <row r="40" spans="1:8" ht="15" thickBot="1" x14ac:dyDescent="0.25">
      <c r="B40" s="267" t="s">
        <v>426</v>
      </c>
      <c r="C40" s="268">
        <f>MIN(C$27,C$29,C$31,C$33)</f>
        <v>0.33125837962076232</v>
      </c>
      <c r="D40" s="268">
        <f t="shared" ref="D40:H40" si="19">MIN(D$27,D$29,D$31,D$33)</f>
        <v>0.35549396447977827</v>
      </c>
      <c r="E40" s="268">
        <f t="shared" si="19"/>
        <v>0.37435237788973452</v>
      </c>
      <c r="F40" s="268">
        <f t="shared" si="19"/>
        <v>0.37435237788973452</v>
      </c>
      <c r="G40" s="268">
        <f t="shared" si="19"/>
        <v>0.37435237788973452</v>
      </c>
      <c r="H40" s="269">
        <f t="shared" si="19"/>
        <v>0.37435237788973452</v>
      </c>
    </row>
    <row r="41" spans="1:8" x14ac:dyDescent="0.2">
      <c r="B41" s="283"/>
      <c r="C41" s="263"/>
      <c r="D41" s="263"/>
      <c r="E41" s="263"/>
      <c r="F41" s="263"/>
      <c r="G41" s="263"/>
      <c r="H41" s="263"/>
    </row>
    <row r="42" spans="1:8" ht="15" thickBot="1" x14ac:dyDescent="0.25">
      <c r="A42" s="246" t="s">
        <v>46</v>
      </c>
      <c r="B42" s="240" t="s">
        <v>417</v>
      </c>
      <c r="C42" s="239"/>
      <c r="D42" s="239"/>
      <c r="E42" s="239"/>
      <c r="F42" s="239"/>
      <c r="G42" s="239"/>
      <c r="H42" s="239"/>
    </row>
    <row r="43" spans="1:8" x14ac:dyDescent="0.2">
      <c r="B43" s="241" t="s">
        <v>403</v>
      </c>
      <c r="C43" s="247">
        <v>13951</v>
      </c>
      <c r="D43" s="247">
        <v>13289</v>
      </c>
      <c r="E43" s="247">
        <v>13327</v>
      </c>
      <c r="F43" s="236">
        <f>E43</f>
        <v>13327</v>
      </c>
      <c r="G43" s="236">
        <f t="shared" ref="G43:H45" si="20">F43</f>
        <v>13327</v>
      </c>
      <c r="H43" s="236">
        <f t="shared" si="20"/>
        <v>13327</v>
      </c>
    </row>
    <row r="44" spans="1:8" x14ac:dyDescent="0.2">
      <c r="B44" s="237" t="s">
        <v>416</v>
      </c>
      <c r="C44" s="238">
        <f>C43/C7</f>
        <v>0.26569790694574058</v>
      </c>
      <c r="D44" s="238">
        <f>D43/D7</f>
        <v>0.24544262416194151</v>
      </c>
      <c r="E44" s="238">
        <f>E43/E7</f>
        <v>0.23585523405008407</v>
      </c>
      <c r="F44" s="238">
        <f>F43/F7</f>
        <v>0.23585523405008407</v>
      </c>
      <c r="G44" s="238">
        <f>G43/G7</f>
        <v>0.23585523405008407</v>
      </c>
      <c r="H44" s="238">
        <f>H43/H7</f>
        <v>0.23585523405008407</v>
      </c>
    </row>
    <row r="45" spans="1:8" x14ac:dyDescent="0.2">
      <c r="B45" s="235" t="s">
        <v>420</v>
      </c>
      <c r="C45" s="247">
        <v>13126</v>
      </c>
      <c r="D45" s="247">
        <v>11467</v>
      </c>
      <c r="E45" s="247">
        <v>11528</v>
      </c>
      <c r="F45" s="236">
        <f>E45</f>
        <v>11528</v>
      </c>
      <c r="G45" s="236">
        <f t="shared" si="20"/>
        <v>11528</v>
      </c>
      <c r="H45" s="236">
        <f t="shared" si="20"/>
        <v>11528</v>
      </c>
    </row>
    <row r="46" spans="1:8" x14ac:dyDescent="0.2">
      <c r="B46" s="237" t="s">
        <v>416</v>
      </c>
      <c r="C46" s="238">
        <f>C45/C9</f>
        <v>0.25405489103085199</v>
      </c>
      <c r="D46" s="238">
        <f>D45/D9</f>
        <v>0.21877325193169894</v>
      </c>
      <c r="E46" s="238">
        <f>E45/E9</f>
        <v>0.20901854840171885</v>
      </c>
      <c r="F46" s="238">
        <f>F45/F9</f>
        <v>0.20901854840171885</v>
      </c>
      <c r="G46" s="238">
        <f>G45/G9</f>
        <v>0.20901854840171885</v>
      </c>
      <c r="H46" s="238">
        <f>H45/H9</f>
        <v>0.20901854840171885</v>
      </c>
    </row>
    <row r="48" spans="1:8" ht="15" thickBot="1" x14ac:dyDescent="0.25">
      <c r="A48" s="246" t="s">
        <v>46</v>
      </c>
      <c r="B48" s="233" t="s">
        <v>418</v>
      </c>
    </row>
    <row r="49" spans="1:8" x14ac:dyDescent="0.2">
      <c r="B49" s="242" t="s">
        <v>403</v>
      </c>
      <c r="C49" s="248">
        <v>4669</v>
      </c>
      <c r="D49" s="248">
        <v>4816</v>
      </c>
      <c r="E49" s="248">
        <v>4923</v>
      </c>
      <c r="F49" s="243">
        <f>E49</f>
        <v>4923</v>
      </c>
      <c r="G49" s="243">
        <f t="shared" ref="G49:H49" si="21">F49</f>
        <v>4923</v>
      </c>
      <c r="H49" s="243">
        <f t="shared" si="21"/>
        <v>4923</v>
      </c>
    </row>
    <row r="50" spans="1:8" x14ac:dyDescent="0.2">
      <c r="B50" s="244" t="s">
        <v>416</v>
      </c>
      <c r="C50" s="245">
        <f>C49/C7</f>
        <v>8.8921477136381821E-2</v>
      </c>
      <c r="D50" s="245">
        <f>D49/D7</f>
        <v>8.894963337827605E-2</v>
      </c>
      <c r="E50" s="245">
        <f>E49/E7</f>
        <v>8.7125033182904169E-2</v>
      </c>
      <c r="F50" s="245">
        <f>F49/F7</f>
        <v>8.7125033182904169E-2</v>
      </c>
      <c r="G50" s="245">
        <f>G49/G7</f>
        <v>8.7125033182904169E-2</v>
      </c>
      <c r="H50" s="245">
        <f>H49/H7</f>
        <v>8.7125033182904169E-2</v>
      </c>
    </row>
    <row r="51" spans="1:8" x14ac:dyDescent="0.2">
      <c r="B51" s="235" t="s">
        <v>420</v>
      </c>
      <c r="C51" s="247">
        <v>4028</v>
      </c>
      <c r="D51" s="247">
        <v>3887</v>
      </c>
      <c r="E51" s="247">
        <v>3848</v>
      </c>
      <c r="F51" s="243">
        <f>E51</f>
        <v>3848</v>
      </c>
      <c r="G51" s="243">
        <f t="shared" ref="G51:H51" si="22">F51</f>
        <v>3848</v>
      </c>
      <c r="H51" s="243">
        <f t="shared" si="22"/>
        <v>3848</v>
      </c>
    </row>
    <row r="52" spans="1:8" x14ac:dyDescent="0.2">
      <c r="B52" s="237" t="s">
        <v>416</v>
      </c>
      <c r="C52" s="245">
        <f>C51/C9</f>
        <v>7.7962296287694036E-2</v>
      </c>
      <c r="D52" s="245">
        <f>D51/D9</f>
        <v>7.4158160831822945E-2</v>
      </c>
      <c r="E52" s="245">
        <f>E51/E9</f>
        <v>6.9769550160462712E-2</v>
      </c>
      <c r="F52" s="245">
        <f>F51/F9</f>
        <v>6.9769550160462712E-2</v>
      </c>
      <c r="G52" s="245">
        <f>G51/G9</f>
        <v>6.9769550160462712E-2</v>
      </c>
      <c r="H52" s="245">
        <f>H51/H9</f>
        <v>6.9769550160462712E-2</v>
      </c>
    </row>
    <row r="54" spans="1:8" ht="15" thickBot="1" x14ac:dyDescent="0.25">
      <c r="A54" s="246" t="s">
        <v>46</v>
      </c>
      <c r="B54" s="240" t="s">
        <v>419</v>
      </c>
      <c r="C54" s="239"/>
      <c r="D54" s="239"/>
      <c r="E54" s="239"/>
      <c r="F54" s="239"/>
      <c r="G54" s="239"/>
      <c r="H54" s="239"/>
    </row>
    <row r="55" spans="1:8" x14ac:dyDescent="0.2">
      <c r="B55" s="235" t="s">
        <v>403</v>
      </c>
      <c r="C55" s="250">
        <v>0.12</v>
      </c>
      <c r="D55" s="250">
        <v>0.12</v>
      </c>
      <c r="E55" s="250">
        <v>0.12</v>
      </c>
      <c r="F55" s="251">
        <f>E55</f>
        <v>0.12</v>
      </c>
      <c r="G55" s="251">
        <f t="shared" ref="G55:H57" si="23">F55</f>
        <v>0.12</v>
      </c>
      <c r="H55" s="251">
        <f t="shared" si="23"/>
        <v>0.12</v>
      </c>
    </row>
    <row r="56" spans="1:8" x14ac:dyDescent="0.2">
      <c r="B56" s="235" t="s">
        <v>421</v>
      </c>
      <c r="C56" s="252">
        <f>SUM(596/5344)</f>
        <v>0.11152694610778444</v>
      </c>
      <c r="D56" s="252">
        <f>SUM(596/4784)</f>
        <v>0.1245819397993311</v>
      </c>
      <c r="E56" s="252">
        <v>0.12</v>
      </c>
      <c r="F56" s="253">
        <f>E56</f>
        <v>0.12</v>
      </c>
      <c r="G56" s="253">
        <f t="shared" si="23"/>
        <v>0.12</v>
      </c>
      <c r="H56" s="253">
        <f t="shared" si="23"/>
        <v>0.12</v>
      </c>
    </row>
    <row r="57" spans="1:8" x14ac:dyDescent="0.2">
      <c r="B57" s="235" t="s">
        <v>427</v>
      </c>
      <c r="C57" s="252">
        <v>0.12</v>
      </c>
      <c r="D57" s="252">
        <v>0.13</v>
      </c>
      <c r="E57" s="252">
        <v>0.13</v>
      </c>
      <c r="F57" s="253">
        <f>E57</f>
        <v>0.13</v>
      </c>
      <c r="G57" s="253">
        <f t="shared" si="23"/>
        <v>0.13</v>
      </c>
      <c r="H57" s="253">
        <f t="shared" si="23"/>
        <v>0.13</v>
      </c>
    </row>
    <row r="59" spans="1:8" ht="15" thickBot="1" x14ac:dyDescent="0.25">
      <c r="A59" s="246" t="s">
        <v>46</v>
      </c>
      <c r="B59" s="233" t="s">
        <v>53</v>
      </c>
    </row>
    <row r="60" spans="1:8" x14ac:dyDescent="0.2">
      <c r="B60" s="235" t="s">
        <v>403</v>
      </c>
      <c r="C60" s="247">
        <v>14658</v>
      </c>
      <c r="D60" s="247">
        <v>12000</v>
      </c>
      <c r="E60" s="247">
        <v>12000</v>
      </c>
      <c r="F60" s="236">
        <f>E60</f>
        <v>12000</v>
      </c>
      <c r="G60" s="236">
        <f t="shared" ref="G60:H60" si="24">F60</f>
        <v>12000</v>
      </c>
      <c r="H60" s="236">
        <f t="shared" si="24"/>
        <v>12000</v>
      </c>
    </row>
    <row r="61" spans="1:8" x14ac:dyDescent="0.2">
      <c r="B61" s="235" t="s">
        <v>421</v>
      </c>
      <c r="C61" s="247">
        <v>9137</v>
      </c>
      <c r="D61" s="247">
        <v>6855</v>
      </c>
      <c r="E61" s="247">
        <v>5597</v>
      </c>
      <c r="F61" s="236">
        <f>E61</f>
        <v>5597</v>
      </c>
      <c r="G61" s="236">
        <f t="shared" ref="G61:H61" si="25">F61</f>
        <v>5597</v>
      </c>
      <c r="H61" s="236">
        <f t="shared" si="25"/>
        <v>5597</v>
      </c>
    </row>
    <row r="62" spans="1:8" x14ac:dyDescent="0.2">
      <c r="B62" s="235" t="s">
        <v>427</v>
      </c>
      <c r="C62" s="247">
        <v>16269</v>
      </c>
      <c r="D62" s="247">
        <v>16000</v>
      </c>
      <c r="E62" s="247">
        <v>20000</v>
      </c>
      <c r="F62" s="236">
        <f>E62</f>
        <v>20000</v>
      </c>
      <c r="G62" s="236">
        <f t="shared" ref="G62:H62" si="26">F62</f>
        <v>20000</v>
      </c>
      <c r="H62" s="236">
        <f t="shared" si="26"/>
        <v>20000</v>
      </c>
    </row>
    <row r="63" spans="1:8" s="256" customFormat="1" ht="5.0999999999999996" customHeight="1" thickBot="1" x14ac:dyDescent="0.25">
      <c r="B63" s="257"/>
      <c r="C63" s="281"/>
      <c r="D63" s="281"/>
      <c r="E63" s="281"/>
      <c r="F63" s="281"/>
      <c r="G63" s="281"/>
      <c r="H63" s="281"/>
    </row>
    <row r="64" spans="1:8" s="256" customFormat="1" x14ac:dyDescent="0.2">
      <c r="B64" s="259" t="s">
        <v>424</v>
      </c>
      <c r="C64" s="260">
        <f>MAX(C$60,C$61,C$62)</f>
        <v>16269</v>
      </c>
      <c r="D64" s="260">
        <f t="shared" ref="D64:H65" si="27">MAX(D$60,D$61,D$62)</f>
        <v>16000</v>
      </c>
      <c r="E64" s="260">
        <f t="shared" si="27"/>
        <v>20000</v>
      </c>
      <c r="F64" s="260">
        <f t="shared" si="27"/>
        <v>20000</v>
      </c>
      <c r="G64" s="260">
        <f t="shared" si="27"/>
        <v>20000</v>
      </c>
      <c r="H64" s="261">
        <f t="shared" si="27"/>
        <v>20000</v>
      </c>
    </row>
    <row r="65" spans="2:8" s="256" customFormat="1" x14ac:dyDescent="0.2">
      <c r="B65" s="270" t="s">
        <v>425</v>
      </c>
      <c r="C65" s="271">
        <f>MEDIAN(C$60,C$61,C$62)</f>
        <v>14658</v>
      </c>
      <c r="D65" s="271">
        <f t="shared" ref="D65:H65" si="28">MEDIAN(D$60,D$61,D$62)</f>
        <v>12000</v>
      </c>
      <c r="E65" s="271">
        <f t="shared" si="28"/>
        <v>12000</v>
      </c>
      <c r="F65" s="271">
        <f t="shared" si="28"/>
        <v>12000</v>
      </c>
      <c r="G65" s="271">
        <f t="shared" si="28"/>
        <v>12000</v>
      </c>
      <c r="H65" s="272">
        <f t="shared" si="28"/>
        <v>12000</v>
      </c>
    </row>
    <row r="66" spans="2:8" s="256" customFormat="1" ht="15" thickBot="1" x14ac:dyDescent="0.25">
      <c r="B66" s="267" t="s">
        <v>423</v>
      </c>
      <c r="C66" s="289">
        <f>MIN(C$60,C$61,C$62)</f>
        <v>9137</v>
      </c>
      <c r="D66" s="289">
        <f t="shared" ref="D66:H66" si="29">MIN(D$60,D$61,D$62)</f>
        <v>6855</v>
      </c>
      <c r="E66" s="289">
        <f t="shared" si="29"/>
        <v>5597</v>
      </c>
      <c r="F66" s="289">
        <f t="shared" si="29"/>
        <v>5597</v>
      </c>
      <c r="G66" s="289">
        <f t="shared" si="29"/>
        <v>5597</v>
      </c>
      <c r="H66" s="290">
        <f t="shared" si="29"/>
        <v>5597</v>
      </c>
    </row>
  </sheetData>
  <pageMargins left="0.7" right="0.7" top="0.75" bottom="0.75" header="0.3" footer="0.3"/>
  <ignoredErrors>
    <ignoredError sqref="F50:H52 F42:H46 F28:H29 F27:H27 F26:H26 F30:H32"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0968B-CCEC-4CB8-9F6E-68FBD68798A3}">
  <sheetPr>
    <tabColor theme="4" tint="0.39997558519241921"/>
  </sheetPr>
  <dimension ref="A1"/>
  <sheetViews>
    <sheetView workbookViewId="0"/>
  </sheetViews>
  <sheetFormatPr defaultRowHeight="14.2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Base Financials</vt:lpstr>
      <vt:lpstr>3-Statement Model</vt:lpstr>
      <vt:lpstr>FCF</vt:lpstr>
      <vt:lpstr>Revenue Drivers</vt:lpstr>
      <vt:lpstr>Street Consensus</vt:lpstr>
      <vt:lpstr>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Felix Garcia</dc:creator>
  <cp:lastModifiedBy>Felix Garcia</cp:lastModifiedBy>
  <dcterms:created xsi:type="dcterms:W3CDTF">2024-08-10T06:01:52Z</dcterms:created>
  <dcterms:modified xsi:type="dcterms:W3CDTF">2025-10-26T20:33:40Z</dcterms:modified>
</cp:coreProperties>
</file>