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13_ncr:1_{FE6F37EE-612D-4293-B2D1-BDFFDB0DCB8F}" xr6:coauthVersionLast="47" xr6:coauthVersionMax="47" xr10:uidLastSave="{00000000-0000-0000-0000-000000000000}"/>
  <bookViews>
    <workbookView xWindow="-120" yWindow="-120" windowWidth="29040" windowHeight="15720" activeTab="1" xr2:uid="{BC9106CE-9107-4097-8948-317996376CB5}"/>
  </bookViews>
  <sheets>
    <sheet name="Historical Financials" sheetId="8" r:id="rId1"/>
    <sheet name="Revenue Drivers" sheetId="10" r:id="rId2"/>
    <sheet name="FCF" sheetId="9" r:id="rId3"/>
  </sheets>
  <externalReferences>
    <externalReference r:id="rId4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1" i="9" l="1"/>
  <c r="AH51" i="9"/>
  <c r="AG51" i="9"/>
  <c r="AF51" i="9"/>
  <c r="AE51" i="9"/>
  <c r="AD51" i="9"/>
  <c r="AC51" i="9"/>
  <c r="AB51" i="9"/>
  <c r="AA51" i="9"/>
  <c r="Z51" i="9"/>
  <c r="Y51" i="9"/>
  <c r="X51" i="9"/>
  <c r="AI50" i="9"/>
  <c r="AH50" i="9"/>
  <c r="AG50" i="9"/>
  <c r="AF50" i="9"/>
  <c r="AF52" i="9" s="1"/>
  <c r="AE50" i="9"/>
  <c r="AD50" i="9"/>
  <c r="AC50" i="9"/>
  <c r="AB50" i="9"/>
  <c r="AA50" i="9"/>
  <c r="Z50" i="9"/>
  <c r="Y50" i="9"/>
  <c r="X50" i="9"/>
  <c r="X52" i="9" s="1"/>
  <c r="AI49" i="9"/>
  <c r="AH49" i="9"/>
  <c r="AG49" i="9"/>
  <c r="AF49" i="9"/>
  <c r="AE49" i="9"/>
  <c r="AD49" i="9"/>
  <c r="AC49" i="9"/>
  <c r="AB49" i="9"/>
  <c r="AB52" i="9" s="1"/>
  <c r="AA49" i="9"/>
  <c r="Z49" i="9"/>
  <c r="Y49" i="9"/>
  <c r="X4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AI18" i="9"/>
  <c r="AH18" i="9"/>
  <c r="AG18" i="9"/>
  <c r="AF18" i="9"/>
  <c r="AE18" i="9"/>
  <c r="AD18" i="9"/>
  <c r="AC18" i="9"/>
  <c r="AB18" i="9"/>
  <c r="AA18" i="9"/>
  <c r="Z18" i="9"/>
  <c r="Y18" i="9"/>
  <c r="X18" i="9"/>
  <c r="AI17" i="9"/>
  <c r="AH17" i="9"/>
  <c r="AG17" i="9"/>
  <c r="AF17" i="9"/>
  <c r="AE17" i="9"/>
  <c r="AD17" i="9"/>
  <c r="AC17" i="9"/>
  <c r="AB17" i="9"/>
  <c r="AA17" i="9"/>
  <c r="Z17" i="9"/>
  <c r="Y17" i="9"/>
  <c r="X17" i="9"/>
  <c r="AI16" i="9"/>
  <c r="AH16" i="9"/>
  <c r="AG16" i="9"/>
  <c r="AF16" i="9"/>
  <c r="AE16" i="9"/>
  <c r="AD16" i="9"/>
  <c r="AC16" i="9"/>
  <c r="AB16" i="9"/>
  <c r="AA16" i="9"/>
  <c r="Z16" i="9"/>
  <c r="Y16" i="9"/>
  <c r="X16" i="9"/>
  <c r="AI27" i="9"/>
  <c r="AH27" i="9"/>
  <c r="AG27" i="9"/>
  <c r="AF27" i="9"/>
  <c r="AE27" i="9"/>
  <c r="AD27" i="9"/>
  <c r="AC27" i="9"/>
  <c r="AB27" i="9"/>
  <c r="AA27" i="9"/>
  <c r="Z27" i="9"/>
  <c r="Y27" i="9"/>
  <c r="X27" i="9"/>
  <c r="AI34" i="9"/>
  <c r="AH34" i="9"/>
  <c r="AG34" i="9"/>
  <c r="AF34" i="9"/>
  <c r="AE34" i="9"/>
  <c r="AD34" i="9"/>
  <c r="AC34" i="9"/>
  <c r="AB34" i="9"/>
  <c r="AA34" i="9"/>
  <c r="Z34" i="9"/>
  <c r="Y34" i="9"/>
  <c r="X34" i="9"/>
  <c r="AI33" i="9"/>
  <c r="AH33" i="9"/>
  <c r="AG33" i="9"/>
  <c r="AF33" i="9"/>
  <c r="AE33" i="9"/>
  <c r="AD33" i="9"/>
  <c r="AC33" i="9"/>
  <c r="AB33" i="9"/>
  <c r="AA33" i="9"/>
  <c r="Z33" i="9"/>
  <c r="Y33" i="9"/>
  <c r="X33" i="9"/>
  <c r="AI32" i="9"/>
  <c r="AH32" i="9"/>
  <c r="AG32" i="9"/>
  <c r="AF32" i="9"/>
  <c r="AE32" i="9"/>
  <c r="AD32" i="9"/>
  <c r="AC32" i="9"/>
  <c r="AB32" i="9"/>
  <c r="AA32" i="9"/>
  <c r="Z32" i="9"/>
  <c r="Y32" i="9"/>
  <c r="X32" i="9"/>
  <c r="AI31" i="9"/>
  <c r="AH31" i="9"/>
  <c r="AG31" i="9"/>
  <c r="AF31" i="9"/>
  <c r="AE31" i="9"/>
  <c r="AD31" i="9"/>
  <c r="AC31" i="9"/>
  <c r="AB31" i="9"/>
  <c r="AA31" i="9"/>
  <c r="Z31" i="9"/>
  <c r="Y31" i="9"/>
  <c r="X31" i="9"/>
  <c r="AI43" i="9"/>
  <c r="AH43" i="9"/>
  <c r="AG43" i="9"/>
  <c r="AF43" i="9"/>
  <c r="AE43" i="9"/>
  <c r="AD43" i="9"/>
  <c r="AC43" i="9"/>
  <c r="AB43" i="9"/>
  <c r="AA43" i="9"/>
  <c r="Z43" i="9"/>
  <c r="Y43" i="9"/>
  <c r="X43" i="9"/>
  <c r="AI42" i="9"/>
  <c r="AH42" i="9"/>
  <c r="AG42" i="9"/>
  <c r="AF42" i="9"/>
  <c r="AE42" i="9"/>
  <c r="AD42" i="9"/>
  <c r="AC42" i="9"/>
  <c r="AB42" i="9"/>
  <c r="AA42" i="9"/>
  <c r="Z42" i="9"/>
  <c r="Y42" i="9"/>
  <c r="X42" i="9"/>
  <c r="AI41" i="9"/>
  <c r="AH41" i="9"/>
  <c r="AG41" i="9"/>
  <c r="AF41" i="9"/>
  <c r="AE41" i="9"/>
  <c r="AD41" i="9"/>
  <c r="AC41" i="9"/>
  <c r="AB41" i="9"/>
  <c r="AA41" i="9"/>
  <c r="Z41" i="9"/>
  <c r="Y41" i="9"/>
  <c r="X41" i="9"/>
  <c r="AI40" i="9"/>
  <c r="AH40" i="9"/>
  <c r="AG40" i="9"/>
  <c r="AF40" i="9"/>
  <c r="AE40" i="9"/>
  <c r="AD40" i="9"/>
  <c r="AC40" i="9"/>
  <c r="AB40" i="9"/>
  <c r="AA40" i="9"/>
  <c r="Z40" i="9"/>
  <c r="Y40" i="9"/>
  <c r="X40" i="9"/>
  <c r="AI39" i="9"/>
  <c r="AH39" i="9"/>
  <c r="AG39" i="9"/>
  <c r="AF39" i="9"/>
  <c r="AE39" i="9"/>
  <c r="AD39" i="9"/>
  <c r="AC39" i="9"/>
  <c r="AB39" i="9"/>
  <c r="AA39" i="9"/>
  <c r="Z39" i="9"/>
  <c r="Y39" i="9"/>
  <c r="X39" i="9"/>
  <c r="AI38" i="9"/>
  <c r="AH38" i="9"/>
  <c r="AG38" i="9"/>
  <c r="AF38" i="9"/>
  <c r="AE38" i="9"/>
  <c r="AD38" i="9"/>
  <c r="AC38" i="9"/>
  <c r="AB38" i="9"/>
  <c r="AA38" i="9"/>
  <c r="Z38" i="9"/>
  <c r="Y38" i="9"/>
  <c r="X38" i="9"/>
  <c r="AB8" i="9"/>
  <c r="AA8" i="9"/>
  <c r="Z8" i="9"/>
  <c r="Y8" i="9"/>
  <c r="X8" i="9"/>
  <c r="AC8" i="9"/>
  <c r="AK18" i="9"/>
  <c r="AK17" i="9"/>
  <c r="S33" i="9"/>
  <c r="O33" i="9"/>
  <c r="K33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F66" i="9"/>
  <c r="E66" i="9"/>
  <c r="D66" i="9"/>
  <c r="C66" i="9"/>
  <c r="S63" i="9"/>
  <c r="AF63" i="9" s="1"/>
  <c r="O63" i="9"/>
  <c r="AB63" i="9" s="1"/>
  <c r="K63" i="9"/>
  <c r="AI52" i="9"/>
  <c r="AH52" i="9"/>
  <c r="AG52" i="9"/>
  <c r="AE52" i="9"/>
  <c r="AD52" i="9"/>
  <c r="AC52" i="9"/>
  <c r="AA52" i="9"/>
  <c r="Z52" i="9"/>
  <c r="Y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Y63" i="9"/>
  <c r="AC63" i="9"/>
  <c r="AE63" i="9"/>
  <c r="AG63" i="9"/>
  <c r="X63" i="9"/>
  <c r="Z63" i="9"/>
  <c r="AA63" i="9"/>
  <c r="AD63" i="9"/>
  <c r="AH63" i="9"/>
  <c r="AI63" i="9"/>
  <c r="H64" i="9"/>
  <c r="H67" i="9" s="1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F49" i="9"/>
  <c r="E49" i="9"/>
  <c r="D49" i="9"/>
  <c r="C49" i="9"/>
  <c r="AH134" i="8"/>
  <c r="AG134" i="8"/>
  <c r="AF134" i="8"/>
  <c r="AE134" i="8"/>
  <c r="AD134" i="8"/>
  <c r="AC134" i="8"/>
  <c r="AB134" i="8"/>
  <c r="AA134" i="8"/>
  <c r="Z134" i="8"/>
  <c r="Y134" i="8"/>
  <c r="X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F134" i="8"/>
  <c r="E134" i="8"/>
  <c r="D134" i="8"/>
  <c r="E127" i="8"/>
  <c r="V130" i="8"/>
  <c r="U130" i="8"/>
  <c r="V127" i="8" s="1"/>
  <c r="K130" i="8"/>
  <c r="D126" i="8"/>
  <c r="D130" i="8"/>
  <c r="D45" i="8"/>
  <c r="E45" i="8"/>
  <c r="E48" i="9" s="1"/>
  <c r="F45" i="8"/>
  <c r="L45" i="8"/>
  <c r="X45" i="8" s="1"/>
  <c r="M45" i="8"/>
  <c r="M48" i="9" s="1"/>
  <c r="N45" i="8"/>
  <c r="N48" i="9" s="1"/>
  <c r="P45" i="8"/>
  <c r="P48" i="9" s="1"/>
  <c r="Q45" i="8"/>
  <c r="R45" i="8"/>
  <c r="T130" i="8"/>
  <c r="R130" i="8"/>
  <c r="Q130" i="8"/>
  <c r="P130" i="8"/>
  <c r="N130" i="8"/>
  <c r="M130" i="8"/>
  <c r="L130" i="8"/>
  <c r="J130" i="8"/>
  <c r="I130" i="8"/>
  <c r="H130" i="8"/>
  <c r="F130" i="8"/>
  <c r="E130" i="8"/>
  <c r="O130" i="8" s="1"/>
  <c r="P127" i="8" s="1"/>
  <c r="T45" i="8"/>
  <c r="U45" i="8"/>
  <c r="V45" i="8"/>
  <c r="K46" i="8"/>
  <c r="O46" i="8"/>
  <c r="S46" i="8"/>
  <c r="AE46" i="8" s="1"/>
  <c r="AH46" i="8"/>
  <c r="AG46" i="8"/>
  <c r="AF46" i="8"/>
  <c r="AD46" i="8"/>
  <c r="V59" i="9"/>
  <c r="U59" i="9"/>
  <c r="T59" i="9"/>
  <c r="R59" i="9"/>
  <c r="Q59" i="9"/>
  <c r="P59" i="9"/>
  <c r="O59" i="9"/>
  <c r="N59" i="9"/>
  <c r="M59" i="9"/>
  <c r="L59" i="9"/>
  <c r="J59" i="9"/>
  <c r="I59" i="9"/>
  <c r="V58" i="9"/>
  <c r="U58" i="9"/>
  <c r="AH58" i="9" s="1"/>
  <c r="T58" i="9"/>
  <c r="AG58" i="9" s="1"/>
  <c r="R58" i="9"/>
  <c r="Q58" i="9"/>
  <c r="AD58" i="9" s="1"/>
  <c r="P58" i="9"/>
  <c r="N58" i="9"/>
  <c r="AA58" i="9" s="1"/>
  <c r="M58" i="9"/>
  <c r="Z58" i="9" s="1"/>
  <c r="L58" i="9"/>
  <c r="J58" i="9"/>
  <c r="I58" i="9"/>
  <c r="V57" i="9"/>
  <c r="U57" i="9"/>
  <c r="T57" i="9"/>
  <c r="R57" i="9"/>
  <c r="Q57" i="9"/>
  <c r="P57" i="9"/>
  <c r="N57" i="9"/>
  <c r="M57" i="9"/>
  <c r="L57" i="9"/>
  <c r="J57" i="9"/>
  <c r="I57" i="9"/>
  <c r="V56" i="9"/>
  <c r="U56" i="9"/>
  <c r="T56" i="9"/>
  <c r="R56" i="9"/>
  <c r="Q56" i="9"/>
  <c r="P56" i="9"/>
  <c r="N56" i="9"/>
  <c r="M56" i="9"/>
  <c r="L56" i="9"/>
  <c r="J56" i="9"/>
  <c r="I56" i="9"/>
  <c r="V55" i="9"/>
  <c r="U55" i="9"/>
  <c r="T55" i="9"/>
  <c r="R55" i="9"/>
  <c r="Q55" i="9"/>
  <c r="P55" i="9"/>
  <c r="N55" i="9"/>
  <c r="M55" i="9"/>
  <c r="L55" i="9"/>
  <c r="J55" i="9"/>
  <c r="I55" i="9"/>
  <c r="H59" i="9"/>
  <c r="H58" i="9"/>
  <c r="H57" i="9"/>
  <c r="H56" i="9"/>
  <c r="H55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C59" i="9"/>
  <c r="C58" i="9"/>
  <c r="AI58" i="9"/>
  <c r="AE58" i="9"/>
  <c r="AC58" i="9"/>
  <c r="Y58" i="9"/>
  <c r="C57" i="9"/>
  <c r="C56" i="9"/>
  <c r="C55" i="9"/>
  <c r="V51" i="9"/>
  <c r="U51" i="9"/>
  <c r="T51" i="9"/>
  <c r="R51" i="9"/>
  <c r="Q51" i="9"/>
  <c r="P51" i="9"/>
  <c r="N51" i="9"/>
  <c r="M51" i="9"/>
  <c r="L51" i="9"/>
  <c r="J51" i="9"/>
  <c r="I51" i="9"/>
  <c r="H51" i="9"/>
  <c r="F51" i="9"/>
  <c r="E51" i="9"/>
  <c r="D51" i="9"/>
  <c r="C51" i="9"/>
  <c r="V50" i="9"/>
  <c r="U50" i="9"/>
  <c r="T50" i="9"/>
  <c r="S50" i="9"/>
  <c r="R50" i="9"/>
  <c r="Q50" i="9"/>
  <c r="P50" i="9"/>
  <c r="N50" i="9"/>
  <c r="M50" i="9"/>
  <c r="L50" i="9"/>
  <c r="K50" i="9"/>
  <c r="J50" i="9"/>
  <c r="I50" i="9"/>
  <c r="H50" i="9"/>
  <c r="F50" i="9"/>
  <c r="E50" i="9"/>
  <c r="D50" i="9"/>
  <c r="C50" i="9"/>
  <c r="V48" i="9"/>
  <c r="U48" i="9"/>
  <c r="T48" i="9"/>
  <c r="R48" i="9"/>
  <c r="Q48" i="9"/>
  <c r="J48" i="9"/>
  <c r="I48" i="9"/>
  <c r="H48" i="9"/>
  <c r="F48" i="9"/>
  <c r="D48" i="9"/>
  <c r="C48" i="9"/>
  <c r="U42" i="9"/>
  <c r="T42" i="9"/>
  <c r="L42" i="9"/>
  <c r="I42" i="9"/>
  <c r="V41" i="9"/>
  <c r="U41" i="9"/>
  <c r="T41" i="9"/>
  <c r="P41" i="9"/>
  <c r="L41" i="9"/>
  <c r="J41" i="9"/>
  <c r="I41" i="9"/>
  <c r="H41" i="9"/>
  <c r="F41" i="9"/>
  <c r="E41" i="9"/>
  <c r="D41" i="9"/>
  <c r="C41" i="9"/>
  <c r="T40" i="9"/>
  <c r="P40" i="9"/>
  <c r="L40" i="9"/>
  <c r="I40" i="9"/>
  <c r="H40" i="9"/>
  <c r="F40" i="9"/>
  <c r="E40" i="9"/>
  <c r="D40" i="9"/>
  <c r="C40" i="9"/>
  <c r="T39" i="9"/>
  <c r="R39" i="9"/>
  <c r="Q39" i="9"/>
  <c r="P39" i="9"/>
  <c r="N39" i="9"/>
  <c r="M39" i="9"/>
  <c r="L39" i="9"/>
  <c r="J39" i="9"/>
  <c r="I39" i="9"/>
  <c r="H39" i="9"/>
  <c r="F39" i="9"/>
  <c r="E39" i="9"/>
  <c r="D39" i="9"/>
  <c r="C39" i="9"/>
  <c r="T38" i="9"/>
  <c r="Q38" i="9"/>
  <c r="P38" i="9"/>
  <c r="L38" i="9"/>
  <c r="H38" i="9"/>
  <c r="F38" i="9"/>
  <c r="E38" i="9"/>
  <c r="D38" i="9"/>
  <c r="C38" i="9"/>
  <c r="P37" i="9"/>
  <c r="L37" i="9"/>
  <c r="J37" i="9"/>
  <c r="H37" i="9"/>
  <c r="E37" i="9"/>
  <c r="D37" i="9"/>
  <c r="C37" i="9"/>
  <c r="T34" i="9"/>
  <c r="P34" i="9"/>
  <c r="L34" i="9"/>
  <c r="H34" i="9"/>
  <c r="F34" i="9"/>
  <c r="E34" i="9"/>
  <c r="D34" i="9"/>
  <c r="C34" i="9"/>
  <c r="V32" i="9"/>
  <c r="U32" i="9"/>
  <c r="T32" i="9"/>
  <c r="R32" i="9"/>
  <c r="Q32" i="9"/>
  <c r="P32" i="9"/>
  <c r="N32" i="9"/>
  <c r="M32" i="9"/>
  <c r="L32" i="9"/>
  <c r="J32" i="9"/>
  <c r="I32" i="9"/>
  <c r="H32" i="9"/>
  <c r="F32" i="9"/>
  <c r="E32" i="9"/>
  <c r="D32" i="9"/>
  <c r="C32" i="9"/>
  <c r="T31" i="9"/>
  <c r="Q31" i="9"/>
  <c r="P31" i="9"/>
  <c r="L31" i="9"/>
  <c r="I31" i="9"/>
  <c r="H31" i="9"/>
  <c r="F31" i="9"/>
  <c r="E31" i="9"/>
  <c r="D31" i="9"/>
  <c r="C31" i="9"/>
  <c r="T27" i="9"/>
  <c r="P27" i="9"/>
  <c r="L27" i="9"/>
  <c r="H27" i="9"/>
  <c r="F27" i="9"/>
  <c r="E27" i="9"/>
  <c r="D27" i="9"/>
  <c r="C27" i="9"/>
  <c r="V19" i="9"/>
  <c r="V23" i="9" s="1"/>
  <c r="U19" i="9"/>
  <c r="U23" i="9" s="1"/>
  <c r="T19" i="9"/>
  <c r="T23" i="9" s="1"/>
  <c r="S19" i="9"/>
  <c r="S23" i="9" s="1"/>
  <c r="R19" i="9"/>
  <c r="R23" i="9" s="1"/>
  <c r="Q19" i="9"/>
  <c r="Q23" i="9" s="1"/>
  <c r="P19" i="9"/>
  <c r="P23" i="9" s="1"/>
  <c r="O19" i="9"/>
  <c r="O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F19" i="9"/>
  <c r="F23" i="9" s="1"/>
  <c r="E19" i="9"/>
  <c r="E23" i="9" s="1"/>
  <c r="D19" i="9"/>
  <c r="D23" i="9" s="1"/>
  <c r="C19" i="9"/>
  <c r="C23" i="9" s="1"/>
  <c r="V18" i="9"/>
  <c r="U18" i="9"/>
  <c r="T18" i="9"/>
  <c r="S18" i="9"/>
  <c r="R18" i="9"/>
  <c r="Q18" i="9"/>
  <c r="P18" i="9"/>
  <c r="N18" i="9"/>
  <c r="M18" i="9"/>
  <c r="L18" i="9"/>
  <c r="K18" i="9"/>
  <c r="J18" i="9"/>
  <c r="I18" i="9"/>
  <c r="H18" i="9"/>
  <c r="F18" i="9"/>
  <c r="E18" i="9"/>
  <c r="D18" i="9"/>
  <c r="C18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F17" i="9"/>
  <c r="E17" i="9"/>
  <c r="D17" i="9"/>
  <c r="C17" i="9"/>
  <c r="V16" i="9"/>
  <c r="U16" i="9"/>
  <c r="T16" i="9"/>
  <c r="R16" i="9"/>
  <c r="Q16" i="9"/>
  <c r="P16" i="9"/>
  <c r="N16" i="9"/>
  <c r="M16" i="9"/>
  <c r="L16" i="9"/>
  <c r="K16" i="9"/>
  <c r="J16" i="9"/>
  <c r="I16" i="9"/>
  <c r="H16" i="9"/>
  <c r="F16" i="9"/>
  <c r="E16" i="9"/>
  <c r="D16" i="9"/>
  <c r="C16" i="9"/>
  <c r="V12" i="9"/>
  <c r="U12" i="9"/>
  <c r="T12" i="9"/>
  <c r="R12" i="9"/>
  <c r="Q12" i="9"/>
  <c r="P12" i="9"/>
  <c r="N12" i="9"/>
  <c r="M12" i="9"/>
  <c r="L12" i="9"/>
  <c r="J12" i="9"/>
  <c r="I12" i="9"/>
  <c r="H12" i="9"/>
  <c r="F12" i="9"/>
  <c r="E12" i="9"/>
  <c r="D12" i="9"/>
  <c r="C12" i="9"/>
  <c r="U7" i="9"/>
  <c r="T7" i="9"/>
  <c r="S7" i="9"/>
  <c r="R7" i="9"/>
  <c r="Q7" i="9"/>
  <c r="P7" i="9"/>
  <c r="U6" i="9"/>
  <c r="T6" i="9"/>
  <c r="S6" i="9"/>
  <c r="R6" i="9"/>
  <c r="Q6" i="9"/>
  <c r="P6" i="9"/>
  <c r="V7" i="9"/>
  <c r="V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AJ76" i="8"/>
  <c r="AJ72" i="8"/>
  <c r="AJ49" i="8"/>
  <c r="AH30" i="8"/>
  <c r="AG30" i="8"/>
  <c r="AE30" i="8"/>
  <c r="AD26" i="8"/>
  <c r="AC26" i="8"/>
  <c r="AB26" i="8"/>
  <c r="Z26" i="8"/>
  <c r="Y25" i="8"/>
  <c r="X25" i="8"/>
  <c r="AH24" i="8"/>
  <c r="AF24" i="8"/>
  <c r="AE20" i="8"/>
  <c r="AC20" i="8"/>
  <c r="AA20" i="8"/>
  <c r="AH19" i="8"/>
  <c r="AG19" i="8"/>
  <c r="AF19" i="8"/>
  <c r="X19" i="8"/>
  <c r="AG18" i="8"/>
  <c r="Y18" i="8"/>
  <c r="X17" i="8"/>
  <c r="Y13" i="8"/>
  <c r="AH10" i="8"/>
  <c r="AD10" i="8"/>
  <c r="AC10" i="8"/>
  <c r="AB10" i="8"/>
  <c r="X122" i="8"/>
  <c r="AD116" i="8"/>
  <c r="AC116" i="8"/>
  <c r="AB116" i="8"/>
  <c r="AA116" i="8"/>
  <c r="Y116" i="8"/>
  <c r="X112" i="8"/>
  <c r="Y106" i="8"/>
  <c r="X106" i="8"/>
  <c r="Z103" i="8"/>
  <c r="Y103" i="8"/>
  <c r="AF98" i="8"/>
  <c r="X98" i="8"/>
  <c r="H4" i="10"/>
  <c r="I4" i="10"/>
  <c r="J4" i="10"/>
  <c r="K4" i="10"/>
  <c r="L4" i="10"/>
  <c r="X4" i="10" s="1"/>
  <c r="M4" i="10"/>
  <c r="Y4" i="10" s="1"/>
  <c r="N4" i="10"/>
  <c r="Z4" i="10" s="1"/>
  <c r="O4" i="10"/>
  <c r="AA4" i="10" s="1"/>
  <c r="S14" i="10"/>
  <c r="AG14" i="10" s="1"/>
  <c r="S13" i="10"/>
  <c r="AD13" i="10" s="1"/>
  <c r="S8" i="10"/>
  <c r="AF8" i="10" s="1"/>
  <c r="S7" i="10"/>
  <c r="AG7" i="10" s="1"/>
  <c r="Z7" i="10"/>
  <c r="U116" i="8"/>
  <c r="V122" i="8"/>
  <c r="V115" i="8"/>
  <c r="V113" i="8"/>
  <c r="S116" i="8"/>
  <c r="O116" i="8"/>
  <c r="O39" i="9" s="1"/>
  <c r="K116" i="8"/>
  <c r="K39" i="9" s="1"/>
  <c r="U117" i="8"/>
  <c r="U40" i="9" s="1"/>
  <c r="R117" i="8"/>
  <c r="Q117" i="8"/>
  <c r="M117" i="8"/>
  <c r="I117" i="8"/>
  <c r="U96" i="8"/>
  <c r="U97" i="8"/>
  <c r="U27" i="9" s="1"/>
  <c r="U98" i="8"/>
  <c r="U99" i="8"/>
  <c r="V99" i="8" s="1"/>
  <c r="U100" i="8"/>
  <c r="V100" i="8" s="1"/>
  <c r="V42" i="9" s="1"/>
  <c r="U103" i="8"/>
  <c r="U104" i="8"/>
  <c r="V104" i="8" s="1"/>
  <c r="U105" i="8"/>
  <c r="U106" i="8"/>
  <c r="V106" i="8" s="1"/>
  <c r="U107" i="8"/>
  <c r="U108" i="8"/>
  <c r="U112" i="8"/>
  <c r="V112" i="8" s="1"/>
  <c r="U113" i="8"/>
  <c r="U114" i="8"/>
  <c r="U38" i="9" s="1"/>
  <c r="U115" i="8"/>
  <c r="P100" i="8"/>
  <c r="L100" i="8"/>
  <c r="H100" i="8"/>
  <c r="I100" i="8" s="1"/>
  <c r="J100" i="8" s="1"/>
  <c r="J42" i="9" s="1"/>
  <c r="F100" i="8"/>
  <c r="F42" i="9" s="1"/>
  <c r="E100" i="8"/>
  <c r="E42" i="9" s="1"/>
  <c r="D100" i="8"/>
  <c r="D42" i="9" s="1"/>
  <c r="C100" i="8"/>
  <c r="C42" i="9" s="1"/>
  <c r="C121" i="8"/>
  <c r="T121" i="8"/>
  <c r="T37" i="9" s="1"/>
  <c r="H121" i="8"/>
  <c r="I121" i="8" s="1"/>
  <c r="J121" i="8" s="1"/>
  <c r="F121" i="8"/>
  <c r="F37" i="9" s="1"/>
  <c r="P121" i="8"/>
  <c r="Q121" i="8" s="1"/>
  <c r="R121" i="8" s="1"/>
  <c r="R37" i="9" s="1"/>
  <c r="S130" i="8"/>
  <c r="U127" i="8"/>
  <c r="V26" i="8"/>
  <c r="AH26" i="8" s="1"/>
  <c r="AJ26" i="8" s="1"/>
  <c r="U20" i="8"/>
  <c r="C26" i="8"/>
  <c r="AH71" i="8"/>
  <c r="AG71" i="8"/>
  <c r="AF71" i="8"/>
  <c r="AD71" i="8"/>
  <c r="AC71" i="8"/>
  <c r="AB71" i="8"/>
  <c r="Z71" i="8"/>
  <c r="Y71" i="8"/>
  <c r="X71" i="8"/>
  <c r="AH80" i="8"/>
  <c r="AJ80" i="8" s="1"/>
  <c r="AG80" i="8"/>
  <c r="AF80" i="8"/>
  <c r="AD80" i="8"/>
  <c r="AC80" i="8"/>
  <c r="AB80" i="8"/>
  <c r="Z80" i="8"/>
  <c r="Y80" i="8"/>
  <c r="X80" i="8"/>
  <c r="V81" i="8"/>
  <c r="U81" i="8"/>
  <c r="T81" i="8"/>
  <c r="R81" i="8"/>
  <c r="Q81" i="8"/>
  <c r="P81" i="8"/>
  <c r="N81" i="8"/>
  <c r="M81" i="8"/>
  <c r="L81" i="8"/>
  <c r="J81" i="8"/>
  <c r="I81" i="8"/>
  <c r="H81" i="8"/>
  <c r="F81" i="8"/>
  <c r="S80" i="8"/>
  <c r="AE80" i="8" s="1"/>
  <c r="E81" i="8"/>
  <c r="O80" i="8"/>
  <c r="AA80" i="8" s="1"/>
  <c r="D81" i="8"/>
  <c r="K80" i="8"/>
  <c r="C81" i="8"/>
  <c r="R73" i="8"/>
  <c r="AD73" i="8" s="1"/>
  <c r="Q73" i="8"/>
  <c r="AC73" i="8" s="1"/>
  <c r="P73" i="8"/>
  <c r="AB73" i="8" s="1"/>
  <c r="N73" i="8"/>
  <c r="Z73" i="8" s="1"/>
  <c r="M73" i="8"/>
  <c r="Y73" i="8" s="1"/>
  <c r="L73" i="8"/>
  <c r="X73" i="8" s="1"/>
  <c r="J73" i="8"/>
  <c r="F73" i="8"/>
  <c r="S73" i="8" s="1"/>
  <c r="AE73" i="8" s="1"/>
  <c r="E73" i="8"/>
  <c r="O73" i="8" s="1"/>
  <c r="AA73" i="8" s="1"/>
  <c r="D73" i="8"/>
  <c r="K73" i="8" s="1"/>
  <c r="AB7" i="10"/>
  <c r="Y7" i="10"/>
  <c r="X7" i="10"/>
  <c r="V15" i="10"/>
  <c r="V16" i="10" s="1"/>
  <c r="V9" i="10"/>
  <c r="V4" i="10"/>
  <c r="AG4" i="10" s="1"/>
  <c r="V3" i="10"/>
  <c r="AG3" i="10" s="1"/>
  <c r="U4" i="10"/>
  <c r="AF4" i="10" s="1"/>
  <c r="T4" i="10"/>
  <c r="AE4" i="10" s="1"/>
  <c r="S4" i="10"/>
  <c r="AD4" i="10" s="1"/>
  <c r="R4" i="10"/>
  <c r="Q4" i="10"/>
  <c r="AC4" i="10" s="1"/>
  <c r="P4" i="10"/>
  <c r="AB4" i="10" s="1"/>
  <c r="U3" i="10"/>
  <c r="AF3" i="10" s="1"/>
  <c r="T3" i="10"/>
  <c r="AE3" i="10" s="1"/>
  <c r="S3" i="10"/>
  <c r="AD3" i="10" s="1"/>
  <c r="R3" i="10"/>
  <c r="Q3" i="10"/>
  <c r="AC3" i="10" s="1"/>
  <c r="P3" i="10"/>
  <c r="AB3" i="10" s="1"/>
  <c r="O3" i="10"/>
  <c r="AA3" i="10" s="1"/>
  <c r="N3" i="10"/>
  <c r="Z3" i="10" s="1"/>
  <c r="M3" i="10"/>
  <c r="Y3" i="10" s="1"/>
  <c r="L3" i="10"/>
  <c r="X3" i="10" s="1"/>
  <c r="K3" i="10"/>
  <c r="J3" i="10"/>
  <c r="I3" i="10"/>
  <c r="H3" i="10"/>
  <c r="I127" i="8"/>
  <c r="I115" i="8"/>
  <c r="J115" i="8" s="1"/>
  <c r="I114" i="8"/>
  <c r="J114" i="8" s="1"/>
  <c r="K114" i="8" s="1"/>
  <c r="I113" i="8"/>
  <c r="I112" i="8"/>
  <c r="J112" i="8" s="1"/>
  <c r="K112" i="8" s="1"/>
  <c r="M115" i="8"/>
  <c r="M114" i="8"/>
  <c r="M113" i="8"/>
  <c r="M112" i="8"/>
  <c r="Q115" i="8"/>
  <c r="R115" i="8" s="1"/>
  <c r="Q114" i="8"/>
  <c r="R114" i="8" s="1"/>
  <c r="Q113" i="8"/>
  <c r="Q112" i="8"/>
  <c r="R112" i="8" s="1"/>
  <c r="Q122" i="8"/>
  <c r="M122" i="8"/>
  <c r="M41" i="9" s="1"/>
  <c r="M121" i="8"/>
  <c r="Q108" i="8"/>
  <c r="Q107" i="8"/>
  <c r="R107" i="8" s="1"/>
  <c r="Q106" i="8"/>
  <c r="R106" i="8" s="1"/>
  <c r="Q105" i="8"/>
  <c r="Q104" i="8"/>
  <c r="R104" i="8" s="1"/>
  <c r="Q103" i="8"/>
  <c r="M108" i="8"/>
  <c r="N108" i="8" s="1"/>
  <c r="M107" i="8"/>
  <c r="M106" i="8"/>
  <c r="M105" i="8"/>
  <c r="M104" i="8"/>
  <c r="N104" i="8" s="1"/>
  <c r="M103" i="8"/>
  <c r="N103" i="8" s="1"/>
  <c r="I108" i="8"/>
  <c r="J108" i="8" s="1"/>
  <c r="I107" i="8"/>
  <c r="I106" i="8"/>
  <c r="J106" i="8" s="1"/>
  <c r="K106" i="8" s="1"/>
  <c r="I105" i="8"/>
  <c r="I104" i="8"/>
  <c r="I103" i="8"/>
  <c r="J103" i="8" s="1"/>
  <c r="K103" i="8" s="1"/>
  <c r="Q99" i="8"/>
  <c r="R99" i="8" s="1"/>
  <c r="Q98" i="8"/>
  <c r="R98" i="8" s="1"/>
  <c r="S98" i="8" s="1"/>
  <c r="Q97" i="8"/>
  <c r="Q96" i="8"/>
  <c r="M99" i="8"/>
  <c r="M98" i="8"/>
  <c r="M97" i="8"/>
  <c r="M96" i="8"/>
  <c r="N96" i="8" s="1"/>
  <c r="I98" i="8"/>
  <c r="J98" i="8" s="1"/>
  <c r="K98" i="8" s="1"/>
  <c r="I97" i="8"/>
  <c r="J97" i="8" s="1"/>
  <c r="K97" i="8" s="1"/>
  <c r="K27" i="9" s="1"/>
  <c r="I96" i="8"/>
  <c r="S71" i="8"/>
  <c r="O71" i="8"/>
  <c r="K71" i="8"/>
  <c r="K58" i="9" s="1"/>
  <c r="X58" i="9" s="1"/>
  <c r="S20" i="8"/>
  <c r="AH20" i="8" s="1"/>
  <c r="S19" i="8"/>
  <c r="AE19" i="8" s="1"/>
  <c r="S18" i="8"/>
  <c r="AH18" i="8" s="1"/>
  <c r="AJ18" i="8" s="1"/>
  <c r="O20" i="8"/>
  <c r="AB20" i="8" s="1"/>
  <c r="O19" i="8"/>
  <c r="O18" i="9" s="1"/>
  <c r="O18" i="8"/>
  <c r="AD18" i="8" s="1"/>
  <c r="K20" i="8"/>
  <c r="K19" i="9" s="1"/>
  <c r="K23" i="9" s="1"/>
  <c r="K19" i="8"/>
  <c r="Y19" i="8" s="1"/>
  <c r="K18" i="8"/>
  <c r="Z18" i="8" s="1"/>
  <c r="AH79" i="8"/>
  <c r="AJ79" i="8" s="1"/>
  <c r="AG79" i="8"/>
  <c r="AF79" i="8"/>
  <c r="AD79" i="8"/>
  <c r="AC79" i="8"/>
  <c r="AB79" i="8"/>
  <c r="Z79" i="8"/>
  <c r="Y79" i="8"/>
  <c r="X79" i="8"/>
  <c r="AH78" i="8"/>
  <c r="AG78" i="8"/>
  <c r="AF78" i="8"/>
  <c r="AD78" i="8"/>
  <c r="AJ78" i="8" s="1"/>
  <c r="AC78" i="8"/>
  <c r="AB78" i="8"/>
  <c r="Z78" i="8"/>
  <c r="Y78" i="8"/>
  <c r="X78" i="8"/>
  <c r="AH77" i="8"/>
  <c r="AJ77" i="8" s="1"/>
  <c r="AG77" i="8"/>
  <c r="AF77" i="8"/>
  <c r="AD77" i="8"/>
  <c r="AC77" i="8"/>
  <c r="AB77" i="8"/>
  <c r="Z77" i="8"/>
  <c r="Y77" i="8"/>
  <c r="X77" i="8"/>
  <c r="AH76" i="8"/>
  <c r="AG76" i="8"/>
  <c r="AF76" i="8"/>
  <c r="AD76" i="8"/>
  <c r="AC76" i="8"/>
  <c r="AB76" i="8"/>
  <c r="Z76" i="8"/>
  <c r="Y76" i="8"/>
  <c r="X76" i="8"/>
  <c r="AH73" i="8"/>
  <c r="AJ73" i="8" s="1"/>
  <c r="AG73" i="8"/>
  <c r="AF73" i="8"/>
  <c r="AH72" i="8"/>
  <c r="AG72" i="8"/>
  <c r="AF72" i="8"/>
  <c r="AD72" i="8"/>
  <c r="AC72" i="8"/>
  <c r="AB72" i="8"/>
  <c r="Z72" i="8"/>
  <c r="Y72" i="8"/>
  <c r="X72" i="8"/>
  <c r="AH70" i="8"/>
  <c r="AJ70" i="8" s="1"/>
  <c r="AG70" i="8"/>
  <c r="AF70" i="8"/>
  <c r="AD70" i="8"/>
  <c r="AC70" i="8"/>
  <c r="AB70" i="8"/>
  <c r="Z70" i="8"/>
  <c r="Y70" i="8"/>
  <c r="X70" i="8"/>
  <c r="AH66" i="8"/>
  <c r="AJ66" i="8" s="1"/>
  <c r="AG66" i="8"/>
  <c r="AF66" i="8"/>
  <c r="AD66" i="8"/>
  <c r="AC66" i="8"/>
  <c r="AB66" i="8"/>
  <c r="Z66" i="8"/>
  <c r="Y66" i="8"/>
  <c r="X66" i="8"/>
  <c r="AH65" i="8"/>
  <c r="AJ65" i="8" s="1"/>
  <c r="AG65" i="8"/>
  <c r="AF65" i="8"/>
  <c r="AD65" i="8"/>
  <c r="AC65" i="8"/>
  <c r="AB65" i="8"/>
  <c r="Z65" i="8"/>
  <c r="Y65" i="8"/>
  <c r="X65" i="8"/>
  <c r="AH64" i="8"/>
  <c r="AJ64" i="8" s="1"/>
  <c r="AG64" i="8"/>
  <c r="AF64" i="8"/>
  <c r="AD64" i="8"/>
  <c r="AC64" i="8"/>
  <c r="AB64" i="8"/>
  <c r="Z64" i="8"/>
  <c r="Y64" i="8"/>
  <c r="X64" i="8"/>
  <c r="AH63" i="8"/>
  <c r="AJ63" i="8" s="1"/>
  <c r="AG63" i="8"/>
  <c r="AF63" i="8"/>
  <c r="AD63" i="8"/>
  <c r="AC63" i="8"/>
  <c r="AB63" i="8"/>
  <c r="Z63" i="8"/>
  <c r="Y63" i="8"/>
  <c r="X63" i="8"/>
  <c r="AH62" i="8"/>
  <c r="AJ62" i="8" s="1"/>
  <c r="AG62" i="8"/>
  <c r="AF62" i="8"/>
  <c r="AD62" i="8"/>
  <c r="AC62" i="8"/>
  <c r="AB62" i="8"/>
  <c r="Z62" i="8"/>
  <c r="Y62" i="8"/>
  <c r="X62" i="8"/>
  <c r="AH58" i="8"/>
  <c r="AJ58" i="8" s="1"/>
  <c r="AG58" i="8"/>
  <c r="AF58" i="8"/>
  <c r="AD58" i="8"/>
  <c r="AC58" i="8"/>
  <c r="AB58" i="8"/>
  <c r="Z58" i="8"/>
  <c r="Y58" i="8"/>
  <c r="X58" i="8"/>
  <c r="AH57" i="8"/>
  <c r="AG57" i="8"/>
  <c r="AF57" i="8"/>
  <c r="AD57" i="8"/>
  <c r="AC57" i="8"/>
  <c r="AB57" i="8"/>
  <c r="Z57" i="8"/>
  <c r="Y57" i="8"/>
  <c r="X57" i="8"/>
  <c r="AH56" i="8"/>
  <c r="AJ56" i="8" s="1"/>
  <c r="AG56" i="8"/>
  <c r="AF56" i="8"/>
  <c r="AD56" i="8"/>
  <c r="AC56" i="8"/>
  <c r="AB56" i="8"/>
  <c r="Z56" i="8"/>
  <c r="Y56" i="8"/>
  <c r="X56" i="8"/>
  <c r="AH55" i="8"/>
  <c r="AJ55" i="8" s="1"/>
  <c r="AG55" i="8"/>
  <c r="AF55" i="8"/>
  <c r="AD55" i="8"/>
  <c r="AC55" i="8"/>
  <c r="AB55" i="8"/>
  <c r="Z55" i="8"/>
  <c r="Y55" i="8"/>
  <c r="X55" i="8"/>
  <c r="AH54" i="8"/>
  <c r="AJ54" i="8" s="1"/>
  <c r="AG54" i="8"/>
  <c r="AF54" i="8"/>
  <c r="AD54" i="8"/>
  <c r="AC54" i="8"/>
  <c r="AB54" i="8"/>
  <c r="Z54" i="8"/>
  <c r="Y54" i="8"/>
  <c r="X54" i="8"/>
  <c r="AH53" i="8"/>
  <c r="AJ53" i="8" s="1"/>
  <c r="AG53" i="8"/>
  <c r="AF53" i="8"/>
  <c r="AD53" i="8"/>
  <c r="AC53" i="8"/>
  <c r="AB53" i="8"/>
  <c r="Z53" i="8"/>
  <c r="Y53" i="8"/>
  <c r="X53" i="8"/>
  <c r="AH49" i="8"/>
  <c r="AG49" i="8"/>
  <c r="AF49" i="8"/>
  <c r="AD49" i="8"/>
  <c r="AC49" i="8"/>
  <c r="AB49" i="8"/>
  <c r="Z49" i="8"/>
  <c r="Y49" i="8"/>
  <c r="X49" i="8"/>
  <c r="AH48" i="8"/>
  <c r="AG48" i="8"/>
  <c r="AF48" i="8"/>
  <c r="AD48" i="8"/>
  <c r="AC48" i="8"/>
  <c r="AB48" i="8"/>
  <c r="Z48" i="8"/>
  <c r="Y48" i="8"/>
  <c r="X48" i="8"/>
  <c r="AH47" i="8"/>
  <c r="AJ47" i="8" s="1"/>
  <c r="AG47" i="8"/>
  <c r="AF47" i="8"/>
  <c r="AD47" i="8"/>
  <c r="AC47" i="8"/>
  <c r="AB47" i="8"/>
  <c r="Z47" i="8"/>
  <c r="Y47" i="8"/>
  <c r="X47" i="8"/>
  <c r="AH45" i="8"/>
  <c r="AG45" i="8"/>
  <c r="AF45" i="8"/>
  <c r="AD45" i="8"/>
  <c r="AC45" i="8"/>
  <c r="AH37" i="8"/>
  <c r="AJ37" i="8" s="1"/>
  <c r="AG37" i="8"/>
  <c r="AF37" i="8"/>
  <c r="AD37" i="8"/>
  <c r="AC37" i="8"/>
  <c r="AB37" i="8"/>
  <c r="Z37" i="8"/>
  <c r="Y37" i="8"/>
  <c r="X37" i="8"/>
  <c r="AG34" i="8"/>
  <c r="AF34" i="8"/>
  <c r="AD34" i="8"/>
  <c r="AJ34" i="8" s="1"/>
  <c r="AC34" i="8"/>
  <c r="AB34" i="8"/>
  <c r="Z34" i="8"/>
  <c r="Y34" i="8"/>
  <c r="X34" i="8"/>
  <c r="AH34" i="8"/>
  <c r="AG8" i="8"/>
  <c r="AF8" i="8"/>
  <c r="AE8" i="8"/>
  <c r="AD8" i="8"/>
  <c r="AC8" i="8"/>
  <c r="AB8" i="8"/>
  <c r="AA8" i="8"/>
  <c r="Z8" i="8"/>
  <c r="Y8" i="8"/>
  <c r="X8" i="8"/>
  <c r="AG7" i="8"/>
  <c r="AF7" i="8"/>
  <c r="AE7" i="8"/>
  <c r="AD7" i="8"/>
  <c r="AC7" i="8"/>
  <c r="AB7" i="8"/>
  <c r="AA7" i="8"/>
  <c r="Z7" i="8"/>
  <c r="Y7" i="8"/>
  <c r="X7" i="8"/>
  <c r="AH8" i="8"/>
  <c r="AH7" i="8"/>
  <c r="K122" i="8"/>
  <c r="Y122" i="8" s="1"/>
  <c r="S30" i="8"/>
  <c r="AF30" i="8" s="1"/>
  <c r="O30" i="8"/>
  <c r="AA30" i="8" s="1"/>
  <c r="K30" i="8"/>
  <c r="Y30" i="8" s="1"/>
  <c r="K101" i="8"/>
  <c r="K99" i="8"/>
  <c r="X99" i="8" s="1"/>
  <c r="S79" i="8"/>
  <c r="AE79" i="8" s="1"/>
  <c r="O79" i="8"/>
  <c r="AA79" i="8" s="1"/>
  <c r="K79" i="8"/>
  <c r="S78" i="8"/>
  <c r="AE78" i="8" s="1"/>
  <c r="O78" i="8"/>
  <c r="AA78" i="8" s="1"/>
  <c r="K78" i="8"/>
  <c r="S77" i="8"/>
  <c r="AE77" i="8" s="1"/>
  <c r="O77" i="8"/>
  <c r="AA77" i="8" s="1"/>
  <c r="K77" i="8"/>
  <c r="S76" i="8"/>
  <c r="AE76" i="8" s="1"/>
  <c r="O76" i="8"/>
  <c r="AA76" i="8" s="1"/>
  <c r="K76" i="8"/>
  <c r="S72" i="8"/>
  <c r="AE72" i="8" s="1"/>
  <c r="O72" i="8"/>
  <c r="AA72" i="8" s="1"/>
  <c r="K72" i="8"/>
  <c r="S70" i="8"/>
  <c r="AE70" i="8" s="1"/>
  <c r="O70" i="8"/>
  <c r="AA70" i="8" s="1"/>
  <c r="K70" i="8"/>
  <c r="S66" i="8"/>
  <c r="AE66" i="8" s="1"/>
  <c r="O66" i="8"/>
  <c r="AA66" i="8" s="1"/>
  <c r="K66" i="8"/>
  <c r="S65" i="8"/>
  <c r="AE65" i="8" s="1"/>
  <c r="O65" i="8"/>
  <c r="K65" i="8"/>
  <c r="K57" i="9" s="1"/>
  <c r="S64" i="8"/>
  <c r="AE64" i="8" s="1"/>
  <c r="O64" i="8"/>
  <c r="AA64" i="8" s="1"/>
  <c r="K64" i="8"/>
  <c r="S63" i="8"/>
  <c r="AE63" i="8" s="1"/>
  <c r="O63" i="8"/>
  <c r="AA63" i="8" s="1"/>
  <c r="K63" i="8"/>
  <c r="S62" i="8"/>
  <c r="O62" i="8"/>
  <c r="K62" i="8"/>
  <c r="K56" i="9" s="1"/>
  <c r="S58" i="8"/>
  <c r="AE58" i="8" s="1"/>
  <c r="O58" i="8"/>
  <c r="AA58" i="8" s="1"/>
  <c r="K58" i="8"/>
  <c r="S57" i="8"/>
  <c r="AE57" i="8" s="1"/>
  <c r="O57" i="8"/>
  <c r="AA57" i="8" s="1"/>
  <c r="K57" i="8"/>
  <c r="S56" i="8"/>
  <c r="AE56" i="8" s="1"/>
  <c r="O56" i="8"/>
  <c r="AA56" i="8" s="1"/>
  <c r="K56" i="8"/>
  <c r="S55" i="8"/>
  <c r="AE55" i="8" s="1"/>
  <c r="O55" i="8"/>
  <c r="AA55" i="8" s="1"/>
  <c r="K55" i="8"/>
  <c r="S54" i="8"/>
  <c r="O54" i="8"/>
  <c r="AA54" i="8" s="1"/>
  <c r="K54" i="8"/>
  <c r="K59" i="9" s="1"/>
  <c r="S53" i="8"/>
  <c r="O53" i="8"/>
  <c r="AA53" i="8" s="1"/>
  <c r="K53" i="8"/>
  <c r="K51" i="9" s="1"/>
  <c r="S49" i="8"/>
  <c r="AE49" i="8" s="1"/>
  <c r="O49" i="8"/>
  <c r="AA49" i="8" s="1"/>
  <c r="K49" i="8"/>
  <c r="S48" i="8"/>
  <c r="O48" i="8"/>
  <c r="AA48" i="8" s="1"/>
  <c r="K48" i="8"/>
  <c r="K55" i="9" s="1"/>
  <c r="S47" i="8"/>
  <c r="AE47" i="8" s="1"/>
  <c r="O47" i="8"/>
  <c r="AA47" i="8" s="1"/>
  <c r="K47" i="8"/>
  <c r="S45" i="8"/>
  <c r="O45" i="8"/>
  <c r="K45" i="8"/>
  <c r="K48" i="9" s="1"/>
  <c r="S37" i="8"/>
  <c r="AE37" i="8" s="1"/>
  <c r="S34" i="8"/>
  <c r="AE34" i="8" s="1"/>
  <c r="S26" i="8"/>
  <c r="AG26" i="8" s="1"/>
  <c r="S25" i="8"/>
  <c r="AH25" i="8" s="1"/>
  <c r="S24" i="8"/>
  <c r="AG24" i="8" s="1"/>
  <c r="S17" i="8"/>
  <c r="AF17" i="8" s="1"/>
  <c r="S13" i="8"/>
  <c r="AF13" i="8" s="1"/>
  <c r="S10" i="8"/>
  <c r="O13" i="8"/>
  <c r="AA13" i="8" s="1"/>
  <c r="K13" i="8"/>
  <c r="X13" i="8" s="1"/>
  <c r="O10" i="8"/>
  <c r="AA10" i="8" s="1"/>
  <c r="O17" i="8"/>
  <c r="AD17" i="8" s="1"/>
  <c r="O26" i="8"/>
  <c r="AA26" i="8" s="1"/>
  <c r="O25" i="8"/>
  <c r="AC25" i="8" s="1"/>
  <c r="O24" i="8"/>
  <c r="K37" i="8"/>
  <c r="K34" i="8"/>
  <c r="K26" i="8"/>
  <c r="K25" i="8"/>
  <c r="Z25" i="8" s="1"/>
  <c r="K24" i="8"/>
  <c r="Y24" i="8" s="1"/>
  <c r="K17" i="8"/>
  <c r="Z17" i="8" s="1"/>
  <c r="K10" i="8"/>
  <c r="Z10" i="8" s="1"/>
  <c r="L48" i="9" l="1"/>
  <c r="Y45" i="8"/>
  <c r="Z45" i="8"/>
  <c r="AB45" i="8"/>
  <c r="AB130" i="8"/>
  <c r="AE130" i="8"/>
  <c r="Z114" i="8"/>
  <c r="AJ20" i="8"/>
  <c r="Y26" i="8"/>
  <c r="X26" i="8"/>
  <c r="AE53" i="8"/>
  <c r="S51" i="9"/>
  <c r="M27" i="9"/>
  <c r="N106" i="8"/>
  <c r="AB106" i="8" s="1"/>
  <c r="R108" i="8"/>
  <c r="K115" i="8"/>
  <c r="Y115" i="8"/>
  <c r="Q100" i="8"/>
  <c r="P42" i="9"/>
  <c r="S39" i="9"/>
  <c r="AF116" i="8"/>
  <c r="AE116" i="8"/>
  <c r="Z19" i="8"/>
  <c r="U31" i="9"/>
  <c r="Y114" i="8"/>
  <c r="AG116" i="8"/>
  <c r="AE13" i="8"/>
  <c r="AD19" i="8"/>
  <c r="AJ19" i="8" s="1"/>
  <c r="X24" i="8"/>
  <c r="K12" i="9"/>
  <c r="S12" i="9"/>
  <c r="O16" i="9"/>
  <c r="I38" i="9"/>
  <c r="O50" i="9"/>
  <c r="AG10" i="8"/>
  <c r="AF10" i="8"/>
  <c r="AE10" i="8"/>
  <c r="AE48" i="8"/>
  <c r="S55" i="9"/>
  <c r="AE62" i="8"/>
  <c r="S56" i="9"/>
  <c r="AA65" i="8"/>
  <c r="O57" i="9"/>
  <c r="AE71" i="8"/>
  <c r="S58" i="9"/>
  <c r="AF58" i="9" s="1"/>
  <c r="N99" i="8"/>
  <c r="AA99" i="8"/>
  <c r="N121" i="8"/>
  <c r="AA121" i="8" s="1"/>
  <c r="M37" i="9"/>
  <c r="V103" i="8"/>
  <c r="U34" i="9"/>
  <c r="N117" i="8"/>
  <c r="M40" i="9"/>
  <c r="V114" i="8"/>
  <c r="V38" i="9" s="1"/>
  <c r="AG13" i="8"/>
  <c r="AA18" i="8"/>
  <c r="Z24" i="8"/>
  <c r="AE25" i="8"/>
  <c r="S57" i="9"/>
  <c r="AH17" i="8"/>
  <c r="AG17" i="8"/>
  <c r="AD13" i="8"/>
  <c r="AC13" i="8"/>
  <c r="AB13" i="8"/>
  <c r="AA62" i="8"/>
  <c r="O56" i="9"/>
  <c r="Z20" i="8"/>
  <c r="Y20" i="8"/>
  <c r="X20" i="8"/>
  <c r="AA71" i="8"/>
  <c r="O58" i="9"/>
  <c r="AB58" i="9" s="1"/>
  <c r="N107" i="8"/>
  <c r="N112" i="8"/>
  <c r="AB112" i="8" s="1"/>
  <c r="L127" i="8"/>
  <c r="Z130" i="8"/>
  <c r="Y130" i="8"/>
  <c r="X130" i="8"/>
  <c r="AD24" i="8"/>
  <c r="AC24" i="8"/>
  <c r="AA45" i="8"/>
  <c r="O48" i="9"/>
  <c r="AE54" i="8"/>
  <c r="S59" i="9"/>
  <c r="X30" i="8"/>
  <c r="K32" i="9"/>
  <c r="AC19" i="8"/>
  <c r="AB19" i="8"/>
  <c r="AA19" i="8"/>
  <c r="J107" i="8"/>
  <c r="Q34" i="9"/>
  <c r="N114" i="8"/>
  <c r="AB114" i="8"/>
  <c r="R127" i="8"/>
  <c r="AF130" i="8"/>
  <c r="Q40" i="9"/>
  <c r="AE117" i="8"/>
  <c r="Y99" i="8"/>
  <c r="AF115" i="8"/>
  <c r="AH13" i="8"/>
  <c r="AB18" i="8"/>
  <c r="AA24" i="8"/>
  <c r="AF25" i="8"/>
  <c r="Z30" i="8"/>
  <c r="M38" i="9"/>
  <c r="Q27" i="9"/>
  <c r="K108" i="8"/>
  <c r="Z108" i="8" s="1"/>
  <c r="Y108" i="8"/>
  <c r="R122" i="8"/>
  <c r="Q41" i="9"/>
  <c r="N115" i="8"/>
  <c r="AA115" i="8"/>
  <c r="S127" i="8"/>
  <c r="AG130" i="8"/>
  <c r="T127" i="8"/>
  <c r="AH130" i="8"/>
  <c r="V31" i="9"/>
  <c r="S117" i="8"/>
  <c r="R40" i="9"/>
  <c r="AC18" i="8"/>
  <c r="AB24" i="8"/>
  <c r="AG25" i="8"/>
  <c r="M31" i="9"/>
  <c r="N34" i="9"/>
  <c r="V116" i="8"/>
  <c r="V39" i="9" s="1"/>
  <c r="U39" i="9"/>
  <c r="AB17" i="8"/>
  <c r="AA130" i="8"/>
  <c r="O12" i="9"/>
  <c r="S16" i="9"/>
  <c r="AJ24" i="8"/>
  <c r="AC130" i="8"/>
  <c r="Y10" i="8"/>
  <c r="X10" i="8"/>
  <c r="AD25" i="8"/>
  <c r="AJ25" i="8" s="1"/>
  <c r="AB25" i="8"/>
  <c r="AA25" i="8"/>
  <c r="AE45" i="8"/>
  <c r="S48" i="9"/>
  <c r="O32" i="9"/>
  <c r="AD30" i="8"/>
  <c r="AJ30" i="8" s="1"/>
  <c r="AC30" i="8"/>
  <c r="AB30" i="8"/>
  <c r="AC17" i="8"/>
  <c r="AA17" i="8"/>
  <c r="AJ57" i="8"/>
  <c r="R38" i="9"/>
  <c r="K38" i="9"/>
  <c r="AJ71" i="8"/>
  <c r="Y112" i="8"/>
  <c r="X115" i="8"/>
  <c r="AG117" i="8"/>
  <c r="Z13" i="8"/>
  <c r="AE17" i="8"/>
  <c r="AD20" i="8"/>
  <c r="AD130" i="8"/>
  <c r="O55" i="9"/>
  <c r="V117" i="8"/>
  <c r="V40" i="9" s="1"/>
  <c r="X97" i="8"/>
  <c r="Y17" i="8"/>
  <c r="AF20" i="8"/>
  <c r="AE26" i="8"/>
  <c r="I27" i="9"/>
  <c r="S32" i="9"/>
  <c r="J38" i="9"/>
  <c r="Y97" i="8"/>
  <c r="AE18" i="8"/>
  <c r="AG20" i="8"/>
  <c r="AF26" i="8"/>
  <c r="J27" i="9"/>
  <c r="I34" i="9"/>
  <c r="AE98" i="8"/>
  <c r="X116" i="8"/>
  <c r="X18" i="8"/>
  <c r="AF18" i="8"/>
  <c r="AE24" i="8"/>
  <c r="K41" i="9"/>
  <c r="H42" i="9"/>
  <c r="Y98" i="8"/>
  <c r="AG98" i="8"/>
  <c r="X103" i="8"/>
  <c r="X114" i="8"/>
  <c r="AF114" i="8"/>
  <c r="Z116" i="8"/>
  <c r="I37" i="9"/>
  <c r="Q37" i="9"/>
  <c r="M34" i="9"/>
  <c r="O51" i="9"/>
  <c r="P8" i="9"/>
  <c r="AE13" i="10"/>
  <c r="AD14" i="10"/>
  <c r="AE14" i="10"/>
  <c r="AF13" i="10"/>
  <c r="AD8" i="10"/>
  <c r="AG8" i="10"/>
  <c r="AG13" i="10"/>
  <c r="AE8" i="10"/>
  <c r="AE7" i="10"/>
  <c r="AF7" i="10"/>
  <c r="AD7" i="10"/>
  <c r="AF14" i="10"/>
  <c r="AA7" i="10"/>
  <c r="AC7" i="10"/>
  <c r="V108" i="8"/>
  <c r="J117" i="8"/>
  <c r="V96" i="8"/>
  <c r="V98" i="8"/>
  <c r="AH98" i="8" s="1"/>
  <c r="U121" i="8"/>
  <c r="V105" i="8"/>
  <c r="V97" i="8"/>
  <c r="V27" i="9" s="1"/>
  <c r="V107" i="8"/>
  <c r="M100" i="8"/>
  <c r="K100" i="8"/>
  <c r="Y81" i="8"/>
  <c r="K81" i="8"/>
  <c r="AA81" i="8"/>
  <c r="AC81" i="8"/>
  <c r="AD81" i="8"/>
  <c r="AE81" i="8"/>
  <c r="AG81" i="8"/>
  <c r="K121" i="8"/>
  <c r="Z81" i="8"/>
  <c r="O81" i="8"/>
  <c r="AB81" i="8"/>
  <c r="AF81" i="8"/>
  <c r="X81" i="8"/>
  <c r="S81" i="8"/>
  <c r="AH81" i="8"/>
  <c r="F127" i="8"/>
  <c r="N122" i="8"/>
  <c r="I123" i="8"/>
  <c r="J113" i="8"/>
  <c r="J31" i="9" s="1"/>
  <c r="O112" i="8"/>
  <c r="O114" i="8"/>
  <c r="AA114" i="8" s="1"/>
  <c r="O115" i="8"/>
  <c r="AD115" i="8" s="1"/>
  <c r="N113" i="8"/>
  <c r="S112" i="8"/>
  <c r="S114" i="8"/>
  <c r="S115" i="8"/>
  <c r="AH115" i="8" s="1"/>
  <c r="R113" i="8"/>
  <c r="S121" i="8"/>
  <c r="O121" i="8"/>
  <c r="AB121" i="8" s="1"/>
  <c r="O104" i="8"/>
  <c r="J104" i="8"/>
  <c r="J34" i="9" s="1"/>
  <c r="R103" i="8"/>
  <c r="O108" i="8"/>
  <c r="S104" i="8"/>
  <c r="S106" i="8"/>
  <c r="AE106" i="8" s="1"/>
  <c r="S107" i="8"/>
  <c r="AF107" i="8" s="1"/>
  <c r="R105" i="8"/>
  <c r="O103" i="8"/>
  <c r="AB103" i="8" s="1"/>
  <c r="O106" i="8"/>
  <c r="AD106" i="8" s="1"/>
  <c r="O107" i="8"/>
  <c r="AD107" i="8" s="1"/>
  <c r="N105" i="8"/>
  <c r="J105" i="8"/>
  <c r="S99" i="8"/>
  <c r="R96" i="8"/>
  <c r="R97" i="8"/>
  <c r="O96" i="8"/>
  <c r="O99" i="8"/>
  <c r="AD99" i="8" s="1"/>
  <c r="N97" i="8"/>
  <c r="N98" i="8"/>
  <c r="Z98" i="8" s="1"/>
  <c r="J96" i="8"/>
  <c r="AE96" i="8" l="1"/>
  <c r="AF113" i="8"/>
  <c r="AF105" i="8"/>
  <c r="X96" i="8"/>
  <c r="AA113" i="8"/>
  <c r="N27" i="9"/>
  <c r="AD108" i="8"/>
  <c r="AJ115" i="8"/>
  <c r="AJ98" i="8"/>
  <c r="Z112" i="8"/>
  <c r="R31" i="9"/>
  <c r="AA112" i="8"/>
  <c r="AE115" i="8"/>
  <c r="V34" i="9"/>
  <c r="AC99" i="8"/>
  <c r="K105" i="8"/>
  <c r="Z105" i="8" s="1"/>
  <c r="AH106" i="8"/>
  <c r="AJ106" i="8" s="1"/>
  <c r="AG106" i="8"/>
  <c r="AF106" i="8"/>
  <c r="S37" i="9"/>
  <c r="AH121" i="8"/>
  <c r="AG121" i="8"/>
  <c r="AE121" i="8"/>
  <c r="AD112" i="8"/>
  <c r="AB96" i="8"/>
  <c r="AD96" i="8"/>
  <c r="R34" i="9"/>
  <c r="AG103" i="8"/>
  <c r="S38" i="9"/>
  <c r="AH114" i="8"/>
  <c r="AJ114" i="8" s="1"/>
  <c r="AG114" i="8"/>
  <c r="AE114" i="8"/>
  <c r="N41" i="9"/>
  <c r="Z122" i="8"/>
  <c r="AA107" i="8"/>
  <c r="AH127" i="8"/>
  <c r="AG127" i="8"/>
  <c r="AA108" i="8"/>
  <c r="X108" i="8"/>
  <c r="R100" i="8"/>
  <c r="Q42" i="9"/>
  <c r="AC106" i="8"/>
  <c r="K42" i="9"/>
  <c r="N31" i="9"/>
  <c r="AC112" i="8"/>
  <c r="K37" i="9"/>
  <c r="Z121" i="8"/>
  <c r="Z123" i="8" s="1"/>
  <c r="Y121" i="8"/>
  <c r="Y123" i="8" s="1"/>
  <c r="X121" i="8"/>
  <c r="X123" i="8" s="1"/>
  <c r="AB97" i="8"/>
  <c r="R27" i="9"/>
  <c r="AD104" i="8"/>
  <c r="AB104" i="8"/>
  <c r="N100" i="8"/>
  <c r="M42" i="9"/>
  <c r="AA104" i="8"/>
  <c r="AF117" i="8"/>
  <c r="S40" i="9"/>
  <c r="AH117" i="8"/>
  <c r="AC115" i="8"/>
  <c r="N38" i="9"/>
  <c r="AC114" i="8"/>
  <c r="AB107" i="8"/>
  <c r="Z99" i="8"/>
  <c r="AA117" i="8"/>
  <c r="Z115" i="8"/>
  <c r="AE103" i="8"/>
  <c r="AD103" i="8"/>
  <c r="AA103" i="8"/>
  <c r="AH112" i="8"/>
  <c r="AG112" i="8"/>
  <c r="AF112" i="8"/>
  <c r="AE112" i="8"/>
  <c r="K117" i="8"/>
  <c r="X117" i="8" s="1"/>
  <c r="J40" i="9"/>
  <c r="K96" i="8"/>
  <c r="Z96" i="8" s="1"/>
  <c r="Y96" i="8"/>
  <c r="AG96" i="8"/>
  <c r="AF96" i="8"/>
  <c r="S108" i="8"/>
  <c r="AH108" i="8" s="1"/>
  <c r="AJ108" i="8" s="1"/>
  <c r="O37" i="9"/>
  <c r="AD121" i="8"/>
  <c r="Y100" i="8"/>
  <c r="AE105" i="8"/>
  <c r="AA96" i="8"/>
  <c r="AC96" i="8"/>
  <c r="AB108" i="8"/>
  <c r="AC107" i="8"/>
  <c r="N37" i="9"/>
  <c r="AC121" i="8"/>
  <c r="AG115" i="8"/>
  <c r="Z106" i="8"/>
  <c r="K104" i="8"/>
  <c r="Y104" i="8"/>
  <c r="AC98" i="8"/>
  <c r="AH99" i="8"/>
  <c r="AJ99" i="8" s="1"/>
  <c r="AG99" i="8"/>
  <c r="AF99" i="8"/>
  <c r="AE99" i="8"/>
  <c r="AH107" i="8"/>
  <c r="AJ107" i="8" s="1"/>
  <c r="AG107" i="8"/>
  <c r="AE107" i="8"/>
  <c r="S122" i="8"/>
  <c r="O38" i="9"/>
  <c r="AD114" i="8"/>
  <c r="AC103" i="8"/>
  <c r="AC108" i="8"/>
  <c r="AH116" i="8"/>
  <c r="AJ116" i="8" s="1"/>
  <c r="AB115" i="8"/>
  <c r="Z97" i="8"/>
  <c r="X100" i="8"/>
  <c r="AF121" i="8"/>
  <c r="O117" i="8"/>
  <c r="N40" i="9"/>
  <c r="AC117" i="8"/>
  <c r="AB98" i="8"/>
  <c r="AG122" i="8"/>
  <c r="R41" i="9"/>
  <c r="AA105" i="8"/>
  <c r="AH104" i="8"/>
  <c r="AJ104" i="8" s="1"/>
  <c r="AE104" i="8"/>
  <c r="K113" i="8"/>
  <c r="Y113" i="8" s="1"/>
  <c r="V121" i="8"/>
  <c r="V37" i="9" s="1"/>
  <c r="U37" i="9"/>
  <c r="AF104" i="8"/>
  <c r="AC104" i="8"/>
  <c r="AA98" i="8"/>
  <c r="AG104" i="8"/>
  <c r="K107" i="8"/>
  <c r="Y107" i="8"/>
  <c r="AB99" i="8"/>
  <c r="AA106" i="8"/>
  <c r="AE97" i="8"/>
  <c r="X104" i="8"/>
  <c r="O98" i="8"/>
  <c r="AD98" i="8" s="1"/>
  <c r="S97" i="8"/>
  <c r="O122" i="8"/>
  <c r="AC122" i="8" s="1"/>
  <c r="S113" i="8"/>
  <c r="AH113" i="8" s="1"/>
  <c r="AJ113" i="8" s="1"/>
  <c r="O113" i="8"/>
  <c r="AD113" i="8" s="1"/>
  <c r="S103" i="8"/>
  <c r="AF103" i="8" s="1"/>
  <c r="S105" i="8"/>
  <c r="AH105" i="8" s="1"/>
  <c r="O105" i="8"/>
  <c r="AD105" i="8" s="1"/>
  <c r="S96" i="8"/>
  <c r="AH96" i="8" s="1"/>
  <c r="AJ96" i="8" s="1"/>
  <c r="O97" i="8"/>
  <c r="AA97" i="8" s="1"/>
  <c r="AG108" i="8" l="1"/>
  <c r="AE113" i="8"/>
  <c r="AC97" i="8"/>
  <c r="AB105" i="8"/>
  <c r="AJ112" i="8"/>
  <c r="AA122" i="8"/>
  <c r="AA123" i="8" s="1"/>
  <c r="AJ105" i="8"/>
  <c r="AC105" i="8"/>
  <c r="O40" i="9"/>
  <c r="AD117" i="8"/>
  <c r="AJ117" i="8" s="1"/>
  <c r="S31" i="9"/>
  <c r="AG105" i="8"/>
  <c r="R42" i="9"/>
  <c r="AG100" i="8"/>
  <c r="S100" i="8"/>
  <c r="AF108" i="8"/>
  <c r="AE108" i="8"/>
  <c r="AB117" i="8"/>
  <c r="AG113" i="8"/>
  <c r="K40" i="9"/>
  <c r="Z117" i="8"/>
  <c r="N42" i="9"/>
  <c r="AC100" i="8"/>
  <c r="O100" i="8"/>
  <c r="Z100" i="8"/>
  <c r="O41" i="9"/>
  <c r="AD122" i="8"/>
  <c r="S41" i="9"/>
  <c r="AH122" i="8"/>
  <c r="AJ122" i="8" s="1"/>
  <c r="AB113" i="8"/>
  <c r="AG123" i="8"/>
  <c r="O27" i="9"/>
  <c r="AD97" i="8"/>
  <c r="S27" i="9"/>
  <c r="AH97" i="8"/>
  <c r="AJ97" i="8" s="1"/>
  <c r="AF97" i="8"/>
  <c r="AC113" i="8"/>
  <c r="AJ121" i="8"/>
  <c r="Z104" i="8"/>
  <c r="K34" i="9"/>
  <c r="X105" i="8"/>
  <c r="S34" i="9"/>
  <c r="AH103" i="8"/>
  <c r="AJ103" i="8" s="1"/>
  <c r="Z107" i="8"/>
  <c r="X107" i="8"/>
  <c r="AF122" i="8"/>
  <c r="AF123" i="8"/>
  <c r="AC123" i="8"/>
  <c r="AD123" i="8"/>
  <c r="Y117" i="8"/>
  <c r="O34" i="9"/>
  <c r="AB100" i="8"/>
  <c r="AG97" i="8"/>
  <c r="O31" i="9"/>
  <c r="AE122" i="8"/>
  <c r="AE123" i="8" s="1"/>
  <c r="Z113" i="8"/>
  <c r="K31" i="9"/>
  <c r="X113" i="8"/>
  <c r="Y105" i="8"/>
  <c r="AB122" i="8"/>
  <c r="AB123" i="8" s="1"/>
  <c r="O42" i="9" l="1"/>
  <c r="AD100" i="8"/>
  <c r="S42" i="9"/>
  <c r="AH100" i="8"/>
  <c r="AJ100" i="8" s="1"/>
  <c r="AF100" i="8"/>
  <c r="AE100" i="8"/>
  <c r="AH123" i="8"/>
  <c r="AA100" i="8"/>
  <c r="S64" i="9" l="1"/>
  <c r="K64" i="9"/>
  <c r="J64" i="9"/>
  <c r="I64" i="9"/>
  <c r="F64" i="9"/>
  <c r="E64" i="9"/>
  <c r="D64" i="9"/>
  <c r="C64" i="9"/>
  <c r="T67" i="8"/>
  <c r="T60" i="9" s="1"/>
  <c r="L123" i="8"/>
  <c r="H123" i="8"/>
  <c r="F123" i="8"/>
  <c r="E123" i="8"/>
  <c r="D123" i="8"/>
  <c r="V67" i="8"/>
  <c r="R67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H48" i="9"/>
  <c r="AF48" i="9"/>
  <c r="AE48" i="9"/>
  <c r="AD48" i="9"/>
  <c r="AB48" i="9"/>
  <c r="AA48" i="9"/>
  <c r="Z48" i="9"/>
  <c r="X48" i="9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Y14" i="10"/>
  <c r="Z13" i="10"/>
  <c r="AC14" i="10"/>
  <c r="AB13" i="10"/>
  <c r="S15" i="10"/>
  <c r="F7" i="9"/>
  <c r="E7" i="9"/>
  <c r="D7" i="9"/>
  <c r="F6" i="9"/>
  <c r="E6" i="9"/>
  <c r="D6" i="9"/>
  <c r="U15" i="10"/>
  <c r="T15" i="10"/>
  <c r="R15" i="10"/>
  <c r="Q15" i="10"/>
  <c r="P15" i="10"/>
  <c r="F15" i="10"/>
  <c r="E15" i="10"/>
  <c r="D15" i="10"/>
  <c r="Z14" i="10"/>
  <c r="AC13" i="10"/>
  <c r="AA13" i="10"/>
  <c r="M127" i="8"/>
  <c r="Q127" i="8"/>
  <c r="O127" i="8"/>
  <c r="N127" i="8"/>
  <c r="AC127" i="8" s="1"/>
  <c r="J127" i="8"/>
  <c r="K127" i="8"/>
  <c r="T118" i="8"/>
  <c r="P118" i="8"/>
  <c r="L118" i="8"/>
  <c r="S11" i="8"/>
  <c r="O11" i="8"/>
  <c r="O8" i="9" s="1"/>
  <c r="O37" i="8"/>
  <c r="AA37" i="8" s="1"/>
  <c r="O34" i="8"/>
  <c r="AA34" i="8" s="1"/>
  <c r="K11" i="8"/>
  <c r="K8" i="9" s="1"/>
  <c r="AG48" i="9"/>
  <c r="Y57" i="9"/>
  <c r="AB66" i="9"/>
  <c r="Q50" i="8"/>
  <c r="Q59" i="8" s="1"/>
  <c r="P50" i="8"/>
  <c r="P59" i="8" s="1"/>
  <c r="L50" i="8"/>
  <c r="L59" i="8" s="1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AF66" i="9"/>
  <c r="AE66" i="9"/>
  <c r="AD66" i="9"/>
  <c r="AA66" i="9"/>
  <c r="Z66" i="9"/>
  <c r="Y66" i="9"/>
  <c r="X66" i="9"/>
  <c r="J67" i="8"/>
  <c r="I67" i="8"/>
  <c r="H50" i="8"/>
  <c r="H59" i="8" s="1"/>
  <c r="I50" i="8"/>
  <c r="I59" i="8" s="1"/>
  <c r="J50" i="8"/>
  <c r="J59" i="8" s="1"/>
  <c r="M50" i="8"/>
  <c r="M59" i="8" s="1"/>
  <c r="N50" i="8"/>
  <c r="N59" i="8" s="1"/>
  <c r="R50" i="8"/>
  <c r="R59" i="8" s="1"/>
  <c r="T50" i="8"/>
  <c r="T59" i="8" s="1"/>
  <c r="U50" i="8"/>
  <c r="U59" i="8" s="1"/>
  <c r="V50" i="8"/>
  <c r="V59" i="8" s="1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2" i="8"/>
  <c r="H41" i="8"/>
  <c r="F42" i="8"/>
  <c r="E42" i="8"/>
  <c r="D42" i="8"/>
  <c r="C42" i="8"/>
  <c r="F41" i="8"/>
  <c r="E41" i="8"/>
  <c r="D41" i="8"/>
  <c r="C41" i="8"/>
  <c r="V11" i="8"/>
  <c r="U11" i="8"/>
  <c r="U14" i="8" s="1"/>
  <c r="T11" i="8"/>
  <c r="T14" i="8" s="1"/>
  <c r="T21" i="8" s="1"/>
  <c r="T27" i="8" s="1"/>
  <c r="R11" i="8"/>
  <c r="R14" i="8" s="1"/>
  <c r="Q11" i="8"/>
  <c r="Q14" i="8" s="1"/>
  <c r="P11" i="8"/>
  <c r="P14" i="8" s="1"/>
  <c r="N11" i="8"/>
  <c r="M11" i="8"/>
  <c r="L11" i="8"/>
  <c r="J11" i="8"/>
  <c r="I11" i="8"/>
  <c r="H11" i="8"/>
  <c r="E4" i="10"/>
  <c r="D4" i="10"/>
  <c r="C4" i="10"/>
  <c r="E3" i="10"/>
  <c r="D3" i="10"/>
  <c r="C3" i="10"/>
  <c r="F4" i="10"/>
  <c r="F3" i="10"/>
  <c r="AD127" i="8" l="1"/>
  <c r="Z127" i="8"/>
  <c r="H14" i="8"/>
  <c r="H8" i="9"/>
  <c r="H13" i="9" s="1"/>
  <c r="R74" i="8"/>
  <c r="R61" i="9" s="1"/>
  <c r="R60" i="9"/>
  <c r="I14" i="8"/>
  <c r="I8" i="9"/>
  <c r="V74" i="8"/>
  <c r="V61" i="9" s="1"/>
  <c r="V60" i="9"/>
  <c r="X127" i="8"/>
  <c r="Y127" i="8"/>
  <c r="L14" i="8"/>
  <c r="L21" i="8" s="1"/>
  <c r="L27" i="8" s="1"/>
  <c r="L8" i="9"/>
  <c r="V14" i="8"/>
  <c r="V15" i="8" s="1"/>
  <c r="V10" i="10"/>
  <c r="I74" i="8"/>
  <c r="I61" i="9" s="1"/>
  <c r="I60" i="9"/>
  <c r="M14" i="8"/>
  <c r="M15" i="8" s="1"/>
  <c r="M8" i="9"/>
  <c r="J74" i="8"/>
  <c r="J61" i="9" s="1"/>
  <c r="J60" i="9"/>
  <c r="N14" i="8"/>
  <c r="N15" i="8" s="1"/>
  <c r="N8" i="9"/>
  <c r="AF127" i="8"/>
  <c r="AE127" i="8"/>
  <c r="J14" i="8"/>
  <c r="J8" i="9"/>
  <c r="AB127" i="8"/>
  <c r="AA127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C123" i="8"/>
  <c r="P123" i="8"/>
  <c r="T123" i="8"/>
  <c r="M123" i="8"/>
  <c r="U123" i="8"/>
  <c r="P67" i="8"/>
  <c r="U67" i="8"/>
  <c r="M67" i="8"/>
  <c r="L67" i="8"/>
  <c r="L60" i="9" s="1"/>
  <c r="Q67" i="8"/>
  <c r="Q60" i="9" s="1"/>
  <c r="F67" i="8"/>
  <c r="N67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X14" i="10"/>
  <c r="X13" i="10"/>
  <c r="Y13" i="10"/>
  <c r="Y15" i="10" s="1"/>
  <c r="Y16" i="10" s="1"/>
  <c r="AF15" i="10"/>
  <c r="AG15" i="10"/>
  <c r="AA14" i="10"/>
  <c r="AA15" i="10" s="1"/>
  <c r="AA16" i="10" s="1"/>
  <c r="AF7" i="9"/>
  <c r="AB14" i="10"/>
  <c r="AB15" i="10" s="1"/>
  <c r="AB16" i="10" s="1"/>
  <c r="AF6" i="9"/>
  <c r="AH7" i="9"/>
  <c r="AI6" i="9"/>
  <c r="Z15" i="10"/>
  <c r="Z16" i="10" s="1"/>
  <c r="AC15" i="10"/>
  <c r="AC16" i="10" s="1"/>
  <c r="U118" i="8"/>
  <c r="I118" i="8"/>
  <c r="S118" i="8"/>
  <c r="K118" i="8"/>
  <c r="M118" i="8"/>
  <c r="Q118" i="8"/>
  <c r="R118" i="8"/>
  <c r="L31" i="8"/>
  <c r="L93" i="8" s="1"/>
  <c r="T31" i="8"/>
  <c r="T93" i="8" s="1"/>
  <c r="K14" i="8"/>
  <c r="K15" i="8" s="1"/>
  <c r="S14" i="8"/>
  <c r="S15" i="8" s="1"/>
  <c r="O14" i="8"/>
  <c r="O15" i="8" s="1"/>
  <c r="AC66" i="9"/>
  <c r="S67" i="8"/>
  <c r="S50" i="8"/>
  <c r="S59" i="8" s="1"/>
  <c r="O50" i="8"/>
  <c r="O59" i="8" s="1"/>
  <c r="O67" i="8"/>
  <c r="I82" i="8"/>
  <c r="I84" i="8" s="1"/>
  <c r="J82" i="8"/>
  <c r="J84" i="8" s="1"/>
  <c r="K50" i="8"/>
  <c r="K59" i="8" s="1"/>
  <c r="K67" i="8"/>
  <c r="V82" i="8"/>
  <c r="V84" i="8" s="1"/>
  <c r="R82" i="8"/>
  <c r="R84" i="8" s="1"/>
  <c r="U15" i="8"/>
  <c r="U21" i="8"/>
  <c r="L28" i="8"/>
  <c r="I15" i="8"/>
  <c r="I21" i="8"/>
  <c r="I27" i="8" s="1"/>
  <c r="Q15" i="8"/>
  <c r="Q21" i="8"/>
  <c r="T28" i="8"/>
  <c r="J21" i="8"/>
  <c r="J27" i="8" s="1"/>
  <c r="J15" i="8"/>
  <c r="R15" i="8"/>
  <c r="R21" i="8"/>
  <c r="R27" i="8" s="1"/>
  <c r="H15" i="8"/>
  <c r="H21" i="8"/>
  <c r="H27" i="8" s="1"/>
  <c r="P15" i="8"/>
  <c r="P21" i="8"/>
  <c r="P27" i="8" s="1"/>
  <c r="M21" i="8"/>
  <c r="N21" i="8"/>
  <c r="N27" i="8" s="1"/>
  <c r="V21" i="8"/>
  <c r="V27" i="8" s="1"/>
  <c r="L15" i="8"/>
  <c r="T15" i="8"/>
  <c r="L22" i="8"/>
  <c r="T22" i="8"/>
  <c r="S74" i="8" l="1"/>
  <c r="S61" i="9" s="1"/>
  <c r="AF61" i="9" s="1"/>
  <c r="S60" i="9"/>
  <c r="AF60" i="9" s="1"/>
  <c r="P74" i="8"/>
  <c r="P61" i="9" s="1"/>
  <c r="AC61" i="9" s="1"/>
  <c r="P60" i="9"/>
  <c r="N74" i="8"/>
  <c r="N61" i="9" s="1"/>
  <c r="AA61" i="9" s="1"/>
  <c r="N60" i="9"/>
  <c r="AA60" i="9" s="1"/>
  <c r="F74" i="8"/>
  <c r="F61" i="9" s="1"/>
  <c r="F60" i="9"/>
  <c r="M74" i="8"/>
  <c r="M61" i="9" s="1"/>
  <c r="Z61" i="9" s="1"/>
  <c r="M60" i="9"/>
  <c r="O74" i="8"/>
  <c r="O61" i="9" s="1"/>
  <c r="AB61" i="9" s="1"/>
  <c r="O60" i="9"/>
  <c r="AB60" i="9" s="1"/>
  <c r="U74" i="8"/>
  <c r="U60" i="9"/>
  <c r="H20" i="9"/>
  <c r="H14" i="9"/>
  <c r="K74" i="8"/>
  <c r="K61" i="9" s="1"/>
  <c r="X61" i="9" s="1"/>
  <c r="K60" i="9"/>
  <c r="X60" i="9" s="1"/>
  <c r="AD15" i="10"/>
  <c r="AH6" i="9"/>
  <c r="AH8" i="9" s="1"/>
  <c r="AI7" i="9"/>
  <c r="X15" i="10"/>
  <c r="X16" i="10" s="1"/>
  <c r="AG7" i="9"/>
  <c r="AD6" i="9"/>
  <c r="AE7" i="9"/>
  <c r="AC7" i="9"/>
  <c r="AG64" i="9"/>
  <c r="T109" i="8"/>
  <c r="T131" i="8" s="1"/>
  <c r="T64" i="9"/>
  <c r="AC6" i="9"/>
  <c r="AG6" i="9"/>
  <c r="AE6" i="9"/>
  <c r="AD7" i="9"/>
  <c r="AE15" i="10"/>
  <c r="AF8" i="9"/>
  <c r="AF13" i="9" s="1"/>
  <c r="AF14" i="9" s="1"/>
  <c r="AI64" i="9"/>
  <c r="V64" i="9"/>
  <c r="AC67" i="9"/>
  <c r="Y37" i="9"/>
  <c r="X37" i="9"/>
  <c r="Y48" i="9"/>
  <c r="AC48" i="9"/>
  <c r="Q123" i="8"/>
  <c r="S123" i="8"/>
  <c r="V123" i="8"/>
  <c r="AI60" i="9"/>
  <c r="AE60" i="9"/>
  <c r="K123" i="8"/>
  <c r="O123" i="8"/>
  <c r="N123" i="8"/>
  <c r="J123" i="8"/>
  <c r="Z60" i="9"/>
  <c r="R123" i="8"/>
  <c r="AD60" i="9"/>
  <c r="L74" i="8"/>
  <c r="Q74" i="8"/>
  <c r="M82" i="8"/>
  <c r="M84" i="8" s="1"/>
  <c r="T74" i="8"/>
  <c r="N82" i="8"/>
  <c r="N84" i="8" s="1"/>
  <c r="P82" i="8"/>
  <c r="P84" i="8" s="1"/>
  <c r="X23" i="9"/>
  <c r="AE12" i="9"/>
  <c r="Z23" i="9"/>
  <c r="AD12" i="9"/>
  <c r="AH12" i="9"/>
  <c r="AC60" i="9"/>
  <c r="AA12" i="9"/>
  <c r="Z12" i="9"/>
  <c r="Y23" i="9"/>
  <c r="AG12" i="9"/>
  <c r="AC12" i="9"/>
  <c r="AG60" i="9"/>
  <c r="Y12" i="9"/>
  <c r="Y60" i="9"/>
  <c r="N118" i="8"/>
  <c r="V118" i="8"/>
  <c r="J118" i="8"/>
  <c r="L109" i="8"/>
  <c r="L131" i="8" s="1"/>
  <c r="O118" i="8"/>
  <c r="T32" i="8"/>
  <c r="T35" i="8"/>
  <c r="T38" i="8"/>
  <c r="Q22" i="8"/>
  <c r="Q27" i="8"/>
  <c r="L32" i="8"/>
  <c r="M22" i="8"/>
  <c r="M27" i="8"/>
  <c r="L35" i="8"/>
  <c r="U22" i="8"/>
  <c r="U27" i="8"/>
  <c r="U31" i="8" s="1"/>
  <c r="U93" i="8" s="1"/>
  <c r="L38" i="8"/>
  <c r="K21" i="8"/>
  <c r="S21" i="8"/>
  <c r="S82" i="8"/>
  <c r="S84" i="8" s="1"/>
  <c r="O21" i="8"/>
  <c r="O82" i="8"/>
  <c r="O84" i="8" s="1"/>
  <c r="K82" i="8"/>
  <c r="K84" i="8" s="1"/>
  <c r="I22" i="8"/>
  <c r="H22" i="8"/>
  <c r="H28" i="8"/>
  <c r="R22" i="8"/>
  <c r="P22" i="8"/>
  <c r="J22" i="8"/>
  <c r="V22" i="8"/>
  <c r="N22" i="8"/>
  <c r="H21" i="9" l="1"/>
  <c r="H24" i="9"/>
  <c r="U82" i="8"/>
  <c r="U84" i="8" s="1"/>
  <c r="U61" i="9"/>
  <c r="T82" i="8"/>
  <c r="T84" i="8" s="1"/>
  <c r="T61" i="9"/>
  <c r="Q82" i="8"/>
  <c r="Q84" i="8" s="1"/>
  <c r="Q61" i="9"/>
  <c r="AD61" i="9" s="1"/>
  <c r="L82" i="8"/>
  <c r="L84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U109" i="8"/>
  <c r="U131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O22" i="8"/>
  <c r="O27" i="8"/>
  <c r="O31" i="8" s="1"/>
  <c r="S27" i="8"/>
  <c r="S28" i="8" s="1"/>
  <c r="K27" i="8"/>
  <c r="K31" i="8" s="1"/>
  <c r="K35" i="8" s="1"/>
  <c r="K22" i="8"/>
  <c r="S22" i="8"/>
  <c r="U28" i="8"/>
  <c r="R31" i="8"/>
  <c r="R93" i="8" s="1"/>
  <c r="R28" i="8"/>
  <c r="Q28" i="8"/>
  <c r="Q31" i="8"/>
  <c r="Q93" i="8" s="1"/>
  <c r="J31" i="8"/>
  <c r="J93" i="8" s="1"/>
  <c r="J28" i="8"/>
  <c r="N31" i="8"/>
  <c r="N93" i="8" s="1"/>
  <c r="N28" i="8"/>
  <c r="M31" i="8"/>
  <c r="M28" i="8"/>
  <c r="V31" i="8"/>
  <c r="V93" i="8" s="1"/>
  <c r="V28" i="8"/>
  <c r="P31" i="8"/>
  <c r="P93" i="8" s="1"/>
  <c r="P28" i="8"/>
  <c r="U38" i="8"/>
  <c r="U35" i="8"/>
  <c r="U32" i="8"/>
  <c r="I28" i="8"/>
  <c r="I31" i="8"/>
  <c r="H28" i="9" l="1"/>
  <c r="H25" i="9"/>
  <c r="J109" i="8"/>
  <c r="J131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P109" i="8"/>
  <c r="P131" i="8" s="1"/>
  <c r="Q109" i="8"/>
  <c r="Q131" i="8" s="1"/>
  <c r="V109" i="8"/>
  <c r="V131" i="8" s="1"/>
  <c r="R109" i="8"/>
  <c r="R131" i="8" s="1"/>
  <c r="N109" i="8"/>
  <c r="N131" i="8" s="1"/>
  <c r="M93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I93" i="8"/>
  <c r="S31" i="8"/>
  <c r="K28" i="8"/>
  <c r="K32" i="8"/>
  <c r="K38" i="8"/>
  <c r="K93" i="8"/>
  <c r="O28" i="8"/>
  <c r="O35" i="8"/>
  <c r="O32" i="8"/>
  <c r="O38" i="8"/>
  <c r="M38" i="8"/>
  <c r="M35" i="8"/>
  <c r="M32" i="8"/>
  <c r="R32" i="8"/>
  <c r="R38" i="8"/>
  <c r="R35" i="8"/>
  <c r="N35" i="8"/>
  <c r="N32" i="8"/>
  <c r="N38" i="8"/>
  <c r="P38" i="8"/>
  <c r="P32" i="8"/>
  <c r="P35" i="8"/>
  <c r="J35" i="8"/>
  <c r="J32" i="8"/>
  <c r="J38" i="8"/>
  <c r="I32" i="8"/>
  <c r="I38" i="8"/>
  <c r="I35" i="8"/>
  <c r="V32" i="8"/>
  <c r="V35" i="8"/>
  <c r="V38" i="8"/>
  <c r="Q32" i="8"/>
  <c r="Q38" i="8"/>
  <c r="Q35" i="8"/>
  <c r="H29" i="9" l="1"/>
  <c r="H35" i="9"/>
  <c r="H43" i="9" s="1"/>
  <c r="I109" i="8"/>
  <c r="I131" i="8" s="1"/>
  <c r="X131" i="8" s="1"/>
  <c r="X93" i="8"/>
  <c r="K109" i="8"/>
  <c r="K131" i="8" s="1"/>
  <c r="Z93" i="8"/>
  <c r="Y93" i="8"/>
  <c r="AD20" i="9"/>
  <c r="AD21" i="9" s="1"/>
  <c r="Y20" i="9"/>
  <c r="Y24" i="9" s="1"/>
  <c r="Y28" i="9" s="1"/>
  <c r="AG14" i="9"/>
  <c r="AG24" i="9"/>
  <c r="AG28" i="9" s="1"/>
  <c r="M109" i="8"/>
  <c r="M131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S32" i="8"/>
  <c r="S38" i="8"/>
  <c r="S35" i="8"/>
  <c r="H44" i="9" l="1"/>
  <c r="Z131" i="8"/>
  <c r="Y131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90" i="8"/>
  <c r="B89" i="8"/>
  <c r="H90" i="8"/>
  <c r="H89" i="8"/>
  <c r="F90" i="8"/>
  <c r="E90" i="8"/>
  <c r="D90" i="8"/>
  <c r="C90" i="8"/>
  <c r="F89" i="8"/>
  <c r="E89" i="8"/>
  <c r="D89" i="8"/>
  <c r="C89" i="8"/>
  <c r="B42" i="8"/>
  <c r="B41" i="8"/>
  <c r="AH42" i="8"/>
  <c r="AG42" i="8"/>
  <c r="AF42" i="8"/>
  <c r="AD42" i="8"/>
  <c r="AC42" i="8"/>
  <c r="AB42" i="8"/>
  <c r="Z42" i="8"/>
  <c r="Y42" i="8"/>
  <c r="X42" i="8"/>
  <c r="AE42" i="8"/>
  <c r="AA42" i="8"/>
  <c r="AH41" i="8"/>
  <c r="AG41" i="8"/>
  <c r="AF41" i="8"/>
  <c r="AE41" i="8"/>
  <c r="AD41" i="8"/>
  <c r="AC41" i="8"/>
  <c r="AB41" i="8"/>
  <c r="AA41" i="8"/>
  <c r="Z41" i="8"/>
  <c r="Y41" i="8"/>
  <c r="X41" i="8"/>
  <c r="X89" i="8" l="1"/>
  <c r="AA89" i="8"/>
  <c r="AB89" i="8"/>
  <c r="AB90" i="8"/>
  <c r="AE89" i="8"/>
  <c r="AF89" i="8"/>
  <c r="AA90" i="8"/>
  <c r="AF90" i="8"/>
  <c r="AG90" i="8"/>
  <c r="AD89" i="8"/>
  <c r="Y89" i="8"/>
  <c r="AG89" i="8"/>
  <c r="AD90" i="8"/>
  <c r="AC90" i="8"/>
  <c r="Z89" i="8"/>
  <c r="AH89" i="8"/>
  <c r="AE90" i="8"/>
  <c r="X90" i="8"/>
  <c r="Y90" i="8"/>
  <c r="AC89" i="8"/>
  <c r="Z90" i="8"/>
  <c r="AH90" i="8"/>
  <c r="B7" i="9" l="1"/>
  <c r="B6" i="9"/>
  <c r="E9" i="10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C11" i="8" l="1"/>
  <c r="E50" i="8"/>
  <c r="E59" i="8" s="1"/>
  <c r="D50" i="8"/>
  <c r="D59" i="8" s="1"/>
  <c r="C50" i="8"/>
  <c r="C59" i="8" s="1"/>
  <c r="F50" i="8"/>
  <c r="F59" i="8" s="1"/>
  <c r="AJ48" i="8" l="1"/>
  <c r="X67" i="8"/>
  <c r="X74" i="8" s="1"/>
  <c r="X50" i="8"/>
  <c r="X59" i="8" s="1"/>
  <c r="AJ45" i="8"/>
  <c r="AD11" i="8"/>
  <c r="AC14" i="8"/>
  <c r="AC21" i="8" s="1"/>
  <c r="AC27" i="8" s="1"/>
  <c r="AD50" i="8"/>
  <c r="AD59" i="8" s="1"/>
  <c r="AB50" i="8"/>
  <c r="AB59" i="8" s="1"/>
  <c r="AD67" i="8"/>
  <c r="AD74" i="8" s="1"/>
  <c r="AC67" i="8"/>
  <c r="AC74" i="8" s="1"/>
  <c r="Y67" i="8"/>
  <c r="Y74" i="8" s="1"/>
  <c r="AA11" i="8"/>
  <c r="Y50" i="8"/>
  <c r="Y59" i="8" s="1"/>
  <c r="AC50" i="8"/>
  <c r="AC59" i="8" s="1"/>
  <c r="AB11" i="8"/>
  <c r="Z50" i="8"/>
  <c r="Z59" i="8" s="1"/>
  <c r="Z67" i="8"/>
  <c r="Z74" i="8" s="1"/>
  <c r="AB67" i="8"/>
  <c r="AB74" i="8" s="1"/>
  <c r="AF50" i="8"/>
  <c r="AF59" i="8" s="1"/>
  <c r="AF11" i="8"/>
  <c r="AF67" i="8"/>
  <c r="AF74" i="8" s="1"/>
  <c r="AG67" i="8"/>
  <c r="AG74" i="8" s="1"/>
  <c r="AE11" i="8"/>
  <c r="AG11" i="8"/>
  <c r="AG50" i="8"/>
  <c r="AG59" i="8" s="1"/>
  <c r="AC22" i="8" l="1"/>
  <c r="AC31" i="8"/>
  <c r="AB14" i="8"/>
  <c r="AB21" i="8" s="1"/>
  <c r="AB27" i="8" s="1"/>
  <c r="AI13" i="9"/>
  <c r="AD9" i="10"/>
  <c r="AD16" i="10" s="1"/>
  <c r="AA8" i="10"/>
  <c r="AB8" i="10"/>
  <c r="AC8" i="10"/>
  <c r="X82" i="8"/>
  <c r="X84" i="8" s="1"/>
  <c r="AF14" i="8"/>
  <c r="AF21" i="8" s="1"/>
  <c r="AF27" i="8" s="1"/>
  <c r="AJ10" i="8"/>
  <c r="AD82" i="8"/>
  <c r="AD84" i="8" s="1"/>
  <c r="AB82" i="8"/>
  <c r="AB84" i="8" s="1"/>
  <c r="Z82" i="8"/>
  <c r="Z84" i="8" s="1"/>
  <c r="AJ17" i="8"/>
  <c r="AC82" i="8"/>
  <c r="AC84" i="8" s="1"/>
  <c r="AD14" i="8"/>
  <c r="AD21" i="8" s="1"/>
  <c r="AD27" i="8" s="1"/>
  <c r="Y82" i="8"/>
  <c r="Y84" i="8" s="1"/>
  <c r="AA14" i="8"/>
  <c r="AA21" i="8" s="1"/>
  <c r="AA27" i="8" s="1"/>
  <c r="AC15" i="8"/>
  <c r="AJ13" i="8"/>
  <c r="AF82" i="8"/>
  <c r="AF84" i="8" s="1"/>
  <c r="AG14" i="8"/>
  <c r="AG21" i="8" s="1"/>
  <c r="AG27" i="8" s="1"/>
  <c r="AE14" i="8"/>
  <c r="AE21" i="8" s="1"/>
  <c r="AE27" i="8" s="1"/>
  <c r="AG82" i="8"/>
  <c r="AG84" i="8" s="1"/>
  <c r="AB22" i="8" l="1"/>
  <c r="AB31" i="8"/>
  <c r="AA22" i="8"/>
  <c r="AA31" i="8"/>
  <c r="AD31" i="8"/>
  <c r="AD22" i="8"/>
  <c r="AF31" i="8"/>
  <c r="AF22" i="8"/>
  <c r="AE31" i="8"/>
  <c r="AE22" i="8"/>
  <c r="AG31" i="8"/>
  <c r="AG22" i="8"/>
  <c r="AF15" i="8"/>
  <c r="AE15" i="8"/>
  <c r="AB15" i="8"/>
  <c r="AG15" i="8"/>
  <c r="AD15" i="8"/>
  <c r="AI14" i="9"/>
  <c r="AI20" i="9"/>
  <c r="AB9" i="10"/>
  <c r="AB10" i="10" s="1"/>
  <c r="AC9" i="10"/>
  <c r="AC10" i="10" s="1"/>
  <c r="AD10" i="10"/>
  <c r="AE9" i="10"/>
  <c r="AE16" i="10" s="1"/>
  <c r="AG9" i="10"/>
  <c r="AG16" i="10" s="1"/>
  <c r="AA9" i="10"/>
  <c r="AA10" i="10" s="1"/>
  <c r="Y8" i="10"/>
  <c r="X8" i="10"/>
  <c r="Z8" i="10"/>
  <c r="AC28" i="8"/>
  <c r="AA15" i="8"/>
  <c r="Z9" i="10" l="1"/>
  <c r="Y9" i="10"/>
  <c r="AB28" i="8"/>
  <c r="AA28" i="8"/>
  <c r="AF28" i="8"/>
  <c r="AB32" i="8"/>
  <c r="AI24" i="9"/>
  <c r="AI28" i="9" s="1"/>
  <c r="AI21" i="9"/>
  <c r="X9" i="10"/>
  <c r="AF9" i="10"/>
  <c r="AE10" i="10"/>
  <c r="AC32" i="8"/>
  <c r="AC35" i="8"/>
  <c r="AC38" i="8"/>
  <c r="AA35" i="8"/>
  <c r="AA38" i="8"/>
  <c r="AA32" i="8"/>
  <c r="AG28" i="8"/>
  <c r="AD28" i="8"/>
  <c r="AE28" i="8"/>
  <c r="AF10" i="10" l="1"/>
  <c r="AF16" i="10"/>
  <c r="AB38" i="8"/>
  <c r="AB35" i="8"/>
  <c r="AI25" i="9"/>
  <c r="AE32" i="8"/>
  <c r="AE38" i="8"/>
  <c r="AE35" i="8"/>
  <c r="AD38" i="8"/>
  <c r="AD32" i="8"/>
  <c r="AD35" i="8"/>
  <c r="AF32" i="8"/>
  <c r="AF35" i="8"/>
  <c r="AF38" i="8"/>
  <c r="AG32" i="8"/>
  <c r="AG35" i="8"/>
  <c r="AG38" i="8"/>
  <c r="AI29" i="9" l="1"/>
  <c r="AI35" i="9"/>
  <c r="AA67" i="8" l="1"/>
  <c r="AE67" i="8"/>
  <c r="AE74" i="8" s="1"/>
  <c r="AA74" i="8" l="1"/>
  <c r="AA82" i="8" s="1"/>
  <c r="Y118" i="8"/>
  <c r="Z118" i="8"/>
  <c r="X118" i="8"/>
  <c r="AD118" i="8"/>
  <c r="AA118" i="8"/>
  <c r="AB118" i="8"/>
  <c r="AC118" i="8"/>
  <c r="AE118" i="8"/>
  <c r="AG118" i="8"/>
  <c r="AF118" i="8"/>
  <c r="F11" i="8" l="1"/>
  <c r="F10" i="10" s="1"/>
  <c r="E11" i="8"/>
  <c r="E10" i="10" s="1"/>
  <c r="D11" i="8"/>
  <c r="D10" i="10" s="1"/>
  <c r="C11" i="8"/>
  <c r="C8" i="9" s="1"/>
  <c r="H118" i="8"/>
  <c r="F118" i="8"/>
  <c r="E118" i="8"/>
  <c r="D118" i="8"/>
  <c r="C118" i="8"/>
  <c r="H67" i="8"/>
  <c r="E67" i="8"/>
  <c r="E60" i="9" s="1"/>
  <c r="D67" i="8"/>
  <c r="D60" i="9" s="1"/>
  <c r="C67" i="8"/>
  <c r="C60" i="9" s="1"/>
  <c r="AH11" i="8"/>
  <c r="AG10" i="10" s="1"/>
  <c r="U67" i="9"/>
  <c r="M67" i="9"/>
  <c r="AK34" i="9"/>
  <c r="AK27" i="9"/>
  <c r="H74" i="8" l="1"/>
  <c r="H61" i="9" s="1"/>
  <c r="H60" i="9"/>
  <c r="C74" i="8"/>
  <c r="C61" i="9" s="1"/>
  <c r="E74" i="8"/>
  <c r="E61" i="9" s="1"/>
  <c r="D74" i="8"/>
  <c r="N67" i="9"/>
  <c r="V67" i="9"/>
  <c r="D67" i="9"/>
  <c r="O67" i="9"/>
  <c r="AG61" i="9"/>
  <c r="AJ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E82" i="8"/>
  <c r="E14" i="8"/>
  <c r="E21" i="8" s="1"/>
  <c r="E27" i="8" s="1"/>
  <c r="D14" i="8"/>
  <c r="D21" i="8" s="1"/>
  <c r="D27" i="8" s="1"/>
  <c r="F14" i="8"/>
  <c r="F21" i="8" s="1"/>
  <c r="F27" i="8" s="1"/>
  <c r="C14" i="8"/>
  <c r="C21" i="8" s="1"/>
  <c r="C27" i="8" s="1"/>
  <c r="AH67" i="8"/>
  <c r="AH74" i="8" s="1"/>
  <c r="AJ81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D82" i="8" l="1"/>
  <c r="D84" i="8" s="1"/>
  <c r="D61" i="9"/>
  <c r="C82" i="8"/>
  <c r="C84" i="8" s="1"/>
  <c r="D22" i="8"/>
  <c r="E22" i="8"/>
  <c r="E31" i="8"/>
  <c r="E93" i="8" s="1"/>
  <c r="O93" i="8" s="1"/>
  <c r="C31" i="8"/>
  <c r="C22" i="8"/>
  <c r="H31" i="8"/>
  <c r="F31" i="8"/>
  <c r="F93" i="8" s="1"/>
  <c r="S93" i="8" s="1"/>
  <c r="F22" i="8"/>
  <c r="C15" i="8"/>
  <c r="T67" i="9"/>
  <c r="AE50" i="8"/>
  <c r="H82" i="8"/>
  <c r="H84" i="8" s="1"/>
  <c r="AA50" i="8"/>
  <c r="E82" i="8"/>
  <c r="E84" i="8" s="1"/>
  <c r="F82" i="8"/>
  <c r="F84" i="8" s="1"/>
  <c r="AH61" i="9"/>
  <c r="P67" i="9"/>
  <c r="AJ74" i="8"/>
  <c r="AJ67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H50" i="8"/>
  <c r="AH59" i="8" s="1"/>
  <c r="E15" i="8"/>
  <c r="F15" i="8"/>
  <c r="D15" i="8"/>
  <c r="AH14" i="8"/>
  <c r="AH21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D93" i="8" l="1"/>
  <c r="AC93" i="8"/>
  <c r="AB93" i="8"/>
  <c r="AA93" i="8"/>
  <c r="AH93" i="8"/>
  <c r="AG93" i="8"/>
  <c r="AF93" i="8"/>
  <c r="AE93" i="8"/>
  <c r="O109" i="8"/>
  <c r="O131" i="8" s="1"/>
  <c r="AA59" i="8"/>
  <c r="AA84" i="8" s="1"/>
  <c r="AE59" i="8"/>
  <c r="AE84" i="8" s="1"/>
  <c r="AJ21" i="8"/>
  <c r="AH27" i="8"/>
  <c r="H32" i="8"/>
  <c r="H38" i="8"/>
  <c r="D28" i="8"/>
  <c r="D31" i="8"/>
  <c r="D38" i="8" s="1"/>
  <c r="AH22" i="8"/>
  <c r="AJ22" i="8" s="1"/>
  <c r="F28" i="8"/>
  <c r="E28" i="8"/>
  <c r="AJ123" i="8"/>
  <c r="AH82" i="8"/>
  <c r="AJ82" i="8" s="1"/>
  <c r="AJ59" i="8"/>
  <c r="AJ50" i="8"/>
  <c r="T14" i="9"/>
  <c r="P14" i="9"/>
  <c r="F35" i="8"/>
  <c r="F38" i="8"/>
  <c r="E38" i="8"/>
  <c r="E35" i="8"/>
  <c r="R20" i="9"/>
  <c r="R21" i="9" s="1"/>
  <c r="J20" i="9"/>
  <c r="J21" i="9" s="1"/>
  <c r="AJ14" i="8"/>
  <c r="F32" i="8"/>
  <c r="F109" i="8"/>
  <c r="F131" i="8" s="1"/>
  <c r="E32" i="8"/>
  <c r="E109" i="8"/>
  <c r="E131" i="8" s="1"/>
  <c r="C28" i="8"/>
  <c r="AH118" i="8"/>
  <c r="AJ118" i="8" s="1"/>
  <c r="AH15" i="8"/>
  <c r="AJ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H31" i="8" l="1"/>
  <c r="AJ27" i="8"/>
  <c r="AD131" i="8"/>
  <c r="AC131" i="8"/>
  <c r="AB131" i="8"/>
  <c r="AA131" i="8"/>
  <c r="S109" i="8"/>
  <c r="S131" i="8" s="1"/>
  <c r="D32" i="8"/>
  <c r="D93" i="8"/>
  <c r="D35" i="8"/>
  <c r="H93" i="8"/>
  <c r="H109" i="8" s="1"/>
  <c r="H131" i="8" s="1"/>
  <c r="H35" i="8"/>
  <c r="C93" i="8"/>
  <c r="C32" i="8"/>
  <c r="C38" i="8"/>
  <c r="C35" i="8"/>
  <c r="AH84" i="8"/>
  <c r="R24" i="9"/>
  <c r="R28" i="9" s="1"/>
  <c r="J24" i="9"/>
  <c r="J28" i="9" s="1"/>
  <c r="AH28" i="8"/>
  <c r="AJ28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H131" i="8" l="1"/>
  <c r="AE131" i="8"/>
  <c r="AG131" i="8"/>
  <c r="AF131" i="8"/>
  <c r="D109" i="8"/>
  <c r="D131" i="8" s="1"/>
  <c r="C109" i="8"/>
  <c r="C131" i="8" s="1"/>
  <c r="AD109" i="8"/>
  <c r="AH38" i="8"/>
  <c r="R25" i="9"/>
  <c r="J25" i="9"/>
  <c r="AE109" i="8"/>
  <c r="M25" i="9"/>
  <c r="Q25" i="9"/>
  <c r="J35" i="9"/>
  <c r="J43" i="9" s="1"/>
  <c r="J29" i="9"/>
  <c r="N25" i="9"/>
  <c r="C35" i="9"/>
  <c r="C29" i="9"/>
  <c r="E29" i="9"/>
  <c r="E35" i="9"/>
  <c r="E43" i="9" s="1"/>
  <c r="F29" i="9"/>
  <c r="F35" i="9"/>
  <c r="F43" i="9" s="1"/>
  <c r="R29" i="9"/>
  <c r="R35" i="9"/>
  <c r="R43" i="9" s="1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43" i="9" s="1"/>
  <c r="D29" i="9"/>
  <c r="T29" i="9"/>
  <c r="T35" i="9"/>
  <c r="T43" i="9" s="1"/>
  <c r="AA109" i="8" l="1"/>
  <c r="AB109" i="8"/>
  <c r="AC109" i="8"/>
  <c r="AJ31" i="8"/>
  <c r="AH35" i="8"/>
  <c r="AH32" i="8"/>
  <c r="AJ32" i="8" s="1"/>
  <c r="C44" i="9"/>
  <c r="K35" i="9"/>
  <c r="K43" i="9" s="1"/>
  <c r="K29" i="9"/>
  <c r="Q35" i="9"/>
  <c r="Q43" i="9" s="1"/>
  <c r="Q29" i="9"/>
  <c r="I35" i="9"/>
  <c r="I43" i="9" s="1"/>
  <c r="I29" i="9"/>
  <c r="F44" i="9"/>
  <c r="J44" i="9"/>
  <c r="L35" i="9"/>
  <c r="L43" i="9" s="1"/>
  <c r="L29" i="9"/>
  <c r="E44" i="9"/>
  <c r="U35" i="9"/>
  <c r="U43" i="9" s="1"/>
  <c r="U29" i="9"/>
  <c r="N35" i="9"/>
  <c r="N43" i="9" s="1"/>
  <c r="N29" i="9"/>
  <c r="D44" i="9"/>
  <c r="S29" i="9"/>
  <c r="S35" i="9"/>
  <c r="S43" i="9" s="1"/>
  <c r="T44" i="9"/>
  <c r="M35" i="9"/>
  <c r="M43" i="9" s="1"/>
  <c r="M29" i="9"/>
  <c r="AK28" i="9"/>
  <c r="AK25" i="9"/>
  <c r="V29" i="9"/>
  <c r="V35" i="9"/>
  <c r="V43" i="9" s="1"/>
  <c r="AD44" i="9" l="1"/>
  <c r="Z44" i="9"/>
  <c r="AG44" i="9"/>
  <c r="AF44" i="9"/>
  <c r="AC44" i="9"/>
  <c r="AI44" i="9"/>
  <c r="AB44" i="9"/>
  <c r="AE44" i="9"/>
  <c r="AA44" i="9"/>
  <c r="AH44" i="9"/>
  <c r="AJ35" i="8"/>
  <c r="AJ38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28" i="8" l="1"/>
  <c r="C132" i="8" s="1"/>
  <c r="H126" i="8" l="1"/>
  <c r="H128" i="8" s="1"/>
  <c r="H132" i="8" s="1"/>
  <c r="X126" i="8" s="1"/>
  <c r="D128" i="8"/>
  <c r="D132" i="8" s="1"/>
  <c r="C134" i="8"/>
  <c r="I126" i="8" l="1"/>
  <c r="I128" i="8" s="1"/>
  <c r="I132" i="8" s="1"/>
  <c r="Y126" i="8" s="1"/>
  <c r="E126" i="8"/>
  <c r="E128" i="8" s="1"/>
  <c r="E132" i="8" s="1"/>
  <c r="F126" i="8" s="1"/>
  <c r="J126" i="8" l="1"/>
  <c r="J128" i="8" s="1"/>
  <c r="J132" i="8" s="1"/>
  <c r="F128" i="8"/>
  <c r="F132" i="8" s="1"/>
  <c r="Z126" i="8" l="1"/>
  <c r="K126" i="8"/>
  <c r="K128" i="8" s="1"/>
  <c r="K132" i="8" s="1"/>
  <c r="AA126" i="8" l="1"/>
  <c r="L126" i="8"/>
  <c r="L128" i="8" s="1"/>
  <c r="L132" i="8" s="1"/>
  <c r="AB126" i="8" l="1"/>
  <c r="M126" i="8"/>
  <c r="M128" i="8" s="1"/>
  <c r="M132" i="8" s="1"/>
  <c r="AC126" i="8" l="1"/>
  <c r="N126" i="8"/>
  <c r="N128" i="8" s="1"/>
  <c r="N132" i="8" s="1"/>
  <c r="AD126" i="8" l="1"/>
  <c r="AD128" i="8" s="1"/>
  <c r="O126" i="8"/>
  <c r="O128" i="8" s="1"/>
  <c r="O132" i="8" s="1"/>
  <c r="AE126" i="8" l="1"/>
  <c r="P126" i="8"/>
  <c r="P128" i="8" s="1"/>
  <c r="P132" i="8" s="1"/>
  <c r="AF126" i="8" l="1"/>
  <c r="Q126" i="8"/>
  <c r="Q128" i="8" s="1"/>
  <c r="Q132" i="8" s="1"/>
  <c r="AG126" i="8" l="1"/>
  <c r="R126" i="8"/>
  <c r="R128" i="8" s="1"/>
  <c r="R132" i="8" s="1"/>
  <c r="AH126" i="8" l="1"/>
  <c r="S126" i="8"/>
  <c r="S128" i="8" s="1"/>
  <c r="S132" i="8" s="1"/>
  <c r="T126" i="8" l="1"/>
  <c r="T128" i="8" s="1"/>
  <c r="T132" i="8" s="1"/>
  <c r="U126" i="8" l="1"/>
  <c r="U128" i="8" s="1"/>
  <c r="U132" i="8" s="1"/>
  <c r="V126" i="8" l="1"/>
  <c r="V128" i="8" s="1"/>
  <c r="V132" i="8" s="1"/>
  <c r="X128" i="8" l="1"/>
  <c r="AC128" i="8" l="1"/>
  <c r="AC132" i="8" s="1"/>
  <c r="AD132" i="8" l="1"/>
  <c r="AE128" i="8" l="1"/>
  <c r="AE132" i="8" s="1"/>
  <c r="Y128" i="8"/>
  <c r="AF128" i="8" l="1"/>
  <c r="Z109" i="8"/>
  <c r="X11" i="8"/>
  <c r="X10" i="10" s="1"/>
  <c r="Z11" i="8"/>
  <c r="Y11" i="8"/>
  <c r="Y14" i="8" s="1"/>
  <c r="Y10" i="10" l="1"/>
  <c r="Y21" i="8"/>
  <c r="Y27" i="8" s="1"/>
  <c r="Y15" i="8"/>
  <c r="Z14" i="8"/>
  <c r="Z10" i="10"/>
  <c r="X14" i="8"/>
  <c r="Z21" i="8" l="1"/>
  <c r="Z27" i="8" s="1"/>
  <c r="Z15" i="8"/>
  <c r="X15" i="8"/>
  <c r="X21" i="8"/>
  <c r="X27" i="8" s="1"/>
  <c r="Y22" i="8"/>
  <c r="Y31" i="8" l="1"/>
  <c r="Y28" i="8"/>
  <c r="X22" i="8"/>
  <c r="Z22" i="8"/>
  <c r="Z31" i="8" l="1"/>
  <c r="Z28" i="8"/>
  <c r="X28" i="8"/>
  <c r="X31" i="8"/>
  <c r="Y35" i="8"/>
  <c r="Y32" i="8"/>
  <c r="Y38" i="8"/>
  <c r="AF109" i="8" l="1"/>
  <c r="AG109" i="8"/>
  <c r="Y109" i="8"/>
  <c r="Y132" i="8" s="1"/>
  <c r="X109" i="8"/>
  <c r="X32" i="8"/>
  <c r="X38" i="8"/>
  <c r="X35" i="8"/>
  <c r="Z35" i="8"/>
  <c r="Z32" i="8"/>
  <c r="Z38" i="8"/>
  <c r="X132" i="8" l="1"/>
  <c r="AF132" i="8"/>
  <c r="AH109" i="8"/>
  <c r="AJ93" i="8"/>
  <c r="Z128" i="8"/>
  <c r="Z132" i="8" s="1"/>
  <c r="AG128" i="8" l="1"/>
  <c r="AG132" i="8" s="1"/>
  <c r="AJ109" i="8"/>
  <c r="AA128" i="8"/>
  <c r="AA132" i="8" s="1"/>
  <c r="AH128" i="8" l="1"/>
  <c r="AH132" i="8" s="1"/>
  <c r="AB128" i="8"/>
  <c r="AB132" i="8" s="1"/>
</calcChain>
</file>

<file path=xl/sharedStrings.xml><?xml version="1.0" encoding="utf-8"?>
<sst xmlns="http://schemas.openxmlformats.org/spreadsheetml/2006/main" count="403" uniqueCount="177">
  <si>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</si>
  <si>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</si>
  <si>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</si>
  <si>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</si>
  <si>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</si>
  <si>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</si>
  <si>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</si>
  <si>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</si>
  <si>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</si>
  <si>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</si>
  <si>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</si>
  <si>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</si>
  <si>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</si>
  <si>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</si>
  <si>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</si>
  <si>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</si>
  <si>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</si>
  <si>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</si>
  <si>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</si>
  <si>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</si>
  <si>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</si>
  <si>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</si>
  <si>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</si>
  <si>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</si>
  <si>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</si>
  <si>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</si>
  <si>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</si>
  <si>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</si>
  <si>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</si>
  <si>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</si>
  <si>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</si>
  <si>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</si>
  <si>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</si>
  <si>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</si>
  <si>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</si>
  <si>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</si>
  <si>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</si>
  <si>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</si>
  <si>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</si>
  <si>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</si>
  <si>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</si>
  <si>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</si>
  <si>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</si>
  <si>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</si>
  <si>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</si>
  <si>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</si>
  <si>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</si>
  <si>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</si>
  <si>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</si>
  <si>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</si>
  <si>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</si>
  <si>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</si>
  <si>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</si>
  <si>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</si>
  <si>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</si>
  <si>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</si>
  <si>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</si>
  <si>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</si>
  <si>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</si>
  <si>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</si>
  <si>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</si>
  <si>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</si>
  <si>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</si>
  <si>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</si>
  <si>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</si>
  <si>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</si>
  <si>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</si>
  <si>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</si>
  <si>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</si>
  <si>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</si>
  <si>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</si>
  <si>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</si>
  <si>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</si>
  <si>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</si>
  <si>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</si>
  <si>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</si>
  <si>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</si>
  <si>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</si>
  <si>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</si>
  <si>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</si>
  <si>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</si>
  <si>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</si>
  <si>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3Q25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</si>
  <si>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</si>
  <si>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</si>
  <si>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</si>
  <si>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</si>
  <si>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</si>
  <si>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</si>
  <si>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</si>
  <si>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</si>
  <si>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</si>
  <si>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NM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</si>
  <si>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</si>
  <si>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</si>
  <si>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</si>
  <si>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</si>
  <si>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</si>
  <si>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</si>
  <si>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</si>
  <si>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</si>
  <si>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</si>
  <si>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</si>
  <si>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</si>
  <si>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</si>
  <si>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</si>
  <si>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</si>
  <si>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</si>
  <si>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</si>
  <si>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</si>
  <si>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</si>
  <si>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</si>
  <si>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Revenue by Channel: U.S</t>
  </si>
  <si>
    <t>(+/-) Proceeds / (Purchases) of Equity, net</t>
  </si>
  <si>
    <t>(+/-) Other Financing Activities</t>
  </si>
  <si>
    <t>IonQ, Inc. (NASDAQ: IONQ)</t>
  </si>
  <si>
    <t xml:space="preserve">Quantum computing and networking hardware
</t>
  </si>
  <si>
    <t xml:space="preserve">Platform, consulting and support services
</t>
  </si>
  <si>
    <t xml:space="preserve">United States
</t>
  </si>
  <si>
    <t>International</t>
  </si>
  <si>
    <t>Research and development</t>
  </si>
  <si>
    <t>Sales and marketing</t>
  </si>
  <si>
    <t>General and administrative</t>
  </si>
  <si>
    <t>Gain (loss) on change in fair value of warrant liabilities</t>
  </si>
  <si>
    <t>Interest income, net</t>
  </si>
  <si>
    <t>Other income (expense), net</t>
  </si>
  <si>
    <t>Cash and cash equivalents</t>
  </si>
  <si>
    <t>Short-term investments</t>
  </si>
  <si>
    <t>Prepaid expenses and other current assets</t>
  </si>
  <si>
    <t>Long-term investments</t>
  </si>
  <si>
    <t>Property and equipment, net</t>
  </si>
  <si>
    <t>Operating lease right-of-use assets</t>
  </si>
  <si>
    <t>Intangible assets, net</t>
  </si>
  <si>
    <t>Goodwill</t>
  </si>
  <si>
    <t>Other noncurrent assets</t>
  </si>
  <si>
    <t>Accrued expenses</t>
  </si>
  <si>
    <t>Current portion of operating lease liabilities</t>
  </si>
  <si>
    <t>Unearned revenue</t>
  </si>
  <si>
    <t>Current portion of stock option early exercise liabilities</t>
  </si>
  <si>
    <t>Operating lease liabilities, net of current portion</t>
  </si>
  <si>
    <t>Unearned revenue, net of current portion</t>
  </si>
  <si>
    <t>Warrant liabilities</t>
  </si>
  <si>
    <t>Additional paid-in capital</t>
  </si>
  <si>
    <t>Accumulated deficit</t>
  </si>
  <si>
    <t>Accumulated other comprehensive loss</t>
  </si>
  <si>
    <t xml:space="preserve">Common stock </t>
  </si>
  <si>
    <t>Stock-based compensation</t>
  </si>
  <si>
    <t>Amortization of premiums and accretion of discounts on available-for-sale securities</t>
  </si>
  <si>
    <t>Other assets and liabilities</t>
  </si>
  <si>
    <t>Purchases of property and equipment</t>
  </si>
  <si>
    <t>Capitalized software development costs</t>
  </si>
  <si>
    <t>Purchases of available-for-sale securities</t>
  </si>
  <si>
    <t>Maturities and sales of available-for-sale securities</t>
  </si>
  <si>
    <t>Business acquired</t>
  </si>
  <si>
    <r>
      <t xml:space="preserve">1) </t>
    </r>
    <r>
      <rPr>
        <b/>
        <i/>
        <sz val="8"/>
        <rFont val="Calibri"/>
        <family val="2"/>
      </rPr>
      <t>Other noncurrent liabilities consists of</t>
    </r>
    <r>
      <rPr>
        <i/>
        <sz val="8"/>
        <rFont val="Calibri"/>
        <family val="2"/>
      </rPr>
      <t>: Other noncurrent liabilities + Stock option early exercise liabilities, net of current portion.</t>
    </r>
  </si>
  <si>
    <r>
      <t xml:space="preserve">Other Non-Current Liabilities </t>
    </r>
    <r>
      <rPr>
        <vertAlign val="superscript"/>
        <sz val="9"/>
        <rFont val="Calibri"/>
        <family val="2"/>
      </rPr>
      <t>(1)</t>
    </r>
  </si>
  <si>
    <t>Noncontrolling interests</t>
  </si>
  <si>
    <t>Provision for taxes</t>
  </si>
  <si>
    <t>(Gain) loss on change in fair value of warrant liabilities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</si>
  <si>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</si>
  <si>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Other investing, net </t>
    </r>
    <r>
      <rPr>
        <vertAlign val="superscript"/>
        <sz val="9"/>
        <color theme="1"/>
        <rFont val="Calibri"/>
        <family val="2"/>
      </rPr>
      <t>(2)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</si>
  <si>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</si>
  <si>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</si>
  <si>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</si>
  <si>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</si>
  <si>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</si>
  <si>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</si>
  <si>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</si>
  <si>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</si>
  <si>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r>
      <t xml:space="preserve">Other Operating, net </t>
    </r>
    <r>
      <rPr>
        <vertAlign val="superscript"/>
        <sz val="9"/>
        <color theme="1"/>
        <rFont val="Calibri"/>
        <family val="2"/>
      </rPr>
      <t>(1)</t>
    </r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</si>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</sst>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7" formatCode="#,##0.0%;\(#,##0.0%\)"/>
    <numFmt numFmtId="168" formatCode="#,##0.0&quot;bps&quot;_);\(#,##0.0&quot;bps&quot;\)"/>
    <numFmt numFmtId="169" formatCode="#,##0.00&quot;bps&quot;_);\(#,##0.00&quot;bps&quot;\)"/>
    <numFmt numFmtId="170" formatCode="_(* #,##0.00&quot;x&quot;_);_(* \(#,##0.00&quot;x&quot;\);_(* &quot;-&quot;_);_(@_)"/>
  </numFmts>
  <fonts count="33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vertAlign val="superscript"/>
      <sz val="9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vertAlign val="superscript"/>
      <sz val="9"/>
      <color theme="1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8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7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7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7" fontId="7" fillId="4" borderId="0" xfId="1" applyNumberFormat="1" applyFont="1" applyFill="1" applyBorder="1" applyAlignment="1">
      <alignment horizontal="right" vertical="center" wrapText="1"/>
    </xf>
    <xf numFmtId="167" fontId="9" fillId="4" borderId="0" xfId="1" applyNumberFormat="1" applyFont="1" applyFill="1" applyBorder="1" applyAlignment="1">
      <alignment horizontal="right" vertical="center" wrapText="1"/>
    </xf>
    <xf numFmtId="169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7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7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 wrapText="1"/>
    </xf>
    <xf numFmtId="41" fontId="11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vertical="center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7" fontId="10" fillId="3" borderId="0" xfId="1" applyNumberFormat="1" applyFont="1" applyFill="1" applyBorder="1" applyAlignment="1">
      <alignment horizontal="right" vertical="center" wrapText="1"/>
    </xf>
    <xf numFmtId="167" fontId="29" fillId="3" borderId="0" xfId="1" applyNumberFormat="1" applyFont="1" applyFill="1" applyBorder="1" applyAlignment="1">
      <alignment horizontal="right" vertical="center" wrapText="1"/>
    </xf>
    <xf numFmtId="168" fontId="29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30" fillId="2" borderId="0" xfId="0" applyFont="1" applyFill="1" applyAlignment="1">
      <alignment horizontal="center" vertical="center" wrapText="1"/>
    </xf>
    <xf numFmtId="0" fontId="23" fillId="0" borderId="0" xfId="0" applyFont="1" applyBorder="1" applyAlignment="1">
      <alignment horizontal="left" wrapText="1"/>
    </xf>
    <xf numFmtId="41" fontId="11" fillId="8" borderId="0" xfId="0" applyNumberFormat="1" applyFont="1" applyFill="1"/>
    <xf numFmtId="41" fontId="8" fillId="5" borderId="0" xfId="0" applyNumberFormat="1" applyFont="1" applyFill="1" applyBorder="1" applyAlignment="1">
      <alignment horizontal="right" vertical="top" wrapText="1"/>
    </xf>
    <xf numFmtId="41" fontId="6" fillId="0" borderId="0" xfId="0" applyNumberFormat="1" applyFont="1" applyBorder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wrapText="1"/>
    </xf>
    <xf numFmtId="37" fontId="4" fillId="0" borderId="0" xfId="0" applyNumberFormat="1" applyFont="1" applyBorder="1" applyAlignment="1">
      <alignment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11" fillId="0" borderId="7" xfId="0" applyNumberFormat="1" applyFont="1" applyBorder="1" applyAlignment="1">
      <alignment horizontal="right" vertical="top" wrapText="1"/>
    </xf>
    <xf numFmtId="41" fontId="8" fillId="0" borderId="13" xfId="0" applyNumberFormat="1" applyFont="1" applyBorder="1" applyAlignment="1">
      <alignment horizontal="right" vertical="top" wrapText="1"/>
    </xf>
    <xf numFmtId="0" fontId="8" fillId="0" borderId="14" xfId="0" applyFont="1" applyBorder="1" applyAlignment="1">
      <alignment horizontal="right" vertical="center" wrapText="1"/>
    </xf>
    <xf numFmtId="0" fontId="8" fillId="5" borderId="14" xfId="0" applyFont="1" applyFill="1" applyBorder="1" applyAlignment="1">
      <alignment horizontal="right" vertical="center" wrapText="1"/>
    </xf>
    <xf numFmtId="41" fontId="8" fillId="0" borderId="14" xfId="0" applyNumberFormat="1" applyFont="1" applyBorder="1" applyAlignment="1">
      <alignment horizontal="right" vertical="top" wrapText="1"/>
    </xf>
    <xf numFmtId="0" fontId="4" fillId="0" borderId="14" xfId="0" applyFont="1" applyBorder="1"/>
    <xf numFmtId="0" fontId="21" fillId="0" borderId="15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43" fontId="21" fillId="0" borderId="12" xfId="0" applyNumberFormat="1" applyFont="1" applyBorder="1" applyAlignment="1">
      <alignment wrapText="1"/>
    </xf>
    <xf numFmtId="170" fontId="16" fillId="0" borderId="0" xfId="0" applyNumberFormat="1" applyFont="1" applyAlignment="1">
      <alignment horizontal="right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AppData\Local\Temp\4819e2e9-aa78-4b81-b055-71c9923ae613_DCF-Modeling-Course-DL-Kit%20(7).zip.613\DCF%20Model.xlsx" TargetMode="External"/><Relationship Id="rId1" Type="http://schemas.openxmlformats.org/officeDocument/2006/relationships/externalLinkPath" Target="/Users/Felix/AppData/Local/Temp/4819e2e9-aa78-4b81-b055-71c9923ae613_DCF-Modeling-Course-DL-Kit%20(7).zip.613/DCF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 "/>
      <sheetName val="Simple DCF Empty"/>
      <sheetName val="Simple DCF Done"/>
      <sheetName val="WACC Empty"/>
      <sheetName val="WACC Done"/>
      <sheetName val="Shares Empty"/>
      <sheetName val="Shares"/>
      <sheetName val="DCF 1-Pager"/>
      <sheetName val="2019 FSM Update Complete"/>
      <sheetName val="Integrated DCF Empty"/>
      <sheetName val="Integrated DCF"/>
    </sheetNames>
    <sheetDataSet>
      <sheetData sheetId="0"/>
      <sheetData sheetId="1" refreshError="1"/>
      <sheetData sheetId="2">
        <row r="5">
          <cell r="H5">
            <v>273.52</v>
          </cell>
        </row>
      </sheetData>
      <sheetData sheetId="3" refreshError="1"/>
      <sheetData sheetId="4"/>
      <sheetData sheetId="5" refreshError="1"/>
      <sheetData sheetId="6">
        <row r="25">
          <cell r="E25">
            <v>14543</v>
          </cell>
        </row>
      </sheetData>
      <sheetData sheetId="7" refreshError="1"/>
      <sheetData sheetId="8"/>
      <sheetData sheetId="9">
        <row r="128">
          <cell r="B128" t="str">
            <v>DCF Value at 11.0x-15.0x Exit EBITDA Range at 9.0% WACC</v>
          </cell>
          <cell r="C128">
            <v>20.680633001583054</v>
          </cell>
          <cell r="D128">
            <v>0</v>
          </cell>
          <cell r="E128">
            <v>20.680633001583054</v>
          </cell>
          <cell r="G128" t="str">
            <v>LTM EBITDA Purchase Multiple at 2.0%-4.0% Perpetuity Growth at 9.0% WACC</v>
          </cell>
          <cell r="O128" t="e">
            <v>#DIV/0!</v>
          </cell>
          <cell r="P128" t="e">
            <v>#DIV/0!</v>
          </cell>
          <cell r="Q128" t="e">
            <v>#DIV/0!</v>
          </cell>
        </row>
        <row r="129">
          <cell r="B129" t="str">
            <v>DCF Value at 2.0%-4.0% Perpetuity Range at 9.0% WACC</v>
          </cell>
          <cell r="C129">
            <v>20.680633001583054</v>
          </cell>
          <cell r="D129">
            <v>0</v>
          </cell>
          <cell r="E129">
            <v>20.680633001583054</v>
          </cell>
          <cell r="G129" t="e">
            <v>#DIV/0!</v>
          </cell>
          <cell r="O129" t="e">
            <v>#DIV/0!</v>
          </cell>
          <cell r="P129" t="e">
            <v>#DIV/0!</v>
          </cell>
          <cell r="Q129" t="e">
            <v>#DIV/0!</v>
          </cell>
        </row>
        <row r="130">
          <cell r="B130" t="str">
            <v>52 Week Market High/Low</v>
          </cell>
          <cell r="C130">
            <v>169.5</v>
          </cell>
          <cell r="D130">
            <v>158.35000000000002</v>
          </cell>
          <cell r="E130">
            <v>327.85</v>
          </cell>
          <cell r="G130" t="str">
            <v>LTM EBITDA Purchase Multiple at 7.0%-11.0% WACC at 13.0x Exit EBITDA</v>
          </cell>
          <cell r="O130" t="e">
            <v>#DIV/0!</v>
          </cell>
          <cell r="P130" t="e">
            <v>#DIV/0!</v>
          </cell>
          <cell r="Q130" t="e">
            <v>#DIV/0!</v>
          </cell>
        </row>
      </sheetData>
      <sheetData sheetId="10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V150"/>
  <sheetViews>
    <sheetView showGridLines="0" zoomScaleNormal="100" workbookViewId="0">
      <selection activeCell="B17" sqref="B17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8.625" style="5" customWidth="1" outlineLevel="1"/>
    <col min="4" max="5" width="9.125" style="5" bestFit="1" customWidth="1"/>
    <col min="6" max="6" width="8.625" style="5" bestFit="1" customWidth="1"/>
    <col min="7" max="7" width="1.5" style="5" customWidth="1"/>
    <col min="8" max="10" width="7.875" style="5" customWidth="1" outlineLevel="1"/>
    <col min="11" max="11" width="8.625" style="5" customWidth="1" outlineLevel="1"/>
    <col min="12" max="14" width="7.875" style="5" customWidth="1" outlineLevel="1"/>
    <col min="15" max="15" width="8.625" style="5" customWidth="1" outlineLevel="1"/>
    <col min="16" max="17" width="7.875" style="5" customWidth="1" outlineLevel="1"/>
    <col min="18" max="18" width="7.875" style="5" customWidth="1"/>
    <col min="19" max="19" width="8.625" style="5" customWidth="1"/>
    <col min="20" max="21" width="8" style="5" customWidth="1"/>
    <col min="22" max="22" width="9.125" style="5" bestFit="1" customWidth="1"/>
    <col min="23" max="23" width="1.5" style="5" customWidth="1"/>
    <col min="24" max="24" width="8.625" style="5" hidden="1" customWidth="1" outlineLevel="1"/>
    <col min="25" max="27" width="8" style="5" hidden="1" customWidth="1" outlineLevel="1"/>
    <col min="28" max="28" width="8.625" style="5" hidden="1" customWidth="1" outlineLevel="1"/>
    <col min="29" max="29" width="8.25" style="5" hidden="1" customWidth="1" outlineLevel="1"/>
    <col min="30" max="30" width="8.25" style="5" bestFit="1" customWidth="1" collapsed="1"/>
    <col min="31" max="31" width="8.25" style="5" hidden="1" customWidth="1" outlineLevel="1"/>
    <col min="32" max="32" width="8.625" style="5" hidden="1" customWidth="1" outlineLevel="1"/>
    <col min="33" max="33" width="8.25" style="5" hidden="1" customWidth="1" outlineLevel="1"/>
    <col min="34" max="34" width="8.625" style="5" bestFit="1" customWidth="1" collapsed="1"/>
    <col min="35" max="35" width="1.25" style="5" customWidth="1"/>
    <col min="36" max="36" width="10.5" style="5" bestFit="1" customWidth="1"/>
    <col min="37" max="37" width="1.375" style="5" customWidth="1"/>
    <col min="38" max="16384" width="9" style="5"/>
  </cols>
  <sheetData>
    <row r="2" spans="1:36" ht="12.75" customHeight="1">
      <c r="B2" s="1" t="s">
        <v>115</v>
      </c>
      <c r="C2" s="93"/>
      <c r="D2" s="93"/>
      <c r="E2" s="93"/>
      <c r="F2" s="93"/>
      <c r="G2" s="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3"/>
      <c r="AJ2" s="1"/>
    </row>
    <row r="3" spans="1:36" ht="12.75" customHeight="1">
      <c r="B3" s="6" t="s">
        <v>98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3"/>
      <c r="AJ3" s="1"/>
    </row>
    <row r="4" spans="1:36" ht="12.75" customHeight="1">
      <c r="B4" s="6" t="s">
        <v>176</v>
      </c>
      <c r="C4" s="3"/>
      <c r="D4" s="3"/>
      <c r="E4" s="8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"/>
    </row>
    <row r="6" spans="1:36" ht="12.75" customHeight="1">
      <c r="A6" s="5" t="s">
        <v>20</v>
      </c>
      <c r="B6" s="1" t="s">
        <v>96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/>
      <c r="O6" s="2"/>
      <c r="P6" s="2"/>
      <c r="Q6" s="2"/>
      <c r="R6" s="2" t="s">
        <v>1</v>
      </c>
      <c r="S6" s="2"/>
      <c r="T6" s="2"/>
      <c r="U6" s="2"/>
      <c r="V6" s="2"/>
      <c r="W6" s="3"/>
      <c r="X6" s="2"/>
      <c r="Y6" s="2"/>
      <c r="Z6" s="2"/>
      <c r="AA6" s="2"/>
      <c r="AB6" s="2"/>
      <c r="AC6" s="2"/>
      <c r="AD6" s="2" t="s">
        <v>10</v>
      </c>
      <c r="AE6" s="2"/>
      <c r="AF6" s="2"/>
      <c r="AG6" s="2"/>
      <c r="AH6" s="2"/>
      <c r="AI6" s="36"/>
      <c r="AJ6" s="126" t="s">
        <v>26</v>
      </c>
    </row>
    <row r="7" spans="1:36" ht="12.75" customHeight="1">
      <c r="B7" s="6" t="s">
        <v>99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28</v>
      </c>
      <c r="I7" s="4" t="s">
        <v>29</v>
      </c>
      <c r="J7" s="4" t="s">
        <v>30</v>
      </c>
      <c r="K7" s="4" t="s">
        <v>31</v>
      </c>
      <c r="L7" s="4" t="s">
        <v>6</v>
      </c>
      <c r="M7" s="4" t="s">
        <v>7</v>
      </c>
      <c r="N7" s="4" t="s">
        <v>8</v>
      </c>
      <c r="O7" s="4" t="s">
        <v>9</v>
      </c>
      <c r="P7" s="4" t="s">
        <v>2</v>
      </c>
      <c r="Q7" s="4" t="s">
        <v>3</v>
      </c>
      <c r="R7" s="4" t="s">
        <v>4</v>
      </c>
      <c r="S7" s="4" t="s">
        <v>5</v>
      </c>
      <c r="T7" s="4" t="s">
        <v>32</v>
      </c>
      <c r="U7" s="4" t="s">
        <v>33</v>
      </c>
      <c r="V7" s="4" t="s">
        <v>82</v>
      </c>
      <c r="W7" s="3"/>
      <c r="X7" s="4" t="str">
        <f t="shared" ref="X7:AG8" si="0">L7</f>
        <v>1Q23</v>
      </c>
      <c r="Y7" s="4" t="str">
        <f t="shared" si="0"/>
        <v>2Q23</v>
      </c>
      <c r="Z7" s="4" t="str">
        <f t="shared" si="0"/>
        <v>3Q23</v>
      </c>
      <c r="AA7" s="4" t="str">
        <f t="shared" si="0"/>
        <v>4Q23</v>
      </c>
      <c r="AB7" s="4" t="str">
        <f t="shared" si="0"/>
        <v>1Q24</v>
      </c>
      <c r="AC7" s="4" t="str">
        <f t="shared" si="0"/>
        <v>2Q24</v>
      </c>
      <c r="AD7" s="4" t="str">
        <f t="shared" si="0"/>
        <v>3Q24</v>
      </c>
      <c r="AE7" s="4" t="str">
        <f t="shared" si="0"/>
        <v>4Q24</v>
      </c>
      <c r="AF7" s="4" t="str">
        <f t="shared" si="0"/>
        <v>1Q25</v>
      </c>
      <c r="AG7" s="4" t="str">
        <f t="shared" si="0"/>
        <v>2Q25</v>
      </c>
      <c r="AH7" s="4" t="str">
        <f>V7</f>
        <v>3Q25</v>
      </c>
      <c r="AI7" s="36"/>
      <c r="AJ7" s="126"/>
    </row>
    <row r="8" spans="1:36" ht="12.75" customHeight="1">
      <c r="B8" s="6" t="s">
        <v>100</v>
      </c>
      <c r="C8" s="3">
        <v>44561</v>
      </c>
      <c r="D8" s="3">
        <v>44926</v>
      </c>
      <c r="E8" s="82">
        <v>45291</v>
      </c>
      <c r="F8" s="3">
        <v>45657</v>
      </c>
      <c r="G8" s="3"/>
      <c r="H8" s="3">
        <v>44651</v>
      </c>
      <c r="I8" s="3">
        <v>44742</v>
      </c>
      <c r="J8" s="3">
        <v>44834</v>
      </c>
      <c r="K8" s="3">
        <v>44926</v>
      </c>
      <c r="L8" s="3">
        <v>45016</v>
      </c>
      <c r="M8" s="3">
        <v>45107</v>
      </c>
      <c r="N8" s="3">
        <v>45199</v>
      </c>
      <c r="O8" s="3">
        <v>45291</v>
      </c>
      <c r="P8" s="3">
        <v>45382</v>
      </c>
      <c r="Q8" s="3">
        <v>45473</v>
      </c>
      <c r="R8" s="3">
        <v>45565</v>
      </c>
      <c r="S8" s="3">
        <v>45657</v>
      </c>
      <c r="T8" s="3">
        <v>45747</v>
      </c>
      <c r="U8" s="3">
        <v>45838</v>
      </c>
      <c r="V8" s="3">
        <v>45930</v>
      </c>
      <c r="W8" s="3"/>
      <c r="X8" s="3">
        <f t="shared" si="0"/>
        <v>45016</v>
      </c>
      <c r="Y8" s="3">
        <f t="shared" si="0"/>
        <v>45107</v>
      </c>
      <c r="Z8" s="3">
        <f t="shared" si="0"/>
        <v>45199</v>
      </c>
      <c r="AA8" s="3">
        <f t="shared" si="0"/>
        <v>45291</v>
      </c>
      <c r="AB8" s="3">
        <f t="shared" si="0"/>
        <v>45382</v>
      </c>
      <c r="AC8" s="3">
        <f t="shared" si="0"/>
        <v>45473</v>
      </c>
      <c r="AD8" s="3">
        <f t="shared" si="0"/>
        <v>45565</v>
      </c>
      <c r="AE8" s="3">
        <f t="shared" si="0"/>
        <v>45657</v>
      </c>
      <c r="AF8" s="3">
        <f t="shared" si="0"/>
        <v>45747</v>
      </c>
      <c r="AG8" s="3">
        <f t="shared" si="0"/>
        <v>45838</v>
      </c>
      <c r="AH8" s="3">
        <f>V8</f>
        <v>45930</v>
      </c>
      <c r="AI8" s="36"/>
      <c r="AJ8" s="126"/>
    </row>
    <row r="9" spans="1:36" ht="5.0999999999999996" customHeight="1">
      <c r="AJ9" s="92"/>
    </row>
    <row r="10" spans="1:36" ht="12.75" customHeight="1">
      <c r="B10" s="9" t="s">
        <v>77</v>
      </c>
      <c r="C10" s="87">
        <v>2099</v>
      </c>
      <c r="D10" s="87">
        <v>11131</v>
      </c>
      <c r="E10" s="87">
        <v>22042</v>
      </c>
      <c r="F10" s="87">
        <v>43073</v>
      </c>
      <c r="G10" s="11"/>
      <c r="H10" s="87">
        <v>1953</v>
      </c>
      <c r="I10" s="87">
        <v>2608</v>
      </c>
      <c r="J10" s="87">
        <v>2763</v>
      </c>
      <c r="K10" s="30">
        <f>SUM(D10-SUM(H10:J10))</f>
        <v>3807</v>
      </c>
      <c r="L10" s="87">
        <v>4285</v>
      </c>
      <c r="M10" s="87">
        <v>5515</v>
      </c>
      <c r="N10" s="87">
        <v>6136</v>
      </c>
      <c r="O10" s="30">
        <f>SUM(E10-SUM(L10:N10))</f>
        <v>6106</v>
      </c>
      <c r="P10" s="87">
        <v>7582</v>
      </c>
      <c r="Q10" s="87">
        <v>11381</v>
      </c>
      <c r="R10" s="87">
        <v>12400</v>
      </c>
      <c r="S10" s="30">
        <f>SUM(F10-SUM(P10:R10))</f>
        <v>11710</v>
      </c>
      <c r="T10" s="87">
        <v>7566</v>
      </c>
      <c r="U10" s="87">
        <v>20694</v>
      </c>
      <c r="V10" s="87">
        <v>39866</v>
      </c>
      <c r="X10" s="30">
        <f t="shared" ref="X10" si="1">SUM(I10:L10)</f>
        <v>13463</v>
      </c>
      <c r="Y10" s="30">
        <f t="shared" ref="Y10" si="2">SUM(J10:M10)</f>
        <v>16370</v>
      </c>
      <c r="Z10" s="30">
        <f t="shared" ref="Z10" si="3">SUM(K10:N10)</f>
        <v>19743</v>
      </c>
      <c r="AA10" s="30">
        <f t="shared" ref="AA10" si="4">SUM(L10:O10)</f>
        <v>22042</v>
      </c>
      <c r="AB10" s="30">
        <f t="shared" ref="AB10" si="5">SUM(M10:P10)</f>
        <v>25339</v>
      </c>
      <c r="AC10" s="30">
        <f t="shared" ref="AC10" si="6">SUM(N10:Q10)</f>
        <v>31205</v>
      </c>
      <c r="AD10" s="30">
        <f t="shared" ref="AD10" si="7">SUM(O10:R10)</f>
        <v>37469</v>
      </c>
      <c r="AE10" s="30">
        <f t="shared" ref="AE10" si="8">SUM(P10:S10)</f>
        <v>43073</v>
      </c>
      <c r="AF10" s="30">
        <f t="shared" ref="AF10" si="9">SUM(Q10:T10)</f>
        <v>43057</v>
      </c>
      <c r="AG10" s="30">
        <f t="shared" ref="AG10" si="10">SUM(R10:U10)</f>
        <v>52370</v>
      </c>
      <c r="AH10" s="30">
        <f t="shared" ref="AH10" si="11">SUM(S10:V10)</f>
        <v>79836</v>
      </c>
      <c r="AI10" s="38"/>
      <c r="AJ10" s="71">
        <f>SUM(AH10/AD10)-1</f>
        <v>1.1307213963543195</v>
      </c>
    </row>
    <row r="11" spans="1:36" ht="12.75" customHeight="1">
      <c r="B11" s="12" t="s">
        <v>12</v>
      </c>
      <c r="C11" s="13">
        <f t="shared" ref="C11:F11" si="12">+SUM(C10:C10)</f>
        <v>2099</v>
      </c>
      <c r="D11" s="13">
        <f t="shared" si="12"/>
        <v>11131</v>
      </c>
      <c r="E11" s="13">
        <f t="shared" si="12"/>
        <v>22042</v>
      </c>
      <c r="F11" s="13">
        <f t="shared" si="12"/>
        <v>43073</v>
      </c>
      <c r="G11" s="11"/>
      <c r="H11" s="13">
        <f t="shared" ref="H11:V11" si="13">+SUM(H10:H10)</f>
        <v>1953</v>
      </c>
      <c r="I11" s="13">
        <f t="shared" si="13"/>
        <v>2608</v>
      </c>
      <c r="J11" s="13">
        <f t="shared" si="13"/>
        <v>2763</v>
      </c>
      <c r="K11" s="13">
        <f t="shared" si="13"/>
        <v>3807</v>
      </c>
      <c r="L11" s="13">
        <f t="shared" si="13"/>
        <v>4285</v>
      </c>
      <c r="M11" s="13">
        <f t="shared" si="13"/>
        <v>5515</v>
      </c>
      <c r="N11" s="13">
        <f t="shared" si="13"/>
        <v>6136</v>
      </c>
      <c r="O11" s="13">
        <f t="shared" si="13"/>
        <v>6106</v>
      </c>
      <c r="P11" s="13">
        <f t="shared" si="13"/>
        <v>7582</v>
      </c>
      <c r="Q11" s="13">
        <f t="shared" si="13"/>
        <v>11381</v>
      </c>
      <c r="R11" s="13">
        <f t="shared" si="13"/>
        <v>12400</v>
      </c>
      <c r="S11" s="13">
        <f t="shared" si="13"/>
        <v>11710</v>
      </c>
      <c r="T11" s="13">
        <f t="shared" si="13"/>
        <v>7566</v>
      </c>
      <c r="U11" s="13">
        <f t="shared" si="13"/>
        <v>20694</v>
      </c>
      <c r="V11" s="13">
        <f t="shared" si="13"/>
        <v>39866</v>
      </c>
      <c r="X11" s="13">
        <f t="shared" ref="X11:AH11" si="14">+SUM(X10:X10)</f>
        <v>13463</v>
      </c>
      <c r="Y11" s="13">
        <f t="shared" si="14"/>
        <v>16370</v>
      </c>
      <c r="Z11" s="13">
        <f t="shared" si="14"/>
        <v>19743</v>
      </c>
      <c r="AA11" s="13">
        <f t="shared" si="14"/>
        <v>22042</v>
      </c>
      <c r="AB11" s="13">
        <f t="shared" si="14"/>
        <v>25339</v>
      </c>
      <c r="AC11" s="13">
        <f t="shared" si="14"/>
        <v>31205</v>
      </c>
      <c r="AD11" s="13">
        <f t="shared" si="14"/>
        <v>37469</v>
      </c>
      <c r="AE11" s="13">
        <f t="shared" si="14"/>
        <v>43073</v>
      </c>
      <c r="AF11" s="13">
        <f t="shared" si="14"/>
        <v>43057</v>
      </c>
      <c r="AG11" s="13">
        <f t="shared" si="14"/>
        <v>52370</v>
      </c>
      <c r="AH11" s="13">
        <f t="shared" si="14"/>
        <v>79836</v>
      </c>
      <c r="AI11" s="38"/>
      <c r="AJ11" s="72">
        <f t="shared" ref="AJ11:AJ31" si="15">SUM(AH11/AD11)-1</f>
        <v>1.1307213963543195</v>
      </c>
    </row>
    <row r="12" spans="1:36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AJ12" s="71"/>
    </row>
    <row r="13" spans="1:36" ht="12.75" customHeight="1">
      <c r="B13" s="9" t="s">
        <v>13</v>
      </c>
      <c r="C13" s="80">
        <v>-1040</v>
      </c>
      <c r="D13" s="80">
        <v>-2944</v>
      </c>
      <c r="E13" s="80">
        <v>-8108</v>
      </c>
      <c r="F13" s="80">
        <v>-20597</v>
      </c>
      <c r="G13" s="22"/>
      <c r="H13" s="80">
        <v>-568</v>
      </c>
      <c r="I13" s="80">
        <v>-742</v>
      </c>
      <c r="J13" s="80">
        <v>-733</v>
      </c>
      <c r="K13" s="30">
        <f>SUM(D13-SUM(H13:J13))</f>
        <v>-901</v>
      </c>
      <c r="L13" s="87">
        <v>-1036</v>
      </c>
      <c r="M13" s="87">
        <v>-1901</v>
      </c>
      <c r="N13" s="87">
        <v>-2008</v>
      </c>
      <c r="O13" s="30">
        <f>SUM(E13-SUM(L13:N13))</f>
        <v>-3163</v>
      </c>
      <c r="P13" s="80">
        <v>-3414</v>
      </c>
      <c r="Q13" s="80">
        <v>-5623</v>
      </c>
      <c r="R13" s="80">
        <v>-6515</v>
      </c>
      <c r="S13" s="30">
        <f>SUM(F13-SUM(P13:R13))</f>
        <v>-5045</v>
      </c>
      <c r="T13" s="80">
        <v>-4315</v>
      </c>
      <c r="U13" s="80">
        <v>-8327</v>
      </c>
      <c r="V13" s="80">
        <v>-21253</v>
      </c>
      <c r="X13" s="30">
        <f t="shared" ref="X13" si="16">SUM(I13:L13)</f>
        <v>-3412</v>
      </c>
      <c r="Y13" s="30">
        <f t="shared" ref="Y13" si="17">SUM(J13:M13)</f>
        <v>-4571</v>
      </c>
      <c r="Z13" s="30">
        <f t="shared" ref="Z13" si="18">SUM(K13:N13)</f>
        <v>-5846</v>
      </c>
      <c r="AA13" s="30">
        <f t="shared" ref="AA13" si="19">SUM(L13:O13)</f>
        <v>-8108</v>
      </c>
      <c r="AB13" s="30">
        <f t="shared" ref="AB13" si="20">SUM(M13:P13)</f>
        <v>-10486</v>
      </c>
      <c r="AC13" s="30">
        <f t="shared" ref="AC13" si="21">SUM(N13:Q13)</f>
        <v>-14208</v>
      </c>
      <c r="AD13" s="30">
        <f t="shared" ref="AD13" si="22">SUM(O13:R13)</f>
        <v>-18715</v>
      </c>
      <c r="AE13" s="30">
        <f t="shared" ref="AE13" si="23">SUM(P13:S13)</f>
        <v>-20597</v>
      </c>
      <c r="AF13" s="30">
        <f t="shared" ref="AF13" si="24">SUM(Q13:T13)</f>
        <v>-21498</v>
      </c>
      <c r="AG13" s="30">
        <f t="shared" ref="AG13" si="25">SUM(R13:U13)</f>
        <v>-24202</v>
      </c>
      <c r="AH13" s="30">
        <f t="shared" ref="AH13" si="26">SUM(S13:V13)</f>
        <v>-38940</v>
      </c>
      <c r="AI13" s="11"/>
      <c r="AJ13" s="71">
        <f t="shared" si="15"/>
        <v>1.0806839433609405</v>
      </c>
    </row>
    <row r="14" spans="1:36" ht="12.75" customHeight="1">
      <c r="B14" s="23" t="s">
        <v>24</v>
      </c>
      <c r="C14" s="24">
        <f t="shared" ref="C14:F14" si="27">+SUM(C11+SUM(C13:C13))</f>
        <v>1059</v>
      </c>
      <c r="D14" s="24">
        <f t="shared" si="27"/>
        <v>8187</v>
      </c>
      <c r="E14" s="24">
        <f t="shared" si="27"/>
        <v>13934</v>
      </c>
      <c r="F14" s="24">
        <f t="shared" si="27"/>
        <v>22476</v>
      </c>
      <c r="H14" s="24">
        <f t="shared" ref="H14:V14" si="28">+SUM(H11+SUM(H13:H13))</f>
        <v>1385</v>
      </c>
      <c r="I14" s="24">
        <f t="shared" si="28"/>
        <v>1866</v>
      </c>
      <c r="J14" s="24">
        <f t="shared" si="28"/>
        <v>2030</v>
      </c>
      <c r="K14" s="24">
        <f t="shared" si="28"/>
        <v>2906</v>
      </c>
      <c r="L14" s="24">
        <f t="shared" si="28"/>
        <v>3249</v>
      </c>
      <c r="M14" s="24">
        <f t="shared" si="28"/>
        <v>3614</v>
      </c>
      <c r="N14" s="24">
        <f t="shared" si="28"/>
        <v>4128</v>
      </c>
      <c r="O14" s="24">
        <f t="shared" si="28"/>
        <v>2943</v>
      </c>
      <c r="P14" s="24">
        <f t="shared" si="28"/>
        <v>4168</v>
      </c>
      <c r="Q14" s="24">
        <f t="shared" si="28"/>
        <v>5758</v>
      </c>
      <c r="R14" s="24">
        <f t="shared" si="28"/>
        <v>5885</v>
      </c>
      <c r="S14" s="24">
        <f t="shared" si="28"/>
        <v>6665</v>
      </c>
      <c r="T14" s="24">
        <f t="shared" si="28"/>
        <v>3251</v>
      </c>
      <c r="U14" s="24">
        <f t="shared" si="28"/>
        <v>12367</v>
      </c>
      <c r="V14" s="24">
        <f t="shared" si="28"/>
        <v>18613</v>
      </c>
      <c r="X14" s="24">
        <f t="shared" ref="X14:AH14" si="29">+SUM(X11+SUM(X13:X13))</f>
        <v>10051</v>
      </c>
      <c r="Y14" s="24">
        <f t="shared" si="29"/>
        <v>11799</v>
      </c>
      <c r="Z14" s="24">
        <f t="shared" si="29"/>
        <v>13897</v>
      </c>
      <c r="AA14" s="24">
        <f t="shared" si="29"/>
        <v>13934</v>
      </c>
      <c r="AB14" s="24">
        <f t="shared" si="29"/>
        <v>14853</v>
      </c>
      <c r="AC14" s="24">
        <f t="shared" si="29"/>
        <v>16997</v>
      </c>
      <c r="AD14" s="24">
        <f t="shared" si="29"/>
        <v>18754</v>
      </c>
      <c r="AE14" s="24">
        <f t="shared" si="29"/>
        <v>22476</v>
      </c>
      <c r="AF14" s="24">
        <f t="shared" si="29"/>
        <v>21559</v>
      </c>
      <c r="AG14" s="24">
        <f t="shared" si="29"/>
        <v>28168</v>
      </c>
      <c r="AH14" s="24">
        <f t="shared" si="29"/>
        <v>40896</v>
      </c>
      <c r="AI14" s="40"/>
      <c r="AJ14" s="72">
        <f t="shared" si="15"/>
        <v>1.1806547936440226</v>
      </c>
    </row>
    <row r="15" spans="1:36" ht="12.75" customHeight="1">
      <c r="B15" s="14" t="s">
        <v>38</v>
      </c>
      <c r="C15" s="15">
        <f t="shared" ref="C15:F15" si="30">C14/C11</f>
        <v>0.50452596474511668</v>
      </c>
      <c r="D15" s="15">
        <f t="shared" si="30"/>
        <v>0.73551343095858412</v>
      </c>
      <c r="E15" s="15">
        <f t="shared" si="30"/>
        <v>0.6321567915797115</v>
      </c>
      <c r="F15" s="15">
        <f t="shared" si="30"/>
        <v>0.52181180786107306</v>
      </c>
      <c r="G15" s="25"/>
      <c r="H15" s="15">
        <f t="shared" ref="H15:V15" si="31">H14/H11</f>
        <v>0.70916538658474138</v>
      </c>
      <c r="I15" s="15">
        <f t="shared" si="31"/>
        <v>0.7154907975460123</v>
      </c>
      <c r="J15" s="15">
        <f t="shared" si="31"/>
        <v>0.73470865001809627</v>
      </c>
      <c r="K15" s="15">
        <f t="shared" si="31"/>
        <v>0.76333070659311797</v>
      </c>
      <c r="L15" s="15">
        <f t="shared" si="31"/>
        <v>0.75822637106184365</v>
      </c>
      <c r="M15" s="15">
        <f t="shared" si="31"/>
        <v>0.65530371713508617</v>
      </c>
      <c r="N15" s="15">
        <f t="shared" si="31"/>
        <v>0.67275097783572357</v>
      </c>
      <c r="O15" s="15">
        <f t="shared" si="31"/>
        <v>0.48198493285293154</v>
      </c>
      <c r="P15" s="15">
        <f t="shared" si="31"/>
        <v>0.54972302822474284</v>
      </c>
      <c r="Q15" s="15">
        <f t="shared" si="31"/>
        <v>0.50593093752745799</v>
      </c>
      <c r="R15" s="15">
        <f t="shared" si="31"/>
        <v>0.4745967741935484</v>
      </c>
      <c r="S15" s="15">
        <f t="shared" si="31"/>
        <v>0.56917164816396237</v>
      </c>
      <c r="T15" s="15">
        <f t="shared" si="31"/>
        <v>0.42968543484007404</v>
      </c>
      <c r="U15" s="15">
        <f t="shared" si="31"/>
        <v>0.59761283463805936</v>
      </c>
      <c r="V15" s="15">
        <f t="shared" si="31"/>
        <v>0.46688907841268251</v>
      </c>
      <c r="W15" s="26"/>
      <c r="X15" s="15">
        <f t="shared" ref="X15:AH15" si="32">X14/X11</f>
        <v>0.74656465869419897</v>
      </c>
      <c r="Y15" s="15">
        <f t="shared" si="32"/>
        <v>0.72076970067196089</v>
      </c>
      <c r="Z15" s="15">
        <f t="shared" si="32"/>
        <v>0.70389505141062658</v>
      </c>
      <c r="AA15" s="15">
        <f t="shared" si="32"/>
        <v>0.6321567915797115</v>
      </c>
      <c r="AB15" s="15">
        <f t="shared" si="32"/>
        <v>0.58617151426654568</v>
      </c>
      <c r="AC15" s="15">
        <f t="shared" si="32"/>
        <v>0.54468835122576509</v>
      </c>
      <c r="AD15" s="15">
        <f t="shared" si="32"/>
        <v>0.50052043022231707</v>
      </c>
      <c r="AE15" s="15">
        <f t="shared" si="32"/>
        <v>0.52181180786107306</v>
      </c>
      <c r="AF15" s="15">
        <f t="shared" si="32"/>
        <v>0.50070836333232693</v>
      </c>
      <c r="AG15" s="15">
        <f t="shared" si="32"/>
        <v>0.53786518999427158</v>
      </c>
      <c r="AH15" s="15">
        <f t="shared" si="32"/>
        <v>0.51225011273109877</v>
      </c>
      <c r="AI15" s="40"/>
      <c r="AJ15" s="73">
        <f>SUM(AH15-AD15)*1000</f>
        <v>11.729682508781703</v>
      </c>
    </row>
    <row r="16" spans="1:36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40"/>
      <c r="AJ16" s="71"/>
    </row>
    <row r="17" spans="2:36" ht="12.75" customHeight="1">
      <c r="B17" s="9" t="s">
        <v>120</v>
      </c>
      <c r="C17" s="80">
        <v>-20228</v>
      </c>
      <c r="D17" s="80">
        <v>-43978</v>
      </c>
      <c r="E17" s="80">
        <v>-92321</v>
      </c>
      <c r="F17" s="80">
        <v>-136827</v>
      </c>
      <c r="G17" s="30"/>
      <c r="H17" s="80">
        <v>-7338</v>
      </c>
      <c r="I17" s="80">
        <v>-9653</v>
      </c>
      <c r="J17" s="80">
        <v>-13292</v>
      </c>
      <c r="K17" s="30">
        <f t="shared" ref="K17:K20" si="33">SUM(D17-SUM(H17:J17))</f>
        <v>-13695</v>
      </c>
      <c r="L17" s="87">
        <v>-16233</v>
      </c>
      <c r="M17" s="87">
        <v>-19869</v>
      </c>
      <c r="N17" s="87">
        <v>-24599</v>
      </c>
      <c r="O17" s="30">
        <f t="shared" ref="O17:O20" si="34">SUM(E17-SUM(L17:N17))</f>
        <v>-31620</v>
      </c>
      <c r="P17" s="80">
        <v>-32368</v>
      </c>
      <c r="Q17" s="80">
        <v>-31204</v>
      </c>
      <c r="R17" s="80">
        <v>-33178</v>
      </c>
      <c r="S17" s="30">
        <f t="shared" ref="S17:S20" si="35">SUM(F17-SUM(P17:R17))</f>
        <v>-40077</v>
      </c>
      <c r="T17" s="80">
        <v>-39953</v>
      </c>
      <c r="U17" s="80">
        <v>-103359</v>
      </c>
      <c r="V17" s="80">
        <v>-66298</v>
      </c>
      <c r="X17" s="30">
        <f t="shared" ref="X17:X20" si="36">SUM(I17:L17)</f>
        <v>-52873</v>
      </c>
      <c r="Y17" s="30">
        <f t="shared" ref="Y17:Y20" si="37">SUM(J17:M17)</f>
        <v>-63089</v>
      </c>
      <c r="Z17" s="30">
        <f t="shared" ref="Z17:Z20" si="38">SUM(K17:N17)</f>
        <v>-74396</v>
      </c>
      <c r="AA17" s="30">
        <f t="shared" ref="AA17:AA20" si="39">SUM(L17:O17)</f>
        <v>-92321</v>
      </c>
      <c r="AB17" s="30">
        <f t="shared" ref="AB17:AB20" si="40">SUM(M17:P17)</f>
        <v>-108456</v>
      </c>
      <c r="AC17" s="30">
        <f t="shared" ref="AC17:AC20" si="41">SUM(N17:Q17)</f>
        <v>-119791</v>
      </c>
      <c r="AD17" s="30">
        <f t="shared" ref="AD17:AD20" si="42">SUM(O17:R17)</f>
        <v>-128370</v>
      </c>
      <c r="AE17" s="30">
        <f t="shared" ref="AE17:AE20" si="43">SUM(P17:S17)</f>
        <v>-136827</v>
      </c>
      <c r="AF17" s="30">
        <f t="shared" ref="AF17:AF20" si="44">SUM(Q17:T17)</f>
        <v>-144412</v>
      </c>
      <c r="AG17" s="30">
        <f t="shared" ref="AG17:AG20" si="45">SUM(R17:U17)</f>
        <v>-216567</v>
      </c>
      <c r="AH17" s="30">
        <f t="shared" ref="AH17:AH20" si="46">SUM(S17:V17)</f>
        <v>-249687</v>
      </c>
      <c r="AI17" s="11"/>
      <c r="AJ17" s="71">
        <f t="shared" si="15"/>
        <v>0.94505725636831039</v>
      </c>
    </row>
    <row r="18" spans="2:36" ht="12.75" customHeight="1">
      <c r="B18" s="9" t="s">
        <v>121</v>
      </c>
      <c r="C18" s="80">
        <v>-3233</v>
      </c>
      <c r="D18" s="80">
        <v>-8385</v>
      </c>
      <c r="E18" s="80">
        <v>-18270</v>
      </c>
      <c r="F18" s="80">
        <v>-28395</v>
      </c>
      <c r="G18" s="30"/>
      <c r="H18" s="80">
        <v>-1871</v>
      </c>
      <c r="I18" s="80">
        <v>-2132</v>
      </c>
      <c r="J18" s="80">
        <v>-1969</v>
      </c>
      <c r="K18" s="30">
        <f t="shared" si="33"/>
        <v>-2413</v>
      </c>
      <c r="L18" s="87">
        <v>-2667</v>
      </c>
      <c r="M18" s="87">
        <v>-3575</v>
      </c>
      <c r="N18" s="87">
        <v>-5047</v>
      </c>
      <c r="O18" s="30">
        <f t="shared" si="34"/>
        <v>-6981</v>
      </c>
      <c r="P18" s="80">
        <v>-6701</v>
      </c>
      <c r="Q18" s="80">
        <v>-6137</v>
      </c>
      <c r="R18" s="80">
        <v>-6630</v>
      </c>
      <c r="S18" s="30">
        <f t="shared" si="35"/>
        <v>-8927</v>
      </c>
      <c r="T18" s="80">
        <v>-8610</v>
      </c>
      <c r="U18" s="80">
        <v>-10877</v>
      </c>
      <c r="V18" s="80">
        <v>-14441</v>
      </c>
      <c r="X18" s="30">
        <f t="shared" si="36"/>
        <v>-9181</v>
      </c>
      <c r="Y18" s="30">
        <f t="shared" si="37"/>
        <v>-10624</v>
      </c>
      <c r="Z18" s="30">
        <f t="shared" si="38"/>
        <v>-13702</v>
      </c>
      <c r="AA18" s="30">
        <f t="shared" si="39"/>
        <v>-18270</v>
      </c>
      <c r="AB18" s="30">
        <f t="shared" si="40"/>
        <v>-22304</v>
      </c>
      <c r="AC18" s="30">
        <f t="shared" si="41"/>
        <v>-24866</v>
      </c>
      <c r="AD18" s="30">
        <f t="shared" si="42"/>
        <v>-26449</v>
      </c>
      <c r="AE18" s="30">
        <f t="shared" si="43"/>
        <v>-28395</v>
      </c>
      <c r="AF18" s="30">
        <f t="shared" si="44"/>
        <v>-30304</v>
      </c>
      <c r="AG18" s="30">
        <f t="shared" si="45"/>
        <v>-35044</v>
      </c>
      <c r="AH18" s="30">
        <f t="shared" si="46"/>
        <v>-42855</v>
      </c>
      <c r="AI18" s="11"/>
      <c r="AJ18" s="71">
        <f t="shared" si="15"/>
        <v>0.62028810162955117</v>
      </c>
    </row>
    <row r="19" spans="2:36" ht="12.75" customHeight="1">
      <c r="B19" s="9" t="s">
        <v>122</v>
      </c>
      <c r="C19" s="80">
        <v>-13737</v>
      </c>
      <c r="D19" s="80">
        <v>-35966</v>
      </c>
      <c r="E19" s="80">
        <v>-50722</v>
      </c>
      <c r="F19" s="80">
        <v>-71055</v>
      </c>
      <c r="G19" s="30"/>
      <c r="H19" s="80">
        <v>-9194</v>
      </c>
      <c r="I19" s="80">
        <v>-7558</v>
      </c>
      <c r="J19" s="80">
        <v>-10149</v>
      </c>
      <c r="K19" s="30">
        <f t="shared" si="33"/>
        <v>-9065</v>
      </c>
      <c r="L19" s="87">
        <v>-10581</v>
      </c>
      <c r="M19" s="87">
        <v>-10930</v>
      </c>
      <c r="N19" s="87">
        <v>-13927</v>
      </c>
      <c r="O19" s="30">
        <f t="shared" si="34"/>
        <v>-15284</v>
      </c>
      <c r="P19" s="80">
        <v>-14020</v>
      </c>
      <c r="Q19" s="80">
        <v>-13053</v>
      </c>
      <c r="R19" s="80">
        <v>-14322</v>
      </c>
      <c r="S19" s="30">
        <f t="shared" si="35"/>
        <v>-29660</v>
      </c>
      <c r="T19" s="80">
        <v>-23806</v>
      </c>
      <c r="U19" s="80">
        <v>-48107</v>
      </c>
      <c r="V19" s="80">
        <v>-82505</v>
      </c>
      <c r="X19" s="30">
        <f t="shared" si="36"/>
        <v>-37353</v>
      </c>
      <c r="Y19" s="30">
        <f t="shared" si="37"/>
        <v>-40725</v>
      </c>
      <c r="Z19" s="30">
        <f t="shared" si="38"/>
        <v>-44503</v>
      </c>
      <c r="AA19" s="30">
        <f t="shared" si="39"/>
        <v>-50722</v>
      </c>
      <c r="AB19" s="30">
        <f t="shared" si="40"/>
        <v>-54161</v>
      </c>
      <c r="AC19" s="30">
        <f t="shared" si="41"/>
        <v>-56284</v>
      </c>
      <c r="AD19" s="30">
        <f t="shared" si="42"/>
        <v>-56679</v>
      </c>
      <c r="AE19" s="30">
        <f t="shared" si="43"/>
        <v>-71055</v>
      </c>
      <c r="AF19" s="30">
        <f t="shared" si="44"/>
        <v>-80841</v>
      </c>
      <c r="AG19" s="30">
        <f t="shared" si="45"/>
        <v>-115895</v>
      </c>
      <c r="AH19" s="30">
        <f t="shared" si="46"/>
        <v>-184078</v>
      </c>
      <c r="AI19" s="11"/>
      <c r="AJ19" s="71">
        <f t="shared" si="15"/>
        <v>2.2477284355757865</v>
      </c>
    </row>
    <row r="20" spans="2:36" ht="12.75" customHeight="1">
      <c r="B20" s="9" t="s">
        <v>71</v>
      </c>
      <c r="C20" s="80">
        <v>-2548</v>
      </c>
      <c r="D20" s="80">
        <v>-5604</v>
      </c>
      <c r="E20" s="80">
        <v>-10375</v>
      </c>
      <c r="F20" s="80">
        <v>-18654</v>
      </c>
      <c r="G20" s="30"/>
      <c r="H20" s="80">
        <v>-1266</v>
      </c>
      <c r="I20" s="80">
        <v>-1451</v>
      </c>
      <c r="J20" s="80">
        <v>-1531</v>
      </c>
      <c r="K20" s="30">
        <f t="shared" si="33"/>
        <v>-1356</v>
      </c>
      <c r="L20" s="87">
        <v>-1791</v>
      </c>
      <c r="M20" s="87">
        <v>-2329</v>
      </c>
      <c r="N20" s="87">
        <v>-2749</v>
      </c>
      <c r="O20" s="30">
        <f t="shared" si="34"/>
        <v>-3506</v>
      </c>
      <c r="P20" s="80">
        <v>-3955</v>
      </c>
      <c r="Q20" s="80">
        <v>-4305</v>
      </c>
      <c r="R20" s="80">
        <v>-4890</v>
      </c>
      <c r="S20" s="30">
        <f t="shared" si="35"/>
        <v>-5504</v>
      </c>
      <c r="T20" s="80">
        <v>-6561</v>
      </c>
      <c r="U20" s="80">
        <f>-10616</f>
        <v>-10616</v>
      </c>
      <c r="V20" s="80">
        <v>-24182</v>
      </c>
      <c r="X20" s="30">
        <f t="shared" si="36"/>
        <v>-6129</v>
      </c>
      <c r="Y20" s="30">
        <f t="shared" si="37"/>
        <v>-7007</v>
      </c>
      <c r="Z20" s="30">
        <f t="shared" si="38"/>
        <v>-8225</v>
      </c>
      <c r="AA20" s="30">
        <f t="shared" si="39"/>
        <v>-10375</v>
      </c>
      <c r="AB20" s="30">
        <f t="shared" si="40"/>
        <v>-12539</v>
      </c>
      <c r="AC20" s="30">
        <f t="shared" si="41"/>
        <v>-14515</v>
      </c>
      <c r="AD20" s="30">
        <f t="shared" si="42"/>
        <v>-16656</v>
      </c>
      <c r="AE20" s="30">
        <f t="shared" si="43"/>
        <v>-18654</v>
      </c>
      <c r="AF20" s="30">
        <f t="shared" si="44"/>
        <v>-21260</v>
      </c>
      <c r="AG20" s="30">
        <f t="shared" si="45"/>
        <v>-27571</v>
      </c>
      <c r="AH20" s="30">
        <f t="shared" si="46"/>
        <v>-46863</v>
      </c>
      <c r="AI20" s="11"/>
      <c r="AJ20" s="71">
        <f t="shared" si="15"/>
        <v>1.8135806916426511</v>
      </c>
    </row>
    <row r="21" spans="2:36" ht="12.75" customHeight="1">
      <c r="B21" s="23" t="s">
        <v>101</v>
      </c>
      <c r="C21" s="24">
        <f t="shared" ref="C21:F21" si="47">+SUM(C14+SUM(C17:C20))</f>
        <v>-38687</v>
      </c>
      <c r="D21" s="24">
        <f t="shared" si="47"/>
        <v>-85746</v>
      </c>
      <c r="E21" s="24">
        <f t="shared" si="47"/>
        <v>-157754</v>
      </c>
      <c r="F21" s="24">
        <f t="shared" si="47"/>
        <v>-232455</v>
      </c>
      <c r="G21" s="30"/>
      <c r="H21" s="24">
        <f>+SUM(H14+SUM(H17:H20))</f>
        <v>-18284</v>
      </c>
      <c r="I21" s="24">
        <f>+SUM(I14+SUM(I17:I20))</f>
        <v>-18928</v>
      </c>
      <c r="J21" s="24">
        <f>+SUM(J14+SUM(J17:J20))</f>
        <v>-24911</v>
      </c>
      <c r="K21" s="24">
        <f>+SUM(K14+SUM(K17:K20))</f>
        <v>-23623</v>
      </c>
      <c r="L21" s="24">
        <f>+SUM(L14+SUM(L17:L20))</f>
        <v>-28023</v>
      </c>
      <c r="M21" s="24">
        <f>+SUM(M14+SUM(M17:M20))</f>
        <v>-33089</v>
      </c>
      <c r="N21" s="24">
        <f>+SUM(N14+SUM(N17:N20))</f>
        <v>-42194</v>
      </c>
      <c r="O21" s="24">
        <f>+SUM(O14+SUM(O17:O20))</f>
        <v>-54448</v>
      </c>
      <c r="P21" s="24">
        <f>+SUM(P14+SUM(P17:P20))</f>
        <v>-52876</v>
      </c>
      <c r="Q21" s="24">
        <f>+SUM(Q14+SUM(Q17:Q20))</f>
        <v>-48941</v>
      </c>
      <c r="R21" s="24">
        <f>+SUM(R14+SUM(R17:R20))</f>
        <v>-53135</v>
      </c>
      <c r="S21" s="24">
        <f>+SUM(S14+SUM(S17:S20))</f>
        <v>-77503</v>
      </c>
      <c r="T21" s="24">
        <f>+SUM(T14+SUM(T17:T20))</f>
        <v>-75679</v>
      </c>
      <c r="U21" s="24">
        <f>+SUM(U14+SUM(U17:U20))</f>
        <v>-160592</v>
      </c>
      <c r="V21" s="24">
        <f>+SUM(V14+SUM(V17:V20))</f>
        <v>-168813</v>
      </c>
      <c r="X21" s="24">
        <f t="shared" ref="X21:AH21" si="48">+SUM(X14+SUM(X17:X20))</f>
        <v>-95485</v>
      </c>
      <c r="Y21" s="24">
        <f t="shared" si="48"/>
        <v>-109646</v>
      </c>
      <c r="Z21" s="24">
        <f t="shared" si="48"/>
        <v>-126929</v>
      </c>
      <c r="AA21" s="24">
        <f t="shared" si="48"/>
        <v>-157754</v>
      </c>
      <c r="AB21" s="24">
        <f t="shared" si="48"/>
        <v>-182607</v>
      </c>
      <c r="AC21" s="24">
        <f t="shared" si="48"/>
        <v>-198459</v>
      </c>
      <c r="AD21" s="24">
        <f t="shared" si="48"/>
        <v>-209400</v>
      </c>
      <c r="AE21" s="24">
        <f t="shared" si="48"/>
        <v>-232455</v>
      </c>
      <c r="AF21" s="24">
        <f t="shared" si="48"/>
        <v>-255258</v>
      </c>
      <c r="AG21" s="24">
        <f t="shared" si="48"/>
        <v>-366909</v>
      </c>
      <c r="AH21" s="24">
        <f t="shared" si="48"/>
        <v>-482587</v>
      </c>
      <c r="AI21" s="11"/>
      <c r="AJ21" s="72">
        <f t="shared" si="15"/>
        <v>1.3046179560649476</v>
      </c>
    </row>
    <row r="22" spans="2:36" ht="12.75" customHeight="1">
      <c r="B22" s="14" t="s">
        <v>40</v>
      </c>
      <c r="C22" s="15">
        <f t="shared" ref="C22:F22" si="49">C21/C11</f>
        <v>-18.431157694140065</v>
      </c>
      <c r="D22" s="15">
        <f t="shared" si="49"/>
        <v>-7.7033510017069444</v>
      </c>
      <c r="E22" s="15">
        <f t="shared" si="49"/>
        <v>-7.1569730514472374</v>
      </c>
      <c r="F22" s="15">
        <f t="shared" si="49"/>
        <v>-5.3967682771109509</v>
      </c>
      <c r="G22" s="30"/>
      <c r="H22" s="15">
        <f>H21/H11</f>
        <v>-9.3620071684587813</v>
      </c>
      <c r="I22" s="15">
        <f>I21/I11</f>
        <v>-7.257668711656442</v>
      </c>
      <c r="J22" s="15">
        <f>J21/J11</f>
        <v>-9.0159247195077814</v>
      </c>
      <c r="K22" s="15">
        <f>K21/K11</f>
        <v>-6.2051484108221695</v>
      </c>
      <c r="L22" s="15">
        <f>L21/L11</f>
        <v>-6.5397899649941653</v>
      </c>
      <c r="M22" s="15">
        <f>M21/M11</f>
        <v>-5.9998186763372621</v>
      </c>
      <c r="N22" s="15">
        <f>N21/N11</f>
        <v>-6.8764667535853974</v>
      </c>
      <c r="O22" s="15">
        <f>O21/O11</f>
        <v>-8.9171306911234858</v>
      </c>
      <c r="P22" s="15">
        <f>P21/P11</f>
        <v>-6.9738855183328941</v>
      </c>
      <c r="Q22" s="15">
        <f>Q21/Q11</f>
        <v>-4.300237237501098</v>
      </c>
      <c r="R22" s="15">
        <f>R21/R11</f>
        <v>-4.2850806451612904</v>
      </c>
      <c r="S22" s="15">
        <f>S21/S11</f>
        <v>-6.6185311699402218</v>
      </c>
      <c r="T22" s="15">
        <f>T21/T11</f>
        <v>-10.002511234469997</v>
      </c>
      <c r="U22" s="15">
        <f>U21/U11</f>
        <v>-7.7603170000966459</v>
      </c>
      <c r="V22" s="15">
        <f>V21/V11</f>
        <v>-4.2345106105453265</v>
      </c>
      <c r="X22" s="15">
        <f t="shared" ref="X22:AH22" si="50">X21/X11</f>
        <v>-7.0924013964198176</v>
      </c>
      <c r="Y22" s="15">
        <f t="shared" si="50"/>
        <v>-6.6979841172877217</v>
      </c>
      <c r="Z22" s="15">
        <f t="shared" si="50"/>
        <v>-6.4290634655320877</v>
      </c>
      <c r="AA22" s="15">
        <f t="shared" si="50"/>
        <v>-7.1569730514472374</v>
      </c>
      <c r="AB22" s="15">
        <f t="shared" si="50"/>
        <v>-7.2065590591578204</v>
      </c>
      <c r="AC22" s="15">
        <f t="shared" si="50"/>
        <v>-6.3598461784970359</v>
      </c>
      <c r="AD22" s="15">
        <f t="shared" si="50"/>
        <v>-5.5886199258053324</v>
      </c>
      <c r="AE22" s="15">
        <f t="shared" si="50"/>
        <v>-5.3967682771109509</v>
      </c>
      <c r="AF22" s="15">
        <f t="shared" si="50"/>
        <v>-5.9283740158394682</v>
      </c>
      <c r="AG22" s="15">
        <f t="shared" si="50"/>
        <v>-7.0060912736299406</v>
      </c>
      <c r="AH22" s="15">
        <f t="shared" si="50"/>
        <v>-6.0447291948494417</v>
      </c>
      <c r="AI22" s="11"/>
      <c r="AJ22" s="73">
        <f>SUM(AH22-AD22)*1000</f>
        <v>-456.10926904410928</v>
      </c>
    </row>
    <row r="23" spans="2:36" ht="5.0999999999999996" customHeight="1">
      <c r="B23" s="14"/>
      <c r="C23" s="15"/>
      <c r="D23" s="15"/>
      <c r="E23" s="15"/>
      <c r="F23" s="15"/>
      <c r="G23" s="3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11"/>
      <c r="AJ23" s="71"/>
    </row>
    <row r="24" spans="2:36" ht="12.75" customHeight="1">
      <c r="B24" s="9" t="s">
        <v>123</v>
      </c>
      <c r="C24" s="80">
        <v>-63332</v>
      </c>
      <c r="D24" s="80">
        <v>30136</v>
      </c>
      <c r="E24" s="80">
        <v>-19206</v>
      </c>
      <c r="F24" s="80">
        <v>-117107</v>
      </c>
      <c r="G24" s="30"/>
      <c r="H24" s="80">
        <v>13448</v>
      </c>
      <c r="I24" s="80">
        <v>16061</v>
      </c>
      <c r="J24" s="80">
        <v>-1151</v>
      </c>
      <c r="K24" s="30">
        <f t="shared" ref="K24:K26" si="51">SUM(D24-SUM(H24:J24))</f>
        <v>1778</v>
      </c>
      <c r="L24" s="87">
        <v>-3610</v>
      </c>
      <c r="M24" s="87">
        <v>-15537</v>
      </c>
      <c r="N24" s="87">
        <v>-7640</v>
      </c>
      <c r="O24" s="30">
        <f t="shared" ref="O24:O26" si="52">SUM(E24-SUM(L24:N24))</f>
        <v>7581</v>
      </c>
      <c r="P24" s="80">
        <v>8627</v>
      </c>
      <c r="Q24" s="80">
        <v>6639</v>
      </c>
      <c r="R24" s="80">
        <v>-3868</v>
      </c>
      <c r="S24" s="30">
        <f t="shared" ref="S24:S26" si="53">SUM(F24-SUM(P24:R24))</f>
        <v>-128505</v>
      </c>
      <c r="T24" s="80">
        <v>38494</v>
      </c>
      <c r="U24" s="80">
        <v>-39577</v>
      </c>
      <c r="V24" s="80">
        <v>-881847</v>
      </c>
      <c r="X24" s="30">
        <f t="shared" ref="X24:X26" si="54">SUM(I24:L24)</f>
        <v>13078</v>
      </c>
      <c r="Y24" s="30">
        <f t="shared" ref="Y24:Y26" si="55">SUM(J24:M24)</f>
        <v>-18520</v>
      </c>
      <c r="Z24" s="30">
        <f t="shared" ref="Z24:Z26" si="56">SUM(K24:N24)</f>
        <v>-25009</v>
      </c>
      <c r="AA24" s="30">
        <f t="shared" ref="AA24:AA26" si="57">SUM(L24:O24)</f>
        <v>-19206</v>
      </c>
      <c r="AB24" s="30">
        <f t="shared" ref="AB24:AB26" si="58">SUM(M24:P24)</f>
        <v>-6969</v>
      </c>
      <c r="AC24" s="30">
        <f t="shared" ref="AC24:AC26" si="59">SUM(N24:Q24)</f>
        <v>15207</v>
      </c>
      <c r="AD24" s="30">
        <f t="shared" ref="AD24:AD26" si="60">SUM(O24:R24)</f>
        <v>18979</v>
      </c>
      <c r="AE24" s="30">
        <f t="shared" ref="AE24:AE26" si="61">SUM(P24:S24)</f>
        <v>-117107</v>
      </c>
      <c r="AF24" s="30">
        <f t="shared" ref="AF24:AF26" si="62">SUM(Q24:T24)</f>
        <v>-87240</v>
      </c>
      <c r="AG24" s="30">
        <f t="shared" ref="AG24:AG26" si="63">SUM(R24:U24)</f>
        <v>-133456</v>
      </c>
      <c r="AH24" s="30">
        <f t="shared" ref="AH24:AH26" si="64">SUM(S24:V24)</f>
        <v>-1011435</v>
      </c>
      <c r="AI24" s="11"/>
      <c r="AJ24" s="71">
        <f t="shared" si="15"/>
        <v>-54.292323093945939</v>
      </c>
    </row>
    <row r="25" spans="2:36" ht="12.75" customHeight="1">
      <c r="B25" s="9" t="s">
        <v>124</v>
      </c>
      <c r="C25" s="80">
        <v>64</v>
      </c>
      <c r="D25" s="80">
        <v>7093</v>
      </c>
      <c r="E25" s="80">
        <v>19322</v>
      </c>
      <c r="F25" s="80">
        <v>18249</v>
      </c>
      <c r="G25" s="30"/>
      <c r="H25" s="80">
        <v>0</v>
      </c>
      <c r="I25" s="80">
        <v>1259</v>
      </c>
      <c r="J25" s="80">
        <v>2059</v>
      </c>
      <c r="K25" s="30">
        <f t="shared" si="51"/>
        <v>3775</v>
      </c>
      <c r="L25" s="87">
        <v>4231</v>
      </c>
      <c r="M25" s="87">
        <v>4877</v>
      </c>
      <c r="N25" s="87">
        <v>5007</v>
      </c>
      <c r="O25" s="30">
        <f t="shared" si="52"/>
        <v>5207</v>
      </c>
      <c r="P25" s="80">
        <v>4799</v>
      </c>
      <c r="Q25" s="80">
        <v>4801</v>
      </c>
      <c r="R25" s="80">
        <v>4508</v>
      </c>
      <c r="S25" s="30">
        <f t="shared" si="53"/>
        <v>4141</v>
      </c>
      <c r="T25" s="80">
        <v>4894</v>
      </c>
      <c r="U25" s="80">
        <v>7138</v>
      </c>
      <c r="V25" s="80">
        <v>14437</v>
      </c>
      <c r="X25" s="30">
        <f t="shared" si="54"/>
        <v>11324</v>
      </c>
      <c r="Y25" s="30">
        <f t="shared" si="55"/>
        <v>14942</v>
      </c>
      <c r="Z25" s="30">
        <f t="shared" si="56"/>
        <v>17890</v>
      </c>
      <c r="AA25" s="30">
        <f t="shared" si="57"/>
        <v>19322</v>
      </c>
      <c r="AB25" s="30">
        <f t="shared" si="58"/>
        <v>19890</v>
      </c>
      <c r="AC25" s="30">
        <f t="shared" si="59"/>
        <v>19814</v>
      </c>
      <c r="AD25" s="30">
        <f t="shared" si="60"/>
        <v>19315</v>
      </c>
      <c r="AE25" s="30">
        <f t="shared" si="61"/>
        <v>18249</v>
      </c>
      <c r="AF25" s="30">
        <f t="shared" si="62"/>
        <v>18344</v>
      </c>
      <c r="AG25" s="30">
        <f t="shared" si="63"/>
        <v>20681</v>
      </c>
      <c r="AH25" s="30">
        <f t="shared" si="64"/>
        <v>30610</v>
      </c>
      <c r="AI25" s="11"/>
      <c r="AJ25" s="71">
        <f t="shared" si="15"/>
        <v>0.5847786694279058</v>
      </c>
    </row>
    <row r="26" spans="2:36" ht="12.75" customHeight="1">
      <c r="B26" s="9" t="s">
        <v>125</v>
      </c>
      <c r="C26" s="80">
        <f>28-4259</f>
        <v>-4231</v>
      </c>
      <c r="D26" s="80">
        <v>6</v>
      </c>
      <c r="E26" s="80">
        <v>-85</v>
      </c>
      <c r="F26" s="80">
        <v>-275</v>
      </c>
      <c r="G26" s="30"/>
      <c r="H26" s="80">
        <v>609</v>
      </c>
      <c r="I26" s="80">
        <v>-46</v>
      </c>
      <c r="J26" s="80">
        <v>20</v>
      </c>
      <c r="K26" s="30">
        <f t="shared" si="51"/>
        <v>-577</v>
      </c>
      <c r="L26" s="87">
        <v>64</v>
      </c>
      <c r="M26" s="87">
        <v>31</v>
      </c>
      <c r="N26" s="87">
        <v>55</v>
      </c>
      <c r="O26" s="30">
        <f t="shared" si="52"/>
        <v>-235</v>
      </c>
      <c r="P26" s="80">
        <v>-134</v>
      </c>
      <c r="Q26" s="80">
        <v>-45</v>
      </c>
      <c r="R26" s="80">
        <v>15</v>
      </c>
      <c r="S26" s="30">
        <f t="shared" si="53"/>
        <v>-111</v>
      </c>
      <c r="T26" s="80">
        <v>51</v>
      </c>
      <c r="U26" s="80">
        <v>232</v>
      </c>
      <c r="V26" s="80">
        <f>-22847-980</f>
        <v>-23827</v>
      </c>
      <c r="X26" s="30">
        <f t="shared" si="54"/>
        <v>-539</v>
      </c>
      <c r="Y26" s="30">
        <f t="shared" si="55"/>
        <v>-462</v>
      </c>
      <c r="Z26" s="30">
        <f t="shared" si="56"/>
        <v>-427</v>
      </c>
      <c r="AA26" s="30">
        <f t="shared" si="57"/>
        <v>-85</v>
      </c>
      <c r="AB26" s="30">
        <f t="shared" si="58"/>
        <v>-283</v>
      </c>
      <c r="AC26" s="30">
        <f t="shared" si="59"/>
        <v>-359</v>
      </c>
      <c r="AD26" s="30">
        <f t="shared" si="60"/>
        <v>-399</v>
      </c>
      <c r="AE26" s="30">
        <f t="shared" si="61"/>
        <v>-275</v>
      </c>
      <c r="AF26" s="30">
        <f t="shared" si="62"/>
        <v>-90</v>
      </c>
      <c r="AG26" s="30">
        <f t="shared" si="63"/>
        <v>187</v>
      </c>
      <c r="AH26" s="30">
        <f t="shared" si="64"/>
        <v>-23655</v>
      </c>
      <c r="AI26" s="11"/>
      <c r="AJ26" s="71">
        <f t="shared" si="15"/>
        <v>58.285714285714285</v>
      </c>
    </row>
    <row r="27" spans="2:36" ht="12.75" customHeight="1">
      <c r="B27" s="23" t="s">
        <v>102</v>
      </c>
      <c r="C27" s="24">
        <f>SUM(C21+SUM(C24:C26))</f>
        <v>-106186</v>
      </c>
      <c r="D27" s="24">
        <f>SUM(D21+SUM(D24:D26))</f>
        <v>-48511</v>
      </c>
      <c r="E27" s="24">
        <f>SUM(E21+SUM(E24:E26))</f>
        <v>-157723</v>
      </c>
      <c r="F27" s="24">
        <f>SUM(F21+SUM(F24:F26))</f>
        <v>-331588</v>
      </c>
      <c r="H27" s="24">
        <f>SUM(H21+SUM(H24:H26))</f>
        <v>-4227</v>
      </c>
      <c r="I27" s="24">
        <f>SUM(I21+SUM(I24:I26))</f>
        <v>-1654</v>
      </c>
      <c r="J27" s="24">
        <f>SUM(J21+SUM(J24:J26))</f>
        <v>-23983</v>
      </c>
      <c r="K27" s="24">
        <f>SUM(K21+SUM(K24:K26))</f>
        <v>-18647</v>
      </c>
      <c r="L27" s="24">
        <f>SUM(L21+SUM(L24:L26))</f>
        <v>-27338</v>
      </c>
      <c r="M27" s="24">
        <f>SUM(M21+SUM(M24:M26))</f>
        <v>-43718</v>
      </c>
      <c r="N27" s="24">
        <f>SUM(N21+SUM(N24:N26))</f>
        <v>-44772</v>
      </c>
      <c r="O27" s="24">
        <f>SUM(O21+SUM(O24:O26))</f>
        <v>-41895</v>
      </c>
      <c r="P27" s="24">
        <f>SUM(P21+SUM(P24:P26))</f>
        <v>-39584</v>
      </c>
      <c r="Q27" s="24">
        <f>SUM(Q21+SUM(Q24:Q26))</f>
        <v>-37546</v>
      </c>
      <c r="R27" s="24">
        <f>SUM(R21+SUM(R24:R26))</f>
        <v>-52480</v>
      </c>
      <c r="S27" s="24">
        <f>SUM(S21+SUM(S24:S26))</f>
        <v>-201978</v>
      </c>
      <c r="T27" s="24">
        <f>SUM(T21+SUM(T24:T26))</f>
        <v>-32240</v>
      </c>
      <c r="U27" s="24">
        <f>SUM(U21+SUM(U24:U26))</f>
        <v>-192799</v>
      </c>
      <c r="V27" s="24">
        <f>SUM(V21+SUM(V24:V26))</f>
        <v>-1060050</v>
      </c>
      <c r="X27" s="24">
        <f>SUM(X21+SUM(X24:X26))</f>
        <v>-71622</v>
      </c>
      <c r="Y27" s="24">
        <f>SUM(Y21+SUM(Y24:Y26))</f>
        <v>-113686</v>
      </c>
      <c r="Z27" s="24">
        <f>SUM(Z21+SUM(Z24:Z26))</f>
        <v>-134475</v>
      </c>
      <c r="AA27" s="24">
        <f>SUM(AA21+SUM(AA24:AA26))</f>
        <v>-157723</v>
      </c>
      <c r="AB27" s="24">
        <f>SUM(AB21+SUM(AB24:AB26))</f>
        <v>-169969</v>
      </c>
      <c r="AC27" s="24">
        <f>SUM(AC21+SUM(AC24:AC26))</f>
        <v>-163797</v>
      </c>
      <c r="AD27" s="24">
        <f>SUM(AD21+SUM(AD24:AD26))</f>
        <v>-171505</v>
      </c>
      <c r="AE27" s="24">
        <f>SUM(AE21+SUM(AE24:AE26))</f>
        <v>-331588</v>
      </c>
      <c r="AF27" s="24">
        <f>SUM(AF21+SUM(AF24:AF26))</f>
        <v>-324244</v>
      </c>
      <c r="AG27" s="24">
        <f>SUM(AG21+SUM(AG24:AG26))</f>
        <v>-479497</v>
      </c>
      <c r="AH27" s="24">
        <f>SUM(AH21+SUM(AH24:AH26))</f>
        <v>-1487067</v>
      </c>
      <c r="AI27" s="40"/>
      <c r="AJ27" s="72">
        <f t="shared" si="15"/>
        <v>7.6706918165651139</v>
      </c>
    </row>
    <row r="28" spans="2:36" ht="12.75" customHeight="1">
      <c r="B28" s="14" t="s">
        <v>103</v>
      </c>
      <c r="C28" s="15">
        <f>C27/C11</f>
        <v>-50.588851834206764</v>
      </c>
      <c r="D28" s="15">
        <f>D27/D11</f>
        <v>-4.3581888419728685</v>
      </c>
      <c r="E28" s="15">
        <f>E27/E11</f>
        <v>-7.1555666454949645</v>
      </c>
      <c r="F28" s="15">
        <f>F27/F11</f>
        <v>-7.6982796647551828</v>
      </c>
      <c r="G28" s="25"/>
      <c r="H28" s="15">
        <f>H27/H11</f>
        <v>-2.1643625192012288</v>
      </c>
      <c r="I28" s="15">
        <f>I27/I11</f>
        <v>-0.63420245398773001</v>
      </c>
      <c r="J28" s="15">
        <f>J27/J11</f>
        <v>-8.6800579080709372</v>
      </c>
      <c r="K28" s="15">
        <f>K27/K11</f>
        <v>-4.8980824796427633</v>
      </c>
      <c r="L28" s="15">
        <f>L27/L11</f>
        <v>-6.3799299883313889</v>
      </c>
      <c r="M28" s="15">
        <f>M27/M11</f>
        <v>-7.9271078875793295</v>
      </c>
      <c r="N28" s="15">
        <f>N27/N11</f>
        <v>-7.2966101694915251</v>
      </c>
      <c r="O28" s="15">
        <f>O27/O11</f>
        <v>-6.8612839829675725</v>
      </c>
      <c r="P28" s="15">
        <f>P27/P11</f>
        <v>-5.2207860722764439</v>
      </c>
      <c r="Q28" s="15">
        <f>Q27/Q11</f>
        <v>-3.2990071171250328</v>
      </c>
      <c r="R28" s="15">
        <f>R27/R11</f>
        <v>-4.2322580645161292</v>
      </c>
      <c r="S28" s="15">
        <f>S27/S11</f>
        <v>-17.248334756618274</v>
      </c>
      <c r="T28" s="15">
        <f>T27/T11</f>
        <v>-4.261168384879725</v>
      </c>
      <c r="U28" s="15">
        <f>U27/U11</f>
        <v>-9.3166618343481193</v>
      </c>
      <c r="V28" s="15">
        <f>V27/V11</f>
        <v>-26.590327597451463</v>
      </c>
      <c r="W28" s="26"/>
      <c r="X28" s="15">
        <f>X27/X11</f>
        <v>-5.3199138379261681</v>
      </c>
      <c r="Y28" s="15">
        <f>Y27/Y11</f>
        <v>-6.9447770311545511</v>
      </c>
      <c r="Z28" s="15">
        <f>Z27/Z11</f>
        <v>-6.8112748822367424</v>
      </c>
      <c r="AA28" s="15">
        <f>AA27/AA11</f>
        <v>-7.1555666454949645</v>
      </c>
      <c r="AB28" s="15">
        <f>AB27/AB11</f>
        <v>-6.7078022021389954</v>
      </c>
      <c r="AC28" s="15">
        <f>AC27/AC11</f>
        <v>-5.2490626502163114</v>
      </c>
      <c r="AD28" s="15">
        <f>AD27/AD11</f>
        <v>-4.5772505271024047</v>
      </c>
      <c r="AE28" s="15">
        <f>AE27/AE11</f>
        <v>-7.6982796647551828</v>
      </c>
      <c r="AF28" s="15">
        <f>AF27/AF11</f>
        <v>-7.5305757484265046</v>
      </c>
      <c r="AG28" s="15">
        <f>AG27/AG11</f>
        <v>-9.1559480618674822</v>
      </c>
      <c r="AH28" s="15">
        <f>AH27/AH11</f>
        <v>-18.626521869833159</v>
      </c>
      <c r="AI28" s="41"/>
      <c r="AJ28" s="73">
        <f>SUM(AH28-AD28)*1000</f>
        <v>-14049.271342730755</v>
      </c>
    </row>
    <row r="29" spans="2:36" ht="5.0999999999999996" customHeight="1">
      <c r="B29" s="27"/>
      <c r="C29" s="42"/>
      <c r="D29" s="42"/>
      <c r="E29" s="42"/>
      <c r="F29" s="42"/>
      <c r="G29" s="28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1"/>
      <c r="AJ29" s="71"/>
    </row>
    <row r="30" spans="2:36" ht="12.75" customHeight="1">
      <c r="B30" s="43" t="s">
        <v>157</v>
      </c>
      <c r="C30" s="80">
        <v>0</v>
      </c>
      <c r="D30" s="80">
        <v>0</v>
      </c>
      <c r="E30" s="80">
        <v>-48</v>
      </c>
      <c r="F30" s="80">
        <v>-59</v>
      </c>
      <c r="G30" s="30"/>
      <c r="H30" s="80">
        <v>0</v>
      </c>
      <c r="I30" s="80">
        <v>0</v>
      </c>
      <c r="J30" s="80">
        <v>0</v>
      </c>
      <c r="K30" s="30">
        <f t="shared" ref="K30" si="65">SUM(D30-SUM(H30:J30))</f>
        <v>0</v>
      </c>
      <c r="L30" s="80">
        <v>0</v>
      </c>
      <c r="M30" s="80">
        <v>0</v>
      </c>
      <c r="N30" s="80">
        <v>-39</v>
      </c>
      <c r="O30" s="30">
        <f t="shared" ref="O30" si="66">SUM(E30-SUM(L30:N30))</f>
        <v>-9</v>
      </c>
      <c r="P30" s="80">
        <v>-8</v>
      </c>
      <c r="Q30" s="80">
        <v>-15</v>
      </c>
      <c r="R30" s="80">
        <v>-16</v>
      </c>
      <c r="S30" s="30">
        <f t="shared" ref="S30" si="67">SUM(F30-SUM(P30:R30))</f>
        <v>-20</v>
      </c>
      <c r="T30" s="80">
        <v>-12</v>
      </c>
      <c r="U30" s="80">
        <v>15269</v>
      </c>
      <c r="V30" s="80">
        <v>4438</v>
      </c>
      <c r="W30" s="30"/>
      <c r="X30" s="30">
        <f t="shared" ref="X30" si="68">SUM(I30:L30)</f>
        <v>0</v>
      </c>
      <c r="Y30" s="30">
        <f t="shared" ref="Y30" si="69">SUM(J30:M30)</f>
        <v>0</v>
      </c>
      <c r="Z30" s="30">
        <f t="shared" ref="Z30" si="70">SUM(K30:N30)</f>
        <v>-39</v>
      </c>
      <c r="AA30" s="30">
        <f t="shared" ref="AA30" si="71">SUM(L30:O30)</f>
        <v>-48</v>
      </c>
      <c r="AB30" s="30">
        <f t="shared" ref="AB30" si="72">SUM(M30:P30)</f>
        <v>-56</v>
      </c>
      <c r="AC30" s="30">
        <f t="shared" ref="AC30" si="73">SUM(N30:Q30)</f>
        <v>-71</v>
      </c>
      <c r="AD30" s="30">
        <f t="shared" ref="AD30" si="74">SUM(O30:R30)</f>
        <v>-48</v>
      </c>
      <c r="AE30" s="30">
        <f t="shared" ref="AE30" si="75">SUM(P30:S30)</f>
        <v>-59</v>
      </c>
      <c r="AF30" s="30">
        <f t="shared" ref="AF30" si="76">SUM(Q30:T30)</f>
        <v>-63</v>
      </c>
      <c r="AG30" s="30">
        <f t="shared" ref="AG30" si="77">SUM(R30:U30)</f>
        <v>15221</v>
      </c>
      <c r="AH30" s="30">
        <f t="shared" ref="AH30" si="78">SUM(S30:V30)</f>
        <v>19675</v>
      </c>
      <c r="AI30" s="41"/>
      <c r="AJ30" s="71">
        <f t="shared" si="15"/>
        <v>-410.89583333333331</v>
      </c>
    </row>
    <row r="31" spans="2:36" ht="12.75" customHeight="1">
      <c r="B31" s="12" t="s">
        <v>67</v>
      </c>
      <c r="C31" s="13">
        <f t="shared" ref="C31:F31" si="79">SUM(C27+C30)</f>
        <v>-106186</v>
      </c>
      <c r="D31" s="13">
        <f t="shared" si="79"/>
        <v>-48511</v>
      </c>
      <c r="E31" s="13">
        <f t="shared" si="79"/>
        <v>-157771</v>
      </c>
      <c r="F31" s="13">
        <f t="shared" si="79"/>
        <v>-331647</v>
      </c>
      <c r="G31" s="11"/>
      <c r="H31" s="13">
        <f t="shared" ref="H31:V31" si="80">SUM(H27+H30)</f>
        <v>-4227</v>
      </c>
      <c r="I31" s="13">
        <f t="shared" si="80"/>
        <v>-1654</v>
      </c>
      <c r="J31" s="13">
        <f t="shared" si="80"/>
        <v>-23983</v>
      </c>
      <c r="K31" s="13">
        <f t="shared" si="80"/>
        <v>-18647</v>
      </c>
      <c r="L31" s="13">
        <f t="shared" si="80"/>
        <v>-27338</v>
      </c>
      <c r="M31" s="13">
        <f t="shared" si="80"/>
        <v>-43718</v>
      </c>
      <c r="N31" s="13">
        <f t="shared" si="80"/>
        <v>-44811</v>
      </c>
      <c r="O31" s="13">
        <f t="shared" si="80"/>
        <v>-41904</v>
      </c>
      <c r="P31" s="13">
        <f t="shared" si="80"/>
        <v>-39592</v>
      </c>
      <c r="Q31" s="13">
        <f t="shared" si="80"/>
        <v>-37561</v>
      </c>
      <c r="R31" s="13">
        <f t="shared" si="80"/>
        <v>-52496</v>
      </c>
      <c r="S31" s="13">
        <f t="shared" si="80"/>
        <v>-201998</v>
      </c>
      <c r="T31" s="13">
        <f t="shared" si="80"/>
        <v>-32252</v>
      </c>
      <c r="U31" s="13">
        <f t="shared" si="80"/>
        <v>-177530</v>
      </c>
      <c r="V31" s="13">
        <f t="shared" si="80"/>
        <v>-1055612</v>
      </c>
      <c r="W31" s="30"/>
      <c r="X31" s="13">
        <f t="shared" ref="X31:AH31" si="81">SUM(X27+X30)</f>
        <v>-71622</v>
      </c>
      <c r="Y31" s="13">
        <f t="shared" si="81"/>
        <v>-113686</v>
      </c>
      <c r="Z31" s="13">
        <f t="shared" si="81"/>
        <v>-134514</v>
      </c>
      <c r="AA31" s="13">
        <f t="shared" si="81"/>
        <v>-157771</v>
      </c>
      <c r="AB31" s="13">
        <f t="shared" si="81"/>
        <v>-170025</v>
      </c>
      <c r="AC31" s="13">
        <f t="shared" si="81"/>
        <v>-163868</v>
      </c>
      <c r="AD31" s="13">
        <f t="shared" si="81"/>
        <v>-171553</v>
      </c>
      <c r="AE31" s="13">
        <f t="shared" si="81"/>
        <v>-331647</v>
      </c>
      <c r="AF31" s="13">
        <f t="shared" si="81"/>
        <v>-324307</v>
      </c>
      <c r="AG31" s="13">
        <f t="shared" si="81"/>
        <v>-464276</v>
      </c>
      <c r="AH31" s="13">
        <f t="shared" si="81"/>
        <v>-1467392</v>
      </c>
      <c r="AI31" s="34"/>
      <c r="AJ31" s="72">
        <f t="shared" si="15"/>
        <v>7.5535781944938307</v>
      </c>
    </row>
    <row r="32" spans="2:36" ht="12.75" customHeight="1">
      <c r="B32" s="14" t="s">
        <v>83</v>
      </c>
      <c r="C32" s="15">
        <f>C31/C11</f>
        <v>-50.588851834206764</v>
      </c>
      <c r="D32" s="15">
        <f>D31/D11</f>
        <v>-4.3581888419728685</v>
      </c>
      <c r="E32" s="15">
        <f>E31/E11</f>
        <v>-7.1577443063242896</v>
      </c>
      <c r="F32" s="15">
        <f>F31/F11</f>
        <v>-7.6996494323590188</v>
      </c>
      <c r="G32" s="25"/>
      <c r="H32" s="15">
        <f>H31/H11</f>
        <v>-2.1643625192012288</v>
      </c>
      <c r="I32" s="15">
        <f>I31/I11</f>
        <v>-0.63420245398773001</v>
      </c>
      <c r="J32" s="15">
        <f>J31/J11</f>
        <v>-8.6800579080709372</v>
      </c>
      <c r="K32" s="15">
        <f>K31/K11</f>
        <v>-4.8980824796427633</v>
      </c>
      <c r="L32" s="15">
        <f>L31/L11</f>
        <v>-6.3799299883313889</v>
      </c>
      <c r="M32" s="15">
        <f>M31/M11</f>
        <v>-7.9271078875793295</v>
      </c>
      <c r="N32" s="15">
        <f>N31/N11</f>
        <v>-7.3029661016949152</v>
      </c>
      <c r="O32" s="15">
        <f>O31/O11</f>
        <v>-6.8627579430068781</v>
      </c>
      <c r="P32" s="15">
        <f>P31/P11</f>
        <v>-5.2218412028488528</v>
      </c>
      <c r="Q32" s="15">
        <f>Q31/Q11</f>
        <v>-3.3003251032422458</v>
      </c>
      <c r="R32" s="15">
        <f>R31/R11</f>
        <v>-4.2335483870967741</v>
      </c>
      <c r="S32" s="15">
        <f>S31/S11</f>
        <v>-17.250042698548249</v>
      </c>
      <c r="T32" s="15">
        <f>T31/T11</f>
        <v>-4.2627544277028813</v>
      </c>
      <c r="U32" s="15">
        <f>U31/U11</f>
        <v>-8.5788151154924126</v>
      </c>
      <c r="V32" s="15">
        <f>V31/V11</f>
        <v>-26.479004665629859</v>
      </c>
      <c r="W32" s="26"/>
      <c r="X32" s="15">
        <f>X31/X11</f>
        <v>-5.3199138379261681</v>
      </c>
      <c r="Y32" s="15">
        <f>Y31/Y11</f>
        <v>-6.9447770311545511</v>
      </c>
      <c r="Z32" s="15">
        <f>Z31/Z11</f>
        <v>-6.8132502659170342</v>
      </c>
      <c r="AA32" s="15">
        <f>AA31/AA11</f>
        <v>-7.1577443063242896</v>
      </c>
      <c r="AB32" s="15">
        <f>AB31/AB11</f>
        <v>-6.7100122341055286</v>
      </c>
      <c r="AC32" s="15">
        <f>AC31/AC11</f>
        <v>-5.2513379266143243</v>
      </c>
      <c r="AD32" s="15">
        <f>AD31/AD11</f>
        <v>-4.5785315861111853</v>
      </c>
      <c r="AE32" s="15">
        <f>AE31/AE11</f>
        <v>-7.6996494323590188</v>
      </c>
      <c r="AF32" s="15">
        <f>AF31/AF11</f>
        <v>-7.5320389251457369</v>
      </c>
      <c r="AG32" s="15">
        <f>AG31/AG11</f>
        <v>-8.8653045636814962</v>
      </c>
      <c r="AH32" s="15">
        <f>AH31/AH11</f>
        <v>-18.38007916228268</v>
      </c>
      <c r="AI32" s="41"/>
      <c r="AJ32" s="73">
        <f>SUM(AH32-AD32)*1000</f>
        <v>-13801.547576171493</v>
      </c>
    </row>
    <row r="33" spans="1:36" ht="5.0999999999999996" customHeight="1">
      <c r="B33" s="14"/>
      <c r="C33" s="15"/>
      <c r="D33" s="15"/>
      <c r="E33" s="15"/>
      <c r="F33" s="15"/>
      <c r="G33" s="2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26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41"/>
      <c r="AJ33" s="73"/>
    </row>
    <row r="34" spans="1:36" ht="12.75" customHeight="1">
      <c r="B34" s="43" t="s">
        <v>84</v>
      </c>
      <c r="C34" s="80">
        <v>197671.49400000001</v>
      </c>
      <c r="D34" s="80">
        <v>201551.43599999999</v>
      </c>
      <c r="E34" s="80">
        <v>208229.519</v>
      </c>
      <c r="F34" s="80">
        <v>222842.179</v>
      </c>
      <c r="G34" s="25"/>
      <c r="H34" s="80">
        <v>198140.446</v>
      </c>
      <c r="I34" s="80">
        <v>199207.57399999999</v>
      </c>
      <c r="J34" s="80">
        <v>199958.80900000001</v>
      </c>
      <c r="K34" s="30">
        <f>D34</f>
        <v>201551.43599999999</v>
      </c>
      <c r="L34" s="80">
        <v>201028.32</v>
      </c>
      <c r="M34" s="80">
        <v>202595.35800000001</v>
      </c>
      <c r="N34" s="80">
        <v>204704.61199999999</v>
      </c>
      <c r="O34" s="30">
        <f>E34</f>
        <v>208229.519</v>
      </c>
      <c r="P34" s="80">
        <v>211454.927</v>
      </c>
      <c r="Q34" s="80">
        <v>214076.15100000001</v>
      </c>
      <c r="R34" s="80">
        <v>216392.242</v>
      </c>
      <c r="S34" s="30">
        <f>F34</f>
        <v>222842.179</v>
      </c>
      <c r="T34" s="80">
        <v>247783.08600000001</v>
      </c>
      <c r="U34" s="80">
        <v>296837.79599999997</v>
      </c>
      <c r="V34" s="80">
        <v>354279.59100000001</v>
      </c>
      <c r="W34" s="26"/>
      <c r="X34" s="30">
        <f t="shared" ref="X34:AG34" si="82">L34</f>
        <v>201028.32</v>
      </c>
      <c r="Y34" s="30">
        <f t="shared" si="82"/>
        <v>202595.35800000001</v>
      </c>
      <c r="Z34" s="30">
        <f t="shared" si="82"/>
        <v>204704.61199999999</v>
      </c>
      <c r="AA34" s="30">
        <f t="shared" si="82"/>
        <v>208229.519</v>
      </c>
      <c r="AB34" s="30">
        <f t="shared" si="82"/>
        <v>211454.927</v>
      </c>
      <c r="AC34" s="30">
        <f t="shared" si="82"/>
        <v>214076.15100000001</v>
      </c>
      <c r="AD34" s="30">
        <f t="shared" si="82"/>
        <v>216392.242</v>
      </c>
      <c r="AE34" s="30">
        <f t="shared" si="82"/>
        <v>222842.179</v>
      </c>
      <c r="AF34" s="30">
        <f t="shared" si="82"/>
        <v>247783.08600000001</v>
      </c>
      <c r="AG34" s="30">
        <f t="shared" si="82"/>
        <v>296837.79599999997</v>
      </c>
      <c r="AH34" s="30">
        <f>V34</f>
        <v>354279.59100000001</v>
      </c>
      <c r="AI34" s="41"/>
      <c r="AJ34" s="71">
        <f t="shared" ref="AJ34" si="83">SUM(AH34/AD34)-1</f>
        <v>0.63721022401533234</v>
      </c>
    </row>
    <row r="35" spans="1:36" ht="12.75" customHeight="1">
      <c r="B35" s="12" t="s">
        <v>85</v>
      </c>
      <c r="C35" s="74">
        <f t="shared" ref="C35:F35" si="84">C31/C34</f>
        <v>-0.53718418296570369</v>
      </c>
      <c r="D35" s="74">
        <f t="shared" si="84"/>
        <v>-0.2406879403230846</v>
      </c>
      <c r="E35" s="74">
        <f t="shared" si="84"/>
        <v>-0.75767835779325787</v>
      </c>
      <c r="F35" s="74">
        <f t="shared" si="84"/>
        <v>-1.4882595453349969</v>
      </c>
      <c r="G35" s="11"/>
      <c r="H35" s="74">
        <f t="shared" ref="H35:V35" si="85">H31/H34</f>
        <v>-2.1333352605858169E-2</v>
      </c>
      <c r="I35" s="74">
        <f t="shared" si="85"/>
        <v>-8.3028971579162947E-3</v>
      </c>
      <c r="J35" s="74">
        <f t="shared" si="85"/>
        <v>-0.11993970218136275</v>
      </c>
      <c r="K35" s="74">
        <f t="shared" si="85"/>
        <v>-9.2517326445642395E-2</v>
      </c>
      <c r="L35" s="74">
        <f t="shared" si="85"/>
        <v>-0.13599078975539367</v>
      </c>
      <c r="M35" s="74">
        <f t="shared" si="85"/>
        <v>-0.21578974183603949</v>
      </c>
      <c r="N35" s="74">
        <f t="shared" si="85"/>
        <v>-0.21890566881805282</v>
      </c>
      <c r="O35" s="74">
        <f>O31/O34</f>
        <v>-0.20123947940349418</v>
      </c>
      <c r="P35" s="74">
        <f t="shared" si="85"/>
        <v>-0.18723611959157613</v>
      </c>
      <c r="Q35" s="74">
        <f t="shared" si="85"/>
        <v>-0.17545625621791003</v>
      </c>
      <c r="R35" s="74">
        <f t="shared" si="85"/>
        <v>-0.24259649752138526</v>
      </c>
      <c r="S35" s="74">
        <f>S31/S34</f>
        <v>-0.90646214691698912</v>
      </c>
      <c r="T35" s="74">
        <f t="shared" si="85"/>
        <v>-0.13016223391454573</v>
      </c>
      <c r="U35" s="74">
        <f t="shared" si="85"/>
        <v>-0.59807073894323082</v>
      </c>
      <c r="V35" s="74">
        <f t="shared" si="85"/>
        <v>-2.9796014978463718</v>
      </c>
      <c r="W35" s="26"/>
      <c r="X35" s="74">
        <f t="shared" ref="X35:AH35" si="86">X31/X34</f>
        <v>-0.35627816021145675</v>
      </c>
      <c r="Y35" s="74">
        <f t="shared" si="86"/>
        <v>-0.56114809896088536</v>
      </c>
      <c r="Z35" s="74">
        <f t="shared" si="86"/>
        <v>-0.65711269856489607</v>
      </c>
      <c r="AA35" s="74">
        <f t="shared" si="86"/>
        <v>-0.75767835779325787</v>
      </c>
      <c r="AB35" s="74">
        <f t="shared" si="86"/>
        <v>-0.80407206591123792</v>
      </c>
      <c r="AC35" s="74">
        <f t="shared" si="86"/>
        <v>-0.76546592992509466</v>
      </c>
      <c r="AD35" s="74">
        <f t="shared" si="86"/>
        <v>-0.79278720167796035</v>
      </c>
      <c r="AE35" s="74">
        <f t="shared" si="86"/>
        <v>-1.4882595453349969</v>
      </c>
      <c r="AF35" s="74">
        <f t="shared" si="86"/>
        <v>-1.3088342922648077</v>
      </c>
      <c r="AG35" s="74">
        <f t="shared" si="86"/>
        <v>-1.5640730602918236</v>
      </c>
      <c r="AH35" s="74">
        <f t="shared" si="86"/>
        <v>-4.141903844526003</v>
      </c>
      <c r="AI35" s="34"/>
      <c r="AJ35" s="72">
        <f>SUM(AH35/AD35)-1</f>
        <v>4.2244837401001512</v>
      </c>
    </row>
    <row r="36" spans="1:36" ht="5.0999999999999996" customHeight="1">
      <c r="B36" s="14"/>
      <c r="C36" s="15"/>
      <c r="D36" s="15"/>
      <c r="E36" s="15"/>
      <c r="F36" s="15"/>
      <c r="G36" s="2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26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41"/>
      <c r="AJ36" s="73"/>
    </row>
    <row r="37" spans="1:36" ht="12.75" customHeight="1">
      <c r="B37" s="43" t="s">
        <v>86</v>
      </c>
      <c r="C37" s="80">
        <v>137609.62</v>
      </c>
      <c r="D37" s="80">
        <v>197727.64199999999</v>
      </c>
      <c r="E37" s="80">
        <v>202576.492</v>
      </c>
      <c r="F37" s="80">
        <v>213029.36499999999</v>
      </c>
      <c r="G37" s="25"/>
      <c r="H37" s="80">
        <v>196183.247</v>
      </c>
      <c r="I37" s="80">
        <v>197214.022</v>
      </c>
      <c r="J37" s="80">
        <v>198301.24</v>
      </c>
      <c r="K37" s="80">
        <f>D37</f>
        <v>197727.64199999999</v>
      </c>
      <c r="L37" s="80">
        <v>200112.85500000001</v>
      </c>
      <c r="M37" s="80">
        <v>201431.49400000001</v>
      </c>
      <c r="N37" s="80">
        <v>203390.383</v>
      </c>
      <c r="O37" s="30">
        <f>E37</f>
        <v>202576.492</v>
      </c>
      <c r="P37" s="80">
        <v>208159.43900000001</v>
      </c>
      <c r="Q37" s="80">
        <v>211637.47899999999</v>
      </c>
      <c r="R37" s="80">
        <v>214305.05300000001</v>
      </c>
      <c r="S37" s="30">
        <f>F37</f>
        <v>213029.36499999999</v>
      </c>
      <c r="T37" s="80">
        <v>228759.209</v>
      </c>
      <c r="U37" s="80">
        <v>250967.45499999999</v>
      </c>
      <c r="V37" s="80">
        <v>294524.78600000002</v>
      </c>
      <c r="W37" s="30"/>
      <c r="X37" s="30">
        <f t="shared" ref="X37" si="87">L37</f>
        <v>200112.85500000001</v>
      </c>
      <c r="Y37" s="30">
        <f t="shared" ref="Y37" si="88">M37</f>
        <v>201431.49400000001</v>
      </c>
      <c r="Z37" s="30">
        <f t="shared" ref="Z37" si="89">N37</f>
        <v>203390.383</v>
      </c>
      <c r="AA37" s="30">
        <f t="shared" ref="AA37" si="90">O37</f>
        <v>202576.492</v>
      </c>
      <c r="AB37" s="30">
        <f t="shared" ref="AB37" si="91">P37</f>
        <v>208159.43900000001</v>
      </c>
      <c r="AC37" s="30">
        <f t="shared" ref="AC37" si="92">Q37</f>
        <v>211637.47899999999</v>
      </c>
      <c r="AD37" s="30">
        <f t="shared" ref="AD37" si="93">R37</f>
        <v>214305.05300000001</v>
      </c>
      <c r="AE37" s="30">
        <f t="shared" ref="AE37" si="94">S37</f>
        <v>213029.36499999999</v>
      </c>
      <c r="AF37" s="30">
        <f t="shared" ref="AF37" si="95">T37</f>
        <v>228759.209</v>
      </c>
      <c r="AG37" s="30">
        <f t="shared" ref="AG37" si="96">U37</f>
        <v>250967.45499999999</v>
      </c>
      <c r="AH37" s="30">
        <f>V37</f>
        <v>294524.78600000002</v>
      </c>
      <c r="AI37" s="41"/>
      <c r="AJ37" s="71">
        <f t="shared" ref="AJ37" si="97">SUM(AH37/AD37)-1</f>
        <v>0.3743249721694617</v>
      </c>
    </row>
    <row r="38" spans="1:36" ht="12.75" customHeight="1">
      <c r="B38" s="12" t="s">
        <v>87</v>
      </c>
      <c r="C38" s="74">
        <f t="shared" ref="C38:F38" si="98">C31/C37</f>
        <v>-0.77164663342577355</v>
      </c>
      <c r="D38" s="74">
        <f t="shared" si="98"/>
        <v>-0.24534253030742156</v>
      </c>
      <c r="E38" s="74">
        <f t="shared" si="98"/>
        <v>-0.77882185855997543</v>
      </c>
      <c r="F38" s="74">
        <f t="shared" si="98"/>
        <v>-1.5568135407059962</v>
      </c>
      <c r="G38" s="25"/>
      <c r="H38" s="74">
        <f t="shared" ref="H38:V38" si="99">H31/H37</f>
        <v>-2.154618227926465E-2</v>
      </c>
      <c r="I38" s="74">
        <f t="shared" si="99"/>
        <v>-8.386827585718017E-3</v>
      </c>
      <c r="J38" s="74">
        <f t="shared" si="99"/>
        <v>-0.12094225936257383</v>
      </c>
      <c r="K38" s="74">
        <f t="shared" si="99"/>
        <v>-9.4306490541165716E-2</v>
      </c>
      <c r="L38" s="74">
        <f t="shared" si="99"/>
        <v>-0.13661291274865875</v>
      </c>
      <c r="M38" s="74">
        <f t="shared" si="99"/>
        <v>-0.2170365672807848</v>
      </c>
      <c r="N38" s="74">
        <f t="shared" si="99"/>
        <v>-0.22032015151866841</v>
      </c>
      <c r="O38" s="74">
        <f t="shared" si="99"/>
        <v>-0.20685519620904483</v>
      </c>
      <c r="P38" s="74">
        <f t="shared" si="99"/>
        <v>-0.19020035887010628</v>
      </c>
      <c r="Q38" s="74">
        <f t="shared" si="99"/>
        <v>-0.17747801654734321</v>
      </c>
      <c r="R38" s="74">
        <f t="shared" si="99"/>
        <v>-0.24495922641637385</v>
      </c>
      <c r="S38" s="74">
        <f t="shared" si="99"/>
        <v>-0.9482166930366619</v>
      </c>
      <c r="T38" s="74">
        <f t="shared" si="99"/>
        <v>-0.14098667389604411</v>
      </c>
      <c r="U38" s="74">
        <f t="shared" si="99"/>
        <v>-0.70738255683391305</v>
      </c>
      <c r="V38" s="74">
        <f t="shared" si="99"/>
        <v>-3.5841194024329073</v>
      </c>
      <c r="W38" s="30"/>
      <c r="X38" s="74">
        <f t="shared" ref="X38:AH38" si="100">X31/X37</f>
        <v>-0.35790804143991645</v>
      </c>
      <c r="Y38" s="74">
        <f t="shared" si="100"/>
        <v>-0.56439039269599023</v>
      </c>
      <c r="Z38" s="74">
        <f t="shared" si="100"/>
        <v>-0.66135870347419523</v>
      </c>
      <c r="AA38" s="74">
        <f t="shared" si="100"/>
        <v>-0.77882185855997543</v>
      </c>
      <c r="AB38" s="74">
        <f t="shared" si="100"/>
        <v>-0.81680177856359415</v>
      </c>
      <c r="AC38" s="74">
        <f t="shared" si="100"/>
        <v>-0.77428629737174293</v>
      </c>
      <c r="AD38" s="74">
        <f t="shared" si="100"/>
        <v>-0.80050842291618751</v>
      </c>
      <c r="AE38" s="74">
        <f t="shared" si="100"/>
        <v>-1.5568135407059962</v>
      </c>
      <c r="AF38" s="74">
        <f t="shared" si="100"/>
        <v>-1.4176784463352468</v>
      </c>
      <c r="AG38" s="74">
        <f t="shared" si="100"/>
        <v>-1.849945045663391</v>
      </c>
      <c r="AH38" s="74">
        <f t="shared" si="100"/>
        <v>-4.9822360281759099</v>
      </c>
      <c r="AI38" s="34"/>
      <c r="AJ38" s="72">
        <f>SUM(AH38/AD38)-1</f>
        <v>5.2238396068663793</v>
      </c>
    </row>
    <row r="39" spans="1:36">
      <c r="B39" s="14"/>
      <c r="C39" s="15"/>
      <c r="D39" s="15"/>
      <c r="E39" s="15"/>
      <c r="F39" s="80"/>
      <c r="G39" s="2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26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41"/>
    </row>
    <row r="40" spans="1:36" ht="12.75" customHeight="1">
      <c r="A40" s="5" t="s">
        <v>20</v>
      </c>
      <c r="B40" s="98" t="s">
        <v>97</v>
      </c>
      <c r="C40" s="99"/>
      <c r="D40" s="99" t="s">
        <v>0</v>
      </c>
      <c r="E40" s="99"/>
      <c r="F40" s="99"/>
      <c r="G40" s="100"/>
      <c r="H40" s="99" t="s">
        <v>1</v>
      </c>
      <c r="I40" s="99"/>
      <c r="J40" s="99"/>
      <c r="K40" s="99"/>
      <c r="L40" s="99"/>
      <c r="M40" s="99"/>
      <c r="N40" s="99"/>
      <c r="O40" s="99"/>
      <c r="P40" s="99"/>
      <c r="Q40" s="99"/>
      <c r="R40" s="99" t="s">
        <v>1</v>
      </c>
      <c r="S40" s="99"/>
      <c r="T40" s="99"/>
      <c r="U40" s="99"/>
      <c r="V40" s="99"/>
      <c r="W40" s="98"/>
      <c r="X40" s="99"/>
      <c r="Y40" s="99"/>
      <c r="Z40" s="99"/>
      <c r="AA40" s="99"/>
      <c r="AB40" s="99"/>
      <c r="AC40" s="99"/>
      <c r="AD40" s="99" t="s">
        <v>10</v>
      </c>
      <c r="AE40" s="99"/>
      <c r="AF40" s="99"/>
      <c r="AG40" s="99"/>
      <c r="AH40" s="99"/>
      <c r="AI40" s="100"/>
      <c r="AJ40" s="127" t="s">
        <v>26</v>
      </c>
    </row>
    <row r="41" spans="1:36" ht="12.75" customHeight="1">
      <c r="B41" s="102" t="str">
        <f>B7</f>
        <v>Fiscal Period</v>
      </c>
      <c r="C41" s="101">
        <f>C7</f>
        <v>2021</v>
      </c>
      <c r="D41" s="101">
        <f>D7</f>
        <v>2022</v>
      </c>
      <c r="E41" s="101">
        <f>E7</f>
        <v>2023</v>
      </c>
      <c r="F41" s="101">
        <f>F7</f>
        <v>2024</v>
      </c>
      <c r="G41" s="100"/>
      <c r="H41" s="101" t="str">
        <f>H7</f>
        <v>1Q22</v>
      </c>
      <c r="I41" s="101" t="str">
        <f>I7</f>
        <v>2Q22</v>
      </c>
      <c r="J41" s="101" t="str">
        <f>J7</f>
        <v>3Q22</v>
      </c>
      <c r="K41" s="101" t="str">
        <f>K7</f>
        <v>4Q22</v>
      </c>
      <c r="L41" s="101" t="str">
        <f>L7</f>
        <v>1Q23</v>
      </c>
      <c r="M41" s="101" t="str">
        <f>M7</f>
        <v>2Q23</v>
      </c>
      <c r="N41" s="101" t="str">
        <f>N7</f>
        <v>3Q23</v>
      </c>
      <c r="O41" s="101" t="str">
        <f>O7</f>
        <v>4Q23</v>
      </c>
      <c r="P41" s="101" t="str">
        <f>P7</f>
        <v>1Q24</v>
      </c>
      <c r="Q41" s="101" t="str">
        <f>Q7</f>
        <v>2Q24</v>
      </c>
      <c r="R41" s="101" t="str">
        <f>R7</f>
        <v>3Q24</v>
      </c>
      <c r="S41" s="101" t="str">
        <f>S7</f>
        <v>4Q24</v>
      </c>
      <c r="T41" s="101" t="str">
        <f>T7</f>
        <v>1Q25</v>
      </c>
      <c r="U41" s="101" t="str">
        <f>U7</f>
        <v>2Q25</v>
      </c>
      <c r="V41" s="101" t="str">
        <f>V7</f>
        <v>3Q25</v>
      </c>
      <c r="W41" s="103"/>
      <c r="X41" s="101" t="str">
        <f>X7</f>
        <v>1Q23</v>
      </c>
      <c r="Y41" s="101" t="str">
        <f>Y7</f>
        <v>2Q23</v>
      </c>
      <c r="Z41" s="101" t="str">
        <f>Z7</f>
        <v>3Q23</v>
      </c>
      <c r="AA41" s="101" t="str">
        <f>AA7</f>
        <v>4Q23</v>
      </c>
      <c r="AB41" s="101" t="str">
        <f>AB7</f>
        <v>1Q24</v>
      </c>
      <c r="AC41" s="101" t="str">
        <f>AC7</f>
        <v>2Q24</v>
      </c>
      <c r="AD41" s="101" t="str">
        <f>AD7</f>
        <v>3Q24</v>
      </c>
      <c r="AE41" s="101" t="str">
        <f>AE7</f>
        <v>4Q24</v>
      </c>
      <c r="AF41" s="101" t="str">
        <f>AF7</f>
        <v>1Q25</v>
      </c>
      <c r="AG41" s="101" t="str">
        <f>AG7</f>
        <v>2Q25</v>
      </c>
      <c r="AH41" s="101" t="str">
        <f>AH7</f>
        <v>3Q25</v>
      </c>
      <c r="AI41" s="100"/>
      <c r="AJ41" s="127"/>
    </row>
    <row r="42" spans="1:36" ht="12.75" customHeight="1">
      <c r="B42" s="102" t="str">
        <f>B8</f>
        <v>Fiscal Period End Date</v>
      </c>
      <c r="C42" s="104">
        <f>C8</f>
        <v>44561</v>
      </c>
      <c r="D42" s="104">
        <f>D8</f>
        <v>44926</v>
      </c>
      <c r="E42" s="104">
        <f>E8</f>
        <v>45291</v>
      </c>
      <c r="F42" s="104">
        <f>F8</f>
        <v>45657</v>
      </c>
      <c r="G42" s="100"/>
      <c r="H42" s="104">
        <f>H8</f>
        <v>44651</v>
      </c>
      <c r="I42" s="104">
        <f>I8</f>
        <v>44742</v>
      </c>
      <c r="J42" s="104">
        <f>J8</f>
        <v>44834</v>
      </c>
      <c r="K42" s="104">
        <f>K8</f>
        <v>44926</v>
      </c>
      <c r="L42" s="104">
        <f>L8</f>
        <v>45016</v>
      </c>
      <c r="M42" s="104">
        <f>M8</f>
        <v>45107</v>
      </c>
      <c r="N42" s="104">
        <f>N8</f>
        <v>45199</v>
      </c>
      <c r="O42" s="104">
        <f>O8</f>
        <v>45291</v>
      </c>
      <c r="P42" s="104">
        <f>P8</f>
        <v>45382</v>
      </c>
      <c r="Q42" s="104">
        <f>Q8</f>
        <v>45473</v>
      </c>
      <c r="R42" s="104">
        <f>R8</f>
        <v>45565</v>
      </c>
      <c r="S42" s="104">
        <f>S8</f>
        <v>45657</v>
      </c>
      <c r="T42" s="104">
        <f>T8</f>
        <v>45747</v>
      </c>
      <c r="U42" s="104">
        <f>U8</f>
        <v>45838</v>
      </c>
      <c r="V42" s="104">
        <f>V8</f>
        <v>45930</v>
      </c>
      <c r="W42" s="105"/>
      <c r="X42" s="104">
        <f>X8</f>
        <v>45016</v>
      </c>
      <c r="Y42" s="104">
        <f>Y8</f>
        <v>45107</v>
      </c>
      <c r="Z42" s="104">
        <f>Z8</f>
        <v>45199</v>
      </c>
      <c r="AA42" s="104">
        <f>AA8</f>
        <v>45291</v>
      </c>
      <c r="AB42" s="104">
        <f>AB8</f>
        <v>45382</v>
      </c>
      <c r="AC42" s="104">
        <f>AC8</f>
        <v>45473</v>
      </c>
      <c r="AD42" s="104">
        <f>AD8</f>
        <v>45565</v>
      </c>
      <c r="AE42" s="104">
        <f>AE8</f>
        <v>45657</v>
      </c>
      <c r="AF42" s="104">
        <f>AF8</f>
        <v>45747</v>
      </c>
      <c r="AG42" s="104">
        <f>AG8</f>
        <v>45838</v>
      </c>
      <c r="AH42" s="104">
        <f>AH8</f>
        <v>45930</v>
      </c>
      <c r="AI42" s="100"/>
      <c r="AJ42" s="127"/>
    </row>
    <row r="43" spans="1:36" ht="5.0999999999999996" customHeight="1">
      <c r="B43" s="45"/>
      <c r="C43" s="46"/>
      <c r="D43" s="46"/>
      <c r="E43" s="46"/>
      <c r="F43" s="46"/>
    </row>
    <row r="44" spans="1:36">
      <c r="B44" s="75" t="s">
        <v>104</v>
      </c>
      <c r="C44" s="46"/>
      <c r="D44" s="46"/>
      <c r="E44" s="46"/>
      <c r="F44" s="46"/>
    </row>
    <row r="45" spans="1:36" s="115" customFormat="1" ht="12.75" customHeight="1">
      <c r="B45" s="106" t="s">
        <v>126</v>
      </c>
      <c r="C45" s="88">
        <v>399025</v>
      </c>
      <c r="D45" s="88">
        <f>44367-D46</f>
        <v>42367</v>
      </c>
      <c r="E45" s="88">
        <f>35665-E46</f>
        <v>33249</v>
      </c>
      <c r="F45" s="88">
        <f>54393-F46</f>
        <v>51946</v>
      </c>
      <c r="G45" s="106"/>
      <c r="H45" s="88">
        <v>86751</v>
      </c>
      <c r="I45" s="88">
        <v>43968</v>
      </c>
      <c r="J45" s="88">
        <v>57198</v>
      </c>
      <c r="K45" s="89">
        <f t="shared" ref="K45:K46" si="101">D45</f>
        <v>42367</v>
      </c>
      <c r="L45" s="88">
        <f>51901-L46</f>
        <v>49901</v>
      </c>
      <c r="M45" s="88">
        <f>13984-M46</f>
        <v>11882</v>
      </c>
      <c r="N45" s="88">
        <f>37137-N46</f>
        <v>34721</v>
      </c>
      <c r="O45" s="88">
        <f>E45</f>
        <v>33249</v>
      </c>
      <c r="P45" s="88">
        <f>60074-P46</f>
        <v>57640</v>
      </c>
      <c r="Q45" s="88">
        <f>41752-Q46</f>
        <v>39313</v>
      </c>
      <c r="R45" s="88">
        <f>30172-R46</f>
        <v>27734</v>
      </c>
      <c r="S45" s="88">
        <f>F45</f>
        <v>51946</v>
      </c>
      <c r="T45" s="88">
        <f>159681-T46</f>
        <v>157002</v>
      </c>
      <c r="U45" s="88">
        <f>140067-U46</f>
        <v>136622</v>
      </c>
      <c r="V45" s="88">
        <f>346032-V46</f>
        <v>339742</v>
      </c>
      <c r="X45" s="30">
        <f t="shared" ref="X45:X49" si="102">L45</f>
        <v>49901</v>
      </c>
      <c r="Y45" s="30">
        <f t="shared" ref="Y45:Y49" si="103">M45</f>
        <v>11882</v>
      </c>
      <c r="Z45" s="30">
        <f t="shared" ref="Z45:Z49" si="104">N45</f>
        <v>34721</v>
      </c>
      <c r="AA45" s="30">
        <f t="shared" ref="AA45:AA49" si="105">O45</f>
        <v>33249</v>
      </c>
      <c r="AB45" s="30">
        <f t="shared" ref="AB45:AB49" si="106">P45</f>
        <v>57640</v>
      </c>
      <c r="AC45" s="30">
        <f t="shared" ref="AC45:AC49" si="107">Q45</f>
        <v>39313</v>
      </c>
      <c r="AD45" s="30">
        <f t="shared" ref="AD45:AD49" si="108">R45</f>
        <v>27734</v>
      </c>
      <c r="AE45" s="30">
        <f t="shared" ref="AE45:AE49" si="109">S45</f>
        <v>51946</v>
      </c>
      <c r="AF45" s="30">
        <f t="shared" ref="AF45:AF49" si="110">T45</f>
        <v>157002</v>
      </c>
      <c r="AG45" s="30">
        <f t="shared" ref="AG45:AG49" si="111">U45</f>
        <v>136622</v>
      </c>
      <c r="AH45" s="30">
        <f t="shared" ref="AH45:AH49" si="112">V45</f>
        <v>339742</v>
      </c>
      <c r="AI45" s="117"/>
      <c r="AJ45" s="71">
        <f>SUM(AH45/AD45)-1</f>
        <v>11.250018028412779</v>
      </c>
    </row>
    <row r="46" spans="1:36" s="115" customFormat="1" ht="12.75" customHeight="1">
      <c r="B46" s="106" t="s">
        <v>106</v>
      </c>
      <c r="C46" s="116">
        <v>0</v>
      </c>
      <c r="D46" s="116">
        <v>2000</v>
      </c>
      <c r="E46" s="116">
        <v>2416</v>
      </c>
      <c r="F46" s="116">
        <v>2447</v>
      </c>
      <c r="H46" s="116">
        <v>0</v>
      </c>
      <c r="I46" s="116">
        <v>0</v>
      </c>
      <c r="J46" s="116">
        <v>0</v>
      </c>
      <c r="K46" s="89">
        <f t="shared" si="101"/>
        <v>2000</v>
      </c>
      <c r="L46" s="116">
        <v>2000</v>
      </c>
      <c r="M46" s="116">
        <v>2102</v>
      </c>
      <c r="N46" s="116">
        <v>2416</v>
      </c>
      <c r="O46" s="88">
        <f>E46</f>
        <v>2416</v>
      </c>
      <c r="P46" s="116">
        <v>2434</v>
      </c>
      <c r="Q46" s="116">
        <v>2439</v>
      </c>
      <c r="R46" s="116">
        <v>2438</v>
      </c>
      <c r="S46" s="88">
        <f>F46</f>
        <v>2447</v>
      </c>
      <c r="T46" s="116">
        <v>2679</v>
      </c>
      <c r="U46" s="116">
        <v>3445</v>
      </c>
      <c r="V46" s="116">
        <v>6290</v>
      </c>
      <c r="X46" s="30"/>
      <c r="Y46" s="30"/>
      <c r="Z46" s="30"/>
      <c r="AA46" s="30"/>
      <c r="AB46" s="30"/>
      <c r="AC46" s="30"/>
      <c r="AD46" s="30">
        <f t="shared" ref="AD46" si="113">R46</f>
        <v>2438</v>
      </c>
      <c r="AE46" s="30">
        <f t="shared" ref="AE46" si="114">S46</f>
        <v>2447</v>
      </c>
      <c r="AF46" s="30">
        <f t="shared" ref="AF46" si="115">T46</f>
        <v>2679</v>
      </c>
      <c r="AG46" s="30">
        <f t="shared" ref="AG46" si="116">U46</f>
        <v>3445</v>
      </c>
      <c r="AH46" s="30">
        <f t="shared" ref="AH46" si="117">V46</f>
        <v>6290</v>
      </c>
      <c r="AI46" s="117"/>
      <c r="AJ46" s="71"/>
    </row>
    <row r="47" spans="1:36" s="115" customFormat="1" ht="12.75" customHeight="1">
      <c r="B47" s="106" t="s">
        <v>127</v>
      </c>
      <c r="C47" s="116">
        <v>123443</v>
      </c>
      <c r="D47" s="116">
        <v>311430</v>
      </c>
      <c r="E47" s="116">
        <v>319776</v>
      </c>
      <c r="F47" s="116">
        <v>285896</v>
      </c>
      <c r="H47" s="116">
        <v>329157</v>
      </c>
      <c r="I47" s="116">
        <v>379383</v>
      </c>
      <c r="J47" s="116">
        <v>348435</v>
      </c>
      <c r="K47" s="89">
        <f t="shared" ref="K47:K49" si="118">D47</f>
        <v>311430</v>
      </c>
      <c r="L47" s="116">
        <v>335966</v>
      </c>
      <c r="M47" s="116">
        <v>361677</v>
      </c>
      <c r="N47" s="116">
        <v>346853</v>
      </c>
      <c r="O47" s="88">
        <f t="shared" ref="O47:O49" si="119">E47</f>
        <v>319776</v>
      </c>
      <c r="P47" s="116">
        <v>315276</v>
      </c>
      <c r="Q47" s="116">
        <v>328045</v>
      </c>
      <c r="R47" s="116">
        <v>335538</v>
      </c>
      <c r="S47" s="88">
        <f t="shared" ref="S47:S49" si="120">F47</f>
        <v>285896</v>
      </c>
      <c r="T47" s="116">
        <v>428605</v>
      </c>
      <c r="U47" s="116">
        <v>406784</v>
      </c>
      <c r="V47" s="116">
        <v>736333</v>
      </c>
      <c r="X47" s="30">
        <f t="shared" si="102"/>
        <v>335966</v>
      </c>
      <c r="Y47" s="30">
        <f t="shared" si="103"/>
        <v>361677</v>
      </c>
      <c r="Z47" s="30">
        <f t="shared" si="104"/>
        <v>346853</v>
      </c>
      <c r="AA47" s="30">
        <f t="shared" si="105"/>
        <v>319776</v>
      </c>
      <c r="AB47" s="30">
        <f t="shared" si="106"/>
        <v>315276</v>
      </c>
      <c r="AC47" s="30">
        <f t="shared" si="107"/>
        <v>328045</v>
      </c>
      <c r="AD47" s="30">
        <f t="shared" si="108"/>
        <v>335538</v>
      </c>
      <c r="AE47" s="30">
        <f t="shared" si="109"/>
        <v>285896</v>
      </c>
      <c r="AF47" s="30">
        <f t="shared" si="110"/>
        <v>428605</v>
      </c>
      <c r="AG47" s="30">
        <f t="shared" si="111"/>
        <v>406784</v>
      </c>
      <c r="AH47" s="30">
        <f t="shared" si="112"/>
        <v>736333</v>
      </c>
      <c r="AI47" s="117"/>
      <c r="AJ47" s="71">
        <f>SUM(AH47/AD47)-1</f>
        <v>1.1944846783374761</v>
      </c>
    </row>
    <row r="48" spans="1:36" s="115" customFormat="1" ht="12.75" customHeight="1">
      <c r="B48" s="106" t="s">
        <v>14</v>
      </c>
      <c r="C48" s="116">
        <v>707</v>
      </c>
      <c r="D48" s="116">
        <v>3292</v>
      </c>
      <c r="E48" s="116">
        <v>11467</v>
      </c>
      <c r="F48" s="116">
        <v>10188</v>
      </c>
      <c r="H48" s="116">
        <v>569</v>
      </c>
      <c r="I48" s="116">
        <v>1782</v>
      </c>
      <c r="J48" s="116">
        <v>2876</v>
      </c>
      <c r="K48" s="89">
        <f t="shared" si="118"/>
        <v>3292</v>
      </c>
      <c r="L48" s="116">
        <v>1837</v>
      </c>
      <c r="M48" s="116">
        <v>2428</v>
      </c>
      <c r="N48" s="116">
        <v>3033</v>
      </c>
      <c r="O48" s="88">
        <f t="shared" si="119"/>
        <v>11467</v>
      </c>
      <c r="P48" s="116">
        <v>9556</v>
      </c>
      <c r="Q48" s="116">
        <v>7893</v>
      </c>
      <c r="R48" s="116">
        <v>4137</v>
      </c>
      <c r="S48" s="88">
        <f t="shared" si="120"/>
        <v>10188</v>
      </c>
      <c r="T48" s="116">
        <v>9471</v>
      </c>
      <c r="U48" s="116">
        <v>19114</v>
      </c>
      <c r="V48" s="116">
        <v>36912</v>
      </c>
      <c r="X48" s="30">
        <f t="shared" si="102"/>
        <v>1837</v>
      </c>
      <c r="Y48" s="30">
        <f t="shared" si="103"/>
        <v>2428</v>
      </c>
      <c r="Z48" s="30">
        <f t="shared" si="104"/>
        <v>3033</v>
      </c>
      <c r="AA48" s="30">
        <f t="shared" si="105"/>
        <v>11467</v>
      </c>
      <c r="AB48" s="30">
        <f t="shared" si="106"/>
        <v>9556</v>
      </c>
      <c r="AC48" s="30">
        <f t="shared" si="107"/>
        <v>7893</v>
      </c>
      <c r="AD48" s="30">
        <f t="shared" si="108"/>
        <v>4137</v>
      </c>
      <c r="AE48" s="30">
        <f t="shared" si="109"/>
        <v>10188</v>
      </c>
      <c r="AF48" s="30">
        <f t="shared" si="110"/>
        <v>9471</v>
      </c>
      <c r="AG48" s="30">
        <f t="shared" si="111"/>
        <v>19114</v>
      </c>
      <c r="AH48" s="30">
        <f t="shared" si="112"/>
        <v>36912</v>
      </c>
      <c r="AI48" s="117"/>
      <c r="AJ48" s="71">
        <f>SUM(AH48/AD48)-1</f>
        <v>7.9224075416968827</v>
      </c>
    </row>
    <row r="49" spans="2:36" s="115" customFormat="1" ht="12.75" customHeight="1">
      <c r="B49" s="106" t="s">
        <v>128</v>
      </c>
      <c r="C49" s="116">
        <v>6442</v>
      </c>
      <c r="D49" s="116">
        <v>12539</v>
      </c>
      <c r="E49" s="116">
        <v>23081</v>
      </c>
      <c r="F49" s="116">
        <v>28325</v>
      </c>
      <c r="H49" s="116">
        <v>5826</v>
      </c>
      <c r="I49" s="116">
        <v>5113</v>
      </c>
      <c r="J49" s="116">
        <v>8134</v>
      </c>
      <c r="K49" s="89">
        <f t="shared" si="118"/>
        <v>12539</v>
      </c>
      <c r="L49" s="116">
        <v>12638</v>
      </c>
      <c r="M49" s="116">
        <v>13236</v>
      </c>
      <c r="N49" s="116">
        <v>16816</v>
      </c>
      <c r="O49" s="88">
        <f t="shared" si="119"/>
        <v>23081</v>
      </c>
      <c r="P49" s="116">
        <v>25022</v>
      </c>
      <c r="Q49" s="116">
        <v>27165</v>
      </c>
      <c r="R49" s="116">
        <v>25553</v>
      </c>
      <c r="S49" s="88">
        <f t="shared" si="120"/>
        <v>28325</v>
      </c>
      <c r="T49" s="116">
        <v>39227</v>
      </c>
      <c r="U49" s="116">
        <v>59922</v>
      </c>
      <c r="V49" s="116">
        <v>96025</v>
      </c>
      <c r="X49" s="30">
        <f t="shared" si="102"/>
        <v>12638</v>
      </c>
      <c r="Y49" s="30">
        <f t="shared" si="103"/>
        <v>13236</v>
      </c>
      <c r="Z49" s="30">
        <f t="shared" si="104"/>
        <v>16816</v>
      </c>
      <c r="AA49" s="30">
        <f t="shared" si="105"/>
        <v>23081</v>
      </c>
      <c r="AB49" s="30">
        <f t="shared" si="106"/>
        <v>25022</v>
      </c>
      <c r="AC49" s="30">
        <f t="shared" si="107"/>
        <v>27165</v>
      </c>
      <c r="AD49" s="30">
        <f t="shared" si="108"/>
        <v>25553</v>
      </c>
      <c r="AE49" s="30">
        <f t="shared" si="109"/>
        <v>28325</v>
      </c>
      <c r="AF49" s="30">
        <f t="shared" si="110"/>
        <v>39227</v>
      </c>
      <c r="AG49" s="30">
        <f t="shared" si="111"/>
        <v>59922</v>
      </c>
      <c r="AH49" s="30">
        <f t="shared" si="112"/>
        <v>96025</v>
      </c>
      <c r="AI49" s="117"/>
      <c r="AJ49" s="71">
        <f>SUM(AH49/AD49)-1</f>
        <v>2.7578757875787581</v>
      </c>
    </row>
    <row r="50" spans="2:36" ht="12.75" customHeight="1">
      <c r="B50" s="23" t="s">
        <v>22</v>
      </c>
      <c r="C50" s="24">
        <f>SUM(C45:C49)</f>
        <v>529617</v>
      </c>
      <c r="D50" s="24">
        <f>SUM(D45:D49)</f>
        <v>371628</v>
      </c>
      <c r="E50" s="24">
        <f>SUM(E45:E49)</f>
        <v>389989</v>
      </c>
      <c r="F50" s="24">
        <f>SUM(F45:F49)</f>
        <v>378802</v>
      </c>
      <c r="G50" s="47"/>
      <c r="H50" s="24">
        <f>SUM(H45:H49)</f>
        <v>422303</v>
      </c>
      <c r="I50" s="24">
        <f>SUM(I45:I49)</f>
        <v>430246</v>
      </c>
      <c r="J50" s="24">
        <f>SUM(J45:J49)</f>
        <v>416643</v>
      </c>
      <c r="K50" s="24">
        <f>SUM(K45:K49)</f>
        <v>371628</v>
      </c>
      <c r="L50" s="24">
        <f>SUM(L45:L49)</f>
        <v>402342</v>
      </c>
      <c r="M50" s="24">
        <f>SUM(M45:M49)</f>
        <v>391325</v>
      </c>
      <c r="N50" s="24">
        <f>SUM(N45:N49)</f>
        <v>403839</v>
      </c>
      <c r="O50" s="24">
        <f>SUM(O45:O49)</f>
        <v>389989</v>
      </c>
      <c r="P50" s="24">
        <f>SUM(P45:P49)</f>
        <v>409928</v>
      </c>
      <c r="Q50" s="24">
        <f>SUM(Q45:Q49)</f>
        <v>404855</v>
      </c>
      <c r="R50" s="24">
        <f>SUM(R45:R49)</f>
        <v>395400</v>
      </c>
      <c r="S50" s="24">
        <f>SUM(S45:S49)</f>
        <v>378802</v>
      </c>
      <c r="T50" s="24">
        <f>SUM(T45:T49)</f>
        <v>636984</v>
      </c>
      <c r="U50" s="24">
        <f>SUM(U45:U49)</f>
        <v>625887</v>
      </c>
      <c r="V50" s="24">
        <f>SUM(V45:V49)</f>
        <v>1215302</v>
      </c>
      <c r="W50" s="47"/>
      <c r="X50" s="24">
        <f>SUM(X45:X49)</f>
        <v>400342</v>
      </c>
      <c r="Y50" s="24">
        <f>SUM(Y45:Y49)</f>
        <v>389223</v>
      </c>
      <c r="Z50" s="24">
        <f>SUM(Z45:Z49)</f>
        <v>401423</v>
      </c>
      <c r="AA50" s="24">
        <f>SUM(AA45:AA49)</f>
        <v>387573</v>
      </c>
      <c r="AB50" s="24">
        <f>SUM(AB45:AB49)</f>
        <v>407494</v>
      </c>
      <c r="AC50" s="24">
        <f>SUM(AC45:AC49)</f>
        <v>402416</v>
      </c>
      <c r="AD50" s="24">
        <f>SUM(AD45:AD49)</f>
        <v>395400</v>
      </c>
      <c r="AE50" s="24">
        <f>SUM(AE45:AE49)</f>
        <v>378802</v>
      </c>
      <c r="AF50" s="24">
        <f>SUM(AF45:AF49)</f>
        <v>636984</v>
      </c>
      <c r="AG50" s="24">
        <f>SUM(AG45:AG49)</f>
        <v>625887</v>
      </c>
      <c r="AH50" s="24">
        <f>SUM(AH45:AH49)</f>
        <v>1215302</v>
      </c>
      <c r="AI50" s="40"/>
      <c r="AJ50" s="72">
        <f>SUM(AH50/AD50)-1</f>
        <v>2.0736014162873042</v>
      </c>
    </row>
    <row r="51" spans="2:36" ht="5.0999999999999996" customHeight="1">
      <c r="B51" s="23"/>
      <c r="C51" s="48"/>
      <c r="D51" s="48"/>
      <c r="E51" s="39"/>
      <c r="F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37"/>
    </row>
    <row r="52" spans="2:36" ht="12.75" customHeight="1">
      <c r="B52" s="75" t="s">
        <v>105</v>
      </c>
      <c r="C52" s="80"/>
      <c r="D52" s="80"/>
      <c r="E52" s="80"/>
      <c r="F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11"/>
      <c r="AJ52" s="71"/>
    </row>
    <row r="53" spans="2:36" ht="12.75" customHeight="1">
      <c r="B53" s="9" t="s">
        <v>129</v>
      </c>
      <c r="C53" s="80">
        <v>80110</v>
      </c>
      <c r="D53" s="80">
        <v>182001</v>
      </c>
      <c r="E53" s="80">
        <v>100489</v>
      </c>
      <c r="F53" s="80">
        <v>23545</v>
      </c>
      <c r="H53" s="116">
        <v>170460</v>
      </c>
      <c r="I53" s="116">
        <v>147992</v>
      </c>
      <c r="J53" s="116">
        <v>150154</v>
      </c>
      <c r="K53" s="89">
        <f t="shared" ref="K53:K58" si="121">D53</f>
        <v>182001</v>
      </c>
      <c r="L53" s="116">
        <v>137646</v>
      </c>
      <c r="M53" s="116">
        <v>133542</v>
      </c>
      <c r="N53" s="116">
        <v>101115</v>
      </c>
      <c r="O53" s="88">
        <f t="shared" ref="O53:O58" si="122">E53</f>
        <v>100489</v>
      </c>
      <c r="P53" s="116">
        <v>59090</v>
      </c>
      <c r="Q53" s="116">
        <v>32171</v>
      </c>
      <c r="R53" s="116">
        <v>17131</v>
      </c>
      <c r="S53" s="88">
        <f t="shared" ref="S53:S58" si="123">F53</f>
        <v>23545</v>
      </c>
      <c r="T53" s="116">
        <v>108861</v>
      </c>
      <c r="U53" s="116">
        <v>109902</v>
      </c>
      <c r="V53" s="116">
        <v>402603</v>
      </c>
      <c r="X53" s="30">
        <f t="shared" ref="X53:X58" si="124">L53</f>
        <v>137646</v>
      </c>
      <c r="Y53" s="30">
        <f t="shared" ref="Y53:Y58" si="125">M53</f>
        <v>133542</v>
      </c>
      <c r="Z53" s="30">
        <f t="shared" ref="Z53:Z58" si="126">N53</f>
        <v>101115</v>
      </c>
      <c r="AA53" s="30">
        <f t="shared" ref="AA53:AA58" si="127">O53</f>
        <v>100489</v>
      </c>
      <c r="AB53" s="30">
        <f t="shared" ref="AB53:AB58" si="128">P53</f>
        <v>59090</v>
      </c>
      <c r="AC53" s="30">
        <f t="shared" ref="AC53:AC58" si="129">Q53</f>
        <v>32171</v>
      </c>
      <c r="AD53" s="30">
        <f t="shared" ref="AD53:AD58" si="130">R53</f>
        <v>17131</v>
      </c>
      <c r="AE53" s="30">
        <f t="shared" ref="AE53:AE58" si="131">S53</f>
        <v>23545</v>
      </c>
      <c r="AF53" s="30">
        <f t="shared" ref="AF53:AF58" si="132">T53</f>
        <v>108861</v>
      </c>
      <c r="AG53" s="30">
        <f t="shared" ref="AG53:AG58" si="133">U53</f>
        <v>109902</v>
      </c>
      <c r="AH53" s="30">
        <f t="shared" ref="AH53:AH58" si="134">V53</f>
        <v>402603</v>
      </c>
      <c r="AI53" s="11"/>
      <c r="AJ53" s="71">
        <f t="shared" ref="AJ53:AJ58" si="135">SUM(AH53/AD53)-1</f>
        <v>22.5014301558578</v>
      </c>
    </row>
    <row r="54" spans="2:36" ht="12.75" customHeight="1">
      <c r="B54" s="9" t="s">
        <v>130</v>
      </c>
      <c r="C54" s="80">
        <v>18870</v>
      </c>
      <c r="D54" s="80">
        <v>26014</v>
      </c>
      <c r="E54" s="80">
        <v>37515</v>
      </c>
      <c r="F54" s="80">
        <v>52761</v>
      </c>
      <c r="H54" s="116">
        <v>21131</v>
      </c>
      <c r="I54" s="116">
        <v>24872</v>
      </c>
      <c r="J54" s="116">
        <v>25065</v>
      </c>
      <c r="K54" s="89">
        <f t="shared" si="121"/>
        <v>26014</v>
      </c>
      <c r="L54" s="116">
        <v>26488</v>
      </c>
      <c r="M54" s="116">
        <v>29089</v>
      </c>
      <c r="N54" s="116">
        <v>35356</v>
      </c>
      <c r="O54" s="88">
        <f t="shared" si="122"/>
        <v>37515</v>
      </c>
      <c r="P54" s="116">
        <v>42380</v>
      </c>
      <c r="Q54" s="116">
        <v>47883</v>
      </c>
      <c r="R54" s="116">
        <v>49454</v>
      </c>
      <c r="S54" s="88">
        <f t="shared" si="123"/>
        <v>52761</v>
      </c>
      <c r="T54" s="116">
        <v>51644</v>
      </c>
      <c r="U54" s="116">
        <v>58558</v>
      </c>
      <c r="V54" s="116">
        <v>119564</v>
      </c>
      <c r="X54" s="30">
        <f t="shared" si="124"/>
        <v>26488</v>
      </c>
      <c r="Y54" s="30">
        <f t="shared" si="125"/>
        <v>29089</v>
      </c>
      <c r="Z54" s="30">
        <f t="shared" si="126"/>
        <v>35356</v>
      </c>
      <c r="AA54" s="30">
        <f t="shared" si="127"/>
        <v>37515</v>
      </c>
      <c r="AB54" s="30">
        <f t="shared" si="128"/>
        <v>42380</v>
      </c>
      <c r="AC54" s="30">
        <f t="shared" si="129"/>
        <v>47883</v>
      </c>
      <c r="AD54" s="30">
        <f t="shared" si="130"/>
        <v>49454</v>
      </c>
      <c r="AE54" s="30">
        <f t="shared" si="131"/>
        <v>52761</v>
      </c>
      <c r="AF54" s="30">
        <f t="shared" si="132"/>
        <v>51644</v>
      </c>
      <c r="AG54" s="30">
        <f t="shared" si="133"/>
        <v>58558</v>
      </c>
      <c r="AH54" s="30">
        <f t="shared" si="134"/>
        <v>119564</v>
      </c>
      <c r="AI54" s="11"/>
      <c r="AJ54" s="71">
        <f t="shared" si="135"/>
        <v>1.4176810773648238</v>
      </c>
    </row>
    <row r="55" spans="2:36" ht="12.75" customHeight="1">
      <c r="B55" s="9" t="s">
        <v>131</v>
      </c>
      <c r="C55" s="80">
        <v>4032</v>
      </c>
      <c r="D55" s="80">
        <v>3753</v>
      </c>
      <c r="E55" s="80">
        <v>4613</v>
      </c>
      <c r="F55" s="80">
        <v>9470</v>
      </c>
      <c r="H55" s="116">
        <v>3964</v>
      </c>
      <c r="I55" s="116">
        <v>3894</v>
      </c>
      <c r="J55" s="116">
        <v>3824</v>
      </c>
      <c r="K55" s="89">
        <f t="shared" si="121"/>
        <v>3753</v>
      </c>
      <c r="L55" s="116">
        <v>5796</v>
      </c>
      <c r="M55" s="116">
        <v>5605</v>
      </c>
      <c r="N55" s="116">
        <v>5587</v>
      </c>
      <c r="O55" s="88">
        <f t="shared" si="122"/>
        <v>4613</v>
      </c>
      <c r="P55" s="116">
        <v>9261</v>
      </c>
      <c r="Q55" s="116">
        <v>9938</v>
      </c>
      <c r="R55" s="116">
        <v>10029</v>
      </c>
      <c r="S55" s="88">
        <f t="shared" si="123"/>
        <v>9470</v>
      </c>
      <c r="T55" s="116">
        <v>9232</v>
      </c>
      <c r="U55" s="116">
        <v>11254</v>
      </c>
      <c r="V55" s="116">
        <v>20940</v>
      </c>
      <c r="X55" s="30">
        <f t="shared" si="124"/>
        <v>5796</v>
      </c>
      <c r="Y55" s="30">
        <f t="shared" si="125"/>
        <v>5605</v>
      </c>
      <c r="Z55" s="30">
        <f t="shared" si="126"/>
        <v>5587</v>
      </c>
      <c r="AA55" s="30">
        <f t="shared" si="127"/>
        <v>4613</v>
      </c>
      <c r="AB55" s="30">
        <f t="shared" si="128"/>
        <v>9261</v>
      </c>
      <c r="AC55" s="30">
        <f t="shared" si="129"/>
        <v>9938</v>
      </c>
      <c r="AD55" s="30">
        <f t="shared" si="130"/>
        <v>10029</v>
      </c>
      <c r="AE55" s="30">
        <f t="shared" si="131"/>
        <v>9470</v>
      </c>
      <c r="AF55" s="30">
        <f t="shared" si="132"/>
        <v>9232</v>
      </c>
      <c r="AG55" s="30">
        <f t="shared" si="133"/>
        <v>11254</v>
      </c>
      <c r="AH55" s="30">
        <f t="shared" si="134"/>
        <v>20940</v>
      </c>
      <c r="AI55" s="11"/>
      <c r="AJ55" s="71">
        <f t="shared" si="135"/>
        <v>1.0879449596171105</v>
      </c>
    </row>
    <row r="56" spans="2:36" ht="12.75" customHeight="1">
      <c r="B56" s="9" t="s">
        <v>132</v>
      </c>
      <c r="C56" s="80">
        <v>5841</v>
      </c>
      <c r="D56" s="80">
        <v>8944</v>
      </c>
      <c r="E56" s="80">
        <v>15077</v>
      </c>
      <c r="F56" s="80">
        <v>29469</v>
      </c>
      <c r="H56" s="116">
        <v>6175</v>
      </c>
      <c r="I56" s="116">
        <v>6839</v>
      </c>
      <c r="J56" s="116">
        <v>0</v>
      </c>
      <c r="K56" s="89">
        <f t="shared" si="121"/>
        <v>8944</v>
      </c>
      <c r="L56" s="116">
        <v>10051</v>
      </c>
      <c r="M56" s="116">
        <v>11548</v>
      </c>
      <c r="N56" s="116">
        <v>13059</v>
      </c>
      <c r="O56" s="88">
        <f t="shared" si="122"/>
        <v>15077</v>
      </c>
      <c r="P56" s="116">
        <v>16865</v>
      </c>
      <c r="Q56" s="116">
        <v>16969</v>
      </c>
      <c r="R56" s="116">
        <v>17487</v>
      </c>
      <c r="S56" s="88">
        <f t="shared" si="123"/>
        <v>29469</v>
      </c>
      <c r="T56" s="116">
        <v>28216</v>
      </c>
      <c r="U56" s="116">
        <v>143241</v>
      </c>
      <c r="V56" s="116">
        <v>655909</v>
      </c>
      <c r="X56" s="30">
        <f t="shared" si="124"/>
        <v>10051</v>
      </c>
      <c r="Y56" s="30">
        <f t="shared" si="125"/>
        <v>11548</v>
      </c>
      <c r="Z56" s="30">
        <f t="shared" si="126"/>
        <v>13059</v>
      </c>
      <c r="AA56" s="30">
        <f t="shared" si="127"/>
        <v>15077</v>
      </c>
      <c r="AB56" s="30">
        <f t="shared" si="128"/>
        <v>16865</v>
      </c>
      <c r="AC56" s="30">
        <f t="shared" si="129"/>
        <v>16969</v>
      </c>
      <c r="AD56" s="30">
        <f t="shared" si="130"/>
        <v>17487</v>
      </c>
      <c r="AE56" s="30">
        <f t="shared" si="131"/>
        <v>29469</v>
      </c>
      <c r="AF56" s="30">
        <f t="shared" si="132"/>
        <v>28216</v>
      </c>
      <c r="AG56" s="30">
        <f t="shared" si="133"/>
        <v>143241</v>
      </c>
      <c r="AH56" s="30">
        <f t="shared" si="134"/>
        <v>655909</v>
      </c>
      <c r="AI56" s="11"/>
      <c r="AJ56" s="71">
        <f t="shared" si="135"/>
        <v>36.508377651970036</v>
      </c>
    </row>
    <row r="57" spans="2:36" ht="12.75" customHeight="1">
      <c r="B57" s="9" t="s">
        <v>133</v>
      </c>
      <c r="C57" s="80">
        <v>0</v>
      </c>
      <c r="D57" s="80">
        <v>742</v>
      </c>
      <c r="E57" s="80">
        <v>742</v>
      </c>
      <c r="F57" s="80">
        <v>9904</v>
      </c>
      <c r="H57" s="116">
        <v>0</v>
      </c>
      <c r="I57" s="116">
        <v>0</v>
      </c>
      <c r="J57" s="116">
        <v>7600</v>
      </c>
      <c r="K57" s="89">
        <f t="shared" si="121"/>
        <v>742</v>
      </c>
      <c r="L57" s="116">
        <v>742</v>
      </c>
      <c r="M57" s="116">
        <v>742</v>
      </c>
      <c r="N57" s="116">
        <v>742</v>
      </c>
      <c r="O57" s="88">
        <f t="shared" si="122"/>
        <v>742</v>
      </c>
      <c r="P57" s="116">
        <v>726</v>
      </c>
      <c r="Q57" s="116">
        <v>719</v>
      </c>
      <c r="R57" s="116">
        <v>727</v>
      </c>
      <c r="S57" s="88">
        <f t="shared" si="123"/>
        <v>9904</v>
      </c>
      <c r="T57" s="116">
        <v>10669</v>
      </c>
      <c r="U57" s="116">
        <v>370720</v>
      </c>
      <c r="V57" s="116">
        <v>1865841</v>
      </c>
      <c r="X57" s="30">
        <f t="shared" si="124"/>
        <v>742</v>
      </c>
      <c r="Y57" s="30">
        <f t="shared" si="125"/>
        <v>742</v>
      </c>
      <c r="Z57" s="30">
        <f t="shared" si="126"/>
        <v>742</v>
      </c>
      <c r="AA57" s="30">
        <f t="shared" si="127"/>
        <v>742</v>
      </c>
      <c r="AB57" s="30">
        <f t="shared" si="128"/>
        <v>726</v>
      </c>
      <c r="AC57" s="30">
        <f t="shared" si="129"/>
        <v>719</v>
      </c>
      <c r="AD57" s="30">
        <f t="shared" si="130"/>
        <v>727</v>
      </c>
      <c r="AE57" s="30">
        <f t="shared" si="131"/>
        <v>9904</v>
      </c>
      <c r="AF57" s="30">
        <f t="shared" si="132"/>
        <v>10669</v>
      </c>
      <c r="AG57" s="30">
        <f t="shared" si="133"/>
        <v>370720</v>
      </c>
      <c r="AH57" s="30">
        <f t="shared" si="134"/>
        <v>1865841</v>
      </c>
      <c r="AI57" s="11"/>
      <c r="AJ57" s="71">
        <f t="shared" si="135"/>
        <v>2565.4938101788171</v>
      </c>
    </row>
    <row r="58" spans="2:36" ht="12.75" customHeight="1">
      <c r="B58" s="9" t="s">
        <v>134</v>
      </c>
      <c r="C58" s="80">
        <v>3558</v>
      </c>
      <c r="D58" s="80">
        <v>4910</v>
      </c>
      <c r="E58" s="80">
        <v>5155</v>
      </c>
      <c r="F58" s="80">
        <v>4437</v>
      </c>
      <c r="H58" s="116">
        <v>3418</v>
      </c>
      <c r="I58" s="116">
        <v>3149</v>
      </c>
      <c r="J58" s="116">
        <v>3315</v>
      </c>
      <c r="K58" s="89">
        <f t="shared" si="121"/>
        <v>4910</v>
      </c>
      <c r="L58" s="116">
        <v>4857</v>
      </c>
      <c r="M58" s="116">
        <v>5001</v>
      </c>
      <c r="N58" s="116">
        <v>5680</v>
      </c>
      <c r="O58" s="88">
        <f t="shared" si="122"/>
        <v>5155</v>
      </c>
      <c r="P58" s="116">
        <v>5612</v>
      </c>
      <c r="Q58" s="116">
        <v>4900</v>
      </c>
      <c r="R58" s="116">
        <v>7683</v>
      </c>
      <c r="S58" s="88">
        <f t="shared" si="123"/>
        <v>4437</v>
      </c>
      <c r="T58" s="116">
        <v>4468</v>
      </c>
      <c r="U58" s="116">
        <v>27046</v>
      </c>
      <c r="V58" s="116">
        <v>39189</v>
      </c>
      <c r="X58" s="30">
        <f t="shared" si="124"/>
        <v>4857</v>
      </c>
      <c r="Y58" s="30">
        <f t="shared" si="125"/>
        <v>5001</v>
      </c>
      <c r="Z58" s="30">
        <f t="shared" si="126"/>
        <v>5680</v>
      </c>
      <c r="AA58" s="30">
        <f t="shared" si="127"/>
        <v>5155</v>
      </c>
      <c r="AB58" s="30">
        <f t="shared" si="128"/>
        <v>5612</v>
      </c>
      <c r="AC58" s="30">
        <f t="shared" si="129"/>
        <v>4900</v>
      </c>
      <c r="AD58" s="30">
        <f t="shared" si="130"/>
        <v>7683</v>
      </c>
      <c r="AE58" s="30">
        <f t="shared" si="131"/>
        <v>4437</v>
      </c>
      <c r="AF58" s="30">
        <f t="shared" si="132"/>
        <v>4468</v>
      </c>
      <c r="AG58" s="30">
        <f t="shared" si="133"/>
        <v>27046</v>
      </c>
      <c r="AH58" s="30">
        <f t="shared" si="134"/>
        <v>39189</v>
      </c>
      <c r="AI58" s="11"/>
      <c r="AJ58" s="71">
        <f t="shared" si="135"/>
        <v>4.1007418976962127</v>
      </c>
    </row>
    <row r="59" spans="2:36" ht="12.75" customHeight="1">
      <c r="B59" s="12" t="s">
        <v>23</v>
      </c>
      <c r="C59" s="13">
        <f t="shared" ref="C59:F59" si="136">SUM(C53:C58)+C50</f>
        <v>642028</v>
      </c>
      <c r="D59" s="13">
        <f t="shared" si="136"/>
        <v>597992</v>
      </c>
      <c r="E59" s="13">
        <f t="shared" si="136"/>
        <v>553580</v>
      </c>
      <c r="F59" s="13">
        <f t="shared" si="136"/>
        <v>508388</v>
      </c>
      <c r="H59" s="13">
        <f t="shared" ref="H59:V59" si="137">SUM(H53:H58)+H50</f>
        <v>627451</v>
      </c>
      <c r="I59" s="13">
        <f t="shared" si="137"/>
        <v>616992</v>
      </c>
      <c r="J59" s="13">
        <f t="shared" si="137"/>
        <v>606601</v>
      </c>
      <c r="K59" s="13">
        <f t="shared" si="137"/>
        <v>597992</v>
      </c>
      <c r="L59" s="13">
        <f t="shared" si="137"/>
        <v>587922</v>
      </c>
      <c r="M59" s="13">
        <f t="shared" si="137"/>
        <v>576852</v>
      </c>
      <c r="N59" s="13">
        <f t="shared" si="137"/>
        <v>565378</v>
      </c>
      <c r="O59" s="13">
        <f t="shared" si="137"/>
        <v>553580</v>
      </c>
      <c r="P59" s="13">
        <f t="shared" si="137"/>
        <v>543862</v>
      </c>
      <c r="Q59" s="13">
        <f t="shared" si="137"/>
        <v>517435</v>
      </c>
      <c r="R59" s="13">
        <f t="shared" si="137"/>
        <v>497911</v>
      </c>
      <c r="S59" s="13">
        <f t="shared" si="137"/>
        <v>508388</v>
      </c>
      <c r="T59" s="13">
        <f t="shared" si="137"/>
        <v>850074</v>
      </c>
      <c r="U59" s="13">
        <f t="shared" si="137"/>
        <v>1346608</v>
      </c>
      <c r="V59" s="13">
        <f t="shared" si="137"/>
        <v>4319348</v>
      </c>
      <c r="X59" s="13">
        <f t="shared" ref="X59:AH59" si="138">SUM(X53:X58)+X50</f>
        <v>585922</v>
      </c>
      <c r="Y59" s="13">
        <f t="shared" si="138"/>
        <v>574750</v>
      </c>
      <c r="Z59" s="13">
        <f t="shared" si="138"/>
        <v>562962</v>
      </c>
      <c r="AA59" s="13">
        <f t="shared" si="138"/>
        <v>551164</v>
      </c>
      <c r="AB59" s="13">
        <f t="shared" si="138"/>
        <v>541428</v>
      </c>
      <c r="AC59" s="13">
        <f t="shared" si="138"/>
        <v>514996</v>
      </c>
      <c r="AD59" s="13">
        <f t="shared" si="138"/>
        <v>497911</v>
      </c>
      <c r="AE59" s="13">
        <f t="shared" si="138"/>
        <v>508388</v>
      </c>
      <c r="AF59" s="13">
        <f t="shared" si="138"/>
        <v>850074</v>
      </c>
      <c r="AG59" s="13">
        <f t="shared" si="138"/>
        <v>1346608</v>
      </c>
      <c r="AH59" s="13">
        <f t="shared" si="138"/>
        <v>4319348</v>
      </c>
      <c r="AI59" s="40"/>
      <c r="AJ59" s="72">
        <f>SUM(AH59/AD59)-1</f>
        <v>7.6749398988975948</v>
      </c>
    </row>
    <row r="60" spans="2:36" ht="12.75" customHeight="1">
      <c r="B60" s="23"/>
      <c r="C60" s="49"/>
      <c r="D60" s="49"/>
      <c r="E60" s="39"/>
      <c r="F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37"/>
    </row>
    <row r="61" spans="2:36" ht="12.75" customHeight="1">
      <c r="B61" s="75" t="s">
        <v>58</v>
      </c>
      <c r="C61" s="49"/>
      <c r="D61" s="49"/>
      <c r="E61" s="39"/>
      <c r="F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37"/>
    </row>
    <row r="62" spans="2:36" ht="12.75" customHeight="1">
      <c r="B62" s="113" t="s">
        <v>15</v>
      </c>
      <c r="C62" s="114">
        <v>1882</v>
      </c>
      <c r="D62" s="114">
        <v>3055</v>
      </c>
      <c r="E62" s="114">
        <v>5599</v>
      </c>
      <c r="F62" s="114">
        <v>5230</v>
      </c>
      <c r="H62" s="116">
        <v>1967</v>
      </c>
      <c r="I62" s="116">
        <v>3680</v>
      </c>
      <c r="J62" s="116">
        <v>5042</v>
      </c>
      <c r="K62" s="89">
        <f t="shared" ref="K62:K66" si="139">D62</f>
        <v>3055</v>
      </c>
      <c r="L62" s="116">
        <v>3597</v>
      </c>
      <c r="M62" s="116">
        <v>4560</v>
      </c>
      <c r="N62" s="116">
        <v>6408</v>
      </c>
      <c r="O62" s="88">
        <f t="shared" ref="O62:O66" si="140">E62</f>
        <v>5599</v>
      </c>
      <c r="P62" s="116">
        <v>5852</v>
      </c>
      <c r="Q62" s="116">
        <v>6324</v>
      </c>
      <c r="R62" s="116">
        <v>4854</v>
      </c>
      <c r="S62" s="88">
        <f t="shared" ref="S62:S66" si="141">F62</f>
        <v>5230</v>
      </c>
      <c r="T62" s="116">
        <v>8752</v>
      </c>
      <c r="U62" s="116">
        <v>8938</v>
      </c>
      <c r="V62" s="116">
        <v>16970</v>
      </c>
      <c r="X62" s="30">
        <f t="shared" ref="X62:X66" si="142">L62</f>
        <v>3597</v>
      </c>
      <c r="Y62" s="30">
        <f t="shared" ref="Y62:Y66" si="143">M62</f>
        <v>4560</v>
      </c>
      <c r="Z62" s="30">
        <f t="shared" ref="Z62:Z66" si="144">N62</f>
        <v>6408</v>
      </c>
      <c r="AA62" s="30">
        <f t="shared" ref="AA62:AA66" si="145">O62</f>
        <v>5599</v>
      </c>
      <c r="AB62" s="30">
        <f t="shared" ref="AB62:AB66" si="146">P62</f>
        <v>5852</v>
      </c>
      <c r="AC62" s="30">
        <f t="shared" ref="AC62:AC66" si="147">Q62</f>
        <v>6324</v>
      </c>
      <c r="AD62" s="30">
        <f t="shared" ref="AD62:AD66" si="148">R62</f>
        <v>4854</v>
      </c>
      <c r="AE62" s="30">
        <f t="shared" ref="AE62:AE66" si="149">S62</f>
        <v>5230</v>
      </c>
      <c r="AF62" s="30">
        <f t="shared" ref="AF62:AF66" si="150">T62</f>
        <v>8752</v>
      </c>
      <c r="AG62" s="30">
        <f t="shared" ref="AG62:AG66" si="151">U62</f>
        <v>8938</v>
      </c>
      <c r="AH62" s="30">
        <f t="shared" ref="AH62:AH66" si="152">V62</f>
        <v>16970</v>
      </c>
      <c r="AI62" s="11"/>
      <c r="AJ62" s="71">
        <f t="shared" ref="AJ62:AJ66" si="153">SUM(AH62/AD62)-1</f>
        <v>2.4960857025133909</v>
      </c>
    </row>
    <row r="63" spans="2:36" ht="12.75" customHeight="1">
      <c r="B63" s="113" t="s">
        <v>135</v>
      </c>
      <c r="C63" s="114">
        <v>2647</v>
      </c>
      <c r="D63" s="114">
        <v>6655</v>
      </c>
      <c r="E63" s="114">
        <v>18376</v>
      </c>
      <c r="F63" s="114">
        <v>16424</v>
      </c>
      <c r="H63" s="116">
        <v>4298</v>
      </c>
      <c r="I63" s="116">
        <v>4019</v>
      </c>
      <c r="J63" s="116">
        <v>8177</v>
      </c>
      <c r="K63" s="89">
        <f t="shared" si="139"/>
        <v>6655</v>
      </c>
      <c r="L63" s="116">
        <v>9414</v>
      </c>
      <c r="M63" s="116">
        <v>9251</v>
      </c>
      <c r="N63" s="116">
        <v>15703</v>
      </c>
      <c r="O63" s="88">
        <f t="shared" si="140"/>
        <v>18376</v>
      </c>
      <c r="P63" s="116">
        <v>10541</v>
      </c>
      <c r="Q63" s="116">
        <v>8925</v>
      </c>
      <c r="R63" s="116">
        <v>15657</v>
      </c>
      <c r="S63" s="88">
        <f t="shared" si="141"/>
        <v>16424</v>
      </c>
      <c r="T63" s="116">
        <v>23595</v>
      </c>
      <c r="U63" s="116">
        <v>49190</v>
      </c>
      <c r="V63" s="116">
        <v>91856</v>
      </c>
      <c r="X63" s="30">
        <f t="shared" si="142"/>
        <v>9414</v>
      </c>
      <c r="Y63" s="30">
        <f t="shared" si="143"/>
        <v>9251</v>
      </c>
      <c r="Z63" s="30">
        <f t="shared" si="144"/>
        <v>15703</v>
      </c>
      <c r="AA63" s="30">
        <f t="shared" si="145"/>
        <v>18376</v>
      </c>
      <c r="AB63" s="30">
        <f t="shared" si="146"/>
        <v>10541</v>
      </c>
      <c r="AC63" s="30">
        <f t="shared" si="147"/>
        <v>8925</v>
      </c>
      <c r="AD63" s="30">
        <f t="shared" si="148"/>
        <v>15657</v>
      </c>
      <c r="AE63" s="30">
        <f t="shared" si="149"/>
        <v>16424</v>
      </c>
      <c r="AF63" s="30">
        <f t="shared" si="150"/>
        <v>23595</v>
      </c>
      <c r="AG63" s="30">
        <f t="shared" si="151"/>
        <v>49190</v>
      </c>
      <c r="AH63" s="30">
        <f t="shared" si="152"/>
        <v>91856</v>
      </c>
      <c r="AI63" s="11"/>
      <c r="AJ63" s="71">
        <f t="shared" si="153"/>
        <v>4.8667688573800856</v>
      </c>
    </row>
    <row r="64" spans="2:36" ht="12.75" customHeight="1">
      <c r="B64" s="113" t="s">
        <v>136</v>
      </c>
      <c r="C64" s="114">
        <v>568</v>
      </c>
      <c r="D64" s="114">
        <v>591</v>
      </c>
      <c r="E64" s="114">
        <v>710</v>
      </c>
      <c r="F64" s="114">
        <v>3366</v>
      </c>
      <c r="H64" s="116">
        <v>573</v>
      </c>
      <c r="I64" s="116">
        <v>577</v>
      </c>
      <c r="J64" s="116">
        <v>582</v>
      </c>
      <c r="K64" s="89">
        <f t="shared" si="139"/>
        <v>591</v>
      </c>
      <c r="L64" s="116">
        <v>610</v>
      </c>
      <c r="M64" s="116">
        <v>628</v>
      </c>
      <c r="N64" s="116">
        <v>695</v>
      </c>
      <c r="O64" s="88">
        <f t="shared" si="140"/>
        <v>710</v>
      </c>
      <c r="P64" s="116">
        <v>1178</v>
      </c>
      <c r="Q64" s="116">
        <v>1479</v>
      </c>
      <c r="R64" s="116">
        <v>3089</v>
      </c>
      <c r="S64" s="88">
        <f t="shared" si="141"/>
        <v>3366</v>
      </c>
      <c r="T64" s="116">
        <v>3621</v>
      </c>
      <c r="U64" s="116">
        <v>5528</v>
      </c>
      <c r="V64" s="116">
        <v>8599</v>
      </c>
      <c r="X64" s="30">
        <f t="shared" si="142"/>
        <v>610</v>
      </c>
      <c r="Y64" s="30">
        <f t="shared" si="143"/>
        <v>628</v>
      </c>
      <c r="Z64" s="30">
        <f t="shared" si="144"/>
        <v>695</v>
      </c>
      <c r="AA64" s="30">
        <f t="shared" si="145"/>
        <v>710</v>
      </c>
      <c r="AB64" s="30">
        <f t="shared" si="146"/>
        <v>1178</v>
      </c>
      <c r="AC64" s="30">
        <f t="shared" si="147"/>
        <v>1479</v>
      </c>
      <c r="AD64" s="30">
        <f t="shared" si="148"/>
        <v>3089</v>
      </c>
      <c r="AE64" s="30">
        <f t="shared" si="149"/>
        <v>3366</v>
      </c>
      <c r="AF64" s="30">
        <f t="shared" si="150"/>
        <v>3621</v>
      </c>
      <c r="AG64" s="30">
        <f t="shared" si="151"/>
        <v>5528</v>
      </c>
      <c r="AH64" s="30">
        <f t="shared" si="152"/>
        <v>8599</v>
      </c>
      <c r="AI64" s="11"/>
      <c r="AJ64" s="71">
        <f t="shared" si="153"/>
        <v>1.7837487860148915</v>
      </c>
    </row>
    <row r="65" spans="2:36" ht="12.75" customHeight="1">
      <c r="B65" s="113" t="s">
        <v>137</v>
      </c>
      <c r="C65" s="114">
        <v>3430</v>
      </c>
      <c r="D65" s="114">
        <v>8729</v>
      </c>
      <c r="E65" s="114">
        <v>12087</v>
      </c>
      <c r="F65" s="114">
        <v>10678</v>
      </c>
      <c r="H65" s="116">
        <v>3417</v>
      </c>
      <c r="I65" s="116">
        <v>4885</v>
      </c>
      <c r="J65" s="116">
        <v>4700</v>
      </c>
      <c r="K65" s="89">
        <f t="shared" si="139"/>
        <v>8729</v>
      </c>
      <c r="L65" s="116">
        <v>6294</v>
      </c>
      <c r="M65" s="116">
        <v>8428</v>
      </c>
      <c r="N65" s="116">
        <v>5216</v>
      </c>
      <c r="O65" s="88">
        <f t="shared" si="140"/>
        <v>12087</v>
      </c>
      <c r="P65" s="116">
        <v>16742</v>
      </c>
      <c r="Q65" s="116">
        <v>13668</v>
      </c>
      <c r="R65" s="116">
        <v>8332</v>
      </c>
      <c r="S65" s="88">
        <f t="shared" si="141"/>
        <v>10678</v>
      </c>
      <c r="T65" s="116">
        <v>12061</v>
      </c>
      <c r="U65" s="116">
        <v>16726</v>
      </c>
      <c r="V65" s="116">
        <v>21855</v>
      </c>
      <c r="X65" s="30">
        <f t="shared" si="142"/>
        <v>6294</v>
      </c>
      <c r="Y65" s="30">
        <f t="shared" si="143"/>
        <v>8428</v>
      </c>
      <c r="Z65" s="30">
        <f t="shared" si="144"/>
        <v>5216</v>
      </c>
      <c r="AA65" s="30">
        <f t="shared" si="145"/>
        <v>12087</v>
      </c>
      <c r="AB65" s="30">
        <f t="shared" si="146"/>
        <v>16742</v>
      </c>
      <c r="AC65" s="30">
        <f t="shared" si="147"/>
        <v>13668</v>
      </c>
      <c r="AD65" s="30">
        <f t="shared" si="148"/>
        <v>8332</v>
      </c>
      <c r="AE65" s="30">
        <f t="shared" si="149"/>
        <v>10678</v>
      </c>
      <c r="AF65" s="30">
        <f t="shared" si="150"/>
        <v>12061</v>
      </c>
      <c r="AG65" s="30">
        <f t="shared" si="151"/>
        <v>16726</v>
      </c>
      <c r="AH65" s="30">
        <f t="shared" si="152"/>
        <v>21855</v>
      </c>
      <c r="AI65" s="11"/>
      <c r="AJ65" s="71">
        <f t="shared" si="153"/>
        <v>1.623019683149304</v>
      </c>
    </row>
    <row r="66" spans="2:36" ht="12.75" customHeight="1">
      <c r="B66" s="113" t="s">
        <v>138</v>
      </c>
      <c r="C66" s="114">
        <v>1164</v>
      </c>
      <c r="D66" s="114">
        <v>1130</v>
      </c>
      <c r="E66" s="114">
        <v>392</v>
      </c>
      <c r="F66" s="114">
        <v>387</v>
      </c>
      <c r="H66" s="116">
        <v>1130</v>
      </c>
      <c r="I66" s="116">
        <v>1130</v>
      </c>
      <c r="J66" s="116">
        <v>1130</v>
      </c>
      <c r="K66" s="89">
        <f t="shared" si="139"/>
        <v>1130</v>
      </c>
      <c r="L66" s="116">
        <v>945</v>
      </c>
      <c r="M66" s="116">
        <v>761</v>
      </c>
      <c r="N66" s="116">
        <v>576</v>
      </c>
      <c r="O66" s="88">
        <f t="shared" si="140"/>
        <v>392</v>
      </c>
      <c r="P66" s="116">
        <v>392</v>
      </c>
      <c r="Q66" s="116">
        <v>392</v>
      </c>
      <c r="R66" s="116">
        <v>392</v>
      </c>
      <c r="S66" s="88">
        <f t="shared" si="141"/>
        <v>387</v>
      </c>
      <c r="T66" s="116">
        <v>350</v>
      </c>
      <c r="U66" s="116">
        <v>252</v>
      </c>
      <c r="V66" s="116">
        <v>0</v>
      </c>
      <c r="X66" s="30">
        <f t="shared" si="142"/>
        <v>945</v>
      </c>
      <c r="Y66" s="30">
        <f t="shared" si="143"/>
        <v>761</v>
      </c>
      <c r="Z66" s="30">
        <f t="shared" si="144"/>
        <v>576</v>
      </c>
      <c r="AA66" s="30">
        <f t="shared" si="145"/>
        <v>392</v>
      </c>
      <c r="AB66" s="30">
        <f t="shared" si="146"/>
        <v>392</v>
      </c>
      <c r="AC66" s="30">
        <f t="shared" si="147"/>
        <v>392</v>
      </c>
      <c r="AD66" s="30">
        <f t="shared" si="148"/>
        <v>392</v>
      </c>
      <c r="AE66" s="30">
        <f t="shared" si="149"/>
        <v>387</v>
      </c>
      <c r="AF66" s="30">
        <f t="shared" si="150"/>
        <v>350</v>
      </c>
      <c r="AG66" s="30">
        <f t="shared" si="151"/>
        <v>252</v>
      </c>
      <c r="AH66" s="30">
        <f t="shared" si="152"/>
        <v>0</v>
      </c>
      <c r="AI66" s="11"/>
      <c r="AJ66" s="71">
        <f t="shared" si="153"/>
        <v>-1</v>
      </c>
    </row>
    <row r="67" spans="2:36" ht="12.75" customHeight="1">
      <c r="B67" s="23" t="s">
        <v>21</v>
      </c>
      <c r="C67" s="24">
        <f t="shared" ref="C67:F67" si="154">SUM(C62:C66)</f>
        <v>9691</v>
      </c>
      <c r="D67" s="24">
        <f t="shared" si="154"/>
        <v>20160</v>
      </c>
      <c r="E67" s="24">
        <f t="shared" si="154"/>
        <v>37164</v>
      </c>
      <c r="F67" s="24">
        <f t="shared" si="154"/>
        <v>36085</v>
      </c>
      <c r="H67" s="24">
        <f t="shared" ref="H67:V67" si="155">SUM(H62:H66)</f>
        <v>11385</v>
      </c>
      <c r="I67" s="24">
        <f t="shared" si="155"/>
        <v>14291</v>
      </c>
      <c r="J67" s="24">
        <f t="shared" si="155"/>
        <v>19631</v>
      </c>
      <c r="K67" s="24">
        <f t="shared" si="155"/>
        <v>20160</v>
      </c>
      <c r="L67" s="24">
        <f t="shared" si="155"/>
        <v>20860</v>
      </c>
      <c r="M67" s="24">
        <f t="shared" si="155"/>
        <v>23628</v>
      </c>
      <c r="N67" s="24">
        <f t="shared" si="155"/>
        <v>28598</v>
      </c>
      <c r="O67" s="24">
        <f t="shared" si="155"/>
        <v>37164</v>
      </c>
      <c r="P67" s="24">
        <f t="shared" si="155"/>
        <v>34705</v>
      </c>
      <c r="Q67" s="24">
        <f t="shared" si="155"/>
        <v>30788</v>
      </c>
      <c r="R67" s="24">
        <f t="shared" si="155"/>
        <v>32324</v>
      </c>
      <c r="S67" s="24">
        <f t="shared" si="155"/>
        <v>36085</v>
      </c>
      <c r="T67" s="24">
        <f t="shared" si="155"/>
        <v>48379</v>
      </c>
      <c r="U67" s="24">
        <f t="shared" si="155"/>
        <v>80634</v>
      </c>
      <c r="V67" s="24">
        <f t="shared" si="155"/>
        <v>139280</v>
      </c>
      <c r="W67" s="47"/>
      <c r="X67" s="24">
        <f t="shared" ref="X67:AH67" si="156">SUM(X62:X66)</f>
        <v>20860</v>
      </c>
      <c r="Y67" s="24">
        <f t="shared" si="156"/>
        <v>23628</v>
      </c>
      <c r="Z67" s="24">
        <f t="shared" si="156"/>
        <v>28598</v>
      </c>
      <c r="AA67" s="24">
        <f t="shared" si="156"/>
        <v>37164</v>
      </c>
      <c r="AB67" s="24">
        <f t="shared" si="156"/>
        <v>34705</v>
      </c>
      <c r="AC67" s="24">
        <f t="shared" si="156"/>
        <v>30788</v>
      </c>
      <c r="AD67" s="24">
        <f t="shared" si="156"/>
        <v>32324</v>
      </c>
      <c r="AE67" s="24">
        <f t="shared" si="156"/>
        <v>36085</v>
      </c>
      <c r="AF67" s="24">
        <f t="shared" si="156"/>
        <v>48379</v>
      </c>
      <c r="AG67" s="24">
        <f t="shared" si="156"/>
        <v>80634</v>
      </c>
      <c r="AH67" s="24">
        <f t="shared" si="156"/>
        <v>139280</v>
      </c>
      <c r="AI67" s="40"/>
      <c r="AJ67" s="72">
        <f>SUM(AH67/AD67)-1</f>
        <v>3.3088726642742232</v>
      </c>
    </row>
    <row r="68" spans="2:36" ht="5.0999999999999996" customHeight="1">
      <c r="B68" s="23"/>
      <c r="C68" s="49"/>
      <c r="D68" s="49"/>
      <c r="E68" s="39"/>
      <c r="F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37"/>
    </row>
    <row r="69" spans="2:36">
      <c r="B69" s="75" t="s">
        <v>107</v>
      </c>
      <c r="C69" s="49"/>
      <c r="D69" s="49"/>
      <c r="E69" s="39"/>
      <c r="F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37"/>
    </row>
    <row r="70" spans="2:36" ht="12.75" customHeight="1">
      <c r="B70" s="113" t="s">
        <v>139</v>
      </c>
      <c r="C70" s="114">
        <v>3643</v>
      </c>
      <c r="D70" s="114">
        <v>3459</v>
      </c>
      <c r="E70" s="114">
        <v>7395</v>
      </c>
      <c r="F70" s="114">
        <v>14359</v>
      </c>
      <c r="G70" s="50"/>
      <c r="H70" s="116">
        <v>3600</v>
      </c>
      <c r="I70" s="116">
        <v>3556</v>
      </c>
      <c r="J70" s="116">
        <v>3512</v>
      </c>
      <c r="K70" s="89">
        <f t="shared" ref="K70:K73" si="157">D70</f>
        <v>3459</v>
      </c>
      <c r="L70" s="116">
        <v>5624</v>
      </c>
      <c r="M70" s="116">
        <v>5609</v>
      </c>
      <c r="N70" s="116">
        <v>6500</v>
      </c>
      <c r="O70" s="88">
        <f t="shared" ref="O70:O73" si="158">E70</f>
        <v>7395</v>
      </c>
      <c r="P70" s="116">
        <v>14452</v>
      </c>
      <c r="Q70" s="116">
        <v>15152</v>
      </c>
      <c r="R70" s="116">
        <v>15214</v>
      </c>
      <c r="S70" s="88">
        <f t="shared" ref="S70:S73" si="159">F70</f>
        <v>14359</v>
      </c>
      <c r="T70" s="116">
        <v>13739</v>
      </c>
      <c r="U70" s="116">
        <v>13737</v>
      </c>
      <c r="V70" s="116">
        <v>19917</v>
      </c>
      <c r="X70" s="30">
        <f t="shared" ref="X70:X73" si="160">L70</f>
        <v>5624</v>
      </c>
      <c r="Y70" s="30">
        <f t="shared" ref="Y70:Y73" si="161">M70</f>
        <v>5609</v>
      </c>
      <c r="Z70" s="30">
        <f t="shared" ref="Z70:Z73" si="162">N70</f>
        <v>6500</v>
      </c>
      <c r="AA70" s="30">
        <f t="shared" ref="AA70:AA73" si="163">O70</f>
        <v>7395</v>
      </c>
      <c r="AB70" s="30">
        <f t="shared" ref="AB70:AB73" si="164">P70</f>
        <v>14452</v>
      </c>
      <c r="AC70" s="30">
        <f t="shared" ref="AC70:AC73" si="165">Q70</f>
        <v>15152</v>
      </c>
      <c r="AD70" s="30">
        <f t="shared" ref="AD70:AD73" si="166">R70</f>
        <v>15214</v>
      </c>
      <c r="AE70" s="30">
        <f t="shared" ref="AE70:AE73" si="167">S70</f>
        <v>14359</v>
      </c>
      <c r="AF70" s="30">
        <f t="shared" ref="AF70:AF73" si="168">T70</f>
        <v>13739</v>
      </c>
      <c r="AG70" s="30">
        <f t="shared" ref="AG70:AG73" si="169">U70</f>
        <v>13737</v>
      </c>
      <c r="AH70" s="30">
        <f t="shared" ref="AH70:AH73" si="170">V70</f>
        <v>19917</v>
      </c>
      <c r="AI70" s="40"/>
      <c r="AJ70" s="71">
        <f t="shared" ref="AJ70:AJ73" si="171">SUM(AH70/AD70)-1</f>
        <v>0.30912317602208494</v>
      </c>
    </row>
    <row r="71" spans="2:36" ht="12.75" customHeight="1">
      <c r="B71" s="113" t="s">
        <v>140</v>
      </c>
      <c r="C71" s="114">
        <v>1533</v>
      </c>
      <c r="D71" s="114">
        <v>1201</v>
      </c>
      <c r="E71" s="114">
        <v>447</v>
      </c>
      <c r="F71" s="114">
        <v>0</v>
      </c>
      <c r="G71" s="50"/>
      <c r="H71" s="116">
        <v>489</v>
      </c>
      <c r="I71" s="116">
        <v>616</v>
      </c>
      <c r="J71" s="116">
        <v>741</v>
      </c>
      <c r="K71" s="89">
        <f t="shared" si="157"/>
        <v>1201</v>
      </c>
      <c r="L71" s="116">
        <v>954</v>
      </c>
      <c r="M71" s="116">
        <v>707</v>
      </c>
      <c r="N71" s="116">
        <v>457</v>
      </c>
      <c r="O71" s="88">
        <f t="shared" si="158"/>
        <v>447</v>
      </c>
      <c r="P71" s="116">
        <v>181</v>
      </c>
      <c r="Q71" s="116">
        <v>121</v>
      </c>
      <c r="R71" s="116">
        <v>60</v>
      </c>
      <c r="S71" s="88">
        <f t="shared" si="159"/>
        <v>0</v>
      </c>
      <c r="T71" s="116">
        <v>0</v>
      </c>
      <c r="U71" s="116">
        <v>2770</v>
      </c>
      <c r="V71" s="116">
        <v>3384</v>
      </c>
      <c r="X71" s="30">
        <f t="shared" ref="X71" si="172">L71</f>
        <v>954</v>
      </c>
      <c r="Y71" s="30">
        <f t="shared" ref="Y71" si="173">M71</f>
        <v>707</v>
      </c>
      <c r="Z71" s="30">
        <f t="shared" ref="Z71" si="174">N71</f>
        <v>457</v>
      </c>
      <c r="AA71" s="30">
        <f t="shared" ref="AA71" si="175">O71</f>
        <v>447</v>
      </c>
      <c r="AB71" s="30">
        <f t="shared" ref="AB71" si="176">P71</f>
        <v>181</v>
      </c>
      <c r="AC71" s="30">
        <f t="shared" ref="AC71" si="177">Q71</f>
        <v>121</v>
      </c>
      <c r="AD71" s="30">
        <f t="shared" ref="AD71" si="178">R71</f>
        <v>60</v>
      </c>
      <c r="AE71" s="30">
        <f t="shared" ref="AE71" si="179">S71</f>
        <v>0</v>
      </c>
      <c r="AF71" s="30">
        <f t="shared" ref="AF71" si="180">T71</f>
        <v>0</v>
      </c>
      <c r="AG71" s="30">
        <f t="shared" ref="AG71" si="181">U71</f>
        <v>2770</v>
      </c>
      <c r="AH71" s="30">
        <f t="shared" ref="AH71" si="182">V71</f>
        <v>3384</v>
      </c>
      <c r="AI71" s="40"/>
      <c r="AJ71" s="71">
        <f t="shared" si="171"/>
        <v>55.4</v>
      </c>
    </row>
    <row r="72" spans="2:36" ht="12.75" customHeight="1">
      <c r="B72" s="113" t="s">
        <v>141</v>
      </c>
      <c r="C72" s="114">
        <v>33962</v>
      </c>
      <c r="D72" s="114">
        <v>3819</v>
      </c>
      <c r="E72" s="114">
        <v>23004</v>
      </c>
      <c r="F72" s="114">
        <v>70688</v>
      </c>
      <c r="G72" s="50"/>
      <c r="H72" s="116">
        <v>20508</v>
      </c>
      <c r="I72" s="116">
        <v>4447</v>
      </c>
      <c r="J72" s="116">
        <v>5598</v>
      </c>
      <c r="K72" s="89">
        <f t="shared" si="157"/>
        <v>3819</v>
      </c>
      <c r="L72" s="116">
        <v>7429</v>
      </c>
      <c r="M72" s="116">
        <v>22966</v>
      </c>
      <c r="N72" s="116">
        <v>30599</v>
      </c>
      <c r="O72" s="88">
        <f t="shared" si="158"/>
        <v>23004</v>
      </c>
      <c r="P72" s="116">
        <v>14378</v>
      </c>
      <c r="Q72" s="116">
        <v>7738</v>
      </c>
      <c r="R72" s="116">
        <v>11607</v>
      </c>
      <c r="S72" s="88">
        <f t="shared" si="159"/>
        <v>70688</v>
      </c>
      <c r="T72" s="116">
        <v>21241</v>
      </c>
      <c r="U72" s="116">
        <v>58042</v>
      </c>
      <c r="V72" s="116">
        <v>1768232</v>
      </c>
      <c r="X72" s="30">
        <f t="shared" si="160"/>
        <v>7429</v>
      </c>
      <c r="Y72" s="30">
        <f t="shared" si="161"/>
        <v>22966</v>
      </c>
      <c r="Z72" s="30">
        <f t="shared" si="162"/>
        <v>30599</v>
      </c>
      <c r="AA72" s="30">
        <f t="shared" si="163"/>
        <v>23004</v>
      </c>
      <c r="AB72" s="30">
        <f t="shared" si="164"/>
        <v>14378</v>
      </c>
      <c r="AC72" s="30">
        <f t="shared" si="165"/>
        <v>7738</v>
      </c>
      <c r="AD72" s="30">
        <f t="shared" si="166"/>
        <v>11607</v>
      </c>
      <c r="AE72" s="30">
        <f t="shared" si="167"/>
        <v>70688</v>
      </c>
      <c r="AF72" s="30">
        <f t="shared" si="168"/>
        <v>21241</v>
      </c>
      <c r="AG72" s="30">
        <f t="shared" si="169"/>
        <v>58042</v>
      </c>
      <c r="AH72" s="30">
        <f t="shared" si="170"/>
        <v>1768232</v>
      </c>
      <c r="AI72" s="40"/>
      <c r="AJ72" s="71">
        <f t="shared" si="171"/>
        <v>151.34186266907901</v>
      </c>
    </row>
    <row r="73" spans="2:36" ht="12.75" customHeight="1">
      <c r="B73" s="113" t="s">
        <v>155</v>
      </c>
      <c r="C73" s="114">
        <v>1969</v>
      </c>
      <c r="D73" s="114">
        <f>303+839</f>
        <v>1142</v>
      </c>
      <c r="E73" s="114">
        <f>128+448</f>
        <v>576</v>
      </c>
      <c r="F73" s="114">
        <f>3333+61</f>
        <v>3394</v>
      </c>
      <c r="G73" s="50"/>
      <c r="H73" s="116">
        <v>1686</v>
      </c>
      <c r="I73" s="116">
        <v>1404</v>
      </c>
      <c r="J73" s="116">
        <f>367+1122</f>
        <v>1489</v>
      </c>
      <c r="K73" s="89">
        <f t="shared" si="157"/>
        <v>1142</v>
      </c>
      <c r="L73" s="116">
        <f>77+741</f>
        <v>818</v>
      </c>
      <c r="M73" s="116">
        <f>53+643</f>
        <v>696</v>
      </c>
      <c r="N73" s="116">
        <f>183+545</f>
        <v>728</v>
      </c>
      <c r="O73" s="88">
        <f t="shared" si="158"/>
        <v>576</v>
      </c>
      <c r="P73" s="116">
        <f>27+350</f>
        <v>377</v>
      </c>
      <c r="Q73" s="116">
        <f>110+252</f>
        <v>362</v>
      </c>
      <c r="R73" s="116">
        <f>2869+154</f>
        <v>3023</v>
      </c>
      <c r="S73" s="88">
        <f t="shared" si="159"/>
        <v>3394</v>
      </c>
      <c r="T73" s="116">
        <v>1667</v>
      </c>
      <c r="U73" s="116">
        <v>12979</v>
      </c>
      <c r="V73" s="116">
        <v>100736</v>
      </c>
      <c r="X73" s="30">
        <f t="shared" si="160"/>
        <v>818</v>
      </c>
      <c r="Y73" s="30">
        <f t="shared" si="161"/>
        <v>696</v>
      </c>
      <c r="Z73" s="30">
        <f t="shared" si="162"/>
        <v>728</v>
      </c>
      <c r="AA73" s="30">
        <f t="shared" si="163"/>
        <v>576</v>
      </c>
      <c r="AB73" s="30">
        <f t="shared" si="164"/>
        <v>377</v>
      </c>
      <c r="AC73" s="30">
        <f t="shared" si="165"/>
        <v>362</v>
      </c>
      <c r="AD73" s="30">
        <f t="shared" si="166"/>
        <v>3023</v>
      </c>
      <c r="AE73" s="30">
        <f t="shared" si="167"/>
        <v>3394</v>
      </c>
      <c r="AF73" s="30">
        <f t="shared" si="168"/>
        <v>1667</v>
      </c>
      <c r="AG73" s="30">
        <f t="shared" si="169"/>
        <v>12979</v>
      </c>
      <c r="AH73" s="30">
        <f t="shared" si="170"/>
        <v>100736</v>
      </c>
      <c r="AI73" s="11"/>
      <c r="AJ73" s="71">
        <f t="shared" si="171"/>
        <v>32.323188885213362</v>
      </c>
    </row>
    <row r="74" spans="2:36" ht="12.75" customHeight="1">
      <c r="B74" s="12" t="s">
        <v>19</v>
      </c>
      <c r="C74" s="13">
        <f>SUM(C70:C73)+C67</f>
        <v>50798</v>
      </c>
      <c r="D74" s="13">
        <f>SUM(D70:D73)+D67</f>
        <v>29781</v>
      </c>
      <c r="E74" s="13">
        <f>SUM(E70:E73)+E67</f>
        <v>68586</v>
      </c>
      <c r="F74" s="13">
        <f>SUM(F70:F73)+F67</f>
        <v>124526</v>
      </c>
      <c r="H74" s="13">
        <f>SUM(H70:H73)+H67</f>
        <v>37668</v>
      </c>
      <c r="I74" s="13">
        <f>SUM(I70:I73)+I67</f>
        <v>24314</v>
      </c>
      <c r="J74" s="13">
        <f>SUM(J70:J73)+J67</f>
        <v>30971</v>
      </c>
      <c r="K74" s="13">
        <f>SUM(K70:K73)+K67</f>
        <v>29781</v>
      </c>
      <c r="L74" s="13">
        <f>SUM(L70:L73)+L67</f>
        <v>35685</v>
      </c>
      <c r="M74" s="13">
        <f>SUM(M70:M73)+M67</f>
        <v>53606</v>
      </c>
      <c r="N74" s="13">
        <f>SUM(N70:N73)+N67</f>
        <v>66882</v>
      </c>
      <c r="O74" s="13">
        <f>SUM(O70:O73)+O67</f>
        <v>68586</v>
      </c>
      <c r="P74" s="13">
        <f>SUM(P70:P73)+P67</f>
        <v>64093</v>
      </c>
      <c r="Q74" s="13">
        <f>SUM(Q70:Q73)+Q67</f>
        <v>54161</v>
      </c>
      <c r="R74" s="13">
        <f>SUM(R70:R73)+R67</f>
        <v>62228</v>
      </c>
      <c r="S74" s="13">
        <f>SUM(S70:S73)+S67</f>
        <v>124526</v>
      </c>
      <c r="T74" s="13">
        <f>SUM(T70:T73)+T67</f>
        <v>85026</v>
      </c>
      <c r="U74" s="13">
        <f>SUM(U70:U73)+U67</f>
        <v>168162</v>
      </c>
      <c r="V74" s="13">
        <f>SUM(V70:V73)+V67</f>
        <v>2031549</v>
      </c>
      <c r="X74" s="13">
        <f>SUM(X70:X73)+X67</f>
        <v>35685</v>
      </c>
      <c r="Y74" s="13">
        <f>SUM(Y70:Y73)+Y67</f>
        <v>53606</v>
      </c>
      <c r="Z74" s="13">
        <f>SUM(Z70:Z73)+Z67</f>
        <v>66882</v>
      </c>
      <c r="AA74" s="13">
        <f>SUM(AA70:AA73)+AA67</f>
        <v>68586</v>
      </c>
      <c r="AB74" s="13">
        <f>SUM(AB70:AB73)+AB67</f>
        <v>64093</v>
      </c>
      <c r="AC74" s="13">
        <f>SUM(AC70:AC73)+AC67</f>
        <v>54161</v>
      </c>
      <c r="AD74" s="13">
        <f>SUM(AD70:AD73)+AD67</f>
        <v>62228</v>
      </c>
      <c r="AE74" s="13">
        <f>SUM(AE70:AE73)+AE67</f>
        <v>124526</v>
      </c>
      <c r="AF74" s="13">
        <f>SUM(AF70:AF73)+AF67</f>
        <v>85026</v>
      </c>
      <c r="AG74" s="13">
        <f>SUM(AG70:AG73)+AG67</f>
        <v>168162</v>
      </c>
      <c r="AH74" s="13">
        <f>SUM(AH70:AH73)+AH67</f>
        <v>2031549</v>
      </c>
      <c r="AI74" s="40"/>
      <c r="AJ74" s="72">
        <f>SUM(AH74/AD74)-1</f>
        <v>31.646863148421929</v>
      </c>
    </row>
    <row r="75" spans="2:36" ht="5.0999999999999996" customHeight="1">
      <c r="B75" s="23"/>
      <c r="C75" s="48"/>
      <c r="D75" s="48"/>
      <c r="E75" s="39"/>
      <c r="F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37"/>
    </row>
    <row r="76" spans="2:36" ht="12.75" customHeight="1">
      <c r="B76" s="9" t="s">
        <v>145</v>
      </c>
      <c r="C76" s="80">
        <v>19</v>
      </c>
      <c r="D76" s="80">
        <v>20</v>
      </c>
      <c r="E76" s="80">
        <v>20</v>
      </c>
      <c r="F76" s="80">
        <v>22</v>
      </c>
      <c r="G76" s="30"/>
      <c r="H76" s="116">
        <v>20</v>
      </c>
      <c r="I76" s="116">
        <v>20</v>
      </c>
      <c r="J76" s="116">
        <v>20</v>
      </c>
      <c r="K76" s="89">
        <f t="shared" ref="K76:K80" si="183">D76</f>
        <v>20</v>
      </c>
      <c r="L76" s="116">
        <v>20</v>
      </c>
      <c r="M76" s="116">
        <v>20</v>
      </c>
      <c r="N76" s="116">
        <v>20</v>
      </c>
      <c r="O76" s="88">
        <f t="shared" ref="O76:O80" si="184">E76</f>
        <v>20</v>
      </c>
      <c r="P76" s="116">
        <v>21</v>
      </c>
      <c r="Q76" s="116">
        <v>21</v>
      </c>
      <c r="R76" s="116">
        <v>22</v>
      </c>
      <c r="S76" s="88">
        <f t="shared" ref="S76:S80" si="185">F76</f>
        <v>22</v>
      </c>
      <c r="T76" s="116">
        <v>24</v>
      </c>
      <c r="U76" s="116">
        <v>27</v>
      </c>
      <c r="V76" s="116">
        <v>32</v>
      </c>
      <c r="X76" s="30">
        <f t="shared" ref="X76:X79" si="186">L76</f>
        <v>20</v>
      </c>
      <c r="Y76" s="30">
        <f t="shared" ref="Y76:Y79" si="187">M76</f>
        <v>20</v>
      </c>
      <c r="Z76" s="30">
        <f t="shared" ref="Z76:Z79" si="188">N76</f>
        <v>20</v>
      </c>
      <c r="AA76" s="30">
        <f t="shared" ref="AA76:AA79" si="189">O76</f>
        <v>20</v>
      </c>
      <c r="AB76" s="30">
        <f t="shared" ref="AB76:AB79" si="190">P76</f>
        <v>21</v>
      </c>
      <c r="AC76" s="30">
        <f t="shared" ref="AC76:AC79" si="191">Q76</f>
        <v>21</v>
      </c>
      <c r="AD76" s="30">
        <f t="shared" ref="AD76:AD79" si="192">R76</f>
        <v>22</v>
      </c>
      <c r="AE76" s="30">
        <f t="shared" ref="AE76:AE79" si="193">S76</f>
        <v>22</v>
      </c>
      <c r="AF76" s="30">
        <f t="shared" ref="AF76:AF79" si="194">T76</f>
        <v>24</v>
      </c>
      <c r="AG76" s="30">
        <f t="shared" ref="AG76:AG79" si="195">U76</f>
        <v>27</v>
      </c>
      <c r="AH76" s="30">
        <f t="shared" ref="AH76:AH79" si="196">V76</f>
        <v>32</v>
      </c>
      <c r="AI76" s="11"/>
      <c r="AJ76" s="71">
        <f t="shared" ref="AJ76:AJ80" si="197">SUM(AH76/AD76)-1</f>
        <v>0.45454545454545459</v>
      </c>
    </row>
    <row r="77" spans="2:36" ht="12.75" customHeight="1">
      <c r="B77" s="9" t="s">
        <v>142</v>
      </c>
      <c r="C77" s="80">
        <v>737150</v>
      </c>
      <c r="D77" s="80">
        <v>769848</v>
      </c>
      <c r="E77" s="80">
        <v>839014</v>
      </c>
      <c r="F77" s="80">
        <v>1067403</v>
      </c>
      <c r="G77" s="30"/>
      <c r="H77" s="116">
        <v>744469</v>
      </c>
      <c r="I77" s="116">
        <v>751259</v>
      </c>
      <c r="J77" s="116">
        <v>760389</v>
      </c>
      <c r="K77" s="89">
        <f t="shared" si="183"/>
        <v>769848</v>
      </c>
      <c r="L77" s="116">
        <v>779286</v>
      </c>
      <c r="M77" s="116">
        <v>794671</v>
      </c>
      <c r="N77" s="116">
        <v>813439</v>
      </c>
      <c r="O77" s="88">
        <f t="shared" si="184"/>
        <v>839014</v>
      </c>
      <c r="P77" s="116">
        <v>873133</v>
      </c>
      <c r="Q77" s="116">
        <v>893797</v>
      </c>
      <c r="R77" s="116">
        <v>917048</v>
      </c>
      <c r="S77" s="88">
        <f t="shared" si="185"/>
        <v>1067403</v>
      </c>
      <c r="T77" s="116">
        <v>1481007</v>
      </c>
      <c r="U77" s="116">
        <v>2050344</v>
      </c>
      <c r="V77" s="116">
        <v>4237882</v>
      </c>
      <c r="X77" s="30">
        <f t="shared" si="186"/>
        <v>779286</v>
      </c>
      <c r="Y77" s="30">
        <f t="shared" si="187"/>
        <v>794671</v>
      </c>
      <c r="Z77" s="30">
        <f t="shared" si="188"/>
        <v>813439</v>
      </c>
      <c r="AA77" s="30">
        <f t="shared" si="189"/>
        <v>839014</v>
      </c>
      <c r="AB77" s="30">
        <f t="shared" si="190"/>
        <v>873133</v>
      </c>
      <c r="AC77" s="30">
        <f t="shared" si="191"/>
        <v>893797</v>
      </c>
      <c r="AD77" s="30">
        <f t="shared" si="192"/>
        <v>917048</v>
      </c>
      <c r="AE77" s="30">
        <f t="shared" si="193"/>
        <v>1067403</v>
      </c>
      <c r="AF77" s="30">
        <f t="shared" si="194"/>
        <v>1481007</v>
      </c>
      <c r="AG77" s="30">
        <f t="shared" si="195"/>
        <v>2050344</v>
      </c>
      <c r="AH77" s="30">
        <f t="shared" si="196"/>
        <v>4237882</v>
      </c>
      <c r="AI77" s="11"/>
      <c r="AJ77" s="71">
        <f t="shared" si="197"/>
        <v>3.62122157182612</v>
      </c>
    </row>
    <row r="78" spans="2:36" ht="12.75" customHeight="1">
      <c r="B78" s="9" t="s">
        <v>143</v>
      </c>
      <c r="C78" s="80">
        <v>-145791</v>
      </c>
      <c r="D78" s="80">
        <v>-194302</v>
      </c>
      <c r="E78" s="80">
        <v>-352073</v>
      </c>
      <c r="F78" s="80">
        <v>-683720</v>
      </c>
      <c r="G78" s="30"/>
      <c r="H78" s="116">
        <v>-150018</v>
      </c>
      <c r="I78" s="116">
        <v>-151672</v>
      </c>
      <c r="J78" s="116">
        <v>-175655</v>
      </c>
      <c r="K78" s="89">
        <f t="shared" si="183"/>
        <v>-194302</v>
      </c>
      <c r="L78" s="116">
        <v>-221640</v>
      </c>
      <c r="M78" s="116">
        <v>-265358</v>
      </c>
      <c r="N78" s="116">
        <v>-310169</v>
      </c>
      <c r="O78" s="88">
        <f t="shared" si="184"/>
        <v>-352073</v>
      </c>
      <c r="P78" s="116">
        <v>-391665</v>
      </c>
      <c r="Q78" s="116">
        <v>-429226</v>
      </c>
      <c r="R78" s="116">
        <v>-481722</v>
      </c>
      <c r="S78" s="88">
        <f t="shared" si="185"/>
        <v>-683720</v>
      </c>
      <c r="T78" s="116">
        <v>-715972</v>
      </c>
      <c r="U78" s="116">
        <v>-892810</v>
      </c>
      <c r="V78" s="116">
        <v>-1947765</v>
      </c>
      <c r="X78" s="30">
        <f t="shared" si="186"/>
        <v>-221640</v>
      </c>
      <c r="Y78" s="30">
        <f t="shared" si="187"/>
        <v>-265358</v>
      </c>
      <c r="Z78" s="30">
        <f t="shared" si="188"/>
        <v>-310169</v>
      </c>
      <c r="AA78" s="30">
        <f t="shared" si="189"/>
        <v>-352073</v>
      </c>
      <c r="AB78" s="30">
        <f t="shared" si="190"/>
        <v>-391665</v>
      </c>
      <c r="AC78" s="30">
        <f t="shared" si="191"/>
        <v>-429226</v>
      </c>
      <c r="AD78" s="30">
        <f t="shared" si="192"/>
        <v>-481722</v>
      </c>
      <c r="AE78" s="30">
        <f t="shared" si="193"/>
        <v>-683720</v>
      </c>
      <c r="AF78" s="30">
        <f t="shared" si="194"/>
        <v>-715972</v>
      </c>
      <c r="AG78" s="30">
        <f t="shared" si="195"/>
        <v>-892810</v>
      </c>
      <c r="AH78" s="30">
        <f t="shared" si="196"/>
        <v>-1947765</v>
      </c>
      <c r="AI78" s="11"/>
      <c r="AJ78" s="71">
        <f t="shared" si="197"/>
        <v>3.0433382739422319</v>
      </c>
    </row>
    <row r="79" spans="2:36" ht="12.75" customHeight="1">
      <c r="B79" s="9" t="s">
        <v>144</v>
      </c>
      <c r="C79" s="80">
        <v>-148</v>
      </c>
      <c r="D79" s="80">
        <v>-7355</v>
      </c>
      <c r="E79" s="80">
        <v>-1967</v>
      </c>
      <c r="F79" s="80">
        <v>157</v>
      </c>
      <c r="G79" s="30"/>
      <c r="H79" s="116">
        <v>-4688</v>
      </c>
      <c r="I79" s="116">
        <v>-6929</v>
      </c>
      <c r="J79" s="116">
        <v>-9124</v>
      </c>
      <c r="K79" s="89">
        <f t="shared" si="183"/>
        <v>-7355</v>
      </c>
      <c r="L79" s="116">
        <v>-5429</v>
      </c>
      <c r="M79" s="116">
        <v>-6087</v>
      </c>
      <c r="N79" s="116">
        <v>-4794</v>
      </c>
      <c r="O79" s="88">
        <f t="shared" si="184"/>
        <v>-1967</v>
      </c>
      <c r="P79" s="116">
        <v>-1720</v>
      </c>
      <c r="Q79" s="116">
        <v>-1318</v>
      </c>
      <c r="R79" s="116">
        <v>335</v>
      </c>
      <c r="S79" s="88">
        <f t="shared" si="185"/>
        <v>157</v>
      </c>
      <c r="T79" s="116">
        <v>-11</v>
      </c>
      <c r="U79" s="116">
        <v>4072</v>
      </c>
      <c r="V79" s="116">
        <v>-16788</v>
      </c>
      <c r="X79" s="30">
        <f t="shared" si="186"/>
        <v>-5429</v>
      </c>
      <c r="Y79" s="30">
        <f t="shared" si="187"/>
        <v>-6087</v>
      </c>
      <c r="Z79" s="30">
        <f t="shared" si="188"/>
        <v>-4794</v>
      </c>
      <c r="AA79" s="30">
        <f t="shared" si="189"/>
        <v>-1967</v>
      </c>
      <c r="AB79" s="30">
        <f t="shared" si="190"/>
        <v>-1720</v>
      </c>
      <c r="AC79" s="30">
        <f t="shared" si="191"/>
        <v>-1318</v>
      </c>
      <c r="AD79" s="30">
        <f t="shared" si="192"/>
        <v>335</v>
      </c>
      <c r="AE79" s="30">
        <f t="shared" si="193"/>
        <v>157</v>
      </c>
      <c r="AF79" s="30">
        <f t="shared" si="194"/>
        <v>-11</v>
      </c>
      <c r="AG79" s="30">
        <f t="shared" si="195"/>
        <v>4072</v>
      </c>
      <c r="AH79" s="30">
        <f t="shared" si="196"/>
        <v>-16788</v>
      </c>
      <c r="AI79" s="11"/>
      <c r="AJ79" s="71">
        <f t="shared" si="197"/>
        <v>-51.113432835820895</v>
      </c>
    </row>
    <row r="80" spans="2:36" ht="12.75" customHeight="1">
      <c r="B80" s="9" t="s">
        <v>156</v>
      </c>
      <c r="C80" s="80">
        <v>0</v>
      </c>
      <c r="D80" s="80">
        <v>0</v>
      </c>
      <c r="E80" s="80">
        <v>0</v>
      </c>
      <c r="F80" s="80">
        <v>0</v>
      </c>
      <c r="G80" s="30"/>
      <c r="H80" s="116">
        <v>0</v>
      </c>
      <c r="I80" s="116">
        <v>0</v>
      </c>
      <c r="J80" s="116">
        <v>0</v>
      </c>
      <c r="K80" s="89">
        <f t="shared" si="183"/>
        <v>0</v>
      </c>
      <c r="L80" s="116">
        <v>0</v>
      </c>
      <c r="M80" s="116">
        <v>0</v>
      </c>
      <c r="N80" s="116">
        <v>0</v>
      </c>
      <c r="O80" s="88">
        <f t="shared" si="184"/>
        <v>0</v>
      </c>
      <c r="P80" s="116">
        <v>0</v>
      </c>
      <c r="Q80" s="116">
        <v>0</v>
      </c>
      <c r="R80" s="116">
        <v>0</v>
      </c>
      <c r="S80" s="88">
        <f t="shared" si="185"/>
        <v>0</v>
      </c>
      <c r="T80" s="116">
        <v>0</v>
      </c>
      <c r="U80" s="116">
        <v>16813</v>
      </c>
      <c r="V80" s="116">
        <v>14438</v>
      </c>
      <c r="X80" s="30">
        <f t="shared" ref="X80" si="198">L80</f>
        <v>0</v>
      </c>
      <c r="Y80" s="30">
        <f t="shared" ref="Y80" si="199">M80</f>
        <v>0</v>
      </c>
      <c r="Z80" s="30">
        <f t="shared" ref="Z80" si="200">N80</f>
        <v>0</v>
      </c>
      <c r="AA80" s="30">
        <f t="shared" ref="AA80" si="201">O80</f>
        <v>0</v>
      </c>
      <c r="AB80" s="30">
        <f t="shared" ref="AB80" si="202">P80</f>
        <v>0</v>
      </c>
      <c r="AC80" s="30">
        <f t="shared" ref="AC80" si="203">Q80</f>
        <v>0</v>
      </c>
      <c r="AD80" s="30">
        <f t="shared" ref="AD80" si="204">R80</f>
        <v>0</v>
      </c>
      <c r="AE80" s="30">
        <f t="shared" ref="AE80" si="205">S80</f>
        <v>0</v>
      </c>
      <c r="AF80" s="30">
        <f t="shared" ref="AF80" si="206">T80</f>
        <v>0</v>
      </c>
      <c r="AG80" s="30">
        <f t="shared" ref="AG80" si="207">U80</f>
        <v>16813</v>
      </c>
      <c r="AH80" s="30">
        <f t="shared" ref="AH80" si="208">V80</f>
        <v>14438</v>
      </c>
      <c r="AI80" s="11"/>
      <c r="AJ80" s="71" t="e">
        <f t="shared" si="197"/>
        <v>#DIV/0!</v>
      </c>
    </row>
    <row r="81" spans="1:36" ht="12.75" customHeight="1">
      <c r="B81" s="12" t="s">
        <v>18</v>
      </c>
      <c r="C81" s="13">
        <f>SUM(C76:C80)</f>
        <v>591230</v>
      </c>
      <c r="D81" s="13">
        <f>SUM(D76:D80)</f>
        <v>568211</v>
      </c>
      <c r="E81" s="13">
        <f>SUM(E76:E80)</f>
        <v>484994</v>
      </c>
      <c r="F81" s="13">
        <f>SUM(F76:F80)</f>
        <v>383862</v>
      </c>
      <c r="G81" s="51"/>
      <c r="H81" s="13">
        <f t="shared" ref="H81:V81" si="209">SUM(H76:H80)</f>
        <v>589783</v>
      </c>
      <c r="I81" s="13">
        <f t="shared" si="209"/>
        <v>592678</v>
      </c>
      <c r="J81" s="13">
        <f t="shared" si="209"/>
        <v>575630</v>
      </c>
      <c r="K81" s="13">
        <f t="shared" si="209"/>
        <v>568211</v>
      </c>
      <c r="L81" s="13">
        <f t="shared" si="209"/>
        <v>552237</v>
      </c>
      <c r="M81" s="13">
        <f t="shared" si="209"/>
        <v>523246</v>
      </c>
      <c r="N81" s="13">
        <f t="shared" si="209"/>
        <v>498496</v>
      </c>
      <c r="O81" s="13">
        <f t="shared" si="209"/>
        <v>484994</v>
      </c>
      <c r="P81" s="13">
        <f t="shared" si="209"/>
        <v>479769</v>
      </c>
      <c r="Q81" s="13">
        <f t="shared" si="209"/>
        <v>463274</v>
      </c>
      <c r="R81" s="13">
        <f t="shared" si="209"/>
        <v>435683</v>
      </c>
      <c r="S81" s="13">
        <f t="shared" si="209"/>
        <v>383862</v>
      </c>
      <c r="T81" s="13">
        <f t="shared" si="209"/>
        <v>765048</v>
      </c>
      <c r="U81" s="13">
        <f t="shared" si="209"/>
        <v>1178446</v>
      </c>
      <c r="V81" s="13">
        <f t="shared" si="209"/>
        <v>2287799</v>
      </c>
      <c r="X81" s="13">
        <f t="shared" ref="X81" si="210">SUM(X76:X80)</f>
        <v>552237</v>
      </c>
      <c r="Y81" s="13">
        <f t="shared" ref="Y81" si="211">SUM(Y76:Y80)</f>
        <v>523246</v>
      </c>
      <c r="Z81" s="13">
        <f t="shared" ref="Z81" si="212">SUM(Z76:Z80)</f>
        <v>498496</v>
      </c>
      <c r="AA81" s="13">
        <f t="shared" ref="AA81" si="213">SUM(AA76:AA80)</f>
        <v>484994</v>
      </c>
      <c r="AB81" s="13">
        <f t="shared" ref="AB81" si="214">SUM(AB76:AB80)</f>
        <v>479769</v>
      </c>
      <c r="AC81" s="13">
        <f t="shared" ref="AC81" si="215">SUM(AC76:AC80)</f>
        <v>463274</v>
      </c>
      <c r="AD81" s="13">
        <f t="shared" ref="AD81" si="216">SUM(AD76:AD80)</f>
        <v>435683</v>
      </c>
      <c r="AE81" s="13">
        <f t="shared" ref="AE81" si="217">SUM(AE76:AE80)</f>
        <v>383862</v>
      </c>
      <c r="AF81" s="13">
        <f t="shared" ref="AF81" si="218">SUM(AF76:AF80)</f>
        <v>765048</v>
      </c>
      <c r="AG81" s="13">
        <f t="shared" ref="AG81" si="219">SUM(AG76:AG80)</f>
        <v>1178446</v>
      </c>
      <c r="AH81" s="13">
        <f t="shared" ref="AH81" si="220">SUM(AH76:AH80)</f>
        <v>2287799</v>
      </c>
      <c r="AI81" s="40"/>
      <c r="AJ81" s="72">
        <f>SUM(AH81/AD81)-1</f>
        <v>4.2510632730678042</v>
      </c>
    </row>
    <row r="82" spans="1:36" ht="12.75" customHeight="1">
      <c r="B82" s="23" t="s">
        <v>68</v>
      </c>
      <c r="C82" s="30">
        <f>SUM(C81+C74)</f>
        <v>642028</v>
      </c>
      <c r="D82" s="30">
        <f>SUM(D81+D74)</f>
        <v>597992</v>
      </c>
      <c r="E82" s="30">
        <f>SUM(E81+E74)</f>
        <v>553580</v>
      </c>
      <c r="F82" s="30">
        <f>SUM(F81+F74)</f>
        <v>508388</v>
      </c>
      <c r="G82" s="30"/>
      <c r="H82" s="30">
        <f>SUM(H81+H74)</f>
        <v>627451</v>
      </c>
      <c r="I82" s="30">
        <f>SUM(I81+I74)</f>
        <v>616992</v>
      </c>
      <c r="J82" s="30">
        <f>SUM(J81+J74)</f>
        <v>606601</v>
      </c>
      <c r="K82" s="30">
        <f>SUM(K81+K74)</f>
        <v>597992</v>
      </c>
      <c r="L82" s="30">
        <f>SUM(L81+L74)</f>
        <v>587922</v>
      </c>
      <c r="M82" s="30">
        <f>SUM(M81+M74)</f>
        <v>576852</v>
      </c>
      <c r="N82" s="30">
        <f>SUM(N81+N74)</f>
        <v>565378</v>
      </c>
      <c r="O82" s="30">
        <f>SUM(O81+O74)</f>
        <v>553580</v>
      </c>
      <c r="P82" s="30">
        <f>SUM(P81+P74)</f>
        <v>543862</v>
      </c>
      <c r="Q82" s="30">
        <f>SUM(Q81+Q74)</f>
        <v>517435</v>
      </c>
      <c r="R82" s="30">
        <f>SUM(R81+R74)</f>
        <v>497911</v>
      </c>
      <c r="S82" s="30">
        <f>SUM(S81+S74)</f>
        <v>508388</v>
      </c>
      <c r="T82" s="30">
        <f>SUM(T81+T74)</f>
        <v>850074</v>
      </c>
      <c r="U82" s="30">
        <f>SUM(U81+U74)</f>
        <v>1346608</v>
      </c>
      <c r="V82" s="30">
        <f>SUM(V81+V74)</f>
        <v>4319348</v>
      </c>
      <c r="W82" s="30"/>
      <c r="X82" s="30">
        <f>SUM(X81+X74)</f>
        <v>587922</v>
      </c>
      <c r="Y82" s="30">
        <f>SUM(Y81+Y74)</f>
        <v>576852</v>
      </c>
      <c r="Z82" s="30">
        <f>SUM(Z81+Z74)</f>
        <v>565378</v>
      </c>
      <c r="AA82" s="30">
        <f>SUM(AA81+AA74)</f>
        <v>553580</v>
      </c>
      <c r="AB82" s="30">
        <f>SUM(AB81+AB74)</f>
        <v>543862</v>
      </c>
      <c r="AC82" s="30">
        <f>SUM(AC81+AC74)</f>
        <v>517435</v>
      </c>
      <c r="AD82" s="30">
        <f>SUM(AD81+AD74)</f>
        <v>497911</v>
      </c>
      <c r="AE82" s="30">
        <f>SUM(AE81+AE74)</f>
        <v>508388</v>
      </c>
      <c r="AF82" s="30">
        <f>SUM(AF81+AF74)</f>
        <v>850074</v>
      </c>
      <c r="AG82" s="30">
        <f>SUM(AG81+AG74)</f>
        <v>1346608</v>
      </c>
      <c r="AH82" s="30">
        <f>SUM(AH81+AH74)</f>
        <v>4319348</v>
      </c>
      <c r="AI82" s="11"/>
      <c r="AJ82" s="72">
        <f>SUM(AH82/AD82)-1</f>
        <v>7.6749398988975948</v>
      </c>
    </row>
    <row r="83" spans="1:36" ht="5.0999999999999996" customHeight="1">
      <c r="B83" s="23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11"/>
    </row>
    <row r="84" spans="1:36" ht="12.75" customHeight="1">
      <c r="B84" s="65" t="s">
        <v>79</v>
      </c>
      <c r="C84" s="66">
        <f>C82-C59</f>
        <v>0</v>
      </c>
      <c r="D84" s="66">
        <f>D82-D59</f>
        <v>0</v>
      </c>
      <c r="E84" s="66">
        <f>E82-E59</f>
        <v>0</v>
      </c>
      <c r="F84" s="66">
        <f>F82-F59</f>
        <v>0</v>
      </c>
      <c r="G84" s="67"/>
      <c r="H84" s="66">
        <f>H82-H59</f>
        <v>0</v>
      </c>
      <c r="I84" s="66">
        <f>I82-I59</f>
        <v>0</v>
      </c>
      <c r="J84" s="66">
        <f>J82-J59</f>
        <v>0</v>
      </c>
      <c r="K84" s="66">
        <f>K82-K59</f>
        <v>0</v>
      </c>
      <c r="L84" s="66">
        <f>L82-L59</f>
        <v>0</v>
      </c>
      <c r="M84" s="66">
        <f>M82-M59</f>
        <v>0</v>
      </c>
      <c r="N84" s="66">
        <f>N82-N59</f>
        <v>0</v>
      </c>
      <c r="O84" s="66">
        <f>O82-O59</f>
        <v>0</v>
      </c>
      <c r="P84" s="66">
        <f>P82-P59</f>
        <v>0</v>
      </c>
      <c r="Q84" s="66">
        <f>Q82-Q59</f>
        <v>0</v>
      </c>
      <c r="R84" s="66">
        <f>R82-R59</f>
        <v>0</v>
      </c>
      <c r="S84" s="66">
        <f>S82-S59</f>
        <v>0</v>
      </c>
      <c r="T84" s="66">
        <f>T82-T59</f>
        <v>0</v>
      </c>
      <c r="U84" s="66">
        <f>U82-U59</f>
        <v>0</v>
      </c>
      <c r="V84" s="66">
        <f>V82-V59</f>
        <v>0</v>
      </c>
      <c r="W84" s="26"/>
      <c r="X84" s="66">
        <f>X82-X59</f>
        <v>2000</v>
      </c>
      <c r="Y84" s="66">
        <f>Y82-Y59</f>
        <v>2102</v>
      </c>
      <c r="Z84" s="66">
        <f>Z82-Z59</f>
        <v>2416</v>
      </c>
      <c r="AA84" s="66">
        <f>AA82-AA59</f>
        <v>2416</v>
      </c>
      <c r="AB84" s="66">
        <f>AB82-AB59</f>
        <v>2434</v>
      </c>
      <c r="AC84" s="66">
        <f>AC82-AC59</f>
        <v>2439</v>
      </c>
      <c r="AD84" s="66">
        <f>AD82-AD59</f>
        <v>0</v>
      </c>
      <c r="AE84" s="66">
        <f>AE82-AE59</f>
        <v>0</v>
      </c>
      <c r="AF84" s="66">
        <f>AF82-AF59</f>
        <v>0</v>
      </c>
      <c r="AG84" s="66">
        <f>AG82-AG59</f>
        <v>0</v>
      </c>
      <c r="AH84" s="66">
        <f>AH82-AH59</f>
        <v>0</v>
      </c>
    </row>
    <row r="85" spans="1:36" ht="5.0999999999999996" customHeight="1" thickBot="1">
      <c r="B85" s="109"/>
      <c r="C85" s="110"/>
      <c r="D85" s="110"/>
      <c r="E85" s="110"/>
      <c r="F85" s="110"/>
      <c r="G85" s="111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2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69"/>
      <c r="AJ85" s="69"/>
    </row>
    <row r="86" spans="1:36" ht="12.75" customHeight="1">
      <c r="B86" s="129" t="s">
        <v>154</v>
      </c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</row>
    <row r="87" spans="1:36">
      <c r="B87" s="64"/>
      <c r="C87" s="52"/>
      <c r="D87" s="22"/>
      <c r="E87" s="22"/>
      <c r="F87" s="22"/>
      <c r="G87" s="52"/>
    </row>
    <row r="88" spans="1:36" ht="12.75" customHeight="1">
      <c r="A88" s="5" t="s">
        <v>20</v>
      </c>
      <c r="B88" s="90" t="s">
        <v>17</v>
      </c>
      <c r="C88" s="94"/>
      <c r="D88" s="94" t="s">
        <v>0</v>
      </c>
      <c r="E88" s="94"/>
      <c r="F88" s="94"/>
      <c r="G88" s="95"/>
      <c r="H88" s="94" t="s">
        <v>1</v>
      </c>
      <c r="I88" s="94"/>
      <c r="J88" s="94"/>
      <c r="K88" s="94"/>
      <c r="L88" s="94"/>
      <c r="M88" s="94"/>
      <c r="N88" s="94"/>
      <c r="O88" s="94"/>
      <c r="P88" s="94"/>
      <c r="Q88" s="94"/>
      <c r="R88" s="94" t="s">
        <v>1</v>
      </c>
      <c r="S88" s="94"/>
      <c r="T88" s="94"/>
      <c r="U88" s="94"/>
      <c r="V88" s="94"/>
      <c r="W88" s="90"/>
      <c r="X88" s="94"/>
      <c r="Y88" s="94"/>
      <c r="Z88" s="94"/>
      <c r="AA88" s="94"/>
      <c r="AB88" s="94"/>
      <c r="AC88" s="94"/>
      <c r="AD88" s="94" t="s">
        <v>10</v>
      </c>
      <c r="AE88" s="94"/>
      <c r="AF88" s="94"/>
      <c r="AG88" s="94"/>
      <c r="AH88" s="94"/>
      <c r="AI88" s="95"/>
      <c r="AJ88" s="128" t="s">
        <v>26</v>
      </c>
    </row>
    <row r="89" spans="1:36" ht="12.75" customHeight="1">
      <c r="B89" s="91" t="str">
        <f>B7</f>
        <v>Fiscal Period</v>
      </c>
      <c r="C89" s="96">
        <f>C7</f>
        <v>2021</v>
      </c>
      <c r="D89" s="96">
        <f>D7</f>
        <v>2022</v>
      </c>
      <c r="E89" s="96">
        <f>E7</f>
        <v>2023</v>
      </c>
      <c r="F89" s="96">
        <f>F7</f>
        <v>2024</v>
      </c>
      <c r="G89" s="95"/>
      <c r="H89" s="96" t="str">
        <f>H7</f>
        <v>1Q22</v>
      </c>
      <c r="I89" s="96" t="str">
        <f>I7</f>
        <v>2Q22</v>
      </c>
      <c r="J89" s="96" t="str">
        <f>J7</f>
        <v>3Q22</v>
      </c>
      <c r="K89" s="96" t="str">
        <f>K7</f>
        <v>4Q22</v>
      </c>
      <c r="L89" s="96" t="str">
        <f>L7</f>
        <v>1Q23</v>
      </c>
      <c r="M89" s="96" t="str">
        <f>M7</f>
        <v>2Q23</v>
      </c>
      <c r="N89" s="96" t="str">
        <f>N7</f>
        <v>3Q23</v>
      </c>
      <c r="O89" s="96" t="str">
        <f>O7</f>
        <v>4Q23</v>
      </c>
      <c r="P89" s="96" t="str">
        <f>P7</f>
        <v>1Q24</v>
      </c>
      <c r="Q89" s="96" t="str">
        <f>Q7</f>
        <v>2Q24</v>
      </c>
      <c r="R89" s="96" t="str">
        <f>R7</f>
        <v>3Q24</v>
      </c>
      <c r="S89" s="96" t="str">
        <f>S7</f>
        <v>4Q24</v>
      </c>
      <c r="T89" s="96" t="str">
        <f>T7</f>
        <v>1Q25</v>
      </c>
      <c r="U89" s="96" t="str">
        <f>U7</f>
        <v>2Q25</v>
      </c>
      <c r="V89" s="96" t="str">
        <f>V7</f>
        <v>3Q25</v>
      </c>
      <c r="W89" s="96"/>
      <c r="X89" s="96" t="str">
        <f>X7</f>
        <v>1Q23</v>
      </c>
      <c r="Y89" s="96" t="str">
        <f>Y7</f>
        <v>2Q23</v>
      </c>
      <c r="Z89" s="96" t="str">
        <f>Z7</f>
        <v>3Q23</v>
      </c>
      <c r="AA89" s="96" t="str">
        <f>AA7</f>
        <v>4Q23</v>
      </c>
      <c r="AB89" s="96" t="str">
        <f>AB7</f>
        <v>1Q24</v>
      </c>
      <c r="AC89" s="96" t="str">
        <f>AC7</f>
        <v>2Q24</v>
      </c>
      <c r="AD89" s="96" t="str">
        <f>AD7</f>
        <v>3Q24</v>
      </c>
      <c r="AE89" s="96" t="str">
        <f>AE7</f>
        <v>4Q24</v>
      </c>
      <c r="AF89" s="96" t="str">
        <f>AF7</f>
        <v>1Q25</v>
      </c>
      <c r="AG89" s="96" t="str">
        <f>AG7</f>
        <v>2Q25</v>
      </c>
      <c r="AH89" s="96" t="str">
        <f>AH7</f>
        <v>3Q25</v>
      </c>
      <c r="AI89" s="95"/>
      <c r="AJ89" s="128"/>
    </row>
    <row r="90" spans="1:36" ht="12.75" customHeight="1">
      <c r="B90" s="91" t="str">
        <f>B8</f>
        <v>Fiscal Period End Date</v>
      </c>
      <c r="C90" s="97">
        <f>C8</f>
        <v>44561</v>
      </c>
      <c r="D90" s="97">
        <f>D8</f>
        <v>44926</v>
      </c>
      <c r="E90" s="97">
        <f>E8</f>
        <v>45291</v>
      </c>
      <c r="F90" s="97">
        <f>F8</f>
        <v>45657</v>
      </c>
      <c r="G90" s="95"/>
      <c r="H90" s="97">
        <f>H8</f>
        <v>44651</v>
      </c>
      <c r="I90" s="97">
        <f>I8</f>
        <v>44742</v>
      </c>
      <c r="J90" s="97">
        <f>J8</f>
        <v>44834</v>
      </c>
      <c r="K90" s="97">
        <f>K8</f>
        <v>44926</v>
      </c>
      <c r="L90" s="97">
        <f>L8</f>
        <v>45016</v>
      </c>
      <c r="M90" s="97">
        <f>M8</f>
        <v>45107</v>
      </c>
      <c r="N90" s="97">
        <f>N8</f>
        <v>45199</v>
      </c>
      <c r="O90" s="97">
        <f>O8</f>
        <v>45291</v>
      </c>
      <c r="P90" s="97">
        <f>P8</f>
        <v>45382</v>
      </c>
      <c r="Q90" s="97">
        <f>Q8</f>
        <v>45473</v>
      </c>
      <c r="R90" s="97">
        <f>R8</f>
        <v>45565</v>
      </c>
      <c r="S90" s="97">
        <f>S8</f>
        <v>45657</v>
      </c>
      <c r="T90" s="97">
        <f>T8</f>
        <v>45747</v>
      </c>
      <c r="U90" s="97">
        <f>U8</f>
        <v>45838</v>
      </c>
      <c r="V90" s="97">
        <f>V8</f>
        <v>45930</v>
      </c>
      <c r="W90" s="97"/>
      <c r="X90" s="97">
        <f>X8</f>
        <v>45016</v>
      </c>
      <c r="Y90" s="97">
        <f>Y8</f>
        <v>45107</v>
      </c>
      <c r="Z90" s="97">
        <f>Z8</f>
        <v>45199</v>
      </c>
      <c r="AA90" s="97">
        <f>AA8</f>
        <v>45291</v>
      </c>
      <c r="AB90" s="97">
        <f>AB8</f>
        <v>45382</v>
      </c>
      <c r="AC90" s="97">
        <f>AC8</f>
        <v>45473</v>
      </c>
      <c r="AD90" s="97">
        <f>AD8</f>
        <v>45565</v>
      </c>
      <c r="AE90" s="97">
        <f>AE8</f>
        <v>45657</v>
      </c>
      <c r="AF90" s="97">
        <f>AF8</f>
        <v>45747</v>
      </c>
      <c r="AG90" s="97">
        <f>AG8</f>
        <v>45838</v>
      </c>
      <c r="AH90" s="97">
        <f>AH8</f>
        <v>45930</v>
      </c>
      <c r="AI90" s="95"/>
      <c r="AJ90" s="128"/>
    </row>
    <row r="91" spans="1:36" ht="5.0999999999999996" customHeight="1">
      <c r="B91" s="53"/>
      <c r="C91" s="46"/>
      <c r="D91" s="46"/>
      <c r="E91" s="46"/>
      <c r="F91" s="46"/>
    </row>
    <row r="92" spans="1:36" ht="12.75" customHeight="1">
      <c r="B92" s="54" t="s">
        <v>69</v>
      </c>
      <c r="C92" s="55"/>
      <c r="D92" s="55"/>
      <c r="E92" s="55"/>
      <c r="F92" s="55"/>
    </row>
    <row r="93" spans="1:36" ht="12.75" customHeight="1">
      <c r="B93" s="56" t="s">
        <v>70</v>
      </c>
      <c r="C93" s="30">
        <f>C31</f>
        <v>-106186</v>
      </c>
      <c r="D93" s="30">
        <f>D31</f>
        <v>-48511</v>
      </c>
      <c r="E93" s="30">
        <f>E31</f>
        <v>-157771</v>
      </c>
      <c r="F93" s="30">
        <f>F31</f>
        <v>-331647</v>
      </c>
      <c r="G93" s="30"/>
      <c r="H93" s="30">
        <f>H31</f>
        <v>-4227</v>
      </c>
      <c r="I93" s="107">
        <f>I31</f>
        <v>-1654</v>
      </c>
      <c r="J93" s="30">
        <f>J31</f>
        <v>-23983</v>
      </c>
      <c r="K93" s="30">
        <f>K31</f>
        <v>-18647</v>
      </c>
      <c r="L93" s="30">
        <f>L31</f>
        <v>-27338</v>
      </c>
      <c r="M93" s="107">
        <f>M31</f>
        <v>-43718</v>
      </c>
      <c r="N93" s="30">
        <f>N31</f>
        <v>-44811</v>
      </c>
      <c r="O93" s="30">
        <f t="shared" ref="O93" si="221">SUM(E93-SUM(L93:N93))</f>
        <v>-41904</v>
      </c>
      <c r="P93" s="30">
        <f>P31</f>
        <v>-39592</v>
      </c>
      <c r="Q93" s="30">
        <f>Q31</f>
        <v>-37561</v>
      </c>
      <c r="R93" s="30">
        <f>R31</f>
        <v>-52496</v>
      </c>
      <c r="S93" s="30">
        <f>SUM(F93-SUM(P93:R93))</f>
        <v>-201998</v>
      </c>
      <c r="T93" s="30">
        <f>T31</f>
        <v>-32252</v>
      </c>
      <c r="U93" s="30">
        <f>U31</f>
        <v>-177530</v>
      </c>
      <c r="V93" s="30">
        <f>V31</f>
        <v>-1055612</v>
      </c>
      <c r="X93" s="30">
        <f t="shared" ref="X93:AG93" si="222">SUM(I93:L93)</f>
        <v>-71622</v>
      </c>
      <c r="Y93" s="30">
        <f t="shared" si="222"/>
        <v>-113686</v>
      </c>
      <c r="Z93" s="30">
        <f t="shared" si="222"/>
        <v>-134514</v>
      </c>
      <c r="AA93" s="30">
        <f t="shared" si="222"/>
        <v>-157771</v>
      </c>
      <c r="AB93" s="30">
        <f t="shared" si="222"/>
        <v>-170025</v>
      </c>
      <c r="AC93" s="30">
        <f t="shared" si="222"/>
        <v>-163868</v>
      </c>
      <c r="AD93" s="30">
        <f t="shared" si="222"/>
        <v>-171553</v>
      </c>
      <c r="AE93" s="30">
        <f t="shared" si="222"/>
        <v>-331647</v>
      </c>
      <c r="AF93" s="30">
        <f t="shared" si="222"/>
        <v>-324307</v>
      </c>
      <c r="AG93" s="30">
        <f t="shared" si="222"/>
        <v>-464276</v>
      </c>
      <c r="AH93" s="30">
        <f>SUM(S93:V93)</f>
        <v>-1467392</v>
      </c>
      <c r="AI93" s="11"/>
      <c r="AJ93" s="71">
        <f>SUM(AH93/AD93)-1</f>
        <v>7.5535781944938307</v>
      </c>
    </row>
    <row r="94" spans="1:36" ht="5.0999999999999996" customHeight="1"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11"/>
      <c r="AJ94" s="71"/>
    </row>
    <row r="95" spans="1:36" ht="12.75" customHeight="1">
      <c r="B95" s="34" t="s">
        <v>78</v>
      </c>
      <c r="C95" s="30"/>
      <c r="D95" s="30"/>
      <c r="E95" s="30"/>
      <c r="F95" s="30"/>
      <c r="G95" s="30"/>
      <c r="H95" s="30"/>
      <c r="I95" s="30"/>
      <c r="J95" s="30"/>
      <c r="K95" s="30"/>
      <c r="L95" s="80"/>
      <c r="M95" s="80"/>
      <c r="N95" s="80"/>
      <c r="O95" s="30"/>
      <c r="P95" s="80"/>
      <c r="Q95" s="80"/>
      <c r="R95" s="80"/>
      <c r="S95" s="30"/>
      <c r="T95" s="80"/>
      <c r="U95" s="80"/>
      <c r="V95" s="8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58"/>
      <c r="AJ95" s="71"/>
    </row>
    <row r="96" spans="1:36" ht="12.75" customHeight="1">
      <c r="B96" s="59" t="s">
        <v>71</v>
      </c>
      <c r="C96" s="80">
        <v>2548</v>
      </c>
      <c r="D96" s="80">
        <v>5604</v>
      </c>
      <c r="E96" s="80">
        <v>10375</v>
      </c>
      <c r="F96" s="80">
        <v>18654</v>
      </c>
      <c r="G96" s="30"/>
      <c r="H96" s="80">
        <v>1266</v>
      </c>
      <c r="I96" s="30">
        <f>2717-H96</f>
        <v>1451</v>
      </c>
      <c r="J96" s="30">
        <f>4248-I96-H96</f>
        <v>1531</v>
      </c>
      <c r="K96" s="30">
        <f t="shared" ref="K96:K108" si="223">SUM(D96-SUM(H96:J96))</f>
        <v>1356</v>
      </c>
      <c r="L96" s="80">
        <v>1791</v>
      </c>
      <c r="M96" s="30">
        <f>4120-L96</f>
        <v>2329</v>
      </c>
      <c r="N96" s="30">
        <f>6869-M96-L96</f>
        <v>2749</v>
      </c>
      <c r="O96" s="30">
        <f t="shared" ref="O96:O108" si="224">SUM(E96-SUM(L96:N96))</f>
        <v>3506</v>
      </c>
      <c r="P96" s="80">
        <v>3955</v>
      </c>
      <c r="Q96" s="30">
        <f>8260-P96</f>
        <v>4305</v>
      </c>
      <c r="R96" s="30">
        <f>13150-Q96-P96</f>
        <v>4890</v>
      </c>
      <c r="S96" s="30">
        <f t="shared" ref="S96:S100" si="225">SUM(F96-SUM(P96:R96))</f>
        <v>5504</v>
      </c>
      <c r="T96" s="80">
        <v>6561</v>
      </c>
      <c r="U96" s="30">
        <f>17177-T96</f>
        <v>10616</v>
      </c>
      <c r="V96" s="30">
        <f>41359-U96-T96</f>
        <v>24182</v>
      </c>
      <c r="X96" s="30">
        <f t="shared" ref="X96:X100" si="226">SUM(I96:L96)</f>
        <v>6129</v>
      </c>
      <c r="Y96" s="30">
        <f t="shared" ref="Y96:Y100" si="227">SUM(J96:M96)</f>
        <v>7007</v>
      </c>
      <c r="Z96" s="30">
        <f t="shared" ref="Z96:Z100" si="228">SUM(K96:N96)</f>
        <v>8225</v>
      </c>
      <c r="AA96" s="30">
        <f t="shared" ref="AA96:AA100" si="229">SUM(L96:O96)</f>
        <v>10375</v>
      </c>
      <c r="AB96" s="30">
        <f t="shared" ref="AB96:AB100" si="230">SUM(M96:P96)</f>
        <v>12539</v>
      </c>
      <c r="AC96" s="30">
        <f t="shared" ref="AC96:AC100" si="231">SUM(N96:Q96)</f>
        <v>14515</v>
      </c>
      <c r="AD96" s="30">
        <f t="shared" ref="AD96:AD100" si="232">SUM(O96:R96)</f>
        <v>16656</v>
      </c>
      <c r="AE96" s="30">
        <f t="shared" ref="AE96:AE100" si="233">SUM(P96:S96)</f>
        <v>18654</v>
      </c>
      <c r="AF96" s="30">
        <f t="shared" ref="AF96:AF100" si="234">SUM(Q96:T96)</f>
        <v>21260</v>
      </c>
      <c r="AG96" s="30">
        <f t="shared" ref="AG96:AG100" si="235">SUM(R96:U96)</f>
        <v>27571</v>
      </c>
      <c r="AH96" s="30">
        <f t="shared" ref="AH96:AH100" si="236">SUM(S96:V96)</f>
        <v>46863</v>
      </c>
      <c r="AI96" s="11"/>
      <c r="AJ96" s="71">
        <f t="shared" ref="AJ96:AJ100" si="237">SUM(AH96/AD96)-1</f>
        <v>1.8135806916426511</v>
      </c>
    </row>
    <row r="97" spans="2:36" ht="12.75" customHeight="1">
      <c r="B97" s="59" t="s">
        <v>146</v>
      </c>
      <c r="C97" s="80">
        <v>7748</v>
      </c>
      <c r="D97" s="80">
        <v>31456</v>
      </c>
      <c r="E97" s="80">
        <v>69743</v>
      </c>
      <c r="F97" s="80">
        <v>106878</v>
      </c>
      <c r="G97" s="30"/>
      <c r="H97" s="80">
        <v>6672</v>
      </c>
      <c r="I97" s="30">
        <f>12556-H97</f>
        <v>5884</v>
      </c>
      <c r="J97" s="30">
        <f>22561-I97-H97</f>
        <v>10005</v>
      </c>
      <c r="K97" s="30">
        <f t="shared" si="223"/>
        <v>8895</v>
      </c>
      <c r="L97" s="80">
        <v>10268</v>
      </c>
      <c r="M97" s="30">
        <f>21572-L97</f>
        <v>11304</v>
      </c>
      <c r="N97" s="30">
        <f>38549-M97-L97</f>
        <v>16977</v>
      </c>
      <c r="O97" s="30">
        <f t="shared" si="224"/>
        <v>31194</v>
      </c>
      <c r="P97" s="80">
        <v>22061</v>
      </c>
      <c r="Q97" s="30">
        <f>43040-P97</f>
        <v>20979</v>
      </c>
      <c r="R97" s="30">
        <f>67607-Q97-P97</f>
        <v>24567</v>
      </c>
      <c r="S97" s="30">
        <f t="shared" si="225"/>
        <v>39271</v>
      </c>
      <c r="T97" s="80">
        <v>33253</v>
      </c>
      <c r="U97" s="30">
        <f>132421-T97</f>
        <v>99168</v>
      </c>
      <c r="V97" s="30">
        <f>205366-U97-T97</f>
        <v>72945</v>
      </c>
      <c r="X97" s="30">
        <f t="shared" si="226"/>
        <v>35052</v>
      </c>
      <c r="Y97" s="30">
        <f t="shared" si="227"/>
        <v>40472</v>
      </c>
      <c r="Z97" s="30">
        <f t="shared" si="228"/>
        <v>47444</v>
      </c>
      <c r="AA97" s="30">
        <f t="shared" si="229"/>
        <v>69743</v>
      </c>
      <c r="AB97" s="30">
        <f t="shared" si="230"/>
        <v>81536</v>
      </c>
      <c r="AC97" s="30">
        <f t="shared" si="231"/>
        <v>91211</v>
      </c>
      <c r="AD97" s="30">
        <f t="shared" si="232"/>
        <v>98801</v>
      </c>
      <c r="AE97" s="30">
        <f t="shared" si="233"/>
        <v>106878</v>
      </c>
      <c r="AF97" s="30">
        <f t="shared" si="234"/>
        <v>118070</v>
      </c>
      <c r="AG97" s="30">
        <f t="shared" si="235"/>
        <v>196259</v>
      </c>
      <c r="AH97" s="30">
        <f t="shared" si="236"/>
        <v>244637</v>
      </c>
      <c r="AI97" s="11"/>
      <c r="AJ97" s="71">
        <f t="shared" si="237"/>
        <v>1.4760579346362892</v>
      </c>
    </row>
    <row r="98" spans="2:36" ht="12.75" customHeight="1">
      <c r="B98" s="59" t="s">
        <v>158</v>
      </c>
      <c r="C98" s="80">
        <v>63332</v>
      </c>
      <c r="D98" s="80">
        <v>-30136</v>
      </c>
      <c r="E98" s="80">
        <v>19206</v>
      </c>
      <c r="F98" s="80">
        <v>117107</v>
      </c>
      <c r="G98" s="30"/>
      <c r="H98" s="80">
        <v>-13448</v>
      </c>
      <c r="I98" s="30">
        <f>-29509-H98</f>
        <v>-16061</v>
      </c>
      <c r="J98" s="30">
        <f>-28358-I98-H98</f>
        <v>1151</v>
      </c>
      <c r="K98" s="30">
        <f t="shared" si="223"/>
        <v>-1778</v>
      </c>
      <c r="L98" s="80">
        <v>3610</v>
      </c>
      <c r="M98" s="30">
        <f>19147-L98</f>
        <v>15537</v>
      </c>
      <c r="N98" s="30">
        <f>26787-M98-L98</f>
        <v>7640</v>
      </c>
      <c r="O98" s="30">
        <f t="shared" si="224"/>
        <v>-7581</v>
      </c>
      <c r="P98" s="80">
        <v>-8627</v>
      </c>
      <c r="Q98" s="30">
        <f>-15266-P98</f>
        <v>-6639</v>
      </c>
      <c r="R98" s="30">
        <f>-11398-Q98-P98</f>
        <v>3868</v>
      </c>
      <c r="S98" s="30">
        <f t="shared" si="225"/>
        <v>128505</v>
      </c>
      <c r="T98" s="80">
        <v>-38494</v>
      </c>
      <c r="U98" s="30">
        <f>1083-T98</f>
        <v>39577</v>
      </c>
      <c r="V98" s="30">
        <f>882930-U98-T98</f>
        <v>881847</v>
      </c>
      <c r="X98" s="30">
        <f t="shared" si="226"/>
        <v>-13078</v>
      </c>
      <c r="Y98" s="30">
        <f t="shared" si="227"/>
        <v>18520</v>
      </c>
      <c r="Z98" s="30">
        <f t="shared" si="228"/>
        <v>25009</v>
      </c>
      <c r="AA98" s="30">
        <f t="shared" si="229"/>
        <v>19206</v>
      </c>
      <c r="AB98" s="30">
        <f t="shared" si="230"/>
        <v>6969</v>
      </c>
      <c r="AC98" s="30">
        <f t="shared" si="231"/>
        <v>-15207</v>
      </c>
      <c r="AD98" s="30">
        <f t="shared" si="232"/>
        <v>-18979</v>
      </c>
      <c r="AE98" s="30">
        <f t="shared" si="233"/>
        <v>117107</v>
      </c>
      <c r="AF98" s="30">
        <f t="shared" si="234"/>
        <v>87240</v>
      </c>
      <c r="AG98" s="30">
        <f t="shared" si="235"/>
        <v>133456</v>
      </c>
      <c r="AH98" s="30">
        <f t="shared" si="236"/>
        <v>1011435</v>
      </c>
      <c r="AI98" s="11"/>
      <c r="AJ98" s="71">
        <f t="shared" si="237"/>
        <v>-54.292323093945939</v>
      </c>
    </row>
    <row r="99" spans="2:36" ht="12.75" customHeight="1">
      <c r="B99" s="59" t="s">
        <v>147</v>
      </c>
      <c r="C99" s="80">
        <v>0</v>
      </c>
      <c r="D99" s="80">
        <v>-1577</v>
      </c>
      <c r="E99" s="80">
        <v>-9746</v>
      </c>
      <c r="F99" s="80">
        <v>-8804</v>
      </c>
      <c r="G99" s="30"/>
      <c r="H99" s="80">
        <v>0</v>
      </c>
      <c r="I99" s="30">
        <v>0</v>
      </c>
      <c r="J99" s="30">
        <v>0</v>
      </c>
      <c r="K99" s="30">
        <f t="shared" si="223"/>
        <v>-1577</v>
      </c>
      <c r="L99" s="80">
        <v>0</v>
      </c>
      <c r="M99" s="30">
        <f>-4593-L99</f>
        <v>-4593</v>
      </c>
      <c r="N99" s="30">
        <f>-7287-M99-L99</f>
        <v>-2694</v>
      </c>
      <c r="O99" s="30">
        <f t="shared" si="224"/>
        <v>-2459</v>
      </c>
      <c r="P99" s="80">
        <v>-2302</v>
      </c>
      <c r="Q99" s="30">
        <f>-4787-P99</f>
        <v>-2485</v>
      </c>
      <c r="R99" s="30">
        <f>-7086-Q99-P99</f>
        <v>-2299</v>
      </c>
      <c r="S99" s="30">
        <f t="shared" si="225"/>
        <v>-1718</v>
      </c>
      <c r="T99" s="80">
        <v>-1409</v>
      </c>
      <c r="U99" s="30">
        <f>-3540-T99</f>
        <v>-2131</v>
      </c>
      <c r="V99" s="30">
        <f>-6167-U99-T99</f>
        <v>-2627</v>
      </c>
      <c r="X99" s="30">
        <f t="shared" si="226"/>
        <v>-1577</v>
      </c>
      <c r="Y99" s="30">
        <f t="shared" si="227"/>
        <v>-6170</v>
      </c>
      <c r="Z99" s="30">
        <f t="shared" si="228"/>
        <v>-8864</v>
      </c>
      <c r="AA99" s="30">
        <f t="shared" si="229"/>
        <v>-9746</v>
      </c>
      <c r="AB99" s="30">
        <f t="shared" si="230"/>
        <v>-12048</v>
      </c>
      <c r="AC99" s="30">
        <f t="shared" si="231"/>
        <v>-9940</v>
      </c>
      <c r="AD99" s="30">
        <f t="shared" si="232"/>
        <v>-9545</v>
      </c>
      <c r="AE99" s="30">
        <f t="shared" si="233"/>
        <v>-8804</v>
      </c>
      <c r="AF99" s="30">
        <f t="shared" si="234"/>
        <v>-7911</v>
      </c>
      <c r="AG99" s="30">
        <f t="shared" si="235"/>
        <v>-7557</v>
      </c>
      <c r="AH99" s="30">
        <f t="shared" si="236"/>
        <v>-7885</v>
      </c>
      <c r="AI99" s="11"/>
      <c r="AJ99" s="71">
        <f t="shared" si="237"/>
        <v>-0.17391304347826086</v>
      </c>
    </row>
    <row r="100" spans="2:36" ht="12.75" customHeight="1">
      <c r="B100" s="59" t="s">
        <v>169</v>
      </c>
      <c r="C100" s="80">
        <f>101+528+4259+1335</f>
        <v>6223</v>
      </c>
      <c r="D100" s="80">
        <f>441+520</f>
        <v>961</v>
      </c>
      <c r="E100" s="80">
        <f>1474+520</f>
        <v>1994</v>
      </c>
      <c r="F100" s="80">
        <f>4803+520</f>
        <v>5323</v>
      </c>
      <c r="G100" s="30"/>
      <c r="H100" s="80">
        <f>-490+130</f>
        <v>-360</v>
      </c>
      <c r="I100" s="30">
        <f>-1618+260-H100</f>
        <v>-998</v>
      </c>
      <c r="J100" s="30">
        <f>-38+390-I100-H100</f>
        <v>1710</v>
      </c>
      <c r="K100" s="30">
        <f t="shared" si="223"/>
        <v>609</v>
      </c>
      <c r="L100" s="80">
        <f>-1570+130</f>
        <v>-1440</v>
      </c>
      <c r="M100" s="30">
        <f>736+260-L100</f>
        <v>2436</v>
      </c>
      <c r="N100" s="30">
        <f>1036+390-M100-L100</f>
        <v>430</v>
      </c>
      <c r="O100" s="30">
        <f t="shared" si="224"/>
        <v>568</v>
      </c>
      <c r="P100" s="80">
        <f>809+130</f>
        <v>939</v>
      </c>
      <c r="Q100" s="30">
        <f>1896+260-P100</f>
        <v>1217</v>
      </c>
      <c r="R100" s="30">
        <f>3901+390-Q100-P100</f>
        <v>2135</v>
      </c>
      <c r="S100" s="30">
        <f t="shared" si="225"/>
        <v>1032</v>
      </c>
      <c r="T100" s="80">
        <v>825</v>
      </c>
      <c r="U100" s="30">
        <f>1502-15300-T100</f>
        <v>-14623</v>
      </c>
      <c r="V100" s="30">
        <f>-19885+5872-U100-T100</f>
        <v>-215</v>
      </c>
      <c r="X100" s="30">
        <f t="shared" si="226"/>
        <v>-119</v>
      </c>
      <c r="Y100" s="30">
        <f t="shared" si="227"/>
        <v>3315</v>
      </c>
      <c r="Z100" s="30">
        <f t="shared" si="228"/>
        <v>2035</v>
      </c>
      <c r="AA100" s="30">
        <f t="shared" si="229"/>
        <v>1994</v>
      </c>
      <c r="AB100" s="30">
        <f t="shared" si="230"/>
        <v>4373</v>
      </c>
      <c r="AC100" s="30">
        <f t="shared" si="231"/>
        <v>3154</v>
      </c>
      <c r="AD100" s="30">
        <f t="shared" si="232"/>
        <v>4859</v>
      </c>
      <c r="AE100" s="30">
        <f t="shared" si="233"/>
        <v>5323</v>
      </c>
      <c r="AF100" s="30">
        <f t="shared" si="234"/>
        <v>5209</v>
      </c>
      <c r="AG100" s="30">
        <f t="shared" si="235"/>
        <v>-10631</v>
      </c>
      <c r="AH100" s="30">
        <f t="shared" si="236"/>
        <v>-12981</v>
      </c>
      <c r="AI100" s="11"/>
      <c r="AJ100" s="71">
        <f t="shared" si="237"/>
        <v>-3.6715373533648901</v>
      </c>
    </row>
    <row r="101" spans="2:36" ht="5.0999999999999996" customHeight="1">
      <c r="B101" s="8"/>
      <c r="C101" s="80"/>
      <c r="D101" s="80"/>
      <c r="E101" s="80"/>
      <c r="F101" s="80"/>
      <c r="G101" s="30"/>
      <c r="H101" s="80"/>
      <c r="I101" s="30"/>
      <c r="J101" s="30"/>
      <c r="K101" s="30">
        <f t="shared" si="223"/>
        <v>0</v>
      </c>
      <c r="L101" s="80"/>
      <c r="M101" s="30"/>
      <c r="N101" s="30"/>
      <c r="O101" s="30"/>
      <c r="P101" s="80"/>
      <c r="Q101" s="30"/>
      <c r="R101" s="30"/>
      <c r="S101" s="30"/>
      <c r="T101" s="80"/>
      <c r="U101" s="30"/>
      <c r="V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11"/>
      <c r="AJ101" s="71"/>
    </row>
    <row r="102" spans="2:36" ht="12.75" customHeight="1">
      <c r="B102" s="34" t="s">
        <v>16</v>
      </c>
      <c r="C102" s="80"/>
      <c r="D102" s="80"/>
      <c r="E102" s="80"/>
      <c r="F102" s="80"/>
      <c r="G102" s="30"/>
      <c r="H102" s="80"/>
      <c r="I102" s="30"/>
      <c r="J102" s="30"/>
      <c r="K102" s="30"/>
      <c r="L102" s="80"/>
      <c r="M102" s="30"/>
      <c r="N102" s="30"/>
      <c r="O102" s="30"/>
      <c r="P102" s="80"/>
      <c r="Q102" s="30"/>
      <c r="R102" s="30"/>
      <c r="S102" s="30"/>
      <c r="T102" s="80"/>
      <c r="U102" s="30"/>
      <c r="V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58"/>
      <c r="AJ102" s="71"/>
    </row>
    <row r="103" spans="2:36" ht="12.75" customHeight="1">
      <c r="B103" s="59" t="s">
        <v>14</v>
      </c>
      <c r="C103" s="80">
        <v>-317</v>
      </c>
      <c r="D103" s="80">
        <v>-1510</v>
      </c>
      <c r="E103" s="80">
        <v>-8175</v>
      </c>
      <c r="F103" s="80">
        <v>1609</v>
      </c>
      <c r="G103" s="30"/>
      <c r="H103" s="80">
        <v>138</v>
      </c>
      <c r="I103" s="30">
        <f>-801-H103</f>
        <v>-939</v>
      </c>
      <c r="J103" s="30">
        <f>-1135-I103-H103</f>
        <v>-334</v>
      </c>
      <c r="K103" s="30">
        <f t="shared" si="223"/>
        <v>-375</v>
      </c>
      <c r="L103" s="80">
        <v>2044</v>
      </c>
      <c r="M103" s="30">
        <f>2074-L103</f>
        <v>30</v>
      </c>
      <c r="N103" s="30">
        <f>946-M103-L103</f>
        <v>-1128</v>
      </c>
      <c r="O103" s="30">
        <f t="shared" si="224"/>
        <v>-9121</v>
      </c>
      <c r="P103" s="80">
        <v>1897</v>
      </c>
      <c r="Q103" s="30">
        <f>3558-P103</f>
        <v>1661</v>
      </c>
      <c r="R103" s="30">
        <f>7341-Q103-P103</f>
        <v>3783</v>
      </c>
      <c r="S103" s="30">
        <f t="shared" ref="S103:S108" si="238">SUM(F103-SUM(P103:R103))</f>
        <v>-5732</v>
      </c>
      <c r="T103" s="80">
        <v>748</v>
      </c>
      <c r="U103" s="30">
        <f>-3595-T103</f>
        <v>-4343</v>
      </c>
      <c r="V103" s="30">
        <f>-15849-U103-T103</f>
        <v>-12254</v>
      </c>
      <c r="X103" s="30">
        <f t="shared" ref="X103:X108" si="239">SUM(I103:L103)</f>
        <v>396</v>
      </c>
      <c r="Y103" s="30">
        <f t="shared" ref="Y103:Y108" si="240">SUM(J103:M103)</f>
        <v>1365</v>
      </c>
      <c r="Z103" s="30">
        <f t="shared" ref="Z103:Z108" si="241">SUM(K103:N103)</f>
        <v>571</v>
      </c>
      <c r="AA103" s="30">
        <f t="shared" ref="AA103:AA108" si="242">SUM(L103:O103)</f>
        <v>-8175</v>
      </c>
      <c r="AB103" s="30">
        <f t="shared" ref="AB103:AB108" si="243">SUM(M103:P103)</f>
        <v>-8322</v>
      </c>
      <c r="AC103" s="30">
        <f t="shared" ref="AC103:AC108" si="244">SUM(N103:Q103)</f>
        <v>-6691</v>
      </c>
      <c r="AD103" s="30">
        <f t="shared" ref="AD103:AD108" si="245">SUM(O103:R103)</f>
        <v>-1780</v>
      </c>
      <c r="AE103" s="30">
        <f t="shared" ref="AE103:AE108" si="246">SUM(P103:S103)</f>
        <v>1609</v>
      </c>
      <c r="AF103" s="30">
        <f t="shared" ref="AF103:AF108" si="247">SUM(Q103:T103)</f>
        <v>460</v>
      </c>
      <c r="AG103" s="30">
        <f t="shared" ref="AG103:AG108" si="248">SUM(R103:U103)</f>
        <v>-5544</v>
      </c>
      <c r="AH103" s="30">
        <f t="shared" ref="AH103:AH108" si="249">SUM(S103:V103)</f>
        <v>-21581</v>
      </c>
      <c r="AI103" s="58"/>
      <c r="AJ103" s="71">
        <f t="shared" ref="AJ103:AJ108" si="250">SUM(AH103/AD103)-1</f>
        <v>11.124157303370787</v>
      </c>
    </row>
    <row r="104" spans="2:36" ht="12.75" customHeight="1">
      <c r="B104" s="59" t="s">
        <v>128</v>
      </c>
      <c r="C104" s="80">
        <v>-3790</v>
      </c>
      <c r="D104" s="80">
        <v>-7012</v>
      </c>
      <c r="E104" s="80">
        <v>-14413</v>
      </c>
      <c r="F104" s="80">
        <v>-15200</v>
      </c>
      <c r="G104" s="30"/>
      <c r="H104" s="80">
        <v>1516</v>
      </c>
      <c r="I104" s="30">
        <f>3576-H104</f>
        <v>2060</v>
      </c>
      <c r="J104" s="30">
        <f>-1842-I104-H104</f>
        <v>-5418</v>
      </c>
      <c r="K104" s="30">
        <f t="shared" si="223"/>
        <v>-5170</v>
      </c>
      <c r="L104" s="80">
        <v>-939</v>
      </c>
      <c r="M104" s="30">
        <f>-2928-L104</f>
        <v>-1989</v>
      </c>
      <c r="N104" s="30">
        <f>-7545-M104-L104</f>
        <v>-4617</v>
      </c>
      <c r="O104" s="30">
        <f t="shared" si="224"/>
        <v>-6868</v>
      </c>
      <c r="P104" s="80">
        <v>-4656</v>
      </c>
      <c r="Q104" s="30">
        <f>-8341-P104</f>
        <v>-3685</v>
      </c>
      <c r="R104" s="30">
        <f>-9899-Q104-P104</f>
        <v>-1558</v>
      </c>
      <c r="S104" s="30">
        <f t="shared" si="238"/>
        <v>-5301</v>
      </c>
      <c r="T104" s="80">
        <v>-12471</v>
      </c>
      <c r="U104" s="30">
        <f>-25142-T104</f>
        <v>-12671</v>
      </c>
      <c r="V104" s="30">
        <f>-42572-U104-T104</f>
        <v>-17430</v>
      </c>
      <c r="X104" s="30">
        <f t="shared" si="239"/>
        <v>-9467</v>
      </c>
      <c r="Y104" s="30">
        <f t="shared" si="240"/>
        <v>-13516</v>
      </c>
      <c r="Z104" s="30">
        <f t="shared" si="241"/>
        <v>-12715</v>
      </c>
      <c r="AA104" s="30">
        <f t="shared" si="242"/>
        <v>-14413</v>
      </c>
      <c r="AB104" s="30">
        <f t="shared" si="243"/>
        <v>-18130</v>
      </c>
      <c r="AC104" s="30">
        <f t="shared" si="244"/>
        <v>-19826</v>
      </c>
      <c r="AD104" s="30">
        <f t="shared" si="245"/>
        <v>-16767</v>
      </c>
      <c r="AE104" s="30">
        <f t="shared" si="246"/>
        <v>-15200</v>
      </c>
      <c r="AF104" s="30">
        <f t="shared" si="247"/>
        <v>-23015</v>
      </c>
      <c r="AG104" s="30">
        <f t="shared" si="248"/>
        <v>-32001</v>
      </c>
      <c r="AH104" s="30">
        <f t="shared" si="249"/>
        <v>-47873</v>
      </c>
      <c r="AI104" s="58"/>
      <c r="AJ104" s="71">
        <f t="shared" si="250"/>
        <v>1.8551917456909406</v>
      </c>
    </row>
    <row r="105" spans="2:36" ht="12.75" customHeight="1">
      <c r="B105" s="59" t="s">
        <v>15</v>
      </c>
      <c r="C105" s="80">
        <v>763</v>
      </c>
      <c r="D105" s="80">
        <v>1060</v>
      </c>
      <c r="E105" s="80">
        <v>2188</v>
      </c>
      <c r="F105" s="80">
        <v>-601</v>
      </c>
      <c r="G105" s="30"/>
      <c r="H105" s="80">
        <v>-291</v>
      </c>
      <c r="I105" s="30">
        <f>1156-H105</f>
        <v>1447</v>
      </c>
      <c r="J105" s="30">
        <f>2992-I105-H105</f>
        <v>1836</v>
      </c>
      <c r="K105" s="30">
        <f t="shared" si="223"/>
        <v>-1932</v>
      </c>
      <c r="L105" s="80">
        <v>728</v>
      </c>
      <c r="M105" s="30">
        <f>479-L105</f>
        <v>-249</v>
      </c>
      <c r="N105" s="30">
        <f>975-M105-L105</f>
        <v>496</v>
      </c>
      <c r="O105" s="30">
        <f t="shared" si="224"/>
        <v>1213</v>
      </c>
      <c r="P105" s="80">
        <v>-521</v>
      </c>
      <c r="Q105" s="30">
        <f>-165-P105</f>
        <v>356</v>
      </c>
      <c r="R105" s="30">
        <f>-463-Q105-P105</f>
        <v>-298</v>
      </c>
      <c r="S105" s="30">
        <f t="shared" si="238"/>
        <v>-138</v>
      </c>
      <c r="T105" s="80">
        <v>3272</v>
      </c>
      <c r="U105" s="30">
        <f>1094-T105</f>
        <v>-2178</v>
      </c>
      <c r="V105" s="30">
        <f>-17413-U105-T105</f>
        <v>-18507</v>
      </c>
      <c r="X105" s="30">
        <f t="shared" si="239"/>
        <v>2079</v>
      </c>
      <c r="Y105" s="30">
        <f t="shared" si="240"/>
        <v>383</v>
      </c>
      <c r="Z105" s="30">
        <f t="shared" si="241"/>
        <v>-957</v>
      </c>
      <c r="AA105" s="30">
        <f t="shared" si="242"/>
        <v>2188</v>
      </c>
      <c r="AB105" s="30">
        <f t="shared" si="243"/>
        <v>939</v>
      </c>
      <c r="AC105" s="30">
        <f t="shared" si="244"/>
        <v>1544</v>
      </c>
      <c r="AD105" s="30">
        <f t="shared" si="245"/>
        <v>750</v>
      </c>
      <c r="AE105" s="30">
        <f t="shared" si="246"/>
        <v>-601</v>
      </c>
      <c r="AF105" s="30">
        <f t="shared" si="247"/>
        <v>3192</v>
      </c>
      <c r="AG105" s="30">
        <f t="shared" si="248"/>
        <v>658</v>
      </c>
      <c r="AH105" s="30">
        <f t="shared" si="249"/>
        <v>-17551</v>
      </c>
      <c r="AI105" s="58"/>
      <c r="AJ105" s="71">
        <f t="shared" si="250"/>
        <v>-24.401333333333334</v>
      </c>
    </row>
    <row r="106" spans="2:36" ht="12.75" customHeight="1">
      <c r="B106" s="59" t="s">
        <v>135</v>
      </c>
      <c r="C106" s="80">
        <v>1259</v>
      </c>
      <c r="D106" s="80">
        <v>1344</v>
      </c>
      <c r="E106" s="80">
        <v>3319</v>
      </c>
      <c r="F106" s="80">
        <v>-411</v>
      </c>
      <c r="G106" s="30"/>
      <c r="H106" s="80">
        <v>1571</v>
      </c>
      <c r="I106" s="30">
        <f>484-H106</f>
        <v>-1087</v>
      </c>
      <c r="J106" s="30">
        <f>1996-I106-H106</f>
        <v>1512</v>
      </c>
      <c r="K106" s="30">
        <f t="shared" si="223"/>
        <v>-652</v>
      </c>
      <c r="L106" s="80">
        <v>920</v>
      </c>
      <c r="M106" s="30">
        <f>2267-L106</f>
        <v>1347</v>
      </c>
      <c r="N106" s="30">
        <f>8066-M106-L106</f>
        <v>5799</v>
      </c>
      <c r="O106" s="30">
        <f t="shared" si="224"/>
        <v>-4747</v>
      </c>
      <c r="P106" s="80">
        <v>-554</v>
      </c>
      <c r="Q106" s="30">
        <f>-2116-P106</f>
        <v>-1562</v>
      </c>
      <c r="R106" s="30">
        <f>612-Q106-P106</f>
        <v>2728</v>
      </c>
      <c r="S106" s="30">
        <f t="shared" si="238"/>
        <v>-1023</v>
      </c>
      <c r="T106" s="80">
        <v>6123</v>
      </c>
      <c r="U106" s="30">
        <f>20741-T106</f>
        <v>14618</v>
      </c>
      <c r="V106" s="30">
        <f>27777-U106-T106</f>
        <v>7036</v>
      </c>
      <c r="X106" s="30">
        <f t="shared" si="239"/>
        <v>693</v>
      </c>
      <c r="Y106" s="30">
        <f t="shared" si="240"/>
        <v>3127</v>
      </c>
      <c r="Z106" s="30">
        <f t="shared" si="241"/>
        <v>7414</v>
      </c>
      <c r="AA106" s="30">
        <f t="shared" si="242"/>
        <v>3319</v>
      </c>
      <c r="AB106" s="30">
        <f t="shared" si="243"/>
        <v>1845</v>
      </c>
      <c r="AC106" s="30">
        <f t="shared" si="244"/>
        <v>-1064</v>
      </c>
      <c r="AD106" s="30">
        <f t="shared" si="245"/>
        <v>-4135</v>
      </c>
      <c r="AE106" s="30">
        <f t="shared" si="246"/>
        <v>-411</v>
      </c>
      <c r="AF106" s="30">
        <f t="shared" si="247"/>
        <v>6266</v>
      </c>
      <c r="AG106" s="30">
        <f t="shared" si="248"/>
        <v>22446</v>
      </c>
      <c r="AH106" s="30">
        <f t="shared" si="249"/>
        <v>26754</v>
      </c>
      <c r="AI106" s="58"/>
      <c r="AJ106" s="71">
        <f t="shared" si="250"/>
        <v>-7.4701330108827086</v>
      </c>
    </row>
    <row r="107" spans="2:36" ht="12.75" customHeight="1">
      <c r="B107" s="59" t="s">
        <v>137</v>
      </c>
      <c r="C107" s="80">
        <v>3605</v>
      </c>
      <c r="D107" s="80">
        <v>3892</v>
      </c>
      <c r="E107" s="80">
        <v>2604</v>
      </c>
      <c r="F107" s="80">
        <v>-1752</v>
      </c>
      <c r="G107" s="30"/>
      <c r="H107" s="80">
        <v>-1058</v>
      </c>
      <c r="I107" s="30">
        <f>264-H107</f>
        <v>1322</v>
      </c>
      <c r="J107" s="30">
        <f>-555-I107-H107</f>
        <v>-819</v>
      </c>
      <c r="K107" s="30">
        <f t="shared" si="223"/>
        <v>4447</v>
      </c>
      <c r="L107" s="80">
        <v>-3271</v>
      </c>
      <c r="M107" s="30">
        <f>-2005-L107</f>
        <v>1266</v>
      </c>
      <c r="N107" s="30">
        <f>-4944-M107-L107</f>
        <v>-2939</v>
      </c>
      <c r="O107" s="30">
        <f t="shared" si="224"/>
        <v>7548</v>
      </c>
      <c r="P107" s="80">
        <v>4389</v>
      </c>
      <c r="Q107" s="30">
        <f>1262-P107</f>
        <v>-3127</v>
      </c>
      <c r="R107" s="30">
        <f>-4232-Q107-P107</f>
        <v>-5494</v>
      </c>
      <c r="S107" s="30">
        <f t="shared" si="238"/>
        <v>2480</v>
      </c>
      <c r="T107" s="80">
        <v>1299</v>
      </c>
      <c r="U107" s="30">
        <f>-4-T107</f>
        <v>-1303</v>
      </c>
      <c r="V107" s="30">
        <f>268-U107-T107</f>
        <v>272</v>
      </c>
      <c r="X107" s="30">
        <f t="shared" si="239"/>
        <v>1679</v>
      </c>
      <c r="Y107" s="30">
        <f t="shared" si="240"/>
        <v>1623</v>
      </c>
      <c r="Z107" s="30">
        <f t="shared" si="241"/>
        <v>-497</v>
      </c>
      <c r="AA107" s="30">
        <f t="shared" si="242"/>
        <v>2604</v>
      </c>
      <c r="AB107" s="30">
        <f t="shared" si="243"/>
        <v>10264</v>
      </c>
      <c r="AC107" s="30">
        <f t="shared" si="244"/>
        <v>5871</v>
      </c>
      <c r="AD107" s="30">
        <f t="shared" si="245"/>
        <v>3316</v>
      </c>
      <c r="AE107" s="30">
        <f t="shared" si="246"/>
        <v>-1752</v>
      </c>
      <c r="AF107" s="30">
        <f t="shared" si="247"/>
        <v>-4842</v>
      </c>
      <c r="AG107" s="30">
        <f t="shared" si="248"/>
        <v>-3018</v>
      </c>
      <c r="AH107" s="30">
        <f t="shared" si="249"/>
        <v>2748</v>
      </c>
      <c r="AI107" s="58"/>
      <c r="AJ107" s="71">
        <f t="shared" si="250"/>
        <v>-0.17129071170084442</v>
      </c>
    </row>
    <row r="108" spans="2:36" ht="12.75" customHeight="1">
      <c r="B108" s="59" t="s">
        <v>148</v>
      </c>
      <c r="C108" s="80">
        <v>-1722</v>
      </c>
      <c r="D108" s="80">
        <v>-269</v>
      </c>
      <c r="E108" s="80">
        <v>1865</v>
      </c>
      <c r="F108" s="80">
        <v>3161</v>
      </c>
      <c r="G108" s="30"/>
      <c r="H108" s="80">
        <v>-103</v>
      </c>
      <c r="I108" s="30">
        <f>-133-H108</f>
        <v>-30</v>
      </c>
      <c r="J108" s="30">
        <f>-180-I108-H108</f>
        <v>-47</v>
      </c>
      <c r="K108" s="30">
        <f t="shared" si="223"/>
        <v>-89</v>
      </c>
      <c r="L108" s="80">
        <v>-188</v>
      </c>
      <c r="M108" s="30">
        <f>26-L108</f>
        <v>214</v>
      </c>
      <c r="N108" s="30">
        <f>-156-M108-L108</f>
        <v>-182</v>
      </c>
      <c r="O108" s="30">
        <f t="shared" si="224"/>
        <v>2021</v>
      </c>
      <c r="P108" s="80">
        <v>2546</v>
      </c>
      <c r="Q108" s="30">
        <f>2508-P108</f>
        <v>-38</v>
      </c>
      <c r="R108" s="30">
        <f>3471-Q108-P108</f>
        <v>963</v>
      </c>
      <c r="S108" s="30">
        <f t="shared" si="238"/>
        <v>-310</v>
      </c>
      <c r="T108" s="80">
        <v>-480</v>
      </c>
      <c r="U108" s="30">
        <f>-2254-T108</f>
        <v>-1774</v>
      </c>
      <c r="V108" s="30">
        <f>-4969-U108-T108</f>
        <v>-2715</v>
      </c>
      <c r="X108" s="30">
        <f t="shared" si="239"/>
        <v>-354</v>
      </c>
      <c r="Y108" s="30">
        <f t="shared" si="240"/>
        <v>-110</v>
      </c>
      <c r="Z108" s="30">
        <f t="shared" si="241"/>
        <v>-245</v>
      </c>
      <c r="AA108" s="30">
        <f t="shared" si="242"/>
        <v>1865</v>
      </c>
      <c r="AB108" s="30">
        <f t="shared" si="243"/>
        <v>4599</v>
      </c>
      <c r="AC108" s="30">
        <f t="shared" si="244"/>
        <v>4347</v>
      </c>
      <c r="AD108" s="30">
        <f t="shared" si="245"/>
        <v>5492</v>
      </c>
      <c r="AE108" s="30">
        <f t="shared" si="246"/>
        <v>3161</v>
      </c>
      <c r="AF108" s="30">
        <f t="shared" si="247"/>
        <v>135</v>
      </c>
      <c r="AG108" s="30">
        <f t="shared" si="248"/>
        <v>-1601</v>
      </c>
      <c r="AH108" s="30">
        <f t="shared" si="249"/>
        <v>-5279</v>
      </c>
      <c r="AI108" s="58"/>
      <c r="AJ108" s="71">
        <f t="shared" si="250"/>
        <v>-1.9612163146394757</v>
      </c>
    </row>
    <row r="109" spans="2:36" ht="12.75" customHeight="1">
      <c r="B109" s="12" t="s">
        <v>72</v>
      </c>
      <c r="C109" s="13">
        <f>SUM(C93:C108)</f>
        <v>-26537</v>
      </c>
      <c r="D109" s="13">
        <f>SUM(D93:D108)</f>
        <v>-44698</v>
      </c>
      <c r="E109" s="13">
        <f>SUM(E93:E108)</f>
        <v>-78811</v>
      </c>
      <c r="F109" s="13">
        <f>SUM(F93:F108)</f>
        <v>-105683</v>
      </c>
      <c r="H109" s="13">
        <f>SUM(H93:H108)</f>
        <v>-8324</v>
      </c>
      <c r="I109" s="13">
        <f>SUM(I93:I108)</f>
        <v>-8605</v>
      </c>
      <c r="J109" s="13">
        <f>SUM(J93:J108)</f>
        <v>-12856</v>
      </c>
      <c r="K109" s="13">
        <f>SUM(K93:K108)</f>
        <v>-14913</v>
      </c>
      <c r="L109" s="32">
        <f>SUM(L93:L108)</f>
        <v>-13815</v>
      </c>
      <c r="M109" s="13">
        <f>SUM(M93:M108)</f>
        <v>-16086</v>
      </c>
      <c r="N109" s="13">
        <f>SUM(N93:N108)</f>
        <v>-22280</v>
      </c>
      <c r="O109" s="13">
        <f>SUM(O93:O108)</f>
        <v>-26630</v>
      </c>
      <c r="P109" s="13">
        <f>SUM(P93:P108)</f>
        <v>-20465</v>
      </c>
      <c r="Q109" s="13">
        <f>SUM(Q93:Q108)</f>
        <v>-26579</v>
      </c>
      <c r="R109" s="13">
        <f>SUM(R93:R108)</f>
        <v>-19211</v>
      </c>
      <c r="S109" s="13">
        <f>SUM(S93:S108)</f>
        <v>-39428</v>
      </c>
      <c r="T109" s="13">
        <f>SUM(T93:T108)</f>
        <v>-33025</v>
      </c>
      <c r="U109" s="13">
        <f>SUM(U93:U108)</f>
        <v>-52574</v>
      </c>
      <c r="V109" s="13">
        <f>SUM(V93:V108)</f>
        <v>-123078</v>
      </c>
      <c r="X109" s="13">
        <f>SUM(X93:X108)</f>
        <v>-50189</v>
      </c>
      <c r="Y109" s="13">
        <f>SUM(Y93:Y108)</f>
        <v>-57670</v>
      </c>
      <c r="Z109" s="13">
        <f>SUM(Z93:Z108)</f>
        <v>-67094</v>
      </c>
      <c r="AA109" s="13">
        <f>SUM(AA93:AA108)</f>
        <v>-78811</v>
      </c>
      <c r="AB109" s="13">
        <f>SUM(AB93:AB108)</f>
        <v>-85461</v>
      </c>
      <c r="AC109" s="13">
        <f>SUM(AC93:AC108)</f>
        <v>-95954</v>
      </c>
      <c r="AD109" s="13">
        <f>SUM(AD93:AD108)</f>
        <v>-92885</v>
      </c>
      <c r="AE109" s="13">
        <f>SUM(AE93:AE108)</f>
        <v>-105683</v>
      </c>
      <c r="AF109" s="13">
        <f>SUM(AF93:AF108)</f>
        <v>-118243</v>
      </c>
      <c r="AG109" s="13">
        <f>SUM(AG93:AG108)</f>
        <v>-144238</v>
      </c>
      <c r="AH109" s="13">
        <f>SUM(AH93:AH108)</f>
        <v>-248105</v>
      </c>
      <c r="AI109" s="40"/>
      <c r="AJ109" s="72">
        <f>SUM(AH109/AD109)-1</f>
        <v>1.6710986703988802</v>
      </c>
    </row>
    <row r="110" spans="2:36" ht="12.75" customHeight="1">
      <c r="B110" s="52"/>
      <c r="C110" s="60"/>
      <c r="D110" s="60"/>
      <c r="E110" s="60"/>
      <c r="F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37"/>
    </row>
    <row r="111" spans="2:36" ht="12.75" customHeight="1">
      <c r="B111" s="52" t="s">
        <v>73</v>
      </c>
      <c r="C111" s="57"/>
      <c r="D111" s="57"/>
      <c r="E111" s="57"/>
      <c r="F111" s="57"/>
      <c r="H111" s="57"/>
      <c r="I111" s="57"/>
      <c r="J111" s="57"/>
      <c r="K111" s="30"/>
      <c r="L111" s="80"/>
      <c r="M111" s="80"/>
      <c r="N111" s="80"/>
      <c r="O111" s="30"/>
      <c r="P111" s="80"/>
      <c r="Q111" s="80"/>
      <c r="R111" s="80"/>
      <c r="S111" s="30"/>
      <c r="T111" s="80"/>
      <c r="U111" s="80"/>
      <c r="V111" s="80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8"/>
      <c r="AJ111" s="37"/>
    </row>
    <row r="112" spans="2:36" ht="12.75" customHeight="1">
      <c r="B112" s="59" t="s">
        <v>149</v>
      </c>
      <c r="C112" s="80">
        <v>-7783</v>
      </c>
      <c r="D112" s="80">
        <v>-9336</v>
      </c>
      <c r="E112" s="80">
        <v>-13703</v>
      </c>
      <c r="F112" s="80">
        <v>-17992</v>
      </c>
      <c r="G112" s="30"/>
      <c r="H112" s="80">
        <v>-2672</v>
      </c>
      <c r="I112" s="30">
        <f>-7022-H112</f>
        <v>-4350</v>
      </c>
      <c r="J112" s="30">
        <f>-8381-I112-H112</f>
        <v>-1359</v>
      </c>
      <c r="K112" s="30">
        <f t="shared" ref="K112:K115" si="251">SUM(D112-SUM(H112:J112))</f>
        <v>-955</v>
      </c>
      <c r="L112" s="80">
        <v>-1185</v>
      </c>
      <c r="M112" s="30">
        <f>-2411-L112</f>
        <v>-1226</v>
      </c>
      <c r="N112" s="30">
        <f>-6544-M112-L112</f>
        <v>-4133</v>
      </c>
      <c r="O112" s="30">
        <f t="shared" ref="O112:O115" si="252">SUM(E112-SUM(L112:N112))</f>
        <v>-7159</v>
      </c>
      <c r="P112" s="80">
        <v>-3140</v>
      </c>
      <c r="Q112" s="30">
        <f>-10629-P112</f>
        <v>-7489</v>
      </c>
      <c r="R112" s="30">
        <f>-14399-Q112-P112</f>
        <v>-3770</v>
      </c>
      <c r="S112" s="30">
        <f t="shared" ref="S112:S115" si="253">SUM(F112-SUM(P112:R112))</f>
        <v>-3593</v>
      </c>
      <c r="T112" s="80">
        <v>-2308</v>
      </c>
      <c r="U112" s="30">
        <f>-3501-T112</f>
        <v>-1193</v>
      </c>
      <c r="V112" s="30">
        <f>-7628-U112-T112</f>
        <v>-4127</v>
      </c>
      <c r="W112" s="30"/>
      <c r="X112" s="30">
        <f t="shared" ref="X112:X117" si="254">SUM(I112:L112)</f>
        <v>-7849</v>
      </c>
      <c r="Y112" s="30">
        <f t="shared" ref="Y112:Y117" si="255">SUM(J112:M112)</f>
        <v>-4725</v>
      </c>
      <c r="Z112" s="30">
        <f t="shared" ref="Z112:Z117" si="256">SUM(K112:N112)</f>
        <v>-7499</v>
      </c>
      <c r="AA112" s="30">
        <f t="shared" ref="AA112:AA117" si="257">SUM(L112:O112)</f>
        <v>-13703</v>
      </c>
      <c r="AB112" s="30">
        <f t="shared" ref="AB112:AB117" si="258">SUM(M112:P112)</f>
        <v>-15658</v>
      </c>
      <c r="AC112" s="30">
        <f t="shared" ref="AC112:AC117" si="259">SUM(N112:Q112)</f>
        <v>-21921</v>
      </c>
      <c r="AD112" s="30">
        <f t="shared" ref="AD112:AD117" si="260">SUM(O112:R112)</f>
        <v>-21558</v>
      </c>
      <c r="AE112" s="30">
        <f t="shared" ref="AE112:AE117" si="261">SUM(P112:S112)</f>
        <v>-17992</v>
      </c>
      <c r="AF112" s="30">
        <f t="shared" ref="AF112:AF117" si="262">SUM(Q112:T112)</f>
        <v>-17160</v>
      </c>
      <c r="AG112" s="30">
        <f t="shared" ref="AG112:AG117" si="263">SUM(R112:U112)</f>
        <v>-10864</v>
      </c>
      <c r="AH112" s="30">
        <f t="shared" ref="AH112:AH117" si="264">SUM(S112:V112)</f>
        <v>-11221</v>
      </c>
      <c r="AI112" s="58"/>
      <c r="AJ112" s="71">
        <f t="shared" ref="AJ112:AJ117" si="265">SUM(AH112/AD112)-1</f>
        <v>-0.47949717042397255</v>
      </c>
    </row>
    <row r="113" spans="2:36" ht="12.75" customHeight="1">
      <c r="B113" s="59" t="s">
        <v>150</v>
      </c>
      <c r="C113" s="80">
        <v>-1621</v>
      </c>
      <c r="D113" s="80">
        <v>-2179</v>
      </c>
      <c r="E113" s="80">
        <v>-4558</v>
      </c>
      <c r="F113" s="80">
        <v>-3905</v>
      </c>
      <c r="G113" s="30"/>
      <c r="H113" s="80">
        <v>-457</v>
      </c>
      <c r="I113" s="30">
        <f>-982-H113</f>
        <v>-525</v>
      </c>
      <c r="J113" s="30">
        <f>-1491-I113-H113</f>
        <v>-509</v>
      </c>
      <c r="K113" s="30">
        <f t="shared" si="251"/>
        <v>-688</v>
      </c>
      <c r="L113" s="80">
        <v>-843</v>
      </c>
      <c r="M113" s="30">
        <f>-1950-L113</f>
        <v>-1107</v>
      </c>
      <c r="N113" s="30">
        <f>-3134-M113-L113</f>
        <v>-1184</v>
      </c>
      <c r="O113" s="30">
        <f t="shared" si="252"/>
        <v>-1424</v>
      </c>
      <c r="P113" s="80">
        <v>-1400</v>
      </c>
      <c r="Q113" s="30">
        <f>-2129-P113</f>
        <v>-729</v>
      </c>
      <c r="R113" s="30">
        <f>-3064-Q113-P113</f>
        <v>-935</v>
      </c>
      <c r="S113" s="30">
        <f t="shared" si="253"/>
        <v>-841</v>
      </c>
      <c r="T113" s="80">
        <v>-882</v>
      </c>
      <c r="U113" s="30">
        <f>-1886-T113</f>
        <v>-1004</v>
      </c>
      <c r="V113" s="30">
        <f>-2961-U113-T113</f>
        <v>-1075</v>
      </c>
      <c r="W113" s="30"/>
      <c r="X113" s="30">
        <f t="shared" si="254"/>
        <v>-2565</v>
      </c>
      <c r="Y113" s="30">
        <f t="shared" si="255"/>
        <v>-3147</v>
      </c>
      <c r="Z113" s="30">
        <f t="shared" si="256"/>
        <v>-3822</v>
      </c>
      <c r="AA113" s="30">
        <f t="shared" si="257"/>
        <v>-4558</v>
      </c>
      <c r="AB113" s="30">
        <f t="shared" si="258"/>
        <v>-5115</v>
      </c>
      <c r="AC113" s="30">
        <f t="shared" si="259"/>
        <v>-4737</v>
      </c>
      <c r="AD113" s="30">
        <f t="shared" si="260"/>
        <v>-4488</v>
      </c>
      <c r="AE113" s="30">
        <f t="shared" si="261"/>
        <v>-3905</v>
      </c>
      <c r="AF113" s="30">
        <f t="shared" si="262"/>
        <v>-3387</v>
      </c>
      <c r="AG113" s="30">
        <f t="shared" si="263"/>
        <v>-3662</v>
      </c>
      <c r="AH113" s="30">
        <f t="shared" si="264"/>
        <v>-3802</v>
      </c>
      <c r="AI113" s="58"/>
      <c r="AJ113" s="71">
        <f t="shared" si="265"/>
        <v>-0.15285204991087342</v>
      </c>
    </row>
    <row r="114" spans="2:36" ht="12.75" customHeight="1">
      <c r="B114" s="59" t="s">
        <v>151</v>
      </c>
      <c r="C114" s="80">
        <v>-203761</v>
      </c>
      <c r="D114" s="80">
        <v>-605689</v>
      </c>
      <c r="E114" s="80">
        <v>-298445</v>
      </c>
      <c r="F114" s="80">
        <v>-296329</v>
      </c>
      <c r="G114" s="30"/>
      <c r="H114" s="80">
        <v>-311235</v>
      </c>
      <c r="I114" s="30">
        <f>-403899-H114</f>
        <v>-92664</v>
      </c>
      <c r="J114" s="30">
        <f>-488887-I114-H114</f>
        <v>-84988</v>
      </c>
      <c r="K114" s="30">
        <f t="shared" si="251"/>
        <v>-116802</v>
      </c>
      <c r="L114" s="80">
        <v>-64430</v>
      </c>
      <c r="M114" s="30">
        <f>-185377-L114</f>
        <v>-120947</v>
      </c>
      <c r="N114" s="30">
        <f>-230350-M114-L114</f>
        <v>-44973</v>
      </c>
      <c r="O114" s="30">
        <f t="shared" si="252"/>
        <v>-68095</v>
      </c>
      <c r="P114" s="80">
        <v>-66619</v>
      </c>
      <c r="Q114" s="30">
        <f>-146098-P114</f>
        <v>-79479</v>
      </c>
      <c r="R114" s="30">
        <f>-241162-Q114-P114</f>
        <v>-95064</v>
      </c>
      <c r="S114" s="30">
        <f t="shared" si="253"/>
        <v>-55167</v>
      </c>
      <c r="T114" s="80">
        <v>-320571</v>
      </c>
      <c r="U114" s="30">
        <f>-435130-T114</f>
        <v>-114559</v>
      </c>
      <c r="V114" s="30">
        <f>-1252367-U114-T114</f>
        <v>-817237</v>
      </c>
      <c r="W114" s="30"/>
      <c r="X114" s="30">
        <f t="shared" si="254"/>
        <v>-358884</v>
      </c>
      <c r="Y114" s="30">
        <f t="shared" si="255"/>
        <v>-387167</v>
      </c>
      <c r="Z114" s="30">
        <f t="shared" si="256"/>
        <v>-347152</v>
      </c>
      <c r="AA114" s="30">
        <f t="shared" si="257"/>
        <v>-298445</v>
      </c>
      <c r="AB114" s="30">
        <f t="shared" si="258"/>
        <v>-300634</v>
      </c>
      <c r="AC114" s="30">
        <f t="shared" si="259"/>
        <v>-259166</v>
      </c>
      <c r="AD114" s="30">
        <f t="shared" si="260"/>
        <v>-309257</v>
      </c>
      <c r="AE114" s="30">
        <f t="shared" si="261"/>
        <v>-296329</v>
      </c>
      <c r="AF114" s="30">
        <f t="shared" si="262"/>
        <v>-550281</v>
      </c>
      <c r="AG114" s="30">
        <f t="shared" si="263"/>
        <v>-585361</v>
      </c>
      <c r="AH114" s="30">
        <f t="shared" si="264"/>
        <v>-1307534</v>
      </c>
      <c r="AI114" s="58"/>
      <c r="AJ114" s="71">
        <f t="shared" si="265"/>
        <v>3.2279851385740663</v>
      </c>
    </row>
    <row r="115" spans="2:36" ht="12.75" customHeight="1">
      <c r="B115" s="59" t="s">
        <v>152</v>
      </c>
      <c r="C115" s="80">
        <v>0</v>
      </c>
      <c r="D115" s="80">
        <v>310045</v>
      </c>
      <c r="E115" s="80">
        <v>386760</v>
      </c>
      <c r="F115" s="80">
        <v>418082</v>
      </c>
      <c r="G115" s="30"/>
      <c r="H115" s="80">
        <v>10400</v>
      </c>
      <c r="I115" s="30">
        <f>73090-H115</f>
        <v>62690</v>
      </c>
      <c r="J115" s="30">
        <f>185150-I115-H115</f>
        <v>112060</v>
      </c>
      <c r="K115" s="30">
        <f t="shared" si="251"/>
        <v>124895</v>
      </c>
      <c r="L115" s="80">
        <v>88091</v>
      </c>
      <c r="M115" s="30">
        <f>189446-L115</f>
        <v>101355</v>
      </c>
      <c r="N115" s="30">
        <f>285665-M115-L115</f>
        <v>96219</v>
      </c>
      <c r="O115" s="30">
        <f t="shared" si="252"/>
        <v>101095</v>
      </c>
      <c r="P115" s="80">
        <v>115045</v>
      </c>
      <c r="Q115" s="30">
        <f>211572-P115</f>
        <v>96527</v>
      </c>
      <c r="R115" s="30">
        <f>318192-Q115-P115</f>
        <v>106620</v>
      </c>
      <c r="S115" s="30">
        <f t="shared" si="253"/>
        <v>99890</v>
      </c>
      <c r="T115" s="80">
        <v>93805</v>
      </c>
      <c r="U115" s="30">
        <f>211180-T115</f>
        <v>117375</v>
      </c>
      <c r="V115" s="30">
        <f>407730-U115-T115</f>
        <v>196550</v>
      </c>
      <c r="W115" s="30"/>
      <c r="X115" s="30">
        <f t="shared" si="254"/>
        <v>387736</v>
      </c>
      <c r="Y115" s="30">
        <f t="shared" si="255"/>
        <v>426401</v>
      </c>
      <c r="Z115" s="30">
        <f t="shared" si="256"/>
        <v>410560</v>
      </c>
      <c r="AA115" s="30">
        <f t="shared" si="257"/>
        <v>386760</v>
      </c>
      <c r="AB115" s="30">
        <f t="shared" si="258"/>
        <v>413714</v>
      </c>
      <c r="AC115" s="30">
        <f t="shared" si="259"/>
        <v>408886</v>
      </c>
      <c r="AD115" s="30">
        <f t="shared" si="260"/>
        <v>419287</v>
      </c>
      <c r="AE115" s="30">
        <f t="shared" si="261"/>
        <v>418082</v>
      </c>
      <c r="AF115" s="30">
        <f t="shared" si="262"/>
        <v>396842</v>
      </c>
      <c r="AG115" s="30">
        <f t="shared" si="263"/>
        <v>417690</v>
      </c>
      <c r="AH115" s="30">
        <f t="shared" si="264"/>
        <v>507620</v>
      </c>
      <c r="AI115" s="58"/>
      <c r="AJ115" s="71">
        <f t="shared" si="265"/>
        <v>0.21067431139052717</v>
      </c>
    </row>
    <row r="116" spans="2:36" ht="12.75" customHeight="1">
      <c r="B116" s="59" t="s">
        <v>153</v>
      </c>
      <c r="C116" s="80">
        <v>0</v>
      </c>
      <c r="D116" s="80">
        <v>-848</v>
      </c>
      <c r="E116" s="80">
        <v>0</v>
      </c>
      <c r="F116" s="80">
        <v>-15454</v>
      </c>
      <c r="G116" s="30"/>
      <c r="H116" s="80">
        <v>0</v>
      </c>
      <c r="I116" s="30">
        <v>0</v>
      </c>
      <c r="J116" s="30">
        <v>0</v>
      </c>
      <c r="K116" s="30">
        <f t="shared" ref="K116" si="266">SUM(D116-SUM(H116:J116))</f>
        <v>-848</v>
      </c>
      <c r="L116" s="80">
        <v>0</v>
      </c>
      <c r="M116" s="30">
        <v>0</v>
      </c>
      <c r="N116" s="30">
        <v>0</v>
      </c>
      <c r="O116" s="30">
        <f t="shared" ref="O116" si="267">SUM(E116-SUM(L116:N116))</f>
        <v>0</v>
      </c>
      <c r="P116" s="80">
        <v>0</v>
      </c>
      <c r="Q116" s="30">
        <v>0</v>
      </c>
      <c r="R116" s="30">
        <v>0</v>
      </c>
      <c r="S116" s="30">
        <f t="shared" ref="S116" si="268">SUM(F116-SUM(P116:R116))</f>
        <v>-15454</v>
      </c>
      <c r="T116" s="80">
        <v>0</v>
      </c>
      <c r="U116" s="30">
        <f>28667-T116</f>
        <v>28667</v>
      </c>
      <c r="V116" s="30">
        <f>-13100-U116-T116</f>
        <v>-41767</v>
      </c>
      <c r="W116" s="30"/>
      <c r="X116" s="30">
        <f t="shared" si="254"/>
        <v>-848</v>
      </c>
      <c r="Y116" s="30">
        <f t="shared" si="255"/>
        <v>-848</v>
      </c>
      <c r="Z116" s="30">
        <f t="shared" si="256"/>
        <v>-848</v>
      </c>
      <c r="AA116" s="30">
        <f t="shared" si="257"/>
        <v>0</v>
      </c>
      <c r="AB116" s="30">
        <f t="shared" si="258"/>
        <v>0</v>
      </c>
      <c r="AC116" s="30">
        <f t="shared" si="259"/>
        <v>0</v>
      </c>
      <c r="AD116" s="30">
        <f t="shared" si="260"/>
        <v>0</v>
      </c>
      <c r="AE116" s="30">
        <f t="shared" si="261"/>
        <v>-15454</v>
      </c>
      <c r="AF116" s="30">
        <f t="shared" si="262"/>
        <v>-15454</v>
      </c>
      <c r="AG116" s="30">
        <f t="shared" si="263"/>
        <v>13213</v>
      </c>
      <c r="AH116" s="30">
        <f t="shared" si="264"/>
        <v>-28554</v>
      </c>
      <c r="AI116" s="58"/>
      <c r="AJ116" s="71" t="e">
        <f t="shared" si="265"/>
        <v>#DIV/0!</v>
      </c>
    </row>
    <row r="117" spans="2:36" ht="12.75" customHeight="1">
      <c r="B117" s="56" t="s">
        <v>160</v>
      </c>
      <c r="C117" s="80">
        <v>-620</v>
      </c>
      <c r="D117" s="80">
        <v>-1049</v>
      </c>
      <c r="E117" s="80">
        <v>-1288</v>
      </c>
      <c r="F117" s="80">
        <v>-1672</v>
      </c>
      <c r="G117" s="30"/>
      <c r="H117" s="80">
        <v>-134</v>
      </c>
      <c r="I117" s="30">
        <f>-370-H117</f>
        <v>-236</v>
      </c>
      <c r="J117" s="30">
        <f>-598-I117-H117</f>
        <v>-228</v>
      </c>
      <c r="K117" s="30">
        <f t="shared" ref="K117" si="269">SUM(D117-SUM(H117:J117))</f>
        <v>-451</v>
      </c>
      <c r="L117" s="80">
        <v>-318</v>
      </c>
      <c r="M117" s="30">
        <f>-628-L117</f>
        <v>-310</v>
      </c>
      <c r="N117" s="30">
        <f>-1057-M117-L117</f>
        <v>-429</v>
      </c>
      <c r="O117" s="30">
        <f t="shared" ref="O117" si="270">SUM(E117-SUM(L117:N117))</f>
        <v>-231</v>
      </c>
      <c r="P117" s="80">
        <v>-357</v>
      </c>
      <c r="Q117" s="30">
        <f>-892-P117</f>
        <v>-535</v>
      </c>
      <c r="R117" s="30">
        <f>-1201-Q117-P117</f>
        <v>-309</v>
      </c>
      <c r="S117" s="30">
        <f t="shared" ref="S117" si="271">SUM(F117-SUM(P117:R117))</f>
        <v>-471</v>
      </c>
      <c r="T117" s="80">
        <v>-220</v>
      </c>
      <c r="U117" s="30">
        <f>-307-T117</f>
        <v>-87</v>
      </c>
      <c r="V117" s="30">
        <f>-5306-U117-T117</f>
        <v>-4999</v>
      </c>
      <c r="W117" s="30"/>
      <c r="X117" s="30">
        <f t="shared" si="254"/>
        <v>-1233</v>
      </c>
      <c r="Y117" s="30">
        <f t="shared" si="255"/>
        <v>-1307</v>
      </c>
      <c r="Z117" s="30">
        <f t="shared" si="256"/>
        <v>-1508</v>
      </c>
      <c r="AA117" s="30">
        <f t="shared" si="257"/>
        <v>-1288</v>
      </c>
      <c r="AB117" s="30">
        <f t="shared" si="258"/>
        <v>-1327</v>
      </c>
      <c r="AC117" s="30">
        <f t="shared" si="259"/>
        <v>-1552</v>
      </c>
      <c r="AD117" s="30">
        <f t="shared" si="260"/>
        <v>-1432</v>
      </c>
      <c r="AE117" s="30">
        <f t="shared" si="261"/>
        <v>-1672</v>
      </c>
      <c r="AF117" s="30">
        <f t="shared" si="262"/>
        <v>-1535</v>
      </c>
      <c r="AG117" s="30">
        <f t="shared" si="263"/>
        <v>-1087</v>
      </c>
      <c r="AH117" s="30">
        <f t="shared" si="264"/>
        <v>-5777</v>
      </c>
      <c r="AI117" s="58"/>
      <c r="AJ117" s="71">
        <f t="shared" si="265"/>
        <v>3.0342178770949717</v>
      </c>
    </row>
    <row r="118" spans="2:36" ht="12.75" customHeight="1">
      <c r="B118" s="12" t="s">
        <v>74</v>
      </c>
      <c r="C118" s="13">
        <f>SUM(C112:C117)</f>
        <v>-213785</v>
      </c>
      <c r="D118" s="13">
        <f>SUM(D112:D117)</f>
        <v>-309056</v>
      </c>
      <c r="E118" s="13">
        <f>SUM(E112:E117)</f>
        <v>68766</v>
      </c>
      <c r="F118" s="13">
        <f>SUM(F112:F117)</f>
        <v>82730</v>
      </c>
      <c r="H118" s="13">
        <f>SUM(H112:H117)</f>
        <v>-304098</v>
      </c>
      <c r="I118" s="13">
        <f>SUM(I112:I117)</f>
        <v>-35085</v>
      </c>
      <c r="J118" s="13">
        <f>SUM(J112:J117)</f>
        <v>24976</v>
      </c>
      <c r="K118" s="13">
        <f>SUM(K112:K117)</f>
        <v>5151</v>
      </c>
      <c r="L118" s="13">
        <f>SUM(L112:L117)</f>
        <v>21315</v>
      </c>
      <c r="M118" s="13">
        <f>SUM(M112:M117)</f>
        <v>-22235</v>
      </c>
      <c r="N118" s="13">
        <f>SUM(N112:N117)</f>
        <v>45500</v>
      </c>
      <c r="O118" s="13">
        <f>SUM(O112:O117)</f>
        <v>24186</v>
      </c>
      <c r="P118" s="13">
        <f>SUM(P112:P117)</f>
        <v>43529</v>
      </c>
      <c r="Q118" s="13">
        <f>SUM(Q112:Q117)</f>
        <v>8295</v>
      </c>
      <c r="R118" s="13">
        <f>SUM(R112:R117)</f>
        <v>6542</v>
      </c>
      <c r="S118" s="13">
        <f>SUM(S112:S117)</f>
        <v>24364</v>
      </c>
      <c r="T118" s="13">
        <f>SUM(T112:T117)</f>
        <v>-230176</v>
      </c>
      <c r="U118" s="13">
        <f>SUM(U112:U117)</f>
        <v>29199</v>
      </c>
      <c r="V118" s="13">
        <f>SUM(V112:V117)</f>
        <v>-672655</v>
      </c>
      <c r="X118" s="13">
        <f>SUM(X112:X117)</f>
        <v>16357</v>
      </c>
      <c r="Y118" s="13">
        <f>SUM(Y112:Y117)</f>
        <v>29207</v>
      </c>
      <c r="Z118" s="13">
        <f>SUM(Z112:Z117)</f>
        <v>49731</v>
      </c>
      <c r="AA118" s="13">
        <f>SUM(AA112:AA117)</f>
        <v>68766</v>
      </c>
      <c r="AB118" s="13">
        <f>SUM(AB112:AB117)</f>
        <v>90980</v>
      </c>
      <c r="AC118" s="13">
        <f>SUM(AC112:AC117)</f>
        <v>121510</v>
      </c>
      <c r="AD118" s="13">
        <f>SUM(AD112:AD117)</f>
        <v>82552</v>
      </c>
      <c r="AE118" s="13">
        <f>SUM(AE112:AE117)</f>
        <v>82730</v>
      </c>
      <c r="AF118" s="13">
        <f>SUM(AF112:AF117)</f>
        <v>-190975</v>
      </c>
      <c r="AG118" s="13">
        <f>SUM(AG112:AG117)</f>
        <v>-170071</v>
      </c>
      <c r="AH118" s="13">
        <f>SUM(AH112:AH117)</f>
        <v>-849268</v>
      </c>
      <c r="AI118" s="40"/>
      <c r="AJ118" s="72">
        <f>SUM(AH118/AD118)-1</f>
        <v>-11.287673224149627</v>
      </c>
    </row>
    <row r="119" spans="2:36" ht="5.0999999999999996" customHeight="1">
      <c r="B119" s="51"/>
      <c r="C119" s="60"/>
      <c r="D119" s="60"/>
      <c r="E119" s="60"/>
      <c r="F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37"/>
    </row>
    <row r="120" spans="2:36" ht="12.75" customHeight="1">
      <c r="B120" s="52" t="s">
        <v>75</v>
      </c>
      <c r="C120" s="61"/>
      <c r="D120" s="61"/>
      <c r="E120" s="61"/>
      <c r="F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62"/>
      <c r="AJ120" s="37"/>
    </row>
    <row r="121" spans="2:36" ht="12.75" customHeight="1">
      <c r="B121" s="81" t="s">
        <v>113</v>
      </c>
      <c r="C121" s="80">
        <f>5457+26070-968</f>
        <v>30559</v>
      </c>
      <c r="D121" s="80">
        <v>1059</v>
      </c>
      <c r="E121" s="80">
        <v>1954</v>
      </c>
      <c r="F121" s="80">
        <f>8012+33437</f>
        <v>41449</v>
      </c>
      <c r="H121" s="80">
        <f>132+16</f>
        <v>148</v>
      </c>
      <c r="I121" s="30">
        <f>567+16+472-H121</f>
        <v>907</v>
      </c>
      <c r="J121" s="30">
        <f>953+1195+17-I121-H121</f>
        <v>1110</v>
      </c>
      <c r="K121" s="30">
        <f t="shared" ref="K121:K122" si="272">SUM(D121-SUM(H121:J121))</f>
        <v>-1106</v>
      </c>
      <c r="L121" s="80">
        <v>52</v>
      </c>
      <c r="M121" s="30">
        <f>541-L121</f>
        <v>489</v>
      </c>
      <c r="N121" s="30">
        <f>775-M121-L121</f>
        <v>234</v>
      </c>
      <c r="O121" s="30">
        <f t="shared" ref="O121:O122" si="273">SUM(E121-SUM(L121:N121))</f>
        <v>1179</v>
      </c>
      <c r="P121" s="80">
        <f>486+873</f>
        <v>1359</v>
      </c>
      <c r="Q121" s="30">
        <f>1185-P121</f>
        <v>-174</v>
      </c>
      <c r="R121" s="30">
        <f>2270-Q121-P121</f>
        <v>1085</v>
      </c>
      <c r="S121" s="30">
        <f t="shared" ref="S121:S122" si="274">SUM(F121-SUM(P121:R121))</f>
        <v>39179</v>
      </c>
      <c r="T121" s="80">
        <f>362303+1213+516+4702</f>
        <v>368734</v>
      </c>
      <c r="U121" s="30">
        <f>358254+7564+5592+1447-T121</f>
        <v>4123</v>
      </c>
      <c r="V121" s="30">
        <f>1358254+11468+6708-U121-T121</f>
        <v>1003573</v>
      </c>
      <c r="W121" s="30"/>
      <c r="X121" s="30">
        <f t="shared" ref="X120:X122" si="275">SUM(I121:L121)</f>
        <v>963</v>
      </c>
      <c r="Y121" s="30">
        <f t="shared" ref="Y120:Y122" si="276">SUM(J121:M121)</f>
        <v>545</v>
      </c>
      <c r="Z121" s="30">
        <f t="shared" ref="Z120:Z122" si="277">SUM(K121:N121)</f>
        <v>-331</v>
      </c>
      <c r="AA121" s="30">
        <f t="shared" ref="AA120:AA122" si="278">SUM(L121:O121)</f>
        <v>1954</v>
      </c>
      <c r="AB121" s="30">
        <f t="shared" ref="AB120:AB122" si="279">SUM(M121:P121)</f>
        <v>3261</v>
      </c>
      <c r="AC121" s="30">
        <f t="shared" ref="AC120:AC122" si="280">SUM(N121:Q121)</f>
        <v>2598</v>
      </c>
      <c r="AD121" s="30">
        <f t="shared" ref="AD120:AD122" si="281">SUM(O121:R121)</f>
        <v>3449</v>
      </c>
      <c r="AE121" s="30">
        <f t="shared" ref="AE120:AE122" si="282">SUM(P121:S121)</f>
        <v>41449</v>
      </c>
      <c r="AF121" s="30">
        <f t="shared" ref="AF120:AF122" si="283">SUM(Q121:T121)</f>
        <v>408824</v>
      </c>
      <c r="AG121" s="30">
        <f t="shared" ref="AG120:AG122" si="284">SUM(R121:U121)</f>
        <v>413121</v>
      </c>
      <c r="AH121" s="30">
        <f t="shared" ref="AH120:AH122" si="285">SUM(S121:V121)</f>
        <v>1415609</v>
      </c>
      <c r="AI121" s="62"/>
      <c r="AJ121" s="71">
        <f t="shared" ref="AJ121:AJ122" si="286">SUM(AH121/AD121)-1</f>
        <v>409.44041751232243</v>
      </c>
    </row>
    <row r="122" spans="2:36" ht="12.75" customHeight="1">
      <c r="B122" s="81" t="s">
        <v>114</v>
      </c>
      <c r="C122" s="80">
        <v>572668</v>
      </c>
      <c r="D122" s="80">
        <v>37</v>
      </c>
      <c r="E122" s="80">
        <v>-193</v>
      </c>
      <c r="F122" s="80">
        <v>238</v>
      </c>
      <c r="H122" s="80">
        <v>0</v>
      </c>
      <c r="I122" s="30">
        <v>0</v>
      </c>
      <c r="J122" s="30">
        <v>0</v>
      </c>
      <c r="K122" s="30">
        <f t="shared" si="272"/>
        <v>37</v>
      </c>
      <c r="L122" s="80">
        <v>-18</v>
      </c>
      <c r="M122" s="30">
        <f>-1-L122</f>
        <v>17</v>
      </c>
      <c r="N122" s="30">
        <f>9-M122-L122</f>
        <v>10</v>
      </c>
      <c r="O122" s="30">
        <f t="shared" si="273"/>
        <v>-202</v>
      </c>
      <c r="P122" s="80">
        <v>0</v>
      </c>
      <c r="Q122" s="30">
        <f>141-P122</f>
        <v>141</v>
      </c>
      <c r="R122" s="30">
        <f>144-Q122-P122</f>
        <v>3</v>
      </c>
      <c r="S122" s="30">
        <f t="shared" si="274"/>
        <v>94</v>
      </c>
      <c r="T122" s="80">
        <v>0</v>
      </c>
      <c r="U122" s="30">
        <v>0</v>
      </c>
      <c r="V122" s="30">
        <f>986-U122-T122</f>
        <v>986</v>
      </c>
      <c r="W122" s="30"/>
      <c r="X122" s="30">
        <f t="shared" si="275"/>
        <v>19</v>
      </c>
      <c r="Y122" s="30">
        <f t="shared" si="276"/>
        <v>36</v>
      </c>
      <c r="Z122" s="30">
        <f t="shared" si="277"/>
        <v>46</v>
      </c>
      <c r="AA122" s="30">
        <f t="shared" si="278"/>
        <v>-193</v>
      </c>
      <c r="AB122" s="30">
        <f t="shared" si="279"/>
        <v>-175</v>
      </c>
      <c r="AC122" s="30">
        <f t="shared" si="280"/>
        <v>-51</v>
      </c>
      <c r="AD122" s="30">
        <f t="shared" si="281"/>
        <v>-58</v>
      </c>
      <c r="AE122" s="30">
        <f t="shared" si="282"/>
        <v>238</v>
      </c>
      <c r="AF122" s="30">
        <f t="shared" si="283"/>
        <v>238</v>
      </c>
      <c r="AG122" s="30">
        <f t="shared" si="284"/>
        <v>97</v>
      </c>
      <c r="AH122" s="30">
        <f t="shared" si="285"/>
        <v>1080</v>
      </c>
      <c r="AI122" s="62"/>
      <c r="AJ122" s="71">
        <f t="shared" si="286"/>
        <v>-19.620689655172413</v>
      </c>
    </row>
    <row r="123" spans="2:36" ht="12.75" customHeight="1">
      <c r="B123" s="12" t="s">
        <v>76</v>
      </c>
      <c r="C123" s="13">
        <f>SUM(C121:C122)</f>
        <v>603227</v>
      </c>
      <c r="D123" s="13">
        <f>SUM(D121:D122)</f>
        <v>1096</v>
      </c>
      <c r="E123" s="13">
        <f>SUM(E121:E122)</f>
        <v>1761</v>
      </c>
      <c r="F123" s="13">
        <f>SUM(F121:F122)</f>
        <v>41687</v>
      </c>
      <c r="H123" s="13">
        <f>SUM(H121:H122)</f>
        <v>148</v>
      </c>
      <c r="I123" s="13">
        <f>SUM(I121:I122)</f>
        <v>907</v>
      </c>
      <c r="J123" s="13">
        <f>SUM(J121:J122)</f>
        <v>1110</v>
      </c>
      <c r="K123" s="13">
        <f>SUM(K121:K122)</f>
        <v>-1069</v>
      </c>
      <c r="L123" s="13">
        <f>SUM(L121:L122)</f>
        <v>34</v>
      </c>
      <c r="M123" s="13">
        <f>SUM(M121:M122)</f>
        <v>506</v>
      </c>
      <c r="N123" s="13">
        <f>SUM(N121:N122)</f>
        <v>244</v>
      </c>
      <c r="O123" s="13">
        <f>SUM(O121:O122)</f>
        <v>977</v>
      </c>
      <c r="P123" s="13">
        <f>SUM(P121:P122)</f>
        <v>1359</v>
      </c>
      <c r="Q123" s="13">
        <f>SUM(Q121:Q122)</f>
        <v>-33</v>
      </c>
      <c r="R123" s="13">
        <f>SUM(R121:R122)</f>
        <v>1088</v>
      </c>
      <c r="S123" s="13">
        <f>SUM(S121:S122)</f>
        <v>39273</v>
      </c>
      <c r="T123" s="13">
        <f>SUM(T121:T122)</f>
        <v>368734</v>
      </c>
      <c r="U123" s="13">
        <f>SUM(U121:U122)</f>
        <v>4123</v>
      </c>
      <c r="V123" s="13">
        <f>SUM(V121:V122)</f>
        <v>1004559</v>
      </c>
      <c r="X123" s="13">
        <f t="shared" ref="X123:AH123" si="287">SUM(X121:X122)</f>
        <v>982</v>
      </c>
      <c r="Y123" s="13">
        <f t="shared" si="287"/>
        <v>581</v>
      </c>
      <c r="Z123" s="13">
        <f t="shared" si="287"/>
        <v>-285</v>
      </c>
      <c r="AA123" s="13">
        <f t="shared" si="287"/>
        <v>1761</v>
      </c>
      <c r="AB123" s="13">
        <f t="shared" si="287"/>
        <v>3086</v>
      </c>
      <c r="AC123" s="13">
        <f t="shared" si="287"/>
        <v>2547</v>
      </c>
      <c r="AD123" s="13">
        <f t="shared" si="287"/>
        <v>3391</v>
      </c>
      <c r="AE123" s="13">
        <f t="shared" si="287"/>
        <v>41687</v>
      </c>
      <c r="AF123" s="13">
        <f t="shared" si="287"/>
        <v>409062</v>
      </c>
      <c r="AG123" s="13">
        <f t="shared" si="287"/>
        <v>413218</v>
      </c>
      <c r="AH123" s="13">
        <f t="shared" si="287"/>
        <v>1416689</v>
      </c>
      <c r="AI123" s="40"/>
      <c r="AJ123" s="72">
        <f>SUM(AH123/AD123)-1</f>
        <v>416.7791212031849</v>
      </c>
    </row>
    <row r="124" spans="2:36" ht="5.0999999999999996" customHeight="1">
      <c r="B124" s="8"/>
      <c r="C124" s="63"/>
      <c r="D124" s="63"/>
      <c r="E124" s="63"/>
      <c r="F124" s="63"/>
      <c r="G124" s="30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44"/>
    </row>
    <row r="125" spans="2:36" ht="5.0999999999999996" customHeight="1">
      <c r="B125" s="68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11"/>
      <c r="AJ125" s="44"/>
    </row>
    <row r="126" spans="2:36">
      <c r="B126" s="148" t="s">
        <v>81</v>
      </c>
      <c r="C126" s="147">
        <v>36120</v>
      </c>
      <c r="D126" s="136">
        <f>C132</f>
        <v>399025</v>
      </c>
      <c r="E126" s="136">
        <f t="shared" ref="E126:F126" si="288">D132</f>
        <v>44367</v>
      </c>
      <c r="F126" s="136">
        <f t="shared" si="288"/>
        <v>35665</v>
      </c>
      <c r="G126" s="136"/>
      <c r="H126" s="136">
        <f>C132</f>
        <v>399025</v>
      </c>
      <c r="I126" s="136">
        <f>H132</f>
        <v>86751</v>
      </c>
      <c r="J126" s="136">
        <f t="shared" ref="J126:V126" si="289">I132</f>
        <v>43968</v>
      </c>
      <c r="K126" s="136">
        <f t="shared" si="289"/>
        <v>57198</v>
      </c>
      <c r="L126" s="136">
        <f t="shared" si="289"/>
        <v>44367</v>
      </c>
      <c r="M126" s="136">
        <f t="shared" si="289"/>
        <v>51901</v>
      </c>
      <c r="N126" s="136">
        <f t="shared" si="289"/>
        <v>13984</v>
      </c>
      <c r="O126" s="136">
        <f t="shared" si="289"/>
        <v>37137</v>
      </c>
      <c r="P126" s="136">
        <f t="shared" si="289"/>
        <v>35665</v>
      </c>
      <c r="Q126" s="136">
        <f t="shared" si="289"/>
        <v>60074</v>
      </c>
      <c r="R126" s="136">
        <f t="shared" si="289"/>
        <v>41752</v>
      </c>
      <c r="S126" s="136">
        <f t="shared" si="289"/>
        <v>30172</v>
      </c>
      <c r="T126" s="136">
        <f t="shared" si="289"/>
        <v>54393</v>
      </c>
      <c r="U126" s="136">
        <f t="shared" si="289"/>
        <v>159681</v>
      </c>
      <c r="V126" s="136">
        <f t="shared" si="289"/>
        <v>140067</v>
      </c>
      <c r="W126" s="136"/>
      <c r="X126" s="136">
        <f t="shared" ref="X126:AG126" si="290">H132</f>
        <v>86751</v>
      </c>
      <c r="Y126" s="136">
        <f t="shared" si="290"/>
        <v>43968</v>
      </c>
      <c r="Z126" s="136">
        <f t="shared" si="290"/>
        <v>57198</v>
      </c>
      <c r="AA126" s="136">
        <f t="shared" si="290"/>
        <v>44367</v>
      </c>
      <c r="AB126" s="136">
        <f t="shared" si="290"/>
        <v>51901</v>
      </c>
      <c r="AC126" s="136">
        <f t="shared" si="290"/>
        <v>13984</v>
      </c>
      <c r="AD126" s="136">
        <f t="shared" si="290"/>
        <v>37137</v>
      </c>
      <c r="AE126" s="136">
        <f t="shared" si="290"/>
        <v>35665</v>
      </c>
      <c r="AF126" s="136">
        <f t="shared" si="290"/>
        <v>60074</v>
      </c>
      <c r="AG126" s="136">
        <f t="shared" si="290"/>
        <v>41752</v>
      </c>
      <c r="AH126" s="138">
        <f>R132</f>
        <v>30172</v>
      </c>
      <c r="AI126" s="11"/>
      <c r="AJ126" s="44"/>
    </row>
    <row r="127" spans="2:36">
      <c r="B127" s="149" t="s">
        <v>108</v>
      </c>
      <c r="C127" s="135">
        <v>0</v>
      </c>
      <c r="D127" s="135">
        <v>0</v>
      </c>
      <c r="E127" s="135">
        <f>-D130</f>
        <v>2000</v>
      </c>
      <c r="F127" s="135">
        <f>-E130-2</f>
        <v>2416</v>
      </c>
      <c r="G127" s="135"/>
      <c r="H127" s="135">
        <v>0</v>
      </c>
      <c r="I127" s="135">
        <f>-H130</f>
        <v>0</v>
      </c>
      <c r="J127" s="135">
        <f>-I130</f>
        <v>0</v>
      </c>
      <c r="K127" s="135">
        <f>-J130</f>
        <v>0</v>
      </c>
      <c r="L127" s="135">
        <f>-K130</f>
        <v>2000</v>
      </c>
      <c r="M127" s="135">
        <f t="shared" ref="M127:R127" si="291">-L130</f>
        <v>2000</v>
      </c>
      <c r="N127" s="135">
        <f t="shared" si="291"/>
        <v>2102</v>
      </c>
      <c r="O127" s="135">
        <f t="shared" si="291"/>
        <v>2413</v>
      </c>
      <c r="P127" s="135">
        <f>-O130-2</f>
        <v>2416</v>
      </c>
      <c r="Q127" s="135">
        <f t="shared" si="291"/>
        <v>2430</v>
      </c>
      <c r="R127" s="135">
        <f t="shared" si="291"/>
        <v>2435</v>
      </c>
      <c r="S127" s="135">
        <f t="shared" ref="S127" si="292">-R130</f>
        <v>2434</v>
      </c>
      <c r="T127" s="135">
        <f>-S130+25</f>
        <v>2447</v>
      </c>
      <c r="U127" s="135">
        <f t="shared" ref="U127" si="293">-T130</f>
        <v>2692</v>
      </c>
      <c r="V127" s="135">
        <f t="shared" ref="V127" si="294">-U130</f>
        <v>3054</v>
      </c>
      <c r="W127" s="135"/>
      <c r="X127" s="135">
        <f t="shared" ref="X127:AG127" si="295">SUM(I127:L127)</f>
        <v>2000</v>
      </c>
      <c r="Y127" s="135">
        <f t="shared" si="295"/>
        <v>4000</v>
      </c>
      <c r="Z127" s="135">
        <f t="shared" si="295"/>
        <v>6102</v>
      </c>
      <c r="AA127" s="135">
        <f t="shared" si="295"/>
        <v>8515</v>
      </c>
      <c r="AB127" s="135">
        <f t="shared" si="295"/>
        <v>8931</v>
      </c>
      <c r="AC127" s="135">
        <f t="shared" si="295"/>
        <v>9361</v>
      </c>
      <c r="AD127" s="135">
        <f t="shared" si="295"/>
        <v>9694</v>
      </c>
      <c r="AE127" s="135">
        <f t="shared" si="295"/>
        <v>9715</v>
      </c>
      <c r="AF127" s="135">
        <f t="shared" si="295"/>
        <v>9746</v>
      </c>
      <c r="AG127" s="135">
        <f t="shared" si="295"/>
        <v>10008</v>
      </c>
      <c r="AH127" s="139">
        <f>SUM(S127:V127)</f>
        <v>10627</v>
      </c>
      <c r="AI127" s="11"/>
      <c r="AJ127" s="44"/>
    </row>
    <row r="128" spans="2:36">
      <c r="B128" s="150" t="s">
        <v>93</v>
      </c>
      <c r="C128" s="84">
        <f t="shared" ref="C128:F128" si="296">SUM(C126:C127)</f>
        <v>36120</v>
      </c>
      <c r="D128" s="84">
        <f t="shared" si="296"/>
        <v>399025</v>
      </c>
      <c r="E128" s="84">
        <f t="shared" si="296"/>
        <v>46367</v>
      </c>
      <c r="F128" s="84">
        <f t="shared" si="296"/>
        <v>38081</v>
      </c>
      <c r="G128" s="135"/>
      <c r="H128" s="84">
        <f t="shared" ref="H128:V128" si="297">SUM(H126:H127)</f>
        <v>399025</v>
      </c>
      <c r="I128" s="84">
        <f t="shared" si="297"/>
        <v>86751</v>
      </c>
      <c r="J128" s="84">
        <f t="shared" si="297"/>
        <v>43968</v>
      </c>
      <c r="K128" s="84">
        <f t="shared" si="297"/>
        <v>57198</v>
      </c>
      <c r="L128" s="84">
        <f t="shared" si="297"/>
        <v>46367</v>
      </c>
      <c r="M128" s="84">
        <f t="shared" si="297"/>
        <v>53901</v>
      </c>
      <c r="N128" s="84">
        <f t="shared" si="297"/>
        <v>16086</v>
      </c>
      <c r="O128" s="84">
        <f t="shared" si="297"/>
        <v>39550</v>
      </c>
      <c r="P128" s="84">
        <f t="shared" si="297"/>
        <v>38081</v>
      </c>
      <c r="Q128" s="84">
        <f t="shared" si="297"/>
        <v>62504</v>
      </c>
      <c r="R128" s="84">
        <f t="shared" si="297"/>
        <v>44187</v>
      </c>
      <c r="S128" s="84">
        <f t="shared" si="297"/>
        <v>32606</v>
      </c>
      <c r="T128" s="84">
        <f t="shared" si="297"/>
        <v>56840</v>
      </c>
      <c r="U128" s="84">
        <f t="shared" si="297"/>
        <v>162373</v>
      </c>
      <c r="V128" s="84">
        <f t="shared" si="297"/>
        <v>143121</v>
      </c>
      <c r="W128" s="135"/>
      <c r="X128" s="134">
        <f t="shared" ref="X128:AH128" si="298">SUM(X126:X127)</f>
        <v>88751</v>
      </c>
      <c r="Y128" s="134">
        <f t="shared" si="298"/>
        <v>47968</v>
      </c>
      <c r="Z128" s="134">
        <f t="shared" si="298"/>
        <v>63300</v>
      </c>
      <c r="AA128" s="134">
        <f t="shared" si="298"/>
        <v>52882</v>
      </c>
      <c r="AB128" s="134">
        <f t="shared" si="298"/>
        <v>60832</v>
      </c>
      <c r="AC128" s="134">
        <f t="shared" si="298"/>
        <v>23345</v>
      </c>
      <c r="AD128" s="134">
        <f t="shared" ref="AD128" si="299">SUM(AD126:AD127)</f>
        <v>46831</v>
      </c>
      <c r="AE128" s="134">
        <f t="shared" ref="AE128" si="300">SUM(AE126:AE127)</f>
        <v>45380</v>
      </c>
      <c r="AF128" s="134">
        <f t="shared" ref="AF128" si="301">SUM(AF126:AF127)</f>
        <v>69820</v>
      </c>
      <c r="AG128" s="134">
        <f t="shared" ref="AG128" si="302">SUM(AG126:AG127)</f>
        <v>51760</v>
      </c>
      <c r="AH128" s="140">
        <f t="shared" si="298"/>
        <v>40799</v>
      </c>
      <c r="AI128" s="11"/>
      <c r="AJ128" s="44"/>
    </row>
    <row r="129" spans="2:36">
      <c r="B129" s="151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9"/>
      <c r="AI129" s="11"/>
      <c r="AJ129" s="44"/>
    </row>
    <row r="130" spans="2:36">
      <c r="B130" s="149" t="s">
        <v>109</v>
      </c>
      <c r="C130" s="142">
        <v>0</v>
      </c>
      <c r="D130" s="142">
        <f>-D46</f>
        <v>-2000</v>
      </c>
      <c r="E130" s="142">
        <f>-E46-2</f>
        <v>-2418</v>
      </c>
      <c r="F130" s="142">
        <f>-F46+25</f>
        <v>-2422</v>
      </c>
      <c r="G130" s="135"/>
      <c r="H130" s="142">
        <f>-H46</f>
        <v>0</v>
      </c>
      <c r="I130" s="142">
        <f t="shared" ref="I130:J130" si="303">-I46</f>
        <v>0</v>
      </c>
      <c r="J130" s="142">
        <f t="shared" si="303"/>
        <v>0</v>
      </c>
      <c r="K130" s="135">
        <f>D130</f>
        <v>-2000</v>
      </c>
      <c r="L130" s="142">
        <f>-L46</f>
        <v>-2000</v>
      </c>
      <c r="M130" s="142">
        <f t="shared" ref="M130" si="304">-M46</f>
        <v>-2102</v>
      </c>
      <c r="N130" s="142">
        <f>-N46+3</f>
        <v>-2413</v>
      </c>
      <c r="O130" s="135">
        <f>E130</f>
        <v>-2418</v>
      </c>
      <c r="P130" s="142">
        <f>-P46+4</f>
        <v>-2430</v>
      </c>
      <c r="Q130" s="142">
        <f>-Q46+4</f>
        <v>-2435</v>
      </c>
      <c r="R130" s="142">
        <f>-R46+4</f>
        <v>-2434</v>
      </c>
      <c r="S130" s="135">
        <f>F130</f>
        <v>-2422</v>
      </c>
      <c r="T130" s="142">
        <f>-T46-13</f>
        <v>-2692</v>
      </c>
      <c r="U130" s="142">
        <f>-U46+391</f>
        <v>-3054</v>
      </c>
      <c r="V130" s="142">
        <f>-V46+375</f>
        <v>-5915</v>
      </c>
      <c r="W130" s="135"/>
      <c r="X130" s="135">
        <f t="shared" ref="X130:AG131" si="305">SUM(I130:L130)</f>
        <v>-4000</v>
      </c>
      <c r="Y130" s="135">
        <f t="shared" si="305"/>
        <v>-6102</v>
      </c>
      <c r="Z130" s="135">
        <f t="shared" si="305"/>
        <v>-8515</v>
      </c>
      <c r="AA130" s="135">
        <f t="shared" si="305"/>
        <v>-8933</v>
      </c>
      <c r="AB130" s="135">
        <f t="shared" si="305"/>
        <v>-9363</v>
      </c>
      <c r="AC130" s="135">
        <f t="shared" si="305"/>
        <v>-9696</v>
      </c>
      <c r="AD130" s="135">
        <f t="shared" si="305"/>
        <v>-9717</v>
      </c>
      <c r="AE130" s="135">
        <f t="shared" si="305"/>
        <v>-9721</v>
      </c>
      <c r="AF130" s="135">
        <f t="shared" si="305"/>
        <v>-9983</v>
      </c>
      <c r="AG130" s="135">
        <f t="shared" si="305"/>
        <v>-10602</v>
      </c>
      <c r="AH130" s="139">
        <f>SUM(S130:V130)</f>
        <v>-14083</v>
      </c>
      <c r="AI130" s="11"/>
      <c r="AJ130" s="44"/>
    </row>
    <row r="131" spans="2:36">
      <c r="B131" s="151" t="s">
        <v>80</v>
      </c>
      <c r="C131" s="135">
        <f>+C123+C118+C109</f>
        <v>362905</v>
      </c>
      <c r="D131" s="135">
        <f>+D123+D118+D109</f>
        <v>-352658</v>
      </c>
      <c r="E131" s="135">
        <f>+E123+E118+E109</f>
        <v>-8284</v>
      </c>
      <c r="F131" s="135">
        <f>+F123+F118+F109</f>
        <v>18734</v>
      </c>
      <c r="G131" s="135"/>
      <c r="H131" s="135">
        <f>+H123+H118+H109</f>
        <v>-312274</v>
      </c>
      <c r="I131" s="135">
        <f>+I123+I118+I109</f>
        <v>-42783</v>
      </c>
      <c r="J131" s="135">
        <f>+J123+J118+J109</f>
        <v>13230</v>
      </c>
      <c r="K131" s="135">
        <f>+K123+K118+K109</f>
        <v>-10831</v>
      </c>
      <c r="L131" s="135">
        <f>+L123+L118+L109</f>
        <v>7534</v>
      </c>
      <c r="M131" s="135">
        <f>+M123+M118+M109</f>
        <v>-37815</v>
      </c>
      <c r="N131" s="135">
        <f>+N123+N118+N109</f>
        <v>23464</v>
      </c>
      <c r="O131" s="135">
        <f>+O123+O118+O109</f>
        <v>-1467</v>
      </c>
      <c r="P131" s="135">
        <f>+P123+P118+P109</f>
        <v>24423</v>
      </c>
      <c r="Q131" s="135">
        <f>+Q123+Q118+Q109</f>
        <v>-18317</v>
      </c>
      <c r="R131" s="135">
        <f>+R123+R118+R109</f>
        <v>-11581</v>
      </c>
      <c r="S131" s="135">
        <f>+S123+S118+S109</f>
        <v>24209</v>
      </c>
      <c r="T131" s="135">
        <f>+T123+T118+T109</f>
        <v>105533</v>
      </c>
      <c r="U131" s="135">
        <f>+U123+U118+U109</f>
        <v>-19252</v>
      </c>
      <c r="V131" s="135">
        <f>+V123+V118+V109</f>
        <v>208826</v>
      </c>
      <c r="W131" s="135"/>
      <c r="X131" s="135">
        <f t="shared" si="305"/>
        <v>-32850</v>
      </c>
      <c r="Y131" s="135">
        <f t="shared" si="305"/>
        <v>-27882</v>
      </c>
      <c r="Z131" s="135">
        <f t="shared" si="305"/>
        <v>-17648</v>
      </c>
      <c r="AA131" s="135">
        <f t="shared" si="305"/>
        <v>-8284</v>
      </c>
      <c r="AB131" s="135">
        <f t="shared" si="305"/>
        <v>8605</v>
      </c>
      <c r="AC131" s="135">
        <f t="shared" si="305"/>
        <v>28103</v>
      </c>
      <c r="AD131" s="135">
        <f t="shared" si="305"/>
        <v>-6942</v>
      </c>
      <c r="AE131" s="135">
        <f t="shared" si="305"/>
        <v>18734</v>
      </c>
      <c r="AF131" s="135">
        <f t="shared" si="305"/>
        <v>99844</v>
      </c>
      <c r="AG131" s="135">
        <f t="shared" si="305"/>
        <v>98909</v>
      </c>
      <c r="AH131" s="139">
        <f>SUM(S131:V131)</f>
        <v>319316</v>
      </c>
      <c r="AI131" s="11"/>
      <c r="AJ131" s="44"/>
    </row>
    <row r="132" spans="2:36">
      <c r="B132" s="150" t="s">
        <v>94</v>
      </c>
      <c r="C132" s="84">
        <f t="shared" ref="C132:F132" si="306">SUM(C128:C131)</f>
        <v>399025</v>
      </c>
      <c r="D132" s="84">
        <f t="shared" si="306"/>
        <v>44367</v>
      </c>
      <c r="E132" s="84">
        <f t="shared" si="306"/>
        <v>35665</v>
      </c>
      <c r="F132" s="84">
        <f t="shared" si="306"/>
        <v>54393</v>
      </c>
      <c r="G132" s="135"/>
      <c r="H132" s="83">
        <f t="shared" ref="H132:V132" si="307">SUM(H128:H131)</f>
        <v>86751</v>
      </c>
      <c r="I132" s="83">
        <f t="shared" si="307"/>
        <v>43968</v>
      </c>
      <c r="J132" s="83">
        <f t="shared" si="307"/>
        <v>57198</v>
      </c>
      <c r="K132" s="83">
        <f t="shared" si="307"/>
        <v>44367</v>
      </c>
      <c r="L132" s="83">
        <f t="shared" si="307"/>
        <v>51901</v>
      </c>
      <c r="M132" s="83">
        <f t="shared" si="307"/>
        <v>13984</v>
      </c>
      <c r="N132" s="83">
        <f t="shared" si="307"/>
        <v>37137</v>
      </c>
      <c r="O132" s="83">
        <f t="shared" si="307"/>
        <v>35665</v>
      </c>
      <c r="P132" s="83">
        <f t="shared" si="307"/>
        <v>60074</v>
      </c>
      <c r="Q132" s="83">
        <f t="shared" si="307"/>
        <v>41752</v>
      </c>
      <c r="R132" s="83">
        <f t="shared" si="307"/>
        <v>30172</v>
      </c>
      <c r="S132" s="83">
        <f t="shared" si="307"/>
        <v>54393</v>
      </c>
      <c r="T132" s="83">
        <f t="shared" si="307"/>
        <v>159681</v>
      </c>
      <c r="U132" s="83">
        <f t="shared" si="307"/>
        <v>140067</v>
      </c>
      <c r="V132" s="83">
        <f t="shared" si="307"/>
        <v>346032</v>
      </c>
      <c r="W132" s="135"/>
      <c r="X132" s="83">
        <f t="shared" ref="X132:AH132" si="308">SUM(X128:X131)</f>
        <v>51901</v>
      </c>
      <c r="Y132" s="83">
        <f t="shared" si="308"/>
        <v>13984</v>
      </c>
      <c r="Z132" s="83">
        <f t="shared" si="308"/>
        <v>37137</v>
      </c>
      <c r="AA132" s="83">
        <f t="shared" si="308"/>
        <v>35665</v>
      </c>
      <c r="AB132" s="83">
        <f t="shared" si="308"/>
        <v>60074</v>
      </c>
      <c r="AC132" s="83">
        <f t="shared" si="308"/>
        <v>41752</v>
      </c>
      <c r="AD132" s="83">
        <f t="shared" si="308"/>
        <v>30172</v>
      </c>
      <c r="AE132" s="83">
        <f t="shared" si="308"/>
        <v>54393</v>
      </c>
      <c r="AF132" s="83">
        <f t="shared" si="308"/>
        <v>159681</v>
      </c>
      <c r="AG132" s="83">
        <f t="shared" si="308"/>
        <v>140067</v>
      </c>
      <c r="AH132" s="141">
        <f t="shared" si="308"/>
        <v>346032</v>
      </c>
      <c r="AI132" s="11"/>
      <c r="AJ132" s="44"/>
    </row>
    <row r="133" spans="2:36" ht="5.0999999999999996" customHeight="1">
      <c r="B133" s="152"/>
      <c r="C133" s="63"/>
      <c r="D133" s="63"/>
      <c r="E133" s="63"/>
      <c r="F133" s="63"/>
      <c r="G133" s="135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143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37"/>
      <c r="AI133" s="11"/>
      <c r="AJ133" s="44"/>
    </row>
    <row r="134" spans="2:36">
      <c r="B134" s="153" t="s">
        <v>79</v>
      </c>
      <c r="C134" s="145">
        <f>C132-C45</f>
        <v>0</v>
      </c>
      <c r="D134" s="145">
        <f>D132-D45-D46</f>
        <v>0</v>
      </c>
      <c r="E134" s="145">
        <f t="shared" ref="E134:AH134" si="309">E132-E45-E46</f>
        <v>0</v>
      </c>
      <c r="F134" s="145">
        <f t="shared" si="309"/>
        <v>0</v>
      </c>
      <c r="G134" s="146"/>
      <c r="H134" s="145">
        <f t="shared" si="309"/>
        <v>0</v>
      </c>
      <c r="I134" s="145">
        <f t="shared" si="309"/>
        <v>0</v>
      </c>
      <c r="J134" s="145">
        <f t="shared" si="309"/>
        <v>0</v>
      </c>
      <c r="K134" s="145">
        <f t="shared" si="309"/>
        <v>0</v>
      </c>
      <c r="L134" s="145">
        <f t="shared" si="309"/>
        <v>0</v>
      </c>
      <c r="M134" s="145">
        <f t="shared" si="309"/>
        <v>0</v>
      </c>
      <c r="N134" s="145">
        <f t="shared" si="309"/>
        <v>0</v>
      </c>
      <c r="O134" s="145">
        <f t="shared" si="309"/>
        <v>0</v>
      </c>
      <c r="P134" s="145">
        <f t="shared" si="309"/>
        <v>0</v>
      </c>
      <c r="Q134" s="145">
        <f t="shared" si="309"/>
        <v>0</v>
      </c>
      <c r="R134" s="145">
        <f t="shared" si="309"/>
        <v>0</v>
      </c>
      <c r="S134" s="145">
        <f t="shared" si="309"/>
        <v>0</v>
      </c>
      <c r="T134" s="145">
        <f t="shared" si="309"/>
        <v>0</v>
      </c>
      <c r="U134" s="145">
        <f t="shared" si="309"/>
        <v>0</v>
      </c>
      <c r="V134" s="145">
        <f t="shared" si="309"/>
        <v>0</v>
      </c>
      <c r="W134" s="145"/>
      <c r="X134" s="145">
        <f t="shared" si="309"/>
        <v>2000</v>
      </c>
      <c r="Y134" s="145">
        <f t="shared" si="309"/>
        <v>2102</v>
      </c>
      <c r="Z134" s="145">
        <f t="shared" si="309"/>
        <v>2416</v>
      </c>
      <c r="AA134" s="145">
        <f t="shared" si="309"/>
        <v>2416</v>
      </c>
      <c r="AB134" s="145">
        <f t="shared" si="309"/>
        <v>2434</v>
      </c>
      <c r="AC134" s="145">
        <f t="shared" si="309"/>
        <v>2439</v>
      </c>
      <c r="AD134" s="145">
        <f t="shared" si="309"/>
        <v>0</v>
      </c>
      <c r="AE134" s="145">
        <f t="shared" si="309"/>
        <v>0</v>
      </c>
      <c r="AF134" s="145">
        <f t="shared" si="309"/>
        <v>0</v>
      </c>
      <c r="AG134" s="145">
        <f t="shared" si="309"/>
        <v>0</v>
      </c>
      <c r="AH134" s="156">
        <f t="shared" si="309"/>
        <v>0</v>
      </c>
      <c r="AI134" s="11"/>
      <c r="AJ134" s="44"/>
    </row>
    <row r="135" spans="2:36" ht="5.0999999999999996" customHeight="1">
      <c r="B135" s="8"/>
      <c r="C135" s="63"/>
      <c r="D135" s="63"/>
      <c r="E135" s="63"/>
      <c r="F135" s="63"/>
      <c r="G135" s="30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44"/>
    </row>
    <row r="136" spans="2:36" ht="5.0999999999999996" customHeight="1" thickBot="1">
      <c r="B136" s="69"/>
      <c r="C136" s="70"/>
      <c r="D136" s="70"/>
      <c r="E136" s="70"/>
      <c r="F136" s="70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J136" s="44"/>
    </row>
    <row r="137" spans="2:36" ht="12.75" customHeight="1">
      <c r="B137" s="125" t="s">
        <v>159</v>
      </c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J137" s="44"/>
    </row>
    <row r="138" spans="2:36" ht="12.75" customHeight="1">
      <c r="B138" s="132" t="s">
        <v>161</v>
      </c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</row>
    <row r="139" spans="2:36" ht="12.75" customHeight="1">
      <c r="C139" s="55"/>
      <c r="D139" s="55"/>
      <c r="E139" s="55"/>
      <c r="F139" s="55"/>
    </row>
    <row r="140" spans="2:36" ht="12.75" customHeight="1">
      <c r="C140" s="55"/>
      <c r="D140" s="55"/>
      <c r="E140" s="55"/>
      <c r="F140" s="55"/>
    </row>
    <row r="141" spans="2:36" ht="12.75" customHeight="1">
      <c r="C141" s="55"/>
      <c r="D141" s="55"/>
      <c r="E141" s="55"/>
      <c r="F141" s="55"/>
    </row>
    <row r="142" spans="2:36" ht="12.75" customHeight="1">
      <c r="C142" s="55"/>
      <c r="D142" s="55"/>
      <c r="E142" s="55"/>
      <c r="F142" s="55"/>
    </row>
    <row r="143" spans="2:36" ht="12.75" customHeight="1">
      <c r="C143" s="55"/>
      <c r="D143" s="55"/>
      <c r="E143" s="55"/>
      <c r="F143" s="5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</row>
    <row r="144" spans="2:36" ht="12.75" customHeight="1">
      <c r="C144" s="55"/>
      <c r="D144" s="55"/>
      <c r="E144" s="55"/>
      <c r="F144" s="55"/>
    </row>
    <row r="145" spans="3:22" ht="12.75" customHeight="1">
      <c r="C145" s="55"/>
      <c r="D145" s="55"/>
      <c r="E145" s="55"/>
      <c r="F145" s="5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</row>
    <row r="146" spans="3:22"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</row>
    <row r="147" spans="3:22"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</row>
    <row r="149" spans="3:22"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</row>
    <row r="150" spans="3:22"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</row>
  </sheetData>
  <mergeCells count="6">
    <mergeCell ref="B138:AH138"/>
    <mergeCell ref="B137:AH137"/>
    <mergeCell ref="AJ6:AJ8"/>
    <mergeCell ref="AJ40:AJ42"/>
    <mergeCell ref="AJ88:AJ90"/>
    <mergeCell ref="B86:AJ86"/>
  </mergeCells>
  <dataValidations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H14:AH16 AH32 G50" formulaRange="1"/>
    <ignoredError sqref="AJ101 AJ118:AJ120 AJ109:AJ111" evalError="1"/>
    <ignoredError sqref="P94:V95 T93:V93 P93:R93 O93 S93 P1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G16"/>
  <sheetViews>
    <sheetView showGridLines="0" tabSelected="1" zoomScaleNormal="100" workbookViewId="0">
      <selection activeCell="C27" sqref="C27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2" width="9.125" style="8" bestFit="1" customWidth="1"/>
    <col min="23" max="23" width="1.5" style="8" customWidth="1"/>
    <col min="24" max="29" width="8.75" style="8" hidden="1" customWidth="1" outlineLevel="1"/>
    <col min="30" max="32" width="8.75" style="8" customWidth="1" outlineLevel="1"/>
    <col min="33" max="33" width="8.75" style="8" bestFit="1" customWidth="1"/>
    <col min="34" max="16384" width="9" style="8"/>
  </cols>
  <sheetData>
    <row r="2" spans="1:33" s="5" customFormat="1" ht="12.75" customHeight="1">
      <c r="B2" s="1" t="s">
        <v>115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2"/>
      <c r="W2" s="3"/>
      <c r="X2" s="2" t="s">
        <v>10</v>
      </c>
      <c r="Y2" s="2"/>
      <c r="Z2" s="2"/>
      <c r="AA2" s="2"/>
      <c r="AB2" s="2" t="s">
        <v>10</v>
      </c>
      <c r="AC2" s="2"/>
      <c r="AD2" s="2" t="s">
        <v>10</v>
      </c>
      <c r="AE2" s="2"/>
      <c r="AF2" s="2"/>
      <c r="AG2" s="2"/>
    </row>
    <row r="3" spans="1:33" s="5" customFormat="1" ht="12.75" customHeight="1">
      <c r="B3" s="6" t="s">
        <v>88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7" t="str">
        <f>'Historical Financials'!V7</f>
        <v>3Q25</v>
      </c>
      <c r="W3" s="4"/>
      <c r="X3" s="4" t="str">
        <f t="shared" ref="X3:AC4" si="0">L3</f>
        <v>1Q23</v>
      </c>
      <c r="Y3" s="4" t="str">
        <f t="shared" si="0"/>
        <v>2Q23</v>
      </c>
      <c r="Z3" s="4" t="str">
        <f t="shared" si="0"/>
        <v>3Q23</v>
      </c>
      <c r="AA3" s="4" t="str">
        <f t="shared" si="0"/>
        <v>4Q23</v>
      </c>
      <c r="AB3" s="4" t="str">
        <f t="shared" si="0"/>
        <v>1Q24</v>
      </c>
      <c r="AC3" s="4" t="str">
        <f t="shared" si="0"/>
        <v>2Q24</v>
      </c>
      <c r="AD3" s="4" t="str">
        <f>S3</f>
        <v>4Q24</v>
      </c>
      <c r="AE3" s="4" t="str">
        <f>T3</f>
        <v>1Q25</v>
      </c>
      <c r="AF3" s="4" t="str">
        <f>U3</f>
        <v>2Q25</v>
      </c>
      <c r="AG3" s="4" t="str">
        <f>V3</f>
        <v>3Q25</v>
      </c>
    </row>
    <row r="4" spans="1:33" s="5" customFormat="1" ht="12.75" customHeight="1">
      <c r="B4" s="6" t="s">
        <v>176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>
        <f>'Historical Financials'!V8</f>
        <v>45930</v>
      </c>
      <c r="W4" s="3"/>
      <c r="X4" s="3">
        <f t="shared" si="0"/>
        <v>45016</v>
      </c>
      <c r="Y4" s="3">
        <f t="shared" si="0"/>
        <v>45107</v>
      </c>
      <c r="Z4" s="3">
        <f t="shared" si="0"/>
        <v>45199</v>
      </c>
      <c r="AA4" s="3">
        <f t="shared" si="0"/>
        <v>45291</v>
      </c>
      <c r="AB4" s="3">
        <f t="shared" si="0"/>
        <v>45382</v>
      </c>
      <c r="AC4" s="3">
        <f t="shared" si="0"/>
        <v>45473</v>
      </c>
      <c r="AD4" s="3">
        <f>S4</f>
        <v>45657</v>
      </c>
      <c r="AE4" s="3">
        <f>T4</f>
        <v>45747</v>
      </c>
      <c r="AF4" s="3">
        <f>U4</f>
        <v>45838</v>
      </c>
      <c r="AG4" s="3">
        <f>V4</f>
        <v>45930</v>
      </c>
    </row>
    <row r="5" spans="1:33" ht="5.0999999999999996" customHeight="1"/>
    <row r="6" spans="1:33" ht="12.75" customHeight="1">
      <c r="A6" s="78" t="s">
        <v>20</v>
      </c>
      <c r="B6" s="75" t="s">
        <v>111</v>
      </c>
      <c r="C6" s="10"/>
      <c r="D6" s="10"/>
      <c r="E6" s="10"/>
      <c r="F6" s="10"/>
      <c r="G6" s="10"/>
      <c r="H6" s="87"/>
      <c r="I6" s="87"/>
      <c r="J6" s="87"/>
      <c r="K6" s="30"/>
      <c r="L6" s="87"/>
      <c r="M6" s="87"/>
      <c r="N6" s="87"/>
      <c r="O6" s="30"/>
      <c r="P6" s="87"/>
      <c r="Q6" s="87"/>
      <c r="R6" s="87"/>
      <c r="S6" s="30"/>
      <c r="T6" s="87"/>
      <c r="U6" s="87"/>
      <c r="V6" s="87"/>
      <c r="W6" s="5"/>
      <c r="X6" s="11"/>
      <c r="Y6" s="11"/>
      <c r="Z6" s="11"/>
      <c r="AA6" s="11"/>
      <c r="AB6" s="11"/>
      <c r="AC6" s="11"/>
      <c r="AD6" s="11"/>
      <c r="AE6" s="11"/>
      <c r="AF6" s="11"/>
    </row>
    <row r="7" spans="1:33" ht="12.75" customHeight="1">
      <c r="B7" s="9" t="s">
        <v>116</v>
      </c>
      <c r="C7" s="133"/>
      <c r="D7" s="79">
        <v>239</v>
      </c>
      <c r="E7" s="79">
        <v>7083</v>
      </c>
      <c r="F7" s="79">
        <v>21594</v>
      </c>
      <c r="G7" s="79"/>
      <c r="H7" s="133"/>
      <c r="I7" s="133"/>
      <c r="J7" s="133"/>
      <c r="K7" s="133"/>
      <c r="L7" s="133"/>
      <c r="M7" s="133"/>
      <c r="N7" s="133"/>
      <c r="O7" s="133"/>
      <c r="P7" s="87">
        <v>3619</v>
      </c>
      <c r="Q7" s="87">
        <v>7338</v>
      </c>
      <c r="R7" s="87">
        <v>6345</v>
      </c>
      <c r="S7" s="30">
        <f t="shared" ref="S7:S8" si="1">SUM(F7-SUM(P7:R7))</f>
        <v>4292</v>
      </c>
      <c r="T7" s="87">
        <v>3063</v>
      </c>
      <c r="U7" s="87">
        <v>14066</v>
      </c>
      <c r="V7" s="87">
        <v>21584</v>
      </c>
      <c r="W7" s="30"/>
      <c r="X7" s="30">
        <f t="shared" ref="X7:AC7" si="2">SUM(I7:L7)</f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3619</v>
      </c>
      <c r="AC7" s="30">
        <f t="shared" si="2"/>
        <v>10957</v>
      </c>
      <c r="AD7" s="30">
        <f>SUM(P7:S7)</f>
        <v>21594</v>
      </c>
      <c r="AE7" s="30">
        <f>SUM(Q7:T7)</f>
        <v>21038</v>
      </c>
      <c r="AF7" s="30">
        <f>SUM(R7:U7)</f>
        <v>27766</v>
      </c>
      <c r="AG7" s="30">
        <f>SUM(S7:V7)</f>
        <v>43005</v>
      </c>
    </row>
    <row r="8" spans="1:33" ht="12.75" customHeight="1">
      <c r="B8" s="9" t="s">
        <v>117</v>
      </c>
      <c r="C8" s="133"/>
      <c r="D8" s="79">
        <v>10892</v>
      </c>
      <c r="E8" s="79">
        <v>14959</v>
      </c>
      <c r="F8" s="79">
        <v>21479</v>
      </c>
      <c r="G8" s="79"/>
      <c r="H8" s="133"/>
      <c r="I8" s="133"/>
      <c r="J8" s="133"/>
      <c r="K8" s="133"/>
      <c r="L8" s="133"/>
      <c r="M8" s="133"/>
      <c r="N8" s="133"/>
      <c r="O8" s="133"/>
      <c r="P8" s="87">
        <v>3963</v>
      </c>
      <c r="Q8" s="87">
        <v>4043</v>
      </c>
      <c r="R8" s="87">
        <v>6055</v>
      </c>
      <c r="S8" s="30">
        <f t="shared" si="1"/>
        <v>7418</v>
      </c>
      <c r="T8" s="87">
        <v>4503</v>
      </c>
      <c r="U8" s="87">
        <v>6628</v>
      </c>
      <c r="V8" s="87">
        <v>18282</v>
      </c>
      <c r="W8" s="5"/>
      <c r="X8" s="11">
        <f>SUM(I8:L8)</f>
        <v>0</v>
      </c>
      <c r="Y8" s="11">
        <f>SUM(J8:M8)</f>
        <v>0</v>
      </c>
      <c r="Z8" s="11">
        <f>SUM(K8:N8)</f>
        <v>0</v>
      </c>
      <c r="AA8" s="11">
        <f>SUM(L8:O8)</f>
        <v>0</v>
      </c>
      <c r="AB8" s="11">
        <f>SUM(M8:P8)</f>
        <v>3963</v>
      </c>
      <c r="AC8" s="11">
        <f>SUM(N8:Q8)</f>
        <v>8006</v>
      </c>
      <c r="AD8" s="30">
        <f>SUM(P8:S8)</f>
        <v>21479</v>
      </c>
      <c r="AE8" s="30">
        <f>SUM(Q8:T8)</f>
        <v>22019</v>
      </c>
      <c r="AF8" s="30">
        <f>SUM(R8:U8)</f>
        <v>24604</v>
      </c>
      <c r="AG8" s="30">
        <f>SUM(S8:V8)</f>
        <v>36831</v>
      </c>
    </row>
    <row r="9" spans="1:33" ht="12.75" customHeight="1">
      <c r="B9" s="12" t="s">
        <v>89</v>
      </c>
      <c r="C9" s="32"/>
      <c r="D9" s="32">
        <f t="shared" ref="D9:F9" si="3">SUM(D7:D8)</f>
        <v>11131</v>
      </c>
      <c r="E9" s="32">
        <f t="shared" si="3"/>
        <v>22042</v>
      </c>
      <c r="F9" s="32">
        <f t="shared" si="3"/>
        <v>43073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V9" si="4">SUM(P7:P8)</f>
        <v>7582</v>
      </c>
      <c r="Q9" s="32">
        <f t="shared" si="4"/>
        <v>11381</v>
      </c>
      <c r="R9" s="32">
        <f t="shared" si="4"/>
        <v>12400</v>
      </c>
      <c r="S9" s="32">
        <f t="shared" si="4"/>
        <v>11710</v>
      </c>
      <c r="T9" s="32">
        <f t="shared" si="4"/>
        <v>7566</v>
      </c>
      <c r="U9" s="32">
        <f t="shared" si="4"/>
        <v>20694</v>
      </c>
      <c r="V9" s="32">
        <f t="shared" si="4"/>
        <v>39866</v>
      </c>
      <c r="W9" s="5"/>
      <c r="X9" s="32">
        <f t="shared" ref="X9:AG9" si="5">SUM(X7:X8)</f>
        <v>0</v>
      </c>
      <c r="Y9" s="32">
        <f t="shared" si="5"/>
        <v>0</v>
      </c>
      <c r="Z9" s="32">
        <f t="shared" si="5"/>
        <v>0</v>
      </c>
      <c r="AA9" s="32">
        <f t="shared" si="5"/>
        <v>0</v>
      </c>
      <c r="AB9" s="32">
        <f t="shared" si="5"/>
        <v>7582</v>
      </c>
      <c r="AC9" s="32">
        <f t="shared" si="5"/>
        <v>18963</v>
      </c>
      <c r="AD9" s="32">
        <f t="shared" si="5"/>
        <v>43073</v>
      </c>
      <c r="AE9" s="32">
        <f t="shared" si="5"/>
        <v>43057</v>
      </c>
      <c r="AF9" s="32">
        <f t="shared" si="5"/>
        <v>52370</v>
      </c>
      <c r="AG9" s="32">
        <f t="shared" si="5"/>
        <v>79836</v>
      </c>
    </row>
    <row r="10" spans="1:33">
      <c r="B10" s="76" t="s">
        <v>79</v>
      </c>
      <c r="C10" s="133"/>
      <c r="D10" s="77">
        <f>+D9-'Historical Financials'!D11</f>
        <v>0</v>
      </c>
      <c r="E10" s="77">
        <f>+E9-'Historical Financials'!E11</f>
        <v>0</v>
      </c>
      <c r="F10" s="77">
        <f>+F9-'Historical Financials'!F11</f>
        <v>0</v>
      </c>
      <c r="G10" s="11"/>
      <c r="H10" s="133"/>
      <c r="I10" s="133"/>
      <c r="J10" s="133"/>
      <c r="K10" s="133"/>
      <c r="L10" s="133"/>
      <c r="M10" s="133"/>
      <c r="N10" s="133"/>
      <c r="O10" s="133"/>
      <c r="P10" s="77">
        <f>+P9-'Historical Financials'!P11</f>
        <v>0</v>
      </c>
      <c r="Q10" s="77">
        <f>+Q9-'Historical Financials'!Q11</f>
        <v>0</v>
      </c>
      <c r="R10" s="77">
        <f>+R9-'Historical Financials'!R11</f>
        <v>0</v>
      </c>
      <c r="S10" s="77">
        <f>+S9-'Historical Financials'!S11</f>
        <v>0</v>
      </c>
      <c r="T10" s="77">
        <f>+T9-'Historical Financials'!T11</f>
        <v>0</v>
      </c>
      <c r="U10" s="77">
        <f>+U9-'Historical Financials'!U11</f>
        <v>0</v>
      </c>
      <c r="V10" s="77">
        <f>+V9-'Historical Financials'!V11</f>
        <v>0</v>
      </c>
      <c r="W10" s="77"/>
      <c r="X10" s="77">
        <f>X9-'Historical Financials'!X11</f>
        <v>-13463</v>
      </c>
      <c r="Y10" s="77">
        <f>Y9-'Historical Financials'!Y11</f>
        <v>-16370</v>
      </c>
      <c r="Z10" s="77">
        <f>Z9-'Historical Financials'!Z11</f>
        <v>-19743</v>
      </c>
      <c r="AA10" s="77">
        <f>AA9-'Historical Financials'!AA11</f>
        <v>-22042</v>
      </c>
      <c r="AB10" s="77">
        <f>AB9-'Historical Financials'!AB11</f>
        <v>-17757</v>
      </c>
      <c r="AC10" s="77">
        <f>AC9-'Historical Financials'!AC11</f>
        <v>-12242</v>
      </c>
      <c r="AD10" s="77">
        <f>AD9-'Historical Financials'!AE11</f>
        <v>0</v>
      </c>
      <c r="AE10" s="77">
        <f>AE9-'Historical Financials'!AF11</f>
        <v>0</v>
      </c>
      <c r="AF10" s="77">
        <f>AF9-'Historical Financials'!AG11</f>
        <v>0</v>
      </c>
      <c r="AG10" s="77">
        <f>AG9-'Historical Financials'!AH11</f>
        <v>0</v>
      </c>
    </row>
    <row r="11" spans="1:33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ht="12.75" customHeight="1">
      <c r="A12" s="78" t="s">
        <v>20</v>
      </c>
      <c r="B12" s="75" t="s">
        <v>112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5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3" ht="12.75" customHeight="1">
      <c r="B13" s="9" t="s">
        <v>118</v>
      </c>
      <c r="C13" s="133"/>
      <c r="D13" s="79">
        <v>9175</v>
      </c>
      <c r="E13" s="79">
        <v>18703</v>
      </c>
      <c r="F13" s="79">
        <v>40714</v>
      </c>
      <c r="G13" s="79"/>
      <c r="H13" s="133"/>
      <c r="I13" s="133"/>
      <c r="J13" s="133"/>
      <c r="K13" s="133"/>
      <c r="L13" s="133"/>
      <c r="M13" s="133"/>
      <c r="N13" s="133"/>
      <c r="O13" s="133"/>
      <c r="P13" s="87">
        <v>7062</v>
      </c>
      <c r="Q13" s="87">
        <v>10953</v>
      </c>
      <c r="R13" s="87">
        <v>11895</v>
      </c>
      <c r="S13" s="30">
        <f>SUM(F13-SUM(P13:R13))</f>
        <v>10804</v>
      </c>
      <c r="T13" s="87">
        <v>5289</v>
      </c>
      <c r="U13" s="87">
        <v>15990</v>
      </c>
      <c r="V13" s="87">
        <v>28742</v>
      </c>
      <c r="W13" s="5"/>
      <c r="X13" s="11">
        <f>SUM(I13:L13)</f>
        <v>0</v>
      </c>
      <c r="Y13" s="11">
        <f>SUM(J13:M13)</f>
        <v>0</v>
      </c>
      <c r="Z13" s="11">
        <f>SUM(K13:N13)</f>
        <v>0</v>
      </c>
      <c r="AA13" s="11">
        <f>SUM(L13:O13)</f>
        <v>0</v>
      </c>
      <c r="AB13" s="11">
        <f>SUM(M13:P13)</f>
        <v>7062</v>
      </c>
      <c r="AC13" s="11">
        <f>SUM(N13:Q13)</f>
        <v>18015</v>
      </c>
      <c r="AD13" s="30">
        <f>SUM(P13:S13)</f>
        <v>40714</v>
      </c>
      <c r="AE13" s="30">
        <f>SUM(Q13:T13)</f>
        <v>38941</v>
      </c>
      <c r="AF13" s="30">
        <f>SUM(R13:U13)</f>
        <v>43978</v>
      </c>
      <c r="AG13" s="30">
        <f>SUM(S13:V13)</f>
        <v>60825</v>
      </c>
    </row>
    <row r="14" spans="1:33" ht="12.75" customHeight="1">
      <c r="B14" s="9" t="s">
        <v>119</v>
      </c>
      <c r="C14" s="133"/>
      <c r="D14" s="79">
        <v>1956</v>
      </c>
      <c r="E14" s="79">
        <v>3339</v>
      </c>
      <c r="F14" s="79">
        <v>2359</v>
      </c>
      <c r="G14" s="79"/>
      <c r="H14" s="133"/>
      <c r="I14" s="133"/>
      <c r="J14" s="133"/>
      <c r="K14" s="133"/>
      <c r="L14" s="133"/>
      <c r="M14" s="133"/>
      <c r="N14" s="133"/>
      <c r="O14" s="133"/>
      <c r="P14" s="87">
        <v>520</v>
      </c>
      <c r="Q14" s="87">
        <v>428</v>
      </c>
      <c r="R14" s="87">
        <v>505</v>
      </c>
      <c r="S14" s="30">
        <f>SUM(F14-SUM(P14:R14))</f>
        <v>906</v>
      </c>
      <c r="T14" s="87">
        <v>2277</v>
      </c>
      <c r="U14" s="87">
        <v>4704</v>
      </c>
      <c r="V14" s="87">
        <v>11124</v>
      </c>
      <c r="W14" s="5"/>
      <c r="X14" s="11">
        <f>SUM(I14:L14)</f>
        <v>0</v>
      </c>
      <c r="Y14" s="11">
        <f>SUM(J14:M14)</f>
        <v>0</v>
      </c>
      <c r="Z14" s="11">
        <f>SUM(K14:N14)</f>
        <v>0</v>
      </c>
      <c r="AA14" s="11">
        <f>SUM(L14:O14)</f>
        <v>0</v>
      </c>
      <c r="AB14" s="11">
        <f>SUM(M14:P14)</f>
        <v>520</v>
      </c>
      <c r="AC14" s="11">
        <f>SUM(N14:Q14)</f>
        <v>948</v>
      </c>
      <c r="AD14" s="30">
        <f>SUM(P14:S14)</f>
        <v>2359</v>
      </c>
      <c r="AE14" s="30">
        <f>SUM(Q14:T14)</f>
        <v>4116</v>
      </c>
      <c r="AF14" s="30">
        <f>SUM(R14:U14)</f>
        <v>8392</v>
      </c>
      <c r="AG14" s="30">
        <f>SUM(S14:V14)</f>
        <v>19011</v>
      </c>
    </row>
    <row r="15" spans="1:33" ht="12.75" customHeight="1">
      <c r="B15" s="12" t="s">
        <v>110</v>
      </c>
      <c r="C15" s="32"/>
      <c r="D15" s="32">
        <f t="shared" ref="D15:F15" si="6">SUM(D13:D14)</f>
        <v>11131</v>
      </c>
      <c r="E15" s="32">
        <f t="shared" si="6"/>
        <v>22042</v>
      </c>
      <c r="F15" s="32">
        <f t="shared" si="6"/>
        <v>43073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V15" si="7">SUM(P13:P14)</f>
        <v>7582</v>
      </c>
      <c r="Q15" s="32">
        <f t="shared" si="7"/>
        <v>11381</v>
      </c>
      <c r="R15" s="32">
        <f t="shared" si="7"/>
        <v>12400</v>
      </c>
      <c r="S15" s="32">
        <f t="shared" si="7"/>
        <v>11710</v>
      </c>
      <c r="T15" s="32">
        <f t="shared" si="7"/>
        <v>7566</v>
      </c>
      <c r="U15" s="32">
        <f t="shared" si="7"/>
        <v>20694</v>
      </c>
      <c r="V15" s="32">
        <f t="shared" si="7"/>
        <v>39866</v>
      </c>
      <c r="W15" s="5"/>
      <c r="X15" s="32">
        <f t="shared" ref="X15:AG15" si="8">SUM(X13:X14)</f>
        <v>0</v>
      </c>
      <c r="Y15" s="32">
        <f t="shared" si="8"/>
        <v>0</v>
      </c>
      <c r="Z15" s="32">
        <f t="shared" si="8"/>
        <v>0</v>
      </c>
      <c r="AA15" s="32">
        <f t="shared" si="8"/>
        <v>0</v>
      </c>
      <c r="AB15" s="32">
        <f t="shared" si="8"/>
        <v>7582</v>
      </c>
      <c r="AC15" s="32">
        <f t="shared" si="8"/>
        <v>18963</v>
      </c>
      <c r="AD15" s="32">
        <f t="shared" si="8"/>
        <v>43073</v>
      </c>
      <c r="AE15" s="32">
        <f t="shared" si="8"/>
        <v>43057</v>
      </c>
      <c r="AF15" s="32">
        <f t="shared" si="8"/>
        <v>52370</v>
      </c>
      <c r="AG15" s="32">
        <f t="shared" si="8"/>
        <v>79836</v>
      </c>
    </row>
    <row r="16" spans="1:33" ht="12.75" customHeight="1">
      <c r="B16" s="76" t="s">
        <v>79</v>
      </c>
      <c r="C16" s="77"/>
      <c r="D16" s="77">
        <f t="shared" ref="D16:F16" si="9">+D15-D9</f>
        <v>0</v>
      </c>
      <c r="E16" s="77">
        <f t="shared" si="9"/>
        <v>0</v>
      </c>
      <c r="F16" s="77">
        <f t="shared" si="9"/>
        <v>0</v>
      </c>
      <c r="G16" s="11"/>
      <c r="H16" s="133"/>
      <c r="I16" s="133"/>
      <c r="J16" s="133"/>
      <c r="K16" s="133"/>
      <c r="L16" s="133"/>
      <c r="M16" s="133"/>
      <c r="N16" s="133"/>
      <c r="O16" s="133"/>
      <c r="P16" s="77">
        <f t="shared" ref="P16" si="10">+P15-P9</f>
        <v>0</v>
      </c>
      <c r="Q16" s="77">
        <f t="shared" ref="Q16" si="11">+Q15-Q9</f>
        <v>0</v>
      </c>
      <c r="R16" s="77">
        <f t="shared" ref="R16" si="12">+R15-R9</f>
        <v>0</v>
      </c>
      <c r="S16" s="77">
        <f t="shared" ref="S16" si="13">+S15-S9</f>
        <v>0</v>
      </c>
      <c r="T16" s="77">
        <f t="shared" ref="T16" si="14">+T15-T9</f>
        <v>0</v>
      </c>
      <c r="U16" s="77">
        <f t="shared" ref="U16" si="15">+U15-U9</f>
        <v>0</v>
      </c>
      <c r="V16" s="77">
        <f t="shared" ref="V16" si="16">+V15-V9</f>
        <v>0</v>
      </c>
      <c r="W16" s="77"/>
      <c r="X16" s="77">
        <f>X15-'Historical Financials'!X17</f>
        <v>52873</v>
      </c>
      <c r="Y16" s="77">
        <f>Y15-'Historical Financials'!Y17</f>
        <v>63089</v>
      </c>
      <c r="Z16" s="77">
        <f>Z15-'Historical Financials'!Z17</f>
        <v>74396</v>
      </c>
      <c r="AA16" s="77">
        <f>AA15-'Historical Financials'!AA17</f>
        <v>92321</v>
      </c>
      <c r="AB16" s="77">
        <f>AB15-'Historical Financials'!AB17</f>
        <v>116038</v>
      </c>
      <c r="AC16" s="77">
        <f>AC15-'Historical Financials'!AC17</f>
        <v>138754</v>
      </c>
      <c r="AD16" s="77">
        <f t="shared" ref="AD16" si="17">+AD15-AD9</f>
        <v>0</v>
      </c>
      <c r="AE16" s="77">
        <f t="shared" ref="AE16" si="18">+AE15-AE9</f>
        <v>0</v>
      </c>
      <c r="AF16" s="77">
        <f t="shared" ref="AF16" si="19">+AF15-AF9</f>
        <v>0</v>
      </c>
      <c r="AG16" s="77">
        <f t="shared" ref="AG16" si="20">+AG15-AG9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6" sqref="B6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24" bestFit="1" customWidth="1"/>
    <col min="38" max="16384" width="9" style="8"/>
  </cols>
  <sheetData>
    <row r="2" spans="2:37" s="5" customFormat="1" ht="12.75" customHeight="1">
      <c r="B2" s="1" t="s">
        <v>115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31" t="s">
        <v>26</v>
      </c>
    </row>
    <row r="3" spans="2:37" s="5" customFormat="1" ht="12.75" customHeight="1">
      <c r="B3" s="6" t="s">
        <v>27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7" t="str">
        <f>'Historical Financials'!V7</f>
        <v>3Q25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str">
        <f>V3</f>
        <v>3Q25</v>
      </c>
      <c r="AJ3" s="3"/>
      <c r="AK3" s="131"/>
    </row>
    <row r="4" spans="2:37" s="5" customFormat="1" ht="12.75" customHeight="1">
      <c r="B4" s="6" t="s">
        <v>176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>
        <f>'Historical Financials'!V8</f>
        <v>45930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>
        <f>V4</f>
        <v>45930</v>
      </c>
      <c r="AJ4" s="3"/>
      <c r="AK4" s="131"/>
    </row>
    <row r="5" spans="2:37" ht="5.0999999999999996" customHeight="1">
      <c r="AK5" s="120"/>
    </row>
    <row r="6" spans="2:37" ht="12.75" customHeight="1">
      <c r="B6" s="9" t="str">
        <f>'Revenue Drivers'!B7</f>
        <v xml:space="preserve">Quantum computing and networking hardware
</v>
      </c>
      <c r="C6" s="154"/>
      <c r="D6" s="86">
        <f>'Revenue Drivers'!D7</f>
        <v>239</v>
      </c>
      <c r="E6" s="86">
        <f>'Revenue Drivers'!E7</f>
        <v>7083</v>
      </c>
      <c r="F6" s="86">
        <f>'Revenue Drivers'!F7</f>
        <v>21594</v>
      </c>
      <c r="G6" s="10"/>
      <c r="H6" s="154"/>
      <c r="I6" s="154"/>
      <c r="J6" s="154"/>
      <c r="K6" s="154"/>
      <c r="L6" s="154"/>
      <c r="M6" s="154"/>
      <c r="N6" s="154"/>
      <c r="O6" s="154"/>
      <c r="P6" s="86">
        <f>'Revenue Drivers'!P7</f>
        <v>3619</v>
      </c>
      <c r="Q6" s="86">
        <f>'Revenue Drivers'!Q7</f>
        <v>7338</v>
      </c>
      <c r="R6" s="86">
        <f>'Revenue Drivers'!R7</f>
        <v>6345</v>
      </c>
      <c r="S6" s="86">
        <f>'Revenue Drivers'!S7</f>
        <v>4292</v>
      </c>
      <c r="T6" s="86">
        <f>'Revenue Drivers'!T7</f>
        <v>3063</v>
      </c>
      <c r="U6" s="86">
        <f>'Revenue Drivers'!U7</f>
        <v>14066</v>
      </c>
      <c r="V6" s="86">
        <f>'Revenue Drivers'!V7</f>
        <v>21584</v>
      </c>
      <c r="W6" s="5"/>
      <c r="X6" s="154"/>
      <c r="Y6" s="154"/>
      <c r="Z6" s="154"/>
      <c r="AA6" s="154"/>
      <c r="AB6" s="154"/>
      <c r="AC6" s="10">
        <f t="shared" ref="Y6:AH8" si="1">SUM(M6:P6)</f>
        <v>3619</v>
      </c>
      <c r="AD6" s="10">
        <f t="shared" si="1"/>
        <v>10957</v>
      </c>
      <c r="AE6" s="10">
        <f t="shared" si="1"/>
        <v>17302</v>
      </c>
      <c r="AF6" s="10">
        <f t="shared" si="1"/>
        <v>21594</v>
      </c>
      <c r="AG6" s="10">
        <f t="shared" si="1"/>
        <v>21038</v>
      </c>
      <c r="AH6" s="10">
        <f t="shared" si="1"/>
        <v>27766</v>
      </c>
      <c r="AI6" s="10">
        <f>SUM(S6:V6)</f>
        <v>43005</v>
      </c>
      <c r="AK6" s="121">
        <f>SUM(AI6/AE6)-1</f>
        <v>1.4855508033753324</v>
      </c>
    </row>
    <row r="7" spans="2:37" ht="12.75" customHeight="1">
      <c r="B7" s="9" t="str">
        <f>'Revenue Drivers'!B8</f>
        <v xml:space="preserve">Platform, consulting and support services
</v>
      </c>
      <c r="C7" s="154"/>
      <c r="D7" s="86">
        <f>'Revenue Drivers'!D8</f>
        <v>10892</v>
      </c>
      <c r="E7" s="86">
        <f>'Revenue Drivers'!E8</f>
        <v>14959</v>
      </c>
      <c r="F7" s="86">
        <f>'Revenue Drivers'!F8</f>
        <v>21479</v>
      </c>
      <c r="G7" s="10"/>
      <c r="H7" s="154"/>
      <c r="I7" s="154"/>
      <c r="J7" s="154"/>
      <c r="K7" s="154"/>
      <c r="L7" s="154"/>
      <c r="M7" s="154"/>
      <c r="N7" s="154"/>
      <c r="O7" s="154"/>
      <c r="P7" s="86">
        <f>'Revenue Drivers'!P8</f>
        <v>3963</v>
      </c>
      <c r="Q7" s="86">
        <f>'Revenue Drivers'!Q8</f>
        <v>4043</v>
      </c>
      <c r="R7" s="86">
        <f>'Revenue Drivers'!R8</f>
        <v>6055</v>
      </c>
      <c r="S7" s="86">
        <f>'Revenue Drivers'!S8</f>
        <v>7418</v>
      </c>
      <c r="T7" s="86">
        <f>'Revenue Drivers'!T8</f>
        <v>4503</v>
      </c>
      <c r="U7" s="86">
        <f>'Revenue Drivers'!U8</f>
        <v>6628</v>
      </c>
      <c r="V7" s="86">
        <f>'Revenue Drivers'!V8</f>
        <v>18282</v>
      </c>
      <c r="W7" s="5"/>
      <c r="X7" s="154"/>
      <c r="Y7" s="154"/>
      <c r="Z7" s="154"/>
      <c r="AA7" s="154"/>
      <c r="AB7" s="154"/>
      <c r="AC7" s="10">
        <f t="shared" si="1"/>
        <v>3963</v>
      </c>
      <c r="AD7" s="10">
        <f t="shared" si="1"/>
        <v>8006</v>
      </c>
      <c r="AE7" s="10">
        <f t="shared" si="1"/>
        <v>14061</v>
      </c>
      <c r="AF7" s="10">
        <f t="shared" si="1"/>
        <v>21479</v>
      </c>
      <c r="AG7" s="10">
        <f t="shared" si="1"/>
        <v>22019</v>
      </c>
      <c r="AH7" s="10">
        <f t="shared" si="1"/>
        <v>24604</v>
      </c>
      <c r="AI7" s="10">
        <f>SUM(S7:V7)</f>
        <v>36831</v>
      </c>
      <c r="AK7" s="121">
        <f>SUM(AI7/AE7)-1</f>
        <v>1.61937273309153</v>
      </c>
    </row>
    <row r="8" spans="2:37" ht="12.75" customHeight="1">
      <c r="B8" s="12" t="s">
        <v>12</v>
      </c>
      <c r="C8" s="13">
        <f>'Historical Financials'!C11</f>
        <v>2099</v>
      </c>
      <c r="D8" s="13">
        <f>SUM(D6:D7)</f>
        <v>11131</v>
      </c>
      <c r="E8" s="13">
        <f>SUM(E6:E7)</f>
        <v>22042</v>
      </c>
      <c r="F8" s="13">
        <f>SUM(F6:F7)</f>
        <v>43073</v>
      </c>
      <c r="G8" s="10"/>
      <c r="H8" s="13">
        <f>'Historical Financials'!H11</f>
        <v>1953</v>
      </c>
      <c r="I8" s="13">
        <f>'Historical Financials'!I11</f>
        <v>2608</v>
      </c>
      <c r="J8" s="13">
        <f>'Historical Financials'!J11</f>
        <v>2763</v>
      </c>
      <c r="K8" s="13">
        <f>'Historical Financials'!K11</f>
        <v>3807</v>
      </c>
      <c r="L8" s="13">
        <f>'Historical Financials'!L11</f>
        <v>4285</v>
      </c>
      <c r="M8" s="13">
        <f>'Historical Financials'!M11</f>
        <v>5515</v>
      </c>
      <c r="N8" s="13">
        <f>'Historical Financials'!N11</f>
        <v>6136</v>
      </c>
      <c r="O8" s="13">
        <f>'Historical Financials'!O11</f>
        <v>6106</v>
      </c>
      <c r="P8" s="13">
        <f t="shared" ref="P8:V8" si="2">SUM(P6:P7)</f>
        <v>7582</v>
      </c>
      <c r="Q8" s="13">
        <f t="shared" si="2"/>
        <v>11381</v>
      </c>
      <c r="R8" s="13">
        <f t="shared" si="2"/>
        <v>12400</v>
      </c>
      <c r="S8" s="13">
        <f t="shared" si="2"/>
        <v>11710</v>
      </c>
      <c r="T8" s="13">
        <f t="shared" si="2"/>
        <v>7566</v>
      </c>
      <c r="U8" s="13">
        <f t="shared" si="2"/>
        <v>20694</v>
      </c>
      <c r="V8" s="13">
        <f t="shared" si="2"/>
        <v>39866</v>
      </c>
      <c r="W8" s="5"/>
      <c r="X8" s="13">
        <f t="shared" ref="X8" si="3">SUM(H8:K8)</f>
        <v>11131</v>
      </c>
      <c r="Y8" s="13">
        <f t="shared" ref="Y8" si="4">SUM(I8:L8)</f>
        <v>13463</v>
      </c>
      <c r="Z8" s="13">
        <f t="shared" ref="Z8" si="5">SUM(J8:M8)</f>
        <v>16370</v>
      </c>
      <c r="AA8" s="13">
        <f t="shared" ref="AA8" si="6">SUM(K8:N8)</f>
        <v>19743</v>
      </c>
      <c r="AB8" s="13">
        <f t="shared" si="1"/>
        <v>22042</v>
      </c>
      <c r="AC8" s="13">
        <f t="shared" ref="X8:AH8" si="7">SUM(AC6:AC7)</f>
        <v>7582</v>
      </c>
      <c r="AD8" s="13">
        <f t="shared" si="7"/>
        <v>18963</v>
      </c>
      <c r="AE8" s="13">
        <f t="shared" si="7"/>
        <v>31363</v>
      </c>
      <c r="AF8" s="13">
        <f t="shared" si="7"/>
        <v>43073</v>
      </c>
      <c r="AG8" s="13">
        <f t="shared" si="7"/>
        <v>43057</v>
      </c>
      <c r="AH8" s="13">
        <f t="shared" si="7"/>
        <v>52370</v>
      </c>
      <c r="AI8" s="13">
        <f>SUM(AI6:AI7)</f>
        <v>79836</v>
      </c>
      <c r="AK8" s="122">
        <f>SUM(AI8/AE8)-1</f>
        <v>1.5455473009597296</v>
      </c>
    </row>
    <row r="9" spans="2:37" ht="12.75" customHeight="1">
      <c r="B9" s="14" t="s">
        <v>34</v>
      </c>
      <c r="C9" s="154"/>
      <c r="D9" s="15">
        <f>SUM(D8/C8)-1</f>
        <v>4.3030014292520251</v>
      </c>
      <c r="E9" s="15">
        <f>SUM(E8/D8)-1</f>
        <v>0.98023537867217669</v>
      </c>
      <c r="F9" s="15">
        <f>SUM(F8/E8)-1</f>
        <v>0.9541330187823247</v>
      </c>
      <c r="G9" s="11"/>
      <c r="H9" s="154"/>
      <c r="I9" s="154"/>
      <c r="J9" s="154"/>
      <c r="K9" s="154"/>
      <c r="L9" s="154"/>
      <c r="M9" s="15">
        <f>SUM(M8/I8)-1</f>
        <v>1.1146472392638036</v>
      </c>
      <c r="N9" s="15">
        <f t="shared" ref="N9:V9" si="8">SUM(N8/J8)-1</f>
        <v>1.2207745204487876</v>
      </c>
      <c r="O9" s="15">
        <f t="shared" si="8"/>
        <v>0.60388757551878114</v>
      </c>
      <c r="P9" s="15">
        <f t="shared" si="8"/>
        <v>0.76942823803967331</v>
      </c>
      <c r="Q9" s="15">
        <f t="shared" si="8"/>
        <v>1.0636446056210334</v>
      </c>
      <c r="R9" s="15">
        <f t="shared" si="8"/>
        <v>1.0208604954367666</v>
      </c>
      <c r="S9" s="15">
        <f t="shared" si="8"/>
        <v>0.9177857844742876</v>
      </c>
      <c r="T9" s="15">
        <f t="shared" si="8"/>
        <v>-2.1102611448167163E-3</v>
      </c>
      <c r="U9" s="15">
        <f t="shared" si="8"/>
        <v>0.81829364730691512</v>
      </c>
      <c r="V9" s="15">
        <f t="shared" si="8"/>
        <v>2.2149999999999999</v>
      </c>
      <c r="W9" s="5"/>
      <c r="X9" s="108"/>
      <c r="Y9" s="108"/>
      <c r="Z9" s="108"/>
      <c r="AA9" s="108"/>
      <c r="AB9" s="15">
        <f t="shared" ref="AB9:AI9" si="9">SUM(AB8/X8)-1</f>
        <v>0.98023537867217669</v>
      </c>
      <c r="AC9" s="15">
        <f t="shared" si="9"/>
        <v>-0.43682685879818761</v>
      </c>
      <c r="AD9" s="15">
        <f t="shared" si="9"/>
        <v>0.1583995113011607</v>
      </c>
      <c r="AE9" s="15">
        <f t="shared" si="9"/>
        <v>0.58856303499974683</v>
      </c>
      <c r="AF9" s="15">
        <f t="shared" si="9"/>
        <v>0.9541330187823247</v>
      </c>
      <c r="AG9" s="15">
        <f t="shared" si="9"/>
        <v>4.6788446320232131</v>
      </c>
      <c r="AH9" s="15">
        <f t="shared" si="9"/>
        <v>1.7616938248167484</v>
      </c>
      <c r="AI9" s="15">
        <f t="shared" si="9"/>
        <v>1.5455473009597296</v>
      </c>
      <c r="AK9" s="123">
        <f>SUM(AI9-AE9)*10000</f>
        <v>9569.842659599828</v>
      </c>
    </row>
    <row r="10" spans="2:37" ht="12.75" customHeight="1">
      <c r="B10" s="14" t="s">
        <v>35</v>
      </c>
      <c r="C10" s="15" t="s">
        <v>36</v>
      </c>
      <c r="D10" s="15" t="s">
        <v>36</v>
      </c>
      <c r="E10" s="15" t="s">
        <v>36</v>
      </c>
      <c r="F10" s="15" t="s">
        <v>36</v>
      </c>
      <c r="G10" s="11"/>
      <c r="H10" s="154"/>
      <c r="I10" s="154"/>
      <c r="J10" s="15">
        <f>SUM(J8/I8)-1</f>
        <v>5.9432515337423331E-2</v>
      </c>
      <c r="K10" s="15">
        <f t="shared" ref="K10:V10" si="10">SUM(K8/J8)-1</f>
        <v>0.37785016286644946</v>
      </c>
      <c r="L10" s="15">
        <f t="shared" si="10"/>
        <v>0.12555818229577098</v>
      </c>
      <c r="M10" s="15">
        <f t="shared" si="10"/>
        <v>0.28704784130688443</v>
      </c>
      <c r="N10" s="15">
        <f t="shared" si="10"/>
        <v>0.11260199456029008</v>
      </c>
      <c r="O10" s="15">
        <f t="shared" si="10"/>
        <v>-4.889178617992207E-3</v>
      </c>
      <c r="P10" s="15">
        <f t="shared" si="10"/>
        <v>0.2417294464461186</v>
      </c>
      <c r="Q10" s="15">
        <f t="shared" si="10"/>
        <v>0.50105513057240825</v>
      </c>
      <c r="R10" s="15">
        <f t="shared" si="10"/>
        <v>8.9535190229329542E-2</v>
      </c>
      <c r="S10" s="15">
        <f t="shared" si="10"/>
        <v>-5.5645161290322598E-2</v>
      </c>
      <c r="T10" s="15">
        <f t="shared" si="10"/>
        <v>-0.3538855678906917</v>
      </c>
      <c r="U10" s="15">
        <f t="shared" si="10"/>
        <v>1.7351308485329104</v>
      </c>
      <c r="V10" s="15">
        <f t="shared" si="10"/>
        <v>0.92645211172320474</v>
      </c>
      <c r="W10" s="5"/>
      <c r="X10" s="15" t="s">
        <v>36</v>
      </c>
      <c r="Y10" s="15" t="s">
        <v>36</v>
      </c>
      <c r="Z10" s="15" t="s">
        <v>36</v>
      </c>
      <c r="AA10" s="15" t="s">
        <v>36</v>
      </c>
      <c r="AB10" s="15" t="s">
        <v>36</v>
      </c>
      <c r="AC10" s="15" t="s">
        <v>36</v>
      </c>
      <c r="AD10" s="15" t="s">
        <v>36</v>
      </c>
      <c r="AE10" s="15" t="s">
        <v>36</v>
      </c>
      <c r="AF10" s="15" t="s">
        <v>36</v>
      </c>
      <c r="AG10" s="15" t="s">
        <v>36</v>
      </c>
      <c r="AH10" s="15" t="s">
        <v>36</v>
      </c>
      <c r="AI10" s="15" t="s">
        <v>36</v>
      </c>
      <c r="AK10" s="120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20"/>
    </row>
    <row r="12" spans="2:37" ht="12.75" customHeight="1">
      <c r="B12" s="21" t="s">
        <v>37</v>
      </c>
      <c r="C12" s="86">
        <f>'Historical Financials'!C13</f>
        <v>-1040</v>
      </c>
      <c r="D12" s="86">
        <f>'Historical Financials'!D13</f>
        <v>-2944</v>
      </c>
      <c r="E12" s="86">
        <f>'Historical Financials'!E13</f>
        <v>-8108</v>
      </c>
      <c r="F12" s="86">
        <f>'Historical Financials'!F13</f>
        <v>-20597</v>
      </c>
      <c r="G12" s="10"/>
      <c r="H12" s="86">
        <f>'Historical Financials'!H13</f>
        <v>-568</v>
      </c>
      <c r="I12" s="86">
        <f>'Historical Financials'!I13</f>
        <v>-742</v>
      </c>
      <c r="J12" s="86">
        <f>'Historical Financials'!J13</f>
        <v>-733</v>
      </c>
      <c r="K12" s="86">
        <f>'Historical Financials'!K13</f>
        <v>-901</v>
      </c>
      <c r="L12" s="86">
        <f>'Historical Financials'!L13</f>
        <v>-1036</v>
      </c>
      <c r="M12" s="86">
        <f>'Historical Financials'!M13</f>
        <v>-1901</v>
      </c>
      <c r="N12" s="86">
        <f>'Historical Financials'!N13</f>
        <v>-2008</v>
      </c>
      <c r="O12" s="86">
        <f>'Historical Financials'!O13</f>
        <v>-3163</v>
      </c>
      <c r="P12" s="86">
        <f>'Historical Financials'!P13</f>
        <v>-3414</v>
      </c>
      <c r="Q12" s="86">
        <f>'Historical Financials'!Q13</f>
        <v>-5623</v>
      </c>
      <c r="R12" s="86">
        <f>'Historical Financials'!R13</f>
        <v>-6515</v>
      </c>
      <c r="S12" s="86">
        <f>'Historical Financials'!S13</f>
        <v>-5045</v>
      </c>
      <c r="T12" s="86">
        <f>'Historical Financials'!T13</f>
        <v>-4315</v>
      </c>
      <c r="U12" s="86">
        <f>'Historical Financials'!U13</f>
        <v>-8327</v>
      </c>
      <c r="V12" s="86">
        <f>'Historical Financials'!V13</f>
        <v>-21253</v>
      </c>
      <c r="W12" s="5"/>
      <c r="X12" s="10">
        <f>SUM(G12:K12)</f>
        <v>-2944</v>
      </c>
      <c r="Y12" s="10">
        <f t="shared" ref="Y12:AH12" si="11">SUM(I12:L12)</f>
        <v>-3412</v>
      </c>
      <c r="Z12" s="10">
        <f t="shared" si="11"/>
        <v>-4571</v>
      </c>
      <c r="AA12" s="10">
        <f t="shared" si="11"/>
        <v>-5846</v>
      </c>
      <c r="AB12" s="10">
        <f t="shared" si="11"/>
        <v>-8108</v>
      </c>
      <c r="AC12" s="10">
        <f t="shared" si="11"/>
        <v>-10486</v>
      </c>
      <c r="AD12" s="10">
        <f t="shared" si="11"/>
        <v>-14208</v>
      </c>
      <c r="AE12" s="10">
        <f t="shared" si="11"/>
        <v>-18715</v>
      </c>
      <c r="AF12" s="10">
        <f t="shared" si="11"/>
        <v>-20597</v>
      </c>
      <c r="AG12" s="10">
        <f t="shared" si="11"/>
        <v>-21498</v>
      </c>
      <c r="AH12" s="10">
        <f t="shared" si="11"/>
        <v>-24202</v>
      </c>
      <c r="AI12" s="10">
        <f>SUM(S12:V12)</f>
        <v>-38940</v>
      </c>
      <c r="AK12" s="121">
        <f>SUM(AI12/AE12)-1</f>
        <v>1.0806839433609405</v>
      </c>
    </row>
    <row r="13" spans="2:37" ht="12.75" customHeight="1">
      <c r="B13" s="23" t="s">
        <v>24</v>
      </c>
      <c r="C13" s="24">
        <f>+C8+C12</f>
        <v>1059</v>
      </c>
      <c r="D13" s="24">
        <f>+D8+D12</f>
        <v>8187</v>
      </c>
      <c r="E13" s="24">
        <f>+E8+E12</f>
        <v>13934</v>
      </c>
      <c r="F13" s="24">
        <f>+F8+F12</f>
        <v>22476</v>
      </c>
      <c r="G13" s="5"/>
      <c r="H13" s="24">
        <f t="shared" ref="H13" si="12">+H8+H12</f>
        <v>1385</v>
      </c>
      <c r="I13" s="24">
        <f t="shared" ref="I13:V13" si="13">+I8+I12</f>
        <v>1866</v>
      </c>
      <c r="J13" s="24">
        <f t="shared" si="13"/>
        <v>2030</v>
      </c>
      <c r="K13" s="24">
        <f t="shared" si="13"/>
        <v>2906</v>
      </c>
      <c r="L13" s="24">
        <f t="shared" si="13"/>
        <v>3249</v>
      </c>
      <c r="M13" s="24">
        <f t="shared" si="13"/>
        <v>3614</v>
      </c>
      <c r="N13" s="24">
        <f t="shared" si="13"/>
        <v>4128</v>
      </c>
      <c r="O13" s="24">
        <f t="shared" si="13"/>
        <v>2943</v>
      </c>
      <c r="P13" s="24">
        <f t="shared" si="13"/>
        <v>4168</v>
      </c>
      <c r="Q13" s="24">
        <f t="shared" si="13"/>
        <v>5758</v>
      </c>
      <c r="R13" s="24">
        <f t="shared" si="13"/>
        <v>5885</v>
      </c>
      <c r="S13" s="24">
        <f t="shared" si="13"/>
        <v>6665</v>
      </c>
      <c r="T13" s="24">
        <f t="shared" si="13"/>
        <v>3251</v>
      </c>
      <c r="U13" s="24">
        <f t="shared" si="13"/>
        <v>12367</v>
      </c>
      <c r="V13" s="24">
        <f t="shared" si="13"/>
        <v>18613</v>
      </c>
      <c r="W13" s="5"/>
      <c r="X13" s="24">
        <f t="shared" ref="X13:AH13" si="14">+X8+X12</f>
        <v>8187</v>
      </c>
      <c r="Y13" s="24">
        <f t="shared" si="14"/>
        <v>10051</v>
      </c>
      <c r="Z13" s="24">
        <f t="shared" si="14"/>
        <v>11799</v>
      </c>
      <c r="AA13" s="24">
        <f t="shared" si="14"/>
        <v>13897</v>
      </c>
      <c r="AB13" s="24">
        <f t="shared" si="14"/>
        <v>13934</v>
      </c>
      <c r="AC13" s="24">
        <f t="shared" si="14"/>
        <v>-2904</v>
      </c>
      <c r="AD13" s="24">
        <f t="shared" si="14"/>
        <v>4755</v>
      </c>
      <c r="AE13" s="24">
        <f t="shared" si="14"/>
        <v>12648</v>
      </c>
      <c r="AF13" s="24">
        <f t="shared" si="14"/>
        <v>22476</v>
      </c>
      <c r="AG13" s="24">
        <f t="shared" si="14"/>
        <v>21559</v>
      </c>
      <c r="AH13" s="24">
        <f t="shared" si="14"/>
        <v>28168</v>
      </c>
      <c r="AI13" s="24">
        <f>+AI8+AI12</f>
        <v>40896</v>
      </c>
      <c r="AK13" s="122">
        <f>SUM(AI13/AE13)-1</f>
        <v>2.2333965844402277</v>
      </c>
    </row>
    <row r="14" spans="2:37" ht="12.75" customHeight="1">
      <c r="B14" s="14" t="s">
        <v>38</v>
      </c>
      <c r="C14" s="15">
        <f>C13/C8</f>
        <v>0.50452596474511668</v>
      </c>
      <c r="D14" s="15">
        <f>D13/D8</f>
        <v>0.73551343095858412</v>
      </c>
      <c r="E14" s="15">
        <f>E13/E8</f>
        <v>0.6321567915797115</v>
      </c>
      <c r="F14" s="15">
        <f>F13/F8</f>
        <v>0.52181180786107306</v>
      </c>
      <c r="G14" s="25"/>
      <c r="H14" s="15">
        <f t="shared" ref="H14" si="15">H13/H8</f>
        <v>0.70916538658474138</v>
      </c>
      <c r="I14" s="15">
        <f t="shared" ref="I14:V14" si="16">I13/I8</f>
        <v>0.7154907975460123</v>
      </c>
      <c r="J14" s="15">
        <f t="shared" si="16"/>
        <v>0.73470865001809627</v>
      </c>
      <c r="K14" s="15">
        <f t="shared" si="16"/>
        <v>0.76333070659311797</v>
      </c>
      <c r="L14" s="15">
        <f t="shared" si="16"/>
        <v>0.75822637106184365</v>
      </c>
      <c r="M14" s="15">
        <f t="shared" si="16"/>
        <v>0.65530371713508617</v>
      </c>
      <c r="N14" s="15">
        <f t="shared" si="16"/>
        <v>0.67275097783572357</v>
      </c>
      <c r="O14" s="15">
        <f t="shared" si="16"/>
        <v>0.48198493285293154</v>
      </c>
      <c r="P14" s="15">
        <f t="shared" si="16"/>
        <v>0.54972302822474284</v>
      </c>
      <c r="Q14" s="15">
        <f t="shared" si="16"/>
        <v>0.50593093752745799</v>
      </c>
      <c r="R14" s="15">
        <f t="shared" si="16"/>
        <v>0.4745967741935484</v>
      </c>
      <c r="S14" s="15">
        <f t="shared" si="16"/>
        <v>0.56917164816396237</v>
      </c>
      <c r="T14" s="15">
        <f t="shared" si="16"/>
        <v>0.42968543484007404</v>
      </c>
      <c r="U14" s="15">
        <f t="shared" si="16"/>
        <v>0.59761283463805936</v>
      </c>
      <c r="V14" s="15">
        <f t="shared" si="16"/>
        <v>0.46688907841268251</v>
      </c>
      <c r="W14" s="26"/>
      <c r="X14" s="15">
        <f t="shared" ref="X14:AH14" si="17">X13/X8</f>
        <v>0.73551343095858412</v>
      </c>
      <c r="Y14" s="15">
        <f t="shared" si="17"/>
        <v>0.74656465869419897</v>
      </c>
      <c r="Z14" s="15">
        <f t="shared" si="17"/>
        <v>0.72076970067196089</v>
      </c>
      <c r="AA14" s="15">
        <f t="shared" si="17"/>
        <v>0.70389505141062658</v>
      </c>
      <c r="AB14" s="15">
        <f t="shared" si="17"/>
        <v>0.6321567915797115</v>
      </c>
      <c r="AC14" s="15">
        <f t="shared" si="17"/>
        <v>-0.3830123977842258</v>
      </c>
      <c r="AD14" s="15">
        <f t="shared" si="17"/>
        <v>0.25075146337604809</v>
      </c>
      <c r="AE14" s="15">
        <f t="shared" si="17"/>
        <v>0.40327774766444535</v>
      </c>
      <c r="AF14" s="15">
        <f t="shared" si="17"/>
        <v>0.52181180786107306</v>
      </c>
      <c r="AG14" s="15">
        <f t="shared" si="17"/>
        <v>0.50070836333232693</v>
      </c>
      <c r="AH14" s="15">
        <f t="shared" si="17"/>
        <v>0.53786518999427158</v>
      </c>
      <c r="AI14" s="15">
        <f>AI13/AI8</f>
        <v>0.51225011273109877</v>
      </c>
      <c r="AK14" s="123">
        <f>SUM(AI14-AE14)*10000</f>
        <v>1089.7236506665342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20"/>
    </row>
    <row r="16" spans="2:37" ht="12.75" customHeight="1">
      <c r="B16" s="21" t="s">
        <v>162</v>
      </c>
      <c r="C16" s="86">
        <f>'Historical Financials'!C17</f>
        <v>-20228</v>
      </c>
      <c r="D16" s="86">
        <f>'Historical Financials'!D17</f>
        <v>-43978</v>
      </c>
      <c r="E16" s="86">
        <f>'Historical Financials'!E17</f>
        <v>-92321</v>
      </c>
      <c r="F16" s="86">
        <f>'Historical Financials'!F17</f>
        <v>-136827</v>
      </c>
      <c r="G16" s="86"/>
      <c r="H16" s="86">
        <f>'Historical Financials'!H17</f>
        <v>-7338</v>
      </c>
      <c r="I16" s="86">
        <f>'Historical Financials'!I17</f>
        <v>-9653</v>
      </c>
      <c r="J16" s="86">
        <f>'Historical Financials'!J17</f>
        <v>-13292</v>
      </c>
      <c r="K16" s="86">
        <f>'Historical Financials'!K17</f>
        <v>-13695</v>
      </c>
      <c r="L16" s="86">
        <f>'Historical Financials'!L17</f>
        <v>-16233</v>
      </c>
      <c r="M16" s="86">
        <f>'Historical Financials'!M17</f>
        <v>-19869</v>
      </c>
      <c r="N16" s="86">
        <f>'Historical Financials'!N17</f>
        <v>-24599</v>
      </c>
      <c r="O16" s="86">
        <f>'Historical Financials'!O17</f>
        <v>-31620</v>
      </c>
      <c r="P16" s="86">
        <f>'Historical Financials'!P17</f>
        <v>-32368</v>
      </c>
      <c r="Q16" s="86">
        <f>'Historical Financials'!Q17</f>
        <v>-31204</v>
      </c>
      <c r="R16" s="86">
        <f>'Historical Financials'!R17</f>
        <v>-33178</v>
      </c>
      <c r="S16" s="86">
        <f>'Historical Financials'!S17</f>
        <v>-40077</v>
      </c>
      <c r="T16" s="86">
        <f>'Historical Financials'!T17</f>
        <v>-39953</v>
      </c>
      <c r="U16" s="86">
        <f>'Historical Financials'!U17</f>
        <v>-103359</v>
      </c>
      <c r="V16" s="86">
        <f>'Historical Financials'!V17</f>
        <v>-66298</v>
      </c>
      <c r="W16" s="5"/>
      <c r="X16" s="10">
        <f t="shared" ref="X16:X19" si="18">SUM(G16:K16)</f>
        <v>-43978</v>
      </c>
      <c r="Y16" s="10">
        <f t="shared" ref="Y16:Y19" si="19">SUM(I16:L16)</f>
        <v>-52873</v>
      </c>
      <c r="Z16" s="10">
        <f t="shared" ref="Z16:Z19" si="20">SUM(J16:M16)</f>
        <v>-63089</v>
      </c>
      <c r="AA16" s="10">
        <f t="shared" ref="AA16:AA19" si="21">SUM(K16:N16)</f>
        <v>-74396</v>
      </c>
      <c r="AB16" s="10">
        <f t="shared" ref="AB16:AB19" si="22">SUM(L16:O16)</f>
        <v>-92321</v>
      </c>
      <c r="AC16" s="10">
        <f t="shared" ref="AC16:AC19" si="23">SUM(M16:P16)</f>
        <v>-108456</v>
      </c>
      <c r="AD16" s="10">
        <f t="shared" ref="AD16:AD19" si="24">SUM(N16:Q16)</f>
        <v>-119791</v>
      </c>
      <c r="AE16" s="10">
        <f t="shared" ref="AE16:AE19" si="25">SUM(O16:R16)</f>
        <v>-128370</v>
      </c>
      <c r="AF16" s="10">
        <f t="shared" ref="AF16:AF19" si="26">SUM(P16:S16)</f>
        <v>-136827</v>
      </c>
      <c r="AG16" s="10">
        <f t="shared" ref="AG16:AG19" si="27">SUM(Q16:T16)</f>
        <v>-144412</v>
      </c>
      <c r="AH16" s="10">
        <f t="shared" ref="AH16:AH19" si="28">SUM(R16:U16)</f>
        <v>-216567</v>
      </c>
      <c r="AI16" s="10">
        <f t="shared" ref="AI16:AI19" si="29">SUM(S16:V16)</f>
        <v>-249687</v>
      </c>
      <c r="AK16" s="121">
        <f>SUM(AI16/AE16)-1</f>
        <v>0.94505725636831039</v>
      </c>
    </row>
    <row r="17" spans="2:37" ht="12.75" customHeight="1">
      <c r="B17" s="21" t="s">
        <v>163</v>
      </c>
      <c r="C17" s="86">
        <f>'Historical Financials'!C18</f>
        <v>-3233</v>
      </c>
      <c r="D17" s="86">
        <f>'Historical Financials'!D18</f>
        <v>-8385</v>
      </c>
      <c r="E17" s="86">
        <f>'Historical Financials'!E18</f>
        <v>-18270</v>
      </c>
      <c r="F17" s="86">
        <f>'Historical Financials'!F18</f>
        <v>-28395</v>
      </c>
      <c r="G17" s="86"/>
      <c r="H17" s="86">
        <f>'Historical Financials'!H18</f>
        <v>-1871</v>
      </c>
      <c r="I17" s="86">
        <f>'Historical Financials'!I18</f>
        <v>-2132</v>
      </c>
      <c r="J17" s="86">
        <f>'Historical Financials'!J18</f>
        <v>-1969</v>
      </c>
      <c r="K17" s="86">
        <f>'Historical Financials'!K18</f>
        <v>-2413</v>
      </c>
      <c r="L17" s="86">
        <f>'Historical Financials'!L18</f>
        <v>-2667</v>
      </c>
      <c r="M17" s="86">
        <f>'Historical Financials'!M18</f>
        <v>-3575</v>
      </c>
      <c r="N17" s="86">
        <f>'Historical Financials'!N18</f>
        <v>-5047</v>
      </c>
      <c r="O17" s="86">
        <f>'Historical Financials'!O18</f>
        <v>-6981</v>
      </c>
      <c r="P17" s="86">
        <f>'Historical Financials'!P18</f>
        <v>-6701</v>
      </c>
      <c r="Q17" s="86">
        <f>'Historical Financials'!Q18</f>
        <v>-6137</v>
      </c>
      <c r="R17" s="86">
        <f>'Historical Financials'!R18</f>
        <v>-6630</v>
      </c>
      <c r="S17" s="86">
        <f>'Historical Financials'!S18</f>
        <v>-8927</v>
      </c>
      <c r="T17" s="86">
        <f>'Historical Financials'!T18</f>
        <v>-8610</v>
      </c>
      <c r="U17" s="86">
        <f>'Historical Financials'!U18</f>
        <v>-10877</v>
      </c>
      <c r="V17" s="86">
        <f>'Historical Financials'!V18</f>
        <v>-14441</v>
      </c>
      <c r="W17" s="5"/>
      <c r="X17" s="10">
        <f t="shared" si="18"/>
        <v>-8385</v>
      </c>
      <c r="Y17" s="10">
        <f t="shared" si="19"/>
        <v>-9181</v>
      </c>
      <c r="Z17" s="10">
        <f t="shared" si="20"/>
        <v>-10624</v>
      </c>
      <c r="AA17" s="10">
        <f t="shared" si="21"/>
        <v>-13702</v>
      </c>
      <c r="AB17" s="10">
        <f t="shared" si="22"/>
        <v>-18270</v>
      </c>
      <c r="AC17" s="10">
        <f t="shared" si="23"/>
        <v>-22304</v>
      </c>
      <c r="AD17" s="10">
        <f t="shared" si="24"/>
        <v>-24866</v>
      </c>
      <c r="AE17" s="10">
        <f t="shared" si="25"/>
        <v>-26449</v>
      </c>
      <c r="AF17" s="10">
        <f t="shared" si="26"/>
        <v>-28395</v>
      </c>
      <c r="AG17" s="10">
        <f t="shared" si="27"/>
        <v>-30304</v>
      </c>
      <c r="AH17" s="10">
        <f t="shared" si="28"/>
        <v>-35044</v>
      </c>
      <c r="AI17" s="10">
        <f t="shared" si="29"/>
        <v>-42855</v>
      </c>
      <c r="AK17" s="121">
        <f t="shared" ref="AK17:AK18" si="30">SUM(AI17/AE17)-1</f>
        <v>0.62028810162955117</v>
      </c>
    </row>
    <row r="18" spans="2:37" ht="12.75" customHeight="1">
      <c r="B18" s="21" t="s">
        <v>164</v>
      </c>
      <c r="C18" s="86">
        <f>'Historical Financials'!C19</f>
        <v>-13737</v>
      </c>
      <c r="D18" s="86">
        <f>'Historical Financials'!D19</f>
        <v>-35966</v>
      </c>
      <c r="E18" s="86">
        <f>'Historical Financials'!E19</f>
        <v>-50722</v>
      </c>
      <c r="F18" s="86">
        <f>'Historical Financials'!F19</f>
        <v>-71055</v>
      </c>
      <c r="G18" s="86"/>
      <c r="H18" s="86">
        <f>'Historical Financials'!H19</f>
        <v>-9194</v>
      </c>
      <c r="I18" s="86">
        <f>'Historical Financials'!I19</f>
        <v>-7558</v>
      </c>
      <c r="J18" s="86">
        <f>'Historical Financials'!J19</f>
        <v>-10149</v>
      </c>
      <c r="K18" s="86">
        <f>'Historical Financials'!K19</f>
        <v>-9065</v>
      </c>
      <c r="L18" s="86">
        <f>'Historical Financials'!L19</f>
        <v>-10581</v>
      </c>
      <c r="M18" s="86">
        <f>'Historical Financials'!M19</f>
        <v>-10930</v>
      </c>
      <c r="N18" s="86">
        <f>'Historical Financials'!N19</f>
        <v>-13927</v>
      </c>
      <c r="O18" s="86">
        <f>'Historical Financials'!O19</f>
        <v>-15284</v>
      </c>
      <c r="P18" s="86">
        <f>'Historical Financials'!P19</f>
        <v>-14020</v>
      </c>
      <c r="Q18" s="86">
        <f>'Historical Financials'!Q19</f>
        <v>-13053</v>
      </c>
      <c r="R18" s="86">
        <f>'Historical Financials'!R19</f>
        <v>-14322</v>
      </c>
      <c r="S18" s="86">
        <f>'Historical Financials'!S19</f>
        <v>-29660</v>
      </c>
      <c r="T18" s="86">
        <f>'Historical Financials'!T19</f>
        <v>-23806</v>
      </c>
      <c r="U18" s="86">
        <f>'Historical Financials'!U19</f>
        <v>-48107</v>
      </c>
      <c r="V18" s="86">
        <f>'Historical Financials'!V19</f>
        <v>-82505</v>
      </c>
      <c r="W18" s="5"/>
      <c r="X18" s="10">
        <f t="shared" si="18"/>
        <v>-35966</v>
      </c>
      <c r="Y18" s="10">
        <f t="shared" si="19"/>
        <v>-37353</v>
      </c>
      <c r="Z18" s="10">
        <f t="shared" si="20"/>
        <v>-40725</v>
      </c>
      <c r="AA18" s="10">
        <f t="shared" si="21"/>
        <v>-44503</v>
      </c>
      <c r="AB18" s="10">
        <f t="shared" si="22"/>
        <v>-50722</v>
      </c>
      <c r="AC18" s="10">
        <f t="shared" si="23"/>
        <v>-54161</v>
      </c>
      <c r="AD18" s="10">
        <f t="shared" si="24"/>
        <v>-56284</v>
      </c>
      <c r="AE18" s="10">
        <f t="shared" si="25"/>
        <v>-56679</v>
      </c>
      <c r="AF18" s="10">
        <f t="shared" si="26"/>
        <v>-71055</v>
      </c>
      <c r="AG18" s="10">
        <f t="shared" si="27"/>
        <v>-80841</v>
      </c>
      <c r="AH18" s="10">
        <f t="shared" si="28"/>
        <v>-115895</v>
      </c>
      <c r="AI18" s="10">
        <f t="shared" si="29"/>
        <v>-184078</v>
      </c>
      <c r="AK18" s="121">
        <f t="shared" si="30"/>
        <v>2.2477284355757865</v>
      </c>
    </row>
    <row r="19" spans="2:37" ht="12.75" customHeight="1">
      <c r="B19" s="21" t="s">
        <v>165</v>
      </c>
      <c r="C19" s="86">
        <f>'Historical Financials'!C20</f>
        <v>-2548</v>
      </c>
      <c r="D19" s="86">
        <f>'Historical Financials'!D20</f>
        <v>-5604</v>
      </c>
      <c r="E19" s="86">
        <f>'Historical Financials'!E20</f>
        <v>-10375</v>
      </c>
      <c r="F19" s="86">
        <f>'Historical Financials'!F20</f>
        <v>-18654</v>
      </c>
      <c r="G19" s="86"/>
      <c r="H19" s="86">
        <f>'Historical Financials'!H20</f>
        <v>-1266</v>
      </c>
      <c r="I19" s="86">
        <f>'Historical Financials'!I20</f>
        <v>-1451</v>
      </c>
      <c r="J19" s="86">
        <f>'Historical Financials'!J20</f>
        <v>-1531</v>
      </c>
      <c r="K19" s="86">
        <f>'Historical Financials'!K20</f>
        <v>-1356</v>
      </c>
      <c r="L19" s="86">
        <f>'Historical Financials'!L20</f>
        <v>-1791</v>
      </c>
      <c r="M19" s="86">
        <f>'Historical Financials'!M20</f>
        <v>-2329</v>
      </c>
      <c r="N19" s="86">
        <f>'Historical Financials'!N20</f>
        <v>-2749</v>
      </c>
      <c r="O19" s="86">
        <f>'Historical Financials'!O20</f>
        <v>-3506</v>
      </c>
      <c r="P19" s="86">
        <f>'Historical Financials'!P20</f>
        <v>-3955</v>
      </c>
      <c r="Q19" s="86">
        <f>'Historical Financials'!Q20</f>
        <v>-4305</v>
      </c>
      <c r="R19" s="86">
        <f>'Historical Financials'!R20</f>
        <v>-4890</v>
      </c>
      <c r="S19" s="86">
        <f>'Historical Financials'!S20</f>
        <v>-5504</v>
      </c>
      <c r="T19" s="86">
        <f>'Historical Financials'!T20</f>
        <v>-6561</v>
      </c>
      <c r="U19" s="86">
        <f>'Historical Financials'!U20</f>
        <v>-10616</v>
      </c>
      <c r="V19" s="86">
        <f>'Historical Financials'!V20</f>
        <v>-24182</v>
      </c>
      <c r="W19" s="5"/>
      <c r="X19" s="10">
        <f t="shared" si="18"/>
        <v>-5604</v>
      </c>
      <c r="Y19" s="10">
        <f t="shared" si="19"/>
        <v>-6129</v>
      </c>
      <c r="Z19" s="10">
        <f t="shared" si="20"/>
        <v>-7007</v>
      </c>
      <c r="AA19" s="10">
        <f t="shared" si="21"/>
        <v>-8225</v>
      </c>
      <c r="AB19" s="10">
        <f t="shared" si="22"/>
        <v>-10375</v>
      </c>
      <c r="AC19" s="10">
        <f t="shared" si="23"/>
        <v>-12539</v>
      </c>
      <c r="AD19" s="10">
        <f t="shared" si="24"/>
        <v>-14515</v>
      </c>
      <c r="AE19" s="10">
        <f t="shared" si="25"/>
        <v>-16656</v>
      </c>
      <c r="AF19" s="10">
        <f t="shared" si="26"/>
        <v>-18654</v>
      </c>
      <c r="AG19" s="10">
        <f t="shared" si="27"/>
        <v>-21260</v>
      </c>
      <c r="AH19" s="10">
        <f t="shared" si="28"/>
        <v>-27571</v>
      </c>
      <c r="AI19" s="10">
        <f t="shared" si="29"/>
        <v>-46863</v>
      </c>
      <c r="AK19" s="121">
        <f>SUM(AI19/AE19)-1</f>
        <v>1.8135806916426511</v>
      </c>
    </row>
    <row r="20" spans="2:37" ht="12.75" customHeight="1">
      <c r="B20" s="12" t="s">
        <v>39</v>
      </c>
      <c r="C20" s="13">
        <f>SUM(C13+SUM(C16:C19))</f>
        <v>-38687</v>
      </c>
      <c r="D20" s="13">
        <f>SUM(D13+SUM(D16:D19))</f>
        <v>-85746</v>
      </c>
      <c r="E20" s="13">
        <f>SUM(E13+SUM(E16:E19))</f>
        <v>-157754</v>
      </c>
      <c r="F20" s="13">
        <f>SUM(F13+SUM(F16:F19))</f>
        <v>-232455</v>
      </c>
      <c r="G20" s="11"/>
      <c r="H20" s="13">
        <f t="shared" ref="H20" si="31">SUM(H13+SUM(H16:H19))</f>
        <v>-18284</v>
      </c>
      <c r="I20" s="13">
        <f t="shared" ref="I20:V20" si="32">SUM(I13+SUM(I16:I19))</f>
        <v>-18928</v>
      </c>
      <c r="J20" s="13">
        <f t="shared" si="32"/>
        <v>-24911</v>
      </c>
      <c r="K20" s="13">
        <f t="shared" si="32"/>
        <v>-23623</v>
      </c>
      <c r="L20" s="13">
        <f t="shared" si="32"/>
        <v>-28023</v>
      </c>
      <c r="M20" s="13">
        <f t="shared" si="32"/>
        <v>-33089</v>
      </c>
      <c r="N20" s="13">
        <f t="shared" si="32"/>
        <v>-42194</v>
      </c>
      <c r="O20" s="13">
        <f t="shared" si="32"/>
        <v>-54448</v>
      </c>
      <c r="P20" s="13">
        <f t="shared" si="32"/>
        <v>-52876</v>
      </c>
      <c r="Q20" s="13">
        <f t="shared" si="32"/>
        <v>-48941</v>
      </c>
      <c r="R20" s="13">
        <f t="shared" si="32"/>
        <v>-53135</v>
      </c>
      <c r="S20" s="13">
        <f t="shared" si="32"/>
        <v>-77503</v>
      </c>
      <c r="T20" s="13">
        <f t="shared" si="32"/>
        <v>-75679</v>
      </c>
      <c r="U20" s="13">
        <f t="shared" si="32"/>
        <v>-160592</v>
      </c>
      <c r="V20" s="13">
        <f t="shared" si="32"/>
        <v>-168813</v>
      </c>
      <c r="W20" s="5"/>
      <c r="X20" s="13">
        <f t="shared" ref="X20:AH20" si="33">SUM(X13+SUM(X16:X19))</f>
        <v>-85746</v>
      </c>
      <c r="Y20" s="13">
        <f t="shared" si="33"/>
        <v>-95485</v>
      </c>
      <c r="Z20" s="13">
        <f t="shared" si="33"/>
        <v>-109646</v>
      </c>
      <c r="AA20" s="13">
        <f t="shared" si="33"/>
        <v>-126929</v>
      </c>
      <c r="AB20" s="13">
        <f t="shared" si="33"/>
        <v>-157754</v>
      </c>
      <c r="AC20" s="13">
        <f t="shared" si="33"/>
        <v>-200364</v>
      </c>
      <c r="AD20" s="13">
        <f t="shared" si="33"/>
        <v>-210701</v>
      </c>
      <c r="AE20" s="13">
        <f t="shared" si="33"/>
        <v>-215506</v>
      </c>
      <c r="AF20" s="13">
        <f t="shared" si="33"/>
        <v>-232455</v>
      </c>
      <c r="AG20" s="13">
        <f t="shared" si="33"/>
        <v>-255258</v>
      </c>
      <c r="AH20" s="13">
        <f t="shared" si="33"/>
        <v>-366909</v>
      </c>
      <c r="AI20" s="13">
        <f>SUM(AI13+SUM(AI16:AI19))</f>
        <v>-482587</v>
      </c>
      <c r="AK20" s="122">
        <f>SUM(AI20/AE20)-1</f>
        <v>1.2393204829563911</v>
      </c>
    </row>
    <row r="21" spans="2:37" ht="12.75" customHeight="1">
      <c r="B21" s="14" t="s">
        <v>40</v>
      </c>
      <c r="C21" s="15">
        <f>C20/C8</f>
        <v>-18.431157694140065</v>
      </c>
      <c r="D21" s="15">
        <f>D20/D8</f>
        <v>-7.7033510017069444</v>
      </c>
      <c r="E21" s="15">
        <f>E20/E8</f>
        <v>-7.1569730514472374</v>
      </c>
      <c r="F21" s="15">
        <f>F20/F8</f>
        <v>-5.3967682771109509</v>
      </c>
      <c r="G21" s="25"/>
      <c r="H21" s="15">
        <f t="shared" ref="H21" si="34">H20/H8</f>
        <v>-9.3620071684587813</v>
      </c>
      <c r="I21" s="15">
        <f t="shared" ref="I21:V21" si="35">I20/I8</f>
        <v>-7.257668711656442</v>
      </c>
      <c r="J21" s="15">
        <f t="shared" si="35"/>
        <v>-9.0159247195077814</v>
      </c>
      <c r="K21" s="15">
        <f t="shared" si="35"/>
        <v>-6.2051484108221695</v>
      </c>
      <c r="L21" s="15">
        <f t="shared" si="35"/>
        <v>-6.5397899649941653</v>
      </c>
      <c r="M21" s="15">
        <f t="shared" si="35"/>
        <v>-5.9998186763372621</v>
      </c>
      <c r="N21" s="15">
        <f t="shared" si="35"/>
        <v>-6.8764667535853974</v>
      </c>
      <c r="O21" s="15">
        <f t="shared" si="35"/>
        <v>-8.9171306911234858</v>
      </c>
      <c r="P21" s="15">
        <f t="shared" si="35"/>
        <v>-6.9738855183328941</v>
      </c>
      <c r="Q21" s="15">
        <f t="shared" si="35"/>
        <v>-4.300237237501098</v>
      </c>
      <c r="R21" s="15">
        <f t="shared" si="35"/>
        <v>-4.2850806451612904</v>
      </c>
      <c r="S21" s="15">
        <f t="shared" si="35"/>
        <v>-6.6185311699402218</v>
      </c>
      <c r="T21" s="15">
        <f t="shared" si="35"/>
        <v>-10.002511234469997</v>
      </c>
      <c r="U21" s="15">
        <f t="shared" si="35"/>
        <v>-7.7603170000966459</v>
      </c>
      <c r="V21" s="15">
        <f t="shared" si="35"/>
        <v>-4.2345106105453265</v>
      </c>
      <c r="W21" s="26"/>
      <c r="X21" s="15">
        <f t="shared" ref="X21:AH21" si="36">X20/X8</f>
        <v>-7.7033510017069444</v>
      </c>
      <c r="Y21" s="15">
        <f t="shared" si="36"/>
        <v>-7.0924013964198176</v>
      </c>
      <c r="Z21" s="15">
        <f t="shared" si="36"/>
        <v>-6.6979841172877217</v>
      </c>
      <c r="AA21" s="15">
        <f t="shared" si="36"/>
        <v>-6.4290634655320877</v>
      </c>
      <c r="AB21" s="15">
        <f t="shared" si="36"/>
        <v>-7.1569730514472374</v>
      </c>
      <c r="AC21" s="15">
        <f t="shared" si="36"/>
        <v>-26.426272751252966</v>
      </c>
      <c r="AD21" s="15">
        <f t="shared" si="36"/>
        <v>-11.111163845383114</v>
      </c>
      <c r="AE21" s="15">
        <f t="shared" si="36"/>
        <v>-6.8713452157000283</v>
      </c>
      <c r="AF21" s="15">
        <f t="shared" si="36"/>
        <v>-5.3967682771109509</v>
      </c>
      <c r="AG21" s="15">
        <f t="shared" si="36"/>
        <v>-5.9283740158394682</v>
      </c>
      <c r="AH21" s="15">
        <f t="shared" si="36"/>
        <v>-7.0060912736299406</v>
      </c>
      <c r="AI21" s="15">
        <f>AI20/AI8</f>
        <v>-6.0447291948494417</v>
      </c>
      <c r="AK21" s="123">
        <f>SUM(AI21-AE21)*10000</f>
        <v>8266.1602085058657</v>
      </c>
    </row>
    <row r="22" spans="2:37" ht="5.0999999999999996" customHeight="1">
      <c r="AK22" s="120"/>
    </row>
    <row r="23" spans="2:37" ht="12.75" customHeight="1">
      <c r="B23" s="29" t="s">
        <v>41</v>
      </c>
      <c r="C23" s="118">
        <f>-C19</f>
        <v>2548</v>
      </c>
      <c r="D23" s="118">
        <f t="shared" ref="D23:V23" si="37">-D19</f>
        <v>5604</v>
      </c>
      <c r="E23" s="118">
        <f t="shared" si="37"/>
        <v>10375</v>
      </c>
      <c r="F23" s="118">
        <f t="shared" si="37"/>
        <v>18654</v>
      </c>
      <c r="G23" s="155"/>
      <c r="H23" s="118">
        <f t="shared" si="37"/>
        <v>1266</v>
      </c>
      <c r="I23" s="118">
        <f t="shared" si="37"/>
        <v>1451</v>
      </c>
      <c r="J23" s="118">
        <f t="shared" si="37"/>
        <v>1531</v>
      </c>
      <c r="K23" s="118">
        <f t="shared" si="37"/>
        <v>1356</v>
      </c>
      <c r="L23" s="118">
        <f t="shared" si="37"/>
        <v>1791</v>
      </c>
      <c r="M23" s="118">
        <f t="shared" si="37"/>
        <v>2329</v>
      </c>
      <c r="N23" s="118">
        <f t="shared" si="37"/>
        <v>2749</v>
      </c>
      <c r="O23" s="118">
        <f t="shared" si="37"/>
        <v>3506</v>
      </c>
      <c r="P23" s="118">
        <f t="shared" si="37"/>
        <v>3955</v>
      </c>
      <c r="Q23" s="118">
        <f t="shared" si="37"/>
        <v>4305</v>
      </c>
      <c r="R23" s="118">
        <f t="shared" si="37"/>
        <v>4890</v>
      </c>
      <c r="S23" s="118">
        <f t="shared" si="37"/>
        <v>5504</v>
      </c>
      <c r="T23" s="118">
        <f t="shared" si="37"/>
        <v>6561</v>
      </c>
      <c r="U23" s="118">
        <f t="shared" si="37"/>
        <v>10616</v>
      </c>
      <c r="V23" s="118">
        <f t="shared" si="37"/>
        <v>24182</v>
      </c>
      <c r="X23" s="10">
        <f>SUM(G23:K23)</f>
        <v>5604</v>
      </c>
      <c r="Y23" s="10">
        <f t="shared" ref="Y23:AH23" si="38">SUM(I23:L23)</f>
        <v>6129</v>
      </c>
      <c r="Z23" s="10">
        <f t="shared" si="38"/>
        <v>7007</v>
      </c>
      <c r="AA23" s="10">
        <f t="shared" si="38"/>
        <v>8225</v>
      </c>
      <c r="AB23" s="10">
        <f t="shared" si="38"/>
        <v>10375</v>
      </c>
      <c r="AC23" s="10">
        <f t="shared" si="38"/>
        <v>12539</v>
      </c>
      <c r="AD23" s="10">
        <f t="shared" si="38"/>
        <v>14515</v>
      </c>
      <c r="AE23" s="10">
        <f t="shared" si="38"/>
        <v>16656</v>
      </c>
      <c r="AF23" s="10">
        <f t="shared" si="38"/>
        <v>18654</v>
      </c>
      <c r="AG23" s="10">
        <f t="shared" si="38"/>
        <v>21260</v>
      </c>
      <c r="AH23" s="10">
        <f t="shared" si="38"/>
        <v>27571</v>
      </c>
      <c r="AI23" s="10">
        <f>SUM(S23:V23)</f>
        <v>46863</v>
      </c>
      <c r="AK23" s="121">
        <f>SUM(AI23/AE23)-1</f>
        <v>1.8135806916426511</v>
      </c>
    </row>
    <row r="24" spans="2:37" ht="12.75" customHeight="1">
      <c r="B24" s="23" t="s">
        <v>11</v>
      </c>
      <c r="C24" s="24">
        <f>SUM(C20+C23)</f>
        <v>-36139</v>
      </c>
      <c r="D24" s="24">
        <f>SUM(D20+D23)</f>
        <v>-80142</v>
      </c>
      <c r="E24" s="24">
        <f>SUM(E20+E23)</f>
        <v>-147379</v>
      </c>
      <c r="F24" s="24">
        <f>SUM(F20+F23)</f>
        <v>-213801</v>
      </c>
      <c r="H24" s="24">
        <f t="shared" ref="H24" si="39">SUM(H20+H23)</f>
        <v>-17018</v>
      </c>
      <c r="I24" s="24">
        <f t="shared" ref="I24:R24" si="40">SUM(I20+I23)</f>
        <v>-17477</v>
      </c>
      <c r="J24" s="24">
        <f t="shared" si="40"/>
        <v>-23380</v>
      </c>
      <c r="K24" s="24">
        <f t="shared" si="40"/>
        <v>-22267</v>
      </c>
      <c r="L24" s="24">
        <f t="shared" si="40"/>
        <v>-26232</v>
      </c>
      <c r="M24" s="24">
        <f t="shared" si="40"/>
        <v>-30760</v>
      </c>
      <c r="N24" s="24">
        <f t="shared" si="40"/>
        <v>-39445</v>
      </c>
      <c r="O24" s="24">
        <f t="shared" si="40"/>
        <v>-50942</v>
      </c>
      <c r="P24" s="24">
        <f t="shared" si="40"/>
        <v>-48921</v>
      </c>
      <c r="Q24" s="24">
        <f t="shared" si="40"/>
        <v>-44636</v>
      </c>
      <c r="R24" s="24">
        <f t="shared" si="40"/>
        <v>-48245</v>
      </c>
      <c r="S24" s="24">
        <f>SUM(S20+S23)</f>
        <v>-71999</v>
      </c>
      <c r="T24" s="24">
        <f>SUM(T20+T23)</f>
        <v>-69118</v>
      </c>
      <c r="U24" s="24">
        <f>SUM(U20+U23)</f>
        <v>-149976</v>
      </c>
      <c r="V24" s="24">
        <f>SUM(V20+V23)</f>
        <v>-144631</v>
      </c>
      <c r="X24" s="24">
        <f t="shared" ref="X24:AH24" si="41">SUM(X20+X23)</f>
        <v>-80142</v>
      </c>
      <c r="Y24" s="24">
        <f t="shared" si="41"/>
        <v>-89356</v>
      </c>
      <c r="Z24" s="24">
        <f t="shared" si="41"/>
        <v>-102639</v>
      </c>
      <c r="AA24" s="24">
        <f t="shared" si="41"/>
        <v>-118704</v>
      </c>
      <c r="AB24" s="24">
        <f t="shared" si="41"/>
        <v>-147379</v>
      </c>
      <c r="AC24" s="24">
        <f t="shared" si="41"/>
        <v>-187825</v>
      </c>
      <c r="AD24" s="24">
        <f t="shared" si="41"/>
        <v>-196186</v>
      </c>
      <c r="AE24" s="24">
        <f t="shared" si="41"/>
        <v>-198850</v>
      </c>
      <c r="AF24" s="24">
        <f t="shared" si="41"/>
        <v>-213801</v>
      </c>
      <c r="AG24" s="24">
        <f t="shared" si="41"/>
        <v>-233998</v>
      </c>
      <c r="AH24" s="24">
        <f t="shared" si="41"/>
        <v>-339338</v>
      </c>
      <c r="AI24" s="24">
        <f>SUM(AI20+AI23)</f>
        <v>-435724</v>
      </c>
      <c r="AK24" s="122">
        <f>SUM(AI24/AE24)-1</f>
        <v>1.1912195121951221</v>
      </c>
    </row>
    <row r="25" spans="2:37" ht="12.75" customHeight="1">
      <c r="B25" s="14" t="s">
        <v>42</v>
      </c>
      <c r="C25" s="15">
        <f>C24/C8</f>
        <v>-17.217246307765603</v>
      </c>
      <c r="D25" s="15">
        <f>D24/D8</f>
        <v>-7.1998921929745752</v>
      </c>
      <c r="E25" s="15">
        <f>E24/E8</f>
        <v>-6.686280736775247</v>
      </c>
      <c r="F25" s="15">
        <f>F24/F8</f>
        <v>-4.9636895502983309</v>
      </c>
      <c r="H25" s="15">
        <f t="shared" ref="H25" si="42">H24/H8</f>
        <v>-8.713773681515617</v>
      </c>
      <c r="I25" s="15">
        <f t="shared" ref="I25:V25" si="43">I24/I8</f>
        <v>-6.7013036809815949</v>
      </c>
      <c r="J25" s="15">
        <f t="shared" si="43"/>
        <v>-8.4618168657256607</v>
      </c>
      <c r="K25" s="15">
        <f t="shared" si="43"/>
        <v>-5.8489624376149196</v>
      </c>
      <c r="L25" s="15">
        <f t="shared" si="43"/>
        <v>-6.1218203033838972</v>
      </c>
      <c r="M25" s="15">
        <f t="shared" si="43"/>
        <v>-5.57751586582049</v>
      </c>
      <c r="N25" s="15">
        <f t="shared" si="43"/>
        <v>-6.4284550195567141</v>
      </c>
      <c r="O25" s="15">
        <f t="shared" si="43"/>
        <v>-8.3429413691451035</v>
      </c>
      <c r="P25" s="15">
        <f t="shared" si="43"/>
        <v>-6.4522553415985229</v>
      </c>
      <c r="Q25" s="15">
        <f t="shared" si="43"/>
        <v>-3.9219752218609965</v>
      </c>
      <c r="R25" s="15">
        <f t="shared" si="43"/>
        <v>-3.8907258064516128</v>
      </c>
      <c r="S25" s="15">
        <f t="shared" si="43"/>
        <v>-6.1485055508112723</v>
      </c>
      <c r="T25" s="15">
        <f t="shared" si="43"/>
        <v>-9.1353423209093307</v>
      </c>
      <c r="U25" s="15">
        <f t="shared" si="43"/>
        <v>-7.2473180632067269</v>
      </c>
      <c r="V25" s="15">
        <f t="shared" si="43"/>
        <v>-3.6279285606782721</v>
      </c>
      <c r="X25" s="15">
        <f t="shared" ref="X25:AH25" si="44">X24/X8</f>
        <v>-7.1998921929745752</v>
      </c>
      <c r="Y25" s="15">
        <f t="shared" si="44"/>
        <v>-6.6371536804575504</v>
      </c>
      <c r="Z25" s="15">
        <f t="shared" si="44"/>
        <v>-6.2699450213805745</v>
      </c>
      <c r="AA25" s="15">
        <f t="shared" si="44"/>
        <v>-6.0124601124449173</v>
      </c>
      <c r="AB25" s="15">
        <f t="shared" si="44"/>
        <v>-6.686280736775247</v>
      </c>
      <c r="AC25" s="15">
        <f t="shared" si="44"/>
        <v>-24.772487470324453</v>
      </c>
      <c r="AD25" s="15">
        <f t="shared" si="44"/>
        <v>-10.345725887254126</v>
      </c>
      <c r="AE25" s="15">
        <f t="shared" si="44"/>
        <v>-6.3402735707681028</v>
      </c>
      <c r="AF25" s="15">
        <f t="shared" si="44"/>
        <v>-4.9636895502983309</v>
      </c>
      <c r="AG25" s="15">
        <f t="shared" si="44"/>
        <v>-5.4346099356666748</v>
      </c>
      <c r="AH25" s="15">
        <f t="shared" si="44"/>
        <v>-6.4796257399274397</v>
      </c>
      <c r="AI25" s="15">
        <f>AI24/AI8</f>
        <v>-5.4577383636454728</v>
      </c>
      <c r="AK25" s="123">
        <f>SUM(AI25-AE25)*10000</f>
        <v>8825.3520712262998</v>
      </c>
    </row>
    <row r="26" spans="2:37" ht="5.0999999999999996" customHeight="1">
      <c r="AK26" s="120"/>
    </row>
    <row r="27" spans="2:37" ht="12.75" customHeight="1">
      <c r="B27" s="29" t="s">
        <v>43</v>
      </c>
      <c r="C27" s="86">
        <f>'Historical Financials'!C97</f>
        <v>7748</v>
      </c>
      <c r="D27" s="86">
        <f>'Historical Financials'!D97</f>
        <v>31456</v>
      </c>
      <c r="E27" s="86">
        <f>'Historical Financials'!E97</f>
        <v>69743</v>
      </c>
      <c r="F27" s="86">
        <f>'Historical Financials'!F97</f>
        <v>106878</v>
      </c>
      <c r="H27" s="86">
        <f>'Historical Financials'!H97</f>
        <v>6672</v>
      </c>
      <c r="I27" s="86">
        <f>'Historical Financials'!I97</f>
        <v>5884</v>
      </c>
      <c r="J27" s="86">
        <f>'Historical Financials'!J97</f>
        <v>10005</v>
      </c>
      <c r="K27" s="86">
        <f>'Historical Financials'!K97</f>
        <v>8895</v>
      </c>
      <c r="L27" s="86">
        <f>'Historical Financials'!L97</f>
        <v>10268</v>
      </c>
      <c r="M27" s="86">
        <f>'Historical Financials'!M97</f>
        <v>11304</v>
      </c>
      <c r="N27" s="86">
        <f>'Historical Financials'!N97</f>
        <v>16977</v>
      </c>
      <c r="O27" s="86">
        <f>'Historical Financials'!O97</f>
        <v>31194</v>
      </c>
      <c r="P27" s="86">
        <f>'Historical Financials'!P97</f>
        <v>22061</v>
      </c>
      <c r="Q27" s="86">
        <f>'Historical Financials'!Q97</f>
        <v>20979</v>
      </c>
      <c r="R27" s="86">
        <f>'Historical Financials'!R97</f>
        <v>24567</v>
      </c>
      <c r="S27" s="86">
        <f>'Historical Financials'!S97</f>
        <v>39271</v>
      </c>
      <c r="T27" s="86">
        <f>'Historical Financials'!T97</f>
        <v>33253</v>
      </c>
      <c r="U27" s="86">
        <f>'Historical Financials'!U97</f>
        <v>99168</v>
      </c>
      <c r="V27" s="86">
        <f>'Historical Financials'!V97</f>
        <v>72945</v>
      </c>
      <c r="X27" s="10">
        <f>SUM(G27:K27)</f>
        <v>31456</v>
      </c>
      <c r="Y27" s="10">
        <f t="shared" ref="Y27" si="45">SUM(I27:L27)</f>
        <v>35052</v>
      </c>
      <c r="Z27" s="10">
        <f t="shared" ref="Z27" si="46">SUM(J27:M27)</f>
        <v>40472</v>
      </c>
      <c r="AA27" s="10">
        <f t="shared" ref="AA27" si="47">SUM(K27:N27)</f>
        <v>47444</v>
      </c>
      <c r="AB27" s="10">
        <f t="shared" ref="AB27" si="48">SUM(L27:O27)</f>
        <v>69743</v>
      </c>
      <c r="AC27" s="10">
        <f t="shared" ref="AC27" si="49">SUM(M27:P27)</f>
        <v>81536</v>
      </c>
      <c r="AD27" s="10">
        <f t="shared" ref="AD27" si="50">SUM(N27:Q27)</f>
        <v>91211</v>
      </c>
      <c r="AE27" s="10">
        <f t="shared" ref="AE27" si="51">SUM(O27:R27)</f>
        <v>98801</v>
      </c>
      <c r="AF27" s="10">
        <f t="shared" ref="AF27" si="52">SUM(P27:S27)</f>
        <v>106878</v>
      </c>
      <c r="AG27" s="10">
        <f t="shared" ref="AG27" si="53">SUM(Q27:T27)</f>
        <v>118070</v>
      </c>
      <c r="AH27" s="10">
        <f t="shared" ref="AH27" si="54">SUM(R27:U27)</f>
        <v>196259</v>
      </c>
      <c r="AI27" s="10">
        <f t="shared" ref="AI27" si="55">SUM(S27:V27)</f>
        <v>244637</v>
      </c>
      <c r="AK27" s="121">
        <f>SUM(AI27/AE27)-1</f>
        <v>1.4760579346362892</v>
      </c>
    </row>
    <row r="28" spans="2:37" ht="12.75" customHeight="1">
      <c r="B28" s="12" t="s">
        <v>44</v>
      </c>
      <c r="C28" s="13">
        <f>+SUM(C24+SUM(C27:C27))</f>
        <v>-28391</v>
      </c>
      <c r="D28" s="13">
        <f>+SUM(D24+SUM(D27:D27))</f>
        <v>-48686</v>
      </c>
      <c r="E28" s="13">
        <f>+SUM(E24+SUM(E27:E27))</f>
        <v>-77636</v>
      </c>
      <c r="F28" s="13">
        <f>+SUM(F24+SUM(F27:F27))</f>
        <v>-106923</v>
      </c>
      <c r="G28" s="11"/>
      <c r="H28" s="13">
        <f>+SUM(H24+SUM(H27:H27))</f>
        <v>-10346</v>
      </c>
      <c r="I28" s="13">
        <f>+SUM(I24+SUM(I27:I27))</f>
        <v>-11593</v>
      </c>
      <c r="J28" s="13">
        <f>+SUM(J24+SUM(J27:J27))</f>
        <v>-13375</v>
      </c>
      <c r="K28" s="13">
        <f>+SUM(K24+SUM(K27:K27))</f>
        <v>-13372</v>
      </c>
      <c r="L28" s="13">
        <f>+SUM(L24+SUM(L27:L27))</f>
        <v>-15964</v>
      </c>
      <c r="M28" s="13">
        <f>+SUM(M24+SUM(M27:M27))</f>
        <v>-19456</v>
      </c>
      <c r="N28" s="13">
        <f>+SUM(N24+SUM(N27:N27))</f>
        <v>-22468</v>
      </c>
      <c r="O28" s="13">
        <f>+SUM(O24+SUM(O27:O27))</f>
        <v>-19748</v>
      </c>
      <c r="P28" s="13">
        <f>+SUM(P24+SUM(P27:P27))</f>
        <v>-26860</v>
      </c>
      <c r="Q28" s="13">
        <f>+SUM(Q24+SUM(Q27:Q27))</f>
        <v>-23657</v>
      </c>
      <c r="R28" s="13">
        <f>+SUM(R24+SUM(R27:R27))</f>
        <v>-23678</v>
      </c>
      <c r="S28" s="13">
        <f>+SUM(S24+SUM(S27:S27))</f>
        <v>-32728</v>
      </c>
      <c r="T28" s="13">
        <f>+SUM(T24+SUM(T27:T27))</f>
        <v>-35865</v>
      </c>
      <c r="U28" s="13">
        <f>+SUM(U24+SUM(U27:U27))</f>
        <v>-50808</v>
      </c>
      <c r="V28" s="13">
        <f>+SUM(V24+SUM(V27:V27))</f>
        <v>-71686</v>
      </c>
      <c r="X28" s="13">
        <f>+SUM(X24+SUM(X27:X27))</f>
        <v>-48686</v>
      </c>
      <c r="Y28" s="13">
        <f>+SUM(Y24+SUM(Y27:Y27))</f>
        <v>-54304</v>
      </c>
      <c r="Z28" s="13">
        <f>+SUM(Z24+SUM(Z27:Z27))</f>
        <v>-62167</v>
      </c>
      <c r="AA28" s="13">
        <f>+SUM(AA24+SUM(AA27:AA27))</f>
        <v>-71260</v>
      </c>
      <c r="AB28" s="13">
        <f>+SUM(AB24+SUM(AB27:AB27))</f>
        <v>-77636</v>
      </c>
      <c r="AC28" s="13">
        <f>+SUM(AC24+SUM(AC27:AC27))</f>
        <v>-106289</v>
      </c>
      <c r="AD28" s="13">
        <f>+SUM(AD24+SUM(AD27:AD27))</f>
        <v>-104975</v>
      </c>
      <c r="AE28" s="13">
        <f>+SUM(AE24+SUM(AE27:AE27))</f>
        <v>-100049</v>
      </c>
      <c r="AF28" s="13">
        <f>+SUM(AF24+SUM(AF27:AF27))</f>
        <v>-106923</v>
      </c>
      <c r="AG28" s="13">
        <f>+SUM(AG24+SUM(AG27:AG27))</f>
        <v>-115928</v>
      </c>
      <c r="AH28" s="13">
        <f>+SUM(AH24+SUM(AH27:AH27))</f>
        <v>-143079</v>
      </c>
      <c r="AI28" s="13">
        <f>+SUM(AI24+SUM(AI27:AI27))</f>
        <v>-191087</v>
      </c>
      <c r="AK28" s="122">
        <f>SUM(AI28/AE28)-1</f>
        <v>0.90993413227518527</v>
      </c>
    </row>
    <row r="29" spans="2:37" ht="12.75" customHeight="1">
      <c r="B29" s="14" t="s">
        <v>45</v>
      </c>
      <c r="C29" s="15">
        <f>C28/C8</f>
        <v>-13.525964745116722</v>
      </c>
      <c r="D29" s="15">
        <f>D28/D8</f>
        <v>-4.373910699847273</v>
      </c>
      <c r="E29" s="15">
        <f>E28/E8</f>
        <v>-3.5221849196987569</v>
      </c>
      <c r="F29" s="15">
        <f>F28/F8</f>
        <v>-2.4823671441506279</v>
      </c>
      <c r="H29" s="15">
        <f>H28/H8</f>
        <v>-5.2974910394265233</v>
      </c>
      <c r="I29" s="15">
        <f>I28/I8</f>
        <v>-4.445168711656442</v>
      </c>
      <c r="J29" s="15">
        <f>J28/J8</f>
        <v>-4.840752804922186</v>
      </c>
      <c r="K29" s="15">
        <f>K28/K8</f>
        <v>-3.5124770160231154</v>
      </c>
      <c r="L29" s="15">
        <f>L28/L8</f>
        <v>-3.7255542590431738</v>
      </c>
      <c r="M29" s="15">
        <f>M28/M8</f>
        <v>-3.5278331822302809</v>
      </c>
      <c r="N29" s="15">
        <f>N28/N8</f>
        <v>-3.6616688396349413</v>
      </c>
      <c r="O29" s="15">
        <f>O28/O8</f>
        <v>-3.23419587291189</v>
      </c>
      <c r="P29" s="15">
        <f>P28/P8</f>
        <v>-3.5426008968609866</v>
      </c>
      <c r="Q29" s="15">
        <f>Q28/Q8</f>
        <v>-2.0786398383270361</v>
      </c>
      <c r="R29" s="15">
        <f>R28/R8</f>
        <v>-1.909516129032258</v>
      </c>
      <c r="S29" s="15">
        <f>S28/S8</f>
        <v>-2.7948761742100769</v>
      </c>
      <c r="T29" s="15">
        <f>T28/T8</f>
        <v>-4.7402854877081682</v>
      </c>
      <c r="U29" s="15">
        <f>U28/U8</f>
        <v>-2.4552044070745143</v>
      </c>
      <c r="V29" s="15">
        <f>V28/V8</f>
        <v>-1.7981738825063964</v>
      </c>
      <c r="X29" s="15">
        <f>X28/X8</f>
        <v>-4.373910699847273</v>
      </c>
      <c r="Y29" s="15">
        <f>Y28/Y8</f>
        <v>-4.0335734977345314</v>
      </c>
      <c r="Z29" s="15">
        <f>Z28/Z8</f>
        <v>-3.7976175931582161</v>
      </c>
      <c r="AA29" s="15">
        <f>AA28/AA8</f>
        <v>-3.609380539938206</v>
      </c>
      <c r="AB29" s="15">
        <f>AB28/AB8</f>
        <v>-3.5221849196987569</v>
      </c>
      <c r="AC29" s="15">
        <f>AC28/AC8</f>
        <v>-14.018596676338698</v>
      </c>
      <c r="AD29" s="15">
        <f>AD28/AD8</f>
        <v>-5.5357802035542898</v>
      </c>
      <c r="AE29" s="15">
        <f>AE28/AE8</f>
        <v>-3.1900328412460541</v>
      </c>
      <c r="AF29" s="15">
        <f>AF28/AF8</f>
        <v>-2.4823671441506279</v>
      </c>
      <c r="AG29" s="15">
        <f>AG28/AG8</f>
        <v>-2.6924309636063821</v>
      </c>
      <c r="AH29" s="15">
        <f>AH28/AH8</f>
        <v>-2.732079434790911</v>
      </c>
      <c r="AI29" s="15">
        <f>AI28/AI8</f>
        <v>-2.3934941630342204</v>
      </c>
      <c r="AK29" s="123">
        <f>SUM(AI29-AE29)*10000</f>
        <v>7965.3867821183376</v>
      </c>
    </row>
    <row r="30" spans="2:37" ht="5.0999999999999996" customHeight="1">
      <c r="AK30" s="120"/>
    </row>
    <row r="31" spans="2:37" ht="12.75" customHeight="1">
      <c r="B31" s="21" t="s">
        <v>46</v>
      </c>
      <c r="C31" s="86">
        <f>SUM('Historical Financials'!C112+'Historical Financials'!C113)</f>
        <v>-9404</v>
      </c>
      <c r="D31" s="86">
        <f>SUM('Historical Financials'!D112+'Historical Financials'!D113)</f>
        <v>-11515</v>
      </c>
      <c r="E31" s="86">
        <f>SUM('Historical Financials'!E112+'Historical Financials'!E113)</f>
        <v>-18261</v>
      </c>
      <c r="F31" s="86">
        <f>SUM('Historical Financials'!F112+'Historical Financials'!F113)</f>
        <v>-21897</v>
      </c>
      <c r="H31" s="86">
        <f>SUM('Historical Financials'!H112+'Historical Financials'!H113)</f>
        <v>-3129</v>
      </c>
      <c r="I31" s="86">
        <f>SUM('Historical Financials'!I112+'Historical Financials'!I113)</f>
        <v>-4875</v>
      </c>
      <c r="J31" s="86">
        <f>SUM('Historical Financials'!J112+'Historical Financials'!J113)</f>
        <v>-1868</v>
      </c>
      <c r="K31" s="86">
        <f>SUM('Historical Financials'!K112+'Historical Financials'!K113)</f>
        <v>-1643</v>
      </c>
      <c r="L31" s="86">
        <f>SUM('Historical Financials'!L112+'Historical Financials'!L113)</f>
        <v>-2028</v>
      </c>
      <c r="M31" s="86">
        <f>SUM('Historical Financials'!M112+'Historical Financials'!M113)</f>
        <v>-2333</v>
      </c>
      <c r="N31" s="86">
        <f>SUM('Historical Financials'!N112+'Historical Financials'!N113)</f>
        <v>-5317</v>
      </c>
      <c r="O31" s="86">
        <f>SUM('Historical Financials'!O112+'Historical Financials'!O113)</f>
        <v>-8583</v>
      </c>
      <c r="P31" s="86">
        <f>SUM('Historical Financials'!P112+'Historical Financials'!P113)</f>
        <v>-4540</v>
      </c>
      <c r="Q31" s="86">
        <f>SUM('Historical Financials'!Q112+'Historical Financials'!Q113)</f>
        <v>-8218</v>
      </c>
      <c r="R31" s="86">
        <f>SUM('Historical Financials'!R112+'Historical Financials'!R113)</f>
        <v>-4705</v>
      </c>
      <c r="S31" s="86">
        <f>SUM('Historical Financials'!S112+'Historical Financials'!S113)</f>
        <v>-4434</v>
      </c>
      <c r="T31" s="86">
        <f>SUM('Historical Financials'!T112+'Historical Financials'!T113)</f>
        <v>-3190</v>
      </c>
      <c r="U31" s="86">
        <f>SUM('Historical Financials'!U112+'Historical Financials'!U113)</f>
        <v>-2197</v>
      </c>
      <c r="V31" s="86">
        <f>SUM('Historical Financials'!V112+'Historical Financials'!V113)</f>
        <v>-5202</v>
      </c>
      <c r="X31" s="10">
        <f t="shared" ref="X31:X34" si="56">SUM(G31:K31)</f>
        <v>-11515</v>
      </c>
      <c r="Y31" s="10">
        <f t="shared" ref="Y31:Y34" si="57">SUM(I31:L31)</f>
        <v>-10414</v>
      </c>
      <c r="Z31" s="10">
        <f t="shared" ref="Z31:Z34" si="58">SUM(J31:M31)</f>
        <v>-7872</v>
      </c>
      <c r="AA31" s="10">
        <f t="shared" ref="AA31:AA34" si="59">SUM(K31:N31)</f>
        <v>-11321</v>
      </c>
      <c r="AB31" s="10">
        <f t="shared" ref="AB31:AB34" si="60">SUM(L31:O31)</f>
        <v>-18261</v>
      </c>
      <c r="AC31" s="10">
        <f t="shared" ref="AC31:AC34" si="61">SUM(M31:P31)</f>
        <v>-20773</v>
      </c>
      <c r="AD31" s="10">
        <f t="shared" ref="AD31:AD34" si="62">SUM(N31:Q31)</f>
        <v>-26658</v>
      </c>
      <c r="AE31" s="10">
        <f t="shared" ref="AE31:AE34" si="63">SUM(O31:R31)</f>
        <v>-26046</v>
      </c>
      <c r="AF31" s="10">
        <f t="shared" ref="AF31:AF34" si="64">SUM(P31:S31)</f>
        <v>-21897</v>
      </c>
      <c r="AG31" s="10">
        <f t="shared" ref="AG31:AG34" si="65">SUM(Q31:T31)</f>
        <v>-20547</v>
      </c>
      <c r="AH31" s="10">
        <f t="shared" ref="AH31:AH34" si="66">SUM(R31:U31)</f>
        <v>-14526</v>
      </c>
      <c r="AI31" s="10">
        <f t="shared" ref="AI31:AI34" si="67">SUM(S31:V31)</f>
        <v>-15023</v>
      </c>
      <c r="AK31" s="121">
        <f>SUM(AI31/AE31)-1</f>
        <v>-0.42321277739384167</v>
      </c>
    </row>
    <row r="32" spans="2:37" ht="12.75" customHeight="1">
      <c r="B32" s="21" t="s">
        <v>47</v>
      </c>
      <c r="C32" s="86">
        <f>'Historical Financials'!C30</f>
        <v>0</v>
      </c>
      <c r="D32" s="86">
        <f>'Historical Financials'!D30</f>
        <v>0</v>
      </c>
      <c r="E32" s="86">
        <f>'Historical Financials'!E30</f>
        <v>-48</v>
      </c>
      <c r="F32" s="86">
        <f>'Historical Financials'!F30</f>
        <v>-59</v>
      </c>
      <c r="H32" s="86">
        <f>'Historical Financials'!H30</f>
        <v>0</v>
      </c>
      <c r="I32" s="86">
        <f>'Historical Financials'!I30</f>
        <v>0</v>
      </c>
      <c r="J32" s="86">
        <f>'Historical Financials'!J30</f>
        <v>0</v>
      </c>
      <c r="K32" s="86">
        <f>'Historical Financials'!K30</f>
        <v>0</v>
      </c>
      <c r="L32" s="86">
        <f>'Historical Financials'!L30</f>
        <v>0</v>
      </c>
      <c r="M32" s="86">
        <f>'Historical Financials'!M30</f>
        <v>0</v>
      </c>
      <c r="N32" s="86">
        <f>'Historical Financials'!N30</f>
        <v>-39</v>
      </c>
      <c r="O32" s="86">
        <f>'Historical Financials'!O30</f>
        <v>-9</v>
      </c>
      <c r="P32" s="86">
        <f>'Historical Financials'!P30</f>
        <v>-8</v>
      </c>
      <c r="Q32" s="86">
        <f>'Historical Financials'!Q30</f>
        <v>-15</v>
      </c>
      <c r="R32" s="86">
        <f>'Historical Financials'!R30</f>
        <v>-16</v>
      </c>
      <c r="S32" s="86">
        <f>'Historical Financials'!S30</f>
        <v>-20</v>
      </c>
      <c r="T32" s="86">
        <f>'Historical Financials'!T30</f>
        <v>-12</v>
      </c>
      <c r="U32" s="86">
        <f>'Historical Financials'!U30</f>
        <v>15269</v>
      </c>
      <c r="V32" s="86">
        <f>'Historical Financials'!V30</f>
        <v>4438</v>
      </c>
      <c r="X32" s="10">
        <f t="shared" si="56"/>
        <v>0</v>
      </c>
      <c r="Y32" s="10">
        <f t="shared" si="57"/>
        <v>0</v>
      </c>
      <c r="Z32" s="10">
        <f t="shared" si="58"/>
        <v>0</v>
      </c>
      <c r="AA32" s="10">
        <f t="shared" si="59"/>
        <v>-39</v>
      </c>
      <c r="AB32" s="10">
        <f t="shared" si="60"/>
        <v>-48</v>
      </c>
      <c r="AC32" s="10">
        <f t="shared" si="61"/>
        <v>-56</v>
      </c>
      <c r="AD32" s="10">
        <f t="shared" si="62"/>
        <v>-71</v>
      </c>
      <c r="AE32" s="10">
        <f t="shared" si="63"/>
        <v>-48</v>
      </c>
      <c r="AF32" s="10">
        <f t="shared" si="64"/>
        <v>-59</v>
      </c>
      <c r="AG32" s="10">
        <f t="shared" si="65"/>
        <v>-63</v>
      </c>
      <c r="AH32" s="10">
        <f t="shared" si="66"/>
        <v>15221</v>
      </c>
      <c r="AI32" s="10">
        <f t="shared" si="67"/>
        <v>19675</v>
      </c>
      <c r="AK32" s="121">
        <f>SUM(AI32/AE32)-1</f>
        <v>-410.89583333333331</v>
      </c>
    </row>
    <row r="33" spans="1:37" ht="12.75" customHeight="1">
      <c r="B33" s="21" t="s">
        <v>95</v>
      </c>
      <c r="C33" s="79">
        <v>0</v>
      </c>
      <c r="D33" s="79">
        <v>0</v>
      </c>
      <c r="E33" s="79">
        <v>0</v>
      </c>
      <c r="F33" s="79">
        <v>0</v>
      </c>
      <c r="H33" s="79">
        <v>0</v>
      </c>
      <c r="I33" s="79">
        <v>0</v>
      </c>
      <c r="J33" s="79">
        <v>0</v>
      </c>
      <c r="K33" s="118">
        <f>D33</f>
        <v>0</v>
      </c>
      <c r="L33" s="79">
        <v>0</v>
      </c>
      <c r="M33" s="79">
        <v>0</v>
      </c>
      <c r="N33" s="79">
        <v>0</v>
      </c>
      <c r="O33" s="118">
        <f>E33</f>
        <v>0</v>
      </c>
      <c r="P33" s="79">
        <v>0</v>
      </c>
      <c r="Q33" s="79">
        <v>0</v>
      </c>
      <c r="R33" s="79">
        <v>0</v>
      </c>
      <c r="S33" s="118">
        <f>F33</f>
        <v>0</v>
      </c>
      <c r="T33" s="79">
        <v>0</v>
      </c>
      <c r="U33" s="79">
        <v>0</v>
      </c>
      <c r="V33" s="79">
        <v>0</v>
      </c>
      <c r="X33" s="10">
        <f t="shared" si="56"/>
        <v>0</v>
      </c>
      <c r="Y33" s="10">
        <f t="shared" si="57"/>
        <v>0</v>
      </c>
      <c r="Z33" s="10">
        <f t="shared" si="58"/>
        <v>0</v>
      </c>
      <c r="AA33" s="10">
        <f t="shared" si="59"/>
        <v>0</v>
      </c>
      <c r="AB33" s="10">
        <f t="shared" si="60"/>
        <v>0</v>
      </c>
      <c r="AC33" s="10">
        <f t="shared" si="61"/>
        <v>0</v>
      </c>
      <c r="AD33" s="10">
        <f t="shared" si="62"/>
        <v>0</v>
      </c>
      <c r="AE33" s="10">
        <f t="shared" si="63"/>
        <v>0</v>
      </c>
      <c r="AF33" s="10">
        <f t="shared" si="64"/>
        <v>0</v>
      </c>
      <c r="AG33" s="10">
        <f t="shared" si="65"/>
        <v>0</v>
      </c>
      <c r="AH33" s="10">
        <f t="shared" si="66"/>
        <v>0</v>
      </c>
      <c r="AI33" s="10">
        <f t="shared" si="67"/>
        <v>0</v>
      </c>
      <c r="AK33" s="121" t="e">
        <f>SUM(AI33/AE33)-1</f>
        <v>#DIV/0!</v>
      </c>
    </row>
    <row r="34" spans="1:37" ht="12.75" customHeight="1">
      <c r="B34" s="21" t="s">
        <v>48</v>
      </c>
      <c r="C34" s="86">
        <f>SUM('Historical Financials'!C103:C108)</f>
        <v>-202</v>
      </c>
      <c r="D34" s="86">
        <f>SUM('Historical Financials'!D103:D108)</f>
        <v>-2495</v>
      </c>
      <c r="E34" s="86">
        <f>SUM('Historical Financials'!E103:E108)</f>
        <v>-12612</v>
      </c>
      <c r="F34" s="86">
        <f>SUM('Historical Financials'!F103:F108)</f>
        <v>-13194</v>
      </c>
      <c r="H34" s="86">
        <f>SUM('Historical Financials'!H103:H108)</f>
        <v>1773</v>
      </c>
      <c r="I34" s="86">
        <f>SUM('Historical Financials'!I103:I108)</f>
        <v>2773</v>
      </c>
      <c r="J34" s="86">
        <f>SUM('Historical Financials'!J103:J108)</f>
        <v>-3270</v>
      </c>
      <c r="K34" s="86">
        <f>SUM('Historical Financials'!K103:K108)</f>
        <v>-3771</v>
      </c>
      <c r="L34" s="86">
        <f>SUM('Historical Financials'!L103:L108)</f>
        <v>-706</v>
      </c>
      <c r="M34" s="86">
        <f>SUM('Historical Financials'!M103:M108)</f>
        <v>619</v>
      </c>
      <c r="N34" s="86">
        <f>SUM('Historical Financials'!N103:N108)</f>
        <v>-2571</v>
      </c>
      <c r="O34" s="86">
        <f>SUM('Historical Financials'!O103:O108)</f>
        <v>-9954</v>
      </c>
      <c r="P34" s="86">
        <f>SUM('Historical Financials'!P103:P108)</f>
        <v>3101</v>
      </c>
      <c r="Q34" s="86">
        <f>SUM('Historical Financials'!Q103:Q108)</f>
        <v>-6395</v>
      </c>
      <c r="R34" s="86">
        <f>SUM('Historical Financials'!R103:R108)</f>
        <v>124</v>
      </c>
      <c r="S34" s="86">
        <f>SUM('Historical Financials'!S103:S108)</f>
        <v>-10024</v>
      </c>
      <c r="T34" s="86">
        <f>SUM('Historical Financials'!T103:T108)</f>
        <v>-1509</v>
      </c>
      <c r="U34" s="86">
        <f>SUM('Historical Financials'!U103:U108)</f>
        <v>-7651</v>
      </c>
      <c r="V34" s="86">
        <f>SUM('Historical Financials'!V103:V108)</f>
        <v>-43598</v>
      </c>
      <c r="X34" s="10">
        <f t="shared" si="56"/>
        <v>-2495</v>
      </c>
      <c r="Y34" s="10">
        <f t="shared" si="57"/>
        <v>-4974</v>
      </c>
      <c r="Z34" s="10">
        <f t="shared" si="58"/>
        <v>-7128</v>
      </c>
      <c r="AA34" s="10">
        <f t="shared" si="59"/>
        <v>-6429</v>
      </c>
      <c r="AB34" s="10">
        <f t="shared" si="60"/>
        <v>-12612</v>
      </c>
      <c r="AC34" s="10">
        <f t="shared" si="61"/>
        <v>-8805</v>
      </c>
      <c r="AD34" s="10">
        <f t="shared" si="62"/>
        <v>-15819</v>
      </c>
      <c r="AE34" s="10">
        <f t="shared" si="63"/>
        <v>-13124</v>
      </c>
      <c r="AF34" s="10">
        <f t="shared" si="64"/>
        <v>-13194</v>
      </c>
      <c r="AG34" s="10">
        <f t="shared" si="65"/>
        <v>-17804</v>
      </c>
      <c r="AH34" s="10">
        <f t="shared" si="66"/>
        <v>-19060</v>
      </c>
      <c r="AI34" s="10">
        <f t="shared" si="67"/>
        <v>-62782</v>
      </c>
      <c r="AK34" s="121">
        <f>SUM(AI34/AE34)-1</f>
        <v>3.7837549527583052</v>
      </c>
    </row>
    <row r="35" spans="1:37" ht="12.75" customHeight="1">
      <c r="B35" s="12" t="s">
        <v>49</v>
      </c>
      <c r="C35" s="13">
        <f>SUM(C28+SUM(C31:C34))</f>
        <v>-37997</v>
      </c>
      <c r="D35" s="13">
        <f>SUM(D28+SUM(D31:D34))</f>
        <v>-62696</v>
      </c>
      <c r="E35" s="13">
        <f>SUM(E28+SUM(E31:E34))</f>
        <v>-108557</v>
      </c>
      <c r="F35" s="13">
        <f>SUM(F28+SUM(F31:F34))</f>
        <v>-142073</v>
      </c>
      <c r="H35" s="13">
        <f t="shared" ref="H35" si="68">SUM(H28+SUM(H31:H34))</f>
        <v>-11702</v>
      </c>
      <c r="I35" s="13">
        <f t="shared" ref="I35:V35" si="69">SUM(I28+SUM(I31:I34))</f>
        <v>-13695</v>
      </c>
      <c r="J35" s="13">
        <f t="shared" si="69"/>
        <v>-18513</v>
      </c>
      <c r="K35" s="13">
        <f t="shared" si="69"/>
        <v>-18786</v>
      </c>
      <c r="L35" s="13">
        <f t="shared" si="69"/>
        <v>-18698</v>
      </c>
      <c r="M35" s="13">
        <f t="shared" si="69"/>
        <v>-21170</v>
      </c>
      <c r="N35" s="13">
        <f t="shared" si="69"/>
        <v>-30395</v>
      </c>
      <c r="O35" s="13">
        <f t="shared" si="69"/>
        <v>-38294</v>
      </c>
      <c r="P35" s="13">
        <f t="shared" si="69"/>
        <v>-28307</v>
      </c>
      <c r="Q35" s="13">
        <f t="shared" si="69"/>
        <v>-38285</v>
      </c>
      <c r="R35" s="13">
        <f t="shared" si="69"/>
        <v>-28275</v>
      </c>
      <c r="S35" s="13">
        <f t="shared" si="69"/>
        <v>-47206</v>
      </c>
      <c r="T35" s="13">
        <f t="shared" si="69"/>
        <v>-40576</v>
      </c>
      <c r="U35" s="13">
        <f t="shared" si="69"/>
        <v>-45387</v>
      </c>
      <c r="V35" s="13">
        <f t="shared" si="69"/>
        <v>-116048</v>
      </c>
      <c r="X35" s="13">
        <f t="shared" ref="X35:AH35" si="70">SUM(X28+SUM(X31:X34))</f>
        <v>-62696</v>
      </c>
      <c r="Y35" s="13">
        <f t="shared" si="70"/>
        <v>-69692</v>
      </c>
      <c r="Z35" s="13">
        <f t="shared" si="70"/>
        <v>-77167</v>
      </c>
      <c r="AA35" s="13">
        <f t="shared" si="70"/>
        <v>-89049</v>
      </c>
      <c r="AB35" s="13">
        <f t="shared" si="70"/>
        <v>-108557</v>
      </c>
      <c r="AC35" s="13">
        <f t="shared" si="70"/>
        <v>-135923</v>
      </c>
      <c r="AD35" s="13">
        <f t="shared" si="70"/>
        <v>-147523</v>
      </c>
      <c r="AE35" s="13">
        <f t="shared" si="70"/>
        <v>-139267</v>
      </c>
      <c r="AF35" s="13">
        <f t="shared" si="70"/>
        <v>-142073</v>
      </c>
      <c r="AG35" s="13">
        <f t="shared" si="70"/>
        <v>-154342</v>
      </c>
      <c r="AH35" s="13">
        <f t="shared" si="70"/>
        <v>-161444</v>
      </c>
      <c r="AI35" s="13">
        <f>SUM(AI28+SUM(AI31:AI34))</f>
        <v>-249217</v>
      </c>
      <c r="AK35" s="122">
        <f>SUM(AI35/AE35)-1</f>
        <v>0.78949069054406285</v>
      </c>
    </row>
    <row r="36" spans="1:37" ht="5.0999999999999996" customHeight="1"/>
    <row r="37" spans="1:37" ht="12.75" customHeight="1">
      <c r="B37" s="29" t="s">
        <v>113</v>
      </c>
      <c r="C37" s="86">
        <f>'Historical Financials'!C121</f>
        <v>30559</v>
      </c>
      <c r="D37" s="86">
        <f>'Historical Financials'!D121</f>
        <v>1059</v>
      </c>
      <c r="E37" s="86">
        <f>'Historical Financials'!E121</f>
        <v>1954</v>
      </c>
      <c r="F37" s="86">
        <f>'Historical Financials'!F121</f>
        <v>41449</v>
      </c>
      <c r="G37" s="30"/>
      <c r="H37" s="86">
        <f>'Historical Financials'!H121</f>
        <v>148</v>
      </c>
      <c r="I37" s="86">
        <f>'Historical Financials'!I121</f>
        <v>907</v>
      </c>
      <c r="J37" s="86">
        <f>'Historical Financials'!J121</f>
        <v>1110</v>
      </c>
      <c r="K37" s="86">
        <f>'Historical Financials'!K121</f>
        <v>-1106</v>
      </c>
      <c r="L37" s="86">
        <f>'Historical Financials'!L121</f>
        <v>52</v>
      </c>
      <c r="M37" s="86">
        <f>'Historical Financials'!M121</f>
        <v>489</v>
      </c>
      <c r="N37" s="86">
        <f>'Historical Financials'!N121</f>
        <v>234</v>
      </c>
      <c r="O37" s="86">
        <f>'Historical Financials'!O121</f>
        <v>1179</v>
      </c>
      <c r="P37" s="86">
        <f>'Historical Financials'!P121</f>
        <v>1359</v>
      </c>
      <c r="Q37" s="86">
        <f>'Historical Financials'!Q121</f>
        <v>-174</v>
      </c>
      <c r="R37" s="86">
        <f>'Historical Financials'!R121</f>
        <v>1085</v>
      </c>
      <c r="S37" s="86">
        <f>'Historical Financials'!S121</f>
        <v>39179</v>
      </c>
      <c r="T37" s="86">
        <f>'Historical Financials'!T121</f>
        <v>368734</v>
      </c>
      <c r="U37" s="86">
        <f>'Historical Financials'!U121</f>
        <v>4123</v>
      </c>
      <c r="V37" s="86">
        <f>'Historical Financials'!V121</f>
        <v>1003573</v>
      </c>
      <c r="X37" s="10">
        <f>SUM(G37:K37)</f>
        <v>1059</v>
      </c>
      <c r="Y37" s="10">
        <f t="shared" ref="Y37:AI39" si="71">SUM(I37:L37)</f>
        <v>963</v>
      </c>
      <c r="Z37" s="10">
        <f t="shared" si="71"/>
        <v>545</v>
      </c>
      <c r="AA37" s="10">
        <f t="shared" si="71"/>
        <v>-331</v>
      </c>
      <c r="AB37" s="10">
        <f t="shared" si="71"/>
        <v>1954</v>
      </c>
      <c r="AC37" s="10">
        <f t="shared" si="71"/>
        <v>3261</v>
      </c>
      <c r="AD37" s="10">
        <f t="shared" si="71"/>
        <v>2598</v>
      </c>
      <c r="AE37" s="10">
        <f t="shared" si="71"/>
        <v>3449</v>
      </c>
      <c r="AF37" s="10">
        <f t="shared" si="71"/>
        <v>41449</v>
      </c>
      <c r="AG37" s="10">
        <f t="shared" si="71"/>
        <v>408824</v>
      </c>
      <c r="AH37" s="10">
        <f t="shared" si="71"/>
        <v>413121</v>
      </c>
      <c r="AI37" s="10">
        <f t="shared" si="71"/>
        <v>1415609</v>
      </c>
    </row>
    <row r="38" spans="1:37" ht="12.75" customHeight="1">
      <c r="B38" s="29" t="s">
        <v>166</v>
      </c>
      <c r="C38" s="86">
        <f>SUM('Historical Financials'!C114:C115)</f>
        <v>-203761</v>
      </c>
      <c r="D38" s="86">
        <f>SUM('Historical Financials'!D114:D115)</f>
        <v>-295644</v>
      </c>
      <c r="E38" s="86">
        <f>SUM('Historical Financials'!E114:E115)</f>
        <v>88315</v>
      </c>
      <c r="F38" s="86">
        <f>SUM('Historical Financials'!F114:F115)</f>
        <v>121753</v>
      </c>
      <c r="G38" s="30"/>
      <c r="H38" s="86">
        <f>SUM('Historical Financials'!H114:H115)</f>
        <v>-300835</v>
      </c>
      <c r="I38" s="86">
        <f>SUM('Historical Financials'!I114:I115)</f>
        <v>-29974</v>
      </c>
      <c r="J38" s="86">
        <f>SUM('Historical Financials'!J114:J115)</f>
        <v>27072</v>
      </c>
      <c r="K38" s="86">
        <f>SUM('Historical Financials'!K114:K115)</f>
        <v>8093</v>
      </c>
      <c r="L38" s="86">
        <f>SUM('Historical Financials'!L114:L115)</f>
        <v>23661</v>
      </c>
      <c r="M38" s="86">
        <f>SUM('Historical Financials'!M114:M115)</f>
        <v>-19592</v>
      </c>
      <c r="N38" s="86">
        <f>SUM('Historical Financials'!N114:N115)</f>
        <v>51246</v>
      </c>
      <c r="O38" s="86">
        <f>SUM('Historical Financials'!O114:O115)</f>
        <v>33000</v>
      </c>
      <c r="P38" s="86">
        <f>SUM('Historical Financials'!P114:P115)</f>
        <v>48426</v>
      </c>
      <c r="Q38" s="86">
        <f>SUM('Historical Financials'!Q114:Q115)</f>
        <v>17048</v>
      </c>
      <c r="R38" s="86">
        <f>SUM('Historical Financials'!R114:R115)</f>
        <v>11556</v>
      </c>
      <c r="S38" s="86">
        <f>SUM('Historical Financials'!S114:S115)</f>
        <v>44723</v>
      </c>
      <c r="T38" s="86">
        <f>SUM('Historical Financials'!T114:T115)</f>
        <v>-226766</v>
      </c>
      <c r="U38" s="86">
        <f>SUM('Historical Financials'!U114:U115)</f>
        <v>2816</v>
      </c>
      <c r="V38" s="86">
        <f>SUM('Historical Financials'!V114:V115)</f>
        <v>-620687</v>
      </c>
      <c r="X38" s="10">
        <f t="shared" ref="X38:X43" si="72">SUM(G38:K38)</f>
        <v>-295644</v>
      </c>
      <c r="Y38" s="10">
        <f t="shared" ref="Y38:Y43" si="73">SUM(I38:L38)</f>
        <v>28852</v>
      </c>
      <c r="Z38" s="10">
        <f t="shared" ref="Z38:Z43" si="74">SUM(J38:M38)</f>
        <v>39234</v>
      </c>
      <c r="AA38" s="10">
        <f t="shared" ref="AA38:AA43" si="75">SUM(K38:N38)</f>
        <v>63408</v>
      </c>
      <c r="AB38" s="10">
        <f t="shared" ref="AB38:AB43" si="76">SUM(L38:O38)</f>
        <v>88315</v>
      </c>
      <c r="AC38" s="10">
        <f t="shared" ref="AC38:AC43" si="77">SUM(M38:P38)</f>
        <v>113080</v>
      </c>
      <c r="AD38" s="10">
        <f t="shared" ref="AD38:AD43" si="78">SUM(N38:Q38)</f>
        <v>149720</v>
      </c>
      <c r="AE38" s="10">
        <f t="shared" ref="AE38:AE43" si="79">SUM(O38:R38)</f>
        <v>110030</v>
      </c>
      <c r="AF38" s="10">
        <f t="shared" ref="AF38:AF43" si="80">SUM(P38:S38)</f>
        <v>121753</v>
      </c>
      <c r="AG38" s="10">
        <f t="shared" ref="AG38:AG43" si="81">SUM(Q38:T38)</f>
        <v>-153439</v>
      </c>
      <c r="AH38" s="10">
        <f t="shared" ref="AH38:AH43" si="82">SUM(R38:U38)</f>
        <v>-167671</v>
      </c>
      <c r="AI38" s="10">
        <f t="shared" ref="AI38:AI43" si="83">SUM(S38:V38)</f>
        <v>-799914</v>
      </c>
    </row>
    <row r="39" spans="1:37" ht="12.75" customHeight="1">
      <c r="B39" s="29" t="s">
        <v>167</v>
      </c>
      <c r="C39" s="86">
        <f>'Historical Financials'!C116</f>
        <v>0</v>
      </c>
      <c r="D39" s="86">
        <f>'Historical Financials'!D116</f>
        <v>-848</v>
      </c>
      <c r="E39" s="86">
        <f>'Historical Financials'!E116</f>
        <v>0</v>
      </c>
      <c r="F39" s="86">
        <f>'Historical Financials'!F116</f>
        <v>-15454</v>
      </c>
      <c r="G39" s="30"/>
      <c r="H39" s="86">
        <f>'Historical Financials'!H116</f>
        <v>0</v>
      </c>
      <c r="I39" s="86">
        <f>'Historical Financials'!I116</f>
        <v>0</v>
      </c>
      <c r="J39" s="86">
        <f>'Historical Financials'!J116</f>
        <v>0</v>
      </c>
      <c r="K39" s="86">
        <f>'Historical Financials'!K116</f>
        <v>-848</v>
      </c>
      <c r="L39" s="86">
        <f>'Historical Financials'!L116</f>
        <v>0</v>
      </c>
      <c r="M39" s="86">
        <f>'Historical Financials'!M116</f>
        <v>0</v>
      </c>
      <c r="N39" s="86">
        <f>'Historical Financials'!N116</f>
        <v>0</v>
      </c>
      <c r="O39" s="86">
        <f>'Historical Financials'!O116</f>
        <v>0</v>
      </c>
      <c r="P39" s="86">
        <f>'Historical Financials'!P116</f>
        <v>0</v>
      </c>
      <c r="Q39" s="86">
        <f>'Historical Financials'!Q116</f>
        <v>0</v>
      </c>
      <c r="R39" s="86">
        <f>'Historical Financials'!R116</f>
        <v>0</v>
      </c>
      <c r="S39" s="86">
        <f>'Historical Financials'!S116</f>
        <v>-15454</v>
      </c>
      <c r="T39" s="86">
        <f>'Historical Financials'!T116</f>
        <v>0</v>
      </c>
      <c r="U39" s="86">
        <f>'Historical Financials'!U116</f>
        <v>28667</v>
      </c>
      <c r="V39" s="86">
        <f>'Historical Financials'!V116</f>
        <v>-41767</v>
      </c>
      <c r="X39" s="10">
        <f t="shared" si="72"/>
        <v>-848</v>
      </c>
      <c r="Y39" s="10">
        <f t="shared" si="73"/>
        <v>-848</v>
      </c>
      <c r="Z39" s="10">
        <f t="shared" si="74"/>
        <v>-848</v>
      </c>
      <c r="AA39" s="10">
        <f t="shared" si="75"/>
        <v>-848</v>
      </c>
      <c r="AB39" s="10">
        <f t="shared" si="76"/>
        <v>0</v>
      </c>
      <c r="AC39" s="10">
        <f t="shared" si="77"/>
        <v>0</v>
      </c>
      <c r="AD39" s="10">
        <f t="shared" si="78"/>
        <v>0</v>
      </c>
      <c r="AE39" s="10">
        <f t="shared" si="79"/>
        <v>0</v>
      </c>
      <c r="AF39" s="10">
        <f t="shared" si="80"/>
        <v>-15454</v>
      </c>
      <c r="AG39" s="10">
        <f t="shared" si="81"/>
        <v>-15454</v>
      </c>
      <c r="AH39" s="10">
        <f t="shared" si="82"/>
        <v>13213</v>
      </c>
      <c r="AI39" s="10">
        <f t="shared" si="83"/>
        <v>-28554</v>
      </c>
    </row>
    <row r="40" spans="1:37" ht="12.75" customHeight="1">
      <c r="B40" s="29" t="s">
        <v>168</v>
      </c>
      <c r="C40" s="86">
        <f>'Historical Financials'!C117</f>
        <v>-620</v>
      </c>
      <c r="D40" s="86">
        <f>'Historical Financials'!D117</f>
        <v>-1049</v>
      </c>
      <c r="E40" s="86">
        <f>'Historical Financials'!E117</f>
        <v>-1288</v>
      </c>
      <c r="F40" s="86">
        <f>'Historical Financials'!F117</f>
        <v>-1672</v>
      </c>
      <c r="G40" s="30"/>
      <c r="H40" s="86">
        <f>'Historical Financials'!H117</f>
        <v>-134</v>
      </c>
      <c r="I40" s="86">
        <f>'Historical Financials'!I117</f>
        <v>-236</v>
      </c>
      <c r="J40" s="86">
        <f>'Historical Financials'!J117</f>
        <v>-228</v>
      </c>
      <c r="K40" s="86">
        <f>'Historical Financials'!K117</f>
        <v>-451</v>
      </c>
      <c r="L40" s="86">
        <f>'Historical Financials'!L117</f>
        <v>-318</v>
      </c>
      <c r="M40" s="86">
        <f>'Historical Financials'!M117</f>
        <v>-310</v>
      </c>
      <c r="N40" s="86">
        <f>'Historical Financials'!N117</f>
        <v>-429</v>
      </c>
      <c r="O40" s="86">
        <f>'Historical Financials'!O117</f>
        <v>-231</v>
      </c>
      <c r="P40" s="86">
        <f>'Historical Financials'!P117</f>
        <v>-357</v>
      </c>
      <c r="Q40" s="86">
        <f>'Historical Financials'!Q117</f>
        <v>-535</v>
      </c>
      <c r="R40" s="86">
        <f>'Historical Financials'!R117</f>
        <v>-309</v>
      </c>
      <c r="S40" s="86">
        <f>'Historical Financials'!S117</f>
        <v>-471</v>
      </c>
      <c r="T40" s="86">
        <f>'Historical Financials'!T117</f>
        <v>-220</v>
      </c>
      <c r="U40" s="86">
        <f>'Historical Financials'!U117</f>
        <v>-87</v>
      </c>
      <c r="V40" s="86">
        <f>'Historical Financials'!V117</f>
        <v>-4999</v>
      </c>
      <c r="X40" s="10">
        <f t="shared" si="72"/>
        <v>-1049</v>
      </c>
      <c r="Y40" s="10">
        <f t="shared" si="73"/>
        <v>-1233</v>
      </c>
      <c r="Z40" s="10">
        <f t="shared" si="74"/>
        <v>-1307</v>
      </c>
      <c r="AA40" s="10">
        <f t="shared" si="75"/>
        <v>-1508</v>
      </c>
      <c r="AB40" s="10">
        <f t="shared" si="76"/>
        <v>-1288</v>
      </c>
      <c r="AC40" s="10">
        <f t="shared" si="77"/>
        <v>-1327</v>
      </c>
      <c r="AD40" s="10">
        <f t="shared" si="78"/>
        <v>-1552</v>
      </c>
      <c r="AE40" s="10">
        <f t="shared" si="79"/>
        <v>-1432</v>
      </c>
      <c r="AF40" s="10">
        <f t="shared" si="80"/>
        <v>-1672</v>
      </c>
      <c r="AG40" s="10">
        <f t="shared" si="81"/>
        <v>-1535</v>
      </c>
      <c r="AH40" s="10">
        <f t="shared" si="82"/>
        <v>-1087</v>
      </c>
      <c r="AI40" s="10">
        <f t="shared" si="83"/>
        <v>-5777</v>
      </c>
    </row>
    <row r="41" spans="1:37" ht="12.75" customHeight="1">
      <c r="B41" s="29" t="s">
        <v>114</v>
      </c>
      <c r="C41" s="86">
        <f>'Historical Financials'!C122</f>
        <v>572668</v>
      </c>
      <c r="D41" s="86">
        <f>'Historical Financials'!D122</f>
        <v>37</v>
      </c>
      <c r="E41" s="86">
        <f>'Historical Financials'!E122</f>
        <v>-193</v>
      </c>
      <c r="F41" s="86">
        <f>'Historical Financials'!F122</f>
        <v>238</v>
      </c>
      <c r="G41" s="30"/>
      <c r="H41" s="86">
        <f>'Historical Financials'!H122</f>
        <v>0</v>
      </c>
      <c r="I41" s="86">
        <f>'Historical Financials'!I122</f>
        <v>0</v>
      </c>
      <c r="J41" s="86">
        <f>'Historical Financials'!J122</f>
        <v>0</v>
      </c>
      <c r="K41" s="86">
        <f>'Historical Financials'!K122</f>
        <v>37</v>
      </c>
      <c r="L41" s="86">
        <f>'Historical Financials'!L122</f>
        <v>-18</v>
      </c>
      <c r="M41" s="86">
        <f>'Historical Financials'!M122</f>
        <v>17</v>
      </c>
      <c r="N41" s="86">
        <f>'Historical Financials'!N122</f>
        <v>10</v>
      </c>
      <c r="O41" s="86">
        <f>'Historical Financials'!O122</f>
        <v>-202</v>
      </c>
      <c r="P41" s="86">
        <f>'Historical Financials'!P122</f>
        <v>0</v>
      </c>
      <c r="Q41" s="86">
        <f>'Historical Financials'!Q122</f>
        <v>141</v>
      </c>
      <c r="R41" s="86">
        <f>'Historical Financials'!R122</f>
        <v>3</v>
      </c>
      <c r="S41" s="86">
        <f>'Historical Financials'!S122</f>
        <v>94</v>
      </c>
      <c r="T41" s="86">
        <f>'Historical Financials'!T122</f>
        <v>0</v>
      </c>
      <c r="U41" s="86">
        <f>'Historical Financials'!U122</f>
        <v>0</v>
      </c>
      <c r="V41" s="86">
        <f>'Historical Financials'!V122</f>
        <v>986</v>
      </c>
      <c r="X41" s="10">
        <f t="shared" si="72"/>
        <v>37</v>
      </c>
      <c r="Y41" s="10">
        <f t="shared" si="73"/>
        <v>19</v>
      </c>
      <c r="Z41" s="10">
        <f t="shared" si="74"/>
        <v>36</v>
      </c>
      <c r="AA41" s="10">
        <f t="shared" si="75"/>
        <v>46</v>
      </c>
      <c r="AB41" s="10">
        <f t="shared" si="76"/>
        <v>-193</v>
      </c>
      <c r="AC41" s="10">
        <f t="shared" si="77"/>
        <v>-175</v>
      </c>
      <c r="AD41" s="10">
        <f t="shared" si="78"/>
        <v>-51</v>
      </c>
      <c r="AE41" s="10">
        <f t="shared" si="79"/>
        <v>-58</v>
      </c>
      <c r="AF41" s="10">
        <f t="shared" si="80"/>
        <v>238</v>
      </c>
      <c r="AG41" s="10">
        <f t="shared" si="81"/>
        <v>238</v>
      </c>
      <c r="AH41" s="10">
        <f t="shared" si="82"/>
        <v>97</v>
      </c>
      <c r="AI41" s="10">
        <f t="shared" si="83"/>
        <v>1080</v>
      </c>
    </row>
    <row r="42" spans="1:37" ht="12.75" customHeight="1">
      <c r="B42" s="29" t="s">
        <v>170</v>
      </c>
      <c r="C42" s="86">
        <f>'Historical Financials'!C100</f>
        <v>6223</v>
      </c>
      <c r="D42" s="86">
        <f>'Historical Financials'!D100</f>
        <v>961</v>
      </c>
      <c r="E42" s="86">
        <f>'Historical Financials'!E100</f>
        <v>1994</v>
      </c>
      <c r="F42" s="86">
        <f>'Historical Financials'!F100</f>
        <v>5323</v>
      </c>
      <c r="G42" s="30"/>
      <c r="H42" s="86">
        <f>'Historical Financials'!H100</f>
        <v>-360</v>
      </c>
      <c r="I42" s="86">
        <f>'Historical Financials'!I100</f>
        <v>-998</v>
      </c>
      <c r="J42" s="86">
        <f>'Historical Financials'!J100</f>
        <v>1710</v>
      </c>
      <c r="K42" s="86">
        <f>'Historical Financials'!K100</f>
        <v>609</v>
      </c>
      <c r="L42" s="86">
        <f>'Historical Financials'!L100</f>
        <v>-1440</v>
      </c>
      <c r="M42" s="86">
        <f>'Historical Financials'!M100</f>
        <v>2436</v>
      </c>
      <c r="N42" s="86">
        <f>'Historical Financials'!N100</f>
        <v>430</v>
      </c>
      <c r="O42" s="86">
        <f>'Historical Financials'!O100</f>
        <v>568</v>
      </c>
      <c r="P42" s="86">
        <f>'Historical Financials'!P100</f>
        <v>939</v>
      </c>
      <c r="Q42" s="86">
        <f>'Historical Financials'!Q100</f>
        <v>1217</v>
      </c>
      <c r="R42" s="86">
        <f>'Historical Financials'!R100</f>
        <v>2135</v>
      </c>
      <c r="S42" s="86">
        <f>'Historical Financials'!S100</f>
        <v>1032</v>
      </c>
      <c r="T42" s="86">
        <f>'Historical Financials'!T100</f>
        <v>825</v>
      </c>
      <c r="U42" s="86">
        <f>'Historical Financials'!U100</f>
        <v>-14623</v>
      </c>
      <c r="V42" s="86">
        <f>'Historical Financials'!V100</f>
        <v>-215</v>
      </c>
      <c r="X42" s="10">
        <f t="shared" si="72"/>
        <v>961</v>
      </c>
      <c r="Y42" s="10">
        <f t="shared" si="73"/>
        <v>-119</v>
      </c>
      <c r="Z42" s="10">
        <f t="shared" si="74"/>
        <v>3315</v>
      </c>
      <c r="AA42" s="10">
        <f t="shared" si="75"/>
        <v>2035</v>
      </c>
      <c r="AB42" s="10">
        <f t="shared" si="76"/>
        <v>1994</v>
      </c>
      <c r="AC42" s="10">
        <f t="shared" si="77"/>
        <v>4373</v>
      </c>
      <c r="AD42" s="10">
        <f t="shared" si="78"/>
        <v>3154</v>
      </c>
      <c r="AE42" s="10">
        <f t="shared" si="79"/>
        <v>4859</v>
      </c>
      <c r="AF42" s="10">
        <f t="shared" si="80"/>
        <v>5323</v>
      </c>
      <c r="AG42" s="10">
        <f t="shared" si="81"/>
        <v>5209</v>
      </c>
      <c r="AH42" s="10">
        <f t="shared" si="82"/>
        <v>-10631</v>
      </c>
      <c r="AI42" s="10">
        <f t="shared" si="83"/>
        <v>-12981</v>
      </c>
    </row>
    <row r="43" spans="1:37" ht="12.75" customHeight="1">
      <c r="B43" s="29" t="s">
        <v>90</v>
      </c>
      <c r="C43" s="30"/>
      <c r="D43" s="30">
        <f t="shared" ref="D43" si="84">SUM(D48:D49)-SUM(C48:C49)-SUM(D35:D42)</f>
        <v>3522</v>
      </c>
      <c r="E43" s="30">
        <f t="shared" ref="E43" si="85">SUM(E48:E49)-SUM(D48:D49)-SUM(E35:E42)</f>
        <v>9073</v>
      </c>
      <c r="F43" s="30">
        <f t="shared" ref="F43:U43" si="86">SUM(F48:F49)-SUM(E48:E49)-SUM(F35:F42)</f>
        <v>9164</v>
      </c>
      <c r="G43" s="30"/>
      <c r="H43" s="30">
        <f>SUM(H48:H49)-SUM(C48:C49)-SUM(H35:H42)</f>
        <v>609</v>
      </c>
      <c r="I43" s="30">
        <f t="shared" si="86"/>
        <v>1213</v>
      </c>
      <c r="J43" s="30">
        <f t="shared" si="86"/>
        <v>2079</v>
      </c>
      <c r="K43" s="30">
        <f t="shared" si="86"/>
        <v>-379</v>
      </c>
      <c r="L43" s="30">
        <f t="shared" si="86"/>
        <v>4295</v>
      </c>
      <c r="M43" s="30">
        <f t="shared" si="86"/>
        <v>213</v>
      </c>
      <c r="N43" s="30">
        <f t="shared" si="86"/>
        <v>2057</v>
      </c>
      <c r="O43" s="30">
        <f t="shared" si="86"/>
        <v>2508</v>
      </c>
      <c r="P43" s="30">
        <f t="shared" si="86"/>
        <v>2349</v>
      </c>
      <c r="Q43" s="30">
        <f t="shared" si="86"/>
        <v>2266</v>
      </c>
      <c r="R43" s="30">
        <f t="shared" si="86"/>
        <v>2225</v>
      </c>
      <c r="S43" s="30">
        <f t="shared" si="86"/>
        <v>2324</v>
      </c>
      <c r="T43" s="30">
        <f t="shared" si="86"/>
        <v>3291</v>
      </c>
      <c r="U43" s="30">
        <f t="shared" si="86"/>
        <v>4877</v>
      </c>
      <c r="V43" s="30">
        <f>SUM(V48:V49)-SUM(U48:U49)-SUM(V35:V42)</f>
        <v>-14878</v>
      </c>
      <c r="X43" s="10">
        <f t="shared" si="72"/>
        <v>3522</v>
      </c>
      <c r="Y43" s="10">
        <f t="shared" si="73"/>
        <v>7208</v>
      </c>
      <c r="Z43" s="10">
        <f t="shared" si="74"/>
        <v>6208</v>
      </c>
      <c r="AA43" s="10">
        <f t="shared" si="75"/>
        <v>6186</v>
      </c>
      <c r="AB43" s="10">
        <f t="shared" si="76"/>
        <v>9073</v>
      </c>
      <c r="AC43" s="10">
        <f t="shared" si="77"/>
        <v>7127</v>
      </c>
      <c r="AD43" s="10">
        <f t="shared" si="78"/>
        <v>9180</v>
      </c>
      <c r="AE43" s="10">
        <f t="shared" si="79"/>
        <v>9348</v>
      </c>
      <c r="AF43" s="10">
        <f t="shared" si="80"/>
        <v>9164</v>
      </c>
      <c r="AG43" s="10">
        <f t="shared" si="81"/>
        <v>10106</v>
      </c>
      <c r="AH43" s="10">
        <f t="shared" si="82"/>
        <v>12717</v>
      </c>
      <c r="AI43" s="10">
        <f t="shared" si="83"/>
        <v>-4386</v>
      </c>
    </row>
    <row r="44" spans="1:37" ht="12.75" customHeight="1">
      <c r="B44" s="12" t="s">
        <v>50</v>
      </c>
      <c r="C44" s="13">
        <f>SUM(C35+SUM(C37:C43))</f>
        <v>367072</v>
      </c>
      <c r="D44" s="13">
        <f>SUM(D35+SUM(D37:D43))</f>
        <v>-354658</v>
      </c>
      <c r="E44" s="13">
        <f>SUM(E35+SUM(E37:E43))</f>
        <v>-8702</v>
      </c>
      <c r="F44" s="13">
        <f>SUM(F35+SUM(F37:F43))</f>
        <v>18728</v>
      </c>
      <c r="H44" s="13">
        <f>SUM(H35+SUM(H37:H43))</f>
        <v>-312274</v>
      </c>
      <c r="I44" s="13">
        <f>SUM(I35+SUM(I37:I43))</f>
        <v>-42783</v>
      </c>
      <c r="J44" s="13">
        <f>SUM(J35+SUM(J37:J43))</f>
        <v>13230</v>
      </c>
      <c r="K44" s="13">
        <f>SUM(K35+SUM(K37:K43))</f>
        <v>-12831</v>
      </c>
      <c r="L44" s="13">
        <f>SUM(L35+SUM(L37:L43))</f>
        <v>7534</v>
      </c>
      <c r="M44" s="13">
        <f>SUM(M35+SUM(M37:M43))</f>
        <v>-37917</v>
      </c>
      <c r="N44" s="13">
        <f>SUM(N35+SUM(N37:N43))</f>
        <v>23153</v>
      </c>
      <c r="O44" s="13">
        <f>SUM(O35+SUM(O37:O43))</f>
        <v>-1472</v>
      </c>
      <c r="P44" s="13">
        <f>SUM(P35+SUM(P37:P43))</f>
        <v>24409</v>
      </c>
      <c r="Q44" s="13">
        <f>SUM(Q35+SUM(Q37:Q43))</f>
        <v>-18322</v>
      </c>
      <c r="R44" s="13">
        <f>SUM(R35+SUM(R37:R43))</f>
        <v>-11580</v>
      </c>
      <c r="S44" s="13">
        <f>SUM(S35+SUM(S37:S43))</f>
        <v>24221</v>
      </c>
      <c r="T44" s="13">
        <f>SUM(T35+SUM(T37:T43))</f>
        <v>105288</v>
      </c>
      <c r="U44" s="13">
        <f>SUM(U35+SUM(U37:U43))</f>
        <v>-19614</v>
      </c>
      <c r="V44" s="13">
        <f>SUM(V35+SUM(V37:V43))</f>
        <v>205965</v>
      </c>
      <c r="X44" s="13">
        <f>SUM(X35+SUM(X37:X43))</f>
        <v>-354658</v>
      </c>
      <c r="Y44" s="13">
        <f>SUM(Y35+SUM(Y37:Y43))</f>
        <v>-34850</v>
      </c>
      <c r="Z44" s="13">
        <f>SUM(Z35+SUM(Z37:Z43))</f>
        <v>-29984</v>
      </c>
      <c r="AA44" s="13">
        <f>SUM(AA35+SUM(AA37:AA43))</f>
        <v>-20061</v>
      </c>
      <c r="AB44" s="13">
        <f>SUM(AB35+SUM(AB37:AB43))</f>
        <v>-8702</v>
      </c>
      <c r="AC44" s="13">
        <f>SUM(AC35+SUM(AC37:AC43))</f>
        <v>-9584</v>
      </c>
      <c r="AD44" s="13">
        <f>SUM(AD35+SUM(AD37:AD43))</f>
        <v>15526</v>
      </c>
      <c r="AE44" s="13">
        <f>SUM(AE35+SUM(AE37:AE43))</f>
        <v>-13071</v>
      </c>
      <c r="AF44" s="13">
        <f>SUM(AF35+SUM(AF37:AF43))</f>
        <v>18728</v>
      </c>
      <c r="AG44" s="13">
        <f>SUM(AG35+SUM(AG37:AG43))</f>
        <v>99607</v>
      </c>
      <c r="AH44" s="13">
        <f>SUM(AH35+SUM(AH37:AH43))</f>
        <v>98315</v>
      </c>
      <c r="AI44" s="13">
        <f>SUM(AI35+SUM(AI37:AI43))</f>
        <v>315860</v>
      </c>
    </row>
    <row r="45" spans="1:37" ht="5.0999999999999996" customHeight="1"/>
    <row r="46" spans="1:37" ht="12.75" customHeight="1">
      <c r="A46" s="5"/>
      <c r="B46" s="31" t="s">
        <v>51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52</v>
      </c>
      <c r="C48" s="86">
        <f>'Historical Financials'!C45</f>
        <v>399025</v>
      </c>
      <c r="D48" s="86">
        <f>'Historical Financials'!D45</f>
        <v>42367</v>
      </c>
      <c r="E48" s="86">
        <f>'Historical Financials'!E45</f>
        <v>33249</v>
      </c>
      <c r="F48" s="86">
        <f>'Historical Financials'!F45</f>
        <v>51946</v>
      </c>
      <c r="G48" s="30"/>
      <c r="H48" s="86">
        <f>'Historical Financials'!H45</f>
        <v>86751</v>
      </c>
      <c r="I48" s="86">
        <f>'Historical Financials'!I45</f>
        <v>43968</v>
      </c>
      <c r="J48" s="86">
        <f>'Historical Financials'!J45</f>
        <v>57198</v>
      </c>
      <c r="K48" s="86">
        <f>'Historical Financials'!K45</f>
        <v>42367</v>
      </c>
      <c r="L48" s="86">
        <f>'Historical Financials'!L45</f>
        <v>49901</v>
      </c>
      <c r="M48" s="86">
        <f>'Historical Financials'!M45</f>
        <v>11882</v>
      </c>
      <c r="N48" s="86">
        <f>'Historical Financials'!N45</f>
        <v>34721</v>
      </c>
      <c r="O48" s="86">
        <f>'Historical Financials'!O45</f>
        <v>33249</v>
      </c>
      <c r="P48" s="86">
        <f>'Historical Financials'!P45</f>
        <v>57640</v>
      </c>
      <c r="Q48" s="86">
        <f>'Historical Financials'!Q45</f>
        <v>39313</v>
      </c>
      <c r="R48" s="86">
        <f>'Historical Financials'!R45</f>
        <v>27734</v>
      </c>
      <c r="S48" s="86">
        <f>'Historical Financials'!S45</f>
        <v>51946</v>
      </c>
      <c r="T48" s="86">
        <f>'Historical Financials'!T45</f>
        <v>157002</v>
      </c>
      <c r="U48" s="86">
        <f>'Historical Financials'!U45</f>
        <v>136622</v>
      </c>
      <c r="V48" s="86">
        <f>'Historical Financials'!V45</f>
        <v>339742</v>
      </c>
      <c r="X48" s="10">
        <f t="shared" ref="X48:AH49" si="87">K48</f>
        <v>42367</v>
      </c>
      <c r="Y48" s="10">
        <f t="shared" si="87"/>
        <v>49901</v>
      </c>
      <c r="Z48" s="10">
        <f t="shared" si="87"/>
        <v>11882</v>
      </c>
      <c r="AA48" s="10">
        <f t="shared" si="87"/>
        <v>34721</v>
      </c>
      <c r="AB48" s="10">
        <f t="shared" si="87"/>
        <v>33249</v>
      </c>
      <c r="AC48" s="10">
        <f t="shared" si="87"/>
        <v>57640</v>
      </c>
      <c r="AD48" s="10">
        <f t="shared" si="87"/>
        <v>39313</v>
      </c>
      <c r="AE48" s="10">
        <f t="shared" si="87"/>
        <v>27734</v>
      </c>
      <c r="AF48" s="10">
        <f t="shared" si="87"/>
        <v>51946</v>
      </c>
      <c r="AG48" s="10">
        <f t="shared" si="87"/>
        <v>157002</v>
      </c>
      <c r="AH48" s="10">
        <f t="shared" si="87"/>
        <v>136622</v>
      </c>
      <c r="AI48" s="10">
        <f>V48</f>
        <v>339742</v>
      </c>
    </row>
    <row r="49" spans="2:35" ht="12.75" customHeight="1">
      <c r="B49" s="8" t="s">
        <v>106</v>
      </c>
      <c r="C49" s="86">
        <f>'Historical Financials'!C46</f>
        <v>0</v>
      </c>
      <c r="D49" s="86">
        <f>'Historical Financials'!D46</f>
        <v>2000</v>
      </c>
      <c r="E49" s="86">
        <f>'Historical Financials'!E46</f>
        <v>2416</v>
      </c>
      <c r="F49" s="86">
        <f>'Historical Financials'!F46</f>
        <v>2447</v>
      </c>
      <c r="G49" s="30"/>
      <c r="H49" s="86">
        <f>'Historical Financials'!H46</f>
        <v>0</v>
      </c>
      <c r="I49" s="86">
        <f>'Historical Financials'!I46</f>
        <v>0</v>
      </c>
      <c r="J49" s="86">
        <f>'Historical Financials'!J46</f>
        <v>0</v>
      </c>
      <c r="K49" s="86">
        <f>'Historical Financials'!K46</f>
        <v>2000</v>
      </c>
      <c r="L49" s="86">
        <f>'Historical Financials'!L46</f>
        <v>2000</v>
      </c>
      <c r="M49" s="86">
        <f>'Historical Financials'!M46</f>
        <v>2102</v>
      </c>
      <c r="N49" s="86">
        <f>'Historical Financials'!N46</f>
        <v>2416</v>
      </c>
      <c r="O49" s="86">
        <f>'Historical Financials'!O46</f>
        <v>2416</v>
      </c>
      <c r="P49" s="86">
        <f>'Historical Financials'!P46</f>
        <v>2434</v>
      </c>
      <c r="Q49" s="86">
        <f>'Historical Financials'!Q46</f>
        <v>2439</v>
      </c>
      <c r="R49" s="86">
        <f>'Historical Financials'!R46</f>
        <v>2438</v>
      </c>
      <c r="S49" s="86">
        <f>'Historical Financials'!S46</f>
        <v>2447</v>
      </c>
      <c r="T49" s="86">
        <f>'Historical Financials'!T46</f>
        <v>2679</v>
      </c>
      <c r="U49" s="86">
        <f>'Historical Financials'!U46</f>
        <v>3445</v>
      </c>
      <c r="V49" s="86">
        <f>'Historical Financials'!V46</f>
        <v>6290</v>
      </c>
      <c r="X49" s="10">
        <f t="shared" ref="X49:X51" si="88">K49</f>
        <v>2000</v>
      </c>
      <c r="Y49" s="10">
        <f t="shared" ref="Y49:Y51" si="89">L49</f>
        <v>2000</v>
      </c>
      <c r="Z49" s="10">
        <f t="shared" ref="Z49:Z51" si="90">M49</f>
        <v>2102</v>
      </c>
      <c r="AA49" s="10">
        <f t="shared" ref="AA49:AA51" si="91">N49</f>
        <v>2416</v>
      </c>
      <c r="AB49" s="10">
        <f t="shared" ref="AB49:AB51" si="92">O49</f>
        <v>2416</v>
      </c>
      <c r="AC49" s="10">
        <f t="shared" ref="AC49:AC51" si="93">P49</f>
        <v>2434</v>
      </c>
      <c r="AD49" s="10">
        <f t="shared" ref="AD49:AD51" si="94">Q49</f>
        <v>2439</v>
      </c>
      <c r="AE49" s="10">
        <f t="shared" ref="AE49:AE51" si="95">R49</f>
        <v>2438</v>
      </c>
      <c r="AF49" s="10">
        <f t="shared" ref="AF49:AF51" si="96">S49</f>
        <v>2447</v>
      </c>
      <c r="AG49" s="10">
        <f t="shared" ref="AG49:AG51" si="97">T49</f>
        <v>2679</v>
      </c>
      <c r="AH49" s="10">
        <f t="shared" ref="AH49:AH51" si="98">U49</f>
        <v>3445</v>
      </c>
      <c r="AI49" s="10">
        <f t="shared" ref="AI49:AI51" si="99">V49</f>
        <v>6290</v>
      </c>
    </row>
    <row r="50" spans="2:35" ht="12.75" customHeight="1">
      <c r="B50" s="8" t="s">
        <v>171</v>
      </c>
      <c r="C50" s="86">
        <f>'Historical Financials'!C47</f>
        <v>123443</v>
      </c>
      <c r="D50" s="86">
        <f>'Historical Financials'!D47</f>
        <v>311430</v>
      </c>
      <c r="E50" s="86">
        <f>'Historical Financials'!E47</f>
        <v>319776</v>
      </c>
      <c r="F50" s="86">
        <f>'Historical Financials'!F47</f>
        <v>285896</v>
      </c>
      <c r="G50" s="30"/>
      <c r="H50" s="86">
        <f>'Historical Financials'!H47</f>
        <v>329157</v>
      </c>
      <c r="I50" s="86">
        <f>'Historical Financials'!I47</f>
        <v>379383</v>
      </c>
      <c r="J50" s="86">
        <f>'Historical Financials'!J47</f>
        <v>348435</v>
      </c>
      <c r="K50" s="86">
        <f>'Historical Financials'!K47</f>
        <v>311430</v>
      </c>
      <c r="L50" s="86">
        <f>'Historical Financials'!L47</f>
        <v>335966</v>
      </c>
      <c r="M50" s="86">
        <f>'Historical Financials'!M47</f>
        <v>361677</v>
      </c>
      <c r="N50" s="86">
        <f>'Historical Financials'!N47</f>
        <v>346853</v>
      </c>
      <c r="O50" s="86">
        <f>'Historical Financials'!O47</f>
        <v>319776</v>
      </c>
      <c r="P50" s="86">
        <f>'Historical Financials'!P47</f>
        <v>315276</v>
      </c>
      <c r="Q50" s="86">
        <f>'Historical Financials'!Q47</f>
        <v>328045</v>
      </c>
      <c r="R50" s="86">
        <f>'Historical Financials'!R47</f>
        <v>335538</v>
      </c>
      <c r="S50" s="86">
        <f>'Historical Financials'!S47</f>
        <v>285896</v>
      </c>
      <c r="T50" s="86">
        <f>'Historical Financials'!T47</f>
        <v>428605</v>
      </c>
      <c r="U50" s="86">
        <f>'Historical Financials'!U47</f>
        <v>406784</v>
      </c>
      <c r="V50" s="86">
        <f>'Historical Financials'!V47</f>
        <v>736333</v>
      </c>
      <c r="X50" s="10">
        <f t="shared" si="88"/>
        <v>311430</v>
      </c>
      <c r="Y50" s="10">
        <f t="shared" si="89"/>
        <v>335966</v>
      </c>
      <c r="Z50" s="10">
        <f t="shared" si="90"/>
        <v>361677</v>
      </c>
      <c r="AA50" s="10">
        <f t="shared" si="91"/>
        <v>346853</v>
      </c>
      <c r="AB50" s="10">
        <f t="shared" si="92"/>
        <v>319776</v>
      </c>
      <c r="AC50" s="10">
        <f t="shared" si="93"/>
        <v>315276</v>
      </c>
      <c r="AD50" s="10">
        <f t="shared" si="94"/>
        <v>328045</v>
      </c>
      <c r="AE50" s="10">
        <f t="shared" si="95"/>
        <v>335538</v>
      </c>
      <c r="AF50" s="10">
        <f t="shared" si="96"/>
        <v>285896</v>
      </c>
      <c r="AG50" s="10">
        <f t="shared" si="97"/>
        <v>428605</v>
      </c>
      <c r="AH50" s="10">
        <f t="shared" si="98"/>
        <v>406784</v>
      </c>
      <c r="AI50" s="10">
        <f t="shared" si="99"/>
        <v>736333</v>
      </c>
    </row>
    <row r="51" spans="2:35" ht="12.75" customHeight="1">
      <c r="B51" s="8" t="s">
        <v>172</v>
      </c>
      <c r="C51" s="86">
        <f>'Historical Financials'!C53</f>
        <v>80110</v>
      </c>
      <c r="D51" s="86">
        <f>'Historical Financials'!D53</f>
        <v>182001</v>
      </c>
      <c r="E51" s="86">
        <f>'Historical Financials'!E53</f>
        <v>100489</v>
      </c>
      <c r="F51" s="86">
        <f>'Historical Financials'!F53</f>
        <v>23545</v>
      </c>
      <c r="G51" s="30"/>
      <c r="H51" s="86">
        <f>'Historical Financials'!H53</f>
        <v>170460</v>
      </c>
      <c r="I51" s="86">
        <f>'Historical Financials'!I53</f>
        <v>147992</v>
      </c>
      <c r="J51" s="86">
        <f>'Historical Financials'!J53</f>
        <v>150154</v>
      </c>
      <c r="K51" s="86">
        <f>'Historical Financials'!K53</f>
        <v>182001</v>
      </c>
      <c r="L51" s="86">
        <f>'Historical Financials'!L53</f>
        <v>137646</v>
      </c>
      <c r="M51" s="86">
        <f>'Historical Financials'!M53</f>
        <v>133542</v>
      </c>
      <c r="N51" s="86">
        <f>'Historical Financials'!N53</f>
        <v>101115</v>
      </c>
      <c r="O51" s="86">
        <f>'Historical Financials'!O53</f>
        <v>100489</v>
      </c>
      <c r="P51" s="86">
        <f>'Historical Financials'!P53</f>
        <v>59090</v>
      </c>
      <c r="Q51" s="86">
        <f>'Historical Financials'!Q53</f>
        <v>32171</v>
      </c>
      <c r="R51" s="86">
        <f>'Historical Financials'!R53</f>
        <v>17131</v>
      </c>
      <c r="S51" s="86">
        <f>'Historical Financials'!S53</f>
        <v>23545</v>
      </c>
      <c r="T51" s="86">
        <f>'Historical Financials'!T53</f>
        <v>108861</v>
      </c>
      <c r="U51" s="86">
        <f>'Historical Financials'!U53</f>
        <v>109902</v>
      </c>
      <c r="V51" s="86">
        <f>'Historical Financials'!V53</f>
        <v>402603</v>
      </c>
      <c r="X51" s="10">
        <f t="shared" si="88"/>
        <v>182001</v>
      </c>
      <c r="Y51" s="10">
        <f t="shared" si="89"/>
        <v>137646</v>
      </c>
      <c r="Z51" s="10">
        <f t="shared" si="90"/>
        <v>133542</v>
      </c>
      <c r="AA51" s="10">
        <f t="shared" si="91"/>
        <v>101115</v>
      </c>
      <c r="AB51" s="10">
        <f t="shared" si="92"/>
        <v>100489</v>
      </c>
      <c r="AC51" s="10">
        <f t="shared" si="93"/>
        <v>59090</v>
      </c>
      <c r="AD51" s="10">
        <f t="shared" si="94"/>
        <v>32171</v>
      </c>
      <c r="AE51" s="10">
        <f t="shared" si="95"/>
        <v>17131</v>
      </c>
      <c r="AF51" s="10">
        <f t="shared" si="96"/>
        <v>23545</v>
      </c>
      <c r="AG51" s="10">
        <f t="shared" si="97"/>
        <v>108861</v>
      </c>
      <c r="AH51" s="10">
        <f t="shared" si="98"/>
        <v>109902</v>
      </c>
      <c r="AI51" s="10">
        <f t="shared" si="99"/>
        <v>402603</v>
      </c>
    </row>
    <row r="52" spans="2:35" ht="12.75" customHeight="1">
      <c r="B52" s="12" t="s">
        <v>53</v>
      </c>
      <c r="C52" s="13">
        <f>SUM(C48:C51)</f>
        <v>602578</v>
      </c>
      <c r="D52" s="13">
        <f>SUM(D48:D51)</f>
        <v>537798</v>
      </c>
      <c r="E52" s="13">
        <f>SUM(E48:E51)</f>
        <v>455930</v>
      </c>
      <c r="F52" s="13">
        <f>SUM(F48:F51)</f>
        <v>363834</v>
      </c>
      <c r="G52" s="30"/>
      <c r="H52" s="13">
        <f t="shared" ref="H52:AI52" si="100">SUM(H48:H51)</f>
        <v>586368</v>
      </c>
      <c r="I52" s="13">
        <f t="shared" si="100"/>
        <v>571343</v>
      </c>
      <c r="J52" s="13">
        <f t="shared" si="100"/>
        <v>555787</v>
      </c>
      <c r="K52" s="13">
        <f t="shared" si="100"/>
        <v>537798</v>
      </c>
      <c r="L52" s="13">
        <f t="shared" si="100"/>
        <v>525513</v>
      </c>
      <c r="M52" s="13">
        <f t="shared" si="100"/>
        <v>509203</v>
      </c>
      <c r="N52" s="13">
        <f t="shared" si="100"/>
        <v>485105</v>
      </c>
      <c r="O52" s="13">
        <f t="shared" si="100"/>
        <v>455930</v>
      </c>
      <c r="P52" s="13">
        <f t="shared" si="100"/>
        <v>434440</v>
      </c>
      <c r="Q52" s="13">
        <f t="shared" si="100"/>
        <v>401968</v>
      </c>
      <c r="R52" s="13">
        <f t="shared" si="100"/>
        <v>382841</v>
      </c>
      <c r="S52" s="13">
        <f t="shared" si="100"/>
        <v>363834</v>
      </c>
      <c r="T52" s="13">
        <f t="shared" si="100"/>
        <v>697147</v>
      </c>
      <c r="U52" s="13">
        <f t="shared" si="100"/>
        <v>656753</v>
      </c>
      <c r="V52" s="13">
        <f t="shared" si="100"/>
        <v>1484968</v>
      </c>
      <c r="X52" s="13">
        <f t="shared" si="100"/>
        <v>537798</v>
      </c>
      <c r="Y52" s="13">
        <f t="shared" si="100"/>
        <v>525513</v>
      </c>
      <c r="Z52" s="13">
        <f t="shared" si="100"/>
        <v>509203</v>
      </c>
      <c r="AA52" s="13">
        <f t="shared" si="100"/>
        <v>485105</v>
      </c>
      <c r="AB52" s="13">
        <f t="shared" si="100"/>
        <v>455930</v>
      </c>
      <c r="AC52" s="13">
        <f t="shared" si="100"/>
        <v>434440</v>
      </c>
      <c r="AD52" s="13">
        <f t="shared" si="100"/>
        <v>401968</v>
      </c>
      <c r="AE52" s="13">
        <f t="shared" si="100"/>
        <v>382841</v>
      </c>
      <c r="AF52" s="13">
        <f t="shared" si="100"/>
        <v>363834</v>
      </c>
      <c r="AG52" s="13">
        <f t="shared" si="100"/>
        <v>697147</v>
      </c>
      <c r="AH52" s="13">
        <f t="shared" si="100"/>
        <v>656753</v>
      </c>
      <c r="AI52" s="13">
        <f t="shared" si="100"/>
        <v>1484968</v>
      </c>
    </row>
    <row r="53" spans="2:35" ht="5.0999999999999996" customHeight="1"/>
    <row r="54" spans="2:35" ht="12.75" customHeight="1">
      <c r="B54" s="33" t="s">
        <v>54</v>
      </c>
    </row>
    <row r="55" spans="2:35" ht="12.75" customHeight="1">
      <c r="B55" s="8" t="s">
        <v>55</v>
      </c>
      <c r="C55" s="86">
        <f>'Historical Financials'!C48</f>
        <v>707</v>
      </c>
      <c r="D55" s="86">
        <f>'Historical Financials'!D48</f>
        <v>3292</v>
      </c>
      <c r="E55" s="86">
        <f>'Historical Financials'!E48</f>
        <v>11467</v>
      </c>
      <c r="F55" s="86">
        <f>'Historical Financials'!F48</f>
        <v>10188</v>
      </c>
      <c r="H55" s="86">
        <f>'Historical Financials'!H48</f>
        <v>569</v>
      </c>
      <c r="I55" s="86">
        <f>'Historical Financials'!I48</f>
        <v>1782</v>
      </c>
      <c r="J55" s="86">
        <f>'Historical Financials'!J48</f>
        <v>2876</v>
      </c>
      <c r="K55" s="86">
        <f>'Historical Financials'!K48</f>
        <v>3292</v>
      </c>
      <c r="L55" s="86">
        <f>'Historical Financials'!L48</f>
        <v>1837</v>
      </c>
      <c r="M55" s="86">
        <f>'Historical Financials'!M48</f>
        <v>2428</v>
      </c>
      <c r="N55" s="86">
        <f>'Historical Financials'!N48</f>
        <v>3033</v>
      </c>
      <c r="O55" s="86">
        <f>'Historical Financials'!O48</f>
        <v>11467</v>
      </c>
      <c r="P55" s="86">
        <f>'Historical Financials'!P48</f>
        <v>9556</v>
      </c>
      <c r="Q55" s="86">
        <f>'Historical Financials'!Q48</f>
        <v>7893</v>
      </c>
      <c r="R55" s="86">
        <f>'Historical Financials'!R48</f>
        <v>4137</v>
      </c>
      <c r="S55" s="86">
        <f>'Historical Financials'!S48</f>
        <v>10188</v>
      </c>
      <c r="T55" s="86">
        <f>'Historical Financials'!T48</f>
        <v>9471</v>
      </c>
      <c r="U55" s="86">
        <f>'Historical Financials'!U48</f>
        <v>19114</v>
      </c>
      <c r="V55" s="86">
        <f>'Historical Financials'!V48</f>
        <v>36912</v>
      </c>
      <c r="W55" s="10"/>
      <c r="X55" s="10">
        <f t="shared" ref="X55:X61" si="101">K55</f>
        <v>3292</v>
      </c>
      <c r="Y55" s="10">
        <f t="shared" ref="Y55:Y61" si="102">L55</f>
        <v>1837</v>
      </c>
      <c r="Z55" s="10">
        <f t="shared" ref="Z55:Z61" si="103">M55</f>
        <v>2428</v>
      </c>
      <c r="AA55" s="10">
        <f t="shared" ref="AA55:AA61" si="104">N55</f>
        <v>3033</v>
      </c>
      <c r="AB55" s="10">
        <f t="shared" ref="AB55:AB61" si="105">O55</f>
        <v>11467</v>
      </c>
      <c r="AC55" s="10">
        <f t="shared" ref="AC55:AC61" si="106">P55</f>
        <v>9556</v>
      </c>
      <c r="AD55" s="10">
        <f t="shared" ref="AD55:AD61" si="107">Q55</f>
        <v>7893</v>
      </c>
      <c r="AE55" s="10">
        <f t="shared" ref="AE55:AE61" si="108">R55</f>
        <v>4137</v>
      </c>
      <c r="AF55" s="10">
        <f t="shared" ref="AF55:AF61" si="109">S55</f>
        <v>10188</v>
      </c>
      <c r="AG55" s="10">
        <f t="shared" ref="AG55:AG61" si="110">T55</f>
        <v>9471</v>
      </c>
      <c r="AH55" s="10">
        <f t="shared" ref="AH55:AH61" si="111">U55</f>
        <v>19114</v>
      </c>
      <c r="AI55" s="10">
        <f t="shared" ref="AI55:AI61" si="112">V55</f>
        <v>36912</v>
      </c>
    </row>
    <row r="56" spans="2:35" ht="12.75" customHeight="1">
      <c r="B56" s="8" t="s">
        <v>56</v>
      </c>
      <c r="C56" s="86">
        <f>'Historical Financials'!C62</f>
        <v>1882</v>
      </c>
      <c r="D56" s="86">
        <f>'Historical Financials'!D62</f>
        <v>3055</v>
      </c>
      <c r="E56" s="86">
        <f>'Historical Financials'!E62</f>
        <v>5599</v>
      </c>
      <c r="F56" s="86">
        <f>'Historical Financials'!F62</f>
        <v>5230</v>
      </c>
      <c r="G56" s="86"/>
      <c r="H56" s="86">
        <f>'Historical Financials'!H62</f>
        <v>1967</v>
      </c>
      <c r="I56" s="86">
        <f>'Historical Financials'!I62</f>
        <v>3680</v>
      </c>
      <c r="J56" s="86">
        <f>'Historical Financials'!J62</f>
        <v>5042</v>
      </c>
      <c r="K56" s="86">
        <f>'Historical Financials'!K62</f>
        <v>3055</v>
      </c>
      <c r="L56" s="86">
        <f>'Historical Financials'!L62</f>
        <v>3597</v>
      </c>
      <c r="M56" s="86">
        <f>'Historical Financials'!M62</f>
        <v>4560</v>
      </c>
      <c r="N56" s="86">
        <f>'Historical Financials'!N62</f>
        <v>6408</v>
      </c>
      <c r="O56" s="86">
        <f>'Historical Financials'!O62</f>
        <v>5599</v>
      </c>
      <c r="P56" s="86">
        <f>'Historical Financials'!P62</f>
        <v>5852</v>
      </c>
      <c r="Q56" s="86">
        <f>'Historical Financials'!Q62</f>
        <v>6324</v>
      </c>
      <c r="R56" s="86">
        <f>'Historical Financials'!R62</f>
        <v>4854</v>
      </c>
      <c r="S56" s="86">
        <f>'Historical Financials'!S62</f>
        <v>5230</v>
      </c>
      <c r="T56" s="86">
        <f>'Historical Financials'!T62</f>
        <v>8752</v>
      </c>
      <c r="U56" s="86">
        <f>'Historical Financials'!U62</f>
        <v>8938</v>
      </c>
      <c r="V56" s="86">
        <f>'Historical Financials'!V62</f>
        <v>16970</v>
      </c>
      <c r="X56" s="10">
        <f t="shared" si="101"/>
        <v>3055</v>
      </c>
      <c r="Y56" s="10">
        <f t="shared" si="102"/>
        <v>3597</v>
      </c>
      <c r="Z56" s="10">
        <f t="shared" si="103"/>
        <v>4560</v>
      </c>
      <c r="AA56" s="10">
        <f t="shared" si="104"/>
        <v>6408</v>
      </c>
      <c r="AB56" s="10">
        <f t="shared" si="105"/>
        <v>5599</v>
      </c>
      <c r="AC56" s="10">
        <f t="shared" si="106"/>
        <v>5852</v>
      </c>
      <c r="AD56" s="10">
        <f t="shared" si="107"/>
        <v>6324</v>
      </c>
      <c r="AE56" s="10">
        <f t="shared" si="108"/>
        <v>4854</v>
      </c>
      <c r="AF56" s="10">
        <f t="shared" si="109"/>
        <v>5230</v>
      </c>
      <c r="AG56" s="10">
        <f t="shared" si="110"/>
        <v>8752</v>
      </c>
      <c r="AH56" s="10">
        <f t="shared" si="111"/>
        <v>8938</v>
      </c>
      <c r="AI56" s="10">
        <f t="shared" si="112"/>
        <v>16970</v>
      </c>
    </row>
    <row r="57" spans="2:35" ht="12.75" customHeight="1">
      <c r="B57" s="8" t="s">
        <v>173</v>
      </c>
      <c r="C57" s="86">
        <f>'Historical Financials'!C65</f>
        <v>3430</v>
      </c>
      <c r="D57" s="86">
        <f>'Historical Financials'!D65</f>
        <v>8729</v>
      </c>
      <c r="E57" s="86">
        <f>'Historical Financials'!E65</f>
        <v>12087</v>
      </c>
      <c r="F57" s="86">
        <f>'Historical Financials'!F65</f>
        <v>10678</v>
      </c>
      <c r="G57" s="86"/>
      <c r="H57" s="86">
        <f>'Historical Financials'!H65</f>
        <v>3417</v>
      </c>
      <c r="I57" s="86">
        <f>'Historical Financials'!I65</f>
        <v>4885</v>
      </c>
      <c r="J57" s="86">
        <f>'Historical Financials'!J65</f>
        <v>4700</v>
      </c>
      <c r="K57" s="86">
        <f>'Historical Financials'!K65</f>
        <v>8729</v>
      </c>
      <c r="L57" s="86">
        <f>'Historical Financials'!L65</f>
        <v>6294</v>
      </c>
      <c r="M57" s="86">
        <f>'Historical Financials'!M65</f>
        <v>8428</v>
      </c>
      <c r="N57" s="86">
        <f>'Historical Financials'!N65</f>
        <v>5216</v>
      </c>
      <c r="O57" s="86">
        <f>'Historical Financials'!O65</f>
        <v>12087</v>
      </c>
      <c r="P57" s="86">
        <f>'Historical Financials'!P65</f>
        <v>16742</v>
      </c>
      <c r="Q57" s="86">
        <f>'Historical Financials'!Q65</f>
        <v>13668</v>
      </c>
      <c r="R57" s="86">
        <f>'Historical Financials'!R65</f>
        <v>8332</v>
      </c>
      <c r="S57" s="86">
        <f>'Historical Financials'!S65</f>
        <v>10678</v>
      </c>
      <c r="T57" s="86">
        <f>'Historical Financials'!T65</f>
        <v>12061</v>
      </c>
      <c r="U57" s="86">
        <f>'Historical Financials'!U65</f>
        <v>16726</v>
      </c>
      <c r="V57" s="86">
        <f>'Historical Financials'!V65</f>
        <v>21855</v>
      </c>
      <c r="X57" s="10">
        <f t="shared" si="101"/>
        <v>8729</v>
      </c>
      <c r="Y57" s="10">
        <f t="shared" si="102"/>
        <v>6294</v>
      </c>
      <c r="Z57" s="10">
        <f t="shared" si="103"/>
        <v>8428</v>
      </c>
      <c r="AA57" s="10">
        <f t="shared" si="104"/>
        <v>5216</v>
      </c>
      <c r="AB57" s="10">
        <f t="shared" si="105"/>
        <v>12087</v>
      </c>
      <c r="AC57" s="10">
        <f t="shared" si="106"/>
        <v>16742</v>
      </c>
      <c r="AD57" s="10">
        <f t="shared" si="107"/>
        <v>13668</v>
      </c>
      <c r="AE57" s="10">
        <f t="shared" si="108"/>
        <v>8332</v>
      </c>
      <c r="AF57" s="10">
        <f t="shared" si="109"/>
        <v>10678</v>
      </c>
      <c r="AG57" s="10">
        <f t="shared" si="110"/>
        <v>12061</v>
      </c>
      <c r="AH57" s="10">
        <f t="shared" si="111"/>
        <v>16726</v>
      </c>
      <c r="AI57" s="10">
        <f t="shared" si="112"/>
        <v>21855</v>
      </c>
    </row>
    <row r="58" spans="2:35" ht="12.75" customHeight="1">
      <c r="B58" s="8" t="s">
        <v>174</v>
      </c>
      <c r="C58" s="86">
        <f>'Historical Financials'!C71</f>
        <v>1533</v>
      </c>
      <c r="D58" s="86">
        <f>'Historical Financials'!D71</f>
        <v>1201</v>
      </c>
      <c r="E58" s="86">
        <f>'Historical Financials'!E71</f>
        <v>447</v>
      </c>
      <c r="F58" s="86">
        <f>'Historical Financials'!F71</f>
        <v>0</v>
      </c>
      <c r="G58" s="86"/>
      <c r="H58" s="86">
        <f>'Historical Financials'!H71</f>
        <v>489</v>
      </c>
      <c r="I58" s="86">
        <f>'Historical Financials'!I71</f>
        <v>616</v>
      </c>
      <c r="J58" s="86">
        <f>'Historical Financials'!J71</f>
        <v>741</v>
      </c>
      <c r="K58" s="86">
        <f>'Historical Financials'!K71</f>
        <v>1201</v>
      </c>
      <c r="L58" s="86">
        <f>'Historical Financials'!L71</f>
        <v>954</v>
      </c>
      <c r="M58" s="86">
        <f>'Historical Financials'!M71</f>
        <v>707</v>
      </c>
      <c r="N58" s="86">
        <f>'Historical Financials'!N71</f>
        <v>457</v>
      </c>
      <c r="O58" s="86">
        <f>'Historical Financials'!O71</f>
        <v>447</v>
      </c>
      <c r="P58" s="86">
        <f>'Historical Financials'!P71</f>
        <v>181</v>
      </c>
      <c r="Q58" s="86">
        <f>'Historical Financials'!Q71</f>
        <v>121</v>
      </c>
      <c r="R58" s="86">
        <f>'Historical Financials'!R71</f>
        <v>60</v>
      </c>
      <c r="S58" s="86">
        <f>'Historical Financials'!S71</f>
        <v>0</v>
      </c>
      <c r="T58" s="86">
        <f>'Historical Financials'!T71</f>
        <v>0</v>
      </c>
      <c r="U58" s="86">
        <f>'Historical Financials'!U71</f>
        <v>2770</v>
      </c>
      <c r="V58" s="86">
        <f>'Historical Financials'!V71</f>
        <v>3384</v>
      </c>
      <c r="X58" s="10">
        <f t="shared" ref="X58" si="113">K58</f>
        <v>1201</v>
      </c>
      <c r="Y58" s="10">
        <f t="shared" ref="Y58" si="114">L58</f>
        <v>954</v>
      </c>
      <c r="Z58" s="10">
        <f t="shared" ref="Z58" si="115">M58</f>
        <v>707</v>
      </c>
      <c r="AA58" s="10">
        <f t="shared" ref="AA58" si="116">N58</f>
        <v>457</v>
      </c>
      <c r="AB58" s="10">
        <f t="shared" ref="AB58" si="117">O58</f>
        <v>447</v>
      </c>
      <c r="AC58" s="10">
        <f t="shared" ref="AC58" si="118">P58</f>
        <v>181</v>
      </c>
      <c r="AD58" s="10">
        <f t="shared" ref="AD58" si="119">Q58</f>
        <v>121</v>
      </c>
      <c r="AE58" s="10">
        <f t="shared" ref="AE58" si="120">R58</f>
        <v>60</v>
      </c>
      <c r="AF58" s="10">
        <f t="shared" ref="AF58" si="121">S58</f>
        <v>0</v>
      </c>
      <c r="AG58" s="10">
        <f t="shared" ref="AG58" si="122">T58</f>
        <v>0</v>
      </c>
      <c r="AH58" s="10">
        <f t="shared" ref="AH58" si="123">U58</f>
        <v>2770</v>
      </c>
      <c r="AI58" s="10">
        <f t="shared" ref="AI58" si="124">V58</f>
        <v>3384</v>
      </c>
    </row>
    <row r="59" spans="2:35" ht="12.75" customHeight="1">
      <c r="B59" s="8" t="s">
        <v>57</v>
      </c>
      <c r="C59" s="86">
        <f>'Historical Financials'!C54</f>
        <v>18870</v>
      </c>
      <c r="D59" s="86">
        <f>'Historical Financials'!D54</f>
        <v>26014</v>
      </c>
      <c r="E59" s="86">
        <f>'Historical Financials'!E54</f>
        <v>37515</v>
      </c>
      <c r="F59" s="86">
        <f>'Historical Financials'!F54</f>
        <v>52761</v>
      </c>
      <c r="G59" s="86"/>
      <c r="H59" s="86">
        <f>'Historical Financials'!H54</f>
        <v>21131</v>
      </c>
      <c r="I59" s="86">
        <f>'Historical Financials'!I54</f>
        <v>24872</v>
      </c>
      <c r="J59" s="86">
        <f>'Historical Financials'!J54</f>
        <v>25065</v>
      </c>
      <c r="K59" s="86">
        <f>'Historical Financials'!K54</f>
        <v>26014</v>
      </c>
      <c r="L59" s="86">
        <f>'Historical Financials'!L54</f>
        <v>26488</v>
      </c>
      <c r="M59" s="86">
        <f>'Historical Financials'!M54</f>
        <v>29089</v>
      </c>
      <c r="N59" s="86">
        <f>'Historical Financials'!N54</f>
        <v>35356</v>
      </c>
      <c r="O59" s="86">
        <f>'Historical Financials'!O54</f>
        <v>37515</v>
      </c>
      <c r="P59" s="86">
        <f>'Historical Financials'!P54</f>
        <v>42380</v>
      </c>
      <c r="Q59" s="86">
        <f>'Historical Financials'!Q54</f>
        <v>47883</v>
      </c>
      <c r="R59" s="86">
        <f>'Historical Financials'!R54</f>
        <v>49454</v>
      </c>
      <c r="S59" s="86">
        <f>'Historical Financials'!S54</f>
        <v>52761</v>
      </c>
      <c r="T59" s="86">
        <f>'Historical Financials'!T54</f>
        <v>51644</v>
      </c>
      <c r="U59" s="86">
        <f>'Historical Financials'!U54</f>
        <v>58558</v>
      </c>
      <c r="V59" s="86">
        <f>'Historical Financials'!V54</f>
        <v>119564</v>
      </c>
      <c r="X59" s="10">
        <f t="shared" si="101"/>
        <v>26014</v>
      </c>
      <c r="Y59" s="10">
        <f t="shared" si="102"/>
        <v>26488</v>
      </c>
      <c r="Z59" s="10">
        <f t="shared" si="103"/>
        <v>29089</v>
      </c>
      <c r="AA59" s="10">
        <f t="shared" si="104"/>
        <v>35356</v>
      </c>
      <c r="AB59" s="10">
        <f t="shared" si="105"/>
        <v>37515</v>
      </c>
      <c r="AC59" s="10">
        <f t="shared" si="106"/>
        <v>42380</v>
      </c>
      <c r="AD59" s="10">
        <f t="shared" si="107"/>
        <v>47883</v>
      </c>
      <c r="AE59" s="10">
        <f t="shared" si="108"/>
        <v>49454</v>
      </c>
      <c r="AF59" s="10">
        <f t="shared" si="109"/>
        <v>52761</v>
      </c>
      <c r="AG59" s="10">
        <f t="shared" si="110"/>
        <v>51644</v>
      </c>
      <c r="AH59" s="10">
        <f t="shared" si="111"/>
        <v>58558</v>
      </c>
      <c r="AI59" s="10">
        <f t="shared" si="112"/>
        <v>119564</v>
      </c>
    </row>
    <row r="60" spans="2:35" ht="12.75" customHeight="1">
      <c r="B60" s="8" t="s">
        <v>58</v>
      </c>
      <c r="C60" s="86">
        <f>'Historical Financials'!C67</f>
        <v>9691</v>
      </c>
      <c r="D60" s="86">
        <f>'Historical Financials'!D67</f>
        <v>20160</v>
      </c>
      <c r="E60" s="86">
        <f>'Historical Financials'!E67</f>
        <v>37164</v>
      </c>
      <c r="F60" s="86">
        <f>'Historical Financials'!F67</f>
        <v>36085</v>
      </c>
      <c r="G60" s="86"/>
      <c r="H60" s="86">
        <f>'Historical Financials'!H67</f>
        <v>11385</v>
      </c>
      <c r="I60" s="86">
        <f>'Historical Financials'!I67</f>
        <v>14291</v>
      </c>
      <c r="J60" s="86">
        <f>'Historical Financials'!J67</f>
        <v>19631</v>
      </c>
      <c r="K60" s="86">
        <f>'Historical Financials'!K67</f>
        <v>20160</v>
      </c>
      <c r="L60" s="86">
        <f>'Historical Financials'!L67</f>
        <v>20860</v>
      </c>
      <c r="M60" s="86">
        <f>'Historical Financials'!M67</f>
        <v>23628</v>
      </c>
      <c r="N60" s="86">
        <f>'Historical Financials'!N67</f>
        <v>28598</v>
      </c>
      <c r="O60" s="86">
        <f>'Historical Financials'!O67</f>
        <v>37164</v>
      </c>
      <c r="P60" s="86">
        <f>'Historical Financials'!P67</f>
        <v>34705</v>
      </c>
      <c r="Q60" s="86">
        <f>'Historical Financials'!Q67</f>
        <v>30788</v>
      </c>
      <c r="R60" s="86">
        <f>'Historical Financials'!R67</f>
        <v>32324</v>
      </c>
      <c r="S60" s="86">
        <f>'Historical Financials'!S67</f>
        <v>36085</v>
      </c>
      <c r="T60" s="86">
        <f>'Historical Financials'!T67</f>
        <v>48379</v>
      </c>
      <c r="U60" s="86">
        <f>'Historical Financials'!U67</f>
        <v>80634</v>
      </c>
      <c r="V60" s="86">
        <f>'Historical Financials'!V67</f>
        <v>139280</v>
      </c>
      <c r="X60" s="10">
        <f t="shared" si="101"/>
        <v>20160</v>
      </c>
      <c r="Y60" s="10">
        <f t="shared" si="102"/>
        <v>20860</v>
      </c>
      <c r="Z60" s="10">
        <f t="shared" si="103"/>
        <v>23628</v>
      </c>
      <c r="AA60" s="10">
        <f t="shared" si="104"/>
        <v>28598</v>
      </c>
      <c r="AB60" s="10">
        <f t="shared" si="105"/>
        <v>37164</v>
      </c>
      <c r="AC60" s="10">
        <f t="shared" si="106"/>
        <v>34705</v>
      </c>
      <c r="AD60" s="10">
        <f t="shared" si="107"/>
        <v>30788</v>
      </c>
      <c r="AE60" s="10">
        <f t="shared" si="108"/>
        <v>32324</v>
      </c>
      <c r="AF60" s="10">
        <f t="shared" si="109"/>
        <v>36085</v>
      </c>
      <c r="AG60" s="10">
        <f t="shared" si="110"/>
        <v>48379</v>
      </c>
      <c r="AH60" s="10">
        <f t="shared" si="111"/>
        <v>80634</v>
      </c>
      <c r="AI60" s="10">
        <f t="shared" si="112"/>
        <v>139280</v>
      </c>
    </row>
    <row r="61" spans="2:35" ht="12.75" customHeight="1">
      <c r="B61" s="8" t="s">
        <v>19</v>
      </c>
      <c r="C61" s="86">
        <f>'Historical Financials'!C74</f>
        <v>50798</v>
      </c>
      <c r="D61" s="86">
        <f>'Historical Financials'!D74</f>
        <v>29781</v>
      </c>
      <c r="E61" s="86">
        <f>'Historical Financials'!E74</f>
        <v>68586</v>
      </c>
      <c r="F61" s="86">
        <f>'Historical Financials'!F74</f>
        <v>124526</v>
      </c>
      <c r="G61" s="86"/>
      <c r="H61" s="86">
        <f>'Historical Financials'!H74</f>
        <v>37668</v>
      </c>
      <c r="I61" s="86">
        <f>'Historical Financials'!I74</f>
        <v>24314</v>
      </c>
      <c r="J61" s="86">
        <f>'Historical Financials'!J74</f>
        <v>30971</v>
      </c>
      <c r="K61" s="86">
        <f>'Historical Financials'!K74</f>
        <v>29781</v>
      </c>
      <c r="L61" s="86">
        <f>'Historical Financials'!L74</f>
        <v>35685</v>
      </c>
      <c r="M61" s="86">
        <f>'Historical Financials'!M74</f>
        <v>53606</v>
      </c>
      <c r="N61" s="86">
        <f>'Historical Financials'!N74</f>
        <v>66882</v>
      </c>
      <c r="O61" s="86">
        <f>'Historical Financials'!O74</f>
        <v>68586</v>
      </c>
      <c r="P61" s="86">
        <f>'Historical Financials'!P74</f>
        <v>64093</v>
      </c>
      <c r="Q61" s="86">
        <f>'Historical Financials'!Q74</f>
        <v>54161</v>
      </c>
      <c r="R61" s="86">
        <f>'Historical Financials'!R74</f>
        <v>62228</v>
      </c>
      <c r="S61" s="86">
        <f>'Historical Financials'!S74</f>
        <v>124526</v>
      </c>
      <c r="T61" s="86">
        <f>'Historical Financials'!T74</f>
        <v>85026</v>
      </c>
      <c r="U61" s="86">
        <f>'Historical Financials'!U74</f>
        <v>168162</v>
      </c>
      <c r="V61" s="86">
        <f>'Historical Financials'!V74</f>
        <v>2031549</v>
      </c>
      <c r="X61" s="10">
        <f t="shared" si="101"/>
        <v>29781</v>
      </c>
      <c r="Y61" s="10">
        <f t="shared" si="102"/>
        <v>35685</v>
      </c>
      <c r="Z61" s="10">
        <f t="shared" si="103"/>
        <v>53606</v>
      </c>
      <c r="AA61" s="10">
        <f t="shared" si="104"/>
        <v>66882</v>
      </c>
      <c r="AB61" s="10">
        <f t="shared" si="105"/>
        <v>68586</v>
      </c>
      <c r="AC61" s="10">
        <f t="shared" si="106"/>
        <v>64093</v>
      </c>
      <c r="AD61" s="10">
        <f t="shared" si="107"/>
        <v>54161</v>
      </c>
      <c r="AE61" s="10">
        <f t="shared" si="108"/>
        <v>62228</v>
      </c>
      <c r="AF61" s="10">
        <f t="shared" si="109"/>
        <v>124526</v>
      </c>
      <c r="AG61" s="10">
        <f t="shared" si="110"/>
        <v>85026</v>
      </c>
      <c r="AH61" s="10">
        <f t="shared" si="111"/>
        <v>168162</v>
      </c>
      <c r="AI61" s="10">
        <f t="shared" si="112"/>
        <v>2031549</v>
      </c>
    </row>
    <row r="62" spans="2:35" ht="5.0999999999999996" customHeight="1"/>
    <row r="63" spans="2:35" ht="12.75" customHeight="1">
      <c r="B63" s="29" t="s">
        <v>175</v>
      </c>
      <c r="C63" s="79">
        <v>0</v>
      </c>
      <c r="D63" s="79">
        <v>0</v>
      </c>
      <c r="E63" s="79">
        <v>0</v>
      </c>
      <c r="F63" s="79">
        <v>0</v>
      </c>
      <c r="H63" s="79">
        <v>0</v>
      </c>
      <c r="I63" s="79">
        <v>0</v>
      </c>
      <c r="J63" s="79">
        <v>0</v>
      </c>
      <c r="K63" s="118">
        <f>D63</f>
        <v>0</v>
      </c>
      <c r="L63" s="79">
        <v>0</v>
      </c>
      <c r="M63" s="79">
        <v>0</v>
      </c>
      <c r="N63" s="79">
        <v>0</v>
      </c>
      <c r="O63" s="118">
        <f>E63</f>
        <v>0</v>
      </c>
      <c r="P63" s="79">
        <v>0</v>
      </c>
      <c r="Q63" s="79">
        <v>0</v>
      </c>
      <c r="R63" s="79">
        <v>0</v>
      </c>
      <c r="S63" s="118">
        <f>F63</f>
        <v>0</v>
      </c>
      <c r="T63" s="79">
        <v>0</v>
      </c>
      <c r="U63" s="79">
        <v>0</v>
      </c>
      <c r="V63" s="79">
        <v>0</v>
      </c>
      <c r="W63" s="119"/>
      <c r="X63" s="10">
        <f t="shared" ref="X63:AI63" si="125">K63</f>
        <v>0</v>
      </c>
      <c r="Y63" s="10">
        <f t="shared" si="125"/>
        <v>0</v>
      </c>
      <c r="Z63" s="10">
        <f t="shared" si="125"/>
        <v>0</v>
      </c>
      <c r="AA63" s="10">
        <f t="shared" si="125"/>
        <v>0</v>
      </c>
      <c r="AB63" s="10">
        <f t="shared" si="125"/>
        <v>0</v>
      </c>
      <c r="AC63" s="10">
        <f t="shared" si="125"/>
        <v>0</v>
      </c>
      <c r="AD63" s="10">
        <f t="shared" si="125"/>
        <v>0</v>
      </c>
      <c r="AE63" s="10">
        <f t="shared" si="125"/>
        <v>0</v>
      </c>
      <c r="AF63" s="10">
        <f t="shared" si="125"/>
        <v>0</v>
      </c>
      <c r="AG63" s="10">
        <f t="shared" si="125"/>
        <v>0</v>
      </c>
      <c r="AH63" s="10">
        <f t="shared" si="125"/>
        <v>0</v>
      </c>
      <c r="AI63" s="10">
        <f t="shared" si="125"/>
        <v>0</v>
      </c>
    </row>
    <row r="64" spans="2:35" ht="12.75" customHeight="1">
      <c r="B64" s="12" t="s">
        <v>25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>SUM(H63:H63)</f>
        <v>0</v>
      </c>
      <c r="I64" s="13">
        <f>SUM(I63:I63)</f>
        <v>0</v>
      </c>
      <c r="J64" s="13">
        <f>SUM(J63:J63)</f>
        <v>0</v>
      </c>
      <c r="K64" s="13">
        <f>SUM(K63:K63)</f>
        <v>0</v>
      </c>
      <c r="L64" s="13">
        <f>SUM(L63:L63)</f>
        <v>0</v>
      </c>
      <c r="M64" s="13">
        <f>SUM(M63:M63)</f>
        <v>0</v>
      </c>
      <c r="N64" s="13">
        <f>SUM(N63:N63)</f>
        <v>0</v>
      </c>
      <c r="O64" s="13">
        <f>SUM(O63:O63)</f>
        <v>0</v>
      </c>
      <c r="P64" s="13">
        <f>SUM(P63:P63)</f>
        <v>0</v>
      </c>
      <c r="Q64" s="13">
        <f>SUM(Q63:Q63)</f>
        <v>0</v>
      </c>
      <c r="R64" s="13">
        <f>SUM(R63:R63)</f>
        <v>0</v>
      </c>
      <c r="S64" s="13">
        <f>SUM(S63:S63)</f>
        <v>0</v>
      </c>
      <c r="T64" s="13">
        <f>SUM(T63:T63)</f>
        <v>0</v>
      </c>
      <c r="U64" s="13">
        <f>SUM(U63:U63)</f>
        <v>0</v>
      </c>
      <c r="V64" s="13">
        <f>SUM(V63:V63)</f>
        <v>0</v>
      </c>
      <c r="X64" s="13">
        <f>SUM(X63:X63)</f>
        <v>0</v>
      </c>
      <c r="Y64" s="13">
        <f>SUM(Y63:Y63)</f>
        <v>0</v>
      </c>
      <c r="Z64" s="13">
        <f>SUM(Z63:Z63)</f>
        <v>0</v>
      </c>
      <c r="AA64" s="13">
        <f>SUM(AA63:AA63)</f>
        <v>0</v>
      </c>
      <c r="AB64" s="13">
        <f>SUM(AB63:AB63)</f>
        <v>0</v>
      </c>
      <c r="AC64" s="13">
        <f>SUM(AC63:AC63)</f>
        <v>0</v>
      </c>
      <c r="AD64" s="13">
        <f>SUM(AD63:AD63)</f>
        <v>0</v>
      </c>
      <c r="AE64" s="13">
        <f>SUM(AE63:AE63)</f>
        <v>0</v>
      </c>
      <c r="AF64" s="13">
        <f>SUM(AF63:AF63)</f>
        <v>0</v>
      </c>
      <c r="AG64" s="13">
        <f>SUM(AG63:AG63)</f>
        <v>0</v>
      </c>
      <c r="AH64" s="13">
        <f>SUM(AH63:AH63)</f>
        <v>0</v>
      </c>
      <c r="AI64" s="13">
        <f>SUM(AI63:AI63)</f>
        <v>0</v>
      </c>
    </row>
    <row r="65" spans="1:35" ht="5.0999999999999996" customHeight="1"/>
    <row r="66" spans="1:35" ht="12.75" customHeight="1">
      <c r="B66" s="8" t="s">
        <v>59</v>
      </c>
      <c r="C66" s="86">
        <f>'Historical Financials'!C81</f>
        <v>591230</v>
      </c>
      <c r="D66" s="86">
        <f>'Historical Financials'!D81</f>
        <v>568211</v>
      </c>
      <c r="E66" s="86">
        <f>'Historical Financials'!E81</f>
        <v>484994</v>
      </c>
      <c r="F66" s="86">
        <f>'Historical Financials'!F81</f>
        <v>383862</v>
      </c>
      <c r="H66" s="86">
        <f>'Historical Financials'!H81</f>
        <v>589783</v>
      </c>
      <c r="I66" s="86">
        <f>'Historical Financials'!I81</f>
        <v>592678</v>
      </c>
      <c r="J66" s="86">
        <f>'Historical Financials'!J81</f>
        <v>575630</v>
      </c>
      <c r="K66" s="86">
        <f>'Historical Financials'!K81</f>
        <v>568211</v>
      </c>
      <c r="L66" s="86">
        <f>'Historical Financials'!L81</f>
        <v>552237</v>
      </c>
      <c r="M66" s="86">
        <f>'Historical Financials'!M81</f>
        <v>523246</v>
      </c>
      <c r="N66" s="86">
        <f>'Historical Financials'!N81</f>
        <v>498496</v>
      </c>
      <c r="O66" s="86">
        <f>'Historical Financials'!O81</f>
        <v>484994</v>
      </c>
      <c r="P66" s="86">
        <f>'Historical Financials'!P81</f>
        <v>479769</v>
      </c>
      <c r="Q66" s="86">
        <f>'Historical Financials'!Q81</f>
        <v>463274</v>
      </c>
      <c r="R66" s="86">
        <f>'Historical Financials'!R81</f>
        <v>435683</v>
      </c>
      <c r="S66" s="86">
        <f>'Historical Financials'!S81</f>
        <v>383862</v>
      </c>
      <c r="T66" s="86">
        <f>'Historical Financials'!T81</f>
        <v>765048</v>
      </c>
      <c r="U66" s="86">
        <f>'Historical Financials'!U81</f>
        <v>1178446</v>
      </c>
      <c r="V66" s="86">
        <f>'Historical Financials'!V81</f>
        <v>2287799</v>
      </c>
      <c r="X66" s="10">
        <f t="shared" ref="X66:AH66" si="126">K66</f>
        <v>568211</v>
      </c>
      <c r="Y66" s="10">
        <f t="shared" si="126"/>
        <v>552237</v>
      </c>
      <c r="Z66" s="10">
        <f t="shared" si="126"/>
        <v>523246</v>
      </c>
      <c r="AA66" s="10">
        <f t="shared" si="126"/>
        <v>498496</v>
      </c>
      <c r="AB66" s="10">
        <f t="shared" si="126"/>
        <v>484994</v>
      </c>
      <c r="AC66" s="10">
        <f t="shared" si="126"/>
        <v>479769</v>
      </c>
      <c r="AD66" s="10">
        <f t="shared" si="126"/>
        <v>463274</v>
      </c>
      <c r="AE66" s="10">
        <f t="shared" si="126"/>
        <v>435683</v>
      </c>
      <c r="AF66" s="10">
        <f t="shared" si="126"/>
        <v>383862</v>
      </c>
      <c r="AG66" s="10">
        <f t="shared" si="126"/>
        <v>765048</v>
      </c>
      <c r="AH66" s="10">
        <f t="shared" si="126"/>
        <v>1178446</v>
      </c>
      <c r="AI66" s="10">
        <f>V66</f>
        <v>2287799</v>
      </c>
    </row>
    <row r="67" spans="1:35" ht="12.75" customHeight="1">
      <c r="B67" s="12" t="s">
        <v>60</v>
      </c>
      <c r="C67" s="13">
        <f>SUM(C64:C66)</f>
        <v>591230</v>
      </c>
      <c r="D67" s="13">
        <f>SUM(D64:D66)</f>
        <v>568211</v>
      </c>
      <c r="E67" s="13">
        <f>SUM(E64:E66)</f>
        <v>484994</v>
      </c>
      <c r="F67" s="13">
        <f>SUM(F64:F66)</f>
        <v>383862</v>
      </c>
      <c r="H67" s="13">
        <f t="shared" ref="H67" si="127">SUM(H64:H66)</f>
        <v>589783</v>
      </c>
      <c r="I67" s="13">
        <f t="shared" ref="I67:R67" si="128">SUM(I64:I66)</f>
        <v>592678</v>
      </c>
      <c r="J67" s="13">
        <f t="shared" si="128"/>
        <v>575630</v>
      </c>
      <c r="K67" s="13">
        <f t="shared" si="128"/>
        <v>568211</v>
      </c>
      <c r="L67" s="13">
        <f t="shared" si="128"/>
        <v>552237</v>
      </c>
      <c r="M67" s="13">
        <f t="shared" si="128"/>
        <v>523246</v>
      </c>
      <c r="N67" s="13">
        <f t="shared" si="128"/>
        <v>498496</v>
      </c>
      <c r="O67" s="13">
        <f t="shared" si="128"/>
        <v>484994</v>
      </c>
      <c r="P67" s="13">
        <f t="shared" si="128"/>
        <v>479769</v>
      </c>
      <c r="Q67" s="13">
        <f t="shared" si="128"/>
        <v>463274</v>
      </c>
      <c r="R67" s="13">
        <f t="shared" si="128"/>
        <v>435683</v>
      </c>
      <c r="S67" s="13">
        <f>SUM(S64:S66)</f>
        <v>383862</v>
      </c>
      <c r="T67" s="13">
        <f>SUM(T64:T66)</f>
        <v>765048</v>
      </c>
      <c r="U67" s="13">
        <f>SUM(U64:U66)</f>
        <v>1178446</v>
      </c>
      <c r="V67" s="13">
        <f>SUM(V64:V66)</f>
        <v>2287799</v>
      </c>
      <c r="X67" s="13">
        <f t="shared" ref="X67:AH67" si="129">SUM(X64:X66)</f>
        <v>568211</v>
      </c>
      <c r="Y67" s="13">
        <f t="shared" si="129"/>
        <v>552237</v>
      </c>
      <c r="Z67" s="13">
        <f t="shared" si="129"/>
        <v>523246</v>
      </c>
      <c r="AA67" s="13">
        <f t="shared" si="129"/>
        <v>498496</v>
      </c>
      <c r="AB67" s="13">
        <f t="shared" si="129"/>
        <v>484994</v>
      </c>
      <c r="AC67" s="13">
        <f t="shared" si="129"/>
        <v>479769</v>
      </c>
      <c r="AD67" s="13">
        <f t="shared" si="129"/>
        <v>463274</v>
      </c>
      <c r="AE67" s="13">
        <f t="shared" si="129"/>
        <v>435683</v>
      </c>
      <c r="AF67" s="13">
        <f t="shared" si="129"/>
        <v>383862</v>
      </c>
      <c r="AG67" s="13">
        <f t="shared" si="129"/>
        <v>765048</v>
      </c>
      <c r="AH67" s="13">
        <f t="shared" si="129"/>
        <v>1178446</v>
      </c>
      <c r="AI67" s="13">
        <f>SUM(AI64:AI66)</f>
        <v>2287799</v>
      </c>
    </row>
    <row r="68" spans="1:35" ht="5.0999999999999996" customHeight="1"/>
    <row r="69" spans="1:35" ht="12.75" customHeight="1">
      <c r="A69" s="5"/>
      <c r="B69" s="31" t="s">
        <v>91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61</v>
      </c>
      <c r="C71" s="157" t="s">
        <v>92</v>
      </c>
      <c r="D71" s="157" t="s">
        <v>92</v>
      </c>
      <c r="E71" s="157" t="s">
        <v>92</v>
      </c>
      <c r="F71" s="157" t="s">
        <v>92</v>
      </c>
      <c r="H71" s="154"/>
      <c r="I71" s="154"/>
      <c r="J71" s="154"/>
      <c r="K71" s="154"/>
      <c r="L71" s="157" t="s">
        <v>92</v>
      </c>
      <c r="M71" s="157" t="s">
        <v>92</v>
      </c>
      <c r="N71" s="157" t="s">
        <v>92</v>
      </c>
      <c r="O71" s="157" t="s">
        <v>92</v>
      </c>
      <c r="P71" s="157" t="s">
        <v>92</v>
      </c>
      <c r="Q71" s="157" t="s">
        <v>92</v>
      </c>
      <c r="R71" s="157" t="s">
        <v>92</v>
      </c>
      <c r="S71" s="157" t="s">
        <v>92</v>
      </c>
      <c r="T71" s="157" t="s">
        <v>92</v>
      </c>
      <c r="U71" s="157" t="s">
        <v>92</v>
      </c>
      <c r="V71" s="157" t="s">
        <v>92</v>
      </c>
      <c r="W71" s="157"/>
      <c r="X71" s="157" t="s">
        <v>92</v>
      </c>
      <c r="Y71" s="157" t="s">
        <v>92</v>
      </c>
      <c r="Z71" s="157" t="s">
        <v>92</v>
      </c>
      <c r="AA71" s="157" t="s">
        <v>92</v>
      </c>
      <c r="AB71" s="157" t="s">
        <v>92</v>
      </c>
      <c r="AC71" s="157" t="s">
        <v>92</v>
      </c>
      <c r="AD71" s="157" t="s">
        <v>92</v>
      </c>
      <c r="AE71" s="157" t="s">
        <v>92</v>
      </c>
      <c r="AF71" s="157" t="s">
        <v>92</v>
      </c>
      <c r="AG71" s="157" t="s">
        <v>92</v>
      </c>
      <c r="AH71" s="157" t="s">
        <v>92</v>
      </c>
      <c r="AI71" s="157" t="s">
        <v>92</v>
      </c>
    </row>
    <row r="72" spans="1:35" ht="12.75" customHeight="1">
      <c r="B72" s="8" t="s">
        <v>62</v>
      </c>
      <c r="C72" s="157" t="s">
        <v>92</v>
      </c>
      <c r="D72" s="157" t="s">
        <v>92</v>
      </c>
      <c r="E72" s="157" t="s">
        <v>92</v>
      </c>
      <c r="F72" s="157" t="s">
        <v>92</v>
      </c>
      <c r="H72" s="154"/>
      <c r="I72" s="154"/>
      <c r="J72" s="154"/>
      <c r="K72" s="154"/>
      <c r="L72" s="157" t="s">
        <v>92</v>
      </c>
      <c r="M72" s="157" t="s">
        <v>92</v>
      </c>
      <c r="N72" s="157" t="s">
        <v>92</v>
      </c>
      <c r="O72" s="157" t="s">
        <v>92</v>
      </c>
      <c r="P72" s="157" t="s">
        <v>92</v>
      </c>
      <c r="Q72" s="157" t="s">
        <v>92</v>
      </c>
      <c r="R72" s="157" t="s">
        <v>92</v>
      </c>
      <c r="S72" s="157" t="s">
        <v>92</v>
      </c>
      <c r="T72" s="157" t="s">
        <v>92</v>
      </c>
      <c r="U72" s="157" t="s">
        <v>92</v>
      </c>
      <c r="V72" s="157" t="s">
        <v>92</v>
      </c>
      <c r="W72" s="157"/>
      <c r="X72" s="157" t="s">
        <v>92</v>
      </c>
      <c r="Y72" s="157" t="s">
        <v>92</v>
      </c>
      <c r="Z72" s="157" t="s">
        <v>92</v>
      </c>
      <c r="AA72" s="157" t="s">
        <v>92</v>
      </c>
      <c r="AB72" s="157" t="s">
        <v>92</v>
      </c>
      <c r="AC72" s="157" t="s">
        <v>92</v>
      </c>
      <c r="AD72" s="157" t="s">
        <v>92</v>
      </c>
      <c r="AE72" s="157" t="s">
        <v>92</v>
      </c>
      <c r="AF72" s="157" t="s">
        <v>92</v>
      </c>
      <c r="AG72" s="157" t="s">
        <v>92</v>
      </c>
      <c r="AH72" s="157" t="s">
        <v>92</v>
      </c>
      <c r="AI72" s="157" t="s">
        <v>92</v>
      </c>
    </row>
    <row r="73" spans="1:35" ht="12.75" customHeight="1">
      <c r="B73" s="8" t="s">
        <v>63</v>
      </c>
      <c r="C73" s="157" t="s">
        <v>92</v>
      </c>
      <c r="D73" s="157" t="s">
        <v>92</v>
      </c>
      <c r="E73" s="157" t="s">
        <v>92</v>
      </c>
      <c r="F73" s="157" t="s">
        <v>92</v>
      </c>
      <c r="H73" s="154"/>
      <c r="I73" s="154"/>
      <c r="J73" s="154"/>
      <c r="K73" s="154"/>
      <c r="L73" s="157" t="s">
        <v>92</v>
      </c>
      <c r="M73" s="157" t="s">
        <v>92</v>
      </c>
      <c r="N73" s="157" t="s">
        <v>92</v>
      </c>
      <c r="O73" s="157" t="s">
        <v>92</v>
      </c>
      <c r="P73" s="157" t="s">
        <v>92</v>
      </c>
      <c r="Q73" s="157" t="s">
        <v>92</v>
      </c>
      <c r="R73" s="157" t="s">
        <v>92</v>
      </c>
      <c r="S73" s="157" t="s">
        <v>92</v>
      </c>
      <c r="T73" s="157" t="s">
        <v>92</v>
      </c>
      <c r="U73" s="157" t="s">
        <v>92</v>
      </c>
      <c r="V73" s="157" t="s">
        <v>92</v>
      </c>
      <c r="X73" s="157" t="s">
        <v>92</v>
      </c>
      <c r="Y73" s="157" t="s">
        <v>92</v>
      </c>
      <c r="Z73" s="157" t="s">
        <v>92</v>
      </c>
      <c r="AA73" s="157" t="s">
        <v>92</v>
      </c>
      <c r="AB73" s="157" t="s">
        <v>92</v>
      </c>
      <c r="AC73" s="157" t="s">
        <v>92</v>
      </c>
      <c r="AD73" s="157" t="s">
        <v>92</v>
      </c>
      <c r="AE73" s="157" t="s">
        <v>92</v>
      </c>
      <c r="AF73" s="157" t="s">
        <v>92</v>
      </c>
      <c r="AG73" s="157" t="s">
        <v>92</v>
      </c>
      <c r="AH73" s="157" t="s">
        <v>92</v>
      </c>
      <c r="AI73" s="157" t="s">
        <v>92</v>
      </c>
    </row>
    <row r="74" spans="1:35" ht="12.75" customHeight="1">
      <c r="B74" s="8" t="s">
        <v>64</v>
      </c>
      <c r="C74" s="157" t="s">
        <v>92</v>
      </c>
      <c r="D74" s="157" t="s">
        <v>92</v>
      </c>
      <c r="E74" s="157" t="s">
        <v>92</v>
      </c>
      <c r="F74" s="157" t="s">
        <v>92</v>
      </c>
      <c r="H74" s="154"/>
      <c r="I74" s="154"/>
      <c r="J74" s="154"/>
      <c r="K74" s="154"/>
      <c r="L74" s="157" t="s">
        <v>92</v>
      </c>
      <c r="M74" s="157" t="s">
        <v>92</v>
      </c>
      <c r="N74" s="157" t="s">
        <v>92</v>
      </c>
      <c r="O74" s="157" t="s">
        <v>92</v>
      </c>
      <c r="P74" s="157" t="s">
        <v>92</v>
      </c>
      <c r="Q74" s="157" t="s">
        <v>92</v>
      </c>
      <c r="R74" s="157" t="s">
        <v>92</v>
      </c>
      <c r="S74" s="157" t="s">
        <v>92</v>
      </c>
      <c r="T74" s="157" t="s">
        <v>92</v>
      </c>
      <c r="U74" s="157" t="s">
        <v>92</v>
      </c>
      <c r="V74" s="157" t="s">
        <v>92</v>
      </c>
      <c r="X74" s="157" t="s">
        <v>92</v>
      </c>
      <c r="Y74" s="157" t="s">
        <v>92</v>
      </c>
      <c r="Z74" s="157" t="s">
        <v>92</v>
      </c>
      <c r="AA74" s="157" t="s">
        <v>92</v>
      </c>
      <c r="AB74" s="157" t="s">
        <v>92</v>
      </c>
      <c r="AC74" s="157" t="s">
        <v>92</v>
      </c>
      <c r="AD74" s="157" t="s">
        <v>92</v>
      </c>
      <c r="AE74" s="157" t="s">
        <v>92</v>
      </c>
      <c r="AF74" s="157" t="s">
        <v>92</v>
      </c>
      <c r="AG74" s="157" t="s">
        <v>92</v>
      </c>
      <c r="AH74" s="157" t="s">
        <v>92</v>
      </c>
      <c r="AI74" s="157" t="s">
        <v>92</v>
      </c>
    </row>
    <row r="75" spans="1:35" ht="12.75" customHeight="1">
      <c r="B75" s="8" t="s">
        <v>65</v>
      </c>
      <c r="C75" s="157" t="s">
        <v>92</v>
      </c>
      <c r="D75" s="157" t="s">
        <v>92</v>
      </c>
      <c r="E75" s="157" t="s">
        <v>92</v>
      </c>
      <c r="F75" s="157" t="s">
        <v>92</v>
      </c>
      <c r="H75" s="154"/>
      <c r="I75" s="154"/>
      <c r="J75" s="154"/>
      <c r="K75" s="154"/>
      <c r="L75" s="157" t="s">
        <v>92</v>
      </c>
      <c r="M75" s="157" t="s">
        <v>92</v>
      </c>
      <c r="N75" s="157" t="s">
        <v>92</v>
      </c>
      <c r="O75" s="157" t="s">
        <v>92</v>
      </c>
      <c r="P75" s="157" t="s">
        <v>92</v>
      </c>
      <c r="Q75" s="157" t="s">
        <v>92</v>
      </c>
      <c r="R75" s="157" t="s">
        <v>92</v>
      </c>
      <c r="S75" s="157" t="s">
        <v>92</v>
      </c>
      <c r="T75" s="157" t="s">
        <v>92</v>
      </c>
      <c r="U75" s="157" t="s">
        <v>92</v>
      </c>
      <c r="V75" s="157" t="s">
        <v>92</v>
      </c>
      <c r="X75" s="157" t="s">
        <v>92</v>
      </c>
      <c r="Y75" s="157" t="s">
        <v>92</v>
      </c>
      <c r="Z75" s="157" t="s">
        <v>92</v>
      </c>
      <c r="AA75" s="157" t="s">
        <v>92</v>
      </c>
      <c r="AB75" s="157" t="s">
        <v>92</v>
      </c>
      <c r="AC75" s="157" t="s">
        <v>92</v>
      </c>
      <c r="AD75" s="157" t="s">
        <v>92</v>
      </c>
      <c r="AE75" s="157" t="s">
        <v>92</v>
      </c>
      <c r="AF75" s="157" t="s">
        <v>92</v>
      </c>
      <c r="AG75" s="157" t="s">
        <v>92</v>
      </c>
      <c r="AH75" s="157" t="s">
        <v>92</v>
      </c>
      <c r="AI75" s="157" t="s">
        <v>92</v>
      </c>
    </row>
    <row r="76" spans="1:35" ht="12.75" customHeight="1">
      <c r="B76" s="8" t="s">
        <v>66</v>
      </c>
      <c r="C76" s="157" t="s">
        <v>92</v>
      </c>
      <c r="D76" s="157" t="s">
        <v>92</v>
      </c>
      <c r="E76" s="157" t="s">
        <v>92</v>
      </c>
      <c r="F76" s="157" t="s">
        <v>92</v>
      </c>
      <c r="H76" s="154"/>
      <c r="I76" s="154"/>
      <c r="J76" s="154"/>
      <c r="K76" s="154"/>
      <c r="L76" s="157" t="s">
        <v>92</v>
      </c>
      <c r="M76" s="157" t="s">
        <v>92</v>
      </c>
      <c r="N76" s="157" t="s">
        <v>92</v>
      </c>
      <c r="O76" s="157" t="s">
        <v>92</v>
      </c>
      <c r="P76" s="157" t="s">
        <v>92</v>
      </c>
      <c r="Q76" s="157" t="s">
        <v>92</v>
      </c>
      <c r="R76" s="157" t="s">
        <v>92</v>
      </c>
      <c r="S76" s="157" t="s">
        <v>92</v>
      </c>
      <c r="T76" s="157" t="s">
        <v>92</v>
      </c>
      <c r="U76" s="157" t="s">
        <v>92</v>
      </c>
      <c r="V76" s="157" t="s">
        <v>92</v>
      </c>
      <c r="X76" s="157" t="s">
        <v>92</v>
      </c>
      <c r="Y76" s="157" t="s">
        <v>92</v>
      </c>
      <c r="Z76" s="157" t="s">
        <v>92</v>
      </c>
      <c r="AA76" s="157" t="s">
        <v>92</v>
      </c>
      <c r="AB76" s="157" t="s">
        <v>92</v>
      </c>
      <c r="AC76" s="157" t="s">
        <v>92</v>
      </c>
      <c r="AD76" s="157" t="s">
        <v>92</v>
      </c>
      <c r="AE76" s="157" t="s">
        <v>92</v>
      </c>
      <c r="AF76" s="157" t="s">
        <v>92</v>
      </c>
      <c r="AG76" s="157" t="s">
        <v>92</v>
      </c>
      <c r="AH76" s="157" t="s">
        <v>92</v>
      </c>
      <c r="AI76" s="157" t="s">
        <v>92</v>
      </c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2025-11-06T05:06:11Z</dcterms:modified>
</cp:coreProperties>
</file>