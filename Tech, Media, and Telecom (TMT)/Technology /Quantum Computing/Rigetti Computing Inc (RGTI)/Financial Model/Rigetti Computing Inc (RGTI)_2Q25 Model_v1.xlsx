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elix\AppData\Roaming\Microsoft\Excel\Apple%20Inc%20(APPL)_LTM%203Q25%20Model_v1%20(1)312142813346839800\Models\"/>
    </mc:Choice>
  </mc:AlternateContent>
  <xr:revisionPtr revIDLastSave="0" documentId="8_{55BBDB36-BAE2-4EFA-8D1A-C58ADD0672F0}" xr6:coauthVersionLast="47" xr6:coauthVersionMax="47" xr10:uidLastSave="{00000000-0000-0000-0000-000000000000}"/>
  <bookViews>
    <workbookView xWindow="-120" yWindow="-120" windowWidth="29040" windowHeight="15720" activeTab="1" xr2:uid="{BC9106CE-9107-4097-8948-317996376CB5}"/>
  </bookViews>
  <sheets>
    <sheet name="Historical Financials" sheetId="8" r:id="rId1"/>
    <sheet name="Revenue Drivers" sheetId="10" r:id="rId2"/>
    <sheet name="FCF" sheetId="9" r:id="rId3"/>
  </sheets>
  <externalReferences>
    <externalReference r:id="rId4"/>
  </externalReferenc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0" i="8" l="1"/>
  <c r="I124" i="8"/>
  <c r="I119" i="8"/>
  <c r="J119" i="8" s="1"/>
  <c r="I104" i="8"/>
  <c r="I103" i="8"/>
  <c r="H18" i="8"/>
  <c r="I18" i="8"/>
  <c r="H140" i="8"/>
  <c r="U129" i="8"/>
  <c r="AG132" i="8"/>
  <c r="AI132" i="8" s="1"/>
  <c r="AG130" i="8"/>
  <c r="AI130" i="8" s="1"/>
  <c r="AG129" i="8"/>
  <c r="AI129" i="8" s="1"/>
  <c r="U125" i="8"/>
  <c r="U124" i="8"/>
  <c r="U119" i="8"/>
  <c r="U118" i="8"/>
  <c r="AG118" i="8" s="1"/>
  <c r="U117" i="8"/>
  <c r="AG117" i="8" s="1"/>
  <c r="U116" i="8"/>
  <c r="U115" i="8"/>
  <c r="AG115" i="8" s="1"/>
  <c r="AI115" i="8" s="1"/>
  <c r="U111" i="8"/>
  <c r="U107" i="8"/>
  <c r="AG107" i="8" s="1"/>
  <c r="AI107" i="8" s="1"/>
  <c r="U104" i="8"/>
  <c r="U103" i="8"/>
  <c r="U102" i="8"/>
  <c r="AG102" i="8" s="1"/>
  <c r="U101" i="8"/>
  <c r="AG101" i="8" s="1"/>
  <c r="T129" i="8"/>
  <c r="T125" i="8"/>
  <c r="J110" i="8"/>
  <c r="K110" i="8" s="1"/>
  <c r="I110" i="8"/>
  <c r="AF132" i="8"/>
  <c r="AE132" i="8"/>
  <c r="AD132" i="8"/>
  <c r="AC132" i="8"/>
  <c r="AG131" i="8"/>
  <c r="AF131" i="8"/>
  <c r="AE131" i="8"/>
  <c r="AD131" i="8"/>
  <c r="AC131" i="8"/>
  <c r="AF130" i="8"/>
  <c r="AE130" i="8"/>
  <c r="AD130" i="8"/>
  <c r="AC130" i="8"/>
  <c r="AF129" i="8"/>
  <c r="AE129" i="8"/>
  <c r="AD129" i="8"/>
  <c r="AC129" i="8"/>
  <c r="AE125" i="8"/>
  <c r="AD125" i="8"/>
  <c r="AC125" i="8"/>
  <c r="AG124" i="8"/>
  <c r="AF124" i="8"/>
  <c r="AE124" i="8"/>
  <c r="AD124" i="8"/>
  <c r="AC124" i="8"/>
  <c r="AD120" i="8"/>
  <c r="AC120" i="8"/>
  <c r="AG119" i="8"/>
  <c r="AF119" i="8"/>
  <c r="AE119" i="8"/>
  <c r="AD119" i="8"/>
  <c r="AC119" i="8"/>
  <c r="AF118" i="8"/>
  <c r="AE118" i="8"/>
  <c r="AD118" i="8"/>
  <c r="AC118" i="8"/>
  <c r="AF117" i="8"/>
  <c r="AE117" i="8"/>
  <c r="AD117" i="8"/>
  <c r="AC117" i="8"/>
  <c r="AG116" i="8"/>
  <c r="AF116" i="8"/>
  <c r="AE116" i="8"/>
  <c r="AD116" i="8"/>
  <c r="AC116" i="8"/>
  <c r="AF115" i="8"/>
  <c r="AE115" i="8"/>
  <c r="AD115" i="8"/>
  <c r="AC115" i="8"/>
  <c r="AG112" i="8"/>
  <c r="AF112" i="8"/>
  <c r="AE112" i="8"/>
  <c r="AD112" i="8"/>
  <c r="AG111" i="8"/>
  <c r="AI111" i="8" s="1"/>
  <c r="AF111" i="8"/>
  <c r="AE111" i="8"/>
  <c r="AD111" i="8"/>
  <c r="AC111" i="8"/>
  <c r="AG109" i="8"/>
  <c r="AI109" i="8" s="1"/>
  <c r="AF109" i="8"/>
  <c r="AE109" i="8"/>
  <c r="AD109" i="8"/>
  <c r="AC109" i="8"/>
  <c r="AG108" i="8"/>
  <c r="AI108" i="8" s="1"/>
  <c r="AF108" i="8"/>
  <c r="AE108" i="8"/>
  <c r="AD108" i="8"/>
  <c r="AC108" i="8"/>
  <c r="AF107" i="8"/>
  <c r="AE107" i="8"/>
  <c r="AD107" i="8"/>
  <c r="AC107" i="8"/>
  <c r="AG106" i="8"/>
  <c r="AI106" i="8" s="1"/>
  <c r="AF106" i="8"/>
  <c r="AE106" i="8"/>
  <c r="AD106" i="8"/>
  <c r="AC106" i="8"/>
  <c r="AG105" i="8"/>
  <c r="AI105" i="8" s="1"/>
  <c r="AF105" i="8"/>
  <c r="AE105" i="8"/>
  <c r="AD105" i="8"/>
  <c r="AC105" i="8"/>
  <c r="AG104" i="8"/>
  <c r="AI104" i="8" s="1"/>
  <c r="AF104" i="8"/>
  <c r="AE104" i="8"/>
  <c r="AD104" i="8"/>
  <c r="AC104" i="8"/>
  <c r="AG103" i="8"/>
  <c r="AF103" i="8"/>
  <c r="AE103" i="8"/>
  <c r="AD103" i="8"/>
  <c r="AC103" i="8"/>
  <c r="AF102" i="8"/>
  <c r="AE102" i="8"/>
  <c r="AD102" i="8"/>
  <c r="AC102" i="8"/>
  <c r="AG98" i="8"/>
  <c r="AF98" i="8"/>
  <c r="AE98" i="8"/>
  <c r="AD98" i="8"/>
  <c r="AC98" i="8"/>
  <c r="AF101" i="8"/>
  <c r="AE101" i="8"/>
  <c r="AD101" i="8"/>
  <c r="AC101" i="8"/>
  <c r="AI85" i="8"/>
  <c r="AI84" i="8"/>
  <c r="AI83" i="8"/>
  <c r="AI82" i="8"/>
  <c r="AI81" i="8"/>
  <c r="AI80" i="8"/>
  <c r="AI77" i="8"/>
  <c r="AI76" i="8"/>
  <c r="AI75" i="8"/>
  <c r="AI74" i="8"/>
  <c r="AI73" i="8"/>
  <c r="AI72" i="8"/>
  <c r="AI68" i="8"/>
  <c r="AI67" i="8"/>
  <c r="AI66" i="8"/>
  <c r="AI65" i="8"/>
  <c r="AI64" i="8"/>
  <c r="AI59" i="8"/>
  <c r="AI58" i="8"/>
  <c r="AI57" i="8"/>
  <c r="AI56" i="8"/>
  <c r="AI55" i="8"/>
  <c r="AI54" i="8"/>
  <c r="AI50" i="8"/>
  <c r="AI49" i="8"/>
  <c r="AI48" i="8"/>
  <c r="AI47" i="8"/>
  <c r="AI27" i="8"/>
  <c r="AI26" i="8"/>
  <c r="AI25" i="8"/>
  <c r="AI24" i="8"/>
  <c r="AI23" i="8"/>
  <c r="U50" i="8"/>
  <c r="AG85" i="8"/>
  <c r="AF85" i="8"/>
  <c r="AE85" i="8"/>
  <c r="AD85" i="8"/>
  <c r="AC85" i="8"/>
  <c r="AG84" i="8"/>
  <c r="AF84" i="8"/>
  <c r="AE84" i="8"/>
  <c r="AD84" i="8"/>
  <c r="AC84" i="8"/>
  <c r="AG83" i="8"/>
  <c r="AF83" i="8"/>
  <c r="AE83" i="8"/>
  <c r="AD83" i="8"/>
  <c r="AC83" i="8"/>
  <c r="AG82" i="8"/>
  <c r="AF82" i="8"/>
  <c r="AE82" i="8"/>
  <c r="AD82" i="8"/>
  <c r="AC82" i="8"/>
  <c r="AG81" i="8"/>
  <c r="AF81" i="8"/>
  <c r="AE81" i="8"/>
  <c r="AD81" i="8"/>
  <c r="AC81" i="8"/>
  <c r="AG80" i="8"/>
  <c r="AF80" i="8"/>
  <c r="AE80" i="8"/>
  <c r="AD80" i="8"/>
  <c r="AC80" i="8"/>
  <c r="AG77" i="8"/>
  <c r="AF77" i="8"/>
  <c r="AE77" i="8"/>
  <c r="AD77" i="8"/>
  <c r="AC77" i="8"/>
  <c r="AG76" i="8"/>
  <c r="AF76" i="8"/>
  <c r="AE76" i="8"/>
  <c r="AD76" i="8"/>
  <c r="AC76" i="8"/>
  <c r="AG75" i="8"/>
  <c r="AF75" i="8"/>
  <c r="AE75" i="8"/>
  <c r="AD75" i="8"/>
  <c r="AC75" i="8"/>
  <c r="AG74" i="8"/>
  <c r="AF74" i="8"/>
  <c r="AE74" i="8"/>
  <c r="AD74" i="8"/>
  <c r="AC74" i="8"/>
  <c r="AG73" i="8"/>
  <c r="AF73" i="8"/>
  <c r="AE73" i="8"/>
  <c r="AD73" i="8"/>
  <c r="AC73" i="8"/>
  <c r="AG72" i="8"/>
  <c r="AF72" i="8"/>
  <c r="AE72" i="8"/>
  <c r="AD72" i="8"/>
  <c r="AC72" i="8"/>
  <c r="AG68" i="8"/>
  <c r="AF68" i="8"/>
  <c r="AE68" i="8"/>
  <c r="AD68" i="8"/>
  <c r="AC68" i="8"/>
  <c r="AG67" i="8"/>
  <c r="AF67" i="8"/>
  <c r="AE67" i="8"/>
  <c r="AD67" i="8"/>
  <c r="AC67" i="8"/>
  <c r="AG66" i="8"/>
  <c r="AF66" i="8"/>
  <c r="AE66" i="8"/>
  <c r="AD66" i="8"/>
  <c r="AC66" i="8"/>
  <c r="AG65" i="8"/>
  <c r="AF65" i="8"/>
  <c r="AE65" i="8"/>
  <c r="AD65" i="8"/>
  <c r="AC65" i="8"/>
  <c r="AG64" i="8"/>
  <c r="AF64" i="8"/>
  <c r="AE64" i="8"/>
  <c r="AD64" i="8"/>
  <c r="AC64" i="8"/>
  <c r="AG63" i="8"/>
  <c r="AF63" i="8"/>
  <c r="AE63" i="8"/>
  <c r="AD63" i="8"/>
  <c r="AC63" i="8"/>
  <c r="AG59" i="8"/>
  <c r="AF59" i="8"/>
  <c r="AE59" i="8"/>
  <c r="AD59" i="8"/>
  <c r="AC59" i="8"/>
  <c r="AG58" i="8"/>
  <c r="AF58" i="8"/>
  <c r="AE58" i="8"/>
  <c r="AD58" i="8"/>
  <c r="AC58" i="8"/>
  <c r="AG57" i="8"/>
  <c r="AF57" i="8"/>
  <c r="AE57" i="8"/>
  <c r="AD57" i="8"/>
  <c r="AC57" i="8"/>
  <c r="AG56" i="8"/>
  <c r="AF56" i="8"/>
  <c r="AE56" i="8"/>
  <c r="AD56" i="8"/>
  <c r="AC56" i="8"/>
  <c r="AG55" i="8"/>
  <c r="AF55" i="8"/>
  <c r="AE55" i="8"/>
  <c r="AD55" i="8"/>
  <c r="AC55" i="8"/>
  <c r="AG54" i="8"/>
  <c r="AF54" i="8"/>
  <c r="AE54" i="8"/>
  <c r="AD54" i="8"/>
  <c r="AC54" i="8"/>
  <c r="AB54" i="8"/>
  <c r="AA54" i="8"/>
  <c r="Z54" i="8"/>
  <c r="Y54" i="8"/>
  <c r="X54" i="8"/>
  <c r="W54" i="8"/>
  <c r="AF50" i="8"/>
  <c r="AE50" i="8"/>
  <c r="AD50" i="8"/>
  <c r="AC50" i="8"/>
  <c r="AB50" i="8"/>
  <c r="AA50" i="8"/>
  <c r="Z50" i="8"/>
  <c r="Y50" i="8"/>
  <c r="X50" i="8"/>
  <c r="W50" i="8"/>
  <c r="AF49" i="8"/>
  <c r="AE49" i="8"/>
  <c r="AD49" i="8"/>
  <c r="AC49" i="8"/>
  <c r="AB49" i="8"/>
  <c r="AA49" i="8"/>
  <c r="Z49" i="8"/>
  <c r="Y49" i="8"/>
  <c r="X49" i="8"/>
  <c r="W49" i="8"/>
  <c r="AF48" i="8"/>
  <c r="AE48" i="8"/>
  <c r="AD48" i="8"/>
  <c r="AC48" i="8"/>
  <c r="AB48" i="8"/>
  <c r="AA48" i="8"/>
  <c r="Z48" i="8"/>
  <c r="Y48" i="8"/>
  <c r="X48" i="8"/>
  <c r="W48" i="8"/>
  <c r="AF47" i="8"/>
  <c r="AE47" i="8"/>
  <c r="AD47" i="8"/>
  <c r="AC47" i="8"/>
  <c r="AB47" i="8"/>
  <c r="AA47" i="8"/>
  <c r="Z47" i="8"/>
  <c r="Y47" i="8"/>
  <c r="X47" i="8"/>
  <c r="W47" i="8"/>
  <c r="AG50" i="8"/>
  <c r="AG49" i="8"/>
  <c r="AG48" i="8"/>
  <c r="AG47" i="8"/>
  <c r="T50" i="8"/>
  <c r="AG39" i="8"/>
  <c r="AF39" i="8"/>
  <c r="AD39" i="8"/>
  <c r="AC39" i="8"/>
  <c r="AF36" i="8"/>
  <c r="AD36" i="8"/>
  <c r="AC36" i="8"/>
  <c r="AB36" i="8"/>
  <c r="Z36" i="8"/>
  <c r="Y36" i="8"/>
  <c r="X36" i="8"/>
  <c r="AG36" i="8"/>
  <c r="AF8" i="8"/>
  <c r="AE8" i="8"/>
  <c r="AD8" i="8"/>
  <c r="AC8" i="8"/>
  <c r="AB8" i="8"/>
  <c r="AA8" i="8"/>
  <c r="Z8" i="8"/>
  <c r="Y8" i="8"/>
  <c r="X8" i="8"/>
  <c r="W8" i="8"/>
  <c r="AF7" i="8"/>
  <c r="AE7" i="8"/>
  <c r="AD7" i="8"/>
  <c r="AC7" i="8"/>
  <c r="AB7" i="8"/>
  <c r="AA7" i="8"/>
  <c r="Z7" i="8"/>
  <c r="Y7" i="8"/>
  <c r="X7" i="8"/>
  <c r="W7" i="8"/>
  <c r="AG8" i="8"/>
  <c r="AG7" i="8"/>
  <c r="F129" i="8"/>
  <c r="F133" i="8" s="1"/>
  <c r="F125" i="8"/>
  <c r="S108" i="8"/>
  <c r="O108" i="8"/>
  <c r="K108" i="8"/>
  <c r="F50" i="8"/>
  <c r="S50" i="8" s="1"/>
  <c r="AB73" i="8"/>
  <c r="AA73" i="8"/>
  <c r="Y73" i="8"/>
  <c r="X73" i="8"/>
  <c r="W73" i="8"/>
  <c r="S73" i="8"/>
  <c r="O73" i="8"/>
  <c r="Z73" i="8" s="1"/>
  <c r="K73" i="8"/>
  <c r="AB55" i="8"/>
  <c r="AA55" i="8"/>
  <c r="Y55" i="8"/>
  <c r="X55" i="8"/>
  <c r="W55" i="8"/>
  <c r="S55" i="8"/>
  <c r="O55" i="8"/>
  <c r="Z55" i="8" s="1"/>
  <c r="K55" i="8"/>
  <c r="M50" i="8"/>
  <c r="L50" i="8"/>
  <c r="J50" i="8"/>
  <c r="I50" i="8"/>
  <c r="H50" i="8"/>
  <c r="C50" i="8"/>
  <c r="D50" i="8"/>
  <c r="K50" i="8" s="1"/>
  <c r="T133" i="8"/>
  <c r="P130" i="8"/>
  <c r="Q130" i="8" s="1"/>
  <c r="R130" i="8" s="1"/>
  <c r="L130" i="8"/>
  <c r="M130" i="8" s="1"/>
  <c r="N130" i="8" s="1"/>
  <c r="E130" i="8"/>
  <c r="D130" i="8"/>
  <c r="D133" i="8" s="1"/>
  <c r="C130" i="8"/>
  <c r="C133" i="8" s="1"/>
  <c r="H130" i="8"/>
  <c r="I130" i="8" s="1"/>
  <c r="J130" i="8" s="1"/>
  <c r="S132" i="8"/>
  <c r="O132" i="8"/>
  <c r="I132" i="8"/>
  <c r="J132" i="8" s="1"/>
  <c r="K132" i="8" s="1"/>
  <c r="S131" i="8"/>
  <c r="O131" i="8"/>
  <c r="I131" i="8"/>
  <c r="P129" i="8"/>
  <c r="Q129" i="8" s="1"/>
  <c r="R129" i="8" s="1"/>
  <c r="E129" i="8"/>
  <c r="M129" i="8"/>
  <c r="N129" i="8" s="1"/>
  <c r="I129" i="8"/>
  <c r="J129" i="8" s="1"/>
  <c r="P125" i="8"/>
  <c r="Q125" i="8" s="1"/>
  <c r="R125" i="8" s="1"/>
  <c r="L125" i="8"/>
  <c r="M125" i="8" s="1"/>
  <c r="N125" i="8" s="1"/>
  <c r="E125" i="8"/>
  <c r="C140" i="8"/>
  <c r="D137" i="8" s="1"/>
  <c r="Q148" i="8"/>
  <c r="R148" i="8" s="1"/>
  <c r="M148" i="8"/>
  <c r="N148" i="8" s="1"/>
  <c r="I148" i="8"/>
  <c r="S110" i="8"/>
  <c r="AF110" i="8" s="1"/>
  <c r="S106" i="8"/>
  <c r="S105" i="8"/>
  <c r="O112" i="8"/>
  <c r="AC112" i="8" s="1"/>
  <c r="O110" i="8"/>
  <c r="AD110" i="8" s="1"/>
  <c r="O120" i="8"/>
  <c r="K112" i="8"/>
  <c r="K111" i="8"/>
  <c r="K106" i="8"/>
  <c r="J125" i="8"/>
  <c r="K125" i="8" s="1"/>
  <c r="Q124" i="8"/>
  <c r="R124" i="8" s="1"/>
  <c r="M124" i="8"/>
  <c r="N124" i="8" s="1"/>
  <c r="J124" i="8"/>
  <c r="K124" i="8" s="1"/>
  <c r="I120" i="8"/>
  <c r="J120" i="8" s="1"/>
  <c r="Q119" i="8"/>
  <c r="R119" i="8" s="1"/>
  <c r="M119" i="8"/>
  <c r="N119" i="8" s="1"/>
  <c r="Q118" i="8"/>
  <c r="R118" i="8" s="1"/>
  <c r="M118" i="8"/>
  <c r="N118" i="8" s="1"/>
  <c r="I118" i="8"/>
  <c r="J118" i="8" s="1"/>
  <c r="Q117" i="8"/>
  <c r="R117" i="8" s="1"/>
  <c r="L117" i="8"/>
  <c r="M117" i="8" s="1"/>
  <c r="N117" i="8" s="1"/>
  <c r="I117" i="8"/>
  <c r="J117" i="8" s="1"/>
  <c r="Q116" i="8"/>
  <c r="R116" i="8" s="1"/>
  <c r="M116" i="8"/>
  <c r="N116" i="8" s="1"/>
  <c r="H116" i="8"/>
  <c r="I116" i="8" s="1"/>
  <c r="Q115" i="8"/>
  <c r="R115" i="8" s="1"/>
  <c r="M115" i="8"/>
  <c r="I115" i="8"/>
  <c r="J115" i="8" s="1"/>
  <c r="Q111" i="8"/>
  <c r="R111" i="8" s="1"/>
  <c r="M111" i="8"/>
  <c r="Q109" i="8"/>
  <c r="R109" i="8" s="1"/>
  <c r="L109" i="8"/>
  <c r="M109" i="8" s="1"/>
  <c r="H109" i="8"/>
  <c r="Q107" i="8"/>
  <c r="R107" i="8" s="1"/>
  <c r="M107" i="8"/>
  <c r="N107" i="8" s="1"/>
  <c r="J107" i="8"/>
  <c r="K107" i="8" s="1"/>
  <c r="M106" i="8"/>
  <c r="N106" i="8" s="1"/>
  <c r="M105" i="8"/>
  <c r="I105" i="8"/>
  <c r="Q104" i="8"/>
  <c r="R104" i="8" s="1"/>
  <c r="M104" i="8"/>
  <c r="Q103" i="8"/>
  <c r="R103" i="8" s="1"/>
  <c r="M103" i="8"/>
  <c r="N103" i="8" s="1"/>
  <c r="Q102" i="8"/>
  <c r="R102" i="8" s="1"/>
  <c r="M102" i="8"/>
  <c r="N102" i="8" s="1"/>
  <c r="I102" i="8"/>
  <c r="J102" i="8" s="1"/>
  <c r="Q101" i="8"/>
  <c r="R101" i="8" s="1"/>
  <c r="M101" i="8"/>
  <c r="N101" i="8" s="1"/>
  <c r="I101" i="8"/>
  <c r="S84" i="8"/>
  <c r="S83" i="8"/>
  <c r="S82" i="8"/>
  <c r="S81" i="8"/>
  <c r="S80" i="8"/>
  <c r="O85" i="8"/>
  <c r="O84" i="8"/>
  <c r="O83" i="8"/>
  <c r="O82" i="8"/>
  <c r="O81" i="8"/>
  <c r="O80" i="8"/>
  <c r="K85" i="8"/>
  <c r="K84" i="8"/>
  <c r="K83" i="8"/>
  <c r="K82" i="8"/>
  <c r="K81" i="8"/>
  <c r="K80" i="8"/>
  <c r="S76" i="8"/>
  <c r="S75" i="8"/>
  <c r="S74" i="8"/>
  <c r="S72" i="8"/>
  <c r="O77" i="8"/>
  <c r="O76" i="8"/>
  <c r="O75" i="8"/>
  <c r="O74" i="8"/>
  <c r="O72" i="8"/>
  <c r="K77" i="8"/>
  <c r="K76" i="8"/>
  <c r="K75" i="8"/>
  <c r="K74" i="8"/>
  <c r="K72" i="8"/>
  <c r="O68" i="8"/>
  <c r="O67" i="8"/>
  <c r="O66" i="8"/>
  <c r="O65" i="8"/>
  <c r="O64" i="8"/>
  <c r="O63" i="8"/>
  <c r="K68" i="8"/>
  <c r="K67" i="8"/>
  <c r="K66" i="8"/>
  <c r="K65" i="8"/>
  <c r="K64" i="8"/>
  <c r="K63" i="8"/>
  <c r="S66" i="8"/>
  <c r="S67" i="8"/>
  <c r="S65" i="8"/>
  <c r="K59" i="8"/>
  <c r="K58" i="8"/>
  <c r="K57" i="8"/>
  <c r="K56" i="8"/>
  <c r="K54" i="8"/>
  <c r="O59" i="8"/>
  <c r="O58" i="8"/>
  <c r="O57" i="8"/>
  <c r="O56" i="8"/>
  <c r="O54" i="8"/>
  <c r="S49" i="8"/>
  <c r="S48" i="8"/>
  <c r="S47" i="8"/>
  <c r="O50" i="8"/>
  <c r="O49" i="8"/>
  <c r="O48" i="8"/>
  <c r="O47" i="8"/>
  <c r="K49" i="8"/>
  <c r="K48" i="8"/>
  <c r="K47" i="8"/>
  <c r="S27" i="8"/>
  <c r="AG27" i="8" s="1"/>
  <c r="S26" i="8"/>
  <c r="AF26" i="8" s="1"/>
  <c r="S25" i="8"/>
  <c r="AG25" i="8" s="1"/>
  <c r="S24" i="8"/>
  <c r="AG24" i="8" s="1"/>
  <c r="S23" i="8"/>
  <c r="AE23" i="8" s="1"/>
  <c r="K27" i="8"/>
  <c r="K26" i="8"/>
  <c r="K25" i="8"/>
  <c r="K24" i="8"/>
  <c r="K23" i="8"/>
  <c r="O27" i="8"/>
  <c r="AD27" i="8" s="1"/>
  <c r="O26" i="8"/>
  <c r="AD26" i="8" s="1"/>
  <c r="O25" i="8"/>
  <c r="AC25" i="8" s="1"/>
  <c r="O24" i="8"/>
  <c r="AD24" i="8" s="1"/>
  <c r="O23" i="8"/>
  <c r="AD23" i="8" s="1"/>
  <c r="S85" i="8"/>
  <c r="S77" i="8"/>
  <c r="S68" i="8"/>
  <c r="S64" i="8"/>
  <c r="S63" i="8"/>
  <c r="U133" i="8" l="1"/>
  <c r="AG125" i="8"/>
  <c r="AF125" i="8"/>
  <c r="AG110" i="8"/>
  <c r="AE110" i="8"/>
  <c r="AC110" i="8"/>
  <c r="AI112" i="8"/>
  <c r="AC24" i="8"/>
  <c r="AE27" i="8"/>
  <c r="AF23" i="8"/>
  <c r="AD25" i="8"/>
  <c r="AG26" i="8"/>
  <c r="AG23" i="8"/>
  <c r="AE25" i="8"/>
  <c r="AC27" i="8"/>
  <c r="AF25" i="8"/>
  <c r="AE24" i="8"/>
  <c r="AC26" i="8"/>
  <c r="AF27" i="8"/>
  <c r="AC23" i="8"/>
  <c r="AF24" i="8"/>
  <c r="AE26" i="8"/>
  <c r="N133" i="8"/>
  <c r="E133" i="8"/>
  <c r="L133" i="8"/>
  <c r="M133" i="8"/>
  <c r="H133" i="8"/>
  <c r="P133" i="8"/>
  <c r="I133" i="8"/>
  <c r="Q133" i="8"/>
  <c r="R133" i="8"/>
  <c r="O130" i="8"/>
  <c r="K130" i="8"/>
  <c r="S130" i="8"/>
  <c r="AI131" i="8"/>
  <c r="Z131" i="8"/>
  <c r="Z133" i="8" s="1"/>
  <c r="AA131" i="8"/>
  <c r="AA133" i="8" s="1"/>
  <c r="AB131" i="8"/>
  <c r="AB133" i="8" s="1"/>
  <c r="J131" i="8"/>
  <c r="K131" i="8" s="1"/>
  <c r="Y131" i="8" s="1"/>
  <c r="Y133" i="8" s="1"/>
  <c r="K129" i="8"/>
  <c r="O129" i="8"/>
  <c r="S129" i="8"/>
  <c r="O148" i="8"/>
  <c r="S148" i="8"/>
  <c r="J148" i="8"/>
  <c r="K148" i="8" s="1"/>
  <c r="K119" i="8"/>
  <c r="O102" i="8"/>
  <c r="S107" i="8"/>
  <c r="S109" i="8"/>
  <c r="O101" i="8"/>
  <c r="K102" i="8"/>
  <c r="O103" i="8"/>
  <c r="O124" i="8"/>
  <c r="S102" i="8"/>
  <c r="S111" i="8"/>
  <c r="O125" i="8"/>
  <c r="K120" i="8"/>
  <c r="K115" i="8"/>
  <c r="O116" i="8"/>
  <c r="S103" i="8"/>
  <c r="O117" i="8"/>
  <c r="O106" i="8"/>
  <c r="S104" i="8"/>
  <c r="S124" i="8"/>
  <c r="K117" i="8"/>
  <c r="O118" i="8"/>
  <c r="O107" i="8"/>
  <c r="K118" i="8"/>
  <c r="O119" i="8"/>
  <c r="S125" i="8"/>
  <c r="N111" i="8"/>
  <c r="O111" i="8" s="1"/>
  <c r="J104" i="8"/>
  <c r="K104" i="8" s="1"/>
  <c r="J101" i="8"/>
  <c r="K101" i="8" s="1"/>
  <c r="J103" i="8"/>
  <c r="K103" i="8" s="1"/>
  <c r="J105" i="8"/>
  <c r="K105" i="8" s="1"/>
  <c r="J116" i="8"/>
  <c r="K116" i="8" s="1"/>
  <c r="I109" i="8"/>
  <c r="N104" i="8"/>
  <c r="O104" i="8" s="1"/>
  <c r="N105" i="8"/>
  <c r="O105" i="8" s="1"/>
  <c r="N109" i="8"/>
  <c r="O109" i="8" s="1"/>
  <c r="N115" i="8"/>
  <c r="O115" i="8" s="1"/>
  <c r="AI110" i="8" l="1"/>
  <c r="J133" i="8"/>
  <c r="K133" i="8"/>
  <c r="AE133" i="8"/>
  <c r="AG133" i="8"/>
  <c r="S133" i="8"/>
  <c r="AC133" i="8"/>
  <c r="O133" i="8"/>
  <c r="W131" i="8"/>
  <c r="W133" i="8" s="1"/>
  <c r="X131" i="8"/>
  <c r="X133" i="8" s="1"/>
  <c r="J109" i="8"/>
  <c r="K109" i="8" s="1"/>
  <c r="AF133" i="8" l="1"/>
  <c r="AD133" i="8"/>
  <c r="AI33" i="9" l="1"/>
  <c r="AH33" i="9"/>
  <c r="AG33" i="9"/>
  <c r="AF33" i="9"/>
  <c r="AE33" i="9"/>
  <c r="AD33" i="9"/>
  <c r="AC33" i="9"/>
  <c r="AB33" i="9"/>
  <c r="AA33" i="9"/>
  <c r="Z33" i="9"/>
  <c r="Y33" i="9"/>
  <c r="X33" i="9"/>
  <c r="S33" i="9"/>
  <c r="O33" i="9"/>
  <c r="K33" i="9"/>
  <c r="S63" i="9"/>
  <c r="AF63" i="9" s="1"/>
  <c r="O63" i="9"/>
  <c r="AB63" i="9" s="1"/>
  <c r="K63" i="9"/>
  <c r="Y63" i="9"/>
  <c r="AC63" i="9"/>
  <c r="AE63" i="9"/>
  <c r="AG63" i="9"/>
  <c r="X63" i="9"/>
  <c r="Z63" i="9"/>
  <c r="AA63" i="9"/>
  <c r="AD63" i="9"/>
  <c r="AH63" i="9"/>
  <c r="AI63" i="9"/>
  <c r="H64" i="9"/>
  <c r="V49" i="9"/>
  <c r="AI49" i="9" s="1"/>
  <c r="U49" i="9"/>
  <c r="AH49" i="9" s="1"/>
  <c r="T49" i="9"/>
  <c r="AG49" i="9" s="1"/>
  <c r="R49" i="9"/>
  <c r="AE49" i="9" s="1"/>
  <c r="Q49" i="9"/>
  <c r="AD49" i="9" s="1"/>
  <c r="P49" i="9"/>
  <c r="AC49" i="9" s="1"/>
  <c r="N49" i="9"/>
  <c r="AA49" i="9" s="1"/>
  <c r="M49" i="9"/>
  <c r="Z49" i="9" s="1"/>
  <c r="L49" i="9"/>
  <c r="Y49" i="9" s="1"/>
  <c r="J49" i="9"/>
  <c r="I49" i="9"/>
  <c r="H49" i="9"/>
  <c r="F49" i="9"/>
  <c r="E49" i="9"/>
  <c r="D49" i="9"/>
  <c r="C49" i="9"/>
  <c r="E48" i="9"/>
  <c r="M48" i="9"/>
  <c r="N48" i="9"/>
  <c r="P48" i="9"/>
  <c r="S140" i="8"/>
  <c r="O140" i="8"/>
  <c r="K49" i="9"/>
  <c r="X49" i="9" s="1"/>
  <c r="O49" i="9"/>
  <c r="AB49" i="9" s="1"/>
  <c r="V59" i="9"/>
  <c r="U59" i="9"/>
  <c r="T59" i="9"/>
  <c r="R59" i="9"/>
  <c r="Q59" i="9"/>
  <c r="P59" i="9"/>
  <c r="N59" i="9"/>
  <c r="M59" i="9"/>
  <c r="L59" i="9"/>
  <c r="J59" i="9"/>
  <c r="I59" i="9"/>
  <c r="V58" i="9"/>
  <c r="AI58" i="9" s="1"/>
  <c r="U58" i="9"/>
  <c r="AH58" i="9" s="1"/>
  <c r="T58" i="9"/>
  <c r="AG58" i="9" s="1"/>
  <c r="R58" i="9"/>
  <c r="AE58" i="9" s="1"/>
  <c r="Q58" i="9"/>
  <c r="AD58" i="9" s="1"/>
  <c r="P58" i="9"/>
  <c r="AC58" i="9" s="1"/>
  <c r="N58" i="9"/>
  <c r="AA58" i="9" s="1"/>
  <c r="M58" i="9"/>
  <c r="Z58" i="9" s="1"/>
  <c r="L58" i="9"/>
  <c r="Y58" i="9" s="1"/>
  <c r="J58" i="9"/>
  <c r="I58" i="9"/>
  <c r="V57" i="9"/>
  <c r="U57" i="9"/>
  <c r="T57" i="9"/>
  <c r="R57" i="9"/>
  <c r="Q57" i="9"/>
  <c r="P57" i="9"/>
  <c r="N57" i="9"/>
  <c r="M57" i="9"/>
  <c r="L57" i="9"/>
  <c r="J57" i="9"/>
  <c r="I57" i="9"/>
  <c r="V56" i="9"/>
  <c r="U56" i="9"/>
  <c r="T56" i="9"/>
  <c r="R56" i="9"/>
  <c r="Q56" i="9"/>
  <c r="P56" i="9"/>
  <c r="N56" i="9"/>
  <c r="M56" i="9"/>
  <c r="L56" i="9"/>
  <c r="J56" i="9"/>
  <c r="I56" i="9"/>
  <c r="V55" i="9"/>
  <c r="U55" i="9"/>
  <c r="T55" i="9"/>
  <c r="R55" i="9"/>
  <c r="Q55" i="9"/>
  <c r="P55" i="9"/>
  <c r="N55" i="9"/>
  <c r="M55" i="9"/>
  <c r="L55" i="9"/>
  <c r="J55" i="9"/>
  <c r="I55" i="9"/>
  <c r="H59" i="9"/>
  <c r="H58" i="9"/>
  <c r="H57" i="9"/>
  <c r="H56" i="9"/>
  <c r="H55" i="9"/>
  <c r="F59" i="9"/>
  <c r="E59" i="9"/>
  <c r="D59" i="9"/>
  <c r="F58" i="9"/>
  <c r="E58" i="9"/>
  <c r="D58" i="9"/>
  <c r="F57" i="9"/>
  <c r="E57" i="9"/>
  <c r="D57" i="9"/>
  <c r="F56" i="9"/>
  <c r="E56" i="9"/>
  <c r="D56" i="9"/>
  <c r="F55" i="9"/>
  <c r="E55" i="9"/>
  <c r="D55" i="9"/>
  <c r="C59" i="9"/>
  <c r="C58" i="9"/>
  <c r="C57" i="9"/>
  <c r="C56" i="9"/>
  <c r="C55" i="9"/>
  <c r="V51" i="9"/>
  <c r="AI51" i="9" s="1"/>
  <c r="U51" i="9"/>
  <c r="AH51" i="9" s="1"/>
  <c r="T51" i="9"/>
  <c r="AG51" i="9" s="1"/>
  <c r="R51" i="9"/>
  <c r="Q51" i="9"/>
  <c r="AD51" i="9" s="1"/>
  <c r="P51" i="9"/>
  <c r="AC51" i="9" s="1"/>
  <c r="N51" i="9"/>
  <c r="AA51" i="9" s="1"/>
  <c r="M51" i="9"/>
  <c r="Z51" i="9" s="1"/>
  <c r="L51" i="9"/>
  <c r="Y51" i="9" s="1"/>
  <c r="J51" i="9"/>
  <c r="I51" i="9"/>
  <c r="H51" i="9"/>
  <c r="F51" i="9"/>
  <c r="E51" i="9"/>
  <c r="D51" i="9"/>
  <c r="C51" i="9"/>
  <c r="V50" i="9"/>
  <c r="AI50" i="9" s="1"/>
  <c r="U50" i="9"/>
  <c r="AH50" i="9" s="1"/>
  <c r="T50" i="9"/>
  <c r="AG50" i="9" s="1"/>
  <c r="R50" i="9"/>
  <c r="AE50" i="9" s="1"/>
  <c r="Q50" i="9"/>
  <c r="AD50" i="9" s="1"/>
  <c r="P50" i="9"/>
  <c r="AC50" i="9" s="1"/>
  <c r="N50" i="9"/>
  <c r="AA50" i="9" s="1"/>
  <c r="M50" i="9"/>
  <c r="Z50" i="9" s="1"/>
  <c r="L50" i="9"/>
  <c r="Y50" i="9" s="1"/>
  <c r="J50" i="9"/>
  <c r="I50" i="9"/>
  <c r="H50" i="9"/>
  <c r="F50" i="9"/>
  <c r="E50" i="9"/>
  <c r="D50" i="9"/>
  <c r="C50" i="9"/>
  <c r="V48" i="9"/>
  <c r="U48" i="9"/>
  <c r="T48" i="9"/>
  <c r="R48" i="9"/>
  <c r="Q48" i="9"/>
  <c r="J48" i="9"/>
  <c r="I48" i="9"/>
  <c r="H48" i="9"/>
  <c r="F48" i="9"/>
  <c r="D48" i="9"/>
  <c r="C48" i="9"/>
  <c r="U42" i="9"/>
  <c r="T42" i="9"/>
  <c r="L42" i="9"/>
  <c r="I42" i="9"/>
  <c r="V41" i="9"/>
  <c r="U41" i="9"/>
  <c r="T41" i="9"/>
  <c r="P41" i="9"/>
  <c r="L41" i="9"/>
  <c r="J41" i="9"/>
  <c r="I41" i="9"/>
  <c r="H41" i="9"/>
  <c r="F41" i="9"/>
  <c r="E41" i="9"/>
  <c r="D41" i="9"/>
  <c r="C41" i="9"/>
  <c r="T40" i="9"/>
  <c r="P40" i="9"/>
  <c r="L40" i="9"/>
  <c r="I40" i="9"/>
  <c r="H40" i="9"/>
  <c r="F40" i="9"/>
  <c r="E40" i="9"/>
  <c r="D40" i="9"/>
  <c r="C40" i="9"/>
  <c r="T39" i="9"/>
  <c r="R39" i="9"/>
  <c r="Q39" i="9"/>
  <c r="P39" i="9"/>
  <c r="N39" i="9"/>
  <c r="M39" i="9"/>
  <c r="L39" i="9"/>
  <c r="J39" i="9"/>
  <c r="I39" i="9"/>
  <c r="H39" i="9"/>
  <c r="F39" i="9"/>
  <c r="E39" i="9"/>
  <c r="D39" i="9"/>
  <c r="C39" i="9"/>
  <c r="T38" i="9"/>
  <c r="Q38" i="9"/>
  <c r="P38" i="9"/>
  <c r="L38" i="9"/>
  <c r="H38" i="9"/>
  <c r="F38" i="9"/>
  <c r="E38" i="9"/>
  <c r="D38" i="9"/>
  <c r="C38" i="9"/>
  <c r="P37" i="9"/>
  <c r="L37" i="9"/>
  <c r="J37" i="9"/>
  <c r="H37" i="9"/>
  <c r="E37" i="9"/>
  <c r="D37" i="9"/>
  <c r="C37" i="9"/>
  <c r="T34" i="9"/>
  <c r="P34" i="9"/>
  <c r="L34" i="9"/>
  <c r="H34" i="9"/>
  <c r="F34" i="9"/>
  <c r="E34" i="9"/>
  <c r="D34" i="9"/>
  <c r="C34" i="9"/>
  <c r="V32" i="9"/>
  <c r="U32" i="9"/>
  <c r="T32" i="9"/>
  <c r="R32" i="9"/>
  <c r="Q32" i="9"/>
  <c r="P32" i="9"/>
  <c r="N32" i="9"/>
  <c r="M32" i="9"/>
  <c r="L32" i="9"/>
  <c r="J32" i="9"/>
  <c r="I32" i="9"/>
  <c r="H32" i="9"/>
  <c r="F32" i="9"/>
  <c r="E32" i="9"/>
  <c r="D32" i="9"/>
  <c r="C32" i="9"/>
  <c r="T31" i="9"/>
  <c r="Q31" i="9"/>
  <c r="P31" i="9"/>
  <c r="L31" i="9"/>
  <c r="I31" i="9"/>
  <c r="H31" i="9"/>
  <c r="F31" i="9"/>
  <c r="E31" i="9"/>
  <c r="D31" i="9"/>
  <c r="C31" i="9"/>
  <c r="T27" i="9"/>
  <c r="P27" i="9"/>
  <c r="L27" i="9"/>
  <c r="H27" i="9"/>
  <c r="F27" i="9"/>
  <c r="E27" i="9"/>
  <c r="D27" i="9"/>
  <c r="C27" i="9"/>
  <c r="V19" i="9"/>
  <c r="V23" i="9" s="1"/>
  <c r="U19" i="9"/>
  <c r="U23" i="9" s="1"/>
  <c r="T19" i="9"/>
  <c r="T23" i="9" s="1"/>
  <c r="R19" i="9"/>
  <c r="R23" i="9" s="1"/>
  <c r="Q19" i="9"/>
  <c r="Q23" i="9" s="1"/>
  <c r="P19" i="9"/>
  <c r="P23" i="9" s="1"/>
  <c r="N19" i="9"/>
  <c r="N23" i="9" s="1"/>
  <c r="M19" i="9"/>
  <c r="M23" i="9" s="1"/>
  <c r="L19" i="9"/>
  <c r="L23" i="9" s="1"/>
  <c r="J19" i="9"/>
  <c r="J23" i="9" s="1"/>
  <c r="I19" i="9"/>
  <c r="I23" i="9" s="1"/>
  <c r="H19" i="9"/>
  <c r="H23" i="9" s="1"/>
  <c r="F19" i="9"/>
  <c r="F23" i="9" s="1"/>
  <c r="E19" i="9"/>
  <c r="E23" i="9" s="1"/>
  <c r="D19" i="9"/>
  <c r="D23" i="9" s="1"/>
  <c r="C19" i="9"/>
  <c r="C23" i="9" s="1"/>
  <c r="V18" i="9"/>
  <c r="U18" i="9"/>
  <c r="T18" i="9"/>
  <c r="R18" i="9"/>
  <c r="Q18" i="9"/>
  <c r="P18" i="9"/>
  <c r="N18" i="9"/>
  <c r="M18" i="9"/>
  <c r="L18" i="9"/>
  <c r="J18" i="9"/>
  <c r="I18" i="9"/>
  <c r="H18" i="9"/>
  <c r="F18" i="9"/>
  <c r="E18" i="9"/>
  <c r="D18" i="9"/>
  <c r="C18" i="9"/>
  <c r="V17" i="9"/>
  <c r="U17" i="9"/>
  <c r="T17" i="9"/>
  <c r="R17" i="9"/>
  <c r="Q17" i="9"/>
  <c r="P17" i="9"/>
  <c r="N17" i="9"/>
  <c r="M17" i="9"/>
  <c r="L17" i="9"/>
  <c r="J17" i="9"/>
  <c r="I17" i="9"/>
  <c r="H17" i="9"/>
  <c r="F17" i="9"/>
  <c r="E17" i="9"/>
  <c r="D17" i="9"/>
  <c r="C17" i="9"/>
  <c r="V16" i="9"/>
  <c r="U16" i="9"/>
  <c r="T16" i="9"/>
  <c r="R16" i="9"/>
  <c r="Q16" i="9"/>
  <c r="P16" i="9"/>
  <c r="N16" i="9"/>
  <c r="M16" i="9"/>
  <c r="L16" i="9"/>
  <c r="J16" i="9"/>
  <c r="I16" i="9"/>
  <c r="H16" i="9"/>
  <c r="F16" i="9"/>
  <c r="E16" i="9"/>
  <c r="D16" i="9"/>
  <c r="C16" i="9"/>
  <c r="V12" i="9"/>
  <c r="U12" i="9"/>
  <c r="T12" i="9"/>
  <c r="R12" i="9"/>
  <c r="Q12" i="9"/>
  <c r="P12" i="9"/>
  <c r="N12" i="9"/>
  <c r="M12" i="9"/>
  <c r="L12" i="9"/>
  <c r="J12" i="9"/>
  <c r="I12" i="9"/>
  <c r="H12" i="9"/>
  <c r="F12" i="9"/>
  <c r="E12" i="9"/>
  <c r="D12" i="9"/>
  <c r="C12" i="9"/>
  <c r="U7" i="9"/>
  <c r="T7" i="9"/>
  <c r="R7" i="9"/>
  <c r="Q7" i="9"/>
  <c r="P7" i="9"/>
  <c r="U6" i="9"/>
  <c r="T6" i="9"/>
  <c r="R6" i="9"/>
  <c r="Q6" i="9"/>
  <c r="P6" i="9"/>
  <c r="V7" i="9"/>
  <c r="V6" i="9"/>
  <c r="H4" i="9"/>
  <c r="H3" i="9"/>
  <c r="U4" i="9"/>
  <c r="T4" i="9"/>
  <c r="S4" i="9"/>
  <c r="R4" i="9"/>
  <c r="Q4" i="9"/>
  <c r="P4" i="9"/>
  <c r="O4" i="9"/>
  <c r="N4" i="9"/>
  <c r="M4" i="9"/>
  <c r="L4" i="9"/>
  <c r="K4" i="9"/>
  <c r="J4" i="9"/>
  <c r="I4" i="9"/>
  <c r="U3" i="9"/>
  <c r="T3" i="9"/>
  <c r="S3" i="9"/>
  <c r="R3" i="9"/>
  <c r="Q3" i="9"/>
  <c r="P3" i="9"/>
  <c r="O3" i="9"/>
  <c r="N3" i="9"/>
  <c r="M3" i="9"/>
  <c r="L3" i="9"/>
  <c r="K3" i="9"/>
  <c r="J3" i="9"/>
  <c r="I3" i="9"/>
  <c r="V4" i="9"/>
  <c r="V3" i="9"/>
  <c r="W124" i="8"/>
  <c r="H4" i="10"/>
  <c r="I4" i="10"/>
  <c r="J4" i="10"/>
  <c r="K4" i="10"/>
  <c r="L4" i="10"/>
  <c r="W4" i="10" s="1"/>
  <c r="M4" i="10"/>
  <c r="X4" i="10" s="1"/>
  <c r="N4" i="10"/>
  <c r="Y4" i="10" s="1"/>
  <c r="O4" i="10"/>
  <c r="Z4" i="10" s="1"/>
  <c r="AF14" i="10"/>
  <c r="AC13" i="10"/>
  <c r="AE8" i="10"/>
  <c r="AF7" i="10"/>
  <c r="Y7" i="10"/>
  <c r="O39" i="9"/>
  <c r="K39" i="9"/>
  <c r="U40" i="9"/>
  <c r="U27" i="9"/>
  <c r="V42" i="9"/>
  <c r="U38" i="9"/>
  <c r="J42" i="9"/>
  <c r="F42" i="9"/>
  <c r="E42" i="9"/>
  <c r="D42" i="9"/>
  <c r="C42" i="9"/>
  <c r="T37" i="9"/>
  <c r="F37" i="9"/>
  <c r="R37" i="9"/>
  <c r="AB77" i="8"/>
  <c r="AA77" i="8"/>
  <c r="Y77" i="8"/>
  <c r="X77" i="8"/>
  <c r="W77" i="8"/>
  <c r="V66" i="9"/>
  <c r="U86" i="8"/>
  <c r="U66" i="9" s="1"/>
  <c r="T86" i="8"/>
  <c r="T66" i="9" s="1"/>
  <c r="R86" i="8"/>
  <c r="R66" i="9" s="1"/>
  <c r="Q86" i="8"/>
  <c r="Q66" i="9" s="1"/>
  <c r="P86" i="8"/>
  <c r="P66" i="9" s="1"/>
  <c r="N86" i="8"/>
  <c r="N66" i="9" s="1"/>
  <c r="M86" i="8"/>
  <c r="M66" i="9" s="1"/>
  <c r="L86" i="8"/>
  <c r="L66" i="9" s="1"/>
  <c r="J86" i="8"/>
  <c r="J66" i="9" s="1"/>
  <c r="I86" i="8"/>
  <c r="I66" i="9" s="1"/>
  <c r="H86" i="8"/>
  <c r="H66" i="9" s="1"/>
  <c r="F86" i="8"/>
  <c r="F66" i="9" s="1"/>
  <c r="E86" i="8"/>
  <c r="E66" i="9" s="1"/>
  <c r="D86" i="8"/>
  <c r="D66" i="9" s="1"/>
  <c r="C86" i="8"/>
  <c r="C66" i="9" s="1"/>
  <c r="AA7" i="10"/>
  <c r="X7" i="10"/>
  <c r="W7" i="10"/>
  <c r="AF4" i="10"/>
  <c r="AF3" i="10"/>
  <c r="U4" i="10"/>
  <c r="AE4" i="10" s="1"/>
  <c r="T4" i="10"/>
  <c r="AD4" i="10" s="1"/>
  <c r="S4" i="10"/>
  <c r="AC4" i="10" s="1"/>
  <c r="R4" i="10"/>
  <c r="Q4" i="10"/>
  <c r="AB4" i="10" s="1"/>
  <c r="P4" i="10"/>
  <c r="AA4" i="10" s="1"/>
  <c r="U3" i="10"/>
  <c r="AE3" i="10" s="1"/>
  <c r="T3" i="10"/>
  <c r="AD3" i="10" s="1"/>
  <c r="S3" i="10"/>
  <c r="AC3" i="10" s="1"/>
  <c r="R3" i="10"/>
  <c r="Q3" i="10"/>
  <c r="AB3" i="10" s="1"/>
  <c r="P3" i="10"/>
  <c r="AA3" i="10" s="1"/>
  <c r="O3" i="10"/>
  <c r="Z3" i="10" s="1"/>
  <c r="N3" i="10"/>
  <c r="Y3" i="10" s="1"/>
  <c r="M3" i="10"/>
  <c r="X3" i="10" s="1"/>
  <c r="L3" i="10"/>
  <c r="W3" i="10" s="1"/>
  <c r="K3" i="10"/>
  <c r="J3" i="10"/>
  <c r="I3" i="10"/>
  <c r="H3" i="10"/>
  <c r="M41" i="9"/>
  <c r="W118" i="8"/>
  <c r="Y115" i="8"/>
  <c r="W103" i="8"/>
  <c r="K27" i="9"/>
  <c r="K58" i="9"/>
  <c r="X58" i="9" s="1"/>
  <c r="S19" i="8"/>
  <c r="S18" i="8"/>
  <c r="O19" i="8"/>
  <c r="O18" i="9"/>
  <c r="O18" i="8"/>
  <c r="K19" i="8"/>
  <c r="K19" i="9" s="1"/>
  <c r="K23" i="9" s="1"/>
  <c r="K18" i="8"/>
  <c r="Y18" i="8" s="1"/>
  <c r="AB85" i="8"/>
  <c r="AA85" i="8"/>
  <c r="Y85" i="8"/>
  <c r="X85" i="8"/>
  <c r="W85" i="8"/>
  <c r="AB84" i="8"/>
  <c r="AA84" i="8"/>
  <c r="Y84" i="8"/>
  <c r="X84" i="8"/>
  <c r="W84" i="8"/>
  <c r="AB83" i="8"/>
  <c r="AA83" i="8"/>
  <c r="Y83" i="8"/>
  <c r="X83" i="8"/>
  <c r="W83" i="8"/>
  <c r="AB80" i="8"/>
  <c r="AA80" i="8"/>
  <c r="Y80" i="8"/>
  <c r="X80" i="8"/>
  <c r="W80" i="8"/>
  <c r="AB72" i="8"/>
  <c r="AA72" i="8"/>
  <c r="Y72" i="8"/>
  <c r="X72" i="8"/>
  <c r="W72" i="8"/>
  <c r="AB68" i="8"/>
  <c r="AA68" i="8"/>
  <c r="Y68" i="8"/>
  <c r="X68" i="8"/>
  <c r="W68" i="8"/>
  <c r="AB67" i="8"/>
  <c r="AA67" i="8"/>
  <c r="Y67" i="8"/>
  <c r="X67" i="8"/>
  <c r="W67" i="8"/>
  <c r="AB64" i="8"/>
  <c r="AA64" i="8"/>
  <c r="Y64" i="8"/>
  <c r="X64" i="8"/>
  <c r="W64" i="8"/>
  <c r="AB63" i="8"/>
  <c r="AA63" i="8"/>
  <c r="Y63" i="8"/>
  <c r="X63" i="8"/>
  <c r="W63" i="8"/>
  <c r="AB59" i="8"/>
  <c r="AA59" i="8"/>
  <c r="Y59" i="8"/>
  <c r="X59" i="8"/>
  <c r="W59" i="8"/>
  <c r="AB58" i="8"/>
  <c r="AA58" i="8"/>
  <c r="Y58" i="8"/>
  <c r="X58" i="8"/>
  <c r="W58" i="8"/>
  <c r="AB57" i="8"/>
  <c r="AA57" i="8"/>
  <c r="Y57" i="8"/>
  <c r="X57" i="8"/>
  <c r="W57" i="8"/>
  <c r="AB56" i="8"/>
  <c r="AA56" i="8"/>
  <c r="Y56" i="8"/>
  <c r="X56" i="8"/>
  <c r="W56" i="8"/>
  <c r="AB39" i="8"/>
  <c r="AA39" i="8"/>
  <c r="Y39" i="8"/>
  <c r="X39" i="8"/>
  <c r="W39" i="8"/>
  <c r="S32" i="8"/>
  <c r="O32" i="8"/>
  <c r="K32" i="8"/>
  <c r="X32" i="8" s="1"/>
  <c r="W104" i="8"/>
  <c r="Z85" i="8"/>
  <c r="Z84" i="8"/>
  <c r="Z83" i="8"/>
  <c r="Z80" i="8"/>
  <c r="Z72" i="8"/>
  <c r="K57" i="9"/>
  <c r="Z67" i="8"/>
  <c r="Z64" i="8"/>
  <c r="K56" i="9"/>
  <c r="S59" i="8"/>
  <c r="Z59" i="8"/>
  <c r="S58" i="8"/>
  <c r="Z58" i="8"/>
  <c r="S57" i="8"/>
  <c r="Z57" i="8"/>
  <c r="S56" i="8"/>
  <c r="Z56" i="8"/>
  <c r="K59" i="9"/>
  <c r="S54" i="8"/>
  <c r="K51" i="9"/>
  <c r="X51" i="9" s="1"/>
  <c r="K55" i="9"/>
  <c r="K50" i="9"/>
  <c r="X50" i="9" s="1"/>
  <c r="K48" i="9"/>
  <c r="S39" i="8"/>
  <c r="AE39" i="8" s="1"/>
  <c r="S36" i="8"/>
  <c r="AE36" i="8" s="1"/>
  <c r="S28" i="8"/>
  <c r="S17" i="8"/>
  <c r="S13" i="8"/>
  <c r="S10" i="8"/>
  <c r="O13" i="8"/>
  <c r="K13" i="8"/>
  <c r="W13" i="8" s="1"/>
  <c r="O10" i="8"/>
  <c r="O17" i="8"/>
  <c r="O28" i="8"/>
  <c r="AB27" i="8"/>
  <c r="K39" i="8"/>
  <c r="K36" i="8"/>
  <c r="W36" i="8" s="1"/>
  <c r="K28" i="8"/>
  <c r="Y28" i="8" s="1"/>
  <c r="Y27" i="8"/>
  <c r="X23" i="8"/>
  <c r="K17" i="8"/>
  <c r="Y17" i="8" s="1"/>
  <c r="K10" i="8"/>
  <c r="S6" i="9" l="1"/>
  <c r="S7" i="9"/>
  <c r="AE10" i="8"/>
  <c r="AG10" i="8"/>
  <c r="AF10" i="8"/>
  <c r="Z28" i="8"/>
  <c r="AD28" i="8"/>
  <c r="AC28" i="8"/>
  <c r="Z13" i="8"/>
  <c r="AD13" i="8"/>
  <c r="AC13" i="8"/>
  <c r="AG32" i="8"/>
  <c r="AF32" i="8"/>
  <c r="AE32" i="8"/>
  <c r="AG13" i="8"/>
  <c r="AF13" i="8"/>
  <c r="AE13" i="8"/>
  <c r="AG28" i="8"/>
  <c r="AF28" i="8"/>
  <c r="AE28" i="8"/>
  <c r="AD17" i="8"/>
  <c r="AC17" i="8"/>
  <c r="AA19" i="8"/>
  <c r="AD19" i="8"/>
  <c r="AC19" i="8"/>
  <c r="W10" i="8"/>
  <c r="Z10" i="8"/>
  <c r="Y10" i="8"/>
  <c r="X10" i="8"/>
  <c r="AD10" i="8"/>
  <c r="AA10" i="8"/>
  <c r="AC10" i="8"/>
  <c r="AB10" i="8"/>
  <c r="AG18" i="8"/>
  <c r="AF18" i="8"/>
  <c r="AE18" i="8"/>
  <c r="AG17" i="8"/>
  <c r="AF17" i="8"/>
  <c r="AE17" i="8"/>
  <c r="AC18" i="8"/>
  <c r="AD18" i="8"/>
  <c r="Z32" i="8"/>
  <c r="AC32" i="8"/>
  <c r="AD32" i="8"/>
  <c r="AF19" i="8"/>
  <c r="AG19" i="8"/>
  <c r="AI19" i="8" s="1"/>
  <c r="AE19" i="8"/>
  <c r="V52" i="9"/>
  <c r="AI63" i="8"/>
  <c r="AA39" i="9"/>
  <c r="K140" i="8"/>
  <c r="X140" i="8" s="1"/>
  <c r="Q52" i="9"/>
  <c r="U52" i="9"/>
  <c r="X118" i="8"/>
  <c r="K52" i="9"/>
  <c r="AE39" i="9"/>
  <c r="X39" i="9"/>
  <c r="Y39" i="9"/>
  <c r="Z39" i="9"/>
  <c r="AI36" i="8"/>
  <c r="AB39" i="9"/>
  <c r="AC39" i="9"/>
  <c r="H67" i="9"/>
  <c r="AD39" i="9"/>
  <c r="X115" i="8"/>
  <c r="N52" i="9"/>
  <c r="R52" i="9"/>
  <c r="O59" i="9"/>
  <c r="M52" i="9"/>
  <c r="H52" i="9"/>
  <c r="J52" i="9"/>
  <c r="I52" i="9"/>
  <c r="AE51" i="9"/>
  <c r="P52" i="9"/>
  <c r="T52" i="9"/>
  <c r="S50" i="9"/>
  <c r="AF50" i="9" s="1"/>
  <c r="S49" i="9"/>
  <c r="AF49" i="9" s="1"/>
  <c r="AE18" i="9"/>
  <c r="AI39" i="8"/>
  <c r="Z19" i="8"/>
  <c r="X13" i="8"/>
  <c r="X27" i="8"/>
  <c r="W27" i="8"/>
  <c r="AA28" i="8"/>
  <c r="AB28" i="8"/>
  <c r="S18" i="9"/>
  <c r="K18" i="9"/>
  <c r="W17" i="8"/>
  <c r="AB19" i="8"/>
  <c r="O17" i="9"/>
  <c r="S19" i="9"/>
  <c r="X18" i="8"/>
  <c r="AB18" i="9"/>
  <c r="X19" i="9"/>
  <c r="AC18" i="9"/>
  <c r="Y19" i="9"/>
  <c r="K16" i="9"/>
  <c r="AD18" i="9"/>
  <c r="Z19" i="9"/>
  <c r="K17" i="9"/>
  <c r="S17" i="9"/>
  <c r="O19" i="9"/>
  <c r="AA19" i="9"/>
  <c r="L48" i="9"/>
  <c r="L52" i="9" s="1"/>
  <c r="AA140" i="8"/>
  <c r="AD140" i="8"/>
  <c r="X28" i="8"/>
  <c r="W28" i="8"/>
  <c r="S51" i="9"/>
  <c r="AF51" i="9" s="1"/>
  <c r="M27" i="9"/>
  <c r="P42" i="9"/>
  <c r="S39" i="9"/>
  <c r="U31" i="9"/>
  <c r="W23" i="8"/>
  <c r="K12" i="9"/>
  <c r="S12" i="9"/>
  <c r="O16" i="9"/>
  <c r="I38" i="9"/>
  <c r="O50" i="9"/>
  <c r="AB50" i="9" s="1"/>
  <c r="S55" i="9"/>
  <c r="S56" i="9"/>
  <c r="Z68" i="8"/>
  <c r="O57" i="9"/>
  <c r="S58" i="9"/>
  <c r="AF58" i="9" s="1"/>
  <c r="M37" i="9"/>
  <c r="U34" i="9"/>
  <c r="M40" i="9"/>
  <c r="V38" i="9"/>
  <c r="Z18" i="8"/>
  <c r="Y23" i="8"/>
  <c r="S57" i="9"/>
  <c r="AB13" i="8"/>
  <c r="AA13" i="8"/>
  <c r="Z63" i="8"/>
  <c r="O56" i="9"/>
  <c r="Y19" i="8"/>
  <c r="X19" i="8"/>
  <c r="W19" i="8"/>
  <c r="Z77" i="8"/>
  <c r="O58" i="9"/>
  <c r="AB58" i="9" s="1"/>
  <c r="AA124" i="8"/>
  <c r="AB23" i="8"/>
  <c r="O48" i="9"/>
  <c r="S59" i="9"/>
  <c r="W32" i="8"/>
  <c r="K32" i="9"/>
  <c r="Q34" i="9"/>
  <c r="AE140" i="8"/>
  <c r="Q40" i="9"/>
  <c r="X104" i="8"/>
  <c r="AA18" i="8"/>
  <c r="Z23" i="8"/>
  <c r="Y32" i="8"/>
  <c r="M38" i="9"/>
  <c r="Q27" i="9"/>
  <c r="Y120" i="8"/>
  <c r="Q41" i="9"/>
  <c r="AF140" i="8"/>
  <c r="AG140" i="8"/>
  <c r="V31" i="9"/>
  <c r="R40" i="9"/>
  <c r="AB18" i="8"/>
  <c r="AA23" i="8"/>
  <c r="M31" i="9"/>
  <c r="N34" i="9"/>
  <c r="V39" i="9"/>
  <c r="U39" i="9"/>
  <c r="AA17" i="8"/>
  <c r="Z140" i="8"/>
  <c r="O12" i="9"/>
  <c r="S16" i="9"/>
  <c r="AB140" i="8"/>
  <c r="AA27" i="8"/>
  <c r="Z27" i="8"/>
  <c r="S48" i="9"/>
  <c r="O32" i="9"/>
  <c r="AB32" i="8"/>
  <c r="AA32" i="8"/>
  <c r="AB17" i="8"/>
  <c r="Z17" i="8"/>
  <c r="R38" i="9"/>
  <c r="K38" i="9"/>
  <c r="X124" i="8"/>
  <c r="Y13" i="8"/>
  <c r="AC140" i="8"/>
  <c r="O55" i="9"/>
  <c r="V40" i="9"/>
  <c r="W102" i="8"/>
  <c r="X17" i="8"/>
  <c r="I27" i="9"/>
  <c r="S32" i="9"/>
  <c r="J38" i="9"/>
  <c r="X102" i="8"/>
  <c r="J27" i="9"/>
  <c r="I34" i="9"/>
  <c r="W18" i="8"/>
  <c r="K41" i="9"/>
  <c r="X41" i="9" s="1"/>
  <c r="H42" i="9"/>
  <c r="X103" i="8"/>
  <c r="W115" i="8"/>
  <c r="I37" i="9"/>
  <c r="Q37" i="9"/>
  <c r="M34" i="9"/>
  <c r="O51" i="9"/>
  <c r="AB51" i="9" s="1"/>
  <c r="P8" i="9"/>
  <c r="AD13" i="10"/>
  <c r="AC14" i="10"/>
  <c r="AD14" i="10"/>
  <c r="AE13" i="10"/>
  <c r="AC8" i="10"/>
  <c r="AF8" i="10"/>
  <c r="AF13" i="10"/>
  <c r="AD8" i="10"/>
  <c r="AD7" i="10"/>
  <c r="AE7" i="10"/>
  <c r="AC7" i="10"/>
  <c r="AE14" i="10"/>
  <c r="Z7" i="10"/>
  <c r="AB7" i="10"/>
  <c r="V27" i="9"/>
  <c r="X86" i="8"/>
  <c r="K86" i="8"/>
  <c r="K66" i="9" s="1"/>
  <c r="Z86" i="8"/>
  <c r="AB86" i="8"/>
  <c r="AC86" i="8"/>
  <c r="AD86" i="8"/>
  <c r="AF86" i="8"/>
  <c r="Y86" i="8"/>
  <c r="O86" i="8"/>
  <c r="O66" i="9" s="1"/>
  <c r="AA86" i="8"/>
  <c r="AE86" i="8"/>
  <c r="W86" i="8"/>
  <c r="S86" i="8"/>
  <c r="S66" i="9" s="1"/>
  <c r="AG86" i="8"/>
  <c r="J31" i="9"/>
  <c r="J34" i="9"/>
  <c r="S116" i="8"/>
  <c r="S118" i="8"/>
  <c r="S119" i="8"/>
  <c r="AA115" i="8"/>
  <c r="Y103" i="8"/>
  <c r="AI18" i="8" l="1"/>
  <c r="Y140" i="8"/>
  <c r="W140" i="8"/>
  <c r="Z41" i="9"/>
  <c r="Z104" i="8"/>
  <c r="Z27" i="9"/>
  <c r="X120" i="8"/>
  <c r="AI39" i="9"/>
  <c r="Z38" i="9"/>
  <c r="AI32" i="8"/>
  <c r="Y41" i="9"/>
  <c r="AH39" i="9"/>
  <c r="AF39" i="9"/>
  <c r="Y38" i="9"/>
  <c r="AG39" i="9"/>
  <c r="X38" i="9"/>
  <c r="AA118" i="8"/>
  <c r="Y27" i="9"/>
  <c r="X27" i="9"/>
  <c r="S52" i="9"/>
  <c r="O52" i="9"/>
  <c r="AI28" i="8"/>
  <c r="X32" i="9"/>
  <c r="AA32" i="9"/>
  <c r="Z32" i="9"/>
  <c r="Y32" i="9"/>
  <c r="AE32" i="9"/>
  <c r="AB32" i="9"/>
  <c r="AD32" i="9"/>
  <c r="AC32" i="9"/>
  <c r="AI32" i="9"/>
  <c r="AF32" i="9"/>
  <c r="AH32" i="9"/>
  <c r="AG32" i="9"/>
  <c r="S23" i="9"/>
  <c r="AI19" i="9"/>
  <c r="AH19" i="9"/>
  <c r="AG19" i="9"/>
  <c r="AF19" i="9"/>
  <c r="O23" i="9"/>
  <c r="AE19" i="9"/>
  <c r="AD19" i="9"/>
  <c r="AC19" i="9"/>
  <c r="AB19" i="9"/>
  <c r="AE17" i="9"/>
  <c r="AD17" i="9"/>
  <c r="AC17" i="9"/>
  <c r="AB17" i="9"/>
  <c r="AI17" i="9"/>
  <c r="AH17" i="9"/>
  <c r="AG17" i="9"/>
  <c r="AF17" i="9"/>
  <c r="AA17" i="9"/>
  <c r="Z17" i="9"/>
  <c r="Y17" i="9"/>
  <c r="X17" i="9"/>
  <c r="AI16" i="9"/>
  <c r="AH16" i="9"/>
  <c r="AG16" i="9"/>
  <c r="AF16" i="9"/>
  <c r="AA18" i="9"/>
  <c r="Z18" i="9"/>
  <c r="Y18" i="9"/>
  <c r="X18" i="9"/>
  <c r="AI18" i="9"/>
  <c r="AK18" i="9" s="1"/>
  <c r="AH18" i="9"/>
  <c r="AG18" i="9"/>
  <c r="AF18" i="9"/>
  <c r="AE16" i="9"/>
  <c r="AD16" i="9"/>
  <c r="AC16" i="9"/>
  <c r="AB16" i="9"/>
  <c r="AA16" i="9"/>
  <c r="Z16" i="9"/>
  <c r="Y16" i="9"/>
  <c r="X16" i="9"/>
  <c r="Z125" i="8"/>
  <c r="N27" i="9"/>
  <c r="AA27" i="9" s="1"/>
  <c r="Y124" i="8"/>
  <c r="R31" i="9"/>
  <c r="Z124" i="8"/>
  <c r="V34" i="9"/>
  <c r="AB104" i="8"/>
  <c r="Y117" i="8"/>
  <c r="AI118" i="8"/>
  <c r="S37" i="9"/>
  <c r="AA101" i="8"/>
  <c r="R34" i="9"/>
  <c r="S38" i="9"/>
  <c r="N41" i="9"/>
  <c r="Z119" i="8"/>
  <c r="AG137" i="8"/>
  <c r="AF137" i="8"/>
  <c r="Z120" i="8"/>
  <c r="W120" i="8"/>
  <c r="Q42" i="9"/>
  <c r="AB118" i="8"/>
  <c r="K42" i="9"/>
  <c r="N31" i="9"/>
  <c r="AB124" i="8"/>
  <c r="K37" i="9"/>
  <c r="R27" i="9"/>
  <c r="AA116" i="8"/>
  <c r="M42" i="9"/>
  <c r="Z116" i="8"/>
  <c r="S40" i="9"/>
  <c r="AI40" i="9" s="1"/>
  <c r="N38" i="9"/>
  <c r="AA38" i="9" s="1"/>
  <c r="AA119" i="8"/>
  <c r="Y104" i="8"/>
  <c r="Z115" i="8"/>
  <c r="J40" i="9"/>
  <c r="Y101" i="8"/>
  <c r="S120" i="8"/>
  <c r="O37" i="9"/>
  <c r="Z101" i="8"/>
  <c r="AB101" i="8"/>
  <c r="AA120" i="8"/>
  <c r="AB119" i="8"/>
  <c r="N37" i="9"/>
  <c r="Y118" i="8"/>
  <c r="W116" i="8"/>
  <c r="AI119" i="8"/>
  <c r="O38" i="9"/>
  <c r="AE38" i="9" s="1"/>
  <c r="AB115" i="8"/>
  <c r="AB120" i="8"/>
  <c r="Y102" i="8"/>
  <c r="N40" i="9"/>
  <c r="R41" i="9"/>
  <c r="X125" i="8"/>
  <c r="V37" i="9"/>
  <c r="U37" i="9"/>
  <c r="AB116" i="8"/>
  <c r="X119" i="8"/>
  <c r="AA104" i="8"/>
  <c r="Z118" i="8"/>
  <c r="AI103" i="8"/>
  <c r="S115" i="8"/>
  <c r="S117" i="8"/>
  <c r="S101" i="8"/>
  <c r="Z102" i="8"/>
  <c r="AG120" i="8" l="1"/>
  <c r="AI120" i="8" s="1"/>
  <c r="AF120" i="8"/>
  <c r="AE120" i="8"/>
  <c r="X116" i="8"/>
  <c r="AI101" i="8"/>
  <c r="Z117" i="8"/>
  <c r="X101" i="8"/>
  <c r="AA41" i="9"/>
  <c r="AI38" i="9"/>
  <c r="AG38" i="9"/>
  <c r="AH40" i="9"/>
  <c r="AH38" i="9"/>
  <c r="AG40" i="9"/>
  <c r="AI125" i="8"/>
  <c r="AF40" i="9"/>
  <c r="AD38" i="9"/>
  <c r="AB38" i="9"/>
  <c r="AF38" i="9"/>
  <c r="AC38" i="9"/>
  <c r="AI116" i="8"/>
  <c r="AA103" i="8"/>
  <c r="W101" i="8"/>
  <c r="AB103" i="8"/>
  <c r="Z42" i="9"/>
  <c r="Y42" i="9"/>
  <c r="X42" i="9"/>
  <c r="AA102" i="8"/>
  <c r="Z103" i="8"/>
  <c r="AK17" i="9"/>
  <c r="AB102" i="8"/>
  <c r="AA117" i="8"/>
  <c r="AI124" i="8"/>
  <c r="AI117" i="8"/>
  <c r="AB117" i="8"/>
  <c r="O40" i="9"/>
  <c r="AC40" i="9" s="1"/>
  <c r="S31" i="9"/>
  <c r="AI31" i="9" s="1"/>
  <c r="R42" i="9"/>
  <c r="K40" i="9"/>
  <c r="AA40" i="9" s="1"/>
  <c r="N42" i="9"/>
  <c r="AA42" i="9" s="1"/>
  <c r="O41" i="9"/>
  <c r="AE41" i="9" s="1"/>
  <c r="S41" i="9"/>
  <c r="AA125" i="8"/>
  <c r="O27" i="9"/>
  <c r="S27" i="9"/>
  <c r="AB125" i="8"/>
  <c r="Y116" i="8"/>
  <c r="K34" i="9"/>
  <c r="W117" i="8"/>
  <c r="S34" i="9"/>
  <c r="Y119" i="8"/>
  <c r="W119" i="8"/>
  <c r="O34" i="9"/>
  <c r="O31" i="9"/>
  <c r="AD31" i="9" s="1"/>
  <c r="Y125" i="8"/>
  <c r="K31" i="9"/>
  <c r="W125" i="8"/>
  <c r="X117" i="8"/>
  <c r="AC41" i="9" l="1"/>
  <c r="AF31" i="9"/>
  <c r="AD41" i="9"/>
  <c r="AH31" i="9"/>
  <c r="AI41" i="9"/>
  <c r="AG41" i="9"/>
  <c r="AF41" i="9"/>
  <c r="AH41" i="9"/>
  <c r="AB41" i="9"/>
  <c r="AA31" i="9"/>
  <c r="X31" i="9"/>
  <c r="Y31" i="9"/>
  <c r="Z31" i="9"/>
  <c r="AD40" i="9"/>
  <c r="Y40" i="9"/>
  <c r="X40" i="9"/>
  <c r="AE31" i="9"/>
  <c r="AB31" i="9"/>
  <c r="Z40" i="9"/>
  <c r="AE40" i="9"/>
  <c r="AB40" i="9"/>
  <c r="AG31" i="9"/>
  <c r="AC31" i="9"/>
  <c r="AI102" i="8"/>
  <c r="AI34" i="9"/>
  <c r="AH34" i="9"/>
  <c r="AG34" i="9"/>
  <c r="AF34" i="9"/>
  <c r="AH27" i="9"/>
  <c r="AG27" i="9"/>
  <c r="AF27" i="9"/>
  <c r="AI27" i="9"/>
  <c r="AD34" i="9"/>
  <c r="AC34" i="9"/>
  <c r="AB34" i="9"/>
  <c r="AE34" i="9"/>
  <c r="AA34" i="9"/>
  <c r="Z34" i="9"/>
  <c r="Y34" i="9"/>
  <c r="X34" i="9"/>
  <c r="AE27" i="9"/>
  <c r="AD27" i="9"/>
  <c r="AC27" i="9"/>
  <c r="AB27" i="9"/>
  <c r="O42" i="9"/>
  <c r="S42" i="9"/>
  <c r="AH42" i="9" l="1"/>
  <c r="AG42" i="9"/>
  <c r="AF42" i="9"/>
  <c r="AI42" i="9"/>
  <c r="AE42" i="9"/>
  <c r="AD42" i="9"/>
  <c r="AC42" i="9"/>
  <c r="AB42" i="9"/>
  <c r="S64" i="9"/>
  <c r="K64" i="9"/>
  <c r="J64" i="9"/>
  <c r="I64" i="9"/>
  <c r="F64" i="9"/>
  <c r="E64" i="9"/>
  <c r="D64" i="9"/>
  <c r="C64" i="9"/>
  <c r="T69" i="8"/>
  <c r="T60" i="9" s="1"/>
  <c r="R69" i="8"/>
  <c r="AI59" i="9"/>
  <c r="AH59" i="9"/>
  <c r="AF59" i="9"/>
  <c r="AE59" i="9"/>
  <c r="AD59" i="9"/>
  <c r="AB59" i="9"/>
  <c r="AA59" i="9"/>
  <c r="Z59" i="9"/>
  <c r="X59" i="9"/>
  <c r="AI57" i="9"/>
  <c r="AH57" i="9"/>
  <c r="AF57" i="9"/>
  <c r="AE57" i="9"/>
  <c r="AD57" i="9"/>
  <c r="AB57" i="9"/>
  <c r="AA57" i="9"/>
  <c r="Z57" i="9"/>
  <c r="X57" i="9"/>
  <c r="AI56" i="9"/>
  <c r="AH56" i="9"/>
  <c r="AF56" i="9"/>
  <c r="AE56" i="9"/>
  <c r="AD56" i="9"/>
  <c r="AB56" i="9"/>
  <c r="AA56" i="9"/>
  <c r="Z56" i="9"/>
  <c r="X56" i="9"/>
  <c r="AI55" i="9"/>
  <c r="AH55" i="9"/>
  <c r="AF55" i="9"/>
  <c r="AE55" i="9"/>
  <c r="AD55" i="9"/>
  <c r="AB55" i="9"/>
  <c r="AA55" i="9"/>
  <c r="Z55" i="9"/>
  <c r="X55" i="9"/>
  <c r="AI48" i="9"/>
  <c r="AI52" i="9" s="1"/>
  <c r="AH48" i="9"/>
  <c r="AH52" i="9" s="1"/>
  <c r="AF48" i="9"/>
  <c r="AF52" i="9" s="1"/>
  <c r="AE48" i="9"/>
  <c r="AE52" i="9" s="1"/>
  <c r="AD48" i="9"/>
  <c r="AD52" i="9" s="1"/>
  <c r="AB48" i="9"/>
  <c r="AB52" i="9" s="1"/>
  <c r="AA48" i="9"/>
  <c r="AA52" i="9" s="1"/>
  <c r="Z48" i="9"/>
  <c r="Z52" i="9" s="1"/>
  <c r="X48" i="9"/>
  <c r="X52" i="9" s="1"/>
  <c r="AI4" i="9"/>
  <c r="AH4" i="9"/>
  <c r="AG4" i="9"/>
  <c r="AF4" i="9"/>
  <c r="AE4" i="9"/>
  <c r="AD4" i="9"/>
  <c r="AC4" i="9"/>
  <c r="AB4" i="9"/>
  <c r="AA4" i="9"/>
  <c r="Z4" i="9"/>
  <c r="Y4" i="9"/>
  <c r="X4" i="9"/>
  <c r="AI3" i="9"/>
  <c r="AH3" i="9"/>
  <c r="AG3" i="9"/>
  <c r="AF3" i="9"/>
  <c r="AE3" i="9"/>
  <c r="AD3" i="9"/>
  <c r="AC3" i="9"/>
  <c r="AB3" i="9"/>
  <c r="AA3" i="9"/>
  <c r="Z3" i="9"/>
  <c r="Y3" i="9"/>
  <c r="X3" i="9"/>
  <c r="F4" i="9"/>
  <c r="E4" i="9"/>
  <c r="D4" i="9"/>
  <c r="C4" i="9"/>
  <c r="F3" i="9"/>
  <c r="E3" i="9"/>
  <c r="D3" i="9"/>
  <c r="C3" i="9"/>
  <c r="X14" i="10"/>
  <c r="Y13" i="10"/>
  <c r="AB14" i="10"/>
  <c r="AA13" i="10"/>
  <c r="S15" i="10"/>
  <c r="F7" i="9"/>
  <c r="E7" i="9"/>
  <c r="D7" i="9"/>
  <c r="F6" i="9"/>
  <c r="E6" i="9"/>
  <c r="D6" i="9"/>
  <c r="U15" i="10"/>
  <c r="T15" i="10"/>
  <c r="R15" i="10"/>
  <c r="Q15" i="10"/>
  <c r="P15" i="10"/>
  <c r="F15" i="10"/>
  <c r="E15" i="10"/>
  <c r="D15" i="10"/>
  <c r="Y14" i="10"/>
  <c r="AB13" i="10"/>
  <c r="Z13" i="10"/>
  <c r="T126" i="8"/>
  <c r="P126" i="8"/>
  <c r="L126" i="8"/>
  <c r="S11" i="8"/>
  <c r="O11" i="8"/>
  <c r="O8" i="9" s="1"/>
  <c r="O39" i="8"/>
  <c r="Z39" i="8" s="1"/>
  <c r="O36" i="8"/>
  <c r="AA36" i="8" s="1"/>
  <c r="K11" i="8"/>
  <c r="K8" i="9" s="1"/>
  <c r="AG48" i="9"/>
  <c r="AG52" i="9" s="1"/>
  <c r="Y57" i="9"/>
  <c r="AB66" i="9"/>
  <c r="Q51" i="8"/>
  <c r="Q60" i="8" s="1"/>
  <c r="P51" i="8"/>
  <c r="P60" i="8" s="1"/>
  <c r="L51" i="8"/>
  <c r="L60" i="8" s="1"/>
  <c r="U95" i="8"/>
  <c r="T95" i="8"/>
  <c r="S95" i="8"/>
  <c r="R95" i="8"/>
  <c r="Q95" i="8"/>
  <c r="P95" i="8"/>
  <c r="O95" i="8"/>
  <c r="N95" i="8"/>
  <c r="M95" i="8"/>
  <c r="L95" i="8"/>
  <c r="K95" i="8"/>
  <c r="J95" i="8"/>
  <c r="I95" i="8"/>
  <c r="U94" i="8"/>
  <c r="T94" i="8"/>
  <c r="S94" i="8"/>
  <c r="R94" i="8"/>
  <c r="Q94" i="8"/>
  <c r="P94" i="8"/>
  <c r="O94" i="8"/>
  <c r="N94" i="8"/>
  <c r="M94" i="8"/>
  <c r="L94" i="8"/>
  <c r="K94" i="8"/>
  <c r="J94" i="8"/>
  <c r="I94" i="8"/>
  <c r="AF66" i="9"/>
  <c r="AE66" i="9"/>
  <c r="AD66" i="9"/>
  <c r="AA66" i="9"/>
  <c r="Z66" i="9"/>
  <c r="Y66" i="9"/>
  <c r="X66" i="9"/>
  <c r="J69" i="8"/>
  <c r="I69" i="8"/>
  <c r="H51" i="8"/>
  <c r="H60" i="8" s="1"/>
  <c r="I51" i="8"/>
  <c r="I60" i="8" s="1"/>
  <c r="J51" i="8"/>
  <c r="J60" i="8" s="1"/>
  <c r="M51" i="8"/>
  <c r="M60" i="8" s="1"/>
  <c r="N51" i="8"/>
  <c r="N60" i="8" s="1"/>
  <c r="R51" i="8"/>
  <c r="R60" i="8" s="1"/>
  <c r="T51" i="8"/>
  <c r="T60" i="8" s="1"/>
  <c r="U51" i="8"/>
  <c r="U60" i="8" s="1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4" i="8"/>
  <c r="H43" i="8"/>
  <c r="F44" i="8"/>
  <c r="E44" i="8"/>
  <c r="D44" i="8"/>
  <c r="C44" i="8"/>
  <c r="F43" i="8"/>
  <c r="E43" i="8"/>
  <c r="D43" i="8"/>
  <c r="C43" i="8"/>
  <c r="U11" i="8"/>
  <c r="U14" i="8" s="1"/>
  <c r="T11" i="8"/>
  <c r="T14" i="8" s="1"/>
  <c r="T20" i="8" s="1"/>
  <c r="T29" i="8" s="1"/>
  <c r="R11" i="8"/>
  <c r="R14" i="8" s="1"/>
  <c r="Q11" i="8"/>
  <c r="Q14" i="8" s="1"/>
  <c r="P11" i="8"/>
  <c r="P14" i="8" s="1"/>
  <c r="N11" i="8"/>
  <c r="M11" i="8"/>
  <c r="L11" i="8"/>
  <c r="J11" i="8"/>
  <c r="I11" i="8"/>
  <c r="H11" i="8"/>
  <c r="E4" i="10"/>
  <c r="D4" i="10"/>
  <c r="C4" i="10"/>
  <c r="E3" i="10"/>
  <c r="D3" i="10"/>
  <c r="C3" i="10"/>
  <c r="F4" i="10"/>
  <c r="F3" i="10"/>
  <c r="AB137" i="8" l="1"/>
  <c r="AC137" i="8"/>
  <c r="Y137" i="8"/>
  <c r="H14" i="8"/>
  <c r="H15" i="8" s="1"/>
  <c r="H8" i="9"/>
  <c r="H13" i="9" s="1"/>
  <c r="R78" i="8"/>
  <c r="R61" i="9" s="1"/>
  <c r="R60" i="9"/>
  <c r="I14" i="8"/>
  <c r="I15" i="8" s="1"/>
  <c r="I8" i="9"/>
  <c r="V61" i="9"/>
  <c r="V60" i="9"/>
  <c r="W137" i="8"/>
  <c r="X137" i="8"/>
  <c r="L14" i="8"/>
  <c r="L20" i="8" s="1"/>
  <c r="L29" i="8" s="1"/>
  <c r="L30" i="8" s="1"/>
  <c r="L8" i="9"/>
  <c r="I78" i="8"/>
  <c r="I61" i="9" s="1"/>
  <c r="I60" i="9"/>
  <c r="M14" i="8"/>
  <c r="M15" i="8" s="1"/>
  <c r="M8" i="9"/>
  <c r="J78" i="8"/>
  <c r="J61" i="9" s="1"/>
  <c r="J60" i="9"/>
  <c r="N14" i="8"/>
  <c r="N15" i="8" s="1"/>
  <c r="N8" i="9"/>
  <c r="AE137" i="8"/>
  <c r="AD137" i="8"/>
  <c r="J14" i="8"/>
  <c r="J20" i="8" s="1"/>
  <c r="J29" i="8" s="1"/>
  <c r="J8" i="9"/>
  <c r="AA137" i="8"/>
  <c r="Z137" i="8"/>
  <c r="N64" i="9"/>
  <c r="D52" i="9"/>
  <c r="M64" i="9"/>
  <c r="E52" i="9"/>
  <c r="U64" i="9"/>
  <c r="C52" i="9"/>
  <c r="O64" i="9"/>
  <c r="Q64" i="9"/>
  <c r="R64" i="9"/>
  <c r="AE64" i="9"/>
  <c r="AE67" i="9" s="1"/>
  <c r="F52" i="9"/>
  <c r="X64" i="9"/>
  <c r="X67" i="9" s="1"/>
  <c r="AF64" i="9"/>
  <c r="AF67" i="9" s="1"/>
  <c r="AB64" i="9"/>
  <c r="AB67" i="9" s="1"/>
  <c r="AH64" i="9"/>
  <c r="AD64" i="9"/>
  <c r="AD67" i="9" s="1"/>
  <c r="AA64" i="9"/>
  <c r="AA67" i="9" s="1"/>
  <c r="Z64" i="9"/>
  <c r="Z67" i="9" s="1"/>
  <c r="L64" i="9"/>
  <c r="Y64" i="9"/>
  <c r="Y67" i="9" s="1"/>
  <c r="P64" i="9"/>
  <c r="AC64" i="9"/>
  <c r="P69" i="8"/>
  <c r="U69" i="8"/>
  <c r="M69" i="8"/>
  <c r="L69" i="8"/>
  <c r="L60" i="9" s="1"/>
  <c r="Q69" i="8"/>
  <c r="Q60" i="9" s="1"/>
  <c r="F69" i="8"/>
  <c r="N69" i="8"/>
  <c r="X12" i="9"/>
  <c r="AC56" i="9"/>
  <c r="AA23" i="9"/>
  <c r="Y55" i="9"/>
  <c r="AG55" i="9"/>
  <c r="Y59" i="9"/>
  <c r="AG59" i="9"/>
  <c r="AF12" i="9"/>
  <c r="AC57" i="9"/>
  <c r="Y56" i="9"/>
  <c r="AG56" i="9"/>
  <c r="AC55" i="9"/>
  <c r="AC59" i="9"/>
  <c r="AB12" i="9"/>
  <c r="AI12" i="9"/>
  <c r="AG57" i="9"/>
  <c r="W14" i="10"/>
  <c r="W13" i="10"/>
  <c r="X13" i="10"/>
  <c r="X15" i="10" s="1"/>
  <c r="X16" i="10" s="1"/>
  <c r="AE15" i="10"/>
  <c r="AF15" i="10"/>
  <c r="Z14" i="10"/>
  <c r="Z15" i="10" s="1"/>
  <c r="Z16" i="10" s="1"/>
  <c r="AF7" i="9"/>
  <c r="AA14" i="10"/>
  <c r="AA15" i="10" s="1"/>
  <c r="AA16" i="10" s="1"/>
  <c r="AF6" i="9"/>
  <c r="AH7" i="9"/>
  <c r="AI6" i="9"/>
  <c r="Y15" i="10"/>
  <c r="Y16" i="10" s="1"/>
  <c r="AB15" i="10"/>
  <c r="AB16" i="10" s="1"/>
  <c r="U126" i="8"/>
  <c r="I126" i="8"/>
  <c r="S126" i="8"/>
  <c r="K126" i="8"/>
  <c r="M126" i="8"/>
  <c r="Q126" i="8"/>
  <c r="R126" i="8"/>
  <c r="T33" i="8"/>
  <c r="T98" i="8" s="1"/>
  <c r="K14" i="8"/>
  <c r="K15" i="8" s="1"/>
  <c r="S14" i="8"/>
  <c r="S15" i="8" s="1"/>
  <c r="O14" i="8"/>
  <c r="O15" i="8" s="1"/>
  <c r="AC66" i="9"/>
  <c r="S69" i="8"/>
  <c r="S51" i="8"/>
  <c r="S60" i="8" s="1"/>
  <c r="O51" i="8"/>
  <c r="O60" i="8" s="1"/>
  <c r="O69" i="8"/>
  <c r="K51" i="8"/>
  <c r="K60" i="8" s="1"/>
  <c r="K69" i="8"/>
  <c r="U15" i="8"/>
  <c r="U20" i="8"/>
  <c r="Q15" i="8"/>
  <c r="Q20" i="8"/>
  <c r="T30" i="8"/>
  <c r="R15" i="8"/>
  <c r="R20" i="8"/>
  <c r="R29" i="8" s="1"/>
  <c r="P15" i="8"/>
  <c r="P20" i="8"/>
  <c r="P29" i="8" s="1"/>
  <c r="T15" i="8"/>
  <c r="T21" i="8"/>
  <c r="Y8" i="9" l="1"/>
  <c r="H20" i="8"/>
  <c r="H29" i="8" s="1"/>
  <c r="H30" i="8" s="1"/>
  <c r="X8" i="9"/>
  <c r="AA8" i="9"/>
  <c r="M20" i="8"/>
  <c r="M29" i="8" s="1"/>
  <c r="J87" i="8"/>
  <c r="J89" i="8" s="1"/>
  <c r="R87" i="8"/>
  <c r="R89" i="8" s="1"/>
  <c r="I87" i="8"/>
  <c r="I89" i="8" s="1"/>
  <c r="L21" i="8"/>
  <c r="L33" i="8"/>
  <c r="L98" i="8" s="1"/>
  <c r="L121" i="8" s="1"/>
  <c r="L141" i="8" s="1"/>
  <c r="AB8" i="9"/>
  <c r="L15" i="8"/>
  <c r="N20" i="8"/>
  <c r="N29" i="8" s="1"/>
  <c r="Z8" i="9"/>
  <c r="I20" i="8"/>
  <c r="I29" i="8" s="1"/>
  <c r="J15" i="8"/>
  <c r="S78" i="8"/>
  <c r="S61" i="9" s="1"/>
  <c r="AF61" i="9" s="1"/>
  <c r="S60" i="9"/>
  <c r="AF60" i="9" s="1"/>
  <c r="P78" i="8"/>
  <c r="P61" i="9" s="1"/>
  <c r="AC61" i="9" s="1"/>
  <c r="P60" i="9"/>
  <c r="AC60" i="9" s="1"/>
  <c r="N78" i="8"/>
  <c r="N61" i="9" s="1"/>
  <c r="AA61" i="9" s="1"/>
  <c r="N60" i="9"/>
  <c r="AA60" i="9" s="1"/>
  <c r="F78" i="8"/>
  <c r="F61" i="9" s="1"/>
  <c r="F60" i="9"/>
  <c r="M78" i="8"/>
  <c r="M61" i="9" s="1"/>
  <c r="Z61" i="9" s="1"/>
  <c r="M60" i="9"/>
  <c r="Z60" i="9" s="1"/>
  <c r="O78" i="8"/>
  <c r="O61" i="9" s="1"/>
  <c r="AB61" i="9" s="1"/>
  <c r="O60" i="9"/>
  <c r="AB60" i="9" s="1"/>
  <c r="U78" i="8"/>
  <c r="U60" i="9"/>
  <c r="H20" i="9"/>
  <c r="H14" i="9"/>
  <c r="K78" i="8"/>
  <c r="K61" i="9" s="1"/>
  <c r="X61" i="9" s="1"/>
  <c r="K60" i="9"/>
  <c r="X60" i="9" s="1"/>
  <c r="AC15" i="10"/>
  <c r="AH6" i="9"/>
  <c r="AH8" i="9" s="1"/>
  <c r="AI7" i="9"/>
  <c r="W15" i="10"/>
  <c r="W16" i="10" s="1"/>
  <c r="AG7" i="9"/>
  <c r="AD6" i="9"/>
  <c r="AE7" i="9"/>
  <c r="AC7" i="9"/>
  <c r="AG64" i="9"/>
  <c r="T121" i="8"/>
  <c r="T141" i="8" s="1"/>
  <c r="T64" i="9"/>
  <c r="AC6" i="9"/>
  <c r="AC8" i="9" s="1"/>
  <c r="AG6" i="9"/>
  <c r="AE6" i="9"/>
  <c r="AD7" i="9"/>
  <c r="AD15" i="10"/>
  <c r="AF8" i="9"/>
  <c r="AF13" i="9" s="1"/>
  <c r="AF14" i="9" s="1"/>
  <c r="AI64" i="9"/>
  <c r="V64" i="9"/>
  <c r="AC67" i="9"/>
  <c r="Y37" i="9"/>
  <c r="X37" i="9"/>
  <c r="Y48" i="9"/>
  <c r="Y52" i="9" s="1"/>
  <c r="AC48" i="9"/>
  <c r="AC52" i="9" s="1"/>
  <c r="AI60" i="9"/>
  <c r="AE60" i="9"/>
  <c r="AD60" i="9"/>
  <c r="L78" i="8"/>
  <c r="Q78" i="8"/>
  <c r="T78" i="8"/>
  <c r="X23" i="9"/>
  <c r="AE12" i="9"/>
  <c r="Z23" i="9"/>
  <c r="AD12" i="9"/>
  <c r="AH12" i="9"/>
  <c r="AA12" i="9"/>
  <c r="Z12" i="9"/>
  <c r="Y23" i="9"/>
  <c r="AG12" i="9"/>
  <c r="AC12" i="9"/>
  <c r="AG60" i="9"/>
  <c r="Y12" i="9"/>
  <c r="Y60" i="9"/>
  <c r="N126" i="8"/>
  <c r="J126" i="8"/>
  <c r="O126" i="8"/>
  <c r="T34" i="8"/>
  <c r="T37" i="8"/>
  <c r="T40" i="8"/>
  <c r="Q21" i="8"/>
  <c r="Q29" i="8"/>
  <c r="U21" i="8"/>
  <c r="U29" i="8"/>
  <c r="U33" i="8" s="1"/>
  <c r="U98" i="8" s="1"/>
  <c r="K20" i="8"/>
  <c r="S20" i="8"/>
  <c r="O20" i="8"/>
  <c r="R21" i="8"/>
  <c r="P21" i="8"/>
  <c r="J21" i="8"/>
  <c r="H21" i="8" l="1"/>
  <c r="P87" i="8"/>
  <c r="P89" i="8" s="1"/>
  <c r="M21" i="8"/>
  <c r="N21" i="8"/>
  <c r="L40" i="8"/>
  <c r="O87" i="8"/>
  <c r="O89" i="8" s="1"/>
  <c r="S87" i="8"/>
  <c r="S89" i="8" s="1"/>
  <c r="N87" i="8"/>
  <c r="N89" i="8" s="1"/>
  <c r="M87" i="8"/>
  <c r="M89" i="8" s="1"/>
  <c r="K87" i="8"/>
  <c r="K89" i="8" s="1"/>
  <c r="L37" i="8"/>
  <c r="L34" i="8"/>
  <c r="I21" i="8"/>
  <c r="H21" i="9"/>
  <c r="H24" i="9"/>
  <c r="U87" i="8"/>
  <c r="U89" i="8" s="1"/>
  <c r="U61" i="9"/>
  <c r="T87" i="8"/>
  <c r="T89" i="8" s="1"/>
  <c r="T61" i="9"/>
  <c r="Q87" i="8"/>
  <c r="Q89" i="8" s="1"/>
  <c r="Q61" i="9"/>
  <c r="AD61" i="9" s="1"/>
  <c r="L87" i="8"/>
  <c r="L89" i="8" s="1"/>
  <c r="L61" i="9"/>
  <c r="Y61" i="9" s="1"/>
  <c r="AC13" i="9"/>
  <c r="AC14" i="9" s="1"/>
  <c r="AE8" i="9"/>
  <c r="AE13" i="9" s="1"/>
  <c r="AE14" i="9" s="1"/>
  <c r="AD8" i="9"/>
  <c r="AH9" i="9" s="1"/>
  <c r="Z13" i="9"/>
  <c r="Z14" i="9" s="1"/>
  <c r="AG8" i="9"/>
  <c r="AA13" i="9"/>
  <c r="AA14" i="9" s="1"/>
  <c r="U121" i="8"/>
  <c r="U141" i="8" s="1"/>
  <c r="AF9" i="9"/>
  <c r="AF20" i="9"/>
  <c r="AF21" i="9" s="1"/>
  <c r="AH37" i="9"/>
  <c r="AI37" i="9"/>
  <c r="AB37" i="9"/>
  <c r="AG37" i="9"/>
  <c r="Z37" i="9"/>
  <c r="AA37" i="9"/>
  <c r="AH13" i="9"/>
  <c r="AH14" i="9" s="1"/>
  <c r="AB9" i="9"/>
  <c r="AB13" i="9"/>
  <c r="AB14" i="9" s="1"/>
  <c r="X13" i="9"/>
  <c r="AE61" i="9"/>
  <c r="AI23" i="9"/>
  <c r="AE23" i="9"/>
  <c r="AC23" i="9"/>
  <c r="AD23" i="9"/>
  <c r="AB23" i="9"/>
  <c r="AF23" i="9"/>
  <c r="O21" i="8"/>
  <c r="O29" i="8"/>
  <c r="O33" i="8" s="1"/>
  <c r="S29" i="8"/>
  <c r="S30" i="8" s="1"/>
  <c r="K29" i="8"/>
  <c r="K33" i="8" s="1"/>
  <c r="K37" i="8" s="1"/>
  <c r="K21" i="8"/>
  <c r="S21" i="8"/>
  <c r="U30" i="8"/>
  <c r="R33" i="8"/>
  <c r="R98" i="8" s="1"/>
  <c r="R30" i="8"/>
  <c r="Q30" i="8"/>
  <c r="Q33" i="8"/>
  <c r="Q98" i="8" s="1"/>
  <c r="J33" i="8"/>
  <c r="J98" i="8" s="1"/>
  <c r="J30" i="8"/>
  <c r="N33" i="8"/>
  <c r="N98" i="8" s="1"/>
  <c r="N30" i="8"/>
  <c r="M33" i="8"/>
  <c r="M30" i="8"/>
  <c r="P33" i="8"/>
  <c r="P98" i="8" s="1"/>
  <c r="P30" i="8"/>
  <c r="U40" i="8"/>
  <c r="U37" i="8"/>
  <c r="U34" i="8"/>
  <c r="I30" i="8"/>
  <c r="I33" i="8"/>
  <c r="H28" i="9" l="1"/>
  <c r="H25" i="9"/>
  <c r="J121" i="8"/>
  <c r="J141" i="8" s="1"/>
  <c r="AC9" i="9"/>
  <c r="AD9" i="9"/>
  <c r="AD13" i="9"/>
  <c r="AD14" i="9" s="1"/>
  <c r="Y13" i="9"/>
  <c r="Y14" i="9" s="1"/>
  <c r="AG9" i="9"/>
  <c r="AE9" i="9"/>
  <c r="AG13" i="9"/>
  <c r="AG20" i="9" s="1"/>
  <c r="AG21" i="9" s="1"/>
  <c r="P121" i="8"/>
  <c r="P141" i="8" s="1"/>
  <c r="Q121" i="8"/>
  <c r="Q141" i="8" s="1"/>
  <c r="R121" i="8"/>
  <c r="R141" i="8" s="1"/>
  <c r="N121" i="8"/>
  <c r="N141" i="8" s="1"/>
  <c r="M98" i="8"/>
  <c r="Z20" i="9"/>
  <c r="Z24" i="9" s="1"/>
  <c r="Z28" i="9" s="1"/>
  <c r="AF24" i="9"/>
  <c r="AF28" i="9" s="1"/>
  <c r="AE20" i="9"/>
  <c r="AE21" i="9" s="1"/>
  <c r="AF37" i="9"/>
  <c r="AH20" i="9"/>
  <c r="AH21" i="9" s="1"/>
  <c r="AA20" i="9"/>
  <c r="AA21" i="9" s="1"/>
  <c r="AB20" i="9"/>
  <c r="AB24" i="9" s="1"/>
  <c r="AB28" i="9" s="1"/>
  <c r="AC20" i="9"/>
  <c r="AC21" i="9" s="1"/>
  <c r="X20" i="9"/>
  <c r="X14" i="9"/>
  <c r="AH23" i="9"/>
  <c r="AG23" i="9"/>
  <c r="I98" i="8"/>
  <c r="S33" i="8"/>
  <c r="K30" i="8"/>
  <c r="K34" i="8"/>
  <c r="K40" i="8"/>
  <c r="K98" i="8"/>
  <c r="O30" i="8"/>
  <c r="O37" i="8"/>
  <c r="O34" i="8"/>
  <c r="O40" i="8"/>
  <c r="M40" i="8"/>
  <c r="M37" i="8"/>
  <c r="M34" i="8"/>
  <c r="R34" i="8"/>
  <c r="R40" i="8"/>
  <c r="R37" i="8"/>
  <c r="N37" i="8"/>
  <c r="N34" i="8"/>
  <c r="N40" i="8"/>
  <c r="P40" i="8"/>
  <c r="P34" i="8"/>
  <c r="P37" i="8"/>
  <c r="J37" i="8"/>
  <c r="J34" i="8"/>
  <c r="J40" i="8"/>
  <c r="I34" i="8"/>
  <c r="I40" i="8"/>
  <c r="I37" i="8"/>
  <c r="Q34" i="8"/>
  <c r="Q40" i="8"/>
  <c r="Q37" i="8"/>
  <c r="H29" i="9" l="1"/>
  <c r="H35" i="9"/>
  <c r="H43" i="9" s="1"/>
  <c r="I121" i="8"/>
  <c r="I141" i="8" s="1"/>
  <c r="W98" i="8"/>
  <c r="K121" i="8"/>
  <c r="K141" i="8" s="1"/>
  <c r="Y98" i="8"/>
  <c r="X98" i="8"/>
  <c r="AD20" i="9"/>
  <c r="AD21" i="9" s="1"/>
  <c r="Y20" i="9"/>
  <c r="Y24" i="9" s="1"/>
  <c r="Y28" i="9" s="1"/>
  <c r="AG14" i="9"/>
  <c r="AG24" i="9"/>
  <c r="AG28" i="9" s="1"/>
  <c r="M121" i="8"/>
  <c r="M141" i="8" s="1"/>
  <c r="Z25" i="9"/>
  <c r="Z21" i="9"/>
  <c r="AF25" i="9"/>
  <c r="AH24" i="9"/>
  <c r="AH28" i="9" s="1"/>
  <c r="AE24" i="9"/>
  <c r="AE28" i="9" s="1"/>
  <c r="AC37" i="9"/>
  <c r="AD37" i="9"/>
  <c r="AE37" i="9"/>
  <c r="AB21" i="9"/>
  <c r="AA24" i="9"/>
  <c r="AC24" i="9"/>
  <c r="X24" i="9"/>
  <c r="X28" i="9" s="1"/>
  <c r="X21" i="9"/>
  <c r="AB25" i="9"/>
  <c r="Z29" i="9"/>
  <c r="Z35" i="9"/>
  <c r="AB29" i="9"/>
  <c r="AB35" i="9"/>
  <c r="AF35" i="9"/>
  <c r="AF29" i="9"/>
  <c r="S34" i="8"/>
  <c r="S40" i="8"/>
  <c r="S37" i="8"/>
  <c r="W141" i="8" l="1"/>
  <c r="H44" i="9"/>
  <c r="Y141" i="8"/>
  <c r="X141" i="8"/>
  <c r="AD24" i="9"/>
  <c r="AD28" i="9" s="1"/>
  <c r="Y35" i="9"/>
  <c r="Y25" i="9"/>
  <c r="Y21" i="9"/>
  <c r="Y29" i="9"/>
  <c r="AG35" i="9"/>
  <c r="AG25" i="9"/>
  <c r="AG29" i="9"/>
  <c r="AH25" i="9"/>
  <c r="AC25" i="9"/>
  <c r="AC28" i="9"/>
  <c r="AA25" i="9"/>
  <c r="AA28" i="9"/>
  <c r="AE25" i="9"/>
  <c r="X25" i="9"/>
  <c r="AH35" i="9"/>
  <c r="AH29" i="9"/>
  <c r="AD29" i="9" l="1"/>
  <c r="AD25" i="9"/>
  <c r="AD35" i="9"/>
  <c r="AA29" i="9"/>
  <c r="AA35" i="9"/>
  <c r="AC29" i="9"/>
  <c r="AE35" i="9"/>
  <c r="AC35" i="9"/>
  <c r="AE29" i="9"/>
  <c r="X29" i="9"/>
  <c r="X35" i="9"/>
  <c r="B95" i="8"/>
  <c r="B94" i="8"/>
  <c r="H95" i="8"/>
  <c r="H94" i="8"/>
  <c r="F95" i="8"/>
  <c r="E95" i="8"/>
  <c r="D95" i="8"/>
  <c r="C95" i="8"/>
  <c r="F94" i="8"/>
  <c r="E94" i="8"/>
  <c r="D94" i="8"/>
  <c r="C94" i="8"/>
  <c r="B44" i="8"/>
  <c r="B43" i="8"/>
  <c r="AG44" i="8"/>
  <c r="AF44" i="8"/>
  <c r="AE44" i="8"/>
  <c r="AC44" i="8"/>
  <c r="AB44" i="8"/>
  <c r="AA44" i="8"/>
  <c r="Y44" i="8"/>
  <c r="X44" i="8"/>
  <c r="W44" i="8"/>
  <c r="AD44" i="8"/>
  <c r="Z44" i="8"/>
  <c r="AG43" i="8"/>
  <c r="AF43" i="8"/>
  <c r="AE43" i="8"/>
  <c r="AD43" i="8"/>
  <c r="AC43" i="8"/>
  <c r="AB43" i="8"/>
  <c r="AA43" i="8"/>
  <c r="Z43" i="8"/>
  <c r="Y43" i="8"/>
  <c r="X43" i="8"/>
  <c r="W43" i="8"/>
  <c r="W94" i="8" l="1"/>
  <c r="Z94" i="8"/>
  <c r="AA94" i="8"/>
  <c r="AA95" i="8"/>
  <c r="AD94" i="8"/>
  <c r="AE94" i="8"/>
  <c r="Z95" i="8"/>
  <c r="AE95" i="8"/>
  <c r="AF95" i="8"/>
  <c r="AC94" i="8"/>
  <c r="X94" i="8"/>
  <c r="AF94" i="8"/>
  <c r="AC95" i="8"/>
  <c r="AB95" i="8"/>
  <c r="Y94" i="8"/>
  <c r="AG94" i="8"/>
  <c r="AD95" i="8"/>
  <c r="W95" i="8"/>
  <c r="X95" i="8"/>
  <c r="AB94" i="8"/>
  <c r="Y95" i="8"/>
  <c r="AG95" i="8"/>
  <c r="B7" i="9" l="1"/>
  <c r="B6" i="9"/>
  <c r="E9" i="10"/>
  <c r="E16" i="10" s="1"/>
  <c r="D9" i="10"/>
  <c r="D16" i="10" s="1"/>
  <c r="U9" i="10"/>
  <c r="T9" i="10"/>
  <c r="S9" i="10"/>
  <c r="R9" i="10"/>
  <c r="Q9" i="10"/>
  <c r="P9" i="10"/>
  <c r="F9" i="10"/>
  <c r="F16" i="10" s="1"/>
  <c r="AG66" i="9"/>
  <c r="AG67" i="9" s="1"/>
  <c r="AI66" i="9"/>
  <c r="R10" i="10" l="1"/>
  <c r="R16" i="10"/>
  <c r="T10" i="10"/>
  <c r="T16" i="10"/>
  <c r="P10" i="10"/>
  <c r="P16" i="10"/>
  <c r="Q10" i="10"/>
  <c r="Q16" i="10"/>
  <c r="S10" i="10"/>
  <c r="S16" i="10"/>
  <c r="U10" i="10"/>
  <c r="U16" i="10"/>
  <c r="E8" i="9"/>
  <c r="Q8" i="9"/>
  <c r="R8" i="9"/>
  <c r="S8" i="9"/>
  <c r="U8" i="9"/>
  <c r="F8" i="9"/>
  <c r="D8" i="9"/>
  <c r="V8" i="9"/>
  <c r="T8" i="9"/>
  <c r="AH66" i="9"/>
  <c r="AH67" i="9" s="1"/>
  <c r="AH60" i="9" l="1"/>
  <c r="AK7" i="9"/>
  <c r="AI67" i="9"/>
  <c r="AI8" i="9"/>
  <c r="AK6" i="9"/>
  <c r="AK8" i="9" l="1"/>
  <c r="AB11" i="8" l="1"/>
  <c r="E51" i="8"/>
  <c r="E60" i="8" s="1"/>
  <c r="D51" i="8"/>
  <c r="D60" i="8" s="1"/>
  <c r="C51" i="8"/>
  <c r="C60" i="8" s="1"/>
  <c r="F51" i="8"/>
  <c r="F60" i="8" s="1"/>
  <c r="W69" i="8" l="1"/>
  <c r="W78" i="8" s="1"/>
  <c r="W51" i="8"/>
  <c r="W60" i="8" s="1"/>
  <c r="AC11" i="8"/>
  <c r="AB14" i="8"/>
  <c r="AB20" i="8" s="1"/>
  <c r="AB29" i="8" s="1"/>
  <c r="AC51" i="8"/>
  <c r="AC60" i="8" s="1"/>
  <c r="AA51" i="8"/>
  <c r="AA60" i="8" s="1"/>
  <c r="AC69" i="8"/>
  <c r="AC78" i="8" s="1"/>
  <c r="AB69" i="8"/>
  <c r="AB78" i="8" s="1"/>
  <c r="X69" i="8"/>
  <c r="X78" i="8" s="1"/>
  <c r="Z11" i="8"/>
  <c r="X51" i="8"/>
  <c r="X60" i="8" s="1"/>
  <c r="AB51" i="8"/>
  <c r="AB60" i="8" s="1"/>
  <c r="AA11" i="8"/>
  <c r="Y51" i="8"/>
  <c r="Y60" i="8" s="1"/>
  <c r="Y69" i="8"/>
  <c r="Y78" i="8" s="1"/>
  <c r="AA69" i="8"/>
  <c r="AA78" i="8" s="1"/>
  <c r="AE51" i="8"/>
  <c r="AE60" i="8" s="1"/>
  <c r="AE11" i="8"/>
  <c r="AE69" i="8"/>
  <c r="AE78" i="8" s="1"/>
  <c r="AF69" i="8"/>
  <c r="AF78" i="8" s="1"/>
  <c r="AD11" i="8"/>
  <c r="AF11" i="8"/>
  <c r="AF51" i="8"/>
  <c r="AF60" i="8" s="1"/>
  <c r="AB21" i="8" l="1"/>
  <c r="AB33" i="8"/>
  <c r="AA14" i="8"/>
  <c r="AA20" i="8" s="1"/>
  <c r="AA29" i="8" s="1"/>
  <c r="AI13" i="9"/>
  <c r="AC9" i="10"/>
  <c r="AC16" i="10" s="1"/>
  <c r="Z8" i="10"/>
  <c r="AA8" i="10"/>
  <c r="AB8" i="10"/>
  <c r="W87" i="8"/>
  <c r="W89" i="8" s="1"/>
  <c r="AE14" i="8"/>
  <c r="AE20" i="8" s="1"/>
  <c r="AE29" i="8" s="1"/>
  <c r="AI10" i="8"/>
  <c r="AC87" i="8"/>
  <c r="AC89" i="8" s="1"/>
  <c r="AA87" i="8"/>
  <c r="AA89" i="8" s="1"/>
  <c r="Y87" i="8"/>
  <c r="Y89" i="8" s="1"/>
  <c r="AI17" i="8"/>
  <c r="AB87" i="8"/>
  <c r="AB89" i="8" s="1"/>
  <c r="AC14" i="8"/>
  <c r="AC20" i="8" s="1"/>
  <c r="AC29" i="8" s="1"/>
  <c r="X87" i="8"/>
  <c r="X89" i="8" s="1"/>
  <c r="Z14" i="8"/>
  <c r="Z20" i="8" s="1"/>
  <c r="Z29" i="8" s="1"/>
  <c r="AB15" i="8"/>
  <c r="AI13" i="8"/>
  <c r="AE87" i="8"/>
  <c r="AE89" i="8" s="1"/>
  <c r="AF14" i="8"/>
  <c r="AF20" i="8" s="1"/>
  <c r="AF29" i="8" s="1"/>
  <c r="AD14" i="8"/>
  <c r="AD20" i="8" s="1"/>
  <c r="AD29" i="8" s="1"/>
  <c r="AF87" i="8"/>
  <c r="AF89" i="8" s="1"/>
  <c r="AA21" i="8" l="1"/>
  <c r="AA33" i="8"/>
  <c r="Z21" i="8"/>
  <c r="Z33" i="8"/>
  <c r="AC33" i="8"/>
  <c r="AC21" i="8"/>
  <c r="AE33" i="8"/>
  <c r="AE21" i="8"/>
  <c r="AD33" i="8"/>
  <c r="AD21" i="8"/>
  <c r="AF33" i="8"/>
  <c r="AF21" i="8"/>
  <c r="AE15" i="8"/>
  <c r="AD15" i="8"/>
  <c r="AA15" i="8"/>
  <c r="AF15" i="8"/>
  <c r="AC15" i="8"/>
  <c r="AI14" i="9"/>
  <c r="AI20" i="9"/>
  <c r="AA9" i="10"/>
  <c r="AA10" i="10" s="1"/>
  <c r="AB9" i="10"/>
  <c r="AB10" i="10" s="1"/>
  <c r="AC10" i="10"/>
  <c r="AD9" i="10"/>
  <c r="AD16" i="10" s="1"/>
  <c r="AF9" i="10"/>
  <c r="AF16" i="10" s="1"/>
  <c r="Z9" i="10"/>
  <c r="Z10" i="10" s="1"/>
  <c r="X8" i="10"/>
  <c r="W8" i="10"/>
  <c r="Y8" i="10"/>
  <c r="AB30" i="8"/>
  <c r="Z15" i="8"/>
  <c r="Y9" i="10" l="1"/>
  <c r="X9" i="10"/>
  <c r="AA30" i="8"/>
  <c r="Z30" i="8"/>
  <c r="AE30" i="8"/>
  <c r="AA34" i="8"/>
  <c r="AI24" i="9"/>
  <c r="AI28" i="9" s="1"/>
  <c r="AI21" i="9"/>
  <c r="W9" i="10"/>
  <c r="AE9" i="10"/>
  <c r="AD10" i="10"/>
  <c r="AB34" i="8"/>
  <c r="AB37" i="8"/>
  <c r="AB40" i="8"/>
  <c r="Z37" i="8"/>
  <c r="Z40" i="8"/>
  <c r="Z34" i="8"/>
  <c r="AF30" i="8"/>
  <c r="AC30" i="8"/>
  <c r="AD30" i="8"/>
  <c r="AE10" i="10" l="1"/>
  <c r="AE16" i="10"/>
  <c r="AA40" i="8"/>
  <c r="AA37" i="8"/>
  <c r="AI25" i="9"/>
  <c r="AD34" i="8"/>
  <c r="AD40" i="8"/>
  <c r="AD37" i="8"/>
  <c r="AC40" i="8"/>
  <c r="AC34" i="8"/>
  <c r="AC37" i="8"/>
  <c r="AE34" i="8"/>
  <c r="AE37" i="8"/>
  <c r="AE40" i="8"/>
  <c r="AF34" i="8"/>
  <c r="AF37" i="8"/>
  <c r="AF40" i="8"/>
  <c r="AI29" i="9" l="1"/>
  <c r="AI35" i="9"/>
  <c r="Z69" i="8" l="1"/>
  <c r="AD69" i="8"/>
  <c r="AD78" i="8" s="1"/>
  <c r="Z78" i="8" l="1"/>
  <c r="Z87" i="8" s="1"/>
  <c r="X126" i="8"/>
  <c r="Y126" i="8"/>
  <c r="W126" i="8"/>
  <c r="AC126" i="8"/>
  <c r="Z126" i="8"/>
  <c r="AA126" i="8"/>
  <c r="AB126" i="8"/>
  <c r="AD126" i="8"/>
  <c r="AF126" i="8"/>
  <c r="AE126" i="8"/>
  <c r="F11" i="8" l="1"/>
  <c r="F10" i="10" s="1"/>
  <c r="E11" i="8"/>
  <c r="E10" i="10" s="1"/>
  <c r="D11" i="8"/>
  <c r="D10" i="10" s="1"/>
  <c r="C11" i="8"/>
  <c r="C8" i="9" s="1"/>
  <c r="H126" i="8"/>
  <c r="F126" i="8"/>
  <c r="E126" i="8"/>
  <c r="D126" i="8"/>
  <c r="C126" i="8"/>
  <c r="H69" i="8"/>
  <c r="E69" i="8"/>
  <c r="E60" i="9" s="1"/>
  <c r="D69" i="8"/>
  <c r="D60" i="9" s="1"/>
  <c r="C69" i="8"/>
  <c r="C60" i="9" s="1"/>
  <c r="AG11" i="8"/>
  <c r="AF10" i="10" s="1"/>
  <c r="U67" i="9"/>
  <c r="M67" i="9"/>
  <c r="AK34" i="9"/>
  <c r="AK27" i="9"/>
  <c r="H78" i="8" l="1"/>
  <c r="H61" i="9" s="1"/>
  <c r="H60" i="9"/>
  <c r="C78" i="8"/>
  <c r="C61" i="9" s="1"/>
  <c r="E78" i="8"/>
  <c r="E61" i="9" s="1"/>
  <c r="D78" i="8"/>
  <c r="N67" i="9"/>
  <c r="V67" i="9"/>
  <c r="D67" i="9"/>
  <c r="O67" i="9"/>
  <c r="AG61" i="9"/>
  <c r="AI11" i="8"/>
  <c r="AI61" i="9"/>
  <c r="K67" i="9"/>
  <c r="AK23" i="9"/>
  <c r="F67" i="9"/>
  <c r="J67" i="9"/>
  <c r="AK19" i="9"/>
  <c r="AK16" i="9"/>
  <c r="O13" i="9"/>
  <c r="M9" i="9"/>
  <c r="U9" i="9"/>
  <c r="E67" i="9"/>
  <c r="I67" i="9"/>
  <c r="U10" i="9"/>
  <c r="AD87" i="8"/>
  <c r="E14" i="8"/>
  <c r="E20" i="8" s="1"/>
  <c r="E29" i="8" s="1"/>
  <c r="D14" i="8"/>
  <c r="D20" i="8" s="1"/>
  <c r="D29" i="8" s="1"/>
  <c r="F14" i="8"/>
  <c r="F20" i="8" s="1"/>
  <c r="F29" i="8" s="1"/>
  <c r="C14" i="8"/>
  <c r="C20" i="8" s="1"/>
  <c r="C29" i="8" s="1"/>
  <c r="AG69" i="8"/>
  <c r="AG78" i="8" s="1"/>
  <c r="AI86" i="8"/>
  <c r="F13" i="9"/>
  <c r="F9" i="9"/>
  <c r="D13" i="9"/>
  <c r="D9" i="9"/>
  <c r="E13" i="9"/>
  <c r="E9" i="9"/>
  <c r="M10" i="9"/>
  <c r="AK31" i="9"/>
  <c r="Q67" i="9"/>
  <c r="C13" i="9"/>
  <c r="R67" i="9"/>
  <c r="S67" i="9"/>
  <c r="C67" i="9"/>
  <c r="D87" i="8" l="1"/>
  <c r="D89" i="8" s="1"/>
  <c r="D61" i="9"/>
  <c r="C87" i="8"/>
  <c r="C89" i="8" s="1"/>
  <c r="D21" i="8"/>
  <c r="E21" i="8"/>
  <c r="E33" i="8"/>
  <c r="E98" i="8" s="1"/>
  <c r="O98" i="8" s="1"/>
  <c r="C33" i="8"/>
  <c r="C21" i="8"/>
  <c r="H33" i="8"/>
  <c r="F33" i="8"/>
  <c r="F98" i="8" s="1"/>
  <c r="S98" i="8" s="1"/>
  <c r="F21" i="8"/>
  <c r="C15" i="8"/>
  <c r="T67" i="9"/>
  <c r="AD51" i="8"/>
  <c r="H87" i="8"/>
  <c r="H89" i="8" s="1"/>
  <c r="Z51" i="8"/>
  <c r="E87" i="8"/>
  <c r="E89" i="8" s="1"/>
  <c r="F87" i="8"/>
  <c r="F89" i="8" s="1"/>
  <c r="AH61" i="9"/>
  <c r="P67" i="9"/>
  <c r="AI78" i="8"/>
  <c r="AI69" i="8"/>
  <c r="L67" i="9"/>
  <c r="P10" i="9"/>
  <c r="T9" i="9"/>
  <c r="Q9" i="9"/>
  <c r="R10" i="9"/>
  <c r="T13" i="9"/>
  <c r="T20" i="9" s="1"/>
  <c r="O10" i="9"/>
  <c r="Q10" i="9"/>
  <c r="N10" i="9"/>
  <c r="R13" i="9"/>
  <c r="R14" i="9" s="1"/>
  <c r="P13" i="9"/>
  <c r="P20" i="9" s="1"/>
  <c r="J10" i="9"/>
  <c r="R9" i="9"/>
  <c r="N9" i="9"/>
  <c r="J13" i="9"/>
  <c r="J14" i="9" s="1"/>
  <c r="AK32" i="9"/>
  <c r="P9" i="9"/>
  <c r="AG51" i="8"/>
  <c r="AG60" i="8" s="1"/>
  <c r="E15" i="8"/>
  <c r="F15" i="8"/>
  <c r="D15" i="8"/>
  <c r="AG14" i="8"/>
  <c r="AG20" i="8" s="1"/>
  <c r="O20" i="9"/>
  <c r="O14" i="9"/>
  <c r="AK33" i="9"/>
  <c r="E20" i="9"/>
  <c r="E14" i="9"/>
  <c r="S9" i="9"/>
  <c r="S13" i="9"/>
  <c r="S10" i="9"/>
  <c r="K13" i="9"/>
  <c r="K10" i="9"/>
  <c r="U13" i="9"/>
  <c r="AI9" i="9"/>
  <c r="AK12" i="9"/>
  <c r="N13" i="9"/>
  <c r="T10" i="9"/>
  <c r="C20" i="9"/>
  <c r="C14" i="9"/>
  <c r="V9" i="9"/>
  <c r="V13" i="9"/>
  <c r="V10" i="9"/>
  <c r="L13" i="9"/>
  <c r="L10" i="9"/>
  <c r="O9" i="9"/>
  <c r="M13" i="9"/>
  <c r="F20" i="9"/>
  <c r="F14" i="9"/>
  <c r="Q13" i="9"/>
  <c r="D20" i="9"/>
  <c r="D14" i="9"/>
  <c r="I13" i="9"/>
  <c r="AB98" i="8" l="1"/>
  <c r="AA98" i="8"/>
  <c r="Z98" i="8"/>
  <c r="O121" i="8"/>
  <c r="O141" i="8" s="1"/>
  <c r="Z60" i="8"/>
  <c r="Z89" i="8" s="1"/>
  <c r="AD60" i="8"/>
  <c r="AD89" i="8" s="1"/>
  <c r="AI20" i="8"/>
  <c r="AG29" i="8"/>
  <c r="H34" i="8"/>
  <c r="H40" i="8"/>
  <c r="D30" i="8"/>
  <c r="D33" i="8"/>
  <c r="D40" i="8" s="1"/>
  <c r="AG21" i="8"/>
  <c r="AI21" i="8" s="1"/>
  <c r="F30" i="8"/>
  <c r="E30" i="8"/>
  <c r="AI133" i="8"/>
  <c r="AG87" i="8"/>
  <c r="AI87" i="8" s="1"/>
  <c r="AI60" i="8"/>
  <c r="AI51" i="8"/>
  <c r="T14" i="9"/>
  <c r="P14" i="9"/>
  <c r="F37" i="8"/>
  <c r="F40" i="8"/>
  <c r="E40" i="8"/>
  <c r="E37" i="8"/>
  <c r="R20" i="9"/>
  <c r="R21" i="9" s="1"/>
  <c r="J20" i="9"/>
  <c r="J21" i="9" s="1"/>
  <c r="AI14" i="8"/>
  <c r="F34" i="8"/>
  <c r="F121" i="8"/>
  <c r="F141" i="8" s="1"/>
  <c r="E34" i="8"/>
  <c r="E121" i="8"/>
  <c r="E141" i="8" s="1"/>
  <c r="C30" i="8"/>
  <c r="AG126" i="8"/>
  <c r="AI126" i="8" s="1"/>
  <c r="AG15" i="8"/>
  <c r="AI15" i="8" s="1"/>
  <c r="I20" i="9"/>
  <c r="I14" i="9"/>
  <c r="D24" i="9"/>
  <c r="D28" i="9" s="1"/>
  <c r="D21" i="9"/>
  <c r="C24" i="9"/>
  <c r="C28" i="9" s="1"/>
  <c r="C21" i="9"/>
  <c r="AK13" i="9"/>
  <c r="AK9" i="9"/>
  <c r="K14" i="9"/>
  <c r="K20" i="9"/>
  <c r="Q20" i="9"/>
  <c r="Q14" i="9"/>
  <c r="L14" i="9"/>
  <c r="L20" i="9"/>
  <c r="E24" i="9"/>
  <c r="E28" i="9" s="1"/>
  <c r="E21" i="9"/>
  <c r="O24" i="9"/>
  <c r="O28" i="9" s="1"/>
  <c r="O21" i="9"/>
  <c r="V20" i="9"/>
  <c r="V14" i="9"/>
  <c r="S14" i="9"/>
  <c r="S20" i="9"/>
  <c r="T24" i="9"/>
  <c r="T28" i="9" s="1"/>
  <c r="T21" i="9"/>
  <c r="P21" i="9"/>
  <c r="P24" i="9"/>
  <c r="P28" i="9" s="1"/>
  <c r="F21" i="9"/>
  <c r="F24" i="9"/>
  <c r="F28" i="9" s="1"/>
  <c r="U20" i="9"/>
  <c r="U14" i="9"/>
  <c r="M20" i="9"/>
  <c r="M14" i="9"/>
  <c r="N20" i="9"/>
  <c r="N14" i="9"/>
  <c r="AG33" i="8" l="1"/>
  <c r="AI29" i="8"/>
  <c r="AC141" i="8"/>
  <c r="AB141" i="8"/>
  <c r="AA141" i="8"/>
  <c r="Z141" i="8"/>
  <c r="S121" i="8"/>
  <c r="S141" i="8" s="1"/>
  <c r="D34" i="8"/>
  <c r="D98" i="8"/>
  <c r="D37" i="8"/>
  <c r="H98" i="8"/>
  <c r="H121" i="8" s="1"/>
  <c r="H141" i="8" s="1"/>
  <c r="H37" i="8"/>
  <c r="C98" i="8"/>
  <c r="C34" i="8"/>
  <c r="C40" i="8"/>
  <c r="C37" i="8"/>
  <c r="AG89" i="8"/>
  <c r="R24" i="9"/>
  <c r="R28" i="9" s="1"/>
  <c r="J24" i="9"/>
  <c r="J28" i="9" s="1"/>
  <c r="AG30" i="8"/>
  <c r="AI30" i="8" s="1"/>
  <c r="F25" i="9"/>
  <c r="N24" i="9"/>
  <c r="N28" i="9" s="1"/>
  <c r="N21" i="9"/>
  <c r="T25" i="9"/>
  <c r="E25" i="9"/>
  <c r="C25" i="9"/>
  <c r="AK20" i="9"/>
  <c r="AK14" i="9"/>
  <c r="O25" i="9"/>
  <c r="S21" i="9"/>
  <c r="S24" i="9"/>
  <c r="S28" i="9" s="1"/>
  <c r="D25" i="9"/>
  <c r="U24" i="9"/>
  <c r="U28" i="9" s="1"/>
  <c r="U21" i="9"/>
  <c r="Q21" i="9"/>
  <c r="Q24" i="9"/>
  <c r="Q28" i="9" s="1"/>
  <c r="M24" i="9"/>
  <c r="M28" i="9" s="1"/>
  <c r="M21" i="9"/>
  <c r="P25" i="9"/>
  <c r="L24" i="9"/>
  <c r="L28" i="9" s="1"/>
  <c r="L21" i="9"/>
  <c r="K21" i="9"/>
  <c r="K24" i="9"/>
  <c r="K28" i="9" s="1"/>
  <c r="V24" i="9"/>
  <c r="V28" i="9" s="1"/>
  <c r="V21" i="9"/>
  <c r="I21" i="9"/>
  <c r="I24" i="9"/>
  <c r="I28" i="9" s="1"/>
  <c r="AG141" i="8" l="1"/>
  <c r="AD141" i="8"/>
  <c r="AF141" i="8"/>
  <c r="AE141" i="8"/>
  <c r="D121" i="8"/>
  <c r="D141" i="8" s="1"/>
  <c r="C121" i="8"/>
  <c r="C141" i="8" s="1"/>
  <c r="AC121" i="8"/>
  <c r="AG40" i="8"/>
  <c r="R25" i="9"/>
  <c r="J25" i="9"/>
  <c r="AD121" i="8"/>
  <c r="M25" i="9"/>
  <c r="Q25" i="9"/>
  <c r="J35" i="9"/>
  <c r="J43" i="9" s="1"/>
  <c r="J29" i="9"/>
  <c r="N25" i="9"/>
  <c r="C35" i="9"/>
  <c r="C29" i="9"/>
  <c r="E29" i="9"/>
  <c r="E35" i="9"/>
  <c r="E43" i="9" s="1"/>
  <c r="F29" i="9"/>
  <c r="F35" i="9"/>
  <c r="F43" i="9" s="1"/>
  <c r="R29" i="9"/>
  <c r="R35" i="9"/>
  <c r="R43" i="9" s="1"/>
  <c r="V25" i="9"/>
  <c r="L25" i="9"/>
  <c r="U25" i="9"/>
  <c r="AK24" i="9"/>
  <c r="AK21" i="9"/>
  <c r="P35" i="9"/>
  <c r="P43" i="9" s="1"/>
  <c r="P29" i="9"/>
  <c r="O35" i="9"/>
  <c r="O43" i="9" s="1"/>
  <c r="O29" i="9"/>
  <c r="S25" i="9"/>
  <c r="I25" i="9"/>
  <c r="K25" i="9"/>
  <c r="D35" i="9"/>
  <c r="D43" i="9" s="1"/>
  <c r="D29" i="9"/>
  <c r="T29" i="9"/>
  <c r="T35" i="9"/>
  <c r="T43" i="9" s="1"/>
  <c r="Z121" i="8" l="1"/>
  <c r="AA121" i="8"/>
  <c r="AB121" i="8"/>
  <c r="AI33" i="8"/>
  <c r="AG37" i="8"/>
  <c r="AG34" i="8"/>
  <c r="AI34" i="8" s="1"/>
  <c r="C44" i="9"/>
  <c r="K35" i="9"/>
  <c r="K43" i="9" s="1"/>
  <c r="K29" i="9"/>
  <c r="Q35" i="9"/>
  <c r="Q43" i="9" s="1"/>
  <c r="AE43" i="9" s="1"/>
  <c r="Q29" i="9"/>
  <c r="I35" i="9"/>
  <c r="I43" i="9" s="1"/>
  <c r="I29" i="9"/>
  <c r="F44" i="9"/>
  <c r="J44" i="9"/>
  <c r="L35" i="9"/>
  <c r="L43" i="9" s="1"/>
  <c r="L29" i="9"/>
  <c r="E44" i="9"/>
  <c r="U35" i="9"/>
  <c r="U43" i="9" s="1"/>
  <c r="U29" i="9"/>
  <c r="N35" i="9"/>
  <c r="N43" i="9" s="1"/>
  <c r="N29" i="9"/>
  <c r="D44" i="9"/>
  <c r="S29" i="9"/>
  <c r="S35" i="9"/>
  <c r="S43" i="9" s="1"/>
  <c r="T44" i="9"/>
  <c r="M35" i="9"/>
  <c r="M43" i="9" s="1"/>
  <c r="M29" i="9"/>
  <c r="AK28" i="9"/>
  <c r="AK25" i="9"/>
  <c r="V29" i="9"/>
  <c r="V35" i="9"/>
  <c r="V43" i="9" s="1"/>
  <c r="AD43" i="9" l="1"/>
  <c r="AD44" i="9" s="1"/>
  <c r="AC43" i="9"/>
  <c r="AC44" i="9" s="1"/>
  <c r="AB43" i="9"/>
  <c r="AB44" i="9" s="1"/>
  <c r="AI43" i="9"/>
  <c r="AI44" i="9" s="1"/>
  <c r="AH43" i="9"/>
  <c r="AH44" i="9" s="1"/>
  <c r="AG43" i="9"/>
  <c r="AG44" i="9" s="1"/>
  <c r="AF43" i="9"/>
  <c r="AF44" i="9" s="1"/>
  <c r="AA43" i="9"/>
  <c r="AA44" i="9" s="1"/>
  <c r="Z43" i="9"/>
  <c r="Z44" i="9" s="1"/>
  <c r="Y43" i="9"/>
  <c r="X43" i="9"/>
  <c r="AE44" i="9"/>
  <c r="AI37" i="8"/>
  <c r="AI40" i="8"/>
  <c r="U44" i="9"/>
  <c r="V44" i="9"/>
  <c r="S44" i="9"/>
  <c r="K44" i="9"/>
  <c r="R44" i="9"/>
  <c r="AK29" i="9"/>
  <c r="AK35" i="9"/>
  <c r="M44" i="9"/>
  <c r="O44" i="9"/>
  <c r="P44" i="9"/>
  <c r="I44" i="9" l="1"/>
  <c r="Y44" i="9"/>
  <c r="X44" i="9"/>
  <c r="N44" i="9"/>
  <c r="Q44" i="9"/>
  <c r="L44" i="9"/>
  <c r="C138" i="8" l="1"/>
  <c r="C142" i="8" s="1"/>
  <c r="D136" i="8" l="1"/>
  <c r="D138" i="8" s="1"/>
  <c r="D142" i="8" s="1"/>
  <c r="D144" i="8" s="1"/>
  <c r="C144" i="8"/>
  <c r="H136" i="8"/>
  <c r="H138" i="8" s="1"/>
  <c r="H142" i="8" s="1"/>
  <c r="H144" i="8" s="1"/>
  <c r="W136" i="8" l="1"/>
  <c r="I136" i="8"/>
  <c r="I138" i="8" s="1"/>
  <c r="I142" i="8" s="1"/>
  <c r="I144" i="8" s="1"/>
  <c r="E136" i="8"/>
  <c r="E138" i="8" s="1"/>
  <c r="E142" i="8" s="1"/>
  <c r="E144" i="8" s="1"/>
  <c r="X136" i="8" l="1"/>
  <c r="F136" i="8"/>
  <c r="F138" i="8" s="1"/>
  <c r="F142" i="8" s="1"/>
  <c r="F144" i="8" s="1"/>
  <c r="J136" i="8"/>
  <c r="J138" i="8" s="1"/>
  <c r="J142" i="8" s="1"/>
  <c r="J144" i="8" s="1"/>
  <c r="Y136" i="8" l="1"/>
  <c r="K136" i="8"/>
  <c r="K138" i="8" s="1"/>
  <c r="K142" i="8" s="1"/>
  <c r="K144" i="8" s="1"/>
  <c r="Z136" i="8" l="1"/>
  <c r="L136" i="8"/>
  <c r="L138" i="8" s="1"/>
  <c r="L142" i="8" s="1"/>
  <c r="L144" i="8" s="1"/>
  <c r="AA136" i="8" l="1"/>
  <c r="M136" i="8"/>
  <c r="M138" i="8" s="1"/>
  <c r="M142" i="8" s="1"/>
  <c r="M144" i="8" s="1"/>
  <c r="AB136" i="8" l="1"/>
  <c r="N136" i="8"/>
  <c r="N138" i="8" s="1"/>
  <c r="N142" i="8" s="1"/>
  <c r="N144" i="8" s="1"/>
  <c r="AC136" i="8" l="1"/>
  <c r="AC138" i="8" s="1"/>
  <c r="O136" i="8"/>
  <c r="O138" i="8" s="1"/>
  <c r="O142" i="8" s="1"/>
  <c r="O144" i="8" s="1"/>
  <c r="AD136" i="8" l="1"/>
  <c r="P136" i="8"/>
  <c r="P138" i="8" s="1"/>
  <c r="P142" i="8" s="1"/>
  <c r="P144" i="8" s="1"/>
  <c r="AE136" i="8" l="1"/>
  <c r="Q136" i="8"/>
  <c r="Q138" i="8" s="1"/>
  <c r="Q142" i="8" s="1"/>
  <c r="Q144" i="8" s="1"/>
  <c r="AF136" i="8" l="1"/>
  <c r="R136" i="8"/>
  <c r="R138" i="8" s="1"/>
  <c r="R142" i="8" s="1"/>
  <c r="R144" i="8" s="1"/>
  <c r="AG136" i="8" l="1"/>
  <c r="S136" i="8"/>
  <c r="S138" i="8" s="1"/>
  <c r="S142" i="8" s="1"/>
  <c r="S144" i="8" s="1"/>
  <c r="T136" i="8" l="1"/>
  <c r="T138" i="8" s="1"/>
  <c r="T142" i="8" s="1"/>
  <c r="T144" i="8" s="1"/>
  <c r="U136" i="8" l="1"/>
  <c r="U138" i="8" s="1"/>
  <c r="U142" i="8" s="1"/>
  <c r="U144" i="8" s="1"/>
  <c r="W138" i="8" l="1"/>
  <c r="AB138" i="8" l="1"/>
  <c r="AB142" i="8" s="1"/>
  <c r="AB144" i="8" s="1"/>
  <c r="AC142" i="8" l="1"/>
  <c r="AC144" i="8" s="1"/>
  <c r="AD138" i="8" l="1"/>
  <c r="AD142" i="8" s="1"/>
  <c r="AD144" i="8" s="1"/>
  <c r="X138" i="8"/>
  <c r="AE138" i="8" l="1"/>
  <c r="Y121" i="8"/>
  <c r="W11" i="8"/>
  <c r="W10" i="10" s="1"/>
  <c r="Y11" i="8"/>
  <c r="X11" i="8"/>
  <c r="X14" i="8" s="1"/>
  <c r="X10" i="10" l="1"/>
  <c r="X20" i="8"/>
  <c r="X29" i="8" s="1"/>
  <c r="X15" i="8"/>
  <c r="Y14" i="8"/>
  <c r="Y10" i="10"/>
  <c r="W14" i="8"/>
  <c r="Y20" i="8" l="1"/>
  <c r="Y29" i="8" s="1"/>
  <c r="Y15" i="8"/>
  <c r="W15" i="8"/>
  <c r="W20" i="8"/>
  <c r="W29" i="8" s="1"/>
  <c r="X21" i="8"/>
  <c r="X33" i="8" l="1"/>
  <c r="X30" i="8"/>
  <c r="W21" i="8"/>
  <c r="Y21" i="8"/>
  <c r="Y33" i="8" l="1"/>
  <c r="Y30" i="8"/>
  <c r="W30" i="8"/>
  <c r="W33" i="8"/>
  <c r="X37" i="8"/>
  <c r="X34" i="8"/>
  <c r="X40" i="8"/>
  <c r="AE121" i="8" l="1"/>
  <c r="AF121" i="8"/>
  <c r="X121" i="8"/>
  <c r="X142" i="8" s="1"/>
  <c r="X144" i="8" s="1"/>
  <c r="W121" i="8"/>
  <c r="W34" i="8"/>
  <c r="W40" i="8"/>
  <c r="W37" i="8"/>
  <c r="Y37" i="8"/>
  <c r="Y34" i="8"/>
  <c r="Y40" i="8"/>
  <c r="W142" i="8" l="1"/>
  <c r="W144" i="8" s="1"/>
  <c r="AE142" i="8"/>
  <c r="AE144" i="8" s="1"/>
  <c r="AG121" i="8"/>
  <c r="AI98" i="8"/>
  <c r="Y138" i="8"/>
  <c r="Y142" i="8" s="1"/>
  <c r="Y144" i="8" s="1"/>
  <c r="AF138" i="8" l="1"/>
  <c r="AF142" i="8" s="1"/>
  <c r="AF144" i="8" s="1"/>
  <c r="AI121" i="8"/>
  <c r="Z138" i="8"/>
  <c r="Z142" i="8" s="1"/>
  <c r="Z144" i="8" s="1"/>
  <c r="AG138" i="8" l="1"/>
  <c r="AG142" i="8" s="1"/>
  <c r="AG144" i="8" s="1"/>
  <c r="AA138" i="8"/>
  <c r="AA142" i="8" s="1"/>
  <c r="AA144" i="8" s="1"/>
</calcChain>
</file>

<file path=xl/sharedStrings.xml><?xml version="1.0" encoding="utf-8"?>
<sst xmlns="http://schemas.openxmlformats.org/spreadsheetml/2006/main" count="414" uniqueCount="191">
  <si>
    <t>FYE</t>
  </si>
  <si>
    <t>Quarterly</t>
  </si>
  <si>
    <t>1Q24</t>
  </si>
  <si>
    <t>2Q24</t>
  </si>
  <si>
    <t>3Q24</t>
  </si>
  <si>
    <t>4Q24</t>
  </si>
  <si>
    <t>1Q23</t>
  </si>
  <si>
    <t>2Q23</t>
  </si>
  <si>
    <t>3Q23</t>
  </si>
  <si>
    <t>4Q23</t>
  </si>
  <si>
    <t>LTM</t>
  </si>
  <si>
    <t>EBITDA</t>
  </si>
  <si>
    <t>Total Revenue</t>
  </si>
  <si>
    <t>Cost of Sales</t>
  </si>
  <si>
    <t>Accounts receivable</t>
  </si>
  <si>
    <t>Accounts payable</t>
  </si>
  <si>
    <t>Changes in assets and liabilities:</t>
  </si>
  <si>
    <t>Cash-Flows Statement</t>
  </si>
  <si>
    <t>Total stockholders' equity</t>
  </si>
  <si>
    <t>Total Liabilities</t>
  </si>
  <si>
    <t>X</t>
  </si>
  <si>
    <t>Total Current Liabilities</t>
  </si>
  <si>
    <t>Common stock</t>
  </si>
  <si>
    <t>Total Current Assets</t>
  </si>
  <si>
    <t>Total Assets</t>
  </si>
  <si>
    <t>Gross Profit</t>
  </si>
  <si>
    <t>Total Debt</t>
  </si>
  <si>
    <t>Variance</t>
  </si>
  <si>
    <t>FCF Analysis</t>
  </si>
  <si>
    <t>1Q22</t>
  </si>
  <si>
    <t>2Q22</t>
  </si>
  <si>
    <t>3Q22</t>
  </si>
  <si>
    <t>4Q22</t>
  </si>
  <si>
    <t>1Q25</t>
  </si>
  <si>
    <t>2Q25</t>
  </si>
  <si>
    <t>Y/Y Growth (%)</t>
  </si>
  <si>
    <t>Q/Q Growth (%)</t>
  </si>
  <si>
    <t>N/A</t>
  </si>
  <si>
    <t>(-) Cost of Sales</t>
  </si>
  <si>
    <t>Gross Margin (%)</t>
  </si>
  <si>
    <t>Earning before Interest &amp; Taxes (EBIT)</t>
  </si>
  <si>
    <t>Operating Margin (%)</t>
  </si>
  <si>
    <t>(+) Depreciation and Amortization</t>
  </si>
  <si>
    <t>EBITDA Margin (%)</t>
  </si>
  <si>
    <t xml:space="preserve">(+) Share-based Compensation </t>
  </si>
  <si>
    <t>Adj. EBITDA</t>
  </si>
  <si>
    <t>Adj. EBITDA Margin (%)</t>
  </si>
  <si>
    <t>(-) Capital Expenditures</t>
  </si>
  <si>
    <t>(-) Cash Taxes</t>
  </si>
  <si>
    <t>(+/-) Changes in NWC</t>
  </si>
  <si>
    <t>Discretionary Cash-Flows</t>
  </si>
  <si>
    <t>Free-Cash Flows</t>
  </si>
  <si>
    <t>Capitalization</t>
  </si>
  <si>
    <t>Cash &amp; Cash Equivelants</t>
  </si>
  <si>
    <t>Total Liquidity</t>
  </si>
  <si>
    <t>Balance Sheet Metrics:</t>
  </si>
  <si>
    <t>Accounts Receivable</t>
  </si>
  <si>
    <t>Accounts Payable</t>
  </si>
  <si>
    <t>Property Plant, and Equiptment</t>
  </si>
  <si>
    <t>Current Liabilities</t>
  </si>
  <si>
    <t>Total Shareholder Equity</t>
  </si>
  <si>
    <t>Total Book Capitalization</t>
  </si>
  <si>
    <t>Total Leverage</t>
  </si>
  <si>
    <t>Net Leverage (C&amp;CE)</t>
  </si>
  <si>
    <t xml:space="preserve">Interest Coverage </t>
  </si>
  <si>
    <t>Debt Service Coverage</t>
  </si>
  <si>
    <t>Fixed Charge Coverage</t>
  </si>
  <si>
    <t>Debt-to-Book Capitalization</t>
  </si>
  <si>
    <t>Net loss</t>
  </si>
  <si>
    <t>Total liabilities and stockholders' equity</t>
  </si>
  <si>
    <t>Cash-Flows From Operating Activities</t>
  </si>
  <si>
    <t>Net income (loss)</t>
  </si>
  <si>
    <t>Depreciation and amortization</t>
  </si>
  <si>
    <t>Net cash used in operating activities</t>
  </si>
  <si>
    <t>Cash flows from investing activities:</t>
  </si>
  <si>
    <t>Net cash used in investing activities</t>
  </si>
  <si>
    <t>Cash flows from financing activities:</t>
  </si>
  <si>
    <t>Net cash provided by financing activities</t>
  </si>
  <si>
    <t>Consolidated Revenue</t>
  </si>
  <si>
    <t>Adjustments to reconcile net income:</t>
  </si>
  <si>
    <t>Balance Check</t>
  </si>
  <si>
    <t>Net Change in Cash</t>
  </si>
  <si>
    <t>Cash BOP</t>
  </si>
  <si>
    <t>Net Margin (%)</t>
  </si>
  <si>
    <t>Basic shares</t>
  </si>
  <si>
    <t>Basic EPS</t>
  </si>
  <si>
    <t>Fully Diluted Shares</t>
  </si>
  <si>
    <t>Diluted EPS</t>
  </si>
  <si>
    <t>Segment Anaysis</t>
  </si>
  <si>
    <t>Total Net Revenue</t>
  </si>
  <si>
    <t xml:space="preserve">(+/-) Other </t>
  </si>
  <si>
    <t>Credit Metrics</t>
  </si>
  <si>
    <t>Interest income</t>
  </si>
  <si>
    <t>Interest expense</t>
  </si>
  <si>
    <t>NM</t>
  </si>
  <si>
    <t>Cash paid for interest</t>
  </si>
  <si>
    <t>Adjusted Cash Position BOP</t>
  </si>
  <si>
    <t>Adjusted Cash Position EOP</t>
  </si>
  <si>
    <t xml:space="preserve">(-) Cash Interest </t>
  </si>
  <si>
    <t>Preferred stock</t>
  </si>
  <si>
    <t>Income Statement</t>
  </si>
  <si>
    <t xml:space="preserve">Balance Sheet </t>
  </si>
  <si>
    <t>Historical Financials</t>
  </si>
  <si>
    <t>Fiscal Period</t>
  </si>
  <si>
    <t>Fiscal Period End Date</t>
  </si>
  <si>
    <t>Operating Profit</t>
  </si>
  <si>
    <t>Earning Before Taxes</t>
  </si>
  <si>
    <t>EBT Margin (%)</t>
  </si>
  <si>
    <t>Current Assets</t>
  </si>
  <si>
    <t>Non-Current Assets</t>
  </si>
  <si>
    <t>Restricted Cash</t>
  </si>
  <si>
    <t>Non-Current Liabilities</t>
  </si>
  <si>
    <t>BOP Restricted Cash Adjustments (Changes in FX; Restricted Cash)</t>
  </si>
  <si>
    <t>EOP Restricted Cash Adjustments (Changes in FX; Restricted Cash)</t>
  </si>
  <si>
    <t>Total Net U.S Revenue</t>
  </si>
  <si>
    <t>Net Revenues by Channel</t>
  </si>
  <si>
    <t>Revenue by Channel: U.S</t>
  </si>
  <si>
    <t>(+/-) Issuance / (Repayment) of Debt, net</t>
  </si>
  <si>
    <t>(+/-) Proceeds / (Purchases) of Equity, net</t>
  </si>
  <si>
    <t>(+/-) Other Financing Activities</t>
  </si>
  <si>
    <t>IonQ, Inc. (NASDAQ: IONQ)</t>
  </si>
  <si>
    <t xml:space="preserve">Quantum computing and networking hardware
</t>
  </si>
  <si>
    <t xml:space="preserve">Platform, consulting and support services
</t>
  </si>
  <si>
    <t xml:space="preserve">United States
</t>
  </si>
  <si>
    <t>International</t>
  </si>
  <si>
    <t>Research and development</t>
  </si>
  <si>
    <t>Cash and cash equivalents</t>
  </si>
  <si>
    <t>Property and equipment, net</t>
  </si>
  <si>
    <t>Operating lease right-of-use assets</t>
  </si>
  <si>
    <t>Goodwill</t>
  </si>
  <si>
    <t>Current portion of operating lease liabilities</t>
  </si>
  <si>
    <t>Additional paid-in capital</t>
  </si>
  <si>
    <t>Accumulated deficit</t>
  </si>
  <si>
    <t>Stock-based compensation</t>
  </si>
  <si>
    <t>Purchases of property and equipment</t>
  </si>
  <si>
    <t>Provision for taxes</t>
  </si>
  <si>
    <r>
      <t xml:space="preserve">1) </t>
    </r>
    <r>
      <rPr>
        <b/>
        <i/>
        <sz val="8"/>
        <color theme="1"/>
        <rFont val="Calibri"/>
        <family val="2"/>
      </rPr>
      <t xml:space="preserve">Other, net </t>
    </r>
    <r>
      <rPr>
        <i/>
        <sz val="8"/>
        <color theme="1"/>
        <rFont val="Calibri"/>
        <family val="2"/>
      </rPr>
      <t>consists of:Other + Non-cash research and development arrangements+ Deferred income taxes.</t>
    </r>
  </si>
  <si>
    <r>
      <t xml:space="preserve">2) </t>
    </r>
    <r>
      <rPr>
        <b/>
        <i/>
        <sz val="8"/>
        <color theme="1"/>
        <rFont val="Calibri"/>
        <family val="2"/>
      </rPr>
      <t xml:space="preserve">Other Investing </t>
    </r>
    <r>
      <rPr>
        <i/>
        <sz val="8"/>
        <color theme="1"/>
        <rFont val="Calibri"/>
        <family val="2"/>
      </rPr>
      <t>consists of: Other Investing + Intangible asset acquisition costs.</t>
    </r>
  </si>
  <si>
    <t>(-) Research and development</t>
  </si>
  <si>
    <t>(-) Sales and marketing</t>
  </si>
  <si>
    <t>(-) General and administrative</t>
  </si>
  <si>
    <t>(-) Depreciation and amortization</t>
  </si>
  <si>
    <t>(+/-) Maturities / (Purchases) of available-for-sale securities</t>
  </si>
  <si>
    <t>(+/-) Divestitures / (Acquisitions)</t>
  </si>
  <si>
    <t>(+/-) Other Investing Activities</t>
  </si>
  <si>
    <t>(+/-) Other Operating Activities</t>
  </si>
  <si>
    <t>Short-term Investments</t>
  </si>
  <si>
    <t>Long-term Investments</t>
  </si>
  <si>
    <t>Unearned Revenue, Current</t>
  </si>
  <si>
    <t>Unearned Revenue, Non-Current</t>
  </si>
  <si>
    <t>Consolidated Debt</t>
  </si>
  <si>
    <t>$ in thousands except per share</t>
  </si>
  <si>
    <t>Rigetti Computing Inc. (NASDAQ: RGTI)</t>
  </si>
  <si>
    <t>Selling, general and administrative</t>
  </si>
  <si>
    <t>Goodwill impairment</t>
  </si>
  <si>
    <t>Change in fair value of derivative warrant liabilities</t>
  </si>
  <si>
    <t>Change in fair value of earn-out liabilities</t>
  </si>
  <si>
    <t>Transaction costs</t>
  </si>
  <si>
    <t>Available-for-sale investments</t>
  </si>
  <si>
    <t>Other assets</t>
  </si>
  <si>
    <t>Restricted cash</t>
  </si>
  <si>
    <t>Accrued expenses and other current liabilities</t>
  </si>
  <si>
    <t>Deferred revenue</t>
  </si>
  <si>
    <t>Current portion of debt</t>
  </si>
  <si>
    <t>Forward contract - liabilities</t>
  </si>
  <si>
    <t>Debt, less current portion</t>
  </si>
  <si>
    <t>Operating lease liabilities, less current portion</t>
  </si>
  <si>
    <t>Derivative warrant liabilities</t>
  </si>
  <si>
    <t>Earn-out liabilities</t>
  </si>
  <si>
    <t>Other liabilities</t>
  </si>
  <si>
    <t>Redeemable convertible preferred stock</t>
  </si>
  <si>
    <t>Accumulated other comprehensive income (loss)</t>
  </si>
  <si>
    <t>Change in fair value of forward contract</t>
  </si>
  <si>
    <t>Impairment of deferred offering costs</t>
  </si>
  <si>
    <t>Accretion of available-for-sale securities</t>
  </si>
  <si>
    <t>Amortization of debt issuance costs, commitment fees and accretion of debt end-of-term liabilities</t>
  </si>
  <si>
    <t>Amortization of exit fee asset</t>
  </si>
  <si>
    <t>Non-cash lease expense</t>
  </si>
  <si>
    <t>Prepaid expenses, other current assets and other assets</t>
  </si>
  <si>
    <t>Accrued expenses and operating lease liabilities</t>
  </si>
  <si>
    <t>Supplemental disclosures of other cash flow information:</t>
  </si>
  <si>
    <t>Maturities / (Purchases) of available-for-sale securities</t>
  </si>
  <si>
    <t>(+/-) Proceeds from Business Combination, net of transaction costs paid</t>
  </si>
  <si>
    <t>(+/-) Transaction costs paid directly by Rigetti</t>
  </si>
  <si>
    <t>Restructuring &amp; Other Impairments</t>
  </si>
  <si>
    <t>Other Gains &amp; Losses</t>
  </si>
  <si>
    <r>
      <t xml:space="preserve">Prepaid expenses and other current assets </t>
    </r>
    <r>
      <rPr>
        <vertAlign val="superscript"/>
        <sz val="9"/>
        <rFont val="Calibri"/>
        <family val="2"/>
      </rPr>
      <t>(1)</t>
    </r>
  </si>
  <si>
    <r>
      <t xml:space="preserve">1) </t>
    </r>
    <r>
      <rPr>
        <b/>
        <i/>
        <sz val="8"/>
        <rFont val="Calibri"/>
        <family val="2"/>
      </rPr>
      <t>Prepaid expenses and other current assets consists of</t>
    </r>
    <r>
      <rPr>
        <i/>
        <sz val="8"/>
        <rFont val="Calibri"/>
        <family val="2"/>
      </rPr>
      <t>: Prepaid expenses and other current assets + Forward contracts + Deferred offering costs.</t>
    </r>
  </si>
  <si>
    <t>Available-for-sale investments - long-term</t>
  </si>
  <si>
    <t>Deferred revenue, less current portion</t>
  </si>
  <si>
    <t>Loss on extinguishment of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</si>
</sst>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&quot;$ &quot;#,##0_);_(&quot;$ &quot;\(#,##0\)"/>
    <numFmt numFmtId="167" formatCode="#,##0.0%;\(#,##0.0%\)"/>
    <numFmt numFmtId="168" formatCode="#,##0.0&quot;bps&quot;_);\(#,##0.0&quot;bps&quot;\)"/>
    <numFmt numFmtId="169" formatCode="#,##0.00&quot;bps&quot;_);\(#,##0.00&quot;bps&quot;\)"/>
    <numFmt numFmtId="170" formatCode="_(* #,##0.00&quot;x&quot;_);_(* \(#,##0.00&quot;x&quot;\);_(* &quot;-&quot;_);_(@_)"/>
  </numFmts>
  <fonts count="32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9"/>
      <color theme="0"/>
      <name val="Calibri"/>
      <family val="2"/>
    </font>
    <font>
      <i/>
      <sz val="9"/>
      <color theme="0"/>
      <name val="Calibri"/>
      <family val="2"/>
    </font>
    <font>
      <sz val="9"/>
      <color theme="1"/>
      <name val="Calibri"/>
      <family val="2"/>
    </font>
    <font>
      <b/>
      <i/>
      <sz val="9"/>
      <color theme="0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b/>
      <i/>
      <sz val="9"/>
      <name val="Calibri"/>
      <family val="2"/>
    </font>
    <font>
      <i/>
      <sz val="8"/>
      <name val="Calibri"/>
      <family val="2"/>
    </font>
    <font>
      <sz val="9"/>
      <color rgb="FF0000CC"/>
      <name val="Calibri"/>
      <family val="2"/>
    </font>
    <font>
      <sz val="9"/>
      <color rgb="FF0000FF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i/>
      <sz val="9"/>
      <color theme="1"/>
      <name val="Calibri"/>
      <family val="2"/>
    </font>
    <font>
      <b/>
      <sz val="9"/>
      <color indexed="8"/>
      <name val="Calibri"/>
      <family val="2"/>
    </font>
    <font>
      <sz val="9"/>
      <color rgb="FF0000E1"/>
      <name val="Calibri"/>
      <family val="2"/>
    </font>
    <font>
      <sz val="10"/>
      <name val="Arial"/>
      <family val="2"/>
    </font>
    <font>
      <sz val="9"/>
      <color rgb="FFFF0000"/>
      <name val="Tw Cen MT"/>
      <family val="2"/>
      <scheme val="minor"/>
    </font>
    <font>
      <sz val="8"/>
      <color rgb="FFFF0000"/>
      <name val="Calibri"/>
      <family val="2"/>
    </font>
    <font>
      <b/>
      <sz val="8"/>
      <color theme="1"/>
      <name val="Calibri"/>
      <family val="2"/>
    </font>
    <font>
      <i/>
      <sz val="8"/>
      <color theme="1"/>
      <name val="Calibri"/>
      <family val="2"/>
    </font>
    <font>
      <sz val="7"/>
      <color rgb="FFFF0000"/>
      <name val="Calibri"/>
      <family val="2"/>
    </font>
    <font>
      <sz val="9"/>
      <color rgb="FF00B050"/>
      <name val="Calibri"/>
      <family val="2"/>
    </font>
    <font>
      <sz val="10"/>
      <name val="Arial Narrow MT"/>
      <family val="2"/>
    </font>
    <font>
      <sz val="9"/>
      <color rgb="FF00B03C"/>
      <name val="Calibri"/>
      <family val="2"/>
    </font>
    <font>
      <vertAlign val="superscript"/>
      <sz val="9"/>
      <name val="Calibri"/>
      <family val="2"/>
    </font>
    <font>
      <b/>
      <i/>
      <sz val="8"/>
      <name val="Calibri"/>
      <family val="2"/>
    </font>
    <font>
      <b/>
      <sz val="8"/>
      <color theme="0"/>
      <name val="Calibri"/>
      <family val="2"/>
    </font>
    <font>
      <b/>
      <i/>
      <sz val="8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E5672"/>
        <bgColor indexed="64"/>
      </patternFill>
    </fill>
    <fill>
      <patternFill patternType="gray06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26" fillId="0" borderId="0" applyNumberFormat="0" applyFont="0" applyFill="0" applyBorder="0" applyAlignment="0" applyProtection="0"/>
  </cellStyleXfs>
  <cellXfs count="154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4" xfId="0" applyFont="1" applyFill="1" applyBorder="1" applyAlignment="1">
      <alignment horizontal="centerContinuous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vertical="top" wrapText="1"/>
    </xf>
    <xf numFmtId="41" fontId="4" fillId="0" borderId="0" xfId="0" applyNumberFormat="1" applyFont="1"/>
    <xf numFmtId="37" fontId="4" fillId="0" borderId="0" xfId="0" applyNumberFormat="1" applyFont="1" applyAlignment="1">
      <alignment wrapText="1"/>
    </xf>
    <xf numFmtId="0" fontId="8" fillId="3" borderId="5" xfId="0" applyFont="1" applyFill="1" applyBorder="1" applyAlignment="1">
      <alignment vertical="top" wrapText="1"/>
    </xf>
    <xf numFmtId="5" fontId="8" fillId="3" borderId="2" xfId="0" applyNumberFormat="1" applyFont="1" applyFill="1" applyBorder="1" applyAlignment="1">
      <alignment horizontal="right" vertical="top" wrapText="1"/>
    </xf>
    <xf numFmtId="0" fontId="10" fillId="0" borderId="0" xfId="0" applyFont="1" applyAlignment="1">
      <alignment horizontal="left" vertical="center" wrapText="1" indent="1"/>
    </xf>
    <xf numFmtId="167" fontId="10" fillId="0" borderId="0" xfId="1" applyNumberFormat="1" applyFont="1" applyBorder="1" applyAlignment="1">
      <alignment horizontal="right" vertical="center" wrapText="1"/>
    </xf>
    <xf numFmtId="9" fontId="6" fillId="0" borderId="0" xfId="1" applyFont="1" applyAlignment="1">
      <alignment horizontal="left" vertical="top" wrapText="1" indent="1"/>
    </xf>
    <xf numFmtId="9" fontId="11" fillId="0" borderId="0" xfId="1" applyFont="1" applyAlignment="1">
      <alignment horizontal="right" vertical="top" wrapText="1"/>
    </xf>
    <xf numFmtId="9" fontId="4" fillId="0" borderId="0" xfId="1" applyFont="1" applyAlignment="1">
      <alignment wrapText="1"/>
    </xf>
    <xf numFmtId="9" fontId="12" fillId="0" borderId="0" xfId="1" applyFont="1" applyAlignment="1">
      <alignment horizontal="right" vertical="top" wrapText="1"/>
    </xf>
    <xf numFmtId="9" fontId="4" fillId="0" borderId="0" xfId="1" applyFont="1"/>
    <xf numFmtId="0" fontId="6" fillId="0" borderId="0" xfId="0" quotePrefix="1" applyFont="1" applyAlignment="1">
      <alignment vertical="top" wrapText="1"/>
    </xf>
    <xf numFmtId="37" fontId="6" fillId="0" borderId="0" xfId="0" applyNumberFormat="1" applyFont="1" applyAlignment="1">
      <alignment horizontal="right" vertical="top" wrapText="1"/>
    </xf>
    <xf numFmtId="0" fontId="8" fillId="0" borderId="0" xfId="0" applyFont="1" applyAlignment="1">
      <alignment vertical="top" wrapText="1"/>
    </xf>
    <xf numFmtId="5" fontId="8" fillId="0" borderId="2" xfId="0" applyNumberFormat="1" applyFont="1" applyBorder="1" applyAlignment="1">
      <alignment horizontal="right" vertical="top" wrapText="1"/>
    </xf>
    <xf numFmtId="9" fontId="13" fillId="0" borderId="0" xfId="1" applyFont="1" applyBorder="1" applyAlignment="1">
      <alignment horizontal="right" vertical="center" wrapText="1"/>
    </xf>
    <xf numFmtId="0" fontId="14" fillId="0" borderId="0" xfId="0" applyFont="1" applyAlignment="1">
      <alignment wrapText="1"/>
    </xf>
    <xf numFmtId="0" fontId="7" fillId="0" borderId="0" xfId="0" applyFont="1" applyAlignment="1">
      <alignment horizontal="left" vertical="center" wrapText="1" indent="1"/>
    </xf>
    <xf numFmtId="9" fontId="6" fillId="0" borderId="0" xfId="1" applyFont="1" applyBorder="1" applyAlignment="1">
      <alignment horizontal="right" vertical="center" wrapText="1"/>
    </xf>
    <xf numFmtId="0" fontId="4" fillId="0" borderId="0" xfId="0" quotePrefix="1" applyFont="1"/>
    <xf numFmtId="41" fontId="6" fillId="0" borderId="0" xfId="0" applyNumberFormat="1" applyFont="1" applyAlignment="1">
      <alignment horizontal="right" vertical="top" wrapText="1"/>
    </xf>
    <xf numFmtId="0" fontId="2" fillId="2" borderId="0" xfId="0" applyFont="1" applyFill="1" applyAlignment="1">
      <alignment wrapText="1"/>
    </xf>
    <xf numFmtId="41" fontId="8" fillId="3" borderId="2" xfId="0" applyNumberFormat="1" applyFont="1" applyFill="1" applyBorder="1" applyAlignment="1">
      <alignment horizontal="right" vertical="top" wrapText="1"/>
    </xf>
    <xf numFmtId="0" fontId="15" fillId="0" borderId="6" xfId="0" applyFont="1" applyBorder="1"/>
    <xf numFmtId="0" fontId="15" fillId="0" borderId="0" xfId="0" applyFont="1"/>
    <xf numFmtId="0" fontId="4" fillId="0" borderId="1" xfId="0" applyFont="1" applyBorder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65" fontId="4" fillId="0" borderId="0" xfId="0" applyNumberFormat="1" applyFont="1" applyAlignment="1">
      <alignment wrapText="1"/>
    </xf>
    <xf numFmtId="37" fontId="8" fillId="0" borderId="0" xfId="0" applyNumberFormat="1" applyFont="1" applyAlignment="1">
      <alignment horizontal="right" vertical="top" wrapText="1"/>
    </xf>
    <xf numFmtId="165" fontId="15" fillId="0" borderId="0" xfId="0" applyNumberFormat="1" applyFont="1" applyAlignment="1">
      <alignment wrapText="1"/>
    </xf>
    <xf numFmtId="9" fontId="6" fillId="0" borderId="0" xfId="1" applyFont="1" applyFill="1" applyBorder="1" applyAlignment="1">
      <alignment horizontal="right" vertical="center" wrapText="1"/>
    </xf>
    <xf numFmtId="167" fontId="7" fillId="0" borderId="0" xfId="1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10" fontId="16" fillId="0" borderId="0" xfId="1" applyNumberFormat="1" applyFont="1" applyFill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5" fontId="8" fillId="0" borderId="0" xfId="0" applyNumberFormat="1" applyFont="1" applyAlignment="1">
      <alignment horizontal="right" vertical="top" wrapText="1"/>
    </xf>
    <xf numFmtId="37" fontId="15" fillId="0" borderId="0" xfId="0" applyNumberFormat="1" applyFont="1" applyAlignment="1">
      <alignment wrapText="1"/>
    </xf>
    <xf numFmtId="37" fontId="8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7" fillId="0" borderId="0" xfId="0" applyFont="1" applyAlignment="1">
      <alignment wrapText="1"/>
    </xf>
    <xf numFmtId="164" fontId="4" fillId="0" borderId="0" xfId="2" applyNumberFormat="1" applyFont="1" applyBorder="1" applyAlignment="1">
      <alignment wrapText="1"/>
    </xf>
    <xf numFmtId="0" fontId="4" fillId="0" borderId="0" xfId="0" applyFont="1" applyAlignment="1">
      <alignment horizontal="left" wrapText="1" indent="1"/>
    </xf>
    <xf numFmtId="37" fontId="11" fillId="0" borderId="0" xfId="2" applyNumberFormat="1" applyFont="1" applyBorder="1" applyAlignment="1">
      <alignment wrapText="1"/>
    </xf>
    <xf numFmtId="37" fontId="11" fillId="0" borderId="0" xfId="2" applyNumberFormat="1" applyFont="1" applyFill="1" applyBorder="1" applyAlignment="1">
      <alignment wrapText="1"/>
    </xf>
    <xf numFmtId="0" fontId="4" fillId="0" borderId="0" xfId="0" applyFont="1" applyAlignment="1">
      <alignment horizontal="left" indent="1"/>
    </xf>
    <xf numFmtId="37" fontId="8" fillId="0" borderId="0" xfId="2" applyNumberFormat="1" applyFont="1" applyBorder="1" applyAlignment="1">
      <alignment wrapText="1"/>
    </xf>
    <xf numFmtId="37" fontId="15" fillId="0" borderId="0" xfId="2" applyNumberFormat="1" applyFont="1" applyBorder="1" applyAlignment="1">
      <alignment wrapText="1"/>
    </xf>
    <xf numFmtId="37" fontId="15" fillId="0" borderId="0" xfId="2" applyNumberFormat="1" applyFont="1" applyFill="1" applyBorder="1" applyAlignment="1">
      <alignment wrapText="1"/>
    </xf>
    <xf numFmtId="37" fontId="18" fillId="0" borderId="0" xfId="2" applyNumberFormat="1" applyFont="1" applyFill="1" applyBorder="1" applyAlignment="1">
      <alignment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43" fontId="21" fillId="0" borderId="0" xfId="0" applyNumberFormat="1" applyFont="1" applyAlignment="1">
      <alignment wrapText="1"/>
    </xf>
    <xf numFmtId="0" fontId="22" fillId="0" borderId="0" xfId="0" applyFont="1" applyAlignment="1">
      <alignment wrapText="1"/>
    </xf>
    <xf numFmtId="41" fontId="8" fillId="0" borderId="0" xfId="0" applyNumberFormat="1" applyFont="1" applyAlignment="1">
      <alignment horizontal="right" vertical="top" wrapText="1"/>
    </xf>
    <xf numFmtId="0" fontId="4" fillId="0" borderId="1" xfId="0" applyFont="1" applyBorder="1" applyAlignment="1">
      <alignment wrapText="1"/>
    </xf>
    <xf numFmtId="164" fontId="4" fillId="0" borderId="1" xfId="2" applyNumberFormat="1" applyFont="1" applyBorder="1" applyAlignment="1">
      <alignment wrapText="1"/>
    </xf>
    <xf numFmtId="167" fontId="7" fillId="4" borderId="0" xfId="1" applyNumberFormat="1" applyFont="1" applyFill="1" applyBorder="1" applyAlignment="1">
      <alignment horizontal="right" vertical="center" wrapText="1"/>
    </xf>
    <xf numFmtId="167" fontId="9" fillId="4" borderId="0" xfId="1" applyNumberFormat="1" applyFont="1" applyFill="1" applyBorder="1" applyAlignment="1">
      <alignment horizontal="right" vertical="center" wrapText="1"/>
    </xf>
    <xf numFmtId="169" fontId="9" fillId="4" borderId="0" xfId="1" applyNumberFormat="1" applyFont="1" applyFill="1" applyBorder="1" applyAlignment="1">
      <alignment horizontal="right" vertical="center" wrapText="1"/>
    </xf>
    <xf numFmtId="7" fontId="8" fillId="3" borderId="2" xfId="0" applyNumberFormat="1" applyFont="1" applyFill="1" applyBorder="1" applyAlignment="1">
      <alignment horizontal="right" vertical="top" wrapText="1"/>
    </xf>
    <xf numFmtId="0" fontId="8" fillId="0" borderId="6" xfId="0" applyFont="1" applyBorder="1" applyAlignment="1">
      <alignment vertical="top" wrapText="1"/>
    </xf>
    <xf numFmtId="0" fontId="24" fillId="0" borderId="0" xfId="0" applyFont="1" applyAlignment="1">
      <alignment horizontal="right" vertical="center" wrapText="1"/>
    </xf>
    <xf numFmtId="41" fontId="24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center"/>
    </xf>
    <xf numFmtId="41" fontId="11" fillId="0" borderId="0" xfId="0" applyNumberFormat="1" applyFont="1"/>
    <xf numFmtId="41" fontId="11" fillId="0" borderId="0" xfId="0" applyNumberFormat="1" applyFont="1" applyAlignment="1">
      <alignment horizontal="right" vertical="top" wrapText="1"/>
    </xf>
    <xf numFmtId="0" fontId="4" fillId="0" borderId="0" xfId="0" quotePrefix="1" applyFont="1" applyAlignment="1">
      <alignment horizontal="left" indent="1"/>
    </xf>
    <xf numFmtId="14" fontId="3" fillId="2" borderId="0" xfId="0" quotePrefix="1" applyNumberFormat="1" applyFont="1" applyFill="1" applyAlignment="1">
      <alignment horizontal="center" vertical="center" wrapText="1"/>
    </xf>
    <xf numFmtId="41" fontId="6" fillId="5" borderId="2" xfId="0" applyNumberFormat="1" applyFont="1" applyFill="1" applyBorder="1" applyAlignment="1">
      <alignment horizontal="right" vertical="top" wrapText="1"/>
    </xf>
    <xf numFmtId="41" fontId="8" fillId="5" borderId="2" xfId="0" applyNumberFormat="1" applyFont="1" applyFill="1" applyBorder="1" applyAlignment="1">
      <alignment horizontal="right" vertical="top" wrapText="1"/>
    </xf>
    <xf numFmtId="3" fontId="4" fillId="0" borderId="0" xfId="0" applyNumberFormat="1" applyFont="1" applyAlignment="1">
      <alignment wrapText="1"/>
    </xf>
    <xf numFmtId="41" fontId="25" fillId="0" borderId="0" xfId="0" applyNumberFormat="1" applyFont="1"/>
    <xf numFmtId="37" fontId="11" fillId="0" borderId="0" xfId="0" applyNumberFormat="1" applyFont="1" applyAlignment="1">
      <alignment horizontal="right" vertical="top" wrapText="1"/>
    </xf>
    <xf numFmtId="41" fontId="6" fillId="0" borderId="0" xfId="0" applyNumberFormat="1" applyFont="1" applyAlignment="1">
      <alignment horizontal="right" vertical="center" wrapText="1"/>
    </xf>
    <xf numFmtId="41" fontId="6" fillId="0" borderId="0" xfId="0" applyNumberFormat="1" applyFont="1" applyAlignment="1">
      <alignment horizontal="right" wrapText="1"/>
    </xf>
    <xf numFmtId="0" fontId="2" fillId="6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167" fontId="7" fillId="0" borderId="0" xfId="1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Continuous" vertical="center" wrapText="1"/>
    </xf>
    <xf numFmtId="0" fontId="2" fillId="6" borderId="4" xfId="0" applyFont="1" applyFill="1" applyBorder="1" applyAlignment="1">
      <alignment horizontal="centerContinuous" vertical="center" wrapText="1"/>
    </xf>
    <xf numFmtId="0" fontId="4" fillId="6" borderId="0" xfId="0" applyFont="1" applyFill="1" applyAlignment="1">
      <alignment wrapText="1"/>
    </xf>
    <xf numFmtId="0" fontId="5" fillId="6" borderId="0" xfId="0" applyFont="1" applyFill="1" applyAlignment="1">
      <alignment horizontal="center" vertical="center" wrapText="1"/>
    </xf>
    <xf numFmtId="14" fontId="3" fillId="6" borderId="0" xfId="0" applyNumberFormat="1" applyFont="1" applyFill="1" applyAlignment="1">
      <alignment horizontal="center" vertical="center" wrapText="1"/>
    </xf>
    <xf numFmtId="0" fontId="2" fillId="7" borderId="0" xfId="0" applyFont="1" applyFill="1" applyAlignment="1">
      <alignment vertical="center" wrapText="1"/>
    </xf>
    <xf numFmtId="0" fontId="2" fillId="7" borderId="4" xfId="0" applyFont="1" applyFill="1" applyBorder="1" applyAlignment="1">
      <alignment horizontal="centerContinuous" vertical="center" wrapText="1"/>
    </xf>
    <xf numFmtId="0" fontId="4" fillId="7" borderId="0" xfId="0" applyFont="1" applyFill="1" applyAlignment="1">
      <alignment wrapText="1"/>
    </xf>
    <xf numFmtId="0" fontId="5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14" fontId="3" fillId="7" borderId="0" xfId="0" applyNumberFormat="1" applyFont="1" applyFill="1" applyAlignment="1">
      <alignment horizontal="center" vertical="center" wrapText="1"/>
    </xf>
    <xf numFmtId="14" fontId="3" fillId="7" borderId="0" xfId="0" applyNumberFormat="1" applyFont="1" applyFill="1" applyAlignment="1">
      <alignment vertical="center" wrapText="1"/>
    </xf>
    <xf numFmtId="5" fontId="6" fillId="0" borderId="0" xfId="0" applyNumberFormat="1" applyFont="1" applyAlignment="1">
      <alignment horizontal="right" vertical="top" wrapText="1"/>
    </xf>
    <xf numFmtId="167" fontId="10" fillId="8" borderId="0" xfId="1" applyNumberFormat="1" applyFont="1" applyFill="1" applyBorder="1" applyAlignment="1">
      <alignment horizontal="right" vertical="center" wrapText="1"/>
    </xf>
    <xf numFmtId="0" fontId="21" fillId="0" borderId="1" xfId="0" applyFont="1" applyBorder="1" applyAlignment="1">
      <alignment vertical="top" wrapText="1"/>
    </xf>
    <xf numFmtId="43" fontId="21" fillId="0" borderId="1" xfId="0" applyNumberFormat="1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41" fontId="11" fillId="0" borderId="0" xfId="0" applyNumberFormat="1" applyFont="1" applyAlignment="1">
      <alignment horizontal="right" wrapText="1"/>
    </xf>
    <xf numFmtId="41" fontId="11" fillId="0" borderId="0" xfId="0" applyNumberFormat="1" applyFont="1" applyAlignment="1">
      <alignment horizontal="right" vertical="center" wrapText="1"/>
    </xf>
    <xf numFmtId="41" fontId="6" fillId="0" borderId="0" xfId="0" applyNumberFormat="1" applyFont="1"/>
    <xf numFmtId="41" fontId="27" fillId="0" borderId="0" xfId="0" applyNumberFormat="1" applyFont="1"/>
    <xf numFmtId="0" fontId="14" fillId="3" borderId="0" xfId="0" applyFont="1" applyFill="1"/>
    <xf numFmtId="167" fontId="10" fillId="3" borderId="0" xfId="1" applyNumberFormat="1" applyFont="1" applyFill="1" applyBorder="1" applyAlignment="1">
      <alignment horizontal="right" vertical="center" wrapText="1"/>
    </xf>
    <xf numFmtId="167" fontId="29" fillId="3" borderId="0" xfId="1" applyNumberFormat="1" applyFont="1" applyFill="1" applyBorder="1" applyAlignment="1">
      <alignment horizontal="right" vertical="center" wrapText="1"/>
    </xf>
    <xf numFmtId="168" fontId="29" fillId="3" borderId="0" xfId="1" applyNumberFormat="1" applyFont="1" applyFill="1" applyBorder="1" applyAlignment="1">
      <alignment horizontal="right" vertical="center" wrapText="1"/>
    </xf>
    <xf numFmtId="0" fontId="14" fillId="0" borderId="0" xfId="0" applyFont="1"/>
    <xf numFmtId="0" fontId="23" fillId="0" borderId="3" xfId="0" applyFont="1" applyBorder="1" applyAlignment="1">
      <alignment horizontal="left" wrapText="1"/>
    </xf>
    <xf numFmtId="0" fontId="2" fillId="2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10" fillId="0" borderId="3" xfId="0" quotePrefix="1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30" fillId="2" borderId="0" xfId="0" applyFont="1" applyFill="1" applyAlignment="1">
      <alignment horizontal="center" vertical="center" wrapText="1"/>
    </xf>
    <xf numFmtId="0" fontId="23" fillId="0" borderId="0" xfId="0" applyFont="1" applyBorder="1" applyAlignment="1">
      <alignment horizontal="left" wrapText="1"/>
    </xf>
    <xf numFmtId="41" fontId="11" fillId="8" borderId="0" xfId="0" applyNumberFormat="1" applyFont="1" applyFill="1"/>
    <xf numFmtId="41" fontId="8" fillId="5" borderId="0" xfId="0" applyNumberFormat="1" applyFont="1" applyFill="1" applyBorder="1" applyAlignment="1">
      <alignment horizontal="right" vertical="top" wrapText="1"/>
    </xf>
    <xf numFmtId="41" fontId="6" fillId="0" borderId="0" xfId="0" applyNumberFormat="1" applyFont="1" applyBorder="1" applyAlignment="1">
      <alignment horizontal="right" vertical="top" wrapText="1"/>
    </xf>
    <xf numFmtId="41" fontId="6" fillId="0" borderId="7" xfId="0" applyNumberFormat="1" applyFont="1" applyBorder="1" applyAlignment="1">
      <alignment horizontal="right" vertical="top" wrapText="1"/>
    </xf>
    <xf numFmtId="37" fontId="4" fillId="0" borderId="8" xfId="0" applyNumberFormat="1" applyFont="1" applyBorder="1" applyAlignment="1">
      <alignment wrapText="1"/>
    </xf>
    <xf numFmtId="41" fontId="6" fillId="0" borderId="9" xfId="0" applyNumberFormat="1" applyFont="1" applyBorder="1" applyAlignment="1">
      <alignment horizontal="right" vertical="top" wrapText="1"/>
    </xf>
    <xf numFmtId="41" fontId="6" fillId="0" borderId="8" xfId="0" applyNumberFormat="1" applyFont="1" applyBorder="1" applyAlignment="1">
      <alignment horizontal="right" vertical="top" wrapText="1"/>
    </xf>
    <xf numFmtId="41" fontId="8" fillId="5" borderId="8" xfId="0" applyNumberFormat="1" applyFont="1" applyFill="1" applyBorder="1" applyAlignment="1">
      <alignment horizontal="right" vertical="top" wrapText="1"/>
    </xf>
    <xf numFmtId="41" fontId="6" fillId="5" borderId="10" xfId="0" applyNumberFormat="1" applyFont="1" applyFill="1" applyBorder="1" applyAlignment="1">
      <alignment horizontal="right" vertical="top" wrapText="1"/>
    </xf>
    <xf numFmtId="41" fontId="11" fillId="0" borderId="0" xfId="0" applyNumberFormat="1" applyFont="1" applyBorder="1" applyAlignment="1">
      <alignment horizontal="right" vertical="top" wrapText="1"/>
    </xf>
    <xf numFmtId="0" fontId="4" fillId="0" borderId="0" xfId="0" applyFont="1" applyBorder="1" applyAlignment="1">
      <alignment wrapText="1"/>
    </xf>
    <xf numFmtId="37" fontId="4" fillId="0" borderId="0" xfId="0" applyNumberFormat="1" applyFont="1" applyBorder="1" applyAlignment="1">
      <alignment wrapText="1"/>
    </xf>
    <xf numFmtId="43" fontId="21" fillId="0" borderId="11" xfId="0" applyNumberFormat="1" applyFont="1" applyBorder="1" applyAlignment="1">
      <alignment wrapText="1"/>
    </xf>
    <xf numFmtId="41" fontId="6" fillId="0" borderId="11" xfId="0" applyNumberFormat="1" applyFont="1" applyBorder="1" applyAlignment="1">
      <alignment horizontal="right" vertical="top" wrapText="1"/>
    </xf>
    <xf numFmtId="41" fontId="11" fillId="0" borderId="7" xfId="0" applyNumberFormat="1" applyFont="1" applyBorder="1" applyAlignment="1">
      <alignment horizontal="right" vertical="top" wrapText="1"/>
    </xf>
    <xf numFmtId="41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center" wrapText="1"/>
    </xf>
    <xf numFmtId="0" fontId="8" fillId="5" borderId="13" xfId="0" applyFont="1" applyFill="1" applyBorder="1" applyAlignment="1">
      <alignment horizontal="right" vertical="center" wrapText="1"/>
    </xf>
    <xf numFmtId="41" fontId="8" fillId="0" borderId="13" xfId="0" applyNumberFormat="1" applyFont="1" applyBorder="1" applyAlignment="1">
      <alignment horizontal="right" vertical="top" wrapText="1"/>
    </xf>
    <xf numFmtId="0" fontId="4" fillId="0" borderId="13" xfId="0" applyFont="1" applyBorder="1"/>
    <xf numFmtId="0" fontId="21" fillId="0" borderId="14" xfId="0" applyFont="1" applyBorder="1" applyAlignment="1">
      <alignment horizontal="right" vertical="top" wrapText="1"/>
    </xf>
    <xf numFmtId="41" fontId="25" fillId="8" borderId="0" xfId="0" applyNumberFormat="1" applyFont="1" applyFill="1"/>
    <xf numFmtId="0" fontId="6" fillId="0" borderId="0" xfId="0" applyFont="1"/>
    <xf numFmtId="170" fontId="16" fillId="0" borderId="0" xfId="0" applyNumberFormat="1" applyFont="1" applyAlignment="1">
      <alignment horizontal="right"/>
    </xf>
    <xf numFmtId="0" fontId="15" fillId="0" borderId="6" xfId="0" applyFont="1" applyBorder="1" applyAlignment="1">
      <alignment wrapText="1"/>
    </xf>
  </cellXfs>
  <cellStyles count="5">
    <cellStyle name="%" xfId="3" xr:uid="{B2D0E839-0EB6-4A26-A036-4291FCE77A81}"/>
    <cellStyle name="******************************************" xfId="4" xr:uid="{7C8B12D3-B631-462E-992D-9CE2477EE747}"/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CC"/>
      <color rgb="FF00B03C"/>
      <color rgb="FF487B79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elix\AppData\Local\Temp\4819e2e9-aa78-4b81-b055-71c9923ae613_DCF-Modeling-Course-DL-Kit%20(7).zip.613\DCF%20Model.xlsx" TargetMode="External"/><Relationship Id="rId1" Type="http://schemas.openxmlformats.org/officeDocument/2006/relationships/externalLinkPath" Target="/Users/Felix/AppData/Local/Temp/4819e2e9-aa78-4b81-b055-71c9923ae613_DCF-Modeling-Course-DL-Kit%20(7).zip.613/DCF%20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s "/>
      <sheetName val="Simple DCF Empty"/>
      <sheetName val="Simple DCF Done"/>
      <sheetName val="WACC Empty"/>
      <sheetName val="WACC Done"/>
      <sheetName val="Shares Empty"/>
      <sheetName val="Shares"/>
      <sheetName val="DCF 1-Pager"/>
      <sheetName val="2019 FSM Update Complete"/>
      <sheetName val="Integrated DCF Empty"/>
      <sheetName val="Integrated DCF"/>
    </sheetNames>
    <sheetDataSet>
      <sheetData sheetId="0"/>
      <sheetData sheetId="1" refreshError="1"/>
      <sheetData sheetId="2">
        <row r="5">
          <cell r="H5">
            <v>273.52</v>
          </cell>
        </row>
      </sheetData>
      <sheetData sheetId="3" refreshError="1"/>
      <sheetData sheetId="4"/>
      <sheetData sheetId="5" refreshError="1"/>
      <sheetData sheetId="6">
        <row r="25">
          <cell r="E25">
            <v>14543</v>
          </cell>
        </row>
      </sheetData>
      <sheetData sheetId="7" refreshError="1"/>
      <sheetData sheetId="8"/>
      <sheetData sheetId="9">
        <row r="128">
          <cell r="B128" t="str">
            <v>DCF Value at 11.0x-15.0x Exit EBITDA Range at 9.0% WACC</v>
          </cell>
          <cell r="C128">
            <v>20.680633001583054</v>
          </cell>
          <cell r="D128">
            <v>0</v>
          </cell>
          <cell r="E128">
            <v>20.680633001583054</v>
          </cell>
          <cell r="G128" t="str">
            <v>LTM EBITDA Purchase Multiple at 2.0%-4.0% Perpetuity Growth at 9.0% WACC</v>
          </cell>
          <cell r="O128" t="e">
            <v>#DIV/0!</v>
          </cell>
          <cell r="P128" t="e">
            <v>#DIV/0!</v>
          </cell>
          <cell r="Q128" t="e">
            <v>#DIV/0!</v>
          </cell>
        </row>
        <row r="129">
          <cell r="B129" t="str">
            <v>DCF Value at 2.0%-4.0% Perpetuity Range at 9.0% WACC</v>
          </cell>
          <cell r="C129">
            <v>20.680633001583054</v>
          </cell>
          <cell r="D129">
            <v>0</v>
          </cell>
          <cell r="E129">
            <v>20.680633001583054</v>
          </cell>
          <cell r="G129" t="e">
            <v>#DIV/0!</v>
          </cell>
          <cell r="O129" t="e">
            <v>#DIV/0!</v>
          </cell>
          <cell r="P129" t="e">
            <v>#DIV/0!</v>
          </cell>
          <cell r="Q129" t="e">
            <v>#DIV/0!</v>
          </cell>
        </row>
        <row r="130">
          <cell r="B130" t="str">
            <v>52 Week Market High/Low</v>
          </cell>
          <cell r="C130">
            <v>169.5</v>
          </cell>
          <cell r="D130">
            <v>158.35000000000002</v>
          </cell>
          <cell r="E130">
            <v>327.85</v>
          </cell>
          <cell r="G130" t="str">
            <v>LTM EBITDA Purchase Multiple at 7.0%-11.0% WACC at 13.0x Exit EBITDA</v>
          </cell>
          <cell r="O130" t="e">
            <v>#DIV/0!</v>
          </cell>
          <cell r="P130" t="e">
            <v>#DIV/0!</v>
          </cell>
          <cell r="Q130" t="e">
            <v>#DIV/0!</v>
          </cell>
        </row>
      </sheetData>
      <sheetData sheetId="10" refreshError="1"/>
    </sheetDataSet>
  </externalBook>
</externalLink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A1EF-DD86-43F0-AF53-6181CD7220DC}">
  <sheetPr>
    <tabColor rgb="FF002060"/>
  </sheetPr>
  <dimension ref="A2:AV163"/>
  <sheetViews>
    <sheetView showGridLines="0" zoomScaleNormal="100" workbookViewId="0">
      <selection activeCell="B2" sqref="B2"/>
    </sheetView>
  </sheetViews>
  <sheetFormatPr defaultRowHeight="12" outlineLevelCol="1"/>
  <cols>
    <col min="1" max="1" width="1.625" style="5" bestFit="1" customWidth="1"/>
    <col min="2" max="2" width="49.125" style="5" bestFit="1" customWidth="1"/>
    <col min="3" max="3" width="8.625" style="5" customWidth="1" outlineLevel="1"/>
    <col min="4" max="6" width="9.125" style="5" bestFit="1" customWidth="1"/>
    <col min="7" max="7" width="1.5" style="5" customWidth="1"/>
    <col min="8" max="10" width="7.875" style="5" customWidth="1" outlineLevel="1"/>
    <col min="11" max="11" width="8.625" style="5" customWidth="1" outlineLevel="1"/>
    <col min="12" max="14" width="7.875" style="5" customWidth="1" outlineLevel="1"/>
    <col min="15" max="15" width="8.625" style="5" customWidth="1" outlineLevel="1"/>
    <col min="16" max="17" width="7.875" style="5" customWidth="1" outlineLevel="1"/>
    <col min="18" max="18" width="7.875" style="5" customWidth="1"/>
    <col min="19" max="19" width="8.625" style="5" customWidth="1"/>
    <col min="20" max="21" width="8" style="5" customWidth="1"/>
    <col min="22" max="22" width="1.5" style="5" customWidth="1"/>
    <col min="23" max="23" width="8.625" style="5" hidden="1" customWidth="1" outlineLevel="1"/>
    <col min="24" max="26" width="8" style="5" hidden="1" customWidth="1" outlineLevel="1"/>
    <col min="27" max="27" width="8.625" style="5" hidden="1" customWidth="1" outlineLevel="1"/>
    <col min="28" max="28" width="8.25" style="5" hidden="1" customWidth="1" outlineLevel="1"/>
    <col min="29" max="29" width="8.25" style="5" bestFit="1" customWidth="1" collapsed="1"/>
    <col min="30" max="30" width="8.25" style="5" hidden="1" customWidth="1" outlineLevel="1"/>
    <col min="31" max="31" width="8.625" style="5" hidden="1" customWidth="1" outlineLevel="1"/>
    <col min="32" max="32" width="8.25" style="5" hidden="1" customWidth="1" outlineLevel="1"/>
    <col min="33" max="33" width="8.625" style="5" bestFit="1" customWidth="1" collapsed="1"/>
    <col min="34" max="34" width="1.25" style="5" customWidth="1"/>
    <col min="35" max="35" width="10.5" style="5" bestFit="1" customWidth="1"/>
    <col min="36" max="36" width="1.375" style="5" customWidth="1"/>
    <col min="37" max="16384" width="9" style="5"/>
  </cols>
  <sheetData>
    <row r="2" spans="1:35" ht="12.75" customHeight="1">
      <c r="B2" s="1" t="s">
        <v>152</v>
      </c>
      <c r="C2" s="92"/>
      <c r="D2" s="92"/>
      <c r="E2" s="92"/>
      <c r="F2" s="92"/>
      <c r="G2" s="3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3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3"/>
      <c r="AI2" s="1"/>
    </row>
    <row r="3" spans="1:35" ht="12.75" customHeight="1">
      <c r="B3" s="6" t="s">
        <v>102</v>
      </c>
      <c r="C3" s="7"/>
      <c r="D3" s="7"/>
      <c r="E3" s="7"/>
      <c r="F3" s="7"/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3"/>
      <c r="AI3" s="1"/>
    </row>
    <row r="4" spans="1:35" ht="12.75" customHeight="1">
      <c r="B4" s="6" t="s">
        <v>151</v>
      </c>
      <c r="C4" s="3"/>
      <c r="D4" s="3"/>
      <c r="E4" s="81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1"/>
    </row>
    <row r="6" spans="1:35" ht="12.75" customHeight="1">
      <c r="A6" s="5" t="s">
        <v>20</v>
      </c>
      <c r="B6" s="1" t="s">
        <v>100</v>
      </c>
      <c r="C6" s="2"/>
      <c r="D6" s="2" t="s">
        <v>0</v>
      </c>
      <c r="E6" s="2"/>
      <c r="F6" s="2"/>
      <c r="G6" s="3"/>
      <c r="H6" s="2" t="s">
        <v>1</v>
      </c>
      <c r="I6" s="2"/>
      <c r="J6" s="2"/>
      <c r="K6" s="2"/>
      <c r="L6" s="2"/>
      <c r="M6" s="2"/>
      <c r="N6" s="2"/>
      <c r="O6" s="2"/>
      <c r="P6" s="2"/>
      <c r="Q6" s="2"/>
      <c r="R6" s="2" t="s">
        <v>1</v>
      </c>
      <c r="S6" s="2"/>
      <c r="T6" s="2"/>
      <c r="U6" s="2"/>
      <c r="V6" s="3"/>
      <c r="W6" s="2"/>
      <c r="X6" s="2"/>
      <c r="Y6" s="2"/>
      <c r="Z6" s="2"/>
      <c r="AA6" s="2"/>
      <c r="AB6" s="2"/>
      <c r="AC6" s="2" t="s">
        <v>10</v>
      </c>
      <c r="AD6" s="2"/>
      <c r="AE6" s="2"/>
      <c r="AF6" s="2"/>
      <c r="AG6" s="2"/>
      <c r="AH6" s="36"/>
      <c r="AI6" s="122" t="s">
        <v>27</v>
      </c>
    </row>
    <row r="7" spans="1:35" ht="12.75" customHeight="1">
      <c r="B7" s="6" t="s">
        <v>103</v>
      </c>
      <c r="C7" s="7">
        <v>2021</v>
      </c>
      <c r="D7" s="7">
        <v>2022</v>
      </c>
      <c r="E7" s="7">
        <v>2023</v>
      </c>
      <c r="F7" s="7">
        <v>2024</v>
      </c>
      <c r="G7" s="3"/>
      <c r="H7" s="4" t="s">
        <v>29</v>
      </c>
      <c r="I7" s="4" t="s">
        <v>30</v>
      </c>
      <c r="J7" s="4" t="s">
        <v>31</v>
      </c>
      <c r="K7" s="4" t="s">
        <v>32</v>
      </c>
      <c r="L7" s="4" t="s">
        <v>6</v>
      </c>
      <c r="M7" s="4" t="s">
        <v>7</v>
      </c>
      <c r="N7" s="4" t="s">
        <v>8</v>
      </c>
      <c r="O7" s="4" t="s">
        <v>9</v>
      </c>
      <c r="P7" s="4" t="s">
        <v>2</v>
      </c>
      <c r="Q7" s="4" t="s">
        <v>3</v>
      </c>
      <c r="R7" s="4" t="s">
        <v>4</v>
      </c>
      <c r="S7" s="4" t="s">
        <v>5</v>
      </c>
      <c r="T7" s="4" t="s">
        <v>33</v>
      </c>
      <c r="U7" s="4" t="s">
        <v>34</v>
      </c>
      <c r="V7" s="4"/>
      <c r="W7" s="4" t="str">
        <f t="shared" ref="W7:AF8" si="0">K7</f>
        <v>4Q22</v>
      </c>
      <c r="X7" s="4" t="str">
        <f t="shared" si="0"/>
        <v>1Q23</v>
      </c>
      <c r="Y7" s="4" t="str">
        <f t="shared" si="0"/>
        <v>2Q23</v>
      </c>
      <c r="Z7" s="4" t="str">
        <f t="shared" si="0"/>
        <v>3Q23</v>
      </c>
      <c r="AA7" s="4" t="str">
        <f t="shared" si="0"/>
        <v>4Q23</v>
      </c>
      <c r="AB7" s="4" t="str">
        <f t="shared" si="0"/>
        <v>1Q24</v>
      </c>
      <c r="AC7" s="4" t="str">
        <f t="shared" si="0"/>
        <v>2Q24</v>
      </c>
      <c r="AD7" s="4" t="str">
        <f t="shared" si="0"/>
        <v>3Q24</v>
      </c>
      <c r="AE7" s="4" t="str">
        <f t="shared" si="0"/>
        <v>4Q24</v>
      </c>
      <c r="AF7" s="4" t="str">
        <f t="shared" si="0"/>
        <v>1Q25</v>
      </c>
      <c r="AG7" s="4" t="str">
        <f>U7</f>
        <v>2Q25</v>
      </c>
      <c r="AH7" s="36"/>
      <c r="AI7" s="122"/>
    </row>
    <row r="8" spans="1:35" ht="12.75" customHeight="1">
      <c r="B8" s="6" t="s">
        <v>104</v>
      </c>
      <c r="C8" s="3">
        <v>44561</v>
      </c>
      <c r="D8" s="3">
        <v>44926</v>
      </c>
      <c r="E8" s="81">
        <v>45291</v>
      </c>
      <c r="F8" s="3">
        <v>45657</v>
      </c>
      <c r="G8" s="3"/>
      <c r="H8" s="3">
        <v>44651</v>
      </c>
      <c r="I8" s="3">
        <v>44742</v>
      </c>
      <c r="J8" s="3">
        <v>44834</v>
      </c>
      <c r="K8" s="3">
        <v>44926</v>
      </c>
      <c r="L8" s="3">
        <v>45016</v>
      </c>
      <c r="M8" s="3">
        <v>45107</v>
      </c>
      <c r="N8" s="3">
        <v>45199</v>
      </c>
      <c r="O8" s="3">
        <v>45291</v>
      </c>
      <c r="P8" s="3">
        <v>45382</v>
      </c>
      <c r="Q8" s="3">
        <v>45473</v>
      </c>
      <c r="R8" s="3">
        <v>45565</v>
      </c>
      <c r="S8" s="3">
        <v>45657</v>
      </c>
      <c r="T8" s="3">
        <v>45747</v>
      </c>
      <c r="U8" s="3">
        <v>45838</v>
      </c>
      <c r="V8" s="3"/>
      <c r="W8" s="3">
        <f t="shared" si="0"/>
        <v>44926</v>
      </c>
      <c r="X8" s="3">
        <f t="shared" si="0"/>
        <v>45016</v>
      </c>
      <c r="Y8" s="3">
        <f t="shared" si="0"/>
        <v>45107</v>
      </c>
      <c r="Z8" s="3">
        <f t="shared" si="0"/>
        <v>45199</v>
      </c>
      <c r="AA8" s="3">
        <f t="shared" si="0"/>
        <v>45291</v>
      </c>
      <c r="AB8" s="3">
        <f t="shared" si="0"/>
        <v>45382</v>
      </c>
      <c r="AC8" s="3">
        <f t="shared" si="0"/>
        <v>45473</v>
      </c>
      <c r="AD8" s="3">
        <f t="shared" si="0"/>
        <v>45565</v>
      </c>
      <c r="AE8" s="3">
        <f t="shared" si="0"/>
        <v>45657</v>
      </c>
      <c r="AF8" s="3">
        <f t="shared" si="0"/>
        <v>45747</v>
      </c>
      <c r="AG8" s="3">
        <f>U8</f>
        <v>45838</v>
      </c>
      <c r="AH8" s="36"/>
      <c r="AI8" s="122"/>
    </row>
    <row r="9" spans="1:35" ht="5.0999999999999996" customHeight="1">
      <c r="AI9" s="91"/>
    </row>
    <row r="10" spans="1:35" ht="12.75" customHeight="1">
      <c r="B10" s="9" t="s">
        <v>78</v>
      </c>
      <c r="C10" s="86">
        <v>8196</v>
      </c>
      <c r="D10" s="86">
        <v>13102</v>
      </c>
      <c r="E10" s="86">
        <v>12008</v>
      </c>
      <c r="F10" s="86">
        <v>10790</v>
      </c>
      <c r="G10" s="11"/>
      <c r="H10" s="86">
        <v>2104</v>
      </c>
      <c r="I10" s="86">
        <v>2134</v>
      </c>
      <c r="J10" s="86">
        <v>2804</v>
      </c>
      <c r="K10" s="30">
        <f>SUM(D10-SUM(H10:J10))</f>
        <v>6060</v>
      </c>
      <c r="L10" s="86">
        <v>2201</v>
      </c>
      <c r="M10" s="86">
        <v>3327</v>
      </c>
      <c r="N10" s="86">
        <v>3105</v>
      </c>
      <c r="O10" s="30">
        <f>SUM(E10-SUM(L10:N10))</f>
        <v>3375</v>
      </c>
      <c r="P10" s="86">
        <v>3052</v>
      </c>
      <c r="Q10" s="86">
        <v>3086</v>
      </c>
      <c r="R10" s="86">
        <v>2378</v>
      </c>
      <c r="S10" s="30">
        <f>SUM(F10-SUM(P10:R10))</f>
        <v>2274</v>
      </c>
      <c r="T10" s="86">
        <v>1472</v>
      </c>
      <c r="U10" s="86">
        <v>1801</v>
      </c>
      <c r="V10" s="30"/>
      <c r="W10" s="30">
        <f t="shared" ref="W10:AF10" si="1">SUM(H10:K10)</f>
        <v>13102</v>
      </c>
      <c r="X10" s="30">
        <f t="shared" si="1"/>
        <v>13199</v>
      </c>
      <c r="Y10" s="30">
        <f t="shared" si="1"/>
        <v>14392</v>
      </c>
      <c r="Z10" s="30">
        <f t="shared" si="1"/>
        <v>14693</v>
      </c>
      <c r="AA10" s="30">
        <f t="shared" si="1"/>
        <v>12008</v>
      </c>
      <c r="AB10" s="30">
        <f t="shared" si="1"/>
        <v>12859</v>
      </c>
      <c r="AC10" s="30">
        <f t="shared" si="1"/>
        <v>12618</v>
      </c>
      <c r="AD10" s="30">
        <f t="shared" si="1"/>
        <v>11891</v>
      </c>
      <c r="AE10" s="30">
        <f t="shared" si="1"/>
        <v>10790</v>
      </c>
      <c r="AF10" s="30">
        <f t="shared" si="1"/>
        <v>9210</v>
      </c>
      <c r="AG10" s="30">
        <f>SUM(R10:U10)</f>
        <v>7925</v>
      </c>
      <c r="AH10" s="38"/>
      <c r="AI10" s="70">
        <f>SUM(AG10/AC10)-1</f>
        <v>-0.3719289903312728</v>
      </c>
    </row>
    <row r="11" spans="1:35" ht="12.75" customHeight="1">
      <c r="B11" s="12" t="s">
        <v>12</v>
      </c>
      <c r="C11" s="13">
        <f t="shared" ref="C11:F11" si="2">+SUM(C10:C10)</f>
        <v>8196</v>
      </c>
      <c r="D11" s="13">
        <f t="shared" si="2"/>
        <v>13102</v>
      </c>
      <c r="E11" s="13">
        <f t="shared" si="2"/>
        <v>12008</v>
      </c>
      <c r="F11" s="13">
        <f t="shared" si="2"/>
        <v>10790</v>
      </c>
      <c r="G11" s="11"/>
      <c r="H11" s="13">
        <f t="shared" ref="H11:U11" si="3">+SUM(H10:H10)</f>
        <v>2104</v>
      </c>
      <c r="I11" s="13">
        <f t="shared" si="3"/>
        <v>2134</v>
      </c>
      <c r="J11" s="13">
        <f t="shared" si="3"/>
        <v>2804</v>
      </c>
      <c r="K11" s="13">
        <f t="shared" si="3"/>
        <v>6060</v>
      </c>
      <c r="L11" s="13">
        <f t="shared" si="3"/>
        <v>2201</v>
      </c>
      <c r="M11" s="13">
        <f t="shared" si="3"/>
        <v>3327</v>
      </c>
      <c r="N11" s="13">
        <f t="shared" si="3"/>
        <v>3105</v>
      </c>
      <c r="O11" s="13">
        <f t="shared" si="3"/>
        <v>3375</v>
      </c>
      <c r="P11" s="13">
        <f t="shared" si="3"/>
        <v>3052</v>
      </c>
      <c r="Q11" s="13">
        <f t="shared" si="3"/>
        <v>3086</v>
      </c>
      <c r="R11" s="13">
        <f t="shared" si="3"/>
        <v>2378</v>
      </c>
      <c r="S11" s="13">
        <f t="shared" si="3"/>
        <v>2274</v>
      </c>
      <c r="T11" s="13">
        <f t="shared" si="3"/>
        <v>1472</v>
      </c>
      <c r="U11" s="13">
        <f t="shared" si="3"/>
        <v>1801</v>
      </c>
      <c r="W11" s="13">
        <f t="shared" ref="W11:AG11" si="4">+SUM(W10:W10)</f>
        <v>13102</v>
      </c>
      <c r="X11" s="13">
        <f t="shared" si="4"/>
        <v>13199</v>
      </c>
      <c r="Y11" s="13">
        <f t="shared" si="4"/>
        <v>14392</v>
      </c>
      <c r="Z11" s="13">
        <f t="shared" si="4"/>
        <v>14693</v>
      </c>
      <c r="AA11" s="13">
        <f t="shared" si="4"/>
        <v>12008</v>
      </c>
      <c r="AB11" s="13">
        <f t="shared" si="4"/>
        <v>12859</v>
      </c>
      <c r="AC11" s="13">
        <f t="shared" si="4"/>
        <v>12618</v>
      </c>
      <c r="AD11" s="13">
        <f t="shared" si="4"/>
        <v>11891</v>
      </c>
      <c r="AE11" s="13">
        <f t="shared" si="4"/>
        <v>10790</v>
      </c>
      <c r="AF11" s="13">
        <f t="shared" si="4"/>
        <v>9210</v>
      </c>
      <c r="AG11" s="13">
        <f t="shared" si="4"/>
        <v>7925</v>
      </c>
      <c r="AH11" s="38"/>
      <c r="AI11" s="71">
        <f t="shared" ref="AI11:AI33" si="5">SUM(AG11/AC11)-1</f>
        <v>-0.3719289903312728</v>
      </c>
    </row>
    <row r="12" spans="1:35" s="18" customFormat="1" ht="5.0999999999999996" customHeight="1">
      <c r="B12" s="16"/>
      <c r="C12" s="17"/>
      <c r="D12" s="17"/>
      <c r="E12" s="17"/>
      <c r="F12" s="17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AI12" s="70"/>
    </row>
    <row r="13" spans="1:35" ht="12.75" customHeight="1">
      <c r="B13" s="9" t="s">
        <v>13</v>
      </c>
      <c r="C13" s="79">
        <v>-1623</v>
      </c>
      <c r="D13" s="79">
        <v>-2873</v>
      </c>
      <c r="E13" s="79">
        <v>-2800</v>
      </c>
      <c r="F13" s="79">
        <v>-5093</v>
      </c>
      <c r="G13" s="22"/>
      <c r="H13" s="79">
        <v>-414</v>
      </c>
      <c r="I13" s="79">
        <v>-873</v>
      </c>
      <c r="J13" s="79">
        <v>-776</v>
      </c>
      <c r="K13" s="30">
        <f>SUM(D13-SUM(H13:J13))</f>
        <v>-810</v>
      </c>
      <c r="L13" s="86">
        <v>-510</v>
      </c>
      <c r="M13" s="86">
        <v>-597</v>
      </c>
      <c r="N13" s="86">
        <v>-834</v>
      </c>
      <c r="O13" s="30">
        <f>SUM(E13-SUM(L13:N13))</f>
        <v>-859</v>
      </c>
      <c r="P13" s="79">
        <v>-1552</v>
      </c>
      <c r="Q13" s="79">
        <v>-1096</v>
      </c>
      <c r="R13" s="79">
        <v>-1174</v>
      </c>
      <c r="S13" s="30">
        <f>SUM(F13-SUM(P13:R13))</f>
        <v>-1271</v>
      </c>
      <c r="T13" s="79">
        <v>-1030</v>
      </c>
      <c r="U13" s="79">
        <v>-1235</v>
      </c>
      <c r="W13" s="30">
        <f>SUM(I13:L13)</f>
        <v>-2969</v>
      </c>
      <c r="X13" s="30">
        <f>SUM(J13:M13)</f>
        <v>-2693</v>
      </c>
      <c r="Y13" s="30">
        <f>SUM(K13:N13)</f>
        <v>-2751</v>
      </c>
      <c r="Z13" s="30">
        <f>SUM(L13:O13)</f>
        <v>-2800</v>
      </c>
      <c r="AA13" s="30">
        <f>SUM(M13:P13)</f>
        <v>-3842</v>
      </c>
      <c r="AB13" s="30">
        <f>SUM(N13:Q13)</f>
        <v>-4341</v>
      </c>
      <c r="AC13" s="30">
        <f t="shared" ref="AC13" si="6">SUM(N13:Q13)</f>
        <v>-4341</v>
      </c>
      <c r="AD13" s="30">
        <f t="shared" ref="AD13" si="7">SUM(O13:R13)</f>
        <v>-4681</v>
      </c>
      <c r="AE13" s="30">
        <f t="shared" ref="AE13" si="8">SUM(P13:S13)</f>
        <v>-5093</v>
      </c>
      <c r="AF13" s="30">
        <f t="shared" ref="AF13" si="9">SUM(Q13:T13)</f>
        <v>-4571</v>
      </c>
      <c r="AG13" s="30">
        <f>SUM(R13:U13)</f>
        <v>-4710</v>
      </c>
      <c r="AH13" s="11"/>
      <c r="AI13" s="70">
        <f t="shared" si="5"/>
        <v>8.5003455425017194E-2</v>
      </c>
    </row>
    <row r="14" spans="1:35" ht="12.75" customHeight="1">
      <c r="B14" s="23" t="s">
        <v>25</v>
      </c>
      <c r="C14" s="24">
        <f t="shared" ref="C14:F14" si="10">+SUM(C11+SUM(C13:C13))</f>
        <v>6573</v>
      </c>
      <c r="D14" s="24">
        <f t="shared" si="10"/>
        <v>10229</v>
      </c>
      <c r="E14" s="24">
        <f t="shared" si="10"/>
        <v>9208</v>
      </c>
      <c r="F14" s="24">
        <f t="shared" si="10"/>
        <v>5697</v>
      </c>
      <c r="H14" s="24">
        <f t="shared" ref="H14:U14" si="11">+SUM(H11+SUM(H13:H13))</f>
        <v>1690</v>
      </c>
      <c r="I14" s="24">
        <f t="shared" si="11"/>
        <v>1261</v>
      </c>
      <c r="J14" s="24">
        <f t="shared" si="11"/>
        <v>2028</v>
      </c>
      <c r="K14" s="24">
        <f t="shared" si="11"/>
        <v>5250</v>
      </c>
      <c r="L14" s="24">
        <f t="shared" si="11"/>
        <v>1691</v>
      </c>
      <c r="M14" s="24">
        <f t="shared" si="11"/>
        <v>2730</v>
      </c>
      <c r="N14" s="24">
        <f t="shared" si="11"/>
        <v>2271</v>
      </c>
      <c r="O14" s="24">
        <f t="shared" si="11"/>
        <v>2516</v>
      </c>
      <c r="P14" s="24">
        <f t="shared" si="11"/>
        <v>1500</v>
      </c>
      <c r="Q14" s="24">
        <f t="shared" si="11"/>
        <v>1990</v>
      </c>
      <c r="R14" s="24">
        <f t="shared" si="11"/>
        <v>1204</v>
      </c>
      <c r="S14" s="24">
        <f t="shared" si="11"/>
        <v>1003</v>
      </c>
      <c r="T14" s="24">
        <f t="shared" si="11"/>
        <v>442</v>
      </c>
      <c r="U14" s="24">
        <f t="shared" si="11"/>
        <v>566</v>
      </c>
      <c r="W14" s="24">
        <f t="shared" ref="W14:AG14" si="12">+SUM(W11+SUM(W13:W13))</f>
        <v>10133</v>
      </c>
      <c r="X14" s="24">
        <f t="shared" si="12"/>
        <v>10506</v>
      </c>
      <c r="Y14" s="24">
        <f t="shared" si="12"/>
        <v>11641</v>
      </c>
      <c r="Z14" s="24">
        <f t="shared" si="12"/>
        <v>11893</v>
      </c>
      <c r="AA14" s="24">
        <f t="shared" si="12"/>
        <v>8166</v>
      </c>
      <c r="AB14" s="24">
        <f t="shared" si="12"/>
        <v>8518</v>
      </c>
      <c r="AC14" s="24">
        <f t="shared" si="12"/>
        <v>8277</v>
      </c>
      <c r="AD14" s="24">
        <f t="shared" si="12"/>
        <v>7210</v>
      </c>
      <c r="AE14" s="24">
        <f t="shared" si="12"/>
        <v>5697</v>
      </c>
      <c r="AF14" s="24">
        <f t="shared" si="12"/>
        <v>4639</v>
      </c>
      <c r="AG14" s="24">
        <f t="shared" si="12"/>
        <v>3215</v>
      </c>
      <c r="AH14" s="40"/>
      <c r="AI14" s="71">
        <f t="shared" si="5"/>
        <v>-0.61157424187507559</v>
      </c>
    </row>
    <row r="15" spans="1:35" ht="12.75" customHeight="1">
      <c r="B15" s="14" t="s">
        <v>39</v>
      </c>
      <c r="C15" s="15">
        <f t="shared" ref="C15:F15" si="13">C14/C11</f>
        <v>0.80197657393850663</v>
      </c>
      <c r="D15" s="15">
        <f t="shared" si="13"/>
        <v>0.78072050068691801</v>
      </c>
      <c r="E15" s="15">
        <f t="shared" si="13"/>
        <v>0.76682211858760829</v>
      </c>
      <c r="F15" s="15">
        <f t="shared" si="13"/>
        <v>0.52798887859128818</v>
      </c>
      <c r="G15" s="25"/>
      <c r="H15" s="15">
        <f t="shared" ref="H15:U15" si="14">H14/H11</f>
        <v>0.80323193916349811</v>
      </c>
      <c r="I15" s="15">
        <f t="shared" si="14"/>
        <v>0.59090909090909094</v>
      </c>
      <c r="J15" s="15">
        <f t="shared" si="14"/>
        <v>0.72325249643366618</v>
      </c>
      <c r="K15" s="15">
        <f t="shared" si="14"/>
        <v>0.86633663366336633</v>
      </c>
      <c r="L15" s="15">
        <f t="shared" si="14"/>
        <v>0.76828714220808725</v>
      </c>
      <c r="M15" s="15">
        <f t="shared" si="14"/>
        <v>0.82055906221821462</v>
      </c>
      <c r="N15" s="15">
        <f t="shared" si="14"/>
        <v>0.73140096618357486</v>
      </c>
      <c r="O15" s="15">
        <f t="shared" si="14"/>
        <v>0.74548148148148152</v>
      </c>
      <c r="P15" s="15">
        <f t="shared" si="14"/>
        <v>0.49148099606815204</v>
      </c>
      <c r="Q15" s="15">
        <f t="shared" si="14"/>
        <v>0.64484769928710306</v>
      </c>
      <c r="R15" s="15">
        <f t="shared" si="14"/>
        <v>0.50630782169890665</v>
      </c>
      <c r="S15" s="15">
        <f t="shared" si="14"/>
        <v>0.44107299912049253</v>
      </c>
      <c r="T15" s="15">
        <f t="shared" si="14"/>
        <v>0.30027173913043476</v>
      </c>
      <c r="U15" s="15">
        <f t="shared" si="14"/>
        <v>0.31426985008328706</v>
      </c>
      <c r="V15" s="26"/>
      <c r="W15" s="15">
        <f t="shared" ref="W15:AG15" si="15">W14/W11</f>
        <v>0.77339337505724315</v>
      </c>
      <c r="X15" s="15">
        <f t="shared" si="15"/>
        <v>0.79596939162057734</v>
      </c>
      <c r="Y15" s="15">
        <f t="shared" si="15"/>
        <v>0.80885214007782102</v>
      </c>
      <c r="Z15" s="15">
        <f t="shared" si="15"/>
        <v>0.8094330633635064</v>
      </c>
      <c r="AA15" s="15">
        <f t="shared" si="15"/>
        <v>0.68004663557628253</v>
      </c>
      <c r="AB15" s="15">
        <f t="shared" si="15"/>
        <v>0.66241542888249472</v>
      </c>
      <c r="AC15" s="15">
        <f t="shared" si="15"/>
        <v>0.65596766524013317</v>
      </c>
      <c r="AD15" s="15">
        <f t="shared" si="15"/>
        <v>0.60634093011521317</v>
      </c>
      <c r="AE15" s="15">
        <f t="shared" si="15"/>
        <v>0.52798887859128818</v>
      </c>
      <c r="AF15" s="15">
        <f t="shared" si="15"/>
        <v>0.50369163952225837</v>
      </c>
      <c r="AG15" s="15">
        <f t="shared" si="15"/>
        <v>0.4056782334384858</v>
      </c>
      <c r="AH15" s="40"/>
      <c r="AI15" s="72">
        <f>SUM(AG15-AC15)*1000</f>
        <v>-250.28943180164737</v>
      </c>
    </row>
    <row r="16" spans="1:35" ht="5.0999999999999996" customHeight="1"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40"/>
      <c r="AI16" s="70"/>
    </row>
    <row r="17" spans="2:35" ht="12.75" customHeight="1">
      <c r="B17" s="9" t="s">
        <v>125</v>
      </c>
      <c r="C17" s="79">
        <v>-26928</v>
      </c>
      <c r="D17" s="79">
        <v>-59952</v>
      </c>
      <c r="E17" s="79">
        <v>-52768</v>
      </c>
      <c r="F17" s="79">
        <v>-49750</v>
      </c>
      <c r="G17" s="30"/>
      <c r="H17" s="79">
        <v>-12449</v>
      </c>
      <c r="I17" s="79">
        <v>-12634</v>
      </c>
      <c r="J17" s="79">
        <v>-17365</v>
      </c>
      <c r="K17" s="30">
        <f t="shared" ref="K17:K19" si="16">SUM(D17-SUM(H17:J17))</f>
        <v>-17504</v>
      </c>
      <c r="L17" s="86">
        <v>-13707</v>
      </c>
      <c r="M17" s="86">
        <v>-13219</v>
      </c>
      <c r="N17" s="86">
        <v>-13056</v>
      </c>
      <c r="O17" s="30">
        <f t="shared" ref="O17:O19" si="17">SUM(E17-SUM(L17:N17))</f>
        <v>-12786</v>
      </c>
      <c r="P17" s="79">
        <v>-11471</v>
      </c>
      <c r="Q17" s="79">
        <v>-11870</v>
      </c>
      <c r="R17" s="79">
        <v>-12752</v>
      </c>
      <c r="S17" s="30">
        <f t="shared" ref="S17:S19" si="18">SUM(F17-SUM(P17:R17))</f>
        <v>-13657</v>
      </c>
      <c r="T17" s="79">
        <v>-15455</v>
      </c>
      <c r="U17" s="79">
        <v>-13522</v>
      </c>
      <c r="W17" s="30">
        <f>SUM(I17:L17)</f>
        <v>-61210</v>
      </c>
      <c r="X17" s="30">
        <f>SUM(J17:M17)</f>
        <v>-61795</v>
      </c>
      <c r="Y17" s="30">
        <f>SUM(K17:N17)</f>
        <v>-57486</v>
      </c>
      <c r="Z17" s="30">
        <f>SUM(L17:O17)</f>
        <v>-52768</v>
      </c>
      <c r="AA17" s="30">
        <f>SUM(M17:P17)</f>
        <v>-50532</v>
      </c>
      <c r="AB17" s="30">
        <f>SUM(N17:Q17)</f>
        <v>-49183</v>
      </c>
      <c r="AC17" s="30">
        <f t="shared" ref="AC17:AC19" si="19">SUM(N17:Q17)</f>
        <v>-49183</v>
      </c>
      <c r="AD17" s="30">
        <f t="shared" ref="AD17:AD19" si="20">SUM(O17:R17)</f>
        <v>-48879</v>
      </c>
      <c r="AE17" s="30">
        <f t="shared" ref="AE17:AE19" si="21">SUM(P17:S17)</f>
        <v>-49750</v>
      </c>
      <c r="AF17" s="30">
        <f t="shared" ref="AF17:AF19" si="22">SUM(Q17:T17)</f>
        <v>-53734</v>
      </c>
      <c r="AG17" s="30">
        <f t="shared" ref="AG17:AG19" si="23">SUM(R17:U17)</f>
        <v>-55386</v>
      </c>
      <c r="AH17" s="11"/>
      <c r="AI17" s="70">
        <f t="shared" si="5"/>
        <v>0.1261208141024337</v>
      </c>
    </row>
    <row r="18" spans="2:35" ht="12.75" customHeight="1">
      <c r="B18" s="9" t="s">
        <v>153</v>
      </c>
      <c r="C18" s="79">
        <v>-13774</v>
      </c>
      <c r="D18" s="79">
        <v>-53980</v>
      </c>
      <c r="E18" s="79">
        <v>-27744</v>
      </c>
      <c r="F18" s="79">
        <v>-24457</v>
      </c>
      <c r="G18" s="30"/>
      <c r="H18" s="79">
        <f>-11560-1475</f>
        <v>-13035</v>
      </c>
      <c r="I18" s="79">
        <f>-12785-1487</f>
        <v>-14272</v>
      </c>
      <c r="J18" s="79">
        <v>-15987</v>
      </c>
      <c r="K18" s="30">
        <f t="shared" si="16"/>
        <v>-10686</v>
      </c>
      <c r="L18" s="86">
        <v>-9013</v>
      </c>
      <c r="M18" s="86">
        <v>-5747</v>
      </c>
      <c r="N18" s="86">
        <v>-6047</v>
      </c>
      <c r="O18" s="30">
        <f t="shared" si="17"/>
        <v>-6937</v>
      </c>
      <c r="P18" s="79">
        <v>-6614</v>
      </c>
      <c r="Q18" s="79">
        <v>-6205</v>
      </c>
      <c r="R18" s="79">
        <v>-5798</v>
      </c>
      <c r="S18" s="30">
        <f t="shared" si="18"/>
        <v>-5840</v>
      </c>
      <c r="T18" s="79">
        <v>-6619</v>
      </c>
      <c r="U18" s="79">
        <v>-6926</v>
      </c>
      <c r="W18" s="30">
        <f>SUM(I18:L18)</f>
        <v>-49958</v>
      </c>
      <c r="X18" s="30">
        <f>SUM(J18:M18)</f>
        <v>-41433</v>
      </c>
      <c r="Y18" s="30">
        <f>SUM(K18:N18)</f>
        <v>-31493</v>
      </c>
      <c r="Z18" s="30">
        <f>SUM(L18:O18)</f>
        <v>-27744</v>
      </c>
      <c r="AA18" s="30">
        <f>SUM(M18:P18)</f>
        <v>-25345</v>
      </c>
      <c r="AB18" s="30">
        <f>SUM(N18:Q18)</f>
        <v>-25803</v>
      </c>
      <c r="AC18" s="30">
        <f t="shared" si="19"/>
        <v>-25803</v>
      </c>
      <c r="AD18" s="30">
        <f t="shared" si="20"/>
        <v>-25554</v>
      </c>
      <c r="AE18" s="30">
        <f t="shared" si="21"/>
        <v>-24457</v>
      </c>
      <c r="AF18" s="30">
        <f t="shared" si="22"/>
        <v>-24462</v>
      </c>
      <c r="AG18" s="30">
        <f t="shared" si="23"/>
        <v>-25183</v>
      </c>
      <c r="AH18" s="11"/>
      <c r="AI18" s="70">
        <f t="shared" si="5"/>
        <v>-2.4028213773592211E-2</v>
      </c>
    </row>
    <row r="19" spans="2:35" ht="12.75" customHeight="1">
      <c r="B19" s="9" t="s">
        <v>184</v>
      </c>
      <c r="C19" s="79">
        <v>0</v>
      </c>
      <c r="D19" s="79">
        <v>-5377</v>
      </c>
      <c r="E19" s="79">
        <v>-991</v>
      </c>
      <c r="F19" s="79">
        <v>0</v>
      </c>
      <c r="G19" s="30"/>
      <c r="H19" s="79">
        <v>0</v>
      </c>
      <c r="I19" s="79">
        <v>0</v>
      </c>
      <c r="J19" s="79">
        <v>0</v>
      </c>
      <c r="K19" s="30">
        <f t="shared" si="16"/>
        <v>-5377</v>
      </c>
      <c r="L19" s="86">
        <v>-991</v>
      </c>
      <c r="M19" s="79">
        <v>0</v>
      </c>
      <c r="N19" s="79">
        <v>0</v>
      </c>
      <c r="O19" s="30">
        <f t="shared" si="17"/>
        <v>0</v>
      </c>
      <c r="P19" s="79">
        <v>0</v>
      </c>
      <c r="Q19" s="79">
        <v>0</v>
      </c>
      <c r="R19" s="79">
        <v>0</v>
      </c>
      <c r="S19" s="30">
        <f t="shared" si="18"/>
        <v>0</v>
      </c>
      <c r="T19" s="79">
        <v>0</v>
      </c>
      <c r="U19" s="79">
        <v>0</v>
      </c>
      <c r="W19" s="30">
        <f>SUM(I19:L19)</f>
        <v>-6368</v>
      </c>
      <c r="X19" s="30">
        <f>SUM(J19:M19)</f>
        <v>-6368</v>
      </c>
      <c r="Y19" s="30">
        <f>SUM(K19:N19)</f>
        <v>-6368</v>
      </c>
      <c r="Z19" s="30">
        <f>SUM(L19:O19)</f>
        <v>-991</v>
      </c>
      <c r="AA19" s="30">
        <f>SUM(M19:P19)</f>
        <v>0</v>
      </c>
      <c r="AB19" s="30">
        <f>SUM(N19:Q19)</f>
        <v>0</v>
      </c>
      <c r="AC19" s="30">
        <f t="shared" si="19"/>
        <v>0</v>
      </c>
      <c r="AD19" s="30">
        <f t="shared" si="20"/>
        <v>0</v>
      </c>
      <c r="AE19" s="30">
        <f t="shared" si="21"/>
        <v>0</v>
      </c>
      <c r="AF19" s="30">
        <f t="shared" si="22"/>
        <v>0</v>
      </c>
      <c r="AG19" s="30">
        <f t="shared" si="23"/>
        <v>0</v>
      </c>
      <c r="AH19" s="11"/>
      <c r="AI19" s="70" t="e">
        <f t="shared" si="5"/>
        <v>#DIV/0!</v>
      </c>
    </row>
    <row r="20" spans="2:35" ht="12.75" customHeight="1">
      <c r="B20" s="23" t="s">
        <v>105</v>
      </c>
      <c r="C20" s="24">
        <f>+SUM(C14+SUM(C17:C19))</f>
        <v>-34129</v>
      </c>
      <c r="D20" s="24">
        <f>+SUM(D14+SUM(D17:D19))</f>
        <v>-109080</v>
      </c>
      <c r="E20" s="24">
        <f>+SUM(E14+SUM(E17:E19))</f>
        <v>-72295</v>
      </c>
      <c r="F20" s="24">
        <f>+SUM(F14+SUM(F17:F19))</f>
        <v>-68510</v>
      </c>
      <c r="G20" s="30"/>
      <c r="H20" s="24">
        <f>+SUM(H14+SUM(H17:H19))</f>
        <v>-23794</v>
      </c>
      <c r="I20" s="24">
        <f>+SUM(I14+SUM(I17:I19))</f>
        <v>-25645</v>
      </c>
      <c r="J20" s="24">
        <f>+SUM(J14+SUM(J17:J19))</f>
        <v>-31324</v>
      </c>
      <c r="K20" s="24">
        <f>+SUM(K14+SUM(K17:K19))</f>
        <v>-28317</v>
      </c>
      <c r="L20" s="24">
        <f>+SUM(L14+SUM(L17:L19))</f>
        <v>-22020</v>
      </c>
      <c r="M20" s="24">
        <f>+SUM(M14+SUM(M17:M19))</f>
        <v>-16236</v>
      </c>
      <c r="N20" s="24">
        <f>+SUM(N14+SUM(N17:N19))</f>
        <v>-16832</v>
      </c>
      <c r="O20" s="24">
        <f>+SUM(O14+SUM(O17:O19))</f>
        <v>-17207</v>
      </c>
      <c r="P20" s="24">
        <f>+SUM(P14+SUM(P17:P19))</f>
        <v>-16585</v>
      </c>
      <c r="Q20" s="24">
        <f>+SUM(Q14+SUM(Q17:Q19))</f>
        <v>-16085</v>
      </c>
      <c r="R20" s="24">
        <f>+SUM(R14+SUM(R17:R19))</f>
        <v>-17346</v>
      </c>
      <c r="S20" s="24">
        <f>+SUM(S14+SUM(S17:S19))</f>
        <v>-18494</v>
      </c>
      <c r="T20" s="24">
        <f>+SUM(T14+SUM(T17:T19))</f>
        <v>-21632</v>
      </c>
      <c r="U20" s="24">
        <f>+SUM(U14+SUM(U17:U19))</f>
        <v>-19882</v>
      </c>
      <c r="W20" s="24">
        <f>+SUM(W14+SUM(W17:W19))</f>
        <v>-107403</v>
      </c>
      <c r="X20" s="24">
        <f>+SUM(X14+SUM(X17:X19))</f>
        <v>-99090</v>
      </c>
      <c r="Y20" s="24">
        <f>+SUM(Y14+SUM(Y17:Y19))</f>
        <v>-83706</v>
      </c>
      <c r="Z20" s="24">
        <f>+SUM(Z14+SUM(Z17:Z19))</f>
        <v>-69610</v>
      </c>
      <c r="AA20" s="24">
        <f>+SUM(AA14+SUM(AA17:AA19))</f>
        <v>-67711</v>
      </c>
      <c r="AB20" s="24">
        <f>+SUM(AB14+SUM(AB17:AB19))</f>
        <v>-66468</v>
      </c>
      <c r="AC20" s="24">
        <f>+SUM(AC14+SUM(AC17:AC19))</f>
        <v>-66709</v>
      </c>
      <c r="AD20" s="24">
        <f>+SUM(AD14+SUM(AD17:AD19))</f>
        <v>-67223</v>
      </c>
      <c r="AE20" s="24">
        <f>+SUM(AE14+SUM(AE17:AE19))</f>
        <v>-68510</v>
      </c>
      <c r="AF20" s="24">
        <f>+SUM(AF14+SUM(AF17:AF19))</f>
        <v>-73557</v>
      </c>
      <c r="AG20" s="24">
        <f>+SUM(AG14+SUM(AG17:AG19))</f>
        <v>-77354</v>
      </c>
      <c r="AH20" s="11"/>
      <c r="AI20" s="71">
        <f t="shared" si="5"/>
        <v>0.15957367071909334</v>
      </c>
    </row>
    <row r="21" spans="2:35" ht="12.75" customHeight="1">
      <c r="B21" s="14" t="s">
        <v>41</v>
      </c>
      <c r="C21" s="15">
        <f>C20/C11</f>
        <v>-4.1641044411908252</v>
      </c>
      <c r="D21" s="15">
        <f>D20/D11</f>
        <v>-8.3254464967180581</v>
      </c>
      <c r="E21" s="15">
        <f>E20/E11</f>
        <v>-6.0205696202531644</v>
      </c>
      <c r="F21" s="15">
        <f>F20/F11</f>
        <v>-6.3493975903614457</v>
      </c>
      <c r="G21" s="30"/>
      <c r="H21" s="15">
        <f>H20/H11</f>
        <v>-11.308935361216729</v>
      </c>
      <c r="I21" s="15">
        <f>I20/I11</f>
        <v>-12.017338331771322</v>
      </c>
      <c r="J21" s="15">
        <f>J20/J11</f>
        <v>-11.171184022824537</v>
      </c>
      <c r="K21" s="15">
        <f>K20/K11</f>
        <v>-4.6727722772277227</v>
      </c>
      <c r="L21" s="15">
        <f>L20/L11</f>
        <v>-10.004543389368468</v>
      </c>
      <c r="M21" s="15">
        <f>M20/M11</f>
        <v>-4.8800721370604148</v>
      </c>
      <c r="N21" s="15">
        <f>N20/N11</f>
        <v>-5.4209339774557161</v>
      </c>
      <c r="O21" s="15">
        <f>O20/O11</f>
        <v>-5.09837037037037</v>
      </c>
      <c r="P21" s="15">
        <f>P20/P11</f>
        <v>-5.4341415465268676</v>
      </c>
      <c r="Q21" s="15">
        <f>Q20/Q11</f>
        <v>-5.2122488658457549</v>
      </c>
      <c r="R21" s="15">
        <f>R20/R11</f>
        <v>-7.2943650126156436</v>
      </c>
      <c r="S21" s="15">
        <f>S20/S11</f>
        <v>-8.1328056288478461</v>
      </c>
      <c r="T21" s="15">
        <f>T20/T11</f>
        <v>-14.695652173913043</v>
      </c>
      <c r="U21" s="15">
        <f>U20/U11</f>
        <v>-11.03942254303165</v>
      </c>
      <c r="W21" s="15">
        <f>W20/W11</f>
        <v>-8.197450770874676</v>
      </c>
      <c r="X21" s="15">
        <f>X20/X11</f>
        <v>-7.5073869232517616</v>
      </c>
      <c r="Y21" s="15">
        <f>Y20/Y11</f>
        <v>-5.8161478599221788</v>
      </c>
      <c r="Z21" s="15">
        <f>Z20/Z11</f>
        <v>-4.7376301640236846</v>
      </c>
      <c r="AA21" s="15">
        <f>AA20/AA11</f>
        <v>-5.6388241172551634</v>
      </c>
      <c r="AB21" s="15">
        <f>AB20/AB11</f>
        <v>-5.1689867019208338</v>
      </c>
      <c r="AC21" s="15">
        <f>AC20/AC11</f>
        <v>-5.2868124900935172</v>
      </c>
      <c r="AD21" s="15">
        <f>AD20/AD11</f>
        <v>-5.6532671768564464</v>
      </c>
      <c r="AE21" s="15">
        <f>AE20/AE11</f>
        <v>-6.3493975903614457</v>
      </c>
      <c r="AF21" s="15">
        <f>AF20/AF11</f>
        <v>-7.9866449511400655</v>
      </c>
      <c r="AG21" s="15">
        <f>AG20/AG11</f>
        <v>-9.7607570977917977</v>
      </c>
      <c r="AH21" s="11"/>
      <c r="AI21" s="72">
        <f>SUM(AG21-AC21)*1000</f>
        <v>-4473.9446076982804</v>
      </c>
    </row>
    <row r="22" spans="2:35" ht="5.0999999999999996" customHeight="1">
      <c r="B22" s="14"/>
      <c r="C22" s="15"/>
      <c r="D22" s="15"/>
      <c r="E22" s="15"/>
      <c r="F22" s="15"/>
      <c r="G22" s="30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11"/>
      <c r="AI22" s="70"/>
    </row>
    <row r="23" spans="2:35" ht="12.75" customHeight="1">
      <c r="B23" s="9" t="s">
        <v>93</v>
      </c>
      <c r="C23" s="79">
        <v>-2465</v>
      </c>
      <c r="D23" s="79">
        <v>-5286</v>
      </c>
      <c r="E23" s="79">
        <v>-5779</v>
      </c>
      <c r="F23" s="79">
        <v>-3255</v>
      </c>
      <c r="G23" s="30"/>
      <c r="H23" s="79">
        <v>-1205</v>
      </c>
      <c r="I23" s="79">
        <v>-1040</v>
      </c>
      <c r="J23" s="79">
        <v>-1436</v>
      </c>
      <c r="K23" s="30">
        <f t="shared" ref="K23:K28" si="24">SUM(D23-SUM(H23:J23))</f>
        <v>-1605</v>
      </c>
      <c r="L23" s="79">
        <v>-1464</v>
      </c>
      <c r="M23" s="79">
        <v>-1574</v>
      </c>
      <c r="N23" s="79">
        <v>-1473</v>
      </c>
      <c r="O23" s="30">
        <f t="shared" ref="O23:O28" si="25">SUM(E23-SUM(L23:N23))</f>
        <v>-1268</v>
      </c>
      <c r="P23" s="79">
        <v>-1107</v>
      </c>
      <c r="Q23" s="79">
        <v>-969</v>
      </c>
      <c r="R23" s="79">
        <v>-733</v>
      </c>
      <c r="S23" s="30">
        <f t="shared" ref="S23:S28" si="26">SUM(F23-SUM(P23:R23))</f>
        <v>-446</v>
      </c>
      <c r="T23" s="79">
        <v>0</v>
      </c>
      <c r="U23" s="79">
        <v>0</v>
      </c>
      <c r="W23" s="30">
        <f>SUM(I23:L23)</f>
        <v>-5545</v>
      </c>
      <c r="X23" s="30">
        <f>SUM(J23:M23)</f>
        <v>-6079</v>
      </c>
      <c r="Y23" s="30">
        <f>SUM(K23:N23)</f>
        <v>-6116</v>
      </c>
      <c r="Z23" s="30">
        <f>SUM(L23:O23)</f>
        <v>-5779</v>
      </c>
      <c r="AA23" s="30">
        <f>SUM(M23:P23)</f>
        <v>-5422</v>
      </c>
      <c r="AB23" s="30">
        <f>SUM(N23:Q23)</f>
        <v>-4817</v>
      </c>
      <c r="AC23" s="30">
        <f t="shared" ref="AC23:AC28" si="27">SUM(N23:Q23)</f>
        <v>-4817</v>
      </c>
      <c r="AD23" s="30">
        <f t="shared" ref="AD23:AD28" si="28">SUM(O23:R23)</f>
        <v>-4077</v>
      </c>
      <c r="AE23" s="30">
        <f t="shared" ref="AE23:AE28" si="29">SUM(P23:S23)</f>
        <v>-3255</v>
      </c>
      <c r="AF23" s="30">
        <f t="shared" ref="AF23:AF28" si="30">SUM(Q23:T23)</f>
        <v>-2148</v>
      </c>
      <c r="AG23" s="30">
        <f t="shared" ref="AG23:AG28" si="31">SUM(R23:U23)</f>
        <v>-1179</v>
      </c>
      <c r="AH23" s="11"/>
      <c r="AI23" s="70">
        <f t="shared" si="5"/>
        <v>-0.75524185177496372</v>
      </c>
    </row>
    <row r="24" spans="2:35" ht="12.75" customHeight="1">
      <c r="B24" s="9" t="s">
        <v>92</v>
      </c>
      <c r="C24" s="79">
        <v>10</v>
      </c>
      <c r="D24" s="79">
        <v>2433</v>
      </c>
      <c r="E24" s="79">
        <v>5076</v>
      </c>
      <c r="F24" s="79">
        <v>5113</v>
      </c>
      <c r="G24" s="30"/>
      <c r="H24" s="79">
        <v>0</v>
      </c>
      <c r="I24" s="79">
        <v>0</v>
      </c>
      <c r="J24" s="79">
        <v>1042</v>
      </c>
      <c r="K24" s="30">
        <f t="shared" si="24"/>
        <v>1391</v>
      </c>
      <c r="L24" s="79">
        <v>1284</v>
      </c>
      <c r="M24" s="79">
        <v>1199</v>
      </c>
      <c r="N24" s="79">
        <v>1263</v>
      </c>
      <c r="O24" s="30">
        <f t="shared" si="25"/>
        <v>1330</v>
      </c>
      <c r="P24" s="79">
        <v>1123</v>
      </c>
      <c r="Q24" s="79">
        <v>1218</v>
      </c>
      <c r="R24" s="79">
        <v>1226</v>
      </c>
      <c r="S24" s="30">
        <f t="shared" si="26"/>
        <v>1546</v>
      </c>
      <c r="T24" s="79">
        <v>2152</v>
      </c>
      <c r="U24" s="79">
        <v>3042</v>
      </c>
      <c r="W24" s="30"/>
      <c r="X24" s="30"/>
      <c r="Y24" s="30"/>
      <c r="Z24" s="30"/>
      <c r="AA24" s="30"/>
      <c r="AB24" s="30"/>
      <c r="AC24" s="30">
        <f t="shared" si="27"/>
        <v>4934</v>
      </c>
      <c r="AD24" s="30">
        <f t="shared" si="28"/>
        <v>4897</v>
      </c>
      <c r="AE24" s="30">
        <f t="shared" si="29"/>
        <v>5113</v>
      </c>
      <c r="AF24" s="30">
        <f t="shared" si="30"/>
        <v>6142</v>
      </c>
      <c r="AG24" s="30">
        <f t="shared" si="31"/>
        <v>7966</v>
      </c>
      <c r="AH24" s="11"/>
      <c r="AI24" s="70">
        <f t="shared" si="5"/>
        <v>0.61451155249290634</v>
      </c>
    </row>
    <row r="25" spans="2:35" ht="12.75" customHeight="1">
      <c r="B25" s="9" t="s">
        <v>155</v>
      </c>
      <c r="C25" s="79">
        <v>-1664</v>
      </c>
      <c r="D25" s="79">
        <v>22132</v>
      </c>
      <c r="E25" s="79">
        <v>-1160</v>
      </c>
      <c r="F25" s="79">
        <v>-90168</v>
      </c>
      <c r="G25" s="30"/>
      <c r="H25" s="79">
        <v>5822</v>
      </c>
      <c r="I25" s="79">
        <v>8687</v>
      </c>
      <c r="J25" s="79">
        <v>8103</v>
      </c>
      <c r="K25" s="30">
        <f t="shared" si="24"/>
        <v>-480</v>
      </c>
      <c r="L25" s="79">
        <v>-873</v>
      </c>
      <c r="M25" s="79">
        <v>-5</v>
      </c>
      <c r="N25" s="79">
        <v>-3442</v>
      </c>
      <c r="O25" s="30">
        <f t="shared" si="25"/>
        <v>3160</v>
      </c>
      <c r="P25" s="79">
        <v>-2583</v>
      </c>
      <c r="Q25" s="79">
        <v>2100</v>
      </c>
      <c r="R25" s="79">
        <v>1200</v>
      </c>
      <c r="S25" s="30">
        <f t="shared" si="26"/>
        <v>-90885</v>
      </c>
      <c r="T25" s="79">
        <v>53262</v>
      </c>
      <c r="U25" s="79">
        <v>-20557</v>
      </c>
      <c r="W25" s="30"/>
      <c r="X25" s="30"/>
      <c r="Y25" s="30"/>
      <c r="Z25" s="30"/>
      <c r="AA25" s="30"/>
      <c r="AB25" s="30"/>
      <c r="AC25" s="30">
        <f t="shared" si="27"/>
        <v>-765</v>
      </c>
      <c r="AD25" s="30">
        <f t="shared" si="28"/>
        <v>3877</v>
      </c>
      <c r="AE25" s="30">
        <f t="shared" si="29"/>
        <v>-90168</v>
      </c>
      <c r="AF25" s="30">
        <f t="shared" si="30"/>
        <v>-34323</v>
      </c>
      <c r="AG25" s="30">
        <f t="shared" si="31"/>
        <v>-56980</v>
      </c>
      <c r="AH25" s="11"/>
      <c r="AI25" s="70">
        <f t="shared" si="5"/>
        <v>73.48366013071896</v>
      </c>
    </row>
    <row r="26" spans="2:35" ht="12.75" customHeight="1">
      <c r="B26" s="9" t="s">
        <v>156</v>
      </c>
      <c r="C26" s="79">
        <v>0</v>
      </c>
      <c r="D26" s="79">
        <v>19207</v>
      </c>
      <c r="E26" s="79">
        <v>-949</v>
      </c>
      <c r="F26" s="79">
        <v>-43742</v>
      </c>
      <c r="G26" s="30"/>
      <c r="H26" s="79">
        <v>9634</v>
      </c>
      <c r="I26" s="79">
        <v>8024</v>
      </c>
      <c r="J26" s="79">
        <v>4860</v>
      </c>
      <c r="K26" s="30">
        <f t="shared" si="24"/>
        <v>-3311</v>
      </c>
      <c r="L26" s="79">
        <v>-281</v>
      </c>
      <c r="M26" s="79">
        <v>-350</v>
      </c>
      <c r="N26" s="79">
        <v>-1731</v>
      </c>
      <c r="O26" s="30">
        <f t="shared" si="25"/>
        <v>1413</v>
      </c>
      <c r="P26" s="79">
        <v>-1621</v>
      </c>
      <c r="Q26" s="79">
        <v>1315</v>
      </c>
      <c r="R26" s="79">
        <v>820</v>
      </c>
      <c r="S26" s="30">
        <f t="shared" si="26"/>
        <v>-44256</v>
      </c>
      <c r="T26" s="79">
        <v>8837</v>
      </c>
      <c r="U26" s="79">
        <v>-2257</v>
      </c>
      <c r="W26" s="30"/>
      <c r="X26" s="30"/>
      <c r="Y26" s="30"/>
      <c r="Z26" s="30"/>
      <c r="AA26" s="30"/>
      <c r="AB26" s="30"/>
      <c r="AC26" s="30">
        <f t="shared" si="27"/>
        <v>-624</v>
      </c>
      <c r="AD26" s="30">
        <f t="shared" si="28"/>
        <v>1927</v>
      </c>
      <c r="AE26" s="30">
        <f t="shared" si="29"/>
        <v>-43742</v>
      </c>
      <c r="AF26" s="30">
        <f t="shared" si="30"/>
        <v>-33284</v>
      </c>
      <c r="AG26" s="30">
        <f t="shared" si="31"/>
        <v>-36856</v>
      </c>
      <c r="AH26" s="11"/>
      <c r="AI26" s="70">
        <f t="shared" si="5"/>
        <v>58.064102564102562</v>
      </c>
    </row>
    <row r="27" spans="2:35" ht="12.75" customHeight="1">
      <c r="B27" s="9" t="s">
        <v>157</v>
      </c>
      <c r="C27" s="79">
        <v>0</v>
      </c>
      <c r="D27" s="79">
        <v>-927</v>
      </c>
      <c r="E27" s="79">
        <v>0</v>
      </c>
      <c r="F27" s="79">
        <v>0</v>
      </c>
      <c r="G27" s="30"/>
      <c r="H27" s="79">
        <v>-927</v>
      </c>
      <c r="I27" s="79">
        <v>0</v>
      </c>
      <c r="J27" s="79">
        <v>0</v>
      </c>
      <c r="K27" s="30">
        <f t="shared" si="24"/>
        <v>0</v>
      </c>
      <c r="L27" s="79">
        <v>0</v>
      </c>
      <c r="M27" s="79">
        <v>0</v>
      </c>
      <c r="N27" s="79">
        <v>0</v>
      </c>
      <c r="O27" s="30">
        <f t="shared" si="25"/>
        <v>0</v>
      </c>
      <c r="P27" s="79">
        <v>0</v>
      </c>
      <c r="Q27" s="79">
        <v>0</v>
      </c>
      <c r="R27" s="79">
        <v>0</v>
      </c>
      <c r="S27" s="30">
        <f t="shared" si="26"/>
        <v>0</v>
      </c>
      <c r="T27" s="79">
        <v>0</v>
      </c>
      <c r="U27" s="79">
        <v>0</v>
      </c>
      <c r="W27" s="30">
        <f>SUM(I27:L27)</f>
        <v>0</v>
      </c>
      <c r="X27" s="30">
        <f>SUM(J27:M27)</f>
        <v>0</v>
      </c>
      <c r="Y27" s="30">
        <f>SUM(K27:N27)</f>
        <v>0</v>
      </c>
      <c r="Z27" s="30">
        <f>SUM(L27:O27)</f>
        <v>0</v>
      </c>
      <c r="AA27" s="30">
        <f>SUM(M27:P27)</f>
        <v>0</v>
      </c>
      <c r="AB27" s="30">
        <f>SUM(N27:Q27)</f>
        <v>0</v>
      </c>
      <c r="AC27" s="30">
        <f t="shared" si="27"/>
        <v>0</v>
      </c>
      <c r="AD27" s="30">
        <f t="shared" si="28"/>
        <v>0</v>
      </c>
      <c r="AE27" s="30">
        <f t="shared" si="29"/>
        <v>0</v>
      </c>
      <c r="AF27" s="30">
        <f t="shared" si="30"/>
        <v>0</v>
      </c>
      <c r="AG27" s="30">
        <f t="shared" si="31"/>
        <v>0</v>
      </c>
      <c r="AH27" s="11"/>
      <c r="AI27" s="70" t="e">
        <f t="shared" si="5"/>
        <v>#DIV/0!</v>
      </c>
    </row>
    <row r="28" spans="2:35" ht="12.75" customHeight="1">
      <c r="B28" s="9" t="s">
        <v>185</v>
      </c>
      <c r="C28" s="79">
        <v>7</v>
      </c>
      <c r="D28" s="79">
        <v>0</v>
      </c>
      <c r="E28" s="79">
        <v>0</v>
      </c>
      <c r="F28" s="79">
        <v>-426</v>
      </c>
      <c r="G28" s="30"/>
      <c r="H28" s="79">
        <v>0</v>
      </c>
      <c r="I28" s="79">
        <v>0</v>
      </c>
      <c r="J28" s="79">
        <v>0</v>
      </c>
      <c r="K28" s="30">
        <f t="shared" si="24"/>
        <v>0</v>
      </c>
      <c r="L28" s="79">
        <v>0</v>
      </c>
      <c r="M28" s="79">
        <v>0</v>
      </c>
      <c r="N28" s="79">
        <v>0</v>
      </c>
      <c r="O28" s="30">
        <f t="shared" si="25"/>
        <v>0</v>
      </c>
      <c r="P28" s="79">
        <v>0</v>
      </c>
      <c r="Q28" s="79">
        <v>0</v>
      </c>
      <c r="R28" s="79">
        <v>0</v>
      </c>
      <c r="S28" s="30">
        <f t="shared" si="26"/>
        <v>-426</v>
      </c>
      <c r="T28" s="79">
        <v>0</v>
      </c>
      <c r="U28" s="79">
        <v>0</v>
      </c>
      <c r="W28" s="30">
        <f>SUM(I28:L28)</f>
        <v>0</v>
      </c>
      <c r="X28" s="30">
        <f>SUM(J28:M28)</f>
        <v>0</v>
      </c>
      <c r="Y28" s="30">
        <f>SUM(K28:N28)</f>
        <v>0</v>
      </c>
      <c r="Z28" s="30">
        <f>SUM(L28:O28)</f>
        <v>0</v>
      </c>
      <c r="AA28" s="30">
        <f>SUM(M28:P28)</f>
        <v>0</v>
      </c>
      <c r="AB28" s="30">
        <f>SUM(N28:Q28)</f>
        <v>0</v>
      </c>
      <c r="AC28" s="30">
        <f t="shared" si="27"/>
        <v>0</v>
      </c>
      <c r="AD28" s="30">
        <f t="shared" si="28"/>
        <v>0</v>
      </c>
      <c r="AE28" s="30">
        <f t="shared" si="29"/>
        <v>-426</v>
      </c>
      <c r="AF28" s="30">
        <f t="shared" si="30"/>
        <v>-426</v>
      </c>
      <c r="AG28" s="30">
        <f t="shared" si="31"/>
        <v>-426</v>
      </c>
      <c r="AH28" s="11"/>
      <c r="AI28" s="70" t="e">
        <f t="shared" si="5"/>
        <v>#DIV/0!</v>
      </c>
    </row>
    <row r="29" spans="2:35" ht="12.75" customHeight="1">
      <c r="B29" s="23" t="s">
        <v>106</v>
      </c>
      <c r="C29" s="24">
        <f>SUM(C20+SUM(C23:C28))</f>
        <v>-38241</v>
      </c>
      <c r="D29" s="24">
        <f>SUM(D20+SUM(D23:D28))</f>
        <v>-71521</v>
      </c>
      <c r="E29" s="24">
        <f>SUM(E20+SUM(E23:E28))</f>
        <v>-75107</v>
      </c>
      <c r="F29" s="24">
        <f>SUM(F20+SUM(F23:F28))</f>
        <v>-200988</v>
      </c>
      <c r="H29" s="24">
        <f>SUM(H20+SUM(H23:H28))</f>
        <v>-10470</v>
      </c>
      <c r="I29" s="24">
        <f>SUM(I20+SUM(I23:I28))</f>
        <v>-9974</v>
      </c>
      <c r="J29" s="24">
        <f>SUM(J20+SUM(J23:J28))</f>
        <v>-18755</v>
      </c>
      <c r="K29" s="24">
        <f>SUM(K20+SUM(K23:K28))</f>
        <v>-32322</v>
      </c>
      <c r="L29" s="24">
        <f>SUM(L20+SUM(L23:L28))</f>
        <v>-23354</v>
      </c>
      <c r="M29" s="24">
        <f>SUM(M20+SUM(M23:M28))</f>
        <v>-16966</v>
      </c>
      <c r="N29" s="24">
        <f>SUM(N20+SUM(N23:N28))</f>
        <v>-22215</v>
      </c>
      <c r="O29" s="24">
        <f>SUM(O20+SUM(O23:O28))</f>
        <v>-12572</v>
      </c>
      <c r="P29" s="24">
        <f>SUM(P20+SUM(P23:P28))</f>
        <v>-20773</v>
      </c>
      <c r="Q29" s="24">
        <f>SUM(Q20+SUM(Q23:Q28))</f>
        <v>-12421</v>
      </c>
      <c r="R29" s="24">
        <f>SUM(R20+SUM(R23:R28))</f>
        <v>-14833</v>
      </c>
      <c r="S29" s="24">
        <f>SUM(S20+SUM(S23:S28))</f>
        <v>-152961</v>
      </c>
      <c r="T29" s="24">
        <f>SUM(T20+SUM(T23:T28))</f>
        <v>42619</v>
      </c>
      <c r="U29" s="24">
        <f>SUM(U20+SUM(U23:U28))</f>
        <v>-39654</v>
      </c>
      <c r="W29" s="24">
        <f>SUM(W20+SUM(W23:W28))</f>
        <v>-112948</v>
      </c>
      <c r="X29" s="24">
        <f>SUM(X20+SUM(X23:X28))</f>
        <v>-105169</v>
      </c>
      <c r="Y29" s="24">
        <f>SUM(Y20+SUM(Y23:Y28))</f>
        <v>-89822</v>
      </c>
      <c r="Z29" s="24">
        <f>SUM(Z20+SUM(Z23:Z28))</f>
        <v>-75389</v>
      </c>
      <c r="AA29" s="24">
        <f>SUM(AA20+SUM(AA23:AA28))</f>
        <v>-73133</v>
      </c>
      <c r="AB29" s="24">
        <f>SUM(AB20+SUM(AB23:AB28))</f>
        <v>-71285</v>
      </c>
      <c r="AC29" s="24">
        <f>SUM(AC20+SUM(AC23:AC28))</f>
        <v>-67981</v>
      </c>
      <c r="AD29" s="24">
        <f>SUM(AD20+SUM(AD23:AD28))</f>
        <v>-60599</v>
      </c>
      <c r="AE29" s="24">
        <f>SUM(AE20+SUM(AE23:AE28))</f>
        <v>-200988</v>
      </c>
      <c r="AF29" s="24">
        <f>SUM(AF20+SUM(AF23:AF28))</f>
        <v>-137596</v>
      </c>
      <c r="AG29" s="24">
        <f>SUM(AG20+SUM(AG23:AG28))</f>
        <v>-164829</v>
      </c>
      <c r="AH29" s="40"/>
      <c r="AI29" s="71">
        <f t="shared" si="5"/>
        <v>1.4246333534369899</v>
      </c>
    </row>
    <row r="30" spans="2:35" ht="12.75" customHeight="1">
      <c r="B30" s="14" t="s">
        <v>107</v>
      </c>
      <c r="C30" s="15">
        <f>C29/C11</f>
        <v>-4.6658125915080531</v>
      </c>
      <c r="D30" s="15">
        <f>D29/D11</f>
        <v>-5.4587849183330786</v>
      </c>
      <c r="E30" s="15">
        <f>E29/E11</f>
        <v>-6.2547468354430382</v>
      </c>
      <c r="F30" s="15">
        <f>F29/F11</f>
        <v>-18.627247451343838</v>
      </c>
      <c r="G30" s="25"/>
      <c r="H30" s="15">
        <f>H29/H11</f>
        <v>-4.9762357414448672</v>
      </c>
      <c r="I30" s="15">
        <f>I29/I11</f>
        <v>-4.6738519212746015</v>
      </c>
      <c r="J30" s="15">
        <f>J29/J11</f>
        <v>-6.6886590584878745</v>
      </c>
      <c r="K30" s="15">
        <f>K29/K11</f>
        <v>-5.3336633663366335</v>
      </c>
      <c r="L30" s="15">
        <f>L29/L11</f>
        <v>-10.610631531122218</v>
      </c>
      <c r="M30" s="15">
        <f>M29/M11</f>
        <v>-5.0994890291553956</v>
      </c>
      <c r="N30" s="15">
        <f>N29/N11</f>
        <v>-7.1545893719806761</v>
      </c>
      <c r="O30" s="15">
        <f>O29/O11</f>
        <v>-3.7250370370370369</v>
      </c>
      <c r="P30" s="15">
        <f>P29/P11</f>
        <v>-6.8063564875491478</v>
      </c>
      <c r="Q30" s="15">
        <f>Q29/Q11</f>
        <v>-4.0249513933895011</v>
      </c>
      <c r="R30" s="15">
        <f>R29/R11</f>
        <v>-6.2375946173254837</v>
      </c>
      <c r="S30" s="15">
        <f>S29/S11</f>
        <v>-67.265171503957788</v>
      </c>
      <c r="T30" s="15">
        <f>T29/T11</f>
        <v>28.953125</v>
      </c>
      <c r="U30" s="15">
        <f>U29/U11</f>
        <v>-22.01776790671849</v>
      </c>
      <c r="V30" s="26"/>
      <c r="W30" s="15">
        <f>W29/W11</f>
        <v>-8.6206686002137083</v>
      </c>
      <c r="X30" s="15">
        <f>X29/X11</f>
        <v>-7.9679521175846659</v>
      </c>
      <c r="Y30" s="15">
        <f>Y29/Y11</f>
        <v>-6.241106170094497</v>
      </c>
      <c r="Z30" s="15">
        <f>Z29/Z11</f>
        <v>-5.130946709317362</v>
      </c>
      <c r="AA30" s="15">
        <f>AA29/AA11</f>
        <v>-6.0903564290473016</v>
      </c>
      <c r="AB30" s="15">
        <f>AB29/AB11</f>
        <v>-5.5435881483785678</v>
      </c>
      <c r="AC30" s="15">
        <f>AC29/AC11</f>
        <v>-5.3876208590901884</v>
      </c>
      <c r="AD30" s="15">
        <f>AD29/AD11</f>
        <v>-5.096207215541166</v>
      </c>
      <c r="AE30" s="15">
        <f>AE29/AE11</f>
        <v>-18.627247451343838</v>
      </c>
      <c r="AF30" s="15">
        <f>AF29/AF11</f>
        <v>-14.939847991313789</v>
      </c>
      <c r="AG30" s="15">
        <f>AG29/AG11</f>
        <v>-20.798611987381705</v>
      </c>
      <c r="AH30" s="41"/>
      <c r="AI30" s="72">
        <f>SUM(AG30-AC30)*1000</f>
        <v>-15410.991128291516</v>
      </c>
    </row>
    <row r="31" spans="2:35" ht="5.0999999999999996" customHeight="1">
      <c r="B31" s="27"/>
      <c r="C31" s="42"/>
      <c r="D31" s="42"/>
      <c r="E31" s="42"/>
      <c r="F31" s="42"/>
      <c r="G31" s="28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1"/>
      <c r="AI31" s="70"/>
    </row>
    <row r="32" spans="2:35" ht="12.75" customHeight="1">
      <c r="B32" s="43" t="s">
        <v>135</v>
      </c>
      <c r="C32" s="79">
        <v>0</v>
      </c>
      <c r="D32" s="79">
        <v>0</v>
      </c>
      <c r="E32" s="79">
        <v>0</v>
      </c>
      <c r="F32" s="79">
        <v>0</v>
      </c>
      <c r="G32" s="30"/>
      <c r="H32" s="79">
        <v>0</v>
      </c>
      <c r="I32" s="79">
        <v>0</v>
      </c>
      <c r="J32" s="79">
        <v>0</v>
      </c>
      <c r="K32" s="30">
        <f t="shared" ref="K32" si="32">SUM(D32-SUM(H32:J32))</f>
        <v>0</v>
      </c>
      <c r="L32" s="79">
        <v>0</v>
      </c>
      <c r="M32" s="79">
        <v>0</v>
      </c>
      <c r="N32" s="79">
        <v>0</v>
      </c>
      <c r="O32" s="30">
        <f t="shared" ref="O32" si="33">SUM(E32-SUM(L32:N32))</f>
        <v>0</v>
      </c>
      <c r="P32" s="79">
        <v>0</v>
      </c>
      <c r="Q32" s="79">
        <v>0</v>
      </c>
      <c r="R32" s="79">
        <v>0</v>
      </c>
      <c r="S32" s="30">
        <f t="shared" ref="S32" si="34">SUM(F32-SUM(P32:R32))</f>
        <v>0</v>
      </c>
      <c r="T32" s="79">
        <v>0</v>
      </c>
      <c r="U32" s="79"/>
      <c r="V32" s="30"/>
      <c r="W32" s="30">
        <f>SUM(I32:L32)</f>
        <v>0</v>
      </c>
      <c r="X32" s="30">
        <f>SUM(J32:M32)</f>
        <v>0</v>
      </c>
      <c r="Y32" s="30">
        <f>SUM(K32:N32)</f>
        <v>0</v>
      </c>
      <c r="Z32" s="30">
        <f>SUM(L32:O32)</f>
        <v>0</v>
      </c>
      <c r="AA32" s="30">
        <f>SUM(M32:P32)</f>
        <v>0</v>
      </c>
      <c r="AB32" s="30">
        <f>SUM(N32:Q32)</f>
        <v>0</v>
      </c>
      <c r="AC32" s="30">
        <f t="shared" ref="AC32" si="35">SUM(N32:Q32)</f>
        <v>0</v>
      </c>
      <c r="AD32" s="30">
        <f t="shared" ref="AD32" si="36">SUM(O32:R32)</f>
        <v>0</v>
      </c>
      <c r="AE32" s="30">
        <f t="shared" ref="AE32" si="37">SUM(P32:S32)</f>
        <v>0</v>
      </c>
      <c r="AF32" s="30">
        <f t="shared" ref="AF32" si="38">SUM(Q32:T32)</f>
        <v>0</v>
      </c>
      <c r="AG32" s="30">
        <f>SUM(R32:U32)</f>
        <v>0</v>
      </c>
      <c r="AH32" s="41"/>
      <c r="AI32" s="70" t="e">
        <f t="shared" si="5"/>
        <v>#DIV/0!</v>
      </c>
    </row>
    <row r="33" spans="1:35" ht="12.75" customHeight="1">
      <c r="B33" s="12" t="s">
        <v>68</v>
      </c>
      <c r="C33" s="13">
        <f t="shared" ref="C33:F33" si="39">SUM(C29+C32)</f>
        <v>-38241</v>
      </c>
      <c r="D33" s="13">
        <f t="shared" si="39"/>
        <v>-71521</v>
      </c>
      <c r="E33" s="13">
        <f t="shared" si="39"/>
        <v>-75107</v>
      </c>
      <c r="F33" s="13">
        <f t="shared" si="39"/>
        <v>-200988</v>
      </c>
      <c r="G33" s="11"/>
      <c r="H33" s="13">
        <f t="shared" ref="H33:U33" si="40">SUM(H29+H32)</f>
        <v>-10470</v>
      </c>
      <c r="I33" s="13">
        <f t="shared" si="40"/>
        <v>-9974</v>
      </c>
      <c r="J33" s="13">
        <f t="shared" si="40"/>
        <v>-18755</v>
      </c>
      <c r="K33" s="13">
        <f t="shared" si="40"/>
        <v>-32322</v>
      </c>
      <c r="L33" s="13">
        <f t="shared" si="40"/>
        <v>-23354</v>
      </c>
      <c r="M33" s="13">
        <f t="shared" si="40"/>
        <v>-16966</v>
      </c>
      <c r="N33" s="13">
        <f t="shared" si="40"/>
        <v>-22215</v>
      </c>
      <c r="O33" s="13">
        <f t="shared" si="40"/>
        <v>-12572</v>
      </c>
      <c r="P33" s="13">
        <f t="shared" si="40"/>
        <v>-20773</v>
      </c>
      <c r="Q33" s="13">
        <f t="shared" si="40"/>
        <v>-12421</v>
      </c>
      <c r="R33" s="13">
        <f t="shared" si="40"/>
        <v>-14833</v>
      </c>
      <c r="S33" s="13">
        <f t="shared" si="40"/>
        <v>-152961</v>
      </c>
      <c r="T33" s="13">
        <f t="shared" si="40"/>
        <v>42619</v>
      </c>
      <c r="U33" s="13">
        <f t="shared" si="40"/>
        <v>-39654</v>
      </c>
      <c r="V33" s="30"/>
      <c r="W33" s="13">
        <f t="shared" ref="W33:AG33" si="41">SUM(W29+W32)</f>
        <v>-112948</v>
      </c>
      <c r="X33" s="13">
        <f t="shared" si="41"/>
        <v>-105169</v>
      </c>
      <c r="Y33" s="13">
        <f t="shared" si="41"/>
        <v>-89822</v>
      </c>
      <c r="Z33" s="13">
        <f t="shared" si="41"/>
        <v>-75389</v>
      </c>
      <c r="AA33" s="13">
        <f t="shared" si="41"/>
        <v>-73133</v>
      </c>
      <c r="AB33" s="13">
        <f t="shared" si="41"/>
        <v>-71285</v>
      </c>
      <c r="AC33" s="13">
        <f t="shared" si="41"/>
        <v>-67981</v>
      </c>
      <c r="AD33" s="13">
        <f t="shared" si="41"/>
        <v>-60599</v>
      </c>
      <c r="AE33" s="13">
        <f t="shared" si="41"/>
        <v>-200988</v>
      </c>
      <c r="AF33" s="13">
        <f t="shared" si="41"/>
        <v>-137596</v>
      </c>
      <c r="AG33" s="13">
        <f t="shared" si="41"/>
        <v>-164829</v>
      </c>
      <c r="AH33" s="34"/>
      <c r="AI33" s="71">
        <f t="shared" si="5"/>
        <v>1.4246333534369899</v>
      </c>
    </row>
    <row r="34" spans="1:35" ht="12.75" customHeight="1">
      <c r="B34" s="14" t="s">
        <v>83</v>
      </c>
      <c r="C34" s="15">
        <f>C33/C11</f>
        <v>-4.6658125915080531</v>
      </c>
      <c r="D34" s="15">
        <f>D33/D11</f>
        <v>-5.4587849183330786</v>
      </c>
      <c r="E34" s="15">
        <f>E33/E11</f>
        <v>-6.2547468354430382</v>
      </c>
      <c r="F34" s="15">
        <f>F33/F11</f>
        <v>-18.627247451343838</v>
      </c>
      <c r="G34" s="25"/>
      <c r="H34" s="15">
        <f>H33/H11</f>
        <v>-4.9762357414448672</v>
      </c>
      <c r="I34" s="15">
        <f>I33/I11</f>
        <v>-4.6738519212746015</v>
      </c>
      <c r="J34" s="15">
        <f>J33/J11</f>
        <v>-6.6886590584878745</v>
      </c>
      <c r="K34" s="15">
        <f>K33/K11</f>
        <v>-5.3336633663366335</v>
      </c>
      <c r="L34" s="15">
        <f>L33/L11</f>
        <v>-10.610631531122218</v>
      </c>
      <c r="M34" s="15">
        <f>M33/M11</f>
        <v>-5.0994890291553956</v>
      </c>
      <c r="N34" s="15">
        <f>N33/N11</f>
        <v>-7.1545893719806761</v>
      </c>
      <c r="O34" s="15">
        <f>O33/O11</f>
        <v>-3.7250370370370369</v>
      </c>
      <c r="P34" s="15">
        <f>P33/P11</f>
        <v>-6.8063564875491478</v>
      </c>
      <c r="Q34" s="15">
        <f>Q33/Q11</f>
        <v>-4.0249513933895011</v>
      </c>
      <c r="R34" s="15">
        <f>R33/R11</f>
        <v>-6.2375946173254837</v>
      </c>
      <c r="S34" s="15">
        <f>S33/S11</f>
        <v>-67.265171503957788</v>
      </c>
      <c r="T34" s="15">
        <f>T33/T11</f>
        <v>28.953125</v>
      </c>
      <c r="U34" s="15">
        <f>U33/U11</f>
        <v>-22.01776790671849</v>
      </c>
      <c r="V34" s="26"/>
      <c r="W34" s="15">
        <f>W33/W11</f>
        <v>-8.6206686002137083</v>
      </c>
      <c r="X34" s="15">
        <f>X33/X11</f>
        <v>-7.9679521175846659</v>
      </c>
      <c r="Y34" s="15">
        <f>Y33/Y11</f>
        <v>-6.241106170094497</v>
      </c>
      <c r="Z34" s="15">
        <f>Z33/Z11</f>
        <v>-5.130946709317362</v>
      </c>
      <c r="AA34" s="15">
        <f>AA33/AA11</f>
        <v>-6.0903564290473016</v>
      </c>
      <c r="AB34" s="15">
        <f>AB33/AB11</f>
        <v>-5.5435881483785678</v>
      </c>
      <c r="AC34" s="15">
        <f>AC33/AC11</f>
        <v>-5.3876208590901884</v>
      </c>
      <c r="AD34" s="15">
        <f>AD33/AD11</f>
        <v>-5.096207215541166</v>
      </c>
      <c r="AE34" s="15">
        <f>AE33/AE11</f>
        <v>-18.627247451343838</v>
      </c>
      <c r="AF34" s="15">
        <f>AF33/AF11</f>
        <v>-14.939847991313789</v>
      </c>
      <c r="AG34" s="15">
        <f>AG33/AG11</f>
        <v>-20.798611987381705</v>
      </c>
      <c r="AH34" s="41"/>
      <c r="AI34" s="72">
        <f>SUM(AG34-AC34)*1000</f>
        <v>-15410.991128291516</v>
      </c>
    </row>
    <row r="35" spans="1:35" ht="5.0999999999999996" customHeight="1">
      <c r="B35" s="14"/>
      <c r="C35" s="15"/>
      <c r="D35" s="15"/>
      <c r="E35" s="15"/>
      <c r="F35" s="15"/>
      <c r="G35" s="2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26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41"/>
      <c r="AI35" s="72"/>
    </row>
    <row r="36" spans="1:35" ht="12.75" customHeight="1">
      <c r="B36" s="43" t="s">
        <v>84</v>
      </c>
      <c r="C36" s="79">
        <v>8625</v>
      </c>
      <c r="D36" s="79">
        <v>128754.26700000001</v>
      </c>
      <c r="E36" s="79">
        <v>158881.022</v>
      </c>
      <c r="F36" s="79">
        <v>285828.04700000002</v>
      </c>
      <c r="G36" s="25"/>
      <c r="H36" s="79">
        <v>113820.97</v>
      </c>
      <c r="I36" s="79">
        <v>118244.451</v>
      </c>
      <c r="J36" s="79">
        <v>123030.054</v>
      </c>
      <c r="K36" s="30">
        <f>D36</f>
        <v>128754.26700000001</v>
      </c>
      <c r="L36" s="79">
        <v>129822.68700000001</v>
      </c>
      <c r="M36" s="79">
        <v>132989.74400000001</v>
      </c>
      <c r="N36" s="79">
        <v>140581.37700000001</v>
      </c>
      <c r="O36" s="30">
        <f>E36</f>
        <v>158881.022</v>
      </c>
      <c r="P36" s="79">
        <v>171919.296</v>
      </c>
      <c r="Q36" s="79">
        <v>191243.492</v>
      </c>
      <c r="R36" s="79">
        <v>192295.80900000001</v>
      </c>
      <c r="S36" s="30">
        <f>F36</f>
        <v>285828.04700000002</v>
      </c>
      <c r="T36" s="79">
        <v>290322.88900000002</v>
      </c>
      <c r="U36" s="79">
        <v>324165.17</v>
      </c>
      <c r="V36" s="30"/>
      <c r="W36" s="30">
        <f t="shared" ref="W36:AF36" si="42">K36</f>
        <v>128754.26700000001</v>
      </c>
      <c r="X36" s="30">
        <f t="shared" si="42"/>
        <v>129822.68700000001</v>
      </c>
      <c r="Y36" s="30">
        <f t="shared" si="42"/>
        <v>132989.74400000001</v>
      </c>
      <c r="Z36" s="30">
        <f t="shared" si="42"/>
        <v>140581.37700000001</v>
      </c>
      <c r="AA36" s="30">
        <f t="shared" si="42"/>
        <v>158881.022</v>
      </c>
      <c r="AB36" s="30">
        <f t="shared" si="42"/>
        <v>171919.296</v>
      </c>
      <c r="AC36" s="30">
        <f t="shared" si="42"/>
        <v>191243.492</v>
      </c>
      <c r="AD36" s="30">
        <f t="shared" si="42"/>
        <v>192295.80900000001</v>
      </c>
      <c r="AE36" s="30">
        <f t="shared" si="42"/>
        <v>285828.04700000002</v>
      </c>
      <c r="AF36" s="30">
        <f t="shared" si="42"/>
        <v>290322.88900000002</v>
      </c>
      <c r="AG36" s="30">
        <f>U36</f>
        <v>324165.17</v>
      </c>
      <c r="AH36" s="41"/>
      <c r="AI36" s="70">
        <f t="shared" ref="AI36" si="43">SUM(AG36/AC36)-1</f>
        <v>0.69503896111664809</v>
      </c>
    </row>
    <row r="37" spans="1:35" ht="12.75" customHeight="1">
      <c r="B37" s="12" t="s">
        <v>85</v>
      </c>
      <c r="C37" s="73">
        <f t="shared" ref="C37:F37" si="44">C33/C36</f>
        <v>-4.4337391304347822</v>
      </c>
      <c r="D37" s="73">
        <f t="shared" si="44"/>
        <v>-0.55548450289418372</v>
      </c>
      <c r="E37" s="73">
        <f t="shared" si="44"/>
        <v>-0.47272480409900686</v>
      </c>
      <c r="F37" s="73">
        <f t="shared" si="44"/>
        <v>-0.70317801947546454</v>
      </c>
      <c r="G37" s="11"/>
      <c r="H37" s="73">
        <f t="shared" ref="H37:U37" si="45">H33/H36</f>
        <v>-9.1986564514429991E-2</v>
      </c>
      <c r="I37" s="73">
        <f t="shared" si="45"/>
        <v>-8.4350681284824092E-2</v>
      </c>
      <c r="J37" s="73">
        <f t="shared" si="45"/>
        <v>-0.15244242679109934</v>
      </c>
      <c r="K37" s="73">
        <f t="shared" si="45"/>
        <v>-0.25103634041114925</v>
      </c>
      <c r="L37" s="73">
        <f t="shared" si="45"/>
        <v>-0.17989151618776769</v>
      </c>
      <c r="M37" s="73">
        <f t="shared" si="45"/>
        <v>-0.12757374734099797</v>
      </c>
      <c r="N37" s="73">
        <f t="shared" si="45"/>
        <v>-0.15802235313145352</v>
      </c>
      <c r="O37" s="73">
        <f>O33/O36</f>
        <v>-7.9128393320632096E-2</v>
      </c>
      <c r="P37" s="73">
        <f t="shared" si="45"/>
        <v>-0.12082995035065755</v>
      </c>
      <c r="Q37" s="73">
        <f t="shared" si="45"/>
        <v>-6.4948615349483374E-2</v>
      </c>
      <c r="R37" s="73">
        <f t="shared" si="45"/>
        <v>-7.713636650292259E-2</v>
      </c>
      <c r="S37" s="73">
        <f>S33/S36</f>
        <v>-0.53515042209975983</v>
      </c>
      <c r="T37" s="73">
        <f t="shared" si="45"/>
        <v>0.14679862186133039</v>
      </c>
      <c r="U37" s="73">
        <f t="shared" si="45"/>
        <v>-0.12232652878777817</v>
      </c>
      <c r="V37" s="26"/>
      <c r="W37" s="73">
        <f t="shared" ref="W37:AG37" si="46">W33/W36</f>
        <v>-0.87723694625204141</v>
      </c>
      <c r="X37" s="73">
        <f t="shared" si="46"/>
        <v>-0.81009723670254952</v>
      </c>
      <c r="Y37" s="73">
        <f t="shared" si="46"/>
        <v>-0.67540546585306604</v>
      </c>
      <c r="Z37" s="73">
        <f t="shared" si="46"/>
        <v>-0.53626590953081932</v>
      </c>
      <c r="AA37" s="73">
        <f t="shared" si="46"/>
        <v>-0.46030041272015482</v>
      </c>
      <c r="AB37" s="73">
        <f t="shared" si="46"/>
        <v>-0.41464222840931131</v>
      </c>
      <c r="AC37" s="73">
        <f t="shared" si="46"/>
        <v>-0.35546830529532475</v>
      </c>
      <c r="AD37" s="73">
        <f t="shared" si="46"/>
        <v>-0.3151342731551679</v>
      </c>
      <c r="AE37" s="73">
        <f t="shared" si="46"/>
        <v>-0.70317801947546454</v>
      </c>
      <c r="AF37" s="73">
        <f t="shared" si="46"/>
        <v>-0.47394127439948419</v>
      </c>
      <c r="AG37" s="73">
        <f t="shared" si="46"/>
        <v>-0.50847227047865751</v>
      </c>
      <c r="AH37" s="34"/>
      <c r="AI37" s="71">
        <f>SUM(AG37/AC37)-1</f>
        <v>0.43042927570213707</v>
      </c>
    </row>
    <row r="38" spans="1:35" ht="5.0999999999999996" customHeight="1">
      <c r="B38" s="14"/>
      <c r="C38" s="15"/>
      <c r="D38" s="15"/>
      <c r="E38" s="15"/>
      <c r="F38" s="15"/>
      <c r="G38" s="2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26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41"/>
      <c r="AI38" s="72"/>
    </row>
    <row r="39" spans="1:35" ht="12.75" customHeight="1">
      <c r="B39" s="43" t="s">
        <v>86</v>
      </c>
      <c r="C39" s="79">
        <v>23337.127</v>
      </c>
      <c r="D39" s="79">
        <v>102300.852</v>
      </c>
      <c r="E39" s="79">
        <v>131977</v>
      </c>
      <c r="F39" s="79">
        <v>184666</v>
      </c>
      <c r="G39" s="25"/>
      <c r="H39" s="79">
        <v>53691.947999999997</v>
      </c>
      <c r="I39" s="79">
        <v>114096.39</v>
      </c>
      <c r="J39" s="79">
        <v>118571.295</v>
      </c>
      <c r="K39" s="79">
        <f>D39</f>
        <v>102300.852</v>
      </c>
      <c r="L39" s="79">
        <v>124778</v>
      </c>
      <c r="M39" s="79">
        <v>128515</v>
      </c>
      <c r="N39" s="79">
        <v>133866</v>
      </c>
      <c r="O39" s="30">
        <f>E39</f>
        <v>131977</v>
      </c>
      <c r="P39" s="79">
        <v>151855</v>
      </c>
      <c r="Q39" s="79">
        <v>171903</v>
      </c>
      <c r="R39" s="79">
        <v>188389</v>
      </c>
      <c r="S39" s="30">
        <f>F39</f>
        <v>184666</v>
      </c>
      <c r="T39" s="79">
        <v>301595</v>
      </c>
      <c r="U39" s="79">
        <v>298254</v>
      </c>
      <c r="V39" s="30"/>
      <c r="W39" s="30">
        <f>L39</f>
        <v>124778</v>
      </c>
      <c r="X39" s="30">
        <f>M39</f>
        <v>128515</v>
      </c>
      <c r="Y39" s="30">
        <f>N39</f>
        <v>133866</v>
      </c>
      <c r="Z39" s="30">
        <f>O39</f>
        <v>131977</v>
      </c>
      <c r="AA39" s="30">
        <f>P39</f>
        <v>151855</v>
      </c>
      <c r="AB39" s="30">
        <f>Q39</f>
        <v>171903</v>
      </c>
      <c r="AC39" s="30">
        <f t="shared" ref="AC39" si="47">Q39</f>
        <v>171903</v>
      </c>
      <c r="AD39" s="30">
        <f t="shared" ref="AD39" si="48">R39</f>
        <v>188389</v>
      </c>
      <c r="AE39" s="30">
        <f t="shared" ref="AE39" si="49">S39</f>
        <v>184666</v>
      </c>
      <c r="AF39" s="30">
        <f t="shared" ref="AF39" si="50">T39</f>
        <v>301595</v>
      </c>
      <c r="AG39" s="30">
        <f>U39</f>
        <v>298254</v>
      </c>
      <c r="AH39" s="41"/>
      <c r="AI39" s="70">
        <f t="shared" ref="AI39" si="51">SUM(AG39/AC39)-1</f>
        <v>0.7350133505523464</v>
      </c>
    </row>
    <row r="40" spans="1:35" ht="12.75" customHeight="1">
      <c r="B40" s="12" t="s">
        <v>87</v>
      </c>
      <c r="C40" s="73">
        <f t="shared" ref="C40:F40" si="52">C33/C39</f>
        <v>-1.6386335815886848</v>
      </c>
      <c r="D40" s="73">
        <f t="shared" si="52"/>
        <v>-0.6991241871573074</v>
      </c>
      <c r="E40" s="73">
        <f t="shared" si="52"/>
        <v>-0.56909158413966066</v>
      </c>
      <c r="F40" s="73">
        <f t="shared" si="52"/>
        <v>-1.0883866006736487</v>
      </c>
      <c r="G40" s="25"/>
      <c r="H40" s="73">
        <f t="shared" ref="H40:U40" si="53">H33/H39</f>
        <v>-0.19500130634112961</v>
      </c>
      <c r="I40" s="73">
        <f t="shared" si="53"/>
        <v>-8.7417314430368917E-2</v>
      </c>
      <c r="J40" s="73">
        <f t="shared" si="53"/>
        <v>-0.15817487698013249</v>
      </c>
      <c r="K40" s="73">
        <f t="shared" si="53"/>
        <v>-0.31595044780272213</v>
      </c>
      <c r="L40" s="73">
        <f t="shared" si="53"/>
        <v>-0.18716440398147111</v>
      </c>
      <c r="M40" s="73">
        <f t="shared" si="53"/>
        <v>-0.13201571800957088</v>
      </c>
      <c r="N40" s="73">
        <f t="shared" si="53"/>
        <v>-0.1659495316211734</v>
      </c>
      <c r="O40" s="73">
        <f t="shared" si="53"/>
        <v>-9.5259022405419128E-2</v>
      </c>
      <c r="P40" s="73">
        <f t="shared" si="53"/>
        <v>-0.13679496888479142</v>
      </c>
      <c r="Q40" s="73">
        <f t="shared" si="53"/>
        <v>-7.2255865226319493E-2</v>
      </c>
      <c r="R40" s="73">
        <f t="shared" si="53"/>
        <v>-7.8736019618979872E-2</v>
      </c>
      <c r="S40" s="73">
        <f t="shared" si="53"/>
        <v>-0.82831165455470956</v>
      </c>
      <c r="T40" s="73">
        <f t="shared" si="53"/>
        <v>0.14131202440358759</v>
      </c>
      <c r="U40" s="73">
        <f t="shared" si="53"/>
        <v>-0.13295379106399244</v>
      </c>
      <c r="V40" s="30"/>
      <c r="W40" s="73">
        <f t="shared" ref="W40:AG40" si="54">W33/W39</f>
        <v>-0.90519162031768419</v>
      </c>
      <c r="X40" s="73">
        <f t="shared" si="54"/>
        <v>-0.81834027156363065</v>
      </c>
      <c r="Y40" s="73">
        <f t="shared" si="54"/>
        <v>-0.67098441725307401</v>
      </c>
      <c r="Z40" s="73">
        <f t="shared" si="54"/>
        <v>-0.5712283200860756</v>
      </c>
      <c r="AA40" s="73">
        <f t="shared" si="54"/>
        <v>-0.48159757663560632</v>
      </c>
      <c r="AB40" s="73">
        <f t="shared" si="54"/>
        <v>-0.414681535517123</v>
      </c>
      <c r="AC40" s="73">
        <f t="shared" si="54"/>
        <v>-0.39546139392564411</v>
      </c>
      <c r="AD40" s="73">
        <f t="shared" si="54"/>
        <v>-0.32166952422912165</v>
      </c>
      <c r="AE40" s="73">
        <f t="shared" si="54"/>
        <v>-1.0883866006736487</v>
      </c>
      <c r="AF40" s="73">
        <f t="shared" si="54"/>
        <v>-0.45622772260813343</v>
      </c>
      <c r="AG40" s="73">
        <f t="shared" si="54"/>
        <v>-0.55264640205998916</v>
      </c>
      <c r="AH40" s="34"/>
      <c r="AI40" s="71">
        <f>SUM(AG40/AC40)-1</f>
        <v>0.39747244749736432</v>
      </c>
    </row>
    <row r="41" spans="1:35">
      <c r="B41" s="14"/>
      <c r="C41" s="15"/>
      <c r="D41" s="15"/>
      <c r="E41" s="15"/>
      <c r="F41" s="79"/>
      <c r="G41" s="2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26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41"/>
    </row>
    <row r="42" spans="1:35" ht="12.75" customHeight="1">
      <c r="A42" s="5" t="s">
        <v>20</v>
      </c>
      <c r="B42" s="97" t="s">
        <v>101</v>
      </c>
      <c r="C42" s="98"/>
      <c r="D42" s="98" t="s">
        <v>0</v>
      </c>
      <c r="E42" s="98"/>
      <c r="F42" s="98"/>
      <c r="G42" s="99"/>
      <c r="H42" s="98" t="s">
        <v>1</v>
      </c>
      <c r="I42" s="98"/>
      <c r="J42" s="98"/>
      <c r="K42" s="98"/>
      <c r="L42" s="98"/>
      <c r="M42" s="98"/>
      <c r="N42" s="98"/>
      <c r="O42" s="98"/>
      <c r="P42" s="98"/>
      <c r="Q42" s="98"/>
      <c r="R42" s="98" t="s">
        <v>1</v>
      </c>
      <c r="S42" s="98"/>
      <c r="T42" s="98"/>
      <c r="U42" s="98"/>
      <c r="V42" s="97"/>
      <c r="W42" s="98"/>
      <c r="X42" s="98"/>
      <c r="Y42" s="98"/>
      <c r="Z42" s="98"/>
      <c r="AA42" s="98"/>
      <c r="AB42" s="98"/>
      <c r="AC42" s="98" t="s">
        <v>10</v>
      </c>
      <c r="AD42" s="98"/>
      <c r="AE42" s="98"/>
      <c r="AF42" s="98"/>
      <c r="AG42" s="98"/>
      <c r="AH42" s="99"/>
      <c r="AI42" s="123" t="s">
        <v>27</v>
      </c>
    </row>
    <row r="43" spans="1:35" ht="12.75" customHeight="1">
      <c r="B43" s="101" t="str">
        <f>B7</f>
        <v>Fiscal Period</v>
      </c>
      <c r="C43" s="100">
        <f>C7</f>
        <v>2021</v>
      </c>
      <c r="D43" s="100">
        <f>D7</f>
        <v>2022</v>
      </c>
      <c r="E43" s="100">
        <f>E7</f>
        <v>2023</v>
      </c>
      <c r="F43" s="100">
        <f>F7</f>
        <v>2024</v>
      </c>
      <c r="G43" s="99"/>
      <c r="H43" s="100" t="str">
        <f>H7</f>
        <v>1Q22</v>
      </c>
      <c r="I43" s="100" t="str">
        <f>I7</f>
        <v>2Q22</v>
      </c>
      <c r="J43" s="100" t="str">
        <f>J7</f>
        <v>3Q22</v>
      </c>
      <c r="K43" s="100" t="str">
        <f>K7</f>
        <v>4Q22</v>
      </c>
      <c r="L43" s="100" t="str">
        <f>L7</f>
        <v>1Q23</v>
      </c>
      <c r="M43" s="100" t="str">
        <f>M7</f>
        <v>2Q23</v>
      </c>
      <c r="N43" s="100" t="str">
        <f>N7</f>
        <v>3Q23</v>
      </c>
      <c r="O43" s="100" t="str">
        <f>O7</f>
        <v>4Q23</v>
      </c>
      <c r="P43" s="100" t="str">
        <f>P7</f>
        <v>1Q24</v>
      </c>
      <c r="Q43" s="100" t="str">
        <f>Q7</f>
        <v>2Q24</v>
      </c>
      <c r="R43" s="100" t="str">
        <f>R7</f>
        <v>3Q24</v>
      </c>
      <c r="S43" s="100" t="str">
        <f>S7</f>
        <v>4Q24</v>
      </c>
      <c r="T43" s="100" t="str">
        <f>T7</f>
        <v>1Q25</v>
      </c>
      <c r="U43" s="100" t="str">
        <f>U7</f>
        <v>2Q25</v>
      </c>
      <c r="V43" s="102"/>
      <c r="W43" s="100" t="str">
        <f>W7</f>
        <v>4Q22</v>
      </c>
      <c r="X43" s="100" t="str">
        <f>X7</f>
        <v>1Q23</v>
      </c>
      <c r="Y43" s="100" t="str">
        <f>Y7</f>
        <v>2Q23</v>
      </c>
      <c r="Z43" s="100" t="str">
        <f>Z7</f>
        <v>3Q23</v>
      </c>
      <c r="AA43" s="100" t="str">
        <f>AA7</f>
        <v>4Q23</v>
      </c>
      <c r="AB43" s="100" t="str">
        <f>AB7</f>
        <v>1Q24</v>
      </c>
      <c r="AC43" s="100" t="str">
        <f>AC7</f>
        <v>2Q24</v>
      </c>
      <c r="AD43" s="100" t="str">
        <f>AD7</f>
        <v>3Q24</v>
      </c>
      <c r="AE43" s="100" t="str">
        <f>AE7</f>
        <v>4Q24</v>
      </c>
      <c r="AF43" s="100" t="str">
        <f>AF7</f>
        <v>1Q25</v>
      </c>
      <c r="AG43" s="100" t="str">
        <f>AG7</f>
        <v>2Q25</v>
      </c>
      <c r="AH43" s="99"/>
      <c r="AI43" s="123"/>
    </row>
    <row r="44" spans="1:35" ht="12.75" customHeight="1">
      <c r="B44" s="101" t="str">
        <f>B8</f>
        <v>Fiscal Period End Date</v>
      </c>
      <c r="C44" s="103">
        <f>C8</f>
        <v>44561</v>
      </c>
      <c r="D44" s="103">
        <f>D8</f>
        <v>44926</v>
      </c>
      <c r="E44" s="103">
        <f>E8</f>
        <v>45291</v>
      </c>
      <c r="F44" s="103">
        <f>F8</f>
        <v>45657</v>
      </c>
      <c r="G44" s="99"/>
      <c r="H44" s="103">
        <f>H8</f>
        <v>44651</v>
      </c>
      <c r="I44" s="103">
        <f>I8</f>
        <v>44742</v>
      </c>
      <c r="J44" s="103">
        <f>J8</f>
        <v>44834</v>
      </c>
      <c r="K44" s="103">
        <f>K8</f>
        <v>44926</v>
      </c>
      <c r="L44" s="103">
        <f>L8</f>
        <v>45016</v>
      </c>
      <c r="M44" s="103">
        <f>M8</f>
        <v>45107</v>
      </c>
      <c r="N44" s="103">
        <f>N8</f>
        <v>45199</v>
      </c>
      <c r="O44" s="103">
        <f>O8</f>
        <v>45291</v>
      </c>
      <c r="P44" s="103">
        <f>P8</f>
        <v>45382</v>
      </c>
      <c r="Q44" s="103">
        <f>Q8</f>
        <v>45473</v>
      </c>
      <c r="R44" s="103">
        <f>R8</f>
        <v>45565</v>
      </c>
      <c r="S44" s="103">
        <f>S8</f>
        <v>45657</v>
      </c>
      <c r="T44" s="103">
        <f>T8</f>
        <v>45747</v>
      </c>
      <c r="U44" s="103">
        <f>U8</f>
        <v>45838</v>
      </c>
      <c r="V44" s="104"/>
      <c r="W44" s="103">
        <f>W8</f>
        <v>44926</v>
      </c>
      <c r="X44" s="103">
        <f>X8</f>
        <v>45016</v>
      </c>
      <c r="Y44" s="103">
        <f>Y8</f>
        <v>45107</v>
      </c>
      <c r="Z44" s="103">
        <f>Z8</f>
        <v>45199</v>
      </c>
      <c r="AA44" s="103">
        <f>AA8</f>
        <v>45291</v>
      </c>
      <c r="AB44" s="103">
        <f>AB8</f>
        <v>45382</v>
      </c>
      <c r="AC44" s="103">
        <f>AC8</f>
        <v>45473</v>
      </c>
      <c r="AD44" s="103">
        <f>AD8</f>
        <v>45565</v>
      </c>
      <c r="AE44" s="103">
        <f>AE8</f>
        <v>45657</v>
      </c>
      <c r="AF44" s="103">
        <f>AF8</f>
        <v>45747</v>
      </c>
      <c r="AG44" s="103">
        <f>AG8</f>
        <v>45838</v>
      </c>
      <c r="AH44" s="99"/>
      <c r="AI44" s="123"/>
    </row>
    <row r="45" spans="1:35" ht="5.0999999999999996" customHeight="1">
      <c r="B45" s="45"/>
      <c r="C45" s="46"/>
      <c r="D45" s="46"/>
      <c r="E45" s="46"/>
      <c r="F45" s="46"/>
    </row>
    <row r="46" spans="1:35">
      <c r="B46" s="74" t="s">
        <v>108</v>
      </c>
      <c r="C46" s="46"/>
      <c r="D46" s="46"/>
      <c r="E46" s="46"/>
      <c r="F46" s="46"/>
    </row>
    <row r="47" spans="1:35" ht="12.75" customHeight="1">
      <c r="B47" s="111" t="s">
        <v>126</v>
      </c>
      <c r="C47" s="112">
        <v>11729</v>
      </c>
      <c r="D47" s="112">
        <v>57888</v>
      </c>
      <c r="E47" s="112">
        <v>21392</v>
      </c>
      <c r="F47" s="112">
        <v>67674</v>
      </c>
      <c r="H47" s="112">
        <v>206626</v>
      </c>
      <c r="I47" s="112">
        <v>184020</v>
      </c>
      <c r="J47" s="112">
        <v>73837</v>
      </c>
      <c r="K47" s="88">
        <f t="shared" ref="K47:K50" si="55">D47</f>
        <v>57888</v>
      </c>
      <c r="L47" s="112">
        <v>26117</v>
      </c>
      <c r="M47" s="112">
        <v>21712</v>
      </c>
      <c r="N47" s="112">
        <v>41757</v>
      </c>
      <c r="O47" s="88">
        <f t="shared" ref="O47:O50" si="56">E47</f>
        <v>21392</v>
      </c>
      <c r="P47" s="112">
        <v>35098</v>
      </c>
      <c r="Q47" s="112">
        <v>20684</v>
      </c>
      <c r="R47" s="112">
        <v>20286</v>
      </c>
      <c r="S47" s="88">
        <f t="shared" ref="S47:S50" si="57">F47</f>
        <v>67674</v>
      </c>
      <c r="T47" s="112">
        <v>37162</v>
      </c>
      <c r="U47" s="112">
        <v>57183</v>
      </c>
      <c r="V47" s="88"/>
      <c r="W47" s="88">
        <f t="shared" ref="V47:AF50" si="58">K47</f>
        <v>57888</v>
      </c>
      <c r="X47" s="88">
        <f t="shared" si="58"/>
        <v>26117</v>
      </c>
      <c r="Y47" s="88">
        <f t="shared" si="58"/>
        <v>21712</v>
      </c>
      <c r="Z47" s="88">
        <f t="shared" si="58"/>
        <v>41757</v>
      </c>
      <c r="AA47" s="88">
        <f t="shared" si="58"/>
        <v>21392</v>
      </c>
      <c r="AB47" s="88">
        <f t="shared" si="58"/>
        <v>35098</v>
      </c>
      <c r="AC47" s="88">
        <f t="shared" si="58"/>
        <v>20684</v>
      </c>
      <c r="AD47" s="88">
        <f t="shared" si="58"/>
        <v>20286</v>
      </c>
      <c r="AE47" s="88">
        <f t="shared" si="58"/>
        <v>67674</v>
      </c>
      <c r="AF47" s="88">
        <f t="shared" si="58"/>
        <v>37162</v>
      </c>
      <c r="AG47" s="88">
        <f>U47</f>
        <v>57183</v>
      </c>
      <c r="AH47" s="11"/>
      <c r="AI47" s="70">
        <f t="shared" ref="AI47:AI50" si="59">SUM(AG47/AC47)-1</f>
        <v>1.7646006575130535</v>
      </c>
    </row>
    <row r="48" spans="1:35" ht="12.75" customHeight="1">
      <c r="B48" s="111" t="s">
        <v>158</v>
      </c>
      <c r="C48" s="112">
        <v>0</v>
      </c>
      <c r="D48" s="112">
        <v>84923</v>
      </c>
      <c r="E48" s="112">
        <v>78537</v>
      </c>
      <c r="F48" s="112">
        <v>124420</v>
      </c>
      <c r="H48" s="112">
        <v>0</v>
      </c>
      <c r="I48" s="112">
        <v>0</v>
      </c>
      <c r="J48" s="112">
        <v>87186</v>
      </c>
      <c r="K48" s="88">
        <f t="shared" si="55"/>
        <v>84923</v>
      </c>
      <c r="L48" s="112">
        <v>95849</v>
      </c>
      <c r="M48" s="112">
        <v>83765</v>
      </c>
      <c r="N48" s="112">
        <v>68470</v>
      </c>
      <c r="O48" s="88">
        <f t="shared" si="56"/>
        <v>78537</v>
      </c>
      <c r="P48" s="112">
        <v>67661</v>
      </c>
      <c r="Q48" s="112">
        <v>79792</v>
      </c>
      <c r="R48" s="112">
        <v>72294</v>
      </c>
      <c r="S48" s="88">
        <f t="shared" si="57"/>
        <v>124420</v>
      </c>
      <c r="T48" s="112">
        <v>171966</v>
      </c>
      <c r="U48" s="112">
        <v>368556</v>
      </c>
      <c r="V48" s="88"/>
      <c r="W48" s="88">
        <f t="shared" si="58"/>
        <v>84923</v>
      </c>
      <c r="X48" s="88">
        <f t="shared" si="58"/>
        <v>95849</v>
      </c>
      <c r="Y48" s="88">
        <f t="shared" si="58"/>
        <v>83765</v>
      </c>
      <c r="Z48" s="88">
        <f t="shared" si="58"/>
        <v>68470</v>
      </c>
      <c r="AA48" s="88">
        <f t="shared" si="58"/>
        <v>78537</v>
      </c>
      <c r="AB48" s="88">
        <f t="shared" si="58"/>
        <v>67661</v>
      </c>
      <c r="AC48" s="88">
        <f t="shared" si="58"/>
        <v>79792</v>
      </c>
      <c r="AD48" s="88">
        <f t="shared" si="58"/>
        <v>72294</v>
      </c>
      <c r="AE48" s="88">
        <f t="shared" si="58"/>
        <v>124420</v>
      </c>
      <c r="AF48" s="88">
        <f t="shared" si="58"/>
        <v>171966</v>
      </c>
      <c r="AG48" s="88">
        <f t="shared" ref="AG48:AG50" si="60">U48</f>
        <v>368556</v>
      </c>
      <c r="AH48" s="11"/>
      <c r="AI48" s="70">
        <f t="shared" si="59"/>
        <v>3.6189592941648288</v>
      </c>
    </row>
    <row r="49" spans="2:35" ht="12.75" customHeight="1">
      <c r="B49" s="111" t="s">
        <v>14</v>
      </c>
      <c r="C49" s="112">
        <v>1543</v>
      </c>
      <c r="D49" s="112">
        <v>6235</v>
      </c>
      <c r="E49" s="112">
        <v>5029</v>
      </c>
      <c r="F49" s="112">
        <v>2427</v>
      </c>
      <c r="H49" s="112">
        <v>1261</v>
      </c>
      <c r="I49" s="112">
        <v>2572</v>
      </c>
      <c r="J49" s="112">
        <v>2295</v>
      </c>
      <c r="K49" s="88">
        <f t="shared" si="55"/>
        <v>6235</v>
      </c>
      <c r="L49" s="112">
        <v>5320</v>
      </c>
      <c r="M49" s="112">
        <v>7629</v>
      </c>
      <c r="N49" s="112">
        <v>2996</v>
      </c>
      <c r="O49" s="88">
        <f t="shared" si="56"/>
        <v>5029</v>
      </c>
      <c r="P49" s="112">
        <v>4706</v>
      </c>
      <c r="Q49" s="112">
        <v>5232</v>
      </c>
      <c r="R49" s="112">
        <v>6384</v>
      </c>
      <c r="S49" s="88">
        <f t="shared" si="57"/>
        <v>2427</v>
      </c>
      <c r="T49" s="112">
        <v>1068</v>
      </c>
      <c r="U49" s="112">
        <v>1753</v>
      </c>
      <c r="V49" s="88"/>
      <c r="W49" s="88">
        <f t="shared" si="58"/>
        <v>6235</v>
      </c>
      <c r="X49" s="88">
        <f t="shared" si="58"/>
        <v>5320</v>
      </c>
      <c r="Y49" s="88">
        <f t="shared" si="58"/>
        <v>7629</v>
      </c>
      <c r="Z49" s="88">
        <f t="shared" si="58"/>
        <v>2996</v>
      </c>
      <c r="AA49" s="88">
        <f t="shared" si="58"/>
        <v>5029</v>
      </c>
      <c r="AB49" s="88">
        <f t="shared" si="58"/>
        <v>4706</v>
      </c>
      <c r="AC49" s="88">
        <f t="shared" si="58"/>
        <v>5232</v>
      </c>
      <c r="AD49" s="88">
        <f t="shared" si="58"/>
        <v>6384</v>
      </c>
      <c r="AE49" s="88">
        <f t="shared" si="58"/>
        <v>2427</v>
      </c>
      <c r="AF49" s="88">
        <f t="shared" si="58"/>
        <v>1068</v>
      </c>
      <c r="AG49" s="88">
        <f t="shared" si="60"/>
        <v>1753</v>
      </c>
      <c r="AH49" s="11"/>
      <c r="AI49" s="70">
        <f t="shared" si="59"/>
        <v>-0.66494648318042815</v>
      </c>
    </row>
    <row r="50" spans="2:35" ht="12.75" customHeight="1">
      <c r="B50" s="111" t="s">
        <v>186</v>
      </c>
      <c r="C50" s="112">
        <f>1351+3449</f>
        <v>4800</v>
      </c>
      <c r="D50" s="112">
        <f>2450+2229+742</f>
        <v>5421</v>
      </c>
      <c r="E50" s="112">
        <v>2709</v>
      </c>
      <c r="F50" s="112">
        <f>3156+9081</f>
        <v>12237</v>
      </c>
      <c r="H50" s="112">
        <f>4405+2740+151</f>
        <v>7296</v>
      </c>
      <c r="I50" s="112">
        <f>4248+1543</f>
        <v>5791</v>
      </c>
      <c r="J50" s="112">
        <f>3633+742</f>
        <v>4375</v>
      </c>
      <c r="K50" s="88">
        <f t="shared" si="55"/>
        <v>5421</v>
      </c>
      <c r="L50" s="112">
        <f>1756+1129+94</f>
        <v>2979</v>
      </c>
      <c r="M50" s="112">
        <f>3338+1085</f>
        <v>4423</v>
      </c>
      <c r="N50" s="112">
        <v>3473</v>
      </c>
      <c r="O50" s="88">
        <f t="shared" si="56"/>
        <v>2709</v>
      </c>
      <c r="P50" s="112">
        <v>2579</v>
      </c>
      <c r="Q50" s="112">
        <v>3959</v>
      </c>
      <c r="R50" s="112">
        <v>4902</v>
      </c>
      <c r="S50" s="88">
        <f t="shared" si="57"/>
        <v>12237</v>
      </c>
      <c r="T50" s="112">
        <f>2124+2041</f>
        <v>4165</v>
      </c>
      <c r="U50" s="112">
        <f>3056+3031</f>
        <v>6087</v>
      </c>
      <c r="V50" s="88"/>
      <c r="W50" s="88">
        <f t="shared" si="58"/>
        <v>5421</v>
      </c>
      <c r="X50" s="88">
        <f t="shared" si="58"/>
        <v>2979</v>
      </c>
      <c r="Y50" s="88">
        <f t="shared" si="58"/>
        <v>4423</v>
      </c>
      <c r="Z50" s="88">
        <f t="shared" si="58"/>
        <v>3473</v>
      </c>
      <c r="AA50" s="88">
        <f t="shared" si="58"/>
        <v>2709</v>
      </c>
      <c r="AB50" s="88">
        <f t="shared" si="58"/>
        <v>2579</v>
      </c>
      <c r="AC50" s="88">
        <f t="shared" si="58"/>
        <v>3959</v>
      </c>
      <c r="AD50" s="88">
        <f t="shared" si="58"/>
        <v>4902</v>
      </c>
      <c r="AE50" s="88">
        <f t="shared" si="58"/>
        <v>12237</v>
      </c>
      <c r="AF50" s="88">
        <f t="shared" si="58"/>
        <v>4165</v>
      </c>
      <c r="AG50" s="88">
        <f t="shared" si="60"/>
        <v>6087</v>
      </c>
      <c r="AH50" s="11"/>
      <c r="AI50" s="70">
        <f t="shared" si="59"/>
        <v>0.53750947208891131</v>
      </c>
    </row>
    <row r="51" spans="2:35" ht="12.75" customHeight="1">
      <c r="B51" s="23" t="s">
        <v>23</v>
      </c>
      <c r="C51" s="24">
        <f>SUM(C47:C50)</f>
        <v>18072</v>
      </c>
      <c r="D51" s="24">
        <f>SUM(D47:D50)</f>
        <v>154467</v>
      </c>
      <c r="E51" s="24">
        <f>SUM(E47:E50)</f>
        <v>107667</v>
      </c>
      <c r="F51" s="24">
        <f>SUM(F47:F50)</f>
        <v>206758</v>
      </c>
      <c r="G51" s="47"/>
      <c r="H51" s="24">
        <f>SUM(H47:H50)</f>
        <v>215183</v>
      </c>
      <c r="I51" s="24">
        <f>SUM(I47:I50)</f>
        <v>192383</v>
      </c>
      <c r="J51" s="24">
        <f>SUM(J47:J50)</f>
        <v>167693</v>
      </c>
      <c r="K51" s="24">
        <f>SUM(K47:K50)</f>
        <v>154467</v>
      </c>
      <c r="L51" s="24">
        <f>SUM(L47:L50)</f>
        <v>130265</v>
      </c>
      <c r="M51" s="24">
        <f>SUM(M47:M50)</f>
        <v>117529</v>
      </c>
      <c r="N51" s="24">
        <f>SUM(N47:N50)</f>
        <v>116696</v>
      </c>
      <c r="O51" s="24">
        <f>SUM(O47:O50)</f>
        <v>107667</v>
      </c>
      <c r="P51" s="24">
        <f>SUM(P47:P50)</f>
        <v>110044</v>
      </c>
      <c r="Q51" s="24">
        <f>SUM(Q47:Q50)</f>
        <v>109667</v>
      </c>
      <c r="R51" s="24">
        <f>SUM(R47:R50)</f>
        <v>103866</v>
      </c>
      <c r="S51" s="24">
        <f>SUM(S47:S50)</f>
        <v>206758</v>
      </c>
      <c r="T51" s="24">
        <f>SUM(T47:T50)</f>
        <v>214361</v>
      </c>
      <c r="U51" s="24">
        <f>SUM(U47:U50)</f>
        <v>433579</v>
      </c>
      <c r="V51" s="47"/>
      <c r="W51" s="24">
        <f>SUM(W47:W50)</f>
        <v>154467</v>
      </c>
      <c r="X51" s="24">
        <f>SUM(X47:X50)</f>
        <v>130265</v>
      </c>
      <c r="Y51" s="24">
        <f>SUM(Y47:Y50)</f>
        <v>117529</v>
      </c>
      <c r="Z51" s="24">
        <f>SUM(Z47:Z50)</f>
        <v>116696</v>
      </c>
      <c r="AA51" s="24">
        <f>SUM(AA47:AA50)</f>
        <v>107667</v>
      </c>
      <c r="AB51" s="24">
        <f>SUM(AB47:AB50)</f>
        <v>110044</v>
      </c>
      <c r="AC51" s="24">
        <f>SUM(AC47:AC50)</f>
        <v>109667</v>
      </c>
      <c r="AD51" s="24">
        <f>SUM(AD47:AD50)</f>
        <v>103866</v>
      </c>
      <c r="AE51" s="24">
        <f>SUM(AE47:AE50)</f>
        <v>206758</v>
      </c>
      <c r="AF51" s="24">
        <f>SUM(AF47:AF50)</f>
        <v>214361</v>
      </c>
      <c r="AG51" s="24">
        <f>SUM(AG47:AG50)</f>
        <v>433579</v>
      </c>
      <c r="AH51" s="40"/>
      <c r="AI51" s="71">
        <f>SUM(AG51/AC51)-1</f>
        <v>2.953595885726791</v>
      </c>
    </row>
    <row r="52" spans="2:35" ht="5.0999999999999996" customHeight="1">
      <c r="B52" s="23"/>
      <c r="C52" s="48"/>
      <c r="D52" s="48"/>
      <c r="E52" s="39"/>
      <c r="F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37"/>
    </row>
    <row r="53" spans="2:35" ht="12.75" customHeight="1">
      <c r="B53" s="74" t="s">
        <v>109</v>
      </c>
      <c r="C53" s="79"/>
      <c r="D53" s="79"/>
      <c r="E53" s="79"/>
      <c r="F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11"/>
      <c r="AI53" s="70"/>
    </row>
    <row r="54" spans="2:35" ht="12.75" customHeight="1">
      <c r="B54" s="9" t="s">
        <v>127</v>
      </c>
      <c r="C54" s="79">
        <v>22497</v>
      </c>
      <c r="D54" s="79">
        <v>39530</v>
      </c>
      <c r="E54" s="79">
        <v>44483</v>
      </c>
      <c r="F54" s="79">
        <v>44643</v>
      </c>
      <c r="H54" s="113">
        <v>23943</v>
      </c>
      <c r="I54" s="113">
        <v>30583</v>
      </c>
      <c r="J54" s="113">
        <v>37440</v>
      </c>
      <c r="K54" s="88">
        <f t="shared" ref="K54:K59" si="61">D54</f>
        <v>39530</v>
      </c>
      <c r="L54" s="113">
        <v>42575</v>
      </c>
      <c r="M54" s="113">
        <v>41356</v>
      </c>
      <c r="N54" s="113">
        <v>40348</v>
      </c>
      <c r="O54" s="87">
        <f t="shared" ref="O54:O59" si="62">E54</f>
        <v>44483</v>
      </c>
      <c r="P54" s="113">
        <v>44610</v>
      </c>
      <c r="Q54" s="113">
        <v>45651</v>
      </c>
      <c r="R54" s="113">
        <v>44837</v>
      </c>
      <c r="S54" s="87">
        <f t="shared" ref="S54:S59" si="63">F54</f>
        <v>44643</v>
      </c>
      <c r="T54" s="113">
        <v>46100</v>
      </c>
      <c r="U54" s="113">
        <v>48869</v>
      </c>
      <c r="V54" s="88"/>
      <c r="W54" s="88">
        <f t="shared" ref="W54" si="64">K54</f>
        <v>39530</v>
      </c>
      <c r="X54" s="88">
        <f t="shared" ref="X54" si="65">L54</f>
        <v>42575</v>
      </c>
      <c r="Y54" s="88">
        <f t="shared" ref="Y54" si="66">M54</f>
        <v>41356</v>
      </c>
      <c r="Z54" s="88">
        <f t="shared" ref="Z54" si="67">N54</f>
        <v>40348</v>
      </c>
      <c r="AA54" s="88">
        <f t="shared" ref="AA54" si="68">O54</f>
        <v>44483</v>
      </c>
      <c r="AB54" s="88">
        <f t="shared" ref="AB54" si="69">P54</f>
        <v>44610</v>
      </c>
      <c r="AC54" s="88">
        <f t="shared" ref="AC54" si="70">Q54</f>
        <v>45651</v>
      </c>
      <c r="AD54" s="88">
        <f t="shared" ref="AD54" si="71">R54</f>
        <v>44837</v>
      </c>
      <c r="AE54" s="88">
        <f t="shared" ref="AE54" si="72">S54</f>
        <v>44643</v>
      </c>
      <c r="AF54" s="88">
        <f t="shared" ref="AF54" si="73">T54</f>
        <v>46100</v>
      </c>
      <c r="AG54" s="88">
        <f>U54</f>
        <v>48869</v>
      </c>
      <c r="AH54" s="11"/>
      <c r="AI54" s="70">
        <f t="shared" ref="AI54:AI59" si="74">SUM(AG54/AC54)-1</f>
        <v>7.0491336443889496E-2</v>
      </c>
    </row>
    <row r="55" spans="2:35" ht="12.75" customHeight="1">
      <c r="B55" s="9" t="s">
        <v>188</v>
      </c>
      <c r="C55" s="79">
        <v>0</v>
      </c>
      <c r="D55" s="79">
        <v>0</v>
      </c>
      <c r="E55" s="79">
        <v>0</v>
      </c>
      <c r="F55" s="79">
        <v>25068</v>
      </c>
      <c r="H55" s="113">
        <v>0</v>
      </c>
      <c r="I55" s="113">
        <v>0</v>
      </c>
      <c r="J55" s="113">
        <v>0</v>
      </c>
      <c r="K55" s="88">
        <f t="shared" ref="K55" si="75">D55</f>
        <v>0</v>
      </c>
      <c r="L55" s="113">
        <v>0</v>
      </c>
      <c r="M55" s="113">
        <v>0</v>
      </c>
      <c r="N55" s="113">
        <v>0</v>
      </c>
      <c r="O55" s="87">
        <f t="shared" ref="O55" si="76">E55</f>
        <v>0</v>
      </c>
      <c r="P55" s="113">
        <v>0</v>
      </c>
      <c r="Q55" s="113">
        <v>0</v>
      </c>
      <c r="R55" s="113">
        <v>0</v>
      </c>
      <c r="S55" s="87">
        <f t="shared" ref="S55" si="77">F55</f>
        <v>25068</v>
      </c>
      <c r="T55" s="113">
        <v>0</v>
      </c>
      <c r="U55" s="113">
        <v>145903</v>
      </c>
      <c r="W55" s="30">
        <f>L55</f>
        <v>0</v>
      </c>
      <c r="X55" s="30">
        <f>M55</f>
        <v>0</v>
      </c>
      <c r="Y55" s="30">
        <f>N55</f>
        <v>0</v>
      </c>
      <c r="Z55" s="30">
        <f>O55</f>
        <v>0</v>
      </c>
      <c r="AA55" s="30">
        <f>P55</f>
        <v>0</v>
      </c>
      <c r="AB55" s="30">
        <f>Q55</f>
        <v>0</v>
      </c>
      <c r="AC55" s="88">
        <f t="shared" ref="AC55:AC59" si="78">Q55</f>
        <v>0</v>
      </c>
      <c r="AD55" s="88">
        <f t="shared" ref="AD55:AD59" si="79">R55</f>
        <v>0</v>
      </c>
      <c r="AE55" s="88">
        <f t="shared" ref="AE55:AE59" si="80">S55</f>
        <v>25068</v>
      </c>
      <c r="AF55" s="88">
        <f t="shared" ref="AF55:AF59" si="81">T55</f>
        <v>0</v>
      </c>
      <c r="AG55" s="88">
        <f t="shared" ref="AG55:AG59" si="82">U55</f>
        <v>145903</v>
      </c>
      <c r="AH55" s="11"/>
      <c r="AI55" s="70" t="e">
        <f t="shared" si="74"/>
        <v>#DIV/0!</v>
      </c>
    </row>
    <row r="56" spans="2:35" ht="12.75" customHeight="1">
      <c r="B56" s="9" t="s">
        <v>128</v>
      </c>
      <c r="C56" s="79">
        <v>0</v>
      </c>
      <c r="D56" s="79">
        <v>9316</v>
      </c>
      <c r="E56" s="79">
        <v>7634</v>
      </c>
      <c r="F56" s="79">
        <v>7993</v>
      </c>
      <c r="H56" s="113">
        <v>0</v>
      </c>
      <c r="I56" s="113">
        <v>0</v>
      </c>
      <c r="J56" s="113">
        <v>0</v>
      </c>
      <c r="K56" s="88">
        <f t="shared" si="61"/>
        <v>9316</v>
      </c>
      <c r="L56" s="113">
        <v>8937</v>
      </c>
      <c r="M56" s="113">
        <v>8552</v>
      </c>
      <c r="N56" s="113">
        <v>8028</v>
      </c>
      <c r="O56" s="87">
        <f t="shared" si="62"/>
        <v>7634</v>
      </c>
      <c r="P56" s="113">
        <v>7243</v>
      </c>
      <c r="Q56" s="113">
        <v>6850</v>
      </c>
      <c r="R56" s="113">
        <v>8369</v>
      </c>
      <c r="S56" s="87">
        <f t="shared" si="63"/>
        <v>7993</v>
      </c>
      <c r="T56" s="113">
        <v>7609</v>
      </c>
      <c r="U56" s="113">
        <v>7217</v>
      </c>
      <c r="W56" s="30">
        <f>L56</f>
        <v>8937</v>
      </c>
      <c r="X56" s="30">
        <f>M56</f>
        <v>8552</v>
      </c>
      <c r="Y56" s="30">
        <f>N56</f>
        <v>8028</v>
      </c>
      <c r="Z56" s="30">
        <f>O56</f>
        <v>7634</v>
      </c>
      <c r="AA56" s="30">
        <f>P56</f>
        <v>7243</v>
      </c>
      <c r="AB56" s="30">
        <f>Q56</f>
        <v>6850</v>
      </c>
      <c r="AC56" s="88">
        <f t="shared" si="78"/>
        <v>6850</v>
      </c>
      <c r="AD56" s="88">
        <f t="shared" si="79"/>
        <v>8369</v>
      </c>
      <c r="AE56" s="88">
        <f t="shared" si="80"/>
        <v>7993</v>
      </c>
      <c r="AF56" s="88">
        <f t="shared" si="81"/>
        <v>7609</v>
      </c>
      <c r="AG56" s="88">
        <f t="shared" si="82"/>
        <v>7217</v>
      </c>
      <c r="AH56" s="11"/>
      <c r="AI56" s="70">
        <f t="shared" si="74"/>
        <v>5.3576642335766422E-2</v>
      </c>
    </row>
    <row r="57" spans="2:35" ht="12.75" customHeight="1">
      <c r="B57" s="9" t="s">
        <v>159</v>
      </c>
      <c r="C57" s="79">
        <v>165</v>
      </c>
      <c r="D57" s="79">
        <v>129</v>
      </c>
      <c r="E57" s="79">
        <v>129</v>
      </c>
      <c r="F57" s="79">
        <v>325</v>
      </c>
      <c r="H57" s="113">
        <v>1083</v>
      </c>
      <c r="I57" s="113">
        <v>130</v>
      </c>
      <c r="J57" s="113">
        <v>129</v>
      </c>
      <c r="K57" s="88">
        <f t="shared" si="61"/>
        <v>129</v>
      </c>
      <c r="L57" s="113">
        <v>130</v>
      </c>
      <c r="M57" s="113">
        <v>130</v>
      </c>
      <c r="N57" s="113">
        <v>132</v>
      </c>
      <c r="O57" s="87">
        <f t="shared" si="62"/>
        <v>129</v>
      </c>
      <c r="P57" s="113">
        <v>218</v>
      </c>
      <c r="Q57" s="113">
        <v>244</v>
      </c>
      <c r="R57" s="113">
        <v>178</v>
      </c>
      <c r="S57" s="87">
        <f t="shared" si="63"/>
        <v>325</v>
      </c>
      <c r="T57" s="113">
        <v>1068</v>
      </c>
      <c r="U57" s="113">
        <v>1122</v>
      </c>
      <c r="W57" s="30">
        <f>L57</f>
        <v>130</v>
      </c>
      <c r="X57" s="30">
        <f>M57</f>
        <v>130</v>
      </c>
      <c r="Y57" s="30">
        <f>N57</f>
        <v>132</v>
      </c>
      <c r="Z57" s="30">
        <f>O57</f>
        <v>129</v>
      </c>
      <c r="AA57" s="30">
        <f>P57</f>
        <v>218</v>
      </c>
      <c r="AB57" s="30">
        <f>Q57</f>
        <v>244</v>
      </c>
      <c r="AC57" s="88">
        <f t="shared" si="78"/>
        <v>244</v>
      </c>
      <c r="AD57" s="88">
        <f t="shared" si="79"/>
        <v>178</v>
      </c>
      <c r="AE57" s="88">
        <f t="shared" si="80"/>
        <v>325</v>
      </c>
      <c r="AF57" s="88">
        <f t="shared" si="81"/>
        <v>1068</v>
      </c>
      <c r="AG57" s="88">
        <f t="shared" si="82"/>
        <v>1122</v>
      </c>
      <c r="AH57" s="11"/>
      <c r="AI57" s="70">
        <f t="shared" si="74"/>
        <v>3.5983606557377046</v>
      </c>
    </row>
    <row r="58" spans="2:35" ht="12.75" customHeight="1">
      <c r="B58" s="9" t="s">
        <v>160</v>
      </c>
      <c r="C58" s="79">
        <v>317</v>
      </c>
      <c r="D58" s="79">
        <v>0</v>
      </c>
      <c r="E58" s="79">
        <v>0</v>
      </c>
      <c r="F58" s="79">
        <v>0</v>
      </c>
      <c r="H58" s="113">
        <v>317</v>
      </c>
      <c r="I58" s="113">
        <v>117</v>
      </c>
      <c r="J58" s="113">
        <v>117</v>
      </c>
      <c r="K58" s="88">
        <f t="shared" si="61"/>
        <v>0</v>
      </c>
      <c r="L58" s="113">
        <v>0</v>
      </c>
      <c r="M58" s="113">
        <v>0</v>
      </c>
      <c r="N58" s="113">
        <v>0</v>
      </c>
      <c r="O58" s="87">
        <f t="shared" si="62"/>
        <v>0</v>
      </c>
      <c r="P58" s="113">
        <v>0</v>
      </c>
      <c r="Q58" s="113">
        <v>0</v>
      </c>
      <c r="R58" s="113">
        <v>0</v>
      </c>
      <c r="S58" s="87">
        <f t="shared" si="63"/>
        <v>0</v>
      </c>
      <c r="T58" s="113">
        <v>0</v>
      </c>
      <c r="U58" s="113">
        <v>0</v>
      </c>
      <c r="W58" s="30">
        <f>L58</f>
        <v>0</v>
      </c>
      <c r="X58" s="30">
        <f>M58</f>
        <v>0</v>
      </c>
      <c r="Y58" s="30">
        <f>N58</f>
        <v>0</v>
      </c>
      <c r="Z58" s="30">
        <f>O58</f>
        <v>0</v>
      </c>
      <c r="AA58" s="30">
        <f>P58</f>
        <v>0</v>
      </c>
      <c r="AB58" s="30">
        <f>Q58</f>
        <v>0</v>
      </c>
      <c r="AC58" s="88">
        <f t="shared" si="78"/>
        <v>0</v>
      </c>
      <c r="AD58" s="88">
        <f t="shared" si="79"/>
        <v>0</v>
      </c>
      <c r="AE58" s="88">
        <f t="shared" si="80"/>
        <v>0</v>
      </c>
      <c r="AF58" s="88">
        <f t="shared" si="81"/>
        <v>0</v>
      </c>
      <c r="AG58" s="88">
        <f t="shared" si="82"/>
        <v>0</v>
      </c>
      <c r="AH58" s="11"/>
      <c r="AI58" s="70" t="e">
        <f t="shared" si="74"/>
        <v>#DIV/0!</v>
      </c>
    </row>
    <row r="59" spans="2:35" ht="12.75" customHeight="1">
      <c r="B59" s="9" t="s">
        <v>129</v>
      </c>
      <c r="C59" s="79">
        <v>5377</v>
      </c>
      <c r="D59" s="79">
        <v>0</v>
      </c>
      <c r="E59" s="79">
        <v>0</v>
      </c>
      <c r="F59" s="79">
        <v>0</v>
      </c>
      <c r="H59" s="113">
        <v>5377</v>
      </c>
      <c r="I59" s="113">
        <v>5377</v>
      </c>
      <c r="J59" s="113">
        <v>5377</v>
      </c>
      <c r="K59" s="88">
        <f t="shared" si="61"/>
        <v>0</v>
      </c>
      <c r="L59" s="113">
        <v>0</v>
      </c>
      <c r="M59" s="113">
        <v>0</v>
      </c>
      <c r="N59" s="113">
        <v>0</v>
      </c>
      <c r="O59" s="87">
        <f t="shared" si="62"/>
        <v>0</v>
      </c>
      <c r="P59" s="113">
        <v>0</v>
      </c>
      <c r="Q59" s="113">
        <v>0</v>
      </c>
      <c r="R59" s="113">
        <v>0</v>
      </c>
      <c r="S59" s="87">
        <f t="shared" si="63"/>
        <v>0</v>
      </c>
      <c r="T59" s="113">
        <v>0</v>
      </c>
      <c r="U59" s="113">
        <v>0</v>
      </c>
      <c r="W59" s="30">
        <f>L59</f>
        <v>0</v>
      </c>
      <c r="X59" s="30">
        <f>M59</f>
        <v>0</v>
      </c>
      <c r="Y59" s="30">
        <f>N59</f>
        <v>0</v>
      </c>
      <c r="Z59" s="30">
        <f>O59</f>
        <v>0</v>
      </c>
      <c r="AA59" s="30">
        <f>P59</f>
        <v>0</v>
      </c>
      <c r="AB59" s="30">
        <f>Q59</f>
        <v>0</v>
      </c>
      <c r="AC59" s="88">
        <f t="shared" si="78"/>
        <v>0</v>
      </c>
      <c r="AD59" s="88">
        <f t="shared" si="79"/>
        <v>0</v>
      </c>
      <c r="AE59" s="88">
        <f t="shared" si="80"/>
        <v>0</v>
      </c>
      <c r="AF59" s="88">
        <f t="shared" si="81"/>
        <v>0</v>
      </c>
      <c r="AG59" s="88">
        <f t="shared" si="82"/>
        <v>0</v>
      </c>
      <c r="AH59" s="11"/>
      <c r="AI59" s="70" t="e">
        <f t="shared" si="74"/>
        <v>#DIV/0!</v>
      </c>
    </row>
    <row r="60" spans="2:35" ht="12.75" customHeight="1">
      <c r="B60" s="12" t="s">
        <v>24</v>
      </c>
      <c r="C60" s="13">
        <f>SUM(C54:C59)+C51</f>
        <v>46428</v>
      </c>
      <c r="D60" s="13">
        <f>SUM(D54:D59)+D51</f>
        <v>203442</v>
      </c>
      <c r="E60" s="13">
        <f>SUM(E54:E59)+E51</f>
        <v>159913</v>
      </c>
      <c r="F60" s="13">
        <f>SUM(F54:F59)+F51</f>
        <v>284787</v>
      </c>
      <c r="H60" s="13">
        <f>SUM(H54:H59)+H51</f>
        <v>245903</v>
      </c>
      <c r="I60" s="13">
        <f>SUM(I54:I59)+I51</f>
        <v>228590</v>
      </c>
      <c r="J60" s="13">
        <f>SUM(J54:J59)+J51</f>
        <v>210756</v>
      </c>
      <c r="K60" s="13">
        <f>SUM(K54:K59)+K51</f>
        <v>203442</v>
      </c>
      <c r="L60" s="13">
        <f>SUM(L54:L59)+L51</f>
        <v>181907</v>
      </c>
      <c r="M60" s="13">
        <f>SUM(M54:M59)+M51</f>
        <v>167567</v>
      </c>
      <c r="N60" s="13">
        <f>SUM(N54:N59)+N51</f>
        <v>165204</v>
      </c>
      <c r="O60" s="13">
        <f>SUM(O54:O59)+O51</f>
        <v>159913</v>
      </c>
      <c r="P60" s="13">
        <f>SUM(P54:P59)+P51</f>
        <v>162115</v>
      </c>
      <c r="Q60" s="13">
        <f>SUM(Q54:Q59)+Q51</f>
        <v>162412</v>
      </c>
      <c r="R60" s="13">
        <f>SUM(R54:R59)+R51</f>
        <v>157250</v>
      </c>
      <c r="S60" s="13">
        <f>SUM(S54:S59)+S51</f>
        <v>284787</v>
      </c>
      <c r="T60" s="13">
        <f>SUM(T54:T59)+T51</f>
        <v>269138</v>
      </c>
      <c r="U60" s="13">
        <f>SUM(U54:U59)+U51</f>
        <v>636690</v>
      </c>
      <c r="W60" s="13">
        <f>SUM(W54:W59)+W51</f>
        <v>203064</v>
      </c>
      <c r="X60" s="13">
        <f>SUM(X54:X59)+X51</f>
        <v>181522</v>
      </c>
      <c r="Y60" s="13">
        <f>SUM(Y54:Y59)+Y51</f>
        <v>167045</v>
      </c>
      <c r="Z60" s="13">
        <f>SUM(Z54:Z59)+Z51</f>
        <v>164807</v>
      </c>
      <c r="AA60" s="13">
        <f>SUM(AA54:AA59)+AA51</f>
        <v>159611</v>
      </c>
      <c r="AB60" s="13">
        <f>SUM(AB54:AB59)+AB51</f>
        <v>161748</v>
      </c>
      <c r="AC60" s="13">
        <f>SUM(AC54:AC59)+AC51</f>
        <v>162412</v>
      </c>
      <c r="AD60" s="13">
        <f>SUM(AD54:AD59)+AD51</f>
        <v>157250</v>
      </c>
      <c r="AE60" s="13">
        <f>SUM(AE54:AE59)+AE51</f>
        <v>284787</v>
      </c>
      <c r="AF60" s="13">
        <f>SUM(AF54:AF59)+AF51</f>
        <v>269138</v>
      </c>
      <c r="AG60" s="13">
        <f>SUM(AG54:AG59)+AG51</f>
        <v>636690</v>
      </c>
      <c r="AH60" s="40"/>
      <c r="AI60" s="71">
        <f>SUM(AG60/AC60)-1</f>
        <v>2.9202152550304166</v>
      </c>
    </row>
    <row r="61" spans="2:35" ht="12.75" customHeight="1">
      <c r="B61" s="23"/>
      <c r="C61" s="49"/>
      <c r="D61" s="49"/>
      <c r="E61" s="39"/>
      <c r="F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37"/>
    </row>
    <row r="62" spans="2:35" ht="12.75" customHeight="1">
      <c r="B62" s="74" t="s">
        <v>59</v>
      </c>
      <c r="C62" s="49"/>
      <c r="D62" s="49"/>
      <c r="E62" s="39"/>
      <c r="F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37"/>
    </row>
    <row r="63" spans="2:35" ht="12.75" customHeight="1">
      <c r="B63" s="111" t="s">
        <v>15</v>
      </c>
      <c r="C63" s="79">
        <v>1971</v>
      </c>
      <c r="D63" s="79">
        <v>1938</v>
      </c>
      <c r="E63" s="79">
        <v>5772</v>
      </c>
      <c r="F63" s="79">
        <v>1590</v>
      </c>
      <c r="H63" s="113">
        <v>3453</v>
      </c>
      <c r="I63" s="113">
        <v>1517</v>
      </c>
      <c r="J63" s="113">
        <v>1726</v>
      </c>
      <c r="K63" s="88">
        <f t="shared" ref="K63:K68" si="83">D63</f>
        <v>1938</v>
      </c>
      <c r="L63" s="113">
        <v>1664</v>
      </c>
      <c r="M63" s="113">
        <v>947</v>
      </c>
      <c r="N63" s="113">
        <v>1447</v>
      </c>
      <c r="O63" s="87">
        <f t="shared" ref="O63:O68" si="84">E63</f>
        <v>5772</v>
      </c>
      <c r="P63" s="113">
        <v>3822</v>
      </c>
      <c r="Q63" s="113">
        <v>1843</v>
      </c>
      <c r="R63" s="113">
        <v>1604</v>
      </c>
      <c r="S63" s="87">
        <f t="shared" ref="S63:S68" si="85">F63</f>
        <v>1590</v>
      </c>
      <c r="T63" s="113">
        <v>3401</v>
      </c>
      <c r="U63" s="113">
        <v>2159</v>
      </c>
      <c r="W63" s="30">
        <f>L63</f>
        <v>1664</v>
      </c>
      <c r="X63" s="30">
        <f>M63</f>
        <v>947</v>
      </c>
      <c r="Y63" s="30">
        <f>N63</f>
        <v>1447</v>
      </c>
      <c r="Z63" s="30">
        <f>O63</f>
        <v>5772</v>
      </c>
      <c r="AA63" s="30">
        <f>P63</f>
        <v>3822</v>
      </c>
      <c r="AB63" s="30">
        <f>Q63</f>
        <v>1843</v>
      </c>
      <c r="AC63" s="88">
        <f t="shared" ref="AC63:AC68" si="86">Q63</f>
        <v>1843</v>
      </c>
      <c r="AD63" s="88">
        <f t="shared" ref="AD63:AD68" si="87">R63</f>
        <v>1604</v>
      </c>
      <c r="AE63" s="88">
        <f t="shared" ref="AE63:AE68" si="88">S63</f>
        <v>1590</v>
      </c>
      <c r="AF63" s="88">
        <f t="shared" ref="AF63:AF68" si="89">T63</f>
        <v>3401</v>
      </c>
      <c r="AG63" s="88">
        <f t="shared" ref="AG63:AG68" si="90">U63</f>
        <v>2159</v>
      </c>
      <c r="AH63" s="11"/>
      <c r="AI63" s="70">
        <f t="shared" ref="AI63:AI68" si="91">SUM(AG63/AC63)-1</f>
        <v>0.17145957677699397</v>
      </c>
    </row>
    <row r="64" spans="2:35" ht="12.75" customHeight="1">
      <c r="B64" s="111" t="s">
        <v>161</v>
      </c>
      <c r="C64" s="79">
        <v>3806</v>
      </c>
      <c r="D64" s="79">
        <v>8205</v>
      </c>
      <c r="E64" s="79">
        <v>8563</v>
      </c>
      <c r="F64" s="79">
        <v>8005</v>
      </c>
      <c r="H64" s="113">
        <v>6708</v>
      </c>
      <c r="I64" s="113">
        <v>6018</v>
      </c>
      <c r="J64" s="113">
        <v>6934</v>
      </c>
      <c r="K64" s="88">
        <f t="shared" si="83"/>
        <v>8205</v>
      </c>
      <c r="L64" s="113">
        <v>8731</v>
      </c>
      <c r="M64" s="113">
        <v>6557</v>
      </c>
      <c r="N64" s="113">
        <v>7389</v>
      </c>
      <c r="O64" s="87">
        <f t="shared" si="84"/>
        <v>8563</v>
      </c>
      <c r="P64" s="113">
        <v>5892</v>
      </c>
      <c r="Q64" s="113">
        <v>7609</v>
      </c>
      <c r="R64" s="113">
        <v>5581</v>
      </c>
      <c r="S64" s="87">
        <f t="shared" si="85"/>
        <v>8005</v>
      </c>
      <c r="T64" s="113">
        <v>5665</v>
      </c>
      <c r="U64" s="113">
        <v>5955</v>
      </c>
      <c r="W64" s="30">
        <f>L64</f>
        <v>8731</v>
      </c>
      <c r="X64" s="30">
        <f>M64</f>
        <v>6557</v>
      </c>
      <c r="Y64" s="30">
        <f>N64</f>
        <v>7389</v>
      </c>
      <c r="Z64" s="30">
        <f>O64</f>
        <v>8563</v>
      </c>
      <c r="AA64" s="30">
        <f>P64</f>
        <v>5892</v>
      </c>
      <c r="AB64" s="30">
        <f>Q64</f>
        <v>7609</v>
      </c>
      <c r="AC64" s="88">
        <f t="shared" si="86"/>
        <v>7609</v>
      </c>
      <c r="AD64" s="88">
        <f t="shared" si="87"/>
        <v>5581</v>
      </c>
      <c r="AE64" s="88">
        <f t="shared" si="88"/>
        <v>8005</v>
      </c>
      <c r="AF64" s="88">
        <f t="shared" si="89"/>
        <v>5665</v>
      </c>
      <c r="AG64" s="88">
        <f t="shared" si="90"/>
        <v>5955</v>
      </c>
      <c r="AH64" s="11"/>
      <c r="AI64" s="70">
        <f t="shared" ref="AI64:AI68" si="92">SUM(AG64/AC64)-1</f>
        <v>-0.21737416217637007</v>
      </c>
    </row>
    <row r="65" spans="2:35" ht="12.75" customHeight="1">
      <c r="B65" s="111" t="s">
        <v>162</v>
      </c>
      <c r="C65" s="79">
        <v>985</v>
      </c>
      <c r="D65" s="79">
        <v>961</v>
      </c>
      <c r="E65" s="79">
        <v>343</v>
      </c>
      <c r="F65" s="79">
        <v>113</v>
      </c>
      <c r="H65" s="113">
        <v>519</v>
      </c>
      <c r="I65" s="113">
        <v>1108</v>
      </c>
      <c r="J65" s="113">
        <v>811</v>
      </c>
      <c r="K65" s="88">
        <f t="shared" si="83"/>
        <v>961</v>
      </c>
      <c r="L65" s="113">
        <v>559</v>
      </c>
      <c r="M65" s="113">
        <v>833</v>
      </c>
      <c r="N65" s="113">
        <v>472</v>
      </c>
      <c r="O65" s="87">
        <f t="shared" si="84"/>
        <v>343</v>
      </c>
      <c r="P65" s="113">
        <v>129</v>
      </c>
      <c r="Q65" s="113">
        <v>836</v>
      </c>
      <c r="R65" s="113">
        <v>886</v>
      </c>
      <c r="S65" s="87">
        <f t="shared" si="85"/>
        <v>113</v>
      </c>
      <c r="T65" s="113">
        <v>147</v>
      </c>
      <c r="U65" s="113">
        <v>118</v>
      </c>
      <c r="W65" s="30"/>
      <c r="X65" s="30"/>
      <c r="Y65" s="30"/>
      <c r="Z65" s="30"/>
      <c r="AA65" s="30"/>
      <c r="AB65" s="30"/>
      <c r="AC65" s="88">
        <f t="shared" si="86"/>
        <v>836</v>
      </c>
      <c r="AD65" s="88">
        <f t="shared" si="87"/>
        <v>886</v>
      </c>
      <c r="AE65" s="88">
        <f t="shared" si="88"/>
        <v>113</v>
      </c>
      <c r="AF65" s="88">
        <f t="shared" si="89"/>
        <v>147</v>
      </c>
      <c r="AG65" s="88">
        <f t="shared" si="90"/>
        <v>118</v>
      </c>
      <c r="AH65" s="11"/>
      <c r="AI65" s="70">
        <f t="shared" si="92"/>
        <v>-0.85885167464114831</v>
      </c>
    </row>
    <row r="66" spans="2:35" ht="12.75" customHeight="1">
      <c r="B66" s="111" t="s">
        <v>163</v>
      </c>
      <c r="C66" s="79">
        <v>575</v>
      </c>
      <c r="D66" s="79">
        <v>8303</v>
      </c>
      <c r="E66" s="79">
        <v>12164</v>
      </c>
      <c r="F66" s="79">
        <v>0</v>
      </c>
      <c r="H66" s="113">
        <v>2365</v>
      </c>
      <c r="I66" s="113">
        <v>4226</v>
      </c>
      <c r="J66" s="113">
        <v>6834</v>
      </c>
      <c r="K66" s="88">
        <f t="shared" si="83"/>
        <v>8303</v>
      </c>
      <c r="L66" s="113">
        <v>9685</v>
      </c>
      <c r="M66" s="113">
        <v>10666</v>
      </c>
      <c r="N66" s="113">
        <v>11522</v>
      </c>
      <c r="O66" s="87">
        <f t="shared" si="84"/>
        <v>12164</v>
      </c>
      <c r="P66" s="113">
        <v>12814</v>
      </c>
      <c r="Q66" s="113">
        <v>13042</v>
      </c>
      <c r="R66" s="113">
        <v>11247</v>
      </c>
      <c r="S66" s="87">
        <f t="shared" si="85"/>
        <v>0</v>
      </c>
      <c r="T66" s="113">
        <v>0</v>
      </c>
      <c r="U66" s="113">
        <v>0</v>
      </c>
      <c r="W66" s="30"/>
      <c r="X66" s="30"/>
      <c r="Y66" s="30"/>
      <c r="Z66" s="30"/>
      <c r="AA66" s="30"/>
      <c r="AB66" s="30"/>
      <c r="AC66" s="88">
        <f t="shared" si="86"/>
        <v>13042</v>
      </c>
      <c r="AD66" s="88">
        <f t="shared" si="87"/>
        <v>11247</v>
      </c>
      <c r="AE66" s="88">
        <f t="shared" si="88"/>
        <v>0</v>
      </c>
      <c r="AF66" s="88">
        <f t="shared" si="89"/>
        <v>0</v>
      </c>
      <c r="AG66" s="88">
        <f t="shared" si="90"/>
        <v>0</v>
      </c>
      <c r="AH66" s="11"/>
      <c r="AI66" s="70">
        <f t="shared" si="92"/>
        <v>-1</v>
      </c>
    </row>
    <row r="67" spans="2:35" ht="12.75" customHeight="1">
      <c r="B67" s="111" t="s">
        <v>130</v>
      </c>
      <c r="C67" s="79">
        <v>0</v>
      </c>
      <c r="D67" s="79">
        <v>2345</v>
      </c>
      <c r="E67" s="79">
        <v>2210</v>
      </c>
      <c r="F67" s="79">
        <v>2159</v>
      </c>
      <c r="H67" s="79">
        <v>0</v>
      </c>
      <c r="I67" s="79">
        <v>0</v>
      </c>
      <c r="J67" s="79">
        <v>0</v>
      </c>
      <c r="K67" s="88">
        <f t="shared" si="83"/>
        <v>2345</v>
      </c>
      <c r="L67" s="113">
        <v>2350</v>
      </c>
      <c r="M67" s="113">
        <v>2349</v>
      </c>
      <c r="N67" s="113">
        <v>2212</v>
      </c>
      <c r="O67" s="87">
        <f t="shared" si="84"/>
        <v>2210</v>
      </c>
      <c r="P67" s="113">
        <v>2219</v>
      </c>
      <c r="Q67" s="113">
        <v>2234</v>
      </c>
      <c r="R67" s="113">
        <v>2142</v>
      </c>
      <c r="S67" s="87">
        <f t="shared" si="85"/>
        <v>2159</v>
      </c>
      <c r="T67" s="113">
        <v>2179</v>
      </c>
      <c r="U67" s="113">
        <v>2198</v>
      </c>
      <c r="W67" s="30">
        <f>L67</f>
        <v>2350</v>
      </c>
      <c r="X67" s="30">
        <f>M67</f>
        <v>2349</v>
      </c>
      <c r="Y67" s="30">
        <f>N67</f>
        <v>2212</v>
      </c>
      <c r="Z67" s="30">
        <f>O67</f>
        <v>2210</v>
      </c>
      <c r="AA67" s="30">
        <f>P67</f>
        <v>2219</v>
      </c>
      <c r="AB67" s="30">
        <f>Q67</f>
        <v>2234</v>
      </c>
      <c r="AC67" s="88">
        <f t="shared" si="86"/>
        <v>2234</v>
      </c>
      <c r="AD67" s="88">
        <f t="shared" si="87"/>
        <v>2142</v>
      </c>
      <c r="AE67" s="88">
        <f t="shared" si="88"/>
        <v>2159</v>
      </c>
      <c r="AF67" s="88">
        <f t="shared" si="89"/>
        <v>2179</v>
      </c>
      <c r="AG67" s="88">
        <f t="shared" si="90"/>
        <v>2198</v>
      </c>
      <c r="AH67" s="11"/>
      <c r="AI67" s="70">
        <f t="shared" si="92"/>
        <v>-1.61145926589078E-2</v>
      </c>
    </row>
    <row r="68" spans="2:35" ht="12.75" customHeight="1">
      <c r="B68" s="111" t="s">
        <v>164</v>
      </c>
      <c r="C68" s="79">
        <v>230</v>
      </c>
      <c r="D68" s="79">
        <v>0</v>
      </c>
      <c r="E68" s="79">
        <v>0</v>
      </c>
      <c r="F68" s="79">
        <v>0</v>
      </c>
      <c r="H68" s="79">
        <v>0</v>
      </c>
      <c r="I68" s="79">
        <v>0</v>
      </c>
      <c r="J68" s="79">
        <v>0</v>
      </c>
      <c r="K68" s="88">
        <f t="shared" si="83"/>
        <v>0</v>
      </c>
      <c r="L68" s="79">
        <v>0</v>
      </c>
      <c r="M68" s="79">
        <v>0</v>
      </c>
      <c r="N68" s="79">
        <v>0</v>
      </c>
      <c r="O68" s="87">
        <f t="shared" si="84"/>
        <v>0</v>
      </c>
      <c r="P68" s="79">
        <v>0</v>
      </c>
      <c r="Q68" s="79">
        <v>0</v>
      </c>
      <c r="R68" s="79">
        <v>0</v>
      </c>
      <c r="S68" s="87">
        <f t="shared" si="85"/>
        <v>0</v>
      </c>
      <c r="T68" s="113">
        <v>0</v>
      </c>
      <c r="U68" s="113">
        <v>0</v>
      </c>
      <c r="W68" s="30">
        <f>L68</f>
        <v>0</v>
      </c>
      <c r="X68" s="30">
        <f>M68</f>
        <v>0</v>
      </c>
      <c r="Y68" s="30">
        <f>N68</f>
        <v>0</v>
      </c>
      <c r="Z68" s="30">
        <f>O68</f>
        <v>0</v>
      </c>
      <c r="AA68" s="30">
        <f>P68</f>
        <v>0</v>
      </c>
      <c r="AB68" s="30">
        <f>Q68</f>
        <v>0</v>
      </c>
      <c r="AC68" s="88">
        <f t="shared" si="86"/>
        <v>0</v>
      </c>
      <c r="AD68" s="88">
        <f t="shared" si="87"/>
        <v>0</v>
      </c>
      <c r="AE68" s="88">
        <f t="shared" si="88"/>
        <v>0</v>
      </c>
      <c r="AF68" s="88">
        <f t="shared" si="89"/>
        <v>0</v>
      </c>
      <c r="AG68" s="88">
        <f t="shared" si="90"/>
        <v>0</v>
      </c>
      <c r="AH68" s="11"/>
      <c r="AI68" s="70" t="e">
        <f t="shared" si="92"/>
        <v>#DIV/0!</v>
      </c>
    </row>
    <row r="69" spans="2:35" ht="12.75" customHeight="1">
      <c r="B69" s="23" t="s">
        <v>21</v>
      </c>
      <c r="C69" s="24">
        <f>SUM(C63:C68)</f>
        <v>7567</v>
      </c>
      <c r="D69" s="24">
        <f>SUM(D63:D68)</f>
        <v>21752</v>
      </c>
      <c r="E69" s="24">
        <f>SUM(E63:E68)</f>
        <v>29052</v>
      </c>
      <c r="F69" s="24">
        <f>SUM(F63:F68)</f>
        <v>11867</v>
      </c>
      <c r="H69" s="24">
        <f>SUM(H63:H68)</f>
        <v>13045</v>
      </c>
      <c r="I69" s="24">
        <f>SUM(I63:I68)</f>
        <v>12869</v>
      </c>
      <c r="J69" s="24">
        <f>SUM(J63:J68)</f>
        <v>16305</v>
      </c>
      <c r="K69" s="24">
        <f>SUM(K63:K68)</f>
        <v>21752</v>
      </c>
      <c r="L69" s="24">
        <f>SUM(L63:L68)</f>
        <v>22989</v>
      </c>
      <c r="M69" s="24">
        <f>SUM(M63:M68)</f>
        <v>21352</v>
      </c>
      <c r="N69" s="24">
        <f>SUM(N63:N68)</f>
        <v>23042</v>
      </c>
      <c r="O69" s="24">
        <f>SUM(O63:O68)</f>
        <v>29052</v>
      </c>
      <c r="P69" s="24">
        <f>SUM(P63:P68)</f>
        <v>24876</v>
      </c>
      <c r="Q69" s="24">
        <f>SUM(Q63:Q68)</f>
        <v>25564</v>
      </c>
      <c r="R69" s="24">
        <f>SUM(R63:R68)</f>
        <v>21460</v>
      </c>
      <c r="S69" s="24">
        <f>SUM(S63:S68)</f>
        <v>11867</v>
      </c>
      <c r="T69" s="24">
        <f>SUM(T63:T68)</f>
        <v>11392</v>
      </c>
      <c r="U69" s="24">
        <f>SUM(U63:U68)</f>
        <v>10430</v>
      </c>
      <c r="V69" s="47"/>
      <c r="W69" s="24">
        <f>SUM(W63:W68)</f>
        <v>12745</v>
      </c>
      <c r="X69" s="24">
        <f>SUM(X63:X68)</f>
        <v>9853</v>
      </c>
      <c r="Y69" s="24">
        <f>SUM(Y63:Y68)</f>
        <v>11048</v>
      </c>
      <c r="Z69" s="24">
        <f>SUM(Z63:Z68)</f>
        <v>16545</v>
      </c>
      <c r="AA69" s="24">
        <f>SUM(AA63:AA68)</f>
        <v>11933</v>
      </c>
      <c r="AB69" s="24">
        <f>SUM(AB63:AB68)</f>
        <v>11686</v>
      </c>
      <c r="AC69" s="24">
        <f>SUM(AC63:AC68)</f>
        <v>25564</v>
      </c>
      <c r="AD69" s="24">
        <f>SUM(AD63:AD68)</f>
        <v>21460</v>
      </c>
      <c r="AE69" s="24">
        <f>SUM(AE63:AE68)</f>
        <v>11867</v>
      </c>
      <c r="AF69" s="24">
        <f>SUM(AF63:AF68)</f>
        <v>11392</v>
      </c>
      <c r="AG69" s="24">
        <f>SUM(AG63:AG68)</f>
        <v>10430</v>
      </c>
      <c r="AH69" s="40"/>
      <c r="AI69" s="71">
        <f>SUM(AG69/AC69)-1</f>
        <v>-0.59200438116100762</v>
      </c>
    </row>
    <row r="70" spans="2:35" ht="5.0999999999999996" customHeight="1">
      <c r="B70" s="23"/>
      <c r="C70" s="49"/>
      <c r="D70" s="49"/>
      <c r="E70" s="39"/>
      <c r="F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37"/>
    </row>
    <row r="71" spans="2:35">
      <c r="B71" s="74" t="s">
        <v>111</v>
      </c>
      <c r="C71" s="49"/>
      <c r="D71" s="49"/>
      <c r="E71" s="39"/>
      <c r="F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37"/>
    </row>
    <row r="72" spans="2:35" ht="12.75" customHeight="1">
      <c r="B72" s="111" t="s">
        <v>165</v>
      </c>
      <c r="C72" s="79">
        <v>24216</v>
      </c>
      <c r="D72" s="79">
        <v>20635</v>
      </c>
      <c r="E72" s="79">
        <v>9894</v>
      </c>
      <c r="F72" s="79">
        <v>0</v>
      </c>
      <c r="H72" s="113">
        <v>27678</v>
      </c>
      <c r="I72" s="113">
        <v>25201</v>
      </c>
      <c r="J72" s="113">
        <v>22999</v>
      </c>
      <c r="K72" s="88">
        <f t="shared" ref="K72:K77" si="93">D72</f>
        <v>20635</v>
      </c>
      <c r="L72" s="113">
        <v>17846</v>
      </c>
      <c r="M72" s="113">
        <v>16096</v>
      </c>
      <c r="N72" s="113">
        <v>13111</v>
      </c>
      <c r="O72" s="87">
        <f t="shared" ref="O72:O77" si="94">E72</f>
        <v>9894</v>
      </c>
      <c r="P72" s="113">
        <v>6496</v>
      </c>
      <c r="Q72" s="113">
        <v>3364</v>
      </c>
      <c r="R72" s="113">
        <v>2061</v>
      </c>
      <c r="S72" s="87">
        <f t="shared" ref="S72:S77" si="95">F72</f>
        <v>0</v>
      </c>
      <c r="T72" s="113">
        <v>0</v>
      </c>
      <c r="U72" s="113">
        <v>0</v>
      </c>
      <c r="W72" s="30">
        <f>L72</f>
        <v>17846</v>
      </c>
      <c r="X72" s="30">
        <f>M72</f>
        <v>16096</v>
      </c>
      <c r="Y72" s="30">
        <f>N72</f>
        <v>13111</v>
      </c>
      <c r="Z72" s="30">
        <f>O72</f>
        <v>9894</v>
      </c>
      <c r="AA72" s="30">
        <f>P72</f>
        <v>6496</v>
      </c>
      <c r="AB72" s="30">
        <f>Q72</f>
        <v>3364</v>
      </c>
      <c r="AC72" s="88">
        <f t="shared" ref="AC72:AC77" si="96">Q72</f>
        <v>3364</v>
      </c>
      <c r="AD72" s="88">
        <f t="shared" ref="AD72:AD77" si="97">R72</f>
        <v>2061</v>
      </c>
      <c r="AE72" s="88">
        <f t="shared" ref="AE72:AE77" si="98">S72</f>
        <v>0</v>
      </c>
      <c r="AF72" s="88">
        <f t="shared" ref="AF72:AF77" si="99">T72</f>
        <v>0</v>
      </c>
      <c r="AG72" s="88">
        <f t="shared" ref="AG72:AG77" si="100">U72</f>
        <v>0</v>
      </c>
      <c r="AH72" s="40"/>
      <c r="AI72" s="70">
        <f t="shared" ref="AI72:AI77" si="101">SUM(AG72/AC72)-1</f>
        <v>-1</v>
      </c>
    </row>
    <row r="73" spans="2:35" ht="12.75" customHeight="1">
      <c r="B73" s="111" t="s">
        <v>189</v>
      </c>
      <c r="C73" s="79">
        <v>0</v>
      </c>
      <c r="D73" s="79">
        <v>0</v>
      </c>
      <c r="E73" s="79">
        <v>0</v>
      </c>
      <c r="F73" s="79">
        <v>698</v>
      </c>
      <c r="H73" s="113">
        <v>0</v>
      </c>
      <c r="I73" s="113">
        <v>0</v>
      </c>
      <c r="J73" s="113">
        <v>0</v>
      </c>
      <c r="K73" s="88">
        <f t="shared" ref="K73" si="102">D73</f>
        <v>0</v>
      </c>
      <c r="L73" s="113">
        <v>0</v>
      </c>
      <c r="M73" s="113">
        <v>0</v>
      </c>
      <c r="N73" s="113">
        <v>0</v>
      </c>
      <c r="O73" s="87">
        <f t="shared" ref="O73" si="103">E73</f>
        <v>0</v>
      </c>
      <c r="P73" s="113">
        <v>0</v>
      </c>
      <c r="Q73" s="113">
        <v>0</v>
      </c>
      <c r="R73" s="113">
        <v>0</v>
      </c>
      <c r="S73" s="87">
        <f t="shared" ref="S73" si="104">F73</f>
        <v>698</v>
      </c>
      <c r="T73" s="113">
        <v>698</v>
      </c>
      <c r="U73" s="113">
        <v>698</v>
      </c>
      <c r="W73" s="30">
        <f>L73</f>
        <v>0</v>
      </c>
      <c r="X73" s="30">
        <f>M73</f>
        <v>0</v>
      </c>
      <c r="Y73" s="30">
        <f>N73</f>
        <v>0</v>
      </c>
      <c r="Z73" s="30">
        <f>O73</f>
        <v>0</v>
      </c>
      <c r="AA73" s="30">
        <f>P73</f>
        <v>0</v>
      </c>
      <c r="AB73" s="30">
        <f>Q73</f>
        <v>0</v>
      </c>
      <c r="AC73" s="88">
        <f t="shared" si="96"/>
        <v>0</v>
      </c>
      <c r="AD73" s="88">
        <f t="shared" si="97"/>
        <v>0</v>
      </c>
      <c r="AE73" s="88">
        <f t="shared" si="98"/>
        <v>698</v>
      </c>
      <c r="AF73" s="88">
        <f t="shared" si="99"/>
        <v>698</v>
      </c>
      <c r="AG73" s="88">
        <f t="shared" si="100"/>
        <v>698</v>
      </c>
      <c r="AH73" s="40"/>
      <c r="AI73" s="70" t="e">
        <f t="shared" si="101"/>
        <v>#DIV/0!</v>
      </c>
    </row>
    <row r="74" spans="2:35" ht="12.75" customHeight="1">
      <c r="B74" s="111" t="s">
        <v>166</v>
      </c>
      <c r="C74" s="79">
        <v>0</v>
      </c>
      <c r="D74" s="79">
        <v>7858</v>
      </c>
      <c r="E74" s="79">
        <v>6297</v>
      </c>
      <c r="F74" s="79">
        <v>6641</v>
      </c>
      <c r="H74" s="113">
        <v>0</v>
      </c>
      <c r="I74" s="113">
        <v>0</v>
      </c>
      <c r="J74" s="113">
        <v>0</v>
      </c>
      <c r="K74" s="88">
        <f t="shared" si="93"/>
        <v>7858</v>
      </c>
      <c r="L74" s="113">
        <v>7479</v>
      </c>
      <c r="M74" s="113">
        <v>7275</v>
      </c>
      <c r="N74" s="113">
        <v>6705</v>
      </c>
      <c r="O74" s="87">
        <f t="shared" si="94"/>
        <v>6297</v>
      </c>
      <c r="P74" s="113">
        <v>5880</v>
      </c>
      <c r="Q74" s="113">
        <v>5455</v>
      </c>
      <c r="R74" s="113">
        <v>7040</v>
      </c>
      <c r="S74" s="87">
        <f t="shared" si="95"/>
        <v>6641</v>
      </c>
      <c r="T74" s="113">
        <v>6230</v>
      </c>
      <c r="U74" s="113">
        <v>5812</v>
      </c>
      <c r="W74" s="30"/>
      <c r="X74" s="30"/>
      <c r="Y74" s="30"/>
      <c r="Z74" s="30"/>
      <c r="AA74" s="30"/>
      <c r="AB74" s="30"/>
      <c r="AC74" s="88">
        <f t="shared" si="96"/>
        <v>5455</v>
      </c>
      <c r="AD74" s="88">
        <f t="shared" si="97"/>
        <v>7040</v>
      </c>
      <c r="AE74" s="88">
        <f t="shared" si="98"/>
        <v>6641</v>
      </c>
      <c r="AF74" s="88">
        <f t="shared" si="99"/>
        <v>6230</v>
      </c>
      <c r="AG74" s="88">
        <f t="shared" si="100"/>
        <v>5812</v>
      </c>
      <c r="AH74" s="40"/>
      <c r="AI74" s="70">
        <f t="shared" si="101"/>
        <v>6.5444546287809269E-2</v>
      </c>
    </row>
    <row r="75" spans="2:35" ht="12.75" customHeight="1">
      <c r="B75" s="111" t="s">
        <v>167</v>
      </c>
      <c r="C75" s="79">
        <v>4355</v>
      </c>
      <c r="D75" s="79">
        <v>1767</v>
      </c>
      <c r="E75" s="79">
        <v>2927</v>
      </c>
      <c r="F75" s="79">
        <v>93095</v>
      </c>
      <c r="H75" s="113">
        <v>26497</v>
      </c>
      <c r="I75" s="113">
        <v>12148</v>
      </c>
      <c r="J75" s="113">
        <v>4046</v>
      </c>
      <c r="K75" s="88">
        <f t="shared" si="93"/>
        <v>1767</v>
      </c>
      <c r="L75" s="113">
        <v>2640</v>
      </c>
      <c r="M75" s="113">
        <v>2645</v>
      </c>
      <c r="N75" s="113">
        <v>6087</v>
      </c>
      <c r="O75" s="87">
        <f t="shared" si="94"/>
        <v>2927</v>
      </c>
      <c r="P75" s="113">
        <v>5510</v>
      </c>
      <c r="Q75" s="113">
        <v>3410</v>
      </c>
      <c r="R75" s="113">
        <v>2210</v>
      </c>
      <c r="S75" s="87">
        <f t="shared" si="95"/>
        <v>93095</v>
      </c>
      <c r="T75" s="113">
        <v>39576</v>
      </c>
      <c r="U75" s="113">
        <v>60116</v>
      </c>
      <c r="W75" s="30"/>
      <c r="X75" s="30"/>
      <c r="Y75" s="30"/>
      <c r="Z75" s="30"/>
      <c r="AA75" s="30"/>
      <c r="AB75" s="30"/>
      <c r="AC75" s="88">
        <f t="shared" si="96"/>
        <v>3410</v>
      </c>
      <c r="AD75" s="88">
        <f t="shared" si="97"/>
        <v>2210</v>
      </c>
      <c r="AE75" s="88">
        <f t="shared" si="98"/>
        <v>93095</v>
      </c>
      <c r="AF75" s="88">
        <f t="shared" si="99"/>
        <v>39576</v>
      </c>
      <c r="AG75" s="88">
        <f t="shared" si="100"/>
        <v>60116</v>
      </c>
      <c r="AH75" s="40"/>
      <c r="AI75" s="70">
        <f t="shared" si="101"/>
        <v>16.629325513196481</v>
      </c>
    </row>
    <row r="76" spans="2:35" ht="12.75" customHeight="1">
      <c r="B76" s="111" t="s">
        <v>168</v>
      </c>
      <c r="C76" s="79">
        <v>0</v>
      </c>
      <c r="D76" s="79">
        <v>1206</v>
      </c>
      <c r="E76" s="79">
        <v>2155</v>
      </c>
      <c r="F76" s="79">
        <v>45897</v>
      </c>
      <c r="H76" s="113">
        <v>14422</v>
      </c>
      <c r="I76" s="113">
        <v>7856</v>
      </c>
      <c r="J76" s="113">
        <v>2995</v>
      </c>
      <c r="K76" s="88">
        <f t="shared" si="93"/>
        <v>1206</v>
      </c>
      <c r="L76" s="113">
        <v>1487</v>
      </c>
      <c r="M76" s="113">
        <v>1837</v>
      </c>
      <c r="N76" s="113">
        <v>3568</v>
      </c>
      <c r="O76" s="87">
        <f t="shared" si="94"/>
        <v>2155</v>
      </c>
      <c r="P76" s="113">
        <v>3776</v>
      </c>
      <c r="Q76" s="113">
        <v>2461</v>
      </c>
      <c r="R76" s="113">
        <v>1641</v>
      </c>
      <c r="S76" s="87">
        <f t="shared" si="95"/>
        <v>45897</v>
      </c>
      <c r="T76" s="113">
        <v>4114</v>
      </c>
      <c r="U76" s="113">
        <v>6371</v>
      </c>
      <c r="W76" s="30"/>
      <c r="X76" s="30"/>
      <c r="Y76" s="30"/>
      <c r="Z76" s="30"/>
      <c r="AA76" s="30"/>
      <c r="AB76" s="30"/>
      <c r="AC76" s="88">
        <f t="shared" si="96"/>
        <v>2461</v>
      </c>
      <c r="AD76" s="88">
        <f t="shared" si="97"/>
        <v>1641</v>
      </c>
      <c r="AE76" s="88">
        <f t="shared" si="98"/>
        <v>45897</v>
      </c>
      <c r="AF76" s="88">
        <f t="shared" si="99"/>
        <v>4114</v>
      </c>
      <c r="AG76" s="88">
        <f t="shared" si="100"/>
        <v>6371</v>
      </c>
      <c r="AH76" s="40"/>
      <c r="AI76" s="70">
        <f t="shared" si="101"/>
        <v>1.5887850467289719</v>
      </c>
    </row>
    <row r="77" spans="2:35" ht="12.75" customHeight="1">
      <c r="B77" s="111" t="s">
        <v>169</v>
      </c>
      <c r="C77" s="79">
        <v>295</v>
      </c>
      <c r="D77" s="79">
        <v>0</v>
      </c>
      <c r="E77" s="79">
        <v>0</v>
      </c>
      <c r="F77" s="79">
        <v>0</v>
      </c>
      <c r="H77" s="113">
        <v>278</v>
      </c>
      <c r="I77" s="113">
        <v>416</v>
      </c>
      <c r="J77" s="113">
        <v>436</v>
      </c>
      <c r="K77" s="88">
        <f t="shared" si="93"/>
        <v>0</v>
      </c>
      <c r="L77" s="113">
        <v>0</v>
      </c>
      <c r="M77" s="113">
        <v>0</v>
      </c>
      <c r="N77" s="113">
        <v>0</v>
      </c>
      <c r="O77" s="87">
        <f t="shared" si="94"/>
        <v>0</v>
      </c>
      <c r="P77" s="113">
        <v>0</v>
      </c>
      <c r="Q77" s="113">
        <v>0</v>
      </c>
      <c r="R77" s="113">
        <v>0</v>
      </c>
      <c r="S77" s="87">
        <f t="shared" si="95"/>
        <v>0</v>
      </c>
      <c r="T77" s="113">
        <v>0</v>
      </c>
      <c r="U77" s="113">
        <v>0</v>
      </c>
      <c r="W77" s="30">
        <f>L77</f>
        <v>0</v>
      </c>
      <c r="X77" s="30">
        <f>M77</f>
        <v>0</v>
      </c>
      <c r="Y77" s="30">
        <f>N77</f>
        <v>0</v>
      </c>
      <c r="Z77" s="30">
        <f>O77</f>
        <v>0</v>
      </c>
      <c r="AA77" s="30">
        <f>P77</f>
        <v>0</v>
      </c>
      <c r="AB77" s="30">
        <f>Q77</f>
        <v>0</v>
      </c>
      <c r="AC77" s="88">
        <f t="shared" si="96"/>
        <v>0</v>
      </c>
      <c r="AD77" s="88">
        <f t="shared" si="97"/>
        <v>0</v>
      </c>
      <c r="AE77" s="88">
        <f t="shared" si="98"/>
        <v>0</v>
      </c>
      <c r="AF77" s="88">
        <f t="shared" si="99"/>
        <v>0</v>
      </c>
      <c r="AG77" s="88">
        <f t="shared" si="100"/>
        <v>0</v>
      </c>
      <c r="AH77" s="40"/>
      <c r="AI77" s="70" t="e">
        <f t="shared" si="101"/>
        <v>#DIV/0!</v>
      </c>
    </row>
    <row r="78" spans="2:35" ht="12.75" customHeight="1">
      <c r="B78" s="12" t="s">
        <v>19</v>
      </c>
      <c r="C78" s="13">
        <f>SUM(C72:C77)+C69</f>
        <v>36433</v>
      </c>
      <c r="D78" s="13">
        <f>SUM(D72:D77)+D69</f>
        <v>53218</v>
      </c>
      <c r="E78" s="13">
        <f>SUM(E72:E77)+E69</f>
        <v>50325</v>
      </c>
      <c r="F78" s="13">
        <f>SUM(F72:F77)+F69</f>
        <v>158198</v>
      </c>
      <c r="H78" s="13">
        <f>SUM(H72:H77)+H69</f>
        <v>81920</v>
      </c>
      <c r="I78" s="13">
        <f>SUM(I72:I77)+I69</f>
        <v>58490</v>
      </c>
      <c r="J78" s="13">
        <f>SUM(J72:J77)+J69</f>
        <v>46781</v>
      </c>
      <c r="K78" s="13">
        <f>SUM(K72:K77)+K69</f>
        <v>53218</v>
      </c>
      <c r="L78" s="13">
        <f>SUM(L72:L77)+L69</f>
        <v>52441</v>
      </c>
      <c r="M78" s="13">
        <f>SUM(M72:M77)+M69</f>
        <v>49205</v>
      </c>
      <c r="N78" s="13">
        <f>SUM(N72:N77)+N69</f>
        <v>52513</v>
      </c>
      <c r="O78" s="13">
        <f>SUM(O72:O77)+O69</f>
        <v>50325</v>
      </c>
      <c r="P78" s="13">
        <f>SUM(P72:P77)+P69</f>
        <v>46538</v>
      </c>
      <c r="Q78" s="13">
        <f>SUM(Q72:Q77)+Q69</f>
        <v>40254</v>
      </c>
      <c r="R78" s="13">
        <f>SUM(R72:R77)+R69</f>
        <v>34412</v>
      </c>
      <c r="S78" s="13">
        <f>SUM(S72:S77)+S69</f>
        <v>158198</v>
      </c>
      <c r="T78" s="13">
        <f>SUM(T72:T77)+T69</f>
        <v>62010</v>
      </c>
      <c r="U78" s="13">
        <f>SUM(U72:U77)+U69</f>
        <v>83427</v>
      </c>
      <c r="W78" s="13">
        <f>SUM(W72:W77)+W69</f>
        <v>30591</v>
      </c>
      <c r="X78" s="13">
        <f>SUM(X72:X77)+X69</f>
        <v>25949</v>
      </c>
      <c r="Y78" s="13">
        <f>SUM(Y72:Y77)+Y69</f>
        <v>24159</v>
      </c>
      <c r="Z78" s="13">
        <f>SUM(Z72:Z77)+Z69</f>
        <v>26439</v>
      </c>
      <c r="AA78" s="13">
        <f>SUM(AA72:AA77)+AA69</f>
        <v>18429</v>
      </c>
      <c r="AB78" s="13">
        <f>SUM(AB72:AB77)+AB69</f>
        <v>15050</v>
      </c>
      <c r="AC78" s="13">
        <f>SUM(AC72:AC77)+AC69</f>
        <v>40254</v>
      </c>
      <c r="AD78" s="13">
        <f>SUM(AD72:AD77)+AD69</f>
        <v>34412</v>
      </c>
      <c r="AE78" s="13">
        <f>SUM(AE72:AE77)+AE69</f>
        <v>158198</v>
      </c>
      <c r="AF78" s="13">
        <f>SUM(AF72:AF77)+AF69</f>
        <v>62010</v>
      </c>
      <c r="AG78" s="13">
        <f>SUM(AG72:AG77)+AG69</f>
        <v>83427</v>
      </c>
      <c r="AH78" s="40"/>
      <c r="AI78" s="71">
        <f>SUM(AG78/AC78)-1</f>
        <v>1.0725145327172454</v>
      </c>
    </row>
    <row r="79" spans="2:35" ht="5.0999999999999996" customHeight="1">
      <c r="B79" s="23"/>
      <c r="C79" s="48"/>
      <c r="D79" s="48"/>
      <c r="E79" s="39"/>
      <c r="F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37"/>
    </row>
    <row r="80" spans="2:35" ht="12.75" customHeight="1">
      <c r="B80" s="9" t="s">
        <v>170</v>
      </c>
      <c r="C80" s="79">
        <v>81523</v>
      </c>
      <c r="D80" s="79">
        <v>0</v>
      </c>
      <c r="E80" s="79">
        <v>0</v>
      </c>
      <c r="F80" s="79">
        <v>0</v>
      </c>
      <c r="H80" s="113">
        <v>0</v>
      </c>
      <c r="I80" s="113">
        <v>0</v>
      </c>
      <c r="J80" s="113">
        <v>0</v>
      </c>
      <c r="K80" s="88">
        <f t="shared" ref="K80:K85" si="105">D80</f>
        <v>0</v>
      </c>
      <c r="L80" s="113">
        <v>0</v>
      </c>
      <c r="M80" s="113">
        <v>0</v>
      </c>
      <c r="N80" s="113">
        <v>0</v>
      </c>
      <c r="O80" s="87">
        <f t="shared" ref="O80:O85" si="106">E80</f>
        <v>0</v>
      </c>
      <c r="P80" s="113">
        <v>0</v>
      </c>
      <c r="Q80" s="113">
        <v>0</v>
      </c>
      <c r="R80" s="113">
        <v>0</v>
      </c>
      <c r="S80" s="87">
        <f t="shared" ref="S80:S85" si="107">F80</f>
        <v>0</v>
      </c>
      <c r="T80" s="113">
        <v>0</v>
      </c>
      <c r="U80" s="113">
        <v>0</v>
      </c>
      <c r="W80" s="30">
        <f>L80</f>
        <v>0</v>
      </c>
      <c r="X80" s="30">
        <f>M80</f>
        <v>0</v>
      </c>
      <c r="Y80" s="30">
        <f>N80</f>
        <v>0</v>
      </c>
      <c r="Z80" s="30">
        <f>O80</f>
        <v>0</v>
      </c>
      <c r="AA80" s="30">
        <f>P80</f>
        <v>0</v>
      </c>
      <c r="AB80" s="30">
        <f>Q80</f>
        <v>0</v>
      </c>
      <c r="AC80" s="88">
        <f t="shared" ref="AC80:AC85" si="108">Q80</f>
        <v>0</v>
      </c>
      <c r="AD80" s="88">
        <f t="shared" ref="AD80:AD85" si="109">R80</f>
        <v>0</v>
      </c>
      <c r="AE80" s="88">
        <f t="shared" ref="AE80:AE85" si="110">S80</f>
        <v>0</v>
      </c>
      <c r="AF80" s="88">
        <f t="shared" ref="AF80:AF85" si="111">T80</f>
        <v>0</v>
      </c>
      <c r="AG80" s="88">
        <f t="shared" ref="AG80:AG85" si="112">U80</f>
        <v>0</v>
      </c>
      <c r="AH80" s="11"/>
      <c r="AI80" s="70" t="e">
        <f t="shared" ref="AI80:AI85" si="113">SUM(AG80/AC80)-1</f>
        <v>#DIV/0!</v>
      </c>
    </row>
    <row r="81" spans="1:35" ht="12.75" customHeight="1">
      <c r="B81" s="9" t="s">
        <v>99</v>
      </c>
      <c r="C81" s="79">
        <v>0</v>
      </c>
      <c r="D81" s="79">
        <v>0</v>
      </c>
      <c r="E81" s="79">
        <v>0</v>
      </c>
      <c r="F81" s="79">
        <v>0</v>
      </c>
      <c r="H81" s="113">
        <v>0</v>
      </c>
      <c r="I81" s="113">
        <v>0</v>
      </c>
      <c r="J81" s="113">
        <v>0</v>
      </c>
      <c r="K81" s="88">
        <f t="shared" si="105"/>
        <v>0</v>
      </c>
      <c r="L81" s="113">
        <v>0</v>
      </c>
      <c r="M81" s="113">
        <v>0</v>
      </c>
      <c r="N81" s="113">
        <v>0</v>
      </c>
      <c r="O81" s="87">
        <f t="shared" si="106"/>
        <v>0</v>
      </c>
      <c r="P81" s="113">
        <v>0</v>
      </c>
      <c r="Q81" s="113">
        <v>0</v>
      </c>
      <c r="R81" s="113">
        <v>0</v>
      </c>
      <c r="S81" s="87">
        <f t="shared" si="107"/>
        <v>0</v>
      </c>
      <c r="T81" s="113">
        <v>0</v>
      </c>
      <c r="U81" s="113">
        <v>0</v>
      </c>
      <c r="W81" s="30"/>
      <c r="X81" s="30"/>
      <c r="Y81" s="30"/>
      <c r="Z81" s="30"/>
      <c r="AA81" s="30"/>
      <c r="AB81" s="30"/>
      <c r="AC81" s="88">
        <f t="shared" si="108"/>
        <v>0</v>
      </c>
      <c r="AD81" s="88">
        <f t="shared" si="109"/>
        <v>0</v>
      </c>
      <c r="AE81" s="88">
        <f t="shared" si="110"/>
        <v>0</v>
      </c>
      <c r="AF81" s="88">
        <f t="shared" si="111"/>
        <v>0</v>
      </c>
      <c r="AG81" s="88">
        <f t="shared" si="112"/>
        <v>0</v>
      </c>
      <c r="AH81" s="11"/>
      <c r="AI81" s="70" t="e">
        <f t="shared" si="113"/>
        <v>#DIV/0!</v>
      </c>
    </row>
    <row r="82" spans="1:35" ht="12.75" customHeight="1">
      <c r="B82" s="9" t="s">
        <v>22</v>
      </c>
      <c r="C82" s="79">
        <v>2</v>
      </c>
      <c r="D82" s="79">
        <v>12</v>
      </c>
      <c r="E82" s="79">
        <v>14</v>
      </c>
      <c r="F82" s="79">
        <v>29</v>
      </c>
      <c r="H82" s="113">
        <v>11</v>
      </c>
      <c r="I82" s="113">
        <v>11</v>
      </c>
      <c r="J82" s="113">
        <v>12</v>
      </c>
      <c r="K82" s="88">
        <f t="shared" si="105"/>
        <v>12</v>
      </c>
      <c r="L82" s="113">
        <v>12</v>
      </c>
      <c r="M82" s="113">
        <v>13</v>
      </c>
      <c r="N82" s="113">
        <v>14</v>
      </c>
      <c r="O82" s="87">
        <f t="shared" si="106"/>
        <v>14</v>
      </c>
      <c r="P82" s="113">
        <v>16</v>
      </c>
      <c r="Q82" s="113">
        <v>17</v>
      </c>
      <c r="R82" s="113">
        <v>19</v>
      </c>
      <c r="S82" s="87">
        <f t="shared" si="107"/>
        <v>29</v>
      </c>
      <c r="T82" s="113">
        <v>29</v>
      </c>
      <c r="U82" s="113">
        <v>32</v>
      </c>
      <c r="W82" s="30"/>
      <c r="X82" s="30"/>
      <c r="Y82" s="30"/>
      <c r="Z82" s="30"/>
      <c r="AA82" s="30"/>
      <c r="AB82" s="30"/>
      <c r="AC82" s="88">
        <f t="shared" si="108"/>
        <v>17</v>
      </c>
      <c r="AD82" s="88">
        <f t="shared" si="109"/>
        <v>19</v>
      </c>
      <c r="AE82" s="88">
        <f t="shared" si="110"/>
        <v>29</v>
      </c>
      <c r="AF82" s="88">
        <f t="shared" si="111"/>
        <v>29</v>
      </c>
      <c r="AG82" s="88">
        <f t="shared" si="112"/>
        <v>32</v>
      </c>
      <c r="AH82" s="11"/>
      <c r="AI82" s="70">
        <f t="shared" si="113"/>
        <v>0.88235294117647056</v>
      </c>
    </row>
    <row r="83" spans="1:35" ht="12.75" customHeight="1">
      <c r="B83" s="9" t="s">
        <v>131</v>
      </c>
      <c r="C83" s="79">
        <v>135549</v>
      </c>
      <c r="D83" s="79">
        <v>429025</v>
      </c>
      <c r="E83" s="79">
        <v>463089</v>
      </c>
      <c r="F83" s="79">
        <v>681202</v>
      </c>
      <c r="H83" s="113">
        <v>388684</v>
      </c>
      <c r="I83" s="113">
        <v>407015</v>
      </c>
      <c r="J83" s="113">
        <v>422200</v>
      </c>
      <c r="K83" s="88">
        <f t="shared" si="105"/>
        <v>429025</v>
      </c>
      <c r="L83" s="113">
        <v>431466</v>
      </c>
      <c r="M83" s="113">
        <v>437320</v>
      </c>
      <c r="N83" s="113">
        <v>453790</v>
      </c>
      <c r="O83" s="87">
        <f t="shared" si="106"/>
        <v>463089</v>
      </c>
      <c r="P83" s="113">
        <v>489955</v>
      </c>
      <c r="Q83" s="113">
        <v>508971</v>
      </c>
      <c r="R83" s="113">
        <v>524351</v>
      </c>
      <c r="S83" s="87">
        <f t="shared" si="107"/>
        <v>681202</v>
      </c>
      <c r="T83" s="113">
        <v>719315</v>
      </c>
      <c r="U83" s="113">
        <v>1104880</v>
      </c>
      <c r="W83" s="30">
        <f>L83</f>
        <v>431466</v>
      </c>
      <c r="X83" s="30">
        <f>M83</f>
        <v>437320</v>
      </c>
      <c r="Y83" s="30">
        <f>N83</f>
        <v>453790</v>
      </c>
      <c r="Z83" s="30">
        <f>O83</f>
        <v>463089</v>
      </c>
      <c r="AA83" s="30">
        <f>P83</f>
        <v>489955</v>
      </c>
      <c r="AB83" s="30">
        <f>Q83</f>
        <v>508971</v>
      </c>
      <c r="AC83" s="88">
        <f t="shared" si="108"/>
        <v>508971</v>
      </c>
      <c r="AD83" s="88">
        <f t="shared" si="109"/>
        <v>524351</v>
      </c>
      <c r="AE83" s="88">
        <f t="shared" si="110"/>
        <v>681202</v>
      </c>
      <c r="AF83" s="88">
        <f t="shared" si="111"/>
        <v>719315</v>
      </c>
      <c r="AG83" s="88">
        <f t="shared" si="112"/>
        <v>1104880</v>
      </c>
      <c r="AH83" s="11"/>
      <c r="AI83" s="70">
        <f t="shared" si="113"/>
        <v>1.1708113035909706</v>
      </c>
    </row>
    <row r="84" spans="1:35" ht="12.75" customHeight="1">
      <c r="B84" s="9" t="s">
        <v>171</v>
      </c>
      <c r="C84" s="79">
        <v>52</v>
      </c>
      <c r="D84" s="79">
        <v>-161</v>
      </c>
      <c r="E84" s="79">
        <v>244</v>
      </c>
      <c r="F84" s="79">
        <v>105</v>
      </c>
      <c r="H84" s="113">
        <v>61</v>
      </c>
      <c r="I84" s="113">
        <v>99</v>
      </c>
      <c r="J84" s="113">
        <v>-527</v>
      </c>
      <c r="K84" s="88">
        <f t="shared" si="105"/>
        <v>-161</v>
      </c>
      <c r="L84" s="113">
        <v>-6</v>
      </c>
      <c r="M84" s="113">
        <v>1</v>
      </c>
      <c r="N84" s="113">
        <v>74</v>
      </c>
      <c r="O84" s="87">
        <f t="shared" si="106"/>
        <v>244</v>
      </c>
      <c r="P84" s="113">
        <v>138</v>
      </c>
      <c r="Q84" s="113">
        <v>123</v>
      </c>
      <c r="R84" s="113">
        <v>254</v>
      </c>
      <c r="S84" s="87">
        <f t="shared" si="107"/>
        <v>105</v>
      </c>
      <c r="T84" s="113">
        <v>-88</v>
      </c>
      <c r="U84" s="113">
        <v>133</v>
      </c>
      <c r="W84" s="30">
        <f>L84</f>
        <v>-6</v>
      </c>
      <c r="X84" s="30">
        <f>M84</f>
        <v>1</v>
      </c>
      <c r="Y84" s="30">
        <f>N84</f>
        <v>74</v>
      </c>
      <c r="Z84" s="30">
        <f>O84</f>
        <v>244</v>
      </c>
      <c r="AA84" s="30">
        <f>P84</f>
        <v>138</v>
      </c>
      <c r="AB84" s="30">
        <f>Q84</f>
        <v>123</v>
      </c>
      <c r="AC84" s="88">
        <f t="shared" si="108"/>
        <v>123</v>
      </c>
      <c r="AD84" s="88">
        <f t="shared" si="109"/>
        <v>254</v>
      </c>
      <c r="AE84" s="88">
        <f t="shared" si="110"/>
        <v>105</v>
      </c>
      <c r="AF84" s="88">
        <f t="shared" si="111"/>
        <v>-88</v>
      </c>
      <c r="AG84" s="88">
        <f t="shared" si="112"/>
        <v>133</v>
      </c>
      <c r="AH84" s="11"/>
      <c r="AI84" s="70">
        <f t="shared" si="113"/>
        <v>8.1300813008130079E-2</v>
      </c>
    </row>
    <row r="85" spans="1:35" ht="12.75" customHeight="1">
      <c r="B85" s="9" t="s">
        <v>132</v>
      </c>
      <c r="C85" s="79">
        <v>-207131</v>
      </c>
      <c r="D85" s="79">
        <v>-278652</v>
      </c>
      <c r="E85" s="79">
        <v>-353759</v>
      </c>
      <c r="F85" s="79">
        <v>-554747</v>
      </c>
      <c r="H85" s="113">
        <v>-224773</v>
      </c>
      <c r="I85" s="113">
        <v>-237025</v>
      </c>
      <c r="J85" s="113">
        <v>-255780</v>
      </c>
      <c r="K85" s="88">
        <f t="shared" si="105"/>
        <v>-278652</v>
      </c>
      <c r="L85" s="113">
        <v>-302006</v>
      </c>
      <c r="M85" s="113">
        <v>-318972</v>
      </c>
      <c r="N85" s="113">
        <v>-341187</v>
      </c>
      <c r="O85" s="87">
        <f t="shared" si="106"/>
        <v>-353759</v>
      </c>
      <c r="P85" s="113">
        <v>-374532</v>
      </c>
      <c r="Q85" s="113">
        <v>-386953</v>
      </c>
      <c r="R85" s="113">
        <v>-401786</v>
      </c>
      <c r="S85" s="87">
        <f t="shared" si="107"/>
        <v>-554747</v>
      </c>
      <c r="T85" s="113">
        <v>-512128</v>
      </c>
      <c r="U85" s="113">
        <v>-551782</v>
      </c>
      <c r="W85" s="30">
        <f>L85</f>
        <v>-302006</v>
      </c>
      <c r="X85" s="30">
        <f>M85</f>
        <v>-318972</v>
      </c>
      <c r="Y85" s="30">
        <f>N85</f>
        <v>-341187</v>
      </c>
      <c r="Z85" s="30">
        <f>O85</f>
        <v>-353759</v>
      </c>
      <c r="AA85" s="30">
        <f>P85</f>
        <v>-374532</v>
      </c>
      <c r="AB85" s="30">
        <f>Q85</f>
        <v>-386953</v>
      </c>
      <c r="AC85" s="88">
        <f t="shared" si="108"/>
        <v>-386953</v>
      </c>
      <c r="AD85" s="88">
        <f t="shared" si="109"/>
        <v>-401786</v>
      </c>
      <c r="AE85" s="88">
        <f t="shared" si="110"/>
        <v>-554747</v>
      </c>
      <c r="AF85" s="88">
        <f t="shared" si="111"/>
        <v>-512128</v>
      </c>
      <c r="AG85" s="88">
        <f t="shared" si="112"/>
        <v>-551782</v>
      </c>
      <c r="AH85" s="11"/>
      <c r="AI85" s="70">
        <f t="shared" si="113"/>
        <v>0.42596646104307245</v>
      </c>
    </row>
    <row r="86" spans="1:35" ht="12.75" customHeight="1">
      <c r="B86" s="12" t="s">
        <v>18</v>
      </c>
      <c r="C86" s="13">
        <f>SUM(C80:C85)</f>
        <v>9995</v>
      </c>
      <c r="D86" s="13">
        <f>SUM(D80:D85)</f>
        <v>150224</v>
      </c>
      <c r="E86" s="13">
        <f>SUM(E80:E85)</f>
        <v>109588</v>
      </c>
      <c r="F86" s="13">
        <f>SUM(F80:F85)</f>
        <v>126589</v>
      </c>
      <c r="G86" s="50"/>
      <c r="H86" s="13">
        <f>SUM(H80:H85)</f>
        <v>163983</v>
      </c>
      <c r="I86" s="13">
        <f>SUM(I80:I85)</f>
        <v>170100</v>
      </c>
      <c r="J86" s="13">
        <f>SUM(J80:J85)</f>
        <v>165905</v>
      </c>
      <c r="K86" s="13">
        <f>SUM(K80:K85)</f>
        <v>150224</v>
      </c>
      <c r="L86" s="13">
        <f>SUM(L80:L85)</f>
        <v>129466</v>
      </c>
      <c r="M86" s="13">
        <f>SUM(M80:M85)</f>
        <v>118362</v>
      </c>
      <c r="N86" s="13">
        <f>SUM(N80:N85)</f>
        <v>112691</v>
      </c>
      <c r="O86" s="13">
        <f>SUM(O80:O85)</f>
        <v>109588</v>
      </c>
      <c r="P86" s="13">
        <f>SUM(P80:P85)</f>
        <v>115577</v>
      </c>
      <c r="Q86" s="13">
        <f>SUM(Q80:Q85)</f>
        <v>122158</v>
      </c>
      <c r="R86" s="13">
        <f>SUM(R80:R85)</f>
        <v>122838</v>
      </c>
      <c r="S86" s="13">
        <f>SUM(S80:S85)</f>
        <v>126589</v>
      </c>
      <c r="T86" s="13">
        <f>SUM(T80:T85)</f>
        <v>207128</v>
      </c>
      <c r="U86" s="13">
        <f>SUM(U80:U85)</f>
        <v>553263</v>
      </c>
      <c r="W86" s="13">
        <f>SUM(W80:W85)</f>
        <v>129454</v>
      </c>
      <c r="X86" s="13">
        <f>SUM(X80:X85)</f>
        <v>118349</v>
      </c>
      <c r="Y86" s="13">
        <f>SUM(Y80:Y85)</f>
        <v>112677</v>
      </c>
      <c r="Z86" s="13">
        <f>SUM(Z80:Z85)</f>
        <v>109574</v>
      </c>
      <c r="AA86" s="13">
        <f>SUM(AA80:AA85)</f>
        <v>115561</v>
      </c>
      <c r="AB86" s="13">
        <f>SUM(AB80:AB85)</f>
        <v>122141</v>
      </c>
      <c r="AC86" s="13">
        <f>SUM(AC80:AC85)</f>
        <v>122158</v>
      </c>
      <c r="AD86" s="13">
        <f>SUM(AD80:AD85)</f>
        <v>122838</v>
      </c>
      <c r="AE86" s="13">
        <f>SUM(AE80:AE85)</f>
        <v>126589</v>
      </c>
      <c r="AF86" s="13">
        <f>SUM(AF80:AF85)</f>
        <v>207128</v>
      </c>
      <c r="AG86" s="13">
        <f>SUM(AG80:AG85)</f>
        <v>553263</v>
      </c>
      <c r="AH86" s="40"/>
      <c r="AI86" s="71">
        <f>SUM(AG86/AC86)-1</f>
        <v>3.5290770968745395</v>
      </c>
    </row>
    <row r="87" spans="1:35" ht="12.75" customHeight="1">
      <c r="B87" s="23" t="s">
        <v>69</v>
      </c>
      <c r="C87" s="30">
        <f>SUM(C86+C78)</f>
        <v>46428</v>
      </c>
      <c r="D87" s="30">
        <f>SUM(D86+D78)</f>
        <v>203442</v>
      </c>
      <c r="E87" s="30">
        <f>SUM(E86+E78)</f>
        <v>159913</v>
      </c>
      <c r="F87" s="30">
        <f>SUM(F86+F78)</f>
        <v>284787</v>
      </c>
      <c r="G87" s="30"/>
      <c r="H87" s="30">
        <f>SUM(H86+H78)</f>
        <v>245903</v>
      </c>
      <c r="I87" s="30">
        <f>SUM(I86+I78)</f>
        <v>228590</v>
      </c>
      <c r="J87" s="30">
        <f>SUM(J86+J78)</f>
        <v>212686</v>
      </c>
      <c r="K87" s="30">
        <f>SUM(K86+K78)</f>
        <v>203442</v>
      </c>
      <c r="L87" s="30">
        <f>SUM(L86+L78)</f>
        <v>181907</v>
      </c>
      <c r="M87" s="30">
        <f>SUM(M86+M78)</f>
        <v>167567</v>
      </c>
      <c r="N87" s="30">
        <f>SUM(N86+N78)</f>
        <v>165204</v>
      </c>
      <c r="O87" s="30">
        <f>SUM(O86+O78)</f>
        <v>159913</v>
      </c>
      <c r="P87" s="30">
        <f>SUM(P86+P78)</f>
        <v>162115</v>
      </c>
      <c r="Q87" s="30">
        <f>SUM(Q86+Q78)</f>
        <v>162412</v>
      </c>
      <c r="R87" s="30">
        <f>SUM(R86+R78)</f>
        <v>157250</v>
      </c>
      <c r="S87" s="30">
        <f>SUM(S86+S78)</f>
        <v>284787</v>
      </c>
      <c r="T87" s="30">
        <f>SUM(T86+T78)</f>
        <v>269138</v>
      </c>
      <c r="U87" s="30">
        <f>SUM(U86+U78)</f>
        <v>636690</v>
      </c>
      <c r="V87" s="30"/>
      <c r="W87" s="30">
        <f>SUM(W86+W78)</f>
        <v>160045</v>
      </c>
      <c r="X87" s="30">
        <f>SUM(X86+X78)</f>
        <v>144298</v>
      </c>
      <c r="Y87" s="30">
        <f>SUM(Y86+Y78)</f>
        <v>136836</v>
      </c>
      <c r="Z87" s="30">
        <f>SUM(Z86+Z78)</f>
        <v>136013</v>
      </c>
      <c r="AA87" s="30">
        <f>SUM(AA86+AA78)</f>
        <v>133990</v>
      </c>
      <c r="AB87" s="30">
        <f>SUM(AB86+AB78)</f>
        <v>137191</v>
      </c>
      <c r="AC87" s="30">
        <f>SUM(AC86+AC78)</f>
        <v>162412</v>
      </c>
      <c r="AD87" s="30">
        <f>SUM(AD86+AD78)</f>
        <v>157250</v>
      </c>
      <c r="AE87" s="30">
        <f>SUM(AE86+AE78)</f>
        <v>284787</v>
      </c>
      <c r="AF87" s="30">
        <f>SUM(AF86+AF78)</f>
        <v>269138</v>
      </c>
      <c r="AG87" s="30">
        <f>SUM(AG86+AG78)</f>
        <v>636690</v>
      </c>
      <c r="AH87" s="11"/>
      <c r="AI87" s="71">
        <f>SUM(AG87/AC87)-1</f>
        <v>2.9202152550304166</v>
      </c>
    </row>
    <row r="88" spans="1:35" ht="5.0999999999999996" customHeight="1">
      <c r="B88" s="23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11"/>
    </row>
    <row r="89" spans="1:35" ht="12.75" customHeight="1">
      <c r="B89" s="64" t="s">
        <v>80</v>
      </c>
      <c r="C89" s="65">
        <f>C87-C60</f>
        <v>0</v>
      </c>
      <c r="D89" s="65">
        <f>D87-D60</f>
        <v>0</v>
      </c>
      <c r="E89" s="65">
        <f>E87-E60</f>
        <v>0</v>
      </c>
      <c r="F89" s="65">
        <f>F87-F60</f>
        <v>0</v>
      </c>
      <c r="G89" s="66"/>
      <c r="H89" s="65">
        <f>H87-H60</f>
        <v>0</v>
      </c>
      <c r="I89" s="65">
        <f>I87-I60</f>
        <v>0</v>
      </c>
      <c r="J89" s="65">
        <f>J87-J60</f>
        <v>1930</v>
      </c>
      <c r="K89" s="65">
        <f>K87-K60</f>
        <v>0</v>
      </c>
      <c r="L89" s="65">
        <f>L87-L60</f>
        <v>0</v>
      </c>
      <c r="M89" s="65">
        <f>M87-M60</f>
        <v>0</v>
      </c>
      <c r="N89" s="65">
        <f>N87-N60</f>
        <v>0</v>
      </c>
      <c r="O89" s="65">
        <f>O87-O60</f>
        <v>0</v>
      </c>
      <c r="P89" s="65">
        <f>P87-P60</f>
        <v>0</v>
      </c>
      <c r="Q89" s="65">
        <f>Q87-Q60</f>
        <v>0</v>
      </c>
      <c r="R89" s="65">
        <f>R87-R60</f>
        <v>0</v>
      </c>
      <c r="S89" s="65">
        <f>S87-S60</f>
        <v>0</v>
      </c>
      <c r="T89" s="65">
        <f>T87-T60</f>
        <v>0</v>
      </c>
      <c r="U89" s="65">
        <f>U87-U60</f>
        <v>0</v>
      </c>
      <c r="V89" s="26"/>
      <c r="W89" s="65">
        <f>W87-W60</f>
        <v>-43019</v>
      </c>
      <c r="X89" s="65">
        <f>X87-X60</f>
        <v>-37224</v>
      </c>
      <c r="Y89" s="65">
        <f>Y87-Y60</f>
        <v>-30209</v>
      </c>
      <c r="Z89" s="65">
        <f>Z87-Z60</f>
        <v>-28794</v>
      </c>
      <c r="AA89" s="65">
        <f>AA87-AA60</f>
        <v>-25621</v>
      </c>
      <c r="AB89" s="65">
        <f>AB87-AB60</f>
        <v>-24557</v>
      </c>
      <c r="AC89" s="65">
        <f>AC87-AC60</f>
        <v>0</v>
      </c>
      <c r="AD89" s="65">
        <f>AD87-AD60</f>
        <v>0</v>
      </c>
      <c r="AE89" s="65">
        <f>AE87-AE60</f>
        <v>0</v>
      </c>
      <c r="AF89" s="65">
        <f>AF87-AF60</f>
        <v>0</v>
      </c>
      <c r="AG89" s="65">
        <f>AG87-AG60</f>
        <v>0</v>
      </c>
    </row>
    <row r="90" spans="1:35" ht="5.0999999999999996" customHeight="1" thickBot="1">
      <c r="B90" s="107"/>
      <c r="C90" s="108"/>
      <c r="D90" s="108"/>
      <c r="E90" s="108"/>
      <c r="F90" s="108"/>
      <c r="G90" s="109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10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8"/>
      <c r="AH90" s="68"/>
      <c r="AI90" s="68"/>
    </row>
    <row r="91" spans="1:35" ht="12.75" customHeight="1">
      <c r="B91" s="125" t="s">
        <v>187</v>
      </c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  <c r="AA91" s="126"/>
      <c r="AB91" s="126"/>
      <c r="AC91" s="126"/>
      <c r="AD91" s="126"/>
      <c r="AE91" s="126"/>
      <c r="AF91" s="126"/>
      <c r="AG91" s="126"/>
      <c r="AH91" s="126"/>
      <c r="AI91" s="126"/>
    </row>
    <row r="92" spans="1:35">
      <c r="B92" s="63"/>
      <c r="C92" s="51"/>
      <c r="D92" s="22"/>
      <c r="E92" s="22"/>
      <c r="F92" s="22"/>
      <c r="G92" s="51"/>
    </row>
    <row r="93" spans="1:35" ht="12.75" customHeight="1">
      <c r="A93" s="5" t="s">
        <v>20</v>
      </c>
      <c r="B93" s="89" t="s">
        <v>17</v>
      </c>
      <c r="C93" s="93"/>
      <c r="D93" s="93" t="s">
        <v>0</v>
      </c>
      <c r="E93" s="93"/>
      <c r="F93" s="93"/>
      <c r="G93" s="94"/>
      <c r="H93" s="93" t="s">
        <v>1</v>
      </c>
      <c r="I93" s="93"/>
      <c r="J93" s="93"/>
      <c r="K93" s="93"/>
      <c r="L93" s="93"/>
      <c r="M93" s="93"/>
      <c r="N93" s="93"/>
      <c r="O93" s="93"/>
      <c r="P93" s="93"/>
      <c r="Q93" s="93"/>
      <c r="R93" s="93" t="s">
        <v>1</v>
      </c>
      <c r="S93" s="93"/>
      <c r="T93" s="93"/>
      <c r="U93" s="93"/>
      <c r="V93" s="89"/>
      <c r="W93" s="93"/>
      <c r="X93" s="93"/>
      <c r="Y93" s="93"/>
      <c r="Z93" s="93"/>
      <c r="AA93" s="93"/>
      <c r="AB93" s="93"/>
      <c r="AC93" s="93" t="s">
        <v>10</v>
      </c>
      <c r="AD93" s="93"/>
      <c r="AE93" s="93"/>
      <c r="AF93" s="93"/>
      <c r="AG93" s="93"/>
      <c r="AH93" s="94"/>
      <c r="AI93" s="124" t="s">
        <v>27</v>
      </c>
    </row>
    <row r="94" spans="1:35" ht="12.75" customHeight="1">
      <c r="B94" s="90" t="str">
        <f>B7</f>
        <v>Fiscal Period</v>
      </c>
      <c r="C94" s="95">
        <f>C7</f>
        <v>2021</v>
      </c>
      <c r="D94" s="95">
        <f>D7</f>
        <v>2022</v>
      </c>
      <c r="E94" s="95">
        <f>E7</f>
        <v>2023</v>
      </c>
      <c r="F94" s="95">
        <f>F7</f>
        <v>2024</v>
      </c>
      <c r="G94" s="94"/>
      <c r="H94" s="95" t="str">
        <f>H7</f>
        <v>1Q22</v>
      </c>
      <c r="I94" s="95" t="str">
        <f>I7</f>
        <v>2Q22</v>
      </c>
      <c r="J94" s="95" t="str">
        <f>J7</f>
        <v>3Q22</v>
      </c>
      <c r="K94" s="95" t="str">
        <f>K7</f>
        <v>4Q22</v>
      </c>
      <c r="L94" s="95" t="str">
        <f>L7</f>
        <v>1Q23</v>
      </c>
      <c r="M94" s="95" t="str">
        <f>M7</f>
        <v>2Q23</v>
      </c>
      <c r="N94" s="95" t="str">
        <f>N7</f>
        <v>3Q23</v>
      </c>
      <c r="O94" s="95" t="str">
        <f>O7</f>
        <v>4Q23</v>
      </c>
      <c r="P94" s="95" t="str">
        <f>P7</f>
        <v>1Q24</v>
      </c>
      <c r="Q94" s="95" t="str">
        <f>Q7</f>
        <v>2Q24</v>
      </c>
      <c r="R94" s="95" t="str">
        <f>R7</f>
        <v>3Q24</v>
      </c>
      <c r="S94" s="95" t="str">
        <f>S7</f>
        <v>4Q24</v>
      </c>
      <c r="T94" s="95" t="str">
        <f>T7</f>
        <v>1Q25</v>
      </c>
      <c r="U94" s="95" t="str">
        <f>U7</f>
        <v>2Q25</v>
      </c>
      <c r="V94" s="95"/>
      <c r="W94" s="95" t="str">
        <f>W7</f>
        <v>4Q22</v>
      </c>
      <c r="X94" s="95" t="str">
        <f>X7</f>
        <v>1Q23</v>
      </c>
      <c r="Y94" s="95" t="str">
        <f>Y7</f>
        <v>2Q23</v>
      </c>
      <c r="Z94" s="95" t="str">
        <f>Z7</f>
        <v>3Q23</v>
      </c>
      <c r="AA94" s="95" t="str">
        <f>AA7</f>
        <v>4Q23</v>
      </c>
      <c r="AB94" s="95" t="str">
        <f>AB7</f>
        <v>1Q24</v>
      </c>
      <c r="AC94" s="95" t="str">
        <f>AC7</f>
        <v>2Q24</v>
      </c>
      <c r="AD94" s="95" t="str">
        <f>AD7</f>
        <v>3Q24</v>
      </c>
      <c r="AE94" s="95" t="str">
        <f>AE7</f>
        <v>4Q24</v>
      </c>
      <c r="AF94" s="95" t="str">
        <f>AF7</f>
        <v>1Q25</v>
      </c>
      <c r="AG94" s="95" t="str">
        <f>AG7</f>
        <v>2Q25</v>
      </c>
      <c r="AH94" s="94"/>
      <c r="AI94" s="124"/>
    </row>
    <row r="95" spans="1:35" ht="12.75" customHeight="1">
      <c r="B95" s="90" t="str">
        <f>B8</f>
        <v>Fiscal Period End Date</v>
      </c>
      <c r="C95" s="96">
        <f>C8</f>
        <v>44561</v>
      </c>
      <c r="D95" s="96">
        <f>D8</f>
        <v>44926</v>
      </c>
      <c r="E95" s="96">
        <f>E8</f>
        <v>45291</v>
      </c>
      <c r="F95" s="96">
        <f>F8</f>
        <v>45657</v>
      </c>
      <c r="G95" s="94"/>
      <c r="H95" s="96">
        <f>H8</f>
        <v>44651</v>
      </c>
      <c r="I95" s="96">
        <f>I8</f>
        <v>44742</v>
      </c>
      <c r="J95" s="96">
        <f>J8</f>
        <v>44834</v>
      </c>
      <c r="K95" s="96">
        <f>K8</f>
        <v>44926</v>
      </c>
      <c r="L95" s="96">
        <f>L8</f>
        <v>45016</v>
      </c>
      <c r="M95" s="96">
        <f>M8</f>
        <v>45107</v>
      </c>
      <c r="N95" s="96">
        <f>N8</f>
        <v>45199</v>
      </c>
      <c r="O95" s="96">
        <f>O8</f>
        <v>45291</v>
      </c>
      <c r="P95" s="96">
        <f>P8</f>
        <v>45382</v>
      </c>
      <c r="Q95" s="96">
        <f>Q8</f>
        <v>45473</v>
      </c>
      <c r="R95" s="96">
        <f>R8</f>
        <v>45565</v>
      </c>
      <c r="S95" s="96">
        <f>S8</f>
        <v>45657</v>
      </c>
      <c r="T95" s="96">
        <f>T8</f>
        <v>45747</v>
      </c>
      <c r="U95" s="96">
        <f>U8</f>
        <v>45838</v>
      </c>
      <c r="V95" s="96"/>
      <c r="W95" s="96">
        <f>W8</f>
        <v>44926</v>
      </c>
      <c r="X95" s="96">
        <f>X8</f>
        <v>45016</v>
      </c>
      <c r="Y95" s="96">
        <f>Y8</f>
        <v>45107</v>
      </c>
      <c r="Z95" s="96">
        <f>Z8</f>
        <v>45199</v>
      </c>
      <c r="AA95" s="96">
        <f>AA8</f>
        <v>45291</v>
      </c>
      <c r="AB95" s="96">
        <f>AB8</f>
        <v>45382</v>
      </c>
      <c r="AC95" s="96">
        <f>AC8</f>
        <v>45473</v>
      </c>
      <c r="AD95" s="96">
        <f>AD8</f>
        <v>45565</v>
      </c>
      <c r="AE95" s="96">
        <f>AE8</f>
        <v>45657</v>
      </c>
      <c r="AF95" s="96">
        <f>AF8</f>
        <v>45747</v>
      </c>
      <c r="AG95" s="96">
        <f>AG8</f>
        <v>45838</v>
      </c>
      <c r="AH95" s="94"/>
      <c r="AI95" s="124"/>
    </row>
    <row r="96" spans="1:35" ht="5.0999999999999996" customHeight="1">
      <c r="B96" s="52"/>
      <c r="C96" s="46"/>
      <c r="D96" s="46"/>
      <c r="E96" s="46"/>
      <c r="F96" s="46"/>
    </row>
    <row r="97" spans="2:35" ht="12.75" customHeight="1">
      <c r="B97" s="53" t="s">
        <v>70</v>
      </c>
      <c r="C97" s="54"/>
      <c r="D97" s="54"/>
      <c r="E97" s="54"/>
      <c r="F97" s="54"/>
    </row>
    <row r="98" spans="2:35" ht="12.75" customHeight="1">
      <c r="B98" s="55" t="s">
        <v>71</v>
      </c>
      <c r="C98" s="30">
        <f>C33</f>
        <v>-38241</v>
      </c>
      <c r="D98" s="30">
        <f>D33</f>
        <v>-71521</v>
      </c>
      <c r="E98" s="30">
        <f>E33</f>
        <v>-75107</v>
      </c>
      <c r="F98" s="30">
        <f>F33</f>
        <v>-200988</v>
      </c>
      <c r="G98" s="30"/>
      <c r="H98" s="30">
        <f>H33</f>
        <v>-10470</v>
      </c>
      <c r="I98" s="105">
        <f>I33</f>
        <v>-9974</v>
      </c>
      <c r="J98" s="30">
        <f>J33</f>
        <v>-18755</v>
      </c>
      <c r="K98" s="30">
        <f>K33</f>
        <v>-32322</v>
      </c>
      <c r="L98" s="30">
        <f>L33</f>
        <v>-23354</v>
      </c>
      <c r="M98" s="105">
        <f>M33</f>
        <v>-16966</v>
      </c>
      <c r="N98" s="30">
        <f>N33</f>
        <v>-22215</v>
      </c>
      <c r="O98" s="30">
        <f t="shared" ref="O98" si="114">SUM(E98-SUM(L98:N98))</f>
        <v>-12572</v>
      </c>
      <c r="P98" s="30">
        <f>P33</f>
        <v>-20773</v>
      </c>
      <c r="Q98" s="30">
        <f>Q33</f>
        <v>-12421</v>
      </c>
      <c r="R98" s="30">
        <f>R33</f>
        <v>-14833</v>
      </c>
      <c r="S98" s="30">
        <f>SUM(F98-SUM(P98:R98))</f>
        <v>-152961</v>
      </c>
      <c r="T98" s="30">
        <f>T33</f>
        <v>42619</v>
      </c>
      <c r="U98" s="30">
        <f>U33</f>
        <v>-39654</v>
      </c>
      <c r="W98" s="30">
        <f>SUM(I98:L98)</f>
        <v>-84405</v>
      </c>
      <c r="X98" s="30">
        <f>SUM(J98:M98)</f>
        <v>-91397</v>
      </c>
      <c r="Y98" s="30">
        <f>SUM(K98:N98)</f>
        <v>-94857</v>
      </c>
      <c r="Z98" s="30">
        <f>SUM(L98:O98)</f>
        <v>-75107</v>
      </c>
      <c r="AA98" s="30">
        <f>SUM(M98:P98)</f>
        <v>-72526</v>
      </c>
      <c r="AB98" s="30">
        <f>SUM(N98:Q98)</f>
        <v>-67981</v>
      </c>
      <c r="AC98" s="30">
        <f t="shared" ref="AC98" si="115">SUM(N98:Q98)</f>
        <v>-67981</v>
      </c>
      <c r="AD98" s="30">
        <f t="shared" ref="AD98" si="116">SUM(O98:R98)</f>
        <v>-60599</v>
      </c>
      <c r="AE98" s="30">
        <f t="shared" ref="AE98" si="117">SUM(P98:S98)</f>
        <v>-200988</v>
      </c>
      <c r="AF98" s="30">
        <f t="shared" ref="AF98" si="118">SUM(Q98:T98)</f>
        <v>-137596</v>
      </c>
      <c r="AG98" s="30">
        <f>SUM(R98:U98)</f>
        <v>-164829</v>
      </c>
      <c r="AH98" s="11"/>
      <c r="AI98" s="70">
        <f>SUM(AG98/AC98)-1</f>
        <v>1.4246333534369899</v>
      </c>
    </row>
    <row r="99" spans="2:35" ht="5.0999999999999996" customHeight="1"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11"/>
      <c r="AI99" s="70"/>
    </row>
    <row r="100" spans="2:35" ht="12.75" customHeight="1">
      <c r="B100" s="34" t="s">
        <v>79</v>
      </c>
      <c r="C100" s="30"/>
      <c r="D100" s="30"/>
      <c r="E100" s="30"/>
      <c r="F100" s="30"/>
      <c r="G100" s="30"/>
      <c r="H100" s="30"/>
      <c r="I100" s="30"/>
      <c r="J100" s="30"/>
      <c r="K100" s="30"/>
      <c r="L100" s="79"/>
      <c r="M100" s="79"/>
      <c r="N100" s="79"/>
      <c r="O100" s="30"/>
      <c r="P100" s="79"/>
      <c r="Q100" s="79"/>
      <c r="R100" s="79"/>
      <c r="S100" s="30"/>
      <c r="T100" s="79"/>
      <c r="U100" s="79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57"/>
      <c r="AI100" s="70"/>
    </row>
    <row r="101" spans="2:35" ht="12.75" customHeight="1">
      <c r="B101" s="58" t="s">
        <v>72</v>
      </c>
      <c r="C101" s="79">
        <v>4651</v>
      </c>
      <c r="D101" s="79">
        <v>7017</v>
      </c>
      <c r="E101" s="79">
        <v>7426</v>
      </c>
      <c r="F101" s="79">
        <v>6906</v>
      </c>
      <c r="G101" s="30"/>
      <c r="H101" s="79">
        <v>1390</v>
      </c>
      <c r="I101" s="30">
        <f>2978-H101</f>
        <v>1588</v>
      </c>
      <c r="J101" s="30">
        <f>4801-I101-H101</f>
        <v>1823</v>
      </c>
      <c r="K101" s="30">
        <f>SUM(D101-SUM(H101:J101))</f>
        <v>2216</v>
      </c>
      <c r="L101" s="79">
        <v>2089</v>
      </c>
      <c r="M101" s="30">
        <f>4249-L101</f>
        <v>2160</v>
      </c>
      <c r="N101" s="30">
        <f>6381-M101-L101</f>
        <v>2132</v>
      </c>
      <c r="O101" s="30">
        <f t="shared" ref="O101:O112" si="119">SUM(E101-SUM(L101:N101))</f>
        <v>1045</v>
      </c>
      <c r="P101" s="79">
        <v>1787</v>
      </c>
      <c r="Q101" s="30">
        <f>3334-P101</f>
        <v>1547</v>
      </c>
      <c r="R101" s="30">
        <f>5155-Q101-P101</f>
        <v>1821</v>
      </c>
      <c r="S101" s="30">
        <f t="shared" ref="S101:S112" si="120">SUM(F101-SUM(P101:R101))</f>
        <v>1751</v>
      </c>
      <c r="T101" s="79">
        <v>1829</v>
      </c>
      <c r="U101" s="30">
        <f>3723-T101</f>
        <v>1894</v>
      </c>
      <c r="W101" s="30">
        <f>SUM(I101:L101)</f>
        <v>7716</v>
      </c>
      <c r="X101" s="30">
        <f>SUM(J101:M101)</f>
        <v>8288</v>
      </c>
      <c r="Y101" s="30">
        <f>SUM(K101:N101)</f>
        <v>8597</v>
      </c>
      <c r="Z101" s="30">
        <f>SUM(L101:O101)</f>
        <v>7426</v>
      </c>
      <c r="AA101" s="30">
        <f>SUM(M101:P101)</f>
        <v>7124</v>
      </c>
      <c r="AB101" s="30">
        <f>SUM(N101:Q101)</f>
        <v>6511</v>
      </c>
      <c r="AC101" s="30">
        <f t="shared" ref="AC101" si="121">SUM(N101:Q101)</f>
        <v>6511</v>
      </c>
      <c r="AD101" s="30">
        <f t="shared" ref="AD101" si="122">SUM(O101:R101)</f>
        <v>6200</v>
      </c>
      <c r="AE101" s="30">
        <f t="shared" ref="AE101" si="123">SUM(P101:S101)</f>
        <v>6906</v>
      </c>
      <c r="AF101" s="30">
        <f t="shared" ref="AF101" si="124">SUM(Q101:T101)</f>
        <v>6948</v>
      </c>
      <c r="AG101" s="30">
        <f>SUM(R101:U101)</f>
        <v>7295</v>
      </c>
      <c r="AH101" s="11"/>
      <c r="AI101" s="70">
        <f t="shared" ref="AI101:AI115" si="125">SUM(AG101/AC101)-1</f>
        <v>0.1204116111196436</v>
      </c>
    </row>
    <row r="102" spans="2:35" ht="12.75" customHeight="1">
      <c r="B102" s="58" t="s">
        <v>133</v>
      </c>
      <c r="C102" s="79">
        <v>1765</v>
      </c>
      <c r="D102" s="79">
        <v>44812</v>
      </c>
      <c r="E102" s="79">
        <v>12409</v>
      </c>
      <c r="F102" s="79">
        <v>13069</v>
      </c>
      <c r="G102" s="30"/>
      <c r="H102" s="79">
        <v>11481</v>
      </c>
      <c r="I102" s="30">
        <f>22522-H102</f>
        <v>11041</v>
      </c>
      <c r="J102" s="30">
        <f>37643-I102-H102</f>
        <v>15121</v>
      </c>
      <c r="K102" s="30">
        <f t="shared" ref="K102:K112" si="126">SUM(D102-SUM(H102:J102))</f>
        <v>7169</v>
      </c>
      <c r="L102" s="79">
        <v>1703</v>
      </c>
      <c r="M102" s="30">
        <f>5058-L102</f>
        <v>3355</v>
      </c>
      <c r="N102" s="30">
        <f>8727-M102-L102</f>
        <v>3669</v>
      </c>
      <c r="O102" s="30">
        <f t="shared" si="119"/>
        <v>3682</v>
      </c>
      <c r="P102" s="79">
        <v>2991</v>
      </c>
      <c r="Q102" s="30">
        <f>6278-P102</f>
        <v>3287</v>
      </c>
      <c r="R102" s="30">
        <f>9705-Q102-P102</f>
        <v>3427</v>
      </c>
      <c r="S102" s="30">
        <f t="shared" si="120"/>
        <v>3364</v>
      </c>
      <c r="T102" s="79">
        <v>4174</v>
      </c>
      <c r="U102" s="30">
        <f>7728-T102</f>
        <v>3554</v>
      </c>
      <c r="W102" s="30">
        <f>SUM(I102:L102)</f>
        <v>35034</v>
      </c>
      <c r="X102" s="30">
        <f>SUM(J102:M102)</f>
        <v>27348</v>
      </c>
      <c r="Y102" s="30">
        <f>SUM(K102:N102)</f>
        <v>15896</v>
      </c>
      <c r="Z102" s="30">
        <f>SUM(L102:O102)</f>
        <v>12409</v>
      </c>
      <c r="AA102" s="30">
        <f>SUM(M102:P102)</f>
        <v>13697</v>
      </c>
      <c r="AB102" s="30">
        <f>SUM(N102:Q102)</f>
        <v>13629</v>
      </c>
      <c r="AC102" s="30">
        <f t="shared" ref="AC102:AC112" si="127">SUM(N102:Q102)</f>
        <v>13629</v>
      </c>
      <c r="AD102" s="30">
        <f t="shared" ref="AD102:AD112" si="128">SUM(O102:R102)</f>
        <v>13387</v>
      </c>
      <c r="AE102" s="30">
        <f t="shared" ref="AE102:AE112" si="129">SUM(P102:S102)</f>
        <v>13069</v>
      </c>
      <c r="AF102" s="30">
        <f t="shared" ref="AF102:AF112" si="130">SUM(Q102:T102)</f>
        <v>14252</v>
      </c>
      <c r="AG102" s="30">
        <f t="shared" ref="AG102:AG112" si="131">SUM(R102:U102)</f>
        <v>14519</v>
      </c>
      <c r="AH102" s="11"/>
      <c r="AI102" s="70">
        <f t="shared" si="125"/>
        <v>6.5301929708709405E-2</v>
      </c>
    </row>
    <row r="103" spans="2:35" ht="12.75" customHeight="1">
      <c r="B103" s="58" t="s">
        <v>156</v>
      </c>
      <c r="C103" s="79">
        <v>0</v>
      </c>
      <c r="D103" s="79">
        <v>-19207</v>
      </c>
      <c r="E103" s="79">
        <v>949</v>
      </c>
      <c r="F103" s="79">
        <v>43742</v>
      </c>
      <c r="G103" s="30"/>
      <c r="H103" s="79">
        <v>-9634</v>
      </c>
      <c r="I103" s="30">
        <f>-17658-H103</f>
        <v>-8024</v>
      </c>
      <c r="J103" s="30">
        <f>-17418-I103-H103</f>
        <v>240</v>
      </c>
      <c r="K103" s="30">
        <f t="shared" si="126"/>
        <v>-1789</v>
      </c>
      <c r="L103" s="79">
        <v>281</v>
      </c>
      <c r="M103" s="30">
        <f>631-L103</f>
        <v>350</v>
      </c>
      <c r="N103" s="30">
        <f>2362-M103-L103</f>
        <v>1731</v>
      </c>
      <c r="O103" s="30">
        <f t="shared" si="119"/>
        <v>-1413</v>
      </c>
      <c r="P103" s="79">
        <v>1621</v>
      </c>
      <c r="Q103" s="30">
        <f>306-P103</f>
        <v>-1315</v>
      </c>
      <c r="R103" s="30">
        <f>-514-Q103-P103</f>
        <v>-820</v>
      </c>
      <c r="S103" s="30">
        <f t="shared" si="120"/>
        <v>44256</v>
      </c>
      <c r="T103" s="79">
        <v>-8837</v>
      </c>
      <c r="U103" s="30">
        <f>-6580-T103</f>
        <v>2257</v>
      </c>
      <c r="W103" s="30">
        <f>SUM(I103:L103)</f>
        <v>-9292</v>
      </c>
      <c r="X103" s="30">
        <f>SUM(J103:M103)</f>
        <v>-918</v>
      </c>
      <c r="Y103" s="30">
        <f>SUM(K103:N103)</f>
        <v>573</v>
      </c>
      <c r="Z103" s="30">
        <f>SUM(L103:O103)</f>
        <v>949</v>
      </c>
      <c r="AA103" s="30">
        <f>SUM(M103:P103)</f>
        <v>2289</v>
      </c>
      <c r="AB103" s="30">
        <f>SUM(N103:Q103)</f>
        <v>624</v>
      </c>
      <c r="AC103" s="30">
        <f t="shared" si="127"/>
        <v>624</v>
      </c>
      <c r="AD103" s="30">
        <f t="shared" si="128"/>
        <v>-1927</v>
      </c>
      <c r="AE103" s="30">
        <f t="shared" si="129"/>
        <v>43742</v>
      </c>
      <c r="AF103" s="30">
        <f t="shared" si="130"/>
        <v>33284</v>
      </c>
      <c r="AG103" s="30">
        <f t="shared" si="131"/>
        <v>36856</v>
      </c>
      <c r="AH103" s="11"/>
      <c r="AI103" s="70">
        <f t="shared" si="125"/>
        <v>58.064102564102562</v>
      </c>
    </row>
    <row r="104" spans="2:35" ht="12.75" customHeight="1">
      <c r="B104" s="58" t="s">
        <v>155</v>
      </c>
      <c r="C104" s="79">
        <v>1664</v>
      </c>
      <c r="D104" s="79">
        <v>-22132</v>
      </c>
      <c r="E104" s="79">
        <v>1160</v>
      </c>
      <c r="F104" s="79">
        <v>90168</v>
      </c>
      <c r="G104" s="30"/>
      <c r="H104" s="79">
        <v>-5822</v>
      </c>
      <c r="I104" s="30">
        <f>-14509-H104</f>
        <v>-8687</v>
      </c>
      <c r="J104" s="30">
        <f>-19853-I104-H104</f>
        <v>-5344</v>
      </c>
      <c r="K104" s="30">
        <f t="shared" si="126"/>
        <v>-2279</v>
      </c>
      <c r="L104" s="79">
        <v>873</v>
      </c>
      <c r="M104" s="30">
        <f>878-L104</f>
        <v>5</v>
      </c>
      <c r="N104" s="30">
        <f>4320-M104-L104</f>
        <v>3442</v>
      </c>
      <c r="O104" s="30">
        <f t="shared" si="119"/>
        <v>-3160</v>
      </c>
      <c r="P104" s="79">
        <v>2583</v>
      </c>
      <c r="Q104" s="30">
        <f>483-P104</f>
        <v>-2100</v>
      </c>
      <c r="R104" s="30">
        <f>-717-Q104-P104</f>
        <v>-1200</v>
      </c>
      <c r="S104" s="30">
        <f t="shared" si="120"/>
        <v>90885</v>
      </c>
      <c r="T104" s="79">
        <v>-53262</v>
      </c>
      <c r="U104" s="30">
        <f>-32705-T104</f>
        <v>20557</v>
      </c>
      <c r="W104" s="30">
        <f>SUM(I104:L104)</f>
        <v>-15437</v>
      </c>
      <c r="X104" s="30">
        <f>SUM(J104:M104)</f>
        <v>-6745</v>
      </c>
      <c r="Y104" s="30">
        <f>SUM(K104:N104)</f>
        <v>2041</v>
      </c>
      <c r="Z104" s="30">
        <f>SUM(L104:O104)</f>
        <v>1160</v>
      </c>
      <c r="AA104" s="30">
        <f>SUM(M104:P104)</f>
        <v>2870</v>
      </c>
      <c r="AB104" s="30">
        <f>SUM(N104:Q104)</f>
        <v>765</v>
      </c>
      <c r="AC104" s="30">
        <f t="shared" si="127"/>
        <v>765</v>
      </c>
      <c r="AD104" s="30">
        <f t="shared" si="128"/>
        <v>-3877</v>
      </c>
      <c r="AE104" s="30">
        <f t="shared" si="129"/>
        <v>90168</v>
      </c>
      <c r="AF104" s="30">
        <f t="shared" si="130"/>
        <v>34323</v>
      </c>
      <c r="AG104" s="30">
        <f t="shared" si="131"/>
        <v>56980</v>
      </c>
      <c r="AH104" s="11"/>
      <c r="AI104" s="70">
        <f t="shared" si="125"/>
        <v>73.48366013071896</v>
      </c>
    </row>
    <row r="105" spans="2:35" ht="12.75" customHeight="1">
      <c r="B105" s="58" t="s">
        <v>172</v>
      </c>
      <c r="C105" s="79">
        <v>230</v>
      </c>
      <c r="D105" s="79">
        <v>-5764</v>
      </c>
      <c r="E105" s="79">
        <v>2229</v>
      </c>
      <c r="F105" s="79">
        <v>0</v>
      </c>
      <c r="G105" s="30"/>
      <c r="H105" s="79">
        <v>-2970</v>
      </c>
      <c r="I105" s="30">
        <f>-5077-H105</f>
        <v>-2107</v>
      </c>
      <c r="J105" s="30">
        <f>-5465-I105-H105</f>
        <v>-388</v>
      </c>
      <c r="K105" s="30">
        <f t="shared" si="126"/>
        <v>-299</v>
      </c>
      <c r="L105" s="79">
        <v>1100</v>
      </c>
      <c r="M105" s="30">
        <f>1144-L105</f>
        <v>44</v>
      </c>
      <c r="N105" s="30">
        <f>2229-M105-L105</f>
        <v>1085</v>
      </c>
      <c r="O105" s="30">
        <f t="shared" si="119"/>
        <v>0</v>
      </c>
      <c r="P105" s="79"/>
      <c r="Q105" s="30"/>
      <c r="R105" s="30">
        <v>0</v>
      </c>
      <c r="S105" s="30">
        <f t="shared" si="120"/>
        <v>0</v>
      </c>
      <c r="T105" s="79">
        <v>0</v>
      </c>
      <c r="U105" s="30">
        <v>0</v>
      </c>
      <c r="W105" s="30"/>
      <c r="X105" s="30"/>
      <c r="Y105" s="30"/>
      <c r="Z105" s="30"/>
      <c r="AA105" s="30"/>
      <c r="AB105" s="30"/>
      <c r="AC105" s="30">
        <f t="shared" si="127"/>
        <v>1085</v>
      </c>
      <c r="AD105" s="30">
        <f t="shared" si="128"/>
        <v>0</v>
      </c>
      <c r="AE105" s="30">
        <f t="shared" si="129"/>
        <v>0</v>
      </c>
      <c r="AF105" s="30">
        <f t="shared" si="130"/>
        <v>0</v>
      </c>
      <c r="AG105" s="30">
        <f t="shared" si="131"/>
        <v>0</v>
      </c>
      <c r="AH105" s="11"/>
      <c r="AI105" s="70">
        <f t="shared" si="125"/>
        <v>-1</v>
      </c>
    </row>
    <row r="106" spans="2:35" ht="12.75" customHeight="1">
      <c r="B106" s="58" t="s">
        <v>173</v>
      </c>
      <c r="C106" s="79">
        <v>0</v>
      </c>
      <c r="D106" s="79">
        <v>0</v>
      </c>
      <c r="E106" s="79">
        <v>836</v>
      </c>
      <c r="F106" s="79">
        <v>0</v>
      </c>
      <c r="G106" s="30"/>
      <c r="H106" s="79">
        <v>0</v>
      </c>
      <c r="I106" s="30">
        <v>0</v>
      </c>
      <c r="J106" s="30">
        <v>0</v>
      </c>
      <c r="K106" s="30">
        <f t="shared" si="126"/>
        <v>0</v>
      </c>
      <c r="L106" s="79">
        <v>742</v>
      </c>
      <c r="M106" s="30">
        <f>836-L106</f>
        <v>94</v>
      </c>
      <c r="N106" s="30">
        <f>836-M106-L106</f>
        <v>0</v>
      </c>
      <c r="O106" s="30">
        <f t="shared" si="119"/>
        <v>0</v>
      </c>
      <c r="P106" s="79"/>
      <c r="Q106" s="30"/>
      <c r="R106" s="30">
        <v>0</v>
      </c>
      <c r="S106" s="30">
        <f t="shared" si="120"/>
        <v>0</v>
      </c>
      <c r="T106" s="79">
        <v>0</v>
      </c>
      <c r="U106" s="30">
        <v>0</v>
      </c>
      <c r="W106" s="30"/>
      <c r="X106" s="30"/>
      <c r="Y106" s="30"/>
      <c r="Z106" s="30"/>
      <c r="AA106" s="30"/>
      <c r="AB106" s="30"/>
      <c r="AC106" s="30">
        <f t="shared" si="127"/>
        <v>0</v>
      </c>
      <c r="AD106" s="30">
        <f t="shared" si="128"/>
        <v>0</v>
      </c>
      <c r="AE106" s="30">
        <f t="shared" si="129"/>
        <v>0</v>
      </c>
      <c r="AF106" s="30">
        <f t="shared" si="130"/>
        <v>0</v>
      </c>
      <c r="AG106" s="30">
        <f t="shared" si="131"/>
        <v>0</v>
      </c>
      <c r="AH106" s="11"/>
      <c r="AI106" s="70" t="e">
        <f t="shared" si="125"/>
        <v>#DIV/0!</v>
      </c>
    </row>
    <row r="107" spans="2:35" ht="12.75" customHeight="1">
      <c r="B107" s="58" t="s">
        <v>174</v>
      </c>
      <c r="C107" s="79">
        <v>0</v>
      </c>
      <c r="D107" s="79">
        <v>-949</v>
      </c>
      <c r="E107" s="79">
        <v>-3121</v>
      </c>
      <c r="F107" s="79">
        <v>-3622</v>
      </c>
      <c r="G107" s="30"/>
      <c r="H107" s="79">
        <v>0</v>
      </c>
      <c r="I107" s="30">
        <v>0</v>
      </c>
      <c r="J107" s="30">
        <f>-356-I107-H107</f>
        <v>-356</v>
      </c>
      <c r="K107" s="30">
        <f t="shared" si="126"/>
        <v>-593</v>
      </c>
      <c r="L107" s="79">
        <v>-506</v>
      </c>
      <c r="M107" s="30">
        <f>-1571-L107</f>
        <v>-1065</v>
      </c>
      <c r="N107" s="30">
        <f>-2310-M107-L107</f>
        <v>-739</v>
      </c>
      <c r="O107" s="30">
        <f t="shared" si="119"/>
        <v>-811</v>
      </c>
      <c r="P107" s="79">
        <v>-855</v>
      </c>
      <c r="Q107" s="30">
        <f>-1776-P107</f>
        <v>-921</v>
      </c>
      <c r="R107" s="30">
        <f>-2752-Q107-P107</f>
        <v>-976</v>
      </c>
      <c r="S107" s="30">
        <f t="shared" si="120"/>
        <v>-870</v>
      </c>
      <c r="T107" s="79">
        <v>-1423</v>
      </c>
      <c r="U107" s="30">
        <f>-3396-T107</f>
        <v>-1973</v>
      </c>
      <c r="W107" s="30"/>
      <c r="X107" s="30"/>
      <c r="Y107" s="30"/>
      <c r="Z107" s="30"/>
      <c r="AA107" s="30"/>
      <c r="AB107" s="30"/>
      <c r="AC107" s="30">
        <f t="shared" si="127"/>
        <v>-3326</v>
      </c>
      <c r="AD107" s="30">
        <f t="shared" si="128"/>
        <v>-3563</v>
      </c>
      <c r="AE107" s="30">
        <f t="shared" si="129"/>
        <v>-3622</v>
      </c>
      <c r="AF107" s="30">
        <f t="shared" si="130"/>
        <v>-4190</v>
      </c>
      <c r="AG107" s="30">
        <f t="shared" si="131"/>
        <v>-5242</v>
      </c>
      <c r="AH107" s="11"/>
      <c r="AI107" s="70">
        <f t="shared" si="125"/>
        <v>0.57606734816596505</v>
      </c>
    </row>
    <row r="108" spans="2:35" ht="12.75" customHeight="1">
      <c r="B108" s="58" t="s">
        <v>190</v>
      </c>
      <c r="C108" s="79">
        <v>0</v>
      </c>
      <c r="D108" s="79">
        <v>0</v>
      </c>
      <c r="E108" s="79">
        <v>0</v>
      </c>
      <c r="F108" s="79">
        <v>426</v>
      </c>
      <c r="G108" s="30"/>
      <c r="H108" s="79">
        <v>0</v>
      </c>
      <c r="I108" s="30">
        <v>0</v>
      </c>
      <c r="J108" s="30">
        <v>0</v>
      </c>
      <c r="K108" s="30">
        <f t="shared" si="126"/>
        <v>0</v>
      </c>
      <c r="L108" s="79">
        <v>0</v>
      </c>
      <c r="M108" s="30">
        <v>0</v>
      </c>
      <c r="N108" s="30">
        <v>0</v>
      </c>
      <c r="O108" s="30">
        <f t="shared" si="119"/>
        <v>0</v>
      </c>
      <c r="P108" s="79">
        <v>0</v>
      </c>
      <c r="Q108" s="30">
        <v>0</v>
      </c>
      <c r="R108" s="30">
        <v>0</v>
      </c>
      <c r="S108" s="30">
        <f t="shared" si="120"/>
        <v>426</v>
      </c>
      <c r="T108" s="79">
        <v>0</v>
      </c>
      <c r="U108" s="30">
        <v>0</v>
      </c>
      <c r="W108" s="30"/>
      <c r="X108" s="30"/>
      <c r="Y108" s="30"/>
      <c r="Z108" s="30"/>
      <c r="AA108" s="30"/>
      <c r="AB108" s="30"/>
      <c r="AC108" s="30">
        <f t="shared" si="127"/>
        <v>0</v>
      </c>
      <c r="AD108" s="30">
        <f t="shared" si="128"/>
        <v>0</v>
      </c>
      <c r="AE108" s="30">
        <f t="shared" si="129"/>
        <v>426</v>
      </c>
      <c r="AF108" s="30">
        <f t="shared" si="130"/>
        <v>426</v>
      </c>
      <c r="AG108" s="30">
        <f t="shared" si="131"/>
        <v>426</v>
      </c>
      <c r="AH108" s="11"/>
      <c r="AI108" s="70" t="e">
        <f t="shared" si="125"/>
        <v>#DIV/0!</v>
      </c>
    </row>
    <row r="109" spans="2:35" ht="12.75" customHeight="1">
      <c r="B109" s="58" t="s">
        <v>175</v>
      </c>
      <c r="C109" s="79">
        <v>729</v>
      </c>
      <c r="D109" s="79">
        <v>1468</v>
      </c>
      <c r="E109" s="79">
        <v>1453</v>
      </c>
      <c r="F109" s="79">
        <v>844</v>
      </c>
      <c r="G109" s="30"/>
      <c r="H109" s="79">
        <f>46+236</f>
        <v>282</v>
      </c>
      <c r="I109" s="30">
        <f>667-H109</f>
        <v>385</v>
      </c>
      <c r="J109" s="30">
        <f>1072-H109-I109</f>
        <v>405</v>
      </c>
      <c r="K109" s="30">
        <f t="shared" si="126"/>
        <v>396</v>
      </c>
      <c r="L109" s="79">
        <f>237+82+72</f>
        <v>391</v>
      </c>
      <c r="M109" s="30">
        <f>SUM(428+158+96)-L109</f>
        <v>291</v>
      </c>
      <c r="N109" s="30">
        <f>1100-M109-L109</f>
        <v>418</v>
      </c>
      <c r="O109" s="30">
        <f t="shared" si="119"/>
        <v>353</v>
      </c>
      <c r="P109" s="79">
        <v>298</v>
      </c>
      <c r="Q109" s="30">
        <f>547-P109</f>
        <v>249</v>
      </c>
      <c r="R109" s="30">
        <f>741-Q109-P109</f>
        <v>194</v>
      </c>
      <c r="S109" s="30">
        <f t="shared" si="120"/>
        <v>103</v>
      </c>
      <c r="T109" s="79">
        <v>0</v>
      </c>
      <c r="U109" s="30">
        <v>0</v>
      </c>
      <c r="W109" s="30"/>
      <c r="X109" s="30"/>
      <c r="Y109" s="30"/>
      <c r="Z109" s="30"/>
      <c r="AA109" s="30"/>
      <c r="AB109" s="30"/>
      <c r="AC109" s="30">
        <f t="shared" si="127"/>
        <v>1318</v>
      </c>
      <c r="AD109" s="30">
        <f t="shared" si="128"/>
        <v>1094</v>
      </c>
      <c r="AE109" s="30">
        <f t="shared" si="129"/>
        <v>844</v>
      </c>
      <c r="AF109" s="30">
        <f t="shared" si="130"/>
        <v>546</v>
      </c>
      <c r="AG109" s="30">
        <f t="shared" si="131"/>
        <v>297</v>
      </c>
      <c r="AH109" s="11"/>
      <c r="AI109" s="70">
        <f t="shared" si="125"/>
        <v>-0.77465857359635815</v>
      </c>
    </row>
    <row r="110" spans="2:35" ht="12.75" customHeight="1">
      <c r="B110" s="58" t="s">
        <v>176</v>
      </c>
      <c r="C110" s="79">
        <v>0</v>
      </c>
      <c r="D110" s="79">
        <v>0</v>
      </c>
      <c r="E110" s="79">
        <v>0</v>
      </c>
      <c r="F110" s="79">
        <v>0</v>
      </c>
      <c r="G110" s="30"/>
      <c r="H110" s="79">
        <v>47</v>
      </c>
      <c r="I110" s="30">
        <f>0-H110</f>
        <v>-47</v>
      </c>
      <c r="J110" s="30">
        <f>0-I110-H110</f>
        <v>0</v>
      </c>
      <c r="K110" s="30">
        <f t="shared" si="126"/>
        <v>0</v>
      </c>
      <c r="L110" s="79">
        <v>0</v>
      </c>
      <c r="M110" s="30">
        <v>0</v>
      </c>
      <c r="N110" s="30">
        <v>0</v>
      </c>
      <c r="O110" s="30">
        <f t="shared" si="119"/>
        <v>0</v>
      </c>
      <c r="P110" s="79">
        <v>0</v>
      </c>
      <c r="Q110" s="30">
        <v>0</v>
      </c>
      <c r="R110" s="30">
        <v>0</v>
      </c>
      <c r="S110" s="30">
        <f t="shared" si="120"/>
        <v>0</v>
      </c>
      <c r="T110" s="79">
        <v>0</v>
      </c>
      <c r="U110" s="30">
        <v>0</v>
      </c>
      <c r="W110" s="30"/>
      <c r="X110" s="30"/>
      <c r="Y110" s="30"/>
      <c r="Z110" s="30"/>
      <c r="AA110" s="30"/>
      <c r="AB110" s="30"/>
      <c r="AC110" s="30">
        <f t="shared" si="127"/>
        <v>0</v>
      </c>
      <c r="AD110" s="30">
        <f t="shared" si="128"/>
        <v>0</v>
      </c>
      <c r="AE110" s="30">
        <f t="shared" si="129"/>
        <v>0</v>
      </c>
      <c r="AF110" s="30">
        <f t="shared" si="130"/>
        <v>0</v>
      </c>
      <c r="AG110" s="30">
        <f t="shared" si="131"/>
        <v>0</v>
      </c>
      <c r="AH110" s="11"/>
      <c r="AI110" s="70" t="e">
        <f t="shared" si="125"/>
        <v>#DIV/0!</v>
      </c>
    </row>
    <row r="111" spans="2:35" ht="12.75" customHeight="1">
      <c r="B111" s="58" t="s">
        <v>177</v>
      </c>
      <c r="C111" s="79">
        <v>0</v>
      </c>
      <c r="D111" s="79">
        <v>537</v>
      </c>
      <c r="E111" s="79">
        <v>1682</v>
      </c>
      <c r="F111" s="79">
        <v>1909</v>
      </c>
      <c r="G111" s="30"/>
      <c r="H111" s="79">
        <v>0</v>
      </c>
      <c r="I111" s="30">
        <v>0</v>
      </c>
      <c r="J111" s="30">
        <v>0</v>
      </c>
      <c r="K111" s="30">
        <f t="shared" si="126"/>
        <v>537</v>
      </c>
      <c r="L111" s="79">
        <v>379</v>
      </c>
      <c r="M111" s="30">
        <f>764-L111</f>
        <v>385</v>
      </c>
      <c r="N111" s="30">
        <f>1288-M111-L111</f>
        <v>524</v>
      </c>
      <c r="O111" s="30">
        <f t="shared" si="119"/>
        <v>394</v>
      </c>
      <c r="P111" s="79">
        <v>391</v>
      </c>
      <c r="Q111" s="30">
        <f>784-P111</f>
        <v>393</v>
      </c>
      <c r="R111" s="30">
        <f>1533-Q111-P111</f>
        <v>749</v>
      </c>
      <c r="S111" s="30">
        <f t="shared" si="120"/>
        <v>376</v>
      </c>
      <c r="T111" s="79">
        <v>384</v>
      </c>
      <c r="U111" s="30">
        <f>776-T111</f>
        <v>392</v>
      </c>
      <c r="W111" s="30"/>
      <c r="X111" s="30"/>
      <c r="Y111" s="30"/>
      <c r="Z111" s="30"/>
      <c r="AA111" s="30"/>
      <c r="AB111" s="30"/>
      <c r="AC111" s="30">
        <f t="shared" si="127"/>
        <v>1702</v>
      </c>
      <c r="AD111" s="30">
        <f t="shared" si="128"/>
        <v>1927</v>
      </c>
      <c r="AE111" s="30">
        <f t="shared" si="129"/>
        <v>1909</v>
      </c>
      <c r="AF111" s="30">
        <f t="shared" si="130"/>
        <v>1902</v>
      </c>
      <c r="AG111" s="30">
        <f t="shared" si="131"/>
        <v>1901</v>
      </c>
      <c r="AH111" s="11"/>
      <c r="AI111" s="70">
        <f t="shared" si="125"/>
        <v>0.11692126909518219</v>
      </c>
    </row>
    <row r="112" spans="2:35" ht="12.75" customHeight="1">
      <c r="B112" s="58" t="s">
        <v>154</v>
      </c>
      <c r="C112" s="79">
        <v>0</v>
      </c>
      <c r="D112" s="79">
        <v>5377</v>
      </c>
      <c r="E112" s="79">
        <v>0</v>
      </c>
      <c r="F112" s="79">
        <v>0</v>
      </c>
      <c r="G112" s="30"/>
      <c r="H112" s="79">
        <v>0</v>
      </c>
      <c r="I112" s="30">
        <v>0</v>
      </c>
      <c r="J112" s="30">
        <v>0</v>
      </c>
      <c r="K112" s="30">
        <f t="shared" si="126"/>
        <v>5377</v>
      </c>
      <c r="L112" s="79">
        <v>0</v>
      </c>
      <c r="M112" s="30">
        <v>0</v>
      </c>
      <c r="N112" s="30">
        <v>0</v>
      </c>
      <c r="O112" s="30">
        <f t="shared" si="119"/>
        <v>0</v>
      </c>
      <c r="P112" s="79">
        <v>0</v>
      </c>
      <c r="Q112" s="30">
        <v>0</v>
      </c>
      <c r="R112" s="30">
        <v>0</v>
      </c>
      <c r="S112" s="79">
        <v>0</v>
      </c>
      <c r="T112" s="79">
        <v>0</v>
      </c>
      <c r="U112" s="30">
        <v>0</v>
      </c>
      <c r="W112" s="30"/>
      <c r="X112" s="30"/>
      <c r="Y112" s="30"/>
      <c r="Z112" s="30"/>
      <c r="AA112" s="30"/>
      <c r="AB112" s="30"/>
      <c r="AC112" s="30">
        <f t="shared" si="127"/>
        <v>0</v>
      </c>
      <c r="AD112" s="30">
        <f t="shared" si="128"/>
        <v>0</v>
      </c>
      <c r="AE112" s="30">
        <f t="shared" si="129"/>
        <v>0</v>
      </c>
      <c r="AF112" s="30">
        <f t="shared" si="130"/>
        <v>0</v>
      </c>
      <c r="AG112" s="30">
        <f t="shared" si="131"/>
        <v>0</v>
      </c>
      <c r="AH112" s="11"/>
      <c r="AI112" s="70" t="e">
        <f t="shared" si="125"/>
        <v>#DIV/0!</v>
      </c>
    </row>
    <row r="113" spans="2:35" ht="5.0999999999999996" customHeight="1">
      <c r="B113" s="8"/>
      <c r="C113" s="79"/>
      <c r="D113" s="79"/>
      <c r="E113" s="79"/>
      <c r="F113" s="79"/>
      <c r="G113" s="30"/>
      <c r="H113" s="79"/>
      <c r="I113" s="30"/>
      <c r="J113" s="30"/>
      <c r="K113" s="30"/>
      <c r="L113" s="79"/>
      <c r="M113" s="30"/>
      <c r="N113" s="30"/>
      <c r="O113" s="30"/>
      <c r="P113" s="79"/>
      <c r="Q113" s="30"/>
      <c r="R113" s="30"/>
      <c r="S113" s="30"/>
      <c r="T113" s="79"/>
      <c r="U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11"/>
      <c r="AI113" s="70"/>
    </row>
    <row r="114" spans="2:35" ht="12.75" customHeight="1">
      <c r="B114" s="34" t="s">
        <v>16</v>
      </c>
      <c r="C114" s="79"/>
      <c r="D114" s="79"/>
      <c r="E114" s="79"/>
      <c r="F114" s="79"/>
      <c r="G114" s="30"/>
      <c r="H114" s="79"/>
      <c r="I114" s="30"/>
      <c r="J114" s="30"/>
      <c r="K114" s="30"/>
      <c r="L114" s="79"/>
      <c r="M114" s="30"/>
      <c r="N114" s="30"/>
      <c r="O114" s="30"/>
      <c r="P114" s="79"/>
      <c r="Q114" s="30"/>
      <c r="R114" s="30"/>
      <c r="S114" s="30"/>
      <c r="T114" s="79"/>
      <c r="U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57"/>
      <c r="AI114" s="70"/>
    </row>
    <row r="115" spans="2:35" ht="12.75" customHeight="1">
      <c r="B115" s="58" t="s">
        <v>14</v>
      </c>
      <c r="C115" s="79">
        <v>-1063</v>
      </c>
      <c r="D115" s="79">
        <v>-4692</v>
      </c>
      <c r="E115" s="79">
        <v>1206</v>
      </c>
      <c r="F115" s="79">
        <v>2602</v>
      </c>
      <c r="G115" s="30"/>
      <c r="H115" s="79">
        <v>282</v>
      </c>
      <c r="I115" s="30">
        <f>-1030-H115</f>
        <v>-1312</v>
      </c>
      <c r="J115" s="30">
        <f>-753-I115-H115</f>
        <v>277</v>
      </c>
      <c r="K115" s="30">
        <f t="shared" ref="K115:K120" si="132">SUM(D115-SUM(H115:J115))</f>
        <v>-3939</v>
      </c>
      <c r="L115" s="79">
        <v>915</v>
      </c>
      <c r="M115" s="30">
        <f>-1394-L115</f>
        <v>-2309</v>
      </c>
      <c r="N115" s="30">
        <f>3239-M115-L115</f>
        <v>4633</v>
      </c>
      <c r="O115" s="30">
        <f t="shared" ref="O115:O119" si="133">SUM(E115-SUM(L115:N115))</f>
        <v>-2033</v>
      </c>
      <c r="P115" s="79">
        <v>323</v>
      </c>
      <c r="Q115" s="30">
        <f>-203-P115</f>
        <v>-526</v>
      </c>
      <c r="R115" s="30">
        <f>-1355-Q115-P115</f>
        <v>-1152</v>
      </c>
      <c r="S115" s="30">
        <f t="shared" ref="S115:S120" si="134">SUM(F115-SUM(P115:R115))</f>
        <v>3957</v>
      </c>
      <c r="T115" s="79">
        <v>1359</v>
      </c>
      <c r="U115" s="30">
        <f>674-T115</f>
        <v>-685</v>
      </c>
      <c r="W115" s="30">
        <f>SUM(I115:L115)</f>
        <v>-4059</v>
      </c>
      <c r="X115" s="30">
        <f>SUM(J115:M115)</f>
        <v>-5056</v>
      </c>
      <c r="Y115" s="30">
        <f>SUM(K115:N115)</f>
        <v>-700</v>
      </c>
      <c r="Z115" s="30">
        <f>SUM(L115:O115)</f>
        <v>1206</v>
      </c>
      <c r="AA115" s="30">
        <f>SUM(M115:P115)</f>
        <v>614</v>
      </c>
      <c r="AB115" s="30">
        <f>SUM(N115:Q115)</f>
        <v>2397</v>
      </c>
      <c r="AC115" s="30">
        <f t="shared" ref="AC115:AC120" si="135">SUM(N115:Q115)</f>
        <v>2397</v>
      </c>
      <c r="AD115" s="30">
        <f t="shared" ref="AD115:AD120" si="136">SUM(O115:R115)</f>
        <v>-3388</v>
      </c>
      <c r="AE115" s="30">
        <f t="shared" ref="AE115:AE120" si="137">SUM(P115:S115)</f>
        <v>2602</v>
      </c>
      <c r="AF115" s="30">
        <f t="shared" ref="AF115:AF120" si="138">SUM(Q115:T115)</f>
        <v>3638</v>
      </c>
      <c r="AG115" s="30">
        <f t="shared" ref="AG115:AG120" si="139">SUM(R115:U115)</f>
        <v>3479</v>
      </c>
      <c r="AH115" s="57"/>
      <c r="AI115" s="70">
        <f t="shared" si="125"/>
        <v>0.45139758030871913</v>
      </c>
    </row>
    <row r="116" spans="2:35" ht="12.75" customHeight="1">
      <c r="B116" s="58" t="s">
        <v>178</v>
      </c>
      <c r="C116" s="79">
        <v>-350</v>
      </c>
      <c r="D116" s="79">
        <v>-1065</v>
      </c>
      <c r="E116" s="79">
        <v>-259</v>
      </c>
      <c r="F116" s="79">
        <v>-2434</v>
      </c>
      <c r="G116" s="30"/>
      <c r="H116" s="79">
        <f>-3054+(-918)</f>
        <v>-3972</v>
      </c>
      <c r="I116" s="30">
        <f>-2898+34-H116</f>
        <v>1108</v>
      </c>
      <c r="J116" s="30">
        <f>(-2282)+(35)-I116-H116</f>
        <v>617</v>
      </c>
      <c r="K116" s="30">
        <f t="shared" si="132"/>
        <v>1182</v>
      </c>
      <c r="L116" s="79">
        <v>694</v>
      </c>
      <c r="M116" s="30">
        <f>-888-L116</f>
        <v>-1582</v>
      </c>
      <c r="N116" s="30">
        <f>-1027-M116-L116</f>
        <v>-139</v>
      </c>
      <c r="O116" s="30">
        <f t="shared" si="133"/>
        <v>768</v>
      </c>
      <c r="P116" s="79">
        <v>435</v>
      </c>
      <c r="Q116" s="30">
        <f>-1021-P116</f>
        <v>-1456</v>
      </c>
      <c r="R116" s="30">
        <f>-1955-Q116-P116</f>
        <v>-934</v>
      </c>
      <c r="S116" s="30">
        <f t="shared" si="134"/>
        <v>-479</v>
      </c>
      <c r="T116" s="79">
        <v>1379</v>
      </c>
      <c r="U116" s="30">
        <f>-836-T116</f>
        <v>-2215</v>
      </c>
      <c r="W116" s="30">
        <f>SUM(I116:L116)</f>
        <v>3601</v>
      </c>
      <c r="X116" s="30">
        <f>SUM(J116:M116)</f>
        <v>911</v>
      </c>
      <c r="Y116" s="30">
        <f>SUM(K116:N116)</f>
        <v>155</v>
      </c>
      <c r="Z116" s="30">
        <f>SUM(L116:O116)</f>
        <v>-259</v>
      </c>
      <c r="AA116" s="30">
        <f>SUM(M116:P116)</f>
        <v>-518</v>
      </c>
      <c r="AB116" s="30">
        <f>SUM(N116:Q116)</f>
        <v>-392</v>
      </c>
      <c r="AC116" s="30">
        <f t="shared" si="135"/>
        <v>-392</v>
      </c>
      <c r="AD116" s="30">
        <f t="shared" si="136"/>
        <v>-1187</v>
      </c>
      <c r="AE116" s="30">
        <f t="shared" si="137"/>
        <v>-2434</v>
      </c>
      <c r="AF116" s="30">
        <f t="shared" si="138"/>
        <v>-1490</v>
      </c>
      <c r="AG116" s="30">
        <f t="shared" si="139"/>
        <v>-2249</v>
      </c>
      <c r="AH116" s="57"/>
      <c r="AI116" s="70">
        <f t="shared" ref="AI115:AI120" si="140">SUM(AG116/AC116)-1</f>
        <v>4.7372448979591839</v>
      </c>
    </row>
    <row r="117" spans="2:35" ht="12.75" customHeight="1">
      <c r="B117" s="58" t="s">
        <v>162</v>
      </c>
      <c r="C117" s="79">
        <v>493</v>
      </c>
      <c r="D117" s="79">
        <v>-24</v>
      </c>
      <c r="E117" s="79">
        <v>-618</v>
      </c>
      <c r="F117" s="79">
        <v>468</v>
      </c>
      <c r="G117" s="30"/>
      <c r="H117" s="79">
        <v>-466</v>
      </c>
      <c r="I117" s="30">
        <f>123-H117</f>
        <v>589</v>
      </c>
      <c r="J117" s="30">
        <f>-174-I117-H117</f>
        <v>-297</v>
      </c>
      <c r="K117" s="30">
        <f t="shared" si="132"/>
        <v>150</v>
      </c>
      <c r="L117" s="79">
        <f>-402+(-1)</f>
        <v>-403</v>
      </c>
      <c r="M117" s="30">
        <f>-128-L117</f>
        <v>275</v>
      </c>
      <c r="N117" s="30">
        <f>-489-M117-L117</f>
        <v>-361</v>
      </c>
      <c r="O117" s="30">
        <f t="shared" si="133"/>
        <v>-129</v>
      </c>
      <c r="P117" s="79">
        <v>-214</v>
      </c>
      <c r="Q117" s="30">
        <f>493-P117</f>
        <v>707</v>
      </c>
      <c r="R117" s="30">
        <f>543-Q117-P117</f>
        <v>50</v>
      </c>
      <c r="S117" s="30">
        <f t="shared" si="134"/>
        <v>-75</v>
      </c>
      <c r="T117" s="79">
        <v>34</v>
      </c>
      <c r="U117" s="30">
        <f>5-T117</f>
        <v>-29</v>
      </c>
      <c r="W117" s="30">
        <f>SUM(I117:L117)</f>
        <v>39</v>
      </c>
      <c r="X117" s="30">
        <f>SUM(J117:M117)</f>
        <v>-275</v>
      </c>
      <c r="Y117" s="30">
        <f>SUM(K117:N117)</f>
        <v>-339</v>
      </c>
      <c r="Z117" s="30">
        <f>SUM(L117:O117)</f>
        <v>-618</v>
      </c>
      <c r="AA117" s="30">
        <f>SUM(M117:P117)</f>
        <v>-429</v>
      </c>
      <c r="AB117" s="30">
        <f>SUM(N117:Q117)</f>
        <v>3</v>
      </c>
      <c r="AC117" s="30">
        <f t="shared" si="135"/>
        <v>3</v>
      </c>
      <c r="AD117" s="30">
        <f t="shared" si="136"/>
        <v>414</v>
      </c>
      <c r="AE117" s="30">
        <f t="shared" si="137"/>
        <v>468</v>
      </c>
      <c r="AF117" s="30">
        <f t="shared" si="138"/>
        <v>716</v>
      </c>
      <c r="AG117" s="30">
        <f t="shared" si="139"/>
        <v>-20</v>
      </c>
      <c r="AH117" s="57"/>
      <c r="AI117" s="70">
        <f t="shared" si="140"/>
        <v>-7.666666666666667</v>
      </c>
    </row>
    <row r="118" spans="2:35" ht="12.75" customHeight="1">
      <c r="B118" s="58" t="s">
        <v>15</v>
      </c>
      <c r="C118" s="79">
        <v>-389</v>
      </c>
      <c r="D118" s="79">
        <v>-707</v>
      </c>
      <c r="E118" s="79">
        <v>895</v>
      </c>
      <c r="F118" s="79">
        <v>-1036</v>
      </c>
      <c r="G118" s="30"/>
      <c r="H118" s="79">
        <v>1482</v>
      </c>
      <c r="I118" s="30">
        <f>-882-H118</f>
        <v>-2364</v>
      </c>
      <c r="J118" s="30">
        <f>-694-I118-H118</f>
        <v>188</v>
      </c>
      <c r="K118" s="30">
        <f t="shared" si="132"/>
        <v>-13</v>
      </c>
      <c r="L118" s="79">
        <v>-484</v>
      </c>
      <c r="M118" s="30">
        <f>-1298-L118</f>
        <v>-814</v>
      </c>
      <c r="N118" s="30">
        <f>-212-M118-L118</f>
        <v>1086</v>
      </c>
      <c r="O118" s="30">
        <f t="shared" si="133"/>
        <v>1107</v>
      </c>
      <c r="P118" s="79">
        <v>334</v>
      </c>
      <c r="Q118" s="30">
        <f>-1085-P118</f>
        <v>-1419</v>
      </c>
      <c r="R118" s="30">
        <f>-808-Q118-P118</f>
        <v>277</v>
      </c>
      <c r="S118" s="30">
        <f t="shared" si="134"/>
        <v>-228</v>
      </c>
      <c r="T118" s="79">
        <v>747</v>
      </c>
      <c r="U118" s="30">
        <f>618-T118</f>
        <v>-129</v>
      </c>
      <c r="W118" s="30">
        <f>SUM(I118:L118)</f>
        <v>-2673</v>
      </c>
      <c r="X118" s="30">
        <f>SUM(J118:M118)</f>
        <v>-1123</v>
      </c>
      <c r="Y118" s="30">
        <f>SUM(K118:N118)</f>
        <v>-225</v>
      </c>
      <c r="Z118" s="30">
        <f>SUM(L118:O118)</f>
        <v>895</v>
      </c>
      <c r="AA118" s="30">
        <f>SUM(M118:P118)</f>
        <v>1713</v>
      </c>
      <c r="AB118" s="30">
        <f>SUM(N118:Q118)</f>
        <v>1108</v>
      </c>
      <c r="AC118" s="30">
        <f t="shared" si="135"/>
        <v>1108</v>
      </c>
      <c r="AD118" s="30">
        <f t="shared" si="136"/>
        <v>299</v>
      </c>
      <c r="AE118" s="30">
        <f t="shared" si="137"/>
        <v>-1036</v>
      </c>
      <c r="AF118" s="30">
        <f t="shared" si="138"/>
        <v>-623</v>
      </c>
      <c r="AG118" s="30">
        <f t="shared" si="139"/>
        <v>667</v>
      </c>
      <c r="AH118" s="57"/>
      <c r="AI118" s="70">
        <f t="shared" si="140"/>
        <v>-0.39801444043321299</v>
      </c>
    </row>
    <row r="119" spans="2:35" ht="12.75" customHeight="1">
      <c r="B119" s="58" t="s">
        <v>179</v>
      </c>
      <c r="C119" s="79">
        <v>1554</v>
      </c>
      <c r="D119" s="79">
        <v>4456</v>
      </c>
      <c r="E119" s="79">
        <v>-1719</v>
      </c>
      <c r="F119" s="79">
        <v>-2681</v>
      </c>
      <c r="G119" s="30"/>
      <c r="H119" s="79">
        <v>2606</v>
      </c>
      <c r="I119" s="30">
        <f>967-H119</f>
        <v>-1639</v>
      </c>
      <c r="J119" s="30">
        <f>3469-I119-H119</f>
        <v>2502</v>
      </c>
      <c r="K119" s="30">
        <f t="shared" si="132"/>
        <v>987</v>
      </c>
      <c r="L119" s="79">
        <v>32</v>
      </c>
      <c r="M119" s="30">
        <f>-2260-L119</f>
        <v>-2292</v>
      </c>
      <c r="N119" s="30">
        <f>-2067-M119-L119</f>
        <v>193</v>
      </c>
      <c r="O119" s="30">
        <f t="shared" si="133"/>
        <v>348</v>
      </c>
      <c r="P119" s="79">
        <v>-2060</v>
      </c>
      <c r="Q119" s="30">
        <f>-1602-P119</f>
        <v>458</v>
      </c>
      <c r="R119" s="30">
        <f>-3632-Q119-P119</f>
        <v>-2030</v>
      </c>
      <c r="S119" s="30">
        <f t="shared" si="134"/>
        <v>951</v>
      </c>
      <c r="T119" s="79">
        <v>-2654</v>
      </c>
      <c r="U119" s="30">
        <f>-2792-T119</f>
        <v>-138</v>
      </c>
      <c r="W119" s="30">
        <f>SUM(I119:L119)</f>
        <v>1882</v>
      </c>
      <c r="X119" s="30">
        <f>SUM(J119:M119)</f>
        <v>1229</v>
      </c>
      <c r="Y119" s="30">
        <f>SUM(K119:N119)</f>
        <v>-1080</v>
      </c>
      <c r="Z119" s="30">
        <f>SUM(L119:O119)</f>
        <v>-1719</v>
      </c>
      <c r="AA119" s="30">
        <f>SUM(M119:P119)</f>
        <v>-3811</v>
      </c>
      <c r="AB119" s="30">
        <f>SUM(N119:Q119)</f>
        <v>-1061</v>
      </c>
      <c r="AC119" s="30">
        <f t="shared" si="135"/>
        <v>-1061</v>
      </c>
      <c r="AD119" s="30">
        <f t="shared" si="136"/>
        <v>-3284</v>
      </c>
      <c r="AE119" s="30">
        <f t="shared" si="137"/>
        <v>-2681</v>
      </c>
      <c r="AF119" s="30">
        <f t="shared" si="138"/>
        <v>-3275</v>
      </c>
      <c r="AG119" s="30">
        <f t="shared" si="139"/>
        <v>-3871</v>
      </c>
      <c r="AH119" s="57"/>
      <c r="AI119" s="70">
        <f t="shared" si="140"/>
        <v>2.6484448633364752</v>
      </c>
    </row>
    <row r="120" spans="2:35" ht="12.75" customHeight="1">
      <c r="B120" s="58" t="s">
        <v>169</v>
      </c>
      <c r="C120" s="79">
        <v>-87</v>
      </c>
      <c r="D120" s="79">
        <v>-295</v>
      </c>
      <c r="E120" s="79">
        <v>0</v>
      </c>
      <c r="F120" s="79">
        <v>0</v>
      </c>
      <c r="G120" s="30"/>
      <c r="H120" s="79">
        <v>43</v>
      </c>
      <c r="I120" s="30">
        <f>122-H120</f>
        <v>79</v>
      </c>
      <c r="J120" s="30">
        <f>142-I120-H120</f>
        <v>20</v>
      </c>
      <c r="K120" s="30">
        <f t="shared" si="132"/>
        <v>-437</v>
      </c>
      <c r="L120" s="79">
        <v>0</v>
      </c>
      <c r="M120" s="30">
        <v>0</v>
      </c>
      <c r="N120" s="30">
        <v>0</v>
      </c>
      <c r="O120" s="30">
        <f>SUM(E120-SUM(L120:N120))</f>
        <v>0</v>
      </c>
      <c r="P120" s="79">
        <v>0</v>
      </c>
      <c r="Q120" s="30">
        <v>0</v>
      </c>
      <c r="R120" s="30">
        <v>0</v>
      </c>
      <c r="S120" s="30">
        <f t="shared" si="134"/>
        <v>0</v>
      </c>
      <c r="T120" s="79">
        <v>0</v>
      </c>
      <c r="U120" s="30">
        <v>0</v>
      </c>
      <c r="W120" s="30">
        <f>SUM(I120:L120)</f>
        <v>-338</v>
      </c>
      <c r="X120" s="30">
        <f>SUM(J120:M120)</f>
        <v>-417</v>
      </c>
      <c r="Y120" s="30">
        <f>SUM(K120:N120)</f>
        <v>-437</v>
      </c>
      <c r="Z120" s="30">
        <f>SUM(L120:O120)</f>
        <v>0</v>
      </c>
      <c r="AA120" s="30">
        <f>SUM(M120:P120)</f>
        <v>0</v>
      </c>
      <c r="AB120" s="30">
        <f>SUM(N120:Q120)</f>
        <v>0</v>
      </c>
      <c r="AC120" s="30">
        <f t="shared" si="135"/>
        <v>0</v>
      </c>
      <c r="AD120" s="30">
        <f t="shared" si="136"/>
        <v>0</v>
      </c>
      <c r="AE120" s="30">
        <f t="shared" si="137"/>
        <v>0</v>
      </c>
      <c r="AF120" s="30">
        <f t="shared" si="138"/>
        <v>0</v>
      </c>
      <c r="AG120" s="30">
        <f t="shared" si="139"/>
        <v>0</v>
      </c>
      <c r="AH120" s="57"/>
      <c r="AI120" s="70" t="e">
        <f t="shared" si="140"/>
        <v>#DIV/0!</v>
      </c>
    </row>
    <row r="121" spans="2:35" ht="12.75" customHeight="1">
      <c r="B121" s="12" t="s">
        <v>73</v>
      </c>
      <c r="C121" s="13">
        <f>SUM(C98:C120)</f>
        <v>-29044</v>
      </c>
      <c r="D121" s="13">
        <f>SUM(D98:D120)</f>
        <v>-62689</v>
      </c>
      <c r="E121" s="13">
        <f>SUM(E98:E120)</f>
        <v>-50579</v>
      </c>
      <c r="F121" s="13">
        <f>SUM(F98:F120)</f>
        <v>-50627</v>
      </c>
      <c r="H121" s="13">
        <f>SUM(H98:H120)</f>
        <v>-15721</v>
      </c>
      <c r="I121" s="13">
        <f>SUM(I98:I120)</f>
        <v>-19364</v>
      </c>
      <c r="J121" s="13">
        <f>SUM(J98:J120)</f>
        <v>-3947</v>
      </c>
      <c r="K121" s="13">
        <f>SUM(K98:K120)</f>
        <v>-23657</v>
      </c>
      <c r="L121" s="32">
        <f>SUM(L98:L120)</f>
        <v>-15548</v>
      </c>
      <c r="M121" s="13">
        <f>SUM(M98:M120)</f>
        <v>-18069</v>
      </c>
      <c r="N121" s="13">
        <f>SUM(N98:N120)</f>
        <v>-4541</v>
      </c>
      <c r="O121" s="13">
        <f>SUM(O98:O120)</f>
        <v>-12421</v>
      </c>
      <c r="P121" s="13">
        <f>SUM(P98:P120)</f>
        <v>-13139</v>
      </c>
      <c r="Q121" s="13">
        <f>SUM(Q98:Q120)</f>
        <v>-13517</v>
      </c>
      <c r="R121" s="13">
        <f>SUM(R98:R120)</f>
        <v>-15427</v>
      </c>
      <c r="S121" s="13">
        <f>SUM(S98:S120)</f>
        <v>-8544</v>
      </c>
      <c r="T121" s="13">
        <f>SUM(T98:T120)</f>
        <v>-13651</v>
      </c>
      <c r="U121" s="13">
        <f>SUM(U98:U120)</f>
        <v>-16169</v>
      </c>
      <c r="W121" s="13">
        <f>SUM(W98:W120)</f>
        <v>-67932</v>
      </c>
      <c r="X121" s="13">
        <f>SUM(X98:X120)</f>
        <v>-68155</v>
      </c>
      <c r="Y121" s="13">
        <f>SUM(Y98:Y120)</f>
        <v>-70376</v>
      </c>
      <c r="Z121" s="13">
        <f>SUM(Z98:Z120)</f>
        <v>-53658</v>
      </c>
      <c r="AA121" s="13">
        <f>SUM(AA98:AA120)</f>
        <v>-48977</v>
      </c>
      <c r="AB121" s="13">
        <f>SUM(AB98:AB120)</f>
        <v>-44397</v>
      </c>
      <c r="AC121" s="13">
        <f>SUM(AC98:AC120)</f>
        <v>-43618</v>
      </c>
      <c r="AD121" s="13">
        <f>SUM(AD98:AD120)</f>
        <v>-54504</v>
      </c>
      <c r="AE121" s="13">
        <f>SUM(AE98:AE120)</f>
        <v>-50627</v>
      </c>
      <c r="AF121" s="13">
        <f>SUM(AF98:AF120)</f>
        <v>-51139</v>
      </c>
      <c r="AG121" s="13">
        <f>SUM(AG98:AG120)</f>
        <v>-53791</v>
      </c>
      <c r="AH121" s="40"/>
      <c r="AI121" s="71">
        <f>SUM(AG121/AC121)-1</f>
        <v>0.23322940070613041</v>
      </c>
    </row>
    <row r="122" spans="2:35" ht="12.75" customHeight="1">
      <c r="B122" s="51"/>
      <c r="C122" s="59"/>
      <c r="D122" s="59"/>
      <c r="E122" s="59"/>
      <c r="F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37"/>
    </row>
    <row r="123" spans="2:35" ht="12.75" customHeight="1">
      <c r="B123" s="153" t="s">
        <v>74</v>
      </c>
      <c r="C123" s="56"/>
      <c r="D123" s="56"/>
      <c r="E123" s="56"/>
      <c r="F123" s="56"/>
      <c r="H123" s="56"/>
      <c r="I123" s="56"/>
      <c r="J123" s="56"/>
      <c r="K123" s="30"/>
      <c r="L123" s="79"/>
      <c r="M123" s="79"/>
      <c r="N123" s="79"/>
      <c r="O123" s="30"/>
      <c r="P123" s="79"/>
      <c r="Q123" s="79"/>
      <c r="R123" s="79"/>
      <c r="S123" s="30"/>
      <c r="T123" s="79"/>
      <c r="U123" s="79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7"/>
      <c r="AI123" s="37"/>
    </row>
    <row r="124" spans="2:35" ht="12.75" customHeight="1">
      <c r="B124" s="58" t="s">
        <v>134</v>
      </c>
      <c r="C124" s="79">
        <v>-7008</v>
      </c>
      <c r="D124" s="79">
        <v>-22737</v>
      </c>
      <c r="E124" s="79">
        <v>-9059</v>
      </c>
      <c r="F124" s="79">
        <v>-11098</v>
      </c>
      <c r="G124" s="30"/>
      <c r="H124" s="79">
        <v>-2836</v>
      </c>
      <c r="I124" s="30">
        <f>10636-H124</f>
        <v>13472</v>
      </c>
      <c r="J124" s="30">
        <f>-19294-I124-H124</f>
        <v>-29930</v>
      </c>
      <c r="K124" s="30">
        <f t="shared" ref="K124:K125" si="141">SUM(D124-SUM(H124:J124))</f>
        <v>-3443</v>
      </c>
      <c r="L124" s="79">
        <v>-4804</v>
      </c>
      <c r="M124" s="30">
        <f>-5735-L124</f>
        <v>-931</v>
      </c>
      <c r="N124" s="30">
        <f>-7511-M124-L124</f>
        <v>-1776</v>
      </c>
      <c r="O124" s="30">
        <f t="shared" ref="O124:O125" si="142">SUM(E124-SUM(L124:N124))</f>
        <v>-1548</v>
      </c>
      <c r="P124" s="79">
        <v>-5493</v>
      </c>
      <c r="Q124" s="30">
        <f>-7538-P124</f>
        <v>-2045</v>
      </c>
      <c r="R124" s="30">
        <f>-9816-Q124-P124</f>
        <v>-2278</v>
      </c>
      <c r="S124" s="30">
        <f t="shared" ref="S124:S125" si="143">SUM(F124-SUM(P124:R124))</f>
        <v>-1282</v>
      </c>
      <c r="T124" s="79">
        <v>-2547</v>
      </c>
      <c r="U124" s="30">
        <f>-8214-T124</f>
        <v>-5667</v>
      </c>
      <c r="V124" s="30"/>
      <c r="W124" s="30">
        <f>SUM(I124:L124)</f>
        <v>-24705</v>
      </c>
      <c r="X124" s="30">
        <f>SUM(J124:M124)</f>
        <v>-39108</v>
      </c>
      <c r="Y124" s="30">
        <f>SUM(K124:N124)</f>
        <v>-10954</v>
      </c>
      <c r="Z124" s="30">
        <f>SUM(L124:O124)</f>
        <v>-9059</v>
      </c>
      <c r="AA124" s="30">
        <f>SUM(M124:P124)</f>
        <v>-9748</v>
      </c>
      <c r="AB124" s="30">
        <f>SUM(N124:Q124)</f>
        <v>-10862</v>
      </c>
      <c r="AC124" s="30">
        <f t="shared" ref="AC124:AC125" si="144">SUM(N124:Q124)</f>
        <v>-10862</v>
      </c>
      <c r="AD124" s="30">
        <f t="shared" ref="AD124:AD125" si="145">SUM(O124:R124)</f>
        <v>-11364</v>
      </c>
      <c r="AE124" s="30">
        <f t="shared" ref="AE124:AE125" si="146">SUM(P124:S124)</f>
        <v>-11098</v>
      </c>
      <c r="AF124" s="30">
        <f t="shared" ref="AF124:AF125" si="147">SUM(Q124:T124)</f>
        <v>-8152</v>
      </c>
      <c r="AG124" s="30">
        <f t="shared" ref="AG124:AG125" si="148">SUM(R124:U124)</f>
        <v>-11774</v>
      </c>
      <c r="AH124" s="57"/>
      <c r="AI124" s="70">
        <f t="shared" ref="AI124:AI125" si="149">SUM(AG124/AC124)-1</f>
        <v>8.3962437856748284E-2</v>
      </c>
    </row>
    <row r="125" spans="2:35" ht="12.75" customHeight="1">
      <c r="B125" s="58" t="s">
        <v>181</v>
      </c>
      <c r="C125" s="79">
        <v>0</v>
      </c>
      <c r="D125" s="79">
        <v>-84287</v>
      </c>
      <c r="E125" s="79">
        <f>-109252+119084</f>
        <v>9832</v>
      </c>
      <c r="F125" s="79">
        <f>157500-224764</f>
        <v>-67264</v>
      </c>
      <c r="G125" s="30"/>
      <c r="H125" s="79">
        <v>0</v>
      </c>
      <c r="I125" s="30">
        <v>0</v>
      </c>
      <c r="J125" s="30">
        <f>-87186-I125-H125</f>
        <v>-87186</v>
      </c>
      <c r="K125" s="30">
        <f t="shared" si="141"/>
        <v>2899</v>
      </c>
      <c r="L125" s="79">
        <f>-38528+28346</f>
        <v>-10182</v>
      </c>
      <c r="M125" s="30">
        <f>-57619+60589-L125</f>
        <v>13152</v>
      </c>
      <c r="N125" s="30">
        <f>-79047+98082-M125-L125</f>
        <v>16065</v>
      </c>
      <c r="O125" s="30">
        <f t="shared" si="142"/>
        <v>-9203</v>
      </c>
      <c r="P125" s="79">
        <f>-27287+39000</f>
        <v>11713</v>
      </c>
      <c r="Q125" s="30">
        <f>-75995+76500-P125</f>
        <v>-11208</v>
      </c>
      <c r="R125" s="30">
        <f>-98451+107499-Q125-P125</f>
        <v>8543</v>
      </c>
      <c r="S125" s="30">
        <f t="shared" si="143"/>
        <v>-76312</v>
      </c>
      <c r="T125" s="79">
        <f>-44062+23000</f>
        <v>-21062</v>
      </c>
      <c r="U125" s="30">
        <f>-438518+77000-T125</f>
        <v>-340456</v>
      </c>
      <c r="V125" s="30"/>
      <c r="W125" s="30">
        <f>SUM(I125:L125)</f>
        <v>-94469</v>
      </c>
      <c r="X125" s="30">
        <f>SUM(J125:M125)</f>
        <v>-81317</v>
      </c>
      <c r="Y125" s="30">
        <f>SUM(K125:N125)</f>
        <v>21934</v>
      </c>
      <c r="Z125" s="30">
        <f>SUM(L125:O125)</f>
        <v>9832</v>
      </c>
      <c r="AA125" s="30">
        <f>SUM(M125:P125)</f>
        <v>31727</v>
      </c>
      <c r="AB125" s="30">
        <f>SUM(N125:Q125)</f>
        <v>7367</v>
      </c>
      <c r="AC125" s="30">
        <f t="shared" si="144"/>
        <v>7367</v>
      </c>
      <c r="AD125" s="30">
        <f t="shared" si="145"/>
        <v>-155</v>
      </c>
      <c r="AE125" s="30">
        <f t="shared" si="146"/>
        <v>-67264</v>
      </c>
      <c r="AF125" s="30">
        <f t="shared" si="147"/>
        <v>-100039</v>
      </c>
      <c r="AG125" s="30">
        <f t="shared" si="148"/>
        <v>-429287</v>
      </c>
      <c r="AH125" s="57"/>
      <c r="AI125" s="70">
        <f t="shared" si="149"/>
        <v>-59.271616668929006</v>
      </c>
    </row>
    <row r="126" spans="2:35" ht="12.75" customHeight="1">
      <c r="B126" s="12" t="s">
        <v>75</v>
      </c>
      <c r="C126" s="13">
        <f>SUM(C124:C125)</f>
        <v>-7008</v>
      </c>
      <c r="D126" s="13">
        <f>SUM(D124:D125)</f>
        <v>-107024</v>
      </c>
      <c r="E126" s="13">
        <f>SUM(E124:E125)</f>
        <v>773</v>
      </c>
      <c r="F126" s="13">
        <f>SUM(F124:F125)</f>
        <v>-78362</v>
      </c>
      <c r="H126" s="13">
        <f>SUM(H124:H125)</f>
        <v>-2836</v>
      </c>
      <c r="I126" s="13">
        <f>SUM(I124:I125)</f>
        <v>13472</v>
      </c>
      <c r="J126" s="13">
        <f>SUM(J124:J125)</f>
        <v>-117116</v>
      </c>
      <c r="K126" s="13">
        <f>SUM(K124:K125)</f>
        <v>-544</v>
      </c>
      <c r="L126" s="13">
        <f>SUM(L124:L125)</f>
        <v>-14986</v>
      </c>
      <c r="M126" s="13">
        <f>SUM(M124:M125)</f>
        <v>12221</v>
      </c>
      <c r="N126" s="13">
        <f>SUM(N124:N125)</f>
        <v>14289</v>
      </c>
      <c r="O126" s="13">
        <f>SUM(O124:O125)</f>
        <v>-10751</v>
      </c>
      <c r="P126" s="13">
        <f>SUM(P124:P125)</f>
        <v>6220</v>
      </c>
      <c r="Q126" s="13">
        <f>SUM(Q124:Q125)</f>
        <v>-13253</v>
      </c>
      <c r="R126" s="13">
        <f>SUM(R124:R125)</f>
        <v>6265</v>
      </c>
      <c r="S126" s="13">
        <f>SUM(S124:S125)</f>
        <v>-77594</v>
      </c>
      <c r="T126" s="13">
        <f>SUM(T124:T125)</f>
        <v>-23609</v>
      </c>
      <c r="U126" s="13">
        <f>SUM(U124:U125)</f>
        <v>-346123</v>
      </c>
      <c r="W126" s="13">
        <f>SUM(W124:W125)</f>
        <v>-119174</v>
      </c>
      <c r="X126" s="13">
        <f>SUM(X124:X125)</f>
        <v>-120425</v>
      </c>
      <c r="Y126" s="13">
        <f>SUM(Y124:Y125)</f>
        <v>10980</v>
      </c>
      <c r="Z126" s="13">
        <f>SUM(Z124:Z125)</f>
        <v>773</v>
      </c>
      <c r="AA126" s="13">
        <f>SUM(AA124:AA125)</f>
        <v>21979</v>
      </c>
      <c r="AB126" s="13">
        <f>SUM(AB124:AB125)</f>
        <v>-3495</v>
      </c>
      <c r="AC126" s="13">
        <f>SUM(AC124:AC125)</f>
        <v>-3495</v>
      </c>
      <c r="AD126" s="13">
        <f>SUM(AD124:AD125)</f>
        <v>-11519</v>
      </c>
      <c r="AE126" s="13">
        <f>SUM(AE124:AE125)</f>
        <v>-78362</v>
      </c>
      <c r="AF126" s="13">
        <f>SUM(AF124:AF125)</f>
        <v>-108191</v>
      </c>
      <c r="AG126" s="13">
        <f>SUM(AG124:AG125)</f>
        <v>-441061</v>
      </c>
      <c r="AH126" s="40"/>
      <c r="AI126" s="71">
        <f>SUM(AG126/AC126)-1</f>
        <v>125.19771101573677</v>
      </c>
    </row>
    <row r="127" spans="2:35" ht="5.0999999999999996" customHeight="1">
      <c r="B127" s="50"/>
      <c r="C127" s="59"/>
      <c r="D127" s="59"/>
      <c r="E127" s="59"/>
      <c r="F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37"/>
    </row>
    <row r="128" spans="2:35" ht="12.75" customHeight="1">
      <c r="B128" s="153" t="s">
        <v>76</v>
      </c>
      <c r="C128" s="60"/>
      <c r="D128" s="60"/>
      <c r="E128" s="60"/>
      <c r="F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61"/>
      <c r="AI128" s="37"/>
    </row>
    <row r="129" spans="2:35" ht="12.75" customHeight="1">
      <c r="B129" s="80" t="s">
        <v>118</v>
      </c>
      <c r="C129" s="79">
        <v>378</v>
      </c>
      <c r="D129" s="79">
        <v>6068</v>
      </c>
      <c r="E129" s="79">
        <f>1126+20544</f>
        <v>21670</v>
      </c>
      <c r="F129" s="79">
        <f>-6272+12838+97500+96000-1833+554</f>
        <v>198787</v>
      </c>
      <c r="H129" s="79">
        <v>602</v>
      </c>
      <c r="I129" s="30">
        <f>5675-H129</f>
        <v>5073</v>
      </c>
      <c r="J129" s="30">
        <f>5990-I129-H129</f>
        <v>315</v>
      </c>
      <c r="K129" s="30">
        <f t="shared" ref="K129" si="150">SUM(D129-SUM(H129:J129))</f>
        <v>78</v>
      </c>
      <c r="L129" s="79">
        <v>751</v>
      </c>
      <c r="M129" s="30">
        <f>903+2348-L129</f>
        <v>2500</v>
      </c>
      <c r="N129" s="30">
        <f>1002+15051-M129--L129</f>
        <v>14304</v>
      </c>
      <c r="O129" s="30">
        <f t="shared" ref="O129" si="151">SUM(E129-SUM(L129:N129))</f>
        <v>4115</v>
      </c>
      <c r="P129" s="79">
        <f>60+12838+11031</f>
        <v>23929</v>
      </c>
      <c r="Q129" s="30">
        <f>68+12838+26833-P129</f>
        <v>15810</v>
      </c>
      <c r="R129" s="30">
        <f>83+12838+38831-Q129-P129</f>
        <v>12013</v>
      </c>
      <c r="S129" s="30">
        <f t="shared" ref="S129:U129" si="152">SUM(F129-SUM(P129:R129))</f>
        <v>147035</v>
      </c>
      <c r="T129" s="79">
        <f>409+327+6272-73</f>
        <v>6935</v>
      </c>
      <c r="U129" s="30">
        <f>346719+35000-798+6272+1443+459</f>
        <v>389095</v>
      </c>
      <c r="V129" s="30"/>
      <c r="W129" s="30"/>
      <c r="X129" s="30"/>
      <c r="Y129" s="30"/>
      <c r="Z129" s="30"/>
      <c r="AA129" s="30"/>
      <c r="AB129" s="30"/>
      <c r="AC129" s="30">
        <f t="shared" ref="AC129:AC132" si="153">SUM(N129:Q129)</f>
        <v>58158</v>
      </c>
      <c r="AD129" s="30">
        <f t="shared" ref="AD129:AD132" si="154">SUM(O129:R129)</f>
        <v>55867</v>
      </c>
      <c r="AE129" s="30">
        <f t="shared" ref="AE129:AE132" si="155">SUM(P129:S129)</f>
        <v>198787</v>
      </c>
      <c r="AF129" s="30">
        <f t="shared" ref="AF129:AF132" si="156">SUM(Q129:T129)</f>
        <v>181793</v>
      </c>
      <c r="AG129" s="30">
        <f t="shared" ref="AG129:AG132" si="157">SUM(R129:U129)</f>
        <v>555078</v>
      </c>
      <c r="AH129" s="61"/>
      <c r="AI129" s="70">
        <f t="shared" ref="AI129:AI130" si="158">SUM(AG129/AC129)-1</f>
        <v>8.5443103270401313</v>
      </c>
    </row>
    <row r="130" spans="2:35" ht="12.75" customHeight="1">
      <c r="B130" s="80" t="s">
        <v>117</v>
      </c>
      <c r="C130" s="79">
        <f>-1548-247+27000</f>
        <v>25205</v>
      </c>
      <c r="D130" s="79">
        <f>-85-1000+5000-1291</f>
        <v>2624</v>
      </c>
      <c r="E130" s="79">
        <f>-107-8333</f>
        <v>-8440</v>
      </c>
      <c r="F130" s="79">
        <v>-23328</v>
      </c>
      <c r="G130" s="30"/>
      <c r="H130" s="79">
        <f>-30-1000+5000</f>
        <v>3970</v>
      </c>
      <c r="I130" s="30">
        <f>-85-1000+5000-H130</f>
        <v>-55</v>
      </c>
      <c r="J130" s="30">
        <f>-85-1000+5000-I130-H130</f>
        <v>0</v>
      </c>
      <c r="K130" s="30">
        <f t="shared" ref="K130" si="159">SUM(D130-SUM(H130:J130))</f>
        <v>-1291</v>
      </c>
      <c r="L130" s="79">
        <f>-107-1798</f>
        <v>-1905</v>
      </c>
      <c r="M130" s="30">
        <f>-107-2858-L130</f>
        <v>-1060</v>
      </c>
      <c r="N130" s="30">
        <f>-107-5405-M130-L130</f>
        <v>-2547</v>
      </c>
      <c r="O130" s="30">
        <f t="shared" ref="O130" si="160">SUM(E130-SUM(L130:N130))</f>
        <v>-2928</v>
      </c>
      <c r="P130" s="79">
        <f>-174-3045</f>
        <v>-3219</v>
      </c>
      <c r="Q130" s="30">
        <f>-447-6199-P130</f>
        <v>-3427</v>
      </c>
      <c r="R130" s="30">
        <f>-476-9491-Q130-P130</f>
        <v>-3321</v>
      </c>
      <c r="S130" s="30">
        <f t="shared" ref="S130:U130" si="161">SUM(F130-SUM(P130:R130))</f>
        <v>-13361</v>
      </c>
      <c r="T130" s="79">
        <v>0</v>
      </c>
      <c r="U130" s="30"/>
      <c r="V130" s="30"/>
      <c r="W130" s="30"/>
      <c r="X130" s="30"/>
      <c r="Y130" s="30"/>
      <c r="Z130" s="30"/>
      <c r="AA130" s="30"/>
      <c r="AB130" s="30"/>
      <c r="AC130" s="30">
        <f t="shared" si="153"/>
        <v>-12121</v>
      </c>
      <c r="AD130" s="30">
        <f t="shared" si="154"/>
        <v>-12895</v>
      </c>
      <c r="AE130" s="30">
        <f t="shared" si="155"/>
        <v>-23328</v>
      </c>
      <c r="AF130" s="30">
        <f t="shared" si="156"/>
        <v>-20109</v>
      </c>
      <c r="AG130" s="30">
        <f t="shared" si="157"/>
        <v>-16682</v>
      </c>
      <c r="AH130" s="61"/>
      <c r="AI130" s="70">
        <f t="shared" si="158"/>
        <v>0.37628908505898861</v>
      </c>
    </row>
    <row r="131" spans="2:35" ht="12.75" customHeight="1">
      <c r="B131" s="80" t="s">
        <v>182</v>
      </c>
      <c r="C131" s="79">
        <v>0</v>
      </c>
      <c r="D131" s="79">
        <v>225604</v>
      </c>
      <c r="E131" s="79">
        <v>0</v>
      </c>
      <c r="F131" s="79">
        <v>0</v>
      </c>
      <c r="G131" s="30"/>
      <c r="H131" s="79">
        <v>225604</v>
      </c>
      <c r="I131" s="30">
        <f>225604-H131</f>
        <v>0</v>
      </c>
      <c r="J131" s="30">
        <f>225604-I131-H131</f>
        <v>0</v>
      </c>
      <c r="K131" s="30">
        <f t="shared" ref="K131:K132" si="162">SUM(D131-SUM(H131:J131))</f>
        <v>0</v>
      </c>
      <c r="L131" s="79">
        <v>0</v>
      </c>
      <c r="M131" s="30">
        <v>0</v>
      </c>
      <c r="N131" s="30">
        <v>0</v>
      </c>
      <c r="O131" s="30">
        <f t="shared" ref="O131:O132" si="163">SUM(E131-SUM(L131:N131))</f>
        <v>0</v>
      </c>
      <c r="P131" s="79">
        <v>0</v>
      </c>
      <c r="Q131" s="30">
        <v>0</v>
      </c>
      <c r="R131" s="30">
        <v>0</v>
      </c>
      <c r="S131" s="30">
        <f t="shared" ref="S131:U132" si="164">SUM(F131-SUM(P131:R131))</f>
        <v>0</v>
      </c>
      <c r="T131" s="79">
        <v>0</v>
      </c>
      <c r="U131" s="30"/>
      <c r="V131" s="30"/>
      <c r="W131" s="30">
        <f>SUM(I131:L131)</f>
        <v>0</v>
      </c>
      <c r="X131" s="30">
        <f>SUM(J131:M131)</f>
        <v>0</v>
      </c>
      <c r="Y131" s="30">
        <f>SUM(K131:N131)</f>
        <v>0</v>
      </c>
      <c r="Z131" s="30">
        <f>SUM(L131:O131)</f>
        <v>0</v>
      </c>
      <c r="AA131" s="30">
        <f>SUM(M131:P131)</f>
        <v>0</v>
      </c>
      <c r="AB131" s="30">
        <f>SUM(N131:Q131)</f>
        <v>0</v>
      </c>
      <c r="AC131" s="30">
        <f t="shared" si="153"/>
        <v>0</v>
      </c>
      <c r="AD131" s="30">
        <f t="shared" si="154"/>
        <v>0</v>
      </c>
      <c r="AE131" s="30">
        <f t="shared" si="155"/>
        <v>0</v>
      </c>
      <c r="AF131" s="30">
        <f t="shared" si="156"/>
        <v>0</v>
      </c>
      <c r="AG131" s="30">
        <f t="shared" si="157"/>
        <v>0</v>
      </c>
      <c r="AH131" s="61"/>
      <c r="AI131" s="70" t="e">
        <f t="shared" ref="AI131:AI132" si="165">SUM(AG131/AC131)-1</f>
        <v>#DIV/0!</v>
      </c>
    </row>
    <row r="132" spans="2:35" ht="12.75" customHeight="1">
      <c r="B132" s="80" t="s">
        <v>183</v>
      </c>
      <c r="C132" s="79">
        <v>0</v>
      </c>
      <c r="D132" s="79">
        <v>-18842</v>
      </c>
      <c r="E132" s="79">
        <v>0</v>
      </c>
      <c r="F132" s="79">
        <v>0</v>
      </c>
      <c r="G132" s="30"/>
      <c r="H132" s="79">
        <v>-16731</v>
      </c>
      <c r="I132" s="30">
        <f>-17428-H132</f>
        <v>-697</v>
      </c>
      <c r="J132" s="30">
        <f>-18420-I132-H132</f>
        <v>-992</v>
      </c>
      <c r="K132" s="30">
        <f t="shared" si="162"/>
        <v>-422</v>
      </c>
      <c r="L132" s="79">
        <v>0</v>
      </c>
      <c r="M132" s="30">
        <v>0</v>
      </c>
      <c r="N132" s="30">
        <v>0</v>
      </c>
      <c r="O132" s="30">
        <f t="shared" si="163"/>
        <v>0</v>
      </c>
      <c r="P132" s="79">
        <v>0</v>
      </c>
      <c r="Q132" s="30">
        <v>0</v>
      </c>
      <c r="R132" s="30">
        <v>0</v>
      </c>
      <c r="S132" s="30">
        <f t="shared" si="164"/>
        <v>0</v>
      </c>
      <c r="T132" s="79">
        <v>0</v>
      </c>
      <c r="U132" s="30"/>
      <c r="V132" s="30"/>
      <c r="W132" s="30"/>
      <c r="X132" s="30"/>
      <c r="Y132" s="30"/>
      <c r="Z132" s="30"/>
      <c r="AA132" s="30"/>
      <c r="AB132" s="30"/>
      <c r="AC132" s="30">
        <f t="shared" si="153"/>
        <v>0</v>
      </c>
      <c r="AD132" s="30">
        <f t="shared" si="154"/>
        <v>0</v>
      </c>
      <c r="AE132" s="30">
        <f t="shared" si="155"/>
        <v>0</v>
      </c>
      <c r="AF132" s="30">
        <f t="shared" si="156"/>
        <v>0</v>
      </c>
      <c r="AG132" s="30">
        <f t="shared" si="157"/>
        <v>0</v>
      </c>
      <c r="AH132" s="61"/>
      <c r="AI132" s="70" t="e">
        <f t="shared" si="165"/>
        <v>#DIV/0!</v>
      </c>
    </row>
    <row r="133" spans="2:35" ht="12.75" customHeight="1">
      <c r="B133" s="12" t="s">
        <v>77</v>
      </c>
      <c r="C133" s="32">
        <f>SUM(C129:C132)</f>
        <v>25583</v>
      </c>
      <c r="D133" s="32">
        <f t="shared" ref="D133:F133" si="166">SUM(D129:D132)</f>
        <v>215454</v>
      </c>
      <c r="E133" s="32">
        <f t="shared" si="166"/>
        <v>13230</v>
      </c>
      <c r="F133" s="32">
        <f t="shared" si="166"/>
        <v>175459</v>
      </c>
      <c r="H133" s="32">
        <f t="shared" ref="H133" si="167">SUM(H129:H132)</f>
        <v>213445</v>
      </c>
      <c r="I133" s="32">
        <f t="shared" ref="I133" si="168">SUM(I129:I132)</f>
        <v>4321</v>
      </c>
      <c r="J133" s="32">
        <f t="shared" ref="J133" si="169">SUM(J129:J132)</f>
        <v>-677</v>
      </c>
      <c r="K133" s="32">
        <f t="shared" ref="K133" si="170">SUM(K129:K132)</f>
        <v>-1635</v>
      </c>
      <c r="L133" s="32">
        <f t="shared" ref="L133" si="171">SUM(L129:L132)</f>
        <v>-1154</v>
      </c>
      <c r="M133" s="32">
        <f t="shared" ref="M133" si="172">SUM(M129:M132)</f>
        <v>1440</v>
      </c>
      <c r="N133" s="32">
        <f t="shared" ref="N133" si="173">SUM(N129:N132)</f>
        <v>11757</v>
      </c>
      <c r="O133" s="32">
        <f t="shared" ref="O133" si="174">SUM(O129:O132)</f>
        <v>1187</v>
      </c>
      <c r="P133" s="32">
        <f t="shared" ref="P133" si="175">SUM(P129:P132)</f>
        <v>20710</v>
      </c>
      <c r="Q133" s="32">
        <f t="shared" ref="Q133" si="176">SUM(Q129:Q132)</f>
        <v>12383</v>
      </c>
      <c r="R133" s="32">
        <f t="shared" ref="R133" si="177">SUM(R129:R132)</f>
        <v>8692</v>
      </c>
      <c r="S133" s="32">
        <f t="shared" ref="S133" si="178">SUM(S129:S132)</f>
        <v>133674</v>
      </c>
      <c r="T133" s="32">
        <f t="shared" ref="T133" si="179">SUM(T129:T132)</f>
        <v>6935</v>
      </c>
      <c r="U133" s="32">
        <f t="shared" ref="U133" si="180">SUM(U129:U132)</f>
        <v>389095</v>
      </c>
      <c r="V133" s="30"/>
      <c r="W133" s="32">
        <f t="shared" ref="W133" si="181">SUM(W129:W132)</f>
        <v>0</v>
      </c>
      <c r="X133" s="32">
        <f t="shared" ref="X133" si="182">SUM(X129:X132)</f>
        <v>0</v>
      </c>
      <c r="Y133" s="32">
        <f t="shared" ref="Y133" si="183">SUM(Y129:Y132)</f>
        <v>0</v>
      </c>
      <c r="Z133" s="32">
        <f t="shared" ref="Z133" si="184">SUM(Z129:Z132)</f>
        <v>0</v>
      </c>
      <c r="AA133" s="32">
        <f t="shared" ref="AA133" si="185">SUM(AA129:AA132)</f>
        <v>0</v>
      </c>
      <c r="AB133" s="32">
        <f t="shared" ref="AB133" si="186">SUM(AB129:AB132)</f>
        <v>0</v>
      </c>
      <c r="AC133" s="32">
        <f t="shared" ref="AC133" si="187">SUM(AC129:AC132)</f>
        <v>46037</v>
      </c>
      <c r="AD133" s="32">
        <f t="shared" ref="AD133" si="188">SUM(AD129:AD132)</f>
        <v>42972</v>
      </c>
      <c r="AE133" s="32">
        <f t="shared" ref="AE133" si="189">SUM(AE129:AE132)</f>
        <v>175459</v>
      </c>
      <c r="AF133" s="32">
        <f t="shared" ref="AF133" si="190">SUM(AF129:AF132)</f>
        <v>161684</v>
      </c>
      <c r="AG133" s="32">
        <f t="shared" ref="AG133" si="191">SUM(AG129:AG132)</f>
        <v>538396</v>
      </c>
      <c r="AH133" s="40"/>
      <c r="AI133" s="71">
        <f>SUM(AG133/AC133)-1</f>
        <v>10.694854139062059</v>
      </c>
    </row>
    <row r="134" spans="2:35" ht="5.0999999999999996" customHeight="1">
      <c r="B134" s="8"/>
      <c r="C134" s="62"/>
      <c r="D134" s="62"/>
      <c r="E134" s="62"/>
      <c r="F134" s="62"/>
      <c r="G134" s="30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44"/>
    </row>
    <row r="135" spans="2:35" ht="5.0999999999999996" customHeight="1">
      <c r="B135" s="67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11"/>
      <c r="AI135" s="44"/>
    </row>
    <row r="136" spans="2:35">
      <c r="B136" s="144" t="s">
        <v>82</v>
      </c>
      <c r="C136" s="143">
        <v>22520</v>
      </c>
      <c r="D136" s="132">
        <f>C142</f>
        <v>11729</v>
      </c>
      <c r="E136" s="132">
        <f t="shared" ref="E136:F136" si="192">D142</f>
        <v>57888</v>
      </c>
      <c r="F136" s="132">
        <f t="shared" si="192"/>
        <v>21392</v>
      </c>
      <c r="G136" s="132"/>
      <c r="H136" s="132">
        <f>C142</f>
        <v>11729</v>
      </c>
      <c r="I136" s="132">
        <f>H142</f>
        <v>206626</v>
      </c>
      <c r="J136" s="132">
        <f t="shared" ref="J136:U136" si="193">I142</f>
        <v>204738</v>
      </c>
      <c r="K136" s="132">
        <f t="shared" si="193"/>
        <v>82998</v>
      </c>
      <c r="L136" s="132">
        <f t="shared" si="193"/>
        <v>57263</v>
      </c>
      <c r="M136" s="132">
        <f t="shared" si="193"/>
        <v>25575</v>
      </c>
      <c r="N136" s="132">
        <f t="shared" si="193"/>
        <v>21167</v>
      </c>
      <c r="O136" s="132">
        <f t="shared" si="193"/>
        <v>42672</v>
      </c>
      <c r="P136" s="132">
        <f t="shared" si="193"/>
        <v>20767</v>
      </c>
      <c r="Q136" s="132">
        <f t="shared" si="193"/>
        <v>34558</v>
      </c>
      <c r="R136" s="132">
        <f t="shared" si="193"/>
        <v>20171</v>
      </c>
      <c r="S136" s="132">
        <f t="shared" si="193"/>
        <v>19701</v>
      </c>
      <c r="T136" s="132">
        <f t="shared" si="193"/>
        <v>67049</v>
      </c>
      <c r="U136" s="132">
        <f t="shared" si="193"/>
        <v>36724</v>
      </c>
      <c r="V136" s="132"/>
      <c r="W136" s="132">
        <f>H142</f>
        <v>206626</v>
      </c>
      <c r="X136" s="132">
        <f>I142</f>
        <v>204738</v>
      </c>
      <c r="Y136" s="132">
        <f>J142</f>
        <v>82998</v>
      </c>
      <c r="Z136" s="132">
        <f>K142</f>
        <v>57263</v>
      </c>
      <c r="AA136" s="132">
        <f>L142</f>
        <v>25575</v>
      </c>
      <c r="AB136" s="132">
        <f>M142</f>
        <v>21167</v>
      </c>
      <c r="AC136" s="132">
        <f>N142</f>
        <v>42672</v>
      </c>
      <c r="AD136" s="132">
        <f>O142</f>
        <v>20767</v>
      </c>
      <c r="AE136" s="132">
        <f>P142</f>
        <v>34558</v>
      </c>
      <c r="AF136" s="132">
        <f>Q142</f>
        <v>20171</v>
      </c>
      <c r="AG136" s="134">
        <f>R142</f>
        <v>19701</v>
      </c>
      <c r="AH136" s="11"/>
      <c r="AI136" s="44"/>
    </row>
    <row r="137" spans="2:35">
      <c r="B137" s="145" t="s">
        <v>112</v>
      </c>
      <c r="C137" s="131">
        <v>0</v>
      </c>
      <c r="D137" s="131">
        <f>-C140-5</f>
        <v>317</v>
      </c>
      <c r="E137" s="131">
        <v>0</v>
      </c>
      <c r="F137" s="131">
        <v>0</v>
      </c>
      <c r="G137" s="131"/>
      <c r="H137" s="131">
        <v>317</v>
      </c>
      <c r="I137" s="131">
        <v>0</v>
      </c>
      <c r="J137" s="131">
        <v>0</v>
      </c>
      <c r="K137" s="131">
        <v>0</v>
      </c>
      <c r="L137" s="131">
        <v>0</v>
      </c>
      <c r="M137" s="131">
        <v>0</v>
      </c>
      <c r="N137" s="131">
        <v>0</v>
      </c>
      <c r="O137" s="131">
        <v>0</v>
      </c>
      <c r="P137" s="131">
        <v>0</v>
      </c>
      <c r="Q137" s="131">
        <v>0</v>
      </c>
      <c r="R137" s="131">
        <v>0</v>
      </c>
      <c r="S137" s="131">
        <v>0</v>
      </c>
      <c r="T137" s="131">
        <v>0</v>
      </c>
      <c r="U137" s="131">
        <v>0</v>
      </c>
      <c r="V137" s="131"/>
      <c r="W137" s="131">
        <f>SUM(I137:L137)</f>
        <v>0</v>
      </c>
      <c r="X137" s="131">
        <f>SUM(J137:M137)</f>
        <v>0</v>
      </c>
      <c r="Y137" s="131">
        <f>SUM(K137:N137)</f>
        <v>0</v>
      </c>
      <c r="Z137" s="131">
        <f>SUM(L137:O137)</f>
        <v>0</v>
      </c>
      <c r="AA137" s="131">
        <f>SUM(M137:P137)</f>
        <v>0</v>
      </c>
      <c r="AB137" s="131">
        <f>SUM(N137:Q137)</f>
        <v>0</v>
      </c>
      <c r="AC137" s="131">
        <f>SUM(O137:R137)</f>
        <v>0</v>
      </c>
      <c r="AD137" s="131">
        <f>SUM(P137:S137)</f>
        <v>0</v>
      </c>
      <c r="AE137" s="131">
        <f>SUM(Q137:T137)</f>
        <v>0</v>
      </c>
      <c r="AF137" s="131">
        <f>SUM(R137:U137)</f>
        <v>0</v>
      </c>
      <c r="AG137" s="135">
        <f>SUM(S137:U137)</f>
        <v>0</v>
      </c>
      <c r="AH137" s="11"/>
      <c r="AI137" s="44"/>
    </row>
    <row r="138" spans="2:35">
      <c r="B138" s="146" t="s">
        <v>96</v>
      </c>
      <c r="C138" s="83">
        <f t="shared" ref="C138:F138" si="194">SUM(C136:C137)</f>
        <v>22520</v>
      </c>
      <c r="D138" s="83">
        <f t="shared" si="194"/>
        <v>12046</v>
      </c>
      <c r="E138" s="83">
        <f t="shared" si="194"/>
        <v>57888</v>
      </c>
      <c r="F138" s="83">
        <f t="shared" si="194"/>
        <v>21392</v>
      </c>
      <c r="G138" s="131"/>
      <c r="H138" s="83">
        <f t="shared" ref="H138:U138" si="195">SUM(H136:H137)</f>
        <v>12046</v>
      </c>
      <c r="I138" s="83">
        <f t="shared" si="195"/>
        <v>206626</v>
      </c>
      <c r="J138" s="83">
        <f t="shared" si="195"/>
        <v>204738</v>
      </c>
      <c r="K138" s="83">
        <f t="shared" si="195"/>
        <v>82998</v>
      </c>
      <c r="L138" s="83">
        <f t="shared" si="195"/>
        <v>57263</v>
      </c>
      <c r="M138" s="83">
        <f t="shared" si="195"/>
        <v>25575</v>
      </c>
      <c r="N138" s="83">
        <f t="shared" si="195"/>
        <v>21167</v>
      </c>
      <c r="O138" s="83">
        <f t="shared" si="195"/>
        <v>42672</v>
      </c>
      <c r="P138" s="83">
        <f t="shared" si="195"/>
        <v>20767</v>
      </c>
      <c r="Q138" s="83">
        <f t="shared" si="195"/>
        <v>34558</v>
      </c>
      <c r="R138" s="83">
        <f t="shared" si="195"/>
        <v>20171</v>
      </c>
      <c r="S138" s="83">
        <f t="shared" si="195"/>
        <v>19701</v>
      </c>
      <c r="T138" s="83">
        <f t="shared" si="195"/>
        <v>67049</v>
      </c>
      <c r="U138" s="83">
        <f t="shared" si="195"/>
        <v>36724</v>
      </c>
      <c r="V138" s="131"/>
      <c r="W138" s="130">
        <f t="shared" ref="W138:AG138" si="196">SUM(W136:W137)</f>
        <v>206626</v>
      </c>
      <c r="X138" s="130">
        <f t="shared" si="196"/>
        <v>204738</v>
      </c>
      <c r="Y138" s="130">
        <f t="shared" si="196"/>
        <v>82998</v>
      </c>
      <c r="Z138" s="130">
        <f t="shared" si="196"/>
        <v>57263</v>
      </c>
      <c r="AA138" s="130">
        <f t="shared" si="196"/>
        <v>25575</v>
      </c>
      <c r="AB138" s="130">
        <f t="shared" si="196"/>
        <v>21167</v>
      </c>
      <c r="AC138" s="130">
        <f t="shared" ref="AC138" si="197">SUM(AC136:AC137)</f>
        <v>42672</v>
      </c>
      <c r="AD138" s="130">
        <f t="shared" ref="AD138" si="198">SUM(AD136:AD137)</f>
        <v>20767</v>
      </c>
      <c r="AE138" s="130">
        <f t="shared" ref="AE138" si="199">SUM(AE136:AE137)</f>
        <v>34558</v>
      </c>
      <c r="AF138" s="130">
        <f t="shared" ref="AF138" si="200">SUM(AF136:AF137)</f>
        <v>20171</v>
      </c>
      <c r="AG138" s="136">
        <f t="shared" si="196"/>
        <v>19701</v>
      </c>
      <c r="AH138" s="11"/>
      <c r="AI138" s="44"/>
    </row>
    <row r="139" spans="2:35">
      <c r="B139" s="147"/>
      <c r="C139" s="131"/>
      <c r="D139" s="131"/>
      <c r="E139" s="131"/>
      <c r="F139" s="131"/>
      <c r="G139" s="131"/>
      <c r="H139" s="131"/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  <c r="AA139" s="131"/>
      <c r="AB139" s="131"/>
      <c r="AC139" s="131"/>
      <c r="AD139" s="131"/>
      <c r="AE139" s="131"/>
      <c r="AF139" s="131"/>
      <c r="AG139" s="135"/>
      <c r="AH139" s="11"/>
      <c r="AI139" s="44"/>
    </row>
    <row r="140" spans="2:35">
      <c r="B140" s="145" t="s">
        <v>113</v>
      </c>
      <c r="C140" s="138">
        <f>-317-5</f>
        <v>-322</v>
      </c>
      <c r="D140" s="138">
        <v>101</v>
      </c>
      <c r="E140" s="138">
        <v>80</v>
      </c>
      <c r="F140" s="138">
        <v>-188</v>
      </c>
      <c r="G140" s="131"/>
      <c r="H140" s="138">
        <f>-H137+9</f>
        <v>-308</v>
      </c>
      <c r="I140" s="138">
        <f>-317</f>
        <v>-317</v>
      </c>
      <c r="J140" s="138"/>
      <c r="K140" s="131">
        <f>D140</f>
        <v>101</v>
      </c>
      <c r="L140" s="138"/>
      <c r="M140" s="138"/>
      <c r="N140" s="138"/>
      <c r="O140" s="131">
        <f>E140</f>
        <v>80</v>
      </c>
      <c r="P140" s="138"/>
      <c r="Q140" s="138"/>
      <c r="R140" s="138"/>
      <c r="S140" s="131">
        <f>F140</f>
        <v>-188</v>
      </c>
      <c r="T140" s="138"/>
      <c r="U140" s="138"/>
      <c r="V140" s="131"/>
      <c r="W140" s="131">
        <f>SUM(I140:L140)</f>
        <v>-216</v>
      </c>
      <c r="X140" s="131">
        <f>SUM(J140:M140)</f>
        <v>101</v>
      </c>
      <c r="Y140" s="131">
        <f>SUM(K140:N140)</f>
        <v>101</v>
      </c>
      <c r="Z140" s="131">
        <f>SUM(L140:O140)</f>
        <v>80</v>
      </c>
      <c r="AA140" s="131">
        <f>SUM(M140:P140)</f>
        <v>80</v>
      </c>
      <c r="AB140" s="131">
        <f>SUM(N140:Q140)</f>
        <v>80</v>
      </c>
      <c r="AC140" s="131">
        <f>SUM(O140:R140)</f>
        <v>80</v>
      </c>
      <c r="AD140" s="131">
        <f>SUM(P140:S140)</f>
        <v>-188</v>
      </c>
      <c r="AE140" s="131">
        <f>SUM(Q140:T140)</f>
        <v>-188</v>
      </c>
      <c r="AF140" s="131">
        <f>SUM(R140:U140)</f>
        <v>-188</v>
      </c>
      <c r="AG140" s="135">
        <f>SUM(S140:U140)</f>
        <v>-188</v>
      </c>
      <c r="AH140" s="11"/>
      <c r="AI140" s="44"/>
    </row>
    <row r="141" spans="2:35">
      <c r="B141" s="147" t="s">
        <v>81</v>
      </c>
      <c r="C141" s="131">
        <f>+C133+C126+C121</f>
        <v>-10469</v>
      </c>
      <c r="D141" s="131">
        <f>+D133+D126+D121</f>
        <v>45741</v>
      </c>
      <c r="E141" s="131">
        <f>+E133+E126+E121</f>
        <v>-36576</v>
      </c>
      <c r="F141" s="131">
        <f>+F133+F126+F121</f>
        <v>46470</v>
      </c>
      <c r="G141" s="131"/>
      <c r="H141" s="131">
        <f>+H133+H126+H121</f>
        <v>194888</v>
      </c>
      <c r="I141" s="131">
        <f>+I133+I126+I121</f>
        <v>-1571</v>
      </c>
      <c r="J141" s="131">
        <f>+J133+J126+J121</f>
        <v>-121740</v>
      </c>
      <c r="K141" s="131">
        <f>+K133+K126+K121</f>
        <v>-25836</v>
      </c>
      <c r="L141" s="131">
        <f>+L133+L126+L121</f>
        <v>-31688</v>
      </c>
      <c r="M141" s="131">
        <f>+M133+M126+M121</f>
        <v>-4408</v>
      </c>
      <c r="N141" s="131">
        <f>+N133+N126+N121</f>
        <v>21505</v>
      </c>
      <c r="O141" s="131">
        <f>+O133+O126+O121</f>
        <v>-21985</v>
      </c>
      <c r="P141" s="131">
        <f>+P133+P126+P121</f>
        <v>13791</v>
      </c>
      <c r="Q141" s="131">
        <f>+Q133+Q126+Q121</f>
        <v>-14387</v>
      </c>
      <c r="R141" s="131">
        <f>+R133+R126+R121</f>
        <v>-470</v>
      </c>
      <c r="S141" s="131">
        <f>+S133+S126+S121</f>
        <v>47536</v>
      </c>
      <c r="T141" s="131">
        <f>+T133+T126+T121</f>
        <v>-30325</v>
      </c>
      <c r="U141" s="131">
        <f>+U133+U126+U121</f>
        <v>26803</v>
      </c>
      <c r="V141" s="131"/>
      <c r="W141" s="131">
        <f>SUM(I141:L141)</f>
        <v>-180835</v>
      </c>
      <c r="X141" s="131">
        <f>SUM(J141:M141)</f>
        <v>-183672</v>
      </c>
      <c r="Y141" s="131">
        <f>SUM(K141:N141)</f>
        <v>-40427</v>
      </c>
      <c r="Z141" s="131">
        <f>SUM(L141:O141)</f>
        <v>-36576</v>
      </c>
      <c r="AA141" s="131">
        <f>SUM(M141:P141)</f>
        <v>8903</v>
      </c>
      <c r="AB141" s="131">
        <f>SUM(N141:Q141)</f>
        <v>-1076</v>
      </c>
      <c r="AC141" s="131">
        <f>SUM(O141:R141)</f>
        <v>-23051</v>
      </c>
      <c r="AD141" s="131">
        <f>SUM(P141:S141)</f>
        <v>46470</v>
      </c>
      <c r="AE141" s="131">
        <f>SUM(Q141:T141)</f>
        <v>2354</v>
      </c>
      <c r="AF141" s="131">
        <f>SUM(R141:U141)</f>
        <v>43544</v>
      </c>
      <c r="AG141" s="135">
        <f>SUM(S141:U141)</f>
        <v>44014</v>
      </c>
      <c r="AH141" s="11"/>
      <c r="AI141" s="44"/>
    </row>
    <row r="142" spans="2:35">
      <c r="B142" s="146" t="s">
        <v>97</v>
      </c>
      <c r="C142" s="83">
        <f t="shared" ref="C142:F142" si="201">SUM(C138:C141)</f>
        <v>11729</v>
      </c>
      <c r="D142" s="83">
        <f t="shared" si="201"/>
        <v>57888</v>
      </c>
      <c r="E142" s="83">
        <f t="shared" si="201"/>
        <v>21392</v>
      </c>
      <c r="F142" s="83">
        <f t="shared" si="201"/>
        <v>67674</v>
      </c>
      <c r="G142" s="131"/>
      <c r="H142" s="82">
        <f t="shared" ref="H142:U142" si="202">SUM(H138:H141)</f>
        <v>206626</v>
      </c>
      <c r="I142" s="82">
        <f t="shared" si="202"/>
        <v>204738</v>
      </c>
      <c r="J142" s="82">
        <f t="shared" si="202"/>
        <v>82998</v>
      </c>
      <c r="K142" s="82">
        <f t="shared" si="202"/>
        <v>57263</v>
      </c>
      <c r="L142" s="82">
        <f t="shared" si="202"/>
        <v>25575</v>
      </c>
      <c r="M142" s="82">
        <f t="shared" si="202"/>
        <v>21167</v>
      </c>
      <c r="N142" s="82">
        <f t="shared" si="202"/>
        <v>42672</v>
      </c>
      <c r="O142" s="82">
        <f t="shared" si="202"/>
        <v>20767</v>
      </c>
      <c r="P142" s="82">
        <f t="shared" si="202"/>
        <v>34558</v>
      </c>
      <c r="Q142" s="82">
        <f t="shared" si="202"/>
        <v>20171</v>
      </c>
      <c r="R142" s="82">
        <f t="shared" si="202"/>
        <v>19701</v>
      </c>
      <c r="S142" s="82">
        <f t="shared" si="202"/>
        <v>67049</v>
      </c>
      <c r="T142" s="82">
        <f t="shared" si="202"/>
        <v>36724</v>
      </c>
      <c r="U142" s="82">
        <f t="shared" si="202"/>
        <v>63527</v>
      </c>
      <c r="V142" s="131"/>
      <c r="W142" s="82">
        <f t="shared" ref="W142:AG142" si="203">SUM(W138:W141)</f>
        <v>25575</v>
      </c>
      <c r="X142" s="82">
        <f t="shared" si="203"/>
        <v>21167</v>
      </c>
      <c r="Y142" s="82">
        <f t="shared" si="203"/>
        <v>42672</v>
      </c>
      <c r="Z142" s="82">
        <f t="shared" si="203"/>
        <v>20767</v>
      </c>
      <c r="AA142" s="82">
        <f t="shared" si="203"/>
        <v>34558</v>
      </c>
      <c r="AB142" s="82">
        <f t="shared" si="203"/>
        <v>20171</v>
      </c>
      <c r="AC142" s="82">
        <f t="shared" si="203"/>
        <v>19701</v>
      </c>
      <c r="AD142" s="82">
        <f t="shared" si="203"/>
        <v>67049</v>
      </c>
      <c r="AE142" s="82">
        <f t="shared" si="203"/>
        <v>36724</v>
      </c>
      <c r="AF142" s="82">
        <f t="shared" si="203"/>
        <v>63527</v>
      </c>
      <c r="AG142" s="137">
        <f t="shared" si="203"/>
        <v>63527</v>
      </c>
      <c r="AH142" s="11"/>
      <c r="AI142" s="44"/>
    </row>
    <row r="143" spans="2:35" ht="5.0999999999999996" customHeight="1">
      <c r="B143" s="148"/>
      <c r="C143" s="62"/>
      <c r="D143" s="62"/>
      <c r="E143" s="62"/>
      <c r="F143" s="62"/>
      <c r="G143" s="131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139"/>
      <c r="W143" s="140"/>
      <c r="X143" s="140"/>
      <c r="Y143" s="140"/>
      <c r="Z143" s="140"/>
      <c r="AA143" s="140"/>
      <c r="AB143" s="140"/>
      <c r="AC143" s="140"/>
      <c r="AD143" s="140"/>
      <c r="AE143" s="140"/>
      <c r="AF143" s="140"/>
      <c r="AG143" s="133"/>
      <c r="AH143" s="11"/>
      <c r="AI143" s="44"/>
    </row>
    <row r="144" spans="2:35">
      <c r="B144" s="149" t="s">
        <v>80</v>
      </c>
      <c r="C144" s="141">
        <f>C142-C47</f>
        <v>0</v>
      </c>
      <c r="D144" s="141">
        <f>D142-D47</f>
        <v>0</v>
      </c>
      <c r="E144" s="141">
        <f>E142-E47</f>
        <v>0</v>
      </c>
      <c r="F144" s="141">
        <f>F142-F47</f>
        <v>0</v>
      </c>
      <c r="G144" s="142"/>
      <c r="H144" s="141">
        <f t="shared" ref="H144:AG144" si="204">H142-H47</f>
        <v>0</v>
      </c>
      <c r="I144" s="141">
        <f t="shared" si="204"/>
        <v>20718</v>
      </c>
      <c r="J144" s="141">
        <f t="shared" si="204"/>
        <v>9161</v>
      </c>
      <c r="K144" s="141">
        <f t="shared" si="204"/>
        <v>-625</v>
      </c>
      <c r="L144" s="141">
        <f t="shared" si="204"/>
        <v>-542</v>
      </c>
      <c r="M144" s="141">
        <f t="shared" si="204"/>
        <v>-545</v>
      </c>
      <c r="N144" s="141">
        <f t="shared" si="204"/>
        <v>915</v>
      </c>
      <c r="O144" s="141">
        <f t="shared" si="204"/>
        <v>-625</v>
      </c>
      <c r="P144" s="141">
        <f t="shared" si="204"/>
        <v>-540</v>
      </c>
      <c r="Q144" s="141">
        <f t="shared" si="204"/>
        <v>-513</v>
      </c>
      <c r="R144" s="141">
        <f t="shared" si="204"/>
        <v>-585</v>
      </c>
      <c r="S144" s="141">
        <f t="shared" si="204"/>
        <v>-625</v>
      </c>
      <c r="T144" s="141">
        <f t="shared" si="204"/>
        <v>-438</v>
      </c>
      <c r="U144" s="141">
        <f t="shared" si="204"/>
        <v>6344</v>
      </c>
      <c r="V144" s="141"/>
      <c r="W144" s="141">
        <f t="shared" si="204"/>
        <v>-32313</v>
      </c>
      <c r="X144" s="141">
        <f t="shared" si="204"/>
        <v>-4950</v>
      </c>
      <c r="Y144" s="141">
        <f t="shared" si="204"/>
        <v>20960</v>
      </c>
      <c r="Z144" s="141">
        <f t="shared" si="204"/>
        <v>-20990</v>
      </c>
      <c r="AA144" s="141">
        <f t="shared" si="204"/>
        <v>13166</v>
      </c>
      <c r="AB144" s="141">
        <f t="shared" si="204"/>
        <v>-14927</v>
      </c>
      <c r="AC144" s="141">
        <f t="shared" si="204"/>
        <v>-983</v>
      </c>
      <c r="AD144" s="141">
        <f t="shared" si="204"/>
        <v>46763</v>
      </c>
      <c r="AE144" s="141">
        <f t="shared" si="204"/>
        <v>-30950</v>
      </c>
      <c r="AF144" s="141">
        <f t="shared" si="204"/>
        <v>26365</v>
      </c>
      <c r="AG144" s="141">
        <f t="shared" si="204"/>
        <v>6344</v>
      </c>
      <c r="AH144" s="11"/>
      <c r="AI144" s="44"/>
    </row>
    <row r="145" spans="2:35" ht="5.0999999999999996" customHeight="1">
      <c r="B145" s="8"/>
      <c r="C145" s="62"/>
      <c r="D145" s="62"/>
      <c r="E145" s="62"/>
      <c r="F145" s="62"/>
      <c r="G145" s="30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44"/>
    </row>
    <row r="146" spans="2:35">
      <c r="B146" s="8"/>
      <c r="C146" s="62"/>
      <c r="D146" s="62"/>
      <c r="E146" s="62"/>
      <c r="F146" s="62"/>
      <c r="G146" s="30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44"/>
    </row>
    <row r="147" spans="2:35">
      <c r="B147" s="153" t="s">
        <v>180</v>
      </c>
      <c r="C147" s="62"/>
      <c r="D147" s="62"/>
      <c r="E147" s="62"/>
      <c r="F147" s="62"/>
      <c r="G147" s="30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44"/>
    </row>
    <row r="148" spans="2:35">
      <c r="B148" s="80" t="s">
        <v>95</v>
      </c>
      <c r="C148" s="62">
        <v>1489</v>
      </c>
      <c r="D148" s="62">
        <v>3819</v>
      </c>
      <c r="E148" s="62">
        <v>4340</v>
      </c>
      <c r="F148" s="62">
        <v>2350</v>
      </c>
      <c r="G148" s="30"/>
      <c r="H148" s="79">
        <v>878</v>
      </c>
      <c r="I148" s="30">
        <f>1708-H148</f>
        <v>830</v>
      </c>
      <c r="J148" s="30">
        <f>2739-I148-H148</f>
        <v>1031</v>
      </c>
      <c r="K148" s="30">
        <f t="shared" ref="K148" si="205">SUM(D148-SUM(H148:J148))</f>
        <v>1080</v>
      </c>
      <c r="L148" s="79">
        <v>1072</v>
      </c>
      <c r="M148" s="30">
        <f>2330-L148</f>
        <v>1258</v>
      </c>
      <c r="N148" s="30">
        <f>3299-M148-L148</f>
        <v>969</v>
      </c>
      <c r="O148" s="30">
        <f t="shared" ref="O148" si="206">SUM(E148-SUM(L148:N148))</f>
        <v>1041</v>
      </c>
      <c r="P148" s="79">
        <v>811</v>
      </c>
      <c r="Q148" s="30">
        <f>1504-P148</f>
        <v>693</v>
      </c>
      <c r="R148" s="30">
        <f>2057-Q148-P148</f>
        <v>553</v>
      </c>
      <c r="S148" s="30">
        <f t="shared" ref="S148" si="207">SUM(F148-SUM(P148:R148))</f>
        <v>293</v>
      </c>
      <c r="T148" s="79">
        <v>0</v>
      </c>
      <c r="U148" s="79">
        <v>0</v>
      </c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44"/>
    </row>
    <row r="149" spans="2:35" ht="5.0999999999999996" customHeight="1" thickBot="1">
      <c r="B149" s="68"/>
      <c r="C149" s="69"/>
      <c r="D149" s="69"/>
      <c r="E149" s="69"/>
      <c r="F149" s="69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68"/>
      <c r="AC149" s="68"/>
      <c r="AD149" s="68"/>
      <c r="AE149" s="68"/>
      <c r="AF149" s="68"/>
      <c r="AG149" s="68"/>
      <c r="AI149" s="44"/>
    </row>
    <row r="150" spans="2:35" ht="12.75" customHeight="1">
      <c r="B150" s="121" t="s">
        <v>136</v>
      </c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  <c r="AA150" s="121"/>
      <c r="AB150" s="121"/>
      <c r="AC150" s="121"/>
      <c r="AD150" s="121"/>
      <c r="AE150" s="121"/>
      <c r="AF150" s="121"/>
      <c r="AG150" s="121"/>
      <c r="AI150" s="44"/>
    </row>
    <row r="151" spans="2:35" ht="12.75" customHeight="1">
      <c r="B151" s="128" t="s">
        <v>137</v>
      </c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28"/>
    </row>
    <row r="152" spans="2:35" ht="12.75" customHeight="1">
      <c r="C152" s="54"/>
      <c r="D152" s="54"/>
      <c r="E152" s="54"/>
      <c r="F152" s="54"/>
    </row>
    <row r="153" spans="2:35" ht="12.75" customHeight="1">
      <c r="C153" s="54"/>
      <c r="D153" s="54"/>
      <c r="E153" s="54"/>
      <c r="F153" s="54"/>
    </row>
    <row r="154" spans="2:35" ht="12.75" customHeight="1">
      <c r="C154" s="54"/>
      <c r="D154" s="54"/>
      <c r="E154" s="54"/>
      <c r="F154" s="54"/>
    </row>
    <row r="155" spans="2:35" ht="12.75" customHeight="1">
      <c r="C155" s="54"/>
      <c r="D155" s="54"/>
      <c r="E155" s="54"/>
      <c r="F155" s="54"/>
    </row>
    <row r="156" spans="2:35" ht="12.75" customHeight="1">
      <c r="C156" s="54"/>
      <c r="D156" s="54"/>
      <c r="E156" s="54"/>
      <c r="F156" s="5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</row>
    <row r="157" spans="2:35" ht="12.75" customHeight="1">
      <c r="C157" s="54"/>
      <c r="D157" s="54"/>
      <c r="E157" s="54"/>
      <c r="F157" s="54"/>
    </row>
    <row r="158" spans="2:35" ht="12.75" customHeight="1">
      <c r="C158" s="54"/>
      <c r="D158" s="54"/>
      <c r="E158" s="54"/>
      <c r="F158" s="5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</row>
    <row r="159" spans="2:35"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</row>
    <row r="160" spans="2:35"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</row>
    <row r="162" spans="8:21"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</row>
    <row r="163" spans="8:21"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</row>
  </sheetData>
  <mergeCells count="6">
    <mergeCell ref="B151:AG151"/>
    <mergeCell ref="B150:AG150"/>
    <mergeCell ref="AI6:AI8"/>
    <mergeCell ref="AI42:AI44"/>
    <mergeCell ref="AI93:AI95"/>
    <mergeCell ref="B91:AI91"/>
  </mergeCells>
  <dataValidations disablePrompts="1" count="1">
    <dataValidation type="list" allowBlank="1" showInputMessage="1" showErrorMessage="1" sqref="B4" xr:uid="{95A5AB56-0215-4703-953B-CB353CAB6883}">
      <formula1>"$ bns except per share, $ mm except per share,$ in thousands except per share"</formula1>
    </dataValidation>
  </dataValidations>
  <pageMargins left="0.7" right="0.7" top="0.75" bottom="0.75" header="0.3" footer="0.3"/>
  <ignoredErrors>
    <ignoredError sqref="AG14:AG16 AG34 G51" formulaRange="1"/>
    <ignoredError sqref="AI126:AI128 AI121:AI123" evalError="1"/>
    <ignoredError sqref="P99:U100 T98:U98 P98:R98 O98 S9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77D2-8829-42BE-A7B1-460B1A987ED3}">
  <sheetPr>
    <tabColor rgb="FFC00000"/>
  </sheetPr>
  <dimension ref="A2:AF16"/>
  <sheetViews>
    <sheetView showGridLines="0" tabSelected="1" zoomScaleNormal="100" workbookViewId="0">
      <selection activeCell="B2" sqref="B2"/>
    </sheetView>
  </sheetViews>
  <sheetFormatPr defaultRowHeight="12" outlineLevelCol="1"/>
  <cols>
    <col min="1" max="1" width="1.5" style="8" customWidth="1"/>
    <col min="2" max="2" width="46.5" style="8" bestFit="1" customWidth="1"/>
    <col min="3" max="3" width="8.625" style="8" bestFit="1" customWidth="1" outlineLevel="1"/>
    <col min="4" max="6" width="8.625" style="8" bestFit="1" customWidth="1"/>
    <col min="7" max="7" width="1.5" style="8" customWidth="1"/>
    <col min="8" max="10" width="7.875" style="8" customWidth="1" outlineLevel="1"/>
    <col min="11" max="11" width="8.75" style="8" customWidth="1" outlineLevel="1"/>
    <col min="12" max="14" width="8" style="8" customWidth="1" outlineLevel="1"/>
    <col min="15" max="15" width="8.75" style="8" customWidth="1" outlineLevel="1"/>
    <col min="16" max="16" width="8.5" style="8" customWidth="1" outlineLevel="1"/>
    <col min="17" max="17" width="8.25" style="8" bestFit="1" customWidth="1"/>
    <col min="18" max="18" width="8.5" style="8" bestFit="1" customWidth="1"/>
    <col min="19" max="21" width="9.125" style="8" bestFit="1" customWidth="1"/>
    <col min="22" max="22" width="1.5" style="8" customWidth="1"/>
    <col min="23" max="28" width="8.75" style="8" hidden="1" customWidth="1" outlineLevel="1"/>
    <col min="29" max="31" width="8.75" style="8" customWidth="1" outlineLevel="1"/>
    <col min="32" max="32" width="8.75" style="8" bestFit="1" customWidth="1"/>
    <col min="33" max="16384" width="9" style="8"/>
  </cols>
  <sheetData>
    <row r="2" spans="1:32" s="5" customFormat="1" ht="12.75" customHeight="1">
      <c r="B2" s="1" t="s">
        <v>152</v>
      </c>
      <c r="C2" s="2"/>
      <c r="D2" s="2"/>
      <c r="E2" s="2"/>
      <c r="F2" s="2"/>
      <c r="G2" s="3"/>
      <c r="H2" s="2" t="s">
        <v>1</v>
      </c>
      <c r="I2" s="2"/>
      <c r="J2" s="2"/>
      <c r="K2" s="2"/>
      <c r="L2" s="2"/>
      <c r="M2" s="2"/>
      <c r="N2" s="2"/>
      <c r="O2" s="2"/>
      <c r="P2" s="2" t="s">
        <v>1</v>
      </c>
      <c r="Q2" s="2" t="s">
        <v>1</v>
      </c>
      <c r="R2" s="2"/>
      <c r="S2" s="2"/>
      <c r="T2" s="2"/>
      <c r="U2" s="2"/>
      <c r="V2" s="3"/>
      <c r="W2" s="2" t="s">
        <v>10</v>
      </c>
      <c r="X2" s="2"/>
      <c r="Y2" s="2"/>
      <c r="Z2" s="2"/>
      <c r="AA2" s="2" t="s">
        <v>10</v>
      </c>
      <c r="AB2" s="2"/>
      <c r="AC2" s="2" t="s">
        <v>10</v>
      </c>
      <c r="AD2" s="2"/>
      <c r="AE2" s="2"/>
      <c r="AF2" s="2"/>
    </row>
    <row r="3" spans="1:32" s="5" customFormat="1" ht="12.75" customHeight="1">
      <c r="B3" s="6" t="s">
        <v>88</v>
      </c>
      <c r="C3" s="7">
        <f>'Historical Financials'!C7</f>
        <v>2021</v>
      </c>
      <c r="D3" s="7">
        <f>'Historical Financials'!D7</f>
        <v>2022</v>
      </c>
      <c r="E3" s="7">
        <f>'Historical Financials'!E7</f>
        <v>2023</v>
      </c>
      <c r="F3" s="7">
        <f>'Historical Financials'!F7</f>
        <v>2024</v>
      </c>
      <c r="G3" s="3"/>
      <c r="H3" s="7" t="str">
        <f>'Historical Financials'!H7</f>
        <v>1Q22</v>
      </c>
      <c r="I3" s="7" t="str">
        <f>'Historical Financials'!I7</f>
        <v>2Q22</v>
      </c>
      <c r="J3" s="7" t="str">
        <f>'Historical Financials'!J7</f>
        <v>3Q22</v>
      </c>
      <c r="K3" s="7" t="str">
        <f>'Historical Financials'!K7</f>
        <v>4Q22</v>
      </c>
      <c r="L3" s="7" t="str">
        <f>'Historical Financials'!L7</f>
        <v>1Q23</v>
      </c>
      <c r="M3" s="7" t="str">
        <f>'Historical Financials'!M7</f>
        <v>2Q23</v>
      </c>
      <c r="N3" s="7" t="str">
        <f>'Historical Financials'!N7</f>
        <v>3Q23</v>
      </c>
      <c r="O3" s="7" t="str">
        <f>'Historical Financials'!O7</f>
        <v>4Q23</v>
      </c>
      <c r="P3" s="7" t="str">
        <f>'Historical Financials'!P7</f>
        <v>1Q24</v>
      </c>
      <c r="Q3" s="7" t="str">
        <f>'Historical Financials'!Q7</f>
        <v>2Q24</v>
      </c>
      <c r="R3" s="7" t="str">
        <f>'Historical Financials'!R7</f>
        <v>3Q24</v>
      </c>
      <c r="S3" s="7" t="str">
        <f>'Historical Financials'!S7</f>
        <v>4Q24</v>
      </c>
      <c r="T3" s="7" t="str">
        <f>'Historical Financials'!T7</f>
        <v>1Q25</v>
      </c>
      <c r="U3" s="7" t="str">
        <f>'Historical Financials'!U7</f>
        <v>2Q25</v>
      </c>
      <c r="V3" s="4"/>
      <c r="W3" s="4" t="str">
        <f t="shared" ref="W3:AB4" si="0">L3</f>
        <v>1Q23</v>
      </c>
      <c r="X3" s="4" t="str">
        <f t="shared" si="0"/>
        <v>2Q23</v>
      </c>
      <c r="Y3" s="4" t="str">
        <f t="shared" si="0"/>
        <v>3Q23</v>
      </c>
      <c r="Z3" s="4" t="str">
        <f t="shared" si="0"/>
        <v>4Q23</v>
      </c>
      <c r="AA3" s="4" t="str">
        <f t="shared" si="0"/>
        <v>1Q24</v>
      </c>
      <c r="AB3" s="4" t="str">
        <f t="shared" si="0"/>
        <v>2Q24</v>
      </c>
      <c r="AC3" s="4" t="str">
        <f>S3</f>
        <v>4Q24</v>
      </c>
      <c r="AD3" s="4" t="str">
        <f>T3</f>
        <v>1Q25</v>
      </c>
      <c r="AE3" s="4" t="str">
        <f>U3</f>
        <v>2Q25</v>
      </c>
      <c r="AF3" s="4" t="e">
        <f>#REF!</f>
        <v>#REF!</v>
      </c>
    </row>
    <row r="4" spans="1:32" s="5" customFormat="1" ht="12.75" customHeight="1">
      <c r="B4" s="6" t="s">
        <v>151</v>
      </c>
      <c r="C4" s="3">
        <f>'Historical Financials'!C8</f>
        <v>44561</v>
      </c>
      <c r="D4" s="3">
        <f>'Historical Financials'!D8</f>
        <v>44926</v>
      </c>
      <c r="E4" s="3">
        <f>'Historical Financials'!E8</f>
        <v>45291</v>
      </c>
      <c r="F4" s="3">
        <f>'Historical Financials'!F8</f>
        <v>45657</v>
      </c>
      <c r="G4" s="3"/>
      <c r="H4" s="3">
        <f>'Historical Financials'!H8</f>
        <v>44651</v>
      </c>
      <c r="I4" s="3">
        <f>'Historical Financials'!I8</f>
        <v>44742</v>
      </c>
      <c r="J4" s="3">
        <f>'Historical Financials'!J8</f>
        <v>44834</v>
      </c>
      <c r="K4" s="3">
        <f>'Historical Financials'!K8</f>
        <v>44926</v>
      </c>
      <c r="L4" s="3">
        <f>'Historical Financials'!L8</f>
        <v>45016</v>
      </c>
      <c r="M4" s="3">
        <f>'Historical Financials'!M8</f>
        <v>45107</v>
      </c>
      <c r="N4" s="3">
        <f>'Historical Financials'!N8</f>
        <v>45199</v>
      </c>
      <c r="O4" s="3">
        <f>'Historical Financials'!O8</f>
        <v>45291</v>
      </c>
      <c r="P4" s="3">
        <f>'Historical Financials'!P8</f>
        <v>45382</v>
      </c>
      <c r="Q4" s="3">
        <f>'Historical Financials'!Q8</f>
        <v>45473</v>
      </c>
      <c r="R4" s="3">
        <f>'Historical Financials'!R8</f>
        <v>45565</v>
      </c>
      <c r="S4" s="3">
        <f>'Historical Financials'!S8</f>
        <v>45657</v>
      </c>
      <c r="T4" s="3">
        <f>'Historical Financials'!T8</f>
        <v>45747</v>
      </c>
      <c r="U4" s="3">
        <f>'Historical Financials'!U8</f>
        <v>45838</v>
      </c>
      <c r="V4" s="3"/>
      <c r="W4" s="3">
        <f t="shared" si="0"/>
        <v>45016</v>
      </c>
      <c r="X4" s="3">
        <f t="shared" si="0"/>
        <v>45107</v>
      </c>
      <c r="Y4" s="3">
        <f t="shared" si="0"/>
        <v>45199</v>
      </c>
      <c r="Z4" s="3">
        <f t="shared" si="0"/>
        <v>45291</v>
      </c>
      <c r="AA4" s="3">
        <f t="shared" si="0"/>
        <v>45382</v>
      </c>
      <c r="AB4" s="3">
        <f t="shared" si="0"/>
        <v>45473</v>
      </c>
      <c r="AC4" s="3">
        <f>S4</f>
        <v>45657</v>
      </c>
      <c r="AD4" s="3">
        <f>T4</f>
        <v>45747</v>
      </c>
      <c r="AE4" s="3">
        <f>U4</f>
        <v>45838</v>
      </c>
      <c r="AF4" s="3" t="e">
        <f>#REF!</f>
        <v>#REF!</v>
      </c>
    </row>
    <row r="5" spans="1:32" ht="5.0999999999999996" customHeight="1"/>
    <row r="6" spans="1:32" ht="12.75" customHeight="1">
      <c r="A6" s="77" t="s">
        <v>20</v>
      </c>
      <c r="B6" s="74" t="s">
        <v>115</v>
      </c>
      <c r="C6" s="10"/>
      <c r="D6" s="10"/>
      <c r="E6" s="10"/>
      <c r="F6" s="10"/>
      <c r="G6" s="10"/>
      <c r="H6" s="86"/>
      <c r="I6" s="86"/>
      <c r="J6" s="86"/>
      <c r="K6" s="30"/>
      <c r="L6" s="86"/>
      <c r="M6" s="86"/>
      <c r="N6" s="86"/>
      <c r="O6" s="30"/>
      <c r="P6" s="86"/>
      <c r="Q6" s="86"/>
      <c r="R6" s="86"/>
      <c r="S6" s="30"/>
      <c r="T6" s="86"/>
      <c r="U6" s="86"/>
      <c r="V6" s="5"/>
      <c r="W6" s="11"/>
      <c r="X6" s="11"/>
      <c r="Y6" s="11"/>
      <c r="Z6" s="11"/>
      <c r="AA6" s="11"/>
      <c r="AB6" s="11"/>
      <c r="AC6" s="11"/>
      <c r="AD6" s="11"/>
      <c r="AE6" s="11"/>
    </row>
    <row r="7" spans="1:32" ht="12.75" customHeight="1">
      <c r="B7" s="9" t="s">
        <v>121</v>
      </c>
      <c r="C7" s="78"/>
      <c r="D7" s="78"/>
      <c r="E7" s="78"/>
      <c r="F7" s="78"/>
      <c r="G7" s="78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30"/>
      <c r="T7" s="86"/>
      <c r="U7" s="86"/>
      <c r="V7" s="30"/>
      <c r="W7" s="30">
        <f>SUM(I7:L7)</f>
        <v>0</v>
      </c>
      <c r="X7" s="30">
        <f>SUM(J7:M7)</f>
        <v>0</v>
      </c>
      <c r="Y7" s="30">
        <f>SUM(K7:N7)</f>
        <v>0</v>
      </c>
      <c r="Z7" s="30">
        <f>SUM(L7:O7)</f>
        <v>0</v>
      </c>
      <c r="AA7" s="30">
        <f>SUM(M7:P7)</f>
        <v>0</v>
      </c>
      <c r="AB7" s="30">
        <f>SUM(N7:Q7)</f>
        <v>0</v>
      </c>
      <c r="AC7" s="30">
        <f>SUM(P7:S7)</f>
        <v>0</v>
      </c>
      <c r="AD7" s="30">
        <f>SUM(Q7:T7)</f>
        <v>0</v>
      </c>
      <c r="AE7" s="30">
        <f>SUM(R7:U7)</f>
        <v>0</v>
      </c>
      <c r="AF7" s="30">
        <f>SUM(S7:U7)</f>
        <v>0</v>
      </c>
    </row>
    <row r="8" spans="1:32" ht="12.75" customHeight="1">
      <c r="B8" s="9" t="s">
        <v>122</v>
      </c>
      <c r="C8" s="78"/>
      <c r="D8" s="78"/>
      <c r="E8" s="78"/>
      <c r="F8" s="78"/>
      <c r="G8" s="78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30"/>
      <c r="T8" s="86"/>
      <c r="U8" s="86"/>
      <c r="V8" s="5"/>
      <c r="W8" s="11">
        <f>SUM(I8:L8)</f>
        <v>0</v>
      </c>
      <c r="X8" s="11">
        <f>SUM(J8:M8)</f>
        <v>0</v>
      </c>
      <c r="Y8" s="11">
        <f>SUM(K8:N8)</f>
        <v>0</v>
      </c>
      <c r="Z8" s="11">
        <f>SUM(L8:O8)</f>
        <v>0</v>
      </c>
      <c r="AA8" s="11">
        <f>SUM(M8:P8)</f>
        <v>0</v>
      </c>
      <c r="AB8" s="11">
        <f>SUM(N8:Q8)</f>
        <v>0</v>
      </c>
      <c r="AC8" s="30">
        <f>SUM(P8:S8)</f>
        <v>0</v>
      </c>
      <c r="AD8" s="30">
        <f>SUM(Q8:T8)</f>
        <v>0</v>
      </c>
      <c r="AE8" s="30">
        <f>SUM(R8:U8)</f>
        <v>0</v>
      </c>
      <c r="AF8" s="30">
        <f>SUM(S8:U8)</f>
        <v>0</v>
      </c>
    </row>
    <row r="9" spans="1:32" ht="12.75" customHeight="1">
      <c r="B9" s="12" t="s">
        <v>89</v>
      </c>
      <c r="C9" s="32"/>
      <c r="D9" s="32">
        <f t="shared" ref="D9:F9" si="1">SUM(D7:D8)</f>
        <v>0</v>
      </c>
      <c r="E9" s="32">
        <f t="shared" si="1"/>
        <v>0</v>
      </c>
      <c r="F9" s="32">
        <f t="shared" si="1"/>
        <v>0</v>
      </c>
      <c r="G9" s="11"/>
      <c r="H9" s="32"/>
      <c r="I9" s="32"/>
      <c r="J9" s="32"/>
      <c r="K9" s="32"/>
      <c r="L9" s="32"/>
      <c r="M9" s="32"/>
      <c r="N9" s="32"/>
      <c r="O9" s="32"/>
      <c r="P9" s="32">
        <f t="shared" ref="P9:U9" si="2">SUM(P7:P8)</f>
        <v>0</v>
      </c>
      <c r="Q9" s="32">
        <f t="shared" si="2"/>
        <v>0</v>
      </c>
      <c r="R9" s="32">
        <f t="shared" si="2"/>
        <v>0</v>
      </c>
      <c r="S9" s="32">
        <f t="shared" si="2"/>
        <v>0</v>
      </c>
      <c r="T9" s="32">
        <f t="shared" si="2"/>
        <v>0</v>
      </c>
      <c r="U9" s="32">
        <f t="shared" si="2"/>
        <v>0</v>
      </c>
      <c r="V9" s="5"/>
      <c r="W9" s="32">
        <f t="shared" ref="W9:AF9" si="3">SUM(W7:W8)</f>
        <v>0</v>
      </c>
      <c r="X9" s="32">
        <f t="shared" si="3"/>
        <v>0</v>
      </c>
      <c r="Y9" s="32">
        <f t="shared" si="3"/>
        <v>0</v>
      </c>
      <c r="Z9" s="32">
        <f t="shared" si="3"/>
        <v>0</v>
      </c>
      <c r="AA9" s="32">
        <f t="shared" si="3"/>
        <v>0</v>
      </c>
      <c r="AB9" s="32">
        <f t="shared" si="3"/>
        <v>0</v>
      </c>
      <c r="AC9" s="32">
        <f t="shared" si="3"/>
        <v>0</v>
      </c>
      <c r="AD9" s="32">
        <f t="shared" si="3"/>
        <v>0</v>
      </c>
      <c r="AE9" s="32">
        <f t="shared" si="3"/>
        <v>0</v>
      </c>
      <c r="AF9" s="32">
        <f t="shared" si="3"/>
        <v>0</v>
      </c>
    </row>
    <row r="10" spans="1:32">
      <c r="B10" s="75" t="s">
        <v>80</v>
      </c>
      <c r="C10" s="129"/>
      <c r="D10" s="76">
        <f>+D9-'Historical Financials'!D11</f>
        <v>-13102</v>
      </c>
      <c r="E10" s="76">
        <f>+E9-'Historical Financials'!E11</f>
        <v>-12008</v>
      </c>
      <c r="F10" s="76">
        <f>+F9-'Historical Financials'!F11</f>
        <v>-10790</v>
      </c>
      <c r="G10" s="11"/>
      <c r="H10" s="129"/>
      <c r="I10" s="129"/>
      <c r="J10" s="129"/>
      <c r="K10" s="129"/>
      <c r="L10" s="129"/>
      <c r="M10" s="129"/>
      <c r="N10" s="129"/>
      <c r="O10" s="129"/>
      <c r="P10" s="76">
        <f>+P9-'Historical Financials'!P11</f>
        <v>-3052</v>
      </c>
      <c r="Q10" s="76">
        <f>+Q9-'Historical Financials'!Q11</f>
        <v>-3086</v>
      </c>
      <c r="R10" s="76">
        <f>+R9-'Historical Financials'!R11</f>
        <v>-2378</v>
      </c>
      <c r="S10" s="76">
        <f>+S9-'Historical Financials'!S11</f>
        <v>-2274</v>
      </c>
      <c r="T10" s="76">
        <f>+T9-'Historical Financials'!T11</f>
        <v>-1472</v>
      </c>
      <c r="U10" s="76">
        <f>+U9-'Historical Financials'!U11</f>
        <v>-1801</v>
      </c>
      <c r="V10" s="76"/>
      <c r="W10" s="76">
        <f>W9-'Historical Financials'!W11</f>
        <v>-13102</v>
      </c>
      <c r="X10" s="76">
        <f>X9-'Historical Financials'!X11</f>
        <v>-13199</v>
      </c>
      <c r="Y10" s="76">
        <f>Y9-'Historical Financials'!Y11</f>
        <v>-14392</v>
      </c>
      <c r="Z10" s="76">
        <f>Z9-'Historical Financials'!Z11</f>
        <v>-14693</v>
      </c>
      <c r="AA10" s="76">
        <f>AA9-'Historical Financials'!AA11</f>
        <v>-12008</v>
      </c>
      <c r="AB10" s="76">
        <f>AB9-'Historical Financials'!AB11</f>
        <v>-12859</v>
      </c>
      <c r="AC10" s="76">
        <f>AC9-'Historical Financials'!AD11</f>
        <v>-11891</v>
      </c>
      <c r="AD10" s="76">
        <f>AD9-'Historical Financials'!AE11</f>
        <v>-10790</v>
      </c>
      <c r="AE10" s="76">
        <f>AE9-'Historical Financials'!AF11</f>
        <v>-9210</v>
      </c>
      <c r="AF10" s="76">
        <f>AF9-'Historical Financials'!AG11</f>
        <v>-7925</v>
      </c>
    </row>
    <row r="11" spans="1:32">
      <c r="B11" s="16"/>
      <c r="C11" s="17"/>
      <c r="D11" s="17"/>
      <c r="E11" s="17"/>
      <c r="F11" s="17"/>
      <c r="G11" s="18"/>
      <c r="H11" s="19"/>
      <c r="I11" s="19"/>
      <c r="J11" s="19"/>
      <c r="K11" s="20"/>
      <c r="L11" s="19"/>
      <c r="M11" s="19"/>
      <c r="N11" s="19"/>
      <c r="O11" s="20"/>
      <c r="P11" s="19"/>
      <c r="Q11" s="19"/>
      <c r="R11" s="19"/>
      <c r="S11" s="19"/>
      <c r="T11" s="19"/>
      <c r="U11" s="19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</row>
    <row r="12" spans="1:32" ht="12.75" customHeight="1">
      <c r="A12" s="77" t="s">
        <v>20</v>
      </c>
      <c r="B12" s="74" t="s">
        <v>116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5"/>
      <c r="W12" s="11"/>
      <c r="X12" s="11"/>
      <c r="Y12" s="11"/>
      <c r="Z12" s="11"/>
      <c r="AA12" s="11"/>
      <c r="AB12" s="11"/>
      <c r="AC12" s="11"/>
      <c r="AD12" s="11"/>
      <c r="AE12" s="11"/>
    </row>
    <row r="13" spans="1:32" ht="12.75" customHeight="1">
      <c r="B13" s="9" t="s">
        <v>123</v>
      </c>
      <c r="C13" s="78"/>
      <c r="D13" s="78"/>
      <c r="E13" s="78"/>
      <c r="F13" s="78"/>
      <c r="G13" s="78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30"/>
      <c r="T13" s="86"/>
      <c r="U13" s="86"/>
      <c r="V13" s="5"/>
      <c r="W13" s="11">
        <f>SUM(I13:L13)</f>
        <v>0</v>
      </c>
      <c r="X13" s="11">
        <f>SUM(J13:M13)</f>
        <v>0</v>
      </c>
      <c r="Y13" s="11">
        <f>SUM(K13:N13)</f>
        <v>0</v>
      </c>
      <c r="Z13" s="11">
        <f>SUM(L13:O13)</f>
        <v>0</v>
      </c>
      <c r="AA13" s="11">
        <f>SUM(M13:P13)</f>
        <v>0</v>
      </c>
      <c r="AB13" s="11">
        <f>SUM(N13:Q13)</f>
        <v>0</v>
      </c>
      <c r="AC13" s="30">
        <f>SUM(P13:S13)</f>
        <v>0</v>
      </c>
      <c r="AD13" s="30">
        <f>SUM(Q13:T13)</f>
        <v>0</v>
      </c>
      <c r="AE13" s="30">
        <f>SUM(R13:U13)</f>
        <v>0</v>
      </c>
      <c r="AF13" s="30">
        <f>SUM(S13:U13)</f>
        <v>0</v>
      </c>
    </row>
    <row r="14" spans="1:32" ht="12.75" customHeight="1">
      <c r="B14" s="9" t="s">
        <v>124</v>
      </c>
      <c r="C14" s="78"/>
      <c r="D14" s="78"/>
      <c r="E14" s="78"/>
      <c r="F14" s="78"/>
      <c r="G14" s="78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30"/>
      <c r="T14" s="86"/>
      <c r="U14" s="86"/>
      <c r="V14" s="5"/>
      <c r="W14" s="11">
        <f>SUM(I14:L14)</f>
        <v>0</v>
      </c>
      <c r="X14" s="11">
        <f>SUM(J14:M14)</f>
        <v>0</v>
      </c>
      <c r="Y14" s="11">
        <f>SUM(K14:N14)</f>
        <v>0</v>
      </c>
      <c r="Z14" s="11">
        <f>SUM(L14:O14)</f>
        <v>0</v>
      </c>
      <c r="AA14" s="11">
        <f>SUM(M14:P14)</f>
        <v>0</v>
      </c>
      <c r="AB14" s="11">
        <f>SUM(N14:Q14)</f>
        <v>0</v>
      </c>
      <c r="AC14" s="30">
        <f>SUM(P14:S14)</f>
        <v>0</v>
      </c>
      <c r="AD14" s="30">
        <f>SUM(Q14:T14)</f>
        <v>0</v>
      </c>
      <c r="AE14" s="30">
        <f>SUM(R14:U14)</f>
        <v>0</v>
      </c>
      <c r="AF14" s="30">
        <f>SUM(S14:U14)</f>
        <v>0</v>
      </c>
    </row>
    <row r="15" spans="1:32" ht="12.75" customHeight="1">
      <c r="B15" s="12" t="s">
        <v>114</v>
      </c>
      <c r="C15" s="32"/>
      <c r="D15" s="32">
        <f t="shared" ref="D15:F15" si="4">SUM(D13:D14)</f>
        <v>0</v>
      </c>
      <c r="E15" s="32">
        <f t="shared" si="4"/>
        <v>0</v>
      </c>
      <c r="F15" s="32">
        <f t="shared" si="4"/>
        <v>0</v>
      </c>
      <c r="G15" s="11"/>
      <c r="H15" s="32"/>
      <c r="I15" s="32"/>
      <c r="J15" s="32"/>
      <c r="K15" s="32"/>
      <c r="L15" s="32"/>
      <c r="M15" s="32"/>
      <c r="N15" s="32"/>
      <c r="O15" s="32"/>
      <c r="P15" s="32">
        <f t="shared" ref="P15:U15" si="5">SUM(P13:P14)</f>
        <v>0</v>
      </c>
      <c r="Q15" s="32">
        <f t="shared" si="5"/>
        <v>0</v>
      </c>
      <c r="R15" s="32">
        <f t="shared" si="5"/>
        <v>0</v>
      </c>
      <c r="S15" s="32">
        <f t="shared" si="5"/>
        <v>0</v>
      </c>
      <c r="T15" s="32">
        <f t="shared" si="5"/>
        <v>0</v>
      </c>
      <c r="U15" s="32">
        <f t="shared" si="5"/>
        <v>0</v>
      </c>
      <c r="V15" s="5"/>
      <c r="W15" s="32">
        <f t="shared" ref="W15:AF15" si="6">SUM(W13:W14)</f>
        <v>0</v>
      </c>
      <c r="X15" s="32">
        <f t="shared" si="6"/>
        <v>0</v>
      </c>
      <c r="Y15" s="32">
        <f t="shared" si="6"/>
        <v>0</v>
      </c>
      <c r="Z15" s="32">
        <f t="shared" si="6"/>
        <v>0</v>
      </c>
      <c r="AA15" s="32">
        <f t="shared" si="6"/>
        <v>0</v>
      </c>
      <c r="AB15" s="32">
        <f t="shared" si="6"/>
        <v>0</v>
      </c>
      <c r="AC15" s="32">
        <f t="shared" si="6"/>
        <v>0</v>
      </c>
      <c r="AD15" s="32">
        <f t="shared" si="6"/>
        <v>0</v>
      </c>
      <c r="AE15" s="32">
        <f t="shared" si="6"/>
        <v>0</v>
      </c>
      <c r="AF15" s="32">
        <f t="shared" si="6"/>
        <v>0</v>
      </c>
    </row>
    <row r="16" spans="1:32" ht="12.75" customHeight="1">
      <c r="B16" s="75" t="s">
        <v>80</v>
      </c>
      <c r="C16" s="76"/>
      <c r="D16" s="76">
        <f t="shared" ref="D16:F16" si="7">+D15-D9</f>
        <v>0</v>
      </c>
      <c r="E16" s="76">
        <f t="shared" si="7"/>
        <v>0</v>
      </c>
      <c r="F16" s="76">
        <f t="shared" si="7"/>
        <v>0</v>
      </c>
      <c r="G16" s="11"/>
      <c r="H16" s="129"/>
      <c r="I16" s="129"/>
      <c r="J16" s="129"/>
      <c r="K16" s="129"/>
      <c r="L16" s="129"/>
      <c r="M16" s="129"/>
      <c r="N16" s="129"/>
      <c r="O16" s="129"/>
      <c r="P16" s="76">
        <f t="shared" ref="P16" si="8">+P15-P9</f>
        <v>0</v>
      </c>
      <c r="Q16" s="76">
        <f t="shared" ref="Q16" si="9">+Q15-Q9</f>
        <v>0</v>
      </c>
      <c r="R16" s="76">
        <f t="shared" ref="R16" si="10">+R15-R9</f>
        <v>0</v>
      </c>
      <c r="S16" s="76">
        <f t="shared" ref="S16" si="11">+S15-S9</f>
        <v>0</v>
      </c>
      <c r="T16" s="76">
        <f t="shared" ref="T16" si="12">+T15-T9</f>
        <v>0</v>
      </c>
      <c r="U16" s="76">
        <f t="shared" ref="U16" si="13">+U15-U9</f>
        <v>0</v>
      </c>
      <c r="V16" s="76"/>
      <c r="W16" s="76">
        <f>W15-'Historical Financials'!W17</f>
        <v>61210</v>
      </c>
      <c r="X16" s="76">
        <f>X15-'Historical Financials'!X17</f>
        <v>61795</v>
      </c>
      <c r="Y16" s="76">
        <f>Y15-'Historical Financials'!Y17</f>
        <v>57486</v>
      </c>
      <c r="Z16" s="76">
        <f>Z15-'Historical Financials'!Z17</f>
        <v>52768</v>
      </c>
      <c r="AA16" s="76">
        <f>AA15-'Historical Financials'!AA17</f>
        <v>50532</v>
      </c>
      <c r="AB16" s="76">
        <f>AB15-'Historical Financials'!AB17</f>
        <v>49183</v>
      </c>
      <c r="AC16" s="76">
        <f t="shared" ref="AC16" si="14">+AC15-AC9</f>
        <v>0</v>
      </c>
      <c r="AD16" s="76">
        <f t="shared" ref="AD16" si="15">+AD15-AD9</f>
        <v>0</v>
      </c>
      <c r="AE16" s="76">
        <f t="shared" ref="AE16" si="16">+AE15-AE9</f>
        <v>0</v>
      </c>
      <c r="AF16" s="76">
        <f t="shared" ref="AF16" si="17">+AF15-AF9</f>
        <v>0</v>
      </c>
    </row>
  </sheetData>
  <dataValidations disablePrompts="1" count="1">
    <dataValidation type="list" allowBlank="1" showInputMessage="1" showErrorMessage="1" sqref="B4" xr:uid="{62176FD9-E514-4BEC-85E1-6C6963572068}">
      <formula1>"$ bns except per share, $ mm except per share,$ in thousands except per share"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C0D2-A617-43BF-9493-F1D2AA08251E}">
  <sheetPr>
    <tabColor theme="6" tint="-0.249977111117893"/>
  </sheetPr>
  <dimension ref="A2:AK77"/>
  <sheetViews>
    <sheetView showGridLines="0" topLeftCell="A21" zoomScaleNormal="100" workbookViewId="0">
      <selection activeCell="B38" sqref="B38"/>
    </sheetView>
  </sheetViews>
  <sheetFormatPr defaultRowHeight="12" outlineLevelCol="1"/>
  <cols>
    <col min="1" max="1" width="1.5" style="8" customWidth="1"/>
    <col min="2" max="2" width="41.625" style="8" customWidth="1"/>
    <col min="3" max="3" width="8.625" style="8" hidden="1" customWidth="1" outlineLevel="1"/>
    <col min="4" max="4" width="9" style="8" bestFit="1" customWidth="1" collapsed="1"/>
    <col min="5" max="5" width="9.25" style="8" bestFit="1" customWidth="1"/>
    <col min="6" max="6" width="9" style="8"/>
    <col min="7" max="7" width="1.5" style="8" customWidth="1"/>
    <col min="8" max="11" width="7.875" style="8" hidden="1" customWidth="1" outlineLevel="1"/>
    <col min="12" max="12" width="9" style="8" hidden="1" customWidth="1" outlineLevel="1"/>
    <col min="13" max="13" width="8.5" style="8" hidden="1" customWidth="1" outlineLevel="1"/>
    <col min="14" max="14" width="7.875" style="8" hidden="1" customWidth="1" outlineLevel="1"/>
    <col min="15" max="15" width="9" style="8" hidden="1" customWidth="1" outlineLevel="1"/>
    <col min="16" max="16" width="9.25" style="8" hidden="1" customWidth="1" outlineLevel="1"/>
    <col min="17" max="17" width="9.75" style="8" hidden="1" customWidth="1" outlineLevel="1"/>
    <col min="18" max="18" width="9" style="8" customWidth="1" collapsed="1"/>
    <col min="19" max="21" width="9" style="8" bestFit="1" customWidth="1"/>
    <col min="22" max="22" width="8.5" style="8" bestFit="1" customWidth="1"/>
    <col min="23" max="23" width="1.625" style="8" customWidth="1"/>
    <col min="24" max="24" width="9" style="8" hidden="1" customWidth="1" outlineLevel="1"/>
    <col min="25" max="25" width="8.625" style="8" hidden="1" customWidth="1" outlineLevel="1"/>
    <col min="26" max="26" width="8.5" style="8" hidden="1" customWidth="1" outlineLevel="1"/>
    <col min="27" max="28" width="8.25" style="8" hidden="1" customWidth="1" outlineLevel="1"/>
    <col min="29" max="29" width="9.25" style="8" hidden="1" customWidth="1" outlineLevel="1"/>
    <col min="30" max="30" width="9.75" style="8" hidden="1" customWidth="1" outlineLevel="1"/>
    <col min="31" max="31" width="9" style="8" bestFit="1" customWidth="1" collapsed="1"/>
    <col min="32" max="34" width="9" style="8" hidden="1" customWidth="1" outlineLevel="1"/>
    <col min="35" max="35" width="8.5" style="8" bestFit="1" customWidth="1" collapsed="1"/>
    <col min="36" max="36" width="1.5" style="8" customWidth="1"/>
    <col min="37" max="37" width="8.375" style="120" bestFit="1" customWidth="1"/>
    <col min="38" max="16384" width="9" style="8"/>
  </cols>
  <sheetData>
    <row r="2" spans="2:37" s="5" customFormat="1" ht="12.75" customHeight="1">
      <c r="B2" s="1" t="s">
        <v>120</v>
      </c>
      <c r="C2" s="2"/>
      <c r="D2" s="2" t="s">
        <v>0</v>
      </c>
      <c r="E2" s="2"/>
      <c r="F2" s="2"/>
      <c r="G2" s="3"/>
      <c r="H2" s="2" t="s">
        <v>1</v>
      </c>
      <c r="I2" s="2"/>
      <c r="J2" s="2"/>
      <c r="K2" s="2"/>
      <c r="L2" s="2"/>
      <c r="M2" s="2"/>
      <c r="N2" s="2"/>
      <c r="O2" s="2"/>
      <c r="P2" s="2"/>
      <c r="Q2" s="2" t="s">
        <v>1</v>
      </c>
      <c r="R2" s="2" t="s">
        <v>1</v>
      </c>
      <c r="S2" s="2"/>
      <c r="T2" s="2"/>
      <c r="U2" s="2"/>
      <c r="V2" s="2"/>
      <c r="W2" s="3"/>
      <c r="X2" s="2" t="s">
        <v>10</v>
      </c>
      <c r="Y2" s="2"/>
      <c r="Z2" s="2"/>
      <c r="AA2" s="2"/>
      <c r="AB2" s="2"/>
      <c r="AC2" s="2"/>
      <c r="AD2" s="2"/>
      <c r="AE2" s="2" t="s">
        <v>10</v>
      </c>
      <c r="AF2" s="2"/>
      <c r="AG2" s="2"/>
      <c r="AH2" s="2"/>
      <c r="AI2" s="2"/>
      <c r="AJ2" s="3"/>
      <c r="AK2" s="127" t="s">
        <v>27</v>
      </c>
    </row>
    <row r="3" spans="2:37" s="5" customFormat="1" ht="12.75" customHeight="1">
      <c r="B3" s="6" t="s">
        <v>28</v>
      </c>
      <c r="C3" s="7">
        <f>'Historical Financials'!C7</f>
        <v>2021</v>
      </c>
      <c r="D3" s="7">
        <f>'Historical Financials'!D7</f>
        <v>2022</v>
      </c>
      <c r="E3" s="7">
        <f>'Historical Financials'!E7</f>
        <v>2023</v>
      </c>
      <c r="F3" s="7">
        <f>'Historical Financials'!F7</f>
        <v>2024</v>
      </c>
      <c r="G3" s="3"/>
      <c r="H3" s="7" t="str">
        <f>'Historical Financials'!H7</f>
        <v>1Q22</v>
      </c>
      <c r="I3" s="7" t="str">
        <f>'Historical Financials'!I7</f>
        <v>2Q22</v>
      </c>
      <c r="J3" s="7" t="str">
        <f>'Historical Financials'!J7</f>
        <v>3Q22</v>
      </c>
      <c r="K3" s="7" t="str">
        <f>'Historical Financials'!K7</f>
        <v>4Q22</v>
      </c>
      <c r="L3" s="7" t="str">
        <f>'Historical Financials'!L7</f>
        <v>1Q23</v>
      </c>
      <c r="M3" s="7" t="str">
        <f>'Historical Financials'!M7</f>
        <v>2Q23</v>
      </c>
      <c r="N3" s="7" t="str">
        <f>'Historical Financials'!N7</f>
        <v>3Q23</v>
      </c>
      <c r="O3" s="7" t="str">
        <f>'Historical Financials'!O7</f>
        <v>4Q23</v>
      </c>
      <c r="P3" s="7" t="str">
        <f>'Historical Financials'!P7</f>
        <v>1Q24</v>
      </c>
      <c r="Q3" s="7" t="str">
        <f>'Historical Financials'!Q7</f>
        <v>2Q24</v>
      </c>
      <c r="R3" s="7" t="str">
        <f>'Historical Financials'!R7</f>
        <v>3Q24</v>
      </c>
      <c r="S3" s="7" t="str">
        <f>'Historical Financials'!S7</f>
        <v>4Q24</v>
      </c>
      <c r="T3" s="7" t="str">
        <f>'Historical Financials'!T7</f>
        <v>1Q25</v>
      </c>
      <c r="U3" s="7" t="str">
        <f>'Historical Financials'!U7</f>
        <v>2Q25</v>
      </c>
      <c r="V3" s="7" t="e">
        <f>'Historical Financials'!#REF!</f>
        <v>#REF!</v>
      </c>
      <c r="W3" s="3"/>
      <c r="X3" s="4" t="str">
        <f t="shared" ref="X3:AH4" si="0">K3</f>
        <v>4Q22</v>
      </c>
      <c r="Y3" s="4" t="str">
        <f t="shared" si="0"/>
        <v>1Q23</v>
      </c>
      <c r="Z3" s="4" t="str">
        <f t="shared" si="0"/>
        <v>2Q23</v>
      </c>
      <c r="AA3" s="4" t="str">
        <f t="shared" si="0"/>
        <v>3Q23</v>
      </c>
      <c r="AB3" s="4" t="str">
        <f t="shared" si="0"/>
        <v>4Q23</v>
      </c>
      <c r="AC3" s="4" t="str">
        <f t="shared" si="0"/>
        <v>1Q24</v>
      </c>
      <c r="AD3" s="4" t="str">
        <f t="shared" si="0"/>
        <v>2Q24</v>
      </c>
      <c r="AE3" s="4" t="str">
        <f t="shared" si="0"/>
        <v>3Q24</v>
      </c>
      <c r="AF3" s="4" t="str">
        <f t="shared" si="0"/>
        <v>4Q24</v>
      </c>
      <c r="AG3" s="4" t="str">
        <f t="shared" si="0"/>
        <v>1Q25</v>
      </c>
      <c r="AH3" s="4" t="str">
        <f t="shared" si="0"/>
        <v>2Q25</v>
      </c>
      <c r="AI3" s="4" t="e">
        <f>V3</f>
        <v>#REF!</v>
      </c>
      <c r="AJ3" s="3"/>
      <c r="AK3" s="127"/>
    </row>
    <row r="4" spans="2:37" s="5" customFormat="1" ht="12.75" customHeight="1">
      <c r="B4" s="6" t="s">
        <v>151</v>
      </c>
      <c r="C4" s="3">
        <f>'Historical Financials'!C8</f>
        <v>44561</v>
      </c>
      <c r="D4" s="3">
        <f>'Historical Financials'!D8</f>
        <v>44926</v>
      </c>
      <c r="E4" s="3">
        <f>'Historical Financials'!E8</f>
        <v>45291</v>
      </c>
      <c r="F4" s="3">
        <f>'Historical Financials'!F8</f>
        <v>45657</v>
      </c>
      <c r="G4" s="3"/>
      <c r="H4" s="3">
        <f>'Historical Financials'!H8</f>
        <v>44651</v>
      </c>
      <c r="I4" s="3">
        <f>'Historical Financials'!I8</f>
        <v>44742</v>
      </c>
      <c r="J4" s="3">
        <f>'Historical Financials'!J8</f>
        <v>44834</v>
      </c>
      <c r="K4" s="3">
        <f>'Historical Financials'!K8</f>
        <v>44926</v>
      </c>
      <c r="L4" s="3">
        <f>'Historical Financials'!L8</f>
        <v>45016</v>
      </c>
      <c r="M4" s="3">
        <f>'Historical Financials'!M8</f>
        <v>45107</v>
      </c>
      <c r="N4" s="3">
        <f>'Historical Financials'!N8</f>
        <v>45199</v>
      </c>
      <c r="O4" s="3">
        <f>'Historical Financials'!O8</f>
        <v>45291</v>
      </c>
      <c r="P4" s="3">
        <f>'Historical Financials'!P8</f>
        <v>45382</v>
      </c>
      <c r="Q4" s="3">
        <f>'Historical Financials'!Q8</f>
        <v>45473</v>
      </c>
      <c r="R4" s="3">
        <f>'Historical Financials'!R8</f>
        <v>45565</v>
      </c>
      <c r="S4" s="3">
        <f>'Historical Financials'!S8</f>
        <v>45657</v>
      </c>
      <c r="T4" s="3">
        <f>'Historical Financials'!T8</f>
        <v>45747</v>
      </c>
      <c r="U4" s="3">
        <f>'Historical Financials'!U8</f>
        <v>45838</v>
      </c>
      <c r="V4" s="3" t="e">
        <f>'Historical Financials'!#REF!</f>
        <v>#REF!</v>
      </c>
      <c r="W4" s="3"/>
      <c r="X4" s="3">
        <f t="shared" si="0"/>
        <v>44926</v>
      </c>
      <c r="Y4" s="3">
        <f t="shared" si="0"/>
        <v>45016</v>
      </c>
      <c r="Z4" s="3">
        <f t="shared" si="0"/>
        <v>45107</v>
      </c>
      <c r="AA4" s="3">
        <f t="shared" si="0"/>
        <v>45199</v>
      </c>
      <c r="AB4" s="3">
        <f t="shared" si="0"/>
        <v>45291</v>
      </c>
      <c r="AC4" s="3">
        <f t="shared" si="0"/>
        <v>45382</v>
      </c>
      <c r="AD4" s="3">
        <f t="shared" si="0"/>
        <v>45473</v>
      </c>
      <c r="AE4" s="3">
        <f t="shared" si="0"/>
        <v>45565</v>
      </c>
      <c r="AF4" s="3">
        <f t="shared" si="0"/>
        <v>45657</v>
      </c>
      <c r="AG4" s="3">
        <f t="shared" si="0"/>
        <v>45747</v>
      </c>
      <c r="AH4" s="3">
        <f t="shared" si="0"/>
        <v>45838</v>
      </c>
      <c r="AI4" s="3" t="e">
        <f>V4</f>
        <v>#REF!</v>
      </c>
      <c r="AJ4" s="3"/>
      <c r="AK4" s="127"/>
    </row>
    <row r="5" spans="2:37" ht="5.0999999999999996" customHeight="1">
      <c r="AK5" s="116"/>
    </row>
    <row r="6" spans="2:37" ht="12.75" customHeight="1">
      <c r="B6" s="9" t="str">
        <f>'Revenue Drivers'!B7</f>
        <v xml:space="preserve">Quantum computing and networking hardware
</v>
      </c>
      <c r="C6" s="150"/>
      <c r="D6" s="85">
        <f>'Revenue Drivers'!D7</f>
        <v>0</v>
      </c>
      <c r="E6" s="85">
        <f>'Revenue Drivers'!E7</f>
        <v>0</v>
      </c>
      <c r="F6" s="85">
        <f>'Revenue Drivers'!F7</f>
        <v>0</v>
      </c>
      <c r="G6" s="10"/>
      <c r="H6" s="150"/>
      <c r="I6" s="150"/>
      <c r="J6" s="150"/>
      <c r="K6" s="150"/>
      <c r="L6" s="150"/>
      <c r="M6" s="150"/>
      <c r="N6" s="150"/>
      <c r="O6" s="150"/>
      <c r="P6" s="85">
        <f>'Revenue Drivers'!P7</f>
        <v>0</v>
      </c>
      <c r="Q6" s="85">
        <f>'Revenue Drivers'!Q7</f>
        <v>0</v>
      </c>
      <c r="R6" s="85">
        <f>'Revenue Drivers'!R7</f>
        <v>0</v>
      </c>
      <c r="S6" s="85">
        <f>'Revenue Drivers'!S7</f>
        <v>0</v>
      </c>
      <c r="T6" s="85">
        <f>'Revenue Drivers'!T7</f>
        <v>0</v>
      </c>
      <c r="U6" s="85">
        <f>'Revenue Drivers'!U7</f>
        <v>0</v>
      </c>
      <c r="V6" s="85" t="e">
        <f>'Revenue Drivers'!#REF!</f>
        <v>#REF!</v>
      </c>
      <c r="W6" s="5"/>
      <c r="X6" s="150"/>
      <c r="Y6" s="150"/>
      <c r="Z6" s="150"/>
      <c r="AA6" s="150"/>
      <c r="AB6" s="150"/>
      <c r="AC6" s="10">
        <f t="shared" ref="Y6:AH8" si="1">SUM(M6:P6)</f>
        <v>0</v>
      </c>
      <c r="AD6" s="10">
        <f t="shared" si="1"/>
        <v>0</v>
      </c>
      <c r="AE6" s="10">
        <f t="shared" si="1"/>
        <v>0</v>
      </c>
      <c r="AF6" s="10">
        <f t="shared" si="1"/>
        <v>0</v>
      </c>
      <c r="AG6" s="10">
        <f t="shared" si="1"/>
        <v>0</v>
      </c>
      <c r="AH6" s="10">
        <f t="shared" si="1"/>
        <v>0</v>
      </c>
      <c r="AI6" s="10" t="e">
        <f>SUM(S6:V6)</f>
        <v>#REF!</v>
      </c>
      <c r="AK6" s="117" t="e">
        <f>SUM(AI6/AE6)-1</f>
        <v>#REF!</v>
      </c>
    </row>
    <row r="7" spans="2:37" ht="12.75" customHeight="1">
      <c r="B7" s="9" t="str">
        <f>'Revenue Drivers'!B8</f>
        <v xml:space="preserve">Platform, consulting and support services
</v>
      </c>
      <c r="C7" s="150"/>
      <c r="D7" s="85">
        <f>'Revenue Drivers'!D8</f>
        <v>0</v>
      </c>
      <c r="E7" s="85">
        <f>'Revenue Drivers'!E8</f>
        <v>0</v>
      </c>
      <c r="F7" s="85">
        <f>'Revenue Drivers'!F8</f>
        <v>0</v>
      </c>
      <c r="G7" s="10"/>
      <c r="H7" s="150"/>
      <c r="I7" s="150"/>
      <c r="J7" s="150"/>
      <c r="K7" s="150"/>
      <c r="L7" s="150"/>
      <c r="M7" s="150"/>
      <c r="N7" s="150"/>
      <c r="O7" s="150"/>
      <c r="P7" s="85">
        <f>'Revenue Drivers'!P8</f>
        <v>0</v>
      </c>
      <c r="Q7" s="85">
        <f>'Revenue Drivers'!Q8</f>
        <v>0</v>
      </c>
      <c r="R7" s="85">
        <f>'Revenue Drivers'!R8</f>
        <v>0</v>
      </c>
      <c r="S7" s="85">
        <f>'Revenue Drivers'!S8</f>
        <v>0</v>
      </c>
      <c r="T7" s="85">
        <f>'Revenue Drivers'!T8</f>
        <v>0</v>
      </c>
      <c r="U7" s="85">
        <f>'Revenue Drivers'!U8</f>
        <v>0</v>
      </c>
      <c r="V7" s="85" t="e">
        <f>'Revenue Drivers'!#REF!</f>
        <v>#REF!</v>
      </c>
      <c r="W7" s="5"/>
      <c r="X7" s="150"/>
      <c r="Y7" s="150"/>
      <c r="Z7" s="150"/>
      <c r="AA7" s="150"/>
      <c r="AB7" s="150"/>
      <c r="AC7" s="10">
        <f t="shared" si="1"/>
        <v>0</v>
      </c>
      <c r="AD7" s="10">
        <f t="shared" si="1"/>
        <v>0</v>
      </c>
      <c r="AE7" s="10">
        <f t="shared" si="1"/>
        <v>0</v>
      </c>
      <c r="AF7" s="10">
        <f t="shared" si="1"/>
        <v>0</v>
      </c>
      <c r="AG7" s="10">
        <f t="shared" si="1"/>
        <v>0</v>
      </c>
      <c r="AH7" s="10">
        <f t="shared" si="1"/>
        <v>0</v>
      </c>
      <c r="AI7" s="10" t="e">
        <f>SUM(S7:V7)</f>
        <v>#REF!</v>
      </c>
      <c r="AK7" s="117" t="e">
        <f>SUM(AI7/AE7)-1</f>
        <v>#REF!</v>
      </c>
    </row>
    <row r="8" spans="2:37" ht="12.75" customHeight="1">
      <c r="B8" s="12" t="s">
        <v>12</v>
      </c>
      <c r="C8" s="13">
        <f>'Historical Financials'!C11</f>
        <v>8196</v>
      </c>
      <c r="D8" s="13">
        <f>SUM(D6:D7)</f>
        <v>0</v>
      </c>
      <c r="E8" s="13">
        <f>SUM(E6:E7)</f>
        <v>0</v>
      </c>
      <c r="F8" s="13">
        <f>SUM(F6:F7)</f>
        <v>0</v>
      </c>
      <c r="G8" s="10"/>
      <c r="H8" s="13">
        <f>'Historical Financials'!H11</f>
        <v>2104</v>
      </c>
      <c r="I8" s="13">
        <f>'Historical Financials'!I11</f>
        <v>2134</v>
      </c>
      <c r="J8" s="13">
        <f>'Historical Financials'!J11</f>
        <v>2804</v>
      </c>
      <c r="K8" s="13">
        <f>'Historical Financials'!K11</f>
        <v>6060</v>
      </c>
      <c r="L8" s="13">
        <f>'Historical Financials'!L11</f>
        <v>2201</v>
      </c>
      <c r="M8" s="13">
        <f>'Historical Financials'!M11</f>
        <v>3327</v>
      </c>
      <c r="N8" s="13">
        <f>'Historical Financials'!N11</f>
        <v>3105</v>
      </c>
      <c r="O8" s="13">
        <f>'Historical Financials'!O11</f>
        <v>3375</v>
      </c>
      <c r="P8" s="13">
        <f t="shared" ref="P8:V8" si="2">SUM(P6:P7)</f>
        <v>0</v>
      </c>
      <c r="Q8" s="13">
        <f t="shared" si="2"/>
        <v>0</v>
      </c>
      <c r="R8" s="13">
        <f t="shared" si="2"/>
        <v>0</v>
      </c>
      <c r="S8" s="13">
        <f t="shared" si="2"/>
        <v>0</v>
      </c>
      <c r="T8" s="13">
        <f t="shared" si="2"/>
        <v>0</v>
      </c>
      <c r="U8" s="13">
        <f t="shared" si="2"/>
        <v>0</v>
      </c>
      <c r="V8" s="13" t="e">
        <f t="shared" si="2"/>
        <v>#REF!</v>
      </c>
      <c r="W8" s="5"/>
      <c r="X8" s="13">
        <f t="shared" ref="X8" si="3">SUM(H8:K8)</f>
        <v>13102</v>
      </c>
      <c r="Y8" s="13">
        <f t="shared" ref="Y8" si="4">SUM(I8:L8)</f>
        <v>13199</v>
      </c>
      <c r="Z8" s="13">
        <f t="shared" ref="Z8" si="5">SUM(J8:M8)</f>
        <v>14392</v>
      </c>
      <c r="AA8" s="13">
        <f t="shared" ref="AA8" si="6">SUM(K8:N8)</f>
        <v>14693</v>
      </c>
      <c r="AB8" s="13">
        <f t="shared" si="1"/>
        <v>12008</v>
      </c>
      <c r="AC8" s="13">
        <f t="shared" ref="X8:AH8" si="7">SUM(AC6:AC7)</f>
        <v>0</v>
      </c>
      <c r="AD8" s="13">
        <f t="shared" si="7"/>
        <v>0</v>
      </c>
      <c r="AE8" s="13">
        <f t="shared" si="7"/>
        <v>0</v>
      </c>
      <c r="AF8" s="13">
        <f t="shared" si="7"/>
        <v>0</v>
      </c>
      <c r="AG8" s="13">
        <f t="shared" si="7"/>
        <v>0</v>
      </c>
      <c r="AH8" s="13">
        <f t="shared" si="7"/>
        <v>0</v>
      </c>
      <c r="AI8" s="13" t="e">
        <f>SUM(AI6:AI7)</f>
        <v>#REF!</v>
      </c>
      <c r="AK8" s="118" t="e">
        <f>SUM(AI8/AE8)-1</f>
        <v>#REF!</v>
      </c>
    </row>
    <row r="9" spans="2:37" ht="12.75" customHeight="1">
      <c r="B9" s="14" t="s">
        <v>35</v>
      </c>
      <c r="C9" s="150"/>
      <c r="D9" s="15">
        <f>SUM(D8/C8)-1</f>
        <v>-1</v>
      </c>
      <c r="E9" s="15" t="e">
        <f>SUM(E8/D8)-1</f>
        <v>#DIV/0!</v>
      </c>
      <c r="F9" s="15" t="e">
        <f>SUM(F8/E8)-1</f>
        <v>#DIV/0!</v>
      </c>
      <c r="G9" s="11"/>
      <c r="H9" s="150"/>
      <c r="I9" s="150"/>
      <c r="J9" s="150"/>
      <c r="K9" s="150"/>
      <c r="L9" s="150"/>
      <c r="M9" s="15">
        <f>SUM(M8/I8)-1</f>
        <v>0.55904404873477032</v>
      </c>
      <c r="N9" s="15">
        <f t="shared" ref="N9:V9" si="8">SUM(N8/J8)-1</f>
        <v>0.10734664764621971</v>
      </c>
      <c r="O9" s="15">
        <f t="shared" si="8"/>
        <v>-0.44306930693069302</v>
      </c>
      <c r="P9" s="15">
        <f t="shared" si="8"/>
        <v>-1</v>
      </c>
      <c r="Q9" s="15">
        <f t="shared" si="8"/>
        <v>-1</v>
      </c>
      <c r="R9" s="15">
        <f t="shared" si="8"/>
        <v>-1</v>
      </c>
      <c r="S9" s="15">
        <f t="shared" si="8"/>
        <v>-1</v>
      </c>
      <c r="T9" s="15" t="e">
        <f t="shared" si="8"/>
        <v>#DIV/0!</v>
      </c>
      <c r="U9" s="15" t="e">
        <f t="shared" si="8"/>
        <v>#DIV/0!</v>
      </c>
      <c r="V9" s="15" t="e">
        <f t="shared" si="8"/>
        <v>#REF!</v>
      </c>
      <c r="W9" s="5"/>
      <c r="X9" s="106"/>
      <c r="Y9" s="106"/>
      <c r="Z9" s="106"/>
      <c r="AA9" s="106"/>
      <c r="AB9" s="15">
        <f t="shared" ref="AB9:AI9" si="9">SUM(AB8/X8)-1</f>
        <v>-8.3498702488169707E-2</v>
      </c>
      <c r="AC9" s="15">
        <f t="shared" si="9"/>
        <v>-1</v>
      </c>
      <c r="AD9" s="15">
        <f t="shared" si="9"/>
        <v>-1</v>
      </c>
      <c r="AE9" s="15">
        <f t="shared" si="9"/>
        <v>-1</v>
      </c>
      <c r="AF9" s="15">
        <f t="shared" si="9"/>
        <v>-1</v>
      </c>
      <c r="AG9" s="15" t="e">
        <f t="shared" si="9"/>
        <v>#DIV/0!</v>
      </c>
      <c r="AH9" s="15" t="e">
        <f t="shared" si="9"/>
        <v>#DIV/0!</v>
      </c>
      <c r="AI9" s="15" t="e">
        <f t="shared" si="9"/>
        <v>#REF!</v>
      </c>
      <c r="AK9" s="119" t="e">
        <f>SUM(AI9-AE9)*10000</f>
        <v>#REF!</v>
      </c>
    </row>
    <row r="10" spans="2:37" ht="12.75" customHeight="1">
      <c r="B10" s="14" t="s">
        <v>36</v>
      </c>
      <c r="C10" s="15" t="s">
        <v>37</v>
      </c>
      <c r="D10" s="15" t="s">
        <v>37</v>
      </c>
      <c r="E10" s="15" t="s">
        <v>37</v>
      </c>
      <c r="F10" s="15" t="s">
        <v>37</v>
      </c>
      <c r="G10" s="11"/>
      <c r="H10" s="150"/>
      <c r="I10" s="150"/>
      <c r="J10" s="15">
        <f>SUM(J8/I8)-1</f>
        <v>0.31396438612933464</v>
      </c>
      <c r="K10" s="15">
        <f t="shared" ref="K10:V10" si="10">SUM(K8/J8)-1</f>
        <v>1.1611982881597718</v>
      </c>
      <c r="L10" s="15">
        <f t="shared" si="10"/>
        <v>-0.63679867986798677</v>
      </c>
      <c r="M10" s="15">
        <f t="shared" si="10"/>
        <v>0.51158564288959574</v>
      </c>
      <c r="N10" s="15">
        <f t="shared" si="10"/>
        <v>-6.6726780883679004E-2</v>
      </c>
      <c r="O10" s="15">
        <f t="shared" si="10"/>
        <v>8.6956521739130377E-2</v>
      </c>
      <c r="P10" s="15">
        <f t="shared" si="10"/>
        <v>-1</v>
      </c>
      <c r="Q10" s="15" t="e">
        <f t="shared" si="10"/>
        <v>#DIV/0!</v>
      </c>
      <c r="R10" s="15" t="e">
        <f t="shared" si="10"/>
        <v>#DIV/0!</v>
      </c>
      <c r="S10" s="15" t="e">
        <f t="shared" si="10"/>
        <v>#DIV/0!</v>
      </c>
      <c r="T10" s="15" t="e">
        <f t="shared" si="10"/>
        <v>#DIV/0!</v>
      </c>
      <c r="U10" s="15" t="e">
        <f t="shared" si="10"/>
        <v>#DIV/0!</v>
      </c>
      <c r="V10" s="15" t="e">
        <f t="shared" si="10"/>
        <v>#REF!</v>
      </c>
      <c r="W10" s="5"/>
      <c r="X10" s="15" t="s">
        <v>37</v>
      </c>
      <c r="Y10" s="15" t="s">
        <v>37</v>
      </c>
      <c r="Z10" s="15" t="s">
        <v>37</v>
      </c>
      <c r="AA10" s="15" t="s">
        <v>37</v>
      </c>
      <c r="AB10" s="15" t="s">
        <v>37</v>
      </c>
      <c r="AC10" s="15" t="s">
        <v>37</v>
      </c>
      <c r="AD10" s="15" t="s">
        <v>37</v>
      </c>
      <c r="AE10" s="15" t="s">
        <v>37</v>
      </c>
      <c r="AF10" s="15" t="s">
        <v>37</v>
      </c>
      <c r="AG10" s="15" t="s">
        <v>37</v>
      </c>
      <c r="AH10" s="15" t="s">
        <v>37</v>
      </c>
      <c r="AI10" s="15" t="s">
        <v>37</v>
      </c>
      <c r="AK10" s="116"/>
    </row>
    <row r="11" spans="2:37" ht="5.0999999999999996" customHeight="1">
      <c r="B11" s="16"/>
      <c r="C11" s="17"/>
      <c r="D11" s="17"/>
      <c r="E11" s="17"/>
      <c r="F11" s="17"/>
      <c r="G11" s="18"/>
      <c r="H11" s="19"/>
      <c r="I11" s="19"/>
      <c r="J11" s="19"/>
      <c r="K11" s="19"/>
      <c r="L11" s="20"/>
      <c r="M11" s="19"/>
      <c r="N11" s="19"/>
      <c r="O11" s="19"/>
      <c r="P11" s="20"/>
      <c r="Q11" s="19"/>
      <c r="R11" s="19"/>
      <c r="S11" s="19"/>
      <c r="T11" s="19"/>
      <c r="U11" s="19"/>
      <c r="V11" s="19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K11" s="116"/>
    </row>
    <row r="12" spans="2:37" ht="12.75" customHeight="1">
      <c r="B12" s="21" t="s">
        <v>38</v>
      </c>
      <c r="C12" s="85">
        <f>'Historical Financials'!C13</f>
        <v>-1623</v>
      </c>
      <c r="D12" s="85">
        <f>'Historical Financials'!D13</f>
        <v>-2873</v>
      </c>
      <c r="E12" s="85">
        <f>'Historical Financials'!E13</f>
        <v>-2800</v>
      </c>
      <c r="F12" s="85">
        <f>'Historical Financials'!F13</f>
        <v>-5093</v>
      </c>
      <c r="G12" s="10"/>
      <c r="H12" s="85">
        <f>'Historical Financials'!H13</f>
        <v>-414</v>
      </c>
      <c r="I12" s="85">
        <f>'Historical Financials'!I13</f>
        <v>-873</v>
      </c>
      <c r="J12" s="85">
        <f>'Historical Financials'!J13</f>
        <v>-776</v>
      </c>
      <c r="K12" s="85">
        <f>'Historical Financials'!K13</f>
        <v>-810</v>
      </c>
      <c r="L12" s="85">
        <f>'Historical Financials'!L13</f>
        <v>-510</v>
      </c>
      <c r="M12" s="85">
        <f>'Historical Financials'!M13</f>
        <v>-597</v>
      </c>
      <c r="N12" s="85">
        <f>'Historical Financials'!N13</f>
        <v>-834</v>
      </c>
      <c r="O12" s="85">
        <f>'Historical Financials'!O13</f>
        <v>-859</v>
      </c>
      <c r="P12" s="85">
        <f>'Historical Financials'!P13</f>
        <v>-1552</v>
      </c>
      <c r="Q12" s="85">
        <f>'Historical Financials'!Q13</f>
        <v>-1096</v>
      </c>
      <c r="R12" s="85">
        <f>'Historical Financials'!R13</f>
        <v>-1174</v>
      </c>
      <c r="S12" s="85">
        <f>'Historical Financials'!S13</f>
        <v>-1271</v>
      </c>
      <c r="T12" s="85">
        <f>'Historical Financials'!T13</f>
        <v>-1030</v>
      </c>
      <c r="U12" s="85">
        <f>'Historical Financials'!U13</f>
        <v>-1235</v>
      </c>
      <c r="V12" s="85" t="e">
        <f>'Historical Financials'!#REF!</f>
        <v>#REF!</v>
      </c>
      <c r="W12" s="5"/>
      <c r="X12" s="10">
        <f>SUM(G12:K12)</f>
        <v>-2873</v>
      </c>
      <c r="Y12" s="10">
        <f t="shared" ref="Y12:AH12" si="11">SUM(I12:L12)</f>
        <v>-2969</v>
      </c>
      <c r="Z12" s="10">
        <f t="shared" si="11"/>
        <v>-2693</v>
      </c>
      <c r="AA12" s="10">
        <f t="shared" si="11"/>
        <v>-2751</v>
      </c>
      <c r="AB12" s="10">
        <f t="shared" si="11"/>
        <v>-2800</v>
      </c>
      <c r="AC12" s="10">
        <f t="shared" si="11"/>
        <v>-3842</v>
      </c>
      <c r="AD12" s="10">
        <f t="shared" si="11"/>
        <v>-4341</v>
      </c>
      <c r="AE12" s="10">
        <f t="shared" si="11"/>
        <v>-4681</v>
      </c>
      <c r="AF12" s="10">
        <f t="shared" si="11"/>
        <v>-5093</v>
      </c>
      <c r="AG12" s="10">
        <f t="shared" si="11"/>
        <v>-4571</v>
      </c>
      <c r="AH12" s="10">
        <f t="shared" si="11"/>
        <v>-4710</v>
      </c>
      <c r="AI12" s="10" t="e">
        <f>SUM(S12:V12)</f>
        <v>#REF!</v>
      </c>
      <c r="AK12" s="117" t="e">
        <f>SUM(AI12/AE12)-1</f>
        <v>#REF!</v>
      </c>
    </row>
    <row r="13" spans="2:37" ht="12.75" customHeight="1">
      <c r="B13" s="23" t="s">
        <v>25</v>
      </c>
      <c r="C13" s="24">
        <f>+C8+C12</f>
        <v>6573</v>
      </c>
      <c r="D13" s="24">
        <f>+D8+D12</f>
        <v>-2873</v>
      </c>
      <c r="E13" s="24">
        <f>+E8+E12</f>
        <v>-2800</v>
      </c>
      <c r="F13" s="24">
        <f>+F8+F12</f>
        <v>-5093</v>
      </c>
      <c r="G13" s="5"/>
      <c r="H13" s="24">
        <f t="shared" ref="H13" si="12">+H8+H12</f>
        <v>1690</v>
      </c>
      <c r="I13" s="24">
        <f t="shared" ref="I13:V13" si="13">+I8+I12</f>
        <v>1261</v>
      </c>
      <c r="J13" s="24">
        <f t="shared" si="13"/>
        <v>2028</v>
      </c>
      <c r="K13" s="24">
        <f t="shared" si="13"/>
        <v>5250</v>
      </c>
      <c r="L13" s="24">
        <f t="shared" si="13"/>
        <v>1691</v>
      </c>
      <c r="M13" s="24">
        <f t="shared" si="13"/>
        <v>2730</v>
      </c>
      <c r="N13" s="24">
        <f t="shared" si="13"/>
        <v>2271</v>
      </c>
      <c r="O13" s="24">
        <f t="shared" si="13"/>
        <v>2516</v>
      </c>
      <c r="P13" s="24">
        <f t="shared" si="13"/>
        <v>-1552</v>
      </c>
      <c r="Q13" s="24">
        <f t="shared" si="13"/>
        <v>-1096</v>
      </c>
      <c r="R13" s="24">
        <f t="shared" si="13"/>
        <v>-1174</v>
      </c>
      <c r="S13" s="24">
        <f t="shared" si="13"/>
        <v>-1271</v>
      </c>
      <c r="T13" s="24">
        <f t="shared" si="13"/>
        <v>-1030</v>
      </c>
      <c r="U13" s="24">
        <f t="shared" si="13"/>
        <v>-1235</v>
      </c>
      <c r="V13" s="24" t="e">
        <f t="shared" si="13"/>
        <v>#REF!</v>
      </c>
      <c r="W13" s="5"/>
      <c r="X13" s="24">
        <f t="shared" ref="X13:AH13" si="14">+X8+X12</f>
        <v>10229</v>
      </c>
      <c r="Y13" s="24">
        <f t="shared" si="14"/>
        <v>10230</v>
      </c>
      <c r="Z13" s="24">
        <f t="shared" si="14"/>
        <v>11699</v>
      </c>
      <c r="AA13" s="24">
        <f t="shared" si="14"/>
        <v>11942</v>
      </c>
      <c r="AB13" s="24">
        <f t="shared" si="14"/>
        <v>9208</v>
      </c>
      <c r="AC13" s="24">
        <f t="shared" si="14"/>
        <v>-3842</v>
      </c>
      <c r="AD13" s="24">
        <f t="shared" si="14"/>
        <v>-4341</v>
      </c>
      <c r="AE13" s="24">
        <f t="shared" si="14"/>
        <v>-4681</v>
      </c>
      <c r="AF13" s="24">
        <f t="shared" si="14"/>
        <v>-5093</v>
      </c>
      <c r="AG13" s="24">
        <f t="shared" si="14"/>
        <v>-4571</v>
      </c>
      <c r="AH13" s="24">
        <f t="shared" si="14"/>
        <v>-4710</v>
      </c>
      <c r="AI13" s="24" t="e">
        <f>+AI8+AI12</f>
        <v>#REF!</v>
      </c>
      <c r="AK13" s="118" t="e">
        <f>SUM(AI13/AE13)-1</f>
        <v>#REF!</v>
      </c>
    </row>
    <row r="14" spans="2:37" ht="12.75" customHeight="1">
      <c r="B14" s="14" t="s">
        <v>39</v>
      </c>
      <c r="C14" s="15">
        <f>C13/C8</f>
        <v>0.80197657393850663</v>
      </c>
      <c r="D14" s="15" t="e">
        <f>D13/D8</f>
        <v>#DIV/0!</v>
      </c>
      <c r="E14" s="15" t="e">
        <f>E13/E8</f>
        <v>#DIV/0!</v>
      </c>
      <c r="F14" s="15" t="e">
        <f>F13/F8</f>
        <v>#DIV/0!</v>
      </c>
      <c r="G14" s="25"/>
      <c r="H14" s="15">
        <f t="shared" ref="H14" si="15">H13/H8</f>
        <v>0.80323193916349811</v>
      </c>
      <c r="I14" s="15">
        <f t="shared" ref="I14:V14" si="16">I13/I8</f>
        <v>0.59090909090909094</v>
      </c>
      <c r="J14" s="15">
        <f t="shared" si="16"/>
        <v>0.72325249643366618</v>
      </c>
      <c r="K14" s="15">
        <f t="shared" si="16"/>
        <v>0.86633663366336633</v>
      </c>
      <c r="L14" s="15">
        <f t="shared" si="16"/>
        <v>0.76828714220808725</v>
      </c>
      <c r="M14" s="15">
        <f t="shared" si="16"/>
        <v>0.82055906221821462</v>
      </c>
      <c r="N14" s="15">
        <f t="shared" si="16"/>
        <v>0.73140096618357486</v>
      </c>
      <c r="O14" s="15">
        <f t="shared" si="16"/>
        <v>0.74548148148148152</v>
      </c>
      <c r="P14" s="15" t="e">
        <f t="shared" si="16"/>
        <v>#DIV/0!</v>
      </c>
      <c r="Q14" s="15" t="e">
        <f t="shared" si="16"/>
        <v>#DIV/0!</v>
      </c>
      <c r="R14" s="15" t="e">
        <f t="shared" si="16"/>
        <v>#DIV/0!</v>
      </c>
      <c r="S14" s="15" t="e">
        <f t="shared" si="16"/>
        <v>#DIV/0!</v>
      </c>
      <c r="T14" s="15" t="e">
        <f t="shared" si="16"/>
        <v>#DIV/0!</v>
      </c>
      <c r="U14" s="15" t="e">
        <f t="shared" si="16"/>
        <v>#DIV/0!</v>
      </c>
      <c r="V14" s="15" t="e">
        <f t="shared" si="16"/>
        <v>#REF!</v>
      </c>
      <c r="W14" s="26"/>
      <c r="X14" s="15">
        <f t="shared" ref="X14:AH14" si="17">X13/X8</f>
        <v>0.78072050068691801</v>
      </c>
      <c r="Y14" s="15">
        <f t="shared" si="17"/>
        <v>0.77505871656943703</v>
      </c>
      <c r="Z14" s="15">
        <f t="shared" si="17"/>
        <v>0.81288215675375208</v>
      </c>
      <c r="AA14" s="15">
        <f t="shared" si="17"/>
        <v>0.81276798475464507</v>
      </c>
      <c r="AB14" s="15">
        <f t="shared" si="17"/>
        <v>0.76682211858760829</v>
      </c>
      <c r="AC14" s="15" t="e">
        <f t="shared" si="17"/>
        <v>#DIV/0!</v>
      </c>
      <c r="AD14" s="15" t="e">
        <f t="shared" si="17"/>
        <v>#DIV/0!</v>
      </c>
      <c r="AE14" s="15" t="e">
        <f t="shared" si="17"/>
        <v>#DIV/0!</v>
      </c>
      <c r="AF14" s="15" t="e">
        <f t="shared" si="17"/>
        <v>#DIV/0!</v>
      </c>
      <c r="AG14" s="15" t="e">
        <f t="shared" si="17"/>
        <v>#DIV/0!</v>
      </c>
      <c r="AH14" s="15" t="e">
        <f t="shared" si="17"/>
        <v>#DIV/0!</v>
      </c>
      <c r="AI14" s="15" t="e">
        <f>AI13/AI8</f>
        <v>#REF!</v>
      </c>
      <c r="AK14" s="119" t="e">
        <f>SUM(AI14-AE14)*10000</f>
        <v>#REF!</v>
      </c>
    </row>
    <row r="15" spans="2:37" ht="5.0999999999999996" customHeight="1">
      <c r="B15" s="27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5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K15" s="116"/>
    </row>
    <row r="16" spans="2:37" ht="12.75" customHeight="1">
      <c r="B16" s="21" t="s">
        <v>138</v>
      </c>
      <c r="C16" s="85">
        <f>'Historical Financials'!C17</f>
        <v>-26928</v>
      </c>
      <c r="D16" s="85">
        <f>'Historical Financials'!D17</f>
        <v>-59952</v>
      </c>
      <c r="E16" s="85">
        <f>'Historical Financials'!E17</f>
        <v>-52768</v>
      </c>
      <c r="F16" s="85">
        <f>'Historical Financials'!F17</f>
        <v>-49750</v>
      </c>
      <c r="G16" s="85"/>
      <c r="H16" s="85">
        <f>'Historical Financials'!H17</f>
        <v>-12449</v>
      </c>
      <c r="I16" s="85">
        <f>'Historical Financials'!I17</f>
        <v>-12634</v>
      </c>
      <c r="J16" s="85">
        <f>'Historical Financials'!J17</f>
        <v>-17365</v>
      </c>
      <c r="K16" s="85">
        <f>'Historical Financials'!K17</f>
        <v>-17504</v>
      </c>
      <c r="L16" s="85">
        <f>'Historical Financials'!L17</f>
        <v>-13707</v>
      </c>
      <c r="M16" s="85">
        <f>'Historical Financials'!M17</f>
        <v>-13219</v>
      </c>
      <c r="N16" s="85">
        <f>'Historical Financials'!N17</f>
        <v>-13056</v>
      </c>
      <c r="O16" s="85">
        <f>'Historical Financials'!O17</f>
        <v>-12786</v>
      </c>
      <c r="P16" s="85">
        <f>'Historical Financials'!P17</f>
        <v>-11471</v>
      </c>
      <c r="Q16" s="85">
        <f>'Historical Financials'!Q17</f>
        <v>-11870</v>
      </c>
      <c r="R16" s="85">
        <f>'Historical Financials'!R17</f>
        <v>-12752</v>
      </c>
      <c r="S16" s="85">
        <f>'Historical Financials'!S17</f>
        <v>-13657</v>
      </c>
      <c r="T16" s="85">
        <f>'Historical Financials'!T17</f>
        <v>-15455</v>
      </c>
      <c r="U16" s="85">
        <f>'Historical Financials'!U17</f>
        <v>-13522</v>
      </c>
      <c r="V16" s="85" t="e">
        <f>'Historical Financials'!#REF!</f>
        <v>#REF!</v>
      </c>
      <c r="W16" s="5"/>
      <c r="X16" s="10">
        <f t="shared" ref="X16:X19" si="18">SUM(G16:K16)</f>
        <v>-59952</v>
      </c>
      <c r="Y16" s="10">
        <f t="shared" ref="Y16:Y19" si="19">SUM(I16:L16)</f>
        <v>-61210</v>
      </c>
      <c r="Z16" s="10">
        <f t="shared" ref="Z16:Z19" si="20">SUM(J16:M16)</f>
        <v>-61795</v>
      </c>
      <c r="AA16" s="10">
        <f t="shared" ref="AA16:AA19" si="21">SUM(K16:N16)</f>
        <v>-57486</v>
      </c>
      <c r="AB16" s="10">
        <f t="shared" ref="AB16:AB19" si="22">SUM(L16:O16)</f>
        <v>-52768</v>
      </c>
      <c r="AC16" s="10">
        <f t="shared" ref="AC16:AC19" si="23">SUM(M16:P16)</f>
        <v>-50532</v>
      </c>
      <c r="AD16" s="10">
        <f t="shared" ref="AD16:AD19" si="24">SUM(N16:Q16)</f>
        <v>-49183</v>
      </c>
      <c r="AE16" s="10">
        <f t="shared" ref="AE16:AE19" si="25">SUM(O16:R16)</f>
        <v>-48879</v>
      </c>
      <c r="AF16" s="10">
        <f t="shared" ref="AF16:AF19" si="26">SUM(P16:S16)</f>
        <v>-49750</v>
      </c>
      <c r="AG16" s="10">
        <f t="shared" ref="AG16:AG19" si="27">SUM(Q16:T16)</f>
        <v>-53734</v>
      </c>
      <c r="AH16" s="10">
        <f t="shared" ref="AH16:AH19" si="28">SUM(R16:U16)</f>
        <v>-55386</v>
      </c>
      <c r="AI16" s="10" t="e">
        <f t="shared" ref="AI16:AI19" si="29">SUM(S16:V16)</f>
        <v>#REF!</v>
      </c>
      <c r="AK16" s="117" t="e">
        <f>SUM(AI16/AE16)-1</f>
        <v>#REF!</v>
      </c>
    </row>
    <row r="17" spans="2:37" ht="12.75" customHeight="1">
      <c r="B17" s="21" t="s">
        <v>139</v>
      </c>
      <c r="C17" s="85">
        <f>'Historical Financials'!C18</f>
        <v>-13774</v>
      </c>
      <c r="D17" s="85">
        <f>'Historical Financials'!D18</f>
        <v>-53980</v>
      </c>
      <c r="E17" s="85">
        <f>'Historical Financials'!E18</f>
        <v>-27744</v>
      </c>
      <c r="F17" s="85">
        <f>'Historical Financials'!F18</f>
        <v>-24457</v>
      </c>
      <c r="G17" s="85"/>
      <c r="H17" s="85">
        <f>'Historical Financials'!H18</f>
        <v>-13035</v>
      </c>
      <c r="I17" s="85">
        <f>'Historical Financials'!I18</f>
        <v>-14272</v>
      </c>
      <c r="J17" s="85">
        <f>'Historical Financials'!J18</f>
        <v>-15987</v>
      </c>
      <c r="K17" s="85">
        <f>'Historical Financials'!K18</f>
        <v>-10686</v>
      </c>
      <c r="L17" s="85">
        <f>'Historical Financials'!L18</f>
        <v>-9013</v>
      </c>
      <c r="M17" s="85">
        <f>'Historical Financials'!M18</f>
        <v>-5747</v>
      </c>
      <c r="N17" s="85">
        <f>'Historical Financials'!N18</f>
        <v>-6047</v>
      </c>
      <c r="O17" s="85">
        <f>'Historical Financials'!O18</f>
        <v>-6937</v>
      </c>
      <c r="P17" s="85">
        <f>'Historical Financials'!P18</f>
        <v>-6614</v>
      </c>
      <c r="Q17" s="85">
        <f>'Historical Financials'!Q18</f>
        <v>-6205</v>
      </c>
      <c r="R17" s="85">
        <f>'Historical Financials'!R18</f>
        <v>-5798</v>
      </c>
      <c r="S17" s="85">
        <f>'Historical Financials'!S18</f>
        <v>-5840</v>
      </c>
      <c r="T17" s="85">
        <f>'Historical Financials'!T18</f>
        <v>-6619</v>
      </c>
      <c r="U17" s="85">
        <f>'Historical Financials'!U18</f>
        <v>-6926</v>
      </c>
      <c r="V17" s="85" t="e">
        <f>'Historical Financials'!#REF!</f>
        <v>#REF!</v>
      </c>
      <c r="W17" s="5"/>
      <c r="X17" s="10">
        <f t="shared" si="18"/>
        <v>-53980</v>
      </c>
      <c r="Y17" s="10">
        <f t="shared" si="19"/>
        <v>-49958</v>
      </c>
      <c r="Z17" s="10">
        <f t="shared" si="20"/>
        <v>-41433</v>
      </c>
      <c r="AA17" s="10">
        <f t="shared" si="21"/>
        <v>-31493</v>
      </c>
      <c r="AB17" s="10">
        <f t="shared" si="22"/>
        <v>-27744</v>
      </c>
      <c r="AC17" s="10">
        <f t="shared" si="23"/>
        <v>-25345</v>
      </c>
      <c r="AD17" s="10">
        <f t="shared" si="24"/>
        <v>-25803</v>
      </c>
      <c r="AE17" s="10">
        <f t="shared" si="25"/>
        <v>-25554</v>
      </c>
      <c r="AF17" s="10">
        <f t="shared" si="26"/>
        <v>-24457</v>
      </c>
      <c r="AG17" s="10">
        <f t="shared" si="27"/>
        <v>-24462</v>
      </c>
      <c r="AH17" s="10">
        <f t="shared" si="28"/>
        <v>-25183</v>
      </c>
      <c r="AI17" s="10" t="e">
        <f t="shared" si="29"/>
        <v>#REF!</v>
      </c>
      <c r="AK17" s="117" t="e">
        <f t="shared" ref="AK17:AK18" si="30">SUM(AI17/AE17)-1</f>
        <v>#REF!</v>
      </c>
    </row>
    <row r="18" spans="2:37" ht="12.75" customHeight="1">
      <c r="B18" s="21" t="s">
        <v>140</v>
      </c>
      <c r="C18" s="85" t="e">
        <f>'Historical Financials'!#REF!</f>
        <v>#REF!</v>
      </c>
      <c r="D18" s="85" t="e">
        <f>'Historical Financials'!#REF!</f>
        <v>#REF!</v>
      </c>
      <c r="E18" s="85" t="e">
        <f>'Historical Financials'!#REF!</f>
        <v>#REF!</v>
      </c>
      <c r="F18" s="85" t="e">
        <f>'Historical Financials'!#REF!</f>
        <v>#REF!</v>
      </c>
      <c r="G18" s="85"/>
      <c r="H18" s="85" t="e">
        <f>'Historical Financials'!#REF!</f>
        <v>#REF!</v>
      </c>
      <c r="I18" s="85" t="e">
        <f>'Historical Financials'!#REF!</f>
        <v>#REF!</v>
      </c>
      <c r="J18" s="85" t="e">
        <f>'Historical Financials'!#REF!</f>
        <v>#REF!</v>
      </c>
      <c r="K18" s="85" t="e">
        <f>'Historical Financials'!#REF!</f>
        <v>#REF!</v>
      </c>
      <c r="L18" s="85" t="e">
        <f>'Historical Financials'!#REF!</f>
        <v>#REF!</v>
      </c>
      <c r="M18" s="85" t="e">
        <f>'Historical Financials'!#REF!</f>
        <v>#REF!</v>
      </c>
      <c r="N18" s="85" t="e">
        <f>'Historical Financials'!#REF!</f>
        <v>#REF!</v>
      </c>
      <c r="O18" s="85" t="e">
        <f>'Historical Financials'!#REF!</f>
        <v>#REF!</v>
      </c>
      <c r="P18" s="85" t="e">
        <f>'Historical Financials'!#REF!</f>
        <v>#REF!</v>
      </c>
      <c r="Q18" s="85" t="e">
        <f>'Historical Financials'!#REF!</f>
        <v>#REF!</v>
      </c>
      <c r="R18" s="85" t="e">
        <f>'Historical Financials'!#REF!</f>
        <v>#REF!</v>
      </c>
      <c r="S18" s="85" t="e">
        <f>'Historical Financials'!#REF!</f>
        <v>#REF!</v>
      </c>
      <c r="T18" s="85" t="e">
        <f>'Historical Financials'!#REF!</f>
        <v>#REF!</v>
      </c>
      <c r="U18" s="85" t="e">
        <f>'Historical Financials'!#REF!</f>
        <v>#REF!</v>
      </c>
      <c r="V18" s="85" t="e">
        <f>'Historical Financials'!#REF!</f>
        <v>#REF!</v>
      </c>
      <c r="W18" s="5"/>
      <c r="X18" s="10" t="e">
        <f t="shared" si="18"/>
        <v>#REF!</v>
      </c>
      <c r="Y18" s="10" t="e">
        <f t="shared" si="19"/>
        <v>#REF!</v>
      </c>
      <c r="Z18" s="10" t="e">
        <f t="shared" si="20"/>
        <v>#REF!</v>
      </c>
      <c r="AA18" s="10" t="e">
        <f t="shared" si="21"/>
        <v>#REF!</v>
      </c>
      <c r="AB18" s="10" t="e">
        <f t="shared" si="22"/>
        <v>#REF!</v>
      </c>
      <c r="AC18" s="10" t="e">
        <f t="shared" si="23"/>
        <v>#REF!</v>
      </c>
      <c r="AD18" s="10" t="e">
        <f t="shared" si="24"/>
        <v>#REF!</v>
      </c>
      <c r="AE18" s="10" t="e">
        <f t="shared" si="25"/>
        <v>#REF!</v>
      </c>
      <c r="AF18" s="10" t="e">
        <f t="shared" si="26"/>
        <v>#REF!</v>
      </c>
      <c r="AG18" s="10" t="e">
        <f t="shared" si="27"/>
        <v>#REF!</v>
      </c>
      <c r="AH18" s="10" t="e">
        <f t="shared" si="28"/>
        <v>#REF!</v>
      </c>
      <c r="AI18" s="10" t="e">
        <f t="shared" si="29"/>
        <v>#REF!</v>
      </c>
      <c r="AK18" s="117" t="e">
        <f t="shared" si="30"/>
        <v>#REF!</v>
      </c>
    </row>
    <row r="19" spans="2:37" ht="12.75" customHeight="1">
      <c r="B19" s="21" t="s">
        <v>141</v>
      </c>
      <c r="C19" s="85">
        <f>'Historical Financials'!C19</f>
        <v>0</v>
      </c>
      <c r="D19" s="85">
        <f>'Historical Financials'!D19</f>
        <v>-5377</v>
      </c>
      <c r="E19" s="85">
        <f>'Historical Financials'!E19</f>
        <v>-991</v>
      </c>
      <c r="F19" s="85">
        <f>'Historical Financials'!F19</f>
        <v>0</v>
      </c>
      <c r="G19" s="85"/>
      <c r="H19" s="85">
        <f>'Historical Financials'!H19</f>
        <v>0</v>
      </c>
      <c r="I19" s="85">
        <f>'Historical Financials'!I19</f>
        <v>0</v>
      </c>
      <c r="J19" s="85">
        <f>'Historical Financials'!J19</f>
        <v>0</v>
      </c>
      <c r="K19" s="85">
        <f>'Historical Financials'!K19</f>
        <v>-5377</v>
      </c>
      <c r="L19" s="85">
        <f>'Historical Financials'!L19</f>
        <v>-991</v>
      </c>
      <c r="M19" s="85">
        <f>'Historical Financials'!M19</f>
        <v>0</v>
      </c>
      <c r="N19" s="85">
        <f>'Historical Financials'!N19</f>
        <v>0</v>
      </c>
      <c r="O19" s="85">
        <f>'Historical Financials'!O19</f>
        <v>0</v>
      </c>
      <c r="P19" s="85">
        <f>'Historical Financials'!P19</f>
        <v>0</v>
      </c>
      <c r="Q19" s="85">
        <f>'Historical Financials'!Q19</f>
        <v>0</v>
      </c>
      <c r="R19" s="85">
        <f>'Historical Financials'!R19</f>
        <v>0</v>
      </c>
      <c r="S19" s="85">
        <f>'Historical Financials'!S19</f>
        <v>0</v>
      </c>
      <c r="T19" s="85">
        <f>'Historical Financials'!T19</f>
        <v>0</v>
      </c>
      <c r="U19" s="85">
        <f>'Historical Financials'!U19</f>
        <v>0</v>
      </c>
      <c r="V19" s="85" t="e">
        <f>'Historical Financials'!#REF!</f>
        <v>#REF!</v>
      </c>
      <c r="W19" s="5"/>
      <c r="X19" s="10">
        <f t="shared" si="18"/>
        <v>-5377</v>
      </c>
      <c r="Y19" s="10">
        <f t="shared" si="19"/>
        <v>-6368</v>
      </c>
      <c r="Z19" s="10">
        <f t="shared" si="20"/>
        <v>-6368</v>
      </c>
      <c r="AA19" s="10">
        <f t="shared" si="21"/>
        <v>-6368</v>
      </c>
      <c r="AB19" s="10">
        <f t="shared" si="22"/>
        <v>-991</v>
      </c>
      <c r="AC19" s="10">
        <f t="shared" si="23"/>
        <v>0</v>
      </c>
      <c r="AD19" s="10">
        <f t="shared" si="24"/>
        <v>0</v>
      </c>
      <c r="AE19" s="10">
        <f t="shared" si="25"/>
        <v>0</v>
      </c>
      <c r="AF19" s="10">
        <f t="shared" si="26"/>
        <v>0</v>
      </c>
      <c r="AG19" s="10">
        <f t="shared" si="27"/>
        <v>0</v>
      </c>
      <c r="AH19" s="10">
        <f t="shared" si="28"/>
        <v>0</v>
      </c>
      <c r="AI19" s="10" t="e">
        <f t="shared" si="29"/>
        <v>#REF!</v>
      </c>
      <c r="AK19" s="117" t="e">
        <f>SUM(AI19/AE19)-1</f>
        <v>#REF!</v>
      </c>
    </row>
    <row r="20" spans="2:37" ht="12.75" customHeight="1">
      <c r="B20" s="12" t="s">
        <v>40</v>
      </c>
      <c r="C20" s="13" t="e">
        <f>SUM(C13+SUM(C16:C19))</f>
        <v>#REF!</v>
      </c>
      <c r="D20" s="13" t="e">
        <f>SUM(D13+SUM(D16:D19))</f>
        <v>#REF!</v>
      </c>
      <c r="E20" s="13" t="e">
        <f>SUM(E13+SUM(E16:E19))</f>
        <v>#REF!</v>
      </c>
      <c r="F20" s="13" t="e">
        <f>SUM(F13+SUM(F16:F19))</f>
        <v>#REF!</v>
      </c>
      <c r="G20" s="11"/>
      <c r="H20" s="13" t="e">
        <f t="shared" ref="H20" si="31">SUM(H13+SUM(H16:H19))</f>
        <v>#REF!</v>
      </c>
      <c r="I20" s="13" t="e">
        <f t="shared" ref="I20:V20" si="32">SUM(I13+SUM(I16:I19))</f>
        <v>#REF!</v>
      </c>
      <c r="J20" s="13" t="e">
        <f t="shared" si="32"/>
        <v>#REF!</v>
      </c>
      <c r="K20" s="13" t="e">
        <f t="shared" si="32"/>
        <v>#REF!</v>
      </c>
      <c r="L20" s="13" t="e">
        <f t="shared" si="32"/>
        <v>#REF!</v>
      </c>
      <c r="M20" s="13" t="e">
        <f t="shared" si="32"/>
        <v>#REF!</v>
      </c>
      <c r="N20" s="13" t="e">
        <f t="shared" si="32"/>
        <v>#REF!</v>
      </c>
      <c r="O20" s="13" t="e">
        <f t="shared" si="32"/>
        <v>#REF!</v>
      </c>
      <c r="P20" s="13" t="e">
        <f t="shared" si="32"/>
        <v>#REF!</v>
      </c>
      <c r="Q20" s="13" t="e">
        <f t="shared" si="32"/>
        <v>#REF!</v>
      </c>
      <c r="R20" s="13" t="e">
        <f t="shared" si="32"/>
        <v>#REF!</v>
      </c>
      <c r="S20" s="13" t="e">
        <f t="shared" si="32"/>
        <v>#REF!</v>
      </c>
      <c r="T20" s="13" t="e">
        <f t="shared" si="32"/>
        <v>#REF!</v>
      </c>
      <c r="U20" s="13" t="e">
        <f t="shared" si="32"/>
        <v>#REF!</v>
      </c>
      <c r="V20" s="13" t="e">
        <f t="shared" si="32"/>
        <v>#REF!</v>
      </c>
      <c r="W20" s="5"/>
      <c r="X20" s="13" t="e">
        <f t="shared" ref="X20:AH20" si="33">SUM(X13+SUM(X16:X19))</f>
        <v>#REF!</v>
      </c>
      <c r="Y20" s="13" t="e">
        <f t="shared" si="33"/>
        <v>#REF!</v>
      </c>
      <c r="Z20" s="13" t="e">
        <f t="shared" si="33"/>
        <v>#REF!</v>
      </c>
      <c r="AA20" s="13" t="e">
        <f t="shared" si="33"/>
        <v>#REF!</v>
      </c>
      <c r="AB20" s="13" t="e">
        <f t="shared" si="33"/>
        <v>#REF!</v>
      </c>
      <c r="AC20" s="13" t="e">
        <f t="shared" si="33"/>
        <v>#REF!</v>
      </c>
      <c r="AD20" s="13" t="e">
        <f t="shared" si="33"/>
        <v>#REF!</v>
      </c>
      <c r="AE20" s="13" t="e">
        <f t="shared" si="33"/>
        <v>#REF!</v>
      </c>
      <c r="AF20" s="13" t="e">
        <f t="shared" si="33"/>
        <v>#REF!</v>
      </c>
      <c r="AG20" s="13" t="e">
        <f t="shared" si="33"/>
        <v>#REF!</v>
      </c>
      <c r="AH20" s="13" t="e">
        <f t="shared" si="33"/>
        <v>#REF!</v>
      </c>
      <c r="AI20" s="13" t="e">
        <f>SUM(AI13+SUM(AI16:AI19))</f>
        <v>#REF!</v>
      </c>
      <c r="AK20" s="118" t="e">
        <f>SUM(AI20/AE20)-1</f>
        <v>#REF!</v>
      </c>
    </row>
    <row r="21" spans="2:37" ht="12.75" customHeight="1">
      <c r="B21" s="14" t="s">
        <v>41</v>
      </c>
      <c r="C21" s="15" t="e">
        <f>C20/C8</f>
        <v>#REF!</v>
      </c>
      <c r="D21" s="15" t="e">
        <f>D20/D8</f>
        <v>#REF!</v>
      </c>
      <c r="E21" s="15" t="e">
        <f>E20/E8</f>
        <v>#REF!</v>
      </c>
      <c r="F21" s="15" t="e">
        <f>F20/F8</f>
        <v>#REF!</v>
      </c>
      <c r="G21" s="25"/>
      <c r="H21" s="15" t="e">
        <f t="shared" ref="H21" si="34">H20/H8</f>
        <v>#REF!</v>
      </c>
      <c r="I21" s="15" t="e">
        <f t="shared" ref="I21:V21" si="35">I20/I8</f>
        <v>#REF!</v>
      </c>
      <c r="J21" s="15" t="e">
        <f t="shared" si="35"/>
        <v>#REF!</v>
      </c>
      <c r="K21" s="15" t="e">
        <f t="shared" si="35"/>
        <v>#REF!</v>
      </c>
      <c r="L21" s="15" t="e">
        <f t="shared" si="35"/>
        <v>#REF!</v>
      </c>
      <c r="M21" s="15" t="e">
        <f t="shared" si="35"/>
        <v>#REF!</v>
      </c>
      <c r="N21" s="15" t="e">
        <f t="shared" si="35"/>
        <v>#REF!</v>
      </c>
      <c r="O21" s="15" t="e">
        <f t="shared" si="35"/>
        <v>#REF!</v>
      </c>
      <c r="P21" s="15" t="e">
        <f t="shared" si="35"/>
        <v>#REF!</v>
      </c>
      <c r="Q21" s="15" t="e">
        <f t="shared" si="35"/>
        <v>#REF!</v>
      </c>
      <c r="R21" s="15" t="e">
        <f t="shared" si="35"/>
        <v>#REF!</v>
      </c>
      <c r="S21" s="15" t="e">
        <f t="shared" si="35"/>
        <v>#REF!</v>
      </c>
      <c r="T21" s="15" t="e">
        <f t="shared" si="35"/>
        <v>#REF!</v>
      </c>
      <c r="U21" s="15" t="e">
        <f t="shared" si="35"/>
        <v>#REF!</v>
      </c>
      <c r="V21" s="15" t="e">
        <f t="shared" si="35"/>
        <v>#REF!</v>
      </c>
      <c r="W21" s="26"/>
      <c r="X21" s="15" t="e">
        <f t="shared" ref="X21:AH21" si="36">X20/X8</f>
        <v>#REF!</v>
      </c>
      <c r="Y21" s="15" t="e">
        <f t="shared" si="36"/>
        <v>#REF!</v>
      </c>
      <c r="Z21" s="15" t="e">
        <f t="shared" si="36"/>
        <v>#REF!</v>
      </c>
      <c r="AA21" s="15" t="e">
        <f t="shared" si="36"/>
        <v>#REF!</v>
      </c>
      <c r="AB21" s="15" t="e">
        <f t="shared" si="36"/>
        <v>#REF!</v>
      </c>
      <c r="AC21" s="15" t="e">
        <f t="shared" si="36"/>
        <v>#REF!</v>
      </c>
      <c r="AD21" s="15" t="e">
        <f t="shared" si="36"/>
        <v>#REF!</v>
      </c>
      <c r="AE21" s="15" t="e">
        <f t="shared" si="36"/>
        <v>#REF!</v>
      </c>
      <c r="AF21" s="15" t="e">
        <f t="shared" si="36"/>
        <v>#REF!</v>
      </c>
      <c r="AG21" s="15" t="e">
        <f t="shared" si="36"/>
        <v>#REF!</v>
      </c>
      <c r="AH21" s="15" t="e">
        <f t="shared" si="36"/>
        <v>#REF!</v>
      </c>
      <c r="AI21" s="15" t="e">
        <f>AI20/AI8</f>
        <v>#REF!</v>
      </c>
      <c r="AK21" s="119" t="e">
        <f>SUM(AI21-AE21)*10000</f>
        <v>#REF!</v>
      </c>
    </row>
    <row r="22" spans="2:37" ht="5.0999999999999996" customHeight="1">
      <c r="AK22" s="116"/>
    </row>
    <row r="23" spans="2:37" ht="12.75" customHeight="1">
      <c r="B23" s="29" t="s">
        <v>42</v>
      </c>
      <c r="C23" s="114">
        <f>-C19</f>
        <v>0</v>
      </c>
      <c r="D23" s="114">
        <f t="shared" ref="D23:V23" si="37">-D19</f>
        <v>5377</v>
      </c>
      <c r="E23" s="114">
        <f t="shared" si="37"/>
        <v>991</v>
      </c>
      <c r="F23" s="114">
        <f t="shared" si="37"/>
        <v>0</v>
      </c>
      <c r="G23" s="151"/>
      <c r="H23" s="114">
        <f t="shared" si="37"/>
        <v>0</v>
      </c>
      <c r="I23" s="114">
        <f t="shared" si="37"/>
        <v>0</v>
      </c>
      <c r="J23" s="114">
        <f t="shared" si="37"/>
        <v>0</v>
      </c>
      <c r="K23" s="114">
        <f t="shared" si="37"/>
        <v>5377</v>
      </c>
      <c r="L23" s="114">
        <f t="shared" si="37"/>
        <v>991</v>
      </c>
      <c r="M23" s="114">
        <f t="shared" si="37"/>
        <v>0</v>
      </c>
      <c r="N23" s="114">
        <f t="shared" si="37"/>
        <v>0</v>
      </c>
      <c r="O23" s="114">
        <f t="shared" si="37"/>
        <v>0</v>
      </c>
      <c r="P23" s="114">
        <f t="shared" si="37"/>
        <v>0</v>
      </c>
      <c r="Q23" s="114">
        <f t="shared" si="37"/>
        <v>0</v>
      </c>
      <c r="R23" s="114">
        <f t="shared" si="37"/>
        <v>0</v>
      </c>
      <c r="S23" s="114">
        <f t="shared" si="37"/>
        <v>0</v>
      </c>
      <c r="T23" s="114">
        <f t="shared" si="37"/>
        <v>0</v>
      </c>
      <c r="U23" s="114">
        <f t="shared" si="37"/>
        <v>0</v>
      </c>
      <c r="V23" s="114" t="e">
        <f t="shared" si="37"/>
        <v>#REF!</v>
      </c>
      <c r="X23" s="10">
        <f>SUM(G23:K23)</f>
        <v>5377</v>
      </c>
      <c r="Y23" s="10">
        <f t="shared" ref="Y23:AH23" si="38">SUM(I23:L23)</f>
        <v>6368</v>
      </c>
      <c r="Z23" s="10">
        <f t="shared" si="38"/>
        <v>6368</v>
      </c>
      <c r="AA23" s="10">
        <f t="shared" si="38"/>
        <v>6368</v>
      </c>
      <c r="AB23" s="10">
        <f t="shared" si="38"/>
        <v>991</v>
      </c>
      <c r="AC23" s="10">
        <f t="shared" si="38"/>
        <v>0</v>
      </c>
      <c r="AD23" s="10">
        <f t="shared" si="38"/>
        <v>0</v>
      </c>
      <c r="AE23" s="10">
        <f t="shared" si="38"/>
        <v>0</v>
      </c>
      <c r="AF23" s="10">
        <f t="shared" si="38"/>
        <v>0</v>
      </c>
      <c r="AG23" s="10">
        <f t="shared" si="38"/>
        <v>0</v>
      </c>
      <c r="AH23" s="10">
        <f t="shared" si="38"/>
        <v>0</v>
      </c>
      <c r="AI23" s="10" t="e">
        <f>SUM(S23:V23)</f>
        <v>#REF!</v>
      </c>
      <c r="AK23" s="117" t="e">
        <f>SUM(AI23/AE23)-1</f>
        <v>#REF!</v>
      </c>
    </row>
    <row r="24" spans="2:37" ht="12.75" customHeight="1">
      <c r="B24" s="23" t="s">
        <v>11</v>
      </c>
      <c r="C24" s="24" t="e">
        <f>SUM(C20+C23)</f>
        <v>#REF!</v>
      </c>
      <c r="D24" s="24" t="e">
        <f>SUM(D20+D23)</f>
        <v>#REF!</v>
      </c>
      <c r="E24" s="24" t="e">
        <f>SUM(E20+E23)</f>
        <v>#REF!</v>
      </c>
      <c r="F24" s="24" t="e">
        <f>SUM(F20+F23)</f>
        <v>#REF!</v>
      </c>
      <c r="H24" s="24" t="e">
        <f t="shared" ref="H24" si="39">SUM(H20+H23)</f>
        <v>#REF!</v>
      </c>
      <c r="I24" s="24" t="e">
        <f t="shared" ref="I24:R24" si="40">SUM(I20+I23)</f>
        <v>#REF!</v>
      </c>
      <c r="J24" s="24" t="e">
        <f t="shared" si="40"/>
        <v>#REF!</v>
      </c>
      <c r="K24" s="24" t="e">
        <f t="shared" si="40"/>
        <v>#REF!</v>
      </c>
      <c r="L24" s="24" t="e">
        <f t="shared" si="40"/>
        <v>#REF!</v>
      </c>
      <c r="M24" s="24" t="e">
        <f t="shared" si="40"/>
        <v>#REF!</v>
      </c>
      <c r="N24" s="24" t="e">
        <f t="shared" si="40"/>
        <v>#REF!</v>
      </c>
      <c r="O24" s="24" t="e">
        <f t="shared" si="40"/>
        <v>#REF!</v>
      </c>
      <c r="P24" s="24" t="e">
        <f t="shared" si="40"/>
        <v>#REF!</v>
      </c>
      <c r="Q24" s="24" t="e">
        <f t="shared" si="40"/>
        <v>#REF!</v>
      </c>
      <c r="R24" s="24" t="e">
        <f t="shared" si="40"/>
        <v>#REF!</v>
      </c>
      <c r="S24" s="24" t="e">
        <f>SUM(S20+S23)</f>
        <v>#REF!</v>
      </c>
      <c r="T24" s="24" t="e">
        <f>SUM(T20+T23)</f>
        <v>#REF!</v>
      </c>
      <c r="U24" s="24" t="e">
        <f>SUM(U20+U23)</f>
        <v>#REF!</v>
      </c>
      <c r="V24" s="24" t="e">
        <f>SUM(V20+V23)</f>
        <v>#REF!</v>
      </c>
      <c r="X24" s="24" t="e">
        <f t="shared" ref="X24:AH24" si="41">SUM(X20+X23)</f>
        <v>#REF!</v>
      </c>
      <c r="Y24" s="24" t="e">
        <f t="shared" si="41"/>
        <v>#REF!</v>
      </c>
      <c r="Z24" s="24" t="e">
        <f t="shared" si="41"/>
        <v>#REF!</v>
      </c>
      <c r="AA24" s="24" t="e">
        <f t="shared" si="41"/>
        <v>#REF!</v>
      </c>
      <c r="AB24" s="24" t="e">
        <f t="shared" si="41"/>
        <v>#REF!</v>
      </c>
      <c r="AC24" s="24" t="e">
        <f t="shared" si="41"/>
        <v>#REF!</v>
      </c>
      <c r="AD24" s="24" t="e">
        <f t="shared" si="41"/>
        <v>#REF!</v>
      </c>
      <c r="AE24" s="24" t="e">
        <f t="shared" si="41"/>
        <v>#REF!</v>
      </c>
      <c r="AF24" s="24" t="e">
        <f t="shared" si="41"/>
        <v>#REF!</v>
      </c>
      <c r="AG24" s="24" t="e">
        <f t="shared" si="41"/>
        <v>#REF!</v>
      </c>
      <c r="AH24" s="24" t="e">
        <f t="shared" si="41"/>
        <v>#REF!</v>
      </c>
      <c r="AI24" s="24" t="e">
        <f>SUM(AI20+AI23)</f>
        <v>#REF!</v>
      </c>
      <c r="AK24" s="118" t="e">
        <f>SUM(AI24/AE24)-1</f>
        <v>#REF!</v>
      </c>
    </row>
    <row r="25" spans="2:37" ht="12.75" customHeight="1">
      <c r="B25" s="14" t="s">
        <v>43</v>
      </c>
      <c r="C25" s="15" t="e">
        <f>C24/C8</f>
        <v>#REF!</v>
      </c>
      <c r="D25" s="15" t="e">
        <f>D24/D8</f>
        <v>#REF!</v>
      </c>
      <c r="E25" s="15" t="e">
        <f>E24/E8</f>
        <v>#REF!</v>
      </c>
      <c r="F25" s="15" t="e">
        <f>F24/F8</f>
        <v>#REF!</v>
      </c>
      <c r="H25" s="15" t="e">
        <f t="shared" ref="H25" si="42">H24/H8</f>
        <v>#REF!</v>
      </c>
      <c r="I25" s="15" t="e">
        <f t="shared" ref="I25:V25" si="43">I24/I8</f>
        <v>#REF!</v>
      </c>
      <c r="J25" s="15" t="e">
        <f t="shared" si="43"/>
        <v>#REF!</v>
      </c>
      <c r="K25" s="15" t="e">
        <f t="shared" si="43"/>
        <v>#REF!</v>
      </c>
      <c r="L25" s="15" t="e">
        <f t="shared" si="43"/>
        <v>#REF!</v>
      </c>
      <c r="M25" s="15" t="e">
        <f t="shared" si="43"/>
        <v>#REF!</v>
      </c>
      <c r="N25" s="15" t="e">
        <f t="shared" si="43"/>
        <v>#REF!</v>
      </c>
      <c r="O25" s="15" t="e">
        <f t="shared" si="43"/>
        <v>#REF!</v>
      </c>
      <c r="P25" s="15" t="e">
        <f t="shared" si="43"/>
        <v>#REF!</v>
      </c>
      <c r="Q25" s="15" t="e">
        <f t="shared" si="43"/>
        <v>#REF!</v>
      </c>
      <c r="R25" s="15" t="e">
        <f t="shared" si="43"/>
        <v>#REF!</v>
      </c>
      <c r="S25" s="15" t="e">
        <f t="shared" si="43"/>
        <v>#REF!</v>
      </c>
      <c r="T25" s="15" t="e">
        <f t="shared" si="43"/>
        <v>#REF!</v>
      </c>
      <c r="U25" s="15" t="e">
        <f t="shared" si="43"/>
        <v>#REF!</v>
      </c>
      <c r="V25" s="15" t="e">
        <f t="shared" si="43"/>
        <v>#REF!</v>
      </c>
      <c r="X25" s="15" t="e">
        <f t="shared" ref="X25:AH25" si="44">X24/X8</f>
        <v>#REF!</v>
      </c>
      <c r="Y25" s="15" t="e">
        <f t="shared" si="44"/>
        <v>#REF!</v>
      </c>
      <c r="Z25" s="15" t="e">
        <f t="shared" si="44"/>
        <v>#REF!</v>
      </c>
      <c r="AA25" s="15" t="e">
        <f t="shared" si="44"/>
        <v>#REF!</v>
      </c>
      <c r="AB25" s="15" t="e">
        <f t="shared" si="44"/>
        <v>#REF!</v>
      </c>
      <c r="AC25" s="15" t="e">
        <f t="shared" si="44"/>
        <v>#REF!</v>
      </c>
      <c r="AD25" s="15" t="e">
        <f t="shared" si="44"/>
        <v>#REF!</v>
      </c>
      <c r="AE25" s="15" t="e">
        <f t="shared" si="44"/>
        <v>#REF!</v>
      </c>
      <c r="AF25" s="15" t="e">
        <f t="shared" si="44"/>
        <v>#REF!</v>
      </c>
      <c r="AG25" s="15" t="e">
        <f t="shared" si="44"/>
        <v>#REF!</v>
      </c>
      <c r="AH25" s="15" t="e">
        <f t="shared" si="44"/>
        <v>#REF!</v>
      </c>
      <c r="AI25" s="15" t="e">
        <f>AI24/AI8</f>
        <v>#REF!</v>
      </c>
      <c r="AK25" s="119" t="e">
        <f>SUM(AI25-AE25)*10000</f>
        <v>#REF!</v>
      </c>
    </row>
    <row r="26" spans="2:37" ht="5.0999999999999996" customHeight="1">
      <c r="AK26" s="116"/>
    </row>
    <row r="27" spans="2:37" ht="12.75" customHeight="1">
      <c r="B27" s="29" t="s">
        <v>44</v>
      </c>
      <c r="C27" s="85">
        <f>'Historical Financials'!C102</f>
        <v>1765</v>
      </c>
      <c r="D27" s="85">
        <f>'Historical Financials'!D102</f>
        <v>44812</v>
      </c>
      <c r="E27" s="85">
        <f>'Historical Financials'!E102</f>
        <v>12409</v>
      </c>
      <c r="F27" s="85">
        <f>'Historical Financials'!F102</f>
        <v>13069</v>
      </c>
      <c r="H27" s="85">
        <f>'Historical Financials'!H102</f>
        <v>11481</v>
      </c>
      <c r="I27" s="85">
        <f>'Historical Financials'!I102</f>
        <v>11041</v>
      </c>
      <c r="J27" s="85">
        <f>'Historical Financials'!J102</f>
        <v>15121</v>
      </c>
      <c r="K27" s="85">
        <f>'Historical Financials'!K102</f>
        <v>7169</v>
      </c>
      <c r="L27" s="85">
        <f>'Historical Financials'!L102</f>
        <v>1703</v>
      </c>
      <c r="M27" s="85">
        <f>'Historical Financials'!M102</f>
        <v>3355</v>
      </c>
      <c r="N27" s="85">
        <f>'Historical Financials'!N102</f>
        <v>3669</v>
      </c>
      <c r="O27" s="85">
        <f>'Historical Financials'!O102</f>
        <v>3682</v>
      </c>
      <c r="P27" s="85">
        <f>'Historical Financials'!P102</f>
        <v>2991</v>
      </c>
      <c r="Q27" s="85">
        <f>'Historical Financials'!Q102</f>
        <v>3287</v>
      </c>
      <c r="R27" s="85">
        <f>'Historical Financials'!R102</f>
        <v>3427</v>
      </c>
      <c r="S27" s="85">
        <f>'Historical Financials'!S102</f>
        <v>3364</v>
      </c>
      <c r="T27" s="85">
        <f>'Historical Financials'!T102</f>
        <v>4174</v>
      </c>
      <c r="U27" s="85">
        <f>'Historical Financials'!U102</f>
        <v>3554</v>
      </c>
      <c r="V27" s="85" t="e">
        <f>'Historical Financials'!#REF!</f>
        <v>#REF!</v>
      </c>
      <c r="X27" s="10">
        <f>SUM(G27:K27)</f>
        <v>44812</v>
      </c>
      <c r="Y27" s="10">
        <f t="shared" ref="Y27" si="45">SUM(I27:L27)</f>
        <v>35034</v>
      </c>
      <c r="Z27" s="10">
        <f t="shared" ref="Z27" si="46">SUM(J27:M27)</f>
        <v>27348</v>
      </c>
      <c r="AA27" s="10">
        <f t="shared" ref="AA27" si="47">SUM(K27:N27)</f>
        <v>15896</v>
      </c>
      <c r="AB27" s="10">
        <f t="shared" ref="AB27" si="48">SUM(L27:O27)</f>
        <v>12409</v>
      </c>
      <c r="AC27" s="10">
        <f t="shared" ref="AC27" si="49">SUM(M27:P27)</f>
        <v>13697</v>
      </c>
      <c r="AD27" s="10">
        <f t="shared" ref="AD27" si="50">SUM(N27:Q27)</f>
        <v>13629</v>
      </c>
      <c r="AE27" s="10">
        <f t="shared" ref="AE27" si="51">SUM(O27:R27)</f>
        <v>13387</v>
      </c>
      <c r="AF27" s="10">
        <f t="shared" ref="AF27" si="52">SUM(P27:S27)</f>
        <v>13069</v>
      </c>
      <c r="AG27" s="10">
        <f t="shared" ref="AG27" si="53">SUM(Q27:T27)</f>
        <v>14252</v>
      </c>
      <c r="AH27" s="10">
        <f t="shared" ref="AH27" si="54">SUM(R27:U27)</f>
        <v>14519</v>
      </c>
      <c r="AI27" s="10" t="e">
        <f t="shared" ref="AI27" si="55">SUM(S27:V27)</f>
        <v>#REF!</v>
      </c>
      <c r="AK27" s="117" t="e">
        <f>SUM(AI27/AE27)-1</f>
        <v>#REF!</v>
      </c>
    </row>
    <row r="28" spans="2:37" ht="12.75" customHeight="1">
      <c r="B28" s="12" t="s">
        <v>45</v>
      </c>
      <c r="C28" s="13" t="e">
        <f>+SUM(C24+SUM(C27:C27))</f>
        <v>#REF!</v>
      </c>
      <c r="D28" s="13" t="e">
        <f>+SUM(D24+SUM(D27:D27))</f>
        <v>#REF!</v>
      </c>
      <c r="E28" s="13" t="e">
        <f>+SUM(E24+SUM(E27:E27))</f>
        <v>#REF!</v>
      </c>
      <c r="F28" s="13" t="e">
        <f>+SUM(F24+SUM(F27:F27))</f>
        <v>#REF!</v>
      </c>
      <c r="G28" s="11"/>
      <c r="H28" s="13" t="e">
        <f>+SUM(H24+SUM(H27:H27))</f>
        <v>#REF!</v>
      </c>
      <c r="I28" s="13" t="e">
        <f>+SUM(I24+SUM(I27:I27))</f>
        <v>#REF!</v>
      </c>
      <c r="J28" s="13" t="e">
        <f>+SUM(J24+SUM(J27:J27))</f>
        <v>#REF!</v>
      </c>
      <c r="K28" s="13" t="e">
        <f>+SUM(K24+SUM(K27:K27))</f>
        <v>#REF!</v>
      </c>
      <c r="L28" s="13" t="e">
        <f>+SUM(L24+SUM(L27:L27))</f>
        <v>#REF!</v>
      </c>
      <c r="M28" s="13" t="e">
        <f>+SUM(M24+SUM(M27:M27))</f>
        <v>#REF!</v>
      </c>
      <c r="N28" s="13" t="e">
        <f>+SUM(N24+SUM(N27:N27))</f>
        <v>#REF!</v>
      </c>
      <c r="O28" s="13" t="e">
        <f>+SUM(O24+SUM(O27:O27))</f>
        <v>#REF!</v>
      </c>
      <c r="P28" s="13" t="e">
        <f>+SUM(P24+SUM(P27:P27))</f>
        <v>#REF!</v>
      </c>
      <c r="Q28" s="13" t="e">
        <f>+SUM(Q24+SUM(Q27:Q27))</f>
        <v>#REF!</v>
      </c>
      <c r="R28" s="13" t="e">
        <f>+SUM(R24+SUM(R27:R27))</f>
        <v>#REF!</v>
      </c>
      <c r="S28" s="13" t="e">
        <f>+SUM(S24+SUM(S27:S27))</f>
        <v>#REF!</v>
      </c>
      <c r="T28" s="13" t="e">
        <f>+SUM(T24+SUM(T27:T27))</f>
        <v>#REF!</v>
      </c>
      <c r="U28" s="13" t="e">
        <f>+SUM(U24+SUM(U27:U27))</f>
        <v>#REF!</v>
      </c>
      <c r="V28" s="13" t="e">
        <f>+SUM(V24+SUM(V27:V27))</f>
        <v>#REF!</v>
      </c>
      <c r="X28" s="13" t="e">
        <f>+SUM(X24+SUM(X27:X27))</f>
        <v>#REF!</v>
      </c>
      <c r="Y28" s="13" t="e">
        <f>+SUM(Y24+SUM(Y27:Y27))</f>
        <v>#REF!</v>
      </c>
      <c r="Z28" s="13" t="e">
        <f>+SUM(Z24+SUM(Z27:Z27))</f>
        <v>#REF!</v>
      </c>
      <c r="AA28" s="13" t="e">
        <f>+SUM(AA24+SUM(AA27:AA27))</f>
        <v>#REF!</v>
      </c>
      <c r="AB28" s="13" t="e">
        <f>+SUM(AB24+SUM(AB27:AB27))</f>
        <v>#REF!</v>
      </c>
      <c r="AC28" s="13" t="e">
        <f>+SUM(AC24+SUM(AC27:AC27))</f>
        <v>#REF!</v>
      </c>
      <c r="AD28" s="13" t="e">
        <f>+SUM(AD24+SUM(AD27:AD27))</f>
        <v>#REF!</v>
      </c>
      <c r="AE28" s="13" t="e">
        <f>+SUM(AE24+SUM(AE27:AE27))</f>
        <v>#REF!</v>
      </c>
      <c r="AF28" s="13" t="e">
        <f>+SUM(AF24+SUM(AF27:AF27))</f>
        <v>#REF!</v>
      </c>
      <c r="AG28" s="13" t="e">
        <f>+SUM(AG24+SUM(AG27:AG27))</f>
        <v>#REF!</v>
      </c>
      <c r="AH28" s="13" t="e">
        <f>+SUM(AH24+SUM(AH27:AH27))</f>
        <v>#REF!</v>
      </c>
      <c r="AI28" s="13" t="e">
        <f>+SUM(AI24+SUM(AI27:AI27))</f>
        <v>#REF!</v>
      </c>
      <c r="AK28" s="118" t="e">
        <f>SUM(AI28/AE28)-1</f>
        <v>#REF!</v>
      </c>
    </row>
    <row r="29" spans="2:37" ht="12.75" customHeight="1">
      <c r="B29" s="14" t="s">
        <v>46</v>
      </c>
      <c r="C29" s="15" t="e">
        <f>C28/C8</f>
        <v>#REF!</v>
      </c>
      <c r="D29" s="15" t="e">
        <f>D28/D8</f>
        <v>#REF!</v>
      </c>
      <c r="E29" s="15" t="e">
        <f>E28/E8</f>
        <v>#REF!</v>
      </c>
      <c r="F29" s="15" t="e">
        <f>F28/F8</f>
        <v>#REF!</v>
      </c>
      <c r="H29" s="15" t="e">
        <f>H28/H8</f>
        <v>#REF!</v>
      </c>
      <c r="I29" s="15" t="e">
        <f>I28/I8</f>
        <v>#REF!</v>
      </c>
      <c r="J29" s="15" t="e">
        <f>J28/J8</f>
        <v>#REF!</v>
      </c>
      <c r="K29" s="15" t="e">
        <f>K28/K8</f>
        <v>#REF!</v>
      </c>
      <c r="L29" s="15" t="e">
        <f>L28/L8</f>
        <v>#REF!</v>
      </c>
      <c r="M29" s="15" t="e">
        <f>M28/M8</f>
        <v>#REF!</v>
      </c>
      <c r="N29" s="15" t="e">
        <f>N28/N8</f>
        <v>#REF!</v>
      </c>
      <c r="O29" s="15" t="e">
        <f>O28/O8</f>
        <v>#REF!</v>
      </c>
      <c r="P29" s="15" t="e">
        <f>P28/P8</f>
        <v>#REF!</v>
      </c>
      <c r="Q29" s="15" t="e">
        <f>Q28/Q8</f>
        <v>#REF!</v>
      </c>
      <c r="R29" s="15" t="e">
        <f>R28/R8</f>
        <v>#REF!</v>
      </c>
      <c r="S29" s="15" t="e">
        <f>S28/S8</f>
        <v>#REF!</v>
      </c>
      <c r="T29" s="15" t="e">
        <f>T28/T8</f>
        <v>#REF!</v>
      </c>
      <c r="U29" s="15" t="e">
        <f>U28/U8</f>
        <v>#REF!</v>
      </c>
      <c r="V29" s="15" t="e">
        <f>V28/V8</f>
        <v>#REF!</v>
      </c>
      <c r="X29" s="15" t="e">
        <f>X28/X8</f>
        <v>#REF!</v>
      </c>
      <c r="Y29" s="15" t="e">
        <f>Y28/Y8</f>
        <v>#REF!</v>
      </c>
      <c r="Z29" s="15" t="e">
        <f>Z28/Z8</f>
        <v>#REF!</v>
      </c>
      <c r="AA29" s="15" t="e">
        <f>AA28/AA8</f>
        <v>#REF!</v>
      </c>
      <c r="AB29" s="15" t="e">
        <f>AB28/AB8</f>
        <v>#REF!</v>
      </c>
      <c r="AC29" s="15" t="e">
        <f>AC28/AC8</f>
        <v>#REF!</v>
      </c>
      <c r="AD29" s="15" t="e">
        <f>AD28/AD8</f>
        <v>#REF!</v>
      </c>
      <c r="AE29" s="15" t="e">
        <f>AE28/AE8</f>
        <v>#REF!</v>
      </c>
      <c r="AF29" s="15" t="e">
        <f>AF28/AF8</f>
        <v>#REF!</v>
      </c>
      <c r="AG29" s="15" t="e">
        <f>AG28/AG8</f>
        <v>#REF!</v>
      </c>
      <c r="AH29" s="15" t="e">
        <f>AH28/AH8</f>
        <v>#REF!</v>
      </c>
      <c r="AI29" s="15" t="e">
        <f>AI28/AI8</f>
        <v>#REF!</v>
      </c>
      <c r="AK29" s="119" t="e">
        <f>SUM(AI29-AE29)*10000</f>
        <v>#REF!</v>
      </c>
    </row>
    <row r="30" spans="2:37" ht="5.0999999999999996" customHeight="1">
      <c r="AK30" s="116"/>
    </row>
    <row r="31" spans="2:37" ht="12.75" customHeight="1">
      <c r="B31" s="21" t="s">
        <v>47</v>
      </c>
      <c r="C31" s="85">
        <f>SUM('Historical Financials'!C124+'Historical Financials'!C125)</f>
        <v>-7008</v>
      </c>
      <c r="D31" s="85">
        <f>SUM('Historical Financials'!D124+'Historical Financials'!D125)</f>
        <v>-107024</v>
      </c>
      <c r="E31" s="85">
        <f>SUM('Historical Financials'!E124+'Historical Financials'!E125)</f>
        <v>773</v>
      </c>
      <c r="F31" s="85">
        <f>SUM('Historical Financials'!F124+'Historical Financials'!F125)</f>
        <v>-78362</v>
      </c>
      <c r="H31" s="85">
        <f>SUM('Historical Financials'!H124+'Historical Financials'!H125)</f>
        <v>-2836</v>
      </c>
      <c r="I31" s="85">
        <f>SUM('Historical Financials'!I124+'Historical Financials'!I125)</f>
        <v>13472</v>
      </c>
      <c r="J31" s="85">
        <f>SUM('Historical Financials'!J124+'Historical Financials'!J125)</f>
        <v>-117116</v>
      </c>
      <c r="K31" s="85">
        <f>SUM('Historical Financials'!K124+'Historical Financials'!K125)</f>
        <v>-544</v>
      </c>
      <c r="L31" s="85">
        <f>SUM('Historical Financials'!L124+'Historical Financials'!L125)</f>
        <v>-14986</v>
      </c>
      <c r="M31" s="85">
        <f>SUM('Historical Financials'!M124+'Historical Financials'!M125)</f>
        <v>12221</v>
      </c>
      <c r="N31" s="85">
        <f>SUM('Historical Financials'!N124+'Historical Financials'!N125)</f>
        <v>14289</v>
      </c>
      <c r="O31" s="85">
        <f>SUM('Historical Financials'!O124+'Historical Financials'!O125)</f>
        <v>-10751</v>
      </c>
      <c r="P31" s="85">
        <f>SUM('Historical Financials'!P124+'Historical Financials'!P125)</f>
        <v>6220</v>
      </c>
      <c r="Q31" s="85">
        <f>SUM('Historical Financials'!Q124+'Historical Financials'!Q125)</f>
        <v>-13253</v>
      </c>
      <c r="R31" s="85">
        <f>SUM('Historical Financials'!R124+'Historical Financials'!R125)</f>
        <v>6265</v>
      </c>
      <c r="S31" s="85">
        <f>SUM('Historical Financials'!S124+'Historical Financials'!S125)</f>
        <v>-77594</v>
      </c>
      <c r="T31" s="85">
        <f>SUM('Historical Financials'!T124+'Historical Financials'!T125)</f>
        <v>-23609</v>
      </c>
      <c r="U31" s="85">
        <f>SUM('Historical Financials'!U124+'Historical Financials'!U125)</f>
        <v>-346123</v>
      </c>
      <c r="V31" s="85" t="e">
        <f>SUM('Historical Financials'!#REF!+'Historical Financials'!#REF!)</f>
        <v>#REF!</v>
      </c>
      <c r="X31" s="10">
        <f t="shared" ref="X31:X34" si="56">SUM(G31:K31)</f>
        <v>-107024</v>
      </c>
      <c r="Y31" s="10">
        <f t="shared" ref="Y31:Y34" si="57">SUM(I31:L31)</f>
        <v>-119174</v>
      </c>
      <c r="Z31" s="10">
        <f t="shared" ref="Z31:Z34" si="58">SUM(J31:M31)</f>
        <v>-120425</v>
      </c>
      <c r="AA31" s="10">
        <f t="shared" ref="AA31:AA34" si="59">SUM(K31:N31)</f>
        <v>10980</v>
      </c>
      <c r="AB31" s="10">
        <f t="shared" ref="AB31:AB34" si="60">SUM(L31:O31)</f>
        <v>773</v>
      </c>
      <c r="AC31" s="10">
        <f t="shared" ref="AC31:AC34" si="61">SUM(M31:P31)</f>
        <v>21979</v>
      </c>
      <c r="AD31" s="10">
        <f t="shared" ref="AD31:AD34" si="62">SUM(N31:Q31)</f>
        <v>-3495</v>
      </c>
      <c r="AE31" s="10">
        <f t="shared" ref="AE31:AE34" si="63">SUM(O31:R31)</f>
        <v>-11519</v>
      </c>
      <c r="AF31" s="10">
        <f t="shared" ref="AF31:AF34" si="64">SUM(P31:S31)</f>
        <v>-78362</v>
      </c>
      <c r="AG31" s="10">
        <f t="shared" ref="AG31:AG34" si="65">SUM(Q31:T31)</f>
        <v>-108191</v>
      </c>
      <c r="AH31" s="10">
        <f t="shared" ref="AH31:AH34" si="66">SUM(R31:U31)</f>
        <v>-441061</v>
      </c>
      <c r="AI31" s="10" t="e">
        <f t="shared" ref="AI31:AI34" si="67">SUM(S31:V31)</f>
        <v>#REF!</v>
      </c>
      <c r="AK31" s="117" t="e">
        <f>SUM(AI31/AE31)-1</f>
        <v>#REF!</v>
      </c>
    </row>
    <row r="32" spans="2:37" ht="12.75" customHeight="1">
      <c r="B32" s="21" t="s">
        <v>48</v>
      </c>
      <c r="C32" s="85">
        <f>'Historical Financials'!C32</f>
        <v>0</v>
      </c>
      <c r="D32" s="85">
        <f>'Historical Financials'!D32</f>
        <v>0</v>
      </c>
      <c r="E32" s="85">
        <f>'Historical Financials'!E32</f>
        <v>0</v>
      </c>
      <c r="F32" s="85">
        <f>'Historical Financials'!F32</f>
        <v>0</v>
      </c>
      <c r="H32" s="85">
        <f>'Historical Financials'!H32</f>
        <v>0</v>
      </c>
      <c r="I32" s="85">
        <f>'Historical Financials'!I32</f>
        <v>0</v>
      </c>
      <c r="J32" s="85">
        <f>'Historical Financials'!J32</f>
        <v>0</v>
      </c>
      <c r="K32" s="85">
        <f>'Historical Financials'!K32</f>
        <v>0</v>
      </c>
      <c r="L32" s="85">
        <f>'Historical Financials'!L32</f>
        <v>0</v>
      </c>
      <c r="M32" s="85">
        <f>'Historical Financials'!M32</f>
        <v>0</v>
      </c>
      <c r="N32" s="85">
        <f>'Historical Financials'!N32</f>
        <v>0</v>
      </c>
      <c r="O32" s="85">
        <f>'Historical Financials'!O32</f>
        <v>0</v>
      </c>
      <c r="P32" s="85">
        <f>'Historical Financials'!P32</f>
        <v>0</v>
      </c>
      <c r="Q32" s="85">
        <f>'Historical Financials'!Q32</f>
        <v>0</v>
      </c>
      <c r="R32" s="85">
        <f>'Historical Financials'!R32</f>
        <v>0</v>
      </c>
      <c r="S32" s="85">
        <f>'Historical Financials'!S32</f>
        <v>0</v>
      </c>
      <c r="T32" s="85">
        <f>'Historical Financials'!T32</f>
        <v>0</v>
      </c>
      <c r="U32" s="85">
        <f>'Historical Financials'!U32</f>
        <v>0</v>
      </c>
      <c r="V32" s="85" t="e">
        <f>'Historical Financials'!#REF!</f>
        <v>#REF!</v>
      </c>
      <c r="X32" s="10">
        <f t="shared" si="56"/>
        <v>0</v>
      </c>
      <c r="Y32" s="10">
        <f t="shared" si="57"/>
        <v>0</v>
      </c>
      <c r="Z32" s="10">
        <f t="shared" si="58"/>
        <v>0</v>
      </c>
      <c r="AA32" s="10">
        <f t="shared" si="59"/>
        <v>0</v>
      </c>
      <c r="AB32" s="10">
        <f t="shared" si="60"/>
        <v>0</v>
      </c>
      <c r="AC32" s="10">
        <f t="shared" si="61"/>
        <v>0</v>
      </c>
      <c r="AD32" s="10">
        <f t="shared" si="62"/>
        <v>0</v>
      </c>
      <c r="AE32" s="10">
        <f t="shared" si="63"/>
        <v>0</v>
      </c>
      <c r="AF32" s="10">
        <f t="shared" si="64"/>
        <v>0</v>
      </c>
      <c r="AG32" s="10">
        <f t="shared" si="65"/>
        <v>0</v>
      </c>
      <c r="AH32" s="10">
        <f t="shared" si="66"/>
        <v>0</v>
      </c>
      <c r="AI32" s="10" t="e">
        <f t="shared" si="67"/>
        <v>#REF!</v>
      </c>
      <c r="AK32" s="117" t="e">
        <f>SUM(AI32/AE32)-1</f>
        <v>#REF!</v>
      </c>
    </row>
    <row r="33" spans="1:37" ht="12.75" customHeight="1">
      <c r="B33" s="21" t="s">
        <v>98</v>
      </c>
      <c r="C33" s="78">
        <v>0</v>
      </c>
      <c r="D33" s="78">
        <v>0</v>
      </c>
      <c r="E33" s="78">
        <v>0</v>
      </c>
      <c r="F33" s="78">
        <v>0</v>
      </c>
      <c r="H33" s="78">
        <v>0</v>
      </c>
      <c r="I33" s="78">
        <v>0</v>
      </c>
      <c r="J33" s="78">
        <v>0</v>
      </c>
      <c r="K33" s="114">
        <f>D33</f>
        <v>0</v>
      </c>
      <c r="L33" s="78">
        <v>0</v>
      </c>
      <c r="M33" s="78">
        <v>0</v>
      </c>
      <c r="N33" s="78">
        <v>0</v>
      </c>
      <c r="O33" s="114">
        <f>E33</f>
        <v>0</v>
      </c>
      <c r="P33" s="78">
        <v>0</v>
      </c>
      <c r="Q33" s="78">
        <v>0</v>
      </c>
      <c r="R33" s="78">
        <v>0</v>
      </c>
      <c r="S33" s="114">
        <f>F33</f>
        <v>0</v>
      </c>
      <c r="T33" s="78">
        <v>0</v>
      </c>
      <c r="U33" s="78">
        <v>0</v>
      </c>
      <c r="V33" s="78">
        <v>0</v>
      </c>
      <c r="X33" s="10">
        <f t="shared" si="56"/>
        <v>0</v>
      </c>
      <c r="Y33" s="10">
        <f t="shared" si="57"/>
        <v>0</v>
      </c>
      <c r="Z33" s="10">
        <f t="shared" si="58"/>
        <v>0</v>
      </c>
      <c r="AA33" s="10">
        <f t="shared" si="59"/>
        <v>0</v>
      </c>
      <c r="AB33" s="10">
        <f t="shared" si="60"/>
        <v>0</v>
      </c>
      <c r="AC33" s="10">
        <f t="shared" si="61"/>
        <v>0</v>
      </c>
      <c r="AD33" s="10">
        <f t="shared" si="62"/>
        <v>0</v>
      </c>
      <c r="AE33" s="10">
        <f t="shared" si="63"/>
        <v>0</v>
      </c>
      <c r="AF33" s="10">
        <f t="shared" si="64"/>
        <v>0</v>
      </c>
      <c r="AG33" s="10">
        <f t="shared" si="65"/>
        <v>0</v>
      </c>
      <c r="AH33" s="10">
        <f t="shared" si="66"/>
        <v>0</v>
      </c>
      <c r="AI33" s="10">
        <f t="shared" si="67"/>
        <v>0</v>
      </c>
      <c r="AK33" s="117" t="e">
        <f>SUM(AI33/AE33)-1</f>
        <v>#DIV/0!</v>
      </c>
    </row>
    <row r="34" spans="1:37" ht="12.75" customHeight="1">
      <c r="B34" s="21" t="s">
        <v>49</v>
      </c>
      <c r="C34" s="85">
        <f>SUM('Historical Financials'!C115:C120)</f>
        <v>158</v>
      </c>
      <c r="D34" s="85">
        <f>SUM('Historical Financials'!D115:D120)</f>
        <v>-2327</v>
      </c>
      <c r="E34" s="85">
        <f>SUM('Historical Financials'!E115:E120)</f>
        <v>-495</v>
      </c>
      <c r="F34" s="85">
        <f>SUM('Historical Financials'!F115:F120)</f>
        <v>-3081</v>
      </c>
      <c r="H34" s="85">
        <f>SUM('Historical Financials'!H115:H120)</f>
        <v>-25</v>
      </c>
      <c r="I34" s="85">
        <f>SUM('Historical Financials'!I115:I120)</f>
        <v>-3539</v>
      </c>
      <c r="J34" s="85">
        <f>SUM('Historical Financials'!J115:J120)</f>
        <v>3307</v>
      </c>
      <c r="K34" s="85">
        <f>SUM('Historical Financials'!K115:K120)</f>
        <v>-2070</v>
      </c>
      <c r="L34" s="85">
        <f>SUM('Historical Financials'!L115:L120)</f>
        <v>754</v>
      </c>
      <c r="M34" s="85">
        <f>SUM('Historical Financials'!M115:M120)</f>
        <v>-6722</v>
      </c>
      <c r="N34" s="85">
        <f>SUM('Historical Financials'!N115:N120)</f>
        <v>5412</v>
      </c>
      <c r="O34" s="85">
        <f>SUM('Historical Financials'!O115:O120)</f>
        <v>61</v>
      </c>
      <c r="P34" s="85">
        <f>SUM('Historical Financials'!P115:P120)</f>
        <v>-1182</v>
      </c>
      <c r="Q34" s="85">
        <f>SUM('Historical Financials'!Q115:Q120)</f>
        <v>-2236</v>
      </c>
      <c r="R34" s="85">
        <f>SUM('Historical Financials'!R115:R120)</f>
        <v>-3789</v>
      </c>
      <c r="S34" s="85">
        <f>SUM('Historical Financials'!S115:S120)</f>
        <v>4126</v>
      </c>
      <c r="T34" s="85">
        <f>SUM('Historical Financials'!T115:T120)</f>
        <v>865</v>
      </c>
      <c r="U34" s="85">
        <f>SUM('Historical Financials'!U115:U120)</f>
        <v>-3196</v>
      </c>
      <c r="V34" s="85" t="e">
        <f>SUM('Historical Financials'!#REF!)</f>
        <v>#REF!</v>
      </c>
      <c r="X34" s="10">
        <f t="shared" si="56"/>
        <v>-2327</v>
      </c>
      <c r="Y34" s="10">
        <f t="shared" si="57"/>
        <v>-1548</v>
      </c>
      <c r="Z34" s="10">
        <f t="shared" si="58"/>
        <v>-4731</v>
      </c>
      <c r="AA34" s="10">
        <f t="shared" si="59"/>
        <v>-2626</v>
      </c>
      <c r="AB34" s="10">
        <f t="shared" si="60"/>
        <v>-495</v>
      </c>
      <c r="AC34" s="10">
        <f t="shared" si="61"/>
        <v>-2431</v>
      </c>
      <c r="AD34" s="10">
        <f t="shared" si="62"/>
        <v>2055</v>
      </c>
      <c r="AE34" s="10">
        <f t="shared" si="63"/>
        <v>-7146</v>
      </c>
      <c r="AF34" s="10">
        <f t="shared" si="64"/>
        <v>-3081</v>
      </c>
      <c r="AG34" s="10">
        <f t="shared" si="65"/>
        <v>-1034</v>
      </c>
      <c r="AH34" s="10">
        <f t="shared" si="66"/>
        <v>-1994</v>
      </c>
      <c r="AI34" s="10" t="e">
        <f t="shared" si="67"/>
        <v>#REF!</v>
      </c>
      <c r="AK34" s="117" t="e">
        <f>SUM(AI34/AE34)-1</f>
        <v>#REF!</v>
      </c>
    </row>
    <row r="35" spans="1:37" ht="12.75" customHeight="1">
      <c r="B35" s="12" t="s">
        <v>50</v>
      </c>
      <c r="C35" s="13" t="e">
        <f>SUM(C28+SUM(C31:C34))</f>
        <v>#REF!</v>
      </c>
      <c r="D35" s="13" t="e">
        <f>SUM(D28+SUM(D31:D34))</f>
        <v>#REF!</v>
      </c>
      <c r="E35" s="13" t="e">
        <f>SUM(E28+SUM(E31:E34))</f>
        <v>#REF!</v>
      </c>
      <c r="F35" s="13" t="e">
        <f>SUM(F28+SUM(F31:F34))</f>
        <v>#REF!</v>
      </c>
      <c r="H35" s="13" t="e">
        <f t="shared" ref="H35" si="68">SUM(H28+SUM(H31:H34))</f>
        <v>#REF!</v>
      </c>
      <c r="I35" s="13" t="e">
        <f t="shared" ref="I35:V35" si="69">SUM(I28+SUM(I31:I34))</f>
        <v>#REF!</v>
      </c>
      <c r="J35" s="13" t="e">
        <f t="shared" si="69"/>
        <v>#REF!</v>
      </c>
      <c r="K35" s="13" t="e">
        <f t="shared" si="69"/>
        <v>#REF!</v>
      </c>
      <c r="L35" s="13" t="e">
        <f t="shared" si="69"/>
        <v>#REF!</v>
      </c>
      <c r="M35" s="13" t="e">
        <f t="shared" si="69"/>
        <v>#REF!</v>
      </c>
      <c r="N35" s="13" t="e">
        <f t="shared" si="69"/>
        <v>#REF!</v>
      </c>
      <c r="O35" s="13" t="e">
        <f t="shared" si="69"/>
        <v>#REF!</v>
      </c>
      <c r="P35" s="13" t="e">
        <f t="shared" si="69"/>
        <v>#REF!</v>
      </c>
      <c r="Q35" s="13" t="e">
        <f t="shared" si="69"/>
        <v>#REF!</v>
      </c>
      <c r="R35" s="13" t="e">
        <f t="shared" si="69"/>
        <v>#REF!</v>
      </c>
      <c r="S35" s="13" t="e">
        <f t="shared" si="69"/>
        <v>#REF!</v>
      </c>
      <c r="T35" s="13" t="e">
        <f t="shared" si="69"/>
        <v>#REF!</v>
      </c>
      <c r="U35" s="13" t="e">
        <f t="shared" si="69"/>
        <v>#REF!</v>
      </c>
      <c r="V35" s="13" t="e">
        <f t="shared" si="69"/>
        <v>#REF!</v>
      </c>
      <c r="X35" s="13" t="e">
        <f t="shared" ref="X35:AH35" si="70">SUM(X28+SUM(X31:X34))</f>
        <v>#REF!</v>
      </c>
      <c r="Y35" s="13" t="e">
        <f t="shared" si="70"/>
        <v>#REF!</v>
      </c>
      <c r="Z35" s="13" t="e">
        <f t="shared" si="70"/>
        <v>#REF!</v>
      </c>
      <c r="AA35" s="13" t="e">
        <f t="shared" si="70"/>
        <v>#REF!</v>
      </c>
      <c r="AB35" s="13" t="e">
        <f t="shared" si="70"/>
        <v>#REF!</v>
      </c>
      <c r="AC35" s="13" t="e">
        <f t="shared" si="70"/>
        <v>#REF!</v>
      </c>
      <c r="AD35" s="13" t="e">
        <f t="shared" si="70"/>
        <v>#REF!</v>
      </c>
      <c r="AE35" s="13" t="e">
        <f t="shared" si="70"/>
        <v>#REF!</v>
      </c>
      <c r="AF35" s="13" t="e">
        <f t="shared" si="70"/>
        <v>#REF!</v>
      </c>
      <c r="AG35" s="13" t="e">
        <f t="shared" si="70"/>
        <v>#REF!</v>
      </c>
      <c r="AH35" s="13" t="e">
        <f t="shared" si="70"/>
        <v>#REF!</v>
      </c>
      <c r="AI35" s="13" t="e">
        <f>SUM(AI28+SUM(AI31:AI34))</f>
        <v>#REF!</v>
      </c>
      <c r="AK35" s="118" t="e">
        <f>SUM(AI35/AE35)-1</f>
        <v>#REF!</v>
      </c>
    </row>
    <row r="36" spans="1:37" ht="5.0999999999999996" customHeight="1"/>
    <row r="37" spans="1:37" ht="12.75" customHeight="1">
      <c r="B37" s="29" t="s">
        <v>118</v>
      </c>
      <c r="C37" s="85" t="e">
        <f>'Historical Financials'!#REF!</f>
        <v>#REF!</v>
      </c>
      <c r="D37" s="85" t="e">
        <f>'Historical Financials'!#REF!</f>
        <v>#REF!</v>
      </c>
      <c r="E37" s="85" t="e">
        <f>'Historical Financials'!#REF!</f>
        <v>#REF!</v>
      </c>
      <c r="F37" s="85" t="e">
        <f>'Historical Financials'!#REF!</f>
        <v>#REF!</v>
      </c>
      <c r="G37" s="30"/>
      <c r="H37" s="85" t="e">
        <f>'Historical Financials'!#REF!</f>
        <v>#REF!</v>
      </c>
      <c r="I37" s="85" t="e">
        <f>'Historical Financials'!#REF!</f>
        <v>#REF!</v>
      </c>
      <c r="J37" s="85" t="e">
        <f>'Historical Financials'!#REF!</f>
        <v>#REF!</v>
      </c>
      <c r="K37" s="85" t="e">
        <f>'Historical Financials'!#REF!</f>
        <v>#REF!</v>
      </c>
      <c r="L37" s="85" t="e">
        <f>'Historical Financials'!#REF!</f>
        <v>#REF!</v>
      </c>
      <c r="M37" s="85" t="e">
        <f>'Historical Financials'!#REF!</f>
        <v>#REF!</v>
      </c>
      <c r="N37" s="85" t="e">
        <f>'Historical Financials'!#REF!</f>
        <v>#REF!</v>
      </c>
      <c r="O37" s="85" t="e">
        <f>'Historical Financials'!#REF!</f>
        <v>#REF!</v>
      </c>
      <c r="P37" s="85" t="e">
        <f>'Historical Financials'!#REF!</f>
        <v>#REF!</v>
      </c>
      <c r="Q37" s="85" t="e">
        <f>'Historical Financials'!#REF!</f>
        <v>#REF!</v>
      </c>
      <c r="R37" s="85" t="e">
        <f>'Historical Financials'!#REF!</f>
        <v>#REF!</v>
      </c>
      <c r="S37" s="85" t="e">
        <f>'Historical Financials'!#REF!</f>
        <v>#REF!</v>
      </c>
      <c r="T37" s="85" t="e">
        <f>'Historical Financials'!#REF!</f>
        <v>#REF!</v>
      </c>
      <c r="U37" s="85" t="e">
        <f>'Historical Financials'!#REF!</f>
        <v>#REF!</v>
      </c>
      <c r="V37" s="85" t="e">
        <f>'Historical Financials'!#REF!</f>
        <v>#REF!</v>
      </c>
      <c r="X37" s="10" t="e">
        <f>SUM(G37:K37)</f>
        <v>#REF!</v>
      </c>
      <c r="Y37" s="10" t="e">
        <f t="shared" ref="Y37:AI39" si="71">SUM(I37:L37)</f>
        <v>#REF!</v>
      </c>
      <c r="Z37" s="10" t="e">
        <f t="shared" si="71"/>
        <v>#REF!</v>
      </c>
      <c r="AA37" s="10" t="e">
        <f t="shared" si="71"/>
        <v>#REF!</v>
      </c>
      <c r="AB37" s="10" t="e">
        <f t="shared" si="71"/>
        <v>#REF!</v>
      </c>
      <c r="AC37" s="10" t="e">
        <f t="shared" si="71"/>
        <v>#REF!</v>
      </c>
      <c r="AD37" s="10" t="e">
        <f t="shared" si="71"/>
        <v>#REF!</v>
      </c>
      <c r="AE37" s="10" t="e">
        <f t="shared" si="71"/>
        <v>#REF!</v>
      </c>
      <c r="AF37" s="10" t="e">
        <f t="shared" si="71"/>
        <v>#REF!</v>
      </c>
      <c r="AG37" s="10" t="e">
        <f t="shared" si="71"/>
        <v>#REF!</v>
      </c>
      <c r="AH37" s="10" t="e">
        <f t="shared" si="71"/>
        <v>#REF!</v>
      </c>
      <c r="AI37" s="10" t="e">
        <f t="shared" si="71"/>
        <v>#REF!</v>
      </c>
    </row>
    <row r="38" spans="1:37" ht="12.75" customHeight="1">
      <c r="B38" s="29" t="s">
        <v>142</v>
      </c>
      <c r="C38" s="85" t="e">
        <f>SUM('Historical Financials'!#REF!)</f>
        <v>#REF!</v>
      </c>
      <c r="D38" s="85" t="e">
        <f>SUM('Historical Financials'!#REF!)</f>
        <v>#REF!</v>
      </c>
      <c r="E38" s="85" t="e">
        <f>SUM('Historical Financials'!#REF!)</f>
        <v>#REF!</v>
      </c>
      <c r="F38" s="85" t="e">
        <f>SUM('Historical Financials'!#REF!)</f>
        <v>#REF!</v>
      </c>
      <c r="G38" s="30"/>
      <c r="H38" s="85" t="e">
        <f>SUM('Historical Financials'!#REF!)</f>
        <v>#REF!</v>
      </c>
      <c r="I38" s="85" t="e">
        <f>SUM('Historical Financials'!#REF!)</f>
        <v>#REF!</v>
      </c>
      <c r="J38" s="85" t="e">
        <f>SUM('Historical Financials'!#REF!)</f>
        <v>#REF!</v>
      </c>
      <c r="K38" s="85" t="e">
        <f>SUM('Historical Financials'!#REF!)</f>
        <v>#REF!</v>
      </c>
      <c r="L38" s="85" t="e">
        <f>SUM('Historical Financials'!#REF!)</f>
        <v>#REF!</v>
      </c>
      <c r="M38" s="85" t="e">
        <f>SUM('Historical Financials'!#REF!)</f>
        <v>#REF!</v>
      </c>
      <c r="N38" s="85" t="e">
        <f>SUM('Historical Financials'!#REF!)</f>
        <v>#REF!</v>
      </c>
      <c r="O38" s="85" t="e">
        <f>SUM('Historical Financials'!#REF!)</f>
        <v>#REF!</v>
      </c>
      <c r="P38" s="85" t="e">
        <f>SUM('Historical Financials'!#REF!)</f>
        <v>#REF!</v>
      </c>
      <c r="Q38" s="85" t="e">
        <f>SUM('Historical Financials'!#REF!)</f>
        <v>#REF!</v>
      </c>
      <c r="R38" s="85" t="e">
        <f>SUM('Historical Financials'!#REF!)</f>
        <v>#REF!</v>
      </c>
      <c r="S38" s="85" t="e">
        <f>SUM('Historical Financials'!#REF!)</f>
        <v>#REF!</v>
      </c>
      <c r="T38" s="85" t="e">
        <f>SUM('Historical Financials'!#REF!)</f>
        <v>#REF!</v>
      </c>
      <c r="U38" s="85" t="e">
        <f>SUM('Historical Financials'!#REF!)</f>
        <v>#REF!</v>
      </c>
      <c r="V38" s="85" t="e">
        <f>SUM('Historical Financials'!#REF!)</f>
        <v>#REF!</v>
      </c>
      <c r="X38" s="10" t="e">
        <f t="shared" ref="X38:X43" si="72">SUM(G38:K38)</f>
        <v>#REF!</v>
      </c>
      <c r="Y38" s="10" t="e">
        <f t="shared" ref="Y38:Y43" si="73">SUM(I38:L38)</f>
        <v>#REF!</v>
      </c>
      <c r="Z38" s="10" t="e">
        <f t="shared" ref="Z38:Z43" si="74">SUM(J38:M38)</f>
        <v>#REF!</v>
      </c>
      <c r="AA38" s="10" t="e">
        <f t="shared" ref="AA38:AA43" si="75">SUM(K38:N38)</f>
        <v>#REF!</v>
      </c>
      <c r="AB38" s="10" t="e">
        <f t="shared" ref="AB38:AB43" si="76">SUM(L38:O38)</f>
        <v>#REF!</v>
      </c>
      <c r="AC38" s="10" t="e">
        <f t="shared" ref="AC38:AC43" si="77">SUM(M38:P38)</f>
        <v>#REF!</v>
      </c>
      <c r="AD38" s="10" t="e">
        <f t="shared" ref="AD38:AD43" si="78">SUM(N38:Q38)</f>
        <v>#REF!</v>
      </c>
      <c r="AE38" s="10" t="e">
        <f t="shared" ref="AE38:AE43" si="79">SUM(O38:R38)</f>
        <v>#REF!</v>
      </c>
      <c r="AF38" s="10" t="e">
        <f t="shared" ref="AF38:AF43" si="80">SUM(P38:S38)</f>
        <v>#REF!</v>
      </c>
      <c r="AG38" s="10" t="e">
        <f t="shared" ref="AG38:AG43" si="81">SUM(Q38:T38)</f>
        <v>#REF!</v>
      </c>
      <c r="AH38" s="10" t="e">
        <f t="shared" ref="AH38:AH43" si="82">SUM(R38:U38)</f>
        <v>#REF!</v>
      </c>
      <c r="AI38" s="10" t="e">
        <f t="shared" ref="AI38:AI43" si="83">SUM(S38:V38)</f>
        <v>#REF!</v>
      </c>
    </row>
    <row r="39" spans="1:37" ht="12.75" customHeight="1">
      <c r="B39" s="29" t="s">
        <v>143</v>
      </c>
      <c r="C39" s="85" t="e">
        <f>'Historical Financials'!#REF!</f>
        <v>#REF!</v>
      </c>
      <c r="D39" s="85" t="e">
        <f>'Historical Financials'!#REF!</f>
        <v>#REF!</v>
      </c>
      <c r="E39" s="85" t="e">
        <f>'Historical Financials'!#REF!</f>
        <v>#REF!</v>
      </c>
      <c r="F39" s="85" t="e">
        <f>'Historical Financials'!#REF!</f>
        <v>#REF!</v>
      </c>
      <c r="G39" s="30"/>
      <c r="H39" s="85" t="e">
        <f>'Historical Financials'!#REF!</f>
        <v>#REF!</v>
      </c>
      <c r="I39" s="85" t="e">
        <f>'Historical Financials'!#REF!</f>
        <v>#REF!</v>
      </c>
      <c r="J39" s="85" t="e">
        <f>'Historical Financials'!#REF!</f>
        <v>#REF!</v>
      </c>
      <c r="K39" s="85" t="e">
        <f>'Historical Financials'!#REF!</f>
        <v>#REF!</v>
      </c>
      <c r="L39" s="85" t="e">
        <f>'Historical Financials'!#REF!</f>
        <v>#REF!</v>
      </c>
      <c r="M39" s="85" t="e">
        <f>'Historical Financials'!#REF!</f>
        <v>#REF!</v>
      </c>
      <c r="N39" s="85" t="e">
        <f>'Historical Financials'!#REF!</f>
        <v>#REF!</v>
      </c>
      <c r="O39" s="85" t="e">
        <f>'Historical Financials'!#REF!</f>
        <v>#REF!</v>
      </c>
      <c r="P39" s="85" t="e">
        <f>'Historical Financials'!#REF!</f>
        <v>#REF!</v>
      </c>
      <c r="Q39" s="85" t="e">
        <f>'Historical Financials'!#REF!</f>
        <v>#REF!</v>
      </c>
      <c r="R39" s="85" t="e">
        <f>'Historical Financials'!#REF!</f>
        <v>#REF!</v>
      </c>
      <c r="S39" s="85" t="e">
        <f>'Historical Financials'!#REF!</f>
        <v>#REF!</v>
      </c>
      <c r="T39" s="85" t="e">
        <f>'Historical Financials'!#REF!</f>
        <v>#REF!</v>
      </c>
      <c r="U39" s="85" t="e">
        <f>'Historical Financials'!#REF!</f>
        <v>#REF!</v>
      </c>
      <c r="V39" s="85" t="e">
        <f>'Historical Financials'!#REF!</f>
        <v>#REF!</v>
      </c>
      <c r="X39" s="10" t="e">
        <f t="shared" si="72"/>
        <v>#REF!</v>
      </c>
      <c r="Y39" s="10" t="e">
        <f t="shared" si="73"/>
        <v>#REF!</v>
      </c>
      <c r="Z39" s="10" t="e">
        <f t="shared" si="74"/>
        <v>#REF!</v>
      </c>
      <c r="AA39" s="10" t="e">
        <f t="shared" si="75"/>
        <v>#REF!</v>
      </c>
      <c r="AB39" s="10" t="e">
        <f t="shared" si="76"/>
        <v>#REF!</v>
      </c>
      <c r="AC39" s="10" t="e">
        <f t="shared" si="77"/>
        <v>#REF!</v>
      </c>
      <c r="AD39" s="10" t="e">
        <f t="shared" si="78"/>
        <v>#REF!</v>
      </c>
      <c r="AE39" s="10" t="e">
        <f t="shared" si="79"/>
        <v>#REF!</v>
      </c>
      <c r="AF39" s="10" t="e">
        <f t="shared" si="80"/>
        <v>#REF!</v>
      </c>
      <c r="AG39" s="10" t="e">
        <f t="shared" si="81"/>
        <v>#REF!</v>
      </c>
      <c r="AH39" s="10" t="e">
        <f t="shared" si="82"/>
        <v>#REF!</v>
      </c>
      <c r="AI39" s="10" t="e">
        <f t="shared" si="83"/>
        <v>#REF!</v>
      </c>
    </row>
    <row r="40" spans="1:37" ht="12.75" customHeight="1">
      <c r="B40" s="29" t="s">
        <v>144</v>
      </c>
      <c r="C40" s="85" t="e">
        <f>'Historical Financials'!#REF!</f>
        <v>#REF!</v>
      </c>
      <c r="D40" s="85" t="e">
        <f>'Historical Financials'!#REF!</f>
        <v>#REF!</v>
      </c>
      <c r="E40" s="85" t="e">
        <f>'Historical Financials'!#REF!</f>
        <v>#REF!</v>
      </c>
      <c r="F40" s="85" t="e">
        <f>'Historical Financials'!#REF!</f>
        <v>#REF!</v>
      </c>
      <c r="G40" s="30"/>
      <c r="H40" s="85" t="e">
        <f>'Historical Financials'!#REF!</f>
        <v>#REF!</v>
      </c>
      <c r="I40" s="85" t="e">
        <f>'Historical Financials'!#REF!</f>
        <v>#REF!</v>
      </c>
      <c r="J40" s="85" t="e">
        <f>'Historical Financials'!#REF!</f>
        <v>#REF!</v>
      </c>
      <c r="K40" s="85" t="e">
        <f>'Historical Financials'!#REF!</f>
        <v>#REF!</v>
      </c>
      <c r="L40" s="85" t="e">
        <f>'Historical Financials'!#REF!</f>
        <v>#REF!</v>
      </c>
      <c r="M40" s="85" t="e">
        <f>'Historical Financials'!#REF!</f>
        <v>#REF!</v>
      </c>
      <c r="N40" s="85" t="e">
        <f>'Historical Financials'!#REF!</f>
        <v>#REF!</v>
      </c>
      <c r="O40" s="85" t="e">
        <f>'Historical Financials'!#REF!</f>
        <v>#REF!</v>
      </c>
      <c r="P40" s="85" t="e">
        <f>'Historical Financials'!#REF!</f>
        <v>#REF!</v>
      </c>
      <c r="Q40" s="85" t="e">
        <f>'Historical Financials'!#REF!</f>
        <v>#REF!</v>
      </c>
      <c r="R40" s="85" t="e">
        <f>'Historical Financials'!#REF!</f>
        <v>#REF!</v>
      </c>
      <c r="S40" s="85" t="e">
        <f>'Historical Financials'!#REF!</f>
        <v>#REF!</v>
      </c>
      <c r="T40" s="85" t="e">
        <f>'Historical Financials'!#REF!</f>
        <v>#REF!</v>
      </c>
      <c r="U40" s="85" t="e">
        <f>'Historical Financials'!#REF!</f>
        <v>#REF!</v>
      </c>
      <c r="V40" s="85" t="e">
        <f>'Historical Financials'!#REF!</f>
        <v>#REF!</v>
      </c>
      <c r="X40" s="10" t="e">
        <f t="shared" si="72"/>
        <v>#REF!</v>
      </c>
      <c r="Y40" s="10" t="e">
        <f t="shared" si="73"/>
        <v>#REF!</v>
      </c>
      <c r="Z40" s="10" t="e">
        <f t="shared" si="74"/>
        <v>#REF!</v>
      </c>
      <c r="AA40" s="10" t="e">
        <f t="shared" si="75"/>
        <v>#REF!</v>
      </c>
      <c r="AB40" s="10" t="e">
        <f t="shared" si="76"/>
        <v>#REF!</v>
      </c>
      <c r="AC40" s="10" t="e">
        <f t="shared" si="77"/>
        <v>#REF!</v>
      </c>
      <c r="AD40" s="10" t="e">
        <f t="shared" si="78"/>
        <v>#REF!</v>
      </c>
      <c r="AE40" s="10" t="e">
        <f t="shared" si="79"/>
        <v>#REF!</v>
      </c>
      <c r="AF40" s="10" t="e">
        <f t="shared" si="80"/>
        <v>#REF!</v>
      </c>
      <c r="AG40" s="10" t="e">
        <f t="shared" si="81"/>
        <v>#REF!</v>
      </c>
      <c r="AH40" s="10" t="e">
        <f t="shared" si="82"/>
        <v>#REF!</v>
      </c>
      <c r="AI40" s="10" t="e">
        <f t="shared" si="83"/>
        <v>#REF!</v>
      </c>
    </row>
    <row r="41" spans="1:37" ht="12.75" customHeight="1">
      <c r="B41" s="29" t="s">
        <v>119</v>
      </c>
      <c r="C41" s="85" t="e">
        <f>'Historical Financials'!#REF!</f>
        <v>#REF!</v>
      </c>
      <c r="D41" s="85" t="e">
        <f>'Historical Financials'!#REF!</f>
        <v>#REF!</v>
      </c>
      <c r="E41" s="85" t="e">
        <f>'Historical Financials'!#REF!</f>
        <v>#REF!</v>
      </c>
      <c r="F41" s="85" t="e">
        <f>'Historical Financials'!#REF!</f>
        <v>#REF!</v>
      </c>
      <c r="G41" s="30"/>
      <c r="H41" s="85" t="e">
        <f>'Historical Financials'!#REF!</f>
        <v>#REF!</v>
      </c>
      <c r="I41" s="85" t="e">
        <f>'Historical Financials'!#REF!</f>
        <v>#REF!</v>
      </c>
      <c r="J41" s="85" t="e">
        <f>'Historical Financials'!#REF!</f>
        <v>#REF!</v>
      </c>
      <c r="K41" s="85" t="e">
        <f>'Historical Financials'!#REF!</f>
        <v>#REF!</v>
      </c>
      <c r="L41" s="85" t="e">
        <f>'Historical Financials'!#REF!</f>
        <v>#REF!</v>
      </c>
      <c r="M41" s="85" t="e">
        <f>'Historical Financials'!#REF!</f>
        <v>#REF!</v>
      </c>
      <c r="N41" s="85" t="e">
        <f>'Historical Financials'!#REF!</f>
        <v>#REF!</v>
      </c>
      <c r="O41" s="85" t="e">
        <f>'Historical Financials'!#REF!</f>
        <v>#REF!</v>
      </c>
      <c r="P41" s="85" t="e">
        <f>'Historical Financials'!#REF!</f>
        <v>#REF!</v>
      </c>
      <c r="Q41" s="85" t="e">
        <f>'Historical Financials'!#REF!</f>
        <v>#REF!</v>
      </c>
      <c r="R41" s="85" t="e">
        <f>'Historical Financials'!#REF!</f>
        <v>#REF!</v>
      </c>
      <c r="S41" s="85" t="e">
        <f>'Historical Financials'!#REF!</f>
        <v>#REF!</v>
      </c>
      <c r="T41" s="85" t="e">
        <f>'Historical Financials'!#REF!</f>
        <v>#REF!</v>
      </c>
      <c r="U41" s="85" t="e">
        <f>'Historical Financials'!#REF!</f>
        <v>#REF!</v>
      </c>
      <c r="V41" s="85" t="e">
        <f>'Historical Financials'!#REF!</f>
        <v>#REF!</v>
      </c>
      <c r="X41" s="10" t="e">
        <f t="shared" si="72"/>
        <v>#REF!</v>
      </c>
      <c r="Y41" s="10" t="e">
        <f t="shared" si="73"/>
        <v>#REF!</v>
      </c>
      <c r="Z41" s="10" t="e">
        <f t="shared" si="74"/>
        <v>#REF!</v>
      </c>
      <c r="AA41" s="10" t="e">
        <f t="shared" si="75"/>
        <v>#REF!</v>
      </c>
      <c r="AB41" s="10" t="e">
        <f t="shared" si="76"/>
        <v>#REF!</v>
      </c>
      <c r="AC41" s="10" t="e">
        <f t="shared" si="77"/>
        <v>#REF!</v>
      </c>
      <c r="AD41" s="10" t="e">
        <f t="shared" si="78"/>
        <v>#REF!</v>
      </c>
      <c r="AE41" s="10" t="e">
        <f t="shared" si="79"/>
        <v>#REF!</v>
      </c>
      <c r="AF41" s="10" t="e">
        <f t="shared" si="80"/>
        <v>#REF!</v>
      </c>
      <c r="AG41" s="10" t="e">
        <f t="shared" si="81"/>
        <v>#REF!</v>
      </c>
      <c r="AH41" s="10" t="e">
        <f t="shared" si="82"/>
        <v>#REF!</v>
      </c>
      <c r="AI41" s="10" t="e">
        <f t="shared" si="83"/>
        <v>#REF!</v>
      </c>
    </row>
    <row r="42" spans="1:37" ht="12.75" customHeight="1">
      <c r="B42" s="29" t="s">
        <v>145</v>
      </c>
      <c r="C42" s="85" t="e">
        <f>'Historical Financials'!#REF!</f>
        <v>#REF!</v>
      </c>
      <c r="D42" s="85" t="e">
        <f>'Historical Financials'!#REF!</f>
        <v>#REF!</v>
      </c>
      <c r="E42" s="85" t="e">
        <f>'Historical Financials'!#REF!</f>
        <v>#REF!</v>
      </c>
      <c r="F42" s="85" t="e">
        <f>'Historical Financials'!#REF!</f>
        <v>#REF!</v>
      </c>
      <c r="G42" s="30"/>
      <c r="H42" s="85" t="e">
        <f>'Historical Financials'!#REF!</f>
        <v>#REF!</v>
      </c>
      <c r="I42" s="85" t="e">
        <f>'Historical Financials'!#REF!</f>
        <v>#REF!</v>
      </c>
      <c r="J42" s="85" t="e">
        <f>'Historical Financials'!#REF!</f>
        <v>#REF!</v>
      </c>
      <c r="K42" s="85" t="e">
        <f>'Historical Financials'!#REF!</f>
        <v>#REF!</v>
      </c>
      <c r="L42" s="85" t="e">
        <f>'Historical Financials'!#REF!</f>
        <v>#REF!</v>
      </c>
      <c r="M42" s="85" t="e">
        <f>'Historical Financials'!#REF!</f>
        <v>#REF!</v>
      </c>
      <c r="N42" s="85" t="e">
        <f>'Historical Financials'!#REF!</f>
        <v>#REF!</v>
      </c>
      <c r="O42" s="85" t="e">
        <f>'Historical Financials'!#REF!</f>
        <v>#REF!</v>
      </c>
      <c r="P42" s="85" t="e">
        <f>'Historical Financials'!#REF!</f>
        <v>#REF!</v>
      </c>
      <c r="Q42" s="85" t="e">
        <f>'Historical Financials'!#REF!</f>
        <v>#REF!</v>
      </c>
      <c r="R42" s="85" t="e">
        <f>'Historical Financials'!#REF!</f>
        <v>#REF!</v>
      </c>
      <c r="S42" s="85" t="e">
        <f>'Historical Financials'!#REF!</f>
        <v>#REF!</v>
      </c>
      <c r="T42" s="85" t="e">
        <f>'Historical Financials'!#REF!</f>
        <v>#REF!</v>
      </c>
      <c r="U42" s="85" t="e">
        <f>'Historical Financials'!#REF!</f>
        <v>#REF!</v>
      </c>
      <c r="V42" s="85" t="e">
        <f>'Historical Financials'!#REF!</f>
        <v>#REF!</v>
      </c>
      <c r="X42" s="10" t="e">
        <f t="shared" si="72"/>
        <v>#REF!</v>
      </c>
      <c r="Y42" s="10" t="e">
        <f t="shared" si="73"/>
        <v>#REF!</v>
      </c>
      <c r="Z42" s="10" t="e">
        <f t="shared" si="74"/>
        <v>#REF!</v>
      </c>
      <c r="AA42" s="10" t="e">
        <f t="shared" si="75"/>
        <v>#REF!</v>
      </c>
      <c r="AB42" s="10" t="e">
        <f t="shared" si="76"/>
        <v>#REF!</v>
      </c>
      <c r="AC42" s="10" t="e">
        <f t="shared" si="77"/>
        <v>#REF!</v>
      </c>
      <c r="AD42" s="10" t="e">
        <f t="shared" si="78"/>
        <v>#REF!</v>
      </c>
      <c r="AE42" s="10" t="e">
        <f t="shared" si="79"/>
        <v>#REF!</v>
      </c>
      <c r="AF42" s="10" t="e">
        <f t="shared" si="80"/>
        <v>#REF!</v>
      </c>
      <c r="AG42" s="10" t="e">
        <f t="shared" si="81"/>
        <v>#REF!</v>
      </c>
      <c r="AH42" s="10" t="e">
        <f t="shared" si="82"/>
        <v>#REF!</v>
      </c>
      <c r="AI42" s="10" t="e">
        <f t="shared" si="83"/>
        <v>#REF!</v>
      </c>
    </row>
    <row r="43" spans="1:37" ht="12.75" customHeight="1">
      <c r="B43" s="29" t="s">
        <v>90</v>
      </c>
      <c r="C43" s="30"/>
      <c r="D43" s="30" t="e">
        <f t="shared" ref="D43" si="84">SUM(D48:D49)-SUM(C48:C49)-SUM(D35:D42)</f>
        <v>#REF!</v>
      </c>
      <c r="E43" s="30" t="e">
        <f t="shared" ref="E43" si="85">SUM(E48:E49)-SUM(D48:D49)-SUM(E35:E42)</f>
        <v>#REF!</v>
      </c>
      <c r="F43" s="30" t="e">
        <f t="shared" ref="F43:U43" si="86">SUM(F48:F49)-SUM(E48:E49)-SUM(F35:F42)</f>
        <v>#REF!</v>
      </c>
      <c r="G43" s="30"/>
      <c r="H43" s="30" t="e">
        <f>SUM(H48:H49)-SUM(C48:C49)-SUM(H35:H42)</f>
        <v>#REF!</v>
      </c>
      <c r="I43" s="30" t="e">
        <f t="shared" si="86"/>
        <v>#REF!</v>
      </c>
      <c r="J43" s="30" t="e">
        <f t="shared" si="86"/>
        <v>#REF!</v>
      </c>
      <c r="K43" s="30" t="e">
        <f t="shared" si="86"/>
        <v>#REF!</v>
      </c>
      <c r="L43" s="30" t="e">
        <f t="shared" si="86"/>
        <v>#REF!</v>
      </c>
      <c r="M43" s="30" t="e">
        <f t="shared" si="86"/>
        <v>#REF!</v>
      </c>
      <c r="N43" s="30" t="e">
        <f t="shared" si="86"/>
        <v>#REF!</v>
      </c>
      <c r="O43" s="30" t="e">
        <f t="shared" si="86"/>
        <v>#REF!</v>
      </c>
      <c r="P43" s="30" t="e">
        <f t="shared" si="86"/>
        <v>#REF!</v>
      </c>
      <c r="Q43" s="30" t="e">
        <f t="shared" si="86"/>
        <v>#REF!</v>
      </c>
      <c r="R43" s="30" t="e">
        <f t="shared" si="86"/>
        <v>#REF!</v>
      </c>
      <c r="S43" s="30" t="e">
        <f t="shared" si="86"/>
        <v>#REF!</v>
      </c>
      <c r="T43" s="30" t="e">
        <f t="shared" si="86"/>
        <v>#REF!</v>
      </c>
      <c r="U43" s="30" t="e">
        <f t="shared" si="86"/>
        <v>#REF!</v>
      </c>
      <c r="V43" s="30" t="e">
        <f>SUM(V48:V49)-SUM(U48:U49)-SUM(V35:V42)</f>
        <v>#REF!</v>
      </c>
      <c r="X43" s="10" t="e">
        <f t="shared" si="72"/>
        <v>#REF!</v>
      </c>
      <c r="Y43" s="10" t="e">
        <f t="shared" si="73"/>
        <v>#REF!</v>
      </c>
      <c r="Z43" s="10" t="e">
        <f t="shared" si="74"/>
        <v>#REF!</v>
      </c>
      <c r="AA43" s="10" t="e">
        <f t="shared" si="75"/>
        <v>#REF!</v>
      </c>
      <c r="AB43" s="10" t="e">
        <f t="shared" si="76"/>
        <v>#REF!</v>
      </c>
      <c r="AC43" s="10" t="e">
        <f t="shared" si="77"/>
        <v>#REF!</v>
      </c>
      <c r="AD43" s="10" t="e">
        <f t="shared" si="78"/>
        <v>#REF!</v>
      </c>
      <c r="AE43" s="10" t="e">
        <f t="shared" si="79"/>
        <v>#REF!</v>
      </c>
      <c r="AF43" s="10" t="e">
        <f t="shared" si="80"/>
        <v>#REF!</v>
      </c>
      <c r="AG43" s="10" t="e">
        <f t="shared" si="81"/>
        <v>#REF!</v>
      </c>
      <c r="AH43" s="10" t="e">
        <f t="shared" si="82"/>
        <v>#REF!</v>
      </c>
      <c r="AI43" s="10" t="e">
        <f t="shared" si="83"/>
        <v>#REF!</v>
      </c>
    </row>
    <row r="44" spans="1:37" ht="12.75" customHeight="1">
      <c r="B44" s="12" t="s">
        <v>51</v>
      </c>
      <c r="C44" s="13" t="e">
        <f>SUM(C35+SUM(C37:C43))</f>
        <v>#REF!</v>
      </c>
      <c r="D44" s="13" t="e">
        <f>SUM(D35+SUM(D37:D43))</f>
        <v>#REF!</v>
      </c>
      <c r="E44" s="13" t="e">
        <f>SUM(E35+SUM(E37:E43))</f>
        <v>#REF!</v>
      </c>
      <c r="F44" s="13" t="e">
        <f>SUM(F35+SUM(F37:F43))</f>
        <v>#REF!</v>
      </c>
      <c r="H44" s="13" t="e">
        <f>SUM(H35+SUM(H37:H43))</f>
        <v>#REF!</v>
      </c>
      <c r="I44" s="13" t="e">
        <f>SUM(I35+SUM(I37:I43))</f>
        <v>#REF!</v>
      </c>
      <c r="J44" s="13" t="e">
        <f>SUM(J35+SUM(J37:J43))</f>
        <v>#REF!</v>
      </c>
      <c r="K44" s="13" t="e">
        <f>SUM(K35+SUM(K37:K43))</f>
        <v>#REF!</v>
      </c>
      <c r="L44" s="13" t="e">
        <f>SUM(L35+SUM(L37:L43))</f>
        <v>#REF!</v>
      </c>
      <c r="M44" s="13" t="e">
        <f>SUM(M35+SUM(M37:M43))</f>
        <v>#REF!</v>
      </c>
      <c r="N44" s="13" t="e">
        <f>SUM(N35+SUM(N37:N43))</f>
        <v>#REF!</v>
      </c>
      <c r="O44" s="13" t="e">
        <f>SUM(O35+SUM(O37:O43))</f>
        <v>#REF!</v>
      </c>
      <c r="P44" s="13" t="e">
        <f>SUM(P35+SUM(P37:P43))</f>
        <v>#REF!</v>
      </c>
      <c r="Q44" s="13" t="e">
        <f>SUM(Q35+SUM(Q37:Q43))</f>
        <v>#REF!</v>
      </c>
      <c r="R44" s="13" t="e">
        <f>SUM(R35+SUM(R37:R43))</f>
        <v>#REF!</v>
      </c>
      <c r="S44" s="13" t="e">
        <f>SUM(S35+SUM(S37:S43))</f>
        <v>#REF!</v>
      </c>
      <c r="T44" s="13" t="e">
        <f>SUM(T35+SUM(T37:T43))</f>
        <v>#REF!</v>
      </c>
      <c r="U44" s="13" t="e">
        <f>SUM(U35+SUM(U37:U43))</f>
        <v>#REF!</v>
      </c>
      <c r="V44" s="13" t="e">
        <f>SUM(V35+SUM(V37:V43))</f>
        <v>#REF!</v>
      </c>
      <c r="X44" s="13" t="e">
        <f>SUM(X35+SUM(X37:X43))</f>
        <v>#REF!</v>
      </c>
      <c r="Y44" s="13" t="e">
        <f>SUM(Y35+SUM(Y37:Y43))</f>
        <v>#REF!</v>
      </c>
      <c r="Z44" s="13" t="e">
        <f>SUM(Z35+SUM(Z37:Z43))</f>
        <v>#REF!</v>
      </c>
      <c r="AA44" s="13" t="e">
        <f>SUM(AA35+SUM(AA37:AA43))</f>
        <v>#REF!</v>
      </c>
      <c r="AB44" s="13" t="e">
        <f>SUM(AB35+SUM(AB37:AB43))</f>
        <v>#REF!</v>
      </c>
      <c r="AC44" s="13" t="e">
        <f>SUM(AC35+SUM(AC37:AC43))</f>
        <v>#REF!</v>
      </c>
      <c r="AD44" s="13" t="e">
        <f>SUM(AD35+SUM(AD37:AD43))</f>
        <v>#REF!</v>
      </c>
      <c r="AE44" s="13" t="e">
        <f>SUM(AE35+SUM(AE37:AE43))</f>
        <v>#REF!</v>
      </c>
      <c r="AF44" s="13" t="e">
        <f>SUM(AF35+SUM(AF37:AF43))</f>
        <v>#REF!</v>
      </c>
      <c r="AG44" s="13" t="e">
        <f>SUM(AG35+SUM(AG37:AG43))</f>
        <v>#REF!</v>
      </c>
      <c r="AH44" s="13" t="e">
        <f>SUM(AH35+SUM(AH37:AH43))</f>
        <v>#REF!</v>
      </c>
      <c r="AI44" s="13" t="e">
        <f>SUM(AI35+SUM(AI37:AI43))</f>
        <v>#REF!</v>
      </c>
    </row>
    <row r="45" spans="1:37" ht="5.0999999999999996" customHeight="1"/>
    <row r="46" spans="1:37" ht="12.75" customHeight="1">
      <c r="A46" s="5"/>
      <c r="B46" s="31" t="s">
        <v>52</v>
      </c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</row>
    <row r="47" spans="1:37" ht="5.0999999999999996" customHeight="1"/>
    <row r="48" spans="1:37" ht="12.75" customHeight="1">
      <c r="B48" s="8" t="s">
        <v>53</v>
      </c>
      <c r="C48" s="85">
        <f>'Historical Financials'!C47</f>
        <v>11729</v>
      </c>
      <c r="D48" s="85">
        <f>'Historical Financials'!D47</f>
        <v>57888</v>
      </c>
      <c r="E48" s="85">
        <f>'Historical Financials'!E47</f>
        <v>21392</v>
      </c>
      <c r="F48" s="85">
        <f>'Historical Financials'!F47</f>
        <v>67674</v>
      </c>
      <c r="G48" s="30"/>
      <c r="H48" s="85">
        <f>'Historical Financials'!H47</f>
        <v>206626</v>
      </c>
      <c r="I48" s="85">
        <f>'Historical Financials'!I47</f>
        <v>184020</v>
      </c>
      <c r="J48" s="85">
        <f>'Historical Financials'!J47</f>
        <v>73837</v>
      </c>
      <c r="K48" s="85">
        <f>'Historical Financials'!K47</f>
        <v>57888</v>
      </c>
      <c r="L48" s="85">
        <f>'Historical Financials'!L47</f>
        <v>26117</v>
      </c>
      <c r="M48" s="85">
        <f>'Historical Financials'!M47</f>
        <v>21712</v>
      </c>
      <c r="N48" s="85">
        <f>'Historical Financials'!N47</f>
        <v>41757</v>
      </c>
      <c r="O48" s="85">
        <f>'Historical Financials'!O47</f>
        <v>21392</v>
      </c>
      <c r="P48" s="85">
        <f>'Historical Financials'!P47</f>
        <v>35098</v>
      </c>
      <c r="Q48" s="85">
        <f>'Historical Financials'!Q47</f>
        <v>20684</v>
      </c>
      <c r="R48" s="85">
        <f>'Historical Financials'!R47</f>
        <v>20286</v>
      </c>
      <c r="S48" s="85">
        <f>'Historical Financials'!S47</f>
        <v>67674</v>
      </c>
      <c r="T48" s="85">
        <f>'Historical Financials'!T47</f>
        <v>37162</v>
      </c>
      <c r="U48" s="85">
        <f>'Historical Financials'!U47</f>
        <v>57183</v>
      </c>
      <c r="V48" s="85" t="e">
        <f>'Historical Financials'!#REF!</f>
        <v>#REF!</v>
      </c>
      <c r="X48" s="10">
        <f t="shared" ref="X48:AH49" si="87">K48</f>
        <v>57888</v>
      </c>
      <c r="Y48" s="10">
        <f t="shared" si="87"/>
        <v>26117</v>
      </c>
      <c r="Z48" s="10">
        <f t="shared" si="87"/>
        <v>21712</v>
      </c>
      <c r="AA48" s="10">
        <f t="shared" si="87"/>
        <v>41757</v>
      </c>
      <c r="AB48" s="10">
        <f t="shared" si="87"/>
        <v>21392</v>
      </c>
      <c r="AC48" s="10">
        <f t="shared" si="87"/>
        <v>35098</v>
      </c>
      <c r="AD48" s="10">
        <f t="shared" si="87"/>
        <v>20684</v>
      </c>
      <c r="AE48" s="10">
        <f t="shared" si="87"/>
        <v>20286</v>
      </c>
      <c r="AF48" s="10">
        <f t="shared" si="87"/>
        <v>67674</v>
      </c>
      <c r="AG48" s="10">
        <f t="shared" si="87"/>
        <v>37162</v>
      </c>
      <c r="AH48" s="10">
        <f t="shared" si="87"/>
        <v>57183</v>
      </c>
      <c r="AI48" s="10" t="e">
        <f>V48</f>
        <v>#REF!</v>
      </c>
    </row>
    <row r="49" spans="2:35" ht="12.75" customHeight="1">
      <c r="B49" s="8" t="s">
        <v>110</v>
      </c>
      <c r="C49" s="85">
        <f>'Historical Financials'!C50</f>
        <v>4800</v>
      </c>
      <c r="D49" s="85">
        <f>'Historical Financials'!D50</f>
        <v>5421</v>
      </c>
      <c r="E49" s="85">
        <f>'Historical Financials'!E50</f>
        <v>2709</v>
      </c>
      <c r="F49" s="85">
        <f>'Historical Financials'!F50</f>
        <v>12237</v>
      </c>
      <c r="G49" s="30"/>
      <c r="H49" s="85">
        <f>'Historical Financials'!H50</f>
        <v>7296</v>
      </c>
      <c r="I49" s="85">
        <f>'Historical Financials'!I50</f>
        <v>5791</v>
      </c>
      <c r="J49" s="85">
        <f>'Historical Financials'!J50</f>
        <v>4375</v>
      </c>
      <c r="K49" s="85">
        <f>'Historical Financials'!K50</f>
        <v>5421</v>
      </c>
      <c r="L49" s="85">
        <f>'Historical Financials'!L50</f>
        <v>2979</v>
      </c>
      <c r="M49" s="85">
        <f>'Historical Financials'!M50</f>
        <v>4423</v>
      </c>
      <c r="N49" s="85">
        <f>'Historical Financials'!N50</f>
        <v>3473</v>
      </c>
      <c r="O49" s="85">
        <f>'Historical Financials'!O50</f>
        <v>2709</v>
      </c>
      <c r="P49" s="85">
        <f>'Historical Financials'!P50</f>
        <v>2579</v>
      </c>
      <c r="Q49" s="85">
        <f>'Historical Financials'!Q50</f>
        <v>3959</v>
      </c>
      <c r="R49" s="85">
        <f>'Historical Financials'!R50</f>
        <v>4902</v>
      </c>
      <c r="S49" s="85">
        <f>'Historical Financials'!S50</f>
        <v>12237</v>
      </c>
      <c r="T49" s="85">
        <f>'Historical Financials'!T50</f>
        <v>4165</v>
      </c>
      <c r="U49" s="85">
        <f>'Historical Financials'!U50</f>
        <v>6087</v>
      </c>
      <c r="V49" s="85" t="e">
        <f>'Historical Financials'!#REF!</f>
        <v>#REF!</v>
      </c>
      <c r="X49" s="10">
        <f t="shared" ref="X49:X51" si="88">K49</f>
        <v>5421</v>
      </c>
      <c r="Y49" s="10">
        <f t="shared" ref="Y49:Y51" si="89">L49</f>
        <v>2979</v>
      </c>
      <c r="Z49" s="10">
        <f t="shared" ref="Z49:Z51" si="90">M49</f>
        <v>4423</v>
      </c>
      <c r="AA49" s="10">
        <f t="shared" ref="AA49:AA51" si="91">N49</f>
        <v>3473</v>
      </c>
      <c r="AB49" s="10">
        <f t="shared" ref="AB49:AB51" si="92">O49</f>
        <v>2709</v>
      </c>
      <c r="AC49" s="10">
        <f t="shared" ref="AC49:AC51" si="93">P49</f>
        <v>2579</v>
      </c>
      <c r="AD49" s="10">
        <f t="shared" ref="AD49:AD51" si="94">Q49</f>
        <v>3959</v>
      </c>
      <c r="AE49" s="10">
        <f t="shared" ref="AE49:AE51" si="95">R49</f>
        <v>4902</v>
      </c>
      <c r="AF49" s="10">
        <f t="shared" ref="AF49:AF51" si="96">S49</f>
        <v>12237</v>
      </c>
      <c r="AG49" s="10">
        <f t="shared" ref="AG49:AG51" si="97">T49</f>
        <v>4165</v>
      </c>
      <c r="AH49" s="10">
        <f t="shared" ref="AH49:AH51" si="98">U49</f>
        <v>6087</v>
      </c>
      <c r="AI49" s="10" t="e">
        <f t="shared" ref="AI49:AI51" si="99">V49</f>
        <v>#REF!</v>
      </c>
    </row>
    <row r="50" spans="2:35" ht="12.75" customHeight="1">
      <c r="B50" s="8" t="s">
        <v>146</v>
      </c>
      <c r="C50" s="85" t="e">
        <f>'Historical Financials'!#REF!</f>
        <v>#REF!</v>
      </c>
      <c r="D50" s="85" t="e">
        <f>'Historical Financials'!#REF!</f>
        <v>#REF!</v>
      </c>
      <c r="E50" s="85" t="e">
        <f>'Historical Financials'!#REF!</f>
        <v>#REF!</v>
      </c>
      <c r="F50" s="85" t="e">
        <f>'Historical Financials'!#REF!</f>
        <v>#REF!</v>
      </c>
      <c r="G50" s="30"/>
      <c r="H50" s="85" t="e">
        <f>'Historical Financials'!#REF!</f>
        <v>#REF!</v>
      </c>
      <c r="I50" s="85" t="e">
        <f>'Historical Financials'!#REF!</f>
        <v>#REF!</v>
      </c>
      <c r="J50" s="85" t="e">
        <f>'Historical Financials'!#REF!</f>
        <v>#REF!</v>
      </c>
      <c r="K50" s="85" t="e">
        <f>'Historical Financials'!#REF!</f>
        <v>#REF!</v>
      </c>
      <c r="L50" s="85" t="e">
        <f>'Historical Financials'!#REF!</f>
        <v>#REF!</v>
      </c>
      <c r="M50" s="85" t="e">
        <f>'Historical Financials'!#REF!</f>
        <v>#REF!</v>
      </c>
      <c r="N50" s="85" t="e">
        <f>'Historical Financials'!#REF!</f>
        <v>#REF!</v>
      </c>
      <c r="O50" s="85" t="e">
        <f>'Historical Financials'!#REF!</f>
        <v>#REF!</v>
      </c>
      <c r="P50" s="85" t="e">
        <f>'Historical Financials'!#REF!</f>
        <v>#REF!</v>
      </c>
      <c r="Q50" s="85" t="e">
        <f>'Historical Financials'!#REF!</f>
        <v>#REF!</v>
      </c>
      <c r="R50" s="85" t="e">
        <f>'Historical Financials'!#REF!</f>
        <v>#REF!</v>
      </c>
      <c r="S50" s="85" t="e">
        <f>'Historical Financials'!#REF!</f>
        <v>#REF!</v>
      </c>
      <c r="T50" s="85" t="e">
        <f>'Historical Financials'!#REF!</f>
        <v>#REF!</v>
      </c>
      <c r="U50" s="85" t="e">
        <f>'Historical Financials'!#REF!</f>
        <v>#REF!</v>
      </c>
      <c r="V50" s="85" t="e">
        <f>'Historical Financials'!#REF!</f>
        <v>#REF!</v>
      </c>
      <c r="X50" s="10" t="e">
        <f t="shared" si="88"/>
        <v>#REF!</v>
      </c>
      <c r="Y50" s="10" t="e">
        <f t="shared" si="89"/>
        <v>#REF!</v>
      </c>
      <c r="Z50" s="10" t="e">
        <f t="shared" si="90"/>
        <v>#REF!</v>
      </c>
      <c r="AA50" s="10" t="e">
        <f t="shared" si="91"/>
        <v>#REF!</v>
      </c>
      <c r="AB50" s="10" t="e">
        <f t="shared" si="92"/>
        <v>#REF!</v>
      </c>
      <c r="AC50" s="10" t="e">
        <f t="shared" si="93"/>
        <v>#REF!</v>
      </c>
      <c r="AD50" s="10" t="e">
        <f t="shared" si="94"/>
        <v>#REF!</v>
      </c>
      <c r="AE50" s="10" t="e">
        <f t="shared" si="95"/>
        <v>#REF!</v>
      </c>
      <c r="AF50" s="10" t="e">
        <f t="shared" si="96"/>
        <v>#REF!</v>
      </c>
      <c r="AG50" s="10" t="e">
        <f t="shared" si="97"/>
        <v>#REF!</v>
      </c>
      <c r="AH50" s="10" t="e">
        <f t="shared" si="98"/>
        <v>#REF!</v>
      </c>
      <c r="AI50" s="10" t="e">
        <f t="shared" si="99"/>
        <v>#REF!</v>
      </c>
    </row>
    <row r="51" spans="2:35" ht="12.75" customHeight="1">
      <c r="B51" s="8" t="s">
        <v>147</v>
      </c>
      <c r="C51" s="85">
        <f>'Historical Financials'!C54</f>
        <v>22497</v>
      </c>
      <c r="D51" s="85">
        <f>'Historical Financials'!D54</f>
        <v>39530</v>
      </c>
      <c r="E51" s="85">
        <f>'Historical Financials'!E54</f>
        <v>44483</v>
      </c>
      <c r="F51" s="85">
        <f>'Historical Financials'!F54</f>
        <v>44643</v>
      </c>
      <c r="G51" s="30"/>
      <c r="H51" s="85">
        <f>'Historical Financials'!H54</f>
        <v>23943</v>
      </c>
      <c r="I51" s="85">
        <f>'Historical Financials'!I54</f>
        <v>30583</v>
      </c>
      <c r="J51" s="85">
        <f>'Historical Financials'!J54</f>
        <v>37440</v>
      </c>
      <c r="K51" s="85">
        <f>'Historical Financials'!K54</f>
        <v>39530</v>
      </c>
      <c r="L51" s="85">
        <f>'Historical Financials'!L54</f>
        <v>42575</v>
      </c>
      <c r="M51" s="85">
        <f>'Historical Financials'!M54</f>
        <v>41356</v>
      </c>
      <c r="N51" s="85">
        <f>'Historical Financials'!N54</f>
        <v>40348</v>
      </c>
      <c r="O51" s="85">
        <f>'Historical Financials'!O54</f>
        <v>44483</v>
      </c>
      <c r="P51" s="85">
        <f>'Historical Financials'!P54</f>
        <v>44610</v>
      </c>
      <c r="Q51" s="85">
        <f>'Historical Financials'!Q54</f>
        <v>45651</v>
      </c>
      <c r="R51" s="85">
        <f>'Historical Financials'!R54</f>
        <v>44837</v>
      </c>
      <c r="S51" s="85">
        <f>'Historical Financials'!S54</f>
        <v>44643</v>
      </c>
      <c r="T51" s="85">
        <f>'Historical Financials'!T54</f>
        <v>46100</v>
      </c>
      <c r="U51" s="85">
        <f>'Historical Financials'!U54</f>
        <v>48869</v>
      </c>
      <c r="V51" s="85" t="e">
        <f>'Historical Financials'!#REF!</f>
        <v>#REF!</v>
      </c>
      <c r="X51" s="10">
        <f t="shared" si="88"/>
        <v>39530</v>
      </c>
      <c r="Y51" s="10">
        <f t="shared" si="89"/>
        <v>42575</v>
      </c>
      <c r="Z51" s="10">
        <f t="shared" si="90"/>
        <v>41356</v>
      </c>
      <c r="AA51" s="10">
        <f t="shared" si="91"/>
        <v>40348</v>
      </c>
      <c r="AB51" s="10">
        <f t="shared" si="92"/>
        <v>44483</v>
      </c>
      <c r="AC51" s="10">
        <f t="shared" si="93"/>
        <v>44610</v>
      </c>
      <c r="AD51" s="10">
        <f t="shared" si="94"/>
        <v>45651</v>
      </c>
      <c r="AE51" s="10">
        <f t="shared" si="95"/>
        <v>44837</v>
      </c>
      <c r="AF51" s="10">
        <f t="shared" si="96"/>
        <v>44643</v>
      </c>
      <c r="AG51" s="10">
        <f t="shared" si="97"/>
        <v>46100</v>
      </c>
      <c r="AH51" s="10">
        <f t="shared" si="98"/>
        <v>48869</v>
      </c>
      <c r="AI51" s="10" t="e">
        <f t="shared" si="99"/>
        <v>#REF!</v>
      </c>
    </row>
    <row r="52" spans="2:35" ht="12.75" customHeight="1">
      <c r="B52" s="12" t="s">
        <v>54</v>
      </c>
      <c r="C52" s="13" t="e">
        <f>SUM(C48:C51)</f>
        <v>#REF!</v>
      </c>
      <c r="D52" s="13" t="e">
        <f>SUM(D48:D51)</f>
        <v>#REF!</v>
      </c>
      <c r="E52" s="13" t="e">
        <f>SUM(E48:E51)</f>
        <v>#REF!</v>
      </c>
      <c r="F52" s="13" t="e">
        <f>SUM(F48:F51)</f>
        <v>#REF!</v>
      </c>
      <c r="G52" s="30"/>
      <c r="H52" s="13" t="e">
        <f t="shared" ref="H52:AI52" si="100">SUM(H48:H51)</f>
        <v>#REF!</v>
      </c>
      <c r="I52" s="13" t="e">
        <f t="shared" si="100"/>
        <v>#REF!</v>
      </c>
      <c r="J52" s="13" t="e">
        <f t="shared" si="100"/>
        <v>#REF!</v>
      </c>
      <c r="K52" s="13" t="e">
        <f t="shared" si="100"/>
        <v>#REF!</v>
      </c>
      <c r="L52" s="13" t="e">
        <f t="shared" si="100"/>
        <v>#REF!</v>
      </c>
      <c r="M52" s="13" t="e">
        <f t="shared" si="100"/>
        <v>#REF!</v>
      </c>
      <c r="N52" s="13" t="e">
        <f t="shared" si="100"/>
        <v>#REF!</v>
      </c>
      <c r="O52" s="13" t="e">
        <f t="shared" si="100"/>
        <v>#REF!</v>
      </c>
      <c r="P52" s="13" t="e">
        <f t="shared" si="100"/>
        <v>#REF!</v>
      </c>
      <c r="Q52" s="13" t="e">
        <f t="shared" si="100"/>
        <v>#REF!</v>
      </c>
      <c r="R52" s="13" t="e">
        <f t="shared" si="100"/>
        <v>#REF!</v>
      </c>
      <c r="S52" s="13" t="e">
        <f t="shared" si="100"/>
        <v>#REF!</v>
      </c>
      <c r="T52" s="13" t="e">
        <f t="shared" si="100"/>
        <v>#REF!</v>
      </c>
      <c r="U52" s="13" t="e">
        <f t="shared" si="100"/>
        <v>#REF!</v>
      </c>
      <c r="V52" s="13" t="e">
        <f t="shared" si="100"/>
        <v>#REF!</v>
      </c>
      <c r="X52" s="13" t="e">
        <f t="shared" si="100"/>
        <v>#REF!</v>
      </c>
      <c r="Y52" s="13" t="e">
        <f t="shared" si="100"/>
        <v>#REF!</v>
      </c>
      <c r="Z52" s="13" t="e">
        <f t="shared" si="100"/>
        <v>#REF!</v>
      </c>
      <c r="AA52" s="13" t="e">
        <f t="shared" si="100"/>
        <v>#REF!</v>
      </c>
      <c r="AB52" s="13" t="e">
        <f t="shared" si="100"/>
        <v>#REF!</v>
      </c>
      <c r="AC52" s="13" t="e">
        <f t="shared" si="100"/>
        <v>#REF!</v>
      </c>
      <c r="AD52" s="13" t="e">
        <f t="shared" si="100"/>
        <v>#REF!</v>
      </c>
      <c r="AE52" s="13" t="e">
        <f t="shared" si="100"/>
        <v>#REF!</v>
      </c>
      <c r="AF52" s="13" t="e">
        <f t="shared" si="100"/>
        <v>#REF!</v>
      </c>
      <c r="AG52" s="13" t="e">
        <f t="shared" si="100"/>
        <v>#REF!</v>
      </c>
      <c r="AH52" s="13" t="e">
        <f t="shared" si="100"/>
        <v>#REF!</v>
      </c>
      <c r="AI52" s="13" t="e">
        <f t="shared" si="100"/>
        <v>#REF!</v>
      </c>
    </row>
    <row r="53" spans="2:35" ht="5.0999999999999996" customHeight="1"/>
    <row r="54" spans="2:35" ht="12.75" customHeight="1">
      <c r="B54" s="33" t="s">
        <v>55</v>
      </c>
    </row>
    <row r="55" spans="2:35" ht="12.75" customHeight="1">
      <c r="B55" s="8" t="s">
        <v>56</v>
      </c>
      <c r="C55" s="85" t="e">
        <f>'Historical Financials'!#REF!</f>
        <v>#REF!</v>
      </c>
      <c r="D55" s="85" t="e">
        <f>'Historical Financials'!#REF!</f>
        <v>#REF!</v>
      </c>
      <c r="E55" s="85" t="e">
        <f>'Historical Financials'!#REF!</f>
        <v>#REF!</v>
      </c>
      <c r="F55" s="85" t="e">
        <f>'Historical Financials'!#REF!</f>
        <v>#REF!</v>
      </c>
      <c r="H55" s="85" t="e">
        <f>'Historical Financials'!#REF!</f>
        <v>#REF!</v>
      </c>
      <c r="I55" s="85" t="e">
        <f>'Historical Financials'!#REF!</f>
        <v>#REF!</v>
      </c>
      <c r="J55" s="85" t="e">
        <f>'Historical Financials'!#REF!</f>
        <v>#REF!</v>
      </c>
      <c r="K55" s="85" t="e">
        <f>'Historical Financials'!#REF!</f>
        <v>#REF!</v>
      </c>
      <c r="L55" s="85" t="e">
        <f>'Historical Financials'!#REF!</f>
        <v>#REF!</v>
      </c>
      <c r="M55" s="85" t="e">
        <f>'Historical Financials'!#REF!</f>
        <v>#REF!</v>
      </c>
      <c r="N55" s="85" t="e">
        <f>'Historical Financials'!#REF!</f>
        <v>#REF!</v>
      </c>
      <c r="O55" s="85" t="e">
        <f>'Historical Financials'!#REF!</f>
        <v>#REF!</v>
      </c>
      <c r="P55" s="85" t="e">
        <f>'Historical Financials'!#REF!</f>
        <v>#REF!</v>
      </c>
      <c r="Q55" s="85" t="e">
        <f>'Historical Financials'!#REF!</f>
        <v>#REF!</v>
      </c>
      <c r="R55" s="85" t="e">
        <f>'Historical Financials'!#REF!</f>
        <v>#REF!</v>
      </c>
      <c r="S55" s="85" t="e">
        <f>'Historical Financials'!#REF!</f>
        <v>#REF!</v>
      </c>
      <c r="T55" s="85" t="e">
        <f>'Historical Financials'!#REF!</f>
        <v>#REF!</v>
      </c>
      <c r="U55" s="85" t="e">
        <f>'Historical Financials'!#REF!</f>
        <v>#REF!</v>
      </c>
      <c r="V55" s="85" t="e">
        <f>'Historical Financials'!#REF!</f>
        <v>#REF!</v>
      </c>
      <c r="W55" s="10"/>
      <c r="X55" s="10" t="e">
        <f t="shared" ref="X55:X61" si="101">K55</f>
        <v>#REF!</v>
      </c>
      <c r="Y55" s="10" t="e">
        <f t="shared" ref="Y55:Y61" si="102">L55</f>
        <v>#REF!</v>
      </c>
      <c r="Z55" s="10" t="e">
        <f t="shared" ref="Z55:Z61" si="103">M55</f>
        <v>#REF!</v>
      </c>
      <c r="AA55" s="10" t="e">
        <f t="shared" ref="AA55:AA61" si="104">N55</f>
        <v>#REF!</v>
      </c>
      <c r="AB55" s="10" t="e">
        <f t="shared" ref="AB55:AB61" si="105">O55</f>
        <v>#REF!</v>
      </c>
      <c r="AC55" s="10" t="e">
        <f t="shared" ref="AC55:AC61" si="106">P55</f>
        <v>#REF!</v>
      </c>
      <c r="AD55" s="10" t="e">
        <f t="shared" ref="AD55:AD61" si="107">Q55</f>
        <v>#REF!</v>
      </c>
      <c r="AE55" s="10" t="e">
        <f t="shared" ref="AE55:AE61" si="108">R55</f>
        <v>#REF!</v>
      </c>
      <c r="AF55" s="10" t="e">
        <f t="shared" ref="AF55:AF61" si="109">S55</f>
        <v>#REF!</v>
      </c>
      <c r="AG55" s="10" t="e">
        <f t="shared" ref="AG55:AG61" si="110">T55</f>
        <v>#REF!</v>
      </c>
      <c r="AH55" s="10" t="e">
        <f t="shared" ref="AH55:AH61" si="111">U55</f>
        <v>#REF!</v>
      </c>
      <c r="AI55" s="10" t="e">
        <f t="shared" ref="AI55:AI61" si="112">V55</f>
        <v>#REF!</v>
      </c>
    </row>
    <row r="56" spans="2:35" ht="12.75" customHeight="1">
      <c r="B56" s="8" t="s">
        <v>57</v>
      </c>
      <c r="C56" s="85">
        <f>'Historical Financials'!C63</f>
        <v>1971</v>
      </c>
      <c r="D56" s="85">
        <f>'Historical Financials'!D63</f>
        <v>1938</v>
      </c>
      <c r="E56" s="85">
        <f>'Historical Financials'!E63</f>
        <v>5772</v>
      </c>
      <c r="F56" s="85">
        <f>'Historical Financials'!F63</f>
        <v>1590</v>
      </c>
      <c r="G56" s="85"/>
      <c r="H56" s="85">
        <f>'Historical Financials'!H63</f>
        <v>3453</v>
      </c>
      <c r="I56" s="85">
        <f>'Historical Financials'!I63</f>
        <v>1517</v>
      </c>
      <c r="J56" s="85">
        <f>'Historical Financials'!J63</f>
        <v>1726</v>
      </c>
      <c r="K56" s="85">
        <f>'Historical Financials'!K63</f>
        <v>1938</v>
      </c>
      <c r="L56" s="85">
        <f>'Historical Financials'!L63</f>
        <v>1664</v>
      </c>
      <c r="M56" s="85">
        <f>'Historical Financials'!M63</f>
        <v>947</v>
      </c>
      <c r="N56" s="85">
        <f>'Historical Financials'!N63</f>
        <v>1447</v>
      </c>
      <c r="O56" s="85">
        <f>'Historical Financials'!O63</f>
        <v>5772</v>
      </c>
      <c r="P56" s="85">
        <f>'Historical Financials'!P63</f>
        <v>3822</v>
      </c>
      <c r="Q56" s="85">
        <f>'Historical Financials'!Q63</f>
        <v>1843</v>
      </c>
      <c r="R56" s="85">
        <f>'Historical Financials'!R63</f>
        <v>1604</v>
      </c>
      <c r="S56" s="85">
        <f>'Historical Financials'!S63</f>
        <v>1590</v>
      </c>
      <c r="T56" s="85">
        <f>'Historical Financials'!T63</f>
        <v>3401</v>
      </c>
      <c r="U56" s="85">
        <f>'Historical Financials'!U63</f>
        <v>2159</v>
      </c>
      <c r="V56" s="85" t="e">
        <f>'Historical Financials'!#REF!</f>
        <v>#REF!</v>
      </c>
      <c r="X56" s="10">
        <f t="shared" si="101"/>
        <v>1938</v>
      </c>
      <c r="Y56" s="10">
        <f t="shared" si="102"/>
        <v>1664</v>
      </c>
      <c r="Z56" s="10">
        <f t="shared" si="103"/>
        <v>947</v>
      </c>
      <c r="AA56" s="10">
        <f t="shared" si="104"/>
        <v>1447</v>
      </c>
      <c r="AB56" s="10">
        <f t="shared" si="105"/>
        <v>5772</v>
      </c>
      <c r="AC56" s="10">
        <f t="shared" si="106"/>
        <v>3822</v>
      </c>
      <c r="AD56" s="10">
        <f t="shared" si="107"/>
        <v>1843</v>
      </c>
      <c r="AE56" s="10">
        <f t="shared" si="108"/>
        <v>1604</v>
      </c>
      <c r="AF56" s="10">
        <f t="shared" si="109"/>
        <v>1590</v>
      </c>
      <c r="AG56" s="10">
        <f t="shared" si="110"/>
        <v>3401</v>
      </c>
      <c r="AH56" s="10">
        <f t="shared" si="111"/>
        <v>2159</v>
      </c>
      <c r="AI56" s="10" t="e">
        <f t="shared" si="112"/>
        <v>#REF!</v>
      </c>
    </row>
    <row r="57" spans="2:35" ht="12.75" customHeight="1">
      <c r="B57" s="8" t="s">
        <v>148</v>
      </c>
      <c r="C57" s="85">
        <f>'Historical Financials'!C68</f>
        <v>230</v>
      </c>
      <c r="D57" s="85">
        <f>'Historical Financials'!D68</f>
        <v>0</v>
      </c>
      <c r="E57" s="85">
        <f>'Historical Financials'!E68</f>
        <v>0</v>
      </c>
      <c r="F57" s="85">
        <f>'Historical Financials'!F68</f>
        <v>0</v>
      </c>
      <c r="G57" s="85"/>
      <c r="H57" s="85">
        <f>'Historical Financials'!H68</f>
        <v>0</v>
      </c>
      <c r="I57" s="85">
        <f>'Historical Financials'!I68</f>
        <v>0</v>
      </c>
      <c r="J57" s="85">
        <f>'Historical Financials'!J68</f>
        <v>0</v>
      </c>
      <c r="K57" s="85">
        <f>'Historical Financials'!K68</f>
        <v>0</v>
      </c>
      <c r="L57" s="85">
        <f>'Historical Financials'!L68</f>
        <v>0</v>
      </c>
      <c r="M57" s="85">
        <f>'Historical Financials'!M68</f>
        <v>0</v>
      </c>
      <c r="N57" s="85">
        <f>'Historical Financials'!N68</f>
        <v>0</v>
      </c>
      <c r="O57" s="85">
        <f>'Historical Financials'!O68</f>
        <v>0</v>
      </c>
      <c r="P57" s="85">
        <f>'Historical Financials'!P68</f>
        <v>0</v>
      </c>
      <c r="Q57" s="85">
        <f>'Historical Financials'!Q68</f>
        <v>0</v>
      </c>
      <c r="R57" s="85">
        <f>'Historical Financials'!R68</f>
        <v>0</v>
      </c>
      <c r="S57" s="85">
        <f>'Historical Financials'!S68</f>
        <v>0</v>
      </c>
      <c r="T57" s="85">
        <f>'Historical Financials'!T68</f>
        <v>0</v>
      </c>
      <c r="U57" s="85">
        <f>'Historical Financials'!U68</f>
        <v>0</v>
      </c>
      <c r="V57" s="85" t="e">
        <f>'Historical Financials'!#REF!</f>
        <v>#REF!</v>
      </c>
      <c r="X57" s="10">
        <f t="shared" si="101"/>
        <v>0</v>
      </c>
      <c r="Y57" s="10">
        <f t="shared" si="102"/>
        <v>0</v>
      </c>
      <c r="Z57" s="10">
        <f t="shared" si="103"/>
        <v>0</v>
      </c>
      <c r="AA57" s="10">
        <f t="shared" si="104"/>
        <v>0</v>
      </c>
      <c r="AB57" s="10">
        <f t="shared" si="105"/>
        <v>0</v>
      </c>
      <c r="AC57" s="10">
        <f t="shared" si="106"/>
        <v>0</v>
      </c>
      <c r="AD57" s="10">
        <f t="shared" si="107"/>
        <v>0</v>
      </c>
      <c r="AE57" s="10">
        <f t="shared" si="108"/>
        <v>0</v>
      </c>
      <c r="AF57" s="10">
        <f t="shared" si="109"/>
        <v>0</v>
      </c>
      <c r="AG57" s="10">
        <f t="shared" si="110"/>
        <v>0</v>
      </c>
      <c r="AH57" s="10">
        <f t="shared" si="111"/>
        <v>0</v>
      </c>
      <c r="AI57" s="10" t="e">
        <f t="shared" si="112"/>
        <v>#REF!</v>
      </c>
    </row>
    <row r="58" spans="2:35" ht="12.75" customHeight="1">
      <c r="B58" s="8" t="s">
        <v>149</v>
      </c>
      <c r="C58" s="85">
        <f>'Historical Financials'!C77</f>
        <v>295</v>
      </c>
      <c r="D58" s="85">
        <f>'Historical Financials'!D77</f>
        <v>0</v>
      </c>
      <c r="E58" s="85">
        <f>'Historical Financials'!E77</f>
        <v>0</v>
      </c>
      <c r="F58" s="85">
        <f>'Historical Financials'!F77</f>
        <v>0</v>
      </c>
      <c r="G58" s="85"/>
      <c r="H58" s="85">
        <f>'Historical Financials'!H77</f>
        <v>278</v>
      </c>
      <c r="I58" s="85">
        <f>'Historical Financials'!I77</f>
        <v>416</v>
      </c>
      <c r="J58" s="85">
        <f>'Historical Financials'!J77</f>
        <v>436</v>
      </c>
      <c r="K58" s="85">
        <f>'Historical Financials'!K77</f>
        <v>0</v>
      </c>
      <c r="L58" s="85">
        <f>'Historical Financials'!L77</f>
        <v>0</v>
      </c>
      <c r="M58" s="85">
        <f>'Historical Financials'!M77</f>
        <v>0</v>
      </c>
      <c r="N58" s="85">
        <f>'Historical Financials'!N77</f>
        <v>0</v>
      </c>
      <c r="O58" s="85">
        <f>'Historical Financials'!O77</f>
        <v>0</v>
      </c>
      <c r="P58" s="85">
        <f>'Historical Financials'!P77</f>
        <v>0</v>
      </c>
      <c r="Q58" s="85">
        <f>'Historical Financials'!Q77</f>
        <v>0</v>
      </c>
      <c r="R58" s="85">
        <f>'Historical Financials'!R77</f>
        <v>0</v>
      </c>
      <c r="S58" s="85">
        <f>'Historical Financials'!S77</f>
        <v>0</v>
      </c>
      <c r="T58" s="85">
        <f>'Historical Financials'!T77</f>
        <v>0</v>
      </c>
      <c r="U58" s="85">
        <f>'Historical Financials'!U77</f>
        <v>0</v>
      </c>
      <c r="V58" s="85" t="e">
        <f>'Historical Financials'!#REF!</f>
        <v>#REF!</v>
      </c>
      <c r="X58" s="10">
        <f t="shared" ref="X58" si="113">K58</f>
        <v>0</v>
      </c>
      <c r="Y58" s="10">
        <f t="shared" ref="Y58" si="114">L58</f>
        <v>0</v>
      </c>
      <c r="Z58" s="10">
        <f t="shared" ref="Z58" si="115">M58</f>
        <v>0</v>
      </c>
      <c r="AA58" s="10">
        <f t="shared" ref="AA58" si="116">N58</f>
        <v>0</v>
      </c>
      <c r="AB58" s="10">
        <f t="shared" ref="AB58" si="117">O58</f>
        <v>0</v>
      </c>
      <c r="AC58" s="10">
        <f t="shared" ref="AC58" si="118">P58</f>
        <v>0</v>
      </c>
      <c r="AD58" s="10">
        <f t="shared" ref="AD58" si="119">Q58</f>
        <v>0</v>
      </c>
      <c r="AE58" s="10">
        <f t="shared" ref="AE58" si="120">R58</f>
        <v>0</v>
      </c>
      <c r="AF58" s="10">
        <f t="shared" ref="AF58" si="121">S58</f>
        <v>0</v>
      </c>
      <c r="AG58" s="10">
        <f t="shared" ref="AG58" si="122">T58</f>
        <v>0</v>
      </c>
      <c r="AH58" s="10">
        <f t="shared" ref="AH58" si="123">U58</f>
        <v>0</v>
      </c>
      <c r="AI58" s="10" t="e">
        <f t="shared" ref="AI58" si="124">V58</f>
        <v>#REF!</v>
      </c>
    </row>
    <row r="59" spans="2:35" ht="12.75" customHeight="1">
      <c r="B59" s="8" t="s">
        <v>58</v>
      </c>
      <c r="C59" s="85">
        <f>'Historical Financials'!C56</f>
        <v>0</v>
      </c>
      <c r="D59" s="85">
        <f>'Historical Financials'!D56</f>
        <v>9316</v>
      </c>
      <c r="E59" s="85">
        <f>'Historical Financials'!E56</f>
        <v>7634</v>
      </c>
      <c r="F59" s="85">
        <f>'Historical Financials'!F56</f>
        <v>7993</v>
      </c>
      <c r="G59" s="85"/>
      <c r="H59" s="85">
        <f>'Historical Financials'!H56</f>
        <v>0</v>
      </c>
      <c r="I59" s="85">
        <f>'Historical Financials'!I56</f>
        <v>0</v>
      </c>
      <c r="J59" s="85">
        <f>'Historical Financials'!J56</f>
        <v>0</v>
      </c>
      <c r="K59" s="85">
        <f>'Historical Financials'!K56</f>
        <v>9316</v>
      </c>
      <c r="L59" s="85">
        <f>'Historical Financials'!L56</f>
        <v>8937</v>
      </c>
      <c r="M59" s="85">
        <f>'Historical Financials'!M56</f>
        <v>8552</v>
      </c>
      <c r="N59" s="85">
        <f>'Historical Financials'!N56</f>
        <v>8028</v>
      </c>
      <c r="O59" s="85">
        <f>'Historical Financials'!O56</f>
        <v>7634</v>
      </c>
      <c r="P59" s="85">
        <f>'Historical Financials'!P56</f>
        <v>7243</v>
      </c>
      <c r="Q59" s="85">
        <f>'Historical Financials'!Q56</f>
        <v>6850</v>
      </c>
      <c r="R59" s="85">
        <f>'Historical Financials'!R56</f>
        <v>8369</v>
      </c>
      <c r="S59" s="85">
        <f>'Historical Financials'!S56</f>
        <v>7993</v>
      </c>
      <c r="T59" s="85">
        <f>'Historical Financials'!T56</f>
        <v>7609</v>
      </c>
      <c r="U59" s="85">
        <f>'Historical Financials'!U56</f>
        <v>7217</v>
      </c>
      <c r="V59" s="85" t="e">
        <f>'Historical Financials'!#REF!</f>
        <v>#REF!</v>
      </c>
      <c r="X59" s="10">
        <f t="shared" si="101"/>
        <v>9316</v>
      </c>
      <c r="Y59" s="10">
        <f t="shared" si="102"/>
        <v>8937</v>
      </c>
      <c r="Z59" s="10">
        <f t="shared" si="103"/>
        <v>8552</v>
      </c>
      <c r="AA59" s="10">
        <f t="shared" si="104"/>
        <v>8028</v>
      </c>
      <c r="AB59" s="10">
        <f t="shared" si="105"/>
        <v>7634</v>
      </c>
      <c r="AC59" s="10">
        <f t="shared" si="106"/>
        <v>7243</v>
      </c>
      <c r="AD59" s="10">
        <f t="shared" si="107"/>
        <v>6850</v>
      </c>
      <c r="AE59" s="10">
        <f t="shared" si="108"/>
        <v>8369</v>
      </c>
      <c r="AF59" s="10">
        <f t="shared" si="109"/>
        <v>7993</v>
      </c>
      <c r="AG59" s="10">
        <f t="shared" si="110"/>
        <v>7609</v>
      </c>
      <c r="AH59" s="10">
        <f t="shared" si="111"/>
        <v>7217</v>
      </c>
      <c r="AI59" s="10" t="e">
        <f t="shared" si="112"/>
        <v>#REF!</v>
      </c>
    </row>
    <row r="60" spans="2:35" ht="12.75" customHeight="1">
      <c r="B60" s="8" t="s">
        <v>59</v>
      </c>
      <c r="C60" s="85">
        <f>'Historical Financials'!C69</f>
        <v>7567</v>
      </c>
      <c r="D60" s="85">
        <f>'Historical Financials'!D69</f>
        <v>21752</v>
      </c>
      <c r="E60" s="85">
        <f>'Historical Financials'!E69</f>
        <v>29052</v>
      </c>
      <c r="F60" s="85">
        <f>'Historical Financials'!F69</f>
        <v>11867</v>
      </c>
      <c r="G60" s="85"/>
      <c r="H60" s="85">
        <f>'Historical Financials'!H69</f>
        <v>13045</v>
      </c>
      <c r="I60" s="85">
        <f>'Historical Financials'!I69</f>
        <v>12869</v>
      </c>
      <c r="J60" s="85">
        <f>'Historical Financials'!J69</f>
        <v>16305</v>
      </c>
      <c r="K60" s="85">
        <f>'Historical Financials'!K69</f>
        <v>21752</v>
      </c>
      <c r="L60" s="85">
        <f>'Historical Financials'!L69</f>
        <v>22989</v>
      </c>
      <c r="M60" s="85">
        <f>'Historical Financials'!M69</f>
        <v>21352</v>
      </c>
      <c r="N60" s="85">
        <f>'Historical Financials'!N69</f>
        <v>23042</v>
      </c>
      <c r="O60" s="85">
        <f>'Historical Financials'!O69</f>
        <v>29052</v>
      </c>
      <c r="P60" s="85">
        <f>'Historical Financials'!P69</f>
        <v>24876</v>
      </c>
      <c r="Q60" s="85">
        <f>'Historical Financials'!Q69</f>
        <v>25564</v>
      </c>
      <c r="R60" s="85">
        <f>'Historical Financials'!R69</f>
        <v>21460</v>
      </c>
      <c r="S60" s="85">
        <f>'Historical Financials'!S69</f>
        <v>11867</v>
      </c>
      <c r="T60" s="85">
        <f>'Historical Financials'!T69</f>
        <v>11392</v>
      </c>
      <c r="U60" s="85">
        <f>'Historical Financials'!U69</f>
        <v>10430</v>
      </c>
      <c r="V60" s="85" t="e">
        <f>'Historical Financials'!#REF!</f>
        <v>#REF!</v>
      </c>
      <c r="X60" s="10">
        <f t="shared" si="101"/>
        <v>21752</v>
      </c>
      <c r="Y60" s="10">
        <f t="shared" si="102"/>
        <v>22989</v>
      </c>
      <c r="Z60" s="10">
        <f t="shared" si="103"/>
        <v>21352</v>
      </c>
      <c r="AA60" s="10">
        <f t="shared" si="104"/>
        <v>23042</v>
      </c>
      <c r="AB60" s="10">
        <f t="shared" si="105"/>
        <v>29052</v>
      </c>
      <c r="AC60" s="10">
        <f t="shared" si="106"/>
        <v>24876</v>
      </c>
      <c r="AD60" s="10">
        <f t="shared" si="107"/>
        <v>25564</v>
      </c>
      <c r="AE60" s="10">
        <f t="shared" si="108"/>
        <v>21460</v>
      </c>
      <c r="AF60" s="10">
        <f t="shared" si="109"/>
        <v>11867</v>
      </c>
      <c r="AG60" s="10">
        <f t="shared" si="110"/>
        <v>11392</v>
      </c>
      <c r="AH60" s="10">
        <f t="shared" si="111"/>
        <v>10430</v>
      </c>
      <c r="AI60" s="10" t="e">
        <f t="shared" si="112"/>
        <v>#REF!</v>
      </c>
    </row>
    <row r="61" spans="2:35" ht="12.75" customHeight="1">
      <c r="B61" s="8" t="s">
        <v>19</v>
      </c>
      <c r="C61" s="85">
        <f>'Historical Financials'!C78</f>
        <v>36433</v>
      </c>
      <c r="D61" s="85">
        <f>'Historical Financials'!D78</f>
        <v>53218</v>
      </c>
      <c r="E61" s="85">
        <f>'Historical Financials'!E78</f>
        <v>50325</v>
      </c>
      <c r="F61" s="85">
        <f>'Historical Financials'!F78</f>
        <v>158198</v>
      </c>
      <c r="G61" s="85"/>
      <c r="H61" s="85">
        <f>'Historical Financials'!H78</f>
        <v>81920</v>
      </c>
      <c r="I61" s="85">
        <f>'Historical Financials'!I78</f>
        <v>58490</v>
      </c>
      <c r="J61" s="85">
        <f>'Historical Financials'!J78</f>
        <v>46781</v>
      </c>
      <c r="K61" s="85">
        <f>'Historical Financials'!K78</f>
        <v>53218</v>
      </c>
      <c r="L61" s="85">
        <f>'Historical Financials'!L78</f>
        <v>52441</v>
      </c>
      <c r="M61" s="85">
        <f>'Historical Financials'!M78</f>
        <v>49205</v>
      </c>
      <c r="N61" s="85">
        <f>'Historical Financials'!N78</f>
        <v>52513</v>
      </c>
      <c r="O61" s="85">
        <f>'Historical Financials'!O78</f>
        <v>50325</v>
      </c>
      <c r="P61" s="85">
        <f>'Historical Financials'!P78</f>
        <v>46538</v>
      </c>
      <c r="Q61" s="85">
        <f>'Historical Financials'!Q78</f>
        <v>40254</v>
      </c>
      <c r="R61" s="85">
        <f>'Historical Financials'!R78</f>
        <v>34412</v>
      </c>
      <c r="S61" s="85">
        <f>'Historical Financials'!S78</f>
        <v>158198</v>
      </c>
      <c r="T61" s="85">
        <f>'Historical Financials'!T78</f>
        <v>62010</v>
      </c>
      <c r="U61" s="85">
        <f>'Historical Financials'!U78</f>
        <v>83427</v>
      </c>
      <c r="V61" s="85" t="e">
        <f>'Historical Financials'!#REF!</f>
        <v>#REF!</v>
      </c>
      <c r="X61" s="10">
        <f t="shared" si="101"/>
        <v>53218</v>
      </c>
      <c r="Y61" s="10">
        <f t="shared" si="102"/>
        <v>52441</v>
      </c>
      <c r="Z61" s="10">
        <f t="shared" si="103"/>
        <v>49205</v>
      </c>
      <c r="AA61" s="10">
        <f t="shared" si="104"/>
        <v>52513</v>
      </c>
      <c r="AB61" s="10">
        <f t="shared" si="105"/>
        <v>50325</v>
      </c>
      <c r="AC61" s="10">
        <f t="shared" si="106"/>
        <v>46538</v>
      </c>
      <c r="AD61" s="10">
        <f t="shared" si="107"/>
        <v>40254</v>
      </c>
      <c r="AE61" s="10">
        <f t="shared" si="108"/>
        <v>34412</v>
      </c>
      <c r="AF61" s="10">
        <f t="shared" si="109"/>
        <v>158198</v>
      </c>
      <c r="AG61" s="10">
        <f t="shared" si="110"/>
        <v>62010</v>
      </c>
      <c r="AH61" s="10">
        <f t="shared" si="111"/>
        <v>83427</v>
      </c>
      <c r="AI61" s="10" t="e">
        <f t="shared" si="112"/>
        <v>#REF!</v>
      </c>
    </row>
    <row r="62" spans="2:35" ht="5.0999999999999996" customHeight="1"/>
    <row r="63" spans="2:35" ht="12.75" customHeight="1">
      <c r="B63" s="29" t="s">
        <v>150</v>
      </c>
      <c r="C63" s="78">
        <v>0</v>
      </c>
      <c r="D63" s="78">
        <v>0</v>
      </c>
      <c r="E63" s="78">
        <v>0</v>
      </c>
      <c r="F63" s="78">
        <v>0</v>
      </c>
      <c r="H63" s="78">
        <v>0</v>
      </c>
      <c r="I63" s="78">
        <v>0</v>
      </c>
      <c r="J63" s="78">
        <v>0</v>
      </c>
      <c r="K63" s="114">
        <f>D63</f>
        <v>0</v>
      </c>
      <c r="L63" s="78">
        <v>0</v>
      </c>
      <c r="M63" s="78">
        <v>0</v>
      </c>
      <c r="N63" s="78">
        <v>0</v>
      </c>
      <c r="O63" s="114">
        <f>E63</f>
        <v>0</v>
      </c>
      <c r="P63" s="78">
        <v>0</v>
      </c>
      <c r="Q63" s="78">
        <v>0</v>
      </c>
      <c r="R63" s="78">
        <v>0</v>
      </c>
      <c r="S63" s="114">
        <f>F63</f>
        <v>0</v>
      </c>
      <c r="T63" s="78">
        <v>0</v>
      </c>
      <c r="U63" s="78">
        <v>0</v>
      </c>
      <c r="V63" s="78">
        <v>0</v>
      </c>
      <c r="W63" s="115"/>
      <c r="X63" s="10">
        <f t="shared" ref="X63:AI63" si="125">K63</f>
        <v>0</v>
      </c>
      <c r="Y63" s="10">
        <f t="shared" si="125"/>
        <v>0</v>
      </c>
      <c r="Z63" s="10">
        <f t="shared" si="125"/>
        <v>0</v>
      </c>
      <c r="AA63" s="10">
        <f t="shared" si="125"/>
        <v>0</v>
      </c>
      <c r="AB63" s="10">
        <f t="shared" si="125"/>
        <v>0</v>
      </c>
      <c r="AC63" s="10">
        <f t="shared" si="125"/>
        <v>0</v>
      </c>
      <c r="AD63" s="10">
        <f t="shared" si="125"/>
        <v>0</v>
      </c>
      <c r="AE63" s="10">
        <f t="shared" si="125"/>
        <v>0</v>
      </c>
      <c r="AF63" s="10">
        <f t="shared" si="125"/>
        <v>0</v>
      </c>
      <c r="AG63" s="10">
        <f t="shared" si="125"/>
        <v>0</v>
      </c>
      <c r="AH63" s="10">
        <f t="shared" si="125"/>
        <v>0</v>
      </c>
      <c r="AI63" s="10">
        <f t="shared" si="125"/>
        <v>0</v>
      </c>
    </row>
    <row r="64" spans="2:35" ht="12.75" customHeight="1">
      <c r="B64" s="12" t="s">
        <v>26</v>
      </c>
      <c r="C64" s="13">
        <f>SUM(C63:C63)</f>
        <v>0</v>
      </c>
      <c r="D64" s="13">
        <f>SUM(D63:D63)</f>
        <v>0</v>
      </c>
      <c r="E64" s="13">
        <f>SUM(E63:E63)</f>
        <v>0</v>
      </c>
      <c r="F64" s="13">
        <f>SUM(F63:F63)</f>
        <v>0</v>
      </c>
      <c r="H64" s="13">
        <f>SUM(H63:H63)</f>
        <v>0</v>
      </c>
      <c r="I64" s="13">
        <f>SUM(I63:I63)</f>
        <v>0</v>
      </c>
      <c r="J64" s="13">
        <f>SUM(J63:J63)</f>
        <v>0</v>
      </c>
      <c r="K64" s="13">
        <f>SUM(K63:K63)</f>
        <v>0</v>
      </c>
      <c r="L64" s="13">
        <f>SUM(L63:L63)</f>
        <v>0</v>
      </c>
      <c r="M64" s="13">
        <f>SUM(M63:M63)</f>
        <v>0</v>
      </c>
      <c r="N64" s="13">
        <f>SUM(N63:N63)</f>
        <v>0</v>
      </c>
      <c r="O64" s="13">
        <f>SUM(O63:O63)</f>
        <v>0</v>
      </c>
      <c r="P64" s="13">
        <f>SUM(P63:P63)</f>
        <v>0</v>
      </c>
      <c r="Q64" s="13">
        <f>SUM(Q63:Q63)</f>
        <v>0</v>
      </c>
      <c r="R64" s="13">
        <f>SUM(R63:R63)</f>
        <v>0</v>
      </c>
      <c r="S64" s="13">
        <f>SUM(S63:S63)</f>
        <v>0</v>
      </c>
      <c r="T64" s="13">
        <f>SUM(T63:T63)</f>
        <v>0</v>
      </c>
      <c r="U64" s="13">
        <f>SUM(U63:U63)</f>
        <v>0</v>
      </c>
      <c r="V64" s="13">
        <f>SUM(V63:V63)</f>
        <v>0</v>
      </c>
      <c r="X64" s="13">
        <f>SUM(X63:X63)</f>
        <v>0</v>
      </c>
      <c r="Y64" s="13">
        <f>SUM(Y63:Y63)</f>
        <v>0</v>
      </c>
      <c r="Z64" s="13">
        <f>SUM(Z63:Z63)</f>
        <v>0</v>
      </c>
      <c r="AA64" s="13">
        <f>SUM(AA63:AA63)</f>
        <v>0</v>
      </c>
      <c r="AB64" s="13">
        <f>SUM(AB63:AB63)</f>
        <v>0</v>
      </c>
      <c r="AC64" s="13">
        <f>SUM(AC63:AC63)</f>
        <v>0</v>
      </c>
      <c r="AD64" s="13">
        <f>SUM(AD63:AD63)</f>
        <v>0</v>
      </c>
      <c r="AE64" s="13">
        <f>SUM(AE63:AE63)</f>
        <v>0</v>
      </c>
      <c r="AF64" s="13">
        <f>SUM(AF63:AF63)</f>
        <v>0</v>
      </c>
      <c r="AG64" s="13">
        <f>SUM(AG63:AG63)</f>
        <v>0</v>
      </c>
      <c r="AH64" s="13">
        <f>SUM(AH63:AH63)</f>
        <v>0</v>
      </c>
      <c r="AI64" s="13">
        <f>SUM(AI63:AI63)</f>
        <v>0</v>
      </c>
    </row>
    <row r="65" spans="1:35" ht="5.0999999999999996" customHeight="1"/>
    <row r="66" spans="1:35" ht="12.75" customHeight="1">
      <c r="B66" s="8" t="s">
        <v>60</v>
      </c>
      <c r="C66" s="85">
        <f>'Historical Financials'!C86</f>
        <v>9995</v>
      </c>
      <c r="D66" s="85">
        <f>'Historical Financials'!D86</f>
        <v>150224</v>
      </c>
      <c r="E66" s="85">
        <f>'Historical Financials'!E86</f>
        <v>109588</v>
      </c>
      <c r="F66" s="85">
        <f>'Historical Financials'!F86</f>
        <v>126589</v>
      </c>
      <c r="H66" s="85">
        <f>'Historical Financials'!H86</f>
        <v>163983</v>
      </c>
      <c r="I66" s="85">
        <f>'Historical Financials'!I86</f>
        <v>170100</v>
      </c>
      <c r="J66" s="85">
        <f>'Historical Financials'!J86</f>
        <v>165905</v>
      </c>
      <c r="K66" s="85">
        <f>'Historical Financials'!K86</f>
        <v>150224</v>
      </c>
      <c r="L66" s="85">
        <f>'Historical Financials'!L86</f>
        <v>129466</v>
      </c>
      <c r="M66" s="85">
        <f>'Historical Financials'!M86</f>
        <v>118362</v>
      </c>
      <c r="N66" s="85">
        <f>'Historical Financials'!N86</f>
        <v>112691</v>
      </c>
      <c r="O66" s="85">
        <f>'Historical Financials'!O86</f>
        <v>109588</v>
      </c>
      <c r="P66" s="85">
        <f>'Historical Financials'!P86</f>
        <v>115577</v>
      </c>
      <c r="Q66" s="85">
        <f>'Historical Financials'!Q86</f>
        <v>122158</v>
      </c>
      <c r="R66" s="85">
        <f>'Historical Financials'!R86</f>
        <v>122838</v>
      </c>
      <c r="S66" s="85">
        <f>'Historical Financials'!S86</f>
        <v>126589</v>
      </c>
      <c r="T66" s="85">
        <f>'Historical Financials'!T86</f>
        <v>207128</v>
      </c>
      <c r="U66" s="85">
        <f>'Historical Financials'!U86</f>
        <v>553263</v>
      </c>
      <c r="V66" s="85" t="e">
        <f>'Historical Financials'!#REF!</f>
        <v>#REF!</v>
      </c>
      <c r="X66" s="10">
        <f t="shared" ref="X66:AH66" si="126">K66</f>
        <v>150224</v>
      </c>
      <c r="Y66" s="10">
        <f t="shared" si="126"/>
        <v>129466</v>
      </c>
      <c r="Z66" s="10">
        <f t="shared" si="126"/>
        <v>118362</v>
      </c>
      <c r="AA66" s="10">
        <f t="shared" si="126"/>
        <v>112691</v>
      </c>
      <c r="AB66" s="10">
        <f t="shared" si="126"/>
        <v>109588</v>
      </c>
      <c r="AC66" s="10">
        <f t="shared" si="126"/>
        <v>115577</v>
      </c>
      <c r="AD66" s="10">
        <f t="shared" si="126"/>
        <v>122158</v>
      </c>
      <c r="AE66" s="10">
        <f t="shared" si="126"/>
        <v>122838</v>
      </c>
      <c r="AF66" s="10">
        <f t="shared" si="126"/>
        <v>126589</v>
      </c>
      <c r="AG66" s="10">
        <f t="shared" si="126"/>
        <v>207128</v>
      </c>
      <c r="AH66" s="10">
        <f t="shared" si="126"/>
        <v>553263</v>
      </c>
      <c r="AI66" s="10" t="e">
        <f>V66</f>
        <v>#REF!</v>
      </c>
    </row>
    <row r="67" spans="1:35" ht="12.75" customHeight="1">
      <c r="B67" s="12" t="s">
        <v>61</v>
      </c>
      <c r="C67" s="13">
        <f>SUM(C64:C66)</f>
        <v>9995</v>
      </c>
      <c r="D67" s="13">
        <f>SUM(D64:D66)</f>
        <v>150224</v>
      </c>
      <c r="E67" s="13">
        <f>SUM(E64:E66)</f>
        <v>109588</v>
      </c>
      <c r="F67" s="13">
        <f>SUM(F64:F66)</f>
        <v>126589</v>
      </c>
      <c r="H67" s="13">
        <f t="shared" ref="H67" si="127">SUM(H64:H66)</f>
        <v>163983</v>
      </c>
      <c r="I67" s="13">
        <f t="shared" ref="I67:R67" si="128">SUM(I64:I66)</f>
        <v>170100</v>
      </c>
      <c r="J67" s="13">
        <f t="shared" si="128"/>
        <v>165905</v>
      </c>
      <c r="K67" s="13">
        <f t="shared" si="128"/>
        <v>150224</v>
      </c>
      <c r="L67" s="13">
        <f t="shared" si="128"/>
        <v>129466</v>
      </c>
      <c r="M67" s="13">
        <f t="shared" si="128"/>
        <v>118362</v>
      </c>
      <c r="N67" s="13">
        <f t="shared" si="128"/>
        <v>112691</v>
      </c>
      <c r="O67" s="13">
        <f t="shared" si="128"/>
        <v>109588</v>
      </c>
      <c r="P67" s="13">
        <f t="shared" si="128"/>
        <v>115577</v>
      </c>
      <c r="Q67" s="13">
        <f t="shared" si="128"/>
        <v>122158</v>
      </c>
      <c r="R67" s="13">
        <f t="shared" si="128"/>
        <v>122838</v>
      </c>
      <c r="S67" s="13">
        <f>SUM(S64:S66)</f>
        <v>126589</v>
      </c>
      <c r="T67" s="13">
        <f>SUM(T64:T66)</f>
        <v>207128</v>
      </c>
      <c r="U67" s="13">
        <f>SUM(U64:U66)</f>
        <v>553263</v>
      </c>
      <c r="V67" s="13" t="e">
        <f>SUM(V64:V66)</f>
        <v>#REF!</v>
      </c>
      <c r="X67" s="13">
        <f t="shared" ref="X67:AH67" si="129">SUM(X64:X66)</f>
        <v>150224</v>
      </c>
      <c r="Y67" s="13">
        <f t="shared" si="129"/>
        <v>129466</v>
      </c>
      <c r="Z67" s="13">
        <f t="shared" si="129"/>
        <v>118362</v>
      </c>
      <c r="AA67" s="13">
        <f t="shared" si="129"/>
        <v>112691</v>
      </c>
      <c r="AB67" s="13">
        <f t="shared" si="129"/>
        <v>109588</v>
      </c>
      <c r="AC67" s="13">
        <f t="shared" si="129"/>
        <v>115577</v>
      </c>
      <c r="AD67" s="13">
        <f t="shared" si="129"/>
        <v>122158</v>
      </c>
      <c r="AE67" s="13">
        <f t="shared" si="129"/>
        <v>122838</v>
      </c>
      <c r="AF67" s="13">
        <f t="shared" si="129"/>
        <v>126589</v>
      </c>
      <c r="AG67" s="13">
        <f t="shared" si="129"/>
        <v>207128</v>
      </c>
      <c r="AH67" s="13">
        <f t="shared" si="129"/>
        <v>553263</v>
      </c>
      <c r="AI67" s="13" t="e">
        <f>SUM(AI64:AI66)</f>
        <v>#REF!</v>
      </c>
    </row>
    <row r="68" spans="1:35" ht="5.0999999999999996" customHeight="1"/>
    <row r="69" spans="1:35" ht="12.75" customHeight="1">
      <c r="A69" s="5"/>
      <c r="B69" s="31" t="s">
        <v>91</v>
      </c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</row>
    <row r="70" spans="1:35" ht="5.0999999999999996" customHeight="1"/>
    <row r="71" spans="1:35" ht="12.75" customHeight="1">
      <c r="B71" s="8" t="s">
        <v>62</v>
      </c>
      <c r="C71" s="152" t="s">
        <v>94</v>
      </c>
      <c r="D71" s="152" t="s">
        <v>94</v>
      </c>
      <c r="E71" s="152" t="s">
        <v>94</v>
      </c>
      <c r="F71" s="152" t="s">
        <v>94</v>
      </c>
      <c r="H71" s="150"/>
      <c r="I71" s="150"/>
      <c r="J71" s="150"/>
      <c r="K71" s="150"/>
      <c r="L71" s="152" t="s">
        <v>94</v>
      </c>
      <c r="M71" s="152" t="s">
        <v>94</v>
      </c>
      <c r="N71" s="152" t="s">
        <v>94</v>
      </c>
      <c r="O71" s="152" t="s">
        <v>94</v>
      </c>
      <c r="P71" s="152" t="s">
        <v>94</v>
      </c>
      <c r="Q71" s="152" t="s">
        <v>94</v>
      </c>
      <c r="R71" s="152" t="s">
        <v>94</v>
      </c>
      <c r="S71" s="152" t="s">
        <v>94</v>
      </c>
      <c r="T71" s="152" t="s">
        <v>94</v>
      </c>
      <c r="U71" s="152" t="s">
        <v>94</v>
      </c>
      <c r="V71" s="152" t="s">
        <v>94</v>
      </c>
      <c r="W71" s="152"/>
      <c r="X71" s="152" t="s">
        <v>94</v>
      </c>
      <c r="Y71" s="152" t="s">
        <v>94</v>
      </c>
      <c r="Z71" s="152" t="s">
        <v>94</v>
      </c>
      <c r="AA71" s="152" t="s">
        <v>94</v>
      </c>
      <c r="AB71" s="152" t="s">
        <v>94</v>
      </c>
      <c r="AC71" s="152" t="s">
        <v>94</v>
      </c>
      <c r="AD71" s="152" t="s">
        <v>94</v>
      </c>
      <c r="AE71" s="152" t="s">
        <v>94</v>
      </c>
      <c r="AF71" s="152" t="s">
        <v>94</v>
      </c>
      <c r="AG71" s="152" t="s">
        <v>94</v>
      </c>
      <c r="AH71" s="152" t="s">
        <v>94</v>
      </c>
      <c r="AI71" s="152" t="s">
        <v>94</v>
      </c>
    </row>
    <row r="72" spans="1:35" ht="12.75" customHeight="1">
      <c r="B72" s="8" t="s">
        <v>63</v>
      </c>
      <c r="C72" s="152" t="s">
        <v>94</v>
      </c>
      <c r="D72" s="152" t="s">
        <v>94</v>
      </c>
      <c r="E72" s="152" t="s">
        <v>94</v>
      </c>
      <c r="F72" s="152" t="s">
        <v>94</v>
      </c>
      <c r="H72" s="150"/>
      <c r="I72" s="150"/>
      <c r="J72" s="150"/>
      <c r="K72" s="150"/>
      <c r="L72" s="152" t="s">
        <v>94</v>
      </c>
      <c r="M72" s="152" t="s">
        <v>94</v>
      </c>
      <c r="N72" s="152" t="s">
        <v>94</v>
      </c>
      <c r="O72" s="152" t="s">
        <v>94</v>
      </c>
      <c r="P72" s="152" t="s">
        <v>94</v>
      </c>
      <c r="Q72" s="152" t="s">
        <v>94</v>
      </c>
      <c r="R72" s="152" t="s">
        <v>94</v>
      </c>
      <c r="S72" s="152" t="s">
        <v>94</v>
      </c>
      <c r="T72" s="152" t="s">
        <v>94</v>
      </c>
      <c r="U72" s="152" t="s">
        <v>94</v>
      </c>
      <c r="V72" s="152" t="s">
        <v>94</v>
      </c>
      <c r="W72" s="152"/>
      <c r="X72" s="152" t="s">
        <v>94</v>
      </c>
      <c r="Y72" s="152" t="s">
        <v>94</v>
      </c>
      <c r="Z72" s="152" t="s">
        <v>94</v>
      </c>
      <c r="AA72" s="152" t="s">
        <v>94</v>
      </c>
      <c r="AB72" s="152" t="s">
        <v>94</v>
      </c>
      <c r="AC72" s="152" t="s">
        <v>94</v>
      </c>
      <c r="AD72" s="152" t="s">
        <v>94</v>
      </c>
      <c r="AE72" s="152" t="s">
        <v>94</v>
      </c>
      <c r="AF72" s="152" t="s">
        <v>94</v>
      </c>
      <c r="AG72" s="152" t="s">
        <v>94</v>
      </c>
      <c r="AH72" s="152" t="s">
        <v>94</v>
      </c>
      <c r="AI72" s="152" t="s">
        <v>94</v>
      </c>
    </row>
    <row r="73" spans="1:35" ht="12.75" customHeight="1">
      <c r="B73" s="8" t="s">
        <v>64</v>
      </c>
      <c r="C73" s="152" t="s">
        <v>94</v>
      </c>
      <c r="D73" s="152" t="s">
        <v>94</v>
      </c>
      <c r="E73" s="152" t="s">
        <v>94</v>
      </c>
      <c r="F73" s="152" t="s">
        <v>94</v>
      </c>
      <c r="H73" s="150"/>
      <c r="I73" s="150"/>
      <c r="J73" s="150"/>
      <c r="K73" s="150"/>
      <c r="L73" s="152" t="s">
        <v>94</v>
      </c>
      <c r="M73" s="152" t="s">
        <v>94</v>
      </c>
      <c r="N73" s="152" t="s">
        <v>94</v>
      </c>
      <c r="O73" s="152" t="s">
        <v>94</v>
      </c>
      <c r="P73" s="152" t="s">
        <v>94</v>
      </c>
      <c r="Q73" s="152" t="s">
        <v>94</v>
      </c>
      <c r="R73" s="152" t="s">
        <v>94</v>
      </c>
      <c r="S73" s="152" t="s">
        <v>94</v>
      </c>
      <c r="T73" s="152" t="s">
        <v>94</v>
      </c>
      <c r="U73" s="152" t="s">
        <v>94</v>
      </c>
      <c r="V73" s="152" t="s">
        <v>94</v>
      </c>
      <c r="X73" s="152" t="s">
        <v>94</v>
      </c>
      <c r="Y73" s="152" t="s">
        <v>94</v>
      </c>
      <c r="Z73" s="152" t="s">
        <v>94</v>
      </c>
      <c r="AA73" s="152" t="s">
        <v>94</v>
      </c>
      <c r="AB73" s="152" t="s">
        <v>94</v>
      </c>
      <c r="AC73" s="152" t="s">
        <v>94</v>
      </c>
      <c r="AD73" s="152" t="s">
        <v>94</v>
      </c>
      <c r="AE73" s="152" t="s">
        <v>94</v>
      </c>
      <c r="AF73" s="152" t="s">
        <v>94</v>
      </c>
      <c r="AG73" s="152" t="s">
        <v>94</v>
      </c>
      <c r="AH73" s="152" t="s">
        <v>94</v>
      </c>
      <c r="AI73" s="152" t="s">
        <v>94</v>
      </c>
    </row>
    <row r="74" spans="1:35" ht="12.75" customHeight="1">
      <c r="B74" s="8" t="s">
        <v>65</v>
      </c>
      <c r="C74" s="152" t="s">
        <v>94</v>
      </c>
      <c r="D74" s="152" t="s">
        <v>94</v>
      </c>
      <c r="E74" s="152" t="s">
        <v>94</v>
      </c>
      <c r="F74" s="152" t="s">
        <v>94</v>
      </c>
      <c r="H74" s="150"/>
      <c r="I74" s="150"/>
      <c r="J74" s="150"/>
      <c r="K74" s="150"/>
      <c r="L74" s="152" t="s">
        <v>94</v>
      </c>
      <c r="M74" s="152" t="s">
        <v>94</v>
      </c>
      <c r="N74" s="152" t="s">
        <v>94</v>
      </c>
      <c r="O74" s="152" t="s">
        <v>94</v>
      </c>
      <c r="P74" s="152" t="s">
        <v>94</v>
      </c>
      <c r="Q74" s="152" t="s">
        <v>94</v>
      </c>
      <c r="R74" s="152" t="s">
        <v>94</v>
      </c>
      <c r="S74" s="152" t="s">
        <v>94</v>
      </c>
      <c r="T74" s="152" t="s">
        <v>94</v>
      </c>
      <c r="U74" s="152" t="s">
        <v>94</v>
      </c>
      <c r="V74" s="152" t="s">
        <v>94</v>
      </c>
      <c r="X74" s="152" t="s">
        <v>94</v>
      </c>
      <c r="Y74" s="152" t="s">
        <v>94</v>
      </c>
      <c r="Z74" s="152" t="s">
        <v>94</v>
      </c>
      <c r="AA74" s="152" t="s">
        <v>94</v>
      </c>
      <c r="AB74" s="152" t="s">
        <v>94</v>
      </c>
      <c r="AC74" s="152" t="s">
        <v>94</v>
      </c>
      <c r="AD74" s="152" t="s">
        <v>94</v>
      </c>
      <c r="AE74" s="152" t="s">
        <v>94</v>
      </c>
      <c r="AF74" s="152" t="s">
        <v>94</v>
      </c>
      <c r="AG74" s="152" t="s">
        <v>94</v>
      </c>
      <c r="AH74" s="152" t="s">
        <v>94</v>
      </c>
      <c r="AI74" s="152" t="s">
        <v>94</v>
      </c>
    </row>
    <row r="75" spans="1:35" ht="12.75" customHeight="1">
      <c r="B75" s="8" t="s">
        <v>66</v>
      </c>
      <c r="C75" s="152" t="s">
        <v>94</v>
      </c>
      <c r="D75" s="152" t="s">
        <v>94</v>
      </c>
      <c r="E75" s="152" t="s">
        <v>94</v>
      </c>
      <c r="F75" s="152" t="s">
        <v>94</v>
      </c>
      <c r="H75" s="150"/>
      <c r="I75" s="150"/>
      <c r="J75" s="150"/>
      <c r="K75" s="150"/>
      <c r="L75" s="152" t="s">
        <v>94</v>
      </c>
      <c r="M75" s="152" t="s">
        <v>94</v>
      </c>
      <c r="N75" s="152" t="s">
        <v>94</v>
      </c>
      <c r="O75" s="152" t="s">
        <v>94</v>
      </c>
      <c r="P75" s="152" t="s">
        <v>94</v>
      </c>
      <c r="Q75" s="152" t="s">
        <v>94</v>
      </c>
      <c r="R75" s="152" t="s">
        <v>94</v>
      </c>
      <c r="S75" s="152" t="s">
        <v>94</v>
      </c>
      <c r="T75" s="152" t="s">
        <v>94</v>
      </c>
      <c r="U75" s="152" t="s">
        <v>94</v>
      </c>
      <c r="V75" s="152" t="s">
        <v>94</v>
      </c>
      <c r="X75" s="152" t="s">
        <v>94</v>
      </c>
      <c r="Y75" s="152" t="s">
        <v>94</v>
      </c>
      <c r="Z75" s="152" t="s">
        <v>94</v>
      </c>
      <c r="AA75" s="152" t="s">
        <v>94</v>
      </c>
      <c r="AB75" s="152" t="s">
        <v>94</v>
      </c>
      <c r="AC75" s="152" t="s">
        <v>94</v>
      </c>
      <c r="AD75" s="152" t="s">
        <v>94</v>
      </c>
      <c r="AE75" s="152" t="s">
        <v>94</v>
      </c>
      <c r="AF75" s="152" t="s">
        <v>94</v>
      </c>
      <c r="AG75" s="152" t="s">
        <v>94</v>
      </c>
      <c r="AH75" s="152" t="s">
        <v>94</v>
      </c>
      <c r="AI75" s="152" t="s">
        <v>94</v>
      </c>
    </row>
    <row r="76" spans="1:35" ht="12.75" customHeight="1">
      <c r="B76" s="8" t="s">
        <v>67</v>
      </c>
      <c r="C76" s="152" t="s">
        <v>94</v>
      </c>
      <c r="D76" s="152" t="s">
        <v>94</v>
      </c>
      <c r="E76" s="152" t="s">
        <v>94</v>
      </c>
      <c r="F76" s="152" t="s">
        <v>94</v>
      </c>
      <c r="H76" s="150"/>
      <c r="I76" s="150"/>
      <c r="J76" s="150"/>
      <c r="K76" s="150"/>
      <c r="L76" s="152" t="s">
        <v>94</v>
      </c>
      <c r="M76" s="152" t="s">
        <v>94</v>
      </c>
      <c r="N76" s="152" t="s">
        <v>94</v>
      </c>
      <c r="O76" s="152" t="s">
        <v>94</v>
      </c>
      <c r="P76" s="152" t="s">
        <v>94</v>
      </c>
      <c r="Q76" s="152" t="s">
        <v>94</v>
      </c>
      <c r="R76" s="152" t="s">
        <v>94</v>
      </c>
      <c r="S76" s="152" t="s">
        <v>94</v>
      </c>
      <c r="T76" s="152" t="s">
        <v>94</v>
      </c>
      <c r="U76" s="152" t="s">
        <v>94</v>
      </c>
      <c r="V76" s="152" t="s">
        <v>94</v>
      </c>
      <c r="X76" s="152" t="s">
        <v>94</v>
      </c>
      <c r="Y76" s="152" t="s">
        <v>94</v>
      </c>
      <c r="Z76" s="152" t="s">
        <v>94</v>
      </c>
      <c r="AA76" s="152" t="s">
        <v>94</v>
      </c>
      <c r="AB76" s="152" t="s">
        <v>94</v>
      </c>
      <c r="AC76" s="152" t="s">
        <v>94</v>
      </c>
      <c r="AD76" s="152" t="s">
        <v>94</v>
      </c>
      <c r="AE76" s="152" t="s">
        <v>94</v>
      </c>
      <c r="AF76" s="152" t="s">
        <v>94</v>
      </c>
      <c r="AG76" s="152" t="s">
        <v>94</v>
      </c>
      <c r="AH76" s="152" t="s">
        <v>94</v>
      </c>
      <c r="AI76" s="152" t="s">
        <v>94</v>
      </c>
    </row>
    <row r="77" spans="1:35" ht="5.0999999999999996" customHeight="1" thickBot="1"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</row>
  </sheetData>
  <mergeCells count="1">
    <mergeCell ref="AK2:AK4"/>
  </mergeCells>
  <dataValidations count="1">
    <dataValidation type="list" allowBlank="1" showInputMessage="1" showErrorMessage="1" sqref="B4" xr:uid="{060857CB-86CD-4220-87C0-9A83C6E53284}">
      <formula1>"$ bns except per share, $ mm except per share,$ in thousands except per share"</formula1>
    </dataValidation>
  </dataValidations>
  <pageMargins left="0.7" right="0.7" top="0.75" bottom="0.75" header="0.3" footer="0.3"/>
  <ignoredErrors>
    <ignoredError sqref="AJ34:AJ35 G31:G32 AJ36:AK39 G37:G39 I35:V36 C35:G36 G34" formulaRange="1"/>
    <ignoredError sqref="G73 G76 G71:G72 G74 G75 W74 W75 W76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Historical Financials</vt:lpstr>
      <vt:lpstr>Revenue Drivers</vt:lpstr>
      <vt:lpstr>FCF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Garcia</dc:creator>
  <cp:lastModifiedBy>Felix Garcia</cp:lastModifiedBy>
  <dcterms:created xsi:type="dcterms:W3CDTF">2024-08-10T06:01:52Z</dcterms:created>
  <dcterms:modified xsi:type="dcterms:W3CDTF">2025-11-08T06:20:48Z</dcterms:modified>
</cp:coreProperties>
</file>