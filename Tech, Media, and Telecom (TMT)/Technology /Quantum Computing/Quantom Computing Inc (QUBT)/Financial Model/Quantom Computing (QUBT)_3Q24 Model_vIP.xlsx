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33F603C6-A42F-4EA7-A147-0138E5ED3B5D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8" i="8" l="1"/>
  <c r="AB88" i="8"/>
  <c r="AA88" i="8"/>
  <c r="Z88" i="8"/>
  <c r="Y88" i="8"/>
  <c r="AC87" i="8"/>
  <c r="AB87" i="8"/>
  <c r="AA87" i="8"/>
  <c r="Z87" i="8"/>
  <c r="Y87" i="8"/>
  <c r="AC86" i="8"/>
  <c r="AB86" i="8"/>
  <c r="AA86" i="8"/>
  <c r="Z86" i="8"/>
  <c r="Y86" i="8"/>
  <c r="AC85" i="8"/>
  <c r="AB85" i="8"/>
  <c r="AA85" i="8"/>
  <c r="Z85" i="8"/>
  <c r="Y85" i="8"/>
  <c r="AC84" i="8"/>
  <c r="AB84" i="8"/>
  <c r="AA84" i="8"/>
  <c r="Z84" i="8"/>
  <c r="Y84" i="8"/>
  <c r="AC83" i="8"/>
  <c r="AB83" i="8"/>
  <c r="AA83" i="8"/>
  <c r="Z83" i="8"/>
  <c r="Y83" i="8"/>
  <c r="AC82" i="8"/>
  <c r="AB82" i="8"/>
  <c r="AA82" i="8"/>
  <c r="Z82" i="8"/>
  <c r="Y82" i="8"/>
  <c r="AC71" i="8"/>
  <c r="AB71" i="8"/>
  <c r="AA71" i="8"/>
  <c r="Z71" i="8"/>
  <c r="Y71" i="8"/>
  <c r="AC70" i="8"/>
  <c r="AB70" i="8"/>
  <c r="AA70" i="8"/>
  <c r="Z70" i="8"/>
  <c r="Y70" i="8"/>
  <c r="AC69" i="8"/>
  <c r="AB69" i="8"/>
  <c r="AA69" i="8"/>
  <c r="Z69" i="8"/>
  <c r="Y69" i="8"/>
  <c r="AC68" i="8"/>
  <c r="AB68" i="8"/>
  <c r="AA68" i="8"/>
  <c r="Z68" i="8"/>
  <c r="Y68" i="8"/>
  <c r="AC67" i="8"/>
  <c r="AB67" i="8"/>
  <c r="AA67" i="8"/>
  <c r="Z67" i="8"/>
  <c r="Y67" i="8"/>
  <c r="AC66" i="8"/>
  <c r="AB66" i="8"/>
  <c r="AA66" i="8"/>
  <c r="Z66" i="8"/>
  <c r="Y66" i="8"/>
  <c r="AC65" i="8"/>
  <c r="AB65" i="8"/>
  <c r="AA65" i="8"/>
  <c r="Z65" i="8"/>
  <c r="Y65" i="8"/>
  <c r="AC64" i="8"/>
  <c r="AB64" i="8"/>
  <c r="AA64" i="8"/>
  <c r="Z64" i="8"/>
  <c r="Y64" i="8"/>
  <c r="AC79" i="8"/>
  <c r="AB79" i="8"/>
  <c r="AA79" i="8"/>
  <c r="Z79" i="8"/>
  <c r="Y79" i="8"/>
  <c r="AC78" i="8"/>
  <c r="AB78" i="8"/>
  <c r="AA78" i="8"/>
  <c r="Z78" i="8"/>
  <c r="Y78" i="8"/>
  <c r="AC77" i="8"/>
  <c r="AB77" i="8"/>
  <c r="AA77" i="8"/>
  <c r="Z77" i="8"/>
  <c r="Y77" i="8"/>
  <c r="AC76" i="8"/>
  <c r="AB76" i="8"/>
  <c r="AA76" i="8"/>
  <c r="Z76" i="8"/>
  <c r="Y76" i="8"/>
  <c r="AC75" i="8"/>
  <c r="AB75" i="8"/>
  <c r="AA75" i="8"/>
  <c r="Z75" i="8"/>
  <c r="Y75" i="8"/>
  <c r="AC51" i="8"/>
  <c r="AB51" i="8"/>
  <c r="AA51" i="8"/>
  <c r="Z51" i="8"/>
  <c r="Y51" i="8"/>
  <c r="AC50" i="8"/>
  <c r="AB50" i="8"/>
  <c r="AA50" i="8"/>
  <c r="Z50" i="8"/>
  <c r="Y50" i="8"/>
  <c r="AC49" i="8"/>
  <c r="AB49" i="8"/>
  <c r="AA49" i="8"/>
  <c r="Z49" i="8"/>
  <c r="Y49" i="8"/>
  <c r="AC48" i="8"/>
  <c r="AB48" i="8"/>
  <c r="AA48" i="8"/>
  <c r="Z48" i="8"/>
  <c r="Y48" i="8"/>
  <c r="AC47" i="8"/>
  <c r="AB47" i="8"/>
  <c r="AA47" i="8"/>
  <c r="Z47" i="8"/>
  <c r="Y47" i="8"/>
  <c r="AC152" i="8"/>
  <c r="AB152" i="8"/>
  <c r="AA152" i="8"/>
  <c r="Z152" i="8"/>
  <c r="Y152" i="8"/>
  <c r="AC151" i="8"/>
  <c r="AB151" i="8"/>
  <c r="AA151" i="8"/>
  <c r="Z151" i="8"/>
  <c r="Y151" i="8"/>
  <c r="AC150" i="8"/>
  <c r="AB150" i="8"/>
  <c r="AA150" i="8"/>
  <c r="Z150" i="8"/>
  <c r="Y150" i="8"/>
  <c r="AC149" i="8"/>
  <c r="AB149" i="8"/>
  <c r="AA149" i="8"/>
  <c r="Z149" i="8"/>
  <c r="Y149" i="8"/>
  <c r="AC148" i="8"/>
  <c r="AB148" i="8"/>
  <c r="AA148" i="8"/>
  <c r="Z148" i="8"/>
  <c r="Y148" i="8"/>
  <c r="AC147" i="8"/>
  <c r="AB147" i="8"/>
  <c r="AA147" i="8"/>
  <c r="Z147" i="8"/>
  <c r="Y147" i="8"/>
  <c r="AC146" i="8"/>
  <c r="AB146" i="8"/>
  <c r="AA146" i="8"/>
  <c r="Z146" i="8"/>
  <c r="Y146" i="8"/>
  <c r="AC145" i="8"/>
  <c r="AB145" i="8"/>
  <c r="AA145" i="8"/>
  <c r="Z145" i="8"/>
  <c r="Y145" i="8"/>
  <c r="AC144" i="8"/>
  <c r="AB144" i="8"/>
  <c r="AA144" i="8"/>
  <c r="Z144" i="8"/>
  <c r="Y144" i="8"/>
  <c r="AC143" i="8"/>
  <c r="AB143" i="8"/>
  <c r="AA143" i="8"/>
  <c r="Z143" i="8"/>
  <c r="Y143" i="8"/>
  <c r="AC142" i="8"/>
  <c r="AB142" i="8"/>
  <c r="AA142" i="8"/>
  <c r="Z142" i="8"/>
  <c r="Y142" i="8"/>
  <c r="AC141" i="8"/>
  <c r="AB141" i="8"/>
  <c r="AA141" i="8"/>
  <c r="Z141" i="8"/>
  <c r="Y141" i="8"/>
  <c r="AC137" i="8"/>
  <c r="AB137" i="8"/>
  <c r="AA137" i="8"/>
  <c r="Z137" i="8"/>
  <c r="Y137" i="8"/>
  <c r="AC136" i="8"/>
  <c r="AB136" i="8"/>
  <c r="AA136" i="8"/>
  <c r="Z136" i="8"/>
  <c r="Y136" i="8"/>
  <c r="AC135" i="8"/>
  <c r="AB135" i="8"/>
  <c r="AA135" i="8"/>
  <c r="Z135" i="8"/>
  <c r="Y135" i="8"/>
  <c r="AC134" i="8"/>
  <c r="AB134" i="8"/>
  <c r="AA134" i="8"/>
  <c r="Z134" i="8"/>
  <c r="Y134" i="8"/>
  <c r="AC133" i="8"/>
  <c r="AB133" i="8"/>
  <c r="AA133" i="8"/>
  <c r="Z133" i="8"/>
  <c r="Y133" i="8"/>
  <c r="AC132" i="8"/>
  <c r="AB132" i="8"/>
  <c r="AA132" i="8"/>
  <c r="Z132" i="8"/>
  <c r="Y132" i="8"/>
  <c r="AC131" i="8"/>
  <c r="AB131" i="8"/>
  <c r="AA131" i="8"/>
  <c r="Z131" i="8"/>
  <c r="Y131" i="8"/>
  <c r="AC130" i="8"/>
  <c r="AB130" i="8"/>
  <c r="AA130" i="8"/>
  <c r="Z130" i="8"/>
  <c r="Y130" i="8"/>
  <c r="AC129" i="8"/>
  <c r="AB129" i="8"/>
  <c r="AA129" i="8"/>
  <c r="Z129" i="8"/>
  <c r="Y129" i="8"/>
  <c r="AC125" i="8"/>
  <c r="AB125" i="8"/>
  <c r="AA125" i="8"/>
  <c r="Z125" i="8"/>
  <c r="Y125" i="8"/>
  <c r="AC124" i="8"/>
  <c r="AB124" i="8"/>
  <c r="AA124" i="8"/>
  <c r="Z124" i="8"/>
  <c r="Y124" i="8"/>
  <c r="AC123" i="8"/>
  <c r="AB123" i="8"/>
  <c r="AA123" i="8"/>
  <c r="Z123" i="8"/>
  <c r="Y123" i="8"/>
  <c r="AC122" i="8"/>
  <c r="AB122" i="8"/>
  <c r="AA122" i="8"/>
  <c r="Z122" i="8"/>
  <c r="Y122" i="8"/>
  <c r="AC121" i="8"/>
  <c r="AB121" i="8"/>
  <c r="AA121" i="8"/>
  <c r="Z121" i="8"/>
  <c r="Y121" i="8"/>
  <c r="AC120" i="8"/>
  <c r="AB120" i="8"/>
  <c r="AA120" i="8"/>
  <c r="Z120" i="8"/>
  <c r="Y120" i="8"/>
  <c r="AC119" i="8"/>
  <c r="AB119" i="8"/>
  <c r="AA119" i="8"/>
  <c r="Z119" i="8"/>
  <c r="Y119" i="8"/>
  <c r="AC118" i="8"/>
  <c r="AB118" i="8"/>
  <c r="AA118" i="8"/>
  <c r="Z118" i="8"/>
  <c r="Y118" i="8"/>
  <c r="AC117" i="8"/>
  <c r="AB117" i="8"/>
  <c r="AA117" i="8"/>
  <c r="Z117" i="8"/>
  <c r="Y117" i="8"/>
  <c r="AC116" i="8"/>
  <c r="AB116" i="8"/>
  <c r="AA116" i="8"/>
  <c r="Z116" i="8"/>
  <c r="Y116" i="8"/>
  <c r="AC113" i="8"/>
  <c r="AB113" i="8"/>
  <c r="AA113" i="8"/>
  <c r="Z113" i="8"/>
  <c r="Y113" i="8"/>
  <c r="AC112" i="8"/>
  <c r="AB112" i="8"/>
  <c r="AA112" i="8"/>
  <c r="Z112" i="8"/>
  <c r="Y112" i="8"/>
  <c r="AC111" i="8"/>
  <c r="AB111" i="8"/>
  <c r="AA111" i="8"/>
  <c r="Z111" i="8"/>
  <c r="Y111" i="8"/>
  <c r="AC110" i="8"/>
  <c r="AB110" i="8"/>
  <c r="AA110" i="8"/>
  <c r="Z110" i="8"/>
  <c r="Y110" i="8"/>
  <c r="AC109" i="8"/>
  <c r="AB109" i="8"/>
  <c r="AA109" i="8"/>
  <c r="Z109" i="8"/>
  <c r="Y109" i="8"/>
  <c r="AC108" i="8"/>
  <c r="AB108" i="8"/>
  <c r="AA108" i="8"/>
  <c r="Z108" i="8"/>
  <c r="Y108" i="8"/>
  <c r="AC107" i="8"/>
  <c r="AB107" i="8"/>
  <c r="AA107" i="8"/>
  <c r="Z107" i="8"/>
  <c r="Y107" i="8"/>
  <c r="AC106" i="8"/>
  <c r="AB106" i="8"/>
  <c r="AA106" i="8"/>
  <c r="Z106" i="8"/>
  <c r="Y106" i="8"/>
  <c r="AC105" i="8"/>
  <c r="AB105" i="8"/>
  <c r="AA105" i="8"/>
  <c r="Z105" i="8"/>
  <c r="Y105" i="8"/>
  <c r="AC104" i="8"/>
  <c r="AB104" i="8"/>
  <c r="AA104" i="8"/>
  <c r="Z104" i="8"/>
  <c r="Y104" i="8"/>
  <c r="AC101" i="8"/>
  <c r="AB101" i="8"/>
  <c r="AA101" i="8"/>
  <c r="Z101" i="8"/>
  <c r="Y101" i="8"/>
  <c r="L152" i="8"/>
  <c r="M152" i="8" s="1"/>
  <c r="N152" i="8" s="1"/>
  <c r="J152" i="8"/>
  <c r="N151" i="8"/>
  <c r="J151" i="8"/>
  <c r="N150" i="8"/>
  <c r="J150" i="8"/>
  <c r="N149" i="8"/>
  <c r="J149" i="8"/>
  <c r="N148" i="8"/>
  <c r="J148" i="8"/>
  <c r="N147" i="8"/>
  <c r="J147" i="8"/>
  <c r="N146" i="8"/>
  <c r="J146" i="8"/>
  <c r="N145" i="8"/>
  <c r="J145" i="8"/>
  <c r="M144" i="8"/>
  <c r="N144" i="8" s="1"/>
  <c r="J144" i="8"/>
  <c r="N143" i="8"/>
  <c r="J143" i="8"/>
  <c r="N142" i="8"/>
  <c r="J142" i="8"/>
  <c r="N141" i="8"/>
  <c r="J141" i="8"/>
  <c r="N134" i="8"/>
  <c r="N133" i="8"/>
  <c r="N132" i="8"/>
  <c r="N131" i="8"/>
  <c r="N130" i="8"/>
  <c r="J134" i="8"/>
  <c r="J133" i="8"/>
  <c r="J132" i="8"/>
  <c r="J131" i="8"/>
  <c r="J130" i="8"/>
  <c r="N137" i="8"/>
  <c r="J137" i="8"/>
  <c r="M136" i="8"/>
  <c r="N136" i="8" s="1"/>
  <c r="J136" i="8"/>
  <c r="M135" i="8"/>
  <c r="N135" i="8" s="1"/>
  <c r="J135" i="8"/>
  <c r="Q129" i="8"/>
  <c r="M129" i="8"/>
  <c r="N129" i="8" s="1"/>
  <c r="J129" i="8"/>
  <c r="J125" i="8"/>
  <c r="J124" i="8"/>
  <c r="J123" i="8"/>
  <c r="J122" i="8"/>
  <c r="J121" i="8"/>
  <c r="J120" i="8"/>
  <c r="J119" i="8"/>
  <c r="J118" i="8"/>
  <c r="J117" i="8"/>
  <c r="J116" i="8"/>
  <c r="N125" i="8"/>
  <c r="N121" i="8"/>
  <c r="N119" i="8"/>
  <c r="N117" i="8"/>
  <c r="N113" i="8"/>
  <c r="N111" i="8"/>
  <c r="N110" i="8"/>
  <c r="N108" i="8"/>
  <c r="N107" i="8"/>
  <c r="N106" i="8"/>
  <c r="N105" i="8"/>
  <c r="J113" i="8"/>
  <c r="J112" i="8"/>
  <c r="J111" i="8"/>
  <c r="J110" i="8"/>
  <c r="J109" i="8"/>
  <c r="J108" i="8"/>
  <c r="J107" i="8"/>
  <c r="J106" i="8"/>
  <c r="J105" i="8"/>
  <c r="P125" i="8"/>
  <c r="Q125" i="8" s="1"/>
  <c r="L124" i="8"/>
  <c r="L123" i="8"/>
  <c r="P122" i="8"/>
  <c r="Q122" i="8" s="1"/>
  <c r="L122" i="8"/>
  <c r="M122" i="8" s="1"/>
  <c r="C122" i="8"/>
  <c r="P121" i="8"/>
  <c r="Q121" i="8" s="1"/>
  <c r="P120" i="8"/>
  <c r="Q120" i="8" s="1"/>
  <c r="L120" i="8"/>
  <c r="P119" i="8"/>
  <c r="Q119" i="8" s="1"/>
  <c r="P118" i="8"/>
  <c r="Q118" i="8" s="1"/>
  <c r="L118" i="8"/>
  <c r="P117" i="8"/>
  <c r="Q117" i="8" s="1"/>
  <c r="P116" i="8"/>
  <c r="Q116" i="8" s="1"/>
  <c r="L116" i="8"/>
  <c r="L112" i="8"/>
  <c r="P111" i="8"/>
  <c r="Q111" i="8" s="1"/>
  <c r="P109" i="8"/>
  <c r="Q109" i="8" s="1"/>
  <c r="L109" i="8"/>
  <c r="M109" i="8" s="1"/>
  <c r="Q108" i="8"/>
  <c r="Q105" i="8"/>
  <c r="Q104" i="8"/>
  <c r="K104" i="8"/>
  <c r="L104" i="8" s="1"/>
  <c r="M104" i="8" s="1"/>
  <c r="I104" i="8"/>
  <c r="H104" i="8"/>
  <c r="N88" i="8"/>
  <c r="N87" i="8"/>
  <c r="N86" i="8"/>
  <c r="N85" i="8"/>
  <c r="N84" i="8"/>
  <c r="N83" i="8"/>
  <c r="N82" i="8"/>
  <c r="J88" i="8"/>
  <c r="J87" i="8"/>
  <c r="J86" i="8"/>
  <c r="J85" i="8"/>
  <c r="J84" i="8"/>
  <c r="J83" i="8"/>
  <c r="J82" i="8"/>
  <c r="N79" i="8"/>
  <c r="N78" i="8"/>
  <c r="N77" i="8"/>
  <c r="N76" i="8"/>
  <c r="V76" i="8" s="1"/>
  <c r="N75" i="8"/>
  <c r="J79" i="8"/>
  <c r="J78" i="8"/>
  <c r="J77" i="8"/>
  <c r="J76" i="8"/>
  <c r="J75" i="8"/>
  <c r="N71" i="8"/>
  <c r="N70" i="8"/>
  <c r="N69" i="8"/>
  <c r="N68" i="8"/>
  <c r="N67" i="8"/>
  <c r="N66" i="8"/>
  <c r="N65" i="8"/>
  <c r="N64" i="8"/>
  <c r="J71" i="8"/>
  <c r="J70" i="8"/>
  <c r="J69" i="8"/>
  <c r="J68" i="8"/>
  <c r="J67" i="8"/>
  <c r="J66" i="8"/>
  <c r="J65" i="8"/>
  <c r="J64" i="8"/>
  <c r="N60" i="8"/>
  <c r="Z60" i="8" s="1"/>
  <c r="N59" i="8"/>
  <c r="Z59" i="8" s="1"/>
  <c r="N58" i="8"/>
  <c r="Z58" i="8" s="1"/>
  <c r="N57" i="8"/>
  <c r="Z57" i="8" s="1"/>
  <c r="N56" i="8"/>
  <c r="V56" i="8" s="1"/>
  <c r="N55" i="8"/>
  <c r="W55" i="8" s="1"/>
  <c r="J60" i="8"/>
  <c r="J59" i="8"/>
  <c r="J58" i="8"/>
  <c r="J57" i="8"/>
  <c r="J56" i="8"/>
  <c r="J55" i="8"/>
  <c r="S55" i="8" s="1"/>
  <c r="N51" i="8"/>
  <c r="W51" i="8" s="1"/>
  <c r="N50" i="8"/>
  <c r="W50" i="8" s="1"/>
  <c r="N49" i="8"/>
  <c r="N48" i="8"/>
  <c r="N47" i="8"/>
  <c r="W47" i="8" s="1"/>
  <c r="N46" i="8"/>
  <c r="Z46" i="8" s="1"/>
  <c r="J51" i="8"/>
  <c r="S51" i="8" s="1"/>
  <c r="J50" i="8"/>
  <c r="S50" i="8" s="1"/>
  <c r="J49" i="8"/>
  <c r="J48" i="8"/>
  <c r="J47" i="8"/>
  <c r="S47" i="8" s="1"/>
  <c r="J46" i="8"/>
  <c r="V46" i="8" s="1"/>
  <c r="N27" i="8"/>
  <c r="Z27" i="8" s="1"/>
  <c r="N26" i="8"/>
  <c r="AB26" i="8" s="1"/>
  <c r="N25" i="8"/>
  <c r="Z25" i="8" s="1"/>
  <c r="J27" i="8"/>
  <c r="Y27" i="8" s="1"/>
  <c r="J26" i="8"/>
  <c r="Y26" i="8" s="1"/>
  <c r="J25" i="8"/>
  <c r="Y25" i="8" s="1"/>
  <c r="E21" i="8"/>
  <c r="N21" i="8" s="1"/>
  <c r="D21" i="8"/>
  <c r="J21" i="8" s="1"/>
  <c r="Y21" i="8" s="1"/>
  <c r="E20" i="8"/>
  <c r="N20" i="8" s="1"/>
  <c r="D20" i="8"/>
  <c r="J20" i="8" s="1"/>
  <c r="Y20" i="8" s="1"/>
  <c r="E19" i="8"/>
  <c r="N19" i="8" s="1"/>
  <c r="D19" i="8"/>
  <c r="J19" i="8" s="1"/>
  <c r="Y19" i="8" s="1"/>
  <c r="Q21" i="8"/>
  <c r="P21" i="8"/>
  <c r="O21" i="8"/>
  <c r="Q20" i="8"/>
  <c r="P20" i="8"/>
  <c r="O20" i="8"/>
  <c r="Q19" i="8"/>
  <c r="P19" i="8"/>
  <c r="O19" i="8"/>
  <c r="N10" i="8"/>
  <c r="AB10" i="8" s="1"/>
  <c r="N13" i="8"/>
  <c r="AC13" i="8" s="1"/>
  <c r="N18" i="8"/>
  <c r="AC18" i="8" s="1"/>
  <c r="N17" i="8"/>
  <c r="AC17" i="8" s="1"/>
  <c r="N31" i="8"/>
  <c r="AC31" i="8" s="1"/>
  <c r="N35" i="8"/>
  <c r="Z35" i="8" s="1"/>
  <c r="N38" i="8"/>
  <c r="Z38" i="8" s="1"/>
  <c r="J38" i="8"/>
  <c r="J35" i="8"/>
  <c r="V35" i="8" s="1"/>
  <c r="J31" i="8"/>
  <c r="Y31" i="8" s="1"/>
  <c r="J18" i="8"/>
  <c r="Y18" i="8" s="1"/>
  <c r="J17" i="8"/>
  <c r="Y17" i="8" s="1"/>
  <c r="J13" i="8"/>
  <c r="Y13" i="8" s="1"/>
  <c r="J10" i="8"/>
  <c r="Y10" i="8" s="1"/>
  <c r="AC60" i="8"/>
  <c r="AB60" i="8"/>
  <c r="AA60" i="8"/>
  <c r="Y60" i="8"/>
  <c r="AC59" i="8"/>
  <c r="AB59" i="8"/>
  <c r="AA59" i="8"/>
  <c r="Y59" i="8"/>
  <c r="AC58" i="8"/>
  <c r="AB58" i="8"/>
  <c r="AA58" i="8"/>
  <c r="Y58" i="8"/>
  <c r="AC57" i="8"/>
  <c r="AB57" i="8"/>
  <c r="AA57" i="8"/>
  <c r="Y57" i="8"/>
  <c r="AC56" i="8"/>
  <c r="AB56" i="8"/>
  <c r="AA56" i="8"/>
  <c r="Y56" i="8"/>
  <c r="AC55" i="8"/>
  <c r="AB55" i="8"/>
  <c r="AA55" i="8"/>
  <c r="Y55" i="8"/>
  <c r="AB46" i="8"/>
  <c r="AA46" i="8"/>
  <c r="Y46" i="8"/>
  <c r="X46" i="8"/>
  <c r="W46" i="8"/>
  <c r="U46" i="8"/>
  <c r="T46" i="8"/>
  <c r="S46" i="8"/>
  <c r="AC46" i="8"/>
  <c r="AC38" i="8"/>
  <c r="AB38" i="8"/>
  <c r="AA38" i="8"/>
  <c r="Y38" i="8"/>
  <c r="AB35" i="8"/>
  <c r="AA35" i="8"/>
  <c r="Y35" i="8"/>
  <c r="X35" i="8"/>
  <c r="W35" i="8"/>
  <c r="U35" i="8"/>
  <c r="T35" i="8"/>
  <c r="S35" i="8"/>
  <c r="AC35" i="8"/>
  <c r="U10" i="8"/>
  <c r="T10" i="8"/>
  <c r="S10" i="8"/>
  <c r="AB8" i="8"/>
  <c r="AA8" i="8"/>
  <c r="Z8" i="8"/>
  <c r="Y8" i="8"/>
  <c r="X8" i="8"/>
  <c r="W8" i="8"/>
  <c r="V8" i="8"/>
  <c r="U8" i="8"/>
  <c r="T8" i="8"/>
  <c r="S8" i="8"/>
  <c r="AB7" i="8"/>
  <c r="AA7" i="8"/>
  <c r="Z7" i="8"/>
  <c r="Y7" i="8"/>
  <c r="X7" i="8"/>
  <c r="W7" i="8"/>
  <c r="V7" i="8"/>
  <c r="U7" i="8"/>
  <c r="T7" i="8"/>
  <c r="S7" i="8"/>
  <c r="AC8" i="8"/>
  <c r="AC7" i="8"/>
  <c r="X55" i="8"/>
  <c r="V55" i="8"/>
  <c r="U55" i="8"/>
  <c r="T55" i="8"/>
  <c r="X51" i="8"/>
  <c r="V51" i="8"/>
  <c r="U51" i="8"/>
  <c r="T51" i="8"/>
  <c r="X50" i="8"/>
  <c r="V50" i="8"/>
  <c r="U50" i="8"/>
  <c r="T50" i="8"/>
  <c r="X47" i="8"/>
  <c r="V47" i="8"/>
  <c r="U47" i="8"/>
  <c r="T47" i="8"/>
  <c r="E153" i="8"/>
  <c r="X76" i="8"/>
  <c r="W76" i="8"/>
  <c r="U76" i="8"/>
  <c r="T76" i="8"/>
  <c r="S76" i="8"/>
  <c r="X56" i="8"/>
  <c r="W56" i="8"/>
  <c r="U56" i="8"/>
  <c r="T56" i="8"/>
  <c r="S56" i="8"/>
  <c r="C153" i="8"/>
  <c r="Z17" i="8" l="1"/>
  <c r="AA27" i="8"/>
  <c r="AA17" i="8"/>
  <c r="AC27" i="8"/>
  <c r="AE27" i="8" s="1"/>
  <c r="J104" i="8"/>
  <c r="N122" i="8"/>
  <c r="N104" i="8"/>
  <c r="N109" i="8"/>
  <c r="M124" i="8"/>
  <c r="N124" i="8" s="1"/>
  <c r="M116" i="8"/>
  <c r="N116" i="8" s="1"/>
  <c r="M112" i="8"/>
  <c r="N112" i="8" s="1"/>
  <c r="M118" i="8"/>
  <c r="M120" i="8"/>
  <c r="M123" i="8"/>
  <c r="N123" i="8" s="1"/>
  <c r="Z13" i="8"/>
  <c r="AA13" i="8"/>
  <c r="AB27" i="8"/>
  <c r="AB17" i="8"/>
  <c r="Z26" i="8"/>
  <c r="AC10" i="8"/>
  <c r="Z10" i="8"/>
  <c r="AA10" i="8"/>
  <c r="AA20" i="8"/>
  <c r="AA19" i="8"/>
  <c r="AC26" i="8"/>
  <c r="AE26" i="8" s="1"/>
  <c r="Z18" i="8"/>
  <c r="AE46" i="8"/>
  <c r="Z55" i="8"/>
  <c r="W10" i="8"/>
  <c r="AE47" i="8"/>
  <c r="AE50" i="8"/>
  <c r="Z56" i="8"/>
  <c r="Z21" i="8"/>
  <c r="AA21" i="8"/>
  <c r="Z19" i="8"/>
  <c r="Z20" i="8"/>
  <c r="AB21" i="8"/>
  <c r="AC19" i="8"/>
  <c r="AB19" i="8"/>
  <c r="AC21" i="8"/>
  <c r="AC20" i="8"/>
  <c r="AA18" i="8"/>
  <c r="AB18" i="8"/>
  <c r="AB20" i="8"/>
  <c r="AB13" i="8"/>
  <c r="AA31" i="8"/>
  <c r="Z31" i="8"/>
  <c r="AA26" i="8"/>
  <c r="AB25" i="8"/>
  <c r="AC25" i="8"/>
  <c r="AA25" i="8"/>
  <c r="AB31" i="8"/>
  <c r="V10" i="8"/>
  <c r="X10" i="8"/>
  <c r="AE84" i="8"/>
  <c r="AE88" i="8"/>
  <c r="AE65" i="8"/>
  <c r="AE71" i="8"/>
  <c r="AE78" i="8"/>
  <c r="AE51" i="8"/>
  <c r="AE70" i="8"/>
  <c r="AE83" i="8"/>
  <c r="AE152" i="8"/>
  <c r="AE75" i="8"/>
  <c r="AE77" i="8"/>
  <c r="AE56" i="8"/>
  <c r="AE58" i="8"/>
  <c r="AE60" i="8"/>
  <c r="AE87" i="8"/>
  <c r="AE55" i="8"/>
  <c r="AE79" i="8"/>
  <c r="AE82" i="8"/>
  <c r="AE57" i="8"/>
  <c r="AE59" i="8"/>
  <c r="AE76" i="8"/>
  <c r="AE151" i="8"/>
  <c r="M153" i="8"/>
  <c r="D153" i="8"/>
  <c r="K153" i="8"/>
  <c r="L153" i="8"/>
  <c r="G153" i="8"/>
  <c r="O153" i="8"/>
  <c r="H153" i="8"/>
  <c r="P153" i="8"/>
  <c r="Q153" i="8"/>
  <c r="V151" i="8"/>
  <c r="V153" i="8" s="1"/>
  <c r="W151" i="8"/>
  <c r="W153" i="8" s="1"/>
  <c r="X151" i="8"/>
  <c r="X153" i="8" s="1"/>
  <c r="U151" i="8"/>
  <c r="U153" i="8" s="1"/>
  <c r="N120" i="8" l="1"/>
  <c r="N118" i="8"/>
  <c r="AE111" i="8"/>
  <c r="AE25" i="8"/>
  <c r="AE109" i="8"/>
  <c r="AE110" i="8"/>
  <c r="AE113" i="8"/>
  <c r="I153" i="8"/>
  <c r="J153" i="8"/>
  <c r="N153" i="8"/>
  <c r="S151" i="8"/>
  <c r="S153" i="8" s="1"/>
  <c r="T151" i="8"/>
  <c r="T153" i="8" s="1"/>
  <c r="Y153" i="8" l="1"/>
  <c r="AE112" i="8"/>
  <c r="AA153" i="8"/>
  <c r="AE107" i="8"/>
  <c r="AE150" i="8"/>
  <c r="AE141" i="8"/>
  <c r="AC153" i="8"/>
  <c r="AE108" i="8"/>
  <c r="AB153" i="8"/>
  <c r="Z153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N160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S129" i="8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Q89" i="8"/>
  <c r="P89" i="8"/>
  <c r="Q66" i="9" s="1"/>
  <c r="O89" i="8"/>
  <c r="P66" i="9" s="1"/>
  <c r="M89" i="8"/>
  <c r="N66" i="9" s="1"/>
  <c r="L89" i="8"/>
  <c r="M66" i="9" s="1"/>
  <c r="K89" i="8"/>
  <c r="L66" i="9" s="1"/>
  <c r="I89" i="8"/>
  <c r="J66" i="9" s="1"/>
  <c r="H89" i="8"/>
  <c r="I66" i="9" s="1"/>
  <c r="G89" i="8"/>
  <c r="H66" i="9" s="1"/>
  <c r="E89" i="8"/>
  <c r="D89" i="8"/>
  <c r="C89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S123" i="8"/>
  <c r="U116" i="8"/>
  <c r="S106" i="8"/>
  <c r="K27" i="9"/>
  <c r="K58" i="9"/>
  <c r="X58" i="9" s="1"/>
  <c r="O18" i="9"/>
  <c r="K19" i="9"/>
  <c r="K23" i="9" s="1"/>
  <c r="U20" i="8"/>
  <c r="X88" i="8"/>
  <c r="W88" i="8"/>
  <c r="U88" i="8"/>
  <c r="T88" i="8"/>
  <c r="S88" i="8"/>
  <c r="X87" i="8"/>
  <c r="W87" i="8"/>
  <c r="U87" i="8"/>
  <c r="T87" i="8"/>
  <c r="S87" i="8"/>
  <c r="X82" i="8"/>
  <c r="W82" i="8"/>
  <c r="U82" i="8"/>
  <c r="T82" i="8"/>
  <c r="S82" i="8"/>
  <c r="X75" i="8"/>
  <c r="W75" i="8"/>
  <c r="U75" i="8"/>
  <c r="T75" i="8"/>
  <c r="S75" i="8"/>
  <c r="X65" i="8"/>
  <c r="W65" i="8"/>
  <c r="U65" i="8"/>
  <c r="T65" i="8"/>
  <c r="S65" i="8"/>
  <c r="X64" i="8"/>
  <c r="W64" i="8"/>
  <c r="U64" i="8"/>
  <c r="T64" i="8"/>
  <c r="S64" i="8"/>
  <c r="X60" i="8"/>
  <c r="W60" i="8"/>
  <c r="U60" i="8"/>
  <c r="T60" i="8"/>
  <c r="S60" i="8"/>
  <c r="X59" i="8"/>
  <c r="W59" i="8"/>
  <c r="U59" i="8"/>
  <c r="T59" i="8"/>
  <c r="S59" i="8"/>
  <c r="X58" i="8"/>
  <c r="W58" i="8"/>
  <c r="U58" i="8"/>
  <c r="T58" i="8"/>
  <c r="S58" i="8"/>
  <c r="X57" i="8"/>
  <c r="W57" i="8"/>
  <c r="U57" i="8"/>
  <c r="T57" i="8"/>
  <c r="S57" i="8"/>
  <c r="X38" i="8"/>
  <c r="W38" i="8"/>
  <c r="U38" i="8"/>
  <c r="T38" i="8"/>
  <c r="S38" i="8"/>
  <c r="T31" i="8"/>
  <c r="S107" i="8"/>
  <c r="V88" i="8"/>
  <c r="V87" i="8"/>
  <c r="V82" i="8"/>
  <c r="V75" i="8"/>
  <c r="K57" i="9"/>
  <c r="V65" i="8"/>
  <c r="K56" i="9"/>
  <c r="V60" i="8"/>
  <c r="V59" i="8"/>
  <c r="V58" i="8"/>
  <c r="V57" i="8"/>
  <c r="K59" i="9"/>
  <c r="K51" i="9"/>
  <c r="X51" i="9" s="1"/>
  <c r="K55" i="9"/>
  <c r="K50" i="9"/>
  <c r="X50" i="9" s="1"/>
  <c r="K48" i="9"/>
  <c r="S13" i="8"/>
  <c r="T25" i="8"/>
  <c r="U17" i="8"/>
  <c r="AB33" i="9" l="1"/>
  <c r="AC33" i="9"/>
  <c r="AD33" i="9"/>
  <c r="X33" i="9"/>
  <c r="AF33" i="9"/>
  <c r="Y33" i="9"/>
  <c r="Z33" i="9"/>
  <c r="V13" i="8"/>
  <c r="W21" i="8"/>
  <c r="V31" i="8"/>
  <c r="V52" i="9"/>
  <c r="AE64" i="8"/>
  <c r="AA39" i="9"/>
  <c r="J160" i="8"/>
  <c r="T160" i="8" s="1"/>
  <c r="Q52" i="9"/>
  <c r="U52" i="9"/>
  <c r="T123" i="8"/>
  <c r="K52" i="9"/>
  <c r="AE39" i="9"/>
  <c r="X39" i="9"/>
  <c r="Y39" i="9"/>
  <c r="Z39" i="9"/>
  <c r="AE35" i="8"/>
  <c r="AB39" i="9"/>
  <c r="AC39" i="9"/>
  <c r="H67" i="9"/>
  <c r="AD39" i="9"/>
  <c r="T116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E38" i="8"/>
  <c r="V21" i="8"/>
  <c r="T13" i="8"/>
  <c r="K18" i="9"/>
  <c r="S17" i="8"/>
  <c r="X21" i="8"/>
  <c r="O17" i="9"/>
  <c r="T20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W160" i="8"/>
  <c r="Z160" i="8"/>
  <c r="AF51" i="9"/>
  <c r="M27" i="9"/>
  <c r="P42" i="9"/>
  <c r="S25" i="8"/>
  <c r="K12" i="9"/>
  <c r="O16" i="9"/>
  <c r="I38" i="9"/>
  <c r="O50" i="9"/>
  <c r="AB50" i="9" s="1"/>
  <c r="O57" i="9"/>
  <c r="AF58" i="9"/>
  <c r="M37" i="9"/>
  <c r="M40" i="9"/>
  <c r="V20" i="8"/>
  <c r="U25" i="8"/>
  <c r="X13" i="8"/>
  <c r="W13" i="8"/>
  <c r="V64" i="8"/>
  <c r="O56" i="9"/>
  <c r="U21" i="8"/>
  <c r="T21" i="8"/>
  <c r="S21" i="8"/>
  <c r="O58" i="9"/>
  <c r="AB58" i="9" s="1"/>
  <c r="W129" i="8"/>
  <c r="X25" i="8"/>
  <c r="O48" i="9"/>
  <c r="S31" i="8"/>
  <c r="K32" i="9"/>
  <c r="Q34" i="9"/>
  <c r="AA160" i="8"/>
  <c r="Q40" i="9"/>
  <c r="T107" i="8"/>
  <c r="W20" i="8"/>
  <c r="V25" i="8"/>
  <c r="U31" i="8"/>
  <c r="M38" i="9"/>
  <c r="Q27" i="9"/>
  <c r="U125" i="8"/>
  <c r="Q41" i="9"/>
  <c r="AB160" i="8"/>
  <c r="X20" i="8"/>
  <c r="W25" i="8"/>
  <c r="M31" i="9"/>
  <c r="N34" i="9"/>
  <c r="W17" i="8"/>
  <c r="V160" i="8"/>
  <c r="O12" i="9"/>
  <c r="X160" i="8"/>
  <c r="O32" i="9"/>
  <c r="X31" i="8"/>
  <c r="W31" i="8"/>
  <c r="X17" i="8"/>
  <c r="V17" i="8"/>
  <c r="K38" i="9"/>
  <c r="T129" i="8"/>
  <c r="U13" i="8"/>
  <c r="Y160" i="8"/>
  <c r="O55" i="9"/>
  <c r="S105" i="8"/>
  <c r="T17" i="8"/>
  <c r="I27" i="9"/>
  <c r="J38" i="9"/>
  <c r="T105" i="8"/>
  <c r="J27" i="9"/>
  <c r="I34" i="9"/>
  <c r="S20" i="8"/>
  <c r="K41" i="9"/>
  <c r="X41" i="9" s="1"/>
  <c r="H42" i="9"/>
  <c r="T106" i="8"/>
  <c r="S116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T89" i="8"/>
  <c r="J89" i="8"/>
  <c r="K66" i="9" s="1"/>
  <c r="V89" i="8"/>
  <c r="X89" i="8"/>
  <c r="Y89" i="8"/>
  <c r="Z89" i="8"/>
  <c r="AB89" i="8"/>
  <c r="U89" i="8"/>
  <c r="N89" i="8"/>
  <c r="O66" i="9" s="1"/>
  <c r="W89" i="8"/>
  <c r="AA89" i="8"/>
  <c r="S89" i="8"/>
  <c r="AC89" i="8"/>
  <c r="J31" i="9"/>
  <c r="J34" i="9"/>
  <c r="W116" i="8"/>
  <c r="U106" i="8"/>
  <c r="AE124" i="8" l="1"/>
  <c r="AE123" i="8"/>
  <c r="AE21" i="8"/>
  <c r="AE20" i="8"/>
  <c r="U160" i="8"/>
  <c r="S160" i="8"/>
  <c r="Z41" i="9"/>
  <c r="V107" i="8"/>
  <c r="Z27" i="9"/>
  <c r="T125" i="8"/>
  <c r="AI39" i="9"/>
  <c r="Z38" i="9"/>
  <c r="AE31" i="8"/>
  <c r="Y41" i="9"/>
  <c r="AH39" i="9"/>
  <c r="AF39" i="9"/>
  <c r="Y38" i="9"/>
  <c r="AG39" i="9"/>
  <c r="X38" i="9"/>
  <c r="W123" i="8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N27" i="9"/>
  <c r="AA27" i="9" s="1"/>
  <c r="U129" i="8"/>
  <c r="V129" i="8"/>
  <c r="X107" i="8"/>
  <c r="U122" i="8"/>
  <c r="W104" i="8"/>
  <c r="N41" i="9"/>
  <c r="V124" i="8"/>
  <c r="AB157" i="8"/>
  <c r="V125" i="8"/>
  <c r="S125" i="8"/>
  <c r="Q42" i="9"/>
  <c r="X123" i="8"/>
  <c r="K42" i="9"/>
  <c r="N31" i="9"/>
  <c r="X129" i="8"/>
  <c r="K37" i="9"/>
  <c r="W117" i="8"/>
  <c r="M42" i="9"/>
  <c r="V117" i="8"/>
  <c r="AI40" i="9"/>
  <c r="N38" i="9"/>
  <c r="AA38" i="9" s="1"/>
  <c r="W124" i="8"/>
  <c r="U107" i="8"/>
  <c r="V116" i="8"/>
  <c r="J40" i="9"/>
  <c r="U104" i="8"/>
  <c r="O37" i="9"/>
  <c r="V104" i="8"/>
  <c r="X104" i="8"/>
  <c r="W125" i="8"/>
  <c r="X124" i="8"/>
  <c r="N37" i="9"/>
  <c r="U123" i="8"/>
  <c r="S117" i="8"/>
  <c r="O38" i="9"/>
  <c r="AE38" i="9" s="1"/>
  <c r="X116" i="8"/>
  <c r="X125" i="8"/>
  <c r="U105" i="8"/>
  <c r="N40" i="9"/>
  <c r="X117" i="8"/>
  <c r="T124" i="8"/>
  <c r="W107" i="8"/>
  <c r="V123" i="8"/>
  <c r="AE106" i="8"/>
  <c r="V105" i="8"/>
  <c r="AE116" i="8" l="1"/>
  <c r="AE104" i="8"/>
  <c r="AE122" i="8"/>
  <c r="AE125" i="8"/>
  <c r="T117" i="8"/>
  <c r="V122" i="8"/>
  <c r="T104" i="8"/>
  <c r="AA41" i="9"/>
  <c r="AI38" i="9"/>
  <c r="AG38" i="9"/>
  <c r="AH40" i="9"/>
  <c r="AH38" i="9"/>
  <c r="AG40" i="9"/>
  <c r="AF40" i="9"/>
  <c r="AD38" i="9"/>
  <c r="AB38" i="9"/>
  <c r="AF38" i="9"/>
  <c r="AC38" i="9"/>
  <c r="AE117" i="8"/>
  <c r="W106" i="8"/>
  <c r="S104" i="8"/>
  <c r="X106" i="8"/>
  <c r="Z42" i="9"/>
  <c r="Y42" i="9"/>
  <c r="X42" i="9"/>
  <c r="W105" i="8"/>
  <c r="V106" i="8"/>
  <c r="AK17" i="9"/>
  <c r="X105" i="8"/>
  <c r="W122" i="8"/>
  <c r="AE129" i="8"/>
  <c r="X122" i="8"/>
  <c r="O40" i="9"/>
  <c r="AC40" i="9" s="1"/>
  <c r="AI31" i="9"/>
  <c r="K40" i="9"/>
  <c r="AA40" i="9" s="1"/>
  <c r="N42" i="9"/>
  <c r="AA42" i="9" s="1"/>
  <c r="O41" i="9"/>
  <c r="AE41" i="9" s="1"/>
  <c r="O27" i="9"/>
  <c r="U117" i="8"/>
  <c r="K34" i="9"/>
  <c r="S122" i="8"/>
  <c r="U124" i="8"/>
  <c r="S124" i="8"/>
  <c r="O34" i="9"/>
  <c r="O31" i="9"/>
  <c r="AD31" i="9" s="1"/>
  <c r="K31" i="9"/>
  <c r="T122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E105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Q72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O138" i="8"/>
  <c r="K138" i="8"/>
  <c r="N11" i="8"/>
  <c r="O8" i="9" s="1"/>
  <c r="V38" i="8"/>
  <c r="J11" i="8"/>
  <c r="K8" i="9" s="1"/>
  <c r="AG48" i="9"/>
  <c r="AG52" i="9" s="1"/>
  <c r="Y57" i="9"/>
  <c r="AB66" i="9"/>
  <c r="P52" i="8"/>
  <c r="P61" i="8" s="1"/>
  <c r="O52" i="8"/>
  <c r="O61" i="8" s="1"/>
  <c r="K52" i="8"/>
  <c r="K61" i="8" s="1"/>
  <c r="Q98" i="8"/>
  <c r="P98" i="8"/>
  <c r="O98" i="8"/>
  <c r="N98" i="8"/>
  <c r="M98" i="8"/>
  <c r="L98" i="8"/>
  <c r="K98" i="8"/>
  <c r="J98" i="8"/>
  <c r="I98" i="8"/>
  <c r="H98" i="8"/>
  <c r="Q97" i="8"/>
  <c r="P97" i="8"/>
  <c r="O97" i="8"/>
  <c r="N97" i="8"/>
  <c r="M97" i="8"/>
  <c r="L97" i="8"/>
  <c r="K97" i="8"/>
  <c r="J97" i="8"/>
  <c r="I97" i="8"/>
  <c r="H97" i="8"/>
  <c r="AF66" i="9"/>
  <c r="AE66" i="9"/>
  <c r="AD66" i="9"/>
  <c r="AA66" i="9"/>
  <c r="Z66" i="9"/>
  <c r="Y66" i="9"/>
  <c r="X66" i="9"/>
  <c r="I72" i="8"/>
  <c r="H72" i="8"/>
  <c r="G52" i="8"/>
  <c r="G61" i="8" s="1"/>
  <c r="H52" i="8"/>
  <c r="H61" i="8" s="1"/>
  <c r="I52" i="8"/>
  <c r="I61" i="8" s="1"/>
  <c r="L52" i="8"/>
  <c r="L61" i="8" s="1"/>
  <c r="M52" i="8"/>
  <c r="M61" i="8" s="1"/>
  <c r="Q52" i="8"/>
  <c r="Q61" i="8" s="1"/>
  <c r="Q43" i="8"/>
  <c r="P43" i="8"/>
  <c r="O43" i="8"/>
  <c r="N43" i="8"/>
  <c r="M43" i="8"/>
  <c r="L43" i="8"/>
  <c r="K43" i="8"/>
  <c r="J43" i="8"/>
  <c r="I43" i="8"/>
  <c r="H43" i="8"/>
  <c r="Q42" i="8"/>
  <c r="P42" i="8"/>
  <c r="O42" i="8"/>
  <c r="N42" i="8"/>
  <c r="M42" i="8"/>
  <c r="L42" i="8"/>
  <c r="K42" i="8"/>
  <c r="J42" i="8"/>
  <c r="I42" i="8"/>
  <c r="H42" i="8"/>
  <c r="G43" i="8"/>
  <c r="G42" i="8"/>
  <c r="E43" i="8"/>
  <c r="D43" i="8"/>
  <c r="C43" i="8"/>
  <c r="E42" i="8"/>
  <c r="D42" i="8"/>
  <c r="C42" i="8"/>
  <c r="Q11" i="8"/>
  <c r="Q14" i="8" s="1"/>
  <c r="P11" i="8"/>
  <c r="P14" i="8" s="1"/>
  <c r="O11" i="8"/>
  <c r="O14" i="8" s="1"/>
  <c r="M11" i="8"/>
  <c r="L11" i="8"/>
  <c r="K11" i="8"/>
  <c r="I11" i="8"/>
  <c r="H11" i="8"/>
  <c r="G11" i="8"/>
  <c r="E4" i="10"/>
  <c r="D4" i="10"/>
  <c r="C4" i="10"/>
  <c r="E3" i="10"/>
  <c r="D3" i="10"/>
  <c r="C3" i="10"/>
  <c r="F4" i="10"/>
  <c r="F3" i="10"/>
  <c r="X157" i="8" l="1"/>
  <c r="Y157" i="8"/>
  <c r="U157" i="8"/>
  <c r="G14" i="8"/>
  <c r="G15" i="8" s="1"/>
  <c r="H8" i="9"/>
  <c r="H13" i="9" s="1"/>
  <c r="Q80" i="8"/>
  <c r="H14" i="8"/>
  <c r="H15" i="8" s="1"/>
  <c r="I8" i="9"/>
  <c r="S157" i="8"/>
  <c r="T157" i="8"/>
  <c r="K14" i="8"/>
  <c r="K22" i="8" s="1"/>
  <c r="K28" i="8" s="1"/>
  <c r="K29" i="8" s="1"/>
  <c r="L8" i="9"/>
  <c r="H80" i="8"/>
  <c r="I61" i="9" s="1"/>
  <c r="I60" i="9"/>
  <c r="L14" i="8"/>
  <c r="L15" i="8" s="1"/>
  <c r="M8" i="9"/>
  <c r="I80" i="8"/>
  <c r="J61" i="9" s="1"/>
  <c r="J60" i="9"/>
  <c r="M14" i="8"/>
  <c r="M15" i="8" s="1"/>
  <c r="N8" i="9"/>
  <c r="AA157" i="8"/>
  <c r="Z157" i="8"/>
  <c r="I14" i="8"/>
  <c r="I22" i="8" s="1"/>
  <c r="I28" i="8" s="1"/>
  <c r="J8" i="9"/>
  <c r="W157" i="8"/>
  <c r="V157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O72" i="8"/>
  <c r="L72" i="8"/>
  <c r="K72" i="8"/>
  <c r="L60" i="9" s="1"/>
  <c r="P72" i="8"/>
  <c r="Q60" i="9" s="1"/>
  <c r="E72" i="8"/>
  <c r="M72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H138" i="8"/>
  <c r="J138" i="8"/>
  <c r="L138" i="8"/>
  <c r="P138" i="8"/>
  <c r="Q138" i="8"/>
  <c r="J14" i="8"/>
  <c r="J15" i="8" s="1"/>
  <c r="N14" i="8"/>
  <c r="N15" i="8" s="1"/>
  <c r="AC66" i="9"/>
  <c r="N52" i="8"/>
  <c r="N61" i="8" s="1"/>
  <c r="N72" i="8"/>
  <c r="J52" i="8"/>
  <c r="J61" i="8" s="1"/>
  <c r="J72" i="8"/>
  <c r="P15" i="8"/>
  <c r="P22" i="8"/>
  <c r="Q15" i="8"/>
  <c r="Q22" i="8"/>
  <c r="Q28" i="8" s="1"/>
  <c r="O15" i="8"/>
  <c r="O22" i="8"/>
  <c r="O28" i="8" s="1"/>
  <c r="Y8" i="9" l="1"/>
  <c r="G22" i="8"/>
  <c r="G28" i="8" s="1"/>
  <c r="G29" i="8" s="1"/>
  <c r="X8" i="9"/>
  <c r="AA8" i="9"/>
  <c r="L22" i="8"/>
  <c r="L28" i="8" s="1"/>
  <c r="I90" i="8"/>
  <c r="I92" i="8" s="1"/>
  <c r="Q90" i="8"/>
  <c r="Q92" i="8" s="1"/>
  <c r="H90" i="8"/>
  <c r="H92" i="8" s="1"/>
  <c r="K23" i="8"/>
  <c r="K32" i="8"/>
  <c r="K101" i="8" s="1"/>
  <c r="K126" i="8" s="1"/>
  <c r="K161" i="8" s="1"/>
  <c r="AB8" i="9"/>
  <c r="K15" i="8"/>
  <c r="M22" i="8"/>
  <c r="M28" i="8" s="1"/>
  <c r="Z8" i="9"/>
  <c r="H22" i="8"/>
  <c r="H28" i="8" s="1"/>
  <c r="I15" i="8"/>
  <c r="AF61" i="9"/>
  <c r="AF60" i="9"/>
  <c r="O80" i="8"/>
  <c r="P61" i="9" s="1"/>
  <c r="AC61" i="9" s="1"/>
  <c r="P60" i="9"/>
  <c r="AC60" i="9" s="1"/>
  <c r="M80" i="8"/>
  <c r="N61" i="9" s="1"/>
  <c r="AA61" i="9" s="1"/>
  <c r="N60" i="9"/>
  <c r="AA60" i="9" s="1"/>
  <c r="E80" i="8"/>
  <c r="L80" i="8"/>
  <c r="M61" i="9" s="1"/>
  <c r="Z61" i="9" s="1"/>
  <c r="M60" i="9"/>
  <c r="Z60" i="9" s="1"/>
  <c r="N80" i="8"/>
  <c r="O61" i="9" s="1"/>
  <c r="AB61" i="9" s="1"/>
  <c r="O60" i="9"/>
  <c r="AB60" i="9" s="1"/>
  <c r="H20" i="9"/>
  <c r="H14" i="9"/>
  <c r="J80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K80" i="8"/>
  <c r="P80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M138" i="8"/>
  <c r="I138" i="8"/>
  <c r="N138" i="8"/>
  <c r="P23" i="8"/>
  <c r="P28" i="8"/>
  <c r="J22" i="8"/>
  <c r="N22" i="8"/>
  <c r="Q23" i="8"/>
  <c r="O23" i="8"/>
  <c r="I23" i="8"/>
  <c r="G23" i="8" l="1"/>
  <c r="O90" i="8"/>
  <c r="O92" i="8" s="1"/>
  <c r="L23" i="8"/>
  <c r="M23" i="8"/>
  <c r="K39" i="8"/>
  <c r="N90" i="8"/>
  <c r="N92" i="8" s="1"/>
  <c r="M90" i="8"/>
  <c r="M92" i="8" s="1"/>
  <c r="L90" i="8"/>
  <c r="L92" i="8" s="1"/>
  <c r="J90" i="8"/>
  <c r="J92" i="8" s="1"/>
  <c r="K36" i="8"/>
  <c r="K33" i="8"/>
  <c r="H23" i="8"/>
  <c r="H21" i="9"/>
  <c r="H24" i="9"/>
  <c r="P90" i="8"/>
  <c r="P92" i="8" s="1"/>
  <c r="Q61" i="9"/>
  <c r="AD61" i="9" s="1"/>
  <c r="K90" i="8"/>
  <c r="K92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N23" i="8"/>
  <c r="N28" i="8"/>
  <c r="N32" i="8" s="1"/>
  <c r="J28" i="8"/>
  <c r="J32" i="8" s="1"/>
  <c r="J36" i="8" s="1"/>
  <c r="J23" i="8"/>
  <c r="Q32" i="8"/>
  <c r="Q101" i="8" s="1"/>
  <c r="Q29" i="8"/>
  <c r="P29" i="8"/>
  <c r="P32" i="8"/>
  <c r="P101" i="8" s="1"/>
  <c r="I32" i="8"/>
  <c r="I101" i="8" s="1"/>
  <c r="I29" i="8"/>
  <c r="M32" i="8"/>
  <c r="M101" i="8" s="1"/>
  <c r="M29" i="8"/>
  <c r="L32" i="8"/>
  <c r="L29" i="8"/>
  <c r="O32" i="8"/>
  <c r="O101" i="8" s="1"/>
  <c r="O29" i="8"/>
  <c r="H29" i="8"/>
  <c r="H32" i="8"/>
  <c r="H28" i="9" l="1"/>
  <c r="H25" i="9"/>
  <c r="I126" i="8"/>
  <c r="I161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O126" i="8"/>
  <c r="O161" i="8" s="1"/>
  <c r="P126" i="8"/>
  <c r="P161" i="8" s="1"/>
  <c r="Q126" i="8"/>
  <c r="Q161" i="8" s="1"/>
  <c r="M126" i="8"/>
  <c r="M161" i="8" s="1"/>
  <c r="L101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H101" i="8"/>
  <c r="J29" i="8"/>
  <c r="J33" i="8"/>
  <c r="J39" i="8"/>
  <c r="J101" i="8"/>
  <c r="N29" i="8"/>
  <c r="N36" i="8"/>
  <c r="N33" i="8"/>
  <c r="N39" i="8"/>
  <c r="L39" i="8"/>
  <c r="L36" i="8"/>
  <c r="L33" i="8"/>
  <c r="Q33" i="8"/>
  <c r="Q39" i="8"/>
  <c r="Q36" i="8"/>
  <c r="M36" i="8"/>
  <c r="M33" i="8"/>
  <c r="M39" i="8"/>
  <c r="O39" i="8"/>
  <c r="O33" i="8"/>
  <c r="O36" i="8"/>
  <c r="I36" i="8"/>
  <c r="I33" i="8"/>
  <c r="I39" i="8"/>
  <c r="H33" i="8"/>
  <c r="H39" i="8"/>
  <c r="H36" i="8"/>
  <c r="P33" i="8"/>
  <c r="P39" i="8"/>
  <c r="P36" i="8"/>
  <c r="H29" i="9" l="1"/>
  <c r="H35" i="9"/>
  <c r="H43" i="9" s="1"/>
  <c r="H126" i="8"/>
  <c r="H161" i="8" s="1"/>
  <c r="S101" i="8"/>
  <c r="J126" i="8"/>
  <c r="J161" i="8" s="1"/>
  <c r="U101" i="8"/>
  <c r="T101" i="8"/>
  <c r="AD20" i="9"/>
  <c r="AD21" i="9" s="1"/>
  <c r="Y20" i="9"/>
  <c r="Y24" i="9" s="1"/>
  <c r="Y28" i="9" s="1"/>
  <c r="AG14" i="9"/>
  <c r="AG24" i="9"/>
  <c r="AG28" i="9" s="1"/>
  <c r="L126" i="8"/>
  <c r="L161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S161" i="8" l="1"/>
  <c r="H44" i="9"/>
  <c r="U161" i="8"/>
  <c r="T161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98" i="8"/>
  <c r="B97" i="8"/>
  <c r="G98" i="8"/>
  <c r="G97" i="8"/>
  <c r="E98" i="8"/>
  <c r="D98" i="8"/>
  <c r="C98" i="8"/>
  <c r="E97" i="8"/>
  <c r="D97" i="8"/>
  <c r="C97" i="8"/>
  <c r="B43" i="8"/>
  <c r="B42" i="8"/>
  <c r="AC43" i="8"/>
  <c r="AB43" i="8"/>
  <c r="AA43" i="8"/>
  <c r="Y43" i="8"/>
  <c r="X43" i="8"/>
  <c r="W43" i="8"/>
  <c r="U43" i="8"/>
  <c r="T43" i="8"/>
  <c r="S43" i="8"/>
  <c r="Z43" i="8"/>
  <c r="V43" i="8"/>
  <c r="AC42" i="8"/>
  <c r="AB42" i="8"/>
  <c r="AA42" i="8"/>
  <c r="Z42" i="8"/>
  <c r="Y42" i="8"/>
  <c r="X42" i="8"/>
  <c r="W42" i="8"/>
  <c r="V42" i="8"/>
  <c r="U42" i="8"/>
  <c r="T42" i="8"/>
  <c r="S42" i="8"/>
  <c r="S97" i="8" l="1"/>
  <c r="V97" i="8"/>
  <c r="W97" i="8"/>
  <c r="W98" i="8"/>
  <c r="Z97" i="8"/>
  <c r="AA97" i="8"/>
  <c r="V98" i="8"/>
  <c r="AA98" i="8"/>
  <c r="AB98" i="8"/>
  <c r="Y97" i="8"/>
  <c r="T97" i="8"/>
  <c r="AB97" i="8"/>
  <c r="Y98" i="8"/>
  <c r="X98" i="8"/>
  <c r="U97" i="8"/>
  <c r="AC97" i="8"/>
  <c r="Z98" i="8"/>
  <c r="S98" i="8"/>
  <c r="T98" i="8"/>
  <c r="X97" i="8"/>
  <c r="U98" i="8"/>
  <c r="AC98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X11" i="8" l="1"/>
  <c r="D52" i="8"/>
  <c r="D61" i="8" s="1"/>
  <c r="C52" i="8"/>
  <c r="C61" i="8" s="1"/>
  <c r="E52" i="8"/>
  <c r="E61" i="8" s="1"/>
  <c r="S72" i="8" l="1"/>
  <c r="S80" i="8" s="1"/>
  <c r="S52" i="8"/>
  <c r="S61" i="8" s="1"/>
  <c r="Y11" i="8"/>
  <c r="X14" i="8"/>
  <c r="X22" i="8" s="1"/>
  <c r="X28" i="8" s="1"/>
  <c r="Y52" i="8"/>
  <c r="Y61" i="8" s="1"/>
  <c r="W52" i="8"/>
  <c r="W61" i="8" s="1"/>
  <c r="Y72" i="8"/>
  <c r="Y80" i="8" s="1"/>
  <c r="X72" i="8"/>
  <c r="X80" i="8" s="1"/>
  <c r="T72" i="8"/>
  <c r="T80" i="8" s="1"/>
  <c r="V11" i="8"/>
  <c r="T52" i="8"/>
  <c r="T61" i="8" s="1"/>
  <c r="X52" i="8"/>
  <c r="X61" i="8" s="1"/>
  <c r="W11" i="8"/>
  <c r="U52" i="8"/>
  <c r="U61" i="8" s="1"/>
  <c r="U72" i="8"/>
  <c r="U80" i="8" s="1"/>
  <c r="W72" i="8"/>
  <c r="W80" i="8" s="1"/>
  <c r="AA52" i="8"/>
  <c r="AA61" i="8" s="1"/>
  <c r="AA11" i="8"/>
  <c r="AA72" i="8"/>
  <c r="AA80" i="8" s="1"/>
  <c r="AB72" i="8"/>
  <c r="AB80" i="8" s="1"/>
  <c r="Z11" i="8"/>
  <c r="AB11" i="8"/>
  <c r="AB52" i="8"/>
  <c r="AB61" i="8" s="1"/>
  <c r="X23" i="8" l="1"/>
  <c r="X32" i="8"/>
  <c r="W14" i="8"/>
  <c r="W22" i="8" s="1"/>
  <c r="W28" i="8" s="1"/>
  <c r="AI13" i="9"/>
  <c r="AC9" i="10"/>
  <c r="AC16" i="10" s="1"/>
  <c r="Z8" i="10"/>
  <c r="AA8" i="10"/>
  <c r="AB8" i="10"/>
  <c r="S90" i="8"/>
  <c r="S92" i="8" s="1"/>
  <c r="AA14" i="8"/>
  <c r="AA22" i="8" s="1"/>
  <c r="AA28" i="8" s="1"/>
  <c r="AE10" i="8"/>
  <c r="Y90" i="8"/>
  <c r="Y92" i="8" s="1"/>
  <c r="W90" i="8"/>
  <c r="W92" i="8" s="1"/>
  <c r="U90" i="8"/>
  <c r="U92" i="8" s="1"/>
  <c r="AE17" i="8"/>
  <c r="X90" i="8"/>
  <c r="X92" i="8" s="1"/>
  <c r="Y14" i="8"/>
  <c r="Y22" i="8" s="1"/>
  <c r="Y28" i="8" s="1"/>
  <c r="T90" i="8"/>
  <c r="T92" i="8" s="1"/>
  <c r="V14" i="8"/>
  <c r="V22" i="8" s="1"/>
  <c r="V28" i="8" s="1"/>
  <c r="X15" i="8"/>
  <c r="AE13" i="8"/>
  <c r="AA90" i="8"/>
  <c r="AA92" i="8" s="1"/>
  <c r="AB14" i="8"/>
  <c r="AB22" i="8" s="1"/>
  <c r="AB28" i="8" s="1"/>
  <c r="Z14" i="8"/>
  <c r="Z22" i="8" s="1"/>
  <c r="Z28" i="8" s="1"/>
  <c r="AB90" i="8"/>
  <c r="AB92" i="8" s="1"/>
  <c r="W23" i="8" l="1"/>
  <c r="W32" i="8"/>
  <c r="V23" i="8"/>
  <c r="V32" i="8"/>
  <c r="Y32" i="8"/>
  <c r="Y23" i="8"/>
  <c r="AA32" i="8"/>
  <c r="AA23" i="8"/>
  <c r="Z32" i="8"/>
  <c r="Z23" i="8"/>
  <c r="AB32" i="8"/>
  <c r="AB23" i="8"/>
  <c r="AA15" i="8"/>
  <c r="Z15" i="8"/>
  <c r="W15" i="8"/>
  <c r="AB15" i="8"/>
  <c r="Y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X29" i="8"/>
  <c r="V15" i="8"/>
  <c r="Y9" i="10" l="1"/>
  <c r="X9" i="10"/>
  <c r="W29" i="8"/>
  <c r="V29" i="8"/>
  <c r="AA29" i="8"/>
  <c r="W33" i="8"/>
  <c r="AI24" i="9"/>
  <c r="AI28" i="9" s="1"/>
  <c r="AI21" i="9"/>
  <c r="W9" i="10"/>
  <c r="AE9" i="10"/>
  <c r="AD10" i="10"/>
  <c r="X33" i="8"/>
  <c r="X36" i="8"/>
  <c r="X39" i="8"/>
  <c r="V36" i="8"/>
  <c r="V39" i="8"/>
  <c r="V33" i="8"/>
  <c r="AB29" i="8"/>
  <c r="Y29" i="8"/>
  <c r="Z29" i="8"/>
  <c r="AE10" i="10" l="1"/>
  <c r="AE16" i="10"/>
  <c r="W39" i="8"/>
  <c r="W36" i="8"/>
  <c r="AI25" i="9"/>
  <c r="Z33" i="8"/>
  <c r="Z39" i="8"/>
  <c r="Z36" i="8"/>
  <c r="Y39" i="8"/>
  <c r="Y33" i="8"/>
  <c r="Y36" i="8"/>
  <c r="AA33" i="8"/>
  <c r="AA36" i="8"/>
  <c r="AA39" i="8"/>
  <c r="AB33" i="8"/>
  <c r="AB36" i="8"/>
  <c r="AB39" i="8"/>
  <c r="AI29" i="9" l="1"/>
  <c r="AI35" i="9"/>
  <c r="V72" i="8" l="1"/>
  <c r="Z72" i="8"/>
  <c r="Z80" i="8" s="1"/>
  <c r="V80" i="8" l="1"/>
  <c r="V90" i="8" s="1"/>
  <c r="T138" i="8"/>
  <c r="U138" i="8"/>
  <c r="S138" i="8"/>
  <c r="Y138" i="8"/>
  <c r="V138" i="8"/>
  <c r="W138" i="8"/>
  <c r="X138" i="8"/>
  <c r="Z138" i="8"/>
  <c r="AB138" i="8"/>
  <c r="AA138" i="8"/>
  <c r="E11" i="8" l="1"/>
  <c r="F10" i="10" s="1"/>
  <c r="D11" i="8"/>
  <c r="E10" i="10" s="1"/>
  <c r="C11" i="8"/>
  <c r="D10" i="10" s="1"/>
  <c r="C8" i="9"/>
  <c r="G138" i="8"/>
  <c r="E138" i="8"/>
  <c r="D138" i="8"/>
  <c r="C138" i="8"/>
  <c r="G72" i="8"/>
  <c r="D72" i="8"/>
  <c r="C72" i="8"/>
  <c r="C60" i="9"/>
  <c r="AC11" i="8"/>
  <c r="AF10" i="10" s="1"/>
  <c r="U67" i="9"/>
  <c r="M67" i="9"/>
  <c r="AK34" i="9"/>
  <c r="AK27" i="9"/>
  <c r="G80" i="8" l="1"/>
  <c r="H61" i="9" s="1"/>
  <c r="H60" i="9"/>
  <c r="C61" i="9"/>
  <c r="D80" i="8"/>
  <c r="C80" i="8"/>
  <c r="N67" i="9"/>
  <c r="V67" i="9"/>
  <c r="D67" i="9"/>
  <c r="O67" i="9"/>
  <c r="AG61" i="9"/>
  <c r="AE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Z90" i="8"/>
  <c r="D14" i="8"/>
  <c r="D22" i="8" s="1"/>
  <c r="D28" i="8" s="1"/>
  <c r="C14" i="8"/>
  <c r="C22" i="8" s="1"/>
  <c r="C28" i="8" s="1"/>
  <c r="E14" i="8"/>
  <c r="E22" i="8" s="1"/>
  <c r="E28" i="8" s="1"/>
  <c r="AC72" i="8"/>
  <c r="AC80" i="8" s="1"/>
  <c r="AE89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C90" i="8" l="1"/>
  <c r="C92" i="8" s="1"/>
  <c r="C23" i="8"/>
  <c r="D23" i="8"/>
  <c r="D32" i="8"/>
  <c r="D101" i="8" s="1"/>
  <c r="N101" i="8" s="1"/>
  <c r="G32" i="8"/>
  <c r="E32" i="8"/>
  <c r="E101" i="8" s="1"/>
  <c r="E23" i="8"/>
  <c r="T67" i="9"/>
  <c r="Z52" i="8"/>
  <c r="G90" i="8"/>
  <c r="G92" i="8" s="1"/>
  <c r="V52" i="8"/>
  <c r="D90" i="8"/>
  <c r="D92" i="8" s="1"/>
  <c r="E90" i="8"/>
  <c r="E92" i="8" s="1"/>
  <c r="AH61" i="9"/>
  <c r="P67" i="9"/>
  <c r="AE80" i="8"/>
  <c r="AE72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C52" i="8"/>
  <c r="AC61" i="8" s="1"/>
  <c r="D15" i="8"/>
  <c r="E15" i="8"/>
  <c r="C15" i="8"/>
  <c r="AC14" i="8"/>
  <c r="AC22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X101" i="8" l="1"/>
  <c r="W101" i="8"/>
  <c r="V101" i="8"/>
  <c r="N126" i="8"/>
  <c r="N161" i="8" s="1"/>
  <c r="V61" i="8"/>
  <c r="V92" i="8" s="1"/>
  <c r="Z61" i="8"/>
  <c r="Z92" i="8" s="1"/>
  <c r="AE22" i="8"/>
  <c r="AC28" i="8"/>
  <c r="G33" i="8"/>
  <c r="G39" i="8"/>
  <c r="C29" i="8"/>
  <c r="C32" i="8"/>
  <c r="C39" i="8" s="1"/>
  <c r="AC23" i="8"/>
  <c r="AE23" i="8" s="1"/>
  <c r="E29" i="8"/>
  <c r="D29" i="8"/>
  <c r="AE153" i="8"/>
  <c r="AC90" i="8"/>
  <c r="AE90" i="8" s="1"/>
  <c r="AE61" i="8"/>
  <c r="AE52" i="8"/>
  <c r="T14" i="9"/>
  <c r="P14" i="9"/>
  <c r="E36" i="8"/>
  <c r="E39" i="8"/>
  <c r="D39" i="8"/>
  <c r="D36" i="8"/>
  <c r="R20" i="9"/>
  <c r="R21" i="9" s="1"/>
  <c r="J20" i="9"/>
  <c r="J21" i="9" s="1"/>
  <c r="AE14" i="8"/>
  <c r="E33" i="8"/>
  <c r="E126" i="8"/>
  <c r="E161" i="8" s="1"/>
  <c r="D33" i="8"/>
  <c r="D126" i="8"/>
  <c r="D161" i="8" s="1"/>
  <c r="AC138" i="8"/>
  <c r="AE138" i="8" s="1"/>
  <c r="AC15" i="8"/>
  <c r="AE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C32" i="8" l="1"/>
  <c r="AE28" i="8"/>
  <c r="Y161" i="8"/>
  <c r="X161" i="8"/>
  <c r="W161" i="8"/>
  <c r="V161" i="8"/>
  <c r="C33" i="8"/>
  <c r="C101" i="8"/>
  <c r="C36" i="8"/>
  <c r="G101" i="8"/>
  <c r="G126" i="8" s="1"/>
  <c r="G161" i="8" s="1"/>
  <c r="G36" i="8"/>
  <c r="AC92" i="8"/>
  <c r="R24" i="9"/>
  <c r="R28" i="9" s="1"/>
  <c r="J24" i="9"/>
  <c r="J28" i="9" s="1"/>
  <c r="AC29" i="8"/>
  <c r="AE29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C161" i="8" l="1"/>
  <c r="Z161" i="8"/>
  <c r="AB161" i="8"/>
  <c r="AA161" i="8"/>
  <c r="C126" i="8"/>
  <c r="C161" i="8" s="1"/>
  <c r="Y126" i="8"/>
  <c r="AC39" i="8"/>
  <c r="R25" i="9"/>
  <c r="J25" i="9"/>
  <c r="Z126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V126" i="8" l="1"/>
  <c r="W126" i="8"/>
  <c r="X126" i="8"/>
  <c r="AE32" i="8"/>
  <c r="AC36" i="8"/>
  <c r="AC33" i="8"/>
  <c r="AE33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E36" i="8"/>
  <c r="AE39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58" i="8" l="1"/>
  <c r="C162" i="8" s="1"/>
  <c r="C164" i="8" s="1"/>
  <c r="G158" i="8"/>
  <c r="G162" i="8" s="1"/>
  <c r="G164" i="8" s="1"/>
  <c r="S156" i="8" l="1"/>
  <c r="H156" i="8"/>
  <c r="H158" i="8" s="1"/>
  <c r="H162" i="8" s="1"/>
  <c r="H164" i="8" s="1"/>
  <c r="D156" i="8"/>
  <c r="D158" i="8" s="1"/>
  <c r="D162" i="8" s="1"/>
  <c r="D164" i="8" s="1"/>
  <c r="T156" i="8" l="1"/>
  <c r="E156" i="8"/>
  <c r="E158" i="8" s="1"/>
  <c r="E162" i="8" s="1"/>
  <c r="E164" i="8" s="1"/>
  <c r="I156" i="8"/>
  <c r="I158" i="8" s="1"/>
  <c r="I162" i="8" s="1"/>
  <c r="I164" i="8" s="1"/>
  <c r="U156" i="8" l="1"/>
  <c r="J156" i="8"/>
  <c r="J158" i="8" s="1"/>
  <c r="J162" i="8" s="1"/>
  <c r="J164" i="8" s="1"/>
  <c r="V156" i="8" l="1"/>
  <c r="K156" i="8"/>
  <c r="K158" i="8" s="1"/>
  <c r="K162" i="8" s="1"/>
  <c r="K164" i="8" s="1"/>
  <c r="W156" i="8" l="1"/>
  <c r="L156" i="8"/>
  <c r="L158" i="8" s="1"/>
  <c r="L162" i="8" s="1"/>
  <c r="L164" i="8" s="1"/>
  <c r="X156" i="8" l="1"/>
  <c r="M156" i="8"/>
  <c r="M158" i="8" s="1"/>
  <c r="M162" i="8" s="1"/>
  <c r="M164" i="8" s="1"/>
  <c r="Y156" i="8" l="1"/>
  <c r="Y158" i="8" s="1"/>
  <c r="N156" i="8"/>
  <c r="N158" i="8" s="1"/>
  <c r="N162" i="8" s="1"/>
  <c r="N164" i="8" s="1"/>
  <c r="Z156" i="8" l="1"/>
  <c r="O156" i="8"/>
  <c r="O158" i="8" s="1"/>
  <c r="O162" i="8" s="1"/>
  <c r="O164" i="8" s="1"/>
  <c r="AA156" i="8" l="1"/>
  <c r="P156" i="8"/>
  <c r="P158" i="8" s="1"/>
  <c r="P162" i="8" s="1"/>
  <c r="P164" i="8" s="1"/>
  <c r="AB156" i="8" l="1"/>
  <c r="Q156" i="8"/>
  <c r="Q158" i="8" s="1"/>
  <c r="Q162" i="8" s="1"/>
  <c r="Q164" i="8" s="1"/>
  <c r="AC156" i="8" l="1"/>
  <c r="S158" i="8" l="1"/>
  <c r="X158" i="8" l="1"/>
  <c r="X162" i="8" s="1"/>
  <c r="X164" i="8" s="1"/>
  <c r="Y162" i="8" l="1"/>
  <c r="Y164" i="8" s="1"/>
  <c r="Z158" i="8" l="1"/>
  <c r="Z162" i="8" s="1"/>
  <c r="Z164" i="8" s="1"/>
  <c r="T158" i="8"/>
  <c r="AA158" i="8" l="1"/>
  <c r="U126" i="8"/>
  <c r="S11" i="8"/>
  <c r="W10" i="10" s="1"/>
  <c r="U11" i="8"/>
  <c r="T11" i="8"/>
  <c r="T14" i="8" s="1"/>
  <c r="X10" i="10" l="1"/>
  <c r="T22" i="8"/>
  <c r="T28" i="8" s="1"/>
  <c r="T15" i="8"/>
  <c r="U14" i="8"/>
  <c r="Y10" i="10"/>
  <c r="S14" i="8"/>
  <c r="U22" i="8" l="1"/>
  <c r="U28" i="8" s="1"/>
  <c r="U15" i="8"/>
  <c r="S15" i="8"/>
  <c r="S22" i="8"/>
  <c r="S28" i="8" s="1"/>
  <c r="T23" i="8"/>
  <c r="T32" i="8" l="1"/>
  <c r="T29" i="8"/>
  <c r="S23" i="8"/>
  <c r="U23" i="8"/>
  <c r="U32" i="8" l="1"/>
  <c r="U29" i="8"/>
  <c r="S29" i="8"/>
  <c r="S32" i="8"/>
  <c r="T36" i="8"/>
  <c r="T33" i="8"/>
  <c r="T39" i="8"/>
  <c r="AA126" i="8" l="1"/>
  <c r="AB126" i="8"/>
  <c r="T126" i="8"/>
  <c r="T162" i="8" s="1"/>
  <c r="T164" i="8" s="1"/>
  <c r="S126" i="8"/>
  <c r="S33" i="8"/>
  <c r="S39" i="8"/>
  <c r="S36" i="8"/>
  <c r="U36" i="8"/>
  <c r="U33" i="8"/>
  <c r="U39" i="8"/>
  <c r="S162" i="8" l="1"/>
  <c r="S164" i="8" s="1"/>
  <c r="AA162" i="8"/>
  <c r="AA164" i="8" s="1"/>
  <c r="AC126" i="8"/>
  <c r="AE101" i="8"/>
  <c r="U158" i="8"/>
  <c r="U162" i="8" s="1"/>
  <c r="U164" i="8" s="1"/>
  <c r="AB158" i="8" l="1"/>
  <c r="AB162" i="8" s="1"/>
  <c r="AB164" i="8" s="1"/>
  <c r="AE126" i="8"/>
  <c r="V158" i="8"/>
  <c r="V162" i="8" s="1"/>
  <c r="V164" i="8" s="1"/>
  <c r="AC158" i="8" l="1"/>
  <c r="AC162" i="8" s="1"/>
  <c r="AC164" i="8" s="1"/>
  <c r="W158" i="8"/>
  <c r="W162" i="8" s="1"/>
  <c r="W164" i="8" s="1"/>
</calcChain>
</file>

<file path=xl/sharedStrings.xml><?xml version="1.0" encoding="utf-8"?>
<sst xmlns="http://schemas.openxmlformats.org/spreadsheetml/2006/main" count="354" uniqueCount="207">
  <si>
    <t>FYE</t>
  </si>
  <si>
    <t>Quarterly</t>
  </si>
  <si>
    <t>1Q24</t>
  </si>
  <si>
    <t>2Q24</t>
  </si>
  <si>
    <t>3Q24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</si>
  <si>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</si>
  <si>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</si>
  <si>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</si>
  <si>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</si>
  <si>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</si>
  <si>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</si>
  <si>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</si>
  <si>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</si>
  <si>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</si>
  <si>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</si>
  <si>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</si>
  <si>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</si>
  <si>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</si>
  <si>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</si>
  <si>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</si>
  <si>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</si>
  <si>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</si>
  <si>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</si>
  <si>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</si>
  <si>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</si>
  <si>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</si>
  <si>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</si>
  <si>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</si>
  <si>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</si>
  <si>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</si>
  <si>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</si>
  <si>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</si>
  <si>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</si>
  <si>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</si>
  <si>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</si>
  <si>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</si>
  <si>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</si>
  <si>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</si>
  <si>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</si>
  <si>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</si>
  <si>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</si>
  <si>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</si>
  <si>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</si>
  <si>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</si>
  <si>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</si>
  <si>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</si>
  <si>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</si>
  <si>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</si>
  <si>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</si>
  <si>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</si>
  <si>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</si>
  <si>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</si>
  <si>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</si>
  <si>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</si>
  <si>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</si>
  <si>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</si>
  <si>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</si>
  <si>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</si>
  <si>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</si>
  <si>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</si>
  <si>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</si>
  <si>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</si>
  <si>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</si>
  <si>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</si>
  <si>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</si>
  <si>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</si>
  <si>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</si>
  <si>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</si>
  <si>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</si>
  <si>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</si>
  <si>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</si>
  <si>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</si>
  <si>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</si>
  <si>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</si>
  <si>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</si>
  <si>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</si>
  <si>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</si>
  <si>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</si>
  <si>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</si>
  <si>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</si>
  <si>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</si>
  <si>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</si>
  <si>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</si>
  <si>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</si>
  <si>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</si>
  <si>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</si>
  <si>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</si>
  <si>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</si>
  <si>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expense</t>
  </si>
  <si>
    <t>NM</t>
  </si>
  <si>
    <t>Cash paid for interest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</si>
  <si>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</si>
  <si>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</si>
  <si>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</si>
  <si>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</si>
  <si>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</si>
  <si>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</si>
  <si>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</si>
  <si>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</si>
  <si>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</si>
  <si>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</si>
  <si>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</si>
  <si>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</si>
  <si>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</si>
  <si>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</si>
  <si>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</si>
  <si>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</si>
  <si>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</si>
  <si>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</si>
  <si>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</si>
  <si>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</si>
  <si>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</si>
  <si>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</si>
  <si>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Cash and cash equivalents</t>
  </si>
  <si>
    <t>Property and equipment, net</t>
  </si>
  <si>
    <t>Operating lease right-of-use assets</t>
  </si>
  <si>
    <t>Goodwill</t>
  </si>
  <si>
    <t>Additional paid-in capital</t>
  </si>
  <si>
    <t>Accumulated deficit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</si>
  <si>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</si>
  <si>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</si>
  <si>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</si>
  <si>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</si>
  <si>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</si>
  <si>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</si>
  <si>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</si>
  <si>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</si>
  <si>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</si>
  <si>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</si>
  <si>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</si>
  <si>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</si>
  <si>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</si>
  <si>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</si>
  <si>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</si>
  <si>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</si>
  <si>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</si>
  <si>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Accrued expenses and other current liabilities</t>
  </si>
  <si>
    <t>Deferred revenue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</si>
  <si>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</si>
  <si>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</si>
  <si>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Revenue by Channel</t>
  </si>
  <si>
    <t>Quantom Computing (NASDAQ: QUBT)</t>
  </si>
  <si>
    <t>Salaries and Benefits</t>
  </si>
  <si>
    <t>Professional Services</t>
  </si>
  <si>
    <t>Research and development - SBC</t>
  </si>
  <si>
    <t>Stock Based Compensation</t>
  </si>
  <si>
    <t>Selling General &amp; Administrative - SBC</t>
  </si>
  <si>
    <t>Interest and other income</t>
  </si>
  <si>
    <t>Change in value of warrant liability</t>
  </si>
  <si>
    <t>Inventory</t>
  </si>
  <si>
    <t>Loans receivable</t>
  </si>
  <si>
    <t>Prepaid expenses &amp; Other current assets</t>
  </si>
  <si>
    <t>Fixed assets (net of depreciation)</t>
  </si>
  <si>
    <t xml:space="preserve"> </t>
  </si>
  <si>
    <t>Intangible Assets-net of amortization</t>
  </si>
  <si>
    <t>Lease right of use</t>
  </si>
  <si>
    <t>Other non-current assets</t>
  </si>
  <si>
    <t>Accrued expenses</t>
  </si>
  <si>
    <t>Financial liabilities, current, net of issuance costs</t>
  </si>
  <si>
    <t>Lease liability</t>
  </si>
  <si>
    <t>Loans payable – short term</t>
  </si>
  <si>
    <t>Dividends payable - preferred</t>
  </si>
  <si>
    <t>Other current liabilities</t>
  </si>
  <si>
    <t> </t>
  </si>
  <si>
    <t>Financial liabilities, net of issuance costs</t>
  </si>
  <si>
    <t>Loans payable – long term</t>
  </si>
  <si>
    <t>Accrued Interest – long term</t>
  </si>
  <si>
    <t>Derivative liability</t>
  </si>
  <si>
    <t>Operating lease liabilities</t>
  </si>
  <si>
    <t>Mezzanine equity</t>
  </si>
  <si>
    <t>APIC-Beneficial Conversion Feature in Equity</t>
  </si>
  <si>
    <t>APIC-Stock Based Compensation</t>
  </si>
  <si>
    <t>Depreciation and intangibles amortization</t>
  </si>
  <si>
    <t>Amortization of issuance costs</t>
  </si>
  <si>
    <t>Change in fair value of warrant liability</t>
  </si>
  <si>
    <t>Provision for credit losses</t>
  </si>
  <si>
    <t>Other recognized losses (gains)</t>
  </si>
  <si>
    <t>Stock-based compensation expense</t>
  </si>
  <si>
    <t>Warrant expense</t>
  </si>
  <si>
    <t>Stock-based compensation expense for services</t>
  </si>
  <si>
    <t>Debt discount</t>
  </si>
  <si>
    <t>Accrual of debt discount</t>
  </si>
  <si>
    <t>Inventories</t>
  </si>
  <si>
    <t>Prepaid expenses and other current assets</t>
  </si>
  <si>
    <t>Dividends payable</t>
  </si>
  <si>
    <t>Operating lease liability</t>
  </si>
  <si>
    <t>Other long-term liabilities</t>
  </si>
  <si>
    <t>Property and equipment</t>
  </si>
  <si>
    <t>Other Assets – Lease Right to Use</t>
  </si>
  <si>
    <t>Other Current Assets</t>
  </si>
  <si>
    <t>Intangible Assets</t>
  </si>
  <si>
    <t>Issuance of loan receivable</t>
  </si>
  <si>
    <t>Security deposits</t>
  </si>
  <si>
    <t>Loan receivable</t>
  </si>
  <si>
    <t>Net cash used for QPhoton, Inc. merger</t>
  </si>
  <si>
    <t>PPP loan forgiveness</t>
  </si>
  <si>
    <t>Proceeds from (forgiveness of) loans</t>
  </si>
  <si>
    <t>Proceeds from stock issuance</t>
  </si>
  <si>
    <t>Notes payable</t>
  </si>
  <si>
    <t>Preferred stock OID accrual</t>
  </si>
  <si>
    <t>Preferred OID</t>
  </si>
  <si>
    <t>Acquisition of QPhoton, Inc.</t>
  </si>
  <si>
    <t>Proceeds raised from financial liabilities, net of issuance costs</t>
  </si>
  <si>
    <t>Payments of financial liabilities, net of interest</t>
  </si>
  <si>
    <t>Series A Preferred stock dividend payments</t>
  </si>
  <si>
    <t>Repurchase of Series A preferred stock</t>
  </si>
  <si>
    <t>Proceeds from stock issuance related to ATM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</si>
</sst>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8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  <xf numFmtId="37" fontId="0" fillId="0" borderId="0" xfId="0" applyNumberFormat="1"/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E183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9" width="7.875" style="5" customWidth="1" outlineLevel="1"/>
    <col min="10" max="10" width="8.625" style="5" customWidth="1" outlineLevel="1"/>
    <col min="11" max="13" width="7.875" style="5" customWidth="1" outlineLevel="1"/>
    <col min="14" max="14" width="8.625" style="5" customWidth="1" outlineLevel="1"/>
    <col min="15" max="16" width="7.875" style="5" customWidth="1" outlineLevel="1"/>
    <col min="17" max="17" width="7.875" style="5" customWidth="1"/>
    <col min="18" max="18" width="1.5" style="5" customWidth="1"/>
    <col min="19" max="19" width="8.625" style="5" hidden="1" customWidth="1" outlineLevel="1"/>
    <col min="20" max="22" width="8" style="5" hidden="1" customWidth="1" outlineLevel="1"/>
    <col min="23" max="23" width="8.625" style="5" hidden="1" customWidth="1" outlineLevel="1"/>
    <col min="24" max="24" width="8.25" style="5" hidden="1" customWidth="1" outlineLevel="1"/>
    <col min="25" max="25" width="8.25" style="5" bestFit="1" customWidth="1" collapsed="1"/>
    <col min="26" max="26" width="8.25" style="5" hidden="1" customWidth="1" outlineLevel="1"/>
    <col min="27" max="27" width="8.625" style="5" hidden="1" customWidth="1" outlineLevel="1"/>
    <col min="28" max="28" width="8.25" style="5" hidden="1" customWidth="1" outlineLevel="1"/>
    <col min="29" max="29" width="8.625" style="5" bestFit="1" customWidth="1" collapsed="1"/>
    <col min="30" max="30" width="1.25" style="5" customWidth="1"/>
    <col min="31" max="31" width="10.5" style="5" bestFit="1" customWidth="1"/>
    <col min="32" max="32" width="1.375" style="5" customWidth="1"/>
    <col min="33" max="16384" width="9" style="5"/>
  </cols>
  <sheetData>
    <row r="2" spans="1:31" ht="12.75" customHeight="1">
      <c r="B2" s="1" t="s">
        <v>141</v>
      </c>
      <c r="C2" s="91"/>
      <c r="D2" s="91"/>
      <c r="E2" s="91"/>
      <c r="F2" s="3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3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3"/>
      <c r="AE2" s="1"/>
    </row>
    <row r="3" spans="1:31" ht="12.75" customHeight="1">
      <c r="B3" s="6" t="s">
        <v>97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/>
      <c r="AE3" s="1"/>
    </row>
    <row r="4" spans="1:31" ht="12.75" customHeight="1">
      <c r="B4" s="6" t="s">
        <v>135</v>
      </c>
      <c r="C4" s="3"/>
      <c r="D4" s="8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"/>
    </row>
    <row r="6" spans="1:31" ht="12.75" customHeight="1">
      <c r="A6" s="5" t="s">
        <v>19</v>
      </c>
      <c r="B6" s="1" t="s">
        <v>95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3"/>
      <c r="S6" s="2"/>
      <c r="T6" s="2"/>
      <c r="U6" s="2"/>
      <c r="V6" s="2"/>
      <c r="W6" s="2"/>
      <c r="X6" s="2"/>
      <c r="Y6" s="2" t="s">
        <v>9</v>
      </c>
      <c r="Z6" s="2"/>
      <c r="AA6" s="2"/>
      <c r="AB6" s="2"/>
      <c r="AC6" s="2"/>
      <c r="AD6" s="36"/>
      <c r="AE6" s="141" t="s">
        <v>26</v>
      </c>
    </row>
    <row r="7" spans="1:31" ht="12.75" customHeight="1">
      <c r="B7" s="6" t="s">
        <v>98</v>
      </c>
      <c r="C7" s="7">
        <v>2021</v>
      </c>
      <c r="D7" s="7">
        <v>2022</v>
      </c>
      <c r="E7" s="7">
        <v>2023</v>
      </c>
      <c r="F7" s="3"/>
      <c r="G7" s="4" t="s">
        <v>28</v>
      </c>
      <c r="H7" s="4" t="s">
        <v>29</v>
      </c>
      <c r="I7" s="4" t="s">
        <v>30</v>
      </c>
      <c r="J7" s="4" t="s">
        <v>31</v>
      </c>
      <c r="K7" s="4" t="s">
        <v>5</v>
      </c>
      <c r="L7" s="4" t="s">
        <v>6</v>
      </c>
      <c r="M7" s="4" t="s">
        <v>7</v>
      </c>
      <c r="N7" s="4" t="s">
        <v>8</v>
      </c>
      <c r="O7" s="4" t="s">
        <v>2</v>
      </c>
      <c r="P7" s="4" t="s">
        <v>3</v>
      </c>
      <c r="Q7" s="4" t="s">
        <v>4</v>
      </c>
      <c r="R7" s="4"/>
      <c r="S7" s="4" t="str">
        <f t="shared" ref="S7:AB8" si="0">G7</f>
        <v>1Q22</v>
      </c>
      <c r="T7" s="4" t="str">
        <f t="shared" si="0"/>
        <v>2Q22</v>
      </c>
      <c r="U7" s="4" t="str">
        <f t="shared" si="0"/>
        <v>3Q22</v>
      </c>
      <c r="V7" s="4" t="str">
        <f t="shared" si="0"/>
        <v>4Q22</v>
      </c>
      <c r="W7" s="4" t="str">
        <f t="shared" si="0"/>
        <v>1Q23</v>
      </c>
      <c r="X7" s="4" t="str">
        <f t="shared" si="0"/>
        <v>2Q23</v>
      </c>
      <c r="Y7" s="4" t="str">
        <f t="shared" si="0"/>
        <v>3Q23</v>
      </c>
      <c r="Z7" s="4" t="str">
        <f t="shared" si="0"/>
        <v>4Q23</v>
      </c>
      <c r="AA7" s="4" t="str">
        <f t="shared" si="0"/>
        <v>1Q24</v>
      </c>
      <c r="AB7" s="4" t="str">
        <f t="shared" si="0"/>
        <v>2Q24</v>
      </c>
      <c r="AC7" s="4" t="str">
        <f>Q7</f>
        <v>3Q24</v>
      </c>
      <c r="AD7" s="36"/>
      <c r="AE7" s="141"/>
    </row>
    <row r="8" spans="1:31" ht="12.75" customHeight="1">
      <c r="B8" s="6" t="s">
        <v>99</v>
      </c>
      <c r="C8" s="3">
        <v>44561</v>
      </c>
      <c r="D8" s="81">
        <v>44926</v>
      </c>
      <c r="E8" s="3">
        <v>45291</v>
      </c>
      <c r="F8" s="3"/>
      <c r="G8" s="3">
        <v>44651</v>
      </c>
      <c r="H8" s="3">
        <v>44742</v>
      </c>
      <c r="I8" s="3">
        <v>44834</v>
      </c>
      <c r="J8" s="3">
        <v>44926</v>
      </c>
      <c r="K8" s="3">
        <v>45016</v>
      </c>
      <c r="L8" s="3">
        <v>45107</v>
      </c>
      <c r="M8" s="3">
        <v>45199</v>
      </c>
      <c r="N8" s="3">
        <v>45291</v>
      </c>
      <c r="O8" s="3">
        <v>45382</v>
      </c>
      <c r="P8" s="3">
        <v>45473</v>
      </c>
      <c r="Q8" s="3">
        <v>45565</v>
      </c>
      <c r="R8" s="3"/>
      <c r="S8" s="3">
        <f t="shared" si="0"/>
        <v>44651</v>
      </c>
      <c r="T8" s="3">
        <f t="shared" si="0"/>
        <v>44742</v>
      </c>
      <c r="U8" s="3">
        <f t="shared" si="0"/>
        <v>44834</v>
      </c>
      <c r="V8" s="3">
        <f t="shared" si="0"/>
        <v>44926</v>
      </c>
      <c r="W8" s="3">
        <f t="shared" si="0"/>
        <v>45016</v>
      </c>
      <c r="X8" s="3">
        <f t="shared" si="0"/>
        <v>45107</v>
      </c>
      <c r="Y8" s="3">
        <f t="shared" si="0"/>
        <v>45199</v>
      </c>
      <c r="Z8" s="3">
        <f t="shared" si="0"/>
        <v>45291</v>
      </c>
      <c r="AA8" s="3">
        <f t="shared" si="0"/>
        <v>45382</v>
      </c>
      <c r="AB8" s="3">
        <f t="shared" si="0"/>
        <v>45473</v>
      </c>
      <c r="AC8" s="3">
        <f>Q8</f>
        <v>45565</v>
      </c>
      <c r="AD8" s="36"/>
      <c r="AE8" s="141"/>
    </row>
    <row r="9" spans="1:31" ht="5.0999999999999996" customHeight="1">
      <c r="AE9" s="90"/>
    </row>
    <row r="10" spans="1:31" ht="12.75" customHeight="1">
      <c r="B10" s="9" t="s">
        <v>74</v>
      </c>
      <c r="C10" s="111">
        <v>0</v>
      </c>
      <c r="D10" s="111">
        <v>136</v>
      </c>
      <c r="E10" s="111">
        <v>358</v>
      </c>
      <c r="F10" s="11"/>
      <c r="G10" s="86">
        <v>31.24</v>
      </c>
      <c r="H10" s="86">
        <v>65.483999999999995</v>
      </c>
      <c r="I10" s="86">
        <v>37.646000000000001</v>
      </c>
      <c r="J10" s="30">
        <f>SUM(D10-SUM(G10:I10))</f>
        <v>1.6299999999999955</v>
      </c>
      <c r="K10" s="86">
        <v>120.53</v>
      </c>
      <c r="L10" s="86">
        <v>112.19</v>
      </c>
      <c r="M10" s="86">
        <v>50.435000000000002</v>
      </c>
      <c r="N10" s="30">
        <f>SUM(E10-SUM(K10:M10))</f>
        <v>74.845000000000027</v>
      </c>
      <c r="O10" s="86">
        <v>27</v>
      </c>
      <c r="P10" s="86">
        <v>183</v>
      </c>
      <c r="Q10" s="86">
        <v>101</v>
      </c>
      <c r="R10" s="30"/>
      <c r="S10" s="30">
        <f t="shared" ref="S10:AB10" si="1">SUM(D10:G10)</f>
        <v>525.24</v>
      </c>
      <c r="T10" s="30">
        <f t="shared" si="1"/>
        <v>454.72399999999999</v>
      </c>
      <c r="U10" s="30">
        <f t="shared" si="1"/>
        <v>134.37</v>
      </c>
      <c r="V10" s="30">
        <f t="shared" si="1"/>
        <v>136</v>
      </c>
      <c r="W10" s="30">
        <f t="shared" si="1"/>
        <v>225.29</v>
      </c>
      <c r="X10" s="30">
        <f t="shared" si="1"/>
        <v>271.99599999999998</v>
      </c>
      <c r="Y10" s="30">
        <f t="shared" si="1"/>
        <v>284.78499999999997</v>
      </c>
      <c r="Z10" s="30">
        <f t="shared" si="1"/>
        <v>358</v>
      </c>
      <c r="AA10" s="30">
        <f t="shared" si="1"/>
        <v>264.47000000000003</v>
      </c>
      <c r="AB10" s="30">
        <f t="shared" si="1"/>
        <v>335.28000000000003</v>
      </c>
      <c r="AC10" s="30">
        <f>SUM(N10:Q10)</f>
        <v>385.84500000000003</v>
      </c>
      <c r="AD10" s="38"/>
      <c r="AE10" s="70">
        <f>SUM(AC10/Y10)-1</f>
        <v>0.35486419579682948</v>
      </c>
    </row>
    <row r="11" spans="1:31" ht="12.75" customHeight="1">
      <c r="B11" s="12" t="s">
        <v>11</v>
      </c>
      <c r="C11" s="13">
        <f t="shared" ref="C11:E11" si="2">+SUM(C10:C10)</f>
        <v>0</v>
      </c>
      <c r="D11" s="13">
        <f t="shared" si="2"/>
        <v>136</v>
      </c>
      <c r="E11" s="13">
        <f t="shared" si="2"/>
        <v>358</v>
      </c>
      <c r="F11" s="11"/>
      <c r="G11" s="13">
        <f t="shared" ref="G11:Q11" si="3">+SUM(G10:G10)</f>
        <v>31.24</v>
      </c>
      <c r="H11" s="13">
        <f t="shared" si="3"/>
        <v>65.483999999999995</v>
      </c>
      <c r="I11" s="13">
        <f t="shared" si="3"/>
        <v>37.646000000000001</v>
      </c>
      <c r="J11" s="13">
        <f t="shared" si="3"/>
        <v>1.6299999999999955</v>
      </c>
      <c r="K11" s="13">
        <f t="shared" si="3"/>
        <v>120.53</v>
      </c>
      <c r="L11" s="13">
        <f t="shared" si="3"/>
        <v>112.19</v>
      </c>
      <c r="M11" s="13">
        <f t="shared" si="3"/>
        <v>50.435000000000002</v>
      </c>
      <c r="N11" s="13">
        <f t="shared" si="3"/>
        <v>74.845000000000027</v>
      </c>
      <c r="O11" s="13">
        <f t="shared" si="3"/>
        <v>27</v>
      </c>
      <c r="P11" s="13">
        <f t="shared" si="3"/>
        <v>183</v>
      </c>
      <c r="Q11" s="13">
        <f t="shared" si="3"/>
        <v>101</v>
      </c>
      <c r="S11" s="13">
        <f t="shared" ref="S11:AC11" si="4">+SUM(S10:S10)</f>
        <v>525.24</v>
      </c>
      <c r="T11" s="13">
        <f t="shared" si="4"/>
        <v>454.72399999999999</v>
      </c>
      <c r="U11" s="13">
        <f t="shared" si="4"/>
        <v>134.37</v>
      </c>
      <c r="V11" s="13">
        <f t="shared" si="4"/>
        <v>136</v>
      </c>
      <c r="W11" s="13">
        <f t="shared" si="4"/>
        <v>225.29</v>
      </c>
      <c r="X11" s="13">
        <f t="shared" si="4"/>
        <v>271.99599999999998</v>
      </c>
      <c r="Y11" s="13">
        <f t="shared" si="4"/>
        <v>284.78499999999997</v>
      </c>
      <c r="Z11" s="13">
        <f t="shared" si="4"/>
        <v>358</v>
      </c>
      <c r="AA11" s="13">
        <f t="shared" si="4"/>
        <v>264.47000000000003</v>
      </c>
      <c r="AB11" s="13">
        <f t="shared" si="4"/>
        <v>335.28000000000003</v>
      </c>
      <c r="AC11" s="13">
        <f t="shared" si="4"/>
        <v>385.84500000000003</v>
      </c>
      <c r="AD11" s="38"/>
      <c r="AE11" s="71">
        <f t="shared" ref="AE11:AE32" si="5">SUM(AC11/Y11)-1</f>
        <v>0.35486419579682948</v>
      </c>
    </row>
    <row r="12" spans="1:31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E12" s="70"/>
    </row>
    <row r="13" spans="1:31" ht="12.75" customHeight="1">
      <c r="B13" s="9" t="s">
        <v>12</v>
      </c>
      <c r="C13" s="79">
        <v>0</v>
      </c>
      <c r="D13" s="79">
        <v>-60.933999999999997</v>
      </c>
      <c r="E13" s="79">
        <v>-195.64</v>
      </c>
      <c r="F13" s="22"/>
      <c r="G13" s="79">
        <v>-11.568</v>
      </c>
      <c r="H13" s="79">
        <v>-5.2329999999999997</v>
      </c>
      <c r="I13" s="79">
        <v>-24.890999999999998</v>
      </c>
      <c r="J13" s="30">
        <f>SUM(D13-SUM(G13:I13))</f>
        <v>-19.242000000000004</v>
      </c>
      <c r="K13" s="86">
        <v>-56.238999999999997</v>
      </c>
      <c r="L13" s="86">
        <v>-51.156999999999996</v>
      </c>
      <c r="M13" s="86">
        <v>-23.721</v>
      </c>
      <c r="N13" s="30">
        <f>SUM(E13-SUM(K13:M13))</f>
        <v>-64.522999999999996</v>
      </c>
      <c r="O13" s="79">
        <v>-16</v>
      </c>
      <c r="P13" s="79">
        <v>-125</v>
      </c>
      <c r="Q13" s="79">
        <v>-92</v>
      </c>
      <c r="S13" s="30">
        <f>SUM(H13:K13)</f>
        <v>-105.60499999999999</v>
      </c>
      <c r="T13" s="30">
        <f>SUM(I13:L13)</f>
        <v>-151.529</v>
      </c>
      <c r="U13" s="30">
        <f>SUM(J13:M13)</f>
        <v>-150.35899999999998</v>
      </c>
      <c r="V13" s="30">
        <f>SUM(K13:N13)</f>
        <v>-195.64</v>
      </c>
      <c r="W13" s="30">
        <f>SUM(L13:O13)</f>
        <v>-155.40100000000001</v>
      </c>
      <c r="X13" s="30">
        <f>SUM(M13:P13)</f>
        <v>-229.244</v>
      </c>
      <c r="Y13" s="30">
        <f t="shared" ref="Y13" si="6">SUM(J13:M13)</f>
        <v>-150.35899999999998</v>
      </c>
      <c r="Z13" s="30">
        <f t="shared" ref="Z13" si="7">SUM(K13:N13)</f>
        <v>-195.64</v>
      </c>
      <c r="AA13" s="30">
        <f t="shared" ref="AA13" si="8">SUM(L13:O13)</f>
        <v>-155.40100000000001</v>
      </c>
      <c r="AB13" s="30">
        <f t="shared" ref="AB13" si="9">SUM(M13:P13)</f>
        <v>-229.244</v>
      </c>
      <c r="AC13" s="30">
        <f>SUM(N13:Q13)</f>
        <v>-297.52300000000002</v>
      </c>
      <c r="AD13" s="11"/>
      <c r="AE13" s="70">
        <f t="shared" si="5"/>
        <v>0.97875085628396086</v>
      </c>
    </row>
    <row r="14" spans="1:31" ht="12.75" customHeight="1">
      <c r="B14" s="23" t="s">
        <v>24</v>
      </c>
      <c r="C14" s="24">
        <f t="shared" ref="C14:E14" si="10">+SUM(C11+SUM(C13:C13))</f>
        <v>0</v>
      </c>
      <c r="D14" s="24">
        <f t="shared" si="10"/>
        <v>75.066000000000003</v>
      </c>
      <c r="E14" s="24">
        <f t="shared" si="10"/>
        <v>162.36000000000001</v>
      </c>
      <c r="G14" s="24">
        <f t="shared" ref="G14:Q14" si="11">+SUM(G11+SUM(G13:G13))</f>
        <v>19.671999999999997</v>
      </c>
      <c r="H14" s="24">
        <f t="shared" si="11"/>
        <v>60.250999999999998</v>
      </c>
      <c r="I14" s="24">
        <f t="shared" si="11"/>
        <v>12.755000000000003</v>
      </c>
      <c r="J14" s="24">
        <f t="shared" si="11"/>
        <v>-17.612000000000009</v>
      </c>
      <c r="K14" s="24">
        <f t="shared" si="11"/>
        <v>64.290999999999997</v>
      </c>
      <c r="L14" s="24">
        <f t="shared" si="11"/>
        <v>61.033000000000001</v>
      </c>
      <c r="M14" s="24">
        <f t="shared" si="11"/>
        <v>26.714000000000002</v>
      </c>
      <c r="N14" s="24">
        <f t="shared" si="11"/>
        <v>10.322000000000031</v>
      </c>
      <c r="O14" s="24">
        <f t="shared" si="11"/>
        <v>11</v>
      </c>
      <c r="P14" s="24">
        <f t="shared" si="11"/>
        <v>58</v>
      </c>
      <c r="Q14" s="24">
        <f t="shared" si="11"/>
        <v>9</v>
      </c>
      <c r="S14" s="24">
        <f t="shared" ref="S14:AC14" si="12">+SUM(S11+SUM(S13:S13))</f>
        <v>419.63499999999999</v>
      </c>
      <c r="T14" s="24">
        <f t="shared" si="12"/>
        <v>303.19499999999999</v>
      </c>
      <c r="U14" s="24">
        <f t="shared" si="12"/>
        <v>-15.988999999999976</v>
      </c>
      <c r="V14" s="24">
        <f t="shared" si="12"/>
        <v>-59.639999999999986</v>
      </c>
      <c r="W14" s="24">
        <f t="shared" si="12"/>
        <v>69.888999999999982</v>
      </c>
      <c r="X14" s="24">
        <f t="shared" si="12"/>
        <v>42.751999999999981</v>
      </c>
      <c r="Y14" s="24">
        <f t="shared" si="12"/>
        <v>134.42599999999999</v>
      </c>
      <c r="Z14" s="24">
        <f t="shared" si="12"/>
        <v>162.36000000000001</v>
      </c>
      <c r="AA14" s="24">
        <f t="shared" si="12"/>
        <v>109.06900000000002</v>
      </c>
      <c r="AB14" s="24">
        <f t="shared" si="12"/>
        <v>106.03600000000003</v>
      </c>
      <c r="AC14" s="24">
        <f t="shared" si="12"/>
        <v>88.322000000000003</v>
      </c>
      <c r="AD14" s="40"/>
      <c r="AE14" s="71">
        <f t="shared" si="5"/>
        <v>-0.34296936604525907</v>
      </c>
    </row>
    <row r="15" spans="1:31" ht="12.75" customHeight="1">
      <c r="B15" s="14" t="s">
        <v>36</v>
      </c>
      <c r="C15" s="15" t="e">
        <f t="shared" ref="C15:E15" si="13">C14/C11</f>
        <v>#DIV/0!</v>
      </c>
      <c r="D15" s="15">
        <f t="shared" si="13"/>
        <v>0.55195588235294124</v>
      </c>
      <c r="E15" s="15">
        <f t="shared" si="13"/>
        <v>0.45351955307262576</v>
      </c>
      <c r="F15" s="25"/>
      <c r="G15" s="15">
        <f t="shared" ref="G15:Q15" si="14">G14/G11</f>
        <v>0.6297055057618437</v>
      </c>
      <c r="H15" s="15">
        <f t="shared" si="14"/>
        <v>0.92008734958157723</v>
      </c>
      <c r="I15" s="15">
        <f t="shared" si="14"/>
        <v>0.33881421664984335</v>
      </c>
      <c r="J15" s="15">
        <f t="shared" si="14"/>
        <v>-10.804907975460159</v>
      </c>
      <c r="K15" s="15">
        <f t="shared" si="14"/>
        <v>0.53340247241350702</v>
      </c>
      <c r="L15" s="15">
        <f t="shared" si="14"/>
        <v>0.54401461805865048</v>
      </c>
      <c r="M15" s="15">
        <f t="shared" si="14"/>
        <v>0.52967185486269452</v>
      </c>
      <c r="N15" s="15">
        <f t="shared" si="14"/>
        <v>0.13791168414723798</v>
      </c>
      <c r="O15" s="15">
        <f t="shared" si="14"/>
        <v>0.40740740740740738</v>
      </c>
      <c r="P15" s="15">
        <f t="shared" si="14"/>
        <v>0.31693989071038253</v>
      </c>
      <c r="Q15" s="15">
        <f t="shared" si="14"/>
        <v>8.9108910891089105E-2</v>
      </c>
      <c r="R15" s="26"/>
      <c r="S15" s="15">
        <f t="shared" ref="S15:AC15" si="15">S14/S11</f>
        <v>0.79893953240423421</v>
      </c>
      <c r="T15" s="15">
        <f t="shared" si="15"/>
        <v>0.6667670938855218</v>
      </c>
      <c r="U15" s="15">
        <f t="shared" si="15"/>
        <v>-0.11899233459849651</v>
      </c>
      <c r="V15" s="15">
        <f t="shared" si="15"/>
        <v>-0.43852941176470578</v>
      </c>
      <c r="W15" s="15">
        <f t="shared" si="15"/>
        <v>0.3102179413200763</v>
      </c>
      <c r="X15" s="15">
        <f t="shared" si="15"/>
        <v>0.15717878204091232</v>
      </c>
      <c r="Y15" s="15">
        <f t="shared" si="15"/>
        <v>0.47202626542830556</v>
      </c>
      <c r="Z15" s="15">
        <f t="shared" si="15"/>
        <v>0.45351955307262576</v>
      </c>
      <c r="AA15" s="15">
        <f t="shared" si="15"/>
        <v>0.41240594396339852</v>
      </c>
      <c r="AB15" s="15">
        <f t="shared" si="15"/>
        <v>0.31626103555237417</v>
      </c>
      <c r="AC15" s="15">
        <f t="shared" si="15"/>
        <v>0.22890538946986483</v>
      </c>
      <c r="AD15" s="40"/>
      <c r="AE15" s="72">
        <f>SUM(AC15-Y15)*1000</f>
        <v>-243.12087595844073</v>
      </c>
    </row>
    <row r="16" spans="1:31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40"/>
      <c r="AE16" s="70"/>
    </row>
    <row r="17" spans="2:31" ht="12.75" customHeight="1">
      <c r="B17" s="9" t="s">
        <v>142</v>
      </c>
      <c r="C17" s="79">
        <v>-2488.877</v>
      </c>
      <c r="D17" s="79"/>
      <c r="E17" s="79"/>
      <c r="F17" s="30"/>
      <c r="G17" s="79">
        <v>-1116.2280000000001</v>
      </c>
      <c r="H17" s="79">
        <v>-1358.4059999999999</v>
      </c>
      <c r="I17" s="79">
        <v>-1299.587</v>
      </c>
      <c r="J17" s="30">
        <f t="shared" ref="J17:J21" si="16">SUM(D17-SUM(G17:I17))</f>
        <v>3774.221</v>
      </c>
      <c r="K17" s="86">
        <v>-1453.634</v>
      </c>
      <c r="L17" s="86">
        <v>-530.68899999999996</v>
      </c>
      <c r="M17" s="86">
        <v>-1456.77</v>
      </c>
      <c r="N17" s="30">
        <f t="shared" ref="N17:N21" si="17">SUM(E17-SUM(K17:M17))</f>
        <v>3441.0929999999998</v>
      </c>
      <c r="O17" s="79"/>
      <c r="P17" s="79"/>
      <c r="Q17" s="79"/>
      <c r="S17" s="30">
        <f>SUM(H17:K17)</f>
        <v>-337.40599999999995</v>
      </c>
      <c r="T17" s="30">
        <f>SUM(I17:L17)</f>
        <v>490.31100000000004</v>
      </c>
      <c r="U17" s="30">
        <f>SUM(J17:M17)</f>
        <v>333.12800000000016</v>
      </c>
      <c r="V17" s="30">
        <f>SUM(K17:N17)</f>
        <v>0</v>
      </c>
      <c r="W17" s="30">
        <f>SUM(L17:O17)</f>
        <v>1453.634</v>
      </c>
      <c r="X17" s="30">
        <f>SUM(M17:P17)</f>
        <v>1984.3229999999999</v>
      </c>
      <c r="Y17" s="30">
        <f t="shared" ref="Y17:Y21" si="18">SUM(J17:M17)</f>
        <v>333.12800000000016</v>
      </c>
      <c r="Z17" s="30">
        <f t="shared" ref="Z17:Z21" si="19">SUM(K17:N17)</f>
        <v>0</v>
      </c>
      <c r="AA17" s="30">
        <f t="shared" ref="AA17:AA21" si="20">SUM(L17:O17)</f>
        <v>1453.634</v>
      </c>
      <c r="AB17" s="30">
        <f t="shared" ref="AB17:AB21" si="21">SUM(M17:P17)</f>
        <v>1984.3229999999999</v>
      </c>
      <c r="AC17" s="30">
        <f t="shared" ref="AC17:AC21" si="22">SUM(N17:Q17)</f>
        <v>3441.0929999999998</v>
      </c>
      <c r="AD17" s="11"/>
      <c r="AE17" s="70">
        <f t="shared" si="5"/>
        <v>9.329642059508652</v>
      </c>
    </row>
    <row r="18" spans="2:31" ht="12.75" customHeight="1">
      <c r="B18" s="9" t="s">
        <v>143</v>
      </c>
      <c r="C18" s="79">
        <v>-1076.9010000000001</v>
      </c>
      <c r="D18" s="79"/>
      <c r="E18" s="79"/>
      <c r="F18" s="30"/>
      <c r="G18" s="79">
        <v>-370.88099999999997</v>
      </c>
      <c r="H18" s="79">
        <v>-255.631</v>
      </c>
      <c r="I18" s="79">
        <v>-297.10700000000003</v>
      </c>
      <c r="J18" s="30">
        <f t="shared" si="16"/>
        <v>923.61899999999991</v>
      </c>
      <c r="K18" s="86">
        <v>-225.04</v>
      </c>
      <c r="L18" s="86">
        <v>-183.28100000000001</v>
      </c>
      <c r="M18" s="86">
        <v>-196.178</v>
      </c>
      <c r="N18" s="30">
        <f t="shared" si="17"/>
        <v>604.49900000000002</v>
      </c>
      <c r="O18" s="79"/>
      <c r="P18" s="79"/>
      <c r="Q18" s="79"/>
      <c r="S18" s="30"/>
      <c r="T18" s="30"/>
      <c r="U18" s="30"/>
      <c r="V18" s="30"/>
      <c r="W18" s="30"/>
      <c r="X18" s="30"/>
      <c r="Y18" s="30">
        <f t="shared" si="18"/>
        <v>319.12</v>
      </c>
      <c r="Z18" s="30">
        <f t="shared" si="19"/>
        <v>0</v>
      </c>
      <c r="AA18" s="30">
        <f t="shared" si="20"/>
        <v>225.04000000000002</v>
      </c>
      <c r="AB18" s="30">
        <f t="shared" si="21"/>
        <v>408.32100000000003</v>
      </c>
      <c r="AC18" s="30">
        <f t="shared" si="22"/>
        <v>604.49900000000002</v>
      </c>
      <c r="AD18" s="11"/>
      <c r="AE18" s="70"/>
    </row>
    <row r="19" spans="2:31" ht="12.75" customHeight="1">
      <c r="B19" s="9" t="s">
        <v>144</v>
      </c>
      <c r="C19" s="79">
        <v>-2585.7959999999998</v>
      </c>
      <c r="D19" s="79">
        <f>-5216+509</f>
        <v>-4707</v>
      </c>
      <c r="E19" s="79">
        <f>-8891+2080</f>
        <v>-6811</v>
      </c>
      <c r="F19" s="30"/>
      <c r="G19" s="79">
        <v>-1024.587</v>
      </c>
      <c r="H19" s="79">
        <v>-850.44399999999996</v>
      </c>
      <c r="I19" s="79">
        <v>-1266.489</v>
      </c>
      <c r="J19" s="30">
        <f t="shared" si="16"/>
        <v>-1565.48</v>
      </c>
      <c r="K19" s="86">
        <v>-1534.597</v>
      </c>
      <c r="L19" s="86">
        <v>-1584.712</v>
      </c>
      <c r="M19" s="86">
        <v>-1698.3989999999999</v>
      </c>
      <c r="N19" s="30">
        <f t="shared" si="17"/>
        <v>-1993.2919999999995</v>
      </c>
      <c r="O19" s="86">
        <f>-2220+694</f>
        <v>-1526</v>
      </c>
      <c r="P19" s="86">
        <f>-2094+505</f>
        <v>-1589</v>
      </c>
      <c r="Q19" s="86">
        <f>-2244+562</f>
        <v>-1682</v>
      </c>
      <c r="S19" s="30"/>
      <c r="T19" s="30"/>
      <c r="U19" s="30"/>
      <c r="V19" s="30"/>
      <c r="W19" s="30"/>
      <c r="X19" s="30"/>
      <c r="Y19" s="30">
        <f t="shared" si="18"/>
        <v>-6383.1880000000001</v>
      </c>
      <c r="Z19" s="30">
        <f t="shared" si="19"/>
        <v>-6811</v>
      </c>
      <c r="AA19" s="30">
        <f t="shared" si="20"/>
        <v>-6802.4029999999993</v>
      </c>
      <c r="AB19" s="30">
        <f t="shared" si="21"/>
        <v>-6806.6909999999989</v>
      </c>
      <c r="AC19" s="30">
        <f t="shared" si="22"/>
        <v>-6790.2919999999995</v>
      </c>
      <c r="AD19" s="11"/>
      <c r="AE19" s="70"/>
    </row>
    <row r="20" spans="2:31" ht="12.75" customHeight="1">
      <c r="B20" s="9" t="s">
        <v>145</v>
      </c>
      <c r="C20" s="79">
        <v>-9401.3449999999993</v>
      </c>
      <c r="D20" s="79">
        <f>-509-494-8321</f>
        <v>-9324</v>
      </c>
      <c r="E20" s="79">
        <f>-2080+279-2470</f>
        <v>-4271</v>
      </c>
      <c r="F20" s="30"/>
      <c r="G20" s="79">
        <v>-3079.8029999999999</v>
      </c>
      <c r="H20" s="79">
        <v>-323.85899999999998</v>
      </c>
      <c r="I20" s="79">
        <v>-1261.9690000000001</v>
      </c>
      <c r="J20" s="30">
        <f t="shared" si="16"/>
        <v>-4658.3690000000006</v>
      </c>
      <c r="K20" s="86">
        <v>-1968.8140000000001</v>
      </c>
      <c r="L20" s="86">
        <v>-1946.8109999999999</v>
      </c>
      <c r="M20" s="86">
        <v>-1977.671</v>
      </c>
      <c r="N20" s="30">
        <f t="shared" si="17"/>
        <v>1622.2960000000003</v>
      </c>
      <c r="O20" s="86">
        <f>-694-68-464</f>
        <v>-1226</v>
      </c>
      <c r="P20" s="86">
        <f>-505-43-143</f>
        <v>-691</v>
      </c>
      <c r="Q20" s="86">
        <f>-562-12-189</f>
        <v>-763</v>
      </c>
      <c r="S20" s="30">
        <f>SUM(H20:K20)</f>
        <v>-8213.0110000000004</v>
      </c>
      <c r="T20" s="30">
        <f>SUM(I20:L20)</f>
        <v>-9835.9630000000016</v>
      </c>
      <c r="U20" s="30">
        <f>SUM(J20:M20)</f>
        <v>-10551.665000000001</v>
      </c>
      <c r="V20" s="30">
        <f>SUM(K20:N20)</f>
        <v>-4271</v>
      </c>
      <c r="W20" s="30">
        <f>SUM(L20:O20)</f>
        <v>-3528.1859999999997</v>
      </c>
      <c r="X20" s="30">
        <f>SUM(M20:P20)</f>
        <v>-2272.375</v>
      </c>
      <c r="Y20" s="30">
        <f t="shared" si="18"/>
        <v>-10551.665000000001</v>
      </c>
      <c r="Z20" s="30">
        <f t="shared" si="19"/>
        <v>-4271</v>
      </c>
      <c r="AA20" s="30">
        <f t="shared" si="20"/>
        <v>-3528.1859999999997</v>
      </c>
      <c r="AB20" s="30">
        <f t="shared" si="21"/>
        <v>-2272.375</v>
      </c>
      <c r="AC20" s="30">
        <f t="shared" si="22"/>
        <v>-1057.7039999999997</v>
      </c>
      <c r="AD20" s="11"/>
      <c r="AE20" s="70">
        <f t="shared" si="5"/>
        <v>-0.89975951662604914</v>
      </c>
    </row>
    <row r="21" spans="2:31" ht="12.75" customHeight="1">
      <c r="B21" s="9" t="s">
        <v>146</v>
      </c>
      <c r="C21" s="79">
        <v>-1577.174</v>
      </c>
      <c r="D21" s="79">
        <f>-2092-21412+494+8320</f>
        <v>-14690</v>
      </c>
      <c r="E21" s="79">
        <f>SUM(-1806-15708+2470)-279</f>
        <v>-15323</v>
      </c>
      <c r="F21" s="30"/>
      <c r="G21" s="79">
        <v>-1137.104</v>
      </c>
      <c r="H21" s="79">
        <v>-2080.2750000000001</v>
      </c>
      <c r="I21" s="79">
        <v>-2721.596</v>
      </c>
      <c r="J21" s="30">
        <f t="shared" si="16"/>
        <v>-8751.0249999999996</v>
      </c>
      <c r="K21" s="86">
        <v>-2669.7159999999999</v>
      </c>
      <c r="L21" s="79">
        <v>325.36399999999998</v>
      </c>
      <c r="M21" s="79">
        <v>-2365.2130000000002</v>
      </c>
      <c r="N21" s="30">
        <f t="shared" si="17"/>
        <v>-10613.434999999999</v>
      </c>
      <c r="O21" s="86">
        <f>-451-3659+68+464</f>
        <v>-3578</v>
      </c>
      <c r="P21" s="86">
        <f>-429-2802+43+143</f>
        <v>-3045</v>
      </c>
      <c r="Q21" s="86">
        <f>-363-2840+12+189</f>
        <v>-3002</v>
      </c>
      <c r="S21" s="30">
        <f>SUM(H21:K21)</f>
        <v>-16222.612000000001</v>
      </c>
      <c r="T21" s="30">
        <f>SUM(I21:L21)</f>
        <v>-13816.973</v>
      </c>
      <c r="U21" s="30">
        <f>SUM(J21:M21)</f>
        <v>-13460.59</v>
      </c>
      <c r="V21" s="30">
        <f>SUM(K21:N21)</f>
        <v>-15323</v>
      </c>
      <c r="W21" s="30">
        <f>SUM(L21:O21)</f>
        <v>-16231.284</v>
      </c>
      <c r="X21" s="30">
        <f>SUM(M21:P21)</f>
        <v>-19601.648000000001</v>
      </c>
      <c r="Y21" s="30">
        <f t="shared" si="18"/>
        <v>-13460.59</v>
      </c>
      <c r="Z21" s="30">
        <f t="shared" si="19"/>
        <v>-15323</v>
      </c>
      <c r="AA21" s="30">
        <f t="shared" si="20"/>
        <v>-16231.284</v>
      </c>
      <c r="AB21" s="30">
        <f t="shared" si="21"/>
        <v>-19601.648000000001</v>
      </c>
      <c r="AC21" s="30">
        <f t="shared" si="22"/>
        <v>-20238.434999999998</v>
      </c>
      <c r="AD21" s="11"/>
      <c r="AE21" s="70">
        <f t="shared" si="5"/>
        <v>0.50353253460658087</v>
      </c>
    </row>
    <row r="22" spans="2:31" ht="12.75" customHeight="1">
      <c r="B22" s="23" t="s">
        <v>100</v>
      </c>
      <c r="C22" s="24">
        <f>+SUM(C14+SUM(C17:C21))</f>
        <v>-17130.093000000001</v>
      </c>
      <c r="D22" s="24">
        <f>+SUM(D14+SUM(D17:D21))</f>
        <v>-28645.934000000001</v>
      </c>
      <c r="E22" s="24">
        <f>+SUM(E14+SUM(E17:E21))</f>
        <v>-26242.639999999999</v>
      </c>
      <c r="F22" s="30"/>
      <c r="G22" s="24">
        <f t="shared" ref="G22:Q22" si="23">+SUM(G14+SUM(G17:G21))</f>
        <v>-6708.9310000000005</v>
      </c>
      <c r="H22" s="24">
        <f t="shared" si="23"/>
        <v>-4808.3639999999996</v>
      </c>
      <c r="I22" s="24">
        <f t="shared" si="23"/>
        <v>-6833.9929999999995</v>
      </c>
      <c r="J22" s="24">
        <f t="shared" si="23"/>
        <v>-10294.645999999999</v>
      </c>
      <c r="K22" s="24">
        <f t="shared" si="23"/>
        <v>-7787.5099999999993</v>
      </c>
      <c r="L22" s="24">
        <f t="shared" si="23"/>
        <v>-3859.0959999999995</v>
      </c>
      <c r="M22" s="24">
        <f t="shared" si="23"/>
        <v>-7667.5169999999998</v>
      </c>
      <c r="N22" s="24">
        <f t="shared" si="23"/>
        <v>-6928.5169999999989</v>
      </c>
      <c r="O22" s="24">
        <f t="shared" si="23"/>
        <v>-6319</v>
      </c>
      <c r="P22" s="24">
        <f t="shared" si="23"/>
        <v>-5267</v>
      </c>
      <c r="Q22" s="24">
        <f t="shared" si="23"/>
        <v>-5438</v>
      </c>
      <c r="S22" s="24">
        <f t="shared" ref="S22:AC22" si="24">+SUM(S14+SUM(S17:S21))</f>
        <v>-24353.394000000004</v>
      </c>
      <c r="T22" s="24">
        <f t="shared" si="24"/>
        <v>-22859.43</v>
      </c>
      <c r="U22" s="24">
        <f t="shared" si="24"/>
        <v>-23695.116000000002</v>
      </c>
      <c r="V22" s="24">
        <f t="shared" si="24"/>
        <v>-19653.64</v>
      </c>
      <c r="W22" s="24">
        <f t="shared" si="24"/>
        <v>-18235.947</v>
      </c>
      <c r="X22" s="24">
        <f t="shared" si="24"/>
        <v>-19846.948</v>
      </c>
      <c r="Y22" s="24">
        <f t="shared" si="24"/>
        <v>-29608.769</v>
      </c>
      <c r="Z22" s="24">
        <f t="shared" si="24"/>
        <v>-26242.639999999999</v>
      </c>
      <c r="AA22" s="24">
        <f t="shared" si="24"/>
        <v>-24774.13</v>
      </c>
      <c r="AB22" s="24">
        <f t="shared" si="24"/>
        <v>-26182.034</v>
      </c>
      <c r="AC22" s="24">
        <f t="shared" si="24"/>
        <v>-23952.516999999996</v>
      </c>
      <c r="AD22" s="11"/>
      <c r="AE22" s="71">
        <f t="shared" si="5"/>
        <v>-0.19103300106802834</v>
      </c>
    </row>
    <row r="23" spans="2:31" ht="12.75" customHeight="1">
      <c r="B23" s="14" t="s">
        <v>38</v>
      </c>
      <c r="C23" s="15" t="e">
        <f>C22/C11</f>
        <v>#DIV/0!</v>
      </c>
      <c r="D23" s="15">
        <f>D22/D11</f>
        <v>-210.63186764705884</v>
      </c>
      <c r="E23" s="15">
        <f>E22/E11</f>
        <v>-73.303463687150838</v>
      </c>
      <c r="F23" s="30"/>
      <c r="G23" s="15">
        <f t="shared" ref="G23:Q23" si="25">G22/G11</f>
        <v>-214.75451344430221</v>
      </c>
      <c r="H23" s="15">
        <f t="shared" si="25"/>
        <v>-73.428074033351663</v>
      </c>
      <c r="I23" s="15">
        <f t="shared" si="25"/>
        <v>-181.53304467938159</v>
      </c>
      <c r="J23" s="15">
        <f t="shared" si="25"/>
        <v>-6315.7337423313056</v>
      </c>
      <c r="K23" s="15">
        <f t="shared" si="25"/>
        <v>-64.610553389197705</v>
      </c>
      <c r="L23" s="15">
        <f t="shared" si="25"/>
        <v>-34.397860771904803</v>
      </c>
      <c r="M23" s="15">
        <f t="shared" si="25"/>
        <v>-152.0276990185387</v>
      </c>
      <c r="N23" s="15">
        <f t="shared" si="25"/>
        <v>-92.571541185115862</v>
      </c>
      <c r="O23" s="15">
        <f t="shared" si="25"/>
        <v>-234.03703703703704</v>
      </c>
      <c r="P23" s="15">
        <f t="shared" si="25"/>
        <v>-28.781420765027324</v>
      </c>
      <c r="Q23" s="15">
        <f t="shared" si="25"/>
        <v>-53.841584158415841</v>
      </c>
      <c r="S23" s="15">
        <f t="shared" ref="S23:AC23" si="26">S22/S11</f>
        <v>-46.366221156042961</v>
      </c>
      <c r="T23" s="15">
        <f t="shared" si="26"/>
        <v>-50.270999551376221</v>
      </c>
      <c r="U23" s="15">
        <f t="shared" si="26"/>
        <v>-176.34230855101586</v>
      </c>
      <c r="V23" s="15">
        <f t="shared" si="26"/>
        <v>-144.5120588235294</v>
      </c>
      <c r="W23" s="15">
        <f t="shared" si="26"/>
        <v>-80.944325092103512</v>
      </c>
      <c r="X23" s="15">
        <f t="shared" si="26"/>
        <v>-72.967793644024184</v>
      </c>
      <c r="Y23" s="15">
        <f t="shared" si="26"/>
        <v>-103.96885018522747</v>
      </c>
      <c r="Z23" s="15">
        <f t="shared" si="26"/>
        <v>-73.303463687150838</v>
      </c>
      <c r="AA23" s="15">
        <f t="shared" si="26"/>
        <v>-93.674632283434789</v>
      </c>
      <c r="AB23" s="15">
        <f t="shared" si="26"/>
        <v>-78.090056072536385</v>
      </c>
      <c r="AC23" s="15">
        <f t="shared" si="26"/>
        <v>-62.078080576397241</v>
      </c>
      <c r="AD23" s="11"/>
      <c r="AE23" s="72">
        <f>SUM(AC23-Y23)*1000</f>
        <v>41890.769608830225</v>
      </c>
    </row>
    <row r="24" spans="2:31" ht="5.0999999999999996" customHeight="1">
      <c r="B24" s="14"/>
      <c r="C24" s="15"/>
      <c r="D24" s="15"/>
      <c r="E24" s="15"/>
      <c r="F24" s="30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11"/>
      <c r="AE24" s="70"/>
    </row>
    <row r="25" spans="2:31" ht="12.75" customHeight="1">
      <c r="B25" s="9" t="s">
        <v>147</v>
      </c>
      <c r="C25" s="79">
        <v>225.74900000000002</v>
      </c>
      <c r="D25" s="79">
        <v>46.890999999999998</v>
      </c>
      <c r="E25" s="79">
        <v>295.47800000000001</v>
      </c>
      <c r="F25" s="30"/>
      <c r="G25" s="79">
        <v>10.864000000000001</v>
      </c>
      <c r="H25" s="79">
        <v>33.162999999999997</v>
      </c>
      <c r="I25" s="79">
        <v>1.1599999999999999</v>
      </c>
      <c r="J25" s="30">
        <f t="shared" ref="J25:J27" si="27">SUM(D25-SUM(G25:I25))</f>
        <v>1.7040000000000006</v>
      </c>
      <c r="K25" s="79">
        <v>31.844999999999999</v>
      </c>
      <c r="L25" s="79">
        <v>61.136000000000003</v>
      </c>
      <c r="M25" s="79">
        <v>125.718</v>
      </c>
      <c r="N25" s="30">
        <f t="shared" ref="N25:N27" si="28">SUM(E25-SUM(K25:M25))</f>
        <v>76.778999999999996</v>
      </c>
      <c r="O25" s="79">
        <v>38</v>
      </c>
      <c r="P25" s="79">
        <v>73</v>
      </c>
      <c r="Q25" s="79">
        <v>70</v>
      </c>
      <c r="S25" s="30">
        <f>SUM(H25:K25)</f>
        <v>67.871999999999986</v>
      </c>
      <c r="T25" s="30">
        <f>SUM(I25:L25)</f>
        <v>95.844999999999999</v>
      </c>
      <c r="U25" s="30">
        <f>SUM(J25:M25)</f>
        <v>220.40300000000002</v>
      </c>
      <c r="V25" s="30">
        <f>SUM(K25:N25)</f>
        <v>295.47800000000001</v>
      </c>
      <c r="W25" s="30">
        <f>SUM(L25:O25)</f>
        <v>301.63300000000004</v>
      </c>
      <c r="X25" s="30">
        <f>SUM(M25:P25)</f>
        <v>313.49700000000001</v>
      </c>
      <c r="Y25" s="30">
        <f t="shared" ref="Y25:Y27" si="29">SUM(J25:M25)</f>
        <v>220.40300000000002</v>
      </c>
      <c r="Z25" s="30">
        <f t="shared" ref="Z25:Z27" si="30">SUM(K25:N25)</f>
        <v>295.47800000000001</v>
      </c>
      <c r="AA25" s="30">
        <f t="shared" ref="AA25:AA27" si="31">SUM(L25:O25)</f>
        <v>301.63300000000004</v>
      </c>
      <c r="AB25" s="30">
        <f t="shared" ref="AB25:AB27" si="32">SUM(M25:P25)</f>
        <v>313.49700000000001</v>
      </c>
      <c r="AC25" s="30">
        <f t="shared" ref="AC25:AC27" si="33">SUM(N25:Q25)</f>
        <v>257.779</v>
      </c>
      <c r="AD25" s="11"/>
      <c r="AE25" s="70">
        <f t="shared" si="5"/>
        <v>0.16958026887111322</v>
      </c>
    </row>
    <row r="26" spans="2:31" ht="12.75" customHeight="1">
      <c r="B26" s="9" t="s">
        <v>88</v>
      </c>
      <c r="C26" s="79"/>
      <c r="D26" s="79"/>
      <c r="E26" s="79">
        <v>-1602</v>
      </c>
      <c r="F26" s="30"/>
      <c r="G26" s="79">
        <v>-435.625</v>
      </c>
      <c r="H26" s="79">
        <v>329.375</v>
      </c>
      <c r="I26" s="79">
        <v>-736.44499999999994</v>
      </c>
      <c r="J26" s="30">
        <f t="shared" si="27"/>
        <v>842.69499999999994</v>
      </c>
      <c r="K26" s="79">
        <v>-750.47399999999993</v>
      </c>
      <c r="L26" s="79">
        <v>-844.48799999999994</v>
      </c>
      <c r="M26" s="79">
        <v>-734.12</v>
      </c>
      <c r="N26" s="30">
        <f t="shared" si="28"/>
        <v>727.08199999999988</v>
      </c>
      <c r="O26" s="79">
        <v>-155</v>
      </c>
      <c r="P26" s="79"/>
      <c r="Q26" s="79">
        <v>-307</v>
      </c>
      <c r="S26" s="30"/>
      <c r="T26" s="30"/>
      <c r="U26" s="30"/>
      <c r="V26" s="30"/>
      <c r="W26" s="30"/>
      <c r="X26" s="30"/>
      <c r="Y26" s="30">
        <f t="shared" si="29"/>
        <v>-1486.3869999999999</v>
      </c>
      <c r="Z26" s="30">
        <f t="shared" si="30"/>
        <v>-1602</v>
      </c>
      <c r="AA26" s="30">
        <f t="shared" si="31"/>
        <v>-1006.5260000000001</v>
      </c>
      <c r="AB26" s="30">
        <f t="shared" si="32"/>
        <v>-162.03800000000012</v>
      </c>
      <c r="AC26" s="30">
        <f t="shared" si="33"/>
        <v>265.08199999999988</v>
      </c>
      <c r="AD26" s="11"/>
      <c r="AE26" s="70">
        <f t="shared" si="5"/>
        <v>-1.1783398267073111</v>
      </c>
    </row>
    <row r="27" spans="2:31" ht="12.75" customHeight="1">
      <c r="B27" s="9" t="s">
        <v>148</v>
      </c>
      <c r="C27" s="79"/>
      <c r="D27" s="79"/>
      <c r="E27" s="79">
        <v>528</v>
      </c>
      <c r="F27" s="30"/>
      <c r="G27" s="79"/>
      <c r="H27" s="79"/>
      <c r="I27" s="79"/>
      <c r="J27" s="30">
        <f t="shared" si="27"/>
        <v>0</v>
      </c>
      <c r="K27" s="79"/>
      <c r="L27" s="79"/>
      <c r="M27" s="79"/>
      <c r="N27" s="30">
        <f t="shared" si="28"/>
        <v>528</v>
      </c>
      <c r="O27" s="79"/>
      <c r="P27" s="79"/>
      <c r="Q27" s="79"/>
      <c r="S27" s="30"/>
      <c r="T27" s="30"/>
      <c r="U27" s="30"/>
      <c r="V27" s="30"/>
      <c r="W27" s="30"/>
      <c r="X27" s="30"/>
      <c r="Y27" s="30">
        <f t="shared" si="29"/>
        <v>0</v>
      </c>
      <c r="Z27" s="30">
        <f t="shared" si="30"/>
        <v>528</v>
      </c>
      <c r="AA27" s="30">
        <f t="shared" si="31"/>
        <v>528</v>
      </c>
      <c r="AB27" s="30">
        <f t="shared" si="32"/>
        <v>528</v>
      </c>
      <c r="AC27" s="30">
        <f t="shared" si="33"/>
        <v>528</v>
      </c>
      <c r="AD27" s="11"/>
      <c r="AE27" s="70" t="e">
        <f t="shared" si="5"/>
        <v>#DIV/0!</v>
      </c>
    </row>
    <row r="28" spans="2:31" ht="12.75" customHeight="1">
      <c r="B28" s="23" t="s">
        <v>101</v>
      </c>
      <c r="C28" s="24">
        <f>SUM(C22+SUM(C25:C27))</f>
        <v>-16904.344000000001</v>
      </c>
      <c r="D28" s="24">
        <f>SUM(D22+SUM(D25:D27))</f>
        <v>-28599.043000000001</v>
      </c>
      <c r="E28" s="24">
        <f>SUM(E22+SUM(E25:E27))</f>
        <v>-27021.162</v>
      </c>
      <c r="G28" s="24">
        <f>SUM(G22+SUM(G25:G27))</f>
        <v>-7133.6920000000009</v>
      </c>
      <c r="H28" s="24">
        <f>SUM(H22+SUM(H25:H27))</f>
        <v>-4445.8259999999991</v>
      </c>
      <c r="I28" s="24">
        <f>SUM(I22+SUM(I25:I27))</f>
        <v>-7569.2779999999993</v>
      </c>
      <c r="J28" s="24">
        <f>SUM(J22+SUM(J25:J27))</f>
        <v>-9450.2469999999994</v>
      </c>
      <c r="K28" s="24">
        <f>SUM(K22+SUM(K25:K27))</f>
        <v>-8506.1389999999992</v>
      </c>
      <c r="L28" s="24">
        <f>SUM(L22+SUM(L25:L27))</f>
        <v>-4642.4479999999994</v>
      </c>
      <c r="M28" s="24">
        <f>SUM(M22+SUM(M25:M27))</f>
        <v>-8275.9189999999999</v>
      </c>
      <c r="N28" s="24">
        <f>SUM(N22+SUM(N25:N27))</f>
        <v>-5596.655999999999</v>
      </c>
      <c r="O28" s="24">
        <f>SUM(O22+SUM(O25:O27))</f>
        <v>-6436</v>
      </c>
      <c r="P28" s="24">
        <f>SUM(P22+SUM(P25:P27))</f>
        <v>-5194</v>
      </c>
      <c r="Q28" s="24">
        <f>SUM(Q22+SUM(Q25:Q27))</f>
        <v>-5675</v>
      </c>
      <c r="S28" s="24">
        <f>SUM(S22+SUM(S25:S27))</f>
        <v>-24285.522000000004</v>
      </c>
      <c r="T28" s="24">
        <f>SUM(T22+SUM(T25:T27))</f>
        <v>-22763.584999999999</v>
      </c>
      <c r="U28" s="24">
        <f>SUM(U22+SUM(U25:U27))</f>
        <v>-23474.713000000003</v>
      </c>
      <c r="V28" s="24">
        <f>SUM(V22+SUM(V25:V27))</f>
        <v>-19358.162</v>
      </c>
      <c r="W28" s="24">
        <f>SUM(W22+SUM(W25:W27))</f>
        <v>-17934.313999999998</v>
      </c>
      <c r="X28" s="24">
        <f>SUM(X22+SUM(X25:X27))</f>
        <v>-19533.451000000001</v>
      </c>
      <c r="Y28" s="24">
        <f>SUM(Y22+SUM(Y25:Y27))</f>
        <v>-30874.753000000001</v>
      </c>
      <c r="Z28" s="24">
        <f>SUM(Z22+SUM(Z25:Z27))</f>
        <v>-27021.162</v>
      </c>
      <c r="AA28" s="24">
        <f>SUM(AA22+SUM(AA25:AA27))</f>
        <v>-24951.023000000001</v>
      </c>
      <c r="AB28" s="24">
        <f>SUM(AB22+SUM(AB25:AB27))</f>
        <v>-25502.575000000001</v>
      </c>
      <c r="AC28" s="24">
        <f>SUM(AC22+SUM(AC25:AC27))</f>
        <v>-22901.655999999995</v>
      </c>
      <c r="AD28" s="40"/>
      <c r="AE28" s="71">
        <f t="shared" si="5"/>
        <v>-0.25824002543437363</v>
      </c>
    </row>
    <row r="29" spans="2:31" ht="12.75" customHeight="1">
      <c r="B29" s="14" t="s">
        <v>102</v>
      </c>
      <c r="C29" s="15" t="e">
        <f>C28/C11</f>
        <v>#DIV/0!</v>
      </c>
      <c r="D29" s="15">
        <f>D28/D11</f>
        <v>-210.28708088235294</v>
      </c>
      <c r="E29" s="15">
        <f>E28/E11</f>
        <v>-75.478106145251402</v>
      </c>
      <c r="F29" s="25"/>
      <c r="G29" s="15">
        <f>G28/G11</f>
        <v>-228.3512163892446</v>
      </c>
      <c r="H29" s="15">
        <f>H28/H11</f>
        <v>-67.891790361004212</v>
      </c>
      <c r="I29" s="15">
        <f>I28/I11</f>
        <v>-201.06460181692609</v>
      </c>
      <c r="J29" s="15">
        <f>J28/J11</f>
        <v>-5797.6975460122858</v>
      </c>
      <c r="K29" s="15">
        <f>K28/K11</f>
        <v>-70.572795154733257</v>
      </c>
      <c r="L29" s="15">
        <f>L28/L11</f>
        <v>-41.380229967020227</v>
      </c>
      <c r="M29" s="15">
        <f>M28/M11</f>
        <v>-164.09079012590462</v>
      </c>
      <c r="N29" s="15">
        <f>N28/N11</f>
        <v>-74.77661834457875</v>
      </c>
      <c r="O29" s="15">
        <f>O28/O11</f>
        <v>-238.37037037037038</v>
      </c>
      <c r="P29" s="15">
        <f>P28/P11</f>
        <v>-28.382513661202186</v>
      </c>
      <c r="Q29" s="15">
        <f>Q28/Q11</f>
        <v>-56.188118811881189</v>
      </c>
      <c r="R29" s="26"/>
      <c r="S29" s="15">
        <f>S28/S11</f>
        <v>-46.237000228466997</v>
      </c>
      <c r="T29" s="15">
        <f>T28/T11</f>
        <v>-50.060223344270369</v>
      </c>
      <c r="U29" s="15">
        <f>U28/U11</f>
        <v>-174.70203914564266</v>
      </c>
      <c r="V29" s="15">
        <f>V28/V11</f>
        <v>-142.33942647058825</v>
      </c>
      <c r="W29" s="15">
        <f>W28/W11</f>
        <v>-79.605459629810468</v>
      </c>
      <c r="X29" s="15">
        <f>X28/X11</f>
        <v>-71.815214194326401</v>
      </c>
      <c r="Y29" s="15">
        <f>Y28/Y11</f>
        <v>-108.41425285741877</v>
      </c>
      <c r="Z29" s="15">
        <f>Z28/Z11</f>
        <v>-75.478106145251402</v>
      </c>
      <c r="AA29" s="15">
        <f>AA28/AA11</f>
        <v>-94.34349075509509</v>
      </c>
      <c r="AB29" s="15">
        <f>AB28/AB11</f>
        <v>-76.063514077785726</v>
      </c>
      <c r="AC29" s="15">
        <f>AC28/AC11</f>
        <v>-59.354549106506482</v>
      </c>
      <c r="AD29" s="41"/>
      <c r="AE29" s="72">
        <f>SUM(AC29-Y29)*1000</f>
        <v>49059.703750912289</v>
      </c>
    </row>
    <row r="30" spans="2:31" ht="5.0999999999999996" customHeight="1">
      <c r="B30" s="27"/>
      <c r="C30" s="42"/>
      <c r="D30" s="42"/>
      <c r="E30" s="42"/>
      <c r="F30" s="28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1"/>
      <c r="AE30" s="70"/>
    </row>
    <row r="31" spans="2:31" ht="12.75" customHeight="1">
      <c r="B31" s="43" t="s">
        <v>119</v>
      </c>
      <c r="C31" s="79">
        <v>0</v>
      </c>
      <c r="D31" s="79">
        <v>0</v>
      </c>
      <c r="E31" s="79">
        <v>0</v>
      </c>
      <c r="F31" s="30"/>
      <c r="G31" s="79">
        <v>0</v>
      </c>
      <c r="H31" s="79">
        <v>0</v>
      </c>
      <c r="I31" s="79">
        <v>0</v>
      </c>
      <c r="J31" s="30">
        <f t="shared" ref="J31" si="34">SUM(D31-SUM(G31:I31))</f>
        <v>0</v>
      </c>
      <c r="K31" s="79">
        <v>0</v>
      </c>
      <c r="L31" s="79">
        <v>0</v>
      </c>
      <c r="M31" s="79">
        <v>0</v>
      </c>
      <c r="N31" s="30">
        <f>SUM(E31-SUM(K31:M31))</f>
        <v>0</v>
      </c>
      <c r="O31" s="79">
        <v>0</v>
      </c>
      <c r="P31" s="79">
        <v>0</v>
      </c>
      <c r="Q31" s="79">
        <v>0</v>
      </c>
      <c r="R31" s="30"/>
      <c r="S31" s="30">
        <f>SUM(H31:K31)</f>
        <v>0</v>
      </c>
      <c r="T31" s="30">
        <f>SUM(I31:L31)</f>
        <v>0</v>
      </c>
      <c r="U31" s="30">
        <f>SUM(J31:M31)</f>
        <v>0</v>
      </c>
      <c r="V31" s="30">
        <f>SUM(K31:N31)</f>
        <v>0</v>
      </c>
      <c r="W31" s="30">
        <f>SUM(L31:O31)</f>
        <v>0</v>
      </c>
      <c r="X31" s="30">
        <f>SUM(M31:P31)</f>
        <v>0</v>
      </c>
      <c r="Y31" s="30">
        <f t="shared" ref="Y31" si="35">SUM(J31:M31)</f>
        <v>0</v>
      </c>
      <c r="Z31" s="30">
        <f t="shared" ref="Z31" si="36">SUM(K31:N31)</f>
        <v>0</v>
      </c>
      <c r="AA31" s="30">
        <f t="shared" ref="AA31" si="37">SUM(L31:O31)</f>
        <v>0</v>
      </c>
      <c r="AB31" s="30">
        <f t="shared" ref="AB31" si="38">SUM(M31:P31)</f>
        <v>0</v>
      </c>
      <c r="AC31" s="30">
        <f>SUM(N31:Q31)</f>
        <v>0</v>
      </c>
      <c r="AD31" s="41"/>
      <c r="AE31" s="70" t="e">
        <f t="shared" si="5"/>
        <v>#DIV/0!</v>
      </c>
    </row>
    <row r="32" spans="2:31" ht="12.75" customHeight="1">
      <c r="B32" s="12" t="s">
        <v>65</v>
      </c>
      <c r="C32" s="13">
        <f t="shared" ref="C32:E32" si="39">SUM(C28+C31)</f>
        <v>-16904.344000000001</v>
      </c>
      <c r="D32" s="13">
        <f t="shared" si="39"/>
        <v>-28599.043000000001</v>
      </c>
      <c r="E32" s="13">
        <f t="shared" si="39"/>
        <v>-27021.162</v>
      </c>
      <c r="F32" s="11"/>
      <c r="G32" s="13">
        <f t="shared" ref="G32:Q32" si="40">SUM(G28+G31)</f>
        <v>-7133.6920000000009</v>
      </c>
      <c r="H32" s="13">
        <f t="shared" si="40"/>
        <v>-4445.8259999999991</v>
      </c>
      <c r="I32" s="13">
        <f t="shared" si="40"/>
        <v>-7569.2779999999993</v>
      </c>
      <c r="J32" s="13">
        <f t="shared" si="40"/>
        <v>-9450.2469999999994</v>
      </c>
      <c r="K32" s="13">
        <f t="shared" si="40"/>
        <v>-8506.1389999999992</v>
      </c>
      <c r="L32" s="13">
        <f t="shared" si="40"/>
        <v>-4642.4479999999994</v>
      </c>
      <c r="M32" s="13">
        <f t="shared" si="40"/>
        <v>-8275.9189999999999</v>
      </c>
      <c r="N32" s="13">
        <f t="shared" si="40"/>
        <v>-5596.655999999999</v>
      </c>
      <c r="O32" s="13">
        <f t="shared" si="40"/>
        <v>-6436</v>
      </c>
      <c r="P32" s="13">
        <f t="shared" si="40"/>
        <v>-5194</v>
      </c>
      <c r="Q32" s="13">
        <f t="shared" si="40"/>
        <v>-5675</v>
      </c>
      <c r="R32" s="30"/>
      <c r="S32" s="13">
        <f t="shared" ref="S32:AC32" si="41">SUM(S28+S31)</f>
        <v>-24285.522000000004</v>
      </c>
      <c r="T32" s="13">
        <f t="shared" si="41"/>
        <v>-22763.584999999999</v>
      </c>
      <c r="U32" s="13">
        <f t="shared" si="41"/>
        <v>-23474.713000000003</v>
      </c>
      <c r="V32" s="13">
        <f t="shared" si="41"/>
        <v>-19358.162</v>
      </c>
      <c r="W32" s="13">
        <f t="shared" si="41"/>
        <v>-17934.313999999998</v>
      </c>
      <c r="X32" s="13">
        <f t="shared" si="41"/>
        <v>-19533.451000000001</v>
      </c>
      <c r="Y32" s="13">
        <f t="shared" si="41"/>
        <v>-30874.753000000001</v>
      </c>
      <c r="Z32" s="13">
        <f t="shared" si="41"/>
        <v>-27021.162</v>
      </c>
      <c r="AA32" s="13">
        <f t="shared" si="41"/>
        <v>-24951.023000000001</v>
      </c>
      <c r="AB32" s="13">
        <f t="shared" si="41"/>
        <v>-25502.575000000001</v>
      </c>
      <c r="AC32" s="13">
        <f t="shared" si="41"/>
        <v>-22901.655999999995</v>
      </c>
      <c r="AD32" s="34"/>
      <c r="AE32" s="71">
        <f t="shared" si="5"/>
        <v>-0.25824002543437363</v>
      </c>
    </row>
    <row r="33" spans="1:31" ht="12.75" customHeight="1">
      <c r="B33" s="14" t="s">
        <v>79</v>
      </c>
      <c r="C33" s="15" t="e">
        <f>C32/C11</f>
        <v>#DIV/0!</v>
      </c>
      <c r="D33" s="15">
        <f>D32/D11</f>
        <v>-210.28708088235294</v>
      </c>
      <c r="E33" s="15">
        <f>E32/E11</f>
        <v>-75.478106145251402</v>
      </c>
      <c r="F33" s="25"/>
      <c r="G33" s="15">
        <f>G32/G11</f>
        <v>-228.3512163892446</v>
      </c>
      <c r="H33" s="15">
        <f>H32/H11</f>
        <v>-67.891790361004212</v>
      </c>
      <c r="I33" s="15">
        <f>I32/I11</f>
        <v>-201.06460181692609</v>
      </c>
      <c r="J33" s="15">
        <f>J32/J11</f>
        <v>-5797.6975460122858</v>
      </c>
      <c r="K33" s="15">
        <f>K32/K11</f>
        <v>-70.572795154733257</v>
      </c>
      <c r="L33" s="15">
        <f>L32/L11</f>
        <v>-41.380229967020227</v>
      </c>
      <c r="M33" s="15">
        <f>M32/M11</f>
        <v>-164.09079012590462</v>
      </c>
      <c r="N33" s="15">
        <f>N32/N11</f>
        <v>-74.77661834457875</v>
      </c>
      <c r="O33" s="15">
        <f>O32/O11</f>
        <v>-238.37037037037038</v>
      </c>
      <c r="P33" s="15">
        <f>P32/P11</f>
        <v>-28.382513661202186</v>
      </c>
      <c r="Q33" s="15">
        <f>Q32/Q11</f>
        <v>-56.188118811881189</v>
      </c>
      <c r="R33" s="26"/>
      <c r="S33" s="15">
        <f>S32/S11</f>
        <v>-46.237000228466997</v>
      </c>
      <c r="T33" s="15">
        <f>T32/T11</f>
        <v>-50.060223344270369</v>
      </c>
      <c r="U33" s="15">
        <f>U32/U11</f>
        <v>-174.70203914564266</v>
      </c>
      <c r="V33" s="15">
        <f>V32/V11</f>
        <v>-142.33942647058825</v>
      </c>
      <c r="W33" s="15">
        <f>W32/W11</f>
        <v>-79.605459629810468</v>
      </c>
      <c r="X33" s="15">
        <f>X32/X11</f>
        <v>-71.815214194326401</v>
      </c>
      <c r="Y33" s="15">
        <f>Y32/Y11</f>
        <v>-108.41425285741877</v>
      </c>
      <c r="Z33" s="15">
        <f>Z32/Z11</f>
        <v>-75.478106145251402</v>
      </c>
      <c r="AA33" s="15">
        <f>AA32/AA11</f>
        <v>-94.34349075509509</v>
      </c>
      <c r="AB33" s="15">
        <f>AB32/AB11</f>
        <v>-76.063514077785726</v>
      </c>
      <c r="AC33" s="15">
        <f>AC32/AC11</f>
        <v>-59.354549106506482</v>
      </c>
      <c r="AD33" s="41"/>
      <c r="AE33" s="72">
        <f>SUM(AC33-Y33)*1000</f>
        <v>49059.703750912289</v>
      </c>
    </row>
    <row r="34" spans="1:31" ht="5.0999999999999996" customHeight="1">
      <c r="B34" s="14"/>
      <c r="C34" s="15"/>
      <c r="D34" s="15"/>
      <c r="E34" s="15"/>
      <c r="F34" s="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26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41"/>
      <c r="AE34" s="72"/>
    </row>
    <row r="35" spans="1:31" ht="12.75" customHeight="1">
      <c r="B35" s="43" t="s">
        <v>80</v>
      </c>
      <c r="C35" s="79"/>
      <c r="D35" s="79"/>
      <c r="E35" s="79"/>
      <c r="F35" s="25"/>
      <c r="G35" s="79"/>
      <c r="H35" s="79"/>
      <c r="I35" s="79"/>
      <c r="J35" s="30">
        <f>D35</f>
        <v>0</v>
      </c>
      <c r="K35" s="79"/>
      <c r="L35" s="79"/>
      <c r="M35" s="79"/>
      <c r="N35" s="30">
        <f>E35</f>
        <v>0</v>
      </c>
      <c r="O35" s="79"/>
      <c r="P35" s="79"/>
      <c r="Q35" s="79"/>
      <c r="R35" s="30"/>
      <c r="S35" s="30">
        <f t="shared" ref="S35:AB35" si="42">G35</f>
        <v>0</v>
      </c>
      <c r="T35" s="30">
        <f t="shared" si="42"/>
        <v>0</v>
      </c>
      <c r="U35" s="30">
        <f t="shared" si="42"/>
        <v>0</v>
      </c>
      <c r="V35" s="30">
        <f t="shared" si="42"/>
        <v>0</v>
      </c>
      <c r="W35" s="30">
        <f t="shared" si="42"/>
        <v>0</v>
      </c>
      <c r="X35" s="30">
        <f t="shared" si="42"/>
        <v>0</v>
      </c>
      <c r="Y35" s="30">
        <f t="shared" si="42"/>
        <v>0</v>
      </c>
      <c r="Z35" s="30">
        <f t="shared" si="42"/>
        <v>0</v>
      </c>
      <c r="AA35" s="30">
        <f t="shared" si="42"/>
        <v>0</v>
      </c>
      <c r="AB35" s="30">
        <f t="shared" si="42"/>
        <v>0</v>
      </c>
      <c r="AC35" s="30">
        <f>Q35</f>
        <v>0</v>
      </c>
      <c r="AD35" s="41"/>
      <c r="AE35" s="70" t="e">
        <f t="shared" ref="AE35" si="43">SUM(AC35/Y35)-1</f>
        <v>#DIV/0!</v>
      </c>
    </row>
    <row r="36" spans="1:31" ht="12.75" customHeight="1">
      <c r="B36" s="12" t="s">
        <v>81</v>
      </c>
      <c r="C36" s="73" t="e">
        <f t="shared" ref="C36:E36" si="44">C32/C35</f>
        <v>#DIV/0!</v>
      </c>
      <c r="D36" s="73" t="e">
        <f t="shared" si="44"/>
        <v>#DIV/0!</v>
      </c>
      <c r="E36" s="73" t="e">
        <f t="shared" si="44"/>
        <v>#DIV/0!</v>
      </c>
      <c r="F36" s="11"/>
      <c r="G36" s="73" t="e">
        <f t="shared" ref="G36:Q36" si="45">G32/G35</f>
        <v>#DIV/0!</v>
      </c>
      <c r="H36" s="73" t="e">
        <f t="shared" si="45"/>
        <v>#DIV/0!</v>
      </c>
      <c r="I36" s="73" t="e">
        <f t="shared" si="45"/>
        <v>#DIV/0!</v>
      </c>
      <c r="J36" s="73" t="e">
        <f t="shared" si="45"/>
        <v>#DIV/0!</v>
      </c>
      <c r="K36" s="73" t="e">
        <f t="shared" si="45"/>
        <v>#DIV/0!</v>
      </c>
      <c r="L36" s="73" t="e">
        <f t="shared" si="45"/>
        <v>#DIV/0!</v>
      </c>
      <c r="M36" s="73" t="e">
        <f t="shared" si="45"/>
        <v>#DIV/0!</v>
      </c>
      <c r="N36" s="73" t="e">
        <f>N32/N35</f>
        <v>#DIV/0!</v>
      </c>
      <c r="O36" s="73" t="e">
        <f t="shared" si="45"/>
        <v>#DIV/0!</v>
      </c>
      <c r="P36" s="73" t="e">
        <f t="shared" si="45"/>
        <v>#DIV/0!</v>
      </c>
      <c r="Q36" s="73" t="e">
        <f t="shared" si="45"/>
        <v>#DIV/0!</v>
      </c>
      <c r="R36" s="26"/>
      <c r="S36" s="73" t="e">
        <f t="shared" ref="S36:AC36" si="46">S32/S35</f>
        <v>#DIV/0!</v>
      </c>
      <c r="T36" s="73" t="e">
        <f t="shared" si="46"/>
        <v>#DIV/0!</v>
      </c>
      <c r="U36" s="73" t="e">
        <f t="shared" si="46"/>
        <v>#DIV/0!</v>
      </c>
      <c r="V36" s="73" t="e">
        <f t="shared" si="46"/>
        <v>#DIV/0!</v>
      </c>
      <c r="W36" s="73" t="e">
        <f t="shared" si="46"/>
        <v>#DIV/0!</v>
      </c>
      <c r="X36" s="73" t="e">
        <f t="shared" si="46"/>
        <v>#DIV/0!</v>
      </c>
      <c r="Y36" s="73" t="e">
        <f t="shared" si="46"/>
        <v>#DIV/0!</v>
      </c>
      <c r="Z36" s="73" t="e">
        <f t="shared" si="46"/>
        <v>#DIV/0!</v>
      </c>
      <c r="AA36" s="73" t="e">
        <f t="shared" si="46"/>
        <v>#DIV/0!</v>
      </c>
      <c r="AB36" s="73" t="e">
        <f t="shared" si="46"/>
        <v>#DIV/0!</v>
      </c>
      <c r="AC36" s="73" t="e">
        <f t="shared" si="46"/>
        <v>#DIV/0!</v>
      </c>
      <c r="AD36" s="34"/>
      <c r="AE36" s="71" t="e">
        <f>SUM(AC36/Y36)-1</f>
        <v>#DIV/0!</v>
      </c>
    </row>
    <row r="37" spans="1:31" ht="5.0999999999999996" customHeight="1">
      <c r="B37" s="14"/>
      <c r="C37" s="15"/>
      <c r="D37" s="15"/>
      <c r="E37" s="15"/>
      <c r="F37" s="2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6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41"/>
      <c r="AE37" s="72"/>
    </row>
    <row r="38" spans="1:31" ht="12.75" customHeight="1">
      <c r="B38" s="43" t="s">
        <v>82</v>
      </c>
      <c r="C38" s="79">
        <v>29156.814999999999</v>
      </c>
      <c r="D38" s="79">
        <v>55963.334000000003</v>
      </c>
      <c r="E38" s="79">
        <v>77451.356</v>
      </c>
      <c r="F38" s="25"/>
      <c r="G38" s="79">
        <v>29156.814999999999</v>
      </c>
      <c r="H38" s="79">
        <v>29204.543000000001</v>
      </c>
      <c r="I38" s="79"/>
      <c r="J38" s="30">
        <f>D38</f>
        <v>55963.334000000003</v>
      </c>
      <c r="K38" s="79">
        <v>78817.239000000001</v>
      </c>
      <c r="L38" s="79">
        <v>88937.925000000003</v>
      </c>
      <c r="M38" s="79">
        <v>96646.400999999998</v>
      </c>
      <c r="N38" s="30">
        <f>E38</f>
        <v>77451.356</v>
      </c>
      <c r="O38" s="79"/>
      <c r="P38" s="79">
        <v>93550</v>
      </c>
      <c r="Q38" s="79">
        <v>93048</v>
      </c>
      <c r="R38" s="30"/>
      <c r="S38" s="30">
        <f>K38</f>
        <v>78817.239000000001</v>
      </c>
      <c r="T38" s="30">
        <f>L38</f>
        <v>88937.925000000003</v>
      </c>
      <c r="U38" s="30">
        <f>M38</f>
        <v>96646.400999999998</v>
      </c>
      <c r="V38" s="30">
        <f>N38</f>
        <v>77451.356</v>
      </c>
      <c r="W38" s="30">
        <f>O38</f>
        <v>0</v>
      </c>
      <c r="X38" s="30">
        <f>P38</f>
        <v>93550</v>
      </c>
      <c r="Y38" s="30">
        <f t="shared" ref="Y38" si="47">M38</f>
        <v>96646.400999999998</v>
      </c>
      <c r="Z38" s="30">
        <f t="shared" ref="Z38" si="48">N38</f>
        <v>77451.356</v>
      </c>
      <c r="AA38" s="30">
        <f t="shared" ref="AA38" si="49">O38</f>
        <v>0</v>
      </c>
      <c r="AB38" s="30">
        <f t="shared" ref="AB38" si="50">P38</f>
        <v>93550</v>
      </c>
      <c r="AC38" s="30">
        <f>Q38</f>
        <v>93048</v>
      </c>
      <c r="AD38" s="41"/>
      <c r="AE38" s="70">
        <f t="shared" ref="AE38" si="51">SUM(AC38/Y38)-1</f>
        <v>-3.7232643562174594E-2</v>
      </c>
    </row>
    <row r="39" spans="1:31" ht="12.75" customHeight="1">
      <c r="B39" s="12" t="s">
        <v>83</v>
      </c>
      <c r="C39" s="73">
        <f t="shared" ref="C39:E39" si="52">C32/C38</f>
        <v>-0.5797733394405391</v>
      </c>
      <c r="D39" s="73">
        <f t="shared" si="52"/>
        <v>-0.51103179449601766</v>
      </c>
      <c r="E39" s="73">
        <f t="shared" si="52"/>
        <v>-0.34887913389147118</v>
      </c>
      <c r="F39" s="25"/>
      <c r="G39" s="73">
        <f t="shared" ref="G39:Q39" si="53">G32/G38</f>
        <v>-0.24466636702259836</v>
      </c>
      <c r="H39" s="73">
        <f t="shared" si="53"/>
        <v>-0.15223063069331366</v>
      </c>
      <c r="I39" s="73" t="e">
        <f t="shared" si="53"/>
        <v>#DIV/0!</v>
      </c>
      <c r="J39" s="73">
        <f t="shared" si="53"/>
        <v>-0.16886497505670409</v>
      </c>
      <c r="K39" s="73">
        <f t="shared" si="53"/>
        <v>-0.107922316334882</v>
      </c>
      <c r="L39" s="73">
        <f t="shared" si="53"/>
        <v>-5.2198744236499776E-2</v>
      </c>
      <c r="M39" s="73">
        <f t="shared" si="53"/>
        <v>-8.5630907249200097E-2</v>
      </c>
      <c r="N39" s="73">
        <f t="shared" si="53"/>
        <v>-7.2260271337276513E-2</v>
      </c>
      <c r="O39" s="73" t="e">
        <f t="shared" si="53"/>
        <v>#DIV/0!</v>
      </c>
      <c r="P39" s="73">
        <f t="shared" si="53"/>
        <v>-5.5521111704970601E-2</v>
      </c>
      <c r="Q39" s="73">
        <f t="shared" si="53"/>
        <v>-6.0990026652910326E-2</v>
      </c>
      <c r="R39" s="30"/>
      <c r="S39" s="73">
        <f t="shared" ref="S39:AC39" si="54">S32/S38</f>
        <v>-0.30812449545460485</v>
      </c>
      <c r="T39" s="73">
        <f t="shared" si="54"/>
        <v>-0.25594913530982422</v>
      </c>
      <c r="U39" s="73">
        <f t="shared" si="54"/>
        <v>-0.24289277983564028</v>
      </c>
      <c r="V39" s="73">
        <f t="shared" si="54"/>
        <v>-0.24993961371057211</v>
      </c>
      <c r="W39" s="73" t="e">
        <f t="shared" si="54"/>
        <v>#DIV/0!</v>
      </c>
      <c r="X39" s="73">
        <f t="shared" si="54"/>
        <v>-0.20880225547835382</v>
      </c>
      <c r="Y39" s="73">
        <f t="shared" si="54"/>
        <v>-0.3194609698916776</v>
      </c>
      <c r="Z39" s="73">
        <f t="shared" si="54"/>
        <v>-0.34887913389147118</v>
      </c>
      <c r="AA39" s="73" t="e">
        <f t="shared" si="54"/>
        <v>#DIV/0!</v>
      </c>
      <c r="AB39" s="73">
        <f t="shared" si="54"/>
        <v>-0.27260903260288616</v>
      </c>
      <c r="AC39" s="73">
        <f t="shared" si="54"/>
        <v>-0.24612733212965346</v>
      </c>
      <c r="AD39" s="34"/>
      <c r="AE39" s="71">
        <f>SUM(AC39/Y39)-1</f>
        <v>-0.22955429512059022</v>
      </c>
    </row>
    <row r="40" spans="1:31">
      <c r="B40" s="14"/>
      <c r="C40" s="15"/>
      <c r="D40" s="15"/>
      <c r="E40" s="79"/>
      <c r="F40" s="2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26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41"/>
    </row>
    <row r="41" spans="1:31" ht="12.75" customHeight="1">
      <c r="A41" s="5" t="s">
        <v>19</v>
      </c>
      <c r="B41" s="96" t="s">
        <v>96</v>
      </c>
      <c r="C41" s="97" t="s">
        <v>0</v>
      </c>
      <c r="D41" s="97"/>
      <c r="E41" s="97"/>
      <c r="F41" s="98"/>
      <c r="G41" s="97" t="s">
        <v>1</v>
      </c>
      <c r="H41" s="97"/>
      <c r="I41" s="97"/>
      <c r="J41" s="97"/>
      <c r="K41" s="97"/>
      <c r="L41" s="97"/>
      <c r="M41" s="97"/>
      <c r="N41" s="97"/>
      <c r="O41" s="97"/>
      <c r="P41" s="97"/>
      <c r="Q41" s="97" t="s">
        <v>1</v>
      </c>
      <c r="R41" s="96"/>
      <c r="S41" s="97"/>
      <c r="T41" s="97"/>
      <c r="U41" s="97"/>
      <c r="V41" s="97"/>
      <c r="W41" s="97"/>
      <c r="X41" s="97"/>
      <c r="Y41" s="97" t="s">
        <v>9</v>
      </c>
      <c r="Z41" s="97"/>
      <c r="AA41" s="97"/>
      <c r="AB41" s="97"/>
      <c r="AC41" s="97"/>
      <c r="AD41" s="98"/>
      <c r="AE41" s="142" t="s">
        <v>26</v>
      </c>
    </row>
    <row r="42" spans="1:31" ht="12.75" customHeight="1">
      <c r="B42" s="100" t="str">
        <f>B7</f>
        <v>Fiscal Period</v>
      </c>
      <c r="C42" s="99">
        <f>C7</f>
        <v>2021</v>
      </c>
      <c r="D42" s="99">
        <f>D7</f>
        <v>2022</v>
      </c>
      <c r="E42" s="99">
        <f>E7</f>
        <v>2023</v>
      </c>
      <c r="F42" s="98"/>
      <c r="G42" s="99" t="str">
        <f>G7</f>
        <v>1Q22</v>
      </c>
      <c r="H42" s="99" t="str">
        <f>H7</f>
        <v>2Q22</v>
      </c>
      <c r="I42" s="99" t="str">
        <f>I7</f>
        <v>3Q22</v>
      </c>
      <c r="J42" s="99" t="str">
        <f>J7</f>
        <v>4Q22</v>
      </c>
      <c r="K42" s="99" t="str">
        <f>K7</f>
        <v>1Q23</v>
      </c>
      <c r="L42" s="99" t="str">
        <f>L7</f>
        <v>2Q23</v>
      </c>
      <c r="M42" s="99" t="str">
        <f>M7</f>
        <v>3Q23</v>
      </c>
      <c r="N42" s="99" t="str">
        <f>N7</f>
        <v>4Q23</v>
      </c>
      <c r="O42" s="99" t="str">
        <f>O7</f>
        <v>1Q24</v>
      </c>
      <c r="P42" s="99" t="str">
        <f>P7</f>
        <v>2Q24</v>
      </c>
      <c r="Q42" s="99" t="str">
        <f>Q7</f>
        <v>3Q24</v>
      </c>
      <c r="R42" s="101"/>
      <c r="S42" s="99" t="str">
        <f>S7</f>
        <v>1Q22</v>
      </c>
      <c r="T42" s="99" t="str">
        <f>T7</f>
        <v>2Q22</v>
      </c>
      <c r="U42" s="99" t="str">
        <f>U7</f>
        <v>3Q22</v>
      </c>
      <c r="V42" s="99" t="str">
        <f>V7</f>
        <v>4Q22</v>
      </c>
      <c r="W42" s="99" t="str">
        <f>W7</f>
        <v>1Q23</v>
      </c>
      <c r="X42" s="99" t="str">
        <f>X7</f>
        <v>2Q23</v>
      </c>
      <c r="Y42" s="99" t="str">
        <f>Y7</f>
        <v>3Q23</v>
      </c>
      <c r="Z42" s="99" t="str">
        <f>Z7</f>
        <v>4Q23</v>
      </c>
      <c r="AA42" s="99" t="str">
        <f>AA7</f>
        <v>1Q24</v>
      </c>
      <c r="AB42" s="99" t="str">
        <f>AB7</f>
        <v>2Q24</v>
      </c>
      <c r="AC42" s="99" t="str">
        <f>AC7</f>
        <v>3Q24</v>
      </c>
      <c r="AD42" s="98"/>
      <c r="AE42" s="142"/>
    </row>
    <row r="43" spans="1:31" ht="12.75" customHeight="1">
      <c r="B43" s="100" t="str">
        <f>B8</f>
        <v>Fiscal Period End Date</v>
      </c>
      <c r="C43" s="102">
        <f>C8</f>
        <v>44561</v>
      </c>
      <c r="D43" s="102">
        <f>D8</f>
        <v>44926</v>
      </c>
      <c r="E43" s="102">
        <f>E8</f>
        <v>45291</v>
      </c>
      <c r="F43" s="98"/>
      <c r="G43" s="102">
        <f>G8</f>
        <v>44651</v>
      </c>
      <c r="H43" s="102">
        <f>H8</f>
        <v>44742</v>
      </c>
      <c r="I43" s="102">
        <f>I8</f>
        <v>44834</v>
      </c>
      <c r="J43" s="102">
        <f>J8</f>
        <v>44926</v>
      </c>
      <c r="K43" s="102">
        <f>K8</f>
        <v>45016</v>
      </c>
      <c r="L43" s="102">
        <f>L8</f>
        <v>45107</v>
      </c>
      <c r="M43" s="102">
        <f>M8</f>
        <v>45199</v>
      </c>
      <c r="N43" s="102">
        <f>N8</f>
        <v>45291</v>
      </c>
      <c r="O43" s="102">
        <f>O8</f>
        <v>45382</v>
      </c>
      <c r="P43" s="102">
        <f>P8</f>
        <v>45473</v>
      </c>
      <c r="Q43" s="102">
        <f>Q8</f>
        <v>45565</v>
      </c>
      <c r="R43" s="103"/>
      <c r="S43" s="102">
        <f>S8</f>
        <v>44651</v>
      </c>
      <c r="T43" s="102">
        <f>T8</f>
        <v>44742</v>
      </c>
      <c r="U43" s="102">
        <f>U8</f>
        <v>44834</v>
      </c>
      <c r="V43" s="102">
        <f>V8</f>
        <v>44926</v>
      </c>
      <c r="W43" s="102">
        <f>W8</f>
        <v>45016</v>
      </c>
      <c r="X43" s="102">
        <f>X8</f>
        <v>45107</v>
      </c>
      <c r="Y43" s="102">
        <f>Y8</f>
        <v>45199</v>
      </c>
      <c r="Z43" s="102">
        <f>Z8</f>
        <v>45291</v>
      </c>
      <c r="AA43" s="102">
        <f>AA8</f>
        <v>45382</v>
      </c>
      <c r="AB43" s="102">
        <f>AB8</f>
        <v>45473</v>
      </c>
      <c r="AC43" s="102">
        <f>AC8</f>
        <v>45565</v>
      </c>
      <c r="AD43" s="98"/>
      <c r="AE43" s="142"/>
    </row>
    <row r="44" spans="1:31" ht="5.0999999999999996" customHeight="1">
      <c r="B44" s="45"/>
      <c r="C44" s="46"/>
      <c r="D44" s="46"/>
      <c r="E44" s="46"/>
    </row>
    <row r="45" spans="1:31">
      <c r="B45" s="74" t="s">
        <v>103</v>
      </c>
      <c r="C45" s="46"/>
      <c r="D45" s="46"/>
      <c r="E45" s="46"/>
    </row>
    <row r="46" spans="1:31" ht="12.75" customHeight="1">
      <c r="B46" s="110" t="s">
        <v>113</v>
      </c>
      <c r="C46" s="111">
        <v>16738.656999999999</v>
      </c>
      <c r="D46" s="111">
        <v>5308</v>
      </c>
      <c r="E46" s="111">
        <v>2059</v>
      </c>
      <c r="G46" s="111">
        <v>11513.369000000001</v>
      </c>
      <c r="H46" s="111">
        <v>6742.7929999999997</v>
      </c>
      <c r="I46" s="111">
        <v>10381.376</v>
      </c>
      <c r="J46" s="87">
        <f t="shared" ref="J46:J51" si="55">D46</f>
        <v>5308</v>
      </c>
      <c r="K46" s="111">
        <v>6764.866</v>
      </c>
      <c r="L46" s="111">
        <v>7196.7950000000001</v>
      </c>
      <c r="M46" s="111">
        <v>7379.3620000000001</v>
      </c>
      <c r="N46" s="87">
        <f t="shared" ref="N46:N51" si="56">E46</f>
        <v>2059</v>
      </c>
      <c r="O46" s="111">
        <v>6101</v>
      </c>
      <c r="P46" s="111">
        <v>2526</v>
      </c>
      <c r="Q46" s="111">
        <v>3064</v>
      </c>
      <c r="R46" s="87"/>
      <c r="S46" s="87">
        <f t="shared" ref="S46:AB51" si="57">G46</f>
        <v>11513.369000000001</v>
      </c>
      <c r="T46" s="87">
        <f t="shared" si="57"/>
        <v>6742.7929999999997</v>
      </c>
      <c r="U46" s="87">
        <f t="shared" si="57"/>
        <v>10381.376</v>
      </c>
      <c r="V46" s="87">
        <f t="shared" si="57"/>
        <v>5308</v>
      </c>
      <c r="W46" s="87">
        <f t="shared" si="57"/>
        <v>6764.866</v>
      </c>
      <c r="X46" s="87">
        <f t="shared" si="57"/>
        <v>7196.7950000000001</v>
      </c>
      <c r="Y46" s="87">
        <f t="shared" si="57"/>
        <v>7379.3620000000001</v>
      </c>
      <c r="Z46" s="87">
        <f t="shared" si="57"/>
        <v>2059</v>
      </c>
      <c r="AA46" s="87">
        <f t="shared" si="57"/>
        <v>6101</v>
      </c>
      <c r="AB46" s="87">
        <f t="shared" si="57"/>
        <v>2526</v>
      </c>
      <c r="AC46" s="87">
        <f>Q46</f>
        <v>3064</v>
      </c>
      <c r="AD46" s="11"/>
      <c r="AE46" s="70">
        <f t="shared" ref="AE46:AE51" si="58">SUM(AC46/Y46)-1</f>
        <v>-0.58478795321329946</v>
      </c>
    </row>
    <row r="47" spans="1:31" ht="12.75" customHeight="1">
      <c r="B47" s="110" t="s">
        <v>13</v>
      </c>
      <c r="C47" s="111"/>
      <c r="D47" s="111">
        <v>13</v>
      </c>
      <c r="E47" s="111">
        <v>65</v>
      </c>
      <c r="G47" s="111">
        <v>25.047000000000001</v>
      </c>
      <c r="H47" s="111">
        <v>83.968999999999994</v>
      </c>
      <c r="I47" s="111">
        <v>94.807000000000002</v>
      </c>
      <c r="J47" s="87">
        <f t="shared" si="55"/>
        <v>13</v>
      </c>
      <c r="K47" s="111">
        <v>63.005000000000003</v>
      </c>
      <c r="L47" s="111">
        <v>121.389</v>
      </c>
      <c r="M47" s="111">
        <v>24.35</v>
      </c>
      <c r="N47" s="87">
        <f t="shared" si="56"/>
        <v>65</v>
      </c>
      <c r="O47" s="111">
        <v>32</v>
      </c>
      <c r="P47" s="111">
        <v>56</v>
      </c>
      <c r="Q47" s="111">
        <v>63</v>
      </c>
      <c r="R47" s="87"/>
      <c r="S47" s="87">
        <f>J47</f>
        <v>13</v>
      </c>
      <c r="T47" s="87">
        <f>K47</f>
        <v>63.005000000000003</v>
      </c>
      <c r="U47" s="87">
        <f>L47</f>
        <v>121.389</v>
      </c>
      <c r="V47" s="87">
        <f>M47</f>
        <v>24.35</v>
      </c>
      <c r="W47" s="87">
        <f>N47</f>
        <v>65</v>
      </c>
      <c r="X47" s="87">
        <f>O47</f>
        <v>32</v>
      </c>
      <c r="Y47" s="87">
        <f t="shared" si="57"/>
        <v>24.35</v>
      </c>
      <c r="Z47" s="87">
        <f t="shared" si="57"/>
        <v>65</v>
      </c>
      <c r="AA47" s="87">
        <f t="shared" si="57"/>
        <v>32</v>
      </c>
      <c r="AB47" s="87">
        <f t="shared" si="57"/>
        <v>56</v>
      </c>
      <c r="AC47" s="87">
        <f t="shared" ref="AC47:AC51" si="59">Q47</f>
        <v>63</v>
      </c>
      <c r="AD47" s="11"/>
      <c r="AE47" s="70">
        <f t="shared" si="58"/>
        <v>1.5872689938398357</v>
      </c>
    </row>
    <row r="48" spans="1:31" ht="12.75" customHeight="1">
      <c r="B48" s="110" t="s">
        <v>149</v>
      </c>
      <c r="C48" s="111"/>
      <c r="D48" s="111" t="s">
        <v>153</v>
      </c>
      <c r="E48" s="111">
        <v>73</v>
      </c>
      <c r="G48" s="111"/>
      <c r="H48" s="111"/>
      <c r="I48" s="111"/>
      <c r="J48" s="87" t="str">
        <f t="shared" si="55"/>
        <v xml:space="preserve"> </v>
      </c>
      <c r="K48" s="111"/>
      <c r="L48" s="111"/>
      <c r="M48" s="111"/>
      <c r="N48" s="87">
        <f t="shared" si="56"/>
        <v>73</v>
      </c>
      <c r="O48" s="111">
        <v>155</v>
      </c>
      <c r="P48" s="111">
        <v>266</v>
      </c>
      <c r="Q48" s="111">
        <v>241</v>
      </c>
      <c r="R48" s="87"/>
      <c r="S48" s="87"/>
      <c r="T48" s="87"/>
      <c r="U48" s="87"/>
      <c r="V48" s="87"/>
      <c r="W48" s="87"/>
      <c r="X48" s="87"/>
      <c r="Y48" s="87">
        <f t="shared" si="57"/>
        <v>0</v>
      </c>
      <c r="Z48" s="87">
        <f t="shared" si="57"/>
        <v>73</v>
      </c>
      <c r="AA48" s="87">
        <f t="shared" si="57"/>
        <v>155</v>
      </c>
      <c r="AB48" s="87">
        <f t="shared" si="57"/>
        <v>266</v>
      </c>
      <c r="AC48" s="87">
        <f t="shared" si="59"/>
        <v>241</v>
      </c>
      <c r="AD48" s="11"/>
      <c r="AE48" s="70"/>
    </row>
    <row r="49" spans="2:31" ht="12.75" customHeight="1">
      <c r="B49" s="110" t="s">
        <v>150</v>
      </c>
      <c r="C49" s="111"/>
      <c r="D49" s="111" t="s">
        <v>153</v>
      </c>
      <c r="E49" s="111">
        <v>279</v>
      </c>
      <c r="G49" s="111">
        <v>1258.6300000000001</v>
      </c>
      <c r="H49" s="111"/>
      <c r="I49" s="111"/>
      <c r="J49" s="87" t="str">
        <f t="shared" si="55"/>
        <v xml:space="preserve"> </v>
      </c>
      <c r="K49" s="111"/>
      <c r="L49" s="111">
        <v>504.66800000000001</v>
      </c>
      <c r="M49" s="111">
        <v>543.178</v>
      </c>
      <c r="N49" s="87">
        <f t="shared" si="56"/>
        <v>279</v>
      </c>
      <c r="O49" s="111">
        <v>286</v>
      </c>
      <c r="P49" s="111">
        <v>295</v>
      </c>
      <c r="Q49" s="111">
        <v>306</v>
      </c>
      <c r="R49" s="87"/>
      <c r="S49" s="87"/>
      <c r="T49" s="87"/>
      <c r="U49" s="87"/>
      <c r="V49" s="87"/>
      <c r="W49" s="87"/>
      <c r="X49" s="87"/>
      <c r="Y49" s="87">
        <f t="shared" si="57"/>
        <v>543.178</v>
      </c>
      <c r="Z49" s="87">
        <f t="shared" si="57"/>
        <v>279</v>
      </c>
      <c r="AA49" s="87">
        <f t="shared" si="57"/>
        <v>286</v>
      </c>
      <c r="AB49" s="87">
        <f t="shared" si="57"/>
        <v>295</v>
      </c>
      <c r="AC49" s="87">
        <f t="shared" si="59"/>
        <v>306</v>
      </c>
      <c r="AD49" s="11"/>
      <c r="AE49" s="70"/>
    </row>
    <row r="50" spans="2:31" ht="12.75" customHeight="1">
      <c r="B50" s="110" t="s">
        <v>151</v>
      </c>
      <c r="C50" s="111">
        <v>482.99799999999999</v>
      </c>
      <c r="D50" s="111">
        <v>129</v>
      </c>
      <c r="E50" s="111">
        <v>180</v>
      </c>
      <c r="G50" s="111">
        <v>452.584</v>
      </c>
      <c r="H50" s="111">
        <v>423.63900000000001</v>
      </c>
      <c r="I50" s="111">
        <v>318.72399999999999</v>
      </c>
      <c r="J50" s="87">
        <f t="shared" si="55"/>
        <v>129</v>
      </c>
      <c r="K50" s="111">
        <v>266.721</v>
      </c>
      <c r="L50" s="111">
        <v>213.73500000000001</v>
      </c>
      <c r="M50" s="111">
        <v>184.54</v>
      </c>
      <c r="N50" s="87">
        <f t="shared" si="56"/>
        <v>180</v>
      </c>
      <c r="O50" s="111">
        <v>253</v>
      </c>
      <c r="P50" s="111">
        <v>272</v>
      </c>
      <c r="Q50" s="111">
        <v>238</v>
      </c>
      <c r="R50" s="87"/>
      <c r="S50" s="87">
        <f>J50</f>
        <v>129</v>
      </c>
      <c r="T50" s="87">
        <f>K50</f>
        <v>266.721</v>
      </c>
      <c r="U50" s="87">
        <f>L50</f>
        <v>213.73500000000001</v>
      </c>
      <c r="V50" s="87">
        <f>M50</f>
        <v>184.54</v>
      </c>
      <c r="W50" s="87">
        <f>N50</f>
        <v>180</v>
      </c>
      <c r="X50" s="87">
        <f>O50</f>
        <v>253</v>
      </c>
      <c r="Y50" s="87">
        <f t="shared" si="57"/>
        <v>184.54</v>
      </c>
      <c r="Z50" s="87">
        <f t="shared" si="57"/>
        <v>180</v>
      </c>
      <c r="AA50" s="87">
        <f t="shared" si="57"/>
        <v>253</v>
      </c>
      <c r="AB50" s="87">
        <f t="shared" si="57"/>
        <v>272</v>
      </c>
      <c r="AC50" s="87">
        <f t="shared" si="59"/>
        <v>238</v>
      </c>
      <c r="AD50" s="11"/>
      <c r="AE50" s="70">
        <f t="shared" si="58"/>
        <v>0.28969329142733291</v>
      </c>
    </row>
    <row r="51" spans="2:31" ht="12.75" customHeight="1">
      <c r="B51" s="110" t="s">
        <v>152</v>
      </c>
      <c r="C51" s="111">
        <v>41.347999999999999</v>
      </c>
      <c r="D51" s="111"/>
      <c r="E51" s="111"/>
      <c r="G51" s="111">
        <v>41.689</v>
      </c>
      <c r="H51" s="111">
        <v>160.38900000000001</v>
      </c>
      <c r="I51" s="111">
        <v>302.31900000000002</v>
      </c>
      <c r="J51" s="87">
        <f t="shared" si="55"/>
        <v>0</v>
      </c>
      <c r="K51" s="111">
        <v>1309.0999999999999</v>
      </c>
      <c r="L51" s="111">
        <v>1451.364</v>
      </c>
      <c r="M51" s="111">
        <v>2958.2869999999998</v>
      </c>
      <c r="N51" s="87">
        <f t="shared" si="56"/>
        <v>0</v>
      </c>
      <c r="O51" s="111"/>
      <c r="P51" s="111"/>
      <c r="Q51" s="111"/>
      <c r="R51" s="87"/>
      <c r="S51" s="87">
        <f>J51</f>
        <v>0</v>
      </c>
      <c r="T51" s="87">
        <f>K51</f>
        <v>1309.0999999999999</v>
      </c>
      <c r="U51" s="87">
        <f>L51</f>
        <v>1451.364</v>
      </c>
      <c r="V51" s="87">
        <f>M51</f>
        <v>2958.2869999999998</v>
      </c>
      <c r="W51" s="87">
        <f>N51</f>
        <v>0</v>
      </c>
      <c r="X51" s="87">
        <f>O51</f>
        <v>0</v>
      </c>
      <c r="Y51" s="87">
        <f t="shared" si="57"/>
        <v>2958.2869999999998</v>
      </c>
      <c r="Z51" s="87">
        <f t="shared" si="57"/>
        <v>0</v>
      </c>
      <c r="AA51" s="87">
        <f t="shared" si="57"/>
        <v>0</v>
      </c>
      <c r="AB51" s="87">
        <f t="shared" si="57"/>
        <v>0</v>
      </c>
      <c r="AC51" s="87">
        <f t="shared" si="59"/>
        <v>0</v>
      </c>
      <c r="AD51" s="11"/>
      <c r="AE51" s="70">
        <f t="shared" si="58"/>
        <v>-1</v>
      </c>
    </row>
    <row r="52" spans="2:31" ht="12.75" customHeight="1">
      <c r="B52" s="23" t="s">
        <v>22</v>
      </c>
      <c r="C52" s="24">
        <f>SUM(C46:C51)</f>
        <v>17263.003000000001</v>
      </c>
      <c r="D52" s="24">
        <f>SUM(D46:D51)</f>
        <v>5450</v>
      </c>
      <c r="E52" s="24">
        <f>SUM(E46:E51)</f>
        <v>2656</v>
      </c>
      <c r="F52" s="47"/>
      <c r="G52" s="24">
        <f>SUM(G46:G51)</f>
        <v>13291.319000000003</v>
      </c>
      <c r="H52" s="24">
        <f>SUM(H46:H51)</f>
        <v>7410.79</v>
      </c>
      <c r="I52" s="24">
        <f>SUM(I46:I51)</f>
        <v>11097.226000000001</v>
      </c>
      <c r="J52" s="24">
        <f>SUM(J46:J51)</f>
        <v>5450</v>
      </c>
      <c r="K52" s="24">
        <f>SUM(K46:K51)</f>
        <v>8403.6920000000009</v>
      </c>
      <c r="L52" s="24">
        <f>SUM(L46:L51)</f>
        <v>9487.9509999999991</v>
      </c>
      <c r="M52" s="24">
        <f>SUM(M46:M51)</f>
        <v>11089.717000000001</v>
      </c>
      <c r="N52" s="24">
        <f>SUM(N46:N51)</f>
        <v>2656</v>
      </c>
      <c r="O52" s="24">
        <f>SUM(O46:O51)</f>
        <v>6827</v>
      </c>
      <c r="P52" s="24">
        <f>SUM(P46:P51)</f>
        <v>3415</v>
      </c>
      <c r="Q52" s="24">
        <f>SUM(Q46:Q51)</f>
        <v>3912</v>
      </c>
      <c r="R52" s="47"/>
      <c r="S52" s="24">
        <f t="shared" ref="S52:AC52" si="60">SUM(S46:S51)</f>
        <v>11655.369000000001</v>
      </c>
      <c r="T52" s="24">
        <f t="shared" si="60"/>
        <v>8381.6190000000006</v>
      </c>
      <c r="U52" s="24">
        <f t="shared" si="60"/>
        <v>12167.864</v>
      </c>
      <c r="V52" s="24">
        <f t="shared" si="60"/>
        <v>8475.1769999999997</v>
      </c>
      <c r="W52" s="24">
        <f t="shared" si="60"/>
        <v>7009.866</v>
      </c>
      <c r="X52" s="24">
        <f t="shared" si="60"/>
        <v>7481.7950000000001</v>
      </c>
      <c r="Y52" s="24">
        <f t="shared" si="60"/>
        <v>11089.717000000001</v>
      </c>
      <c r="Z52" s="24">
        <f t="shared" si="60"/>
        <v>2656</v>
      </c>
      <c r="AA52" s="24">
        <f t="shared" si="60"/>
        <v>6827</v>
      </c>
      <c r="AB52" s="24">
        <f t="shared" si="60"/>
        <v>3415</v>
      </c>
      <c r="AC52" s="24">
        <f t="shared" si="60"/>
        <v>3912</v>
      </c>
      <c r="AD52" s="40"/>
      <c r="AE52" s="71">
        <f>SUM(AC52/Y52)-1</f>
        <v>-0.64724077269059255</v>
      </c>
    </row>
    <row r="53" spans="2:31" ht="5.0999999999999996" customHeight="1">
      <c r="B53" s="23"/>
      <c r="C53" s="48"/>
      <c r="D53" s="39"/>
      <c r="E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37"/>
    </row>
    <row r="54" spans="2:31" ht="12.75" customHeight="1">
      <c r="B54" s="74" t="s">
        <v>104</v>
      </c>
      <c r="C54" s="79"/>
      <c r="D54" s="79"/>
      <c r="E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11"/>
      <c r="AE54" s="70"/>
    </row>
    <row r="55" spans="2:31" ht="12.75" customHeight="1">
      <c r="B55" s="9" t="s">
        <v>114</v>
      </c>
      <c r="C55" s="79"/>
      <c r="D55" s="79">
        <v>975</v>
      </c>
      <c r="E55" s="79">
        <v>2870</v>
      </c>
      <c r="G55" s="111"/>
      <c r="H55" s="111"/>
      <c r="I55" s="111"/>
      <c r="J55" s="87">
        <f t="shared" ref="J55:J60" si="61">D55</f>
        <v>975</v>
      </c>
      <c r="K55" s="111"/>
      <c r="L55" s="111"/>
      <c r="M55" s="111"/>
      <c r="N55" s="87">
        <f t="shared" ref="N55:N60" si="62">E55</f>
        <v>2870</v>
      </c>
      <c r="O55" s="111">
        <v>4381</v>
      </c>
      <c r="P55" s="111">
        <v>5387</v>
      </c>
      <c r="Q55" s="111">
        <v>5826</v>
      </c>
      <c r="R55" s="87"/>
      <c r="S55" s="87">
        <f>J55</f>
        <v>975</v>
      </c>
      <c r="T55" s="87">
        <f>K55</f>
        <v>0</v>
      </c>
      <c r="U55" s="87">
        <f>L55</f>
        <v>0</v>
      </c>
      <c r="V55" s="87">
        <f>M55</f>
        <v>0</v>
      </c>
      <c r="W55" s="87">
        <f>N55</f>
        <v>2870</v>
      </c>
      <c r="X55" s="87">
        <f>O55</f>
        <v>4381</v>
      </c>
      <c r="Y55" s="87">
        <f t="shared" ref="Y55:Y60" si="63">M55</f>
        <v>0</v>
      </c>
      <c r="Z55" s="87">
        <f t="shared" ref="Z55:Z60" si="64">N55</f>
        <v>2870</v>
      </c>
      <c r="AA55" s="87">
        <f t="shared" ref="AA55:AA60" si="65">O55</f>
        <v>4381</v>
      </c>
      <c r="AB55" s="87">
        <f t="shared" ref="AB55:AB60" si="66">P55</f>
        <v>5387</v>
      </c>
      <c r="AC55" s="87">
        <f t="shared" ref="AC55:AC60" si="67">Q55</f>
        <v>5826</v>
      </c>
      <c r="AD55" s="11"/>
      <c r="AE55" s="70" t="e">
        <f t="shared" ref="AE55:AE60" si="68">SUM(AC55/Y55)-1</f>
        <v>#DIV/0!</v>
      </c>
    </row>
    <row r="56" spans="2:31" ht="12.75" customHeight="1">
      <c r="B56" s="9" t="s">
        <v>115</v>
      </c>
      <c r="C56" s="79"/>
      <c r="D56" s="79">
        <v>1273</v>
      </c>
      <c r="E56" s="79">
        <v>1051</v>
      </c>
      <c r="G56" s="111"/>
      <c r="H56" s="111"/>
      <c r="I56" s="111"/>
      <c r="J56" s="87">
        <f t="shared" si="61"/>
        <v>1273</v>
      </c>
      <c r="K56" s="111"/>
      <c r="L56" s="111"/>
      <c r="M56" s="111"/>
      <c r="N56" s="87">
        <f t="shared" si="62"/>
        <v>1051</v>
      </c>
      <c r="O56" s="111">
        <v>986</v>
      </c>
      <c r="P56" s="111">
        <v>923</v>
      </c>
      <c r="Q56" s="111">
        <v>1622</v>
      </c>
      <c r="S56" s="30">
        <f>K56</f>
        <v>0</v>
      </c>
      <c r="T56" s="30">
        <f>L56</f>
        <v>0</v>
      </c>
      <c r="U56" s="30">
        <f>M56</f>
        <v>0</v>
      </c>
      <c r="V56" s="30">
        <f>N56</f>
        <v>1051</v>
      </c>
      <c r="W56" s="30">
        <f>O56</f>
        <v>986</v>
      </c>
      <c r="X56" s="30">
        <f>P56</f>
        <v>923</v>
      </c>
      <c r="Y56" s="87">
        <f t="shared" si="63"/>
        <v>0</v>
      </c>
      <c r="Z56" s="87">
        <f t="shared" si="64"/>
        <v>1051</v>
      </c>
      <c r="AA56" s="87">
        <f t="shared" si="65"/>
        <v>986</v>
      </c>
      <c r="AB56" s="87">
        <f t="shared" si="66"/>
        <v>923</v>
      </c>
      <c r="AC56" s="87">
        <f t="shared" si="67"/>
        <v>1622</v>
      </c>
      <c r="AD56" s="11"/>
      <c r="AE56" s="70" t="e">
        <f t="shared" si="68"/>
        <v>#DIV/0!</v>
      </c>
    </row>
    <row r="57" spans="2:31" ht="12.75" customHeight="1">
      <c r="B57" s="9" t="s">
        <v>154</v>
      </c>
      <c r="C57" s="79"/>
      <c r="D57" s="79">
        <v>15180</v>
      </c>
      <c r="E57" s="79">
        <v>12076</v>
      </c>
      <c r="G57" s="111"/>
      <c r="H57" s="111">
        <v>25222.335999999999</v>
      </c>
      <c r="I57" s="111">
        <v>2372.3029999999999</v>
      </c>
      <c r="J57" s="87">
        <f t="shared" si="61"/>
        <v>15180</v>
      </c>
      <c r="K57" s="111">
        <v>20724.419000000002</v>
      </c>
      <c r="L57" s="111">
        <v>12810.01</v>
      </c>
      <c r="M57" s="111">
        <v>12099.013000000001</v>
      </c>
      <c r="N57" s="87">
        <f t="shared" si="62"/>
        <v>12076</v>
      </c>
      <c r="O57" s="111">
        <v>11300</v>
      </c>
      <c r="P57" s="111">
        <v>10524</v>
      </c>
      <c r="Q57" s="111">
        <v>9748</v>
      </c>
      <c r="S57" s="30">
        <f>K57</f>
        <v>20724.419000000002</v>
      </c>
      <c r="T57" s="30">
        <f>L57</f>
        <v>12810.01</v>
      </c>
      <c r="U57" s="30">
        <f>M57</f>
        <v>12099.013000000001</v>
      </c>
      <c r="V57" s="30">
        <f>N57</f>
        <v>12076</v>
      </c>
      <c r="W57" s="30">
        <f>O57</f>
        <v>11300</v>
      </c>
      <c r="X57" s="30">
        <f>P57</f>
        <v>10524</v>
      </c>
      <c r="Y57" s="87">
        <f t="shared" si="63"/>
        <v>12099.013000000001</v>
      </c>
      <c r="Z57" s="87">
        <f t="shared" si="64"/>
        <v>12076</v>
      </c>
      <c r="AA57" s="87">
        <f t="shared" si="65"/>
        <v>11300</v>
      </c>
      <c r="AB57" s="87">
        <f t="shared" si="66"/>
        <v>10524</v>
      </c>
      <c r="AC57" s="87">
        <f t="shared" si="67"/>
        <v>9748</v>
      </c>
      <c r="AD57" s="11"/>
      <c r="AE57" s="70">
        <f t="shared" si="68"/>
        <v>-0.19431444531880415</v>
      </c>
    </row>
    <row r="58" spans="2:31" ht="12.75" customHeight="1">
      <c r="B58" s="9" t="s">
        <v>116</v>
      </c>
      <c r="C58" s="79"/>
      <c r="D58" s="79">
        <v>55573</v>
      </c>
      <c r="E58" s="79">
        <v>55573</v>
      </c>
      <c r="G58" s="111"/>
      <c r="H58" s="111">
        <v>59125.773000000001</v>
      </c>
      <c r="I58" s="111">
        <v>59125.773000000001</v>
      </c>
      <c r="J58" s="87">
        <f t="shared" si="61"/>
        <v>55573</v>
      </c>
      <c r="K58" s="111">
        <v>59125.773000000001</v>
      </c>
      <c r="L58" s="111">
        <v>65106.678</v>
      </c>
      <c r="M58" s="111">
        <v>64921.294000000002</v>
      </c>
      <c r="N58" s="87">
        <f t="shared" si="62"/>
        <v>55573</v>
      </c>
      <c r="O58" s="111">
        <v>55573</v>
      </c>
      <c r="P58" s="111">
        <v>55573</v>
      </c>
      <c r="Q58" s="111">
        <v>55573</v>
      </c>
      <c r="S58" s="30">
        <f>K58</f>
        <v>59125.773000000001</v>
      </c>
      <c r="T58" s="30">
        <f>L58</f>
        <v>65106.678</v>
      </c>
      <c r="U58" s="30">
        <f>M58</f>
        <v>64921.294000000002</v>
      </c>
      <c r="V58" s="30">
        <f>N58</f>
        <v>55573</v>
      </c>
      <c r="W58" s="30">
        <f>O58</f>
        <v>55573</v>
      </c>
      <c r="X58" s="30">
        <f>P58</f>
        <v>55573</v>
      </c>
      <c r="Y58" s="87">
        <f t="shared" si="63"/>
        <v>64921.294000000002</v>
      </c>
      <c r="Z58" s="87">
        <f t="shared" si="64"/>
        <v>55573</v>
      </c>
      <c r="AA58" s="87">
        <f t="shared" si="65"/>
        <v>55573</v>
      </c>
      <c r="AB58" s="87">
        <f t="shared" si="66"/>
        <v>55573</v>
      </c>
      <c r="AC58" s="87">
        <f t="shared" si="67"/>
        <v>55573</v>
      </c>
      <c r="AD58" s="11"/>
      <c r="AE58" s="70">
        <f t="shared" si="68"/>
        <v>-0.14399426480932442</v>
      </c>
    </row>
    <row r="59" spans="2:31" ht="12.75" customHeight="1">
      <c r="B59" s="9" t="s">
        <v>155</v>
      </c>
      <c r="C59" s="79">
        <v>18.084</v>
      </c>
      <c r="D59" s="79"/>
      <c r="E59" s="79"/>
      <c r="G59" s="111">
        <v>8.657</v>
      </c>
      <c r="H59" s="111">
        <v>22.937000000000001</v>
      </c>
      <c r="I59" s="111">
        <v>1321.1110000000001</v>
      </c>
      <c r="J59" s="87">
        <f t="shared" si="61"/>
        <v>0</v>
      </c>
      <c r="K59" s="111">
        <v>1212.9179999999999</v>
      </c>
      <c r="L59" s="111">
        <v>1178.933</v>
      </c>
      <c r="M59" s="111">
        <v>1115.3969999999999</v>
      </c>
      <c r="N59" s="87">
        <f t="shared" si="62"/>
        <v>0</v>
      </c>
      <c r="O59" s="111"/>
      <c r="P59" s="111"/>
      <c r="Q59" s="111"/>
      <c r="S59" s="30">
        <f>K59</f>
        <v>1212.9179999999999</v>
      </c>
      <c r="T59" s="30">
        <f>L59</f>
        <v>1178.933</v>
      </c>
      <c r="U59" s="30">
        <f>M59</f>
        <v>1115.3969999999999</v>
      </c>
      <c r="V59" s="30">
        <f>N59</f>
        <v>0</v>
      </c>
      <c r="W59" s="30">
        <f>O59</f>
        <v>0</v>
      </c>
      <c r="X59" s="30">
        <f>P59</f>
        <v>0</v>
      </c>
      <c r="Y59" s="87">
        <f t="shared" si="63"/>
        <v>1115.3969999999999</v>
      </c>
      <c r="Z59" s="87">
        <f t="shared" si="64"/>
        <v>0</v>
      </c>
      <c r="AA59" s="87">
        <f t="shared" si="65"/>
        <v>0</v>
      </c>
      <c r="AB59" s="87">
        <f t="shared" si="66"/>
        <v>0</v>
      </c>
      <c r="AC59" s="87">
        <f t="shared" si="67"/>
        <v>0</v>
      </c>
      <c r="AD59" s="11"/>
      <c r="AE59" s="70">
        <f t="shared" si="68"/>
        <v>-1</v>
      </c>
    </row>
    <row r="60" spans="2:31" ht="12.75" customHeight="1">
      <c r="B60" s="9" t="s">
        <v>156</v>
      </c>
      <c r="C60" s="79">
        <v>3.109</v>
      </c>
      <c r="D60" s="79">
        <v>60</v>
      </c>
      <c r="E60" s="79">
        <v>129</v>
      </c>
      <c r="G60" s="111">
        <v>3.109</v>
      </c>
      <c r="H60" s="111">
        <v>98.224999999999994</v>
      </c>
      <c r="I60" s="111">
        <v>56.881</v>
      </c>
      <c r="J60" s="87">
        <f t="shared" si="61"/>
        <v>60</v>
      </c>
      <c r="K60" s="111">
        <v>60.271000000000001</v>
      </c>
      <c r="L60" s="111">
        <v>64.218000000000004</v>
      </c>
      <c r="M60" s="111">
        <v>129.04499999999999</v>
      </c>
      <c r="N60" s="87">
        <f t="shared" si="62"/>
        <v>129</v>
      </c>
      <c r="O60" s="111">
        <v>129</v>
      </c>
      <c r="P60" s="111">
        <v>133</v>
      </c>
      <c r="Q60" s="111">
        <v>129</v>
      </c>
      <c r="S60" s="30">
        <f>K60</f>
        <v>60.271000000000001</v>
      </c>
      <c r="T60" s="30">
        <f>L60</f>
        <v>64.218000000000004</v>
      </c>
      <c r="U60" s="30">
        <f>M60</f>
        <v>129.04499999999999</v>
      </c>
      <c r="V60" s="30">
        <f>N60</f>
        <v>129</v>
      </c>
      <c r="W60" s="30">
        <f>O60</f>
        <v>129</v>
      </c>
      <c r="X60" s="30">
        <f>P60</f>
        <v>133</v>
      </c>
      <c r="Y60" s="87">
        <f t="shared" si="63"/>
        <v>129.04499999999999</v>
      </c>
      <c r="Z60" s="87">
        <f t="shared" si="64"/>
        <v>129</v>
      </c>
      <c r="AA60" s="87">
        <f t="shared" si="65"/>
        <v>129</v>
      </c>
      <c r="AB60" s="87">
        <f t="shared" si="66"/>
        <v>133</v>
      </c>
      <c r="AC60" s="87">
        <f t="shared" si="67"/>
        <v>129</v>
      </c>
      <c r="AD60" s="11"/>
      <c r="AE60" s="70">
        <f t="shared" si="68"/>
        <v>-3.4871556433790918E-4</v>
      </c>
    </row>
    <row r="61" spans="2:31" ht="12.75" customHeight="1">
      <c r="B61" s="12" t="s">
        <v>23</v>
      </c>
      <c r="C61" s="13">
        <f>SUM(C55:C60)+C52</f>
        <v>17284.196</v>
      </c>
      <c r="D61" s="13">
        <f>SUM(D55:D60)+D52</f>
        <v>78511</v>
      </c>
      <c r="E61" s="13">
        <f>SUM(E55:E60)+E52</f>
        <v>74355</v>
      </c>
      <c r="G61" s="13">
        <f t="shared" ref="G61:Q61" si="69">SUM(G55:G60)+G52</f>
        <v>13303.085000000003</v>
      </c>
      <c r="H61" s="13">
        <f t="shared" si="69"/>
        <v>91880.061000000002</v>
      </c>
      <c r="I61" s="13">
        <f t="shared" si="69"/>
        <v>73973.293999999994</v>
      </c>
      <c r="J61" s="13">
        <f t="shared" si="69"/>
        <v>78511</v>
      </c>
      <c r="K61" s="13">
        <f t="shared" si="69"/>
        <v>89527.073000000004</v>
      </c>
      <c r="L61" s="13">
        <f t="shared" si="69"/>
        <v>88647.79</v>
      </c>
      <c r="M61" s="13">
        <f t="shared" si="69"/>
        <v>89354.466</v>
      </c>
      <c r="N61" s="13">
        <f t="shared" si="69"/>
        <v>74355</v>
      </c>
      <c r="O61" s="13">
        <f t="shared" si="69"/>
        <v>79196</v>
      </c>
      <c r="P61" s="13">
        <f t="shared" si="69"/>
        <v>75955</v>
      </c>
      <c r="Q61" s="13">
        <f t="shared" si="69"/>
        <v>76810</v>
      </c>
      <c r="S61" s="13">
        <f t="shared" ref="S61:AC61" si="70">SUM(S55:S60)+S52</f>
        <v>93753.750000000015</v>
      </c>
      <c r="T61" s="13">
        <f t="shared" si="70"/>
        <v>87541.457999999999</v>
      </c>
      <c r="U61" s="13">
        <f t="shared" si="70"/>
        <v>90432.612999999998</v>
      </c>
      <c r="V61" s="13">
        <f t="shared" si="70"/>
        <v>77304.176999999996</v>
      </c>
      <c r="W61" s="13">
        <f t="shared" si="70"/>
        <v>77867.865999999995</v>
      </c>
      <c r="X61" s="13">
        <f t="shared" si="70"/>
        <v>79015.794999999998</v>
      </c>
      <c r="Y61" s="13">
        <f t="shared" si="70"/>
        <v>89354.466</v>
      </c>
      <c r="Z61" s="13">
        <f t="shared" si="70"/>
        <v>74355</v>
      </c>
      <c r="AA61" s="13">
        <f t="shared" si="70"/>
        <v>79196</v>
      </c>
      <c r="AB61" s="13">
        <f t="shared" si="70"/>
        <v>75955</v>
      </c>
      <c r="AC61" s="13">
        <f t="shared" si="70"/>
        <v>76810</v>
      </c>
      <c r="AD61" s="40"/>
      <c r="AE61" s="71">
        <f>SUM(AC61/Y61)-1</f>
        <v>-0.14038991626898645</v>
      </c>
    </row>
    <row r="62" spans="2:31" ht="12.75" customHeight="1">
      <c r="B62" s="23"/>
      <c r="C62" s="49"/>
      <c r="D62" s="39"/>
      <c r="E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37"/>
    </row>
    <row r="63" spans="2:31" ht="12.75" customHeight="1">
      <c r="B63" s="74" t="s">
        <v>56</v>
      </c>
      <c r="C63" s="49"/>
      <c r="D63" s="39"/>
      <c r="E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37"/>
    </row>
    <row r="64" spans="2:31" ht="12.75" customHeight="1">
      <c r="B64" s="110" t="s">
        <v>14</v>
      </c>
      <c r="C64" s="79">
        <v>464.87</v>
      </c>
      <c r="D64" s="79">
        <v>871.88699999999994</v>
      </c>
      <c r="E64" s="79">
        <v>1462</v>
      </c>
      <c r="G64" s="111">
        <v>797.005</v>
      </c>
      <c r="H64" s="111">
        <v>756.62199999999996</v>
      </c>
      <c r="I64" s="111">
        <v>888.10500000000002</v>
      </c>
      <c r="J64" s="87">
        <f t="shared" ref="J64:J71" si="71">D64</f>
        <v>871.88699999999994</v>
      </c>
      <c r="K64" s="111">
        <v>922.03200000000004</v>
      </c>
      <c r="L64" s="111">
        <v>935.351</v>
      </c>
      <c r="M64" s="111">
        <v>1130.739</v>
      </c>
      <c r="N64" s="87">
        <f t="shared" ref="N64:N71" si="72">E64</f>
        <v>1462</v>
      </c>
      <c r="O64" s="111">
        <v>1681</v>
      </c>
      <c r="P64" s="111">
        <v>1672</v>
      </c>
      <c r="Q64" s="111">
        <v>923</v>
      </c>
      <c r="S64" s="30">
        <f>K64</f>
        <v>922.03200000000004</v>
      </c>
      <c r="T64" s="30">
        <f>L64</f>
        <v>935.351</v>
      </c>
      <c r="U64" s="30">
        <f>M64</f>
        <v>1130.739</v>
      </c>
      <c r="V64" s="30">
        <f>N64</f>
        <v>1462</v>
      </c>
      <c r="W64" s="30">
        <f>O64</f>
        <v>1681</v>
      </c>
      <c r="X64" s="30">
        <f>P64</f>
        <v>1672</v>
      </c>
      <c r="Y64" s="87">
        <f t="shared" ref="Y64:Y71" si="73">M64</f>
        <v>1130.739</v>
      </c>
      <c r="Z64" s="87">
        <f t="shared" ref="Z64:Z71" si="74">N64</f>
        <v>1462</v>
      </c>
      <c r="AA64" s="87">
        <f t="shared" ref="AA64:AA71" si="75">O64</f>
        <v>1681</v>
      </c>
      <c r="AB64" s="87">
        <f t="shared" ref="AB64:AB71" si="76">P64</f>
        <v>1672</v>
      </c>
      <c r="AC64" s="87">
        <f t="shared" ref="AC64:AC71" si="77">Q64</f>
        <v>923</v>
      </c>
      <c r="AD64" s="11"/>
      <c r="AE64" s="70">
        <f t="shared" ref="AE64" si="78">SUM(AC64/Y64)-1</f>
        <v>-0.18371967359399477</v>
      </c>
    </row>
    <row r="65" spans="2:31" ht="12.75" customHeight="1">
      <c r="B65" s="110" t="s">
        <v>157</v>
      </c>
      <c r="C65" s="79">
        <v>478.505</v>
      </c>
      <c r="D65" s="79">
        <v>3559.9810000000002</v>
      </c>
      <c r="E65" s="79">
        <v>639</v>
      </c>
      <c r="G65" s="111">
        <v>8.14</v>
      </c>
      <c r="H65" s="111">
        <v>296.16699999999997</v>
      </c>
      <c r="I65" s="111">
        <v>673.57</v>
      </c>
      <c r="J65" s="87">
        <f t="shared" si="71"/>
        <v>3559.9810000000002</v>
      </c>
      <c r="K65" s="111">
        <v>1718.8230000000001</v>
      </c>
      <c r="L65" s="111">
        <v>2827.8620000000001</v>
      </c>
      <c r="M65" s="111">
        <v>1030.357</v>
      </c>
      <c r="N65" s="87">
        <f t="shared" si="72"/>
        <v>639</v>
      </c>
      <c r="O65" s="111">
        <v>605</v>
      </c>
      <c r="P65" s="111">
        <v>327</v>
      </c>
      <c r="Q65" s="111">
        <v>539</v>
      </c>
      <c r="S65" s="30">
        <f>K65</f>
        <v>1718.8230000000001</v>
      </c>
      <c r="T65" s="30">
        <f>L65</f>
        <v>2827.8620000000001</v>
      </c>
      <c r="U65" s="30">
        <f>M65</f>
        <v>1030.357</v>
      </c>
      <c r="V65" s="30">
        <f>N65</f>
        <v>639</v>
      </c>
      <c r="W65" s="30">
        <f>O65</f>
        <v>605</v>
      </c>
      <c r="X65" s="30">
        <f>P65</f>
        <v>327</v>
      </c>
      <c r="Y65" s="87">
        <f t="shared" si="73"/>
        <v>1030.357</v>
      </c>
      <c r="Z65" s="87">
        <f t="shared" si="74"/>
        <v>639</v>
      </c>
      <c r="AA65" s="87">
        <f t="shared" si="75"/>
        <v>605</v>
      </c>
      <c r="AB65" s="87">
        <f t="shared" si="76"/>
        <v>327</v>
      </c>
      <c r="AC65" s="87">
        <f t="shared" si="77"/>
        <v>539</v>
      </c>
      <c r="AD65" s="11"/>
      <c r="AE65" s="70">
        <f t="shared" ref="AE65:AE71" si="79">SUM(AC65/Y65)-1</f>
        <v>-0.47688034341495222</v>
      </c>
    </row>
    <row r="66" spans="2:31" ht="12.75" customHeight="1">
      <c r="B66" s="110" t="s">
        <v>158</v>
      </c>
      <c r="C66" s="79"/>
      <c r="D66" s="79" t="s">
        <v>163</v>
      </c>
      <c r="E66" s="79">
        <v>1925</v>
      </c>
      <c r="G66" s="111"/>
      <c r="H66" s="111"/>
      <c r="I66" s="111"/>
      <c r="J66" s="87" t="str">
        <f t="shared" si="71"/>
        <v> </v>
      </c>
      <c r="K66" s="111"/>
      <c r="L66" s="111"/>
      <c r="M66" s="111"/>
      <c r="N66" s="87">
        <f t="shared" si="72"/>
        <v>1925</v>
      </c>
      <c r="O66" s="111"/>
      <c r="P66" s="111"/>
      <c r="Q66" s="111"/>
      <c r="S66" s="30"/>
      <c r="T66" s="30"/>
      <c r="U66" s="30"/>
      <c r="V66" s="30"/>
      <c r="W66" s="30"/>
      <c r="X66" s="30"/>
      <c r="Y66" s="87">
        <f t="shared" si="73"/>
        <v>0</v>
      </c>
      <c r="Z66" s="87">
        <f t="shared" si="74"/>
        <v>1925</v>
      </c>
      <c r="AA66" s="87">
        <f t="shared" si="75"/>
        <v>0</v>
      </c>
      <c r="AB66" s="87">
        <f t="shared" si="76"/>
        <v>0</v>
      </c>
      <c r="AC66" s="87">
        <f t="shared" si="77"/>
        <v>0</v>
      </c>
      <c r="AD66" s="11"/>
      <c r="AE66" s="70"/>
    </row>
    <row r="67" spans="2:31" ht="12.75" customHeight="1">
      <c r="B67" s="110" t="s">
        <v>137</v>
      </c>
      <c r="C67" s="79"/>
      <c r="D67" s="79"/>
      <c r="E67" s="79"/>
      <c r="G67" s="111"/>
      <c r="H67" s="111"/>
      <c r="I67" s="111"/>
      <c r="J67" s="87">
        <f t="shared" si="71"/>
        <v>0</v>
      </c>
      <c r="K67" s="111"/>
      <c r="L67" s="111"/>
      <c r="M67" s="111">
        <v>12</v>
      </c>
      <c r="N67" s="87">
        <f t="shared" si="72"/>
        <v>0</v>
      </c>
      <c r="O67" s="111">
        <v>8</v>
      </c>
      <c r="P67" s="111">
        <v>104</v>
      </c>
      <c r="Q67" s="111">
        <v>48</v>
      </c>
      <c r="S67" s="30"/>
      <c r="T67" s="30"/>
      <c r="U67" s="30"/>
      <c r="V67" s="30"/>
      <c r="W67" s="30"/>
      <c r="X67" s="30"/>
      <c r="Y67" s="87">
        <f t="shared" si="73"/>
        <v>12</v>
      </c>
      <c r="Z67" s="87">
        <f t="shared" si="74"/>
        <v>0</v>
      </c>
      <c r="AA67" s="87">
        <f t="shared" si="75"/>
        <v>8</v>
      </c>
      <c r="AB67" s="87">
        <f t="shared" si="76"/>
        <v>104</v>
      </c>
      <c r="AC67" s="87">
        <f t="shared" si="77"/>
        <v>48</v>
      </c>
      <c r="AD67" s="11"/>
      <c r="AE67" s="70"/>
    </row>
    <row r="68" spans="2:31" ht="12.75" customHeight="1">
      <c r="B68" s="110" t="s">
        <v>159</v>
      </c>
      <c r="C68" s="79">
        <v>18.084</v>
      </c>
      <c r="D68" s="79">
        <v>1357.924</v>
      </c>
      <c r="E68" s="79"/>
      <c r="G68" s="111">
        <v>8.6560000000000006</v>
      </c>
      <c r="H68" s="111">
        <v>22.937000000000001</v>
      </c>
      <c r="I68" s="111">
        <v>1305.6669999999999</v>
      </c>
      <c r="J68" s="87">
        <f t="shared" si="71"/>
        <v>1357.924</v>
      </c>
      <c r="K68" s="111">
        <v>1245.8610000000001</v>
      </c>
      <c r="L68" s="111">
        <v>1214.6400000000001</v>
      </c>
      <c r="M68" s="111">
        <v>1153.8679999999999</v>
      </c>
      <c r="N68" s="87">
        <f t="shared" si="72"/>
        <v>0</v>
      </c>
      <c r="O68" s="111"/>
      <c r="P68" s="111"/>
      <c r="Q68" s="111"/>
      <c r="S68" s="30"/>
      <c r="T68" s="30"/>
      <c r="U68" s="30"/>
      <c r="V68" s="30"/>
      <c r="W68" s="30"/>
      <c r="X68" s="30"/>
      <c r="Y68" s="87">
        <f t="shared" si="73"/>
        <v>1153.8679999999999</v>
      </c>
      <c r="Z68" s="87">
        <f t="shared" si="74"/>
        <v>0</v>
      </c>
      <c r="AA68" s="87">
        <f t="shared" si="75"/>
        <v>0</v>
      </c>
      <c r="AB68" s="87">
        <f t="shared" si="76"/>
        <v>0</v>
      </c>
      <c r="AC68" s="87">
        <f t="shared" si="77"/>
        <v>0</v>
      </c>
      <c r="AD68" s="11"/>
      <c r="AE68" s="70"/>
    </row>
    <row r="69" spans="2:31" ht="12.75" customHeight="1">
      <c r="B69" s="110" t="s">
        <v>160</v>
      </c>
      <c r="C69" s="79"/>
      <c r="D69" s="79">
        <v>535.68399999999997</v>
      </c>
      <c r="E69" s="79"/>
      <c r="G69" s="111"/>
      <c r="H69" s="111"/>
      <c r="I69" s="111">
        <v>535.68399999999997</v>
      </c>
      <c r="J69" s="87">
        <f t="shared" si="71"/>
        <v>535.68399999999997</v>
      </c>
      <c r="K69" s="111"/>
      <c r="L69" s="111"/>
      <c r="M69" s="111"/>
      <c r="N69" s="87">
        <f t="shared" si="72"/>
        <v>0</v>
      </c>
      <c r="O69" s="111"/>
      <c r="P69" s="111"/>
      <c r="Q69" s="111"/>
      <c r="S69" s="30"/>
      <c r="T69" s="30"/>
      <c r="U69" s="30"/>
      <c r="V69" s="30"/>
      <c r="W69" s="30"/>
      <c r="X69" s="30"/>
      <c r="Y69" s="87">
        <f t="shared" si="73"/>
        <v>0</v>
      </c>
      <c r="Z69" s="87">
        <f t="shared" si="74"/>
        <v>0</v>
      </c>
      <c r="AA69" s="87">
        <f t="shared" si="75"/>
        <v>0</v>
      </c>
      <c r="AB69" s="87">
        <f t="shared" si="76"/>
        <v>0</v>
      </c>
      <c r="AC69" s="87">
        <f t="shared" si="77"/>
        <v>0</v>
      </c>
      <c r="AD69" s="11"/>
      <c r="AE69" s="70"/>
    </row>
    <row r="70" spans="2:31" ht="12.75" customHeight="1">
      <c r="B70" s="110" t="s">
        <v>161</v>
      </c>
      <c r="C70" s="79">
        <v>117.45399999999999</v>
      </c>
      <c r="D70" s="79">
        <v>219.84399999999999</v>
      </c>
      <c r="E70" s="79"/>
      <c r="G70" s="111">
        <v>223.125</v>
      </c>
      <c r="H70" s="111">
        <v>223.125</v>
      </c>
      <c r="I70" s="111">
        <v>223.125</v>
      </c>
      <c r="J70" s="87">
        <f t="shared" si="71"/>
        <v>219.84399999999999</v>
      </c>
      <c r="K70" s="111"/>
      <c r="L70" s="111"/>
      <c r="M70" s="111"/>
      <c r="N70" s="87">
        <f t="shared" si="72"/>
        <v>0</v>
      </c>
      <c r="O70" s="111"/>
      <c r="P70" s="111"/>
      <c r="Q70" s="111"/>
      <c r="S70" s="30"/>
      <c r="T70" s="30"/>
      <c r="U70" s="30"/>
      <c r="V70" s="30"/>
      <c r="W70" s="30"/>
      <c r="X70" s="30"/>
      <c r="Y70" s="87">
        <f t="shared" si="73"/>
        <v>0</v>
      </c>
      <c r="Z70" s="87">
        <f t="shared" si="74"/>
        <v>0</v>
      </c>
      <c r="AA70" s="87">
        <f t="shared" si="75"/>
        <v>0</v>
      </c>
      <c r="AB70" s="87">
        <f t="shared" si="76"/>
        <v>0</v>
      </c>
      <c r="AC70" s="87">
        <f t="shared" si="77"/>
        <v>0</v>
      </c>
      <c r="AD70" s="11"/>
      <c r="AE70" s="70" t="e">
        <f t="shared" si="79"/>
        <v>#DIV/0!</v>
      </c>
    </row>
    <row r="71" spans="2:31" ht="12.75" customHeight="1">
      <c r="B71" s="110" t="s">
        <v>162</v>
      </c>
      <c r="C71" s="79">
        <v>3.3849999999999998</v>
      </c>
      <c r="D71" s="79"/>
      <c r="E71" s="79">
        <v>786</v>
      </c>
      <c r="G71" s="111"/>
      <c r="H71" s="111"/>
      <c r="I71" s="111"/>
      <c r="J71" s="87">
        <f t="shared" si="71"/>
        <v>0</v>
      </c>
      <c r="K71" s="111">
        <v>8685.1339999999982</v>
      </c>
      <c r="L71" s="111">
        <v>6756.4</v>
      </c>
      <c r="M71" s="111">
        <v>4761.9619999999995</v>
      </c>
      <c r="N71" s="87">
        <f t="shared" si="72"/>
        <v>786</v>
      </c>
      <c r="O71" s="111">
        <v>787</v>
      </c>
      <c r="P71" s="111">
        <v>790</v>
      </c>
      <c r="Q71" s="111">
        <v>921</v>
      </c>
      <c r="S71" s="30"/>
      <c r="T71" s="30"/>
      <c r="U71" s="30"/>
      <c r="V71" s="30"/>
      <c r="W71" s="30"/>
      <c r="X71" s="30"/>
      <c r="Y71" s="87">
        <f t="shared" si="73"/>
        <v>4761.9619999999995</v>
      </c>
      <c r="Z71" s="87">
        <f t="shared" si="74"/>
        <v>786</v>
      </c>
      <c r="AA71" s="87">
        <f t="shared" si="75"/>
        <v>787</v>
      </c>
      <c r="AB71" s="87">
        <f t="shared" si="76"/>
        <v>790</v>
      </c>
      <c r="AC71" s="87">
        <f t="shared" si="77"/>
        <v>921</v>
      </c>
      <c r="AD71" s="11"/>
      <c r="AE71" s="70">
        <f t="shared" si="79"/>
        <v>-0.80659232476025633</v>
      </c>
    </row>
    <row r="72" spans="2:31" ht="12.75" customHeight="1">
      <c r="B72" s="23" t="s">
        <v>20</v>
      </c>
      <c r="C72" s="24">
        <f>SUM(C64:C71)</f>
        <v>1082.298</v>
      </c>
      <c r="D72" s="24">
        <f>SUM(D64:D71)</f>
        <v>6545.3200000000006</v>
      </c>
      <c r="E72" s="24">
        <f>SUM(E64:E71)</f>
        <v>4812</v>
      </c>
      <c r="G72" s="24">
        <f>SUM(G64:G71)</f>
        <v>1036.9259999999999</v>
      </c>
      <c r="H72" s="24">
        <f>SUM(H64:H71)</f>
        <v>1298.8509999999999</v>
      </c>
      <c r="I72" s="24">
        <f>SUM(I64:I71)</f>
        <v>3626.1509999999998</v>
      </c>
      <c r="J72" s="24">
        <f>SUM(J64:J71)</f>
        <v>6545.3200000000006</v>
      </c>
      <c r="K72" s="24">
        <f>SUM(K64:K71)</f>
        <v>12571.849999999999</v>
      </c>
      <c r="L72" s="24">
        <f>SUM(L64:L71)</f>
        <v>11734.253000000001</v>
      </c>
      <c r="M72" s="24">
        <f>SUM(M64:M71)</f>
        <v>8088.9259999999995</v>
      </c>
      <c r="N72" s="24">
        <f>SUM(N64:N71)</f>
        <v>4812</v>
      </c>
      <c r="O72" s="24">
        <f>SUM(O64:O71)</f>
        <v>3081</v>
      </c>
      <c r="P72" s="24">
        <f>SUM(P64:P71)</f>
        <v>2893</v>
      </c>
      <c r="Q72" s="24">
        <f>SUM(Q64:Q71)</f>
        <v>2431</v>
      </c>
      <c r="R72" s="47"/>
      <c r="S72" s="24">
        <f>SUM(S64:S71)</f>
        <v>2640.855</v>
      </c>
      <c r="T72" s="24">
        <f>SUM(T64:T71)</f>
        <v>3763.2130000000002</v>
      </c>
      <c r="U72" s="24">
        <f>SUM(U64:U71)</f>
        <v>2161.096</v>
      </c>
      <c r="V72" s="24">
        <f>SUM(V64:V71)</f>
        <v>2101</v>
      </c>
      <c r="W72" s="24">
        <f>SUM(W64:W71)</f>
        <v>2286</v>
      </c>
      <c r="X72" s="24">
        <f>SUM(X64:X71)</f>
        <v>1999</v>
      </c>
      <c r="Y72" s="24">
        <f>SUM(Y64:Y71)</f>
        <v>8088.9259999999995</v>
      </c>
      <c r="Z72" s="24">
        <f>SUM(Z64:Z71)</f>
        <v>4812</v>
      </c>
      <c r="AA72" s="24">
        <f>SUM(AA64:AA71)</f>
        <v>3081</v>
      </c>
      <c r="AB72" s="24">
        <f>SUM(AB64:AB71)</f>
        <v>2893</v>
      </c>
      <c r="AC72" s="24">
        <f>SUM(AC64:AC71)</f>
        <v>2431</v>
      </c>
      <c r="AD72" s="40"/>
      <c r="AE72" s="71">
        <f>SUM(AC72/Y72)-1</f>
        <v>-0.69946566453939618</v>
      </c>
    </row>
    <row r="73" spans="2:31" ht="5.0999999999999996" customHeight="1">
      <c r="B73" s="23"/>
      <c r="C73" s="49"/>
      <c r="D73" s="39"/>
      <c r="E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37"/>
    </row>
    <row r="74" spans="2:31">
      <c r="B74" s="74" t="s">
        <v>106</v>
      </c>
      <c r="C74" s="49"/>
      <c r="D74" s="39"/>
      <c r="E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37"/>
    </row>
    <row r="75" spans="2:31" ht="12.75" customHeight="1">
      <c r="B75" s="110" t="s">
        <v>164</v>
      </c>
      <c r="C75" s="79"/>
      <c r="D75" s="79"/>
      <c r="E75" s="79" t="s">
        <v>153</v>
      </c>
      <c r="G75" s="111"/>
      <c r="H75" s="111"/>
      <c r="I75" s="111"/>
      <c r="J75" s="87">
        <f t="shared" ref="J75:J79" si="80">D75</f>
        <v>0</v>
      </c>
      <c r="K75" s="111"/>
      <c r="L75" s="111">
        <v>0</v>
      </c>
      <c r="M75" s="111">
        <v>0</v>
      </c>
      <c r="N75" s="87" t="str">
        <f t="shared" ref="N75:N79" si="81">E75</f>
        <v xml:space="preserve"> </v>
      </c>
      <c r="O75" s="111"/>
      <c r="P75" s="111"/>
      <c r="Q75" s="111">
        <v>6514</v>
      </c>
      <c r="S75" s="30">
        <f>K75</f>
        <v>0</v>
      </c>
      <c r="T75" s="30">
        <f>L75</f>
        <v>0</v>
      </c>
      <c r="U75" s="30">
        <f>M75</f>
        <v>0</v>
      </c>
      <c r="V75" s="30" t="str">
        <f>N75</f>
        <v xml:space="preserve"> </v>
      </c>
      <c r="W75" s="30">
        <f>O75</f>
        <v>0</v>
      </c>
      <c r="X75" s="30">
        <f>P75</f>
        <v>0</v>
      </c>
      <c r="Y75" s="87">
        <f t="shared" ref="Y75:Y79" si="82">M75</f>
        <v>0</v>
      </c>
      <c r="Z75" s="87" t="str">
        <f t="shared" ref="Z75:Z79" si="83">N75</f>
        <v xml:space="preserve"> </v>
      </c>
      <c r="AA75" s="87">
        <f t="shared" ref="AA75:AA79" si="84">O75</f>
        <v>0</v>
      </c>
      <c r="AB75" s="87">
        <f t="shared" ref="AB75:AB79" si="85">P75</f>
        <v>0</v>
      </c>
      <c r="AC75" s="87">
        <f t="shared" ref="AC75:AC79" si="86">Q75</f>
        <v>6514</v>
      </c>
      <c r="AD75" s="40"/>
      <c r="AE75" s="70" t="e">
        <f t="shared" ref="AE75:AE79" si="87">SUM(AC75/Y75)-1</f>
        <v>#DIV/0!</v>
      </c>
    </row>
    <row r="76" spans="2:31" ht="12.75" customHeight="1">
      <c r="B76" s="110" t="s">
        <v>165</v>
      </c>
      <c r="C76" s="79"/>
      <c r="D76" s="79">
        <v>7632.9979999999996</v>
      </c>
      <c r="E76" s="79"/>
      <c r="G76" s="111"/>
      <c r="H76" s="111"/>
      <c r="I76" s="111">
        <v>7506.8559999999998</v>
      </c>
      <c r="J76" s="87">
        <f t="shared" si="80"/>
        <v>7632.9979999999996</v>
      </c>
      <c r="K76" s="111">
        <v>4.1139999999999999</v>
      </c>
      <c r="L76" s="111"/>
      <c r="M76" s="111"/>
      <c r="N76" s="87">
        <f t="shared" si="81"/>
        <v>0</v>
      </c>
      <c r="O76" s="111"/>
      <c r="P76" s="111"/>
      <c r="Q76" s="111"/>
      <c r="S76" s="30">
        <f>K76</f>
        <v>4.1139999999999999</v>
      </c>
      <c r="T76" s="30">
        <f>L76</f>
        <v>0</v>
      </c>
      <c r="U76" s="30">
        <f>M76</f>
        <v>0</v>
      </c>
      <c r="V76" s="30">
        <f>N76</f>
        <v>0</v>
      </c>
      <c r="W76" s="30">
        <f>O76</f>
        <v>0</v>
      </c>
      <c r="X76" s="30">
        <f>P76</f>
        <v>0</v>
      </c>
      <c r="Y76" s="87">
        <f t="shared" si="82"/>
        <v>0</v>
      </c>
      <c r="Z76" s="87">
        <f t="shared" si="83"/>
        <v>0</v>
      </c>
      <c r="AA76" s="87">
        <f t="shared" si="84"/>
        <v>0</v>
      </c>
      <c r="AB76" s="87">
        <f t="shared" si="85"/>
        <v>0</v>
      </c>
      <c r="AC76" s="87">
        <f t="shared" si="86"/>
        <v>0</v>
      </c>
      <c r="AD76" s="40"/>
      <c r="AE76" s="70" t="e">
        <f t="shared" si="87"/>
        <v>#DIV/0!</v>
      </c>
    </row>
    <row r="77" spans="2:31" ht="12.75" customHeight="1">
      <c r="B77" s="110" t="s">
        <v>166</v>
      </c>
      <c r="C77" s="79"/>
      <c r="D77" s="79">
        <v>225.28200000000001</v>
      </c>
      <c r="E77" s="79"/>
      <c r="G77" s="111"/>
      <c r="H77" s="111"/>
      <c r="I77" s="111">
        <v>11.465</v>
      </c>
      <c r="J77" s="87">
        <f t="shared" si="80"/>
        <v>225.28200000000001</v>
      </c>
      <c r="K77" s="111">
        <v>7.7590000000000003</v>
      </c>
      <c r="L77" s="111"/>
      <c r="M77" s="111"/>
      <c r="N77" s="87">
        <f t="shared" si="81"/>
        <v>0</v>
      </c>
      <c r="O77" s="111"/>
      <c r="P77" s="111"/>
      <c r="Q77" s="111"/>
      <c r="S77" s="30"/>
      <c r="T77" s="30"/>
      <c r="U77" s="30"/>
      <c r="V77" s="30"/>
      <c r="W77" s="30"/>
      <c r="X77" s="30"/>
      <c r="Y77" s="87">
        <f t="shared" si="82"/>
        <v>0</v>
      </c>
      <c r="Z77" s="87">
        <f t="shared" si="83"/>
        <v>0</v>
      </c>
      <c r="AA77" s="87">
        <f t="shared" si="84"/>
        <v>0</v>
      </c>
      <c r="AB77" s="87">
        <f t="shared" si="85"/>
        <v>0</v>
      </c>
      <c r="AC77" s="87">
        <f t="shared" si="86"/>
        <v>0</v>
      </c>
      <c r="AD77" s="40"/>
      <c r="AE77" s="70" t="e">
        <f t="shared" si="87"/>
        <v>#DIV/0!</v>
      </c>
    </row>
    <row r="78" spans="2:31" ht="12.75" customHeight="1">
      <c r="B78" s="110" t="s">
        <v>167</v>
      </c>
      <c r="C78" s="79"/>
      <c r="D78" s="79"/>
      <c r="E78" s="79"/>
      <c r="G78" s="111"/>
      <c r="H78" s="111"/>
      <c r="I78" s="111"/>
      <c r="J78" s="87">
        <f t="shared" si="80"/>
        <v>0</v>
      </c>
      <c r="K78" s="111"/>
      <c r="L78" s="111">
        <v>0</v>
      </c>
      <c r="M78" s="111">
        <v>0</v>
      </c>
      <c r="N78" s="87">
        <f t="shared" si="81"/>
        <v>0</v>
      </c>
      <c r="O78" s="111"/>
      <c r="P78" s="111"/>
      <c r="Q78" s="111">
        <v>666</v>
      </c>
      <c r="S78" s="30"/>
      <c r="T78" s="30"/>
      <c r="U78" s="30"/>
      <c r="V78" s="30"/>
      <c r="W78" s="30"/>
      <c r="X78" s="30"/>
      <c r="Y78" s="87">
        <f t="shared" si="82"/>
        <v>0</v>
      </c>
      <c r="Z78" s="87">
        <f t="shared" si="83"/>
        <v>0</v>
      </c>
      <c r="AA78" s="87">
        <f t="shared" si="84"/>
        <v>0</v>
      </c>
      <c r="AB78" s="87">
        <f t="shared" si="85"/>
        <v>0</v>
      </c>
      <c r="AC78" s="87">
        <f t="shared" si="86"/>
        <v>666</v>
      </c>
      <c r="AD78" s="40"/>
      <c r="AE78" s="70" t="e">
        <f t="shared" si="87"/>
        <v>#DIV/0!</v>
      </c>
    </row>
    <row r="79" spans="2:31" ht="12.75" customHeight="1">
      <c r="B79" s="110" t="s">
        <v>168</v>
      </c>
      <c r="C79" s="79"/>
      <c r="D79" s="79"/>
      <c r="E79" s="79">
        <v>840</v>
      </c>
      <c r="G79" s="111"/>
      <c r="H79" s="111"/>
      <c r="I79" s="111"/>
      <c r="J79" s="87">
        <f t="shared" si="80"/>
        <v>0</v>
      </c>
      <c r="K79" s="111"/>
      <c r="L79" s="111">
        <v>0</v>
      </c>
      <c r="M79" s="111">
        <v>0</v>
      </c>
      <c r="N79" s="87">
        <f t="shared" si="81"/>
        <v>840</v>
      </c>
      <c r="O79" s="111">
        <v>775</v>
      </c>
      <c r="P79" s="111">
        <v>708</v>
      </c>
      <c r="Q79" s="111">
        <v>1297</v>
      </c>
      <c r="S79" s="30"/>
      <c r="T79" s="30"/>
      <c r="U79" s="30"/>
      <c r="V79" s="30"/>
      <c r="W79" s="30"/>
      <c r="X79" s="30"/>
      <c r="Y79" s="87">
        <f t="shared" si="82"/>
        <v>0</v>
      </c>
      <c r="Z79" s="87">
        <f t="shared" si="83"/>
        <v>840</v>
      </c>
      <c r="AA79" s="87">
        <f t="shared" si="84"/>
        <v>775</v>
      </c>
      <c r="AB79" s="87">
        <f t="shared" si="85"/>
        <v>708</v>
      </c>
      <c r="AC79" s="87">
        <f t="shared" si="86"/>
        <v>1297</v>
      </c>
      <c r="AD79" s="40"/>
      <c r="AE79" s="70" t="e">
        <f t="shared" si="87"/>
        <v>#DIV/0!</v>
      </c>
    </row>
    <row r="80" spans="2:31" ht="12.75" customHeight="1">
      <c r="B80" s="12" t="s">
        <v>18</v>
      </c>
      <c r="C80" s="13">
        <f>SUM(C75:C79)+C72</f>
        <v>1082.298</v>
      </c>
      <c r="D80" s="13">
        <f>SUM(D75:D79)+D72</f>
        <v>14403.6</v>
      </c>
      <c r="E80" s="13">
        <f>SUM(E75:E79)+E72</f>
        <v>5652</v>
      </c>
      <c r="G80" s="13">
        <f>SUM(G75:G79)+G72</f>
        <v>1036.9259999999999</v>
      </c>
      <c r="H80" s="13">
        <f>SUM(H75:H79)+H72</f>
        <v>1298.8509999999999</v>
      </c>
      <c r="I80" s="13">
        <f>SUM(I75:I79)+I72</f>
        <v>11144.472</v>
      </c>
      <c r="J80" s="13">
        <f>SUM(J75:J79)+J72</f>
        <v>14403.6</v>
      </c>
      <c r="K80" s="13">
        <f>SUM(K75:K79)+K72</f>
        <v>12583.722999999998</v>
      </c>
      <c r="L80" s="13">
        <f>SUM(L75:L79)+L72</f>
        <v>11734.253000000001</v>
      </c>
      <c r="M80" s="13">
        <f>SUM(M75:M79)+M72</f>
        <v>8088.9259999999995</v>
      </c>
      <c r="N80" s="13">
        <f>SUM(N75:N79)+N72</f>
        <v>5652</v>
      </c>
      <c r="O80" s="13">
        <f>SUM(O75:O79)+O72</f>
        <v>3856</v>
      </c>
      <c r="P80" s="13">
        <f>SUM(P75:P79)+P72</f>
        <v>3601</v>
      </c>
      <c r="Q80" s="13">
        <f>SUM(Q75:Q79)+Q72</f>
        <v>10908</v>
      </c>
      <c r="S80" s="13">
        <f>SUM(S75:S79)+S72</f>
        <v>2644.9690000000001</v>
      </c>
      <c r="T80" s="13">
        <f>SUM(T75:T79)+T72</f>
        <v>3763.2130000000002</v>
      </c>
      <c r="U80" s="13">
        <f>SUM(U75:U79)+U72</f>
        <v>2161.096</v>
      </c>
      <c r="V80" s="13">
        <f>SUM(V75:V79)+V72</f>
        <v>2101</v>
      </c>
      <c r="W80" s="13">
        <f>SUM(W75:W79)+W72</f>
        <v>2286</v>
      </c>
      <c r="X80" s="13">
        <f>SUM(X75:X79)+X72</f>
        <v>1999</v>
      </c>
      <c r="Y80" s="13">
        <f>SUM(Y75:Y79)+Y72</f>
        <v>8088.9259999999995</v>
      </c>
      <c r="Z80" s="13">
        <f>SUM(Z75:Z79)+Z72</f>
        <v>5652</v>
      </c>
      <c r="AA80" s="13">
        <f>SUM(AA75:AA79)+AA72</f>
        <v>3856</v>
      </c>
      <c r="AB80" s="13">
        <f>SUM(AB75:AB79)+AB72</f>
        <v>3601</v>
      </c>
      <c r="AC80" s="13">
        <f>SUM(AC75:AC79)+AC72</f>
        <v>10908</v>
      </c>
      <c r="AD80" s="40"/>
      <c r="AE80" s="71">
        <f>SUM(AC80/Y80)-1</f>
        <v>0.34851029666979283</v>
      </c>
    </row>
    <row r="81" spans="1:31" ht="5.0999999999999996" customHeight="1">
      <c r="B81" s="23"/>
      <c r="C81" s="48"/>
      <c r="D81" s="39"/>
      <c r="E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37"/>
    </row>
    <row r="82" spans="1:31" ht="12.75" customHeight="1">
      <c r="B82" s="9" t="s">
        <v>169</v>
      </c>
      <c r="C82" s="79"/>
      <c r="D82" s="79"/>
      <c r="E82" s="79"/>
      <c r="G82" s="111"/>
      <c r="H82" s="111"/>
      <c r="I82" s="111"/>
      <c r="J82" s="87">
        <f t="shared" ref="J82:J88" si="88">D82</f>
        <v>0</v>
      </c>
      <c r="K82" s="111"/>
      <c r="L82" s="111"/>
      <c r="M82" s="111"/>
      <c r="N82" s="87">
        <f t="shared" ref="N82:N88" si="89">E82</f>
        <v>0</v>
      </c>
      <c r="O82" s="111">
        <v>7740</v>
      </c>
      <c r="P82" s="111">
        <v>6829</v>
      </c>
      <c r="Q82" s="111">
        <v>5463</v>
      </c>
      <c r="S82" s="30">
        <f>K82</f>
        <v>0</v>
      </c>
      <c r="T82" s="30">
        <f>L82</f>
        <v>0</v>
      </c>
      <c r="U82" s="30">
        <f>M82</f>
        <v>0</v>
      </c>
      <c r="V82" s="30">
        <f>N82</f>
        <v>0</v>
      </c>
      <c r="W82" s="30">
        <f>O82</f>
        <v>7740</v>
      </c>
      <c r="X82" s="30">
        <f>P82</f>
        <v>6829</v>
      </c>
      <c r="Y82" s="87">
        <f t="shared" ref="Y82:Y88" si="90">M82</f>
        <v>0</v>
      </c>
      <c r="Z82" s="87">
        <f t="shared" ref="Z82:Z88" si="91">N82</f>
        <v>0</v>
      </c>
      <c r="AA82" s="87">
        <f t="shared" ref="AA82:AA88" si="92">O82</f>
        <v>7740</v>
      </c>
      <c r="AB82" s="87">
        <f t="shared" ref="AB82:AB88" si="93">P82</f>
        <v>6829</v>
      </c>
      <c r="AC82" s="87">
        <f t="shared" ref="AC82:AC88" si="94">Q82</f>
        <v>5463</v>
      </c>
      <c r="AD82" s="11"/>
      <c r="AE82" s="70" t="e">
        <f t="shared" ref="AE82:AE88" si="95">SUM(AC82/Y82)-1</f>
        <v>#DIV/0!</v>
      </c>
    </row>
    <row r="83" spans="1:31" ht="12.75" customHeight="1">
      <c r="B83" s="9" t="s">
        <v>94</v>
      </c>
      <c r="C83" s="79">
        <v>0.154</v>
      </c>
      <c r="D83" s="79">
        <v>0.15</v>
      </c>
      <c r="E83" s="79"/>
      <c r="G83" s="111">
        <v>0.154</v>
      </c>
      <c r="H83" s="111">
        <v>0.15</v>
      </c>
      <c r="I83" s="111">
        <v>0.34300000000000003</v>
      </c>
      <c r="J83" s="87">
        <f t="shared" si="88"/>
        <v>0.15</v>
      </c>
      <c r="K83" s="111">
        <v>0.14899999999999999</v>
      </c>
      <c r="L83" s="111">
        <v>0.14899999999999999</v>
      </c>
      <c r="M83" s="111">
        <v>0.14899999999999999</v>
      </c>
      <c r="N83" s="87">
        <f t="shared" si="89"/>
        <v>0</v>
      </c>
      <c r="O83" s="111">
        <v>0</v>
      </c>
      <c r="P83" s="111">
        <v>0</v>
      </c>
      <c r="Q83" s="111">
        <v>0</v>
      </c>
      <c r="S83" s="30"/>
      <c r="T83" s="30"/>
      <c r="U83" s="30"/>
      <c r="V83" s="30"/>
      <c r="W83" s="30"/>
      <c r="X83" s="30"/>
      <c r="Y83" s="87">
        <f t="shared" si="90"/>
        <v>0.14899999999999999</v>
      </c>
      <c r="Z83" s="87">
        <f t="shared" si="91"/>
        <v>0</v>
      </c>
      <c r="AA83" s="87">
        <f t="shared" si="92"/>
        <v>0</v>
      </c>
      <c r="AB83" s="87">
        <f t="shared" si="93"/>
        <v>0</v>
      </c>
      <c r="AC83" s="87">
        <f t="shared" si="94"/>
        <v>0</v>
      </c>
      <c r="AD83" s="11"/>
      <c r="AE83" s="70">
        <f t="shared" si="95"/>
        <v>-1</v>
      </c>
    </row>
    <row r="84" spans="1:31" ht="12.75" customHeight="1">
      <c r="B84" s="9" t="s">
        <v>21</v>
      </c>
      <c r="C84" s="79">
        <v>2.9159999999999999</v>
      </c>
      <c r="D84" s="79">
        <v>5.5960000000000001</v>
      </c>
      <c r="E84" s="79">
        <v>8</v>
      </c>
      <c r="G84" s="111">
        <v>2.9159999999999999</v>
      </c>
      <c r="H84" s="111">
        <v>2.92</v>
      </c>
      <c r="I84" s="111">
        <v>3.39</v>
      </c>
      <c r="J84" s="87">
        <f t="shared" si="88"/>
        <v>5.5960000000000001</v>
      </c>
      <c r="K84" s="111">
        <v>6.0490000000000004</v>
      </c>
      <c r="L84" s="111">
        <v>6.7240000000000002</v>
      </c>
      <c r="M84" s="111">
        <v>7.51</v>
      </c>
      <c r="N84" s="87">
        <f t="shared" si="89"/>
        <v>8</v>
      </c>
      <c r="O84" s="111">
        <v>9</v>
      </c>
      <c r="P84" s="111">
        <v>9</v>
      </c>
      <c r="Q84" s="111">
        <v>9</v>
      </c>
      <c r="S84" s="30"/>
      <c r="T84" s="30"/>
      <c r="U84" s="30"/>
      <c r="V84" s="30"/>
      <c r="W84" s="30"/>
      <c r="X84" s="30"/>
      <c r="Y84" s="87">
        <f t="shared" si="90"/>
        <v>7.51</v>
      </c>
      <c r="Z84" s="87">
        <f t="shared" si="91"/>
        <v>8</v>
      </c>
      <c r="AA84" s="87">
        <f t="shared" si="92"/>
        <v>9</v>
      </c>
      <c r="AB84" s="87">
        <f t="shared" si="93"/>
        <v>9</v>
      </c>
      <c r="AC84" s="87">
        <f t="shared" si="94"/>
        <v>9</v>
      </c>
      <c r="AD84" s="11"/>
      <c r="AE84" s="70">
        <f t="shared" si="95"/>
        <v>0.19840213049267641</v>
      </c>
    </row>
    <row r="85" spans="1:31" ht="12.75" customHeight="1">
      <c r="B85" s="9" t="s">
        <v>117</v>
      </c>
      <c r="C85" s="79">
        <v>67396.618000000002</v>
      </c>
      <c r="D85" s="79">
        <v>151163.90900000001</v>
      </c>
      <c r="E85" s="79">
        <v>200635</v>
      </c>
      <c r="G85" s="111">
        <v>67609.119000000006</v>
      </c>
      <c r="H85" s="111">
        <v>150799.236</v>
      </c>
      <c r="I85" s="111">
        <v>150798.571</v>
      </c>
      <c r="J85" s="87">
        <f t="shared" si="88"/>
        <v>151163.90900000001</v>
      </c>
      <c r="K85" s="111">
        <v>157348.323</v>
      </c>
      <c r="L85" s="111">
        <v>161864.05499999999</v>
      </c>
      <c r="M85" s="111">
        <v>170479.50200000001</v>
      </c>
      <c r="N85" s="87">
        <f t="shared" si="89"/>
        <v>200635</v>
      </c>
      <c r="O85" s="111">
        <v>205967</v>
      </c>
      <c r="P85" s="111">
        <v>209086</v>
      </c>
      <c r="Q85" s="111">
        <v>209675</v>
      </c>
      <c r="S85" s="30"/>
      <c r="T85" s="30"/>
      <c r="U85" s="30"/>
      <c r="V85" s="30"/>
      <c r="W85" s="30"/>
      <c r="X85" s="30"/>
      <c r="Y85" s="87">
        <f t="shared" si="90"/>
        <v>170479.50200000001</v>
      </c>
      <c r="Z85" s="87">
        <f t="shared" si="91"/>
        <v>200635</v>
      </c>
      <c r="AA85" s="87">
        <f t="shared" si="92"/>
        <v>205967</v>
      </c>
      <c r="AB85" s="87">
        <f t="shared" si="93"/>
        <v>209086</v>
      </c>
      <c r="AC85" s="87">
        <f t="shared" si="94"/>
        <v>209675</v>
      </c>
      <c r="AD85" s="11"/>
      <c r="AE85" s="70"/>
    </row>
    <row r="86" spans="1:31" ht="12.75" customHeight="1">
      <c r="B86" s="9" t="s">
        <v>118</v>
      </c>
      <c r="C86" s="79">
        <v>-81394.081000000006</v>
      </c>
      <c r="D86" s="79">
        <v>-119987.781</v>
      </c>
      <c r="E86" s="79">
        <v>-131940</v>
      </c>
      <c r="G86" s="111">
        <v>-88527.773000000001</v>
      </c>
      <c r="H86" s="111">
        <v>-93632.349000000002</v>
      </c>
      <c r="I86" s="111">
        <v>-101201.62699999999</v>
      </c>
      <c r="J86" s="87">
        <f t="shared" si="88"/>
        <v>-119987.781</v>
      </c>
      <c r="K86" s="111">
        <v>-128493.92</v>
      </c>
      <c r="L86" s="111">
        <v>-133136.36600000001</v>
      </c>
      <c r="M86" s="111">
        <v>-141412.285</v>
      </c>
      <c r="N86" s="87">
        <f t="shared" si="89"/>
        <v>-131940</v>
      </c>
      <c r="O86" s="111">
        <v>-138376</v>
      </c>
      <c r="P86" s="111">
        <v>-143570</v>
      </c>
      <c r="Q86" s="111">
        <v>-149245</v>
      </c>
      <c r="S86" s="30"/>
      <c r="T86" s="30"/>
      <c r="U86" s="30"/>
      <c r="V86" s="30"/>
      <c r="W86" s="30"/>
      <c r="X86" s="30"/>
      <c r="Y86" s="87">
        <f t="shared" si="90"/>
        <v>-141412.285</v>
      </c>
      <c r="Z86" s="87">
        <f t="shared" si="91"/>
        <v>-131940</v>
      </c>
      <c r="AA86" s="87">
        <f t="shared" si="92"/>
        <v>-138376</v>
      </c>
      <c r="AB86" s="87">
        <f t="shared" si="93"/>
        <v>-143570</v>
      </c>
      <c r="AC86" s="87">
        <f t="shared" si="94"/>
        <v>-149245</v>
      </c>
      <c r="AD86" s="11"/>
      <c r="AE86" s="70"/>
    </row>
    <row r="87" spans="1:31" ht="12.75" customHeight="1">
      <c r="B87" s="9" t="s">
        <v>170</v>
      </c>
      <c r="C87" s="79">
        <v>4898.835</v>
      </c>
      <c r="D87" s="79">
        <v>4898.835</v>
      </c>
      <c r="E87" s="79"/>
      <c r="G87" s="111">
        <v>4898.835</v>
      </c>
      <c r="H87" s="111">
        <v>4898.835</v>
      </c>
      <c r="I87" s="111">
        <v>4898.835</v>
      </c>
      <c r="J87" s="87">
        <f t="shared" si="88"/>
        <v>4898.835</v>
      </c>
      <c r="K87" s="111">
        <v>4898.835</v>
      </c>
      <c r="L87" s="111">
        <v>4898.835</v>
      </c>
      <c r="M87" s="111">
        <v>4898.835</v>
      </c>
      <c r="N87" s="87">
        <f t="shared" si="89"/>
        <v>0</v>
      </c>
      <c r="O87" s="111"/>
      <c r="P87" s="111"/>
      <c r="Q87" s="111"/>
      <c r="S87" s="30">
        <f>K87</f>
        <v>4898.835</v>
      </c>
      <c r="T87" s="30">
        <f>L87</f>
        <v>4898.835</v>
      </c>
      <c r="U87" s="30">
        <f>M87</f>
        <v>4898.835</v>
      </c>
      <c r="V87" s="30">
        <f>N87</f>
        <v>0</v>
      </c>
      <c r="W87" s="30">
        <f>O87</f>
        <v>0</v>
      </c>
      <c r="X87" s="30">
        <f>P87</f>
        <v>0</v>
      </c>
      <c r="Y87" s="87">
        <f t="shared" si="90"/>
        <v>4898.835</v>
      </c>
      <c r="Z87" s="87">
        <f t="shared" si="91"/>
        <v>0</v>
      </c>
      <c r="AA87" s="87">
        <f t="shared" si="92"/>
        <v>0</v>
      </c>
      <c r="AB87" s="87">
        <f t="shared" si="93"/>
        <v>0</v>
      </c>
      <c r="AC87" s="87">
        <f t="shared" si="94"/>
        <v>0</v>
      </c>
      <c r="AD87" s="11"/>
      <c r="AE87" s="70">
        <f t="shared" si="95"/>
        <v>-1</v>
      </c>
    </row>
    <row r="88" spans="1:31" ht="12.75" customHeight="1">
      <c r="B88" s="9" t="s">
        <v>171</v>
      </c>
      <c r="C88" s="79">
        <v>25297.455999999998</v>
      </c>
      <c r="D88" s="79">
        <v>38816.021999999997</v>
      </c>
      <c r="E88" s="79"/>
      <c r="G88" s="111">
        <v>28282.907999999999</v>
      </c>
      <c r="H88" s="111">
        <v>28512.418000000001</v>
      </c>
      <c r="I88" s="111">
        <v>29680.037</v>
      </c>
      <c r="J88" s="87">
        <f t="shared" si="88"/>
        <v>38816.021999999997</v>
      </c>
      <c r="K88" s="111">
        <v>43183.913999999997</v>
      </c>
      <c r="L88" s="111">
        <v>43279.14</v>
      </c>
      <c r="M88" s="111">
        <v>47269.913999999997</v>
      </c>
      <c r="N88" s="87">
        <f t="shared" si="89"/>
        <v>0</v>
      </c>
      <c r="O88" s="111"/>
      <c r="P88" s="111"/>
      <c r="Q88" s="111"/>
      <c r="S88" s="30">
        <f>K88</f>
        <v>43183.913999999997</v>
      </c>
      <c r="T88" s="30">
        <f>L88</f>
        <v>43279.14</v>
      </c>
      <c r="U88" s="30">
        <f>M88</f>
        <v>47269.913999999997</v>
      </c>
      <c r="V88" s="30">
        <f>N88</f>
        <v>0</v>
      </c>
      <c r="W88" s="30">
        <f>O88</f>
        <v>0</v>
      </c>
      <c r="X88" s="30">
        <f>P88</f>
        <v>0</v>
      </c>
      <c r="Y88" s="87">
        <f t="shared" si="90"/>
        <v>47269.913999999997</v>
      </c>
      <c r="Z88" s="87">
        <f t="shared" si="91"/>
        <v>0</v>
      </c>
      <c r="AA88" s="87">
        <f t="shared" si="92"/>
        <v>0</v>
      </c>
      <c r="AB88" s="87">
        <f t="shared" si="93"/>
        <v>0</v>
      </c>
      <c r="AC88" s="87">
        <f t="shared" si="94"/>
        <v>0</v>
      </c>
      <c r="AD88" s="11"/>
      <c r="AE88" s="70">
        <f t="shared" si="95"/>
        <v>-1</v>
      </c>
    </row>
    <row r="89" spans="1:31" ht="12.75" customHeight="1">
      <c r="B89" s="12" t="s">
        <v>17</v>
      </c>
      <c r="C89" s="13">
        <f>SUM(C82:C88)</f>
        <v>16201.898000000001</v>
      </c>
      <c r="D89" s="13">
        <f>SUM(D82:D88)</f>
        <v>74896.731000000029</v>
      </c>
      <c r="E89" s="13">
        <f>SUM(E82:E88)</f>
        <v>68703</v>
      </c>
      <c r="F89" s="50"/>
      <c r="G89" s="13">
        <f>SUM(G82:G88)</f>
        <v>12266.159000000011</v>
      </c>
      <c r="H89" s="13">
        <f>SUM(H82:H88)</f>
        <v>90581.21</v>
      </c>
      <c r="I89" s="13">
        <f>SUM(I82:I88)</f>
        <v>84179.549000000014</v>
      </c>
      <c r="J89" s="13">
        <f>SUM(J82:J88)</f>
        <v>74896.731000000029</v>
      </c>
      <c r="K89" s="13">
        <f>SUM(K82:K88)</f>
        <v>76943.350000000006</v>
      </c>
      <c r="L89" s="13">
        <f>SUM(L82:L88)</f>
        <v>76912.536999999982</v>
      </c>
      <c r="M89" s="13">
        <f>SUM(M82:M88)</f>
        <v>81243.625000000015</v>
      </c>
      <c r="N89" s="13">
        <f>SUM(N82:N88)</f>
        <v>68703</v>
      </c>
      <c r="O89" s="13">
        <f>SUM(O82:O88)</f>
        <v>75340</v>
      </c>
      <c r="P89" s="13">
        <f>SUM(P82:P88)</f>
        <v>72354</v>
      </c>
      <c r="Q89" s="13">
        <f>SUM(Q82:Q88)</f>
        <v>65902</v>
      </c>
      <c r="S89" s="13">
        <f>SUM(S82:S88)</f>
        <v>48082.748999999996</v>
      </c>
      <c r="T89" s="13">
        <f>SUM(T82:T88)</f>
        <v>48177.974999999999</v>
      </c>
      <c r="U89" s="13">
        <f>SUM(U82:U88)</f>
        <v>52168.748999999996</v>
      </c>
      <c r="V89" s="13">
        <f>SUM(V82:V88)</f>
        <v>0</v>
      </c>
      <c r="W89" s="13">
        <f>SUM(W82:W88)</f>
        <v>7740</v>
      </c>
      <c r="X89" s="13">
        <f>SUM(X82:X88)</f>
        <v>6829</v>
      </c>
      <c r="Y89" s="13">
        <f>SUM(Y82:Y88)</f>
        <v>81243.625000000015</v>
      </c>
      <c r="Z89" s="13">
        <f>SUM(Z82:Z88)</f>
        <v>68703</v>
      </c>
      <c r="AA89" s="13">
        <f>SUM(AA82:AA88)</f>
        <v>75340</v>
      </c>
      <c r="AB89" s="13">
        <f>SUM(AB82:AB88)</f>
        <v>72354</v>
      </c>
      <c r="AC89" s="13">
        <f>SUM(AC82:AC88)</f>
        <v>65902</v>
      </c>
      <c r="AD89" s="40"/>
      <c r="AE89" s="71">
        <f>SUM(AC89/Y89)-1</f>
        <v>-0.18883481627019982</v>
      </c>
    </row>
    <row r="90" spans="1:31" ht="12.75" customHeight="1">
      <c r="B90" s="23" t="s">
        <v>66</v>
      </c>
      <c r="C90" s="30">
        <f>SUM(C89+C80)</f>
        <v>17284.196</v>
      </c>
      <c r="D90" s="30">
        <f>SUM(D89+D80)</f>
        <v>89300.331000000035</v>
      </c>
      <c r="E90" s="30">
        <f>SUM(E89+E80)</f>
        <v>74355</v>
      </c>
      <c r="F90" s="30"/>
      <c r="G90" s="30">
        <f>SUM(G89+G80)</f>
        <v>13303.08500000001</v>
      </c>
      <c r="H90" s="30">
        <f>SUM(H89+H80)</f>
        <v>91880.061000000002</v>
      </c>
      <c r="I90" s="30">
        <f>SUM(I89+I80)</f>
        <v>95324.021000000008</v>
      </c>
      <c r="J90" s="30">
        <f>SUM(J89+J80)</f>
        <v>89300.331000000035</v>
      </c>
      <c r="K90" s="30">
        <f>SUM(K89+K80)</f>
        <v>89527.073000000004</v>
      </c>
      <c r="L90" s="30">
        <f>SUM(L89+L80)</f>
        <v>88646.789999999979</v>
      </c>
      <c r="M90" s="30">
        <f>SUM(M89+M80)</f>
        <v>89332.551000000007</v>
      </c>
      <c r="N90" s="30">
        <f>SUM(N89+N80)</f>
        <v>74355</v>
      </c>
      <c r="O90" s="30">
        <f>SUM(O89+O80)</f>
        <v>79196</v>
      </c>
      <c r="P90" s="30">
        <f>SUM(P89+P80)</f>
        <v>75955</v>
      </c>
      <c r="Q90" s="30">
        <f>SUM(Q89+Q80)</f>
        <v>76810</v>
      </c>
      <c r="R90" s="30"/>
      <c r="S90" s="30">
        <f>SUM(S89+S80)</f>
        <v>50727.717999999993</v>
      </c>
      <c r="T90" s="30">
        <f>SUM(T89+T80)</f>
        <v>51941.188000000002</v>
      </c>
      <c r="U90" s="30">
        <f>SUM(U89+U80)</f>
        <v>54329.844999999994</v>
      </c>
      <c r="V90" s="30">
        <f>SUM(V89+V80)</f>
        <v>2101</v>
      </c>
      <c r="W90" s="30">
        <f>SUM(W89+W80)</f>
        <v>10026</v>
      </c>
      <c r="X90" s="30">
        <f>SUM(X89+X80)</f>
        <v>8828</v>
      </c>
      <c r="Y90" s="30">
        <f>SUM(Y89+Y80)</f>
        <v>89332.551000000007</v>
      </c>
      <c r="Z90" s="30">
        <f>SUM(Z89+Z80)</f>
        <v>74355</v>
      </c>
      <c r="AA90" s="30">
        <f>SUM(AA89+AA80)</f>
        <v>79196</v>
      </c>
      <c r="AB90" s="30">
        <f>SUM(AB89+AB80)</f>
        <v>75955</v>
      </c>
      <c r="AC90" s="30">
        <f>SUM(AC89+AC80)</f>
        <v>76810</v>
      </c>
      <c r="AD90" s="11"/>
      <c r="AE90" s="71">
        <f>SUM(AC90/Y90)-1</f>
        <v>-0.14017903731418135</v>
      </c>
    </row>
    <row r="91" spans="1:31" ht="5.0999999999999996" customHeight="1">
      <c r="B91" s="23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11"/>
    </row>
    <row r="92" spans="1:31" ht="12.75" customHeight="1">
      <c r="B92" s="64" t="s">
        <v>76</v>
      </c>
      <c r="C92" s="65">
        <f>C90-C61</f>
        <v>0</v>
      </c>
      <c r="D92" s="65">
        <f>D90-D61</f>
        <v>10789.331000000035</v>
      </c>
      <c r="E92" s="65">
        <f>E90-E61</f>
        <v>0</v>
      </c>
      <c r="F92" s="66"/>
      <c r="G92" s="65">
        <f>G90-G61</f>
        <v>0</v>
      </c>
      <c r="H92" s="65">
        <f>H90-H61</f>
        <v>0</v>
      </c>
      <c r="I92" s="65">
        <f>I90-I61</f>
        <v>21350.727000000014</v>
      </c>
      <c r="J92" s="65">
        <f>J90-J61</f>
        <v>10789.331000000035</v>
      </c>
      <c r="K92" s="65">
        <f>K90-K61</f>
        <v>0</v>
      </c>
      <c r="L92" s="65">
        <f>L90-L61</f>
        <v>-1.0000000000145519</v>
      </c>
      <c r="M92" s="65">
        <f>M90-M61</f>
        <v>-21.914999999993597</v>
      </c>
      <c r="N92" s="65">
        <f>N90-N61</f>
        <v>0</v>
      </c>
      <c r="O92" s="65">
        <f>O90-O61</f>
        <v>0</v>
      </c>
      <c r="P92" s="65">
        <f>P90-P61</f>
        <v>0</v>
      </c>
      <c r="Q92" s="65">
        <f>Q90-Q61</f>
        <v>0</v>
      </c>
      <c r="R92" s="26"/>
      <c r="S92" s="65">
        <f>S90-S61</f>
        <v>-43026.032000000021</v>
      </c>
      <c r="T92" s="65">
        <f>T90-T61</f>
        <v>-35600.269999999997</v>
      </c>
      <c r="U92" s="65">
        <f>U90-U61</f>
        <v>-36102.768000000004</v>
      </c>
      <c r="V92" s="65">
        <f>V90-V61</f>
        <v>-75203.176999999996</v>
      </c>
      <c r="W92" s="65">
        <f>W90-W61</f>
        <v>-67841.865999999995</v>
      </c>
      <c r="X92" s="65">
        <f>X90-X61</f>
        <v>-70187.794999999998</v>
      </c>
      <c r="Y92" s="65">
        <f>Y90-Y61</f>
        <v>-21.914999999993597</v>
      </c>
      <c r="Z92" s="65">
        <f>Z90-Z61</f>
        <v>0</v>
      </c>
      <c r="AA92" s="65">
        <f>AA90-AA61</f>
        <v>0</v>
      </c>
      <c r="AB92" s="65">
        <f>AB90-AB61</f>
        <v>0</v>
      </c>
      <c r="AC92" s="65">
        <f>AC90-AC61</f>
        <v>0</v>
      </c>
    </row>
    <row r="93" spans="1:31" ht="5.0999999999999996" customHeight="1" thickBot="1">
      <c r="B93" s="106"/>
      <c r="C93" s="107"/>
      <c r="D93" s="107"/>
      <c r="E93" s="107"/>
      <c r="F93" s="108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9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68"/>
      <c r="AE93" s="68"/>
    </row>
    <row r="94" spans="1:31" ht="12.75" customHeight="1">
      <c r="B94" s="144" t="s">
        <v>139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</row>
    <row r="95" spans="1:31">
      <c r="B95" s="63"/>
      <c r="C95" s="22"/>
      <c r="D95" s="22"/>
      <c r="E95" s="22"/>
      <c r="F95" s="51"/>
    </row>
    <row r="96" spans="1:31" ht="12.75" customHeight="1">
      <c r="A96" s="5" t="s">
        <v>19</v>
      </c>
      <c r="B96" s="88" t="s">
        <v>16</v>
      </c>
      <c r="C96" s="92" t="s">
        <v>0</v>
      </c>
      <c r="D96" s="92"/>
      <c r="E96" s="92"/>
      <c r="F96" s="93"/>
      <c r="G96" s="92" t="s">
        <v>1</v>
      </c>
      <c r="H96" s="92"/>
      <c r="I96" s="92"/>
      <c r="J96" s="92"/>
      <c r="K96" s="92"/>
      <c r="L96" s="92"/>
      <c r="M96" s="92"/>
      <c r="N96" s="92"/>
      <c r="O96" s="92"/>
      <c r="P96" s="92"/>
      <c r="Q96" s="92" t="s">
        <v>1</v>
      </c>
      <c r="R96" s="88"/>
      <c r="S96" s="92"/>
      <c r="T96" s="92"/>
      <c r="U96" s="92"/>
      <c r="V96" s="92"/>
      <c r="W96" s="92"/>
      <c r="X96" s="92"/>
      <c r="Y96" s="92" t="s">
        <v>9</v>
      </c>
      <c r="Z96" s="92"/>
      <c r="AA96" s="92"/>
      <c r="AB96" s="92"/>
      <c r="AC96" s="92"/>
      <c r="AD96" s="93"/>
      <c r="AE96" s="143" t="s">
        <v>26</v>
      </c>
    </row>
    <row r="97" spans="2:31" ht="12.75" customHeight="1">
      <c r="B97" s="89" t="str">
        <f>B7</f>
        <v>Fiscal Period</v>
      </c>
      <c r="C97" s="94">
        <f>C7</f>
        <v>2021</v>
      </c>
      <c r="D97" s="94">
        <f>D7</f>
        <v>2022</v>
      </c>
      <c r="E97" s="94">
        <f>E7</f>
        <v>2023</v>
      </c>
      <c r="F97" s="93"/>
      <c r="G97" s="94" t="str">
        <f>G7</f>
        <v>1Q22</v>
      </c>
      <c r="H97" s="94" t="str">
        <f>H7</f>
        <v>2Q22</v>
      </c>
      <c r="I97" s="94" t="str">
        <f>I7</f>
        <v>3Q22</v>
      </c>
      <c r="J97" s="94" t="str">
        <f>J7</f>
        <v>4Q22</v>
      </c>
      <c r="K97" s="94" t="str">
        <f>K7</f>
        <v>1Q23</v>
      </c>
      <c r="L97" s="94" t="str">
        <f>L7</f>
        <v>2Q23</v>
      </c>
      <c r="M97" s="94" t="str">
        <f>M7</f>
        <v>3Q23</v>
      </c>
      <c r="N97" s="94" t="str">
        <f>N7</f>
        <v>4Q23</v>
      </c>
      <c r="O97" s="94" t="str">
        <f>O7</f>
        <v>1Q24</v>
      </c>
      <c r="P97" s="94" t="str">
        <f>P7</f>
        <v>2Q24</v>
      </c>
      <c r="Q97" s="94" t="str">
        <f>Q7</f>
        <v>3Q24</v>
      </c>
      <c r="R97" s="94"/>
      <c r="S97" s="94" t="str">
        <f>S7</f>
        <v>1Q22</v>
      </c>
      <c r="T97" s="94" t="str">
        <f>T7</f>
        <v>2Q22</v>
      </c>
      <c r="U97" s="94" t="str">
        <f>U7</f>
        <v>3Q22</v>
      </c>
      <c r="V97" s="94" t="str">
        <f>V7</f>
        <v>4Q22</v>
      </c>
      <c r="W97" s="94" t="str">
        <f>W7</f>
        <v>1Q23</v>
      </c>
      <c r="X97" s="94" t="str">
        <f>X7</f>
        <v>2Q23</v>
      </c>
      <c r="Y97" s="94" t="str">
        <f>Y7</f>
        <v>3Q23</v>
      </c>
      <c r="Z97" s="94" t="str">
        <f>Z7</f>
        <v>4Q23</v>
      </c>
      <c r="AA97" s="94" t="str">
        <f>AA7</f>
        <v>1Q24</v>
      </c>
      <c r="AB97" s="94" t="str">
        <f>AB7</f>
        <v>2Q24</v>
      </c>
      <c r="AC97" s="94" t="str">
        <f>AC7</f>
        <v>3Q24</v>
      </c>
      <c r="AD97" s="93"/>
      <c r="AE97" s="143"/>
    </row>
    <row r="98" spans="2:31" ht="12.75" customHeight="1">
      <c r="B98" s="89" t="str">
        <f>B8</f>
        <v>Fiscal Period End Date</v>
      </c>
      <c r="C98" s="95">
        <f>C8</f>
        <v>44561</v>
      </c>
      <c r="D98" s="95">
        <f>D8</f>
        <v>44926</v>
      </c>
      <c r="E98" s="95">
        <f>E8</f>
        <v>45291</v>
      </c>
      <c r="F98" s="93"/>
      <c r="G98" s="95">
        <f>G8</f>
        <v>44651</v>
      </c>
      <c r="H98" s="95">
        <f>H8</f>
        <v>44742</v>
      </c>
      <c r="I98" s="95">
        <f>I8</f>
        <v>44834</v>
      </c>
      <c r="J98" s="95">
        <f>J8</f>
        <v>44926</v>
      </c>
      <c r="K98" s="95">
        <f>K8</f>
        <v>45016</v>
      </c>
      <c r="L98" s="95">
        <f>L8</f>
        <v>45107</v>
      </c>
      <c r="M98" s="95">
        <f>M8</f>
        <v>45199</v>
      </c>
      <c r="N98" s="95">
        <f>N8</f>
        <v>45291</v>
      </c>
      <c r="O98" s="95">
        <f>O8</f>
        <v>45382</v>
      </c>
      <c r="P98" s="95">
        <f>P8</f>
        <v>45473</v>
      </c>
      <c r="Q98" s="95">
        <f>Q8</f>
        <v>45565</v>
      </c>
      <c r="R98" s="95"/>
      <c r="S98" s="95">
        <f>S8</f>
        <v>44651</v>
      </c>
      <c r="T98" s="95">
        <f>T8</f>
        <v>44742</v>
      </c>
      <c r="U98" s="95">
        <f>U8</f>
        <v>44834</v>
      </c>
      <c r="V98" s="95">
        <f>V8</f>
        <v>44926</v>
      </c>
      <c r="W98" s="95">
        <f>W8</f>
        <v>45016</v>
      </c>
      <c r="X98" s="95">
        <f>X8</f>
        <v>45107</v>
      </c>
      <c r="Y98" s="95">
        <f>Y8</f>
        <v>45199</v>
      </c>
      <c r="Z98" s="95">
        <f>Z8</f>
        <v>45291</v>
      </c>
      <c r="AA98" s="95">
        <f>AA8</f>
        <v>45382</v>
      </c>
      <c r="AB98" s="95">
        <f>AB8</f>
        <v>45473</v>
      </c>
      <c r="AC98" s="95">
        <f>AC8</f>
        <v>45565</v>
      </c>
      <c r="AD98" s="93"/>
      <c r="AE98" s="143"/>
    </row>
    <row r="99" spans="2:31" ht="5.0999999999999996" customHeight="1">
      <c r="B99" s="52"/>
      <c r="C99" s="46"/>
      <c r="D99" s="46"/>
      <c r="E99" s="46"/>
    </row>
    <row r="100" spans="2:31" ht="12.75" customHeight="1">
      <c r="B100" s="53" t="s">
        <v>67</v>
      </c>
      <c r="C100" s="54"/>
      <c r="D100" s="54"/>
      <c r="E100" s="54"/>
    </row>
    <row r="101" spans="2:31" ht="12.75" customHeight="1">
      <c r="B101" s="55" t="s">
        <v>68</v>
      </c>
      <c r="C101" s="30">
        <f>C32</f>
        <v>-16904.344000000001</v>
      </c>
      <c r="D101" s="30">
        <f>D32</f>
        <v>-28599.043000000001</v>
      </c>
      <c r="E101" s="30">
        <f>E32</f>
        <v>-27021.162</v>
      </c>
      <c r="F101" s="30"/>
      <c r="G101" s="30">
        <f>G32</f>
        <v>-7133.6920000000009</v>
      </c>
      <c r="H101" s="104">
        <f>H32</f>
        <v>-4445.8259999999991</v>
      </c>
      <c r="I101" s="30">
        <f>I32</f>
        <v>-7569.2779999999993</v>
      </c>
      <c r="J101" s="30">
        <f>J32</f>
        <v>-9450.2469999999994</v>
      </c>
      <c r="K101" s="30">
        <f>K32</f>
        <v>-8506.1389999999992</v>
      </c>
      <c r="L101" s="104">
        <f>L32</f>
        <v>-4642.4479999999994</v>
      </c>
      <c r="M101" s="30">
        <f>M32</f>
        <v>-8275.9189999999999</v>
      </c>
      <c r="N101" s="30">
        <f t="shared" ref="N101" si="96">SUM(D101-SUM(K101:M101))</f>
        <v>-7174.5370000000003</v>
      </c>
      <c r="O101" s="30">
        <f>O32</f>
        <v>-6436</v>
      </c>
      <c r="P101" s="30">
        <f>P32</f>
        <v>-5194</v>
      </c>
      <c r="Q101" s="30">
        <f>Q32</f>
        <v>-5675</v>
      </c>
      <c r="S101" s="30">
        <f>SUM(H101:K101)</f>
        <v>-29971.489999999998</v>
      </c>
      <c r="T101" s="30">
        <f>SUM(I101:L101)</f>
        <v>-30168.111999999997</v>
      </c>
      <c r="U101" s="30">
        <f>SUM(J101:M101)</f>
        <v>-30874.752999999997</v>
      </c>
      <c r="V101" s="30">
        <f>SUM(K101:N101)</f>
        <v>-28599.043000000001</v>
      </c>
      <c r="W101" s="30">
        <f>SUM(L101:O101)</f>
        <v>-26528.903999999999</v>
      </c>
      <c r="X101" s="30">
        <f>SUM(M101:P101)</f>
        <v>-27080.455999999998</v>
      </c>
      <c r="Y101" s="30">
        <f t="shared" ref="Y101" si="97">SUM(J101:M101)</f>
        <v>-30874.752999999997</v>
      </c>
      <c r="Z101" s="30">
        <f t="shared" ref="Z101" si="98">SUM(K101:N101)</f>
        <v>-28599.043000000001</v>
      </c>
      <c r="AA101" s="30">
        <f t="shared" ref="AA101" si="99">SUM(L101:O101)</f>
        <v>-26528.903999999999</v>
      </c>
      <c r="AB101" s="30">
        <f t="shared" ref="AB101" si="100">SUM(M101:P101)</f>
        <v>-27080.455999999998</v>
      </c>
      <c r="AC101" s="30">
        <f t="shared" ref="AC101" si="101">SUM(N101:Q101)</f>
        <v>-24479.537</v>
      </c>
      <c r="AD101" s="11"/>
      <c r="AE101" s="70">
        <f>SUM(AC101/Y101)-1</f>
        <v>-0.20713415909756416</v>
      </c>
    </row>
    <row r="102" spans="2:31" ht="5.0999999999999996" customHeight="1"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11"/>
      <c r="AE102" s="70"/>
    </row>
    <row r="103" spans="2:31" ht="12.75" customHeight="1">
      <c r="B103" s="34" t="s">
        <v>75</v>
      </c>
      <c r="C103" s="30"/>
      <c r="D103" s="30"/>
      <c r="E103" s="30"/>
      <c r="F103" s="30"/>
      <c r="G103" s="30"/>
      <c r="H103" s="30"/>
      <c r="I103" s="30"/>
      <c r="J103" s="30"/>
      <c r="K103" s="79"/>
      <c r="L103" s="79"/>
      <c r="M103" s="79"/>
      <c r="N103" s="30"/>
      <c r="O103" s="79"/>
      <c r="P103" s="79"/>
      <c r="Q103" s="79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57"/>
      <c r="AE103" s="70"/>
    </row>
    <row r="104" spans="2:31" ht="12.75" customHeight="1">
      <c r="B104" s="58" t="s">
        <v>172</v>
      </c>
      <c r="C104" s="79">
        <v>8.9979999999999993</v>
      </c>
      <c r="D104" s="79">
        <v>1863</v>
      </c>
      <c r="E104" s="79">
        <v>3307</v>
      </c>
      <c r="F104" s="30"/>
      <c r="G104" s="79">
        <v>3.0419999999999998</v>
      </c>
      <c r="H104" s="30">
        <f>7.342+249.884</f>
        <v>257.226</v>
      </c>
      <c r="I104" s="30">
        <f>21.551+1749.19</f>
        <v>1770.741</v>
      </c>
      <c r="J104" s="30">
        <f t="shared" ref="J104:J113" si="102">SUM(D104-SUM(G104:I104))</f>
        <v>-168.00900000000001</v>
      </c>
      <c r="K104" s="79">
        <f>44.822+1499.306</f>
        <v>1544.1280000000002</v>
      </c>
      <c r="L104" s="30">
        <f>SUM(105.137-167.505)-K104</f>
        <v>-1606.4960000000001</v>
      </c>
      <c r="M104" s="30">
        <f>SUM(181.483+543.492)-L104-K104</f>
        <v>787.34299999999985</v>
      </c>
      <c r="N104" s="30">
        <f t="shared" ref="N104:N113" si="103">SUM(E104-SUM(K104:M104))</f>
        <v>2582.0250000000001</v>
      </c>
      <c r="O104" s="79">
        <v>844</v>
      </c>
      <c r="P104" s="30">
        <v>1691</v>
      </c>
      <c r="Q104" s="30">
        <f>2542-P104-O104</f>
        <v>7</v>
      </c>
      <c r="S104" s="30">
        <f>SUM(H104:K104)</f>
        <v>3404.0860000000002</v>
      </c>
      <c r="T104" s="30">
        <f>SUM(I104:L104)</f>
        <v>1540.364</v>
      </c>
      <c r="U104" s="30">
        <f>SUM(J104:M104)</f>
        <v>556.96599999999989</v>
      </c>
      <c r="V104" s="30">
        <f>SUM(K104:N104)</f>
        <v>3307</v>
      </c>
      <c r="W104" s="30">
        <f>SUM(L104:O104)</f>
        <v>2606.8719999999998</v>
      </c>
      <c r="X104" s="30">
        <f>SUM(M104:P104)</f>
        <v>5904.3680000000004</v>
      </c>
      <c r="Y104" s="30">
        <f t="shared" ref="Y104:Y113" si="104">SUM(J104:M104)</f>
        <v>556.96599999999989</v>
      </c>
      <c r="Z104" s="30">
        <f t="shared" ref="Z104:Z113" si="105">SUM(K104:N104)</f>
        <v>3307</v>
      </c>
      <c r="AA104" s="30">
        <f t="shared" ref="AA104:AA113" si="106">SUM(L104:O104)</f>
        <v>2606.8719999999998</v>
      </c>
      <c r="AB104" s="30">
        <f t="shared" ref="AB104:AB113" si="107">SUM(M104:P104)</f>
        <v>5904.3680000000004</v>
      </c>
      <c r="AC104" s="30">
        <f t="shared" ref="AC104:AC113" si="108">SUM(N104:Q104)</f>
        <v>5124.0249999999996</v>
      </c>
      <c r="AD104" s="11"/>
      <c r="AE104" s="70">
        <f t="shared" ref="AE104:AE116" si="109">SUM(AC104/Y104)-1</f>
        <v>8.1998883235242381</v>
      </c>
    </row>
    <row r="105" spans="2:31" ht="12.75" customHeight="1">
      <c r="B105" s="58" t="s">
        <v>173</v>
      </c>
      <c r="C105" s="79"/>
      <c r="D105" s="79">
        <v>547</v>
      </c>
      <c r="E105" s="79">
        <v>925</v>
      </c>
      <c r="F105" s="30"/>
      <c r="G105" s="79"/>
      <c r="H105" s="30"/>
      <c r="I105" s="30"/>
      <c r="J105" s="30">
        <f t="shared" si="102"/>
        <v>547</v>
      </c>
      <c r="K105" s="79"/>
      <c r="L105" s="30"/>
      <c r="M105" s="30"/>
      <c r="N105" s="30">
        <f t="shared" si="103"/>
        <v>925</v>
      </c>
      <c r="O105" s="79">
        <v>138</v>
      </c>
      <c r="P105" s="30">
        <v>138</v>
      </c>
      <c r="Q105" s="30">
        <f>323-P105-O105</f>
        <v>47</v>
      </c>
      <c r="S105" s="30">
        <f>SUM(H105:K105)</f>
        <v>547</v>
      </c>
      <c r="T105" s="30">
        <f>SUM(I105:L105)</f>
        <v>547</v>
      </c>
      <c r="U105" s="30">
        <f>SUM(J105:M105)</f>
        <v>547</v>
      </c>
      <c r="V105" s="30">
        <f>SUM(K105:N105)</f>
        <v>925</v>
      </c>
      <c r="W105" s="30">
        <f>SUM(L105:O105)</f>
        <v>1063</v>
      </c>
      <c r="X105" s="30">
        <f>SUM(M105:P105)</f>
        <v>1201</v>
      </c>
      <c r="Y105" s="30">
        <f t="shared" si="104"/>
        <v>547</v>
      </c>
      <c r="Z105" s="30">
        <f t="shared" si="105"/>
        <v>925</v>
      </c>
      <c r="AA105" s="30">
        <f t="shared" si="106"/>
        <v>1063</v>
      </c>
      <c r="AB105" s="30">
        <f t="shared" si="107"/>
        <v>1201</v>
      </c>
      <c r="AC105" s="30">
        <f t="shared" si="108"/>
        <v>1248</v>
      </c>
      <c r="AD105" s="11"/>
      <c r="AE105" s="70">
        <f t="shared" si="109"/>
        <v>1.2815356489945153</v>
      </c>
    </row>
    <row r="106" spans="2:31" ht="12.75" customHeight="1">
      <c r="B106" s="58" t="s">
        <v>174</v>
      </c>
      <c r="C106" s="79"/>
      <c r="D106" s="79">
        <v>-3392</v>
      </c>
      <c r="E106" s="79">
        <v>-528</v>
      </c>
      <c r="F106" s="30"/>
      <c r="G106" s="79"/>
      <c r="H106" s="30"/>
      <c r="I106" s="30"/>
      <c r="J106" s="30">
        <f t="shared" si="102"/>
        <v>-3392</v>
      </c>
      <c r="K106" s="79"/>
      <c r="L106" s="30"/>
      <c r="M106" s="30"/>
      <c r="N106" s="30">
        <f t="shared" si="103"/>
        <v>-528</v>
      </c>
      <c r="O106" s="79"/>
      <c r="P106" s="30"/>
      <c r="Q106" s="30" t="s">
        <v>153</v>
      </c>
      <c r="S106" s="30">
        <f>SUM(H106:K106)</f>
        <v>-3392</v>
      </c>
      <c r="T106" s="30">
        <f>SUM(I106:L106)</f>
        <v>-3392</v>
      </c>
      <c r="U106" s="30">
        <f>SUM(J106:M106)</f>
        <v>-3392</v>
      </c>
      <c r="V106" s="30">
        <f>SUM(K106:N106)</f>
        <v>-528</v>
      </c>
      <c r="W106" s="30">
        <f>SUM(L106:O106)</f>
        <v>-528</v>
      </c>
      <c r="X106" s="30">
        <f>SUM(M106:P106)</f>
        <v>-528</v>
      </c>
      <c r="Y106" s="30">
        <f t="shared" si="104"/>
        <v>-3392</v>
      </c>
      <c r="Z106" s="30">
        <f t="shared" si="105"/>
        <v>-528</v>
      </c>
      <c r="AA106" s="30">
        <f t="shared" si="106"/>
        <v>-528</v>
      </c>
      <c r="AB106" s="30">
        <f t="shared" si="107"/>
        <v>-528</v>
      </c>
      <c r="AC106" s="30">
        <f t="shared" si="108"/>
        <v>-528</v>
      </c>
      <c r="AD106" s="11"/>
      <c r="AE106" s="70">
        <f t="shared" si="109"/>
        <v>-0.84433962264150941</v>
      </c>
    </row>
    <row r="107" spans="2:31" ht="12.75" customHeight="1">
      <c r="B107" s="58" t="s">
        <v>175</v>
      </c>
      <c r="C107" s="79"/>
      <c r="D107" s="79">
        <v>0</v>
      </c>
      <c r="E107" s="79">
        <v>279</v>
      </c>
      <c r="F107" s="30"/>
      <c r="G107" s="79"/>
      <c r="H107" s="30"/>
      <c r="I107" s="30"/>
      <c r="J107" s="30">
        <f t="shared" si="102"/>
        <v>0</v>
      </c>
      <c r="K107" s="79"/>
      <c r="L107" s="30"/>
      <c r="M107" s="30"/>
      <c r="N107" s="30">
        <f t="shared" si="103"/>
        <v>279</v>
      </c>
      <c r="O107" s="79">
        <v>7</v>
      </c>
      <c r="P107" s="30"/>
      <c r="Q107" s="30"/>
      <c r="S107" s="30">
        <f>SUM(H107:K107)</f>
        <v>0</v>
      </c>
      <c r="T107" s="30">
        <f>SUM(I107:L107)</f>
        <v>0</v>
      </c>
      <c r="U107" s="30">
        <f>SUM(J107:M107)</f>
        <v>0</v>
      </c>
      <c r="V107" s="30">
        <f>SUM(K107:N107)</f>
        <v>279</v>
      </c>
      <c r="W107" s="30">
        <f>SUM(L107:O107)</f>
        <v>286</v>
      </c>
      <c r="X107" s="30">
        <f>SUM(M107:P107)</f>
        <v>286</v>
      </c>
      <c r="Y107" s="30">
        <f t="shared" si="104"/>
        <v>0</v>
      </c>
      <c r="Z107" s="30">
        <f t="shared" si="105"/>
        <v>279</v>
      </c>
      <c r="AA107" s="30">
        <f t="shared" si="106"/>
        <v>286</v>
      </c>
      <c r="AB107" s="30">
        <f t="shared" si="107"/>
        <v>286</v>
      </c>
      <c r="AC107" s="30">
        <f t="shared" si="108"/>
        <v>286</v>
      </c>
      <c r="AD107" s="11"/>
      <c r="AE107" s="70" t="e">
        <f t="shared" si="109"/>
        <v>#DIV/0!</v>
      </c>
    </row>
    <row r="108" spans="2:31" ht="12.75" customHeight="1">
      <c r="B108" s="58" t="s">
        <v>176</v>
      </c>
      <c r="C108" s="79"/>
      <c r="D108" s="79">
        <v>78</v>
      </c>
      <c r="E108" s="79">
        <v>5</v>
      </c>
      <c r="F108" s="30"/>
      <c r="G108" s="79"/>
      <c r="H108" s="30"/>
      <c r="I108" s="30"/>
      <c r="J108" s="30">
        <f t="shared" si="102"/>
        <v>78</v>
      </c>
      <c r="K108" s="79"/>
      <c r="L108" s="30"/>
      <c r="M108" s="30"/>
      <c r="N108" s="30">
        <f t="shared" si="103"/>
        <v>5</v>
      </c>
      <c r="O108" s="79"/>
      <c r="P108" s="30">
        <v>16</v>
      </c>
      <c r="Q108" s="30">
        <f>31-P108</f>
        <v>15</v>
      </c>
      <c r="S108" s="30"/>
      <c r="T108" s="30"/>
      <c r="U108" s="30"/>
      <c r="V108" s="30"/>
      <c r="W108" s="30"/>
      <c r="X108" s="30"/>
      <c r="Y108" s="30">
        <f t="shared" si="104"/>
        <v>78</v>
      </c>
      <c r="Z108" s="30">
        <f t="shared" si="105"/>
        <v>5</v>
      </c>
      <c r="AA108" s="30">
        <f t="shared" si="106"/>
        <v>5</v>
      </c>
      <c r="AB108" s="30">
        <f t="shared" si="107"/>
        <v>21</v>
      </c>
      <c r="AC108" s="30">
        <f t="shared" si="108"/>
        <v>36</v>
      </c>
      <c r="AD108" s="11"/>
      <c r="AE108" s="70">
        <f t="shared" si="109"/>
        <v>-0.53846153846153844</v>
      </c>
    </row>
    <row r="109" spans="2:31" ht="12.75" customHeight="1">
      <c r="B109" s="58" t="s">
        <v>177</v>
      </c>
      <c r="C109" s="79">
        <v>10203.852999999999</v>
      </c>
      <c r="D109" s="79">
        <v>9323</v>
      </c>
      <c r="E109" s="79">
        <v>4271</v>
      </c>
      <c r="F109" s="30"/>
      <c r="G109" s="79"/>
      <c r="H109" s="30">
        <v>3214.962</v>
      </c>
      <c r="I109" s="30">
        <v>4382.5810000000001</v>
      </c>
      <c r="J109" s="30">
        <f t="shared" si="102"/>
        <v>1725.4570000000003</v>
      </c>
      <c r="K109" s="79">
        <v>4000.7069999999999</v>
      </c>
      <c r="L109" s="30">
        <f>4096.018-K109</f>
        <v>95.311000000000149</v>
      </c>
      <c r="M109" s="30">
        <f>8086.939-L109-K109</f>
        <v>3990.9210000000007</v>
      </c>
      <c r="N109" s="30">
        <f t="shared" si="103"/>
        <v>-3815.9390000000003</v>
      </c>
      <c r="O109" s="79">
        <v>1226</v>
      </c>
      <c r="P109" s="30">
        <f>1917-O109</f>
        <v>691</v>
      </c>
      <c r="Q109" s="30">
        <f>2680-P109-O109</f>
        <v>763</v>
      </c>
      <c r="S109" s="30"/>
      <c r="T109" s="30"/>
      <c r="U109" s="30"/>
      <c r="V109" s="30"/>
      <c r="W109" s="30"/>
      <c r="X109" s="30"/>
      <c r="Y109" s="30">
        <f t="shared" si="104"/>
        <v>9812.3960000000006</v>
      </c>
      <c r="Z109" s="30">
        <f t="shared" si="105"/>
        <v>4271</v>
      </c>
      <c r="AA109" s="30">
        <f t="shared" si="106"/>
        <v>1496.2930000000006</v>
      </c>
      <c r="AB109" s="30">
        <f t="shared" si="107"/>
        <v>2091.9820000000004</v>
      </c>
      <c r="AC109" s="30">
        <f t="shared" si="108"/>
        <v>-1135.9390000000003</v>
      </c>
      <c r="AD109" s="11"/>
      <c r="AE109" s="70">
        <f t="shared" si="109"/>
        <v>-1.1157657110454979</v>
      </c>
    </row>
    <row r="110" spans="2:31" ht="12.75" customHeight="1">
      <c r="B110" s="58" t="s">
        <v>178</v>
      </c>
      <c r="C110" s="79">
        <v>10715.799000000001</v>
      </c>
      <c r="D110" s="79"/>
      <c r="E110" s="79"/>
      <c r="F110" s="30"/>
      <c r="G110" s="79"/>
      <c r="H110" s="30"/>
      <c r="I110" s="30"/>
      <c r="J110" s="30">
        <f t="shared" si="102"/>
        <v>0</v>
      </c>
      <c r="K110" s="79"/>
      <c r="L110" s="30"/>
      <c r="M110" s="30"/>
      <c r="N110" s="30">
        <f t="shared" si="103"/>
        <v>0</v>
      </c>
      <c r="O110" s="79"/>
      <c r="P110" s="30"/>
      <c r="Q110" s="30"/>
      <c r="S110" s="30"/>
      <c r="T110" s="30"/>
      <c r="U110" s="30"/>
      <c r="V110" s="30"/>
      <c r="W110" s="30"/>
      <c r="X110" s="30"/>
      <c r="Y110" s="30">
        <f t="shared" si="104"/>
        <v>0</v>
      </c>
      <c r="Z110" s="30">
        <f t="shared" si="105"/>
        <v>0</v>
      </c>
      <c r="AA110" s="30">
        <f t="shared" si="106"/>
        <v>0</v>
      </c>
      <c r="AB110" s="30">
        <f t="shared" si="107"/>
        <v>0</v>
      </c>
      <c r="AC110" s="30">
        <f t="shared" si="108"/>
        <v>0</v>
      </c>
      <c r="AD110" s="11"/>
      <c r="AE110" s="70" t="e">
        <f t="shared" si="109"/>
        <v>#DIV/0!</v>
      </c>
    </row>
    <row r="111" spans="2:31" ht="12.75" customHeight="1">
      <c r="B111" s="58" t="s">
        <v>179</v>
      </c>
      <c r="C111" s="79"/>
      <c r="D111" s="79">
        <v>2350</v>
      </c>
      <c r="E111" s="79">
        <v>284</v>
      </c>
      <c r="F111" s="30"/>
      <c r="G111" s="79"/>
      <c r="H111" s="30"/>
      <c r="I111" s="30"/>
      <c r="J111" s="30">
        <f t="shared" si="102"/>
        <v>2350</v>
      </c>
      <c r="K111" s="79"/>
      <c r="L111" s="30"/>
      <c r="M111" s="30"/>
      <c r="N111" s="30">
        <f t="shared" si="103"/>
        <v>284</v>
      </c>
      <c r="O111" s="79">
        <v>59</v>
      </c>
      <c r="P111" s="30">
        <f>19-O111</f>
        <v>-40</v>
      </c>
      <c r="Q111" s="30">
        <f>21-P111-O111</f>
        <v>2</v>
      </c>
      <c r="S111" s="30"/>
      <c r="T111" s="30"/>
      <c r="U111" s="30"/>
      <c r="V111" s="30"/>
      <c r="W111" s="30"/>
      <c r="X111" s="30"/>
      <c r="Y111" s="30">
        <f t="shared" si="104"/>
        <v>2350</v>
      </c>
      <c r="Z111" s="30">
        <f t="shared" si="105"/>
        <v>284</v>
      </c>
      <c r="AA111" s="30">
        <f t="shared" si="106"/>
        <v>343</v>
      </c>
      <c r="AB111" s="30">
        <f t="shared" si="107"/>
        <v>303</v>
      </c>
      <c r="AC111" s="30">
        <f t="shared" si="108"/>
        <v>305</v>
      </c>
      <c r="AD111" s="11"/>
      <c r="AE111" s="70">
        <f t="shared" si="109"/>
        <v>-0.87021276595744679</v>
      </c>
    </row>
    <row r="112" spans="2:31" ht="12.75" customHeight="1">
      <c r="B112" s="58" t="s">
        <v>180</v>
      </c>
      <c r="C112" s="79"/>
      <c r="D112" s="79"/>
      <c r="E112" s="79"/>
      <c r="F112" s="30"/>
      <c r="G112" s="79">
        <v>2985.453</v>
      </c>
      <c r="H112" s="30"/>
      <c r="I112" s="30"/>
      <c r="J112" s="30">
        <f t="shared" si="102"/>
        <v>-2985.453</v>
      </c>
      <c r="K112" s="79"/>
      <c r="L112" s="30">
        <f>248.172-K112</f>
        <v>248.172</v>
      </c>
      <c r="M112" s="30">
        <f>374.314-L112</f>
        <v>126.14200000000002</v>
      </c>
      <c r="N112" s="30">
        <f t="shared" si="103"/>
        <v>-374.31400000000002</v>
      </c>
      <c r="O112" s="79"/>
      <c r="P112" s="30"/>
      <c r="Q112" s="30"/>
      <c r="S112" s="30"/>
      <c r="T112" s="30"/>
      <c r="U112" s="30"/>
      <c r="V112" s="30"/>
      <c r="W112" s="30"/>
      <c r="X112" s="30"/>
      <c r="Y112" s="30">
        <f t="shared" si="104"/>
        <v>-2611.1390000000001</v>
      </c>
      <c r="Z112" s="30">
        <f t="shared" si="105"/>
        <v>0</v>
      </c>
      <c r="AA112" s="30">
        <f t="shared" si="106"/>
        <v>0</v>
      </c>
      <c r="AB112" s="30">
        <f t="shared" si="107"/>
        <v>-248.172</v>
      </c>
      <c r="AC112" s="30">
        <f t="shared" si="108"/>
        <v>-374.31400000000002</v>
      </c>
      <c r="AD112" s="11"/>
      <c r="AE112" s="70">
        <f t="shared" si="109"/>
        <v>-0.85664723325721071</v>
      </c>
    </row>
    <row r="113" spans="2:31" ht="12.75" customHeight="1">
      <c r="B113" s="58" t="s">
        <v>181</v>
      </c>
      <c r="C113" s="79"/>
      <c r="D113" s="79"/>
      <c r="E113" s="79"/>
      <c r="F113" s="30"/>
      <c r="G113" s="79"/>
      <c r="H113" s="30"/>
      <c r="I113" s="30"/>
      <c r="J113" s="30">
        <f t="shared" si="102"/>
        <v>0</v>
      </c>
      <c r="K113" s="79">
        <v>123.401</v>
      </c>
      <c r="L113" s="30"/>
      <c r="M113" s="30"/>
      <c r="N113" s="30">
        <f t="shared" si="103"/>
        <v>-123.401</v>
      </c>
      <c r="O113" s="79"/>
      <c r="P113" s="30"/>
      <c r="Q113" s="30"/>
      <c r="S113" s="30"/>
      <c r="T113" s="30"/>
      <c r="U113" s="30"/>
      <c r="V113" s="30"/>
      <c r="W113" s="30"/>
      <c r="X113" s="30"/>
      <c r="Y113" s="30">
        <f t="shared" si="104"/>
        <v>123.401</v>
      </c>
      <c r="Z113" s="30">
        <f t="shared" si="105"/>
        <v>0</v>
      </c>
      <c r="AA113" s="30">
        <f t="shared" si="106"/>
        <v>-123.401</v>
      </c>
      <c r="AB113" s="30">
        <f t="shared" si="107"/>
        <v>-123.401</v>
      </c>
      <c r="AC113" s="30">
        <f t="shared" si="108"/>
        <v>-123.401</v>
      </c>
      <c r="AD113" s="11"/>
      <c r="AE113" s="70">
        <f t="shared" si="109"/>
        <v>-2</v>
      </c>
    </row>
    <row r="114" spans="2:31" ht="5.0999999999999996" customHeight="1">
      <c r="B114" s="8"/>
      <c r="C114" s="79"/>
      <c r="D114" s="79"/>
      <c r="E114" s="79"/>
      <c r="F114" s="30"/>
      <c r="G114" s="79"/>
      <c r="H114" s="30"/>
      <c r="I114" s="30"/>
      <c r="J114" s="30"/>
      <c r="K114" s="79"/>
      <c r="L114" s="30"/>
      <c r="M114" s="30"/>
      <c r="N114" s="30"/>
      <c r="O114" s="79"/>
      <c r="P114" s="30"/>
      <c r="Q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11"/>
      <c r="AE114" s="70"/>
    </row>
    <row r="115" spans="2:31" ht="12.75" customHeight="1">
      <c r="B115" s="34" t="s">
        <v>15</v>
      </c>
      <c r="C115" s="79"/>
      <c r="D115" s="79"/>
      <c r="E115" s="79"/>
      <c r="F115" s="30"/>
      <c r="G115" s="79"/>
      <c r="H115" s="30"/>
      <c r="I115" s="30"/>
      <c r="J115" s="30"/>
      <c r="K115" s="79"/>
      <c r="L115" s="30"/>
      <c r="M115" s="30"/>
      <c r="N115" s="30"/>
      <c r="O115" s="79"/>
      <c r="P115" s="30"/>
      <c r="Q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57"/>
      <c r="AE115" s="70"/>
    </row>
    <row r="116" spans="2:31" ht="12.75" customHeight="1">
      <c r="B116" s="58" t="s">
        <v>13</v>
      </c>
      <c r="C116" s="79"/>
      <c r="D116" s="79">
        <v>-13</v>
      </c>
      <c r="E116" s="79">
        <v>-52</v>
      </c>
      <c r="F116" s="30"/>
      <c r="G116" s="79">
        <v>-25.047999999999998</v>
      </c>
      <c r="H116" s="30">
        <v>-83.968999999999994</v>
      </c>
      <c r="I116" s="30">
        <v>-94.807000000000002</v>
      </c>
      <c r="J116" s="30">
        <f t="shared" ref="J116:J125" si="110">SUM(D116-SUM(G116:I116))</f>
        <v>190.82400000000001</v>
      </c>
      <c r="K116" s="79">
        <v>-50.231000000000002</v>
      </c>
      <c r="L116" s="30">
        <f>-108.616-K116</f>
        <v>-58.384999999999998</v>
      </c>
      <c r="M116" s="30">
        <f>10.338-L116-K116</f>
        <v>118.95400000000001</v>
      </c>
      <c r="N116" s="30">
        <f t="shared" ref="N116:N125" si="111">SUM(E116-SUM(K116:M116))</f>
        <v>-62.338000000000008</v>
      </c>
      <c r="O116" s="79">
        <v>33</v>
      </c>
      <c r="P116" s="30">
        <f>9-O116</f>
        <v>-24</v>
      </c>
      <c r="Q116" s="30">
        <f>2-P116-O116</f>
        <v>-7</v>
      </c>
      <c r="S116" s="30">
        <f>SUM(H116:K116)</f>
        <v>-38.183</v>
      </c>
      <c r="T116" s="30">
        <f>SUM(I116:L116)</f>
        <v>-12.59899999999999</v>
      </c>
      <c r="U116" s="30">
        <f>SUM(J116:M116)</f>
        <v>201.16200000000003</v>
      </c>
      <c r="V116" s="30">
        <f>SUM(K116:N116)</f>
        <v>-52</v>
      </c>
      <c r="W116" s="30">
        <f>SUM(L116:O116)</f>
        <v>31.231000000000002</v>
      </c>
      <c r="X116" s="30">
        <f>SUM(M116:P116)</f>
        <v>65.616</v>
      </c>
      <c r="Y116" s="30">
        <f t="shared" ref="Y116:Y125" si="112">SUM(J116:M116)</f>
        <v>201.16200000000003</v>
      </c>
      <c r="Z116" s="30">
        <f t="shared" ref="Z116:Z125" si="113">SUM(K116:N116)</f>
        <v>-52</v>
      </c>
      <c r="AA116" s="30">
        <f t="shared" ref="AA116:AA125" si="114">SUM(L116:O116)</f>
        <v>31.231000000000002</v>
      </c>
      <c r="AB116" s="30">
        <f t="shared" ref="AB116:AB125" si="115">SUM(M116:P116)</f>
        <v>65.616</v>
      </c>
      <c r="AC116" s="30">
        <f t="shared" ref="AC116:AC125" si="116">SUM(N116:Q116)</f>
        <v>-60.338000000000008</v>
      </c>
      <c r="AD116" s="57"/>
      <c r="AE116" s="70">
        <f t="shared" si="109"/>
        <v>-1.2999473061512612</v>
      </c>
    </row>
    <row r="117" spans="2:31" ht="12.75" customHeight="1">
      <c r="B117" s="58" t="s">
        <v>182</v>
      </c>
      <c r="C117" s="79"/>
      <c r="D117" s="79">
        <v>0</v>
      </c>
      <c r="E117" s="79">
        <v>-70</v>
      </c>
      <c r="F117" s="30"/>
      <c r="G117" s="79"/>
      <c r="H117" s="30"/>
      <c r="I117" s="30"/>
      <c r="J117" s="30">
        <f t="shared" si="110"/>
        <v>0</v>
      </c>
      <c r="K117" s="79"/>
      <c r="L117" s="30"/>
      <c r="M117" s="30"/>
      <c r="N117" s="30">
        <f t="shared" si="111"/>
        <v>-70</v>
      </c>
      <c r="O117" s="79">
        <v>-82</v>
      </c>
      <c r="P117" s="30">
        <f>-193-O117</f>
        <v>-111</v>
      </c>
      <c r="Q117" s="30">
        <f>-168-P117-O117</f>
        <v>25</v>
      </c>
      <c r="S117" s="30">
        <f>SUM(H117:K117)</f>
        <v>0</v>
      </c>
      <c r="T117" s="30">
        <f>SUM(I117:L117)</f>
        <v>0</v>
      </c>
      <c r="U117" s="30">
        <f>SUM(J117:M117)</f>
        <v>0</v>
      </c>
      <c r="V117" s="30">
        <f>SUM(K117:N117)</f>
        <v>-70</v>
      </c>
      <c r="W117" s="30">
        <f>SUM(L117:O117)</f>
        <v>-152</v>
      </c>
      <c r="X117" s="30">
        <f>SUM(M117:P117)</f>
        <v>-263</v>
      </c>
      <c r="Y117" s="30">
        <f t="shared" si="112"/>
        <v>0</v>
      </c>
      <c r="Z117" s="30">
        <f t="shared" si="113"/>
        <v>-70</v>
      </c>
      <c r="AA117" s="30">
        <f t="shared" si="114"/>
        <v>-152</v>
      </c>
      <c r="AB117" s="30">
        <f t="shared" si="115"/>
        <v>-263</v>
      </c>
      <c r="AC117" s="30">
        <f t="shared" si="116"/>
        <v>-238</v>
      </c>
      <c r="AD117" s="57"/>
      <c r="AE117" s="70" t="e">
        <f t="shared" ref="AE117:AE125" si="117">SUM(AC117/Y117)-1</f>
        <v>#DIV/0!</v>
      </c>
    </row>
    <row r="118" spans="2:31" ht="12.75" customHeight="1">
      <c r="B118" s="58" t="s">
        <v>183</v>
      </c>
      <c r="C118" s="79">
        <v>-442.22399999999999</v>
      </c>
      <c r="D118" s="79">
        <v>-145</v>
      </c>
      <c r="E118" s="79">
        <v>-110</v>
      </c>
      <c r="F118" s="30"/>
      <c r="G118" s="79">
        <v>30.414000000000001</v>
      </c>
      <c r="H118" s="30">
        <v>62.011000000000003</v>
      </c>
      <c r="I118" s="30">
        <v>164.27199999999999</v>
      </c>
      <c r="J118" s="30">
        <f t="shared" si="110"/>
        <v>-401.697</v>
      </c>
      <c r="K118" s="79">
        <v>-0.3</v>
      </c>
      <c r="L118" s="30">
        <f>22.139-K118</f>
        <v>22.439</v>
      </c>
      <c r="M118" s="30">
        <f>(57.104-43.178)-L118-K118</f>
        <v>-8.2129999999999974</v>
      </c>
      <c r="N118" s="30">
        <f t="shared" si="111"/>
        <v>-123.926</v>
      </c>
      <c r="O118" s="79">
        <v>-86</v>
      </c>
      <c r="P118" s="30">
        <f>-124-O118</f>
        <v>-38</v>
      </c>
      <c r="Q118" s="30">
        <f>-115-P118-O118</f>
        <v>9</v>
      </c>
      <c r="S118" s="30"/>
      <c r="T118" s="30"/>
      <c r="U118" s="30"/>
      <c r="V118" s="30"/>
      <c r="W118" s="30"/>
      <c r="X118" s="30"/>
      <c r="Y118" s="30">
        <f t="shared" si="112"/>
        <v>-387.77100000000002</v>
      </c>
      <c r="Z118" s="30">
        <f t="shared" si="113"/>
        <v>-110</v>
      </c>
      <c r="AA118" s="30">
        <f t="shared" si="114"/>
        <v>-195.7</v>
      </c>
      <c r="AB118" s="30">
        <f t="shared" si="115"/>
        <v>-256.13900000000001</v>
      </c>
      <c r="AC118" s="30">
        <f t="shared" si="116"/>
        <v>-238.92599999999999</v>
      </c>
      <c r="AD118" s="57"/>
      <c r="AE118" s="70"/>
    </row>
    <row r="119" spans="2:31" ht="12.75" customHeight="1">
      <c r="B119" s="58" t="s">
        <v>156</v>
      </c>
      <c r="C119" s="79"/>
      <c r="D119" s="79">
        <v>-1214</v>
      </c>
      <c r="E119" s="79">
        <v>153</v>
      </c>
      <c r="F119" s="30"/>
      <c r="G119" s="79"/>
      <c r="H119" s="30"/>
      <c r="I119" s="30"/>
      <c r="J119" s="30">
        <f t="shared" si="110"/>
        <v>-1214</v>
      </c>
      <c r="K119" s="79"/>
      <c r="L119" s="30"/>
      <c r="M119" s="30"/>
      <c r="N119" s="30">
        <f t="shared" si="111"/>
        <v>153</v>
      </c>
      <c r="O119" s="79">
        <v>65</v>
      </c>
      <c r="P119" s="30">
        <f>124-O119</f>
        <v>59</v>
      </c>
      <c r="Q119" s="30">
        <f>-571-P119-O119</f>
        <v>-695</v>
      </c>
      <c r="S119" s="30"/>
      <c r="T119" s="30"/>
      <c r="U119" s="30"/>
      <c r="V119" s="30"/>
      <c r="W119" s="30"/>
      <c r="X119" s="30"/>
      <c r="Y119" s="30">
        <f t="shared" si="112"/>
        <v>-1214</v>
      </c>
      <c r="Z119" s="30">
        <f t="shared" si="113"/>
        <v>153</v>
      </c>
      <c r="AA119" s="30">
        <f t="shared" si="114"/>
        <v>218</v>
      </c>
      <c r="AB119" s="30">
        <f t="shared" si="115"/>
        <v>277</v>
      </c>
      <c r="AC119" s="30">
        <f t="shared" si="116"/>
        <v>-418</v>
      </c>
      <c r="AD119" s="57"/>
      <c r="AE119" s="70"/>
    </row>
    <row r="120" spans="2:31" ht="12.75" customHeight="1">
      <c r="B120" s="58" t="s">
        <v>14</v>
      </c>
      <c r="C120" s="79">
        <v>98.164000000000001</v>
      </c>
      <c r="D120" s="79">
        <v>219</v>
      </c>
      <c r="E120" s="79">
        <v>596</v>
      </c>
      <c r="F120" s="30"/>
      <c r="G120" s="79">
        <v>332.13499999999999</v>
      </c>
      <c r="H120" s="30">
        <v>291.75200000000001</v>
      </c>
      <c r="I120" s="30">
        <v>423.23500000000001</v>
      </c>
      <c r="J120" s="30">
        <f t="shared" si="110"/>
        <v>-828.12199999999984</v>
      </c>
      <c r="K120" s="79">
        <v>49.863</v>
      </c>
      <c r="L120" s="30">
        <f>94.001-K120</f>
        <v>44.138000000000005</v>
      </c>
      <c r="M120" s="30">
        <f>283.618-L120-K120</f>
        <v>189.61699999999999</v>
      </c>
      <c r="N120" s="30">
        <f t="shared" si="111"/>
        <v>312.38200000000001</v>
      </c>
      <c r="O120" s="79">
        <v>219</v>
      </c>
      <c r="P120" s="30">
        <f>210-O120</f>
        <v>-9</v>
      </c>
      <c r="Q120" s="30">
        <f>-539-P120-O120</f>
        <v>-749</v>
      </c>
      <c r="S120" s="30"/>
      <c r="T120" s="30"/>
      <c r="U120" s="30"/>
      <c r="V120" s="30"/>
      <c r="W120" s="30"/>
      <c r="X120" s="30"/>
      <c r="Y120" s="30">
        <f t="shared" si="112"/>
        <v>-544.50399999999979</v>
      </c>
      <c r="Z120" s="30">
        <f t="shared" si="113"/>
        <v>596</v>
      </c>
      <c r="AA120" s="30">
        <f t="shared" si="114"/>
        <v>765.13699999999994</v>
      </c>
      <c r="AB120" s="30">
        <f t="shared" si="115"/>
        <v>711.99900000000002</v>
      </c>
      <c r="AC120" s="30">
        <f t="shared" si="116"/>
        <v>-226.61799999999994</v>
      </c>
      <c r="AD120" s="57"/>
      <c r="AE120" s="70"/>
    </row>
    <row r="121" spans="2:31" ht="12.75" customHeight="1">
      <c r="B121" s="58" t="s">
        <v>137</v>
      </c>
      <c r="C121" s="79"/>
      <c r="D121" s="79"/>
      <c r="E121" s="79"/>
      <c r="F121" s="30"/>
      <c r="G121" s="79"/>
      <c r="H121" s="30"/>
      <c r="I121" s="30"/>
      <c r="J121" s="30">
        <f t="shared" si="110"/>
        <v>0</v>
      </c>
      <c r="K121" s="79"/>
      <c r="L121" s="30"/>
      <c r="M121" s="30">
        <v>12</v>
      </c>
      <c r="N121" s="30">
        <f t="shared" si="111"/>
        <v>-12</v>
      </c>
      <c r="O121" s="79">
        <v>8</v>
      </c>
      <c r="P121" s="30">
        <f>104-O121</f>
        <v>96</v>
      </c>
      <c r="Q121" s="30">
        <f>48-P121-O121</f>
        <v>-56</v>
      </c>
      <c r="S121" s="30"/>
      <c r="T121" s="30"/>
      <c r="U121" s="30"/>
      <c r="V121" s="30"/>
      <c r="W121" s="30"/>
      <c r="X121" s="30"/>
      <c r="Y121" s="30">
        <f t="shared" si="112"/>
        <v>12</v>
      </c>
      <c r="Z121" s="30">
        <f t="shared" si="113"/>
        <v>0</v>
      </c>
      <c r="AA121" s="30">
        <f t="shared" si="114"/>
        <v>8</v>
      </c>
      <c r="AB121" s="30">
        <f t="shared" si="115"/>
        <v>104</v>
      </c>
      <c r="AC121" s="30">
        <f t="shared" si="116"/>
        <v>36</v>
      </c>
      <c r="AD121" s="57"/>
      <c r="AE121" s="70"/>
    </row>
    <row r="122" spans="2:31" ht="12.75" customHeight="1">
      <c r="B122" s="58" t="s">
        <v>136</v>
      </c>
      <c r="C122" s="79">
        <f>487.828+3.385</f>
        <v>491.21299999999997</v>
      </c>
      <c r="D122" s="79">
        <v>-319</v>
      </c>
      <c r="E122" s="79">
        <v>110</v>
      </c>
      <c r="F122" s="30"/>
      <c r="G122" s="79">
        <v>-470.36500000000001</v>
      </c>
      <c r="H122" s="30">
        <v>-182.33699999999999</v>
      </c>
      <c r="I122" s="30">
        <v>206.53</v>
      </c>
      <c r="J122" s="30">
        <f t="shared" si="110"/>
        <v>127.17200000000003</v>
      </c>
      <c r="K122" s="79">
        <v>-1876.635</v>
      </c>
      <c r="L122" s="30">
        <f>-930.895-K122</f>
        <v>945.74</v>
      </c>
      <c r="M122" s="30">
        <f>-2720.781-L122-K122</f>
        <v>-1789.8859999999997</v>
      </c>
      <c r="N122" s="30">
        <f t="shared" si="111"/>
        <v>2830.7809999999999</v>
      </c>
      <c r="O122" s="79">
        <v>222</v>
      </c>
      <c r="P122" s="30">
        <f>-11-O122</f>
        <v>-233</v>
      </c>
      <c r="Q122" s="30">
        <f>155-P122-O122</f>
        <v>166</v>
      </c>
      <c r="S122" s="30">
        <f>SUM(H122:K122)</f>
        <v>-1725.27</v>
      </c>
      <c r="T122" s="30">
        <f>SUM(I122:L122)</f>
        <v>-597.19299999999998</v>
      </c>
      <c r="U122" s="30">
        <f>SUM(J122:M122)</f>
        <v>-2593.6089999999995</v>
      </c>
      <c r="V122" s="30">
        <f>SUM(K122:N122)</f>
        <v>110</v>
      </c>
      <c r="W122" s="30">
        <f>SUM(L122:O122)</f>
        <v>2208.6350000000002</v>
      </c>
      <c r="X122" s="30">
        <f>SUM(M122:P122)</f>
        <v>1029.8950000000002</v>
      </c>
      <c r="Y122" s="30">
        <f t="shared" si="112"/>
        <v>-2593.6089999999995</v>
      </c>
      <c r="Z122" s="30">
        <f t="shared" si="113"/>
        <v>110</v>
      </c>
      <c r="AA122" s="30">
        <f t="shared" si="114"/>
        <v>2208.6350000000002</v>
      </c>
      <c r="AB122" s="30">
        <f t="shared" si="115"/>
        <v>1029.8950000000002</v>
      </c>
      <c r="AC122" s="30">
        <f t="shared" si="116"/>
        <v>2985.7809999999999</v>
      </c>
      <c r="AD122" s="57"/>
      <c r="AE122" s="70">
        <f t="shared" si="117"/>
        <v>-2.1512070632080631</v>
      </c>
    </row>
    <row r="123" spans="2:31" ht="12.75" customHeight="1">
      <c r="B123" s="58" t="s">
        <v>184</v>
      </c>
      <c r="C123" s="79"/>
      <c r="D123" s="79"/>
      <c r="E123" s="79"/>
      <c r="F123" s="30"/>
      <c r="G123" s="79">
        <v>105.67100000000001</v>
      </c>
      <c r="H123" s="30">
        <v>105.67100000000001</v>
      </c>
      <c r="I123" s="30">
        <v>105.67100000000001</v>
      </c>
      <c r="J123" s="30">
        <f t="shared" si="110"/>
        <v>-317.01300000000003</v>
      </c>
      <c r="K123" s="79">
        <v>-4.1289999999999996</v>
      </c>
      <c r="L123" s="30">
        <f>-4.129-K123</f>
        <v>0</v>
      </c>
      <c r="M123" s="30">
        <f>-4.129-L123-K123</f>
        <v>0</v>
      </c>
      <c r="N123" s="30">
        <f t="shared" si="111"/>
        <v>4.1289999999999996</v>
      </c>
      <c r="O123" s="79"/>
      <c r="P123" s="30"/>
      <c r="Q123" s="30"/>
      <c r="S123" s="30">
        <f>SUM(H123:K123)</f>
        <v>-109.80000000000003</v>
      </c>
      <c r="T123" s="30">
        <f>SUM(I123:L123)</f>
        <v>-215.47100000000003</v>
      </c>
      <c r="U123" s="30">
        <f>SUM(J123:M123)</f>
        <v>-321.14200000000005</v>
      </c>
      <c r="V123" s="30">
        <f>SUM(K123:N123)</f>
        <v>0</v>
      </c>
      <c r="W123" s="30">
        <f>SUM(L123:O123)</f>
        <v>4.1289999999999996</v>
      </c>
      <c r="X123" s="30">
        <f>SUM(M123:P123)</f>
        <v>4.1289999999999996</v>
      </c>
      <c r="Y123" s="30">
        <f t="shared" si="112"/>
        <v>-321.14200000000005</v>
      </c>
      <c r="Z123" s="30">
        <f t="shared" si="113"/>
        <v>0</v>
      </c>
      <c r="AA123" s="30">
        <f t="shared" si="114"/>
        <v>4.1289999999999996</v>
      </c>
      <c r="AB123" s="30">
        <f t="shared" si="115"/>
        <v>4.1289999999999996</v>
      </c>
      <c r="AC123" s="30">
        <f t="shared" si="116"/>
        <v>4.1289999999999996</v>
      </c>
      <c r="AD123" s="57"/>
      <c r="AE123" s="70">
        <f t="shared" si="117"/>
        <v>-1.0128572407221728</v>
      </c>
    </row>
    <row r="124" spans="2:31" ht="12.75" customHeight="1">
      <c r="B124" s="58" t="s">
        <v>185</v>
      </c>
      <c r="C124" s="79"/>
      <c r="D124" s="79"/>
      <c r="E124" s="79"/>
      <c r="F124" s="30"/>
      <c r="G124" s="79">
        <v>-21.443000000000001</v>
      </c>
      <c r="H124" s="30">
        <v>1.468</v>
      </c>
      <c r="I124" s="30">
        <v>1284.1980000000001</v>
      </c>
      <c r="J124" s="30">
        <f t="shared" si="110"/>
        <v>-1264.2230000000002</v>
      </c>
      <c r="K124" s="79">
        <v>2.7639999999999998</v>
      </c>
      <c r="L124" s="30">
        <f>5.528-K124</f>
        <v>2.7639999999999998</v>
      </c>
      <c r="M124" s="30">
        <f>8.293-L124-K124</f>
        <v>2.7650000000000001</v>
      </c>
      <c r="N124" s="30">
        <f t="shared" si="111"/>
        <v>-8.2929999999999993</v>
      </c>
      <c r="O124" s="79"/>
      <c r="P124" s="30"/>
      <c r="Q124" s="30"/>
      <c r="S124" s="30">
        <f>SUM(H124:K124)</f>
        <v>24.206999999999983</v>
      </c>
      <c r="T124" s="30">
        <f>SUM(I124:L124)</f>
        <v>25.502999999999908</v>
      </c>
      <c r="U124" s="30">
        <f>SUM(J124:M124)</f>
        <v>-1255.9300000000003</v>
      </c>
      <c r="V124" s="30">
        <f>SUM(K124:N124)</f>
        <v>0</v>
      </c>
      <c r="W124" s="30">
        <f>SUM(L124:O124)</f>
        <v>-2.7639999999999993</v>
      </c>
      <c r="X124" s="30">
        <f>SUM(M124:P124)</f>
        <v>-5.5279999999999987</v>
      </c>
      <c r="Y124" s="30">
        <f t="shared" si="112"/>
        <v>-1255.9300000000003</v>
      </c>
      <c r="Z124" s="30">
        <f t="shared" si="113"/>
        <v>0</v>
      </c>
      <c r="AA124" s="30">
        <f t="shared" si="114"/>
        <v>-2.7639999999999993</v>
      </c>
      <c r="AB124" s="30">
        <f t="shared" si="115"/>
        <v>-5.5279999999999987</v>
      </c>
      <c r="AC124" s="30">
        <f t="shared" si="116"/>
        <v>-8.2929999999999993</v>
      </c>
      <c r="AD124" s="57"/>
      <c r="AE124" s="70">
        <f t="shared" si="117"/>
        <v>-0.99339692498785759</v>
      </c>
    </row>
    <row r="125" spans="2:31" ht="12.75" customHeight="1">
      <c r="B125" s="58" t="s">
        <v>186</v>
      </c>
      <c r="C125" s="79"/>
      <c r="D125" s="79">
        <v>1303</v>
      </c>
      <c r="E125" s="79">
        <v>-463</v>
      </c>
      <c r="F125" s="30"/>
      <c r="G125" s="79"/>
      <c r="H125" s="30"/>
      <c r="I125" s="30"/>
      <c r="J125" s="30">
        <f t="shared" si="110"/>
        <v>1303</v>
      </c>
      <c r="K125" s="79"/>
      <c r="L125" s="30"/>
      <c r="M125" s="30"/>
      <c r="N125" s="30">
        <f t="shared" si="111"/>
        <v>-463</v>
      </c>
      <c r="O125" s="79">
        <v>-65</v>
      </c>
      <c r="P125" s="30">
        <f>-132-O125</f>
        <v>-67</v>
      </c>
      <c r="Q125" s="30">
        <f>457-P125-O125</f>
        <v>589</v>
      </c>
      <c r="S125" s="30">
        <f>SUM(H125:K125)</f>
        <v>1303</v>
      </c>
      <c r="T125" s="30">
        <f>SUM(I125:L125)</f>
        <v>1303</v>
      </c>
      <c r="U125" s="30">
        <f>SUM(J125:M125)</f>
        <v>1303</v>
      </c>
      <c r="V125" s="30">
        <f>SUM(K125:N125)</f>
        <v>-463</v>
      </c>
      <c r="W125" s="30">
        <f>SUM(L125:O125)</f>
        <v>-528</v>
      </c>
      <c r="X125" s="30">
        <f>SUM(M125:P125)</f>
        <v>-595</v>
      </c>
      <c r="Y125" s="30">
        <f t="shared" si="112"/>
        <v>1303</v>
      </c>
      <c r="Z125" s="30">
        <f t="shared" si="113"/>
        <v>-463</v>
      </c>
      <c r="AA125" s="30">
        <f t="shared" si="114"/>
        <v>-528</v>
      </c>
      <c r="AB125" s="30">
        <f t="shared" si="115"/>
        <v>-595</v>
      </c>
      <c r="AC125" s="30">
        <f t="shared" si="116"/>
        <v>-6</v>
      </c>
      <c r="AD125" s="57"/>
      <c r="AE125" s="70">
        <f t="shared" si="117"/>
        <v>-1.0046047582501918</v>
      </c>
    </row>
    <row r="126" spans="2:31" ht="12.75" customHeight="1">
      <c r="B126" s="12" t="s">
        <v>69</v>
      </c>
      <c r="C126" s="13">
        <f>SUM(C101:C125)</f>
        <v>4171.4589999999989</v>
      </c>
      <c r="D126" s="13">
        <f>SUM(D101:D125)</f>
        <v>-17999.043000000001</v>
      </c>
      <c r="E126" s="13">
        <f>SUM(E101:E125)</f>
        <v>-18314.162</v>
      </c>
      <c r="G126" s="13">
        <f>SUM(G101:G125)</f>
        <v>-4193.8329999999996</v>
      </c>
      <c r="H126" s="13">
        <f>SUM(H101:H125)</f>
        <v>-779.04199999999958</v>
      </c>
      <c r="I126" s="13">
        <f>SUM(I101:I125)</f>
        <v>673.14300000000082</v>
      </c>
      <c r="J126" s="13">
        <f>SUM(J101:J125)</f>
        <v>-13699.310999999998</v>
      </c>
      <c r="K126" s="32">
        <f>SUM(K101:K125)</f>
        <v>-4716.570999999999</v>
      </c>
      <c r="L126" s="13">
        <f>SUM(L101:L125)</f>
        <v>-4948.7650000000003</v>
      </c>
      <c r="M126" s="13">
        <f>SUM(M101:M125)</f>
        <v>-4846.2759999999989</v>
      </c>
      <c r="N126" s="13">
        <f>SUM(N101:N125)</f>
        <v>-5380.4310000000005</v>
      </c>
      <c r="O126" s="13">
        <f>SUM(O101:O125)</f>
        <v>-3848</v>
      </c>
      <c r="P126" s="13">
        <f>SUM(P101:P125)</f>
        <v>-3025</v>
      </c>
      <c r="Q126" s="13">
        <f>SUM(Q101:Q125)</f>
        <v>-5559</v>
      </c>
      <c r="S126" s="13">
        <f>SUM(S101:S125)</f>
        <v>-29958.45</v>
      </c>
      <c r="T126" s="13">
        <f>SUM(T101:T125)</f>
        <v>-30969.507999999994</v>
      </c>
      <c r="U126" s="13">
        <f>SUM(U101:U125)</f>
        <v>-35829.305999999997</v>
      </c>
      <c r="V126" s="13">
        <f>SUM(V101:V125)</f>
        <v>-25091.043000000001</v>
      </c>
      <c r="W126" s="13">
        <f>SUM(W101:W125)</f>
        <v>-21539.800999999996</v>
      </c>
      <c r="X126" s="13">
        <f>SUM(X101:X125)</f>
        <v>-19980.975999999991</v>
      </c>
      <c r="Y126" s="13">
        <f>SUM(Y101:Y125)</f>
        <v>-28210.922999999995</v>
      </c>
      <c r="Z126" s="13">
        <f>SUM(Z101:Z125)</f>
        <v>-19892.043000000001</v>
      </c>
      <c r="AA126" s="13">
        <f>SUM(AA101:AA125)</f>
        <v>-19023.471999999998</v>
      </c>
      <c r="AB126" s="13">
        <f>SUM(AB101:AB125)</f>
        <v>-17099.706999999991</v>
      </c>
      <c r="AC126" s="13">
        <f>SUM(AC101:AC125)</f>
        <v>-17812.431</v>
      </c>
      <c r="AD126" s="40"/>
      <c r="AE126" s="71">
        <f>SUM(AC126/Y126)-1</f>
        <v>-0.36859807812739753</v>
      </c>
    </row>
    <row r="127" spans="2:31" ht="12.75" customHeight="1">
      <c r="B127" s="51"/>
      <c r="C127" s="59"/>
      <c r="D127" s="59"/>
      <c r="E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37"/>
    </row>
    <row r="128" spans="2:31" ht="12.75" customHeight="1">
      <c r="B128" s="138" t="s">
        <v>70</v>
      </c>
      <c r="C128" s="56"/>
      <c r="D128" s="56"/>
      <c r="E128" s="56"/>
      <c r="G128" s="56"/>
      <c r="H128" s="56"/>
      <c r="I128" s="56"/>
      <c r="J128" s="30"/>
      <c r="K128" s="79"/>
      <c r="L128" s="79"/>
      <c r="M128" s="79"/>
      <c r="N128" s="30"/>
      <c r="O128" s="79"/>
      <c r="P128" s="79"/>
      <c r="Q128" s="79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7"/>
      <c r="AE128" s="37"/>
    </row>
    <row r="129" spans="2:31" ht="12.75" customHeight="1">
      <c r="B129" s="58" t="s">
        <v>187</v>
      </c>
      <c r="C129" s="79">
        <v>-19.390999999999998</v>
      </c>
      <c r="D129" s="79">
        <v>-870</v>
      </c>
      <c r="E129" s="79">
        <v>-2112</v>
      </c>
      <c r="F129" s="147"/>
      <c r="G129" s="79">
        <v>-3.383</v>
      </c>
      <c r="H129" s="30">
        <v>-126.383</v>
      </c>
      <c r="I129" s="30">
        <v>-282.52100000000002</v>
      </c>
      <c r="J129" s="30">
        <f>SUM(D129-SUM(G129:I129))</f>
        <v>-457.71299999999997</v>
      </c>
      <c r="K129" s="79">
        <v>-378.75400000000002</v>
      </c>
      <c r="L129" s="30">
        <v>-581.33299999999997</v>
      </c>
      <c r="M129" s="30">
        <f>-2164.6-L129-K129</f>
        <v>-1204.5129999999999</v>
      </c>
      <c r="N129" s="30">
        <f>SUM(E129-SUM(K129:M129))</f>
        <v>52.599999999999909</v>
      </c>
      <c r="O129" s="79">
        <v>-1579</v>
      </c>
      <c r="P129" s="30">
        <v>-2656</v>
      </c>
      <c r="Q129" s="30">
        <f>-3170-P129-O129</f>
        <v>1065</v>
      </c>
      <c r="R129" s="30"/>
      <c r="S129" s="30">
        <f>SUM(H129:K129)</f>
        <v>-1245.3710000000001</v>
      </c>
      <c r="T129" s="30">
        <f>SUM(I129:L129)</f>
        <v>-1700.3209999999999</v>
      </c>
      <c r="U129" s="30">
        <f>SUM(J129:M129)</f>
        <v>-2622.3130000000001</v>
      </c>
      <c r="V129" s="30">
        <f>SUM(K129:N129)</f>
        <v>-2112</v>
      </c>
      <c r="W129" s="30">
        <f>SUM(L129:O129)</f>
        <v>-3312.2460000000001</v>
      </c>
      <c r="X129" s="30">
        <f>SUM(M129:P129)</f>
        <v>-5386.9130000000005</v>
      </c>
      <c r="Y129" s="30">
        <f t="shared" ref="Y129:Y137" si="118">SUM(J129:M129)</f>
        <v>-2622.3130000000001</v>
      </c>
      <c r="Z129" s="30">
        <f t="shared" ref="Z129:Z137" si="119">SUM(K129:N129)</f>
        <v>-2112</v>
      </c>
      <c r="AA129" s="30">
        <f t="shared" ref="AA129:AA137" si="120">SUM(L129:O129)</f>
        <v>-3312.2460000000001</v>
      </c>
      <c r="AB129" s="30">
        <f t="shared" ref="AB129:AB137" si="121">SUM(M129:P129)</f>
        <v>-5386.9130000000005</v>
      </c>
      <c r="AC129" s="30">
        <f t="shared" ref="AC129:AC137" si="122">SUM(N129:Q129)</f>
        <v>-3117.3999999999996</v>
      </c>
      <c r="AD129" s="57"/>
      <c r="AE129" s="70">
        <f t="shared" ref="AE129" si="123">SUM(AC129/Y129)-1</f>
        <v>0.18879782848195448</v>
      </c>
    </row>
    <row r="130" spans="2:31" ht="12.75" customHeight="1">
      <c r="B130" s="58" t="s">
        <v>188</v>
      </c>
      <c r="C130" s="79"/>
      <c r="D130" s="79"/>
      <c r="E130" s="79"/>
      <c r="F130" s="147"/>
      <c r="G130" s="79">
        <v>9.4280000000000008</v>
      </c>
      <c r="H130" s="30">
        <v>-4.8529999999999998</v>
      </c>
      <c r="I130" s="30">
        <v>-1303.027</v>
      </c>
      <c r="J130" s="30">
        <f t="shared" ref="J130:J134" si="124">SUM(D130-SUM(G130:I130))</f>
        <v>1298.452</v>
      </c>
      <c r="K130" s="79"/>
      <c r="L130" s="30"/>
      <c r="M130" s="30"/>
      <c r="N130" s="30">
        <f t="shared" ref="N130:N134" si="125">SUM(E130-SUM(K130:M130))</f>
        <v>0</v>
      </c>
      <c r="O130" s="79"/>
      <c r="P130" s="30"/>
      <c r="Q130" s="30"/>
      <c r="R130" s="30"/>
      <c r="S130" s="30"/>
      <c r="T130" s="30"/>
      <c r="U130" s="30"/>
      <c r="V130" s="30"/>
      <c r="W130" s="30"/>
      <c r="X130" s="30"/>
      <c r="Y130" s="30">
        <f t="shared" si="118"/>
        <v>1298.452</v>
      </c>
      <c r="Z130" s="30">
        <f t="shared" si="119"/>
        <v>0</v>
      </c>
      <c r="AA130" s="30">
        <f t="shared" si="120"/>
        <v>0</v>
      </c>
      <c r="AB130" s="30">
        <f t="shared" si="121"/>
        <v>0</v>
      </c>
      <c r="AC130" s="30">
        <f t="shared" si="122"/>
        <v>0</v>
      </c>
      <c r="AD130" s="57"/>
      <c r="AE130" s="70"/>
    </row>
    <row r="131" spans="2:31" ht="12.75" customHeight="1">
      <c r="B131" s="58" t="s">
        <v>189</v>
      </c>
      <c r="C131" s="79"/>
      <c r="D131" s="79"/>
      <c r="E131" s="79"/>
      <c r="F131" s="147"/>
      <c r="G131" s="79"/>
      <c r="H131" s="30"/>
      <c r="I131" s="30">
        <v>2.6520000000000001</v>
      </c>
      <c r="J131" s="30">
        <f t="shared" si="124"/>
        <v>-2.6520000000000001</v>
      </c>
      <c r="K131" s="79"/>
      <c r="L131" s="30"/>
      <c r="M131" s="30"/>
      <c r="N131" s="30">
        <f t="shared" si="125"/>
        <v>0</v>
      </c>
      <c r="O131" s="79"/>
      <c r="P131" s="30"/>
      <c r="Q131" s="30"/>
      <c r="R131" s="30"/>
      <c r="S131" s="30"/>
      <c r="T131" s="30"/>
      <c r="U131" s="30"/>
      <c r="V131" s="30"/>
      <c r="W131" s="30"/>
      <c r="X131" s="30"/>
      <c r="Y131" s="30">
        <f t="shared" si="118"/>
        <v>-2.6520000000000001</v>
      </c>
      <c r="Z131" s="30">
        <f t="shared" si="119"/>
        <v>0</v>
      </c>
      <c r="AA131" s="30">
        <f t="shared" si="120"/>
        <v>0</v>
      </c>
      <c r="AB131" s="30">
        <f t="shared" si="121"/>
        <v>0</v>
      </c>
      <c r="AC131" s="30">
        <f t="shared" si="122"/>
        <v>0</v>
      </c>
      <c r="AD131" s="57"/>
      <c r="AE131" s="70"/>
    </row>
    <row r="132" spans="2:31" ht="12.75" customHeight="1">
      <c r="B132" s="58" t="s">
        <v>116</v>
      </c>
      <c r="C132" s="79"/>
      <c r="D132" s="79"/>
      <c r="E132" s="79"/>
      <c r="F132" s="147"/>
      <c r="G132" s="79"/>
      <c r="H132" s="30">
        <v>-59125.773000000001</v>
      </c>
      <c r="I132" s="30">
        <v>-59125.773000000001</v>
      </c>
      <c r="J132" s="30">
        <f t="shared" si="124"/>
        <v>118251.546</v>
      </c>
      <c r="K132" s="79"/>
      <c r="L132" s="30"/>
      <c r="M132" s="30"/>
      <c r="N132" s="30">
        <f t="shared" si="125"/>
        <v>0</v>
      </c>
      <c r="O132" s="79"/>
      <c r="P132" s="30"/>
      <c r="Q132" s="30"/>
      <c r="R132" s="30"/>
      <c r="S132" s="30"/>
      <c r="T132" s="30"/>
      <c r="U132" s="30"/>
      <c r="V132" s="30"/>
      <c r="W132" s="30"/>
      <c r="X132" s="30"/>
      <c r="Y132" s="30">
        <f t="shared" si="118"/>
        <v>118251.546</v>
      </c>
      <c r="Z132" s="30">
        <f t="shared" si="119"/>
        <v>0</v>
      </c>
      <c r="AA132" s="30">
        <f t="shared" si="120"/>
        <v>0</v>
      </c>
      <c r="AB132" s="30">
        <f t="shared" si="121"/>
        <v>0</v>
      </c>
      <c r="AC132" s="30">
        <f t="shared" si="122"/>
        <v>0</v>
      </c>
      <c r="AD132" s="57"/>
      <c r="AE132" s="70"/>
    </row>
    <row r="133" spans="2:31" ht="12.75" customHeight="1">
      <c r="B133" s="58" t="s">
        <v>190</v>
      </c>
      <c r="C133" s="79"/>
      <c r="D133" s="79"/>
      <c r="E133" s="79"/>
      <c r="F133" s="147"/>
      <c r="G133" s="79"/>
      <c r="H133" s="30">
        <v>-25472.22</v>
      </c>
      <c r="I133" s="30">
        <v>-25472.22</v>
      </c>
      <c r="J133" s="30">
        <f t="shared" si="124"/>
        <v>50944.44</v>
      </c>
      <c r="K133" s="79"/>
      <c r="L133" s="30"/>
      <c r="M133" s="30"/>
      <c r="N133" s="30">
        <f t="shared" si="125"/>
        <v>0</v>
      </c>
      <c r="O133" s="79"/>
      <c r="P133" s="30"/>
      <c r="Q133" s="30"/>
      <c r="R133" s="30"/>
      <c r="S133" s="30"/>
      <c r="T133" s="30"/>
      <c r="U133" s="30"/>
      <c r="V133" s="30"/>
      <c r="W133" s="30"/>
      <c r="X133" s="30"/>
      <c r="Y133" s="30">
        <f t="shared" si="118"/>
        <v>50944.44</v>
      </c>
      <c r="Z133" s="30">
        <f t="shared" si="119"/>
        <v>0</v>
      </c>
      <c r="AA133" s="30">
        <f t="shared" si="120"/>
        <v>0</v>
      </c>
      <c r="AB133" s="30">
        <f t="shared" si="121"/>
        <v>0</v>
      </c>
      <c r="AC133" s="30">
        <f t="shared" si="122"/>
        <v>0</v>
      </c>
      <c r="AD133" s="57"/>
      <c r="AE133" s="70"/>
    </row>
    <row r="134" spans="2:31" ht="12.75" customHeight="1">
      <c r="B134" s="58" t="s">
        <v>191</v>
      </c>
      <c r="C134" s="79"/>
      <c r="D134" s="79">
        <v>0</v>
      </c>
      <c r="E134" s="79">
        <v>-500</v>
      </c>
      <c r="F134" s="147"/>
      <c r="G134" s="79"/>
      <c r="H134" s="30"/>
      <c r="I134" s="30"/>
      <c r="J134" s="30">
        <f t="shared" si="124"/>
        <v>0</v>
      </c>
      <c r="K134" s="79"/>
      <c r="L134" s="30"/>
      <c r="M134" s="30"/>
      <c r="N134" s="30">
        <f t="shared" si="125"/>
        <v>-500</v>
      </c>
      <c r="O134" s="79"/>
      <c r="P134" s="30"/>
      <c r="Q134" s="30"/>
      <c r="R134" s="30"/>
      <c r="S134" s="30"/>
      <c r="T134" s="30"/>
      <c r="U134" s="30"/>
      <c r="V134" s="30"/>
      <c r="W134" s="30"/>
      <c r="X134" s="30"/>
      <c r="Y134" s="30">
        <f t="shared" si="118"/>
        <v>0</v>
      </c>
      <c r="Z134" s="30">
        <f t="shared" si="119"/>
        <v>-500</v>
      </c>
      <c r="AA134" s="30">
        <f t="shared" si="120"/>
        <v>-500</v>
      </c>
      <c r="AB134" s="30">
        <f t="shared" si="121"/>
        <v>-500</v>
      </c>
      <c r="AC134" s="30">
        <f t="shared" si="122"/>
        <v>-500</v>
      </c>
      <c r="AD134" s="57"/>
      <c r="AE134" s="70"/>
    </row>
    <row r="135" spans="2:31" ht="12.75" customHeight="1">
      <c r="B135" s="58" t="s">
        <v>192</v>
      </c>
      <c r="C135" s="79">
        <v>-3.109</v>
      </c>
      <c r="D135" s="79"/>
      <c r="E135" s="79"/>
      <c r="F135" s="147"/>
      <c r="G135" s="79"/>
      <c r="H135" s="30">
        <v>-97.768000000000001</v>
      </c>
      <c r="I135" s="30">
        <v>-56.423999999999999</v>
      </c>
      <c r="J135" s="30">
        <f>SUM(D135-SUM(G135:I135))</f>
        <v>154.19200000000001</v>
      </c>
      <c r="K135" s="79"/>
      <c r="L135" s="30">
        <v>-3.9470000000000001</v>
      </c>
      <c r="M135" s="30">
        <f>-68.774-L135</f>
        <v>-64.826999999999998</v>
      </c>
      <c r="N135" s="30">
        <f>SUM(E135-SUM(K135:M135))</f>
        <v>68.774000000000001</v>
      </c>
      <c r="O135" s="79"/>
      <c r="P135" s="30"/>
      <c r="Q135" s="30"/>
      <c r="R135" s="30"/>
      <c r="S135" s="30"/>
      <c r="T135" s="30"/>
      <c r="U135" s="30"/>
      <c r="V135" s="30"/>
      <c r="W135" s="30"/>
      <c r="X135" s="30"/>
      <c r="Y135" s="30">
        <f t="shared" si="118"/>
        <v>85.418000000000006</v>
      </c>
      <c r="Z135" s="30">
        <f t="shared" si="119"/>
        <v>0</v>
      </c>
      <c r="AA135" s="30">
        <f t="shared" si="120"/>
        <v>0</v>
      </c>
      <c r="AB135" s="30">
        <f t="shared" si="121"/>
        <v>3.9470000000000027</v>
      </c>
      <c r="AC135" s="30">
        <f t="shared" si="122"/>
        <v>68.774000000000001</v>
      </c>
      <c r="AD135" s="57"/>
      <c r="AE135" s="70"/>
    </row>
    <row r="136" spans="2:31" ht="12.75" customHeight="1">
      <c r="B136" s="58" t="s">
        <v>193</v>
      </c>
      <c r="C136" s="79"/>
      <c r="D136" s="79"/>
      <c r="E136" s="79"/>
      <c r="F136" s="147"/>
      <c r="G136" s="79">
        <v>-1250</v>
      </c>
      <c r="H136" s="30"/>
      <c r="I136" s="30"/>
      <c r="J136" s="30">
        <f>SUM(D136-SUM(G136:I136))</f>
        <v>1250</v>
      </c>
      <c r="K136" s="79"/>
      <c r="L136" s="30">
        <v>-504.66800000000001</v>
      </c>
      <c r="M136" s="30">
        <f>-500-L136</f>
        <v>4.6680000000000064</v>
      </c>
      <c r="N136" s="30">
        <f>SUM(E136-SUM(K136:M136))</f>
        <v>500</v>
      </c>
      <c r="O136" s="79"/>
      <c r="P136" s="30"/>
      <c r="Q136" s="30"/>
      <c r="R136" s="30"/>
      <c r="S136" s="30"/>
      <c r="T136" s="30"/>
      <c r="U136" s="30"/>
      <c r="V136" s="30"/>
      <c r="W136" s="30"/>
      <c r="X136" s="30"/>
      <c r="Y136" s="30">
        <f t="shared" si="118"/>
        <v>750</v>
      </c>
      <c r="Z136" s="30">
        <f t="shared" si="119"/>
        <v>0</v>
      </c>
      <c r="AA136" s="30">
        <f t="shared" si="120"/>
        <v>0</v>
      </c>
      <c r="AB136" s="30">
        <f t="shared" si="121"/>
        <v>504.66800000000001</v>
      </c>
      <c r="AC136" s="30">
        <f t="shared" si="122"/>
        <v>500</v>
      </c>
      <c r="AD136" s="57"/>
      <c r="AE136" s="70"/>
    </row>
    <row r="137" spans="2:31" ht="12.75" customHeight="1">
      <c r="B137" s="58" t="s">
        <v>194</v>
      </c>
      <c r="C137" s="79"/>
      <c r="D137" s="79">
        <v>-1356</v>
      </c>
      <c r="E137" s="79"/>
      <c r="F137" s="147"/>
      <c r="G137" s="79"/>
      <c r="H137" s="30"/>
      <c r="I137" s="30"/>
      <c r="J137" s="30">
        <f>SUM(D137-SUM(G137:I137))</f>
        <v>-1356</v>
      </c>
      <c r="K137" s="79"/>
      <c r="L137" s="30"/>
      <c r="M137" s="30"/>
      <c r="N137" s="30">
        <f>SUM(E137-SUM(K137:M137))</f>
        <v>0</v>
      </c>
      <c r="O137" s="79"/>
      <c r="P137" s="30"/>
      <c r="Q137" s="30"/>
      <c r="R137" s="30"/>
      <c r="S137" s="30"/>
      <c r="T137" s="30"/>
      <c r="U137" s="30"/>
      <c r="V137" s="30"/>
      <c r="W137" s="30"/>
      <c r="X137" s="30"/>
      <c r="Y137" s="30">
        <f t="shared" si="118"/>
        <v>-1356</v>
      </c>
      <c r="Z137" s="30">
        <f t="shared" si="119"/>
        <v>0</v>
      </c>
      <c r="AA137" s="30">
        <f t="shared" si="120"/>
        <v>0</v>
      </c>
      <c r="AB137" s="30">
        <f t="shared" si="121"/>
        <v>0</v>
      </c>
      <c r="AC137" s="30">
        <f t="shared" si="122"/>
        <v>0</v>
      </c>
      <c r="AD137" s="57"/>
      <c r="AE137" s="70"/>
    </row>
    <row r="138" spans="2:31" ht="12.75" customHeight="1">
      <c r="B138" s="12" t="s">
        <v>71</v>
      </c>
      <c r="C138" s="13">
        <f>SUM(C129:C137)</f>
        <v>-22.5</v>
      </c>
      <c r="D138" s="13">
        <f>SUM(D129:D137)</f>
        <v>-2226</v>
      </c>
      <c r="E138" s="13">
        <f>SUM(E129:E137)</f>
        <v>-2612</v>
      </c>
      <c r="G138" s="13">
        <f>SUM(G129:G137)</f>
        <v>-1243.9549999999999</v>
      </c>
      <c r="H138" s="13">
        <f>SUM(H129:H137)</f>
        <v>-84826.996999999988</v>
      </c>
      <c r="I138" s="13">
        <f>SUM(I129:I137)</f>
        <v>-86237.312999999995</v>
      </c>
      <c r="J138" s="13">
        <f>SUM(J129:J137)</f>
        <v>170082.26500000001</v>
      </c>
      <c r="K138" s="13">
        <f>SUM(K129:K137)</f>
        <v>-378.75400000000002</v>
      </c>
      <c r="L138" s="13">
        <f>SUM(L129:L137)</f>
        <v>-1089.9479999999999</v>
      </c>
      <c r="M138" s="13">
        <f>SUM(M129:M137)</f>
        <v>-1264.672</v>
      </c>
      <c r="N138" s="13">
        <f>SUM(N129:N137)</f>
        <v>121.37399999999991</v>
      </c>
      <c r="O138" s="13">
        <f>SUM(O129:O137)</f>
        <v>-1579</v>
      </c>
      <c r="P138" s="13">
        <f>SUM(P129:P137)</f>
        <v>-2656</v>
      </c>
      <c r="Q138" s="13">
        <f>SUM(Q129:Q137)</f>
        <v>1065</v>
      </c>
      <c r="S138" s="13">
        <f>SUM(S129:S137)</f>
        <v>-1245.3710000000001</v>
      </c>
      <c r="T138" s="13">
        <f>SUM(T129:T137)</f>
        <v>-1700.3209999999999</v>
      </c>
      <c r="U138" s="13">
        <f>SUM(U129:U137)</f>
        <v>-2622.3130000000001</v>
      </c>
      <c r="V138" s="13">
        <f>SUM(V129:V137)</f>
        <v>-2112</v>
      </c>
      <c r="W138" s="13">
        <f>SUM(W129:W137)</f>
        <v>-3312.2460000000001</v>
      </c>
      <c r="X138" s="13">
        <f>SUM(X129:X137)</f>
        <v>-5386.9130000000005</v>
      </c>
      <c r="Y138" s="13">
        <f>SUM(Y129:Y137)</f>
        <v>167348.891</v>
      </c>
      <c r="Z138" s="13">
        <f>SUM(Z129:Z137)</f>
        <v>-2612</v>
      </c>
      <c r="AA138" s="13">
        <f>SUM(AA129:AA137)</f>
        <v>-3812.2460000000001</v>
      </c>
      <c r="AB138" s="13">
        <f>SUM(AB129:AB137)</f>
        <v>-5378.2980000000007</v>
      </c>
      <c r="AC138" s="13">
        <f>SUM(AC129:AC137)</f>
        <v>-3048.6259999999997</v>
      </c>
      <c r="AD138" s="40"/>
      <c r="AE138" s="71">
        <f>SUM(AC138/Y138)-1</f>
        <v>-1.0182171867514795</v>
      </c>
    </row>
    <row r="139" spans="2:31" ht="5.0999999999999996" customHeight="1">
      <c r="B139" s="50"/>
      <c r="C139" s="59"/>
      <c r="D139" s="59"/>
      <c r="E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37"/>
    </row>
    <row r="140" spans="2:31" ht="12.75" customHeight="1">
      <c r="B140" s="138" t="s">
        <v>72</v>
      </c>
      <c r="C140" s="60"/>
      <c r="D140" s="60"/>
      <c r="E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61"/>
      <c r="AE140" s="37"/>
    </row>
    <row r="141" spans="2:31" ht="12.75" customHeight="1">
      <c r="B141" s="80" t="s">
        <v>195</v>
      </c>
      <c r="C141" s="79">
        <v>-218.37100000000001</v>
      </c>
      <c r="D141" s="79"/>
      <c r="E141" s="79"/>
      <c r="F141" s="147"/>
      <c r="G141" s="79"/>
      <c r="H141" s="30"/>
      <c r="I141" s="30"/>
      <c r="J141" s="30">
        <f t="shared" ref="J141:J152" si="126">SUM(D141-SUM(G141:I141))</f>
        <v>0</v>
      </c>
      <c r="K141" s="79"/>
      <c r="L141" s="30"/>
      <c r="M141" s="30"/>
      <c r="N141" s="30">
        <f t="shared" ref="N141:N152" si="127">SUM(E141-SUM(K141:M141))</f>
        <v>0</v>
      </c>
      <c r="O141" s="79"/>
      <c r="P141" s="30"/>
      <c r="Q141" s="30"/>
      <c r="R141" s="30"/>
      <c r="S141" s="30"/>
      <c r="T141" s="30"/>
      <c r="U141" s="30"/>
      <c r="V141" s="30"/>
      <c r="W141" s="30"/>
      <c r="X141" s="30"/>
      <c r="Y141" s="30">
        <f t="shared" ref="Y141:Y152" si="128">SUM(J141:M141)</f>
        <v>0</v>
      </c>
      <c r="Z141" s="30">
        <f t="shared" ref="Z141:Z152" si="129">SUM(K141:N141)</f>
        <v>0</v>
      </c>
      <c r="AA141" s="30">
        <f t="shared" ref="AA141:AA152" si="130">SUM(L141:O141)</f>
        <v>0</v>
      </c>
      <c r="AB141" s="30">
        <f t="shared" ref="AB141:AB152" si="131">SUM(M141:P141)</f>
        <v>0</v>
      </c>
      <c r="AC141" s="30">
        <f t="shared" ref="AC141:AC152" si="132">SUM(N141:Q141)</f>
        <v>0</v>
      </c>
      <c r="AD141" s="61"/>
      <c r="AE141" s="70" t="e">
        <f t="shared" ref="AE141:AE150" si="133">SUM(AC141/Y141)-1</f>
        <v>#DIV/0!</v>
      </c>
    </row>
    <row r="142" spans="2:31" ht="12.75" customHeight="1">
      <c r="B142" s="80" t="s">
        <v>196</v>
      </c>
      <c r="C142" s="79"/>
      <c r="D142" s="79"/>
      <c r="E142" s="79"/>
      <c r="F142" s="147"/>
      <c r="G142" s="79"/>
      <c r="H142" s="30"/>
      <c r="I142" s="30">
        <v>8042.54</v>
      </c>
      <c r="J142" s="30">
        <f t="shared" si="126"/>
        <v>-8042.54</v>
      </c>
      <c r="K142" s="79"/>
      <c r="L142" s="30"/>
      <c r="M142" s="30"/>
      <c r="N142" s="30">
        <f t="shared" si="127"/>
        <v>0</v>
      </c>
      <c r="O142" s="79"/>
      <c r="P142" s="30"/>
      <c r="Q142" s="30"/>
      <c r="R142" s="30"/>
      <c r="S142" s="30"/>
      <c r="T142" s="30"/>
      <c r="U142" s="30"/>
      <c r="V142" s="30"/>
      <c r="W142" s="30"/>
      <c r="X142" s="30"/>
      <c r="Y142" s="30">
        <f t="shared" si="128"/>
        <v>-8042.54</v>
      </c>
      <c r="Z142" s="30">
        <f t="shared" si="129"/>
        <v>0</v>
      </c>
      <c r="AA142" s="30">
        <f t="shared" si="130"/>
        <v>0</v>
      </c>
      <c r="AB142" s="30">
        <f t="shared" si="131"/>
        <v>0</v>
      </c>
      <c r="AC142" s="30">
        <f t="shared" si="132"/>
        <v>0</v>
      </c>
      <c r="AD142" s="61"/>
      <c r="AE142" s="70"/>
    </row>
    <row r="143" spans="2:31" ht="12.75" customHeight="1">
      <c r="B143" s="80" t="s">
        <v>197</v>
      </c>
      <c r="C143" s="79">
        <v>8606.25</v>
      </c>
      <c r="D143" s="79"/>
      <c r="E143" s="79"/>
      <c r="F143" s="147"/>
      <c r="G143" s="79"/>
      <c r="H143" s="30"/>
      <c r="I143" s="30"/>
      <c r="J143" s="30">
        <f t="shared" si="126"/>
        <v>0</v>
      </c>
      <c r="K143" s="79"/>
      <c r="L143" s="30"/>
      <c r="M143" s="30"/>
      <c r="N143" s="30">
        <f t="shared" si="127"/>
        <v>0</v>
      </c>
      <c r="O143" s="79"/>
      <c r="P143" s="30"/>
      <c r="Q143" s="30"/>
      <c r="R143" s="30"/>
      <c r="S143" s="30"/>
      <c r="T143" s="30"/>
      <c r="U143" s="30"/>
      <c r="V143" s="30"/>
      <c r="W143" s="30"/>
      <c r="X143" s="30"/>
      <c r="Y143" s="30">
        <f t="shared" si="128"/>
        <v>0</v>
      </c>
      <c r="Z143" s="30">
        <f t="shared" si="129"/>
        <v>0</v>
      </c>
      <c r="AA143" s="30">
        <f t="shared" si="130"/>
        <v>0</v>
      </c>
      <c r="AB143" s="30">
        <f t="shared" si="131"/>
        <v>0</v>
      </c>
      <c r="AC143" s="30">
        <f t="shared" si="132"/>
        <v>0</v>
      </c>
      <c r="AD143" s="61"/>
      <c r="AE143" s="70"/>
    </row>
    <row r="144" spans="2:31" ht="12.75" customHeight="1">
      <c r="B144" s="80" t="s">
        <v>198</v>
      </c>
      <c r="C144" s="79"/>
      <c r="D144" s="79"/>
      <c r="E144" s="79"/>
      <c r="F144" s="147"/>
      <c r="G144" s="79"/>
      <c r="H144" s="30"/>
      <c r="I144" s="30"/>
      <c r="J144" s="30">
        <f t="shared" si="126"/>
        <v>0</v>
      </c>
      <c r="K144" s="79"/>
      <c r="L144" s="30">
        <v>-1901.079</v>
      </c>
      <c r="M144" s="30">
        <f>-4030.279-L144</f>
        <v>-2129.1999999999998</v>
      </c>
      <c r="N144" s="30">
        <f t="shared" si="127"/>
        <v>4030.2789999999995</v>
      </c>
      <c r="O144" s="79"/>
      <c r="P144" s="30"/>
      <c r="Q144" s="30"/>
      <c r="R144" s="30"/>
      <c r="S144" s="30"/>
      <c r="T144" s="30"/>
      <c r="U144" s="30"/>
      <c r="V144" s="30"/>
      <c r="W144" s="30"/>
      <c r="X144" s="30"/>
      <c r="Y144" s="30">
        <f t="shared" si="128"/>
        <v>-4030.2789999999995</v>
      </c>
      <c r="Z144" s="30">
        <f t="shared" si="129"/>
        <v>0</v>
      </c>
      <c r="AA144" s="30">
        <f t="shared" si="130"/>
        <v>0</v>
      </c>
      <c r="AB144" s="30">
        <f t="shared" si="131"/>
        <v>1901.0789999999997</v>
      </c>
      <c r="AC144" s="30">
        <f t="shared" si="132"/>
        <v>4030.2789999999995</v>
      </c>
      <c r="AD144" s="61"/>
      <c r="AE144" s="70"/>
    </row>
    <row r="145" spans="2:31" ht="12.75" customHeight="1">
      <c r="B145" s="80" t="s">
        <v>199</v>
      </c>
      <c r="C145" s="79"/>
      <c r="D145" s="79"/>
      <c r="E145" s="79"/>
      <c r="F145" s="147"/>
      <c r="G145" s="79"/>
      <c r="H145" s="30"/>
      <c r="I145" s="30"/>
      <c r="J145" s="30">
        <f t="shared" si="126"/>
        <v>0</v>
      </c>
      <c r="K145" s="79"/>
      <c r="L145" s="30"/>
      <c r="M145" s="30"/>
      <c r="N145" s="30">
        <f t="shared" si="127"/>
        <v>0</v>
      </c>
      <c r="O145" s="79"/>
      <c r="P145" s="30"/>
      <c r="Q145" s="30"/>
      <c r="R145" s="30"/>
      <c r="S145" s="30"/>
      <c r="T145" s="30"/>
      <c r="U145" s="30"/>
      <c r="V145" s="30"/>
      <c r="W145" s="30"/>
      <c r="X145" s="30"/>
      <c r="Y145" s="30">
        <f t="shared" si="128"/>
        <v>0</v>
      </c>
      <c r="Z145" s="30">
        <f t="shared" si="129"/>
        <v>0</v>
      </c>
      <c r="AA145" s="30">
        <f t="shared" si="130"/>
        <v>0</v>
      </c>
      <c r="AB145" s="30">
        <f t="shared" si="131"/>
        <v>0</v>
      </c>
      <c r="AC145" s="30">
        <f t="shared" si="132"/>
        <v>0</v>
      </c>
      <c r="AD145" s="61"/>
      <c r="AE145" s="70"/>
    </row>
    <row r="146" spans="2:31" ht="12.75" customHeight="1">
      <c r="B146" s="80" t="s">
        <v>200</v>
      </c>
      <c r="C146" s="79"/>
      <c r="D146" s="79"/>
      <c r="E146" s="79"/>
      <c r="F146" s="147"/>
      <c r="G146" s="79">
        <v>212.5</v>
      </c>
      <c r="H146" s="30">
        <v>318.75</v>
      </c>
      <c r="I146" s="30">
        <v>318.75</v>
      </c>
      <c r="J146" s="30">
        <f t="shared" si="126"/>
        <v>-850</v>
      </c>
      <c r="K146" s="79"/>
      <c r="L146" s="30"/>
      <c r="M146" s="30"/>
      <c r="N146" s="30">
        <f t="shared" si="127"/>
        <v>0</v>
      </c>
      <c r="O146" s="79"/>
      <c r="P146" s="30"/>
      <c r="Q146" s="30"/>
      <c r="R146" s="30"/>
      <c r="S146" s="30"/>
      <c r="T146" s="30"/>
      <c r="U146" s="30"/>
      <c r="V146" s="30"/>
      <c r="W146" s="30"/>
      <c r="X146" s="30"/>
      <c r="Y146" s="30">
        <f t="shared" si="128"/>
        <v>-850</v>
      </c>
      <c r="Z146" s="30">
        <f t="shared" si="129"/>
        <v>0</v>
      </c>
      <c r="AA146" s="30">
        <f t="shared" si="130"/>
        <v>0</v>
      </c>
      <c r="AB146" s="30">
        <f t="shared" si="131"/>
        <v>0</v>
      </c>
      <c r="AC146" s="30">
        <f t="shared" si="132"/>
        <v>0</v>
      </c>
      <c r="AD146" s="61"/>
      <c r="AE146" s="70"/>
    </row>
    <row r="147" spans="2:31" ht="12.75" customHeight="1">
      <c r="B147" s="80" t="s">
        <v>201</v>
      </c>
      <c r="C147" s="79"/>
      <c r="D147" s="79"/>
      <c r="E147" s="79"/>
      <c r="F147" s="147"/>
      <c r="G147" s="79"/>
      <c r="H147" s="30">
        <v>83083.866999999998</v>
      </c>
      <c r="I147" s="30">
        <v>83083.866999999998</v>
      </c>
      <c r="J147" s="30">
        <f t="shared" si="126"/>
        <v>-166167.734</v>
      </c>
      <c r="K147" s="79"/>
      <c r="L147" s="30"/>
      <c r="M147" s="30"/>
      <c r="N147" s="30">
        <f t="shared" si="127"/>
        <v>0</v>
      </c>
      <c r="O147" s="79"/>
      <c r="P147" s="30"/>
      <c r="Q147" s="30"/>
      <c r="R147" s="30"/>
      <c r="S147" s="30"/>
      <c r="T147" s="30"/>
      <c r="U147" s="30"/>
      <c r="V147" s="30"/>
      <c r="W147" s="30"/>
      <c r="X147" s="30"/>
      <c r="Y147" s="30">
        <f t="shared" si="128"/>
        <v>-166167.734</v>
      </c>
      <c r="Z147" s="30">
        <f t="shared" si="129"/>
        <v>0</v>
      </c>
      <c r="AA147" s="30">
        <f t="shared" si="130"/>
        <v>0</v>
      </c>
      <c r="AB147" s="30">
        <f t="shared" si="131"/>
        <v>0</v>
      </c>
      <c r="AC147" s="30">
        <f t="shared" si="132"/>
        <v>0</v>
      </c>
      <c r="AD147" s="61"/>
      <c r="AE147" s="70"/>
    </row>
    <row r="148" spans="2:31" ht="12.75" customHeight="1">
      <c r="B148" s="80" t="s">
        <v>202</v>
      </c>
      <c r="C148" s="79"/>
      <c r="D148" s="79">
        <v>6960</v>
      </c>
      <c r="E148" s="79">
        <v>0</v>
      </c>
      <c r="F148" s="147"/>
      <c r="G148" s="79"/>
      <c r="H148" s="30"/>
      <c r="I148" s="30"/>
      <c r="J148" s="30">
        <f t="shared" si="126"/>
        <v>6960</v>
      </c>
      <c r="K148" s="79"/>
      <c r="L148" s="30"/>
      <c r="M148" s="30"/>
      <c r="N148" s="30">
        <f t="shared" si="127"/>
        <v>0</v>
      </c>
      <c r="O148" s="79"/>
      <c r="P148" s="30">
        <v>0</v>
      </c>
      <c r="Q148" s="30">
        <v>6995</v>
      </c>
      <c r="R148" s="30"/>
      <c r="S148" s="30"/>
      <c r="T148" s="30"/>
      <c r="U148" s="30"/>
      <c r="V148" s="30"/>
      <c r="W148" s="30"/>
      <c r="X148" s="30"/>
      <c r="Y148" s="30">
        <f t="shared" si="128"/>
        <v>6960</v>
      </c>
      <c r="Z148" s="30">
        <f t="shared" si="129"/>
        <v>0</v>
      </c>
      <c r="AA148" s="30">
        <f t="shared" si="130"/>
        <v>0</v>
      </c>
      <c r="AB148" s="30">
        <f t="shared" si="131"/>
        <v>0</v>
      </c>
      <c r="AC148" s="30">
        <f t="shared" si="132"/>
        <v>6995</v>
      </c>
      <c r="AD148" s="61"/>
      <c r="AE148" s="70"/>
    </row>
    <row r="149" spans="2:31" ht="12.75" customHeight="1">
      <c r="B149" s="80" t="s">
        <v>203</v>
      </c>
      <c r="C149" s="79"/>
      <c r="D149" s="79">
        <v>0</v>
      </c>
      <c r="E149" s="79">
        <v>-6187</v>
      </c>
      <c r="F149" s="147"/>
      <c r="G149" s="79"/>
      <c r="H149" s="30"/>
      <c r="I149" s="30"/>
      <c r="J149" s="30">
        <f t="shared" si="126"/>
        <v>0</v>
      </c>
      <c r="K149" s="79"/>
      <c r="L149" s="30"/>
      <c r="M149" s="30"/>
      <c r="N149" s="30">
        <f t="shared" si="127"/>
        <v>-6187</v>
      </c>
      <c r="O149" s="79">
        <v>-2063</v>
      </c>
      <c r="P149" s="30">
        <v>-2063</v>
      </c>
      <c r="Q149" s="30">
        <v>-2063</v>
      </c>
      <c r="R149" s="30"/>
      <c r="S149" s="30"/>
      <c r="T149" s="30"/>
      <c r="U149" s="30"/>
      <c r="V149" s="30"/>
      <c r="W149" s="30"/>
      <c r="X149" s="30"/>
      <c r="Y149" s="30">
        <f t="shared" si="128"/>
        <v>0</v>
      </c>
      <c r="Z149" s="30">
        <f t="shared" si="129"/>
        <v>-6187</v>
      </c>
      <c r="AA149" s="30">
        <f t="shared" si="130"/>
        <v>-8250</v>
      </c>
      <c r="AB149" s="30">
        <f t="shared" si="131"/>
        <v>-10313</v>
      </c>
      <c r="AC149" s="30">
        <f t="shared" si="132"/>
        <v>-12376</v>
      </c>
      <c r="AD149" s="61"/>
      <c r="AE149" s="70"/>
    </row>
    <row r="150" spans="2:31" ht="12.75" customHeight="1">
      <c r="B150" s="80" t="s">
        <v>204</v>
      </c>
      <c r="C150" s="79"/>
      <c r="D150" s="79">
        <v>-787</v>
      </c>
      <c r="E150" s="79">
        <v>-865</v>
      </c>
      <c r="F150" s="147"/>
      <c r="G150" s="79"/>
      <c r="H150" s="30"/>
      <c r="I150" s="30"/>
      <c r="J150" s="30">
        <f t="shared" si="126"/>
        <v>-787</v>
      </c>
      <c r="K150" s="79"/>
      <c r="L150" s="30"/>
      <c r="M150" s="30"/>
      <c r="N150" s="30">
        <f t="shared" si="127"/>
        <v>-865</v>
      </c>
      <c r="O150" s="79">
        <v>-215</v>
      </c>
      <c r="P150" s="30">
        <v>-215</v>
      </c>
      <c r="Q150" s="30">
        <v>-215</v>
      </c>
      <c r="R150" s="30"/>
      <c r="S150" s="30"/>
      <c r="T150" s="30"/>
      <c r="U150" s="30"/>
      <c r="V150" s="30"/>
      <c r="W150" s="30"/>
      <c r="X150" s="30"/>
      <c r="Y150" s="30">
        <f t="shared" si="128"/>
        <v>-787</v>
      </c>
      <c r="Z150" s="30">
        <f t="shared" si="129"/>
        <v>-865</v>
      </c>
      <c r="AA150" s="30">
        <f t="shared" si="130"/>
        <v>-1080</v>
      </c>
      <c r="AB150" s="30">
        <f t="shared" si="131"/>
        <v>-1295</v>
      </c>
      <c r="AC150" s="30">
        <f t="shared" si="132"/>
        <v>-1510</v>
      </c>
      <c r="AD150" s="61"/>
      <c r="AE150" s="70">
        <f t="shared" si="133"/>
        <v>0.91867852604828459</v>
      </c>
    </row>
    <row r="151" spans="2:31" ht="12.75" customHeight="1">
      <c r="B151" s="80" t="s">
        <v>205</v>
      </c>
      <c r="C151" s="79"/>
      <c r="D151" s="79"/>
      <c r="E151" s="79"/>
      <c r="F151" s="147"/>
      <c r="G151" s="79"/>
      <c r="H151" s="30"/>
      <c r="I151" s="30"/>
      <c r="J151" s="30">
        <f t="shared" si="126"/>
        <v>0</v>
      </c>
      <c r="K151" s="79"/>
      <c r="L151" s="30"/>
      <c r="M151" s="30"/>
      <c r="N151" s="30">
        <f t="shared" si="127"/>
        <v>0</v>
      </c>
      <c r="O151" s="79">
        <v>-455</v>
      </c>
      <c r="P151" s="30">
        <v>-1366</v>
      </c>
      <c r="Q151" s="30">
        <v>-2732</v>
      </c>
      <c r="R151" s="30"/>
      <c r="S151" s="30">
        <f>SUM(H151:K151)</f>
        <v>0</v>
      </c>
      <c r="T151" s="30">
        <f>SUM(I151:L151)</f>
        <v>0</v>
      </c>
      <c r="U151" s="30">
        <f>SUM(J151:M151)</f>
        <v>0</v>
      </c>
      <c r="V151" s="30">
        <f>SUM(K151:N151)</f>
        <v>0</v>
      </c>
      <c r="W151" s="30">
        <f>SUM(L151:O151)</f>
        <v>-455</v>
      </c>
      <c r="X151" s="30">
        <f>SUM(M151:P151)</f>
        <v>-1821</v>
      </c>
      <c r="Y151" s="30">
        <f t="shared" si="128"/>
        <v>0</v>
      </c>
      <c r="Z151" s="30">
        <f t="shared" si="129"/>
        <v>0</v>
      </c>
      <c r="AA151" s="30">
        <f t="shared" si="130"/>
        <v>-455</v>
      </c>
      <c r="AB151" s="30">
        <f t="shared" si="131"/>
        <v>-1821</v>
      </c>
      <c r="AC151" s="30">
        <f t="shared" si="132"/>
        <v>-4553</v>
      </c>
      <c r="AD151" s="61"/>
      <c r="AE151" s="70" t="e">
        <f t="shared" ref="AE151:AE152" si="134">SUM(AC151/Y151)-1</f>
        <v>#DIV/0!</v>
      </c>
    </row>
    <row r="152" spans="2:31" ht="12.75" customHeight="1">
      <c r="B152" s="80" t="s">
        <v>206</v>
      </c>
      <c r="C152" s="79"/>
      <c r="D152" s="79">
        <v>0</v>
      </c>
      <c r="E152" s="79">
        <v>24730</v>
      </c>
      <c r="F152" s="147"/>
      <c r="G152" s="79"/>
      <c r="H152" s="30"/>
      <c r="I152" s="30"/>
      <c r="J152" s="30">
        <f t="shared" si="126"/>
        <v>0</v>
      </c>
      <c r="K152" s="79">
        <v>6551.4549999999999</v>
      </c>
      <c r="L152" s="30">
        <f>14668.091-K152</f>
        <v>8116.6360000000004</v>
      </c>
      <c r="M152" s="30">
        <f>23469.56-L152-K152</f>
        <v>8801.469000000001</v>
      </c>
      <c r="N152" s="30">
        <f t="shared" si="127"/>
        <v>1260.4399999999987</v>
      </c>
      <c r="O152" s="79">
        <v>12202</v>
      </c>
      <c r="P152" s="30">
        <v>14629</v>
      </c>
      <c r="Q152" s="30">
        <v>14629</v>
      </c>
      <c r="R152" s="30"/>
      <c r="S152" s="30"/>
      <c r="T152" s="30"/>
      <c r="U152" s="30"/>
      <c r="V152" s="30"/>
      <c r="W152" s="30"/>
      <c r="X152" s="30"/>
      <c r="Y152" s="30">
        <f t="shared" si="128"/>
        <v>23469.56</v>
      </c>
      <c r="Z152" s="30">
        <f t="shared" si="129"/>
        <v>24730</v>
      </c>
      <c r="AA152" s="30">
        <f t="shared" si="130"/>
        <v>30380.545000000002</v>
      </c>
      <c r="AB152" s="30">
        <f t="shared" si="131"/>
        <v>36892.909</v>
      </c>
      <c r="AC152" s="30">
        <f t="shared" si="132"/>
        <v>42720.44</v>
      </c>
      <c r="AD152" s="61"/>
      <c r="AE152" s="70">
        <f t="shared" si="134"/>
        <v>0.82024886704309763</v>
      </c>
    </row>
    <row r="153" spans="2:31" ht="12.75" customHeight="1">
      <c r="B153" s="12" t="s">
        <v>73</v>
      </c>
      <c r="C153" s="32">
        <f t="shared" ref="C153:E153" si="135">SUM(C141:C152)</f>
        <v>8387.8790000000008</v>
      </c>
      <c r="D153" s="32">
        <f t="shared" si="135"/>
        <v>6173</v>
      </c>
      <c r="E153" s="32">
        <f t="shared" si="135"/>
        <v>17678</v>
      </c>
      <c r="G153" s="32">
        <f t="shared" ref="G153" si="136">SUM(G141:G152)</f>
        <v>212.5</v>
      </c>
      <c r="H153" s="32">
        <f t="shared" ref="H153" si="137">SUM(H141:H152)</f>
        <v>83402.616999999998</v>
      </c>
      <c r="I153" s="32">
        <f t="shared" ref="I153" si="138">SUM(I141:I152)</f>
        <v>91445.157000000007</v>
      </c>
      <c r="J153" s="32">
        <f t="shared" ref="J153" si="139">SUM(J141:J152)</f>
        <v>-168887.274</v>
      </c>
      <c r="K153" s="32">
        <f t="shared" ref="K153" si="140">SUM(K141:K152)</f>
        <v>6551.4549999999999</v>
      </c>
      <c r="L153" s="32">
        <f t="shared" ref="L153" si="141">SUM(L141:L152)</f>
        <v>6215.5570000000007</v>
      </c>
      <c r="M153" s="32">
        <f t="shared" ref="M153" si="142">SUM(M141:M152)</f>
        <v>6672.2690000000011</v>
      </c>
      <c r="N153" s="32">
        <f t="shared" ref="N153" si="143">SUM(N141:N152)</f>
        <v>-1761.2810000000018</v>
      </c>
      <c r="O153" s="32">
        <f t="shared" ref="O153" si="144">SUM(O141:O152)</f>
        <v>9469</v>
      </c>
      <c r="P153" s="32">
        <f t="shared" ref="P153" si="145">SUM(P141:P152)</f>
        <v>10985</v>
      </c>
      <c r="Q153" s="32">
        <f t="shared" ref="Q153" si="146">SUM(Q141:Q152)</f>
        <v>16614</v>
      </c>
      <c r="R153" s="30"/>
      <c r="S153" s="32">
        <f t="shared" ref="S153" si="147">SUM(S141:S152)</f>
        <v>0</v>
      </c>
      <c r="T153" s="32">
        <f t="shared" ref="T153" si="148">SUM(T141:T152)</f>
        <v>0</v>
      </c>
      <c r="U153" s="32">
        <f t="shared" ref="U153" si="149">SUM(U141:U152)</f>
        <v>0</v>
      </c>
      <c r="V153" s="32">
        <f t="shared" ref="V153" si="150">SUM(V141:V152)</f>
        <v>0</v>
      </c>
      <c r="W153" s="32">
        <f t="shared" ref="W153" si="151">SUM(W141:W152)</f>
        <v>-455</v>
      </c>
      <c r="X153" s="32">
        <f t="shared" ref="X153" si="152">SUM(X141:X152)</f>
        <v>-1821</v>
      </c>
      <c r="Y153" s="32">
        <f t="shared" ref="Y153" si="153">SUM(Y141:Y152)</f>
        <v>-149447.99299999999</v>
      </c>
      <c r="Z153" s="32">
        <f t="shared" ref="Z153" si="154">SUM(Z141:Z152)</f>
        <v>17678</v>
      </c>
      <c r="AA153" s="32">
        <f t="shared" ref="AA153" si="155">SUM(AA141:AA152)</f>
        <v>20595.545000000002</v>
      </c>
      <c r="AB153" s="32">
        <f t="shared" ref="AB153" si="156">SUM(AB141:AB152)</f>
        <v>25364.987999999998</v>
      </c>
      <c r="AC153" s="32">
        <f t="shared" ref="AC153" si="157">SUM(AC141:AC152)</f>
        <v>35306.718999999997</v>
      </c>
      <c r="AD153" s="40"/>
      <c r="AE153" s="71">
        <f>SUM(AC153/Y153)-1</f>
        <v>-1.2362475285967875</v>
      </c>
    </row>
    <row r="154" spans="2:31" ht="5.0999999999999996" customHeight="1">
      <c r="B154" s="8"/>
      <c r="C154" s="62"/>
      <c r="D154" s="62"/>
      <c r="E154" s="62"/>
      <c r="F154" s="30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44"/>
    </row>
    <row r="155" spans="2:31" ht="5.0999999999999996" customHeight="1">
      <c r="B155" s="67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11"/>
      <c r="AE155" s="44"/>
    </row>
    <row r="156" spans="2:31">
      <c r="B156" s="129" t="s">
        <v>78</v>
      </c>
      <c r="C156" s="121"/>
      <c r="D156" s="121">
        <f t="shared" ref="D156:E156" si="158">C162</f>
        <v>12536.838</v>
      </c>
      <c r="E156" s="121">
        <f t="shared" si="158"/>
        <v>-1515.2050000000017</v>
      </c>
      <c r="F156" s="121"/>
      <c r="G156" s="121"/>
      <c r="H156" s="121">
        <f>G162</f>
        <v>-5225.2879999999996</v>
      </c>
      <c r="I156" s="121">
        <f t="shared" ref="I156:Q156" si="159">H162</f>
        <v>-7428.7099999999891</v>
      </c>
      <c r="J156" s="121">
        <f t="shared" si="159"/>
        <v>-1547.7229999999763</v>
      </c>
      <c r="K156" s="121">
        <f t="shared" si="159"/>
        <v>-14052.042999999965</v>
      </c>
      <c r="L156" s="121">
        <f t="shared" si="159"/>
        <v>-12595.912999999964</v>
      </c>
      <c r="M156" s="121">
        <f t="shared" si="159"/>
        <v>-12419.068999999963</v>
      </c>
      <c r="N156" s="121">
        <f t="shared" si="159"/>
        <v>-11857.74799999996</v>
      </c>
      <c r="O156" s="121">
        <f t="shared" si="159"/>
        <v>-18878.085999999963</v>
      </c>
      <c r="P156" s="121">
        <f t="shared" si="159"/>
        <v>-14836.085999999963</v>
      </c>
      <c r="Q156" s="121">
        <f t="shared" si="159"/>
        <v>-9532.085999999963</v>
      </c>
      <c r="R156" s="121"/>
      <c r="S156" s="121">
        <f>G162</f>
        <v>-5225.2879999999996</v>
      </c>
      <c r="T156" s="121">
        <f>H162</f>
        <v>-7428.7099999999891</v>
      </c>
      <c r="U156" s="121">
        <f>I162</f>
        <v>-1547.7229999999763</v>
      </c>
      <c r="V156" s="121">
        <f>J162</f>
        <v>-14052.042999999965</v>
      </c>
      <c r="W156" s="121">
        <f>K162</f>
        <v>-12595.912999999964</v>
      </c>
      <c r="X156" s="121">
        <f>L162</f>
        <v>-12419.068999999963</v>
      </c>
      <c r="Y156" s="121">
        <f>M162</f>
        <v>-11857.74799999996</v>
      </c>
      <c r="Z156" s="121">
        <f>N162</f>
        <v>-18878.085999999963</v>
      </c>
      <c r="AA156" s="121">
        <f>O162</f>
        <v>-14836.085999999963</v>
      </c>
      <c r="AB156" s="121">
        <f>P162</f>
        <v>-9532.085999999963</v>
      </c>
      <c r="AC156" s="123">
        <f>Q162</f>
        <v>2587.914000000037</v>
      </c>
      <c r="AD156" s="11"/>
      <c r="AE156" s="44"/>
    </row>
    <row r="157" spans="2:31">
      <c r="B157" s="130" t="s">
        <v>107</v>
      </c>
      <c r="C157" s="30"/>
      <c r="D157" s="30">
        <v>0</v>
      </c>
      <c r="E157" s="30">
        <v>0</v>
      </c>
      <c r="F157" s="30"/>
      <c r="G157" s="30"/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/>
      <c r="S157" s="30">
        <f>SUM(H157:K157)</f>
        <v>0</v>
      </c>
      <c r="T157" s="30">
        <f>SUM(I157:L157)</f>
        <v>0</v>
      </c>
      <c r="U157" s="30">
        <f>SUM(J157:M157)</f>
        <v>0</v>
      </c>
      <c r="V157" s="30">
        <f>SUM(K157:N157)</f>
        <v>0</v>
      </c>
      <c r="W157" s="30">
        <f>SUM(L157:O157)</f>
        <v>0</v>
      </c>
      <c r="X157" s="30">
        <f>SUM(M157:P157)</f>
        <v>0</v>
      </c>
      <c r="Y157" s="30">
        <f>SUM(N157:Q157)</f>
        <v>0</v>
      </c>
      <c r="Z157" s="30">
        <f>SUM(O157:Q157)</f>
        <v>0</v>
      </c>
      <c r="AA157" s="30">
        <f>SUM(P157:Q157)</f>
        <v>0</v>
      </c>
      <c r="AB157" s="30">
        <f>SUM(Q157:Q157)</f>
        <v>0</v>
      </c>
      <c r="AC157" s="124"/>
      <c r="AD157" s="11"/>
      <c r="AE157" s="44"/>
    </row>
    <row r="158" spans="2:31">
      <c r="B158" s="131" t="s">
        <v>91</v>
      </c>
      <c r="C158" s="83">
        <f t="shared" ref="C158:E158" si="160">SUM(C156:C157)</f>
        <v>0</v>
      </c>
      <c r="D158" s="83">
        <f t="shared" si="160"/>
        <v>12536.838</v>
      </c>
      <c r="E158" s="83">
        <f t="shared" si="160"/>
        <v>-1515.2050000000017</v>
      </c>
      <c r="F158" s="30"/>
      <c r="G158" s="83">
        <f t="shared" ref="G158:Q158" si="161">SUM(G156:G157)</f>
        <v>0</v>
      </c>
      <c r="H158" s="83">
        <f t="shared" si="161"/>
        <v>-5225.2879999999996</v>
      </c>
      <c r="I158" s="83">
        <f t="shared" si="161"/>
        <v>-7428.7099999999891</v>
      </c>
      <c r="J158" s="83">
        <f t="shared" si="161"/>
        <v>-1547.7229999999763</v>
      </c>
      <c r="K158" s="83">
        <f t="shared" si="161"/>
        <v>-14052.042999999965</v>
      </c>
      <c r="L158" s="83">
        <f t="shared" si="161"/>
        <v>-12595.912999999964</v>
      </c>
      <c r="M158" s="83">
        <f t="shared" si="161"/>
        <v>-12419.068999999963</v>
      </c>
      <c r="N158" s="83">
        <f t="shared" si="161"/>
        <v>-11857.74799999996</v>
      </c>
      <c r="O158" s="83">
        <f t="shared" si="161"/>
        <v>-18878.085999999963</v>
      </c>
      <c r="P158" s="83">
        <f t="shared" si="161"/>
        <v>-14836.085999999963</v>
      </c>
      <c r="Q158" s="83">
        <f t="shared" si="161"/>
        <v>-9532.085999999963</v>
      </c>
      <c r="R158" s="30"/>
      <c r="S158" s="120">
        <f t="shared" ref="S158:AC158" si="162">SUM(S156:S157)</f>
        <v>-5225.2879999999996</v>
      </c>
      <c r="T158" s="120">
        <f t="shared" si="162"/>
        <v>-7428.7099999999891</v>
      </c>
      <c r="U158" s="120">
        <f t="shared" si="162"/>
        <v>-1547.7229999999763</v>
      </c>
      <c r="V158" s="120">
        <f t="shared" si="162"/>
        <v>-14052.042999999965</v>
      </c>
      <c r="W158" s="120">
        <f t="shared" si="162"/>
        <v>-12595.912999999964</v>
      </c>
      <c r="X158" s="120">
        <f t="shared" si="162"/>
        <v>-12419.068999999963</v>
      </c>
      <c r="Y158" s="120">
        <f t="shared" ref="Y158" si="163">SUM(Y156:Y157)</f>
        <v>-11857.74799999996</v>
      </c>
      <c r="Z158" s="120">
        <f t="shared" ref="Z158" si="164">SUM(Z156:Z157)</f>
        <v>-18878.085999999963</v>
      </c>
      <c r="AA158" s="120">
        <f t="shared" ref="AA158" si="165">SUM(AA156:AA157)</f>
        <v>-14836.085999999963</v>
      </c>
      <c r="AB158" s="120">
        <f t="shared" ref="AB158" si="166">SUM(AB156:AB157)</f>
        <v>-9532.085999999963</v>
      </c>
      <c r="AC158" s="125">
        <f t="shared" si="162"/>
        <v>2587.914000000037</v>
      </c>
      <c r="AD158" s="11"/>
      <c r="AE158" s="44"/>
    </row>
    <row r="159" spans="2:31">
      <c r="B159" s="132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124"/>
      <c r="AD159" s="11"/>
      <c r="AE159" s="44"/>
    </row>
    <row r="160" spans="2:31">
      <c r="B160" s="130" t="s">
        <v>108</v>
      </c>
      <c r="C160" s="79"/>
      <c r="D160" s="79"/>
      <c r="E160" s="79"/>
      <c r="F160" s="30"/>
      <c r="G160" s="79"/>
      <c r="H160" s="79"/>
      <c r="I160" s="79"/>
      <c r="J160" s="30">
        <f>C160</f>
        <v>0</v>
      </c>
      <c r="K160" s="79"/>
      <c r="L160" s="79"/>
      <c r="M160" s="79"/>
      <c r="N160" s="30">
        <f>D160</f>
        <v>0</v>
      </c>
      <c r="O160" s="79"/>
      <c r="P160" s="79"/>
      <c r="Q160" s="79"/>
      <c r="R160" s="30"/>
      <c r="S160" s="30">
        <f>SUM(H160:K160)</f>
        <v>0</v>
      </c>
      <c r="T160" s="30">
        <f>SUM(I160:L160)</f>
        <v>0</v>
      </c>
      <c r="U160" s="30">
        <f>SUM(J160:M160)</f>
        <v>0</v>
      </c>
      <c r="V160" s="30">
        <f>SUM(K160:N160)</f>
        <v>0</v>
      </c>
      <c r="W160" s="30">
        <f>SUM(L160:O160)</f>
        <v>0</v>
      </c>
      <c r="X160" s="30">
        <f>SUM(M160:P160)</f>
        <v>0</v>
      </c>
      <c r="Y160" s="30">
        <f>SUM(N160:Q160)</f>
        <v>0</v>
      </c>
      <c r="Z160" s="30">
        <f>SUM(O160:Q160)</f>
        <v>0</v>
      </c>
      <c r="AA160" s="30">
        <f>SUM(P160:Q160)</f>
        <v>0</v>
      </c>
      <c r="AB160" s="30">
        <f>SUM(Q160:Q160)</f>
        <v>0</v>
      </c>
      <c r="AC160" s="124"/>
      <c r="AD160" s="11"/>
      <c r="AE160" s="44"/>
    </row>
    <row r="161" spans="2:31">
      <c r="B161" s="132" t="s">
        <v>77</v>
      </c>
      <c r="C161" s="30">
        <f>+C153+C138+C126</f>
        <v>12536.838</v>
      </c>
      <c r="D161" s="30">
        <f>+D153+D138+D126</f>
        <v>-14052.043000000001</v>
      </c>
      <c r="E161" s="30">
        <f>+E153+E138+E126</f>
        <v>-3248.1620000000003</v>
      </c>
      <c r="F161" s="30"/>
      <c r="G161" s="30">
        <f>+G153+G138+G126</f>
        <v>-5225.2879999999996</v>
      </c>
      <c r="H161" s="30">
        <f>+H153+H138+H126</f>
        <v>-2203.4219999999896</v>
      </c>
      <c r="I161" s="30">
        <f>+I153+I138+I126</f>
        <v>5880.9870000000128</v>
      </c>
      <c r="J161" s="30">
        <f>+J153+J138+J126</f>
        <v>-12504.319999999989</v>
      </c>
      <c r="K161" s="30">
        <f>+K153+K138+K126</f>
        <v>1456.130000000001</v>
      </c>
      <c r="L161" s="30">
        <f>+L153+L138+L126</f>
        <v>176.84400000000005</v>
      </c>
      <c r="M161" s="30">
        <f>+M153+M138+M126</f>
        <v>561.32100000000264</v>
      </c>
      <c r="N161" s="30">
        <f>+N153+N138+N126</f>
        <v>-7020.3380000000025</v>
      </c>
      <c r="O161" s="30">
        <f>+O153+O138+O126</f>
        <v>4042</v>
      </c>
      <c r="P161" s="30">
        <f>+P153+P138+P126</f>
        <v>5304</v>
      </c>
      <c r="Q161" s="30">
        <f>+Q153+Q138+Q126</f>
        <v>12120</v>
      </c>
      <c r="R161" s="30"/>
      <c r="S161" s="30">
        <f>SUM(H161:K161)</f>
        <v>-7370.6249999999636</v>
      </c>
      <c r="T161" s="30">
        <f>SUM(I161:L161)</f>
        <v>-4990.3589999999749</v>
      </c>
      <c r="U161" s="30">
        <f>SUM(J161:M161)</f>
        <v>-10310.024999999983</v>
      </c>
      <c r="V161" s="30">
        <f>SUM(K161:N161)</f>
        <v>-4826.0429999999988</v>
      </c>
      <c r="W161" s="30">
        <f>SUM(L161:O161)</f>
        <v>-2240.1729999999998</v>
      </c>
      <c r="X161" s="30">
        <f>SUM(M161:P161)</f>
        <v>2886.9830000000002</v>
      </c>
      <c r="Y161" s="30">
        <f>SUM(N161:Q161)</f>
        <v>14445.661999999997</v>
      </c>
      <c r="Z161" s="30">
        <f>SUM(O161:Q161)</f>
        <v>21466</v>
      </c>
      <c r="AA161" s="30">
        <f>SUM(P161:Q161)</f>
        <v>17424</v>
      </c>
      <c r="AB161" s="30">
        <f>SUM(Q161:Q161)</f>
        <v>12120</v>
      </c>
      <c r="AC161" s="124" t="e">
        <f>SUM(#REF!)</f>
        <v>#REF!</v>
      </c>
      <c r="AD161" s="11"/>
      <c r="AE161" s="44"/>
    </row>
    <row r="162" spans="2:31">
      <c r="B162" s="131" t="s">
        <v>92</v>
      </c>
      <c r="C162" s="83">
        <f t="shared" ref="C162:E162" si="167">SUM(C158:C161)</f>
        <v>12536.838</v>
      </c>
      <c r="D162" s="83">
        <f t="shared" si="167"/>
        <v>-1515.2050000000017</v>
      </c>
      <c r="E162" s="83">
        <f t="shared" si="167"/>
        <v>-4763.367000000002</v>
      </c>
      <c r="F162" s="30"/>
      <c r="G162" s="82">
        <f t="shared" ref="G162:Q162" si="168">SUM(G158:G161)</f>
        <v>-5225.2879999999996</v>
      </c>
      <c r="H162" s="82">
        <f t="shared" si="168"/>
        <v>-7428.7099999999891</v>
      </c>
      <c r="I162" s="82">
        <f t="shared" si="168"/>
        <v>-1547.7229999999763</v>
      </c>
      <c r="J162" s="82">
        <f t="shared" si="168"/>
        <v>-14052.042999999965</v>
      </c>
      <c r="K162" s="82">
        <f t="shared" si="168"/>
        <v>-12595.912999999964</v>
      </c>
      <c r="L162" s="82">
        <f t="shared" si="168"/>
        <v>-12419.068999999963</v>
      </c>
      <c r="M162" s="82">
        <f t="shared" si="168"/>
        <v>-11857.74799999996</v>
      </c>
      <c r="N162" s="82">
        <f t="shared" si="168"/>
        <v>-18878.085999999963</v>
      </c>
      <c r="O162" s="82">
        <f t="shared" si="168"/>
        <v>-14836.085999999963</v>
      </c>
      <c r="P162" s="82">
        <f t="shared" si="168"/>
        <v>-9532.085999999963</v>
      </c>
      <c r="Q162" s="82">
        <f t="shared" si="168"/>
        <v>2587.914000000037</v>
      </c>
      <c r="R162" s="30"/>
      <c r="S162" s="82">
        <f t="shared" ref="S162:AC162" si="169">SUM(S158:S161)</f>
        <v>-12595.912999999964</v>
      </c>
      <c r="T162" s="82">
        <f t="shared" si="169"/>
        <v>-12419.068999999963</v>
      </c>
      <c r="U162" s="82">
        <f t="shared" si="169"/>
        <v>-11857.74799999996</v>
      </c>
      <c r="V162" s="82">
        <f t="shared" si="169"/>
        <v>-18878.085999999963</v>
      </c>
      <c r="W162" s="82">
        <f t="shared" si="169"/>
        <v>-14836.085999999963</v>
      </c>
      <c r="X162" s="82">
        <f t="shared" si="169"/>
        <v>-9532.085999999963</v>
      </c>
      <c r="Y162" s="82">
        <f t="shared" si="169"/>
        <v>2587.914000000037</v>
      </c>
      <c r="Z162" s="82">
        <f t="shared" si="169"/>
        <v>2587.914000000037</v>
      </c>
      <c r="AA162" s="82">
        <f t="shared" si="169"/>
        <v>2587.914000000037</v>
      </c>
      <c r="AB162" s="82">
        <f t="shared" si="169"/>
        <v>2587.914000000037</v>
      </c>
      <c r="AC162" s="126" t="e">
        <f t="shared" si="169"/>
        <v>#REF!</v>
      </c>
      <c r="AD162" s="11"/>
      <c r="AE162" s="44"/>
    </row>
    <row r="163" spans="2:31" ht="5.0999999999999996" customHeight="1">
      <c r="B163" s="133"/>
      <c r="C163" s="62"/>
      <c r="D163" s="62"/>
      <c r="E163" s="62"/>
      <c r="F163" s="30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22"/>
      <c r="AD163" s="11"/>
      <c r="AE163" s="44"/>
    </row>
    <row r="164" spans="2:31">
      <c r="B164" s="134" t="s">
        <v>76</v>
      </c>
      <c r="C164" s="127">
        <f>C162-C46</f>
        <v>-4201.8189999999995</v>
      </c>
      <c r="D164" s="127">
        <f>D162-D46</f>
        <v>-6823.2050000000017</v>
      </c>
      <c r="E164" s="127">
        <f>E162-E46</f>
        <v>-6822.367000000002</v>
      </c>
      <c r="F164" s="128"/>
      <c r="G164" s="127">
        <f>G162-G46</f>
        <v>-16738.656999999999</v>
      </c>
      <c r="H164" s="127">
        <f>H162-H46</f>
        <v>-14171.50299999999</v>
      </c>
      <c r="I164" s="127">
        <f>I162-I46</f>
        <v>-11929.098999999977</v>
      </c>
      <c r="J164" s="127">
        <f>J162-J46</f>
        <v>-19360.042999999965</v>
      </c>
      <c r="K164" s="127">
        <f>K162-K46</f>
        <v>-19360.778999999966</v>
      </c>
      <c r="L164" s="127">
        <f>L162-L46</f>
        <v>-19615.863999999965</v>
      </c>
      <c r="M164" s="127">
        <f>M162-M46</f>
        <v>-19237.109999999961</v>
      </c>
      <c r="N164" s="127">
        <f>N162-N46</f>
        <v>-20937.085999999963</v>
      </c>
      <c r="O164" s="127">
        <f>O162-O46</f>
        <v>-20937.085999999963</v>
      </c>
      <c r="P164" s="127">
        <f>P162-P46</f>
        <v>-12058.085999999963</v>
      </c>
      <c r="Q164" s="127">
        <f>Q162-Q46</f>
        <v>-476.08599999996295</v>
      </c>
      <c r="R164" s="127"/>
      <c r="S164" s="127">
        <f>S162-S46</f>
        <v>-24109.281999999963</v>
      </c>
      <c r="T164" s="127">
        <f>T162-T46</f>
        <v>-19161.861999999965</v>
      </c>
      <c r="U164" s="127">
        <f>U162-U46</f>
        <v>-22239.12399999996</v>
      </c>
      <c r="V164" s="127">
        <f>V162-V46</f>
        <v>-24186.085999999963</v>
      </c>
      <c r="W164" s="127">
        <f>W162-W46</f>
        <v>-21600.951999999961</v>
      </c>
      <c r="X164" s="127">
        <f>X162-X46</f>
        <v>-16728.880999999965</v>
      </c>
      <c r="Y164" s="127">
        <f>Y162-Y46</f>
        <v>-4791.447999999963</v>
      </c>
      <c r="Z164" s="127">
        <f>Z162-Z46</f>
        <v>528.91400000003705</v>
      </c>
      <c r="AA164" s="127">
        <f>AA162-AA46</f>
        <v>-3513.085999999963</v>
      </c>
      <c r="AB164" s="127">
        <f>AB162-AB46</f>
        <v>61.914000000037049</v>
      </c>
      <c r="AC164" s="127" t="e">
        <f>AC162-AC46</f>
        <v>#REF!</v>
      </c>
      <c r="AD164" s="11"/>
      <c r="AE164" s="44"/>
    </row>
    <row r="165" spans="2:31" ht="5.0999999999999996" customHeight="1">
      <c r="B165" s="8"/>
      <c r="C165" s="62"/>
      <c r="D165" s="62"/>
      <c r="E165" s="62"/>
      <c r="F165" s="30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44"/>
    </row>
    <row r="166" spans="2:31">
      <c r="B166" s="8"/>
      <c r="C166" s="62"/>
      <c r="D166" s="62"/>
      <c r="E166" s="62"/>
      <c r="F166" s="30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44"/>
    </row>
    <row r="167" spans="2:31">
      <c r="B167" s="138" t="s">
        <v>138</v>
      </c>
      <c r="C167" s="62"/>
      <c r="D167" s="62"/>
      <c r="E167" s="62"/>
      <c r="F167" s="30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44"/>
    </row>
    <row r="168" spans="2:31">
      <c r="B168" s="80" t="s">
        <v>90</v>
      </c>
      <c r="C168" s="62">
        <v>1489</v>
      </c>
      <c r="D168" s="62">
        <v>0</v>
      </c>
      <c r="E168" s="62">
        <v>813</v>
      </c>
      <c r="F168" s="30"/>
      <c r="G168" s="79"/>
      <c r="H168" s="30"/>
      <c r="I168" s="30"/>
      <c r="J168" s="30">
        <v>0</v>
      </c>
      <c r="K168" s="79">
        <v>250</v>
      </c>
      <c r="L168" s="30">
        <v>598.92100000000005</v>
      </c>
      <c r="M168" s="30">
        <v>-129.20000000000005</v>
      </c>
      <c r="N168" s="30">
        <v>93.278999999999996</v>
      </c>
      <c r="O168" s="79">
        <v>31</v>
      </c>
      <c r="P168" s="30">
        <v>0</v>
      </c>
      <c r="Q168" s="30">
        <v>0</v>
      </c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44"/>
    </row>
    <row r="169" spans="2:31" ht="5.0999999999999996" customHeight="1" thickBot="1">
      <c r="B169" s="68"/>
      <c r="C169" s="69"/>
      <c r="D169" s="69"/>
      <c r="E169" s="69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E169" s="44"/>
    </row>
    <row r="170" spans="2:31" ht="12.75" customHeight="1">
      <c r="B170" s="140" t="s">
        <v>120</v>
      </c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E170" s="44"/>
    </row>
    <row r="171" spans="2:31" ht="12.75" customHeight="1">
      <c r="B171" s="139" t="s">
        <v>121</v>
      </c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</row>
    <row r="172" spans="2:31" ht="12.75" customHeight="1">
      <c r="C172" s="54"/>
      <c r="D172" s="54"/>
      <c r="E172" s="54"/>
    </row>
    <row r="173" spans="2:31" ht="12.75" customHeight="1">
      <c r="C173" s="54"/>
      <c r="D173" s="54"/>
      <c r="E173" s="54"/>
    </row>
    <row r="174" spans="2:31" ht="12.75" customHeight="1">
      <c r="C174" s="54"/>
      <c r="D174" s="54"/>
      <c r="E174" s="54"/>
    </row>
    <row r="175" spans="2:31" ht="12.75" customHeight="1">
      <c r="C175" s="54"/>
      <c r="D175" s="54"/>
      <c r="E175" s="54"/>
    </row>
    <row r="176" spans="2:31" ht="12.75" customHeight="1">
      <c r="C176" s="54"/>
      <c r="D176" s="54"/>
      <c r="E176" s="5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</row>
    <row r="177" spans="3:17" ht="12.75" customHeight="1">
      <c r="C177" s="54"/>
      <c r="D177" s="54"/>
      <c r="E177" s="54"/>
    </row>
    <row r="178" spans="3:17" ht="12.75" customHeight="1">
      <c r="C178" s="54"/>
      <c r="D178" s="54"/>
      <c r="E178" s="5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</row>
    <row r="179" spans="3:17"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</row>
    <row r="180" spans="3:17"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</row>
    <row r="182" spans="3:17"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</row>
    <row r="183" spans="3:17"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</row>
  </sheetData>
  <mergeCells count="6">
    <mergeCell ref="B171:AC171"/>
    <mergeCell ref="B170:AC170"/>
    <mergeCell ref="AE6:AE8"/>
    <mergeCell ref="AE41:AE43"/>
    <mergeCell ref="AE96:AE98"/>
    <mergeCell ref="B94:AE94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C14:AC16 AC33 F52" formulaRange="1"/>
    <ignoredError sqref="AE138:AE140 AE126:AE128" evalError="1"/>
    <ignoredError sqref="O102:Q103 O101:Q101 N10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141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9</v>
      </c>
      <c r="X2" s="2"/>
      <c r="Y2" s="2"/>
      <c r="Z2" s="2"/>
      <c r="AA2" s="2" t="s">
        <v>9</v>
      </c>
      <c r="AB2" s="2"/>
      <c r="AC2" s="2" t="s">
        <v>9</v>
      </c>
      <c r="AD2" s="2"/>
      <c r="AE2" s="2"/>
      <c r="AF2" s="2"/>
    </row>
    <row r="3" spans="1:32" s="5" customFormat="1" ht="12.75" customHeight="1">
      <c r="B3" s="6" t="s">
        <v>84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e">
        <f>'Historical Financials'!#REF!</f>
        <v>#REF!</v>
      </c>
      <c r="T3" s="7" t="e">
        <f>'Historical Financials'!#REF!</f>
        <v>#REF!</v>
      </c>
      <c r="U3" s="7" t="e">
        <f>'Historical Financials'!#REF!</f>
        <v>#REF!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e">
        <f t="shared" ref="AC3:AE4" si="1">S3</f>
        <v>#REF!</v>
      </c>
      <c r="AD3" s="4" t="e">
        <f t="shared" si="1"/>
        <v>#REF!</v>
      </c>
      <c r="AE3" s="4" t="e">
        <f t="shared" si="1"/>
        <v>#REF!</v>
      </c>
      <c r="AF3" s="4" t="e">
        <f>#REF!</f>
        <v>#REF!</v>
      </c>
    </row>
    <row r="4" spans="1:32" s="5" customFormat="1" ht="12.75" customHeight="1">
      <c r="B4" s="6" t="s">
        <v>135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 t="e">
        <f>'Historical Financials'!#REF!</f>
        <v>#REF!</v>
      </c>
      <c r="T4" s="3" t="e">
        <f>'Historical Financials'!#REF!</f>
        <v>#REF!</v>
      </c>
      <c r="U4" s="3" t="e">
        <f>'Historical Financials'!#REF!</f>
        <v>#REF!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 t="e">
        <f t="shared" si="1"/>
        <v>#REF!</v>
      </c>
      <c r="AD4" s="3" t="e">
        <f t="shared" si="1"/>
        <v>#REF!</v>
      </c>
      <c r="AE4" s="3" t="e">
        <f t="shared" si="1"/>
        <v>#REF!</v>
      </c>
      <c r="AF4" s="3" t="e">
        <f>#REF!</f>
        <v>#REF!</v>
      </c>
    </row>
    <row r="5" spans="1:32" ht="5.0999999999999996" customHeight="1"/>
    <row r="6" spans="1:32" ht="12.75" customHeight="1">
      <c r="A6" s="77" t="s">
        <v>19</v>
      </c>
      <c r="B6" s="74" t="s">
        <v>110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85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5" t="s">
        <v>76</v>
      </c>
      <c r="C10" s="119"/>
      <c r="D10" s="76">
        <f>+D9-'Historical Financials'!C11</f>
        <v>0</v>
      </c>
      <c r="E10" s="76">
        <f>+E9-'Historical Financials'!D11</f>
        <v>-136</v>
      </c>
      <c r="F10" s="76">
        <f>+F9-'Historical Financials'!E11</f>
        <v>-358</v>
      </c>
      <c r="G10" s="11"/>
      <c r="H10" s="119"/>
      <c r="I10" s="119"/>
      <c r="J10" s="119"/>
      <c r="K10" s="119"/>
      <c r="L10" s="119"/>
      <c r="M10" s="119"/>
      <c r="N10" s="119"/>
      <c r="O10" s="119"/>
      <c r="P10" s="76">
        <f>+P9-'Historical Financials'!O11</f>
        <v>-27</v>
      </c>
      <c r="Q10" s="76">
        <f>+Q9-'Historical Financials'!P11</f>
        <v>-183</v>
      </c>
      <c r="R10" s="76">
        <f>+R9-'Historical Financials'!Q11</f>
        <v>-101</v>
      </c>
      <c r="S10" s="76" t="e">
        <f>+S9-'Historical Financials'!#REF!</f>
        <v>#REF!</v>
      </c>
      <c r="T10" s="76" t="e">
        <f>+T9-'Historical Financials'!#REF!</f>
        <v>#REF!</v>
      </c>
      <c r="U10" s="76" t="e">
        <f>+U9-'Historical Financials'!#REF!</f>
        <v>#REF!</v>
      </c>
      <c r="V10" s="76"/>
      <c r="W10" s="76">
        <f>W9-'Historical Financials'!S11</f>
        <v>-525.24</v>
      </c>
      <c r="X10" s="76">
        <f>X9-'Historical Financials'!T11</f>
        <v>-454.72399999999999</v>
      </c>
      <c r="Y10" s="76">
        <f>Y9-'Historical Financials'!U11</f>
        <v>-134.37</v>
      </c>
      <c r="Z10" s="76">
        <f>Z9-'Historical Financials'!V11</f>
        <v>-136</v>
      </c>
      <c r="AA10" s="76">
        <f>AA9-'Historical Financials'!W11</f>
        <v>-225.29</v>
      </c>
      <c r="AB10" s="76">
        <f>AB9-'Historical Financials'!X11</f>
        <v>-271.99599999999998</v>
      </c>
      <c r="AC10" s="76">
        <f>AC9-'Historical Financials'!Z11</f>
        <v>-358</v>
      </c>
      <c r="AD10" s="76">
        <f>AD9-'Historical Financials'!AA11</f>
        <v>-264.47000000000003</v>
      </c>
      <c r="AE10" s="76">
        <f>AE9-'Historical Financials'!AB11</f>
        <v>-335.28000000000003</v>
      </c>
      <c r="AF10" s="76">
        <f>AF9-'Historical Financials'!AC11</f>
        <v>-385.84500000000003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19</v>
      </c>
      <c r="B12" s="74" t="s">
        <v>140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109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5" t="s">
        <v>76</v>
      </c>
      <c r="C16" s="76"/>
      <c r="D16" s="76">
        <f t="shared" ref="D16:F16" si="12">+D15-D9</f>
        <v>0</v>
      </c>
      <c r="E16" s="76">
        <f t="shared" si="12"/>
        <v>0</v>
      </c>
      <c r="F16" s="76">
        <f t="shared" si="12"/>
        <v>0</v>
      </c>
      <c r="G16" s="11"/>
      <c r="H16" s="119"/>
      <c r="I16" s="119"/>
      <c r="J16" s="119"/>
      <c r="K16" s="119"/>
      <c r="L16" s="119"/>
      <c r="M16" s="119"/>
      <c r="N16" s="119"/>
      <c r="O16" s="119"/>
      <c r="P16" s="76">
        <f t="shared" ref="P16" si="13">+P15-P9</f>
        <v>0</v>
      </c>
      <c r="Q16" s="76">
        <f t="shared" ref="Q16" si="14">+Q15-Q9</f>
        <v>0</v>
      </c>
      <c r="R16" s="76">
        <f t="shared" ref="R16" si="15">+R15-R9</f>
        <v>0</v>
      </c>
      <c r="S16" s="76">
        <f t="shared" ref="S16" si="16">+S15-S9</f>
        <v>0</v>
      </c>
      <c r="T16" s="76">
        <f t="shared" ref="T16" si="17">+T15-T9</f>
        <v>0</v>
      </c>
      <c r="U16" s="76">
        <f t="shared" ref="U16" si="18">+U15-U9</f>
        <v>0</v>
      </c>
      <c r="V16" s="76"/>
      <c r="W16" s="76">
        <f>W15-'Historical Financials'!S17</f>
        <v>337.40599999999995</v>
      </c>
      <c r="X16" s="76">
        <f>X15-'Historical Financials'!T17</f>
        <v>-490.31100000000004</v>
      </c>
      <c r="Y16" s="76">
        <f>Y15-'Historical Financials'!U17</f>
        <v>-333.12800000000016</v>
      </c>
      <c r="Z16" s="76">
        <f>Z15-'Historical Financials'!V17</f>
        <v>0</v>
      </c>
      <c r="AA16" s="76">
        <f>AA15-'Historical Financials'!W17</f>
        <v>-1453.634</v>
      </c>
      <c r="AB16" s="76">
        <f>AB15-'Historical Financials'!X17</f>
        <v>-1984.3229999999999</v>
      </c>
      <c r="AC16" s="76">
        <f t="shared" ref="AC16" si="19">+AC15-AC9</f>
        <v>0</v>
      </c>
      <c r="AD16" s="76">
        <f t="shared" ref="AD16" si="20">+AD15-AD9</f>
        <v>0</v>
      </c>
      <c r="AE16" s="76">
        <f t="shared" ref="AE16" si="21">+AE15-AE9</f>
        <v>0</v>
      </c>
      <c r="AF16" s="76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141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9</v>
      </c>
      <c r="Y2" s="2"/>
      <c r="Z2" s="2"/>
      <c r="AA2" s="2"/>
      <c r="AB2" s="2"/>
      <c r="AC2" s="2"/>
      <c r="AD2" s="2"/>
      <c r="AE2" s="2" t="s">
        <v>9</v>
      </c>
      <c r="AF2" s="2"/>
      <c r="AG2" s="2"/>
      <c r="AH2" s="2"/>
      <c r="AI2" s="2"/>
      <c r="AJ2" s="3"/>
      <c r="AK2" s="146" t="s">
        <v>26</v>
      </c>
    </row>
    <row r="3" spans="2:37" s="5" customFormat="1" ht="12.75" customHeight="1">
      <c r="B3" s="6" t="s">
        <v>27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e">
        <f>'Historical Financials'!#REF!</f>
        <v>#REF!</v>
      </c>
      <c r="T3" s="7" t="e">
        <f>'Historical Financials'!#REF!</f>
        <v>#REF!</v>
      </c>
      <c r="U3" s="7" t="e">
        <f>'Historical Financials'!#REF!</f>
        <v>#REF!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e">
        <f t="shared" si="0"/>
        <v>#REF!</v>
      </c>
      <c r="AG3" s="4" t="e">
        <f t="shared" si="0"/>
        <v>#REF!</v>
      </c>
      <c r="AH3" s="4" t="e">
        <f t="shared" si="0"/>
        <v>#REF!</v>
      </c>
      <c r="AI3" s="4" t="e">
        <f>V3</f>
        <v>#REF!</v>
      </c>
      <c r="AJ3" s="3"/>
      <c r="AK3" s="146"/>
    </row>
    <row r="4" spans="2:37" s="5" customFormat="1" ht="12.75" customHeight="1">
      <c r="B4" s="6" t="s">
        <v>135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 t="e">
        <f>'Historical Financials'!#REF!</f>
        <v>#REF!</v>
      </c>
      <c r="T4" s="3" t="e">
        <f>'Historical Financials'!#REF!</f>
        <v>#REF!</v>
      </c>
      <c r="U4" s="3" t="e">
        <f>'Historical Financials'!#REF!</f>
        <v>#REF!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 t="e">
        <f t="shared" si="0"/>
        <v>#REF!</v>
      </c>
      <c r="AG4" s="3" t="e">
        <f t="shared" si="0"/>
        <v>#REF!</v>
      </c>
      <c r="AH4" s="3" t="e">
        <f t="shared" si="0"/>
        <v>#REF!</v>
      </c>
      <c r="AI4" s="3" t="e">
        <f>V4</f>
        <v>#REF!</v>
      </c>
      <c r="AJ4" s="3"/>
      <c r="AK4" s="146"/>
    </row>
    <row r="5" spans="2:37" ht="5.0999999999999996" customHeight="1">
      <c r="AK5" s="114"/>
    </row>
    <row r="6" spans="2:37" ht="12.75" customHeight="1">
      <c r="B6" s="9"/>
      <c r="C6" s="135"/>
      <c r="D6" s="85"/>
      <c r="E6" s="85"/>
      <c r="F6" s="85"/>
      <c r="G6" s="10"/>
      <c r="H6" s="135"/>
      <c r="I6" s="135"/>
      <c r="J6" s="135"/>
      <c r="K6" s="135"/>
      <c r="L6" s="135"/>
      <c r="M6" s="135"/>
      <c r="N6" s="135"/>
      <c r="O6" s="135"/>
      <c r="P6" s="85">
        <f>'Revenue Drivers'!P7</f>
        <v>0</v>
      </c>
      <c r="Q6" s="85">
        <f>'Revenue Drivers'!Q7</f>
        <v>0</v>
      </c>
      <c r="R6" s="85"/>
      <c r="S6" s="85"/>
      <c r="T6" s="85"/>
      <c r="U6" s="85"/>
      <c r="V6" s="85"/>
      <c r="W6" s="5"/>
      <c r="X6" s="135"/>
      <c r="Y6" s="135"/>
      <c r="Z6" s="135"/>
      <c r="AA6" s="135"/>
      <c r="AB6" s="135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5" t="e">
        <f>SUM(AI6/AE6)-1</f>
        <v>#DIV/0!</v>
      </c>
    </row>
    <row r="7" spans="2:37" ht="12.75" customHeight="1">
      <c r="B7" s="9"/>
      <c r="C7" s="135"/>
      <c r="D7" s="85"/>
      <c r="E7" s="85"/>
      <c r="F7" s="85"/>
      <c r="G7" s="10"/>
      <c r="H7" s="135"/>
      <c r="I7" s="135"/>
      <c r="J7" s="135"/>
      <c r="K7" s="135"/>
      <c r="L7" s="135"/>
      <c r="M7" s="135"/>
      <c r="N7" s="135"/>
      <c r="O7" s="135"/>
      <c r="P7" s="85">
        <f>'Revenue Drivers'!P8</f>
        <v>0</v>
      </c>
      <c r="Q7" s="85">
        <f>'Revenue Drivers'!Q8</f>
        <v>0</v>
      </c>
      <c r="R7" s="85"/>
      <c r="S7" s="85"/>
      <c r="T7" s="85"/>
      <c r="U7" s="85"/>
      <c r="V7" s="85"/>
      <c r="W7" s="5"/>
      <c r="X7" s="135"/>
      <c r="Y7" s="135"/>
      <c r="Z7" s="135"/>
      <c r="AA7" s="135"/>
      <c r="AB7" s="135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5" t="e">
        <f>SUM(AI7/AE7)-1</f>
        <v>#DIV/0!</v>
      </c>
    </row>
    <row r="8" spans="2:37" ht="12.75" customHeight="1">
      <c r="B8" s="12" t="s">
        <v>11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Financials'!G11</f>
        <v>31.24</v>
      </c>
      <c r="I8" s="13">
        <f>'Historical Financials'!H11</f>
        <v>65.483999999999995</v>
      </c>
      <c r="J8" s="13">
        <f>'Historical Financials'!I11</f>
        <v>37.646000000000001</v>
      </c>
      <c r="K8" s="13">
        <f>'Historical Financials'!J11</f>
        <v>1.6299999999999955</v>
      </c>
      <c r="L8" s="13">
        <f>'Historical Financials'!K11</f>
        <v>120.53</v>
      </c>
      <c r="M8" s="13">
        <f>'Historical Financials'!L11</f>
        <v>112.19</v>
      </c>
      <c r="N8" s="13">
        <f>'Historical Financials'!M11</f>
        <v>50.435000000000002</v>
      </c>
      <c r="O8" s="13">
        <f>'Historical Financials'!N11</f>
        <v>74.845000000000027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136</v>
      </c>
      <c r="Y8" s="13">
        <f t="shared" ref="Y8" si="4">SUM(I8:L8)</f>
        <v>225.29</v>
      </c>
      <c r="Z8" s="13">
        <f t="shared" ref="Z8" si="5">SUM(J8:M8)</f>
        <v>271.99599999999998</v>
      </c>
      <c r="AA8" s="13">
        <f t="shared" ref="AA8" si="6">SUM(K8:N8)</f>
        <v>284.78499999999997</v>
      </c>
      <c r="AB8" s="13">
        <f t="shared" si="1"/>
        <v>358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6" t="e">
        <f>SUM(AI8/AE8)-1</f>
        <v>#DIV/0!</v>
      </c>
    </row>
    <row r="9" spans="2:37" ht="12.75" customHeight="1">
      <c r="B9" s="14" t="s">
        <v>32</v>
      </c>
      <c r="C9" s="135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5"/>
      <c r="I9" s="135"/>
      <c r="J9" s="135"/>
      <c r="K9" s="135"/>
      <c r="L9" s="135"/>
      <c r="M9" s="15">
        <f>SUM(M8/I8)-1</f>
        <v>0.71324292957058222</v>
      </c>
      <c r="N9" s="15">
        <f t="shared" ref="N9:V9" si="8">SUM(N8/J8)-1</f>
        <v>0.33971736705094835</v>
      </c>
      <c r="O9" s="15">
        <f t="shared" si="8"/>
        <v>44.917177914110574</v>
      </c>
      <c r="P9" s="15">
        <f t="shared" si="8"/>
        <v>-1</v>
      </c>
      <c r="Q9" s="15">
        <f t="shared" si="8"/>
        <v>-1</v>
      </c>
      <c r="R9" s="15">
        <f t="shared" si="8"/>
        <v>-1</v>
      </c>
      <c r="S9" s="15">
        <f t="shared" si="8"/>
        <v>-1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5"/>
      <c r="Y9" s="105"/>
      <c r="Z9" s="105"/>
      <c r="AA9" s="105"/>
      <c r="AB9" s="15">
        <f t="shared" ref="AB9:AI9" si="9">SUM(AB8/X8)-1</f>
        <v>1.6323529411764706</v>
      </c>
      <c r="AC9" s="15">
        <f t="shared" si="9"/>
        <v>-1</v>
      </c>
      <c r="AD9" s="15">
        <f t="shared" si="9"/>
        <v>-1</v>
      </c>
      <c r="AE9" s="15">
        <f t="shared" si="9"/>
        <v>-1</v>
      </c>
      <c r="AF9" s="15">
        <f t="shared" si="9"/>
        <v>-1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7" t="e">
        <f>SUM(AI9-AE9)*10000</f>
        <v>#DIV/0!</v>
      </c>
    </row>
    <row r="10" spans="2:37" ht="12.75" customHeight="1">
      <c r="B10" s="14" t="s">
        <v>33</v>
      </c>
      <c r="C10" s="15" t="s">
        <v>34</v>
      </c>
      <c r="D10" s="15" t="s">
        <v>34</v>
      </c>
      <c r="E10" s="15" t="s">
        <v>34</v>
      </c>
      <c r="F10" s="15" t="s">
        <v>34</v>
      </c>
      <c r="G10" s="11"/>
      <c r="H10" s="135"/>
      <c r="I10" s="135"/>
      <c r="J10" s="15">
        <f>SUM(J8/I8)-1</f>
        <v>-0.42511147761285195</v>
      </c>
      <c r="K10" s="15">
        <f t="shared" ref="K10:V10" si="10">SUM(K8/J8)-1</f>
        <v>-0.95670190724114124</v>
      </c>
      <c r="L10" s="15">
        <f t="shared" si="10"/>
        <v>72.94478527607383</v>
      </c>
      <c r="M10" s="15">
        <f t="shared" si="10"/>
        <v>-6.919439143781636E-2</v>
      </c>
      <c r="N10" s="15">
        <f t="shared" si="10"/>
        <v>-0.55045012924503078</v>
      </c>
      <c r="O10" s="15">
        <f t="shared" si="10"/>
        <v>0.48398929314959904</v>
      </c>
      <c r="P10" s="15">
        <f t="shared" si="10"/>
        <v>-1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34</v>
      </c>
      <c r="Y10" s="15" t="s">
        <v>34</v>
      </c>
      <c r="Z10" s="15" t="s">
        <v>34</v>
      </c>
      <c r="AA10" s="15" t="s">
        <v>34</v>
      </c>
      <c r="AB10" s="15" t="s">
        <v>34</v>
      </c>
      <c r="AC10" s="15" t="s">
        <v>34</v>
      </c>
      <c r="AD10" s="15" t="s">
        <v>34</v>
      </c>
      <c r="AE10" s="15" t="s">
        <v>34</v>
      </c>
      <c r="AF10" s="15" t="s">
        <v>34</v>
      </c>
      <c r="AG10" s="15" t="s">
        <v>34</v>
      </c>
      <c r="AH10" s="15" t="s">
        <v>34</v>
      </c>
      <c r="AI10" s="15" t="s">
        <v>34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35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Financials'!G13</f>
        <v>-11.568</v>
      </c>
      <c r="I12" s="85">
        <f>'Historical Financials'!H13</f>
        <v>-5.2329999999999997</v>
      </c>
      <c r="J12" s="85">
        <f>'Historical Financials'!I13</f>
        <v>-24.890999999999998</v>
      </c>
      <c r="K12" s="85">
        <f>'Historical Financials'!J13</f>
        <v>-19.242000000000004</v>
      </c>
      <c r="L12" s="85">
        <f>'Historical Financials'!K13</f>
        <v>-56.238999999999997</v>
      </c>
      <c r="M12" s="85">
        <f>'Historical Financials'!L13</f>
        <v>-51.156999999999996</v>
      </c>
      <c r="N12" s="85">
        <f>'Historical Financials'!M13</f>
        <v>-23.721</v>
      </c>
      <c r="O12" s="85">
        <f>'Historical Financials'!N13</f>
        <v>-64.522999999999996</v>
      </c>
      <c r="P12" s="85">
        <f>'Historical Financials'!O13</f>
        <v>-16</v>
      </c>
      <c r="Q12" s="85">
        <f>'Historical Financials'!P13</f>
        <v>-125</v>
      </c>
      <c r="R12" s="85"/>
      <c r="S12" s="85"/>
      <c r="T12" s="85"/>
      <c r="U12" s="85"/>
      <c r="V12" s="85"/>
      <c r="W12" s="5"/>
      <c r="X12" s="10">
        <f>SUM(G12:K12)</f>
        <v>-60.933999999999997</v>
      </c>
      <c r="Y12" s="10">
        <f t="shared" ref="Y12:AH12" si="11">SUM(I12:L12)</f>
        <v>-105.60499999999999</v>
      </c>
      <c r="Z12" s="10">
        <f t="shared" si="11"/>
        <v>-151.529</v>
      </c>
      <c r="AA12" s="10">
        <f t="shared" si="11"/>
        <v>-150.35899999999998</v>
      </c>
      <c r="AB12" s="10">
        <f t="shared" si="11"/>
        <v>-195.64</v>
      </c>
      <c r="AC12" s="10">
        <f t="shared" si="11"/>
        <v>-155.40100000000001</v>
      </c>
      <c r="AD12" s="10">
        <f t="shared" si="11"/>
        <v>-229.244</v>
      </c>
      <c r="AE12" s="10">
        <f t="shared" si="11"/>
        <v>-205.523</v>
      </c>
      <c r="AF12" s="10">
        <f t="shared" si="11"/>
        <v>-141</v>
      </c>
      <c r="AG12" s="10">
        <f t="shared" si="11"/>
        <v>-125</v>
      </c>
      <c r="AH12" s="10">
        <f t="shared" si="11"/>
        <v>0</v>
      </c>
      <c r="AI12" s="10">
        <f>SUM(S12:V12)</f>
        <v>0</v>
      </c>
      <c r="AK12" s="115">
        <f>SUM(AI12/AE12)-1</f>
        <v>-1</v>
      </c>
    </row>
    <row r="13" spans="2:37" ht="12.75" customHeight="1">
      <c r="B13" s="23" t="s">
        <v>24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19.671999999999997</v>
      </c>
      <c r="I13" s="24">
        <f t="shared" ref="I13:V13" si="13">+I8+I12</f>
        <v>60.250999999999998</v>
      </c>
      <c r="J13" s="24">
        <f t="shared" si="13"/>
        <v>12.755000000000003</v>
      </c>
      <c r="K13" s="24">
        <f t="shared" si="13"/>
        <v>-17.612000000000009</v>
      </c>
      <c r="L13" s="24">
        <f t="shared" si="13"/>
        <v>64.290999999999997</v>
      </c>
      <c r="M13" s="24">
        <f t="shared" si="13"/>
        <v>61.033000000000001</v>
      </c>
      <c r="N13" s="24">
        <f t="shared" si="13"/>
        <v>26.714000000000002</v>
      </c>
      <c r="O13" s="24">
        <f t="shared" si="13"/>
        <v>10.322000000000031</v>
      </c>
      <c r="P13" s="24">
        <f t="shared" si="13"/>
        <v>-16</v>
      </c>
      <c r="Q13" s="24">
        <f t="shared" si="13"/>
        <v>-125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75.066000000000003</v>
      </c>
      <c r="Y13" s="24">
        <f t="shared" si="14"/>
        <v>119.685</v>
      </c>
      <c r="Z13" s="24">
        <f t="shared" si="14"/>
        <v>120.46699999999998</v>
      </c>
      <c r="AA13" s="24">
        <f t="shared" si="14"/>
        <v>134.42599999999999</v>
      </c>
      <c r="AB13" s="24">
        <f t="shared" si="14"/>
        <v>162.36000000000001</v>
      </c>
      <c r="AC13" s="24">
        <f t="shared" si="14"/>
        <v>-155.40100000000001</v>
      </c>
      <c r="AD13" s="24">
        <f t="shared" si="14"/>
        <v>-229.244</v>
      </c>
      <c r="AE13" s="24">
        <f t="shared" si="14"/>
        <v>-205.523</v>
      </c>
      <c r="AF13" s="24">
        <f t="shared" si="14"/>
        <v>-141</v>
      </c>
      <c r="AG13" s="24">
        <f t="shared" si="14"/>
        <v>-125</v>
      </c>
      <c r="AH13" s="24">
        <f t="shared" si="14"/>
        <v>0</v>
      </c>
      <c r="AI13" s="24">
        <f>+AI8+AI12</f>
        <v>0</v>
      </c>
      <c r="AK13" s="116">
        <f>SUM(AI13/AE13)-1</f>
        <v>-1</v>
      </c>
    </row>
    <row r="14" spans="2:37" ht="12.75" customHeight="1">
      <c r="B14" s="14" t="s">
        <v>36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>
        <f t="shared" ref="H14" si="15">H13/H8</f>
        <v>0.6297055057618437</v>
      </c>
      <c r="I14" s="15">
        <f t="shared" ref="I14:V14" si="16">I13/I8</f>
        <v>0.92008734958157723</v>
      </c>
      <c r="J14" s="15">
        <f t="shared" si="16"/>
        <v>0.33881421664984335</v>
      </c>
      <c r="K14" s="15">
        <f t="shared" si="16"/>
        <v>-10.804907975460159</v>
      </c>
      <c r="L14" s="15">
        <f t="shared" si="16"/>
        <v>0.53340247241350702</v>
      </c>
      <c r="M14" s="15">
        <f t="shared" si="16"/>
        <v>0.54401461805865048</v>
      </c>
      <c r="N14" s="15">
        <f t="shared" si="16"/>
        <v>0.52967185486269452</v>
      </c>
      <c r="O14" s="15">
        <f t="shared" si="16"/>
        <v>0.13791168414723798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>
        <f t="shared" ref="X14:AH14" si="17">X13/X8</f>
        <v>0.55195588235294124</v>
      </c>
      <c r="Y14" s="15">
        <f t="shared" si="17"/>
        <v>0.53124861289893033</v>
      </c>
      <c r="Z14" s="15">
        <f t="shared" si="17"/>
        <v>0.44289989558669979</v>
      </c>
      <c r="AA14" s="15">
        <f t="shared" si="17"/>
        <v>0.47202626542830556</v>
      </c>
      <c r="AB14" s="15">
        <f t="shared" si="17"/>
        <v>0.45351955307262576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122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Financials'!G17</f>
        <v>-1116.2280000000001</v>
      </c>
      <c r="I16" s="85">
        <f>'Historical Financials'!H17</f>
        <v>-1358.4059999999999</v>
      </c>
      <c r="J16" s="85">
        <f>'Historical Financials'!I17</f>
        <v>-1299.587</v>
      </c>
      <c r="K16" s="85">
        <f>'Historical Financials'!J17</f>
        <v>3774.221</v>
      </c>
      <c r="L16" s="85">
        <f>'Historical Financials'!K17</f>
        <v>-1453.634</v>
      </c>
      <c r="M16" s="85">
        <f>'Historical Financials'!L17</f>
        <v>-530.68899999999996</v>
      </c>
      <c r="N16" s="85">
        <f>'Historical Financials'!M17</f>
        <v>-1456.77</v>
      </c>
      <c r="O16" s="85">
        <f>'Historical Financials'!N17</f>
        <v>3441.0929999999998</v>
      </c>
      <c r="P16" s="85">
        <f>'Historical Financials'!O17</f>
        <v>0</v>
      </c>
      <c r="Q16" s="85">
        <f>'Historical Financials'!P17</f>
        <v>0</v>
      </c>
      <c r="R16" s="85"/>
      <c r="S16" s="85"/>
      <c r="T16" s="85"/>
      <c r="U16" s="85"/>
      <c r="V16" s="85"/>
      <c r="W16" s="5"/>
      <c r="X16" s="10">
        <f t="shared" ref="X16:X19" si="18">SUM(G16:K16)</f>
        <v>0</v>
      </c>
      <c r="Y16" s="10">
        <f t="shared" ref="Y16:Y19" si="19">SUM(I16:L16)</f>
        <v>-337.40599999999995</v>
      </c>
      <c r="Z16" s="10">
        <f t="shared" ref="Z16:Z19" si="20">SUM(J16:M16)</f>
        <v>490.31100000000004</v>
      </c>
      <c r="AA16" s="10">
        <f t="shared" ref="AA16:AA19" si="21">SUM(K16:N16)</f>
        <v>333.12800000000016</v>
      </c>
      <c r="AB16" s="10">
        <f t="shared" ref="AB16:AB19" si="22">SUM(L16:O16)</f>
        <v>0</v>
      </c>
      <c r="AC16" s="10">
        <f t="shared" ref="AC16:AC19" si="23">SUM(M16:P16)</f>
        <v>1453.634</v>
      </c>
      <c r="AD16" s="10">
        <f t="shared" ref="AD16:AD19" si="24">SUM(N16:Q16)</f>
        <v>1984.3229999999999</v>
      </c>
      <c r="AE16" s="10">
        <f t="shared" ref="AE16:AE19" si="25">SUM(O16:R16)</f>
        <v>3441.0929999999998</v>
      </c>
      <c r="AF16" s="10">
        <f t="shared" ref="AF16:AF19" si="26">SUM(P16:S16)</f>
        <v>0</v>
      </c>
      <c r="AG16" s="10">
        <f t="shared" ref="AG16:AG19" si="27">SUM(Q16:T16)</f>
        <v>0</v>
      </c>
      <c r="AH16" s="10">
        <f t="shared" ref="AH16:AH19" si="28">SUM(R16:U16)</f>
        <v>0</v>
      </c>
      <c r="AI16" s="10">
        <f t="shared" ref="AI16:AI19" si="29">SUM(S16:V16)</f>
        <v>0</v>
      </c>
      <c r="AK16" s="115">
        <f>SUM(AI16/AE16)-1</f>
        <v>-1</v>
      </c>
    </row>
    <row r="17" spans="2:37" ht="12.75" customHeight="1">
      <c r="B17" s="21" t="s">
        <v>123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Financials'!G20</f>
        <v>-3079.8029999999999</v>
      </c>
      <c r="I17" s="85">
        <f>'Historical Financials'!H20</f>
        <v>-323.85899999999998</v>
      </c>
      <c r="J17" s="85">
        <f>'Historical Financials'!I20</f>
        <v>-1261.9690000000001</v>
      </c>
      <c r="K17" s="85">
        <f>'Historical Financials'!J20</f>
        <v>-4658.3690000000006</v>
      </c>
      <c r="L17" s="85">
        <f>'Historical Financials'!K20</f>
        <v>-1968.8140000000001</v>
      </c>
      <c r="M17" s="85">
        <f>'Historical Financials'!L20</f>
        <v>-1946.8109999999999</v>
      </c>
      <c r="N17" s="85">
        <f>'Historical Financials'!M20</f>
        <v>-1977.671</v>
      </c>
      <c r="O17" s="85">
        <f>'Historical Financials'!N20</f>
        <v>1622.2960000000003</v>
      </c>
      <c r="P17" s="85">
        <f>'Historical Financials'!O20</f>
        <v>-1226</v>
      </c>
      <c r="Q17" s="85">
        <f>'Historical Financials'!P20</f>
        <v>-691</v>
      </c>
      <c r="R17" s="85"/>
      <c r="S17" s="85"/>
      <c r="T17" s="85"/>
      <c r="U17" s="85"/>
      <c r="V17" s="85"/>
      <c r="W17" s="5"/>
      <c r="X17" s="10">
        <f t="shared" si="18"/>
        <v>-9324</v>
      </c>
      <c r="Y17" s="10">
        <f t="shared" si="19"/>
        <v>-8213.0110000000004</v>
      </c>
      <c r="Z17" s="10">
        <f t="shared" si="20"/>
        <v>-9835.9630000000016</v>
      </c>
      <c r="AA17" s="10">
        <f t="shared" si="21"/>
        <v>-10551.665000000001</v>
      </c>
      <c r="AB17" s="10">
        <f t="shared" si="22"/>
        <v>-4271</v>
      </c>
      <c r="AC17" s="10">
        <f t="shared" si="23"/>
        <v>-3528.1859999999997</v>
      </c>
      <c r="AD17" s="10">
        <f t="shared" si="24"/>
        <v>-2272.375</v>
      </c>
      <c r="AE17" s="10">
        <f t="shared" si="25"/>
        <v>-294.70399999999972</v>
      </c>
      <c r="AF17" s="10">
        <f t="shared" si="26"/>
        <v>-1917</v>
      </c>
      <c r="AG17" s="10">
        <f t="shared" si="27"/>
        <v>-691</v>
      </c>
      <c r="AH17" s="10">
        <f t="shared" si="28"/>
        <v>0</v>
      </c>
      <c r="AI17" s="10">
        <f t="shared" si="29"/>
        <v>0</v>
      </c>
      <c r="AK17" s="115">
        <f t="shared" ref="AK17:AK18" si="30">SUM(AI17/AE17)-1</f>
        <v>-1</v>
      </c>
    </row>
    <row r="18" spans="2:37" ht="12.75" customHeight="1">
      <c r="B18" s="21" t="s">
        <v>124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125</v>
      </c>
      <c r="C19" s="85" t="e">
        <f>'Historical Financials'!#REF!</f>
        <v>#REF!</v>
      </c>
      <c r="D19" s="85"/>
      <c r="E19" s="85"/>
      <c r="F19" s="85"/>
      <c r="G19" s="85"/>
      <c r="H19" s="85">
        <f>'Historical Financials'!G21</f>
        <v>-1137.104</v>
      </c>
      <c r="I19" s="85">
        <f>'Historical Financials'!H21</f>
        <v>-2080.2750000000001</v>
      </c>
      <c r="J19" s="85">
        <f>'Historical Financials'!I21</f>
        <v>-2721.596</v>
      </c>
      <c r="K19" s="85">
        <f>'Historical Financials'!J21</f>
        <v>-8751.0249999999996</v>
      </c>
      <c r="L19" s="85">
        <f>'Historical Financials'!K21</f>
        <v>-2669.7159999999999</v>
      </c>
      <c r="M19" s="85">
        <f>'Historical Financials'!L21</f>
        <v>325.36399999999998</v>
      </c>
      <c r="N19" s="85">
        <f>'Historical Financials'!M21</f>
        <v>-2365.2130000000002</v>
      </c>
      <c r="O19" s="85">
        <f>'Historical Financials'!N21</f>
        <v>-10613.434999999999</v>
      </c>
      <c r="P19" s="85">
        <f>'Historical Financials'!O21</f>
        <v>-3578</v>
      </c>
      <c r="Q19" s="85">
        <f>'Historical Financials'!P21</f>
        <v>-3045</v>
      </c>
      <c r="R19" s="85"/>
      <c r="S19" s="85"/>
      <c r="T19" s="85"/>
      <c r="U19" s="85"/>
      <c r="V19" s="85"/>
      <c r="W19" s="5"/>
      <c r="X19" s="10">
        <f t="shared" si="18"/>
        <v>-14690</v>
      </c>
      <c r="Y19" s="10">
        <f t="shared" si="19"/>
        <v>-16222.612000000001</v>
      </c>
      <c r="Z19" s="10">
        <f t="shared" si="20"/>
        <v>-13816.973</v>
      </c>
      <c r="AA19" s="10">
        <f t="shared" si="21"/>
        <v>-13460.59</v>
      </c>
      <c r="AB19" s="10">
        <f t="shared" si="22"/>
        <v>-15323</v>
      </c>
      <c r="AC19" s="10">
        <f t="shared" si="23"/>
        <v>-16231.284</v>
      </c>
      <c r="AD19" s="10">
        <f t="shared" si="24"/>
        <v>-19601.648000000001</v>
      </c>
      <c r="AE19" s="10">
        <f t="shared" si="25"/>
        <v>-17236.434999999998</v>
      </c>
      <c r="AF19" s="10">
        <f t="shared" si="26"/>
        <v>-6623</v>
      </c>
      <c r="AG19" s="10">
        <f t="shared" si="27"/>
        <v>-3045</v>
      </c>
      <c r="AH19" s="10">
        <f t="shared" si="28"/>
        <v>0</v>
      </c>
      <c r="AI19" s="10">
        <f t="shared" si="29"/>
        <v>0</v>
      </c>
      <c r="AK19" s="115">
        <f>SUM(AI19/AE19)-1</f>
        <v>-1</v>
      </c>
    </row>
    <row r="20" spans="2:37" ht="12.75" customHeight="1">
      <c r="B20" s="12" t="s">
        <v>37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38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39</v>
      </c>
      <c r="C23" s="112" t="e">
        <f>-C19</f>
        <v>#REF!</v>
      </c>
      <c r="D23" s="112"/>
      <c r="E23" s="112"/>
      <c r="F23" s="112"/>
      <c r="G23" s="136"/>
      <c r="H23" s="112">
        <f t="shared" ref="H23:Q23" si="37">-H19</f>
        <v>1137.104</v>
      </c>
      <c r="I23" s="112">
        <f t="shared" si="37"/>
        <v>2080.2750000000001</v>
      </c>
      <c r="J23" s="112">
        <f t="shared" si="37"/>
        <v>2721.596</v>
      </c>
      <c r="K23" s="112">
        <f t="shared" si="37"/>
        <v>8751.0249999999996</v>
      </c>
      <c r="L23" s="112">
        <f t="shared" si="37"/>
        <v>2669.7159999999999</v>
      </c>
      <c r="M23" s="112">
        <f t="shared" si="37"/>
        <v>-325.36399999999998</v>
      </c>
      <c r="N23" s="112">
        <f t="shared" si="37"/>
        <v>2365.2130000000002</v>
      </c>
      <c r="O23" s="112">
        <f t="shared" si="37"/>
        <v>10613.434999999999</v>
      </c>
      <c r="P23" s="112">
        <f t="shared" si="37"/>
        <v>3578</v>
      </c>
      <c r="Q23" s="112">
        <f t="shared" si="37"/>
        <v>3045</v>
      </c>
      <c r="R23" s="112"/>
      <c r="S23" s="112"/>
      <c r="T23" s="112"/>
      <c r="U23" s="112"/>
      <c r="V23" s="112"/>
      <c r="X23" s="10">
        <f>SUM(G23:K23)</f>
        <v>14690</v>
      </c>
      <c r="Y23" s="10">
        <f t="shared" ref="Y23:AH23" si="38">SUM(I23:L23)</f>
        <v>16222.612000000001</v>
      </c>
      <c r="Z23" s="10">
        <f t="shared" si="38"/>
        <v>13816.973</v>
      </c>
      <c r="AA23" s="10">
        <f t="shared" si="38"/>
        <v>13460.59</v>
      </c>
      <c r="AB23" s="10">
        <f t="shared" si="38"/>
        <v>15323</v>
      </c>
      <c r="AC23" s="10">
        <f t="shared" si="38"/>
        <v>16231.284</v>
      </c>
      <c r="AD23" s="10">
        <f t="shared" si="38"/>
        <v>19601.648000000001</v>
      </c>
      <c r="AE23" s="10">
        <f t="shared" si="38"/>
        <v>17236.434999999998</v>
      </c>
      <c r="AF23" s="10">
        <f t="shared" si="38"/>
        <v>6623</v>
      </c>
      <c r="AG23" s="10">
        <f t="shared" si="38"/>
        <v>3045</v>
      </c>
      <c r="AH23" s="10">
        <f t="shared" si="38"/>
        <v>0</v>
      </c>
      <c r="AI23" s="10">
        <f>SUM(S23:V23)</f>
        <v>0</v>
      </c>
      <c r="AK23" s="115">
        <f>SUM(AI23/AE23)-1</f>
        <v>-1</v>
      </c>
    </row>
    <row r="24" spans="2:37" ht="12.75" customHeight="1">
      <c r="B24" s="23" t="s">
        <v>10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40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41</v>
      </c>
      <c r="C27" s="85" t="e">
        <f>'Historical Financials'!#REF!</f>
        <v>#REF!</v>
      </c>
      <c r="D27" s="85"/>
      <c r="E27" s="85"/>
      <c r="F27" s="85"/>
      <c r="H27" s="85">
        <f>'Historical Financials'!G105</f>
        <v>0</v>
      </c>
      <c r="I27" s="85">
        <f>'Historical Financials'!H105</f>
        <v>0</v>
      </c>
      <c r="J27" s="85">
        <f>'Historical Financials'!I105</f>
        <v>0</v>
      </c>
      <c r="K27" s="85">
        <f>'Historical Financials'!J105</f>
        <v>547</v>
      </c>
      <c r="L27" s="85">
        <f>'Historical Financials'!K105</f>
        <v>0</v>
      </c>
      <c r="M27" s="85">
        <f>'Historical Financials'!L105</f>
        <v>0</v>
      </c>
      <c r="N27" s="85">
        <f>'Historical Financials'!M105</f>
        <v>0</v>
      </c>
      <c r="O27" s="85">
        <f>'Historical Financials'!N105</f>
        <v>925</v>
      </c>
      <c r="P27" s="85">
        <f>'Historical Financials'!O105</f>
        <v>138</v>
      </c>
      <c r="Q27" s="85">
        <f>'Historical Financials'!P105</f>
        <v>138</v>
      </c>
      <c r="R27" s="85"/>
      <c r="S27" s="85"/>
      <c r="T27" s="85"/>
      <c r="U27" s="85"/>
      <c r="V27" s="85"/>
      <c r="X27" s="10">
        <f>SUM(G27:K27)</f>
        <v>547</v>
      </c>
      <c r="Y27" s="10">
        <f t="shared" ref="Y27" si="45">SUM(I27:L27)</f>
        <v>547</v>
      </c>
      <c r="Z27" s="10">
        <f t="shared" ref="Z27" si="46">SUM(J27:M27)</f>
        <v>547</v>
      </c>
      <c r="AA27" s="10">
        <f t="shared" ref="AA27" si="47">SUM(K27:N27)</f>
        <v>547</v>
      </c>
      <c r="AB27" s="10">
        <f t="shared" ref="AB27" si="48">SUM(L27:O27)</f>
        <v>925</v>
      </c>
      <c r="AC27" s="10">
        <f t="shared" ref="AC27" si="49">SUM(M27:P27)</f>
        <v>1063</v>
      </c>
      <c r="AD27" s="10">
        <f t="shared" ref="AD27" si="50">SUM(N27:Q27)</f>
        <v>1201</v>
      </c>
      <c r="AE27" s="10">
        <f t="shared" ref="AE27" si="51">SUM(O27:R27)</f>
        <v>1201</v>
      </c>
      <c r="AF27" s="10">
        <f t="shared" ref="AF27" si="52">SUM(P27:S27)</f>
        <v>276</v>
      </c>
      <c r="AG27" s="10">
        <f t="shared" ref="AG27" si="53">SUM(Q27:T27)</f>
        <v>138</v>
      </c>
      <c r="AH27" s="10">
        <f t="shared" ref="AH27" si="54">SUM(R27:U27)</f>
        <v>0</v>
      </c>
      <c r="AI27" s="10">
        <f t="shared" ref="AI27" si="55">SUM(S27:V27)</f>
        <v>0</v>
      </c>
      <c r="AK27" s="115">
        <f>SUM(AI27/AE27)-1</f>
        <v>-1</v>
      </c>
    </row>
    <row r="28" spans="2:37" ht="12.75" customHeight="1">
      <c r="B28" s="12" t="s">
        <v>42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43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44</v>
      </c>
      <c r="C31" s="85" t="e">
        <f>SUM('Historical Financials'!#REF!+'Historical Financials'!#REF!)</f>
        <v>#REF!</v>
      </c>
      <c r="D31" s="85"/>
      <c r="E31" s="85"/>
      <c r="F31" s="85"/>
      <c r="H31" s="85" t="e">
        <f>SUM('Historical Financials'!G129+'Historical Financials'!#REF!)</f>
        <v>#REF!</v>
      </c>
      <c r="I31" s="85" t="e">
        <f>SUM('Historical Financials'!H129+'Historical Financials'!#REF!)</f>
        <v>#REF!</v>
      </c>
      <c r="J31" s="85" t="e">
        <f>SUM('Historical Financials'!I129+'Historical Financials'!#REF!)</f>
        <v>#REF!</v>
      </c>
      <c r="K31" s="85" t="e">
        <f>SUM('Historical Financials'!J129+'Historical Financials'!#REF!)</f>
        <v>#REF!</v>
      </c>
      <c r="L31" s="85" t="e">
        <f>SUM('Historical Financials'!K129+'Historical Financials'!#REF!)</f>
        <v>#REF!</v>
      </c>
      <c r="M31" s="85" t="e">
        <f>SUM('Historical Financials'!L129+'Historical Financials'!#REF!)</f>
        <v>#REF!</v>
      </c>
      <c r="N31" s="85" t="e">
        <f>SUM('Historical Financials'!M129+'Historical Financials'!#REF!)</f>
        <v>#REF!</v>
      </c>
      <c r="O31" s="85" t="e">
        <f>SUM('Historical Financials'!N129+'Historical Financials'!#REF!)</f>
        <v>#REF!</v>
      </c>
      <c r="P31" s="85" t="e">
        <f>SUM('Historical Financials'!O129+'Historical Financials'!#REF!)</f>
        <v>#REF!</v>
      </c>
      <c r="Q31" s="85" t="e">
        <f>SUM('Historical Financials'!P129+'Historical Financials'!#REF!)</f>
        <v>#REF!</v>
      </c>
      <c r="R31" s="85"/>
      <c r="S31" s="85"/>
      <c r="T31" s="85"/>
      <c r="U31" s="85"/>
      <c r="V31" s="85"/>
      <c r="X31" s="10" t="e">
        <f t="shared" ref="X31:X34" si="60">SUM(G31:K31)</f>
        <v>#REF!</v>
      </c>
      <c r="Y31" s="10" t="e">
        <f t="shared" ref="Y31:Y34" si="61">SUM(I31:L31)</f>
        <v>#REF!</v>
      </c>
      <c r="Z31" s="10" t="e">
        <f t="shared" ref="Z31:Z34" si="62">SUM(J31:M31)</f>
        <v>#REF!</v>
      </c>
      <c r="AA31" s="10" t="e">
        <f t="shared" ref="AA31:AA34" si="63">SUM(K31:N31)</f>
        <v>#REF!</v>
      </c>
      <c r="AB31" s="10" t="e">
        <f t="shared" ref="AB31:AB34" si="64">SUM(L31:O31)</f>
        <v>#REF!</v>
      </c>
      <c r="AC31" s="10" t="e">
        <f t="shared" ref="AC31:AC34" si="65">SUM(M31:P31)</f>
        <v>#REF!</v>
      </c>
      <c r="AD31" s="10" t="e">
        <f t="shared" ref="AD31:AD34" si="66">SUM(N31:Q31)</f>
        <v>#REF!</v>
      </c>
      <c r="AE31" s="10" t="e">
        <f t="shared" ref="AE31:AE34" si="67">SUM(O31:R31)</f>
        <v>#REF!</v>
      </c>
      <c r="AF31" s="10" t="e">
        <f t="shared" ref="AF31:AF34" si="68">SUM(P31:S31)</f>
        <v>#REF!</v>
      </c>
      <c r="AG31" s="10" t="e">
        <f t="shared" ref="AG31:AG34" si="69">SUM(Q31:T31)</f>
        <v>#REF!</v>
      </c>
      <c r="AH31" s="10">
        <f t="shared" ref="AH31:AH34" si="70">SUM(R31:U31)</f>
        <v>0</v>
      </c>
      <c r="AI31" s="10">
        <f t="shared" ref="AI31:AI34" si="71">SUM(S31:V31)</f>
        <v>0</v>
      </c>
      <c r="AK31" s="115" t="e">
        <f>SUM(AI31/AE31)-1</f>
        <v>#REF!</v>
      </c>
    </row>
    <row r="32" spans="2:37" ht="12.75" customHeight="1">
      <c r="B32" s="21" t="s">
        <v>45</v>
      </c>
      <c r="C32" s="85" t="e">
        <f>'Historical Financials'!#REF!</f>
        <v>#REF!</v>
      </c>
      <c r="D32" s="85"/>
      <c r="E32" s="85"/>
      <c r="F32" s="85"/>
      <c r="H32" s="85">
        <f>'Historical Financials'!G31</f>
        <v>0</v>
      </c>
      <c r="I32" s="85">
        <f>'Historical Financials'!H31</f>
        <v>0</v>
      </c>
      <c r="J32" s="85">
        <f>'Historical Financials'!I31</f>
        <v>0</v>
      </c>
      <c r="K32" s="85">
        <f>'Historical Financials'!J31</f>
        <v>0</v>
      </c>
      <c r="L32" s="85">
        <f>'Historical Financials'!K31</f>
        <v>0</v>
      </c>
      <c r="M32" s="85">
        <f>'Historical Financials'!L31</f>
        <v>0</v>
      </c>
      <c r="N32" s="85">
        <f>'Historical Financials'!M31</f>
        <v>0</v>
      </c>
      <c r="O32" s="85">
        <f>'Historical Financials'!N31</f>
        <v>0</v>
      </c>
      <c r="P32" s="85">
        <f>'Historical Financials'!O31</f>
        <v>0</v>
      </c>
      <c r="Q32" s="85">
        <f>'Historical Financials'!P31</f>
        <v>0</v>
      </c>
      <c r="R32" s="85"/>
      <c r="S32" s="85"/>
      <c r="T32" s="85"/>
      <c r="U32" s="85"/>
      <c r="V32" s="85"/>
      <c r="X32" s="10">
        <f t="shared" si="60"/>
        <v>0</v>
      </c>
      <c r="Y32" s="10">
        <f t="shared" si="61"/>
        <v>0</v>
      </c>
      <c r="Z32" s="10">
        <f t="shared" si="62"/>
        <v>0</v>
      </c>
      <c r="AA32" s="10">
        <f t="shared" si="63"/>
        <v>0</v>
      </c>
      <c r="AB32" s="10">
        <f t="shared" si="64"/>
        <v>0</v>
      </c>
      <c r="AC32" s="10">
        <f t="shared" si="65"/>
        <v>0</v>
      </c>
      <c r="AD32" s="10">
        <f t="shared" si="66"/>
        <v>0</v>
      </c>
      <c r="AE32" s="10">
        <f t="shared" si="67"/>
        <v>0</v>
      </c>
      <c r="AF32" s="10">
        <f t="shared" si="68"/>
        <v>0</v>
      </c>
      <c r="AG32" s="10">
        <f t="shared" si="69"/>
        <v>0</v>
      </c>
      <c r="AH32" s="10">
        <f t="shared" si="70"/>
        <v>0</v>
      </c>
      <c r="AI32" s="10">
        <f t="shared" si="71"/>
        <v>0</v>
      </c>
      <c r="AK32" s="115" t="e">
        <f>SUM(AI32/AE32)-1</f>
        <v>#DIV/0!</v>
      </c>
    </row>
    <row r="33" spans="1:37" ht="12.75" customHeight="1">
      <c r="B33" s="21" t="s">
        <v>93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46</v>
      </c>
      <c r="C34" s="85" t="e">
        <f>SUM('Historical Financials'!#REF!)</f>
        <v>#REF!</v>
      </c>
      <c r="D34" s="85"/>
      <c r="E34" s="85"/>
      <c r="F34" s="85"/>
      <c r="H34" s="85">
        <f>SUM('Historical Financials'!G116:G125)</f>
        <v>-48.636000000000024</v>
      </c>
      <c r="I34" s="85">
        <f>SUM('Historical Financials'!H116:H125)</f>
        <v>194.59600000000003</v>
      </c>
      <c r="J34" s="85">
        <f>SUM('Historical Financials'!I116:I125)</f>
        <v>2089.0990000000002</v>
      </c>
      <c r="K34" s="85">
        <f>SUM('Historical Financials'!J116:J125)</f>
        <v>-2404.0590000000002</v>
      </c>
      <c r="L34" s="85">
        <f>SUM('Historical Financials'!K116:K125)</f>
        <v>-1878.6679999999999</v>
      </c>
      <c r="M34" s="85">
        <f>SUM('Historical Financials'!L116:L125)</f>
        <v>956.69600000000003</v>
      </c>
      <c r="N34" s="85">
        <f>SUM('Historical Financials'!M116:M125)</f>
        <v>-1474.7629999999997</v>
      </c>
      <c r="O34" s="85">
        <f>SUM('Historical Financials'!N116:N125)</f>
        <v>2560.7349999999997</v>
      </c>
      <c r="P34" s="85">
        <f>SUM('Historical Financials'!O116:O125)</f>
        <v>314</v>
      </c>
      <c r="Q34" s="85">
        <f>SUM('Historical Financials'!P116:P125)</f>
        <v>-327</v>
      </c>
      <c r="R34" s="85"/>
      <c r="S34" s="85"/>
      <c r="T34" s="85"/>
      <c r="U34" s="85"/>
      <c r="V34" s="85"/>
      <c r="X34" s="10">
        <f t="shared" si="60"/>
        <v>-169</v>
      </c>
      <c r="Y34" s="10">
        <f t="shared" si="61"/>
        <v>-1999.0319999999999</v>
      </c>
      <c r="Z34" s="10">
        <f t="shared" si="62"/>
        <v>-1236.9319999999998</v>
      </c>
      <c r="AA34" s="10">
        <f t="shared" si="63"/>
        <v>-4800.7939999999999</v>
      </c>
      <c r="AB34" s="10">
        <f t="shared" si="64"/>
        <v>164</v>
      </c>
      <c r="AC34" s="10">
        <f t="shared" si="65"/>
        <v>2356.6680000000001</v>
      </c>
      <c r="AD34" s="10">
        <f t="shared" si="66"/>
        <v>1072.972</v>
      </c>
      <c r="AE34" s="10">
        <f t="shared" si="67"/>
        <v>2547.7349999999997</v>
      </c>
      <c r="AF34" s="10">
        <f t="shared" si="68"/>
        <v>-13</v>
      </c>
      <c r="AG34" s="10">
        <f t="shared" si="69"/>
        <v>-327</v>
      </c>
      <c r="AH34" s="10">
        <f t="shared" si="70"/>
        <v>0</v>
      </c>
      <c r="AI34" s="10">
        <f t="shared" si="71"/>
        <v>0</v>
      </c>
      <c r="AK34" s="115">
        <f>SUM(AI34/AE34)-1</f>
        <v>-1</v>
      </c>
    </row>
    <row r="35" spans="1:37" ht="12.75" customHeight="1">
      <c r="B35" s="12" t="s">
        <v>47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111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126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127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128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112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129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86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48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49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50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Financials'!G46</f>
        <v>11513.369000000001</v>
      </c>
      <c r="I48" s="85">
        <f>'Historical Financials'!H46</f>
        <v>6742.7929999999997</v>
      </c>
      <c r="J48" s="85">
        <f>'Historical Financials'!I46</f>
        <v>10381.376</v>
      </c>
      <c r="K48" s="85">
        <f>'Historical Financials'!J46</f>
        <v>5308</v>
      </c>
      <c r="L48" s="85">
        <f>'Historical Financials'!K46</f>
        <v>6764.866</v>
      </c>
      <c r="M48" s="85">
        <f>'Historical Financials'!L46</f>
        <v>7196.7950000000001</v>
      </c>
      <c r="N48" s="85">
        <f>'Historical Financials'!M46</f>
        <v>7379.3620000000001</v>
      </c>
      <c r="O48" s="85">
        <f>'Historical Financials'!N46</f>
        <v>2059</v>
      </c>
      <c r="P48" s="85">
        <f>'Historical Financials'!O46</f>
        <v>6101</v>
      </c>
      <c r="Q48" s="85">
        <f>'Historical Financials'!P46</f>
        <v>2526</v>
      </c>
      <c r="R48" s="85"/>
      <c r="S48" s="85"/>
      <c r="T48" s="85"/>
      <c r="U48" s="85"/>
      <c r="V48" s="85"/>
      <c r="X48" s="10">
        <f t="shared" ref="X48:AH48" si="91">K48</f>
        <v>5308</v>
      </c>
      <c r="Y48" s="10">
        <f t="shared" si="91"/>
        <v>6764.866</v>
      </c>
      <c r="Z48" s="10">
        <f t="shared" si="91"/>
        <v>7196.7950000000001</v>
      </c>
      <c r="AA48" s="10">
        <f t="shared" si="91"/>
        <v>7379.3620000000001</v>
      </c>
      <c r="AB48" s="10">
        <f t="shared" si="91"/>
        <v>2059</v>
      </c>
      <c r="AC48" s="10">
        <f t="shared" si="91"/>
        <v>6101</v>
      </c>
      <c r="AD48" s="10">
        <f t="shared" si="91"/>
        <v>2526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105</v>
      </c>
      <c r="C49" s="85" t="e">
        <f>'Historical Financials'!#REF!</f>
        <v>#REF!</v>
      </c>
      <c r="D49" s="85"/>
      <c r="E49" s="85"/>
      <c r="F49" s="85"/>
      <c r="G49" s="30"/>
      <c r="H49" s="85">
        <f>'Historical Financials'!G51</f>
        <v>41.689</v>
      </c>
      <c r="I49" s="85">
        <f>'Historical Financials'!H51</f>
        <v>160.38900000000001</v>
      </c>
      <c r="J49" s="85">
        <f>'Historical Financials'!I51</f>
        <v>302.31900000000002</v>
      </c>
      <c r="K49" s="85">
        <f>'Historical Financials'!J51</f>
        <v>0</v>
      </c>
      <c r="L49" s="85">
        <f>'Historical Financials'!K51</f>
        <v>1309.0999999999999</v>
      </c>
      <c r="M49" s="85">
        <f>'Historical Financials'!L51</f>
        <v>1451.364</v>
      </c>
      <c r="N49" s="85">
        <f>'Historical Financials'!M51</f>
        <v>2958.2869999999998</v>
      </c>
      <c r="O49" s="85">
        <f>'Historical Financials'!N51</f>
        <v>0</v>
      </c>
      <c r="P49" s="85">
        <f>'Historical Financials'!O51</f>
        <v>0</v>
      </c>
      <c r="Q49" s="85">
        <f>'Historical Financials'!P51</f>
        <v>0</v>
      </c>
      <c r="R49" s="85"/>
      <c r="S49" s="85"/>
      <c r="T49" s="85"/>
      <c r="U49" s="85"/>
      <c r="V49" s="85"/>
      <c r="X49" s="10">
        <f t="shared" ref="X49:X51" si="92">K49</f>
        <v>0</v>
      </c>
      <c r="Y49" s="10">
        <f t="shared" ref="Y49:Y51" si="93">L49</f>
        <v>1309.0999999999999</v>
      </c>
      <c r="Z49" s="10">
        <f t="shared" ref="Z49:Z51" si="94">M49</f>
        <v>1451.364</v>
      </c>
      <c r="AA49" s="10">
        <f t="shared" ref="AA49:AA51" si="95">N49</f>
        <v>2958.2869999999998</v>
      </c>
      <c r="AB49" s="10">
        <f t="shared" ref="AB49:AB51" si="96">O49</f>
        <v>0</v>
      </c>
      <c r="AC49" s="10">
        <f t="shared" ref="AC49:AC51" si="97">P49</f>
        <v>0</v>
      </c>
      <c r="AD49" s="10">
        <f t="shared" ref="AD49:AD51" si="98">Q49</f>
        <v>0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130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131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Financials'!G55</f>
        <v>0</v>
      </c>
      <c r="I51" s="85">
        <f>'Historical Financials'!H55</f>
        <v>0</v>
      </c>
      <c r="J51" s="85">
        <f>'Historical Financials'!I55</f>
        <v>0</v>
      </c>
      <c r="K51" s="85">
        <f>'Historical Financials'!J55</f>
        <v>975</v>
      </c>
      <c r="L51" s="85">
        <f>'Historical Financials'!K55</f>
        <v>0</v>
      </c>
      <c r="M51" s="85">
        <f>'Historical Financials'!L55</f>
        <v>0</v>
      </c>
      <c r="N51" s="85">
        <f>'Historical Financials'!M55</f>
        <v>0</v>
      </c>
      <c r="O51" s="85">
        <f>'Historical Financials'!N55</f>
        <v>2870</v>
      </c>
      <c r="P51" s="85">
        <f>'Historical Financials'!O55</f>
        <v>4381</v>
      </c>
      <c r="Q51" s="85">
        <f>'Historical Financials'!P55</f>
        <v>5387</v>
      </c>
      <c r="R51" s="85"/>
      <c r="S51" s="85"/>
      <c r="T51" s="85"/>
      <c r="U51" s="85"/>
      <c r="V51" s="85"/>
      <c r="X51" s="10">
        <f t="shared" si="92"/>
        <v>975</v>
      </c>
      <c r="Y51" s="10">
        <f t="shared" si="93"/>
        <v>0</v>
      </c>
      <c r="Z51" s="10">
        <f t="shared" si="94"/>
        <v>0</v>
      </c>
      <c r="AA51" s="10">
        <f t="shared" si="95"/>
        <v>0</v>
      </c>
      <c r="AB51" s="10">
        <f t="shared" si="96"/>
        <v>2870</v>
      </c>
      <c r="AC51" s="10">
        <f t="shared" si="97"/>
        <v>4381</v>
      </c>
      <c r="AD51" s="10">
        <f t="shared" si="98"/>
        <v>5387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51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52</v>
      </c>
    </row>
    <row r="55" spans="2:35" ht="12.75" customHeight="1">
      <c r="B55" s="8" t="s">
        <v>53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54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Financials'!G64</f>
        <v>797.005</v>
      </c>
      <c r="I56" s="85">
        <f>'Historical Financials'!H64</f>
        <v>756.62199999999996</v>
      </c>
      <c r="J56" s="85">
        <f>'Historical Financials'!I64</f>
        <v>888.10500000000002</v>
      </c>
      <c r="K56" s="85">
        <f>'Historical Financials'!J64</f>
        <v>871.88699999999994</v>
      </c>
      <c r="L56" s="85">
        <f>'Historical Financials'!K64</f>
        <v>922.03200000000004</v>
      </c>
      <c r="M56" s="85">
        <f>'Historical Financials'!L64</f>
        <v>935.351</v>
      </c>
      <c r="N56" s="85">
        <f>'Historical Financials'!M64</f>
        <v>1130.739</v>
      </c>
      <c r="O56" s="85">
        <f>'Historical Financials'!N64</f>
        <v>1462</v>
      </c>
      <c r="P56" s="85">
        <f>'Historical Financials'!O64</f>
        <v>1681</v>
      </c>
      <c r="Q56" s="85">
        <f>'Historical Financials'!P64</f>
        <v>1672</v>
      </c>
      <c r="R56" s="85"/>
      <c r="S56" s="85"/>
      <c r="T56" s="85"/>
      <c r="U56" s="85"/>
      <c r="V56" s="85"/>
      <c r="X56" s="10">
        <f t="shared" si="105"/>
        <v>871.88699999999994</v>
      </c>
      <c r="Y56" s="10">
        <f t="shared" si="106"/>
        <v>922.03200000000004</v>
      </c>
      <c r="Z56" s="10">
        <f t="shared" si="107"/>
        <v>935.351</v>
      </c>
      <c r="AA56" s="10">
        <f t="shared" si="108"/>
        <v>1130.739</v>
      </c>
      <c r="AB56" s="10">
        <f t="shared" si="109"/>
        <v>1462</v>
      </c>
      <c r="AC56" s="10">
        <f t="shared" si="110"/>
        <v>1681</v>
      </c>
      <c r="AD56" s="10">
        <f t="shared" si="111"/>
        <v>1672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132</v>
      </c>
      <c r="C57" s="85" t="e">
        <f>'Historical Financials'!#REF!</f>
        <v>#REF!</v>
      </c>
      <c r="D57" s="85"/>
      <c r="E57" s="85"/>
      <c r="F57" s="85"/>
      <c r="G57" s="85"/>
      <c r="H57" s="85" t="e">
        <f>'Historical Financials'!#REF!</f>
        <v>#REF!</v>
      </c>
      <c r="I57" s="85" t="e">
        <f>'Historical Financials'!#REF!</f>
        <v>#REF!</v>
      </c>
      <c r="J57" s="85" t="e">
        <f>'Historical Financials'!#REF!</f>
        <v>#REF!</v>
      </c>
      <c r="K57" s="85" t="e">
        <f>'Historical Financials'!#REF!</f>
        <v>#REF!</v>
      </c>
      <c r="L57" s="85" t="e">
        <f>'Historical Financials'!#REF!</f>
        <v>#REF!</v>
      </c>
      <c r="M57" s="85" t="e">
        <f>'Historical Financials'!#REF!</f>
        <v>#REF!</v>
      </c>
      <c r="N57" s="85" t="e">
        <f>'Historical Financials'!#REF!</f>
        <v>#REF!</v>
      </c>
      <c r="O57" s="85" t="e">
        <f>'Historical Financials'!#REF!</f>
        <v>#REF!</v>
      </c>
      <c r="P57" s="85" t="e">
        <f>'Historical Financials'!#REF!</f>
        <v>#REF!</v>
      </c>
      <c r="Q57" s="85" t="e">
        <f>'Historical Financials'!#REF!</f>
        <v>#REF!</v>
      </c>
      <c r="R57" s="85"/>
      <c r="S57" s="85"/>
      <c r="T57" s="85"/>
      <c r="U57" s="85"/>
      <c r="V57" s="85"/>
      <c r="X57" s="10" t="e">
        <f t="shared" si="105"/>
        <v>#REF!</v>
      </c>
      <c r="Y57" s="10" t="e">
        <f t="shared" si="106"/>
        <v>#REF!</v>
      </c>
      <c r="Z57" s="10" t="e">
        <f t="shared" si="107"/>
        <v>#REF!</v>
      </c>
      <c r="AA57" s="10" t="e">
        <f t="shared" si="108"/>
        <v>#REF!</v>
      </c>
      <c r="AB57" s="10" t="e">
        <f t="shared" si="109"/>
        <v>#REF!</v>
      </c>
      <c r="AC57" s="10" t="e">
        <f t="shared" si="110"/>
        <v>#REF!</v>
      </c>
      <c r="AD57" s="10" t="e">
        <f t="shared" si="111"/>
        <v>#REF!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133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55</v>
      </c>
      <c r="C59" s="85" t="e">
        <f>'Historical Financials'!#REF!</f>
        <v>#REF!</v>
      </c>
      <c r="D59" s="85"/>
      <c r="E59" s="85"/>
      <c r="F59" s="85"/>
      <c r="G59" s="85"/>
      <c r="H59" s="85">
        <f>'Historical Financials'!G57</f>
        <v>0</v>
      </c>
      <c r="I59" s="85">
        <f>'Historical Financials'!H57</f>
        <v>25222.335999999999</v>
      </c>
      <c r="J59" s="85">
        <f>'Historical Financials'!I57</f>
        <v>2372.3029999999999</v>
      </c>
      <c r="K59" s="85">
        <f>'Historical Financials'!J57</f>
        <v>15180</v>
      </c>
      <c r="L59" s="85">
        <f>'Historical Financials'!K57</f>
        <v>20724.419000000002</v>
      </c>
      <c r="M59" s="85">
        <f>'Historical Financials'!L57</f>
        <v>12810.01</v>
      </c>
      <c r="N59" s="85">
        <f>'Historical Financials'!M57</f>
        <v>12099.013000000001</v>
      </c>
      <c r="O59" s="85">
        <f>'Historical Financials'!N57</f>
        <v>12076</v>
      </c>
      <c r="P59" s="85">
        <f>'Historical Financials'!O57</f>
        <v>11300</v>
      </c>
      <c r="Q59" s="85">
        <f>'Historical Financials'!P57</f>
        <v>10524</v>
      </c>
      <c r="R59" s="85"/>
      <c r="S59" s="85"/>
      <c r="T59" s="85"/>
      <c r="U59" s="85"/>
      <c r="V59" s="85"/>
      <c r="X59" s="10">
        <f t="shared" si="105"/>
        <v>15180</v>
      </c>
      <c r="Y59" s="10">
        <f t="shared" si="106"/>
        <v>20724.419000000002</v>
      </c>
      <c r="Z59" s="10">
        <f t="shared" si="107"/>
        <v>12810.01</v>
      </c>
      <c r="AA59" s="10">
        <f t="shared" si="108"/>
        <v>12099.013000000001</v>
      </c>
      <c r="AB59" s="10">
        <f t="shared" si="109"/>
        <v>12076</v>
      </c>
      <c r="AC59" s="10">
        <f t="shared" si="110"/>
        <v>11300</v>
      </c>
      <c r="AD59" s="10">
        <f t="shared" si="111"/>
        <v>10524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56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Financials'!G72</f>
        <v>1036.9259999999999</v>
      </c>
      <c r="I60" s="85">
        <f>'Historical Financials'!H72</f>
        <v>1298.8509999999999</v>
      </c>
      <c r="J60" s="85">
        <f>'Historical Financials'!I72</f>
        <v>3626.1509999999998</v>
      </c>
      <c r="K60" s="85">
        <f>'Historical Financials'!J72</f>
        <v>6545.3200000000006</v>
      </c>
      <c r="L60" s="85">
        <f>'Historical Financials'!K72</f>
        <v>12571.849999999999</v>
      </c>
      <c r="M60" s="85">
        <f>'Historical Financials'!L72</f>
        <v>11734.253000000001</v>
      </c>
      <c r="N60" s="85">
        <f>'Historical Financials'!M72</f>
        <v>8088.9259999999995</v>
      </c>
      <c r="O60" s="85">
        <f>'Historical Financials'!N72</f>
        <v>4812</v>
      </c>
      <c r="P60" s="85">
        <f>'Historical Financials'!O72</f>
        <v>3081</v>
      </c>
      <c r="Q60" s="85">
        <f>'Historical Financials'!P72</f>
        <v>2893</v>
      </c>
      <c r="R60" s="85"/>
      <c r="S60" s="85"/>
      <c r="T60" s="85"/>
      <c r="U60" s="85"/>
      <c r="V60" s="85"/>
      <c r="X60" s="10">
        <f t="shared" si="105"/>
        <v>6545.3200000000006</v>
      </c>
      <c r="Y60" s="10">
        <f t="shared" si="106"/>
        <v>12571.849999999999</v>
      </c>
      <c r="Z60" s="10">
        <f t="shared" si="107"/>
        <v>11734.253000000001</v>
      </c>
      <c r="AA60" s="10">
        <f t="shared" si="108"/>
        <v>8088.9259999999995</v>
      </c>
      <c r="AB60" s="10">
        <f t="shared" si="109"/>
        <v>4812</v>
      </c>
      <c r="AC60" s="10">
        <f t="shared" si="110"/>
        <v>3081</v>
      </c>
      <c r="AD60" s="10">
        <f t="shared" si="111"/>
        <v>2893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18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Financials'!G80</f>
        <v>1036.9259999999999</v>
      </c>
      <c r="I61" s="85">
        <f>'Historical Financials'!H80</f>
        <v>1298.8509999999999</v>
      </c>
      <c r="J61" s="85">
        <f>'Historical Financials'!I80</f>
        <v>11144.472</v>
      </c>
      <c r="K61" s="85">
        <f>'Historical Financials'!J80</f>
        <v>14403.6</v>
      </c>
      <c r="L61" s="85">
        <f>'Historical Financials'!K80</f>
        <v>12583.722999999998</v>
      </c>
      <c r="M61" s="85">
        <f>'Historical Financials'!L80</f>
        <v>11734.253000000001</v>
      </c>
      <c r="N61" s="85">
        <f>'Historical Financials'!M80</f>
        <v>8088.9259999999995</v>
      </c>
      <c r="O61" s="85">
        <f>'Historical Financials'!N80</f>
        <v>5652</v>
      </c>
      <c r="P61" s="85">
        <f>'Historical Financials'!O80</f>
        <v>3856</v>
      </c>
      <c r="Q61" s="85">
        <f>'Historical Financials'!P80</f>
        <v>3601</v>
      </c>
      <c r="R61" s="85"/>
      <c r="S61" s="85"/>
      <c r="T61" s="85"/>
      <c r="U61" s="85"/>
      <c r="V61" s="85"/>
      <c r="X61" s="10">
        <f t="shared" si="105"/>
        <v>14403.6</v>
      </c>
      <c r="Y61" s="10">
        <f t="shared" si="106"/>
        <v>12583.722999999998</v>
      </c>
      <c r="Z61" s="10">
        <f t="shared" si="107"/>
        <v>11734.253000000001</v>
      </c>
      <c r="AA61" s="10">
        <f t="shared" si="108"/>
        <v>8088.9259999999995</v>
      </c>
      <c r="AB61" s="10">
        <f t="shared" si="109"/>
        <v>5652</v>
      </c>
      <c r="AC61" s="10">
        <f t="shared" si="110"/>
        <v>3856</v>
      </c>
      <c r="AD61" s="10">
        <f t="shared" si="111"/>
        <v>3601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134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25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57</v>
      </c>
      <c r="C66" s="85" t="e">
        <f>'Historical Financials'!#REF!</f>
        <v>#REF!</v>
      </c>
      <c r="D66" s="85"/>
      <c r="E66" s="85"/>
      <c r="F66" s="85"/>
      <c r="H66" s="85">
        <f>'Historical Financials'!G89</f>
        <v>12266.159000000011</v>
      </c>
      <c r="I66" s="85">
        <f>'Historical Financials'!H89</f>
        <v>90581.21</v>
      </c>
      <c r="J66" s="85">
        <f>'Historical Financials'!I89</f>
        <v>84179.549000000014</v>
      </c>
      <c r="K66" s="85">
        <f>'Historical Financials'!J89</f>
        <v>74896.731000000029</v>
      </c>
      <c r="L66" s="85">
        <f>'Historical Financials'!K89</f>
        <v>76943.350000000006</v>
      </c>
      <c r="M66" s="85">
        <f>'Historical Financials'!L89</f>
        <v>76912.536999999982</v>
      </c>
      <c r="N66" s="85">
        <f>'Historical Financials'!M89</f>
        <v>81243.625000000015</v>
      </c>
      <c r="O66" s="85">
        <f>'Historical Financials'!N89</f>
        <v>68703</v>
      </c>
      <c r="P66" s="85">
        <f>'Historical Financials'!O89</f>
        <v>75340</v>
      </c>
      <c r="Q66" s="85">
        <f>'Historical Financials'!P89</f>
        <v>72354</v>
      </c>
      <c r="R66" s="85"/>
      <c r="S66" s="85"/>
      <c r="T66" s="85"/>
      <c r="U66" s="85"/>
      <c r="V66" s="85"/>
      <c r="X66" s="10">
        <f t="shared" ref="X66:AH66" si="132">K66</f>
        <v>74896.731000000029</v>
      </c>
      <c r="Y66" s="10">
        <f t="shared" si="132"/>
        <v>76943.350000000006</v>
      </c>
      <c r="Z66" s="10">
        <f t="shared" si="132"/>
        <v>76912.536999999982</v>
      </c>
      <c r="AA66" s="10">
        <f t="shared" si="132"/>
        <v>81243.625000000015</v>
      </c>
      <c r="AB66" s="10">
        <f t="shared" si="132"/>
        <v>68703</v>
      </c>
      <c r="AC66" s="10">
        <f t="shared" si="132"/>
        <v>75340</v>
      </c>
      <c r="AD66" s="10">
        <f t="shared" si="132"/>
        <v>72354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58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12266.159000000011</v>
      </c>
      <c r="I67" s="13">
        <f t="shared" ref="I67:R67" si="134">SUM(I64:I66)</f>
        <v>90581.21</v>
      </c>
      <c r="J67" s="13">
        <f t="shared" si="134"/>
        <v>84179.549000000014</v>
      </c>
      <c r="K67" s="13">
        <f t="shared" si="134"/>
        <v>74896.731000000029</v>
      </c>
      <c r="L67" s="13">
        <f t="shared" si="134"/>
        <v>76943.350000000006</v>
      </c>
      <c r="M67" s="13">
        <f t="shared" si="134"/>
        <v>76912.536999999982</v>
      </c>
      <c r="N67" s="13">
        <f t="shared" si="134"/>
        <v>81243.625000000015</v>
      </c>
      <c r="O67" s="13">
        <f t="shared" si="134"/>
        <v>68703</v>
      </c>
      <c r="P67" s="13">
        <f t="shared" si="134"/>
        <v>75340</v>
      </c>
      <c r="Q67" s="13">
        <f t="shared" si="134"/>
        <v>72354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74896.731000000029</v>
      </c>
      <c r="Y67" s="13">
        <f t="shared" si="135"/>
        <v>76943.350000000006</v>
      </c>
      <c r="Z67" s="13">
        <f t="shared" si="135"/>
        <v>76912.536999999982</v>
      </c>
      <c r="AA67" s="13">
        <f t="shared" si="135"/>
        <v>81243.625000000015</v>
      </c>
      <c r="AB67" s="13">
        <f t="shared" si="135"/>
        <v>68703</v>
      </c>
      <c r="AC67" s="13">
        <f t="shared" si="135"/>
        <v>75340</v>
      </c>
      <c r="AD67" s="13">
        <f t="shared" si="135"/>
        <v>72354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87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59</v>
      </c>
      <c r="C71" s="137" t="s">
        <v>89</v>
      </c>
      <c r="D71" s="137"/>
      <c r="E71" s="137"/>
      <c r="F71" s="137"/>
      <c r="H71" s="135"/>
      <c r="I71" s="135"/>
      <c r="J71" s="135"/>
      <c r="K71" s="135"/>
      <c r="L71" s="137" t="s">
        <v>89</v>
      </c>
      <c r="M71" s="137" t="s">
        <v>89</v>
      </c>
      <c r="N71" s="137" t="s">
        <v>89</v>
      </c>
      <c r="O71" s="137" t="s">
        <v>89</v>
      </c>
      <c r="P71" s="137" t="s">
        <v>89</v>
      </c>
      <c r="Q71" s="137" t="s">
        <v>89</v>
      </c>
      <c r="R71" s="137"/>
      <c r="S71" s="137"/>
      <c r="T71" s="137"/>
      <c r="U71" s="137"/>
      <c r="V71" s="137"/>
      <c r="W71" s="137"/>
      <c r="X71" s="137" t="s">
        <v>89</v>
      </c>
      <c r="Y71" s="137" t="s">
        <v>89</v>
      </c>
      <c r="Z71" s="137" t="s">
        <v>89</v>
      </c>
      <c r="AA71" s="137" t="s">
        <v>89</v>
      </c>
      <c r="AB71" s="137" t="s">
        <v>89</v>
      </c>
      <c r="AC71" s="137" t="s">
        <v>89</v>
      </c>
      <c r="AD71" s="137" t="s">
        <v>89</v>
      </c>
      <c r="AE71" s="137"/>
      <c r="AF71" s="137"/>
      <c r="AG71" s="137"/>
      <c r="AH71" s="137"/>
      <c r="AI71" s="137"/>
    </row>
    <row r="72" spans="1:35" ht="12.75" customHeight="1">
      <c r="B72" s="8" t="s">
        <v>60</v>
      </c>
      <c r="C72" s="137" t="s">
        <v>89</v>
      </c>
      <c r="D72" s="137"/>
      <c r="E72" s="137"/>
      <c r="F72" s="137"/>
      <c r="H72" s="135"/>
      <c r="I72" s="135"/>
      <c r="J72" s="135"/>
      <c r="K72" s="135"/>
      <c r="L72" s="137" t="s">
        <v>89</v>
      </c>
      <c r="M72" s="137" t="s">
        <v>89</v>
      </c>
      <c r="N72" s="137" t="s">
        <v>89</v>
      </c>
      <c r="O72" s="137" t="s">
        <v>89</v>
      </c>
      <c r="P72" s="137" t="s">
        <v>89</v>
      </c>
      <c r="Q72" s="137" t="s">
        <v>89</v>
      </c>
      <c r="R72" s="137"/>
      <c r="S72" s="137"/>
      <c r="T72" s="137"/>
      <c r="U72" s="137"/>
      <c r="V72" s="137"/>
      <c r="W72" s="137"/>
      <c r="X72" s="137" t="s">
        <v>89</v>
      </c>
      <c r="Y72" s="137" t="s">
        <v>89</v>
      </c>
      <c r="Z72" s="137" t="s">
        <v>89</v>
      </c>
      <c r="AA72" s="137" t="s">
        <v>89</v>
      </c>
      <c r="AB72" s="137" t="s">
        <v>89</v>
      </c>
      <c r="AC72" s="137" t="s">
        <v>89</v>
      </c>
      <c r="AD72" s="137" t="s">
        <v>89</v>
      </c>
      <c r="AE72" s="137"/>
      <c r="AF72" s="137"/>
      <c r="AG72" s="137"/>
      <c r="AH72" s="137"/>
      <c r="AI72" s="137"/>
    </row>
    <row r="73" spans="1:35" ht="12.75" customHeight="1">
      <c r="B73" s="8" t="s">
        <v>61</v>
      </c>
      <c r="C73" s="137" t="s">
        <v>89</v>
      </c>
      <c r="D73" s="137"/>
      <c r="E73" s="137"/>
      <c r="F73" s="137"/>
      <c r="H73" s="135"/>
      <c r="I73" s="135"/>
      <c r="J73" s="135"/>
      <c r="K73" s="135"/>
      <c r="L73" s="137" t="s">
        <v>89</v>
      </c>
      <c r="M73" s="137" t="s">
        <v>89</v>
      </c>
      <c r="N73" s="137" t="s">
        <v>89</v>
      </c>
      <c r="O73" s="137" t="s">
        <v>89</v>
      </c>
      <c r="P73" s="137" t="s">
        <v>89</v>
      </c>
      <c r="Q73" s="137" t="s">
        <v>89</v>
      </c>
      <c r="R73" s="137"/>
      <c r="S73" s="137"/>
      <c r="T73" s="137"/>
      <c r="U73" s="137"/>
      <c r="V73" s="137"/>
      <c r="X73" s="137" t="s">
        <v>89</v>
      </c>
      <c r="Y73" s="137" t="s">
        <v>89</v>
      </c>
      <c r="Z73" s="137" t="s">
        <v>89</v>
      </c>
      <c r="AA73" s="137" t="s">
        <v>89</v>
      </c>
      <c r="AB73" s="137" t="s">
        <v>89</v>
      </c>
      <c r="AC73" s="137" t="s">
        <v>89</v>
      </c>
      <c r="AD73" s="137" t="s">
        <v>89</v>
      </c>
      <c r="AE73" s="137"/>
      <c r="AF73" s="137"/>
      <c r="AG73" s="137"/>
      <c r="AH73" s="137"/>
      <c r="AI73" s="137"/>
    </row>
    <row r="74" spans="1:35" ht="12.75" customHeight="1">
      <c r="B74" s="8" t="s">
        <v>62</v>
      </c>
      <c r="C74" s="137" t="s">
        <v>89</v>
      </c>
      <c r="D74" s="137"/>
      <c r="E74" s="137"/>
      <c r="F74" s="137"/>
      <c r="H74" s="135"/>
      <c r="I74" s="135"/>
      <c r="J74" s="135"/>
      <c r="K74" s="135"/>
      <c r="L74" s="137" t="s">
        <v>89</v>
      </c>
      <c r="M74" s="137" t="s">
        <v>89</v>
      </c>
      <c r="N74" s="137" t="s">
        <v>89</v>
      </c>
      <c r="O74" s="137" t="s">
        <v>89</v>
      </c>
      <c r="P74" s="137" t="s">
        <v>89</v>
      </c>
      <c r="Q74" s="137" t="s">
        <v>89</v>
      </c>
      <c r="R74" s="137"/>
      <c r="S74" s="137"/>
      <c r="T74" s="137"/>
      <c r="U74" s="137"/>
      <c r="V74" s="137"/>
      <c r="X74" s="137" t="s">
        <v>89</v>
      </c>
      <c r="Y74" s="137" t="s">
        <v>89</v>
      </c>
      <c r="Z74" s="137" t="s">
        <v>89</v>
      </c>
      <c r="AA74" s="137" t="s">
        <v>89</v>
      </c>
      <c r="AB74" s="137" t="s">
        <v>89</v>
      </c>
      <c r="AC74" s="137" t="s">
        <v>89</v>
      </c>
      <c r="AD74" s="137" t="s">
        <v>89</v>
      </c>
      <c r="AE74" s="137"/>
      <c r="AF74" s="137"/>
      <c r="AG74" s="137"/>
      <c r="AH74" s="137"/>
      <c r="AI74" s="137"/>
    </row>
    <row r="75" spans="1:35" ht="12.75" customHeight="1">
      <c r="B75" s="8" t="s">
        <v>63</v>
      </c>
      <c r="C75" s="137" t="s">
        <v>89</v>
      </c>
      <c r="D75" s="137"/>
      <c r="E75" s="137"/>
      <c r="F75" s="137"/>
      <c r="H75" s="135"/>
      <c r="I75" s="135"/>
      <c r="J75" s="135"/>
      <c r="K75" s="135"/>
      <c r="L75" s="137" t="s">
        <v>89</v>
      </c>
      <c r="M75" s="137" t="s">
        <v>89</v>
      </c>
      <c r="N75" s="137" t="s">
        <v>89</v>
      </c>
      <c r="O75" s="137" t="s">
        <v>89</v>
      </c>
      <c r="P75" s="137" t="s">
        <v>89</v>
      </c>
      <c r="Q75" s="137" t="s">
        <v>89</v>
      </c>
      <c r="R75" s="137"/>
      <c r="S75" s="137"/>
      <c r="T75" s="137"/>
      <c r="U75" s="137"/>
      <c r="V75" s="137"/>
      <c r="X75" s="137" t="s">
        <v>89</v>
      </c>
      <c r="Y75" s="137" t="s">
        <v>89</v>
      </c>
      <c r="Z75" s="137" t="s">
        <v>89</v>
      </c>
      <c r="AA75" s="137" t="s">
        <v>89</v>
      </c>
      <c r="AB75" s="137" t="s">
        <v>89</v>
      </c>
      <c r="AC75" s="137" t="s">
        <v>89</v>
      </c>
      <c r="AD75" s="137" t="s">
        <v>89</v>
      </c>
      <c r="AE75" s="137"/>
      <c r="AF75" s="137"/>
      <c r="AG75" s="137"/>
      <c r="AH75" s="137"/>
      <c r="AI75" s="137"/>
    </row>
    <row r="76" spans="1:35" ht="12.75" customHeight="1">
      <c r="B76" s="8" t="s">
        <v>64</v>
      </c>
      <c r="C76" s="137" t="s">
        <v>89</v>
      </c>
      <c r="D76" s="137"/>
      <c r="E76" s="137"/>
      <c r="F76" s="137"/>
      <c r="H76" s="135"/>
      <c r="I76" s="135"/>
      <c r="J76" s="135"/>
      <c r="K76" s="135"/>
      <c r="L76" s="137" t="s">
        <v>89</v>
      </c>
      <c r="M76" s="137" t="s">
        <v>89</v>
      </c>
      <c r="N76" s="137" t="s">
        <v>89</v>
      </c>
      <c r="O76" s="137" t="s">
        <v>89</v>
      </c>
      <c r="P76" s="137" t="s">
        <v>89</v>
      </c>
      <c r="Q76" s="137" t="s">
        <v>89</v>
      </c>
      <c r="R76" s="137"/>
      <c r="S76" s="137"/>
      <c r="T76" s="137"/>
      <c r="U76" s="137"/>
      <c r="V76" s="137"/>
      <c r="X76" s="137" t="s">
        <v>89</v>
      </c>
      <c r="Y76" s="137" t="s">
        <v>89</v>
      </c>
      <c r="Z76" s="137" t="s">
        <v>89</v>
      </c>
      <c r="AA76" s="137" t="s">
        <v>89</v>
      </c>
      <c r="AB76" s="137" t="s">
        <v>89</v>
      </c>
      <c r="AC76" s="137" t="s">
        <v>89</v>
      </c>
      <c r="AD76" s="137" t="s">
        <v>89</v>
      </c>
      <c r="AE76" s="137"/>
      <c r="AF76" s="137"/>
      <c r="AG76" s="137"/>
      <c r="AH76" s="137"/>
      <c r="AI76" s="137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2025-11-08T08:05:16Z</dcterms:modified>
</cp:coreProperties>
</file>