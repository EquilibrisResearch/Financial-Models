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59F3B2A3-8B4C-42C4-BEED-3DD932D389F5}" xr6:coauthVersionLast="47" xr6:coauthVersionMax="47" xr10:uidLastSave="{00000000-0000-0000-0000-000000000000}"/>
  <bookViews>
    <workbookView xWindow="-120" yWindow="-120" windowWidth="29040" windowHeight="15840" activeTab="2" xr2:uid="{BC9106CE-9107-4097-8948-317996376CB5}"/>
  </bookViews>
  <sheets>
    <sheet name="Historical Financials" sheetId="8" r:id="rId1"/>
    <sheet name="Revenue Drivers" sheetId="10" r:id="rId2"/>
    <sheet name="FCF" sheetId="11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" i="11" l="1"/>
  <c r="K71" i="11"/>
  <c r="O71" i="11"/>
  <c r="S71" i="11"/>
  <c r="V71" i="11"/>
  <c r="W71" i="11"/>
  <c r="X71" i="11"/>
  <c r="Y71" i="11"/>
  <c r="Z71" i="11"/>
  <c r="AA71" i="11"/>
  <c r="AB71" i="11"/>
  <c r="AC71" i="11"/>
  <c r="AD71" i="11"/>
  <c r="AE71" i="11"/>
  <c r="T72" i="11"/>
  <c r="S72" i="11"/>
  <c r="O72" i="11"/>
  <c r="K72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T44" i="11"/>
  <c r="S44" i="11"/>
  <c r="R44" i="11"/>
  <c r="Q44" i="11"/>
  <c r="P44" i="11"/>
  <c r="O44" i="11"/>
  <c r="N44" i="11"/>
  <c r="M44" i="11"/>
  <c r="AA44" i="11" s="1"/>
  <c r="L44" i="11"/>
  <c r="K44" i="11"/>
  <c r="J44" i="11"/>
  <c r="I44" i="11"/>
  <c r="H45" i="11"/>
  <c r="H44" i="11"/>
  <c r="F45" i="11"/>
  <c r="E45" i="11"/>
  <c r="D45" i="11"/>
  <c r="F44" i="11"/>
  <c r="E44" i="11"/>
  <c r="D44" i="11"/>
  <c r="C45" i="11"/>
  <c r="C44" i="11"/>
  <c r="T43" i="11"/>
  <c r="S43" i="11"/>
  <c r="R43" i="11"/>
  <c r="Q43" i="11"/>
  <c r="P43" i="11"/>
  <c r="O43" i="11"/>
  <c r="N43" i="11"/>
  <c r="M43" i="11"/>
  <c r="L43" i="11"/>
  <c r="K43" i="11"/>
  <c r="X43" i="11" s="1"/>
  <c r="J43" i="11"/>
  <c r="I43" i="11"/>
  <c r="H43" i="11"/>
  <c r="F43" i="11"/>
  <c r="E43" i="11"/>
  <c r="D43" i="11"/>
  <c r="C43" i="11"/>
  <c r="W45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F42" i="11"/>
  <c r="E42" i="11"/>
  <c r="D42" i="11"/>
  <c r="C42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F40" i="11"/>
  <c r="E40" i="11"/>
  <c r="D40" i="11"/>
  <c r="C40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F41" i="11"/>
  <c r="E41" i="11"/>
  <c r="D41" i="11"/>
  <c r="C41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F39" i="11"/>
  <c r="E39" i="11"/>
  <c r="D39" i="11"/>
  <c r="C39" i="11"/>
  <c r="Q120" i="8"/>
  <c r="M120" i="8"/>
  <c r="I120" i="8"/>
  <c r="Q119" i="8"/>
  <c r="M119" i="8"/>
  <c r="I119" i="8"/>
  <c r="T62" i="11"/>
  <c r="AE62" i="11" s="1"/>
  <c r="R62" i="11"/>
  <c r="AC62" i="11" s="1"/>
  <c r="Q62" i="11"/>
  <c r="AB62" i="11" s="1"/>
  <c r="P62" i="11"/>
  <c r="AA62" i="11" s="1"/>
  <c r="N62" i="11"/>
  <c r="Y62" i="11" s="1"/>
  <c r="M62" i="11"/>
  <c r="X62" i="11" s="1"/>
  <c r="L62" i="11"/>
  <c r="W62" i="11" s="1"/>
  <c r="J62" i="11"/>
  <c r="I62" i="11"/>
  <c r="T61" i="11"/>
  <c r="AE61" i="11" s="1"/>
  <c r="R61" i="11"/>
  <c r="AC61" i="11" s="1"/>
  <c r="Q61" i="11"/>
  <c r="AB61" i="11" s="1"/>
  <c r="P61" i="11"/>
  <c r="AA61" i="11" s="1"/>
  <c r="N61" i="11"/>
  <c r="Y61" i="11" s="1"/>
  <c r="M61" i="11"/>
  <c r="X61" i="11" s="1"/>
  <c r="L61" i="11"/>
  <c r="W61" i="11" s="1"/>
  <c r="J61" i="11"/>
  <c r="I61" i="11"/>
  <c r="T60" i="11"/>
  <c r="AE60" i="11" s="1"/>
  <c r="R60" i="11"/>
  <c r="AC60" i="11" s="1"/>
  <c r="Q60" i="11"/>
  <c r="AB60" i="11" s="1"/>
  <c r="P60" i="11"/>
  <c r="AA60" i="11" s="1"/>
  <c r="N60" i="11"/>
  <c r="Y60" i="11" s="1"/>
  <c r="M60" i="11"/>
  <c r="X60" i="11" s="1"/>
  <c r="L60" i="11"/>
  <c r="W60" i="11" s="1"/>
  <c r="J60" i="11"/>
  <c r="I60" i="11"/>
  <c r="T59" i="11"/>
  <c r="AE59" i="11" s="1"/>
  <c r="R59" i="11"/>
  <c r="AC59" i="11" s="1"/>
  <c r="Q59" i="11"/>
  <c r="AB59" i="11" s="1"/>
  <c r="P59" i="11"/>
  <c r="AA59" i="11" s="1"/>
  <c r="N59" i="11"/>
  <c r="Y59" i="11" s="1"/>
  <c r="M59" i="11"/>
  <c r="X59" i="11" s="1"/>
  <c r="L59" i="11"/>
  <c r="W59" i="11" s="1"/>
  <c r="J59" i="11"/>
  <c r="I59" i="11"/>
  <c r="T58" i="11"/>
  <c r="AE58" i="11" s="1"/>
  <c r="R58" i="11"/>
  <c r="AC58" i="11" s="1"/>
  <c r="Q58" i="11"/>
  <c r="AB58" i="11" s="1"/>
  <c r="P58" i="11"/>
  <c r="AA58" i="11" s="1"/>
  <c r="N58" i="11"/>
  <c r="Y58" i="11" s="1"/>
  <c r="M58" i="11"/>
  <c r="X58" i="11" s="1"/>
  <c r="L58" i="11"/>
  <c r="W58" i="11" s="1"/>
  <c r="J58" i="11"/>
  <c r="I58" i="11"/>
  <c r="H62" i="11"/>
  <c r="H61" i="11"/>
  <c r="H60" i="11"/>
  <c r="H59" i="11"/>
  <c r="H58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F58" i="11"/>
  <c r="E58" i="11"/>
  <c r="D58" i="11"/>
  <c r="C62" i="11"/>
  <c r="C61" i="11"/>
  <c r="C60" i="11"/>
  <c r="C59" i="11"/>
  <c r="C58" i="11"/>
  <c r="B64" i="11"/>
  <c r="B63" i="11"/>
  <c r="B62" i="11"/>
  <c r="B61" i="11"/>
  <c r="T68" i="11"/>
  <c r="AE68" i="11" s="1"/>
  <c r="R68" i="11"/>
  <c r="AC68" i="11" s="1"/>
  <c r="Q68" i="11"/>
  <c r="Q70" i="11" s="1"/>
  <c r="AB70" i="11" s="1"/>
  <c r="P68" i="11"/>
  <c r="P70" i="11" s="1"/>
  <c r="AA70" i="11" s="1"/>
  <c r="N68" i="11"/>
  <c r="Y68" i="11" s="1"/>
  <c r="M68" i="11"/>
  <c r="X68" i="11" s="1"/>
  <c r="L68" i="11"/>
  <c r="W68" i="11" s="1"/>
  <c r="J68" i="11"/>
  <c r="J70" i="11" s="1"/>
  <c r="J73" i="11" s="1"/>
  <c r="I68" i="11"/>
  <c r="I70" i="11" s="1"/>
  <c r="H68" i="11"/>
  <c r="H70" i="11" s="1"/>
  <c r="H73" i="11" s="1"/>
  <c r="F68" i="11"/>
  <c r="F70" i="11" s="1"/>
  <c r="F73" i="11" s="1"/>
  <c r="E68" i="11"/>
  <c r="E70" i="11" s="1"/>
  <c r="E73" i="11" s="1"/>
  <c r="D68" i="11"/>
  <c r="D70" i="11" s="1"/>
  <c r="D73" i="11" s="1"/>
  <c r="C68" i="11"/>
  <c r="C70" i="11" s="1"/>
  <c r="C73" i="11" s="1"/>
  <c r="T52" i="11"/>
  <c r="AE52" i="11" s="1"/>
  <c r="R52" i="11"/>
  <c r="AC52" i="11" s="1"/>
  <c r="Q52" i="11"/>
  <c r="AB52" i="11" s="1"/>
  <c r="P52" i="11"/>
  <c r="AA52" i="11" s="1"/>
  <c r="N52" i="11"/>
  <c r="Y52" i="11" s="1"/>
  <c r="M52" i="11"/>
  <c r="X52" i="11" s="1"/>
  <c r="L52" i="11"/>
  <c r="W52" i="11" s="1"/>
  <c r="J52" i="11"/>
  <c r="I52" i="11"/>
  <c r="H52" i="11"/>
  <c r="B59" i="11"/>
  <c r="F52" i="11"/>
  <c r="E52" i="11"/>
  <c r="D52" i="11"/>
  <c r="C52" i="11"/>
  <c r="B60" i="11"/>
  <c r="B58" i="11"/>
  <c r="T53" i="11"/>
  <c r="AE53" i="11" s="1"/>
  <c r="R53" i="11"/>
  <c r="AC53" i="11" s="1"/>
  <c r="Q53" i="11"/>
  <c r="AB53" i="11" s="1"/>
  <c r="P53" i="11"/>
  <c r="AA53" i="11" s="1"/>
  <c r="N53" i="11"/>
  <c r="Y53" i="11" s="1"/>
  <c r="M53" i="11"/>
  <c r="X53" i="11" s="1"/>
  <c r="L53" i="11"/>
  <c r="W53" i="11" s="1"/>
  <c r="J53" i="11"/>
  <c r="I53" i="11"/>
  <c r="T51" i="11"/>
  <c r="AE51" i="11" s="1"/>
  <c r="R51" i="11"/>
  <c r="AC51" i="11" s="1"/>
  <c r="Q51" i="11"/>
  <c r="AB51" i="11" s="1"/>
  <c r="P51" i="11"/>
  <c r="AA51" i="11" s="1"/>
  <c r="N51" i="11"/>
  <c r="Y51" i="11" s="1"/>
  <c r="M51" i="11"/>
  <c r="X51" i="11" s="1"/>
  <c r="L51" i="11"/>
  <c r="W51" i="11" s="1"/>
  <c r="J51" i="11"/>
  <c r="I51" i="11"/>
  <c r="H53" i="11"/>
  <c r="H51" i="11"/>
  <c r="F53" i="11"/>
  <c r="E53" i="11"/>
  <c r="D53" i="11"/>
  <c r="F51" i="11"/>
  <c r="E51" i="11"/>
  <c r="D51" i="11"/>
  <c r="C53" i="11"/>
  <c r="C51" i="11"/>
  <c r="B53" i="11"/>
  <c r="B52" i="11"/>
  <c r="B51" i="11"/>
  <c r="T34" i="11"/>
  <c r="P34" i="11"/>
  <c r="L34" i="11"/>
  <c r="T33" i="11"/>
  <c r="P33" i="11"/>
  <c r="L33" i="11"/>
  <c r="T32" i="11"/>
  <c r="P32" i="11"/>
  <c r="L32" i="11"/>
  <c r="H34" i="11"/>
  <c r="H33" i="11"/>
  <c r="H32" i="11"/>
  <c r="T36" i="11"/>
  <c r="P36" i="11"/>
  <c r="L36" i="11"/>
  <c r="H36" i="11"/>
  <c r="E36" i="11"/>
  <c r="D36" i="11"/>
  <c r="C36" i="11"/>
  <c r="F36" i="11"/>
  <c r="E34" i="11"/>
  <c r="D34" i="11"/>
  <c r="C34" i="11"/>
  <c r="E33" i="11"/>
  <c r="D33" i="11"/>
  <c r="C33" i="11"/>
  <c r="F34" i="11"/>
  <c r="F33" i="11"/>
  <c r="E32" i="11"/>
  <c r="D32" i="11"/>
  <c r="C32" i="11"/>
  <c r="F32" i="11"/>
  <c r="T28" i="11"/>
  <c r="P28" i="11"/>
  <c r="L28" i="11"/>
  <c r="T27" i="11"/>
  <c r="P27" i="11"/>
  <c r="L27" i="11"/>
  <c r="H28" i="11"/>
  <c r="H27" i="11"/>
  <c r="E28" i="11"/>
  <c r="D28" i="11"/>
  <c r="C28" i="11"/>
  <c r="E27" i="11"/>
  <c r="D27" i="11"/>
  <c r="C27" i="11"/>
  <c r="F28" i="11"/>
  <c r="F27" i="11"/>
  <c r="T23" i="11"/>
  <c r="P23" i="11"/>
  <c r="L23" i="11"/>
  <c r="H23" i="11"/>
  <c r="E23" i="11"/>
  <c r="D23" i="11"/>
  <c r="C23" i="11"/>
  <c r="F23" i="11"/>
  <c r="T19" i="11"/>
  <c r="R19" i="11"/>
  <c r="Q19" i="11"/>
  <c r="P19" i="11"/>
  <c r="N19" i="11"/>
  <c r="M19" i="11"/>
  <c r="L19" i="11"/>
  <c r="J19" i="11"/>
  <c r="I19" i="11"/>
  <c r="T18" i="11"/>
  <c r="R18" i="11"/>
  <c r="Q18" i="11"/>
  <c r="P18" i="11"/>
  <c r="N18" i="11"/>
  <c r="M18" i="11"/>
  <c r="L18" i="11"/>
  <c r="J18" i="11"/>
  <c r="I18" i="11"/>
  <c r="T17" i="11"/>
  <c r="R17" i="11"/>
  <c r="Q17" i="11"/>
  <c r="P17" i="11"/>
  <c r="N17" i="11"/>
  <c r="M17" i="11"/>
  <c r="L17" i="11"/>
  <c r="J17" i="11"/>
  <c r="I17" i="11"/>
  <c r="T13" i="11"/>
  <c r="R13" i="11"/>
  <c r="Q13" i="11"/>
  <c r="P13" i="11"/>
  <c r="N13" i="11"/>
  <c r="M13" i="11"/>
  <c r="L13" i="11"/>
  <c r="J13" i="11"/>
  <c r="I13" i="11"/>
  <c r="T12" i="11"/>
  <c r="R12" i="11"/>
  <c r="Q12" i="11"/>
  <c r="P12" i="11"/>
  <c r="N12" i="11"/>
  <c r="M12" i="11"/>
  <c r="L12" i="11"/>
  <c r="J12" i="11"/>
  <c r="I12" i="11"/>
  <c r="H19" i="11"/>
  <c r="H18" i="11"/>
  <c r="H17" i="11"/>
  <c r="H13" i="11"/>
  <c r="H12" i="11"/>
  <c r="E13" i="11"/>
  <c r="D13" i="11"/>
  <c r="C13" i="11"/>
  <c r="E12" i="11"/>
  <c r="D12" i="11"/>
  <c r="C12" i="11"/>
  <c r="F13" i="11"/>
  <c r="F12" i="11"/>
  <c r="E19" i="11"/>
  <c r="D19" i="11"/>
  <c r="C19" i="11"/>
  <c r="E18" i="11"/>
  <c r="D18" i="11"/>
  <c r="C18" i="11"/>
  <c r="E17" i="11"/>
  <c r="D17" i="11"/>
  <c r="C17" i="11"/>
  <c r="F19" i="11"/>
  <c r="F18" i="11"/>
  <c r="F17" i="11"/>
  <c r="T7" i="11"/>
  <c r="S7" i="11"/>
  <c r="R7" i="11"/>
  <c r="Q7" i="11"/>
  <c r="P7" i="11"/>
  <c r="O7" i="11"/>
  <c r="N7" i="11"/>
  <c r="M7" i="11"/>
  <c r="L7" i="11"/>
  <c r="K7" i="11"/>
  <c r="J7" i="11"/>
  <c r="I7" i="11"/>
  <c r="T6" i="11"/>
  <c r="S6" i="11"/>
  <c r="R6" i="11"/>
  <c r="Q6" i="11"/>
  <c r="P6" i="11"/>
  <c r="O6" i="11"/>
  <c r="N6" i="11"/>
  <c r="M6" i="11"/>
  <c r="L6" i="11"/>
  <c r="K6" i="11"/>
  <c r="J6" i="11"/>
  <c r="I6" i="11"/>
  <c r="H7" i="11"/>
  <c r="H6" i="11"/>
  <c r="E7" i="11"/>
  <c r="D7" i="11"/>
  <c r="C7" i="11"/>
  <c r="E6" i="11"/>
  <c r="D6" i="11"/>
  <c r="C6" i="11"/>
  <c r="F7" i="11"/>
  <c r="F6" i="11"/>
  <c r="B7" i="11"/>
  <c r="B6" i="11"/>
  <c r="B2" i="10"/>
  <c r="Q148" i="8"/>
  <c r="Q33" i="11" s="1"/>
  <c r="Q147" i="8"/>
  <c r="R147" i="8" s="1"/>
  <c r="M148" i="8"/>
  <c r="M33" i="11" s="1"/>
  <c r="M147" i="8"/>
  <c r="M34" i="11" s="1"/>
  <c r="I148" i="8"/>
  <c r="I33" i="11" s="1"/>
  <c r="I147" i="8"/>
  <c r="J147" i="8" s="1"/>
  <c r="J34" i="11" s="1"/>
  <c r="S140" i="8"/>
  <c r="AD140" i="8" s="1"/>
  <c r="AE136" i="8" s="1"/>
  <c r="O140" i="8"/>
  <c r="K140" i="8"/>
  <c r="V140" i="8" s="1"/>
  <c r="W136" i="8" s="1"/>
  <c r="Q117" i="8"/>
  <c r="Q139" i="8"/>
  <c r="AB139" i="8" s="1"/>
  <c r="M139" i="8"/>
  <c r="I139" i="8"/>
  <c r="J139" i="8" s="1"/>
  <c r="Q128" i="8"/>
  <c r="Q129" i="8"/>
  <c r="R129" i="8" s="1"/>
  <c r="S129" i="8" s="1"/>
  <c r="AD129" i="8" s="1"/>
  <c r="Q130" i="8"/>
  <c r="R130" i="8" s="1"/>
  <c r="S130" i="8" s="1"/>
  <c r="AD130" i="8" s="1"/>
  <c r="M128" i="8"/>
  <c r="N128" i="8" s="1"/>
  <c r="O128" i="8" s="1"/>
  <c r="M129" i="8"/>
  <c r="N129" i="8" s="1"/>
  <c r="O129" i="8" s="1"/>
  <c r="AC129" i="8" s="1"/>
  <c r="M130" i="8"/>
  <c r="N130" i="8" s="1"/>
  <c r="O130" i="8" s="1"/>
  <c r="M131" i="8"/>
  <c r="N131" i="8" s="1"/>
  <c r="O131" i="8" s="1"/>
  <c r="Z131" i="8" s="1"/>
  <c r="J129" i="8"/>
  <c r="K129" i="8" s="1"/>
  <c r="V129" i="8" s="1"/>
  <c r="I128" i="8"/>
  <c r="J128" i="8" s="1"/>
  <c r="K128" i="8" s="1"/>
  <c r="I130" i="8"/>
  <c r="J130" i="8" s="1"/>
  <c r="K130" i="8" s="1"/>
  <c r="R117" i="8"/>
  <c r="S117" i="8" s="1"/>
  <c r="AE117" i="8" s="1"/>
  <c r="Q114" i="8"/>
  <c r="R114" i="8" s="1"/>
  <c r="Q115" i="8"/>
  <c r="R115" i="8" s="1"/>
  <c r="S115" i="8" s="1"/>
  <c r="AE115" i="8" s="1"/>
  <c r="Q116" i="8"/>
  <c r="R116" i="8" s="1"/>
  <c r="S116" i="8" s="1"/>
  <c r="AE116" i="8" s="1"/>
  <c r="Q118" i="8"/>
  <c r="R118" i="8" s="1"/>
  <c r="Q121" i="8"/>
  <c r="R121" i="8" s="1"/>
  <c r="S121" i="8" s="1"/>
  <c r="AD121" i="8" s="1"/>
  <c r="Q122" i="8"/>
  <c r="R122" i="8" s="1"/>
  <c r="S122" i="8" s="1"/>
  <c r="AE122" i="8" s="1"/>
  <c r="Q123" i="8"/>
  <c r="R123" i="8" s="1"/>
  <c r="S123" i="8" s="1"/>
  <c r="AE123" i="8" s="1"/>
  <c r="N122" i="8"/>
  <c r="O122" i="8" s="1"/>
  <c r="N121" i="8"/>
  <c r="N118" i="8"/>
  <c r="O118" i="8" s="1"/>
  <c r="M114" i="8"/>
  <c r="N114" i="8" s="1"/>
  <c r="M115" i="8"/>
  <c r="N115" i="8" s="1"/>
  <c r="O115" i="8" s="1"/>
  <c r="Z115" i="8" s="1"/>
  <c r="M116" i="8"/>
  <c r="M117" i="8"/>
  <c r="N117" i="8" s="1"/>
  <c r="O117" i="8" s="1"/>
  <c r="M123" i="8"/>
  <c r="N123" i="8" s="1"/>
  <c r="O123" i="8" s="1"/>
  <c r="J116" i="8"/>
  <c r="K116" i="8" s="1"/>
  <c r="J115" i="8"/>
  <c r="I123" i="8"/>
  <c r="J123" i="8" s="1"/>
  <c r="I117" i="8"/>
  <c r="J117" i="8" s="1"/>
  <c r="K117" i="8" s="1"/>
  <c r="I114" i="8"/>
  <c r="J114" i="8" s="1"/>
  <c r="Q98" i="8"/>
  <c r="Q23" i="11" s="1"/>
  <c r="Q99" i="8"/>
  <c r="R99" i="8" s="1"/>
  <c r="Q100" i="8"/>
  <c r="Q101" i="8"/>
  <c r="R101" i="8" s="1"/>
  <c r="S101" i="8" s="1"/>
  <c r="AE101" i="8" s="1"/>
  <c r="Q102" i="8"/>
  <c r="R102" i="8" s="1"/>
  <c r="S102" i="8" s="1"/>
  <c r="AE102" i="8" s="1"/>
  <c r="Q105" i="8"/>
  <c r="Q106" i="8"/>
  <c r="R106" i="8" s="1"/>
  <c r="S106" i="8" s="1"/>
  <c r="AD106" i="8" s="1"/>
  <c r="Q107" i="8"/>
  <c r="R107" i="8" s="1"/>
  <c r="S107" i="8" s="1"/>
  <c r="AE107" i="8" s="1"/>
  <c r="Q108" i="8"/>
  <c r="R108" i="8" s="1"/>
  <c r="Q109" i="8"/>
  <c r="R109" i="8" s="1"/>
  <c r="S109" i="8" s="1"/>
  <c r="AE109" i="8" s="1"/>
  <c r="Q110" i="8"/>
  <c r="R110" i="8" s="1"/>
  <c r="N101" i="8"/>
  <c r="O101" i="8" s="1"/>
  <c r="AB101" i="8" s="1"/>
  <c r="M98" i="8"/>
  <c r="N98" i="8" s="1"/>
  <c r="N23" i="11" s="1"/>
  <c r="M99" i="8"/>
  <c r="N99" i="8" s="1"/>
  <c r="M100" i="8"/>
  <c r="M27" i="11" s="1"/>
  <c r="M101" i="8"/>
  <c r="M102" i="8"/>
  <c r="M105" i="8"/>
  <c r="N105" i="8" s="1"/>
  <c r="M106" i="8"/>
  <c r="N106" i="8" s="1"/>
  <c r="O106" i="8" s="1"/>
  <c r="M107" i="8"/>
  <c r="N107" i="8" s="1"/>
  <c r="O107" i="8" s="1"/>
  <c r="M108" i="8"/>
  <c r="N108" i="8" s="1"/>
  <c r="O108" i="8" s="1"/>
  <c r="Z108" i="8" s="1"/>
  <c r="M109" i="8"/>
  <c r="N109" i="8" s="1"/>
  <c r="O109" i="8" s="1"/>
  <c r="M110" i="8"/>
  <c r="N110" i="8" s="1"/>
  <c r="O110" i="8" s="1"/>
  <c r="I98" i="8"/>
  <c r="I23" i="11" s="1"/>
  <c r="I99" i="8"/>
  <c r="I28" i="11" s="1"/>
  <c r="I100" i="8"/>
  <c r="I27" i="11" s="1"/>
  <c r="I101" i="8"/>
  <c r="J101" i="8" s="1"/>
  <c r="K101" i="8" s="1"/>
  <c r="I102" i="8"/>
  <c r="J102" i="8" s="1"/>
  <c r="K102" i="8" s="1"/>
  <c r="I105" i="8"/>
  <c r="I106" i="8"/>
  <c r="J106" i="8" s="1"/>
  <c r="I107" i="8"/>
  <c r="J107" i="8" s="1"/>
  <c r="K107" i="8" s="1"/>
  <c r="I108" i="8"/>
  <c r="J108" i="8" s="1"/>
  <c r="K108" i="8" s="1"/>
  <c r="I109" i="8"/>
  <c r="J109" i="8" s="1"/>
  <c r="K109" i="8" s="1"/>
  <c r="I110" i="8"/>
  <c r="J110" i="8" s="1"/>
  <c r="K110" i="8" s="1"/>
  <c r="V110" i="8" s="1"/>
  <c r="K122" i="8"/>
  <c r="X122" i="8" s="1"/>
  <c r="O121" i="8"/>
  <c r="K121" i="8"/>
  <c r="V121" i="8" s="1"/>
  <c r="K118" i="8"/>
  <c r="AE82" i="8"/>
  <c r="AC82" i="8"/>
  <c r="AB82" i="8"/>
  <c r="AA82" i="8"/>
  <c r="Y82" i="8"/>
  <c r="X82" i="8"/>
  <c r="W82" i="8"/>
  <c r="S82" i="8"/>
  <c r="AD82" i="8" s="1"/>
  <c r="O82" i="8"/>
  <c r="Z82" i="8" s="1"/>
  <c r="K82" i="8"/>
  <c r="V82" i="8" s="1"/>
  <c r="AE81" i="8"/>
  <c r="AC81" i="8"/>
  <c r="AB81" i="8"/>
  <c r="AA81" i="8"/>
  <c r="Y81" i="8"/>
  <c r="X81" i="8"/>
  <c r="W81" i="8"/>
  <c r="S81" i="8"/>
  <c r="AD81" i="8" s="1"/>
  <c r="O81" i="8"/>
  <c r="Z81" i="8" s="1"/>
  <c r="K81" i="8"/>
  <c r="V81" i="8" s="1"/>
  <c r="AE60" i="8"/>
  <c r="AC60" i="8"/>
  <c r="AB60" i="8"/>
  <c r="AA60" i="8"/>
  <c r="Y60" i="8"/>
  <c r="X60" i="8"/>
  <c r="W60" i="8"/>
  <c r="S60" i="8"/>
  <c r="AD60" i="8" s="1"/>
  <c r="O60" i="8"/>
  <c r="Z60" i="8" s="1"/>
  <c r="K60" i="8"/>
  <c r="V60" i="8" s="1"/>
  <c r="AE59" i="8"/>
  <c r="AC59" i="8"/>
  <c r="AB59" i="8"/>
  <c r="AA59" i="8"/>
  <c r="Y59" i="8"/>
  <c r="X59" i="8"/>
  <c r="W59" i="8"/>
  <c r="S59" i="8"/>
  <c r="AD59" i="8" s="1"/>
  <c r="O59" i="8"/>
  <c r="Z59" i="8" s="1"/>
  <c r="K59" i="8"/>
  <c r="V59" i="8" s="1"/>
  <c r="AE58" i="8"/>
  <c r="AC58" i="8"/>
  <c r="AB58" i="8"/>
  <c r="AA58" i="8"/>
  <c r="Y58" i="8"/>
  <c r="X58" i="8"/>
  <c r="W58" i="8"/>
  <c r="S58" i="8"/>
  <c r="AD58" i="8" s="1"/>
  <c r="O58" i="8"/>
  <c r="Z58" i="8" s="1"/>
  <c r="K58" i="8"/>
  <c r="V58" i="8" s="1"/>
  <c r="AE57" i="8"/>
  <c r="AC57" i="8"/>
  <c r="AB57" i="8"/>
  <c r="AA57" i="8"/>
  <c r="Y57" i="8"/>
  <c r="X57" i="8"/>
  <c r="W57" i="8"/>
  <c r="S57" i="8"/>
  <c r="AD57" i="8" s="1"/>
  <c r="O57" i="8"/>
  <c r="Z57" i="8" s="1"/>
  <c r="K57" i="8"/>
  <c r="V57" i="8" s="1"/>
  <c r="AE48" i="8"/>
  <c r="AC48" i="8"/>
  <c r="AB48" i="8"/>
  <c r="AA48" i="8"/>
  <c r="Y48" i="8"/>
  <c r="X48" i="8"/>
  <c r="W48" i="8"/>
  <c r="S48" i="8"/>
  <c r="AD48" i="8" s="1"/>
  <c r="O48" i="8"/>
  <c r="Z48" i="8" s="1"/>
  <c r="K48" i="8"/>
  <c r="V48" i="8" s="1"/>
  <c r="AE47" i="8"/>
  <c r="AC47" i="8"/>
  <c r="AB47" i="8"/>
  <c r="AA47" i="8"/>
  <c r="Y47" i="8"/>
  <c r="X47" i="8"/>
  <c r="W47" i="8"/>
  <c r="S47" i="8"/>
  <c r="AD47" i="8" s="1"/>
  <c r="O47" i="8"/>
  <c r="Z47" i="8" s="1"/>
  <c r="K47" i="8"/>
  <c r="V47" i="8" s="1"/>
  <c r="AE46" i="8"/>
  <c r="AC46" i="8"/>
  <c r="AB46" i="8"/>
  <c r="AA46" i="8"/>
  <c r="Y46" i="8"/>
  <c r="X46" i="8"/>
  <c r="W46" i="8"/>
  <c r="S46" i="8"/>
  <c r="AD46" i="8" s="1"/>
  <c r="O46" i="8"/>
  <c r="Z46" i="8" s="1"/>
  <c r="K46" i="8"/>
  <c r="V46" i="8" s="1"/>
  <c r="S14" i="8"/>
  <c r="AE14" i="8" s="1"/>
  <c r="O14" i="8"/>
  <c r="AC14" i="8" s="1"/>
  <c r="K14" i="8"/>
  <c r="X14" i="8" s="1"/>
  <c r="AE35" i="11"/>
  <c r="AD35" i="11"/>
  <c r="AC35" i="11"/>
  <c r="AB35" i="11"/>
  <c r="AA35" i="11"/>
  <c r="Z35" i="11"/>
  <c r="Y35" i="11"/>
  <c r="X35" i="11"/>
  <c r="W35" i="11"/>
  <c r="V35" i="11"/>
  <c r="K54" i="11"/>
  <c r="V54" i="11" s="1"/>
  <c r="O54" i="11"/>
  <c r="Z54" i="11" s="1"/>
  <c r="S54" i="11"/>
  <c r="AD54" i="11" s="1"/>
  <c r="AC72" i="11"/>
  <c r="AB72" i="11"/>
  <c r="AA72" i="11"/>
  <c r="Y72" i="11"/>
  <c r="X72" i="11"/>
  <c r="W72" i="11"/>
  <c r="AE72" i="11"/>
  <c r="AD67" i="11"/>
  <c r="AC67" i="11"/>
  <c r="AB67" i="11"/>
  <c r="AA67" i="11"/>
  <c r="Z67" i="11"/>
  <c r="Y67" i="11"/>
  <c r="X67" i="11"/>
  <c r="W67" i="11"/>
  <c r="V67" i="11"/>
  <c r="AE67" i="11"/>
  <c r="AC54" i="11"/>
  <c r="AB54" i="11"/>
  <c r="AA54" i="11"/>
  <c r="Y54" i="11"/>
  <c r="X54" i="11"/>
  <c r="W54" i="11"/>
  <c r="AE54" i="11"/>
  <c r="AC140" i="8"/>
  <c r="AD136" i="8" s="1"/>
  <c r="AB140" i="8"/>
  <c r="AA140" i="8"/>
  <c r="AB136" i="8" s="1"/>
  <c r="Z140" i="8"/>
  <c r="AA136" i="8" s="1"/>
  <c r="Y140" i="8"/>
  <c r="Z136" i="8" s="1"/>
  <c r="X140" i="8"/>
  <c r="W140" i="8"/>
  <c r="X136" i="8" s="1"/>
  <c r="AA139" i="8"/>
  <c r="W139" i="8"/>
  <c r="AE140" i="8"/>
  <c r="AE139" i="8"/>
  <c r="AE83" i="8"/>
  <c r="AC83" i="8"/>
  <c r="AB83" i="8"/>
  <c r="AA83" i="8"/>
  <c r="Y83" i="8"/>
  <c r="X83" i="8"/>
  <c r="W83" i="8"/>
  <c r="AE80" i="8"/>
  <c r="AC80" i="8"/>
  <c r="AB80" i="8"/>
  <c r="AA80" i="8"/>
  <c r="Y80" i="8"/>
  <c r="X80" i="8"/>
  <c r="W80" i="8"/>
  <c r="AE79" i="8"/>
  <c r="AC79" i="8"/>
  <c r="AB79" i="8"/>
  <c r="AA79" i="8"/>
  <c r="Y79" i="8"/>
  <c r="X79" i="8"/>
  <c r="W79" i="8"/>
  <c r="AE76" i="8"/>
  <c r="AC76" i="8"/>
  <c r="AB76" i="8"/>
  <c r="AA76" i="8"/>
  <c r="Y76" i="8"/>
  <c r="X76" i="8"/>
  <c r="W76" i="8"/>
  <c r="AE75" i="8"/>
  <c r="AC75" i="8"/>
  <c r="AB75" i="8"/>
  <c r="AA75" i="8"/>
  <c r="Y75" i="8"/>
  <c r="X75" i="8"/>
  <c r="W75" i="8"/>
  <c r="AE74" i="8"/>
  <c r="AC74" i="8"/>
  <c r="AB74" i="8"/>
  <c r="AA74" i="8"/>
  <c r="Y74" i="8"/>
  <c r="X74" i="8"/>
  <c r="W74" i="8"/>
  <c r="AE73" i="8"/>
  <c r="AC73" i="8"/>
  <c r="AB73" i="8"/>
  <c r="AA73" i="8"/>
  <c r="Y73" i="8"/>
  <c r="X73" i="8"/>
  <c r="W73" i="8"/>
  <c r="AE69" i="8"/>
  <c r="AC69" i="8"/>
  <c r="AB69" i="8"/>
  <c r="AA69" i="8"/>
  <c r="Y69" i="8"/>
  <c r="X69" i="8"/>
  <c r="W69" i="8"/>
  <c r="AE68" i="8"/>
  <c r="AC68" i="8"/>
  <c r="AB68" i="8"/>
  <c r="AA68" i="8"/>
  <c r="Y68" i="8"/>
  <c r="X68" i="8"/>
  <c r="W68" i="8"/>
  <c r="AE67" i="8"/>
  <c r="AC67" i="8"/>
  <c r="AB67" i="8"/>
  <c r="AA67" i="8"/>
  <c r="Y67" i="8"/>
  <c r="X67" i="8"/>
  <c r="W67" i="8"/>
  <c r="AE66" i="8"/>
  <c r="AC66" i="8"/>
  <c r="AB66" i="8"/>
  <c r="AA66" i="8"/>
  <c r="Y66" i="8"/>
  <c r="X66" i="8"/>
  <c r="W66" i="8"/>
  <c r="AE62" i="8"/>
  <c r="AC62" i="8"/>
  <c r="AB62" i="8"/>
  <c r="AA62" i="8"/>
  <c r="Y62" i="8"/>
  <c r="X62" i="8"/>
  <c r="W62" i="8"/>
  <c r="AE61" i="8"/>
  <c r="AC61" i="8"/>
  <c r="AB61" i="8"/>
  <c r="AA61" i="8"/>
  <c r="Y61" i="8"/>
  <c r="X61" i="8"/>
  <c r="W61" i="8"/>
  <c r="AE56" i="8"/>
  <c r="AC56" i="8"/>
  <c r="AB56" i="8"/>
  <c r="AA56" i="8"/>
  <c r="Y56" i="8"/>
  <c r="X56" i="8"/>
  <c r="W56" i="8"/>
  <c r="AE55" i="8"/>
  <c r="AC55" i="8"/>
  <c r="AB55" i="8"/>
  <c r="AA55" i="8"/>
  <c r="Y55" i="8"/>
  <c r="X55" i="8"/>
  <c r="W55" i="8"/>
  <c r="AE54" i="8"/>
  <c r="AC54" i="8"/>
  <c r="AB54" i="8"/>
  <c r="AA54" i="8"/>
  <c r="Y54" i="8"/>
  <c r="X54" i="8"/>
  <c r="W54" i="8"/>
  <c r="AE53" i="8"/>
  <c r="AC53" i="8"/>
  <c r="AB53" i="8"/>
  <c r="AA53" i="8"/>
  <c r="Y53" i="8"/>
  <c r="X53" i="8"/>
  <c r="W53" i="8"/>
  <c r="AE49" i="8"/>
  <c r="AC49" i="8"/>
  <c r="AB49" i="8"/>
  <c r="AA49" i="8"/>
  <c r="Y49" i="8"/>
  <c r="X49" i="8"/>
  <c r="W49" i="8"/>
  <c r="AE45" i="8"/>
  <c r="AC45" i="8"/>
  <c r="AB45" i="8"/>
  <c r="AA45" i="8"/>
  <c r="Y45" i="8"/>
  <c r="X45" i="8"/>
  <c r="W45" i="8"/>
  <c r="AE44" i="8"/>
  <c r="AC44" i="8"/>
  <c r="AB44" i="8"/>
  <c r="AA44" i="8"/>
  <c r="Y44" i="8"/>
  <c r="X44" i="8"/>
  <c r="W44" i="8"/>
  <c r="AE36" i="8"/>
  <c r="AC36" i="8"/>
  <c r="AB36" i="8"/>
  <c r="AA36" i="8"/>
  <c r="Y36" i="8"/>
  <c r="X36" i="8"/>
  <c r="W36" i="8"/>
  <c r="AC33" i="8"/>
  <c r="AB33" i="8"/>
  <c r="AA33" i="8"/>
  <c r="Y33" i="8"/>
  <c r="X33" i="8"/>
  <c r="W33" i="8"/>
  <c r="AE33" i="8"/>
  <c r="AC8" i="8"/>
  <c r="AB8" i="8"/>
  <c r="AA8" i="8"/>
  <c r="Y8" i="8"/>
  <c r="X8" i="8"/>
  <c r="W8" i="8"/>
  <c r="AD7" i="8"/>
  <c r="AC7" i="8"/>
  <c r="AB7" i="8"/>
  <c r="AA7" i="8"/>
  <c r="Z7" i="8"/>
  <c r="Y7" i="8"/>
  <c r="X7" i="8"/>
  <c r="W7" i="8"/>
  <c r="V7" i="8"/>
  <c r="AE8" i="8"/>
  <c r="AE7" i="8"/>
  <c r="S131" i="8"/>
  <c r="AE131" i="8" s="1"/>
  <c r="K131" i="8"/>
  <c r="K115" i="8"/>
  <c r="S76" i="8"/>
  <c r="AD76" i="8" s="1"/>
  <c r="O76" i="8"/>
  <c r="Z76" i="8" s="1"/>
  <c r="K76" i="8"/>
  <c r="V76" i="8" s="1"/>
  <c r="S75" i="8"/>
  <c r="AD75" i="8" s="1"/>
  <c r="O75" i="8"/>
  <c r="Z75" i="8" s="1"/>
  <c r="K75" i="8"/>
  <c r="V75" i="8" s="1"/>
  <c r="S74" i="8"/>
  <c r="AD74" i="8" s="1"/>
  <c r="O74" i="8"/>
  <c r="Z74" i="8" s="1"/>
  <c r="K74" i="8"/>
  <c r="V74" i="8" s="1"/>
  <c r="S49" i="8"/>
  <c r="AD49" i="8" s="1"/>
  <c r="O49" i="8"/>
  <c r="Z49" i="8" s="1"/>
  <c r="K49" i="8"/>
  <c r="V49" i="8" s="1"/>
  <c r="S56" i="8"/>
  <c r="AD56" i="8" s="1"/>
  <c r="O56" i="8"/>
  <c r="Z56" i="8" s="1"/>
  <c r="K56" i="8"/>
  <c r="V56" i="8" s="1"/>
  <c r="S55" i="8"/>
  <c r="AD55" i="8" s="1"/>
  <c r="O55" i="8"/>
  <c r="Z55" i="8" s="1"/>
  <c r="K55" i="8"/>
  <c r="V55" i="8" s="1"/>
  <c r="S25" i="8"/>
  <c r="AE25" i="8" s="1"/>
  <c r="O25" i="8"/>
  <c r="AC25" i="8" s="1"/>
  <c r="K25" i="8"/>
  <c r="X25" i="8" s="1"/>
  <c r="S20" i="8"/>
  <c r="AD20" i="8" s="1"/>
  <c r="O20" i="8"/>
  <c r="AC20" i="8" s="1"/>
  <c r="K20" i="8"/>
  <c r="V20" i="8" s="1"/>
  <c r="S19" i="8"/>
  <c r="AE19" i="8" s="1"/>
  <c r="O19" i="8"/>
  <c r="AC19" i="8" s="1"/>
  <c r="K19" i="8"/>
  <c r="X19" i="8" s="1"/>
  <c r="S127" i="8"/>
  <c r="AE127" i="8" s="1"/>
  <c r="O127" i="8"/>
  <c r="Z127" i="8" s="1"/>
  <c r="K127" i="8"/>
  <c r="Y127" i="8" s="1"/>
  <c r="S83" i="8"/>
  <c r="AD83" i="8" s="1"/>
  <c r="O83" i="8"/>
  <c r="Z83" i="8" s="1"/>
  <c r="K83" i="8"/>
  <c r="V83" i="8" s="1"/>
  <c r="S80" i="8"/>
  <c r="AD80" i="8" s="1"/>
  <c r="O80" i="8"/>
  <c r="Z80" i="8" s="1"/>
  <c r="K80" i="8"/>
  <c r="V80" i="8" s="1"/>
  <c r="S79" i="8"/>
  <c r="AD79" i="8" s="1"/>
  <c r="O79" i="8"/>
  <c r="Z79" i="8" s="1"/>
  <c r="K79" i="8"/>
  <c r="V79" i="8" s="1"/>
  <c r="S73" i="8"/>
  <c r="AD73" i="8" s="1"/>
  <c r="O73" i="8"/>
  <c r="Z73" i="8" s="1"/>
  <c r="K73" i="8"/>
  <c r="V73" i="8" s="1"/>
  <c r="S69" i="8"/>
  <c r="AD69" i="8" s="1"/>
  <c r="O69" i="8"/>
  <c r="Z69" i="8" s="1"/>
  <c r="K69" i="8"/>
  <c r="V69" i="8" s="1"/>
  <c r="S68" i="8"/>
  <c r="AD68" i="8" s="1"/>
  <c r="O68" i="8"/>
  <c r="Z68" i="8" s="1"/>
  <c r="K68" i="8"/>
  <c r="V68" i="8" s="1"/>
  <c r="S67" i="8"/>
  <c r="AD67" i="8" s="1"/>
  <c r="O67" i="8"/>
  <c r="Z67" i="8" s="1"/>
  <c r="K67" i="8"/>
  <c r="V67" i="8" s="1"/>
  <c r="S66" i="8"/>
  <c r="AD66" i="8" s="1"/>
  <c r="O66" i="8"/>
  <c r="Z66" i="8" s="1"/>
  <c r="K66" i="8"/>
  <c r="V66" i="8" s="1"/>
  <c r="S62" i="8"/>
  <c r="AD62" i="8" s="1"/>
  <c r="O62" i="8"/>
  <c r="Z62" i="8" s="1"/>
  <c r="K62" i="8"/>
  <c r="V62" i="8" s="1"/>
  <c r="S61" i="8"/>
  <c r="AD61" i="8" s="1"/>
  <c r="O61" i="8"/>
  <c r="Z61" i="8" s="1"/>
  <c r="K61" i="8"/>
  <c r="V61" i="8" s="1"/>
  <c r="S54" i="8"/>
  <c r="AD54" i="8" s="1"/>
  <c r="O54" i="8"/>
  <c r="Z54" i="8" s="1"/>
  <c r="K54" i="8"/>
  <c r="V54" i="8" s="1"/>
  <c r="S53" i="8"/>
  <c r="AD53" i="8" s="1"/>
  <c r="O53" i="8"/>
  <c r="Z53" i="8" s="1"/>
  <c r="K53" i="8"/>
  <c r="V53" i="8" s="1"/>
  <c r="T4" i="11"/>
  <c r="AE4" i="11" s="1"/>
  <c r="T3" i="11"/>
  <c r="AE3" i="11" s="1"/>
  <c r="S9" i="10"/>
  <c r="AD9" i="10" s="1"/>
  <c r="T11" i="10"/>
  <c r="T15" i="10" s="1"/>
  <c r="T4" i="10"/>
  <c r="AE4" i="10" s="1"/>
  <c r="T3" i="10"/>
  <c r="AE3" i="10" s="1"/>
  <c r="T50" i="8"/>
  <c r="T63" i="8" s="1"/>
  <c r="R70" i="8"/>
  <c r="R63" i="11" s="1"/>
  <c r="AC63" i="11" s="1"/>
  <c r="T92" i="8"/>
  <c r="T132" i="8"/>
  <c r="T124" i="8"/>
  <c r="T91" i="8"/>
  <c r="T84" i="8"/>
  <c r="T75" i="11" s="1"/>
  <c r="AE75" i="11" s="1"/>
  <c r="T41" i="8"/>
  <c r="T40" i="8"/>
  <c r="T11" i="8"/>
  <c r="T15" i="8" s="1"/>
  <c r="S3" i="11"/>
  <c r="AD3" i="11" s="1"/>
  <c r="R4" i="11"/>
  <c r="AC4" i="11" s="1"/>
  <c r="R3" i="11"/>
  <c r="AC3" i="11" s="1"/>
  <c r="S10" i="10"/>
  <c r="AE10" i="10" s="1"/>
  <c r="S3" i="10"/>
  <c r="AD3" i="10" s="1"/>
  <c r="R11" i="10"/>
  <c r="R15" i="10" s="1"/>
  <c r="R4" i="10"/>
  <c r="AC4" i="10" s="1"/>
  <c r="R3" i="10"/>
  <c r="AC3" i="10" s="1"/>
  <c r="S45" i="8"/>
  <c r="S44" i="8"/>
  <c r="AD44" i="8" s="1"/>
  <c r="S36" i="8"/>
  <c r="AD36" i="8" s="1"/>
  <c r="S33" i="8"/>
  <c r="AD33" i="8" s="1"/>
  <c r="S29" i="8"/>
  <c r="AE29" i="8" s="1"/>
  <c r="S24" i="8"/>
  <c r="AE24" i="8" s="1"/>
  <c r="S18" i="8"/>
  <c r="AE18" i="8" s="1"/>
  <c r="S13" i="8"/>
  <c r="AE13" i="8" s="1"/>
  <c r="S10" i="8"/>
  <c r="S11" i="8" s="1"/>
  <c r="S8" i="8"/>
  <c r="S4" i="10" s="1"/>
  <c r="AD4" i="10" s="1"/>
  <c r="S136" i="8"/>
  <c r="R92" i="8"/>
  <c r="S91" i="8"/>
  <c r="R91" i="8"/>
  <c r="R84" i="8"/>
  <c r="R75" i="11" s="1"/>
  <c r="AC75" i="11" s="1"/>
  <c r="R50" i="8"/>
  <c r="R63" i="8" s="1"/>
  <c r="R41" i="8"/>
  <c r="S40" i="8"/>
  <c r="R40" i="8"/>
  <c r="R11" i="8"/>
  <c r="O8" i="8"/>
  <c r="O4" i="11" s="1"/>
  <c r="Z4" i="11" s="1"/>
  <c r="K8" i="8"/>
  <c r="K4" i="10" s="1"/>
  <c r="V4" i="10" s="1"/>
  <c r="F124" i="8"/>
  <c r="F132" i="8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1" i="10"/>
  <c r="F15" i="10" s="1"/>
  <c r="F4" i="10"/>
  <c r="F3" i="10"/>
  <c r="R136" i="8"/>
  <c r="Q136" i="8"/>
  <c r="O136" i="8"/>
  <c r="N136" i="8"/>
  <c r="M136" i="8"/>
  <c r="K136" i="8"/>
  <c r="V136" i="8" s="1"/>
  <c r="J136" i="8"/>
  <c r="I136" i="8"/>
  <c r="F136" i="8"/>
  <c r="O45" i="8"/>
  <c r="Z45" i="8" s="1"/>
  <c r="K45" i="8"/>
  <c r="F50" i="8"/>
  <c r="F63" i="8" s="1"/>
  <c r="F92" i="8"/>
  <c r="F91" i="8"/>
  <c r="F84" i="8"/>
  <c r="F75" i="11" s="1"/>
  <c r="F41" i="8"/>
  <c r="F40" i="8"/>
  <c r="F11" i="8"/>
  <c r="F15" i="8" s="1"/>
  <c r="Q4" i="10"/>
  <c r="AB4" i="10" s="1"/>
  <c r="P4" i="10"/>
  <c r="AA4" i="10" s="1"/>
  <c r="N4" i="10"/>
  <c r="Y4" i="10" s="1"/>
  <c r="M4" i="10"/>
  <c r="X4" i="10" s="1"/>
  <c r="L4" i="10"/>
  <c r="W4" i="10" s="1"/>
  <c r="J4" i="10"/>
  <c r="I4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4" i="10"/>
  <c r="H3" i="10"/>
  <c r="D4" i="10"/>
  <c r="C4" i="10"/>
  <c r="D3" i="10"/>
  <c r="C3" i="10"/>
  <c r="E4" i="10"/>
  <c r="E3" i="10"/>
  <c r="O9" i="10"/>
  <c r="AC9" i="10" s="1"/>
  <c r="K9" i="10"/>
  <c r="Y9" i="10" s="1"/>
  <c r="O10" i="10"/>
  <c r="AC10" i="10" s="1"/>
  <c r="K10" i="10"/>
  <c r="X10" i="10" s="1"/>
  <c r="AA68" i="11" l="1"/>
  <c r="AB68" i="11"/>
  <c r="V43" i="11"/>
  <c r="Y44" i="11"/>
  <c r="AC45" i="11"/>
  <c r="Z44" i="11"/>
  <c r="V45" i="11"/>
  <c r="AE45" i="11"/>
  <c r="W43" i="11"/>
  <c r="V44" i="11"/>
  <c r="AD44" i="11"/>
  <c r="AA45" i="11"/>
  <c r="M70" i="11"/>
  <c r="X70" i="11" s="1"/>
  <c r="N70" i="11"/>
  <c r="Y70" i="11" s="1"/>
  <c r="Y73" i="11" s="1"/>
  <c r="AD45" i="11"/>
  <c r="R70" i="11"/>
  <c r="AC70" i="11" s="1"/>
  <c r="AC73" i="11" s="1"/>
  <c r="W39" i="11"/>
  <c r="AB44" i="11"/>
  <c r="Z45" i="11"/>
  <c r="L70" i="11"/>
  <c r="W70" i="11" s="1"/>
  <c r="T70" i="11"/>
  <c r="AE70" i="11" s="1"/>
  <c r="AE73" i="11" s="1"/>
  <c r="AE76" i="11" s="1"/>
  <c r="AB45" i="11"/>
  <c r="AC44" i="11"/>
  <c r="W44" i="11"/>
  <c r="AE44" i="11"/>
  <c r="X44" i="11"/>
  <c r="X45" i="11"/>
  <c r="Y45" i="11"/>
  <c r="R128" i="8"/>
  <c r="S128" i="8" s="1"/>
  <c r="X117" i="8"/>
  <c r="AC109" i="8"/>
  <c r="N120" i="8"/>
  <c r="AC128" i="8"/>
  <c r="R120" i="8"/>
  <c r="S120" i="8"/>
  <c r="J120" i="8"/>
  <c r="K120" i="8" s="1"/>
  <c r="Y120" i="8" s="1"/>
  <c r="R139" i="8"/>
  <c r="AC139" i="8" s="1"/>
  <c r="X128" i="8"/>
  <c r="N116" i="8"/>
  <c r="O116" i="8" s="1"/>
  <c r="R148" i="8"/>
  <c r="S148" i="8" s="1"/>
  <c r="AD148" i="8" s="1"/>
  <c r="X109" i="8"/>
  <c r="Y118" i="8"/>
  <c r="Y108" i="8"/>
  <c r="R98" i="8"/>
  <c r="R23" i="11" s="1"/>
  <c r="AB123" i="8"/>
  <c r="L136" i="8"/>
  <c r="Y107" i="8"/>
  <c r="X139" i="8"/>
  <c r="Y130" i="8"/>
  <c r="N139" i="8"/>
  <c r="Y139" i="8" s="1"/>
  <c r="S108" i="8"/>
  <c r="AE108" i="8" s="1"/>
  <c r="J98" i="8"/>
  <c r="J23" i="11" s="1"/>
  <c r="AB107" i="8"/>
  <c r="N100" i="8"/>
  <c r="N27" i="11" s="1"/>
  <c r="Q36" i="11"/>
  <c r="R105" i="8"/>
  <c r="R36" i="11" s="1"/>
  <c r="J148" i="8"/>
  <c r="J33" i="11" s="1"/>
  <c r="J99" i="8"/>
  <c r="J28" i="11" s="1"/>
  <c r="S52" i="11"/>
  <c r="AD52" i="11" s="1"/>
  <c r="I36" i="11"/>
  <c r="J100" i="8"/>
  <c r="J27" i="11" s="1"/>
  <c r="N147" i="8"/>
  <c r="N34" i="11" s="1"/>
  <c r="Y131" i="8"/>
  <c r="Y101" i="8"/>
  <c r="M36" i="11"/>
  <c r="N119" i="8"/>
  <c r="O119" i="8" s="1"/>
  <c r="R119" i="8"/>
  <c r="J119" i="8"/>
  <c r="K119" i="8" s="1"/>
  <c r="R32" i="11"/>
  <c r="S114" i="8"/>
  <c r="AD114" i="8" s="1"/>
  <c r="R34" i="11"/>
  <c r="S147" i="8"/>
  <c r="AC147" i="8" s="1"/>
  <c r="N32" i="11"/>
  <c r="O114" i="8"/>
  <c r="N28" i="11"/>
  <c r="O99" i="8"/>
  <c r="AB99" i="8" s="1"/>
  <c r="N36" i="11"/>
  <c r="K114" i="8"/>
  <c r="K32" i="11" s="1"/>
  <c r="J32" i="11"/>
  <c r="R28" i="11"/>
  <c r="S99" i="8"/>
  <c r="AC110" i="8"/>
  <c r="N148" i="8"/>
  <c r="N33" i="11" s="1"/>
  <c r="Q28" i="11"/>
  <c r="M32" i="11"/>
  <c r="K99" i="8"/>
  <c r="Y99" i="8" s="1"/>
  <c r="AC122" i="8"/>
  <c r="N102" i="8"/>
  <c r="M23" i="11"/>
  <c r="K53" i="11"/>
  <c r="V53" i="11" s="1"/>
  <c r="S53" i="11"/>
  <c r="AD53" i="11" s="1"/>
  <c r="O52" i="11"/>
  <c r="Z52" i="11" s="1"/>
  <c r="K58" i="11"/>
  <c r="V58" i="11" s="1"/>
  <c r="S58" i="11"/>
  <c r="AD58" i="11" s="1"/>
  <c r="O59" i="11"/>
  <c r="Z59" i="11" s="1"/>
  <c r="K60" i="11"/>
  <c r="V60" i="11" s="1"/>
  <c r="S60" i="11"/>
  <c r="AD60" i="11" s="1"/>
  <c r="O61" i="11"/>
  <c r="Z61" i="11" s="1"/>
  <c r="K62" i="11"/>
  <c r="V62" i="11" s="1"/>
  <c r="S62" i="11"/>
  <c r="AD62" i="11" s="1"/>
  <c r="S110" i="8"/>
  <c r="AD110" i="8" s="1"/>
  <c r="K13" i="11"/>
  <c r="X13" i="11" s="1"/>
  <c r="S13" i="11"/>
  <c r="AD13" i="11" s="1"/>
  <c r="K18" i="11"/>
  <c r="W18" i="11" s="1"/>
  <c r="S18" i="11"/>
  <c r="AE18" i="11" s="1"/>
  <c r="O19" i="11"/>
  <c r="AC19" i="11" s="1"/>
  <c r="O68" i="11"/>
  <c r="Y115" i="8"/>
  <c r="AB118" i="8"/>
  <c r="Q27" i="11"/>
  <c r="M28" i="11"/>
  <c r="I32" i="11"/>
  <c r="Q32" i="11"/>
  <c r="I34" i="11"/>
  <c r="Q34" i="11"/>
  <c r="S118" i="8"/>
  <c r="AE118" i="8" s="1"/>
  <c r="J105" i="8"/>
  <c r="J36" i="11" s="1"/>
  <c r="K106" i="8"/>
  <c r="V106" i="8" s="1"/>
  <c r="R100" i="8"/>
  <c r="R27" i="11" s="1"/>
  <c r="S51" i="11"/>
  <c r="AD51" i="11" s="1"/>
  <c r="O53" i="11"/>
  <c r="Z53" i="11" s="1"/>
  <c r="K52" i="11"/>
  <c r="O58" i="11"/>
  <c r="Z58" i="11" s="1"/>
  <c r="K59" i="11"/>
  <c r="V59" i="11" s="1"/>
  <c r="S59" i="11"/>
  <c r="AD59" i="11" s="1"/>
  <c r="O60" i="11"/>
  <c r="Z60" i="11" s="1"/>
  <c r="K61" i="11"/>
  <c r="V61" i="11" s="1"/>
  <c r="S61" i="11"/>
  <c r="AD61" i="11" s="1"/>
  <c r="O62" i="11"/>
  <c r="Z62" i="11" s="1"/>
  <c r="T136" i="8"/>
  <c r="AC106" i="8"/>
  <c r="AC121" i="8"/>
  <c r="S12" i="11"/>
  <c r="O13" i="11"/>
  <c r="AA13" i="11" s="1"/>
  <c r="S17" i="11"/>
  <c r="AD17" i="11" s="1"/>
  <c r="O18" i="11"/>
  <c r="Z18" i="11" s="1"/>
  <c r="K19" i="11"/>
  <c r="V19" i="11" s="1"/>
  <c r="S19" i="11"/>
  <c r="AE19" i="11" s="1"/>
  <c r="K68" i="11"/>
  <c r="S68" i="11"/>
  <c r="AB13" i="11"/>
  <c r="AG35" i="11"/>
  <c r="Y10" i="10"/>
  <c r="Z9" i="10"/>
  <c r="V10" i="10"/>
  <c r="W10" i="10"/>
  <c r="W9" i="10"/>
  <c r="W11" i="10" s="1"/>
  <c r="X9" i="10"/>
  <c r="X11" i="10" s="1"/>
  <c r="AC117" i="8"/>
  <c r="AB130" i="8"/>
  <c r="K123" i="8"/>
  <c r="Y123" i="8" s="1"/>
  <c r="AA118" i="8"/>
  <c r="AG118" i="8" s="1"/>
  <c r="Z121" i="8"/>
  <c r="AA121" i="8"/>
  <c r="Y117" i="8"/>
  <c r="AE121" i="8"/>
  <c r="AB117" i="8"/>
  <c r="Z117" i="8"/>
  <c r="AA117" i="8"/>
  <c r="AG117" i="8" s="1"/>
  <c r="V117" i="8"/>
  <c r="AD117" i="8"/>
  <c r="W117" i="8"/>
  <c r="AC118" i="8"/>
  <c r="V118" i="8"/>
  <c r="AG81" i="8"/>
  <c r="W118" i="8"/>
  <c r="W121" i="8"/>
  <c r="X118" i="8"/>
  <c r="X121" i="8"/>
  <c r="Z122" i="8"/>
  <c r="Z118" i="8"/>
  <c r="Y121" i="8"/>
  <c r="AA122" i="8"/>
  <c r="AG122" i="8" s="1"/>
  <c r="Y122" i="8"/>
  <c r="AD118" i="8"/>
  <c r="V116" i="8"/>
  <c r="AD116" i="8"/>
  <c r="AB122" i="8"/>
  <c r="W116" i="8"/>
  <c r="X116" i="8"/>
  <c r="AB121" i="8"/>
  <c r="V122" i="8"/>
  <c r="AD122" i="8"/>
  <c r="W122" i="8"/>
  <c r="AG57" i="8"/>
  <c r="AG82" i="8"/>
  <c r="AG60" i="8"/>
  <c r="AG46" i="8"/>
  <c r="AG47" i="8"/>
  <c r="AG58" i="8"/>
  <c r="AG59" i="8"/>
  <c r="AD123" i="8"/>
  <c r="AB108" i="8"/>
  <c r="AG48" i="8"/>
  <c r="Y14" i="8"/>
  <c r="Z109" i="8"/>
  <c r="AB127" i="8"/>
  <c r="Z25" i="8"/>
  <c r="X110" i="8"/>
  <c r="Z128" i="8"/>
  <c r="X129" i="8"/>
  <c r="V130" i="8"/>
  <c r="Z99" i="8"/>
  <c r="AB115" i="8"/>
  <c r="AB131" i="8"/>
  <c r="V101" i="8"/>
  <c r="X106" i="8"/>
  <c r="R15" i="8"/>
  <c r="R21" i="8" s="1"/>
  <c r="AD101" i="8"/>
  <c r="AD107" i="8"/>
  <c r="X20" i="8"/>
  <c r="Z19" i="8"/>
  <c r="Z14" i="8"/>
  <c r="AA14" i="8"/>
  <c r="AG14" i="8" s="1"/>
  <c r="S15" i="8"/>
  <c r="S16" i="8" s="1"/>
  <c r="AB14" i="8"/>
  <c r="V14" i="8"/>
  <c r="AD14" i="8"/>
  <c r="W14" i="8"/>
  <c r="Y19" i="8"/>
  <c r="W20" i="8"/>
  <c r="AE20" i="8"/>
  <c r="Y25" i="8"/>
  <c r="AC101" i="8"/>
  <c r="AE106" i="8"/>
  <c r="AC107" i="8"/>
  <c r="AA108" i="8"/>
  <c r="AG108" i="8" s="1"/>
  <c r="Y109" i="8"/>
  <c r="W110" i="8"/>
  <c r="AC114" i="8"/>
  <c r="AA115" i="8"/>
  <c r="AG115" i="8" s="1"/>
  <c r="AC123" i="8"/>
  <c r="AA127" i="8"/>
  <c r="Y128" i="8"/>
  <c r="W129" i="8"/>
  <c r="AE129" i="8"/>
  <c r="AC130" i="8"/>
  <c r="AA131" i="8"/>
  <c r="AG131" i="8" s="1"/>
  <c r="AD13" i="8"/>
  <c r="AA19" i="8"/>
  <c r="AG19" i="8" s="1"/>
  <c r="Y20" i="8"/>
  <c r="AA25" i="8"/>
  <c r="AG25" i="8" s="1"/>
  <c r="W101" i="8"/>
  <c r="Y106" i="8"/>
  <c r="W107" i="8"/>
  <c r="AC108" i="8"/>
  <c r="AA109" i="8"/>
  <c r="AG109" i="8" s="1"/>
  <c r="Y110" i="8"/>
  <c r="AC115" i="8"/>
  <c r="AC127" i="8"/>
  <c r="AA128" i="8"/>
  <c r="Y129" i="8"/>
  <c r="W130" i="8"/>
  <c r="AE130" i="8"/>
  <c r="AC131" i="8"/>
  <c r="V52" i="11"/>
  <c r="AD18" i="8"/>
  <c r="AB19" i="8"/>
  <c r="Z20" i="8"/>
  <c r="AD24" i="8"/>
  <c r="AB25" i="8"/>
  <c r="AD29" i="8"/>
  <c r="V45" i="8"/>
  <c r="AD45" i="8"/>
  <c r="X101" i="8"/>
  <c r="V102" i="8"/>
  <c r="AD102" i="8"/>
  <c r="Z106" i="8"/>
  <c r="X107" i="8"/>
  <c r="V108" i="8"/>
  <c r="AD108" i="8"/>
  <c r="AB109" i="8"/>
  <c r="Z110" i="8"/>
  <c r="X114" i="8"/>
  <c r="V115" i="8"/>
  <c r="AD115" i="8"/>
  <c r="V127" i="8"/>
  <c r="AD127" i="8"/>
  <c r="AB128" i="8"/>
  <c r="Z129" i="8"/>
  <c r="X130" i="8"/>
  <c r="V131" i="8"/>
  <c r="AD131" i="8"/>
  <c r="V107" i="8"/>
  <c r="AA20" i="8"/>
  <c r="W102" i="8"/>
  <c r="AA106" i="8"/>
  <c r="W108" i="8"/>
  <c r="AA110" i="8"/>
  <c r="W115" i="8"/>
  <c r="W127" i="8"/>
  <c r="AA129" i="8"/>
  <c r="W131" i="8"/>
  <c r="V19" i="8"/>
  <c r="AD19" i="8"/>
  <c r="AB20" i="8"/>
  <c r="V25" i="8"/>
  <c r="AD25" i="8"/>
  <c r="AD99" i="8"/>
  <c r="Z101" i="8"/>
  <c r="X102" i="8"/>
  <c r="AB106" i="8"/>
  <c r="Z107" i="8"/>
  <c r="X108" i="8"/>
  <c r="V109" i="8"/>
  <c r="AD109" i="8"/>
  <c r="AB110" i="8"/>
  <c r="X115" i="8"/>
  <c r="Z123" i="8"/>
  <c r="X127" i="8"/>
  <c r="V128" i="8"/>
  <c r="AB129" i="8"/>
  <c r="Z130" i="8"/>
  <c r="X131" i="8"/>
  <c r="W19" i="8"/>
  <c r="W25" i="8"/>
  <c r="W99" i="8"/>
  <c r="AA101" i="8"/>
  <c r="AG101" i="8" s="1"/>
  <c r="AA107" i="8"/>
  <c r="AG107" i="8" s="1"/>
  <c r="W109" i="8"/>
  <c r="AA114" i="8"/>
  <c r="AA123" i="8"/>
  <c r="W128" i="8"/>
  <c r="AA130" i="8"/>
  <c r="AE10" i="8"/>
  <c r="AD10" i="8"/>
  <c r="AE43" i="11"/>
  <c r="X39" i="11"/>
  <c r="V39" i="11"/>
  <c r="Y43" i="11"/>
  <c r="AA9" i="10"/>
  <c r="Z10" i="10"/>
  <c r="AB9" i="10"/>
  <c r="AA10" i="10"/>
  <c r="AB10" i="10"/>
  <c r="V9" i="10"/>
  <c r="AD10" i="10"/>
  <c r="AD11" i="10" s="1"/>
  <c r="AE9" i="10"/>
  <c r="Y11" i="10"/>
  <c r="Y136" i="8"/>
  <c r="Z8" i="8"/>
  <c r="AD43" i="11"/>
  <c r="V8" i="8"/>
  <c r="AD8" i="8"/>
  <c r="AC43" i="11"/>
  <c r="AD39" i="11"/>
  <c r="AG49" i="8"/>
  <c r="AG75" i="8"/>
  <c r="AG74" i="8"/>
  <c r="AG76" i="8"/>
  <c r="AG56" i="8"/>
  <c r="AG55" i="8"/>
  <c r="O4" i="10"/>
  <c r="Z4" i="10" s="1"/>
  <c r="AC136" i="8"/>
  <c r="S98" i="8"/>
  <c r="S23" i="11" s="1"/>
  <c r="K4" i="11"/>
  <c r="V4" i="11" s="1"/>
  <c r="S92" i="8"/>
  <c r="T70" i="8"/>
  <c r="T63" i="11" s="1"/>
  <c r="AE63" i="11" s="1"/>
  <c r="R132" i="8"/>
  <c r="R77" i="8"/>
  <c r="R64" i="11" s="1"/>
  <c r="AC64" i="11" s="1"/>
  <c r="T55" i="11"/>
  <c r="T73" i="11"/>
  <c r="T76" i="11" s="1"/>
  <c r="T85" i="11" s="1"/>
  <c r="AC11" i="10"/>
  <c r="T8" i="11"/>
  <c r="T14" i="11" s="1"/>
  <c r="T15" i="11" s="1"/>
  <c r="S105" i="8"/>
  <c r="S36" i="11" s="1"/>
  <c r="T12" i="10"/>
  <c r="T14" i="10"/>
  <c r="T21" i="8"/>
  <c r="T16" i="8"/>
  <c r="AB55" i="11"/>
  <c r="S41" i="8"/>
  <c r="S4" i="11"/>
  <c r="AD4" i="11" s="1"/>
  <c r="S84" i="8"/>
  <c r="S75" i="11" s="1"/>
  <c r="AD75" i="11" s="1"/>
  <c r="R55" i="11"/>
  <c r="S11" i="10"/>
  <c r="S15" i="10" s="1"/>
  <c r="R12" i="10"/>
  <c r="R14" i="10"/>
  <c r="I73" i="11"/>
  <c r="K139" i="8"/>
  <c r="V139" i="8" s="1"/>
  <c r="H8" i="11"/>
  <c r="H14" i="11" s="1"/>
  <c r="H15" i="11" s="1"/>
  <c r="E8" i="11"/>
  <c r="E14" i="11" s="1"/>
  <c r="F8" i="11"/>
  <c r="F14" i="11" s="1"/>
  <c r="F70" i="8"/>
  <c r="F63" i="11" s="1"/>
  <c r="V72" i="11"/>
  <c r="Z72" i="11"/>
  <c r="AG45" i="8"/>
  <c r="C8" i="11"/>
  <c r="C14" i="11" s="1"/>
  <c r="I55" i="11"/>
  <c r="J55" i="11"/>
  <c r="D55" i="11"/>
  <c r="C55" i="11"/>
  <c r="H55" i="11"/>
  <c r="P73" i="11"/>
  <c r="Q73" i="11"/>
  <c r="M55" i="11"/>
  <c r="E55" i="11"/>
  <c r="L55" i="11"/>
  <c r="AC55" i="11"/>
  <c r="AE55" i="11"/>
  <c r="Y55" i="11"/>
  <c r="F76" i="11"/>
  <c r="F85" i="11" s="1"/>
  <c r="F55" i="11"/>
  <c r="Q55" i="11"/>
  <c r="N55" i="11"/>
  <c r="P55" i="11"/>
  <c r="P136" i="8"/>
  <c r="F12" i="10"/>
  <c r="F14" i="10"/>
  <c r="F21" i="8"/>
  <c r="F16" i="8"/>
  <c r="AE17" i="11" l="1"/>
  <c r="Y18" i="11"/>
  <c r="R73" i="11"/>
  <c r="R76" i="11" s="1"/>
  <c r="R85" i="11" s="1"/>
  <c r="W13" i="11"/>
  <c r="V73" i="11"/>
  <c r="AD68" i="11"/>
  <c r="S70" i="11"/>
  <c r="AD70" i="11" s="1"/>
  <c r="M73" i="11"/>
  <c r="Z68" i="11"/>
  <c r="O70" i="11"/>
  <c r="Z70" i="11" s="1"/>
  <c r="Z73" i="11" s="1"/>
  <c r="V68" i="11"/>
  <c r="K70" i="11"/>
  <c r="V70" i="11" s="1"/>
  <c r="AE23" i="11"/>
  <c r="AE128" i="8"/>
  <c r="AD128" i="8"/>
  <c r="AG128" i="8"/>
  <c r="V114" i="8"/>
  <c r="W114" i="8"/>
  <c r="Y114" i="8"/>
  <c r="W106" i="8"/>
  <c r="V123" i="8"/>
  <c r="X123" i="8"/>
  <c r="Y19" i="11"/>
  <c r="Z120" i="8"/>
  <c r="O120" i="8"/>
  <c r="AA120" i="8" s="1"/>
  <c r="V99" i="8"/>
  <c r="AE110" i="8"/>
  <c r="AG110" i="8" s="1"/>
  <c r="AD18" i="11"/>
  <c r="Y116" i="8"/>
  <c r="AE120" i="8"/>
  <c r="AG120" i="8" s="1"/>
  <c r="X120" i="8"/>
  <c r="AD120" i="8"/>
  <c r="V120" i="8"/>
  <c r="W120" i="8"/>
  <c r="Z116" i="8"/>
  <c r="AC116" i="8"/>
  <c r="AB116" i="8"/>
  <c r="AA116" i="8"/>
  <c r="AG116" i="8" s="1"/>
  <c r="AA99" i="8"/>
  <c r="V18" i="11"/>
  <c r="S33" i="11"/>
  <c r="AE148" i="8"/>
  <c r="X18" i="11"/>
  <c r="K100" i="8"/>
  <c r="AC148" i="8"/>
  <c r="AB19" i="11"/>
  <c r="AC119" i="8"/>
  <c r="AA19" i="11"/>
  <c r="AG19" i="11" s="1"/>
  <c r="R33" i="11"/>
  <c r="AB148" i="8"/>
  <c r="W123" i="8"/>
  <c r="AD147" i="8"/>
  <c r="AB18" i="11"/>
  <c r="AC18" i="11"/>
  <c r="Y119" i="8"/>
  <c r="O100" i="8"/>
  <c r="AC100" i="8" s="1"/>
  <c r="AA18" i="11"/>
  <c r="AG18" i="11" s="1"/>
  <c r="Z13" i="11"/>
  <c r="V119" i="8"/>
  <c r="AB147" i="8"/>
  <c r="AG121" i="8"/>
  <c r="X19" i="11"/>
  <c r="W19" i="11"/>
  <c r="O139" i="8"/>
  <c r="Z139" i="8" s="1"/>
  <c r="S119" i="8"/>
  <c r="AD119" i="8" s="1"/>
  <c r="AA119" i="8"/>
  <c r="AB119" i="8"/>
  <c r="Z119" i="8"/>
  <c r="X119" i="8"/>
  <c r="W119" i="8"/>
  <c r="AB114" i="8"/>
  <c r="O32" i="11"/>
  <c r="AE12" i="11"/>
  <c r="AD12" i="11"/>
  <c r="Y13" i="11"/>
  <c r="AC13" i="11"/>
  <c r="S100" i="8"/>
  <c r="AE100" i="8" s="1"/>
  <c r="Y102" i="8"/>
  <c r="X99" i="8"/>
  <c r="K28" i="11"/>
  <c r="O102" i="8"/>
  <c r="AB102" i="8" s="1"/>
  <c r="Z114" i="8"/>
  <c r="AE13" i="11"/>
  <c r="AG13" i="11" s="1"/>
  <c r="AE147" i="8"/>
  <c r="S34" i="11"/>
  <c r="AE34" i="11" s="1"/>
  <c r="AD19" i="11"/>
  <c r="AE114" i="8"/>
  <c r="S32" i="11"/>
  <c r="AD32" i="11" s="1"/>
  <c r="V13" i="11"/>
  <c r="Z19" i="11"/>
  <c r="AE99" i="8"/>
  <c r="S28" i="11"/>
  <c r="AC99" i="8"/>
  <c r="O28" i="11"/>
  <c r="H20" i="11"/>
  <c r="H21" i="11" s="1"/>
  <c r="AG129" i="8"/>
  <c r="AG130" i="8"/>
  <c r="R16" i="8"/>
  <c r="AD55" i="11"/>
  <c r="R26" i="8"/>
  <c r="R27" i="8" s="1"/>
  <c r="R22" i="8"/>
  <c r="AG106" i="8"/>
  <c r="AE98" i="8"/>
  <c r="AD98" i="8"/>
  <c r="AE105" i="8"/>
  <c r="AD105" i="8"/>
  <c r="AA43" i="11"/>
  <c r="AB43" i="11"/>
  <c r="Z43" i="11"/>
  <c r="AE7" i="11"/>
  <c r="W40" i="11"/>
  <c r="AB73" i="11"/>
  <c r="AD72" i="11"/>
  <c r="AD23" i="11"/>
  <c r="Y39" i="11"/>
  <c r="AE39" i="11"/>
  <c r="D8" i="11"/>
  <c r="Q8" i="11"/>
  <c r="Q14" i="11" s="1"/>
  <c r="Q15" i="11" s="1"/>
  <c r="J8" i="11"/>
  <c r="J14" i="11" s="1"/>
  <c r="J15" i="11" s="1"/>
  <c r="P8" i="11"/>
  <c r="P14" i="11" s="1"/>
  <c r="P15" i="11" s="1"/>
  <c r="N8" i="11"/>
  <c r="N14" i="11" s="1"/>
  <c r="N15" i="11" s="1"/>
  <c r="I8" i="11"/>
  <c r="I14" i="11" s="1"/>
  <c r="I15" i="11" s="1"/>
  <c r="M8" i="11"/>
  <c r="M14" i="11" s="1"/>
  <c r="M15" i="11" s="1"/>
  <c r="L8" i="11"/>
  <c r="L14" i="11" s="1"/>
  <c r="L15" i="11" s="1"/>
  <c r="Z11" i="10"/>
  <c r="AD7" i="11"/>
  <c r="AC7" i="11"/>
  <c r="R8" i="11"/>
  <c r="R14" i="11" s="1"/>
  <c r="R15" i="11" s="1"/>
  <c r="W7" i="11"/>
  <c r="AE6" i="11"/>
  <c r="AG123" i="8"/>
  <c r="AG20" i="8"/>
  <c r="R85" i="8"/>
  <c r="R87" i="8" s="1"/>
  <c r="S50" i="8"/>
  <c r="S63" i="8" s="1"/>
  <c r="AA73" i="11"/>
  <c r="AD36" i="11"/>
  <c r="S139" i="8"/>
  <c r="AD139" i="8" s="1"/>
  <c r="X73" i="11"/>
  <c r="R124" i="8"/>
  <c r="T77" i="8"/>
  <c r="T64" i="11" s="1"/>
  <c r="AE64" i="11" s="1"/>
  <c r="N73" i="11"/>
  <c r="W73" i="11"/>
  <c r="S73" i="11"/>
  <c r="S76" i="11" s="1"/>
  <c r="S85" i="11" s="1"/>
  <c r="S55" i="11"/>
  <c r="V11" i="10"/>
  <c r="AA11" i="10"/>
  <c r="AB11" i="10"/>
  <c r="T20" i="11"/>
  <c r="S14" i="10"/>
  <c r="T26" i="8"/>
  <c r="T22" i="8"/>
  <c r="S70" i="8"/>
  <c r="S63" i="11" s="1"/>
  <c r="AD63" i="11" s="1"/>
  <c r="S21" i="8"/>
  <c r="S22" i="8" s="1"/>
  <c r="Y41" i="11"/>
  <c r="V40" i="11"/>
  <c r="S132" i="8"/>
  <c r="S12" i="10"/>
  <c r="C15" i="11"/>
  <c r="L73" i="11"/>
  <c r="F9" i="11"/>
  <c r="F77" i="8"/>
  <c r="F64" i="11" s="1"/>
  <c r="K73" i="11"/>
  <c r="E15" i="11"/>
  <c r="E20" i="11"/>
  <c r="F15" i="11"/>
  <c r="F20" i="11"/>
  <c r="AE85" i="11"/>
  <c r="F26" i="8"/>
  <c r="F22" i="8"/>
  <c r="AD73" i="11" l="1"/>
  <c r="AD76" i="11" s="1"/>
  <c r="AD85" i="11" s="1"/>
  <c r="O73" i="11"/>
  <c r="AB120" i="8"/>
  <c r="AC120" i="8"/>
  <c r="AG99" i="8"/>
  <c r="AE33" i="11"/>
  <c r="AD33" i="11"/>
  <c r="V100" i="8"/>
  <c r="X100" i="8"/>
  <c r="K27" i="11"/>
  <c r="W100" i="8"/>
  <c r="Y100" i="8"/>
  <c r="AE32" i="11"/>
  <c r="AE119" i="8"/>
  <c r="AG119" i="8" s="1"/>
  <c r="S124" i="8"/>
  <c r="O27" i="11"/>
  <c r="AA100" i="8"/>
  <c r="AG100" i="8" s="1"/>
  <c r="AB100" i="8"/>
  <c r="Z100" i="8"/>
  <c r="AD100" i="8"/>
  <c r="S27" i="11"/>
  <c r="Z102" i="8"/>
  <c r="AC102" i="8"/>
  <c r="AA102" i="8"/>
  <c r="AG102" i="8" s="1"/>
  <c r="AD34" i="11"/>
  <c r="H24" i="11"/>
  <c r="H29" i="11" s="1"/>
  <c r="D14" i="11"/>
  <c r="D15" i="11" s="1"/>
  <c r="I20" i="11"/>
  <c r="R30" i="8"/>
  <c r="R37" i="8" s="1"/>
  <c r="E9" i="11"/>
  <c r="L9" i="11"/>
  <c r="AE40" i="11"/>
  <c r="AD40" i="11"/>
  <c r="AC6" i="11"/>
  <c r="AA6" i="11"/>
  <c r="AG6" i="11" s="1"/>
  <c r="AB6" i="11"/>
  <c r="AC41" i="11"/>
  <c r="AB41" i="11"/>
  <c r="Y6" i="11"/>
  <c r="X6" i="11"/>
  <c r="V6" i="11"/>
  <c r="W6" i="11"/>
  <c r="AA41" i="11"/>
  <c r="AA7" i="11"/>
  <c r="Z41" i="11"/>
  <c r="Z6" i="11"/>
  <c r="AB7" i="11"/>
  <c r="AC39" i="11"/>
  <c r="AB39" i="11"/>
  <c r="Y40" i="11"/>
  <c r="X40" i="11"/>
  <c r="AE41" i="11"/>
  <c r="AD41" i="11"/>
  <c r="Z39" i="11"/>
  <c r="AE36" i="11"/>
  <c r="AD6" i="11"/>
  <c r="Y7" i="11"/>
  <c r="X7" i="11"/>
  <c r="V7" i="11"/>
  <c r="X41" i="11"/>
  <c r="V41" i="11"/>
  <c r="W41" i="11"/>
  <c r="AA39" i="11"/>
  <c r="Z7" i="11"/>
  <c r="D9" i="11"/>
  <c r="M9" i="11"/>
  <c r="P9" i="11"/>
  <c r="I10" i="11"/>
  <c r="M10" i="11"/>
  <c r="J10" i="11"/>
  <c r="J20" i="11"/>
  <c r="J21" i="11" s="1"/>
  <c r="N9" i="11"/>
  <c r="Q10" i="11"/>
  <c r="T9" i="11"/>
  <c r="P20" i="11"/>
  <c r="P21" i="11" s="1"/>
  <c r="R10" i="11"/>
  <c r="Q9" i="11"/>
  <c r="O8" i="11"/>
  <c r="N10" i="11"/>
  <c r="R9" i="11"/>
  <c r="R20" i="11"/>
  <c r="R21" i="11" s="1"/>
  <c r="K8" i="11"/>
  <c r="S8" i="11"/>
  <c r="S14" i="11" s="1"/>
  <c r="S15" i="11" s="1"/>
  <c r="S77" i="8"/>
  <c r="S64" i="11" s="1"/>
  <c r="AD64" i="11" s="1"/>
  <c r="T85" i="8"/>
  <c r="T87" i="8" s="1"/>
  <c r="AG127" i="8"/>
  <c r="T21" i="11"/>
  <c r="T24" i="11"/>
  <c r="S26" i="8"/>
  <c r="S30" i="8" s="1"/>
  <c r="T27" i="8"/>
  <c r="T30" i="8"/>
  <c r="AC40" i="11"/>
  <c r="C20" i="11"/>
  <c r="C24" i="11" s="1"/>
  <c r="C25" i="11" s="1"/>
  <c r="R31" i="8"/>
  <c r="R95" i="8"/>
  <c r="F85" i="8"/>
  <c r="F87" i="8" s="1"/>
  <c r="E24" i="11"/>
  <c r="E21" i="11"/>
  <c r="F24" i="11"/>
  <c r="F21" i="11"/>
  <c r="L20" i="11"/>
  <c r="F30" i="8"/>
  <c r="F27" i="8"/>
  <c r="R111" i="8" l="1"/>
  <c r="R141" i="8" s="1"/>
  <c r="AC141" i="8" s="1"/>
  <c r="AD27" i="11"/>
  <c r="AE27" i="11"/>
  <c r="H25" i="11"/>
  <c r="D20" i="11"/>
  <c r="D24" i="11" s="1"/>
  <c r="D25" i="11" s="1"/>
  <c r="I21" i="11"/>
  <c r="I24" i="11"/>
  <c r="I29" i="11" s="1"/>
  <c r="Q20" i="11"/>
  <c r="T10" i="11"/>
  <c r="L10" i="11"/>
  <c r="O10" i="11"/>
  <c r="R34" i="8"/>
  <c r="J24" i="11"/>
  <c r="J29" i="11" s="1"/>
  <c r="AD28" i="11"/>
  <c r="AE28" i="11"/>
  <c r="AA40" i="11"/>
  <c r="Z40" i="11"/>
  <c r="M20" i="11"/>
  <c r="M24" i="11" s="1"/>
  <c r="AE42" i="11"/>
  <c r="AD42" i="11"/>
  <c r="AB40" i="11"/>
  <c r="P24" i="11"/>
  <c r="P25" i="11" s="1"/>
  <c r="AD8" i="11"/>
  <c r="AD14" i="11" s="1"/>
  <c r="P10" i="11"/>
  <c r="N20" i="11"/>
  <c r="N21" i="11" s="1"/>
  <c r="S10" i="11"/>
  <c r="AB8" i="11"/>
  <c r="S9" i="11"/>
  <c r="X8" i="11"/>
  <c r="AA8" i="11"/>
  <c r="R24" i="11"/>
  <c r="R25" i="11" s="1"/>
  <c r="Z8" i="11"/>
  <c r="V8" i="11"/>
  <c r="AC8" i="11"/>
  <c r="Y8" i="11"/>
  <c r="K10" i="11"/>
  <c r="AG7" i="11"/>
  <c r="AE8" i="11"/>
  <c r="W8" i="11"/>
  <c r="O9" i="11"/>
  <c r="S85" i="8"/>
  <c r="S87" i="8" s="1"/>
  <c r="T29" i="11"/>
  <c r="T25" i="11"/>
  <c r="S27" i="8"/>
  <c r="T95" i="8"/>
  <c r="T34" i="8"/>
  <c r="T37" i="8"/>
  <c r="T31" i="8"/>
  <c r="C21" i="11"/>
  <c r="C29" i="11"/>
  <c r="C80" i="11" s="1"/>
  <c r="S31" i="8"/>
  <c r="S95" i="8"/>
  <c r="S37" i="8"/>
  <c r="S34" i="8"/>
  <c r="H30" i="11"/>
  <c r="H37" i="11"/>
  <c r="E25" i="11"/>
  <c r="E29" i="11"/>
  <c r="L24" i="11"/>
  <c r="L21" i="11"/>
  <c r="F25" i="11"/>
  <c r="F29" i="11"/>
  <c r="F95" i="8"/>
  <c r="F111" i="8" s="1"/>
  <c r="F141" i="8" s="1"/>
  <c r="F31" i="8"/>
  <c r="F37" i="8"/>
  <c r="F34" i="8"/>
  <c r="I25" i="11" l="1"/>
  <c r="T111" i="8"/>
  <c r="T141" i="8" s="1"/>
  <c r="AE141" i="8" s="1"/>
  <c r="S111" i="8"/>
  <c r="S141" i="8" s="1"/>
  <c r="AD141" i="8" s="1"/>
  <c r="D29" i="11"/>
  <c r="D84" i="11" s="1" a="1"/>
  <c r="D84" i="11" s="1"/>
  <c r="D21" i="11"/>
  <c r="Q21" i="11"/>
  <c r="Q24" i="11"/>
  <c r="AE14" i="11"/>
  <c r="AE20" i="11" s="1"/>
  <c r="AE24" i="11" s="1"/>
  <c r="AE29" i="11" s="1"/>
  <c r="J25" i="11"/>
  <c r="P29" i="11"/>
  <c r="P30" i="11" s="1"/>
  <c r="M21" i="11"/>
  <c r="H46" i="11"/>
  <c r="H47" i="11" s="1"/>
  <c r="AD9" i="11"/>
  <c r="N24" i="11"/>
  <c r="N25" i="11" s="1"/>
  <c r="AB9" i="11"/>
  <c r="Z9" i="11"/>
  <c r="AA9" i="11"/>
  <c r="R29" i="11"/>
  <c r="R30" i="11" s="1"/>
  <c r="S20" i="11"/>
  <c r="S24" i="11" s="1"/>
  <c r="S25" i="11" s="1"/>
  <c r="AE9" i="11"/>
  <c r="AG8" i="11"/>
  <c r="AC9" i="11"/>
  <c r="T30" i="11"/>
  <c r="T37" i="11"/>
  <c r="T46" i="11" s="1"/>
  <c r="C84" i="11" a="1"/>
  <c r="C84" i="11" s="1"/>
  <c r="C81" i="11"/>
  <c r="C83" i="11" a="1"/>
  <c r="C83" i="11" s="1"/>
  <c r="C30" i="11"/>
  <c r="C37" i="11"/>
  <c r="C82" i="11"/>
  <c r="F84" i="11" a="1"/>
  <c r="F84" i="11" s="1"/>
  <c r="F83" i="11" a="1"/>
  <c r="F83" i="11" s="1"/>
  <c r="F37" i="11"/>
  <c r="F46" i="11" s="1"/>
  <c r="F30" i="11"/>
  <c r="F82" i="11"/>
  <c r="F80" i="11"/>
  <c r="F81" i="11"/>
  <c r="L25" i="11"/>
  <c r="L29" i="11"/>
  <c r="E37" i="11"/>
  <c r="E46" i="11" s="1"/>
  <c r="E30" i="11"/>
  <c r="E84" i="11" a="1"/>
  <c r="E84" i="11" s="1"/>
  <c r="E82" i="11"/>
  <c r="E83" i="11" a="1"/>
  <c r="E83" i="11" s="1"/>
  <c r="E81" i="11"/>
  <c r="E80" i="11"/>
  <c r="M25" i="11"/>
  <c r="M29" i="11"/>
  <c r="I30" i="11"/>
  <c r="I37" i="11"/>
  <c r="I46" i="11" s="1"/>
  <c r="J37" i="11"/>
  <c r="J46" i="11" s="1"/>
  <c r="J30" i="11"/>
  <c r="AE15" i="11" l="1"/>
  <c r="D81" i="11"/>
  <c r="D82" i="11"/>
  <c r="D30" i="11"/>
  <c r="D83" i="11" a="1"/>
  <c r="D83" i="11" s="1"/>
  <c r="D80" i="11"/>
  <c r="D37" i="11"/>
  <c r="D46" i="11" s="1"/>
  <c r="P37" i="11"/>
  <c r="Q25" i="11"/>
  <c r="Q29" i="11"/>
  <c r="N29" i="11"/>
  <c r="N30" i="11" s="1"/>
  <c r="C47" i="11"/>
  <c r="R37" i="11"/>
  <c r="R46" i="11" s="1"/>
  <c r="AG9" i="11"/>
  <c r="AE25" i="11"/>
  <c r="S21" i="11"/>
  <c r="S29" i="11"/>
  <c r="AE21" i="11"/>
  <c r="T47" i="11"/>
  <c r="L37" i="11"/>
  <c r="L30" i="11"/>
  <c r="I47" i="11"/>
  <c r="F47" i="11"/>
  <c r="J47" i="11"/>
  <c r="M37" i="11"/>
  <c r="M46" i="11" s="1"/>
  <c r="M30" i="11"/>
  <c r="AE84" i="11" a="1"/>
  <c r="AE84" i="11" s="1"/>
  <c r="AE37" i="11"/>
  <c r="AE83" i="11" a="1"/>
  <c r="AE83" i="11" s="1"/>
  <c r="AE82" i="11"/>
  <c r="AE30" i="11"/>
  <c r="AE80" i="11"/>
  <c r="AE81" i="11"/>
  <c r="E47" i="11"/>
  <c r="S82" i="11" l="1" a="1"/>
  <c r="S82" i="11" s="1"/>
  <c r="D47" i="11"/>
  <c r="Q37" i="11"/>
  <c r="Q30" i="11"/>
  <c r="N37" i="11"/>
  <c r="N46" i="11" s="1"/>
  <c r="S30" i="11"/>
  <c r="T81" i="11"/>
  <c r="S83" i="11" a="1"/>
  <c r="S83" i="11" s="1"/>
  <c r="S84" i="11" a="1"/>
  <c r="S84" i="11" s="1"/>
  <c r="S80" i="11"/>
  <c r="S81" i="11"/>
  <c r="T83" i="11" a="1"/>
  <c r="T83" i="11" s="1"/>
  <c r="T80" i="11"/>
  <c r="T82" i="11" a="1"/>
  <c r="T82" i="11" s="1"/>
  <c r="S37" i="11"/>
  <c r="T84" i="11" a="1"/>
  <c r="T84" i="11" s="1"/>
  <c r="R47" i="11"/>
  <c r="M47" i="11"/>
  <c r="Q46" i="11" l="1"/>
  <c r="Q47" i="11" s="1"/>
  <c r="S46" i="11"/>
  <c r="N47" i="11"/>
  <c r="AE46" i="11" l="1"/>
  <c r="S47" i="11"/>
  <c r="B15" i="10"/>
  <c r="B14" i="10"/>
  <c r="J11" i="10"/>
  <c r="D11" i="10"/>
  <c r="P11" i="10"/>
  <c r="E11" i="10"/>
  <c r="Q11" i="10"/>
  <c r="O11" i="10"/>
  <c r="N11" i="10"/>
  <c r="M11" i="10"/>
  <c r="I11" i="10"/>
  <c r="C11" i="10"/>
  <c r="O148" i="8"/>
  <c r="O33" i="11" s="1"/>
  <c r="K148" i="8"/>
  <c r="K33" i="11" s="1"/>
  <c r="E136" i="8"/>
  <c r="D136" i="8"/>
  <c r="H136" i="8" s="1"/>
  <c r="Y148" i="8" l="1"/>
  <c r="X148" i="8"/>
  <c r="AA148" i="8"/>
  <c r="Z148" i="8"/>
  <c r="W148" i="8"/>
  <c r="V148" i="8"/>
  <c r="AG53" i="8"/>
  <c r="AG61" i="8"/>
  <c r="AG66" i="8"/>
  <c r="AG54" i="8"/>
  <c r="AG62" i="8"/>
  <c r="AG67" i="8"/>
  <c r="C14" i="10"/>
  <c r="C15" i="10"/>
  <c r="I14" i="10"/>
  <c r="V14" i="10" s="1"/>
  <c r="I15" i="10"/>
  <c r="V15" i="10" s="1"/>
  <c r="E15" i="10"/>
  <c r="E14" i="10"/>
  <c r="M15" i="10"/>
  <c r="Z15" i="10" s="1"/>
  <c r="M14" i="10"/>
  <c r="Z14" i="10" s="1"/>
  <c r="N15" i="10"/>
  <c r="AA15" i="10" s="1"/>
  <c r="N14" i="10"/>
  <c r="AA14" i="10" s="1"/>
  <c r="P14" i="10"/>
  <c r="AC14" i="10" s="1"/>
  <c r="P15" i="10"/>
  <c r="AC15" i="10" s="1"/>
  <c r="D14" i="10"/>
  <c r="D15" i="10"/>
  <c r="O14" i="10"/>
  <c r="AB14" i="10" s="1"/>
  <c r="O15" i="10"/>
  <c r="AB15" i="10" s="1"/>
  <c r="J15" i="10"/>
  <c r="W15" i="10" s="1"/>
  <c r="J14" i="10"/>
  <c r="W14" i="10" s="1"/>
  <c r="Q14" i="10"/>
  <c r="AD14" i="10" s="1"/>
  <c r="Q15" i="10"/>
  <c r="AD15" i="10" s="1"/>
  <c r="AE15" i="10"/>
  <c r="AE14" i="10"/>
  <c r="K11" i="10"/>
  <c r="AE11" i="10"/>
  <c r="H11" i="10"/>
  <c r="L11" i="10"/>
  <c r="AC42" i="11" l="1"/>
  <c r="AB42" i="11"/>
  <c r="AA42" i="11"/>
  <c r="Z42" i="11"/>
  <c r="X42" i="11"/>
  <c r="Y42" i="11"/>
  <c r="W42" i="11"/>
  <c r="V42" i="11"/>
  <c r="H15" i="10"/>
  <c r="H14" i="10"/>
  <c r="L15" i="10"/>
  <c r="Y15" i="10" s="1"/>
  <c r="L14" i="10"/>
  <c r="Y14" i="10" s="1"/>
  <c r="K15" i="10"/>
  <c r="X15" i="10" s="1"/>
  <c r="K14" i="10"/>
  <c r="X14" i="10" s="1"/>
  <c r="O29" i="8" l="1"/>
  <c r="K29" i="8"/>
  <c r="O147" i="8"/>
  <c r="O34" i="11" s="1"/>
  <c r="K147" i="8"/>
  <c r="K34" i="11" s="1"/>
  <c r="AG44" i="8"/>
  <c r="E132" i="8"/>
  <c r="P132" i="8"/>
  <c r="C132" i="8"/>
  <c r="O44" i="8"/>
  <c r="O51" i="11" s="1"/>
  <c r="K44" i="8"/>
  <c r="K51" i="11" s="1"/>
  <c r="O24" i="8"/>
  <c r="K24" i="8"/>
  <c r="Z29" i="8" l="1"/>
  <c r="AB29" i="8"/>
  <c r="AC29" i="8"/>
  <c r="AA29" i="8"/>
  <c r="V44" i="8"/>
  <c r="Y24" i="8"/>
  <c r="X24" i="8"/>
  <c r="W24" i="8"/>
  <c r="V24" i="8"/>
  <c r="Z24" i="8"/>
  <c r="AB24" i="8"/>
  <c r="AC24" i="8"/>
  <c r="AA24" i="8"/>
  <c r="Z44" i="8"/>
  <c r="Y29" i="8"/>
  <c r="X29" i="8"/>
  <c r="W29" i="8"/>
  <c r="V29" i="8"/>
  <c r="Z132" i="8"/>
  <c r="Y132" i="8"/>
  <c r="X132" i="8"/>
  <c r="W147" i="8"/>
  <c r="V147" i="8"/>
  <c r="W132" i="8"/>
  <c r="AA147" i="8"/>
  <c r="Y147" i="8"/>
  <c r="X147" i="8"/>
  <c r="Z147" i="8"/>
  <c r="X55" i="11"/>
  <c r="AG83" i="8"/>
  <c r="AG68" i="8"/>
  <c r="AG80" i="8"/>
  <c r="AG73" i="8"/>
  <c r="AG69" i="8"/>
  <c r="AG79" i="8"/>
  <c r="Q132" i="8"/>
  <c r="J132" i="8"/>
  <c r="D132" i="8"/>
  <c r="H132" i="8"/>
  <c r="I132" i="8"/>
  <c r="L132" i="8"/>
  <c r="M132" i="8"/>
  <c r="N132" i="8"/>
  <c r="K98" i="8"/>
  <c r="K23" i="11" s="1"/>
  <c r="Y98" i="8" l="1"/>
  <c r="X98" i="8"/>
  <c r="W98" i="8"/>
  <c r="V98" i="8"/>
  <c r="Z51" i="11"/>
  <c r="Z55" i="11" s="1"/>
  <c r="P46" i="11"/>
  <c r="AD46" i="11" s="1"/>
  <c r="V51" i="11"/>
  <c r="V55" i="11" s="1"/>
  <c r="L46" i="11"/>
  <c r="Z34" i="11"/>
  <c r="AC34" i="11"/>
  <c r="AA34" i="11"/>
  <c r="AG34" i="11" s="1"/>
  <c r="AB34" i="11"/>
  <c r="AC32" i="11"/>
  <c r="AA32" i="11"/>
  <c r="AG32" i="11" s="1"/>
  <c r="Z32" i="11"/>
  <c r="AB32" i="11"/>
  <c r="Y34" i="11"/>
  <c r="W34" i="11"/>
  <c r="V34" i="11"/>
  <c r="X34" i="11"/>
  <c r="AB33" i="11"/>
  <c r="AC33" i="11"/>
  <c r="Z33" i="11"/>
  <c r="AA33" i="11"/>
  <c r="AG33" i="11" s="1"/>
  <c r="Y32" i="11"/>
  <c r="V32" i="11"/>
  <c r="X32" i="11"/>
  <c r="W32" i="11"/>
  <c r="Y33" i="11"/>
  <c r="W33" i="11"/>
  <c r="V33" i="11"/>
  <c r="X33" i="11"/>
  <c r="AG29" i="8"/>
  <c r="O55" i="11"/>
  <c r="W55" i="11"/>
  <c r="K55" i="11"/>
  <c r="AG24" i="8"/>
  <c r="K105" i="8"/>
  <c r="K36" i="11" s="1"/>
  <c r="O132" i="8"/>
  <c r="K132" i="8"/>
  <c r="V132" i="8"/>
  <c r="X105" i="8" l="1"/>
  <c r="W105" i="8"/>
  <c r="V105" i="8"/>
  <c r="Y105" i="8"/>
  <c r="Y23" i="11"/>
  <c r="X23" i="11"/>
  <c r="V23" i="11"/>
  <c r="W23" i="11"/>
  <c r="Y27" i="11"/>
  <c r="V27" i="11"/>
  <c r="X27" i="11"/>
  <c r="W27" i="11"/>
  <c r="AC27" i="11"/>
  <c r="AB27" i="11"/>
  <c r="Z27" i="11"/>
  <c r="AA27" i="11"/>
  <c r="AG27" i="11" s="1"/>
  <c r="AE47" i="11"/>
  <c r="P47" i="11"/>
  <c r="L47" i="11"/>
  <c r="AA55" i="11"/>
  <c r="AA132" i="8"/>
  <c r="AC132" i="8"/>
  <c r="AE132" i="8"/>
  <c r="AD132" i="8"/>
  <c r="AB132" i="8"/>
  <c r="Y36" i="11" l="1"/>
  <c r="W36" i="11"/>
  <c r="X36" i="11"/>
  <c r="V36" i="11"/>
  <c r="Q84" i="8"/>
  <c r="Q75" i="11" s="1"/>
  <c r="AB75" i="11" s="1"/>
  <c r="P84" i="8"/>
  <c r="P75" i="11" s="1"/>
  <c r="AA75" i="11" s="1"/>
  <c r="N84" i="8"/>
  <c r="N75" i="11" s="1"/>
  <c r="Y75" i="11" s="1"/>
  <c r="M84" i="8"/>
  <c r="L84" i="8"/>
  <c r="L75" i="11" s="1"/>
  <c r="W75" i="11" s="1"/>
  <c r="J84" i="8"/>
  <c r="I84" i="8"/>
  <c r="H84" i="8"/>
  <c r="E84" i="8"/>
  <c r="D84" i="8"/>
  <c r="C84" i="8"/>
  <c r="O36" i="8"/>
  <c r="Z36" i="8" s="1"/>
  <c r="O33" i="8"/>
  <c r="Z33" i="8" s="1"/>
  <c r="O18" i="8"/>
  <c r="O17" i="11" s="1"/>
  <c r="O13" i="8"/>
  <c r="O12" i="11" s="1"/>
  <c r="O14" i="11" s="1"/>
  <c r="O15" i="11" s="1"/>
  <c r="O10" i="8"/>
  <c r="K13" i="8"/>
  <c r="K12" i="11" s="1"/>
  <c r="K14" i="11" s="1"/>
  <c r="K15" i="11" s="1"/>
  <c r="K10" i="8"/>
  <c r="K18" i="8"/>
  <c r="K17" i="11" s="1"/>
  <c r="D75" i="11" l="1"/>
  <c r="D76" i="11" s="1"/>
  <c r="D85" i="11" s="1"/>
  <c r="C75" i="11"/>
  <c r="C76" i="11" s="1"/>
  <c r="C85" i="11" s="1"/>
  <c r="M75" i="11"/>
  <c r="X75" i="11" s="1"/>
  <c r="E75" i="11"/>
  <c r="E76" i="11" s="1"/>
  <c r="E85" i="11" s="1"/>
  <c r="H75" i="11"/>
  <c r="H76" i="11" s="1"/>
  <c r="J75" i="11"/>
  <c r="J76" i="11" s="1"/>
  <c r="I75" i="11"/>
  <c r="I76" i="11" s="1"/>
  <c r="Y13" i="8"/>
  <c r="X13" i="8"/>
  <c r="V13" i="8"/>
  <c r="W13" i="8"/>
  <c r="AB13" i="8"/>
  <c r="AA13" i="8"/>
  <c r="Z13" i="8"/>
  <c r="AC13" i="8"/>
  <c r="Z18" i="8"/>
  <c r="AB18" i="8"/>
  <c r="AC18" i="8"/>
  <c r="AA18" i="8"/>
  <c r="Y18" i="8"/>
  <c r="X18" i="8"/>
  <c r="W18" i="8"/>
  <c r="V18" i="8"/>
  <c r="Y10" i="8"/>
  <c r="X10" i="8"/>
  <c r="W10" i="8"/>
  <c r="V10" i="8"/>
  <c r="AA10" i="8"/>
  <c r="Z10" i="8"/>
  <c r="AC10" i="8"/>
  <c r="AB10" i="8"/>
  <c r="AD20" i="11"/>
  <c r="Y76" i="11"/>
  <c r="Y85" i="11" s="1"/>
  <c r="N76" i="11"/>
  <c r="N85" i="11" s="1"/>
  <c r="AC76" i="11"/>
  <c r="AC85" i="11" s="1"/>
  <c r="Q76" i="11"/>
  <c r="Q85" i="11" s="1"/>
  <c r="AB76" i="11"/>
  <c r="AB85" i="11" s="1"/>
  <c r="P76" i="11"/>
  <c r="P85" i="11" s="1"/>
  <c r="L76" i="11"/>
  <c r="L85" i="11" s="1"/>
  <c r="AG33" i="8"/>
  <c r="AG36" i="8"/>
  <c r="V84" i="8"/>
  <c r="X84" i="8"/>
  <c r="Z84" i="8"/>
  <c r="AA84" i="8"/>
  <c r="AB84" i="8"/>
  <c r="AD84" i="8"/>
  <c r="W84" i="8"/>
  <c r="K84" i="8"/>
  <c r="K75" i="11" s="1"/>
  <c r="V75" i="11" s="1"/>
  <c r="V76" i="11" s="1"/>
  <c r="V85" i="11" s="1"/>
  <c r="Y84" i="8"/>
  <c r="AC84" i="8"/>
  <c r="O84" i="8"/>
  <c r="AE84" i="8"/>
  <c r="M76" i="11" l="1"/>
  <c r="M85" i="11" s="1"/>
  <c r="X76" i="11"/>
  <c r="X85" i="11" s="1"/>
  <c r="O75" i="11"/>
  <c r="Z75" i="11" s="1"/>
  <c r="Z76" i="11" s="1"/>
  <c r="Z85" i="11" s="1"/>
  <c r="Y12" i="11"/>
  <c r="X12" i="11"/>
  <c r="X14" i="11" s="1"/>
  <c r="X15" i="11" s="1"/>
  <c r="W12" i="11"/>
  <c r="V12" i="11"/>
  <c r="V14" i="11" s="1"/>
  <c r="X17" i="11"/>
  <c r="Y17" i="11"/>
  <c r="V17" i="11"/>
  <c r="W17" i="11"/>
  <c r="O20" i="11"/>
  <c r="Z12" i="11"/>
  <c r="AC12" i="11"/>
  <c r="AC14" i="11" s="1"/>
  <c r="AA12" i="11"/>
  <c r="AA14" i="11" s="1"/>
  <c r="AB12" i="11"/>
  <c r="AC17" i="11"/>
  <c r="Z17" i="11"/>
  <c r="AB17" i="11"/>
  <c r="AA17" i="11"/>
  <c r="AG17" i="11" s="1"/>
  <c r="K20" i="11"/>
  <c r="AD15" i="11"/>
  <c r="W76" i="11"/>
  <c r="W85" i="11" s="1"/>
  <c r="K76" i="11"/>
  <c r="K85" i="11" s="1"/>
  <c r="AA76" i="11"/>
  <c r="AA85" i="11" s="1"/>
  <c r="O105" i="8"/>
  <c r="O36" i="11" s="1"/>
  <c r="O98" i="8"/>
  <c r="O23" i="11" s="1"/>
  <c r="O76" i="11" l="1"/>
  <c r="O85" i="11" s="1"/>
  <c r="Z14" i="11"/>
  <c r="Z15" i="11" s="1"/>
  <c r="AB14" i="11"/>
  <c r="AB15" i="11" s="1"/>
  <c r="W14" i="11"/>
  <c r="W20" i="11" s="1"/>
  <c r="W21" i="11" s="1"/>
  <c r="Y14" i="11"/>
  <c r="Y15" i="11" s="1"/>
  <c r="AC20" i="11"/>
  <c r="AC21" i="11" s="1"/>
  <c r="Z98" i="8"/>
  <c r="AB98" i="8"/>
  <c r="AC98" i="8"/>
  <c r="AA98" i="8"/>
  <c r="AG98" i="8" s="1"/>
  <c r="AC105" i="8"/>
  <c r="AB105" i="8"/>
  <c r="Z105" i="8"/>
  <c r="AA105" i="8"/>
  <c r="AG105" i="8" s="1"/>
  <c r="AC28" i="11"/>
  <c r="AB28" i="11"/>
  <c r="AA28" i="11"/>
  <c r="AG28" i="11" s="1"/>
  <c r="Z28" i="11"/>
  <c r="X28" i="11"/>
  <c r="Y28" i="11"/>
  <c r="V28" i="11"/>
  <c r="W28" i="11"/>
  <c r="AC15" i="11"/>
  <c r="X20" i="11"/>
  <c r="X21" i="11" s="1"/>
  <c r="AG12" i="11"/>
  <c r="AA20" i="11"/>
  <c r="V20" i="11"/>
  <c r="V15" i="11"/>
  <c r="AD24" i="11"/>
  <c r="O21" i="11"/>
  <c r="K21" i="11"/>
  <c r="K24" i="11"/>
  <c r="AG14" i="11"/>
  <c r="AA15" i="11"/>
  <c r="AG15" i="11" s="1"/>
  <c r="AD21" i="11"/>
  <c r="AG114" i="8"/>
  <c r="Z20" i="11" l="1"/>
  <c r="Z21" i="11" s="1"/>
  <c r="AB20" i="11"/>
  <c r="AB21" i="11" s="1"/>
  <c r="Y20" i="11"/>
  <c r="Y21" i="11" s="1"/>
  <c r="W15" i="11"/>
  <c r="AC36" i="11"/>
  <c r="AA36" i="11"/>
  <c r="AG36" i="11" s="1"/>
  <c r="Z36" i="11"/>
  <c r="AB36" i="11"/>
  <c r="AB23" i="11"/>
  <c r="AC23" i="11"/>
  <c r="AC24" i="11" s="1"/>
  <c r="AC29" i="11" s="1"/>
  <c r="Z23" i="11"/>
  <c r="Z24" i="11" s="1"/>
  <c r="Z25" i="11" s="1"/>
  <c r="AA23" i="11"/>
  <c r="AA24" i="11" s="1"/>
  <c r="O24" i="11"/>
  <c r="O25" i="11" s="1"/>
  <c r="X24" i="11"/>
  <c r="X25" i="11" s="1"/>
  <c r="W24" i="11"/>
  <c r="W25" i="11" s="1"/>
  <c r="V21" i="11"/>
  <c r="V24" i="11"/>
  <c r="AD25" i="11"/>
  <c r="AD29" i="11"/>
  <c r="K25" i="11"/>
  <c r="K29" i="11"/>
  <c r="AA21" i="11"/>
  <c r="AG21" i="11" s="1"/>
  <c r="AG20" i="11"/>
  <c r="AB24" i="11" l="1"/>
  <c r="AB29" i="11" s="1"/>
  <c r="AB30" i="11" s="1"/>
  <c r="Y24" i="11"/>
  <c r="Y29" i="11" s="1"/>
  <c r="Y81" i="11" s="1"/>
  <c r="AG23" i="11"/>
  <c r="N80" i="11"/>
  <c r="N83" i="11" a="1"/>
  <c r="N83" i="11" s="1"/>
  <c r="N84" i="11" a="1"/>
  <c r="N84" i="11" s="1"/>
  <c r="N82" i="11" a="1"/>
  <c r="N82" i="11" s="1"/>
  <c r="N81" i="11"/>
  <c r="K84" i="11" a="1"/>
  <c r="K84" i="11" s="1"/>
  <c r="K82" i="11" a="1"/>
  <c r="K82" i="11" s="1"/>
  <c r="M84" i="11" a="1"/>
  <c r="M84" i="11" s="1"/>
  <c r="K81" i="11"/>
  <c r="M81" i="11"/>
  <c r="M80" i="11"/>
  <c r="L82" i="11" a="1"/>
  <c r="L82" i="11" s="1"/>
  <c r="L80" i="11"/>
  <c r="M82" i="11" a="1"/>
  <c r="M82" i="11" s="1"/>
  <c r="L81" i="11"/>
  <c r="L83" i="11" a="1"/>
  <c r="L83" i="11" s="1"/>
  <c r="M83" i="11" a="1"/>
  <c r="M83" i="11" s="1"/>
  <c r="L84" i="11" a="1"/>
  <c r="L84" i="11" s="1"/>
  <c r="K83" i="11" a="1"/>
  <c r="K83" i="11" s="1"/>
  <c r="K80" i="11"/>
  <c r="AC25" i="11"/>
  <c r="O29" i="11"/>
  <c r="X29" i="11"/>
  <c r="X37" i="11" s="1"/>
  <c r="W29" i="11"/>
  <c r="W81" i="11" s="1"/>
  <c r="Z29" i="11"/>
  <c r="Z80" i="11" s="1"/>
  <c r="V25" i="11"/>
  <c r="V29" i="11"/>
  <c r="AD30" i="11"/>
  <c r="AD82" i="11"/>
  <c r="AD83" i="11" a="1"/>
  <c r="AD83" i="11" s="1"/>
  <c r="AD37" i="11"/>
  <c r="AD84" i="11" a="1"/>
  <c r="AD84" i="11" s="1"/>
  <c r="AD81" i="11"/>
  <c r="AD80" i="11"/>
  <c r="AA29" i="11"/>
  <c r="AA25" i="11"/>
  <c r="AG25" i="11" s="1"/>
  <c r="AG24" i="11"/>
  <c r="K30" i="11"/>
  <c r="K37" i="11"/>
  <c r="K46" i="11" s="1"/>
  <c r="AC84" i="11" a="1"/>
  <c r="AC84" i="11" s="1"/>
  <c r="AC37" i="11"/>
  <c r="AC82" i="11"/>
  <c r="AC83" i="11" a="1"/>
  <c r="AC83" i="11" s="1"/>
  <c r="AC30" i="11"/>
  <c r="AC80" i="11"/>
  <c r="AC81" i="11"/>
  <c r="P70" i="8"/>
  <c r="P63" i="11" s="1"/>
  <c r="AA63" i="11" s="1"/>
  <c r="N70" i="8"/>
  <c r="N63" i="11" s="1"/>
  <c r="Y63" i="11" s="1"/>
  <c r="P124" i="8"/>
  <c r="L124" i="8"/>
  <c r="H124" i="8"/>
  <c r="O11" i="8"/>
  <c r="K11" i="8"/>
  <c r="K36" i="8"/>
  <c r="V36" i="8" s="1"/>
  <c r="K33" i="8"/>
  <c r="V33" i="8" s="1"/>
  <c r="M50" i="8"/>
  <c r="M63" i="8" s="1"/>
  <c r="L50" i="8"/>
  <c r="L63" i="8" s="1"/>
  <c r="H50" i="8"/>
  <c r="H63" i="8" s="1"/>
  <c r="Q92" i="8"/>
  <c r="P92" i="8"/>
  <c r="O92" i="8"/>
  <c r="N92" i="8"/>
  <c r="M92" i="8"/>
  <c r="L92" i="8"/>
  <c r="K92" i="8"/>
  <c r="J92" i="8"/>
  <c r="I92" i="8"/>
  <c r="H92" i="8"/>
  <c r="Q91" i="8"/>
  <c r="P91" i="8"/>
  <c r="O91" i="8"/>
  <c r="N91" i="8"/>
  <c r="M91" i="8"/>
  <c r="L91" i="8"/>
  <c r="K91" i="8"/>
  <c r="J91" i="8"/>
  <c r="I91" i="8"/>
  <c r="H91" i="8"/>
  <c r="I50" i="8"/>
  <c r="I63" i="8" s="1"/>
  <c r="J50" i="8"/>
  <c r="J63" i="8" s="1"/>
  <c r="N50" i="8"/>
  <c r="N63" i="8" s="1"/>
  <c r="P50" i="8"/>
  <c r="P63" i="8" s="1"/>
  <c r="Q50" i="8"/>
  <c r="Q63" i="8" s="1"/>
  <c r="Q41" i="8"/>
  <c r="P41" i="8"/>
  <c r="O41" i="8"/>
  <c r="N41" i="8"/>
  <c r="M41" i="8"/>
  <c r="L41" i="8"/>
  <c r="K41" i="8"/>
  <c r="J41" i="8"/>
  <c r="I41" i="8"/>
  <c r="H41" i="8"/>
  <c r="Q40" i="8"/>
  <c r="P40" i="8"/>
  <c r="O40" i="8"/>
  <c r="N40" i="8"/>
  <c r="M40" i="8"/>
  <c r="L40" i="8"/>
  <c r="K40" i="8"/>
  <c r="J40" i="8"/>
  <c r="I40" i="8"/>
  <c r="H40" i="8"/>
  <c r="E41" i="8"/>
  <c r="D41" i="8"/>
  <c r="C41" i="8"/>
  <c r="E40" i="8"/>
  <c r="D40" i="8"/>
  <c r="C40" i="8"/>
  <c r="Q11" i="8"/>
  <c r="Q15" i="8" s="1"/>
  <c r="P11" i="8"/>
  <c r="P15" i="8" s="1"/>
  <c r="N11" i="8"/>
  <c r="N15" i="8" s="1"/>
  <c r="M11" i="8"/>
  <c r="M15" i="8" s="1"/>
  <c r="L11" i="8"/>
  <c r="L15" i="8" s="1"/>
  <c r="J11" i="8"/>
  <c r="I11" i="8"/>
  <c r="H11" i="8"/>
  <c r="AB25" i="11" l="1"/>
  <c r="Y25" i="11"/>
  <c r="K12" i="10"/>
  <c r="K15" i="8"/>
  <c r="K16" i="8" s="1"/>
  <c r="J12" i="10"/>
  <c r="J15" i="8"/>
  <c r="J16" i="8" s="1"/>
  <c r="H12" i="10"/>
  <c r="H15" i="8"/>
  <c r="H21" i="8" s="1"/>
  <c r="I12" i="10"/>
  <c r="I15" i="8"/>
  <c r="I16" i="8" s="1"/>
  <c r="O12" i="10"/>
  <c r="O15" i="8"/>
  <c r="O16" i="8" s="1"/>
  <c r="AB83" i="11" a="1"/>
  <c r="AB83" i="11" s="1"/>
  <c r="AB84" i="11" a="1"/>
  <c r="AB84" i="11" s="1"/>
  <c r="AB81" i="11"/>
  <c r="AB80" i="11"/>
  <c r="AB82" i="11"/>
  <c r="AB37" i="11"/>
  <c r="R82" i="11" a="1"/>
  <c r="R82" i="11" s="1"/>
  <c r="R84" i="11" a="1"/>
  <c r="R84" i="11" s="1"/>
  <c r="R81" i="11"/>
  <c r="R80" i="11"/>
  <c r="R83" i="11" a="1"/>
  <c r="R83" i="11" s="1"/>
  <c r="Q81" i="11"/>
  <c r="P83" i="11" a="1"/>
  <c r="P83" i="11" s="1"/>
  <c r="Q83" i="11" a="1"/>
  <c r="Q83" i="11" s="1"/>
  <c r="P82" i="11" a="1"/>
  <c r="P82" i="11" s="1"/>
  <c r="O84" i="11" a="1"/>
  <c r="O84" i="11" s="1"/>
  <c r="Q84" i="11" a="1"/>
  <c r="Q84" i="11" s="1"/>
  <c r="O81" i="11"/>
  <c r="Q80" i="11"/>
  <c r="P84" i="11" a="1"/>
  <c r="P84" i="11" s="1"/>
  <c r="P80" i="11"/>
  <c r="Q82" i="11" a="1"/>
  <c r="Q82" i="11" s="1"/>
  <c r="O83" i="11" a="1"/>
  <c r="O83" i="11" s="1"/>
  <c r="P81" i="11"/>
  <c r="O80" i="11"/>
  <c r="O82" i="11" a="1"/>
  <c r="O82" i="11" s="1"/>
  <c r="W80" i="11"/>
  <c r="W84" i="11" a="1"/>
  <c r="W84" i="11" s="1"/>
  <c r="Y37" i="11"/>
  <c r="Y83" i="11" a="1"/>
  <c r="Y83" i="11" s="1"/>
  <c r="Y82" i="11"/>
  <c r="O37" i="11"/>
  <c r="O46" i="11" s="1"/>
  <c r="W83" i="11" a="1"/>
  <c r="W83" i="11" s="1"/>
  <c r="W82" i="11"/>
  <c r="W30" i="11"/>
  <c r="O30" i="11"/>
  <c r="Y84" i="11" a="1"/>
  <c r="Y84" i="11" s="1"/>
  <c r="Y80" i="11"/>
  <c r="Y30" i="11"/>
  <c r="W37" i="11"/>
  <c r="X84" i="11" a="1"/>
  <c r="X84" i="11" s="1"/>
  <c r="Z81" i="11"/>
  <c r="Z37" i="11"/>
  <c r="Z30" i="11"/>
  <c r="Z82" i="11"/>
  <c r="Z83" i="11" a="1"/>
  <c r="Z83" i="11" s="1"/>
  <c r="Z84" i="11" a="1"/>
  <c r="Z84" i="11" s="1"/>
  <c r="X83" i="11" a="1"/>
  <c r="X83" i="11" s="1"/>
  <c r="X80" i="11"/>
  <c r="X82" i="11"/>
  <c r="X81" i="11"/>
  <c r="X30" i="11"/>
  <c r="V83" i="11" a="1"/>
  <c r="V83" i="11" s="1"/>
  <c r="V81" i="11"/>
  <c r="V82" i="11"/>
  <c r="V80" i="11"/>
  <c r="V30" i="11"/>
  <c r="V84" i="11" a="1"/>
  <c r="V84" i="11" s="1"/>
  <c r="V37" i="11"/>
  <c r="P21" i="8"/>
  <c r="P26" i="8" s="1"/>
  <c r="P12" i="10"/>
  <c r="Q16" i="8"/>
  <c r="Q12" i="10"/>
  <c r="L21" i="8"/>
  <c r="L12" i="10"/>
  <c r="N21" i="8"/>
  <c r="N12" i="10"/>
  <c r="M16" i="8"/>
  <c r="M12" i="10"/>
  <c r="AA84" i="11" a="1"/>
  <c r="AA84" i="11" s="1"/>
  <c r="AA83" i="11" a="1"/>
  <c r="AA83" i="11" s="1"/>
  <c r="AA30" i="11"/>
  <c r="AG30" i="11" s="1"/>
  <c r="AA37" i="11"/>
  <c r="AG37" i="11" s="1"/>
  <c r="AG29" i="11"/>
  <c r="AA80" i="11"/>
  <c r="AA82" i="11"/>
  <c r="AA81" i="11"/>
  <c r="N77" i="8"/>
  <c r="N64" i="11" s="1"/>
  <c r="Y64" i="11" s="1"/>
  <c r="L70" i="8"/>
  <c r="L63" i="11" s="1"/>
  <c r="W63" i="11" s="1"/>
  <c r="Q70" i="8"/>
  <c r="Q63" i="11" s="1"/>
  <c r="AB63" i="11" s="1"/>
  <c r="I70" i="8"/>
  <c r="I63" i="11" s="1"/>
  <c r="H70" i="8"/>
  <c r="H63" i="11" s="1"/>
  <c r="M70" i="8"/>
  <c r="M63" i="11" s="1"/>
  <c r="X63" i="11" s="1"/>
  <c r="E70" i="8"/>
  <c r="E63" i="11" s="1"/>
  <c r="J70" i="8"/>
  <c r="J63" i="11" s="1"/>
  <c r="Q124" i="8"/>
  <c r="O124" i="8"/>
  <c r="I124" i="8"/>
  <c r="M124" i="8"/>
  <c r="N124" i="8"/>
  <c r="O70" i="8"/>
  <c r="O63" i="11" s="1"/>
  <c r="Z63" i="11" s="1"/>
  <c r="O50" i="8"/>
  <c r="O63" i="8" s="1"/>
  <c r="K50" i="8"/>
  <c r="K63" i="8" s="1"/>
  <c r="K70" i="8"/>
  <c r="K63" i="11" s="1"/>
  <c r="V63" i="11" s="1"/>
  <c r="Y46" i="11" l="1"/>
  <c r="Y47" i="11" s="1"/>
  <c r="W46" i="11"/>
  <c r="W47" i="11" s="1"/>
  <c r="V46" i="11"/>
  <c r="V47" i="11" s="1"/>
  <c r="X46" i="11"/>
  <c r="X47" i="11" s="1"/>
  <c r="AC46" i="11"/>
  <c r="AC47" i="11" s="1"/>
  <c r="AB46" i="11"/>
  <c r="AB47" i="11" s="1"/>
  <c r="AA46" i="11"/>
  <c r="AA47" i="11" s="1"/>
  <c r="Z46" i="11"/>
  <c r="Z47" i="11" s="1"/>
  <c r="Q21" i="8"/>
  <c r="Q26" i="8" s="1"/>
  <c r="Q27" i="8" s="1"/>
  <c r="P16" i="8"/>
  <c r="P22" i="8"/>
  <c r="M21" i="8"/>
  <c r="M26" i="8" s="1"/>
  <c r="M27" i="8" s="1"/>
  <c r="L16" i="8"/>
  <c r="K47" i="11"/>
  <c r="O47" i="11"/>
  <c r="N16" i="8"/>
  <c r="P27" i="8"/>
  <c r="P30" i="8"/>
  <c r="P95" i="8" s="1"/>
  <c r="P111" i="8" s="1"/>
  <c r="AD47" i="11"/>
  <c r="N26" i="8"/>
  <c r="H26" i="8"/>
  <c r="L26" i="8"/>
  <c r="I21" i="8"/>
  <c r="N85" i="8"/>
  <c r="N87" i="8" s="1"/>
  <c r="H22" i="8"/>
  <c r="H16" i="8"/>
  <c r="J21" i="8"/>
  <c r="O77" i="8"/>
  <c r="O64" i="11" s="1"/>
  <c r="Z64" i="11" s="1"/>
  <c r="L77" i="8"/>
  <c r="L64" i="11" s="1"/>
  <c r="W64" i="11" s="1"/>
  <c r="J77" i="8"/>
  <c r="J64" i="11" s="1"/>
  <c r="E77" i="8"/>
  <c r="E64" i="11" s="1"/>
  <c r="I77" i="8"/>
  <c r="I64" i="11" s="1"/>
  <c r="K77" i="8"/>
  <c r="K64" i="11" s="1"/>
  <c r="V64" i="11" s="1"/>
  <c r="Q77" i="8"/>
  <c r="Q64" i="11" s="1"/>
  <c r="AB64" i="11" s="1"/>
  <c r="H77" i="8"/>
  <c r="H64" i="11" s="1"/>
  <c r="M77" i="8"/>
  <c r="M64" i="11" s="1"/>
  <c r="X64" i="11" s="1"/>
  <c r="P77" i="8"/>
  <c r="P64" i="11" s="1"/>
  <c r="AA64" i="11" s="1"/>
  <c r="J124" i="8"/>
  <c r="K124" i="8"/>
  <c r="O21" i="8"/>
  <c r="O26" i="8" s="1"/>
  <c r="K21" i="8"/>
  <c r="K26" i="8" s="1"/>
  <c r="N22" i="8"/>
  <c r="L22" i="8"/>
  <c r="M30" i="8" l="1"/>
  <c r="M95" i="8" s="1"/>
  <c r="M111" i="8" s="1"/>
  <c r="Q30" i="8"/>
  <c r="Q95" i="8" s="1"/>
  <c r="Q22" i="8"/>
  <c r="M22" i="8"/>
  <c r="O27" i="8"/>
  <c r="O30" i="8"/>
  <c r="O95" i="8" s="1"/>
  <c r="O111" i="8" s="1"/>
  <c r="N27" i="8"/>
  <c r="N30" i="8"/>
  <c r="N95" i="8" s="1"/>
  <c r="N111" i="8" s="1"/>
  <c r="L27" i="8"/>
  <c r="L30" i="8"/>
  <c r="L95" i="8" s="1"/>
  <c r="L111" i="8" s="1"/>
  <c r="K27" i="8"/>
  <c r="K30" i="8"/>
  <c r="K95" i="8" s="1"/>
  <c r="K111" i="8" s="1"/>
  <c r="K141" i="8" s="1"/>
  <c r="H27" i="8"/>
  <c r="H30" i="8"/>
  <c r="H95" i="8" s="1"/>
  <c r="H111" i="8" s="1"/>
  <c r="H141" i="8" s="1"/>
  <c r="P37" i="8"/>
  <c r="P31" i="8"/>
  <c r="P34" i="8"/>
  <c r="J26" i="8"/>
  <c r="I26" i="8"/>
  <c r="L85" i="8"/>
  <c r="L87" i="8" s="1"/>
  <c r="I22" i="8"/>
  <c r="J22" i="8"/>
  <c r="K85" i="8"/>
  <c r="K87" i="8" s="1"/>
  <c r="O85" i="8"/>
  <c r="O87" i="8" s="1"/>
  <c r="J85" i="8"/>
  <c r="J87" i="8" s="1"/>
  <c r="I85" i="8"/>
  <c r="I87" i="8" s="1"/>
  <c r="Q85" i="8"/>
  <c r="Q87" i="8" s="1"/>
  <c r="P85" i="8"/>
  <c r="P87" i="8" s="1"/>
  <c r="M85" i="8"/>
  <c r="M87" i="8" s="1"/>
  <c r="H85" i="8"/>
  <c r="H87" i="8" s="1"/>
  <c r="K22" i="8"/>
  <c r="O22" i="8"/>
  <c r="Q111" i="8" l="1"/>
  <c r="Q141" i="8" s="1"/>
  <c r="AB141" i="8" s="1"/>
  <c r="M31" i="8"/>
  <c r="M37" i="8"/>
  <c r="M34" i="8"/>
  <c r="Q31" i="8"/>
  <c r="Q34" i="8"/>
  <c r="Q37" i="8"/>
  <c r="I27" i="8"/>
  <c r="I30" i="8"/>
  <c r="I95" i="8" s="1"/>
  <c r="I111" i="8" s="1"/>
  <c r="J27" i="8"/>
  <c r="J30" i="8"/>
  <c r="J95" i="8" s="1"/>
  <c r="J111" i="8" s="1"/>
  <c r="H34" i="8"/>
  <c r="H31" i="8"/>
  <c r="H37" i="8"/>
  <c r="L34" i="8"/>
  <c r="L37" i="8"/>
  <c r="L31" i="8"/>
  <c r="N37" i="8"/>
  <c r="N31" i="8"/>
  <c r="N34" i="8"/>
  <c r="O37" i="8"/>
  <c r="O31" i="8"/>
  <c r="O34" i="8"/>
  <c r="K31" i="8"/>
  <c r="K34" i="8"/>
  <c r="K37" i="8"/>
  <c r="P141" i="8"/>
  <c r="AA141" i="8" s="1"/>
  <c r="L141" i="8"/>
  <c r="W141" i="8" s="1"/>
  <c r="M141" i="8"/>
  <c r="X141" i="8" s="1"/>
  <c r="N141" i="8"/>
  <c r="Y141" i="8" s="1"/>
  <c r="J37" i="8" l="1"/>
  <c r="J31" i="8"/>
  <c r="J34" i="8"/>
  <c r="I37" i="8"/>
  <c r="I31" i="8"/>
  <c r="I34" i="8"/>
  <c r="I141" i="8" l="1"/>
  <c r="J141" i="8"/>
  <c r="B92" i="8" l="1"/>
  <c r="B91" i="8"/>
  <c r="E92" i="8"/>
  <c r="D92" i="8"/>
  <c r="C92" i="8"/>
  <c r="E91" i="8"/>
  <c r="D91" i="8"/>
  <c r="C91" i="8"/>
  <c r="B41" i="8"/>
  <c r="B40" i="8"/>
  <c r="AE41" i="8"/>
  <c r="AD41" i="8"/>
  <c r="AC41" i="8"/>
  <c r="AA41" i="8"/>
  <c r="Z41" i="8"/>
  <c r="Y41" i="8"/>
  <c r="W41" i="8"/>
  <c r="V41" i="8"/>
  <c r="AB41" i="8"/>
  <c r="X41" i="8"/>
  <c r="AE40" i="8"/>
  <c r="AD40" i="8"/>
  <c r="AC40" i="8"/>
  <c r="AB40" i="8"/>
  <c r="AA40" i="8"/>
  <c r="Z40" i="8"/>
  <c r="Y40" i="8"/>
  <c r="X40" i="8"/>
  <c r="W40" i="8"/>
  <c r="V40" i="8"/>
  <c r="X91" i="8" l="1"/>
  <c r="Y91" i="8"/>
  <c r="Y92" i="8"/>
  <c r="AB91" i="8"/>
  <c r="AC91" i="8"/>
  <c r="X92" i="8"/>
  <c r="AC92" i="8"/>
  <c r="AD92" i="8"/>
  <c r="AA91" i="8"/>
  <c r="V91" i="8"/>
  <c r="AD91" i="8"/>
  <c r="AA92" i="8"/>
  <c r="Z92" i="8"/>
  <c r="W91" i="8"/>
  <c r="AE91" i="8"/>
  <c r="AB92" i="8"/>
  <c r="V92" i="8"/>
  <c r="Z91" i="8"/>
  <c r="W92" i="8"/>
  <c r="AE92" i="8"/>
  <c r="Z11" i="8" l="1"/>
  <c r="D50" i="8"/>
  <c r="D63" i="8" s="1"/>
  <c r="C50" i="8"/>
  <c r="C63" i="8" s="1"/>
  <c r="E50" i="8"/>
  <c r="E63" i="8" s="1"/>
  <c r="Z12" i="10" l="1"/>
  <c r="Z15" i="8"/>
  <c r="Z21" i="8" s="1"/>
  <c r="AA11" i="8"/>
  <c r="AA50" i="8"/>
  <c r="AA63" i="8" s="1"/>
  <c r="Y50" i="8"/>
  <c r="Y63" i="8" s="1"/>
  <c r="AA70" i="8"/>
  <c r="AA77" i="8" s="1"/>
  <c r="Z70" i="8"/>
  <c r="Z77" i="8" s="1"/>
  <c r="V70" i="8"/>
  <c r="V77" i="8" s="1"/>
  <c r="X11" i="8"/>
  <c r="V50" i="8"/>
  <c r="V63" i="8" s="1"/>
  <c r="Z50" i="8"/>
  <c r="Z63" i="8" s="1"/>
  <c r="Y11" i="8"/>
  <c r="W50" i="8"/>
  <c r="W63" i="8" s="1"/>
  <c r="W70" i="8"/>
  <c r="W77" i="8" s="1"/>
  <c r="Y70" i="8"/>
  <c r="Y77" i="8" s="1"/>
  <c r="AC50" i="8"/>
  <c r="AC63" i="8" s="1"/>
  <c r="AC11" i="8"/>
  <c r="AC70" i="8"/>
  <c r="AC77" i="8" s="1"/>
  <c r="AD70" i="8"/>
  <c r="AD77" i="8" s="1"/>
  <c r="AB11" i="8"/>
  <c r="AD11" i="8"/>
  <c r="AD50" i="8"/>
  <c r="AD63" i="8" s="1"/>
  <c r="Y12" i="10" l="1"/>
  <c r="Y15" i="8"/>
  <c r="Y21" i="8" s="1"/>
  <c r="AA12" i="10"/>
  <c r="AA15" i="8"/>
  <c r="AA21" i="8" s="1"/>
  <c r="AC12" i="10"/>
  <c r="AC15" i="8"/>
  <c r="AC21" i="8" s="1"/>
  <c r="X12" i="10"/>
  <c r="X15" i="8"/>
  <c r="X21" i="8" s="1"/>
  <c r="AD12" i="10"/>
  <c r="AD15" i="8"/>
  <c r="AD21" i="8" s="1"/>
  <c r="AB12" i="10"/>
  <c r="AB15" i="8"/>
  <c r="AB21" i="8" s="1"/>
  <c r="Z26" i="8"/>
  <c r="Z22" i="8"/>
  <c r="AG10" i="8"/>
  <c r="AA85" i="8"/>
  <c r="AA87" i="8" s="1"/>
  <c r="Y85" i="8"/>
  <c r="Y87" i="8" s="1"/>
  <c r="W85" i="8"/>
  <c r="W87" i="8" s="1"/>
  <c r="AG18" i="8"/>
  <c r="Z85" i="8"/>
  <c r="Z87" i="8" s="1"/>
  <c r="V85" i="8"/>
  <c r="V87" i="8" s="1"/>
  <c r="Z16" i="8"/>
  <c r="AG13" i="8"/>
  <c r="AC85" i="8"/>
  <c r="AC87" i="8" s="1"/>
  <c r="AD85" i="8"/>
  <c r="AD87" i="8" s="1"/>
  <c r="Z27" i="8" l="1"/>
  <c r="Z30" i="8"/>
  <c r="Z95" i="8" s="1"/>
  <c r="X26" i="8"/>
  <c r="AC26" i="8"/>
  <c r="AB26" i="8"/>
  <c r="Y26" i="8"/>
  <c r="AA26" i="8"/>
  <c r="AD26" i="8"/>
  <c r="Y22" i="8"/>
  <c r="X22" i="8"/>
  <c r="AA22" i="8"/>
  <c r="AC22" i="8"/>
  <c r="AB22" i="8"/>
  <c r="AD22" i="8"/>
  <c r="AC16" i="8"/>
  <c r="AB16" i="8"/>
  <c r="Y16" i="8"/>
  <c r="AD16" i="8"/>
  <c r="AA16" i="8"/>
  <c r="X16" i="8"/>
  <c r="AC27" i="8" l="1"/>
  <c r="AC30" i="8"/>
  <c r="AC95" i="8" s="1"/>
  <c r="AD27" i="8"/>
  <c r="AD30" i="8"/>
  <c r="AD95" i="8" s="1"/>
  <c r="Y27" i="8"/>
  <c r="Y30" i="8"/>
  <c r="X27" i="8"/>
  <c r="X30" i="8"/>
  <c r="X95" i="8" s="1"/>
  <c r="AA27" i="8"/>
  <c r="AA30" i="8"/>
  <c r="AA95" i="8" s="1"/>
  <c r="AB27" i="8"/>
  <c r="AB30" i="8"/>
  <c r="AB95" i="8" s="1"/>
  <c r="Z31" i="8"/>
  <c r="Z34" i="8"/>
  <c r="Z37" i="8"/>
  <c r="Y31" i="8" l="1"/>
  <c r="Y95" i="8"/>
  <c r="Y37" i="8"/>
  <c r="Y34" i="8"/>
  <c r="AC34" i="8"/>
  <c r="AC31" i="8"/>
  <c r="AC37" i="8"/>
  <c r="AA31" i="8"/>
  <c r="AA34" i="8"/>
  <c r="AA37" i="8"/>
  <c r="X37" i="8"/>
  <c r="X31" i="8"/>
  <c r="X34" i="8"/>
  <c r="AD31" i="8"/>
  <c r="AD34" i="8"/>
  <c r="AD37" i="8"/>
  <c r="AB37" i="8"/>
  <c r="AB31" i="8"/>
  <c r="AB34" i="8"/>
  <c r="X70" i="8" l="1"/>
  <c r="AB70" i="8"/>
  <c r="AB77" i="8" s="1"/>
  <c r="X77" i="8" l="1"/>
  <c r="X85" i="8" s="1"/>
  <c r="V124" i="8"/>
  <c r="W124" i="8"/>
  <c r="AA124" i="8"/>
  <c r="X124" i="8"/>
  <c r="Y124" i="8"/>
  <c r="Z124" i="8"/>
  <c r="AB124" i="8"/>
  <c r="AD124" i="8"/>
  <c r="AC124" i="8"/>
  <c r="E11" i="8" l="1"/>
  <c r="D11" i="8"/>
  <c r="C11" i="8"/>
  <c r="E124" i="8"/>
  <c r="D124" i="8"/>
  <c r="C124" i="8"/>
  <c r="D70" i="8"/>
  <c r="D63" i="11" s="1"/>
  <c r="C70" i="8"/>
  <c r="C63" i="11" s="1"/>
  <c r="AE11" i="8"/>
  <c r="C12" i="10" l="1"/>
  <c r="C15" i="8"/>
  <c r="C21" i="8" s="1"/>
  <c r="D12" i="10"/>
  <c r="D15" i="8"/>
  <c r="D21" i="8" s="1"/>
  <c r="AE12" i="10"/>
  <c r="AE15" i="8"/>
  <c r="E12" i="10"/>
  <c r="E15" i="8"/>
  <c r="E21" i="8" s="1"/>
  <c r="D77" i="8"/>
  <c r="D64" i="11" s="1"/>
  <c r="C77" i="8"/>
  <c r="C64" i="11" s="1"/>
  <c r="AG11" i="8"/>
  <c r="AB85" i="8"/>
  <c r="AE70" i="8"/>
  <c r="AE77" i="8" s="1"/>
  <c r="AG84" i="8"/>
  <c r="C26" i="8" l="1"/>
  <c r="E26" i="8"/>
  <c r="D26" i="8"/>
  <c r="C85" i="8"/>
  <c r="C87" i="8" s="1"/>
  <c r="C22" i="8"/>
  <c r="D22" i="8"/>
  <c r="E22" i="8"/>
  <c r="AB50" i="8"/>
  <c r="AB63" i="8" s="1"/>
  <c r="X50" i="8"/>
  <c r="X63" i="8" s="1"/>
  <c r="D85" i="8"/>
  <c r="D87" i="8" s="1"/>
  <c r="E85" i="8"/>
  <c r="E87" i="8" s="1"/>
  <c r="AG77" i="8"/>
  <c r="AG70" i="8"/>
  <c r="AE50" i="8"/>
  <c r="AE63" i="8" s="1"/>
  <c r="D16" i="8"/>
  <c r="E16" i="8"/>
  <c r="C16" i="8"/>
  <c r="AE21" i="8"/>
  <c r="AE26" i="8" s="1"/>
  <c r="AE30" i="8" s="1"/>
  <c r="AE95" i="8" s="1"/>
  <c r="D27" i="8" l="1"/>
  <c r="D30" i="8"/>
  <c r="D95" i="8" s="1"/>
  <c r="D111" i="8" s="1"/>
  <c r="D141" i="8" s="1"/>
  <c r="E27" i="8"/>
  <c r="E30" i="8"/>
  <c r="E95" i="8" s="1"/>
  <c r="E111" i="8" s="1"/>
  <c r="E141" i="8" s="1"/>
  <c r="C27" i="8"/>
  <c r="C30" i="8"/>
  <c r="C95" i="8" s="1"/>
  <c r="AE27" i="8"/>
  <c r="AG27" i="8" s="1"/>
  <c r="AG26" i="8"/>
  <c r="V141" i="8"/>
  <c r="X87" i="8"/>
  <c r="AB87" i="8"/>
  <c r="AG21" i="8"/>
  <c r="AE22" i="8"/>
  <c r="AG22" i="8" s="1"/>
  <c r="AG132" i="8"/>
  <c r="AE85" i="8"/>
  <c r="AG85" i="8" s="1"/>
  <c r="AG63" i="8"/>
  <c r="AG50" i="8"/>
  <c r="AG15" i="8"/>
  <c r="AE124" i="8"/>
  <c r="AG124" i="8" s="1"/>
  <c r="AE16" i="8"/>
  <c r="AG16" i="8" s="1"/>
  <c r="D31" i="8" l="1"/>
  <c r="C31" i="8"/>
  <c r="AE34" i="8"/>
  <c r="C37" i="8"/>
  <c r="C34" i="8"/>
  <c r="E34" i="8"/>
  <c r="E37" i="8"/>
  <c r="D37" i="8"/>
  <c r="D34" i="8"/>
  <c r="E31" i="8"/>
  <c r="O141" i="8"/>
  <c r="Z141" i="8" s="1"/>
  <c r="AE87" i="8"/>
  <c r="AG30" i="8" l="1"/>
  <c r="AE37" i="8"/>
  <c r="AE31" i="8"/>
  <c r="AG31" i="8" s="1"/>
  <c r="C111" i="8"/>
  <c r="C141" i="8" s="1"/>
  <c r="AA111" i="8"/>
  <c r="AB111" i="8"/>
  <c r="X111" i="8" l="1"/>
  <c r="Y111" i="8"/>
  <c r="Z111" i="8"/>
  <c r="AG34" i="8" l="1"/>
  <c r="AG37" i="8"/>
  <c r="C137" i="8" l="1"/>
  <c r="C142" i="8" l="1"/>
  <c r="D135" i="8" l="1"/>
  <c r="H135" i="8" s="1"/>
  <c r="C144" i="8"/>
  <c r="D137" i="8" l="1"/>
  <c r="D142" i="8" s="1"/>
  <c r="D144" i="8" s="1"/>
  <c r="E135" i="8" l="1"/>
  <c r="E137" i="8" s="1"/>
  <c r="E142" i="8" s="1"/>
  <c r="H137" i="8"/>
  <c r="H142" i="8" l="1"/>
  <c r="H144" i="8" s="1"/>
  <c r="E144" i="8"/>
  <c r="F135" i="8"/>
  <c r="F137" i="8" s="1"/>
  <c r="F142" i="8" s="1"/>
  <c r="F144" i="8" s="1"/>
  <c r="I135" i="8" l="1"/>
  <c r="I137" i="8" s="1"/>
  <c r="I142" i="8" s="1"/>
  <c r="I144" i="8" s="1"/>
  <c r="J135" i="8" l="1"/>
  <c r="J137" i="8" s="1"/>
  <c r="J142" i="8" l="1"/>
  <c r="K135" i="8" l="1"/>
  <c r="J144" i="8"/>
  <c r="K137" i="8" l="1"/>
  <c r="K142" i="8" s="1"/>
  <c r="V135" i="8"/>
  <c r="V137" i="8" s="1"/>
  <c r="V142" i="8" s="1"/>
  <c r="L135" i="8" l="1"/>
  <c r="L137" i="8" s="1"/>
  <c r="K144" i="8"/>
  <c r="L142" i="8" l="1"/>
  <c r="M135" i="8" l="1"/>
  <c r="M137" i="8" s="1"/>
  <c r="L144" i="8"/>
  <c r="M142" i="8" l="1"/>
  <c r="N135" i="8" l="1"/>
  <c r="N137" i="8" s="1"/>
  <c r="M144" i="8"/>
  <c r="N142" i="8" l="1"/>
  <c r="O135" i="8" l="1"/>
  <c r="O137" i="8" s="1"/>
  <c r="N144" i="8"/>
  <c r="O142" i="8" l="1"/>
  <c r="P135" i="8" s="1"/>
  <c r="P137" i="8" s="1"/>
  <c r="W11" i="8"/>
  <c r="V11" i="8"/>
  <c r="V12" i="10" l="1"/>
  <c r="V15" i="8"/>
  <c r="V21" i="8" s="1"/>
  <c r="W12" i="10"/>
  <c r="W15" i="8"/>
  <c r="P142" i="8"/>
  <c r="Q135" i="8" s="1"/>
  <c r="Q137" i="8" s="1"/>
  <c r="O144" i="8"/>
  <c r="V16" i="8" l="1"/>
  <c r="Q142" i="8"/>
  <c r="P144" i="8"/>
  <c r="V26" i="8"/>
  <c r="W21" i="8"/>
  <c r="W16" i="8"/>
  <c r="V22" i="8"/>
  <c r="Q144" i="8" l="1"/>
  <c r="R135" i="8"/>
  <c r="R137" i="8" s="1"/>
  <c r="R142" i="8" s="1"/>
  <c r="V27" i="8"/>
  <c r="V30" i="8"/>
  <c r="V95" i="8" s="1"/>
  <c r="W26" i="8"/>
  <c r="W22" i="8"/>
  <c r="R144" i="8" l="1"/>
  <c r="S135" i="8"/>
  <c r="S137" i="8" s="1"/>
  <c r="S142" i="8" s="1"/>
  <c r="W27" i="8"/>
  <c r="W30" i="8"/>
  <c r="W95" i="8" s="1"/>
  <c r="W111" i="8" s="1"/>
  <c r="V37" i="8"/>
  <c r="V31" i="8"/>
  <c r="V34" i="8"/>
  <c r="S144" i="8" l="1"/>
  <c r="T135" i="8"/>
  <c r="T137" i="8" s="1"/>
  <c r="T142" i="8" s="1"/>
  <c r="W34" i="8"/>
  <c r="W31" i="8"/>
  <c r="W37" i="8"/>
  <c r="AC111" i="8"/>
  <c r="AD111" i="8"/>
  <c r="V111" i="8"/>
  <c r="T144" i="8" l="1"/>
  <c r="AE111" i="8"/>
  <c r="AG95" i="8"/>
  <c r="AG111" i="8" l="1"/>
  <c r="W135" i="8" l="1"/>
  <c r="W137" i="8" s="1"/>
  <c r="W142" i="8" s="1"/>
  <c r="V144" i="8" l="1"/>
  <c r="X135" i="8"/>
  <c r="X137" i="8" s="1"/>
  <c r="X142" i="8" s="1"/>
  <c r="W144" i="8" l="1"/>
  <c r="Y135" i="8"/>
  <c r="Y137" i="8" s="1"/>
  <c r="Y142" i="8" s="1"/>
  <c r="X144" i="8" l="1"/>
  <c r="Z135" i="8"/>
  <c r="Z137" i="8" s="1"/>
  <c r="Z142" i="8" s="1"/>
  <c r="Y144" i="8" l="1"/>
  <c r="AA135" i="8"/>
  <c r="AA137" i="8" s="1"/>
  <c r="AA142" i="8" s="1"/>
  <c r="Z144" i="8" l="1"/>
  <c r="AB135" i="8"/>
  <c r="AB137" i="8" s="1"/>
  <c r="AA144" i="8"/>
  <c r="AB142" i="8" l="1"/>
  <c r="AC135" i="8" s="1"/>
  <c r="AC137" i="8" s="1"/>
  <c r="AC142" i="8" s="1"/>
  <c r="AD135" i="8" l="1"/>
  <c r="AD137" i="8" s="1"/>
  <c r="AC144" i="8"/>
  <c r="AB144" i="8"/>
  <c r="AD142" i="8" l="1"/>
  <c r="AE135" i="8" s="1"/>
  <c r="AE137" i="8" s="1"/>
  <c r="AE142" i="8" l="1"/>
  <c r="AE144" i="8" s="1"/>
  <c r="AD14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<sst xmlns="http://schemas.openxmlformats.org/spreadsheetml/2006/main" count="229" uniqueCount="190">
  <si>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</si>
  <si>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</si>
  <si>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</si>
  <si>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</si>
  <si>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</si>
  <si>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</si>
  <si>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</si>
  <si>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</si>
  <si>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</si>
  <si>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</si>
  <si>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</si>
  <si>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</si>
  <si>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</si>
  <si>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</si>
  <si>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</si>
  <si>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</si>
  <si>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</si>
  <si>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</si>
  <si>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</si>
  <si>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</si>
  <si>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</si>
  <si>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</si>
  <si>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</si>
  <si>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</si>
  <si>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</si>
  <si>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</si>
  <si>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</si>
  <si>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</si>
  <si>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</si>
  <si>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</si>
  <si>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</si>
  <si>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</si>
  <si>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</si>
  <si>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</si>
  <si>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</si>
  <si>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</si>
  <si>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</si>
  <si>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</si>
  <si>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</si>
  <si>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</si>
  <si>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</si>
  <si>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</si>
  <si>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</si>
  <si>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</si>
  <si>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</si>
  <si>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</si>
  <si>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</si>
  <si>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</si>
  <si>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</si>
  <si>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</si>
  <si>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</si>
  <si>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</si>
  <si>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</si>
  <si>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</si>
  <si>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</si>
  <si>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</si>
  <si>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</si>
  <si>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</si>
  <si>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</si>
  <si>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</si>
  <si>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</si>
  <si>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</si>
  <si>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</si>
  <si>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</si>
  <si>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</si>
  <si>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</si>
  <si>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</si>
  <si>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</si>
  <si>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</si>
  <si>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</si>
  <si>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</si>
  <si>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</si>
  <si>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</si>
  <si>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</si>
  <si>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</si>
  <si>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</si>
  <si>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</si>
  <si>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</si>
  <si>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</si>
  <si>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</si>
  <si>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</si>
  <si>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</si>
  <si>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</si>
  <si>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</si>
  <si>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</si>
  <si>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</si>
  <si>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</si>
  <si>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</si>
  <si>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</si>
  <si>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</si>
  <si>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</si>
  <si>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</si>
  <si>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</si>
  <si>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</si>
  <si>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</si>
  <si>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</si>
  <si>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</si>
  <si>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</si>
  <si>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</si>
  <si>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</si>
  <si>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</si>
  <si>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</si>
  <si>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</si>
  <si>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4Q25</t>
  </si>
  <si>
    <t>1Q26</t>
  </si>
  <si>
    <t>Earnings before Taxes</t>
  </si>
  <si>
    <t>(-) Mandatory Outflows</t>
  </si>
  <si>
    <t>Subscription</t>
  </si>
  <si>
    <t>Professional Services Other</t>
  </si>
  <si>
    <t>Sales and Marketing</t>
  </si>
  <si>
    <t>General and Administrative</t>
  </si>
  <si>
    <t>Research and Development</t>
  </si>
  <si>
    <t>Interest Income</t>
  </si>
  <si>
    <t>Other Income/expense-net</t>
  </si>
  <si>
    <t>Provision for Income Tax</t>
  </si>
  <si>
    <t>Net Income</t>
  </si>
  <si>
    <t>Cash and Cash Equivalents</t>
  </si>
  <si>
    <t>Marketable Securities</t>
  </si>
  <si>
    <t>Short-term Investments</t>
  </si>
  <si>
    <t>Accounts Receivable, Net</t>
  </si>
  <si>
    <t>Prepaid Expenses and Other Current Assets</t>
  </si>
  <si>
    <t>Current Portion of Deferred Commissions</t>
  </si>
  <si>
    <t>NA</t>
  </si>
  <si>
    <t>Operating Lease Right-of-use Assets</t>
  </si>
  <si>
    <t>Property and Equipment, net</t>
  </si>
  <si>
    <t>Strategic Investments</t>
  </si>
  <si>
    <t>Long-term Marketable Securities</t>
  </si>
  <si>
    <t>Long-term Investments</t>
  </si>
  <si>
    <t>Deferred Tax Assets</t>
  </si>
  <si>
    <t>Goodwill</t>
  </si>
  <si>
    <t>Intangible Assets, Net</t>
  </si>
  <si>
    <t>Deferred Commissions, Less Current Portion</t>
  </si>
  <si>
    <t>Other Assets</t>
  </si>
  <si>
    <t>Accounts Payable</t>
  </si>
  <si>
    <t>Accrued Expenses and Other Current Liabilities</t>
  </si>
  <si>
    <t>Current Portion of Operating Lease Liabilities</t>
  </si>
  <si>
    <t>Current Portion of: Deferred Revenue</t>
  </si>
  <si>
    <t>Long-term Debt Net</t>
  </si>
  <si>
    <t>Operating Lease Liabilities – Less Current Portion ¹</t>
  </si>
  <si>
    <t>Deferred Revenues Less Current Portion</t>
  </si>
  <si>
    <t>Other Long-term Liabilities</t>
  </si>
  <si>
    <t>Common Stock - Par Value</t>
  </si>
  <si>
    <t>Additional Paid in Capital</t>
  </si>
  <si>
    <t>Treasury Stock - Common</t>
  </si>
  <si>
    <t>Retained Earnings (Accumulated Deficit)</t>
  </si>
  <si>
    <t>Accumulated Other Comprehensive Income (Loss)</t>
  </si>
  <si>
    <t>Depreciation and Amortization</t>
  </si>
  <si>
    <t>Amortization of Deferred Commissions</t>
  </si>
  <si>
    <t>Stock based Compensation</t>
  </si>
  <si>
    <t>Deferred Income Taxes</t>
  </si>
  <si>
    <t>Others</t>
  </si>
  <si>
    <t>Accounts Receivable</t>
  </si>
  <si>
    <t>Deferred Revenue</t>
  </si>
  <si>
    <t>Prepaid Expense and Other Assets</t>
  </si>
  <si>
    <t>Deferred Commissions</t>
  </si>
  <si>
    <t>Purchase of Property and Equipment</t>
  </si>
  <si>
    <t>Business Combination-net of Cash Acquired</t>
  </si>
  <si>
    <t>Purchase of Other Intangibles</t>
  </si>
  <si>
    <t>Purchase of Investments</t>
  </si>
  <si>
    <t>Purchases of Strategic Investments</t>
  </si>
  <si>
    <t>Purchase of Marketable Securities</t>
  </si>
  <si>
    <t>Sales/maturities of Marketable Securities</t>
  </si>
  <si>
    <t>Purchase of Non-marketable Investments</t>
  </si>
  <si>
    <t>Sale and Maturities of Investments</t>
  </si>
  <si>
    <t>Repayments of Convertible Senior Notes Attributable to Principal</t>
  </si>
  <si>
    <t>Proceeds from Exercise of Stock Options</t>
  </si>
  <si>
    <t>Repurchase/retirement of Common Stock</t>
  </si>
  <si>
    <t>Taxes Paid Related to Net Share Settlement of Equity Awards</t>
  </si>
  <si>
    <t>Business Combination</t>
  </si>
  <si>
    <t xml:space="preserve">Professional Services Other </t>
  </si>
  <si>
    <t xml:space="preserve">Subscription </t>
  </si>
  <si>
    <t>ServiceNow, Inc. (NYSE: NOW)</t>
  </si>
  <si>
    <t>(-) Subscription</t>
  </si>
  <si>
    <t>(-) Professional Services Other</t>
  </si>
  <si>
    <t>(-) Research and Development</t>
  </si>
  <si>
    <t>(-) General and Administrative</t>
  </si>
  <si>
    <t>(-) Sales and Marketing</t>
  </si>
  <si>
    <t>(+) Amortization of Deferred Commissions</t>
  </si>
  <si>
    <t>(+/-) Sales &amp; Maturity / (Purchase) of Marketable Securities</t>
  </si>
  <si>
    <t>(+/-) Divestitures / (Acquisitions)</t>
  </si>
  <si>
    <t>(+/-) Sales and Maturities / (Purchase) of Investments</t>
  </si>
  <si>
    <t>(+/-) Proceeds / (Repayment) of Debt</t>
  </si>
  <si>
    <t>(+/-) Issuance / (Repurchase) of Common Stock</t>
  </si>
  <si>
    <t>(+/-) Proceeds from Exercise of Stock Options</t>
  </si>
  <si>
    <t>(+/-) Taxes Paid Related to Net Share Settlement of Equity Awards</t>
  </si>
  <si>
    <t>$1.5Bn 1.40% Sr. Unsecured Notes due 2030</t>
  </si>
  <si>
    <t>$3.0Bn Unsecured Revolving Credit Facility (CP Backstop)</t>
  </si>
  <si>
    <t>$3.0Bn Commercial Paper Program</t>
  </si>
  <si>
    <t>$4.0Bn Term Loan due 2026</t>
  </si>
  <si>
    <t>Variance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</si>
</sst>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1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9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169" fontId="4" fillId="8" borderId="0" xfId="0" applyNumberFormat="1" applyFont="1" applyFill="1"/>
    <xf numFmtId="43" fontId="21" fillId="0" borderId="10" xfId="0" applyNumberFormat="1" applyFont="1" applyBorder="1" applyAlignment="1">
      <alignment wrapText="1"/>
    </xf>
    <xf numFmtId="41" fontId="6" fillId="0" borderId="10" xfId="0" applyNumberFormat="1" applyFont="1" applyBorder="1" applyAlignment="1">
      <alignment horizontal="right" vertical="top" wrapText="1"/>
    </xf>
    <xf numFmtId="41" fontId="6" fillId="0" borderId="11" xfId="0" applyNumberFormat="1" applyFont="1" applyBorder="1" applyAlignment="1">
      <alignment horizontal="right" vertical="top" wrapText="1"/>
    </xf>
    <xf numFmtId="5" fontId="8" fillId="5" borderId="12" xfId="0" applyNumberFormat="1" applyFont="1" applyFill="1" applyBorder="1" applyAlignment="1">
      <alignment horizontal="right" vertical="top" wrapText="1"/>
    </xf>
    <xf numFmtId="37" fontId="4" fillId="0" borderId="11" xfId="0" applyNumberFormat="1" applyFont="1" applyBorder="1" applyAlignment="1">
      <alignment wrapText="1"/>
    </xf>
    <xf numFmtId="43" fontId="21" fillId="0" borderId="13" xfId="0" applyNumberFormat="1" applyFont="1" applyBorder="1" applyAlignment="1">
      <alignment wrapText="1"/>
    </xf>
    <xf numFmtId="41" fontId="8" fillId="0" borderId="14" xfId="0" applyNumberFormat="1" applyFont="1" applyBorder="1" applyAlignment="1">
      <alignment horizontal="right" vertical="top" wrapText="1"/>
    </xf>
    <xf numFmtId="41" fontId="7" fillId="0" borderId="15" xfId="0" applyNumberFormat="1" applyFont="1" applyBorder="1" applyAlignment="1">
      <alignment horizontal="right" vertical="top" wrapText="1"/>
    </xf>
    <xf numFmtId="0" fontId="8" fillId="5" borderId="15" xfId="0" applyFont="1" applyFill="1" applyBorder="1" applyAlignment="1">
      <alignment horizontal="right" vertical="center" wrapText="1"/>
    </xf>
    <xf numFmtId="41" fontId="8" fillId="0" borderId="15" xfId="0" applyNumberFormat="1" applyFont="1" applyBorder="1" applyAlignment="1">
      <alignment horizontal="right" vertical="top" wrapText="1"/>
    </xf>
    <xf numFmtId="0" fontId="4" fillId="0" borderId="15" xfId="0" applyFont="1" applyBorder="1"/>
    <xf numFmtId="0" fontId="21" fillId="0" borderId="16" xfId="0" applyFont="1" applyBorder="1" applyAlignment="1">
      <alignment horizontal="right" vertical="top" wrapText="1"/>
    </xf>
    <xf numFmtId="41" fontId="6" fillId="0" borderId="17" xfId="0" applyNumberFormat="1" applyFont="1" applyBorder="1" applyAlignment="1">
      <alignment horizontal="right" vertical="top" wrapText="1"/>
    </xf>
    <xf numFmtId="41" fontId="6" fillId="0" borderId="18" xfId="0" applyNumberFormat="1" applyFont="1" applyBorder="1" applyAlignment="1">
      <alignment horizontal="right" vertical="top" wrapText="1"/>
    </xf>
    <xf numFmtId="0" fontId="2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41" fontId="11" fillId="0" borderId="17" xfId="0" applyNumberFormat="1" applyFont="1" applyBorder="1" applyAlignment="1">
      <alignment horizontal="right" vertical="top" wrapText="1"/>
    </xf>
    <xf numFmtId="41" fontId="11" fillId="0" borderId="0" xfId="0" applyNumberFormat="1" applyFont="1" applyAlignment="1">
      <alignment vertical="center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G161"/>
  <sheetViews>
    <sheetView showGridLines="0" topLeftCell="A38" zoomScale="115" zoomScaleNormal="115" workbookViewId="0">
      <selection activeCell="B20" sqref="B20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10.625" style="5" hidden="1" customWidth="1" outlineLevel="1"/>
    <col min="4" max="4" width="10.625" style="5" customWidth="1" collapsed="1"/>
    <col min="5" max="6" width="10.625" style="5" customWidth="1"/>
    <col min="7" max="7" width="1.5" style="5" customWidth="1"/>
    <col min="8" max="13" width="10.625" style="5" hidden="1" customWidth="1" outlineLevel="1"/>
    <col min="14" max="14" width="10.625" style="5" hidden="1" customWidth="1" outlineLevel="1" collapsed="1"/>
    <col min="15" max="15" width="10.625" style="5" hidden="1" customWidth="1" outlineLevel="1"/>
    <col min="16" max="16" width="10.625" style="5" customWidth="1" collapsed="1"/>
    <col min="17" max="20" width="10.625" style="5" customWidth="1"/>
    <col min="21" max="21" width="1.5" style="5" customWidth="1"/>
    <col min="22" max="26" width="10.625" style="5" hidden="1" customWidth="1" outlineLevel="1"/>
    <col min="27" max="27" width="10.625" style="5" customWidth="1" collapsed="1"/>
    <col min="28" max="30" width="10.625" style="5" hidden="1" customWidth="1" outlineLevel="1"/>
    <col min="31" max="31" width="10.625" style="5" customWidth="1" collapsed="1"/>
    <col min="32" max="32" width="1.25" style="5" customWidth="1"/>
    <col min="33" max="33" width="10.5" style="5" bestFit="1" customWidth="1"/>
    <col min="34" max="34" width="1.375" style="5" customWidth="1"/>
    <col min="35" max="16384" width="9" style="5"/>
  </cols>
  <sheetData>
    <row r="2" spans="1:33" ht="12.75" customHeight="1">
      <c r="B2" s="1" t="s">
        <v>171</v>
      </c>
      <c r="C2" s="86"/>
      <c r="D2" s="86"/>
      <c r="E2" s="86"/>
      <c r="F2" s="86"/>
      <c r="G2" s="3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3"/>
      <c r="V2" s="86"/>
      <c r="W2" s="86"/>
      <c r="X2" s="86"/>
      <c r="Y2" s="86"/>
      <c r="Z2" s="86"/>
      <c r="AA2" s="86"/>
      <c r="AB2" s="86"/>
      <c r="AC2" s="86"/>
      <c r="AD2" s="86"/>
      <c r="AE2" s="86"/>
      <c r="AF2" s="3"/>
      <c r="AG2" s="1"/>
    </row>
    <row r="3" spans="1:33" ht="12.75" customHeight="1">
      <c r="B3" s="6" t="s">
        <v>73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3"/>
      <c r="AG3" s="1"/>
    </row>
    <row r="4" spans="1:33" ht="12.75" customHeight="1">
      <c r="B4" s="6" t="s">
        <v>90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"/>
    </row>
    <row r="6" spans="1:33" ht="12.95" customHeight="1">
      <c r="A6" s="5" t="s">
        <v>17</v>
      </c>
      <c r="B6" s="1" t="s">
        <v>71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 t="s">
        <v>1</v>
      </c>
      <c r="O6" s="2"/>
      <c r="P6" s="2" t="s">
        <v>1</v>
      </c>
      <c r="Q6" s="2"/>
      <c r="R6" s="2"/>
      <c r="S6" s="2"/>
      <c r="T6" s="2"/>
      <c r="U6" s="3"/>
      <c r="V6" s="2"/>
      <c r="W6" s="2"/>
      <c r="X6" s="2"/>
      <c r="Y6" s="2"/>
      <c r="Z6" s="2"/>
      <c r="AA6" s="2" t="s">
        <v>10</v>
      </c>
      <c r="AB6" s="2"/>
      <c r="AC6" s="2"/>
      <c r="AD6" s="2"/>
      <c r="AE6" s="2"/>
      <c r="AF6" s="35"/>
      <c r="AG6" s="146" t="s">
        <v>23</v>
      </c>
    </row>
    <row r="7" spans="1:33" ht="12.95" customHeight="1">
      <c r="B7" s="6" t="s">
        <v>74</v>
      </c>
      <c r="C7" s="7">
        <v>2022</v>
      </c>
      <c r="D7" s="7">
        <v>2023</v>
      </c>
      <c r="E7" s="7">
        <v>2024</v>
      </c>
      <c r="F7" s="7">
        <v>2025</v>
      </c>
      <c r="G7" s="3"/>
      <c r="H7" s="4" t="s">
        <v>6</v>
      </c>
      <c r="I7" s="4" t="s">
        <v>7</v>
      </c>
      <c r="J7" s="4" t="s">
        <v>8</v>
      </c>
      <c r="K7" s="4" t="s">
        <v>9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25</v>
      </c>
      <c r="Q7" s="4" t="s">
        <v>26</v>
      </c>
      <c r="R7" s="4" t="s">
        <v>102</v>
      </c>
      <c r="S7" s="4" t="s">
        <v>103</v>
      </c>
      <c r="T7" s="4" t="s">
        <v>104</v>
      </c>
      <c r="U7" s="4"/>
      <c r="V7" s="4" t="str">
        <f t="shared" ref="V7:AE8" si="0">K7</f>
        <v>4Q23</v>
      </c>
      <c r="W7" s="4" t="str">
        <f t="shared" si="0"/>
        <v>1Q24</v>
      </c>
      <c r="X7" s="4" t="str">
        <f t="shared" si="0"/>
        <v>2Q24</v>
      </c>
      <c r="Y7" s="4" t="str">
        <f t="shared" si="0"/>
        <v>3Q24</v>
      </c>
      <c r="Z7" s="4" t="str">
        <f t="shared" si="0"/>
        <v>4Q24</v>
      </c>
      <c r="AA7" s="4" t="str">
        <f t="shared" si="0"/>
        <v>1Q25</v>
      </c>
      <c r="AB7" s="4" t="str">
        <f t="shared" si="0"/>
        <v>2Q25</v>
      </c>
      <c r="AC7" s="4" t="str">
        <f t="shared" si="0"/>
        <v>3Q25</v>
      </c>
      <c r="AD7" s="4" t="str">
        <f t="shared" si="0"/>
        <v>4Q25</v>
      </c>
      <c r="AE7" s="4" t="str">
        <f t="shared" si="0"/>
        <v>1Q26</v>
      </c>
      <c r="AF7" s="35"/>
      <c r="AG7" s="146"/>
    </row>
    <row r="8" spans="1:33" ht="12.95" customHeight="1">
      <c r="B8" s="6" t="s">
        <v>75</v>
      </c>
      <c r="C8" s="3">
        <v>44926</v>
      </c>
      <c r="D8" s="3">
        <v>45291</v>
      </c>
      <c r="E8" s="3">
        <v>45657</v>
      </c>
      <c r="F8" s="3">
        <v>46022</v>
      </c>
      <c r="G8" s="3"/>
      <c r="H8" s="3">
        <v>45016</v>
      </c>
      <c r="I8" s="3">
        <v>45107</v>
      </c>
      <c r="J8" s="3">
        <v>45199</v>
      </c>
      <c r="K8" s="3">
        <f>D8</f>
        <v>45291</v>
      </c>
      <c r="L8" s="3">
        <v>45382</v>
      </c>
      <c r="M8" s="3">
        <v>45473</v>
      </c>
      <c r="N8" s="3">
        <v>45565</v>
      </c>
      <c r="O8" s="3">
        <f>E8</f>
        <v>45657</v>
      </c>
      <c r="P8" s="3">
        <v>45747</v>
      </c>
      <c r="Q8" s="3">
        <v>45838</v>
      </c>
      <c r="R8" s="3">
        <v>45930</v>
      </c>
      <c r="S8" s="3">
        <f>F8</f>
        <v>46022</v>
      </c>
      <c r="T8" s="3">
        <v>46112</v>
      </c>
      <c r="U8" s="3"/>
      <c r="V8" s="3">
        <f t="shared" si="0"/>
        <v>45291</v>
      </c>
      <c r="W8" s="3">
        <f t="shared" si="0"/>
        <v>45382</v>
      </c>
      <c r="X8" s="3">
        <f t="shared" si="0"/>
        <v>45473</v>
      </c>
      <c r="Y8" s="3">
        <f t="shared" si="0"/>
        <v>45565</v>
      </c>
      <c r="Z8" s="3">
        <f t="shared" si="0"/>
        <v>45657</v>
      </c>
      <c r="AA8" s="3">
        <f t="shared" si="0"/>
        <v>45747</v>
      </c>
      <c r="AB8" s="3">
        <f t="shared" si="0"/>
        <v>45838</v>
      </c>
      <c r="AC8" s="3">
        <f t="shared" si="0"/>
        <v>45930</v>
      </c>
      <c r="AD8" s="3">
        <f t="shared" si="0"/>
        <v>46022</v>
      </c>
      <c r="AE8" s="3">
        <f t="shared" si="0"/>
        <v>46112</v>
      </c>
      <c r="AF8" s="35"/>
      <c r="AG8" s="146"/>
    </row>
    <row r="9" spans="1:33" ht="5.0999999999999996" customHeight="1">
      <c r="AG9" s="85"/>
    </row>
    <row r="10" spans="1:33" ht="12.75" customHeight="1">
      <c r="B10" s="9" t="s">
        <v>55</v>
      </c>
      <c r="C10" s="81">
        <v>7245</v>
      </c>
      <c r="D10" s="81">
        <v>8971</v>
      </c>
      <c r="E10" s="81">
        <v>10984</v>
      </c>
      <c r="F10" s="81">
        <v>13278</v>
      </c>
      <c r="G10" s="11"/>
      <c r="H10" s="81">
        <v>2096</v>
      </c>
      <c r="I10" s="81">
        <v>2150</v>
      </c>
      <c r="J10" s="81">
        <v>2288</v>
      </c>
      <c r="K10" s="30">
        <f>SUM(D10-SUM(H10:J10))</f>
        <v>2437</v>
      </c>
      <c r="L10" s="81">
        <v>2603</v>
      </c>
      <c r="M10" s="81">
        <v>2627</v>
      </c>
      <c r="N10" s="81">
        <v>2797</v>
      </c>
      <c r="O10" s="30">
        <f>SUM(E10-SUM(L10:N10))</f>
        <v>2957</v>
      </c>
      <c r="P10" s="81">
        <v>3088</v>
      </c>
      <c r="Q10" s="81">
        <v>3215</v>
      </c>
      <c r="R10" s="81">
        <v>3407</v>
      </c>
      <c r="S10" s="30">
        <f>SUM(F10-SUM(P10:R10))</f>
        <v>3568</v>
      </c>
      <c r="T10" s="81">
        <v>3770</v>
      </c>
      <c r="U10" s="30"/>
      <c r="V10" s="30">
        <f t="shared" ref="V10:AD10" si="1">SUM(H10:K10)</f>
        <v>8971</v>
      </c>
      <c r="W10" s="30">
        <f t="shared" si="1"/>
        <v>9478</v>
      </c>
      <c r="X10" s="30">
        <f t="shared" si="1"/>
        <v>9955</v>
      </c>
      <c r="Y10" s="30">
        <f t="shared" si="1"/>
        <v>10464</v>
      </c>
      <c r="Z10" s="30">
        <f t="shared" si="1"/>
        <v>10984</v>
      </c>
      <c r="AA10" s="30">
        <f t="shared" si="1"/>
        <v>11469</v>
      </c>
      <c r="AB10" s="30">
        <f t="shared" si="1"/>
        <v>12057</v>
      </c>
      <c r="AC10" s="30">
        <f t="shared" si="1"/>
        <v>12667</v>
      </c>
      <c r="AD10" s="30">
        <f t="shared" si="1"/>
        <v>13278</v>
      </c>
      <c r="AE10" s="30">
        <f>SUM(Q10:T10)</f>
        <v>13960</v>
      </c>
      <c r="AF10" s="37"/>
      <c r="AG10" s="68">
        <f>SUM(AE10/AA10)-1</f>
        <v>0.21719417560380161</v>
      </c>
    </row>
    <row r="11" spans="1:33" ht="12.75" customHeight="1">
      <c r="B11" s="12" t="s">
        <v>12</v>
      </c>
      <c r="C11" s="13">
        <f t="shared" ref="C11:E11" si="2">+SUM(C10:C10)</f>
        <v>7245</v>
      </c>
      <c r="D11" s="13">
        <f t="shared" si="2"/>
        <v>8971</v>
      </c>
      <c r="E11" s="13">
        <f t="shared" si="2"/>
        <v>10984</v>
      </c>
      <c r="F11" s="13">
        <f t="shared" ref="F11" si="3">+SUM(F10:F10)</f>
        <v>13278</v>
      </c>
      <c r="G11" s="11"/>
      <c r="H11" s="13">
        <f t="shared" ref="H11:Q11" si="4">+SUM(H10:H10)</f>
        <v>2096</v>
      </c>
      <c r="I11" s="13">
        <f t="shared" si="4"/>
        <v>2150</v>
      </c>
      <c r="J11" s="13">
        <f t="shared" si="4"/>
        <v>2288</v>
      </c>
      <c r="K11" s="13">
        <f t="shared" si="4"/>
        <v>2437</v>
      </c>
      <c r="L11" s="13">
        <f t="shared" si="4"/>
        <v>2603</v>
      </c>
      <c r="M11" s="13">
        <f t="shared" si="4"/>
        <v>2627</v>
      </c>
      <c r="N11" s="13">
        <f t="shared" si="4"/>
        <v>2797</v>
      </c>
      <c r="O11" s="13">
        <f t="shared" si="4"/>
        <v>2957</v>
      </c>
      <c r="P11" s="13">
        <f t="shared" si="4"/>
        <v>3088</v>
      </c>
      <c r="Q11" s="13">
        <f t="shared" si="4"/>
        <v>3215</v>
      </c>
      <c r="R11" s="13">
        <f t="shared" ref="R11:S11" si="5">+SUM(R10:R10)</f>
        <v>3407</v>
      </c>
      <c r="S11" s="13">
        <f t="shared" si="5"/>
        <v>3568</v>
      </c>
      <c r="T11" s="13">
        <f t="shared" ref="T11" si="6">+SUM(T10:T10)</f>
        <v>3770</v>
      </c>
      <c r="V11" s="13">
        <f t="shared" ref="V11:AE11" si="7">+SUM(V10:V10)</f>
        <v>8971</v>
      </c>
      <c r="W11" s="13">
        <f t="shared" si="7"/>
        <v>9478</v>
      </c>
      <c r="X11" s="13">
        <f t="shared" si="7"/>
        <v>9955</v>
      </c>
      <c r="Y11" s="13">
        <f t="shared" si="7"/>
        <v>10464</v>
      </c>
      <c r="Z11" s="13">
        <f t="shared" si="7"/>
        <v>10984</v>
      </c>
      <c r="AA11" s="13">
        <f t="shared" si="7"/>
        <v>11469</v>
      </c>
      <c r="AB11" s="13">
        <f t="shared" si="7"/>
        <v>12057</v>
      </c>
      <c r="AC11" s="13">
        <f t="shared" si="7"/>
        <v>12667</v>
      </c>
      <c r="AD11" s="13">
        <f t="shared" si="7"/>
        <v>13278</v>
      </c>
      <c r="AE11" s="13">
        <f t="shared" si="7"/>
        <v>13960</v>
      </c>
      <c r="AF11" s="37"/>
      <c r="AG11" s="69">
        <f t="shared" ref="AG11:AG30" si="8">SUM(AE11/AA11)-1</f>
        <v>0.21719417560380161</v>
      </c>
    </row>
    <row r="12" spans="1:33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G12" s="68"/>
    </row>
    <row r="13" spans="1:33" ht="12.75" customHeight="1">
      <c r="B13" s="9" t="s">
        <v>107</v>
      </c>
      <c r="C13" s="76">
        <v>-1187</v>
      </c>
      <c r="D13" s="76">
        <v>-1606</v>
      </c>
      <c r="E13" s="76">
        <v>-1942</v>
      </c>
      <c r="F13" s="76">
        <v>-2569</v>
      </c>
      <c r="G13" s="22"/>
      <c r="H13" s="81">
        <v>-354</v>
      </c>
      <c r="I13" s="81">
        <v>-389</v>
      </c>
      <c r="J13" s="81">
        <v>-420</v>
      </c>
      <c r="K13" s="30">
        <f>SUM(D13-SUM(H13:J13))</f>
        <v>-443</v>
      </c>
      <c r="L13" s="76">
        <v>-441</v>
      </c>
      <c r="M13" s="76">
        <v>-469</v>
      </c>
      <c r="N13" s="76">
        <v>-496</v>
      </c>
      <c r="O13" s="30">
        <f>SUM(E13-SUM(L13:N13))</f>
        <v>-536</v>
      </c>
      <c r="P13" s="76">
        <v>-561</v>
      </c>
      <c r="Q13" s="76">
        <v>-625</v>
      </c>
      <c r="R13" s="76">
        <v>-666</v>
      </c>
      <c r="S13" s="30">
        <f>SUM(F13-SUM(P13:R13))</f>
        <v>-717</v>
      </c>
      <c r="T13" s="76">
        <v>-820</v>
      </c>
      <c r="V13" s="30">
        <f t="shared" ref="V13" si="9">SUM(H13:K13)</f>
        <v>-1606</v>
      </c>
      <c r="W13" s="30">
        <f t="shared" ref="W13" si="10">SUM(I13:L13)</f>
        <v>-1693</v>
      </c>
      <c r="X13" s="30">
        <f t="shared" ref="X13" si="11">SUM(J13:M13)</f>
        <v>-1773</v>
      </c>
      <c r="Y13" s="30">
        <f t="shared" ref="Y13" si="12">SUM(K13:N13)</f>
        <v>-1849</v>
      </c>
      <c r="Z13" s="30">
        <f t="shared" ref="Z13" si="13">SUM(L13:O13)</f>
        <v>-1942</v>
      </c>
      <c r="AA13" s="30">
        <f t="shared" ref="AA13" si="14">SUM(M13:P13)</f>
        <v>-2062</v>
      </c>
      <c r="AB13" s="30">
        <f t="shared" ref="AB13" si="15">SUM(N13:Q13)</f>
        <v>-2218</v>
      </c>
      <c r="AC13" s="30">
        <f t="shared" ref="AC13" si="16">SUM(O13:R13)</f>
        <v>-2388</v>
      </c>
      <c r="AD13" s="30">
        <f t="shared" ref="AD13" si="17">SUM(P13:S13)</f>
        <v>-2569</v>
      </c>
      <c r="AE13" s="30">
        <f>SUM(Q13:T13)</f>
        <v>-2828</v>
      </c>
      <c r="AF13" s="11"/>
      <c r="AG13" s="68">
        <f t="shared" si="8"/>
        <v>0.37148399612027161</v>
      </c>
    </row>
    <row r="14" spans="1:33" ht="12.75" customHeight="1">
      <c r="B14" s="9" t="s">
        <v>108</v>
      </c>
      <c r="C14" s="76">
        <v>-386</v>
      </c>
      <c r="D14" s="76">
        <v>-315</v>
      </c>
      <c r="E14" s="76">
        <v>-345</v>
      </c>
      <c r="F14" s="76">
        <v>-414</v>
      </c>
      <c r="G14" s="22"/>
      <c r="H14" s="81">
        <v>-84</v>
      </c>
      <c r="I14" s="81">
        <v>-82</v>
      </c>
      <c r="J14" s="81">
        <v>-76</v>
      </c>
      <c r="K14" s="30">
        <f t="shared" ref="K14" si="18">SUM(D14-SUM(H14:J14))</f>
        <v>-73</v>
      </c>
      <c r="L14" s="76">
        <v>-79</v>
      </c>
      <c r="M14" s="76">
        <v>-83</v>
      </c>
      <c r="N14" s="76">
        <v>-88</v>
      </c>
      <c r="O14" s="30">
        <f t="shared" ref="O14" si="19">SUM(E14-SUM(L14:N14))</f>
        <v>-95</v>
      </c>
      <c r="P14" s="76">
        <v>-90</v>
      </c>
      <c r="Q14" s="76">
        <v>-99</v>
      </c>
      <c r="R14" s="76">
        <v>-108</v>
      </c>
      <c r="S14" s="30">
        <f t="shared" ref="S14" si="20">SUM(F14-SUM(P14:R14))</f>
        <v>-117</v>
      </c>
      <c r="T14" s="76">
        <v>-120</v>
      </c>
      <c r="V14" s="30">
        <f t="shared" ref="V14" si="21">SUM(H14:K14)</f>
        <v>-315</v>
      </c>
      <c r="W14" s="30">
        <f t="shared" ref="W14" si="22">SUM(I14:L14)</f>
        <v>-310</v>
      </c>
      <c r="X14" s="30">
        <f t="shared" ref="X14" si="23">SUM(J14:M14)</f>
        <v>-311</v>
      </c>
      <c r="Y14" s="30">
        <f t="shared" ref="Y14" si="24">SUM(K14:N14)</f>
        <v>-323</v>
      </c>
      <c r="Z14" s="30">
        <f t="shared" ref="Z14" si="25">SUM(L14:O14)</f>
        <v>-345</v>
      </c>
      <c r="AA14" s="30">
        <f t="shared" ref="AA14" si="26">SUM(M14:P14)</f>
        <v>-356</v>
      </c>
      <c r="AB14" s="30">
        <f t="shared" ref="AB14" si="27">SUM(N14:Q14)</f>
        <v>-372</v>
      </c>
      <c r="AC14" s="30">
        <f t="shared" ref="AC14" si="28">SUM(O14:R14)</f>
        <v>-392</v>
      </c>
      <c r="AD14" s="30">
        <f t="shared" ref="AD14:AE14" si="29">SUM(P14:S14)</f>
        <v>-414</v>
      </c>
      <c r="AE14" s="30">
        <f t="shared" si="29"/>
        <v>-444</v>
      </c>
      <c r="AF14" s="11"/>
      <c r="AG14" s="68">
        <f t="shared" ref="AG14" si="30">SUM(AE14/AA14)-1</f>
        <v>0.24719101123595499</v>
      </c>
    </row>
    <row r="15" spans="1:33" ht="12.75" customHeight="1">
      <c r="B15" s="23" t="s">
        <v>21</v>
      </c>
      <c r="C15" s="24">
        <f>+SUM(C11+SUM(C13:C14))</f>
        <v>5672</v>
      </c>
      <c r="D15" s="24">
        <f t="shared" ref="D15:F15" si="31">+SUM(D11+SUM(D13:D14))</f>
        <v>7050</v>
      </c>
      <c r="E15" s="24">
        <f t="shared" si="31"/>
        <v>8697</v>
      </c>
      <c r="F15" s="24">
        <f t="shared" si="31"/>
        <v>10295</v>
      </c>
      <c r="H15" s="24">
        <f t="shared" ref="H15" si="32">+SUM(H11+SUM(H13:H14))</f>
        <v>1658</v>
      </c>
      <c r="I15" s="24">
        <f t="shared" ref="I15" si="33">+SUM(I11+SUM(I13:I14))</f>
        <v>1679</v>
      </c>
      <c r="J15" s="24">
        <f t="shared" ref="J15" si="34">+SUM(J11+SUM(J13:J14))</f>
        <v>1792</v>
      </c>
      <c r="K15" s="24">
        <f t="shared" ref="K15" si="35">+SUM(K11+SUM(K13:K14))</f>
        <v>1921</v>
      </c>
      <c r="L15" s="24">
        <f t="shared" ref="L15" si="36">+SUM(L11+SUM(L13:L14))</f>
        <v>2083</v>
      </c>
      <c r="M15" s="24">
        <f t="shared" ref="M15" si="37">+SUM(M11+SUM(M13:M14))</f>
        <v>2075</v>
      </c>
      <c r="N15" s="24">
        <f t="shared" ref="N15" si="38">+SUM(N11+SUM(N13:N14))</f>
        <v>2213</v>
      </c>
      <c r="O15" s="24">
        <f t="shared" ref="O15" si="39">+SUM(O11+SUM(O13:O14))</f>
        <v>2326</v>
      </c>
      <c r="P15" s="24">
        <f t="shared" ref="P15" si="40">+SUM(P11+SUM(P13:P14))</f>
        <v>2437</v>
      </c>
      <c r="Q15" s="24">
        <f t="shared" ref="Q15" si="41">+SUM(Q11+SUM(Q13:Q14))</f>
        <v>2491</v>
      </c>
      <c r="R15" s="24">
        <f t="shared" ref="R15" si="42">+SUM(R11+SUM(R13:R14))</f>
        <v>2633</v>
      </c>
      <c r="S15" s="24">
        <f t="shared" ref="S15" si="43">+SUM(S11+SUM(S13:S14))</f>
        <v>2734</v>
      </c>
      <c r="T15" s="24">
        <f t="shared" ref="T15" si="44">+SUM(T11+SUM(T13:T14))</f>
        <v>2830</v>
      </c>
      <c r="V15" s="24">
        <f t="shared" ref="V15" si="45">+SUM(V11+SUM(V13:V14))</f>
        <v>7050</v>
      </c>
      <c r="W15" s="24">
        <f t="shared" ref="W15" si="46">+SUM(W11+SUM(W13:W14))</f>
        <v>7475</v>
      </c>
      <c r="X15" s="24">
        <f t="shared" ref="X15" si="47">+SUM(X11+SUM(X13:X14))</f>
        <v>7871</v>
      </c>
      <c r="Y15" s="24">
        <f t="shared" ref="Y15" si="48">+SUM(Y11+SUM(Y13:Y14))</f>
        <v>8292</v>
      </c>
      <c r="Z15" s="24">
        <f t="shared" ref="Z15" si="49">+SUM(Z11+SUM(Z13:Z14))</f>
        <v>8697</v>
      </c>
      <c r="AA15" s="24">
        <f t="shared" ref="AA15" si="50">+SUM(AA11+SUM(AA13:AA14))</f>
        <v>9051</v>
      </c>
      <c r="AB15" s="24">
        <f t="shared" ref="AB15" si="51">+SUM(AB11+SUM(AB13:AB14))</f>
        <v>9467</v>
      </c>
      <c r="AC15" s="24">
        <f t="shared" ref="AC15" si="52">+SUM(AC11+SUM(AC13:AC14))</f>
        <v>9887</v>
      </c>
      <c r="AD15" s="24">
        <f t="shared" ref="AD15" si="53">+SUM(AD11+SUM(AD13:AD14))</f>
        <v>10295</v>
      </c>
      <c r="AE15" s="24">
        <f t="shared" ref="AE15" si="54">+SUM(AE11+SUM(AE13:AE14))</f>
        <v>10688</v>
      </c>
      <c r="AF15" s="39"/>
      <c r="AG15" s="69">
        <f t="shared" si="8"/>
        <v>0.18086399292895816</v>
      </c>
    </row>
    <row r="16" spans="1:33" ht="12.75" customHeight="1">
      <c r="B16" s="14" t="s">
        <v>29</v>
      </c>
      <c r="C16" s="15">
        <f t="shared" ref="C16:E16" si="55">C15/C11</f>
        <v>0.78288474810213937</v>
      </c>
      <c r="D16" s="15">
        <f t="shared" si="55"/>
        <v>0.78586556682644071</v>
      </c>
      <c r="E16" s="15">
        <f t="shared" si="55"/>
        <v>0.79178805535324104</v>
      </c>
      <c r="F16" s="15">
        <f t="shared" ref="F16" si="56">F15/F11</f>
        <v>0.77534267208917007</v>
      </c>
      <c r="G16" s="25"/>
      <c r="H16" s="15">
        <f t="shared" ref="H16:Q16" si="57">H15/H11</f>
        <v>0.79103053435114501</v>
      </c>
      <c r="I16" s="15">
        <f t="shared" si="57"/>
        <v>0.78093023255813954</v>
      </c>
      <c r="J16" s="15">
        <f t="shared" si="57"/>
        <v>0.78321678321678323</v>
      </c>
      <c r="K16" s="15">
        <f t="shared" si="57"/>
        <v>0.78826425933524824</v>
      </c>
      <c r="L16" s="15">
        <f t="shared" si="57"/>
        <v>0.80023050326546297</v>
      </c>
      <c r="M16" s="15">
        <f t="shared" si="57"/>
        <v>0.78987438142367716</v>
      </c>
      <c r="N16" s="15">
        <f t="shared" si="57"/>
        <v>0.79120486235252052</v>
      </c>
      <c r="O16" s="15">
        <f t="shared" si="57"/>
        <v>0.78660804869800471</v>
      </c>
      <c r="P16" s="15">
        <f t="shared" si="57"/>
        <v>0.78918393782383423</v>
      </c>
      <c r="Q16" s="15">
        <f t="shared" si="57"/>
        <v>0.77480559875583199</v>
      </c>
      <c r="R16" s="15">
        <f t="shared" ref="R16:S16" si="58">R15/R11</f>
        <v>0.77282066334018196</v>
      </c>
      <c r="S16" s="15">
        <f t="shared" si="58"/>
        <v>0.76625560538116588</v>
      </c>
      <c r="T16" s="15">
        <f t="shared" ref="T16" si="59">T15/T11</f>
        <v>0.75066312997347484</v>
      </c>
      <c r="U16" s="26"/>
      <c r="V16" s="15">
        <f t="shared" ref="V16:AE16" si="60">V15/V11</f>
        <v>0.78586556682644071</v>
      </c>
      <c r="W16" s="15">
        <f t="shared" si="60"/>
        <v>0.78866849546317785</v>
      </c>
      <c r="X16" s="15">
        <f t="shared" si="60"/>
        <v>0.79065796082370665</v>
      </c>
      <c r="Y16" s="15">
        <f t="shared" si="60"/>
        <v>0.79243119266055051</v>
      </c>
      <c r="Z16" s="15">
        <f t="shared" si="60"/>
        <v>0.79178805535324104</v>
      </c>
      <c r="AA16" s="15">
        <f t="shared" si="60"/>
        <v>0.78917080826575992</v>
      </c>
      <c r="AB16" s="15">
        <f t="shared" si="60"/>
        <v>0.78518702828232567</v>
      </c>
      <c r="AC16" s="15">
        <f t="shared" si="60"/>
        <v>0.78053209126075629</v>
      </c>
      <c r="AD16" s="15">
        <f t="shared" si="60"/>
        <v>0.77534267208917007</v>
      </c>
      <c r="AE16" s="15">
        <f t="shared" si="60"/>
        <v>0.76561604584527221</v>
      </c>
      <c r="AF16" s="39"/>
      <c r="AG16" s="70">
        <f>SUM(AE16-AA16)*1000</f>
        <v>-23.554762420487705</v>
      </c>
    </row>
    <row r="17" spans="2:33" ht="5.0999999999999996" customHeight="1"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39"/>
      <c r="AG17" s="68"/>
    </row>
    <row r="18" spans="2:33" ht="12.75" customHeight="1">
      <c r="B18" s="9" t="s">
        <v>109</v>
      </c>
      <c r="C18" s="76">
        <v>-2814</v>
      </c>
      <c r="D18" s="76">
        <v>-3301</v>
      </c>
      <c r="E18" s="76">
        <v>-3854</v>
      </c>
      <c r="F18" s="76">
        <v>-4388</v>
      </c>
      <c r="G18" s="30"/>
      <c r="H18" s="81">
        <v>-823</v>
      </c>
      <c r="I18" s="81">
        <v>-832</v>
      </c>
      <c r="J18" s="81">
        <v>-799</v>
      </c>
      <c r="K18" s="30">
        <f>SUM(D18-SUM(H18:J18))</f>
        <v>-847</v>
      </c>
      <c r="L18" s="76">
        <v>-923</v>
      </c>
      <c r="M18" s="76">
        <v>-960</v>
      </c>
      <c r="N18" s="76">
        <v>-944</v>
      </c>
      <c r="O18" s="30">
        <f>SUM(E18-SUM(L18:N18))</f>
        <v>-1027</v>
      </c>
      <c r="P18" s="76">
        <v>-1054</v>
      </c>
      <c r="Q18" s="76">
        <v>-1128</v>
      </c>
      <c r="R18" s="76">
        <v>-1056</v>
      </c>
      <c r="S18" s="30">
        <f t="shared" ref="S18" si="61">SUM(F18-SUM(P18:R18))</f>
        <v>-1150</v>
      </c>
      <c r="T18" s="76">
        <v>-1216</v>
      </c>
      <c r="V18" s="30">
        <f t="shared" ref="V18:V20" si="62">SUM(H18:K18)</f>
        <v>-3301</v>
      </c>
      <c r="W18" s="30">
        <f t="shared" ref="W18:W20" si="63">SUM(I18:L18)</f>
        <v>-3401</v>
      </c>
      <c r="X18" s="30">
        <f t="shared" ref="X18:X20" si="64">SUM(J18:M18)</f>
        <v>-3529</v>
      </c>
      <c r="Y18" s="30">
        <f t="shared" ref="Y18:Y20" si="65">SUM(K18:N18)</f>
        <v>-3674</v>
      </c>
      <c r="Z18" s="30">
        <f t="shared" ref="Z18:Z20" si="66">SUM(L18:O18)</f>
        <v>-3854</v>
      </c>
      <c r="AA18" s="30">
        <f t="shared" ref="AA18:AA20" si="67">SUM(M18:P18)</f>
        <v>-3985</v>
      </c>
      <c r="AB18" s="30">
        <f t="shared" ref="AB18:AB20" si="68">SUM(N18:Q18)</f>
        <v>-4153</v>
      </c>
      <c r="AC18" s="30">
        <f t="shared" ref="AC18:AC20" si="69">SUM(O18:R18)</f>
        <v>-4265</v>
      </c>
      <c r="AD18" s="30">
        <f t="shared" ref="AD18:AD20" si="70">SUM(P18:S18)</f>
        <v>-4388</v>
      </c>
      <c r="AE18" s="30">
        <f t="shared" ref="AE18:AE20" si="71">SUM(Q18:T18)</f>
        <v>-4550</v>
      </c>
      <c r="AF18" s="11"/>
      <c r="AG18" s="68">
        <f t="shared" si="8"/>
        <v>0.14178168130489333</v>
      </c>
    </row>
    <row r="19" spans="2:33" ht="12.75" customHeight="1">
      <c r="B19" s="9" t="s">
        <v>110</v>
      </c>
      <c r="C19" s="76">
        <v>-735</v>
      </c>
      <c r="D19" s="76">
        <v>-863</v>
      </c>
      <c r="E19" s="76">
        <v>-936</v>
      </c>
      <c r="F19" s="76">
        <v>-1123</v>
      </c>
      <c r="G19" s="30"/>
      <c r="H19" s="81">
        <v>-199</v>
      </c>
      <c r="I19" s="81">
        <v>-209</v>
      </c>
      <c r="J19" s="81">
        <v>-213</v>
      </c>
      <c r="K19" s="30">
        <f t="shared" ref="K19:K20" si="72">SUM(D19-SUM(H19:J19))</f>
        <v>-242</v>
      </c>
      <c r="L19" s="76">
        <v>-222</v>
      </c>
      <c r="M19" s="76">
        <v>-232</v>
      </c>
      <c r="N19" s="76">
        <v>-225</v>
      </c>
      <c r="O19" s="30">
        <f t="shared" ref="O19:O20" si="73">SUM(E19-SUM(L19:N19))</f>
        <v>-257</v>
      </c>
      <c r="P19" s="76">
        <v>-229</v>
      </c>
      <c r="Q19" s="76">
        <v>-271</v>
      </c>
      <c r="R19" s="76">
        <v>-255</v>
      </c>
      <c r="S19" s="30">
        <f t="shared" ref="S19:S20" si="74">SUM(F19-SUM(P19:R19))</f>
        <v>-368</v>
      </c>
      <c r="T19" s="76">
        <v>-288</v>
      </c>
      <c r="V19" s="30">
        <f t="shared" si="62"/>
        <v>-863</v>
      </c>
      <c r="W19" s="30">
        <f t="shared" si="63"/>
        <v>-886</v>
      </c>
      <c r="X19" s="30">
        <f t="shared" si="64"/>
        <v>-909</v>
      </c>
      <c r="Y19" s="30">
        <f t="shared" si="65"/>
        <v>-921</v>
      </c>
      <c r="Z19" s="30">
        <f t="shared" si="66"/>
        <v>-936</v>
      </c>
      <c r="AA19" s="30">
        <f t="shared" si="67"/>
        <v>-943</v>
      </c>
      <c r="AB19" s="30">
        <f t="shared" si="68"/>
        <v>-982</v>
      </c>
      <c r="AC19" s="30">
        <f t="shared" si="69"/>
        <v>-1012</v>
      </c>
      <c r="AD19" s="30">
        <f t="shared" si="70"/>
        <v>-1123</v>
      </c>
      <c r="AE19" s="30">
        <f t="shared" si="71"/>
        <v>-1182</v>
      </c>
      <c r="AF19" s="11"/>
      <c r="AG19" s="68">
        <f t="shared" ref="AG19:AG20" si="75">SUM(AE19/AA19)-1</f>
        <v>0.25344644750795342</v>
      </c>
    </row>
    <row r="20" spans="2:33" ht="12.75" customHeight="1">
      <c r="B20" s="9" t="s">
        <v>111</v>
      </c>
      <c r="C20" s="76">
        <v>-1768</v>
      </c>
      <c r="D20" s="76">
        <v>-2124</v>
      </c>
      <c r="E20" s="76">
        <v>-2543</v>
      </c>
      <c r="F20" s="76">
        <v>-2960</v>
      </c>
      <c r="G20" s="30"/>
      <c r="H20" s="81">
        <v>-492</v>
      </c>
      <c r="I20" s="81">
        <v>-521</v>
      </c>
      <c r="J20" s="81">
        <v>-549</v>
      </c>
      <c r="K20" s="30">
        <f t="shared" si="72"/>
        <v>-562</v>
      </c>
      <c r="L20" s="76">
        <v>-606</v>
      </c>
      <c r="M20" s="76">
        <v>-643</v>
      </c>
      <c r="N20" s="76">
        <v>-626</v>
      </c>
      <c r="O20" s="30">
        <f t="shared" si="73"/>
        <v>-668</v>
      </c>
      <c r="P20" s="76">
        <v>-703</v>
      </c>
      <c r="Q20" s="76">
        <v>-734</v>
      </c>
      <c r="R20" s="76">
        <v>-750</v>
      </c>
      <c r="S20" s="30">
        <f t="shared" si="74"/>
        <v>-773</v>
      </c>
      <c r="T20" s="76">
        <v>-823</v>
      </c>
      <c r="V20" s="30">
        <f t="shared" si="62"/>
        <v>-2124</v>
      </c>
      <c r="W20" s="30">
        <f t="shared" si="63"/>
        <v>-2238</v>
      </c>
      <c r="X20" s="30">
        <f t="shared" si="64"/>
        <v>-2360</v>
      </c>
      <c r="Y20" s="30">
        <f t="shared" si="65"/>
        <v>-2437</v>
      </c>
      <c r="Z20" s="30">
        <f t="shared" si="66"/>
        <v>-2543</v>
      </c>
      <c r="AA20" s="30">
        <f t="shared" si="67"/>
        <v>-2640</v>
      </c>
      <c r="AB20" s="30">
        <f t="shared" si="68"/>
        <v>-2731</v>
      </c>
      <c r="AC20" s="30">
        <f t="shared" si="69"/>
        <v>-2855</v>
      </c>
      <c r="AD20" s="30">
        <f t="shared" si="70"/>
        <v>-2960</v>
      </c>
      <c r="AE20" s="30">
        <f t="shared" si="71"/>
        <v>-3080</v>
      </c>
      <c r="AF20" s="11"/>
      <c r="AG20" s="68">
        <f t="shared" si="75"/>
        <v>0.16666666666666674</v>
      </c>
    </row>
    <row r="21" spans="2:33" ht="12.75" customHeight="1">
      <c r="B21" s="23" t="s">
        <v>76</v>
      </c>
      <c r="C21" s="24">
        <f>+SUM(C15+SUM(C18:C20))</f>
        <v>355</v>
      </c>
      <c r="D21" s="24">
        <f>+SUM(D15+SUM(D18:D20))</f>
        <v>762</v>
      </c>
      <c r="E21" s="24">
        <f>+SUM(E15+SUM(E18:E20))</f>
        <v>1364</v>
      </c>
      <c r="F21" s="24">
        <f>+SUM(F15+SUM(F18:F20))</f>
        <v>1824</v>
      </c>
      <c r="G21" s="30"/>
      <c r="H21" s="24">
        <f>+SUM(H15+SUM(H18:H20))</f>
        <v>144</v>
      </c>
      <c r="I21" s="24">
        <f>+SUM(I15+SUM(I18:I20))</f>
        <v>117</v>
      </c>
      <c r="J21" s="24">
        <f>+SUM(J15+SUM(J18:J20))</f>
        <v>231</v>
      </c>
      <c r="K21" s="24">
        <f>+SUM(K15+SUM(K18:K20))</f>
        <v>270</v>
      </c>
      <c r="L21" s="24">
        <f>+SUM(L15+SUM(L18:L20))</f>
        <v>332</v>
      </c>
      <c r="M21" s="24">
        <f>+SUM(M15+SUM(M18:M20))</f>
        <v>240</v>
      </c>
      <c r="N21" s="24">
        <f>+SUM(N15+SUM(N18:N20))</f>
        <v>418</v>
      </c>
      <c r="O21" s="24">
        <f>+SUM(O15+SUM(O18:O20))</f>
        <v>374</v>
      </c>
      <c r="P21" s="24">
        <f>+SUM(P15+SUM(P18:P20))</f>
        <v>451</v>
      </c>
      <c r="Q21" s="24">
        <f>+SUM(Q15+SUM(Q18:Q20))</f>
        <v>358</v>
      </c>
      <c r="R21" s="24">
        <f>+SUM(R15+SUM(R18:R20))</f>
        <v>572</v>
      </c>
      <c r="S21" s="24">
        <f>+SUM(S15+SUM(S18:S20))</f>
        <v>443</v>
      </c>
      <c r="T21" s="24">
        <f>+SUM(T15+SUM(T18:T20))</f>
        <v>503</v>
      </c>
      <c r="V21" s="24">
        <f>+SUM(V15+SUM(V18:V20))</f>
        <v>762</v>
      </c>
      <c r="W21" s="24">
        <f>+SUM(W15+SUM(W18:W20))</f>
        <v>950</v>
      </c>
      <c r="X21" s="24">
        <f>+SUM(X15+SUM(X18:X20))</f>
        <v>1073</v>
      </c>
      <c r="Y21" s="24">
        <f>+SUM(Y15+SUM(Y18:Y20))</f>
        <v>1260</v>
      </c>
      <c r="Z21" s="24">
        <f>+SUM(Z15+SUM(Z18:Z20))</f>
        <v>1364</v>
      </c>
      <c r="AA21" s="24">
        <f>+SUM(AA15+SUM(AA18:AA20))</f>
        <v>1483</v>
      </c>
      <c r="AB21" s="24">
        <f>+SUM(AB15+SUM(AB18:AB20))</f>
        <v>1601</v>
      </c>
      <c r="AC21" s="24">
        <f>+SUM(AC15+SUM(AC18:AC20))</f>
        <v>1755</v>
      </c>
      <c r="AD21" s="24">
        <f>+SUM(AD15+SUM(AD18:AD20))</f>
        <v>1824</v>
      </c>
      <c r="AE21" s="24">
        <f>+SUM(AE15+SUM(AE18:AE20))</f>
        <v>1876</v>
      </c>
      <c r="AF21" s="11"/>
      <c r="AG21" s="69">
        <f t="shared" si="8"/>
        <v>0.26500337154416731</v>
      </c>
    </row>
    <row r="22" spans="2:33" ht="12.75" customHeight="1">
      <c r="B22" s="14" t="s">
        <v>31</v>
      </c>
      <c r="C22" s="15">
        <f>C21/C11</f>
        <v>4.8999309868875088E-2</v>
      </c>
      <c r="D22" s="15">
        <f>D21/D11</f>
        <v>8.4940363393155721E-2</v>
      </c>
      <c r="E22" s="15">
        <f>E21/E11</f>
        <v>0.12418062636562273</v>
      </c>
      <c r="F22" s="15">
        <f>F21/F11</f>
        <v>0.13737008585630367</v>
      </c>
      <c r="G22" s="30"/>
      <c r="H22" s="15">
        <f>H21/H11</f>
        <v>6.8702290076335881E-2</v>
      </c>
      <c r="I22" s="15">
        <f>I21/I11</f>
        <v>5.4418604651162793E-2</v>
      </c>
      <c r="J22" s="15">
        <f>J21/J11</f>
        <v>0.10096153846153846</v>
      </c>
      <c r="K22" s="15">
        <f>K21/K11</f>
        <v>0.1107919573245794</v>
      </c>
      <c r="L22" s="15">
        <f>L21/L11</f>
        <v>0.12754514022281982</v>
      </c>
      <c r="M22" s="15">
        <f>M21/M11</f>
        <v>9.1358964598401218E-2</v>
      </c>
      <c r="N22" s="15">
        <f>N21/N11</f>
        <v>0.14944583482302468</v>
      </c>
      <c r="O22" s="15">
        <f>O21/O11</f>
        <v>0.12647954007439974</v>
      </c>
      <c r="P22" s="15">
        <f>P21/P11</f>
        <v>0.14604922279792745</v>
      </c>
      <c r="Q22" s="15">
        <f>Q21/Q11</f>
        <v>0.11135303265940902</v>
      </c>
      <c r="R22" s="15">
        <f>R21/R11</f>
        <v>0.16788963897857354</v>
      </c>
      <c r="S22" s="15">
        <f>S21/S11</f>
        <v>0.12415919282511211</v>
      </c>
      <c r="T22" s="15">
        <f>T21/T11</f>
        <v>0.13342175066312997</v>
      </c>
      <c r="V22" s="15">
        <f>V21/V11</f>
        <v>8.4940363393155721E-2</v>
      </c>
      <c r="W22" s="15">
        <f>W21/W11</f>
        <v>0.1002321164802701</v>
      </c>
      <c r="X22" s="15">
        <f>X21/X11</f>
        <v>0.1077850326469111</v>
      </c>
      <c r="Y22" s="15">
        <f>Y21/Y11</f>
        <v>0.12041284403669725</v>
      </c>
      <c r="Z22" s="15">
        <f>Z21/Z11</f>
        <v>0.12418062636562273</v>
      </c>
      <c r="AA22" s="15">
        <f>AA21/AA11</f>
        <v>0.12930508326793966</v>
      </c>
      <c r="AB22" s="15">
        <f>AB21/AB11</f>
        <v>0.13278593348262421</v>
      </c>
      <c r="AC22" s="15">
        <f>AC21/AC11</f>
        <v>0.13854898555301176</v>
      </c>
      <c r="AD22" s="15">
        <f>AD21/AD11</f>
        <v>0.13737008585630367</v>
      </c>
      <c r="AE22" s="15">
        <f>AE21/AE11</f>
        <v>0.13438395415472779</v>
      </c>
      <c r="AF22" s="11"/>
      <c r="AG22" s="70">
        <f>SUM(AE22-AA22)*1000</f>
        <v>5.0788708867881285</v>
      </c>
    </row>
    <row r="23" spans="2:33" ht="5.0999999999999996" customHeight="1">
      <c r="B23" s="14"/>
      <c r="C23" s="15"/>
      <c r="D23" s="15"/>
      <c r="E23" s="15"/>
      <c r="F23" s="15"/>
      <c r="G23" s="30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11"/>
      <c r="AG23" s="68"/>
    </row>
    <row r="24" spans="2:33" ht="12.75" customHeight="1">
      <c r="B24" s="9" t="s">
        <v>112</v>
      </c>
      <c r="C24" s="76">
        <v>82</v>
      </c>
      <c r="D24" s="76">
        <v>302</v>
      </c>
      <c r="E24" s="76">
        <v>419</v>
      </c>
      <c r="F24" s="76">
        <v>451</v>
      </c>
      <c r="G24" s="30"/>
      <c r="H24" s="76">
        <v>60</v>
      </c>
      <c r="I24" s="76">
        <v>74</v>
      </c>
      <c r="J24" s="76">
        <v>82</v>
      </c>
      <c r="K24" s="30">
        <f>SUM(D24-SUM(H24:J24))</f>
        <v>86</v>
      </c>
      <c r="L24" s="76">
        <v>101</v>
      </c>
      <c r="M24" s="76">
        <v>104</v>
      </c>
      <c r="N24" s="76">
        <v>108</v>
      </c>
      <c r="O24" s="30">
        <f>SUM(E24-SUM(L24:N24))</f>
        <v>106</v>
      </c>
      <c r="P24" s="76">
        <v>115</v>
      </c>
      <c r="Q24" s="76">
        <v>116</v>
      </c>
      <c r="R24" s="76">
        <v>115</v>
      </c>
      <c r="S24" s="30">
        <f t="shared" ref="S24" si="76">SUM(F24-SUM(P24:R24))</f>
        <v>105</v>
      </c>
      <c r="T24" s="76">
        <v>88</v>
      </c>
      <c r="V24" s="30">
        <f t="shared" ref="V24:V25" si="77">SUM(H24:K24)</f>
        <v>302</v>
      </c>
      <c r="W24" s="30">
        <f t="shared" ref="W24:W25" si="78">SUM(I24:L24)</f>
        <v>343</v>
      </c>
      <c r="X24" s="30">
        <f t="shared" ref="X24:X25" si="79">SUM(J24:M24)</f>
        <v>373</v>
      </c>
      <c r="Y24" s="30">
        <f t="shared" ref="Y24:Y25" si="80">SUM(K24:N24)</f>
        <v>399</v>
      </c>
      <c r="Z24" s="30">
        <f t="shared" ref="Z24:Z25" si="81">SUM(L24:O24)</f>
        <v>419</v>
      </c>
      <c r="AA24" s="30">
        <f t="shared" ref="AA24:AA25" si="82">SUM(M24:P24)</f>
        <v>433</v>
      </c>
      <c r="AB24" s="30">
        <f t="shared" ref="AB24:AB25" si="83">SUM(N24:Q24)</f>
        <v>445</v>
      </c>
      <c r="AC24" s="30">
        <f t="shared" ref="AC24:AC25" si="84">SUM(O24:R24)</f>
        <v>452</v>
      </c>
      <c r="AD24" s="30">
        <f t="shared" ref="AD24:AD25" si="85">SUM(P24:S24)</f>
        <v>451</v>
      </c>
      <c r="AE24" s="30">
        <f t="shared" ref="AE24:AE25" si="86">SUM(Q24:T24)</f>
        <v>424</v>
      </c>
      <c r="AF24" s="11"/>
      <c r="AG24" s="68">
        <f t="shared" si="8"/>
        <v>-2.0785219399538146E-2</v>
      </c>
    </row>
    <row r="25" spans="2:33" ht="12.75" customHeight="1">
      <c r="B25" s="9" t="s">
        <v>113</v>
      </c>
      <c r="C25" s="76">
        <v>-38</v>
      </c>
      <c r="D25" s="76">
        <v>-56</v>
      </c>
      <c r="E25" s="76">
        <v>-45</v>
      </c>
      <c r="F25" s="76">
        <v>-14</v>
      </c>
      <c r="G25" s="30"/>
      <c r="H25" s="76">
        <v>-16</v>
      </c>
      <c r="I25" s="76">
        <v>-17</v>
      </c>
      <c r="J25" s="76">
        <v>-14</v>
      </c>
      <c r="K25" s="30">
        <f>SUM(D25-SUM(H25:J25))</f>
        <v>-9</v>
      </c>
      <c r="L25" s="76">
        <v>-8</v>
      </c>
      <c r="M25" s="76">
        <v>-10</v>
      </c>
      <c r="N25" s="76">
        <v>-10</v>
      </c>
      <c r="O25" s="30">
        <f>SUM(E25-SUM(L25:N25))</f>
        <v>-17</v>
      </c>
      <c r="P25" s="76">
        <v>-11</v>
      </c>
      <c r="Q25" s="76">
        <v>-3</v>
      </c>
      <c r="R25" s="76">
        <v>7</v>
      </c>
      <c r="S25" s="30">
        <f t="shared" ref="S25" si="87">SUM(F25-SUM(P25:R25))</f>
        <v>-7</v>
      </c>
      <c r="T25" s="76">
        <v>82</v>
      </c>
      <c r="V25" s="30">
        <f t="shared" si="77"/>
        <v>-56</v>
      </c>
      <c r="W25" s="30">
        <f t="shared" si="78"/>
        <v>-48</v>
      </c>
      <c r="X25" s="30">
        <f t="shared" si="79"/>
        <v>-41</v>
      </c>
      <c r="Y25" s="30">
        <f t="shared" si="80"/>
        <v>-37</v>
      </c>
      <c r="Z25" s="30">
        <f t="shared" si="81"/>
        <v>-45</v>
      </c>
      <c r="AA25" s="30">
        <f t="shared" si="82"/>
        <v>-48</v>
      </c>
      <c r="AB25" s="30">
        <f t="shared" si="83"/>
        <v>-41</v>
      </c>
      <c r="AC25" s="30">
        <f t="shared" si="84"/>
        <v>-24</v>
      </c>
      <c r="AD25" s="30">
        <f t="shared" si="85"/>
        <v>-14</v>
      </c>
      <c r="AE25" s="30">
        <f t="shared" si="86"/>
        <v>79</v>
      </c>
      <c r="AF25" s="11"/>
      <c r="AG25" s="68">
        <f t="shared" ref="AG25" si="88">SUM(AE25/AA25)-1</f>
        <v>-2.645833333333333</v>
      </c>
    </row>
    <row r="26" spans="2:33" ht="12.75" customHeight="1">
      <c r="B26" s="23" t="s">
        <v>105</v>
      </c>
      <c r="C26" s="24">
        <f>SUM(C24:C25)+C21</f>
        <v>399</v>
      </c>
      <c r="D26" s="24">
        <f>SUM(D24:D25)+D21</f>
        <v>1008</v>
      </c>
      <c r="E26" s="24">
        <f>SUM(E24:E25)+E21</f>
        <v>1738</v>
      </c>
      <c r="F26" s="24">
        <f>SUM(F24:F25)+F21</f>
        <v>2261</v>
      </c>
      <c r="G26" s="30"/>
      <c r="H26" s="24">
        <f>SUM(H24:H25)+H21</f>
        <v>188</v>
      </c>
      <c r="I26" s="24">
        <f>SUM(I24:I25)+I21</f>
        <v>174</v>
      </c>
      <c r="J26" s="24">
        <f>SUM(J24:J25)+J21</f>
        <v>299</v>
      </c>
      <c r="K26" s="24">
        <f>SUM(K24:K25)+K21</f>
        <v>347</v>
      </c>
      <c r="L26" s="24">
        <f>SUM(L24:L25)+L21</f>
        <v>425</v>
      </c>
      <c r="M26" s="24">
        <f>SUM(M24:M25)+M21</f>
        <v>334</v>
      </c>
      <c r="N26" s="24">
        <f>SUM(N24:N25)+N21</f>
        <v>516</v>
      </c>
      <c r="O26" s="24">
        <f>SUM(O24:O25)+O21</f>
        <v>463</v>
      </c>
      <c r="P26" s="24">
        <f>SUM(P24:P25)+P21</f>
        <v>555</v>
      </c>
      <c r="Q26" s="24">
        <f>SUM(Q24:Q25)+Q21</f>
        <v>471</v>
      </c>
      <c r="R26" s="24">
        <f>SUM(R24:R25)+R21</f>
        <v>694</v>
      </c>
      <c r="S26" s="24">
        <f>SUM(S24:S25)+S21</f>
        <v>541</v>
      </c>
      <c r="T26" s="24">
        <f>SUM(T24:T25)+T21</f>
        <v>673</v>
      </c>
      <c r="V26" s="24">
        <f>SUM(V24:V25)+V21</f>
        <v>1008</v>
      </c>
      <c r="W26" s="24">
        <f>SUM(W24:W25)+W21</f>
        <v>1245</v>
      </c>
      <c r="X26" s="24">
        <f>SUM(X24:X25)+X21</f>
        <v>1405</v>
      </c>
      <c r="Y26" s="24">
        <f>SUM(Y24:Y25)+Y21</f>
        <v>1622</v>
      </c>
      <c r="Z26" s="24">
        <f>SUM(Z24:Z25)+Z21</f>
        <v>1738</v>
      </c>
      <c r="AA26" s="24">
        <f>SUM(AA24:AA25)+AA21</f>
        <v>1868</v>
      </c>
      <c r="AB26" s="24">
        <f>SUM(AB24:AB25)+AB21</f>
        <v>2005</v>
      </c>
      <c r="AC26" s="24">
        <f>SUM(AC24:AC25)+AC21</f>
        <v>2183</v>
      </c>
      <c r="AD26" s="24">
        <f>SUM(AD24:AD25)+AD21</f>
        <v>2261</v>
      </c>
      <c r="AE26" s="24">
        <f>SUM(AE24:AE25)+AE21</f>
        <v>2379</v>
      </c>
      <c r="AF26" s="11"/>
      <c r="AG26" s="68">
        <f t="shared" si="8"/>
        <v>0.27355460385438968</v>
      </c>
    </row>
    <row r="27" spans="2:33" ht="12.75" customHeight="1">
      <c r="B27" s="14" t="s">
        <v>77</v>
      </c>
      <c r="C27" s="15">
        <f>C26/C11</f>
        <v>5.5072463768115941E-2</v>
      </c>
      <c r="D27" s="15">
        <f>D26/D11</f>
        <v>0.112362055512206</v>
      </c>
      <c r="E27" s="15">
        <f>E26/E11</f>
        <v>0.15823015294974507</v>
      </c>
      <c r="F27" s="15">
        <f>F26/F11</f>
        <v>0.17028166892604307</v>
      </c>
      <c r="G27" s="25"/>
      <c r="H27" s="15">
        <f>H26/H11</f>
        <v>8.9694656488549615E-2</v>
      </c>
      <c r="I27" s="15">
        <f>I26/I11</f>
        <v>8.0930232558139539E-2</v>
      </c>
      <c r="J27" s="15">
        <f>J26/J11</f>
        <v>0.13068181818181818</v>
      </c>
      <c r="K27" s="15">
        <f>K26/K11</f>
        <v>0.14238818219121871</v>
      </c>
      <c r="L27" s="15">
        <f>L26/L11</f>
        <v>0.16327314636957357</v>
      </c>
      <c r="M27" s="15">
        <f>M26/M11</f>
        <v>0.12714122573277503</v>
      </c>
      <c r="N27" s="15">
        <f>N26/N11</f>
        <v>0.18448337504469073</v>
      </c>
      <c r="O27" s="15">
        <f>O26/O11</f>
        <v>0.15657761244504564</v>
      </c>
      <c r="P27" s="15">
        <f>P26/P11</f>
        <v>0.1797279792746114</v>
      </c>
      <c r="Q27" s="15">
        <f>Q26/Q11</f>
        <v>0.14650077760497668</v>
      </c>
      <c r="R27" s="15">
        <f>R26/R11</f>
        <v>0.20369826827120635</v>
      </c>
      <c r="S27" s="15">
        <f>S26/S11</f>
        <v>0.1516255605381166</v>
      </c>
      <c r="T27" s="15">
        <f>T26/T11</f>
        <v>0.17851458885941646</v>
      </c>
      <c r="V27" s="15">
        <f>V26/V11</f>
        <v>0.112362055512206</v>
      </c>
      <c r="W27" s="15">
        <f>W26/W11</f>
        <v>0.13135682633466977</v>
      </c>
      <c r="X27" s="15">
        <f>X26/X11</f>
        <v>0.1411351079859367</v>
      </c>
      <c r="Y27" s="15">
        <f>Y26/Y11</f>
        <v>0.15500764525993885</v>
      </c>
      <c r="Z27" s="15">
        <f>Z26/Z11</f>
        <v>0.15823015294974507</v>
      </c>
      <c r="AA27" s="15">
        <f>AA26/AA11</f>
        <v>0.16287383381288692</v>
      </c>
      <c r="AB27" s="15">
        <f>AB26/AB11</f>
        <v>0.16629343949572861</v>
      </c>
      <c r="AC27" s="15">
        <f>AC26/AC11</f>
        <v>0.17233757006394568</v>
      </c>
      <c r="AD27" s="15">
        <f>AD26/AD11</f>
        <v>0.17028166892604307</v>
      </c>
      <c r="AE27" s="15">
        <f>AE26/AE11</f>
        <v>0.17041547277936964</v>
      </c>
      <c r="AF27" s="40"/>
      <c r="AG27" s="70">
        <f>SUM(AE27-AA27)*1000</f>
        <v>7.5416389664827168</v>
      </c>
    </row>
    <row r="28" spans="2:33" ht="5.0999999999999996" customHeight="1">
      <c r="B28" s="9"/>
      <c r="C28" s="76"/>
      <c r="D28" s="76"/>
      <c r="E28" s="76"/>
      <c r="F28" s="76"/>
      <c r="G28" s="30"/>
      <c r="H28" s="76"/>
      <c r="I28" s="76"/>
      <c r="J28" s="76"/>
      <c r="K28" s="30"/>
      <c r="L28" s="76"/>
      <c r="M28" s="76"/>
      <c r="N28" s="76"/>
      <c r="O28" s="30"/>
      <c r="P28" s="76"/>
      <c r="Q28" s="76"/>
      <c r="R28" s="76"/>
      <c r="S28" s="76"/>
      <c r="T28" s="76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11"/>
      <c r="AG28" s="68"/>
    </row>
    <row r="29" spans="2:33" ht="12.75" customHeight="1">
      <c r="B29" s="9" t="s">
        <v>114</v>
      </c>
      <c r="C29" s="76">
        <v>-74</v>
      </c>
      <c r="D29" s="76">
        <v>723</v>
      </c>
      <c r="E29" s="76">
        <v>-313</v>
      </c>
      <c r="F29" s="76">
        <v>-513</v>
      </c>
      <c r="G29" s="30"/>
      <c r="H29" s="76">
        <v>-38</v>
      </c>
      <c r="I29" s="76">
        <v>870</v>
      </c>
      <c r="J29" s="76">
        <v>-57</v>
      </c>
      <c r="K29" s="30">
        <f>SUM(D29-SUM(H29:J29))</f>
        <v>-52</v>
      </c>
      <c r="L29" s="76">
        <v>-78</v>
      </c>
      <c r="M29" s="76">
        <v>-72</v>
      </c>
      <c r="N29" s="76">
        <v>-84</v>
      </c>
      <c r="O29" s="30">
        <f>SUM(E29-SUM(L29:N29))</f>
        <v>-79</v>
      </c>
      <c r="P29" s="76">
        <v>-95</v>
      </c>
      <c r="Q29" s="76">
        <v>-86</v>
      </c>
      <c r="R29" s="76">
        <v>-192</v>
      </c>
      <c r="S29" s="30">
        <f t="shared" ref="S29" si="89">SUM(F29-SUM(P29:R29))</f>
        <v>-140</v>
      </c>
      <c r="T29" s="76">
        <v>-204</v>
      </c>
      <c r="V29" s="30">
        <f t="shared" ref="V29" si="90">SUM(H29:K29)</f>
        <v>723</v>
      </c>
      <c r="W29" s="30">
        <f t="shared" ref="W29" si="91">SUM(I29:L29)</f>
        <v>683</v>
      </c>
      <c r="X29" s="30">
        <f t="shared" ref="X29" si="92">SUM(J29:M29)</f>
        <v>-259</v>
      </c>
      <c r="Y29" s="30">
        <f t="shared" ref="Y29" si="93">SUM(K29:N29)</f>
        <v>-286</v>
      </c>
      <c r="Z29" s="30">
        <f t="shared" ref="Z29" si="94">SUM(L29:O29)</f>
        <v>-313</v>
      </c>
      <c r="AA29" s="30">
        <f t="shared" ref="AA29" si="95">SUM(M29:P29)</f>
        <v>-330</v>
      </c>
      <c r="AB29" s="30">
        <f t="shared" ref="AB29" si="96">SUM(N29:Q29)</f>
        <v>-344</v>
      </c>
      <c r="AC29" s="30">
        <f t="shared" ref="AC29" si="97">SUM(O29:R29)</f>
        <v>-452</v>
      </c>
      <c r="AD29" s="30">
        <f t="shared" ref="AD29" si="98">SUM(P29:S29)</f>
        <v>-513</v>
      </c>
      <c r="AE29" s="30">
        <f>SUM(Q29:T29)</f>
        <v>-622</v>
      </c>
      <c r="AF29" s="11"/>
      <c r="AG29" s="68">
        <f t="shared" si="8"/>
        <v>0.88484848484848477</v>
      </c>
    </row>
    <row r="30" spans="2:33" ht="12.75" customHeight="1">
      <c r="B30" s="12" t="s">
        <v>115</v>
      </c>
      <c r="C30" s="13">
        <f>SUM(C26+SUM(C29:C29))</f>
        <v>325</v>
      </c>
      <c r="D30" s="13">
        <f>SUM(D26+SUM(D29:D29))</f>
        <v>1731</v>
      </c>
      <c r="E30" s="13">
        <f>SUM(E26+SUM(E29:E29))</f>
        <v>1425</v>
      </c>
      <c r="F30" s="13">
        <f>SUM(F26+SUM(F29:F29))</f>
        <v>1748</v>
      </c>
      <c r="H30" s="13">
        <f t="shared" ref="H30:T30" si="99">SUM(H26+SUM(H29:H29))</f>
        <v>150</v>
      </c>
      <c r="I30" s="13">
        <f t="shared" si="99"/>
        <v>1044</v>
      </c>
      <c r="J30" s="13">
        <f t="shared" si="99"/>
        <v>242</v>
      </c>
      <c r="K30" s="13">
        <f t="shared" si="99"/>
        <v>295</v>
      </c>
      <c r="L30" s="13">
        <f t="shared" si="99"/>
        <v>347</v>
      </c>
      <c r="M30" s="13">
        <f t="shared" si="99"/>
        <v>262</v>
      </c>
      <c r="N30" s="13">
        <f t="shared" si="99"/>
        <v>432</v>
      </c>
      <c r="O30" s="13">
        <f t="shared" si="99"/>
        <v>384</v>
      </c>
      <c r="P30" s="13">
        <f t="shared" si="99"/>
        <v>460</v>
      </c>
      <c r="Q30" s="13">
        <f t="shared" si="99"/>
        <v>385</v>
      </c>
      <c r="R30" s="13">
        <f t="shared" si="99"/>
        <v>502</v>
      </c>
      <c r="S30" s="13">
        <f t="shared" si="99"/>
        <v>401</v>
      </c>
      <c r="T30" s="13">
        <f t="shared" si="99"/>
        <v>469</v>
      </c>
      <c r="V30" s="13">
        <f t="shared" ref="V30:AE30" si="100">SUM(V26+SUM(V29:V29))</f>
        <v>1731</v>
      </c>
      <c r="W30" s="13">
        <f t="shared" si="100"/>
        <v>1928</v>
      </c>
      <c r="X30" s="13">
        <f t="shared" si="100"/>
        <v>1146</v>
      </c>
      <c r="Y30" s="13">
        <f t="shared" si="100"/>
        <v>1336</v>
      </c>
      <c r="Z30" s="13">
        <f t="shared" si="100"/>
        <v>1425</v>
      </c>
      <c r="AA30" s="13">
        <f t="shared" si="100"/>
        <v>1538</v>
      </c>
      <c r="AB30" s="13">
        <f t="shared" si="100"/>
        <v>1661</v>
      </c>
      <c r="AC30" s="13">
        <f t="shared" si="100"/>
        <v>1731</v>
      </c>
      <c r="AD30" s="13">
        <f t="shared" si="100"/>
        <v>1748</v>
      </c>
      <c r="AE30" s="13">
        <f t="shared" si="100"/>
        <v>1757</v>
      </c>
      <c r="AF30" s="39"/>
      <c r="AG30" s="69">
        <f t="shared" si="8"/>
        <v>0.14239271781534457</v>
      </c>
    </row>
    <row r="31" spans="2:33" ht="12.75" customHeight="1">
      <c r="B31" s="14" t="s">
        <v>59</v>
      </c>
      <c r="C31" s="15">
        <f>C30/C11</f>
        <v>4.4858523119392688E-2</v>
      </c>
      <c r="D31" s="15">
        <f>D30/D11</f>
        <v>0.19295507747185375</v>
      </c>
      <c r="E31" s="15">
        <f>E30/E11</f>
        <v>0.12973415877640204</v>
      </c>
      <c r="F31" s="15">
        <f>F30/F11</f>
        <v>0.13164633227895767</v>
      </c>
      <c r="G31" s="25"/>
      <c r="H31" s="15">
        <f>H30/H11</f>
        <v>7.15648854961832E-2</v>
      </c>
      <c r="I31" s="15">
        <f>I30/I11</f>
        <v>0.48558139534883721</v>
      </c>
      <c r="J31" s="15">
        <f>J30/J11</f>
        <v>0.10576923076923077</v>
      </c>
      <c r="K31" s="15">
        <f>K30/K11</f>
        <v>0.12105047189167009</v>
      </c>
      <c r="L31" s="15">
        <f>L30/L11</f>
        <v>0.13330772185939302</v>
      </c>
      <c r="M31" s="15">
        <f>M30/M11</f>
        <v>9.9733536353254659E-2</v>
      </c>
      <c r="N31" s="15">
        <f>N30/N11</f>
        <v>0.1544511977118341</v>
      </c>
      <c r="O31" s="15">
        <f>O30/O11</f>
        <v>0.12986134595874196</v>
      </c>
      <c r="P31" s="15">
        <f>P30/P11</f>
        <v>0.14896373056994819</v>
      </c>
      <c r="Q31" s="15">
        <f>Q30/Q11</f>
        <v>0.11975116640746501</v>
      </c>
      <c r="R31" s="15">
        <f>R30/R11</f>
        <v>0.14734370413853831</v>
      </c>
      <c r="S31" s="15">
        <f>S30/S11</f>
        <v>0.11238789237668162</v>
      </c>
      <c r="T31" s="15">
        <f>T30/T11</f>
        <v>0.12440318302387268</v>
      </c>
      <c r="V31" s="15">
        <f>V30/V11</f>
        <v>0.19295507747185375</v>
      </c>
      <c r="W31" s="15">
        <f>W30/W11</f>
        <v>0.20341844270943238</v>
      </c>
      <c r="X31" s="15">
        <f>X30/X11</f>
        <v>0.11511803114013058</v>
      </c>
      <c r="Y31" s="15">
        <f>Y30/Y11</f>
        <v>0.12767584097859327</v>
      </c>
      <c r="Z31" s="15">
        <f>Z30/Z11</f>
        <v>0.12973415877640204</v>
      </c>
      <c r="AA31" s="15">
        <f>AA30/AA11</f>
        <v>0.13410061906007498</v>
      </c>
      <c r="AB31" s="15">
        <f>AB30/AB11</f>
        <v>0.13776229576179813</v>
      </c>
      <c r="AC31" s="15">
        <f>AC30/AC11</f>
        <v>0.13665429857109024</v>
      </c>
      <c r="AD31" s="15">
        <f>AD30/AD11</f>
        <v>0.13164633227895767</v>
      </c>
      <c r="AE31" s="15">
        <f>AE30/AE11</f>
        <v>0.12585959885386819</v>
      </c>
      <c r="AF31" s="40"/>
      <c r="AG31" s="70">
        <f>SUM(AE31-AA31)*1000</f>
        <v>-8.2410202062067892</v>
      </c>
    </row>
    <row r="32" spans="2:33" ht="5.0999999999999996" customHeight="1">
      <c r="B32" s="14"/>
      <c r="C32" s="15"/>
      <c r="D32" s="15"/>
      <c r="E32" s="15"/>
      <c r="F32" s="15"/>
      <c r="G32" s="2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26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40"/>
      <c r="AG32" s="70"/>
    </row>
    <row r="33" spans="1:33" ht="12.75" customHeight="1">
      <c r="B33" s="41" t="s">
        <v>60</v>
      </c>
      <c r="C33" s="76">
        <v>201.43</v>
      </c>
      <c r="D33" s="76">
        <v>1020.6849999999999</v>
      </c>
      <c r="E33" s="76">
        <v>1029.1690000000001</v>
      </c>
      <c r="F33" s="76">
        <v>1036.74</v>
      </c>
      <c r="G33" s="25"/>
      <c r="H33" s="76">
        <v>203.38499999999999</v>
      </c>
      <c r="I33" s="76">
        <v>204.02099999999999</v>
      </c>
      <c r="J33" s="76">
        <v>204.464</v>
      </c>
      <c r="K33" s="30">
        <f>D33</f>
        <v>1020.6849999999999</v>
      </c>
      <c r="L33" s="76">
        <v>205.108</v>
      </c>
      <c r="M33" s="76">
        <v>205.64400000000001</v>
      </c>
      <c r="N33" s="76">
        <v>206.15799999999999</v>
      </c>
      <c r="O33" s="30">
        <f>E33</f>
        <v>1029.1690000000001</v>
      </c>
      <c r="P33" s="76">
        <v>206.82</v>
      </c>
      <c r="Q33" s="76">
        <v>207.16399999999999</v>
      </c>
      <c r="R33" s="76">
        <v>207.63</v>
      </c>
      <c r="S33" s="30">
        <f>F33</f>
        <v>1036.74</v>
      </c>
      <c r="T33" s="76">
        <v>1035.1379999999999</v>
      </c>
      <c r="U33" s="30"/>
      <c r="V33" s="30">
        <f t="shared" ref="V33:AD33" si="101">K33</f>
        <v>1020.6849999999999</v>
      </c>
      <c r="W33" s="30">
        <f t="shared" si="101"/>
        <v>205.108</v>
      </c>
      <c r="X33" s="30">
        <f t="shared" si="101"/>
        <v>205.64400000000001</v>
      </c>
      <c r="Y33" s="30">
        <f t="shared" si="101"/>
        <v>206.15799999999999</v>
      </c>
      <c r="Z33" s="30">
        <f t="shared" si="101"/>
        <v>1029.1690000000001</v>
      </c>
      <c r="AA33" s="30">
        <f t="shared" si="101"/>
        <v>206.82</v>
      </c>
      <c r="AB33" s="30">
        <f t="shared" si="101"/>
        <v>207.16399999999999</v>
      </c>
      <c r="AC33" s="30">
        <f t="shared" si="101"/>
        <v>207.63</v>
      </c>
      <c r="AD33" s="30">
        <f t="shared" si="101"/>
        <v>1036.74</v>
      </c>
      <c r="AE33" s="30">
        <f>T33</f>
        <v>1035.1379999999999</v>
      </c>
      <c r="AF33" s="40"/>
      <c r="AG33" s="68">
        <f t="shared" ref="AG33" si="102">SUM(AE33/AA33)-1</f>
        <v>4.005018856977081</v>
      </c>
    </row>
    <row r="34" spans="1:33" ht="12.75" customHeight="1">
      <c r="B34" s="12" t="s">
        <v>61</v>
      </c>
      <c r="C34" s="71">
        <f t="shared" ref="C34:F34" si="103">C30/C33</f>
        <v>1.6134637342997566</v>
      </c>
      <c r="D34" s="71">
        <f t="shared" si="103"/>
        <v>1.6959198969319624</v>
      </c>
      <c r="E34" s="71">
        <f t="shared" si="103"/>
        <v>1.3846122454135326</v>
      </c>
      <c r="F34" s="71">
        <f t="shared" si="103"/>
        <v>1.6860543627138915</v>
      </c>
      <c r="G34" s="11"/>
      <c r="H34" s="71">
        <f t="shared" ref="H34:Q34" si="104">H30/H33</f>
        <v>0.73751751604100602</v>
      </c>
      <c r="I34" s="71">
        <f t="shared" si="104"/>
        <v>5.1171202964400724</v>
      </c>
      <c r="J34" s="71">
        <f t="shared" si="104"/>
        <v>1.1835824399405275</v>
      </c>
      <c r="K34" s="71">
        <f t="shared" si="104"/>
        <v>0.28902158844305542</v>
      </c>
      <c r="L34" s="71">
        <f t="shared" si="104"/>
        <v>1.6917916414766854</v>
      </c>
      <c r="M34" s="71">
        <f t="shared" si="104"/>
        <v>1.2740464103012974</v>
      </c>
      <c r="N34" s="71">
        <f t="shared" si="104"/>
        <v>2.0954801656981541</v>
      </c>
      <c r="O34" s="71">
        <f t="shared" si="104"/>
        <v>0.37311656297459406</v>
      </c>
      <c r="P34" s="71">
        <f t="shared" si="104"/>
        <v>2.2241562711536602</v>
      </c>
      <c r="Q34" s="71">
        <f t="shared" si="104"/>
        <v>1.8584310015253616</v>
      </c>
      <c r="R34" s="71">
        <f t="shared" ref="R34:T34" si="105">R30/R33</f>
        <v>2.4177623657467611</v>
      </c>
      <c r="S34" s="71">
        <f t="shared" si="105"/>
        <v>0.38678935895209987</v>
      </c>
      <c r="T34" s="71">
        <f t="shared" si="105"/>
        <v>0.45307968599355836</v>
      </c>
      <c r="U34" s="30"/>
      <c r="V34" s="71">
        <f t="shared" ref="V34:AE34" si="106">V30/V33</f>
        <v>1.6959198969319624</v>
      </c>
      <c r="W34" s="71">
        <f t="shared" si="106"/>
        <v>9.3999258927004306</v>
      </c>
      <c r="X34" s="71">
        <f t="shared" si="106"/>
        <v>5.5727373519285752</v>
      </c>
      <c r="Y34" s="71">
        <f t="shared" si="106"/>
        <v>6.4804664383628099</v>
      </c>
      <c r="Z34" s="71">
        <f t="shared" si="106"/>
        <v>1.3846122454135326</v>
      </c>
      <c r="AA34" s="71">
        <f t="shared" si="106"/>
        <v>7.4364181413789767</v>
      </c>
      <c r="AB34" s="71">
        <f t="shared" si="106"/>
        <v>8.0178023208665596</v>
      </c>
      <c r="AC34" s="71">
        <f t="shared" si="106"/>
        <v>8.3369455281028753</v>
      </c>
      <c r="AD34" s="71">
        <f t="shared" si="106"/>
        <v>1.6860543627138915</v>
      </c>
      <c r="AE34" s="71">
        <f t="shared" si="106"/>
        <v>1.6973582266325844</v>
      </c>
      <c r="AF34" s="33"/>
      <c r="AG34" s="69">
        <f>SUM(AE34/AA34)-1</f>
        <v>-0.77175056668910846</v>
      </c>
    </row>
    <row r="35" spans="1:33" ht="5.0999999999999996" customHeight="1">
      <c r="B35" s="14"/>
      <c r="C35" s="15"/>
      <c r="D35" s="15"/>
      <c r="E35" s="15"/>
      <c r="F35" s="15"/>
      <c r="G35" s="2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26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40"/>
      <c r="AG35" s="70"/>
    </row>
    <row r="36" spans="1:33" ht="12.75" customHeight="1">
      <c r="B36" s="41" t="s">
        <v>62</v>
      </c>
      <c r="C36" s="76">
        <v>203.535</v>
      </c>
      <c r="D36" s="76">
        <v>1027.953</v>
      </c>
      <c r="E36" s="76">
        <v>1042.1130000000001</v>
      </c>
      <c r="F36" s="76">
        <v>1046.691</v>
      </c>
      <c r="G36" s="25"/>
      <c r="H36" s="76">
        <v>204.26300000000001</v>
      </c>
      <c r="I36" s="76">
        <v>205.351</v>
      </c>
      <c r="J36" s="76">
        <v>206.27699999999999</v>
      </c>
      <c r="K36" s="30">
        <f>D36</f>
        <v>1027.953</v>
      </c>
      <c r="L36" s="76">
        <v>207.684</v>
      </c>
      <c r="M36" s="76">
        <v>207.79900000000001</v>
      </c>
      <c r="N36" s="76">
        <v>208.55199999999999</v>
      </c>
      <c r="O36" s="30">
        <f>E36</f>
        <v>1042.1130000000001</v>
      </c>
      <c r="P36" s="76">
        <v>209.37100000000001</v>
      </c>
      <c r="Q36" s="76">
        <v>209.322</v>
      </c>
      <c r="R36" s="76">
        <v>209.505</v>
      </c>
      <c r="S36" s="30">
        <f>F36</f>
        <v>1046.691</v>
      </c>
      <c r="T36" s="76">
        <v>1039.884</v>
      </c>
      <c r="U36" s="30"/>
      <c r="V36" s="30">
        <f t="shared" ref="V36:AE36" si="107">K36</f>
        <v>1027.953</v>
      </c>
      <c r="W36" s="30">
        <f t="shared" si="107"/>
        <v>207.684</v>
      </c>
      <c r="X36" s="30">
        <f t="shared" si="107"/>
        <v>207.79900000000001</v>
      </c>
      <c r="Y36" s="30">
        <f t="shared" si="107"/>
        <v>208.55199999999999</v>
      </c>
      <c r="Z36" s="30">
        <f t="shared" si="107"/>
        <v>1042.1130000000001</v>
      </c>
      <c r="AA36" s="30">
        <f t="shared" si="107"/>
        <v>209.37100000000001</v>
      </c>
      <c r="AB36" s="30">
        <f t="shared" si="107"/>
        <v>209.322</v>
      </c>
      <c r="AC36" s="30">
        <f t="shared" si="107"/>
        <v>209.505</v>
      </c>
      <c r="AD36" s="30">
        <f t="shared" si="107"/>
        <v>1046.691</v>
      </c>
      <c r="AE36" s="30">
        <f t="shared" si="107"/>
        <v>1039.884</v>
      </c>
      <c r="AF36" s="40"/>
      <c r="AG36" s="68">
        <f t="shared" ref="AG36" si="108">SUM(AE36/AA36)-1</f>
        <v>3.9667050355588884</v>
      </c>
    </row>
    <row r="37" spans="1:33" ht="12.75" customHeight="1">
      <c r="B37" s="12" t="s">
        <v>63</v>
      </c>
      <c r="C37" s="71">
        <f t="shared" ref="C37:F37" si="109">C30/C36</f>
        <v>1.5967769671063945</v>
      </c>
      <c r="D37" s="71">
        <f t="shared" si="109"/>
        <v>1.6839291290555114</v>
      </c>
      <c r="E37" s="71">
        <f t="shared" si="109"/>
        <v>1.3674140904105407</v>
      </c>
      <c r="F37" s="71">
        <f t="shared" si="109"/>
        <v>1.6700248688485904</v>
      </c>
      <c r="G37" s="25"/>
      <c r="H37" s="71">
        <f t="shared" ref="H37:Q37" si="110">H30/H36</f>
        <v>0.73434738547852518</v>
      </c>
      <c r="I37" s="71">
        <f t="shared" si="110"/>
        <v>5.0839781642163908</v>
      </c>
      <c r="J37" s="71">
        <f t="shared" si="110"/>
        <v>1.1731797534383379</v>
      </c>
      <c r="K37" s="71">
        <f t="shared" si="110"/>
        <v>0.28697810113886529</v>
      </c>
      <c r="L37" s="71">
        <f t="shared" si="110"/>
        <v>1.6708075730436625</v>
      </c>
      <c r="M37" s="71">
        <f t="shared" si="110"/>
        <v>1.2608337864956038</v>
      </c>
      <c r="N37" s="71">
        <f t="shared" si="110"/>
        <v>2.0714258314473128</v>
      </c>
      <c r="O37" s="71">
        <f t="shared" si="110"/>
        <v>0.36848211278431414</v>
      </c>
      <c r="P37" s="71">
        <f t="shared" si="110"/>
        <v>2.1970568989974733</v>
      </c>
      <c r="Q37" s="71">
        <f t="shared" si="110"/>
        <v>1.83927155291847</v>
      </c>
      <c r="R37" s="71">
        <f t="shared" ref="R37:T37" si="111">R30/R36</f>
        <v>2.3961241975131857</v>
      </c>
      <c r="S37" s="71">
        <f t="shared" si="111"/>
        <v>0.38311211236171899</v>
      </c>
      <c r="T37" s="71">
        <f t="shared" si="111"/>
        <v>0.45101184362871244</v>
      </c>
      <c r="U37" s="30"/>
      <c r="V37" s="71">
        <f t="shared" ref="V37:AE37" si="112">V30/V36</f>
        <v>1.6839291290555114</v>
      </c>
      <c r="W37" s="71">
        <f t="shared" si="112"/>
        <v>9.2833342963348162</v>
      </c>
      <c r="X37" s="71">
        <f t="shared" si="112"/>
        <v>5.5149447302441299</v>
      </c>
      <c r="Y37" s="71">
        <f t="shared" si="112"/>
        <v>6.4060761824389125</v>
      </c>
      <c r="Z37" s="71">
        <f t="shared" si="112"/>
        <v>1.3674140904105407</v>
      </c>
      <c r="AA37" s="71">
        <f t="shared" si="112"/>
        <v>7.3458119796915522</v>
      </c>
      <c r="AB37" s="71">
        <f t="shared" si="112"/>
        <v>7.9351429854482562</v>
      </c>
      <c r="AC37" s="71">
        <f t="shared" si="112"/>
        <v>8.262332641225747</v>
      </c>
      <c r="AD37" s="71">
        <f t="shared" si="112"/>
        <v>1.6700248688485904</v>
      </c>
      <c r="AE37" s="71">
        <f t="shared" si="112"/>
        <v>1.6896115335941315</v>
      </c>
      <c r="AF37" s="33"/>
      <c r="AG37" s="69">
        <f>SUM(AE37/AA37)-1</f>
        <v>-0.76998982028599683</v>
      </c>
    </row>
    <row r="38" spans="1:33">
      <c r="B38" s="14"/>
      <c r="C38" s="15"/>
      <c r="D38" s="15"/>
      <c r="E38" s="76"/>
      <c r="F38" s="76"/>
      <c r="G38" s="25"/>
      <c r="H38" s="7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26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40"/>
    </row>
    <row r="39" spans="1:33" ht="12.95" customHeight="1">
      <c r="A39" s="5" t="s">
        <v>17</v>
      </c>
      <c r="B39" s="91" t="s">
        <v>72</v>
      </c>
      <c r="C39" s="92" t="s">
        <v>0</v>
      </c>
      <c r="D39" s="92"/>
      <c r="E39" s="92"/>
      <c r="F39" s="92"/>
      <c r="G39" s="93"/>
      <c r="H39" s="92"/>
      <c r="I39" s="92"/>
      <c r="J39" s="92"/>
      <c r="K39" s="92"/>
      <c r="L39" s="92"/>
      <c r="M39" s="92"/>
      <c r="N39" s="92" t="s">
        <v>1</v>
      </c>
      <c r="O39" s="92"/>
      <c r="P39" s="92" t="s">
        <v>1</v>
      </c>
      <c r="Q39" s="92"/>
      <c r="R39" s="92"/>
      <c r="S39" s="92"/>
      <c r="T39" s="92"/>
      <c r="U39" s="91"/>
      <c r="V39" s="92"/>
      <c r="W39" s="92"/>
      <c r="X39" s="92"/>
      <c r="Y39" s="92"/>
      <c r="Z39" s="92"/>
      <c r="AA39" s="92" t="s">
        <v>10</v>
      </c>
      <c r="AB39" s="92"/>
      <c r="AC39" s="92"/>
      <c r="AD39" s="92"/>
      <c r="AE39" s="92"/>
      <c r="AF39" s="93"/>
      <c r="AG39" s="147" t="s">
        <v>23</v>
      </c>
    </row>
    <row r="40" spans="1:33" ht="12.95" customHeight="1">
      <c r="B40" s="95" t="str">
        <f>B7</f>
        <v>Fiscal Period</v>
      </c>
      <c r="C40" s="94">
        <f>C7</f>
        <v>2022</v>
      </c>
      <c r="D40" s="94">
        <f>D7</f>
        <v>2023</v>
      </c>
      <c r="E40" s="94">
        <f>E7</f>
        <v>2024</v>
      </c>
      <c r="F40" s="94">
        <f>F7</f>
        <v>2025</v>
      </c>
      <c r="G40" s="93"/>
      <c r="H40" s="94" t="str">
        <f>H7</f>
        <v>1Q23</v>
      </c>
      <c r="I40" s="94" t="str">
        <f>I7</f>
        <v>2Q23</v>
      </c>
      <c r="J40" s="94" t="str">
        <f>J7</f>
        <v>3Q23</v>
      </c>
      <c r="K40" s="94" t="str">
        <f>K7</f>
        <v>4Q23</v>
      </c>
      <c r="L40" s="94" t="str">
        <f>L7</f>
        <v>1Q24</v>
      </c>
      <c r="M40" s="94" t="str">
        <f>M7</f>
        <v>2Q24</v>
      </c>
      <c r="N40" s="94" t="str">
        <f>N7</f>
        <v>3Q24</v>
      </c>
      <c r="O40" s="94" t="str">
        <f>O7</f>
        <v>4Q24</v>
      </c>
      <c r="P40" s="94" t="str">
        <f>P7</f>
        <v>1Q25</v>
      </c>
      <c r="Q40" s="94" t="str">
        <f>Q7</f>
        <v>2Q25</v>
      </c>
      <c r="R40" s="94" t="str">
        <f>R7</f>
        <v>3Q25</v>
      </c>
      <c r="S40" s="94" t="str">
        <f>S7</f>
        <v>4Q25</v>
      </c>
      <c r="T40" s="94" t="str">
        <f>T7</f>
        <v>1Q26</v>
      </c>
      <c r="U40" s="96"/>
      <c r="V40" s="94" t="str">
        <f>V7</f>
        <v>4Q23</v>
      </c>
      <c r="W40" s="94" t="str">
        <f>W7</f>
        <v>1Q24</v>
      </c>
      <c r="X40" s="94" t="str">
        <f>X7</f>
        <v>2Q24</v>
      </c>
      <c r="Y40" s="94" t="str">
        <f>Y7</f>
        <v>3Q24</v>
      </c>
      <c r="Z40" s="94" t="str">
        <f>Z7</f>
        <v>4Q24</v>
      </c>
      <c r="AA40" s="94" t="str">
        <f>AA7</f>
        <v>1Q25</v>
      </c>
      <c r="AB40" s="94" t="str">
        <f>AB7</f>
        <v>2Q25</v>
      </c>
      <c r="AC40" s="94" t="str">
        <f>AC7</f>
        <v>3Q25</v>
      </c>
      <c r="AD40" s="94" t="str">
        <f>AD7</f>
        <v>4Q25</v>
      </c>
      <c r="AE40" s="94" t="str">
        <f>AE7</f>
        <v>1Q26</v>
      </c>
      <c r="AF40" s="93"/>
      <c r="AG40" s="147"/>
    </row>
    <row r="41" spans="1:33" ht="12.95" customHeight="1">
      <c r="B41" s="95" t="str">
        <f>B8</f>
        <v>Fiscal Period End Date</v>
      </c>
      <c r="C41" s="97">
        <f>C8</f>
        <v>44926</v>
      </c>
      <c r="D41" s="97">
        <f>D8</f>
        <v>45291</v>
      </c>
      <c r="E41" s="97">
        <f>E8</f>
        <v>45657</v>
      </c>
      <c r="F41" s="97">
        <f>F8</f>
        <v>46022</v>
      </c>
      <c r="G41" s="93"/>
      <c r="H41" s="97">
        <f>H8</f>
        <v>45016</v>
      </c>
      <c r="I41" s="97">
        <f>I8</f>
        <v>45107</v>
      </c>
      <c r="J41" s="97">
        <f>J8</f>
        <v>45199</v>
      </c>
      <c r="K41" s="97">
        <f>K8</f>
        <v>45291</v>
      </c>
      <c r="L41" s="97">
        <f>L8</f>
        <v>45382</v>
      </c>
      <c r="M41" s="97">
        <f>M8</f>
        <v>45473</v>
      </c>
      <c r="N41" s="97">
        <f>N8</f>
        <v>45565</v>
      </c>
      <c r="O41" s="97">
        <f>O8</f>
        <v>45657</v>
      </c>
      <c r="P41" s="97">
        <f>P8</f>
        <v>45747</v>
      </c>
      <c r="Q41" s="97">
        <f>Q8</f>
        <v>45838</v>
      </c>
      <c r="R41" s="97">
        <f>R8</f>
        <v>45930</v>
      </c>
      <c r="S41" s="97">
        <f>S8</f>
        <v>46022</v>
      </c>
      <c r="T41" s="97">
        <f>T8</f>
        <v>46112</v>
      </c>
      <c r="U41" s="98"/>
      <c r="V41" s="97">
        <f>V8</f>
        <v>45291</v>
      </c>
      <c r="W41" s="97">
        <f>W8</f>
        <v>45382</v>
      </c>
      <c r="X41" s="97">
        <f>X8</f>
        <v>45473</v>
      </c>
      <c r="Y41" s="97">
        <f>Y8</f>
        <v>45565</v>
      </c>
      <c r="Z41" s="97">
        <f>Z8</f>
        <v>45657</v>
      </c>
      <c r="AA41" s="97">
        <f>AA8</f>
        <v>45747</v>
      </c>
      <c r="AB41" s="97">
        <f>AB8</f>
        <v>45838</v>
      </c>
      <c r="AC41" s="97">
        <f>AC8</f>
        <v>45930</v>
      </c>
      <c r="AD41" s="97">
        <f>AD8</f>
        <v>46022</v>
      </c>
      <c r="AE41" s="97">
        <f>AE8</f>
        <v>46112</v>
      </c>
      <c r="AF41" s="93"/>
      <c r="AG41" s="147"/>
    </row>
    <row r="42" spans="1:33" ht="5.0999999999999996" customHeight="1">
      <c r="B42" s="43"/>
      <c r="C42" s="44"/>
      <c r="D42" s="44"/>
      <c r="E42" s="44"/>
      <c r="F42" s="44"/>
    </row>
    <row r="43" spans="1:33">
      <c r="B43" s="72" t="s">
        <v>78</v>
      </c>
      <c r="C43" s="44"/>
      <c r="D43" s="44"/>
      <c r="E43" s="44"/>
      <c r="F43" s="44"/>
    </row>
    <row r="44" spans="1:33" ht="12.75" customHeight="1">
      <c r="B44" s="9" t="s">
        <v>116</v>
      </c>
      <c r="C44" s="105">
        <v>1470</v>
      </c>
      <c r="D44" s="105">
        <v>1897</v>
      </c>
      <c r="E44" s="105">
        <v>2304</v>
      </c>
      <c r="F44" s="105">
        <v>3726</v>
      </c>
      <c r="H44" s="105">
        <v>1852</v>
      </c>
      <c r="I44" s="105">
        <v>1663</v>
      </c>
      <c r="J44" s="105">
        <v>1112</v>
      </c>
      <c r="K44" s="82">
        <f t="shared" ref="K44:K49" si="113">D44</f>
        <v>1897</v>
      </c>
      <c r="L44" s="105">
        <v>2056</v>
      </c>
      <c r="M44" s="105">
        <v>2159</v>
      </c>
      <c r="N44" s="105">
        <v>1885</v>
      </c>
      <c r="O44" s="82">
        <f t="shared" ref="O44:O49" si="114">E44</f>
        <v>2304</v>
      </c>
      <c r="P44" s="105">
        <v>3369</v>
      </c>
      <c r="Q44" s="105">
        <v>3124</v>
      </c>
      <c r="R44" s="105">
        <v>2725</v>
      </c>
      <c r="S44" s="30">
        <f t="shared" ref="S44:S48" si="115">F44</f>
        <v>3726</v>
      </c>
      <c r="T44" s="105">
        <v>2702</v>
      </c>
      <c r="U44" s="82"/>
      <c r="V44" s="30">
        <f t="shared" ref="V44" si="116">K44</f>
        <v>1897</v>
      </c>
      <c r="W44" s="30">
        <f t="shared" ref="W44" si="117">L44</f>
        <v>2056</v>
      </c>
      <c r="X44" s="30">
        <f t="shared" ref="X44" si="118">M44</f>
        <v>2159</v>
      </c>
      <c r="Y44" s="30">
        <f t="shared" ref="Y44" si="119">N44</f>
        <v>1885</v>
      </c>
      <c r="Z44" s="30">
        <f t="shared" ref="Z44" si="120">O44</f>
        <v>2304</v>
      </c>
      <c r="AA44" s="30">
        <f t="shared" ref="AA44" si="121">P44</f>
        <v>3369</v>
      </c>
      <c r="AB44" s="30">
        <f t="shared" ref="AB44" si="122">Q44</f>
        <v>3124</v>
      </c>
      <c r="AC44" s="30">
        <f t="shared" ref="AC44" si="123">R44</f>
        <v>2725</v>
      </c>
      <c r="AD44" s="30">
        <f t="shared" ref="AD44" si="124">S44</f>
        <v>3726</v>
      </c>
      <c r="AE44" s="30">
        <f t="shared" ref="AE44" si="125">T44</f>
        <v>2702</v>
      </c>
      <c r="AF44" s="11"/>
      <c r="AG44" s="68">
        <f t="shared" ref="AG44:AG48" si="126">SUM(AE44/AA44)-1</f>
        <v>-0.19798159691303052</v>
      </c>
    </row>
    <row r="45" spans="1:33" ht="12.75" customHeight="1">
      <c r="B45" s="9" t="s">
        <v>117</v>
      </c>
      <c r="C45" s="105">
        <v>0</v>
      </c>
      <c r="D45" s="105">
        <v>0</v>
      </c>
      <c r="E45" s="105">
        <v>3458</v>
      </c>
      <c r="F45" s="105">
        <v>2558</v>
      </c>
      <c r="H45" s="105">
        <v>0</v>
      </c>
      <c r="I45" s="105">
        <v>0</v>
      </c>
      <c r="J45" s="105">
        <v>0</v>
      </c>
      <c r="K45" s="82">
        <f t="shared" si="113"/>
        <v>0</v>
      </c>
      <c r="L45" s="105">
        <v>0</v>
      </c>
      <c r="M45" s="105">
        <v>0</v>
      </c>
      <c r="N45" s="105">
        <v>0</v>
      </c>
      <c r="O45" s="82">
        <f t="shared" si="114"/>
        <v>3458</v>
      </c>
      <c r="P45" s="105">
        <v>0</v>
      </c>
      <c r="Q45" s="105">
        <v>0</v>
      </c>
      <c r="R45" s="105">
        <v>2686</v>
      </c>
      <c r="S45" s="30">
        <f t="shared" si="115"/>
        <v>2558</v>
      </c>
      <c r="T45" s="105">
        <v>2480</v>
      </c>
      <c r="U45" s="82"/>
      <c r="V45" s="30">
        <f t="shared" ref="V45:V49" si="127">K45</f>
        <v>0</v>
      </c>
      <c r="W45" s="30">
        <f t="shared" ref="W45:W49" si="128">L45</f>
        <v>0</v>
      </c>
      <c r="X45" s="30">
        <f t="shared" ref="X45:X49" si="129">M45</f>
        <v>0</v>
      </c>
      <c r="Y45" s="30">
        <f t="shared" ref="Y45:Y49" si="130">N45</f>
        <v>0</v>
      </c>
      <c r="Z45" s="30">
        <f t="shared" ref="Z45:Z49" si="131">O45</f>
        <v>3458</v>
      </c>
      <c r="AA45" s="30">
        <f t="shared" ref="AA45:AA49" si="132">P45</f>
        <v>0</v>
      </c>
      <c r="AB45" s="30">
        <f t="shared" ref="AB45:AB49" si="133">Q45</f>
        <v>0</v>
      </c>
      <c r="AC45" s="30">
        <f t="shared" ref="AC45:AC49" si="134">R45</f>
        <v>2686</v>
      </c>
      <c r="AD45" s="30">
        <f t="shared" ref="AD45:AD49" si="135">S45</f>
        <v>2558</v>
      </c>
      <c r="AE45" s="30">
        <f t="shared" ref="AE45:AE49" si="136">T45</f>
        <v>2480</v>
      </c>
      <c r="AF45" s="11"/>
      <c r="AG45" s="68" t="e">
        <f t="shared" si="126"/>
        <v>#DIV/0!</v>
      </c>
    </row>
    <row r="46" spans="1:33" ht="12.75" customHeight="1">
      <c r="B46" s="9" t="s">
        <v>118</v>
      </c>
      <c r="C46" s="105">
        <v>2810</v>
      </c>
      <c r="D46" s="105">
        <v>2980</v>
      </c>
      <c r="E46" s="105">
        <v>0</v>
      </c>
      <c r="F46" s="105">
        <v>0</v>
      </c>
      <c r="H46" s="105">
        <v>3062</v>
      </c>
      <c r="I46" s="105">
        <v>3084</v>
      </c>
      <c r="J46" s="105">
        <v>2955</v>
      </c>
      <c r="K46" s="82">
        <f t="shared" ref="K46:K48" si="137">D46</f>
        <v>2980</v>
      </c>
      <c r="L46" s="105">
        <v>3054</v>
      </c>
      <c r="M46" s="105">
        <v>3254</v>
      </c>
      <c r="N46" s="105">
        <v>3410</v>
      </c>
      <c r="O46" s="82">
        <f t="shared" ref="O46:O48" si="138">E46</f>
        <v>0</v>
      </c>
      <c r="P46" s="105">
        <v>3228</v>
      </c>
      <c r="Q46" s="105">
        <v>3008</v>
      </c>
      <c r="R46" s="105">
        <v>0</v>
      </c>
      <c r="S46" s="30">
        <f t="shared" si="115"/>
        <v>0</v>
      </c>
      <c r="T46" s="105">
        <v>0</v>
      </c>
      <c r="U46" s="82"/>
      <c r="V46" s="30">
        <f t="shared" ref="V46:V48" si="139">K46</f>
        <v>2980</v>
      </c>
      <c r="W46" s="30">
        <f t="shared" ref="W46:W48" si="140">L46</f>
        <v>3054</v>
      </c>
      <c r="X46" s="30">
        <f t="shared" ref="X46:X48" si="141">M46</f>
        <v>3254</v>
      </c>
      <c r="Y46" s="30">
        <f t="shared" ref="Y46:Y48" si="142">N46</f>
        <v>3410</v>
      </c>
      <c r="Z46" s="30">
        <f t="shared" ref="Z46:Z48" si="143">O46</f>
        <v>0</v>
      </c>
      <c r="AA46" s="30">
        <f t="shared" ref="AA46:AA48" si="144">P46</f>
        <v>3228</v>
      </c>
      <c r="AB46" s="30">
        <f t="shared" ref="AB46:AB48" si="145">Q46</f>
        <v>3008</v>
      </c>
      <c r="AC46" s="30">
        <f t="shared" ref="AC46:AC48" si="146">R46</f>
        <v>0</v>
      </c>
      <c r="AD46" s="30">
        <f t="shared" ref="AD46:AD48" si="147">S46</f>
        <v>0</v>
      </c>
      <c r="AE46" s="30">
        <f t="shared" ref="AE46:AE48" si="148">T46</f>
        <v>0</v>
      </c>
      <c r="AF46" s="11"/>
      <c r="AG46" s="68">
        <f t="shared" si="126"/>
        <v>-1</v>
      </c>
    </row>
    <row r="47" spans="1:33" ht="12.75" customHeight="1">
      <c r="B47" s="9" t="s">
        <v>119</v>
      </c>
      <c r="C47" s="105">
        <v>1725</v>
      </c>
      <c r="D47" s="105">
        <v>2036</v>
      </c>
      <c r="E47" s="105">
        <v>2240</v>
      </c>
      <c r="F47" s="105">
        <v>2627</v>
      </c>
      <c r="H47" s="105">
        <v>1109</v>
      </c>
      <c r="I47" s="105">
        <v>1093</v>
      </c>
      <c r="J47" s="105">
        <v>1168</v>
      </c>
      <c r="K47" s="82">
        <f t="shared" si="137"/>
        <v>2036</v>
      </c>
      <c r="L47" s="105">
        <v>1306</v>
      </c>
      <c r="M47" s="105">
        <v>1518</v>
      </c>
      <c r="N47" s="105">
        <v>1308</v>
      </c>
      <c r="O47" s="82">
        <f t="shared" si="138"/>
        <v>2240</v>
      </c>
      <c r="P47" s="105">
        <v>1359</v>
      </c>
      <c r="Q47" s="105">
        <v>1696</v>
      </c>
      <c r="R47" s="105">
        <v>1548</v>
      </c>
      <c r="S47" s="30">
        <f t="shared" si="115"/>
        <v>2627</v>
      </c>
      <c r="T47" s="105">
        <v>1713</v>
      </c>
      <c r="U47" s="82"/>
      <c r="V47" s="30">
        <f t="shared" si="139"/>
        <v>2036</v>
      </c>
      <c r="W47" s="30">
        <f t="shared" si="140"/>
        <v>1306</v>
      </c>
      <c r="X47" s="30">
        <f t="shared" si="141"/>
        <v>1518</v>
      </c>
      <c r="Y47" s="30">
        <f t="shared" si="142"/>
        <v>1308</v>
      </c>
      <c r="Z47" s="30">
        <f t="shared" si="143"/>
        <v>2240</v>
      </c>
      <c r="AA47" s="30">
        <f t="shared" si="144"/>
        <v>1359</v>
      </c>
      <c r="AB47" s="30">
        <f t="shared" si="145"/>
        <v>1696</v>
      </c>
      <c r="AC47" s="30">
        <f t="shared" si="146"/>
        <v>1548</v>
      </c>
      <c r="AD47" s="30">
        <f t="shared" si="147"/>
        <v>2627</v>
      </c>
      <c r="AE47" s="30">
        <f t="shared" si="148"/>
        <v>1713</v>
      </c>
      <c r="AF47" s="11"/>
      <c r="AG47" s="68">
        <f t="shared" si="126"/>
        <v>0.26048565121412803</v>
      </c>
    </row>
    <row r="48" spans="1:33" ht="12.75" customHeight="1">
      <c r="B48" s="9" t="s">
        <v>120</v>
      </c>
      <c r="C48" s="105">
        <v>280</v>
      </c>
      <c r="D48" s="105">
        <v>403</v>
      </c>
      <c r="E48" s="105">
        <v>668</v>
      </c>
      <c r="F48" s="105">
        <v>970</v>
      </c>
      <c r="H48" s="105">
        <v>319</v>
      </c>
      <c r="I48" s="105">
        <v>362</v>
      </c>
      <c r="J48" s="105">
        <v>394</v>
      </c>
      <c r="K48" s="82">
        <f t="shared" si="137"/>
        <v>403</v>
      </c>
      <c r="L48" s="105">
        <v>482</v>
      </c>
      <c r="M48" s="105">
        <v>608</v>
      </c>
      <c r="N48" s="105">
        <v>591</v>
      </c>
      <c r="O48" s="82">
        <f t="shared" si="138"/>
        <v>668</v>
      </c>
      <c r="P48" s="105">
        <v>781</v>
      </c>
      <c r="Q48" s="105">
        <v>896</v>
      </c>
      <c r="R48" s="105">
        <v>846</v>
      </c>
      <c r="S48" s="30">
        <f t="shared" si="115"/>
        <v>970</v>
      </c>
      <c r="T48" s="105">
        <v>949</v>
      </c>
      <c r="U48" s="82"/>
      <c r="V48" s="30">
        <f t="shared" si="139"/>
        <v>403</v>
      </c>
      <c r="W48" s="30">
        <f t="shared" si="140"/>
        <v>482</v>
      </c>
      <c r="X48" s="30">
        <f t="shared" si="141"/>
        <v>608</v>
      </c>
      <c r="Y48" s="30">
        <f t="shared" si="142"/>
        <v>591</v>
      </c>
      <c r="Z48" s="30">
        <f t="shared" si="143"/>
        <v>668</v>
      </c>
      <c r="AA48" s="30">
        <f t="shared" si="144"/>
        <v>781</v>
      </c>
      <c r="AB48" s="30">
        <f t="shared" si="145"/>
        <v>896</v>
      </c>
      <c r="AC48" s="30">
        <f t="shared" si="146"/>
        <v>846</v>
      </c>
      <c r="AD48" s="30">
        <f t="shared" si="147"/>
        <v>970</v>
      </c>
      <c r="AE48" s="30">
        <f t="shared" si="148"/>
        <v>949</v>
      </c>
      <c r="AF48" s="11"/>
      <c r="AG48" s="68">
        <f t="shared" si="126"/>
        <v>0.2151088348271446</v>
      </c>
    </row>
    <row r="49" spans="2:33" ht="12.75" customHeight="1">
      <c r="B49" s="9" t="s">
        <v>121</v>
      </c>
      <c r="C49" s="105">
        <v>369</v>
      </c>
      <c r="D49" s="105">
        <v>461</v>
      </c>
      <c r="E49" s="105">
        <v>517</v>
      </c>
      <c r="F49" s="105">
        <v>590</v>
      </c>
      <c r="H49" s="105">
        <v>392</v>
      </c>
      <c r="I49" s="105">
        <v>401</v>
      </c>
      <c r="J49" s="105">
        <v>417</v>
      </c>
      <c r="K49" s="82">
        <f t="shared" si="113"/>
        <v>461</v>
      </c>
      <c r="L49" s="105">
        <v>474</v>
      </c>
      <c r="M49" s="105">
        <v>482</v>
      </c>
      <c r="N49" s="105">
        <v>502</v>
      </c>
      <c r="O49" s="82">
        <f t="shared" si="114"/>
        <v>517</v>
      </c>
      <c r="P49" s="105">
        <v>533</v>
      </c>
      <c r="Q49" s="105">
        <v>551</v>
      </c>
      <c r="R49" s="105">
        <v>559</v>
      </c>
      <c r="S49" s="30">
        <f t="shared" ref="S49" si="149">F49</f>
        <v>590</v>
      </c>
      <c r="T49" s="105">
        <v>591</v>
      </c>
      <c r="U49" s="82"/>
      <c r="V49" s="30">
        <f t="shared" si="127"/>
        <v>461</v>
      </c>
      <c r="W49" s="30">
        <f t="shared" si="128"/>
        <v>474</v>
      </c>
      <c r="X49" s="30">
        <f t="shared" si="129"/>
        <v>482</v>
      </c>
      <c r="Y49" s="30">
        <f t="shared" si="130"/>
        <v>502</v>
      </c>
      <c r="Z49" s="30">
        <f t="shared" si="131"/>
        <v>517</v>
      </c>
      <c r="AA49" s="30">
        <f t="shared" si="132"/>
        <v>533</v>
      </c>
      <c r="AB49" s="30">
        <f t="shared" si="133"/>
        <v>551</v>
      </c>
      <c r="AC49" s="30">
        <f t="shared" si="134"/>
        <v>559</v>
      </c>
      <c r="AD49" s="30">
        <f t="shared" si="135"/>
        <v>590</v>
      </c>
      <c r="AE49" s="30">
        <f t="shared" si="136"/>
        <v>591</v>
      </c>
      <c r="AF49" s="11"/>
      <c r="AG49" s="68">
        <f t="shared" ref="AG49" si="150">SUM(AE49/AA49)-1</f>
        <v>0.10881801125703561</v>
      </c>
    </row>
    <row r="50" spans="2:33" ht="12.75" customHeight="1">
      <c r="B50" s="23" t="s">
        <v>19</v>
      </c>
      <c r="C50" s="24">
        <f>SUM(C44:C49)</f>
        <v>6654</v>
      </c>
      <c r="D50" s="24">
        <f>SUM(D44:D49)</f>
        <v>7777</v>
      </c>
      <c r="E50" s="24">
        <f>SUM(E44:E49)</f>
        <v>9187</v>
      </c>
      <c r="F50" s="24">
        <f>SUM(F44:F49)</f>
        <v>10471</v>
      </c>
      <c r="G50" s="45"/>
      <c r="H50" s="24">
        <f>SUM(H44:H49)</f>
        <v>6734</v>
      </c>
      <c r="I50" s="24">
        <f>SUM(I44:I49)</f>
        <v>6603</v>
      </c>
      <c r="J50" s="24">
        <f>SUM(J44:J49)</f>
        <v>6046</v>
      </c>
      <c r="K50" s="24">
        <f>SUM(K44:K49)</f>
        <v>7777</v>
      </c>
      <c r="L50" s="24">
        <f>SUM(L44:L49)</f>
        <v>7372</v>
      </c>
      <c r="M50" s="24">
        <f>SUM(M44:M49)</f>
        <v>8021</v>
      </c>
      <c r="N50" s="24">
        <f>SUM(N44:N49)</f>
        <v>7696</v>
      </c>
      <c r="O50" s="24">
        <f>SUM(O44:O49)</f>
        <v>9187</v>
      </c>
      <c r="P50" s="24">
        <f>SUM(P44:P49)</f>
        <v>9270</v>
      </c>
      <c r="Q50" s="24">
        <f>SUM(Q44:Q49)</f>
        <v>9275</v>
      </c>
      <c r="R50" s="24">
        <f>SUM(R44:R49)</f>
        <v>8364</v>
      </c>
      <c r="S50" s="24">
        <f>SUM(S44:S49)</f>
        <v>10471</v>
      </c>
      <c r="T50" s="24">
        <f>SUM(T44:T49)</f>
        <v>8435</v>
      </c>
      <c r="U50" s="45"/>
      <c r="V50" s="24">
        <f>SUM(V44:V49)</f>
        <v>7777</v>
      </c>
      <c r="W50" s="24">
        <f>SUM(W44:W49)</f>
        <v>7372</v>
      </c>
      <c r="X50" s="24">
        <f>SUM(X44:X49)</f>
        <v>8021</v>
      </c>
      <c r="Y50" s="24">
        <f>SUM(Y44:Y49)</f>
        <v>7696</v>
      </c>
      <c r="Z50" s="24">
        <f>SUM(Z44:Z49)</f>
        <v>9187</v>
      </c>
      <c r="AA50" s="24">
        <f>SUM(AA44:AA49)</f>
        <v>9270</v>
      </c>
      <c r="AB50" s="24">
        <f>SUM(AB44:AB49)</f>
        <v>9275</v>
      </c>
      <c r="AC50" s="24">
        <f>SUM(AC44:AC49)</f>
        <v>8364</v>
      </c>
      <c r="AD50" s="24">
        <f>SUM(AD44:AD49)</f>
        <v>10471</v>
      </c>
      <c r="AE50" s="24">
        <f>SUM(AE44:AE49)</f>
        <v>8435</v>
      </c>
      <c r="AF50" s="39"/>
      <c r="AG50" s="69">
        <f>SUM(AE50/AA50)-1</f>
        <v>-9.0075512405609515E-2</v>
      </c>
    </row>
    <row r="51" spans="2:33" ht="5.0999999999999996" customHeight="1">
      <c r="B51" s="23"/>
      <c r="C51" s="46"/>
      <c r="D51" s="38"/>
      <c r="E51" s="38"/>
      <c r="F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6"/>
    </row>
    <row r="52" spans="2:33" ht="12.75" customHeight="1">
      <c r="B52" s="72" t="s">
        <v>79</v>
      </c>
      <c r="C52" s="76"/>
      <c r="D52" s="76"/>
      <c r="E52" s="76"/>
      <c r="F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11"/>
      <c r="AG52" s="68"/>
    </row>
    <row r="53" spans="2:33" ht="12.75" customHeight="1">
      <c r="B53" s="9" t="s">
        <v>123</v>
      </c>
      <c r="C53" s="76">
        <v>682</v>
      </c>
      <c r="D53" s="76">
        <v>715</v>
      </c>
      <c r="E53" s="76">
        <v>693</v>
      </c>
      <c r="F53" s="76">
        <v>806</v>
      </c>
      <c r="H53" s="105">
        <v>682</v>
      </c>
      <c r="I53" s="105">
        <v>656</v>
      </c>
      <c r="J53" s="105">
        <v>699</v>
      </c>
      <c r="K53" s="82">
        <f t="shared" ref="K53:K62" si="151">D53</f>
        <v>715</v>
      </c>
      <c r="L53" s="105">
        <v>698</v>
      </c>
      <c r="M53" s="105">
        <v>675</v>
      </c>
      <c r="N53" s="105">
        <v>661</v>
      </c>
      <c r="O53" s="82">
        <f t="shared" ref="O53:O62" si="152">E53</f>
        <v>693</v>
      </c>
      <c r="P53" s="105">
        <v>810</v>
      </c>
      <c r="Q53" s="105">
        <v>818</v>
      </c>
      <c r="R53" s="105">
        <v>807</v>
      </c>
      <c r="S53" s="30">
        <f t="shared" ref="S53:S62" si="153">F53</f>
        <v>806</v>
      </c>
      <c r="T53" s="105">
        <v>831</v>
      </c>
      <c r="V53" s="30">
        <f t="shared" ref="V53:V62" si="154">K53</f>
        <v>715</v>
      </c>
      <c r="W53" s="30">
        <f t="shared" ref="W53:W62" si="155">L53</f>
        <v>698</v>
      </c>
      <c r="X53" s="30">
        <f t="shared" ref="X53:X62" si="156">M53</f>
        <v>675</v>
      </c>
      <c r="Y53" s="30">
        <f t="shared" ref="Y53:Y62" si="157">N53</f>
        <v>661</v>
      </c>
      <c r="Z53" s="30">
        <f t="shared" ref="Z53:Z62" si="158">O53</f>
        <v>693</v>
      </c>
      <c r="AA53" s="30">
        <f t="shared" ref="AA53:AA62" si="159">P53</f>
        <v>810</v>
      </c>
      <c r="AB53" s="30">
        <f t="shared" ref="AB53:AB62" si="160">Q53</f>
        <v>818</v>
      </c>
      <c r="AC53" s="30">
        <f t="shared" ref="AC53:AC62" si="161">R53</f>
        <v>807</v>
      </c>
      <c r="AD53" s="30">
        <f t="shared" ref="AD53:AD62" si="162">S53</f>
        <v>806</v>
      </c>
      <c r="AE53" s="30">
        <f t="shared" ref="AE53:AE62" si="163">T53</f>
        <v>831</v>
      </c>
      <c r="AF53" s="11"/>
      <c r="AG53" s="68">
        <f t="shared" ref="AG53:AG62" si="164">SUM(AE53/AA53)-1</f>
        <v>2.5925925925925908E-2</v>
      </c>
    </row>
    <row r="54" spans="2:33" ht="12.75" customHeight="1">
      <c r="B54" s="9" t="s">
        <v>124</v>
      </c>
      <c r="C54" s="76">
        <v>1053</v>
      </c>
      <c r="D54" s="76">
        <v>1358</v>
      </c>
      <c r="E54" s="76">
        <v>1763</v>
      </c>
      <c r="F54" s="76">
        <v>2289</v>
      </c>
      <c r="H54" s="105">
        <v>1117</v>
      </c>
      <c r="I54" s="105">
        <v>1148</v>
      </c>
      <c r="J54" s="105">
        <v>1199</v>
      </c>
      <c r="K54" s="82">
        <f t="shared" si="151"/>
        <v>1358</v>
      </c>
      <c r="L54" s="105">
        <v>1450</v>
      </c>
      <c r="M54" s="105">
        <v>1606</v>
      </c>
      <c r="N54" s="105">
        <v>1718</v>
      </c>
      <c r="O54" s="82">
        <f t="shared" si="152"/>
        <v>1763</v>
      </c>
      <c r="P54" s="105">
        <v>1885</v>
      </c>
      <c r="Q54" s="105">
        <v>1985</v>
      </c>
      <c r="R54" s="105">
        <v>2127</v>
      </c>
      <c r="S54" s="30">
        <f t="shared" si="153"/>
        <v>2289</v>
      </c>
      <c r="T54" s="105">
        <v>2250</v>
      </c>
      <c r="V54" s="30">
        <f t="shared" si="154"/>
        <v>1358</v>
      </c>
      <c r="W54" s="30">
        <f t="shared" si="155"/>
        <v>1450</v>
      </c>
      <c r="X54" s="30">
        <f t="shared" si="156"/>
        <v>1606</v>
      </c>
      <c r="Y54" s="30">
        <f t="shared" si="157"/>
        <v>1718</v>
      </c>
      <c r="Z54" s="30">
        <f t="shared" si="158"/>
        <v>1763</v>
      </c>
      <c r="AA54" s="30">
        <f t="shared" si="159"/>
        <v>1885</v>
      </c>
      <c r="AB54" s="30">
        <f t="shared" si="160"/>
        <v>1985</v>
      </c>
      <c r="AC54" s="30">
        <f t="shared" si="161"/>
        <v>2127</v>
      </c>
      <c r="AD54" s="30">
        <f t="shared" si="162"/>
        <v>2289</v>
      </c>
      <c r="AE54" s="30">
        <f t="shared" si="163"/>
        <v>2250</v>
      </c>
      <c r="AF54" s="11"/>
      <c r="AG54" s="68">
        <f t="shared" si="164"/>
        <v>0.19363395225464197</v>
      </c>
    </row>
    <row r="55" spans="2:33" ht="12.75" customHeight="1">
      <c r="B55" s="9" t="s">
        <v>125</v>
      </c>
      <c r="C55" s="76">
        <v>0</v>
      </c>
      <c r="D55" s="76">
        <v>0</v>
      </c>
      <c r="E55" s="76">
        <v>472</v>
      </c>
      <c r="F55" s="76">
        <v>1542</v>
      </c>
      <c r="H55" s="105">
        <v>0</v>
      </c>
      <c r="I55" s="105">
        <v>0</v>
      </c>
      <c r="J55" s="105">
        <v>0</v>
      </c>
      <c r="K55" s="82">
        <f t="shared" ref="K55:K59" si="165">D55</f>
        <v>0</v>
      </c>
      <c r="L55" s="105">
        <v>0</v>
      </c>
      <c r="M55" s="105">
        <v>0</v>
      </c>
      <c r="N55" s="105">
        <v>0</v>
      </c>
      <c r="O55" s="82">
        <f t="shared" ref="O55:O59" si="166">E55</f>
        <v>472</v>
      </c>
      <c r="P55" s="105">
        <v>0</v>
      </c>
      <c r="Q55" s="105">
        <v>0</v>
      </c>
      <c r="R55" s="105">
        <v>1508</v>
      </c>
      <c r="S55" s="30">
        <f t="shared" ref="S55:S59" si="167">F55</f>
        <v>1542</v>
      </c>
      <c r="T55" s="105">
        <v>1743</v>
      </c>
      <c r="V55" s="30">
        <f t="shared" si="154"/>
        <v>0</v>
      </c>
      <c r="W55" s="30">
        <f t="shared" si="155"/>
        <v>0</v>
      </c>
      <c r="X55" s="30">
        <f t="shared" si="156"/>
        <v>0</v>
      </c>
      <c r="Y55" s="30">
        <f t="shared" si="157"/>
        <v>0</v>
      </c>
      <c r="Z55" s="30">
        <f t="shared" si="158"/>
        <v>472</v>
      </c>
      <c r="AA55" s="30">
        <f t="shared" si="159"/>
        <v>0</v>
      </c>
      <c r="AB55" s="30">
        <f t="shared" si="160"/>
        <v>0</v>
      </c>
      <c r="AC55" s="30">
        <f t="shared" si="161"/>
        <v>1508</v>
      </c>
      <c r="AD55" s="30">
        <f t="shared" si="162"/>
        <v>1542</v>
      </c>
      <c r="AE55" s="30">
        <f t="shared" si="163"/>
        <v>1743</v>
      </c>
      <c r="AF55" s="11"/>
      <c r="AG55" s="68" t="e">
        <f t="shared" ref="AG55:AG59" si="168">SUM(AE55/AA55)-1</f>
        <v>#DIV/0!</v>
      </c>
    </row>
    <row r="56" spans="2:33" ht="12.75" customHeight="1">
      <c r="B56" s="9" t="s">
        <v>126</v>
      </c>
      <c r="C56" s="76">
        <v>0</v>
      </c>
      <c r="D56" s="76">
        <v>0</v>
      </c>
      <c r="E56" s="76">
        <v>4111</v>
      </c>
      <c r="F56" s="76">
        <v>3771</v>
      </c>
      <c r="H56" s="105">
        <v>0</v>
      </c>
      <c r="I56" s="105">
        <v>0</v>
      </c>
      <c r="J56" s="105">
        <v>0</v>
      </c>
      <c r="K56" s="82">
        <f t="shared" si="165"/>
        <v>0</v>
      </c>
      <c r="L56" s="105">
        <v>0</v>
      </c>
      <c r="M56" s="105">
        <v>0</v>
      </c>
      <c r="N56" s="105">
        <v>0</v>
      </c>
      <c r="O56" s="82">
        <f t="shared" si="166"/>
        <v>4111</v>
      </c>
      <c r="P56" s="105">
        <v>0</v>
      </c>
      <c r="Q56" s="105">
        <v>0</v>
      </c>
      <c r="R56" s="105">
        <v>4266</v>
      </c>
      <c r="S56" s="30">
        <f t="shared" si="167"/>
        <v>3771</v>
      </c>
      <c r="T56" s="105">
        <v>2724</v>
      </c>
      <c r="V56" s="30">
        <f t="shared" si="154"/>
        <v>0</v>
      </c>
      <c r="W56" s="30">
        <f t="shared" si="155"/>
        <v>0</v>
      </c>
      <c r="X56" s="30">
        <f t="shared" si="156"/>
        <v>0</v>
      </c>
      <c r="Y56" s="30">
        <f t="shared" si="157"/>
        <v>0</v>
      </c>
      <c r="Z56" s="30">
        <f t="shared" si="158"/>
        <v>4111</v>
      </c>
      <c r="AA56" s="30">
        <f t="shared" si="159"/>
        <v>0</v>
      </c>
      <c r="AB56" s="30">
        <f t="shared" si="160"/>
        <v>0</v>
      </c>
      <c r="AC56" s="30">
        <f t="shared" si="161"/>
        <v>4266</v>
      </c>
      <c r="AD56" s="30">
        <f t="shared" si="162"/>
        <v>3771</v>
      </c>
      <c r="AE56" s="30">
        <f t="shared" si="163"/>
        <v>2724</v>
      </c>
      <c r="AF56" s="11"/>
      <c r="AG56" s="68" t="e">
        <f t="shared" si="168"/>
        <v>#DIV/0!</v>
      </c>
    </row>
    <row r="57" spans="2:33" ht="12.75" customHeight="1">
      <c r="B57" s="9" t="s">
        <v>127</v>
      </c>
      <c r="C57" s="76">
        <v>2117</v>
      </c>
      <c r="D57" s="76">
        <v>3203</v>
      </c>
      <c r="E57" s="76">
        <v>0</v>
      </c>
      <c r="F57" s="76">
        <v>0</v>
      </c>
      <c r="H57" s="105">
        <v>2239</v>
      </c>
      <c r="I57" s="105">
        <v>2740</v>
      </c>
      <c r="J57" s="105">
        <v>2939</v>
      </c>
      <c r="K57" s="82">
        <f t="shared" si="165"/>
        <v>3203</v>
      </c>
      <c r="L57" s="105">
        <v>3666</v>
      </c>
      <c r="M57" s="105">
        <v>3472</v>
      </c>
      <c r="N57" s="105">
        <v>3829</v>
      </c>
      <c r="O57" s="82">
        <f t="shared" si="166"/>
        <v>0</v>
      </c>
      <c r="P57" s="105">
        <v>4335</v>
      </c>
      <c r="Q57" s="105">
        <v>4655</v>
      </c>
      <c r="R57" s="105">
        <v>0</v>
      </c>
      <c r="S57" s="30">
        <f t="shared" si="167"/>
        <v>0</v>
      </c>
      <c r="T57" s="105">
        <v>0</v>
      </c>
      <c r="V57" s="30">
        <f t="shared" ref="V57:V59" si="169">K57</f>
        <v>3203</v>
      </c>
      <c r="W57" s="30">
        <f t="shared" ref="W57:W59" si="170">L57</f>
        <v>3666</v>
      </c>
      <c r="X57" s="30">
        <f t="shared" ref="X57:X59" si="171">M57</f>
        <v>3472</v>
      </c>
      <c r="Y57" s="30">
        <f t="shared" ref="Y57:Y59" si="172">N57</f>
        <v>3829</v>
      </c>
      <c r="Z57" s="30">
        <f t="shared" ref="Z57:Z59" si="173">O57</f>
        <v>0</v>
      </c>
      <c r="AA57" s="30">
        <f t="shared" ref="AA57:AA59" si="174">P57</f>
        <v>4335</v>
      </c>
      <c r="AB57" s="30">
        <f t="shared" ref="AB57:AB59" si="175">Q57</f>
        <v>4655</v>
      </c>
      <c r="AC57" s="30">
        <f t="shared" ref="AC57:AC59" si="176">R57</f>
        <v>0</v>
      </c>
      <c r="AD57" s="30">
        <f t="shared" ref="AD57:AD59" si="177">S57</f>
        <v>0</v>
      </c>
      <c r="AE57" s="30">
        <f t="shared" ref="AE57:AE59" si="178">T57</f>
        <v>0</v>
      </c>
      <c r="AF57" s="11"/>
      <c r="AG57" s="68">
        <f t="shared" si="168"/>
        <v>-1</v>
      </c>
    </row>
    <row r="58" spans="2:33" ht="12.75" customHeight="1">
      <c r="B58" s="9" t="s">
        <v>128</v>
      </c>
      <c r="C58" s="76">
        <v>636</v>
      </c>
      <c r="D58" s="76">
        <v>1508</v>
      </c>
      <c r="E58" s="76">
        <v>1385</v>
      </c>
      <c r="F58" s="76">
        <v>1056</v>
      </c>
      <c r="H58" s="105">
        <v>640</v>
      </c>
      <c r="I58" s="105">
        <v>1551</v>
      </c>
      <c r="J58" s="105">
        <v>1505</v>
      </c>
      <c r="K58" s="82">
        <f t="shared" si="165"/>
        <v>1508</v>
      </c>
      <c r="L58" s="105">
        <v>1478</v>
      </c>
      <c r="M58" s="105">
        <v>1447</v>
      </c>
      <c r="N58" s="105">
        <v>1444</v>
      </c>
      <c r="O58" s="82">
        <f t="shared" si="166"/>
        <v>1385</v>
      </c>
      <c r="P58" s="105">
        <v>1361</v>
      </c>
      <c r="Q58" s="105">
        <v>1340</v>
      </c>
      <c r="R58" s="105">
        <v>1217</v>
      </c>
      <c r="S58" s="30">
        <f t="shared" si="167"/>
        <v>1056</v>
      </c>
      <c r="T58" s="105">
        <v>914</v>
      </c>
      <c r="V58" s="30">
        <f t="shared" si="169"/>
        <v>1508</v>
      </c>
      <c r="W58" s="30">
        <f t="shared" si="170"/>
        <v>1478</v>
      </c>
      <c r="X58" s="30">
        <f t="shared" si="171"/>
        <v>1447</v>
      </c>
      <c r="Y58" s="30">
        <f t="shared" si="172"/>
        <v>1444</v>
      </c>
      <c r="Z58" s="30">
        <f t="shared" si="173"/>
        <v>1385</v>
      </c>
      <c r="AA58" s="30">
        <f t="shared" si="174"/>
        <v>1361</v>
      </c>
      <c r="AB58" s="30">
        <f t="shared" si="175"/>
        <v>1340</v>
      </c>
      <c r="AC58" s="30">
        <f t="shared" si="176"/>
        <v>1217</v>
      </c>
      <c r="AD58" s="30">
        <f t="shared" si="177"/>
        <v>1056</v>
      </c>
      <c r="AE58" s="30">
        <f t="shared" si="178"/>
        <v>914</v>
      </c>
      <c r="AF58" s="11"/>
      <c r="AG58" s="68">
        <f t="shared" si="168"/>
        <v>-0.32843497428361501</v>
      </c>
    </row>
    <row r="59" spans="2:33" ht="12.75" customHeight="1">
      <c r="B59" s="9" t="s">
        <v>129</v>
      </c>
      <c r="C59" s="76">
        <v>824</v>
      </c>
      <c r="D59" s="76">
        <v>1231</v>
      </c>
      <c r="E59" s="76">
        <v>1273</v>
      </c>
      <c r="F59" s="76">
        <v>3578</v>
      </c>
      <c r="H59" s="105">
        <v>823</v>
      </c>
      <c r="I59" s="105">
        <v>821</v>
      </c>
      <c r="J59" s="105">
        <v>1204</v>
      </c>
      <c r="K59" s="82">
        <f t="shared" si="165"/>
        <v>1231</v>
      </c>
      <c r="L59" s="105">
        <v>1224</v>
      </c>
      <c r="M59" s="105">
        <v>1239</v>
      </c>
      <c r="N59" s="105">
        <v>1291</v>
      </c>
      <c r="O59" s="82">
        <f t="shared" si="166"/>
        <v>1273</v>
      </c>
      <c r="P59" s="105">
        <v>1305</v>
      </c>
      <c r="Q59" s="105">
        <v>1778</v>
      </c>
      <c r="R59" s="105">
        <v>1820</v>
      </c>
      <c r="S59" s="30">
        <f t="shared" si="167"/>
        <v>3578</v>
      </c>
      <c r="T59" s="105">
        <v>4541</v>
      </c>
      <c r="V59" s="30">
        <f t="shared" si="169"/>
        <v>1231</v>
      </c>
      <c r="W59" s="30">
        <f t="shared" si="170"/>
        <v>1224</v>
      </c>
      <c r="X59" s="30">
        <f t="shared" si="171"/>
        <v>1239</v>
      </c>
      <c r="Y59" s="30">
        <f t="shared" si="172"/>
        <v>1291</v>
      </c>
      <c r="Z59" s="30">
        <f t="shared" si="173"/>
        <v>1273</v>
      </c>
      <c r="AA59" s="30">
        <f t="shared" si="174"/>
        <v>1305</v>
      </c>
      <c r="AB59" s="30">
        <f t="shared" si="175"/>
        <v>1778</v>
      </c>
      <c r="AC59" s="30">
        <f t="shared" si="176"/>
        <v>1820</v>
      </c>
      <c r="AD59" s="30">
        <f t="shared" si="177"/>
        <v>3578</v>
      </c>
      <c r="AE59" s="30">
        <f t="shared" si="178"/>
        <v>4541</v>
      </c>
      <c r="AF59" s="11"/>
      <c r="AG59" s="68">
        <f t="shared" si="168"/>
        <v>2.4796934865900382</v>
      </c>
    </row>
    <row r="60" spans="2:33" ht="12.75" customHeight="1">
      <c r="B60" s="9" t="s">
        <v>130</v>
      </c>
      <c r="C60" s="76">
        <v>232</v>
      </c>
      <c r="D60" s="76">
        <v>224</v>
      </c>
      <c r="E60" s="76">
        <v>209</v>
      </c>
      <c r="F60" s="76">
        <v>1121</v>
      </c>
      <c r="H60" s="105">
        <v>212</v>
      </c>
      <c r="I60" s="105">
        <v>191</v>
      </c>
      <c r="J60" s="105">
        <v>242</v>
      </c>
      <c r="K60" s="82">
        <f t="shared" ref="K60" si="179">D60</f>
        <v>224</v>
      </c>
      <c r="L60" s="105">
        <v>224</v>
      </c>
      <c r="M60" s="105">
        <v>220</v>
      </c>
      <c r="N60" s="105">
        <v>214</v>
      </c>
      <c r="O60" s="82">
        <f t="shared" ref="O60" si="180">E60</f>
        <v>209</v>
      </c>
      <c r="P60" s="105">
        <v>230</v>
      </c>
      <c r="Q60" s="105">
        <v>319</v>
      </c>
      <c r="R60" s="105">
        <v>391</v>
      </c>
      <c r="S60" s="30">
        <f t="shared" ref="S60" si="181">F60</f>
        <v>1121</v>
      </c>
      <c r="T60" s="105">
        <v>1479</v>
      </c>
      <c r="V60" s="30">
        <f t="shared" ref="V60" si="182">K60</f>
        <v>224</v>
      </c>
      <c r="W60" s="30">
        <f t="shared" ref="W60" si="183">L60</f>
        <v>224</v>
      </c>
      <c r="X60" s="30">
        <f t="shared" ref="X60" si="184">M60</f>
        <v>220</v>
      </c>
      <c r="Y60" s="30">
        <f t="shared" ref="Y60" si="185">N60</f>
        <v>214</v>
      </c>
      <c r="Z60" s="30">
        <f t="shared" ref="Z60" si="186">O60</f>
        <v>209</v>
      </c>
      <c r="AA60" s="30">
        <f t="shared" ref="AA60" si="187">P60</f>
        <v>230</v>
      </c>
      <c r="AB60" s="30">
        <f t="shared" ref="AB60" si="188">Q60</f>
        <v>319</v>
      </c>
      <c r="AC60" s="30">
        <f t="shared" ref="AC60" si="189">R60</f>
        <v>391</v>
      </c>
      <c r="AD60" s="30">
        <f t="shared" ref="AD60" si="190">S60</f>
        <v>1121</v>
      </c>
      <c r="AE60" s="30">
        <f t="shared" ref="AE60" si="191">T60</f>
        <v>1479</v>
      </c>
      <c r="AF60" s="11"/>
      <c r="AG60" s="68">
        <f t="shared" ref="AG60" si="192">SUM(AE60/AA60)-1</f>
        <v>5.4304347826086961</v>
      </c>
    </row>
    <row r="61" spans="2:33" ht="12.75" customHeight="1">
      <c r="B61" s="9" t="s">
        <v>131</v>
      </c>
      <c r="C61" s="76">
        <v>742</v>
      </c>
      <c r="D61" s="76">
        <v>919</v>
      </c>
      <c r="E61" s="76">
        <v>999</v>
      </c>
      <c r="F61" s="76">
        <v>1114</v>
      </c>
      <c r="H61" s="105">
        <v>777</v>
      </c>
      <c r="I61" s="105">
        <v>777</v>
      </c>
      <c r="J61" s="105">
        <v>807</v>
      </c>
      <c r="K61" s="82">
        <f t="shared" si="151"/>
        <v>919</v>
      </c>
      <c r="L61" s="105">
        <v>930</v>
      </c>
      <c r="M61" s="105">
        <v>928</v>
      </c>
      <c r="N61" s="105">
        <v>946</v>
      </c>
      <c r="O61" s="82">
        <f t="shared" si="152"/>
        <v>999</v>
      </c>
      <c r="P61" s="105">
        <v>1012</v>
      </c>
      <c r="Q61" s="105">
        <v>1017</v>
      </c>
      <c r="R61" s="105">
        <v>1017</v>
      </c>
      <c r="S61" s="30">
        <f t="shared" si="153"/>
        <v>1114</v>
      </c>
      <c r="T61" s="105">
        <v>1129</v>
      </c>
      <c r="V61" s="30">
        <f t="shared" si="154"/>
        <v>919</v>
      </c>
      <c r="W61" s="30">
        <f t="shared" si="155"/>
        <v>930</v>
      </c>
      <c r="X61" s="30">
        <f t="shared" si="156"/>
        <v>928</v>
      </c>
      <c r="Y61" s="30">
        <f t="shared" si="157"/>
        <v>946</v>
      </c>
      <c r="Z61" s="30">
        <f t="shared" si="158"/>
        <v>999</v>
      </c>
      <c r="AA61" s="30">
        <f t="shared" si="159"/>
        <v>1012</v>
      </c>
      <c r="AB61" s="30">
        <f t="shared" si="160"/>
        <v>1017</v>
      </c>
      <c r="AC61" s="30">
        <f t="shared" si="161"/>
        <v>1017</v>
      </c>
      <c r="AD61" s="30">
        <f t="shared" si="162"/>
        <v>1114</v>
      </c>
      <c r="AE61" s="30">
        <f t="shared" si="163"/>
        <v>1129</v>
      </c>
      <c r="AF61" s="11"/>
      <c r="AG61" s="68">
        <f t="shared" si="164"/>
        <v>0.11561264822134398</v>
      </c>
    </row>
    <row r="62" spans="2:33" ht="12.75" customHeight="1">
      <c r="B62" s="9" t="s">
        <v>132</v>
      </c>
      <c r="C62" s="76">
        <v>359</v>
      </c>
      <c r="D62" s="76">
        <v>452</v>
      </c>
      <c r="E62" s="76">
        <v>291</v>
      </c>
      <c r="F62" s="76">
        <v>290</v>
      </c>
      <c r="H62" s="105">
        <v>390</v>
      </c>
      <c r="I62" s="105">
        <v>436</v>
      </c>
      <c r="J62" s="105">
        <v>450</v>
      </c>
      <c r="K62" s="82">
        <f t="shared" si="151"/>
        <v>452</v>
      </c>
      <c r="L62" s="105">
        <v>502</v>
      </c>
      <c r="M62" s="105">
        <v>599</v>
      </c>
      <c r="N62" s="105">
        <v>635</v>
      </c>
      <c r="O62" s="82">
        <f t="shared" si="152"/>
        <v>291</v>
      </c>
      <c r="P62" s="105">
        <v>764</v>
      </c>
      <c r="Q62" s="105">
        <v>864</v>
      </c>
      <c r="R62" s="105">
        <v>272</v>
      </c>
      <c r="S62" s="30">
        <f t="shared" si="153"/>
        <v>290</v>
      </c>
      <c r="T62" s="105">
        <v>335</v>
      </c>
      <c r="V62" s="30">
        <f t="shared" si="154"/>
        <v>452</v>
      </c>
      <c r="W62" s="30">
        <f t="shared" si="155"/>
        <v>502</v>
      </c>
      <c r="X62" s="30">
        <f t="shared" si="156"/>
        <v>599</v>
      </c>
      <c r="Y62" s="30">
        <f t="shared" si="157"/>
        <v>635</v>
      </c>
      <c r="Z62" s="30">
        <f t="shared" si="158"/>
        <v>291</v>
      </c>
      <c r="AA62" s="30">
        <f t="shared" si="159"/>
        <v>764</v>
      </c>
      <c r="AB62" s="30">
        <f t="shared" si="160"/>
        <v>864</v>
      </c>
      <c r="AC62" s="30">
        <f t="shared" si="161"/>
        <v>272</v>
      </c>
      <c r="AD62" s="30">
        <f t="shared" si="162"/>
        <v>290</v>
      </c>
      <c r="AE62" s="30">
        <f t="shared" si="163"/>
        <v>335</v>
      </c>
      <c r="AF62" s="11"/>
      <c r="AG62" s="68">
        <f t="shared" si="164"/>
        <v>-0.56151832460732987</v>
      </c>
    </row>
    <row r="63" spans="2:33" ht="12.75" customHeight="1">
      <c r="B63" s="12" t="s">
        <v>20</v>
      </c>
      <c r="C63" s="13">
        <f>SUM(C53:C62)+C50</f>
        <v>13299</v>
      </c>
      <c r="D63" s="13">
        <f>SUM(D53:D62)+D50</f>
        <v>17387</v>
      </c>
      <c r="E63" s="13">
        <f>SUM(E53:E62)+E50</f>
        <v>20383</v>
      </c>
      <c r="F63" s="13">
        <f t="shared" ref="F63" si="193">SUM(F53:F62)+F50</f>
        <v>26038</v>
      </c>
      <c r="H63" s="13">
        <f t="shared" ref="H63" si="194">SUM(H53:H62)+H50</f>
        <v>13614</v>
      </c>
      <c r="I63" s="13">
        <f t="shared" ref="I63" si="195">SUM(I53:I62)+I50</f>
        <v>14923</v>
      </c>
      <c r="J63" s="13">
        <f t="shared" ref="J63" si="196">SUM(J53:J62)+J50</f>
        <v>15091</v>
      </c>
      <c r="K63" s="13">
        <f t="shared" ref="K63" si="197">SUM(K53:K62)+K50</f>
        <v>17387</v>
      </c>
      <c r="L63" s="13">
        <f t="shared" ref="L63" si="198">SUM(L53:L62)+L50</f>
        <v>17544</v>
      </c>
      <c r="M63" s="13">
        <f t="shared" ref="M63" si="199">SUM(M53:M62)+M50</f>
        <v>18207</v>
      </c>
      <c r="N63" s="13">
        <f t="shared" ref="N63" si="200">SUM(N53:N62)+N50</f>
        <v>18434</v>
      </c>
      <c r="O63" s="13">
        <f t="shared" ref="O63" si="201">SUM(O53:O62)+O50</f>
        <v>20383</v>
      </c>
      <c r="P63" s="13">
        <f t="shared" ref="P63" si="202">SUM(P53:P62)+P50</f>
        <v>20972</v>
      </c>
      <c r="Q63" s="13">
        <f t="shared" ref="Q63:AE63" si="203">SUM(Q53:Q62)+Q50</f>
        <v>22051</v>
      </c>
      <c r="R63" s="13">
        <f t="shared" ref="R63:S63" si="204">SUM(R53:R62)+R50</f>
        <v>21789</v>
      </c>
      <c r="S63" s="13">
        <f t="shared" si="204"/>
        <v>26038</v>
      </c>
      <c r="T63" s="13">
        <f>SUM(T53:T62)+T50</f>
        <v>24381</v>
      </c>
      <c r="V63" s="13">
        <f t="shared" si="203"/>
        <v>17387</v>
      </c>
      <c r="W63" s="13">
        <f t="shared" si="203"/>
        <v>17544</v>
      </c>
      <c r="X63" s="13">
        <f t="shared" si="203"/>
        <v>18207</v>
      </c>
      <c r="Y63" s="13">
        <f t="shared" si="203"/>
        <v>18434</v>
      </c>
      <c r="Z63" s="13">
        <f t="shared" si="203"/>
        <v>20383</v>
      </c>
      <c r="AA63" s="13">
        <f t="shared" si="203"/>
        <v>20972</v>
      </c>
      <c r="AB63" s="13">
        <f t="shared" si="203"/>
        <v>22051</v>
      </c>
      <c r="AC63" s="13">
        <f t="shared" si="203"/>
        <v>21789</v>
      </c>
      <c r="AD63" s="13">
        <f t="shared" si="203"/>
        <v>26038</v>
      </c>
      <c r="AE63" s="13">
        <f t="shared" si="203"/>
        <v>24381</v>
      </c>
      <c r="AF63" s="39"/>
      <c r="AG63" s="69">
        <f>SUM(AE63/AA63)-1</f>
        <v>0.16255006675567429</v>
      </c>
    </row>
    <row r="64" spans="2:33" ht="12.75" customHeight="1">
      <c r="B64" s="23"/>
      <c r="C64" s="47"/>
      <c r="D64" s="38"/>
      <c r="E64" s="38"/>
      <c r="F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6"/>
    </row>
    <row r="65" spans="2:33" ht="12.75" customHeight="1">
      <c r="B65" s="72" t="s">
        <v>43</v>
      </c>
      <c r="C65" s="47"/>
      <c r="D65" s="38"/>
      <c r="E65" s="38"/>
      <c r="F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6"/>
    </row>
    <row r="66" spans="2:33" ht="12.75" customHeight="1">
      <c r="B66" s="9" t="s">
        <v>133</v>
      </c>
      <c r="C66" s="76">
        <v>274</v>
      </c>
      <c r="D66" s="76">
        <v>126</v>
      </c>
      <c r="E66" s="76">
        <v>68</v>
      </c>
      <c r="F66" s="76">
        <v>204</v>
      </c>
      <c r="H66" s="105">
        <v>228</v>
      </c>
      <c r="I66" s="105">
        <v>171</v>
      </c>
      <c r="J66" s="105">
        <v>69</v>
      </c>
      <c r="K66" s="82">
        <f t="shared" ref="K66:K69" si="205">D66</f>
        <v>126</v>
      </c>
      <c r="L66" s="105">
        <v>223</v>
      </c>
      <c r="M66" s="105">
        <v>296</v>
      </c>
      <c r="N66" s="105">
        <v>165</v>
      </c>
      <c r="O66" s="82">
        <f t="shared" ref="O66:O69" si="206">E66</f>
        <v>68</v>
      </c>
      <c r="P66" s="105">
        <v>309</v>
      </c>
      <c r="Q66" s="105">
        <v>211</v>
      </c>
      <c r="R66" s="105">
        <v>146</v>
      </c>
      <c r="S66" s="30">
        <f t="shared" ref="S66:S69" si="207">F66</f>
        <v>204</v>
      </c>
      <c r="T66" s="105">
        <v>427</v>
      </c>
      <c r="V66" s="30">
        <f t="shared" ref="V66:V69" si="208">K66</f>
        <v>126</v>
      </c>
      <c r="W66" s="30">
        <f t="shared" ref="W66:W69" si="209">L66</f>
        <v>223</v>
      </c>
      <c r="X66" s="30">
        <f t="shared" ref="X66:X69" si="210">M66</f>
        <v>296</v>
      </c>
      <c r="Y66" s="30">
        <f t="shared" ref="Y66:Y69" si="211">N66</f>
        <v>165</v>
      </c>
      <c r="Z66" s="30">
        <f t="shared" ref="Z66:Z69" si="212">O66</f>
        <v>68</v>
      </c>
      <c r="AA66" s="30">
        <f t="shared" ref="AA66:AA69" si="213">P66</f>
        <v>309</v>
      </c>
      <c r="AB66" s="30">
        <f t="shared" ref="AB66:AB69" si="214">Q66</f>
        <v>211</v>
      </c>
      <c r="AC66" s="30">
        <f t="shared" ref="AC66:AC69" si="215">R66</f>
        <v>146</v>
      </c>
      <c r="AD66" s="30">
        <f t="shared" ref="AD66:AD69" si="216">S66</f>
        <v>204</v>
      </c>
      <c r="AE66" s="30">
        <f t="shared" ref="AE66:AE69" si="217">T66</f>
        <v>427</v>
      </c>
      <c r="AF66" s="11"/>
      <c r="AG66" s="68">
        <f t="shared" ref="AG66:AG67" si="218">SUM(AE66/AA66)-1</f>
        <v>0.38187702265372159</v>
      </c>
    </row>
    <row r="67" spans="2:33" ht="12.75" customHeight="1">
      <c r="B67" s="9" t="s">
        <v>134</v>
      </c>
      <c r="C67" s="76">
        <v>975</v>
      </c>
      <c r="D67" s="76">
        <v>1365</v>
      </c>
      <c r="E67" s="76">
        <v>1369</v>
      </c>
      <c r="F67" s="76">
        <v>1813</v>
      </c>
      <c r="H67" s="105">
        <v>694</v>
      </c>
      <c r="I67" s="105">
        <v>893</v>
      </c>
      <c r="J67" s="105">
        <v>1001</v>
      </c>
      <c r="K67" s="82">
        <f t="shared" si="205"/>
        <v>1365</v>
      </c>
      <c r="L67" s="105">
        <v>1018</v>
      </c>
      <c r="M67" s="105">
        <v>1163</v>
      </c>
      <c r="N67" s="105">
        <v>1058</v>
      </c>
      <c r="O67" s="82">
        <f t="shared" si="206"/>
        <v>1369</v>
      </c>
      <c r="P67" s="105">
        <v>1109</v>
      </c>
      <c r="Q67" s="105">
        <v>1378</v>
      </c>
      <c r="R67" s="105">
        <v>1267</v>
      </c>
      <c r="S67" s="30">
        <f t="shared" si="207"/>
        <v>1813</v>
      </c>
      <c r="T67" s="105">
        <v>1408</v>
      </c>
      <c r="V67" s="30">
        <f t="shared" si="208"/>
        <v>1365</v>
      </c>
      <c r="W67" s="30">
        <f t="shared" si="209"/>
        <v>1018</v>
      </c>
      <c r="X67" s="30">
        <f t="shared" si="210"/>
        <v>1163</v>
      </c>
      <c r="Y67" s="30">
        <f t="shared" si="211"/>
        <v>1058</v>
      </c>
      <c r="Z67" s="30">
        <f t="shared" si="212"/>
        <v>1369</v>
      </c>
      <c r="AA67" s="30">
        <f t="shared" si="213"/>
        <v>1109</v>
      </c>
      <c r="AB67" s="30">
        <f t="shared" si="214"/>
        <v>1378</v>
      </c>
      <c r="AC67" s="30">
        <f t="shared" si="215"/>
        <v>1267</v>
      </c>
      <c r="AD67" s="30">
        <f t="shared" si="216"/>
        <v>1813</v>
      </c>
      <c r="AE67" s="30">
        <f t="shared" si="217"/>
        <v>1408</v>
      </c>
      <c r="AF67" s="11"/>
      <c r="AG67" s="68">
        <f t="shared" si="218"/>
        <v>0.26961226330027044</v>
      </c>
    </row>
    <row r="68" spans="2:33" ht="12.75" customHeight="1">
      <c r="B68" s="9" t="s">
        <v>135</v>
      </c>
      <c r="C68" s="76">
        <v>96</v>
      </c>
      <c r="D68" s="76">
        <v>89</v>
      </c>
      <c r="E68" s="76">
        <v>102</v>
      </c>
      <c r="F68" s="76">
        <v>112</v>
      </c>
      <c r="H68" s="105">
        <v>97</v>
      </c>
      <c r="I68" s="105">
        <v>90</v>
      </c>
      <c r="J68" s="105">
        <v>91</v>
      </c>
      <c r="K68" s="82">
        <f t="shared" si="205"/>
        <v>89</v>
      </c>
      <c r="L68" s="105">
        <v>92</v>
      </c>
      <c r="M68" s="105">
        <v>98</v>
      </c>
      <c r="N68" s="105">
        <v>106</v>
      </c>
      <c r="O68" s="82">
        <f t="shared" si="206"/>
        <v>102</v>
      </c>
      <c r="P68" s="105">
        <v>103</v>
      </c>
      <c r="Q68" s="105">
        <v>104</v>
      </c>
      <c r="R68" s="105">
        <v>107</v>
      </c>
      <c r="S68" s="30">
        <f t="shared" si="207"/>
        <v>112</v>
      </c>
      <c r="T68" s="105">
        <v>118</v>
      </c>
      <c r="V68" s="30">
        <f t="shared" si="208"/>
        <v>89</v>
      </c>
      <c r="W68" s="30">
        <f t="shared" si="209"/>
        <v>92</v>
      </c>
      <c r="X68" s="30">
        <f t="shared" si="210"/>
        <v>98</v>
      </c>
      <c r="Y68" s="30">
        <f t="shared" si="211"/>
        <v>106</v>
      </c>
      <c r="Z68" s="30">
        <f t="shared" si="212"/>
        <v>102</v>
      </c>
      <c r="AA68" s="30">
        <f t="shared" si="213"/>
        <v>103</v>
      </c>
      <c r="AB68" s="30">
        <f t="shared" si="214"/>
        <v>104</v>
      </c>
      <c r="AC68" s="30">
        <f t="shared" si="215"/>
        <v>107</v>
      </c>
      <c r="AD68" s="30">
        <f t="shared" si="216"/>
        <v>112</v>
      </c>
      <c r="AE68" s="30">
        <f t="shared" si="217"/>
        <v>118</v>
      </c>
      <c r="AF68" s="11"/>
      <c r="AG68" s="68">
        <f t="shared" ref="AG68:AG69" si="219">SUM(AE68/AA68)-1</f>
        <v>0.14563106796116498</v>
      </c>
    </row>
    <row r="69" spans="2:33" ht="12.75" customHeight="1">
      <c r="B69" s="9" t="s">
        <v>136</v>
      </c>
      <c r="C69" s="76">
        <v>4660</v>
      </c>
      <c r="D69" s="76">
        <v>5785</v>
      </c>
      <c r="E69" s="76">
        <v>6819</v>
      </c>
      <c r="F69" s="76">
        <v>8314</v>
      </c>
      <c r="H69" s="105">
        <v>4742</v>
      </c>
      <c r="I69" s="105">
        <v>4613</v>
      </c>
      <c r="J69" s="105">
        <v>4440</v>
      </c>
      <c r="K69" s="82">
        <f t="shared" si="205"/>
        <v>5785</v>
      </c>
      <c r="L69" s="105">
        <v>5700</v>
      </c>
      <c r="M69" s="105">
        <v>5615</v>
      </c>
      <c r="N69" s="105">
        <v>5457</v>
      </c>
      <c r="O69" s="82">
        <f t="shared" si="206"/>
        <v>6819</v>
      </c>
      <c r="P69" s="105">
        <v>6737</v>
      </c>
      <c r="Q69" s="105">
        <v>6802</v>
      </c>
      <c r="R69" s="105">
        <v>6347</v>
      </c>
      <c r="S69" s="30">
        <f t="shared" si="207"/>
        <v>8314</v>
      </c>
      <c r="T69" s="105">
        <v>8030</v>
      </c>
      <c r="V69" s="30">
        <f t="shared" si="208"/>
        <v>5785</v>
      </c>
      <c r="W69" s="30">
        <f t="shared" si="209"/>
        <v>5700</v>
      </c>
      <c r="X69" s="30">
        <f t="shared" si="210"/>
        <v>5615</v>
      </c>
      <c r="Y69" s="30">
        <f t="shared" si="211"/>
        <v>5457</v>
      </c>
      <c r="Z69" s="30">
        <f t="shared" si="212"/>
        <v>6819</v>
      </c>
      <c r="AA69" s="30">
        <f t="shared" si="213"/>
        <v>6737</v>
      </c>
      <c r="AB69" s="30">
        <f t="shared" si="214"/>
        <v>6802</v>
      </c>
      <c r="AC69" s="30">
        <f t="shared" si="215"/>
        <v>6347</v>
      </c>
      <c r="AD69" s="30">
        <f t="shared" si="216"/>
        <v>8314</v>
      </c>
      <c r="AE69" s="30">
        <f t="shared" si="217"/>
        <v>8030</v>
      </c>
      <c r="AF69" s="11"/>
      <c r="AG69" s="68">
        <f t="shared" si="219"/>
        <v>0.19192518925337687</v>
      </c>
    </row>
    <row r="70" spans="2:33" ht="12.75" customHeight="1">
      <c r="B70" s="23" t="s">
        <v>18</v>
      </c>
      <c r="C70" s="24">
        <f>SUM(C66:C69)</f>
        <v>6005</v>
      </c>
      <c r="D70" s="24">
        <f>SUM(D66:D69)</f>
        <v>7365</v>
      </c>
      <c r="E70" s="24">
        <f>SUM(E66:E69)</f>
        <v>8358</v>
      </c>
      <c r="F70" s="24">
        <f>SUM(F66:F69)</f>
        <v>10443</v>
      </c>
      <c r="H70" s="24">
        <f>SUM(H66:H69)</f>
        <v>5761</v>
      </c>
      <c r="I70" s="24">
        <f>SUM(I66:I69)</f>
        <v>5767</v>
      </c>
      <c r="J70" s="24">
        <f>SUM(J66:J69)</f>
        <v>5601</v>
      </c>
      <c r="K70" s="24">
        <f>SUM(K66:K69)</f>
        <v>7365</v>
      </c>
      <c r="L70" s="24">
        <f>SUM(L66:L69)</f>
        <v>7033</v>
      </c>
      <c r="M70" s="24">
        <f>SUM(M66:M69)</f>
        <v>7172</v>
      </c>
      <c r="N70" s="24">
        <f>SUM(N66:N69)</f>
        <v>6786</v>
      </c>
      <c r="O70" s="24">
        <f>SUM(O66:O69)</f>
        <v>8358</v>
      </c>
      <c r="P70" s="24">
        <f>SUM(P66:P69)</f>
        <v>8258</v>
      </c>
      <c r="Q70" s="24">
        <f>SUM(Q66:Q69)</f>
        <v>8495</v>
      </c>
      <c r="R70" s="24">
        <f>SUM(R66:R69)</f>
        <v>7867</v>
      </c>
      <c r="S70" s="24">
        <f>SUM(S66:S69)</f>
        <v>10443</v>
      </c>
      <c r="T70" s="24">
        <f>SUM(T66:T69)</f>
        <v>9983</v>
      </c>
      <c r="U70" s="45"/>
      <c r="V70" s="24">
        <f>SUM(V66:V69)</f>
        <v>7365</v>
      </c>
      <c r="W70" s="24">
        <f>SUM(W66:W69)</f>
        <v>7033</v>
      </c>
      <c r="X70" s="24">
        <f>SUM(X66:X69)</f>
        <v>7172</v>
      </c>
      <c r="Y70" s="24">
        <f>SUM(Y66:Y69)</f>
        <v>6786</v>
      </c>
      <c r="Z70" s="24">
        <f>SUM(Z66:Z69)</f>
        <v>8358</v>
      </c>
      <c r="AA70" s="24">
        <f>SUM(AA66:AA69)</f>
        <v>8258</v>
      </c>
      <c r="AB70" s="24">
        <f>SUM(AB66:AB69)</f>
        <v>8495</v>
      </c>
      <c r="AC70" s="24">
        <f>SUM(AC66:AC69)</f>
        <v>7867</v>
      </c>
      <c r="AD70" s="24">
        <f>SUM(AD66:AD69)</f>
        <v>10443</v>
      </c>
      <c r="AE70" s="24">
        <f>SUM(AE66:AE69)</f>
        <v>9983</v>
      </c>
      <c r="AF70" s="39"/>
      <c r="AG70" s="69">
        <f>SUM(AE70/AA70)-1</f>
        <v>0.2088883506902397</v>
      </c>
    </row>
    <row r="71" spans="2:33" ht="5.0999999999999996" customHeight="1">
      <c r="B71" s="23"/>
      <c r="C71" s="47"/>
      <c r="D71" s="38"/>
      <c r="E71" s="38"/>
      <c r="F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6"/>
    </row>
    <row r="72" spans="2:33">
      <c r="B72" s="72" t="s">
        <v>80</v>
      </c>
      <c r="C72" s="47"/>
      <c r="D72" s="38"/>
      <c r="E72" s="38"/>
      <c r="F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6"/>
    </row>
    <row r="73" spans="2:33" ht="12.75" customHeight="1">
      <c r="B73" s="104" t="s">
        <v>137</v>
      </c>
      <c r="C73" s="76">
        <v>1486</v>
      </c>
      <c r="D73" s="76">
        <v>1488</v>
      </c>
      <c r="E73" s="76">
        <v>1489</v>
      </c>
      <c r="F73" s="76">
        <v>1491</v>
      </c>
      <c r="H73" s="105">
        <v>1486</v>
      </c>
      <c r="I73" s="105">
        <v>1487</v>
      </c>
      <c r="J73" s="105">
        <v>1487</v>
      </c>
      <c r="K73" s="82">
        <f t="shared" ref="K73" si="220">D73</f>
        <v>1488</v>
      </c>
      <c r="L73" s="105">
        <v>1488</v>
      </c>
      <c r="M73" s="105">
        <v>1488</v>
      </c>
      <c r="N73" s="105">
        <v>1489</v>
      </c>
      <c r="O73" s="82">
        <f t="shared" ref="O73" si="221">E73</f>
        <v>1489</v>
      </c>
      <c r="P73" s="105">
        <v>1490</v>
      </c>
      <c r="Q73" s="105">
        <v>1490</v>
      </c>
      <c r="R73" s="105">
        <v>1491</v>
      </c>
      <c r="S73" s="30">
        <f t="shared" ref="S73" si="222">F73</f>
        <v>1491</v>
      </c>
      <c r="T73" s="105">
        <v>1491</v>
      </c>
      <c r="V73" s="30">
        <f t="shared" ref="V73:V76" si="223">K73</f>
        <v>1488</v>
      </c>
      <c r="W73" s="30">
        <f t="shared" ref="W73:W76" si="224">L73</f>
        <v>1488</v>
      </c>
      <c r="X73" s="30">
        <f t="shared" ref="X73:X76" si="225">M73</f>
        <v>1488</v>
      </c>
      <c r="Y73" s="30">
        <f t="shared" ref="Y73:Y76" si="226">N73</f>
        <v>1489</v>
      </c>
      <c r="Z73" s="30">
        <f t="shared" ref="Z73:Z76" si="227">O73</f>
        <v>1489</v>
      </c>
      <c r="AA73" s="30">
        <f t="shared" ref="AA73:AA76" si="228">P73</f>
        <v>1490</v>
      </c>
      <c r="AB73" s="30">
        <f t="shared" ref="AB73:AB76" si="229">Q73</f>
        <v>1490</v>
      </c>
      <c r="AC73" s="30">
        <f t="shared" ref="AC73:AC76" si="230">R73</f>
        <v>1491</v>
      </c>
      <c r="AD73" s="30">
        <f t="shared" ref="AD73:AD76" si="231">S73</f>
        <v>1491</v>
      </c>
      <c r="AE73" s="30">
        <f t="shared" ref="AE73:AE76" si="232">T73</f>
        <v>1491</v>
      </c>
      <c r="AF73" s="39"/>
      <c r="AG73" s="68">
        <f t="shared" ref="AG73" si="233">SUM(AE73/AA73)-1</f>
        <v>6.7114093959741439E-4</v>
      </c>
    </row>
    <row r="74" spans="2:33" ht="12.75" customHeight="1">
      <c r="B74" s="104" t="s">
        <v>138</v>
      </c>
      <c r="C74" s="76">
        <v>650</v>
      </c>
      <c r="D74" s="76">
        <v>707</v>
      </c>
      <c r="E74" s="76">
        <v>687</v>
      </c>
      <c r="F74" s="76">
        <v>800</v>
      </c>
      <c r="H74" s="105">
        <v>655</v>
      </c>
      <c r="I74" s="105">
        <v>635</v>
      </c>
      <c r="J74" s="105">
        <v>682</v>
      </c>
      <c r="K74" s="82">
        <f t="shared" ref="K74:K76" si="234">D74</f>
        <v>707</v>
      </c>
      <c r="L74" s="105">
        <v>693</v>
      </c>
      <c r="M74" s="105">
        <v>669</v>
      </c>
      <c r="N74" s="105">
        <v>650</v>
      </c>
      <c r="O74" s="82">
        <f t="shared" ref="O74:O76" si="235">E74</f>
        <v>687</v>
      </c>
      <c r="P74" s="105">
        <v>806</v>
      </c>
      <c r="Q74" s="105">
        <v>815</v>
      </c>
      <c r="R74" s="105">
        <v>804</v>
      </c>
      <c r="S74" s="30">
        <f t="shared" ref="S74:S76" si="236">F74</f>
        <v>800</v>
      </c>
      <c r="T74" s="105">
        <v>822</v>
      </c>
      <c r="V74" s="30">
        <f t="shared" si="223"/>
        <v>707</v>
      </c>
      <c r="W74" s="30">
        <f t="shared" si="224"/>
        <v>693</v>
      </c>
      <c r="X74" s="30">
        <f t="shared" si="225"/>
        <v>669</v>
      </c>
      <c r="Y74" s="30">
        <f t="shared" si="226"/>
        <v>650</v>
      </c>
      <c r="Z74" s="30">
        <f t="shared" si="227"/>
        <v>687</v>
      </c>
      <c r="AA74" s="30">
        <f t="shared" si="228"/>
        <v>806</v>
      </c>
      <c r="AB74" s="30">
        <f t="shared" si="229"/>
        <v>815</v>
      </c>
      <c r="AC74" s="30">
        <f t="shared" si="230"/>
        <v>804</v>
      </c>
      <c r="AD74" s="30">
        <f t="shared" si="231"/>
        <v>800</v>
      </c>
      <c r="AE74" s="30">
        <f t="shared" si="232"/>
        <v>822</v>
      </c>
      <c r="AF74" s="39"/>
      <c r="AG74" s="68">
        <f t="shared" ref="AG74:AG76" si="237">SUM(AE74/AA74)-1</f>
        <v>1.9851116625310139E-2</v>
      </c>
    </row>
    <row r="75" spans="2:33" ht="12.75" customHeight="1">
      <c r="B75" s="104" t="s">
        <v>139</v>
      </c>
      <c r="C75" s="76">
        <v>70</v>
      </c>
      <c r="D75" s="76">
        <v>81</v>
      </c>
      <c r="E75" s="76">
        <v>95</v>
      </c>
      <c r="F75" s="76">
        <v>120</v>
      </c>
      <c r="H75" s="105">
        <v>53</v>
      </c>
      <c r="I75" s="105">
        <v>45</v>
      </c>
      <c r="J75" s="105">
        <v>46</v>
      </c>
      <c r="K75" s="82">
        <f t="shared" si="234"/>
        <v>81</v>
      </c>
      <c r="L75" s="105">
        <v>100</v>
      </c>
      <c r="M75" s="105">
        <v>85</v>
      </c>
      <c r="N75" s="105">
        <v>77</v>
      </c>
      <c r="O75" s="82">
        <f t="shared" si="235"/>
        <v>95</v>
      </c>
      <c r="P75" s="105">
        <v>117</v>
      </c>
      <c r="Q75" s="105">
        <v>110</v>
      </c>
      <c r="R75" s="105">
        <v>115</v>
      </c>
      <c r="S75" s="30">
        <f t="shared" si="236"/>
        <v>120</v>
      </c>
      <c r="T75" s="105">
        <v>99</v>
      </c>
      <c r="V75" s="30">
        <f t="shared" si="223"/>
        <v>81</v>
      </c>
      <c r="W75" s="30">
        <f t="shared" si="224"/>
        <v>100</v>
      </c>
      <c r="X75" s="30">
        <f t="shared" si="225"/>
        <v>85</v>
      </c>
      <c r="Y75" s="30">
        <f t="shared" si="226"/>
        <v>77</v>
      </c>
      <c r="Z75" s="30">
        <f t="shared" si="227"/>
        <v>95</v>
      </c>
      <c r="AA75" s="30">
        <f t="shared" si="228"/>
        <v>117</v>
      </c>
      <c r="AB75" s="30">
        <f t="shared" si="229"/>
        <v>110</v>
      </c>
      <c r="AC75" s="30">
        <f t="shared" si="230"/>
        <v>115</v>
      </c>
      <c r="AD75" s="30">
        <f t="shared" si="231"/>
        <v>120</v>
      </c>
      <c r="AE75" s="30">
        <f t="shared" si="232"/>
        <v>99</v>
      </c>
      <c r="AF75" s="39"/>
      <c r="AG75" s="68">
        <f t="shared" si="237"/>
        <v>-0.15384615384615385</v>
      </c>
    </row>
    <row r="76" spans="2:33" ht="12.75" customHeight="1">
      <c r="B76" s="104" t="s">
        <v>140</v>
      </c>
      <c r="C76" s="76">
        <v>56</v>
      </c>
      <c r="D76" s="76">
        <v>118</v>
      </c>
      <c r="E76" s="76">
        <v>145</v>
      </c>
      <c r="F76" s="76">
        <v>220</v>
      </c>
      <c r="H76" s="105">
        <v>59</v>
      </c>
      <c r="I76" s="105">
        <v>63</v>
      </c>
      <c r="J76" s="105">
        <v>93</v>
      </c>
      <c r="K76" s="82">
        <f t="shared" si="234"/>
        <v>118</v>
      </c>
      <c r="L76" s="105">
        <v>123</v>
      </c>
      <c r="M76" s="105">
        <v>127</v>
      </c>
      <c r="N76" s="105">
        <v>142</v>
      </c>
      <c r="O76" s="82">
        <f t="shared" si="235"/>
        <v>145</v>
      </c>
      <c r="P76" s="105">
        <v>162</v>
      </c>
      <c r="Q76" s="105">
        <v>209</v>
      </c>
      <c r="R76" s="105">
        <v>211</v>
      </c>
      <c r="S76" s="30">
        <f t="shared" si="236"/>
        <v>220</v>
      </c>
      <c r="T76" s="105">
        <v>258</v>
      </c>
      <c r="V76" s="30">
        <f t="shared" si="223"/>
        <v>118</v>
      </c>
      <c r="W76" s="30">
        <f t="shared" si="224"/>
        <v>123</v>
      </c>
      <c r="X76" s="30">
        <f t="shared" si="225"/>
        <v>127</v>
      </c>
      <c r="Y76" s="30">
        <f t="shared" si="226"/>
        <v>142</v>
      </c>
      <c r="Z76" s="30">
        <f t="shared" si="227"/>
        <v>145</v>
      </c>
      <c r="AA76" s="30">
        <f t="shared" si="228"/>
        <v>162</v>
      </c>
      <c r="AB76" s="30">
        <f t="shared" si="229"/>
        <v>209</v>
      </c>
      <c r="AC76" s="30">
        <f t="shared" si="230"/>
        <v>211</v>
      </c>
      <c r="AD76" s="30">
        <f t="shared" si="231"/>
        <v>220</v>
      </c>
      <c r="AE76" s="30">
        <f t="shared" si="232"/>
        <v>258</v>
      </c>
      <c r="AF76" s="39"/>
      <c r="AG76" s="68">
        <f t="shared" si="237"/>
        <v>0.59259259259259256</v>
      </c>
    </row>
    <row r="77" spans="2:33" ht="12.75" customHeight="1">
      <c r="B77" s="12" t="s">
        <v>16</v>
      </c>
      <c r="C77" s="13">
        <f>SUM(C73:C76)+C70</f>
        <v>8267</v>
      </c>
      <c r="D77" s="13">
        <f>SUM(D73:D76)+D70</f>
        <v>9759</v>
      </c>
      <c r="E77" s="13">
        <f>SUM(E73:E76)+E70</f>
        <v>10774</v>
      </c>
      <c r="F77" s="13">
        <f>SUM(F73:F76)+F70</f>
        <v>13074</v>
      </c>
      <c r="H77" s="13">
        <f>SUM(H73:H76)+H70</f>
        <v>8014</v>
      </c>
      <c r="I77" s="13">
        <f>SUM(I73:I76)+I70</f>
        <v>7997</v>
      </c>
      <c r="J77" s="13">
        <f>SUM(J73:J76)+J70</f>
        <v>7909</v>
      </c>
      <c r="K77" s="13">
        <f>SUM(K73:K76)+K70</f>
        <v>9759</v>
      </c>
      <c r="L77" s="13">
        <f>SUM(L73:L76)+L70</f>
        <v>9437</v>
      </c>
      <c r="M77" s="13">
        <f>SUM(M73:M76)+M70</f>
        <v>9541</v>
      </c>
      <c r="N77" s="13">
        <f>SUM(N73:N76)+N70</f>
        <v>9144</v>
      </c>
      <c r="O77" s="13">
        <f>SUM(O73:O76)+O70</f>
        <v>10774</v>
      </c>
      <c r="P77" s="13">
        <f>SUM(P73:P76)+P70</f>
        <v>10833</v>
      </c>
      <c r="Q77" s="13">
        <f>SUM(Q73:Q76)+Q70</f>
        <v>11119</v>
      </c>
      <c r="R77" s="13">
        <f>SUM(R73:R76)+R70</f>
        <v>10488</v>
      </c>
      <c r="S77" s="13">
        <f>SUM(S73:S76)+S70</f>
        <v>13074</v>
      </c>
      <c r="T77" s="13">
        <f>SUM(T73:T76)+T70</f>
        <v>12653</v>
      </c>
      <c r="V77" s="13">
        <f>SUM(V73:V76)+V70</f>
        <v>9759</v>
      </c>
      <c r="W77" s="13">
        <f>SUM(W73:W76)+W70</f>
        <v>9437</v>
      </c>
      <c r="X77" s="13">
        <f>SUM(X73:X76)+X70</f>
        <v>9541</v>
      </c>
      <c r="Y77" s="13">
        <f>SUM(Y73:Y76)+Y70</f>
        <v>9144</v>
      </c>
      <c r="Z77" s="13">
        <f>SUM(Z73:Z76)+Z70</f>
        <v>10774</v>
      </c>
      <c r="AA77" s="13">
        <f>SUM(AA73:AA76)+AA70</f>
        <v>10833</v>
      </c>
      <c r="AB77" s="13">
        <f>SUM(AB73:AB76)+AB70</f>
        <v>11119</v>
      </c>
      <c r="AC77" s="13">
        <f>SUM(AC73:AC76)+AC70</f>
        <v>10488</v>
      </c>
      <c r="AD77" s="13">
        <f>SUM(AD73:AD76)+AD70</f>
        <v>13074</v>
      </c>
      <c r="AE77" s="13">
        <f>SUM(AE73:AE76)+AE70</f>
        <v>12653</v>
      </c>
      <c r="AF77" s="39"/>
      <c r="AG77" s="69">
        <f>SUM(AE77/AA77)-1</f>
        <v>0.16800516938982746</v>
      </c>
    </row>
    <row r="78" spans="2:33" ht="5.0999999999999996" customHeight="1">
      <c r="B78" s="23"/>
      <c r="C78" s="46"/>
      <c r="D78" s="38"/>
      <c r="E78" s="38"/>
      <c r="F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6"/>
    </row>
    <row r="79" spans="2:33" ht="12.75" customHeight="1">
      <c r="B79" s="104" t="s">
        <v>141</v>
      </c>
      <c r="C79" s="76">
        <v>0</v>
      </c>
      <c r="D79" s="76">
        <v>0</v>
      </c>
      <c r="E79" s="76">
        <v>1</v>
      </c>
      <c r="F79" s="76">
        <v>1</v>
      </c>
      <c r="H79" s="105">
        <v>0</v>
      </c>
      <c r="I79" s="105">
        <v>0</v>
      </c>
      <c r="J79" s="105">
        <v>0</v>
      </c>
      <c r="K79" s="82">
        <f t="shared" ref="K79:K83" si="238">D79</f>
        <v>0</v>
      </c>
      <c r="L79" s="105">
        <v>0</v>
      </c>
      <c r="M79" s="105">
        <v>0</v>
      </c>
      <c r="N79" s="105">
        <v>0</v>
      </c>
      <c r="O79" s="82">
        <f t="shared" ref="O79:O83" si="239">E79</f>
        <v>1</v>
      </c>
      <c r="P79" s="105">
        <v>0</v>
      </c>
      <c r="Q79" s="105">
        <v>0</v>
      </c>
      <c r="R79" s="105">
        <v>0</v>
      </c>
      <c r="S79" s="30">
        <f t="shared" ref="S79:S83" si="240">F79</f>
        <v>1</v>
      </c>
      <c r="T79" s="105">
        <v>1</v>
      </c>
      <c r="V79" s="30">
        <f t="shared" ref="V79:V83" si="241">K79</f>
        <v>0</v>
      </c>
      <c r="W79" s="30">
        <f t="shared" ref="W79:W83" si="242">L79</f>
        <v>0</v>
      </c>
      <c r="X79" s="30">
        <f t="shared" ref="X79:X83" si="243">M79</f>
        <v>0</v>
      </c>
      <c r="Y79" s="30">
        <f t="shared" ref="Y79:Y83" si="244">N79</f>
        <v>0</v>
      </c>
      <c r="Z79" s="30">
        <f t="shared" ref="Z79:Z83" si="245">O79</f>
        <v>1</v>
      </c>
      <c r="AA79" s="30">
        <f t="shared" ref="AA79:AA83" si="246">P79</f>
        <v>0</v>
      </c>
      <c r="AB79" s="30">
        <f t="shared" ref="AB79:AB83" si="247">Q79</f>
        <v>0</v>
      </c>
      <c r="AC79" s="30">
        <f t="shared" ref="AC79:AC83" si="248">R79</f>
        <v>0</v>
      </c>
      <c r="AD79" s="30">
        <f t="shared" ref="AD79:AD83" si="249">S79</f>
        <v>1</v>
      </c>
      <c r="AE79" s="30">
        <f t="shared" ref="AE79:AE83" si="250">T79</f>
        <v>1</v>
      </c>
      <c r="AF79" s="11"/>
      <c r="AG79" s="68" t="e">
        <f t="shared" ref="AG79:AG83" si="251">SUM(AE79/AA79)-1</f>
        <v>#DIV/0!</v>
      </c>
    </row>
    <row r="80" spans="2:33" ht="12.75" customHeight="1">
      <c r="B80" s="104" t="s">
        <v>142</v>
      </c>
      <c r="C80" s="76">
        <v>4796</v>
      </c>
      <c r="D80" s="76">
        <v>6131</v>
      </c>
      <c r="E80" s="76">
        <v>7401</v>
      </c>
      <c r="F80" s="76">
        <v>10747</v>
      </c>
      <c r="H80" s="105">
        <v>5182</v>
      </c>
      <c r="I80" s="105">
        <v>5485</v>
      </c>
      <c r="J80" s="105">
        <v>5847</v>
      </c>
      <c r="K80" s="82">
        <f t="shared" si="238"/>
        <v>6131</v>
      </c>
      <c r="L80" s="105">
        <v>6466</v>
      </c>
      <c r="M80" s="105">
        <v>6770</v>
      </c>
      <c r="N80" s="105">
        <v>7126</v>
      </c>
      <c r="O80" s="82">
        <f t="shared" si="239"/>
        <v>7401</v>
      </c>
      <c r="P80" s="105">
        <v>7768</v>
      </c>
      <c r="Q80" s="105">
        <v>8513</v>
      </c>
      <c r="R80" s="105">
        <v>8928</v>
      </c>
      <c r="S80" s="30">
        <f t="shared" si="240"/>
        <v>10747</v>
      </c>
      <c r="T80" s="105">
        <v>11384</v>
      </c>
      <c r="V80" s="30">
        <f t="shared" si="241"/>
        <v>6131</v>
      </c>
      <c r="W80" s="30">
        <f t="shared" si="242"/>
        <v>6466</v>
      </c>
      <c r="X80" s="30">
        <f t="shared" si="243"/>
        <v>6770</v>
      </c>
      <c r="Y80" s="30">
        <f t="shared" si="244"/>
        <v>7126</v>
      </c>
      <c r="Z80" s="30">
        <f t="shared" si="245"/>
        <v>7401</v>
      </c>
      <c r="AA80" s="30">
        <f t="shared" si="246"/>
        <v>7768</v>
      </c>
      <c r="AB80" s="30">
        <f t="shared" si="247"/>
        <v>8513</v>
      </c>
      <c r="AC80" s="30">
        <f t="shared" si="248"/>
        <v>8928</v>
      </c>
      <c r="AD80" s="30">
        <f t="shared" si="249"/>
        <v>10747</v>
      </c>
      <c r="AE80" s="30">
        <f t="shared" si="250"/>
        <v>11384</v>
      </c>
      <c r="AF80" s="11"/>
      <c r="AG80" s="68">
        <f t="shared" si="251"/>
        <v>0.46549948506694139</v>
      </c>
    </row>
    <row r="81" spans="1:33" ht="12.75" customHeight="1">
      <c r="B81" s="104" t="s">
        <v>143</v>
      </c>
      <c r="C81" s="76" t="s">
        <v>122</v>
      </c>
      <c r="D81" s="76">
        <v>-535</v>
      </c>
      <c r="E81" s="76">
        <v>-1219</v>
      </c>
      <c r="F81" s="76">
        <v>-3045</v>
      </c>
      <c r="H81" s="105" t="s">
        <v>122</v>
      </c>
      <c r="I81" s="105" t="s">
        <v>122</v>
      </c>
      <c r="J81" s="105">
        <v>-282</v>
      </c>
      <c r="K81" s="82">
        <f t="shared" ref="K81:K82" si="252">D81</f>
        <v>-535</v>
      </c>
      <c r="L81" s="105">
        <v>-707</v>
      </c>
      <c r="M81" s="105">
        <v>-704</v>
      </c>
      <c r="N81" s="105">
        <v>-926</v>
      </c>
      <c r="O81" s="82">
        <f t="shared" ref="O81:O82" si="253">E81</f>
        <v>-1219</v>
      </c>
      <c r="P81" s="105">
        <v>-1513</v>
      </c>
      <c r="Q81" s="105">
        <v>-1871</v>
      </c>
      <c r="R81" s="105">
        <v>-2451</v>
      </c>
      <c r="S81" s="30">
        <f t="shared" ref="S81:S82" si="254">F81</f>
        <v>-3045</v>
      </c>
      <c r="T81" s="105">
        <v>-5375</v>
      </c>
      <c r="V81" s="30">
        <f t="shared" ref="V81:V82" si="255">K81</f>
        <v>-535</v>
      </c>
      <c r="W81" s="30">
        <f t="shared" ref="W81:W82" si="256">L81</f>
        <v>-707</v>
      </c>
      <c r="X81" s="30">
        <f t="shared" ref="X81:X82" si="257">M81</f>
        <v>-704</v>
      </c>
      <c r="Y81" s="30">
        <f t="shared" ref="Y81:Y82" si="258">N81</f>
        <v>-926</v>
      </c>
      <c r="Z81" s="30">
        <f t="shared" ref="Z81:Z82" si="259">O81</f>
        <v>-1219</v>
      </c>
      <c r="AA81" s="30">
        <f t="shared" ref="AA81:AA82" si="260">P81</f>
        <v>-1513</v>
      </c>
      <c r="AB81" s="30">
        <f t="shared" ref="AB81:AB82" si="261">Q81</f>
        <v>-1871</v>
      </c>
      <c r="AC81" s="30">
        <f t="shared" ref="AC81:AC82" si="262">R81</f>
        <v>-2451</v>
      </c>
      <c r="AD81" s="30">
        <f t="shared" ref="AD81:AD82" si="263">S81</f>
        <v>-3045</v>
      </c>
      <c r="AE81" s="30">
        <f t="shared" ref="AE81:AE82" si="264">T81</f>
        <v>-5375</v>
      </c>
      <c r="AF81" s="11"/>
      <c r="AG81" s="68">
        <f t="shared" ref="AG81:AG82" si="265">SUM(AE81/AA81)-1</f>
        <v>2.5525446133509582</v>
      </c>
    </row>
    <row r="82" spans="1:33" ht="12.75" customHeight="1">
      <c r="B82" s="104" t="s">
        <v>144</v>
      </c>
      <c r="C82" s="76">
        <v>338</v>
      </c>
      <c r="D82" s="76">
        <v>2069</v>
      </c>
      <c r="E82" s="76">
        <v>3494</v>
      </c>
      <c r="F82" s="76">
        <v>5242</v>
      </c>
      <c r="H82" s="105">
        <v>488</v>
      </c>
      <c r="I82" s="105">
        <v>1532</v>
      </c>
      <c r="J82" s="105">
        <v>1774</v>
      </c>
      <c r="K82" s="82">
        <f t="shared" si="252"/>
        <v>2069</v>
      </c>
      <c r="L82" s="105">
        <v>2416</v>
      </c>
      <c r="M82" s="105">
        <v>2678</v>
      </c>
      <c r="N82" s="105">
        <v>3110</v>
      </c>
      <c r="O82" s="82">
        <f t="shared" si="253"/>
        <v>3494</v>
      </c>
      <c r="P82" s="105">
        <v>3954</v>
      </c>
      <c r="Q82" s="105">
        <v>4339</v>
      </c>
      <c r="R82" s="105">
        <v>4841</v>
      </c>
      <c r="S82" s="30">
        <f t="shared" si="254"/>
        <v>5242</v>
      </c>
      <c r="T82" s="105">
        <v>5711</v>
      </c>
      <c r="V82" s="30">
        <f t="shared" si="255"/>
        <v>2069</v>
      </c>
      <c r="W82" s="30">
        <f t="shared" si="256"/>
        <v>2416</v>
      </c>
      <c r="X82" s="30">
        <f t="shared" si="257"/>
        <v>2678</v>
      </c>
      <c r="Y82" s="30">
        <f t="shared" si="258"/>
        <v>3110</v>
      </c>
      <c r="Z82" s="30">
        <f t="shared" si="259"/>
        <v>3494</v>
      </c>
      <c r="AA82" s="30">
        <f t="shared" si="260"/>
        <v>3954</v>
      </c>
      <c r="AB82" s="30">
        <f t="shared" si="261"/>
        <v>4339</v>
      </c>
      <c r="AC82" s="30">
        <f t="shared" si="262"/>
        <v>4841</v>
      </c>
      <c r="AD82" s="30">
        <f t="shared" si="263"/>
        <v>5242</v>
      </c>
      <c r="AE82" s="30">
        <f t="shared" si="264"/>
        <v>5711</v>
      </c>
      <c r="AF82" s="11"/>
      <c r="AG82" s="68">
        <f t="shared" si="265"/>
        <v>0.44436014162873039</v>
      </c>
    </row>
    <row r="83" spans="1:33" ht="12.75" customHeight="1">
      <c r="B83" s="104" t="s">
        <v>145</v>
      </c>
      <c r="C83" s="76">
        <v>-102</v>
      </c>
      <c r="D83" s="76">
        <v>-37</v>
      </c>
      <c r="E83" s="76">
        <v>-68</v>
      </c>
      <c r="F83" s="76">
        <v>19</v>
      </c>
      <c r="H83" s="105">
        <v>-70</v>
      </c>
      <c r="I83" s="105">
        <v>-91</v>
      </c>
      <c r="J83" s="105">
        <v>-157</v>
      </c>
      <c r="K83" s="82">
        <f t="shared" si="238"/>
        <v>-37</v>
      </c>
      <c r="L83" s="105">
        <v>-68</v>
      </c>
      <c r="M83" s="105">
        <v>-78</v>
      </c>
      <c r="N83" s="105">
        <v>-20</v>
      </c>
      <c r="O83" s="82">
        <f t="shared" si="239"/>
        <v>-68</v>
      </c>
      <c r="P83" s="105">
        <v>-70</v>
      </c>
      <c r="Q83" s="105">
        <v>-49</v>
      </c>
      <c r="R83" s="105">
        <v>-17</v>
      </c>
      <c r="S83" s="30">
        <f t="shared" si="240"/>
        <v>19</v>
      </c>
      <c r="T83" s="105">
        <v>7</v>
      </c>
      <c r="V83" s="30">
        <f t="shared" si="241"/>
        <v>-37</v>
      </c>
      <c r="W83" s="30">
        <f t="shared" si="242"/>
        <v>-68</v>
      </c>
      <c r="X83" s="30">
        <f t="shared" si="243"/>
        <v>-78</v>
      </c>
      <c r="Y83" s="30">
        <f t="shared" si="244"/>
        <v>-20</v>
      </c>
      <c r="Z83" s="30">
        <f t="shared" si="245"/>
        <v>-68</v>
      </c>
      <c r="AA83" s="30">
        <f t="shared" si="246"/>
        <v>-70</v>
      </c>
      <c r="AB83" s="30">
        <f t="shared" si="247"/>
        <v>-49</v>
      </c>
      <c r="AC83" s="30">
        <f t="shared" si="248"/>
        <v>-17</v>
      </c>
      <c r="AD83" s="30">
        <f t="shared" si="249"/>
        <v>19</v>
      </c>
      <c r="AE83" s="30">
        <f t="shared" si="250"/>
        <v>7</v>
      </c>
      <c r="AF83" s="11"/>
      <c r="AG83" s="68">
        <f t="shared" si="251"/>
        <v>-1.1000000000000001</v>
      </c>
    </row>
    <row r="84" spans="1:33" ht="12.75" customHeight="1">
      <c r="B84" s="12" t="s">
        <v>15</v>
      </c>
      <c r="C84" s="13">
        <f>SUM(C79:C83)</f>
        <v>5032</v>
      </c>
      <c r="D84" s="13">
        <f>SUM(D79:D83)</f>
        <v>7628</v>
      </c>
      <c r="E84" s="13">
        <f>SUM(E79:E83)</f>
        <v>9609</v>
      </c>
      <c r="F84" s="13">
        <f>SUM(F79:F83)</f>
        <v>12964</v>
      </c>
      <c r="G84" s="48"/>
      <c r="H84" s="13">
        <f>SUM(H79:H83)</f>
        <v>5600</v>
      </c>
      <c r="I84" s="13">
        <f>SUM(I79:I83)</f>
        <v>6926</v>
      </c>
      <c r="J84" s="13">
        <f>SUM(J79:J83)</f>
        <v>7182</v>
      </c>
      <c r="K84" s="13">
        <f>SUM(K79:K83)</f>
        <v>7628</v>
      </c>
      <c r="L84" s="13">
        <f>SUM(L79:L83)</f>
        <v>8107</v>
      </c>
      <c r="M84" s="13">
        <f>SUM(M79:M83)</f>
        <v>8666</v>
      </c>
      <c r="N84" s="13">
        <f>SUM(N79:N83)</f>
        <v>9290</v>
      </c>
      <c r="O84" s="13">
        <f>SUM(O79:O83)</f>
        <v>9609</v>
      </c>
      <c r="P84" s="13">
        <f>SUM(P79:P83)</f>
        <v>10139</v>
      </c>
      <c r="Q84" s="13">
        <f>SUM(Q79:Q83)</f>
        <v>10932</v>
      </c>
      <c r="R84" s="13">
        <f>SUM(R79:R83)</f>
        <v>11301</v>
      </c>
      <c r="S84" s="13">
        <f>SUM(S79:S83)</f>
        <v>12964</v>
      </c>
      <c r="T84" s="13">
        <f>SUM(T79:T83)</f>
        <v>11728</v>
      </c>
      <c r="V84" s="13">
        <f>SUM(V79:V83)</f>
        <v>7628</v>
      </c>
      <c r="W84" s="13">
        <f>SUM(W79:W83)</f>
        <v>8107</v>
      </c>
      <c r="X84" s="13">
        <f>SUM(X79:X83)</f>
        <v>8666</v>
      </c>
      <c r="Y84" s="13">
        <f>SUM(Y79:Y83)</f>
        <v>9290</v>
      </c>
      <c r="Z84" s="13">
        <f>SUM(Z79:Z83)</f>
        <v>9609</v>
      </c>
      <c r="AA84" s="13">
        <f>SUM(AA79:AA83)</f>
        <v>10139</v>
      </c>
      <c r="AB84" s="13">
        <f>SUM(AB79:AB83)</f>
        <v>10932</v>
      </c>
      <c r="AC84" s="13">
        <f>SUM(AC79:AC83)</f>
        <v>11301</v>
      </c>
      <c r="AD84" s="13">
        <f>SUM(AD79:AD83)</f>
        <v>12964</v>
      </c>
      <c r="AE84" s="13">
        <f>SUM(AE79:AE83)</f>
        <v>11728</v>
      </c>
      <c r="AF84" s="39"/>
      <c r="AG84" s="69">
        <f>SUM(AE84/AA84)-1</f>
        <v>0.15672157017457344</v>
      </c>
    </row>
    <row r="85" spans="1:33" ht="12.75" customHeight="1">
      <c r="B85" s="23" t="s">
        <v>47</v>
      </c>
      <c r="C85" s="30">
        <f>SUM(C84+C77)</f>
        <v>13299</v>
      </c>
      <c r="D85" s="30">
        <f>SUM(D84+D77)</f>
        <v>17387</v>
      </c>
      <c r="E85" s="30">
        <f>SUM(E84+E77)</f>
        <v>20383</v>
      </c>
      <c r="F85" s="30">
        <f>SUM(F84+F77)</f>
        <v>26038</v>
      </c>
      <c r="G85" s="30"/>
      <c r="H85" s="30">
        <f>SUM(H84+H77)</f>
        <v>13614</v>
      </c>
      <c r="I85" s="30">
        <f>SUM(I84+I77)</f>
        <v>14923</v>
      </c>
      <c r="J85" s="30">
        <f>SUM(J84+J77)</f>
        <v>15091</v>
      </c>
      <c r="K85" s="30">
        <f>SUM(K84+K77)</f>
        <v>17387</v>
      </c>
      <c r="L85" s="30">
        <f>SUM(L84+L77)</f>
        <v>17544</v>
      </c>
      <c r="M85" s="30">
        <f>SUM(M84+M77)</f>
        <v>18207</v>
      </c>
      <c r="N85" s="30">
        <f>SUM(N84+N77)</f>
        <v>18434</v>
      </c>
      <c r="O85" s="30">
        <f>SUM(O84+O77)</f>
        <v>20383</v>
      </c>
      <c r="P85" s="30">
        <f>SUM(P84+P77)</f>
        <v>20972</v>
      </c>
      <c r="Q85" s="30">
        <f>SUM(Q84+Q77)</f>
        <v>22051</v>
      </c>
      <c r="R85" s="30">
        <f>SUM(R84+R77)</f>
        <v>21789</v>
      </c>
      <c r="S85" s="30">
        <f>SUM(S84+S77)</f>
        <v>26038</v>
      </c>
      <c r="T85" s="30">
        <f>SUM(T84+T77)</f>
        <v>24381</v>
      </c>
      <c r="U85" s="30"/>
      <c r="V85" s="30">
        <f>SUM(V84+V77)</f>
        <v>17387</v>
      </c>
      <c r="W85" s="30">
        <f>SUM(W84+W77)</f>
        <v>17544</v>
      </c>
      <c r="X85" s="30">
        <f>SUM(X84+X77)</f>
        <v>18207</v>
      </c>
      <c r="Y85" s="30">
        <f>SUM(Y84+Y77)</f>
        <v>18434</v>
      </c>
      <c r="Z85" s="30">
        <f>SUM(Z84+Z77)</f>
        <v>20383</v>
      </c>
      <c r="AA85" s="30">
        <f>SUM(AA84+AA77)</f>
        <v>20972</v>
      </c>
      <c r="AB85" s="30">
        <f>SUM(AB84+AB77)</f>
        <v>22051</v>
      </c>
      <c r="AC85" s="30">
        <f>SUM(AC84+AC77)</f>
        <v>21789</v>
      </c>
      <c r="AD85" s="30">
        <f>SUM(AD84+AD77)</f>
        <v>26038</v>
      </c>
      <c r="AE85" s="30">
        <f>SUM(AE84+AE77)</f>
        <v>24381</v>
      </c>
      <c r="AF85" s="11"/>
      <c r="AG85" s="69">
        <f>SUM(AE85/AA85)-1</f>
        <v>0.16255006675567429</v>
      </c>
    </row>
    <row r="86" spans="1:33" ht="5.0999999999999996" customHeight="1">
      <c r="B86" s="23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11"/>
    </row>
    <row r="87" spans="1:33" ht="12.75" customHeight="1">
      <c r="B87" s="62" t="s">
        <v>57</v>
      </c>
      <c r="C87" s="63">
        <f>C85-C63</f>
        <v>0</v>
      </c>
      <c r="D87" s="63">
        <f>D85-D63</f>
        <v>0</v>
      </c>
      <c r="E87" s="63">
        <f>E85-E63</f>
        <v>0</v>
      </c>
      <c r="F87" s="63">
        <f>F85-F63</f>
        <v>0</v>
      </c>
      <c r="G87" s="64"/>
      <c r="H87" s="63">
        <f>H85-H63</f>
        <v>0</v>
      </c>
      <c r="I87" s="63">
        <f>I85-I63</f>
        <v>0</v>
      </c>
      <c r="J87" s="63">
        <f>J85-J63</f>
        <v>0</v>
      </c>
      <c r="K87" s="63">
        <f>K85-K63</f>
        <v>0</v>
      </c>
      <c r="L87" s="63">
        <f>L85-L63</f>
        <v>0</v>
      </c>
      <c r="M87" s="63">
        <f>M85-M63</f>
        <v>0</v>
      </c>
      <c r="N87" s="63">
        <f>N85-N63</f>
        <v>0</v>
      </c>
      <c r="O87" s="63">
        <f>O85-O63</f>
        <v>0</v>
      </c>
      <c r="P87" s="63">
        <f>P85-P63</f>
        <v>0</v>
      </c>
      <c r="Q87" s="63">
        <f>Q85-Q63</f>
        <v>0</v>
      </c>
      <c r="R87" s="63">
        <f>R85-R63</f>
        <v>0</v>
      </c>
      <c r="S87" s="63">
        <f>S85-S63</f>
        <v>0</v>
      </c>
      <c r="T87" s="63">
        <f>T85-T63</f>
        <v>0</v>
      </c>
      <c r="U87" s="26"/>
      <c r="V87" s="63">
        <f>V85-V63</f>
        <v>0</v>
      </c>
      <c r="W87" s="63">
        <f>W85-W63</f>
        <v>0</v>
      </c>
      <c r="X87" s="63">
        <f>X85-X63</f>
        <v>0</v>
      </c>
      <c r="Y87" s="63">
        <f>Y85-Y63</f>
        <v>0</v>
      </c>
      <c r="Z87" s="63">
        <f>Z85-Z63</f>
        <v>0</v>
      </c>
      <c r="AA87" s="63">
        <f>AA85-AA63</f>
        <v>0</v>
      </c>
      <c r="AB87" s="63">
        <f>AB85-AB63</f>
        <v>0</v>
      </c>
      <c r="AC87" s="63">
        <f>AC85-AC63</f>
        <v>0</v>
      </c>
      <c r="AD87" s="63">
        <f>AD85-AD63</f>
        <v>0</v>
      </c>
      <c r="AE87" s="63">
        <f>AE85-AE63</f>
        <v>0</v>
      </c>
    </row>
    <row r="88" spans="1:33" ht="5.0999999999999996" customHeight="1" thickBot="1">
      <c r="B88" s="100"/>
      <c r="C88" s="101"/>
      <c r="D88" s="101"/>
      <c r="E88" s="101"/>
      <c r="F88" s="101"/>
      <c r="G88" s="102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3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66"/>
      <c r="AG88" s="66"/>
    </row>
    <row r="89" spans="1:33">
      <c r="B89" s="61"/>
      <c r="C89" s="22"/>
      <c r="D89" s="22"/>
      <c r="E89" s="22"/>
      <c r="F89" s="22"/>
      <c r="G89" s="49"/>
    </row>
    <row r="90" spans="1:33" ht="12.95" customHeight="1">
      <c r="A90" s="5" t="s">
        <v>17</v>
      </c>
      <c r="B90" s="83" t="s">
        <v>14</v>
      </c>
      <c r="C90" s="87" t="s">
        <v>0</v>
      </c>
      <c r="D90" s="87"/>
      <c r="E90" s="87"/>
      <c r="F90" s="87"/>
      <c r="G90" s="88"/>
      <c r="H90" s="87"/>
      <c r="I90" s="87"/>
      <c r="J90" s="87"/>
      <c r="K90" s="87"/>
      <c r="L90" s="87"/>
      <c r="M90" s="87"/>
      <c r="N90" s="87" t="s">
        <v>1</v>
      </c>
      <c r="O90" s="87"/>
      <c r="P90" s="87" t="s">
        <v>1</v>
      </c>
      <c r="Q90" s="87"/>
      <c r="R90" s="87"/>
      <c r="S90" s="87"/>
      <c r="T90" s="87"/>
      <c r="U90" s="83"/>
      <c r="V90" s="87"/>
      <c r="W90" s="87"/>
      <c r="X90" s="87"/>
      <c r="Y90" s="87"/>
      <c r="Z90" s="87"/>
      <c r="AA90" s="87" t="s">
        <v>10</v>
      </c>
      <c r="AB90" s="87"/>
      <c r="AC90" s="87"/>
      <c r="AD90" s="87"/>
      <c r="AE90" s="87"/>
      <c r="AF90" s="88"/>
      <c r="AG90" s="148" t="s">
        <v>23</v>
      </c>
    </row>
    <row r="91" spans="1:33" ht="12.95" customHeight="1">
      <c r="B91" s="84" t="str">
        <f>B7</f>
        <v>Fiscal Period</v>
      </c>
      <c r="C91" s="89">
        <f>C7</f>
        <v>2022</v>
      </c>
      <c r="D91" s="89">
        <f>D7</f>
        <v>2023</v>
      </c>
      <c r="E91" s="89">
        <f>E7</f>
        <v>2024</v>
      </c>
      <c r="F91" s="89">
        <f>F7</f>
        <v>2025</v>
      </c>
      <c r="G91" s="88"/>
      <c r="H91" s="89" t="str">
        <f>H7</f>
        <v>1Q23</v>
      </c>
      <c r="I91" s="89" t="str">
        <f>I7</f>
        <v>2Q23</v>
      </c>
      <c r="J91" s="89" t="str">
        <f>J7</f>
        <v>3Q23</v>
      </c>
      <c r="K91" s="89" t="str">
        <f>K7</f>
        <v>4Q23</v>
      </c>
      <c r="L91" s="89" t="str">
        <f>L7</f>
        <v>1Q24</v>
      </c>
      <c r="M91" s="89" t="str">
        <f>M7</f>
        <v>2Q24</v>
      </c>
      <c r="N91" s="89" t="str">
        <f>N7</f>
        <v>3Q24</v>
      </c>
      <c r="O91" s="89" t="str">
        <f>O7</f>
        <v>4Q24</v>
      </c>
      <c r="P91" s="89" t="str">
        <f>P7</f>
        <v>1Q25</v>
      </c>
      <c r="Q91" s="89" t="str">
        <f>Q7</f>
        <v>2Q25</v>
      </c>
      <c r="R91" s="89" t="str">
        <f>R7</f>
        <v>3Q25</v>
      </c>
      <c r="S91" s="89" t="str">
        <f>S7</f>
        <v>4Q25</v>
      </c>
      <c r="T91" s="89" t="str">
        <f>T7</f>
        <v>1Q26</v>
      </c>
      <c r="U91" s="89"/>
      <c r="V91" s="89" t="str">
        <f>V7</f>
        <v>4Q23</v>
      </c>
      <c r="W91" s="89" t="str">
        <f>W7</f>
        <v>1Q24</v>
      </c>
      <c r="X91" s="89" t="str">
        <f>X7</f>
        <v>2Q24</v>
      </c>
      <c r="Y91" s="89" t="str">
        <f>Y7</f>
        <v>3Q24</v>
      </c>
      <c r="Z91" s="89" t="str">
        <f>Z7</f>
        <v>4Q24</v>
      </c>
      <c r="AA91" s="89" t="str">
        <f>AA7</f>
        <v>1Q25</v>
      </c>
      <c r="AB91" s="89" t="str">
        <f>AB7</f>
        <v>2Q25</v>
      </c>
      <c r="AC91" s="89" t="str">
        <f>AC7</f>
        <v>3Q25</v>
      </c>
      <c r="AD91" s="89" t="str">
        <f>AD7</f>
        <v>4Q25</v>
      </c>
      <c r="AE91" s="89" t="str">
        <f>AE7</f>
        <v>1Q26</v>
      </c>
      <c r="AF91" s="88"/>
      <c r="AG91" s="148"/>
    </row>
    <row r="92" spans="1:33" ht="12.95" customHeight="1">
      <c r="B92" s="84" t="str">
        <f>B8</f>
        <v>Fiscal Period End Date</v>
      </c>
      <c r="C92" s="90">
        <f>C8</f>
        <v>44926</v>
      </c>
      <c r="D92" s="90">
        <f>D8</f>
        <v>45291</v>
      </c>
      <c r="E92" s="90">
        <f>E8</f>
        <v>45657</v>
      </c>
      <c r="F92" s="90">
        <f>F8</f>
        <v>46022</v>
      </c>
      <c r="G92" s="88"/>
      <c r="H92" s="90">
        <f>H8</f>
        <v>45016</v>
      </c>
      <c r="I92" s="90">
        <f>I8</f>
        <v>45107</v>
      </c>
      <c r="J92" s="90">
        <f>J8</f>
        <v>45199</v>
      </c>
      <c r="K92" s="90">
        <f>K8</f>
        <v>45291</v>
      </c>
      <c r="L92" s="90">
        <f>L8</f>
        <v>45382</v>
      </c>
      <c r="M92" s="90">
        <f>M8</f>
        <v>45473</v>
      </c>
      <c r="N92" s="90">
        <f>N8</f>
        <v>45565</v>
      </c>
      <c r="O92" s="90">
        <f>O8</f>
        <v>45657</v>
      </c>
      <c r="P92" s="90">
        <f>P8</f>
        <v>45747</v>
      </c>
      <c r="Q92" s="90">
        <f>Q8</f>
        <v>45838</v>
      </c>
      <c r="R92" s="90">
        <f>R8</f>
        <v>45930</v>
      </c>
      <c r="S92" s="90">
        <f>S8</f>
        <v>46022</v>
      </c>
      <c r="T92" s="90">
        <f>T8</f>
        <v>46112</v>
      </c>
      <c r="U92" s="90"/>
      <c r="V92" s="90">
        <f>V8</f>
        <v>45291</v>
      </c>
      <c r="W92" s="90">
        <f>W8</f>
        <v>45382</v>
      </c>
      <c r="X92" s="90">
        <f>X8</f>
        <v>45473</v>
      </c>
      <c r="Y92" s="90">
        <f>Y8</f>
        <v>45565</v>
      </c>
      <c r="Z92" s="90">
        <f>Z8</f>
        <v>45657</v>
      </c>
      <c r="AA92" s="90">
        <f>AA8</f>
        <v>45747</v>
      </c>
      <c r="AB92" s="90">
        <f>AB8</f>
        <v>45838</v>
      </c>
      <c r="AC92" s="90">
        <f>AC8</f>
        <v>45930</v>
      </c>
      <c r="AD92" s="90">
        <f>AD8</f>
        <v>46022</v>
      </c>
      <c r="AE92" s="90">
        <f>AE8</f>
        <v>46112</v>
      </c>
      <c r="AF92" s="88"/>
      <c r="AG92" s="148"/>
    </row>
    <row r="93" spans="1:33" ht="5.0999999999999996" customHeight="1">
      <c r="B93" s="50"/>
      <c r="C93" s="44"/>
      <c r="D93" s="44"/>
      <c r="E93" s="44"/>
      <c r="F93" s="44"/>
    </row>
    <row r="94" spans="1:33" ht="12.75" customHeight="1">
      <c r="B94" s="51" t="s">
        <v>48</v>
      </c>
      <c r="C94" s="52"/>
      <c r="D94" s="52"/>
      <c r="E94" s="52"/>
      <c r="F94" s="52"/>
    </row>
    <row r="95" spans="1:33" ht="12.75" customHeight="1">
      <c r="B95" s="53" t="s">
        <v>49</v>
      </c>
      <c r="C95" s="30">
        <f>C30</f>
        <v>325</v>
      </c>
      <c r="D95" s="30">
        <f>D30</f>
        <v>1731</v>
      </c>
      <c r="E95" s="30">
        <f>E30</f>
        <v>1425</v>
      </c>
      <c r="F95" s="30">
        <f>F30</f>
        <v>1748</v>
      </c>
      <c r="G95" s="30"/>
      <c r="H95" s="30">
        <f t="shared" ref="H95:T95" si="266">H30</f>
        <v>150</v>
      </c>
      <c r="I95" s="30">
        <f t="shared" si="266"/>
        <v>1044</v>
      </c>
      <c r="J95" s="30">
        <f t="shared" si="266"/>
        <v>242</v>
      </c>
      <c r="K95" s="30">
        <f t="shared" si="266"/>
        <v>295</v>
      </c>
      <c r="L95" s="30">
        <f t="shared" si="266"/>
        <v>347</v>
      </c>
      <c r="M95" s="30">
        <f t="shared" si="266"/>
        <v>262</v>
      </c>
      <c r="N95" s="30">
        <f t="shared" si="266"/>
        <v>432</v>
      </c>
      <c r="O95" s="30">
        <f t="shared" si="266"/>
        <v>384</v>
      </c>
      <c r="P95" s="30">
        <f t="shared" si="266"/>
        <v>460</v>
      </c>
      <c r="Q95" s="30">
        <f t="shared" si="266"/>
        <v>385</v>
      </c>
      <c r="R95" s="30">
        <f t="shared" si="266"/>
        <v>502</v>
      </c>
      <c r="S95" s="30">
        <f t="shared" si="266"/>
        <v>401</v>
      </c>
      <c r="T95" s="30">
        <f t="shared" si="266"/>
        <v>469</v>
      </c>
      <c r="V95" s="30">
        <f t="shared" ref="V95:AE95" si="267">V30</f>
        <v>1731</v>
      </c>
      <c r="W95" s="30">
        <f t="shared" si="267"/>
        <v>1928</v>
      </c>
      <c r="X95" s="30">
        <f t="shared" si="267"/>
        <v>1146</v>
      </c>
      <c r="Y95" s="30">
        <f t="shared" si="267"/>
        <v>1336</v>
      </c>
      <c r="Z95" s="30">
        <f t="shared" si="267"/>
        <v>1425</v>
      </c>
      <c r="AA95" s="30">
        <f t="shared" si="267"/>
        <v>1538</v>
      </c>
      <c r="AB95" s="30">
        <f t="shared" si="267"/>
        <v>1661</v>
      </c>
      <c r="AC95" s="30">
        <f t="shared" si="267"/>
        <v>1731</v>
      </c>
      <c r="AD95" s="30">
        <f t="shared" si="267"/>
        <v>1748</v>
      </c>
      <c r="AE95" s="30">
        <f t="shared" si="267"/>
        <v>1757</v>
      </c>
      <c r="AF95" s="11"/>
      <c r="AG95" s="68">
        <f>SUM(AE95/AA95)-1</f>
        <v>0.14239271781534457</v>
      </c>
    </row>
    <row r="96" spans="1:33" ht="5.0999999999999996" customHeight="1"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11"/>
      <c r="AG96" s="68"/>
    </row>
    <row r="97" spans="2:33" ht="12.75" customHeight="1">
      <c r="B97" s="33" t="s">
        <v>56</v>
      </c>
      <c r="C97" s="30"/>
      <c r="D97" s="30"/>
      <c r="E97" s="30"/>
      <c r="F97" s="30"/>
      <c r="G97" s="30"/>
      <c r="H97" s="76"/>
      <c r="I97" s="76"/>
      <c r="J97" s="76"/>
      <c r="K97" s="30"/>
      <c r="L97" s="76"/>
      <c r="M97" s="76"/>
      <c r="N97" s="76"/>
      <c r="O97" s="30"/>
      <c r="P97" s="76"/>
      <c r="Q97" s="76"/>
      <c r="R97" s="76"/>
      <c r="S97" s="76"/>
      <c r="T97" s="76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55"/>
      <c r="AG97" s="68"/>
    </row>
    <row r="98" spans="2:33" ht="12.75" customHeight="1">
      <c r="B98" s="56" t="s">
        <v>146</v>
      </c>
      <c r="C98" s="76">
        <v>433</v>
      </c>
      <c r="D98" s="76">
        <v>562</v>
      </c>
      <c r="E98" s="76">
        <v>564</v>
      </c>
      <c r="F98" s="76">
        <v>738</v>
      </c>
      <c r="G98" s="30"/>
      <c r="H98" s="76">
        <v>126</v>
      </c>
      <c r="I98" s="76">
        <f>262-H98</f>
        <v>136</v>
      </c>
      <c r="J98" s="76">
        <f>408-I98-H98</f>
        <v>146</v>
      </c>
      <c r="K98" s="30">
        <f>SUM(D98-SUM(H98:J98))</f>
        <v>154</v>
      </c>
      <c r="L98" s="76">
        <v>130</v>
      </c>
      <c r="M98" s="76">
        <f>266-L98</f>
        <v>136</v>
      </c>
      <c r="N98" s="76">
        <f>410-M98-L98</f>
        <v>144</v>
      </c>
      <c r="O98" s="30">
        <f>SUM(E98-SUM(L98:N98))</f>
        <v>154</v>
      </c>
      <c r="P98" s="76">
        <v>160</v>
      </c>
      <c r="Q98" s="76">
        <f>332-P98</f>
        <v>172</v>
      </c>
      <c r="R98" s="76">
        <f>526-Q98-P98</f>
        <v>194</v>
      </c>
      <c r="S98" s="30">
        <f t="shared" ref="S98" si="268">SUM(F98-SUM(P98:R98))</f>
        <v>212</v>
      </c>
      <c r="T98" s="76">
        <v>258</v>
      </c>
      <c r="V98" s="30">
        <f t="shared" ref="V98:V102" si="269">SUM(H98:K98)</f>
        <v>562</v>
      </c>
      <c r="W98" s="30">
        <f t="shared" ref="W98:W102" si="270">SUM(I98:L98)</f>
        <v>566</v>
      </c>
      <c r="X98" s="30">
        <f t="shared" ref="X98:X102" si="271">SUM(J98:M98)</f>
        <v>566</v>
      </c>
      <c r="Y98" s="30">
        <f t="shared" ref="Y98:Y102" si="272">SUM(K98:N98)</f>
        <v>564</v>
      </c>
      <c r="Z98" s="30">
        <f t="shared" ref="Z98:Z102" si="273">SUM(L98:O98)</f>
        <v>564</v>
      </c>
      <c r="AA98" s="30">
        <f t="shared" ref="AA98:AA102" si="274">SUM(M98:P98)</f>
        <v>594</v>
      </c>
      <c r="AB98" s="30">
        <f t="shared" ref="AB98:AB102" si="275">SUM(N98:Q98)</f>
        <v>630</v>
      </c>
      <c r="AC98" s="30">
        <f t="shared" ref="AC98:AC102" si="276">SUM(O98:R98)</f>
        <v>680</v>
      </c>
      <c r="AD98" s="30">
        <f t="shared" ref="AD98:AD102" si="277">SUM(P98:S98)</f>
        <v>738</v>
      </c>
      <c r="AE98" s="30">
        <f t="shared" ref="AE98:AE102" si="278">SUM(Q98:T98)</f>
        <v>836</v>
      </c>
      <c r="AF98" s="11"/>
      <c r="AG98" s="68">
        <f t="shared" ref="AG98:AG105" si="279">SUM(AE98/AA98)-1</f>
        <v>0.40740740740740744</v>
      </c>
    </row>
    <row r="99" spans="2:33" ht="12.75" customHeight="1">
      <c r="B99" s="56" t="s">
        <v>147</v>
      </c>
      <c r="C99" s="76">
        <v>358</v>
      </c>
      <c r="D99" s="76">
        <v>459</v>
      </c>
      <c r="E99" s="76">
        <v>550</v>
      </c>
      <c r="F99" s="76">
        <v>621</v>
      </c>
      <c r="G99" s="30"/>
      <c r="H99" s="76">
        <v>106</v>
      </c>
      <c r="I99" s="76">
        <f>218-H99</f>
        <v>112</v>
      </c>
      <c r="J99" s="76">
        <f>333-I99-H99</f>
        <v>115</v>
      </c>
      <c r="K99" s="30">
        <f>SUM(D99-SUM(H99:J99))</f>
        <v>126</v>
      </c>
      <c r="L99" s="76">
        <v>131</v>
      </c>
      <c r="M99" s="76">
        <f>263-L99</f>
        <v>132</v>
      </c>
      <c r="N99" s="76">
        <f>403-M99-L99</f>
        <v>140</v>
      </c>
      <c r="O99" s="30">
        <f>SUM(E99-SUM(L99:N99))</f>
        <v>147</v>
      </c>
      <c r="P99" s="76">
        <v>145</v>
      </c>
      <c r="Q99" s="76">
        <f>293-P99</f>
        <v>148</v>
      </c>
      <c r="R99" s="76">
        <f>454-Q99-P99</f>
        <v>161</v>
      </c>
      <c r="S99" s="30">
        <f t="shared" ref="S99" si="280">SUM(F99-SUM(P99:R99))</f>
        <v>167</v>
      </c>
      <c r="T99" s="76">
        <v>168</v>
      </c>
      <c r="V99" s="30">
        <f t="shared" si="269"/>
        <v>459</v>
      </c>
      <c r="W99" s="30">
        <f t="shared" si="270"/>
        <v>484</v>
      </c>
      <c r="X99" s="30">
        <f t="shared" si="271"/>
        <v>504</v>
      </c>
      <c r="Y99" s="30">
        <f t="shared" si="272"/>
        <v>529</v>
      </c>
      <c r="Z99" s="30">
        <f t="shared" si="273"/>
        <v>550</v>
      </c>
      <c r="AA99" s="30">
        <f t="shared" si="274"/>
        <v>564</v>
      </c>
      <c r="AB99" s="30">
        <f t="shared" si="275"/>
        <v>580</v>
      </c>
      <c r="AC99" s="30">
        <f t="shared" si="276"/>
        <v>601</v>
      </c>
      <c r="AD99" s="30">
        <f t="shared" si="277"/>
        <v>621</v>
      </c>
      <c r="AE99" s="30">
        <f t="shared" si="278"/>
        <v>644</v>
      </c>
      <c r="AF99" s="11"/>
      <c r="AG99" s="68">
        <f t="shared" ref="AG99" si="281">SUM(AE99/AA99)-1</f>
        <v>0.14184397163120566</v>
      </c>
    </row>
    <row r="100" spans="2:33" ht="12.75" customHeight="1">
      <c r="B100" s="56" t="s">
        <v>148</v>
      </c>
      <c r="C100" s="76">
        <v>1401</v>
      </c>
      <c r="D100" s="76">
        <v>1604</v>
      </c>
      <c r="E100" s="76">
        <v>1746</v>
      </c>
      <c r="F100" s="76">
        <v>1955</v>
      </c>
      <c r="G100" s="30"/>
      <c r="H100" s="76">
        <v>381</v>
      </c>
      <c r="I100" s="76">
        <f>778-H100</f>
        <v>397</v>
      </c>
      <c r="J100" s="76">
        <f>1191-I100-H100</f>
        <v>413</v>
      </c>
      <c r="K100" s="30">
        <f t="shared" ref="K100:K102" si="282">SUM(D100-SUM(H100:J100))</f>
        <v>413</v>
      </c>
      <c r="L100" s="76">
        <v>422</v>
      </c>
      <c r="M100" s="76">
        <f>866-L100</f>
        <v>444</v>
      </c>
      <c r="N100" s="76">
        <f>1292-M100-L100</f>
        <v>426</v>
      </c>
      <c r="O100" s="30">
        <f t="shared" ref="O100:O102" si="283">SUM(E100-SUM(L100:N100))</f>
        <v>454</v>
      </c>
      <c r="P100" s="76">
        <v>470</v>
      </c>
      <c r="Q100" s="76">
        <f>969-P100</f>
        <v>499</v>
      </c>
      <c r="R100" s="76">
        <f>1461-Q100-P100</f>
        <v>492</v>
      </c>
      <c r="S100" s="30">
        <f t="shared" ref="S100:S102" si="284">SUM(F100-SUM(P100:R100))</f>
        <v>494</v>
      </c>
      <c r="T100" s="76">
        <v>547</v>
      </c>
      <c r="V100" s="30">
        <f t="shared" si="269"/>
        <v>1604</v>
      </c>
      <c r="W100" s="30">
        <f t="shared" si="270"/>
        <v>1645</v>
      </c>
      <c r="X100" s="30">
        <f t="shared" si="271"/>
        <v>1692</v>
      </c>
      <c r="Y100" s="30">
        <f t="shared" si="272"/>
        <v>1705</v>
      </c>
      <c r="Z100" s="30">
        <f t="shared" si="273"/>
        <v>1746</v>
      </c>
      <c r="AA100" s="30">
        <f t="shared" si="274"/>
        <v>1794</v>
      </c>
      <c r="AB100" s="30">
        <f t="shared" si="275"/>
        <v>1849</v>
      </c>
      <c r="AC100" s="30">
        <f t="shared" si="276"/>
        <v>1915</v>
      </c>
      <c r="AD100" s="30">
        <f t="shared" si="277"/>
        <v>1955</v>
      </c>
      <c r="AE100" s="30">
        <f t="shared" si="278"/>
        <v>2032</v>
      </c>
      <c r="AF100" s="11"/>
      <c r="AG100" s="68">
        <f t="shared" ref="AG100:AG102" si="285">SUM(AE100/AA100)-1</f>
        <v>0.13266443701226316</v>
      </c>
    </row>
    <row r="101" spans="2:33" ht="12.75" customHeight="1">
      <c r="B101" s="56" t="s">
        <v>149</v>
      </c>
      <c r="C101" s="76">
        <v>15</v>
      </c>
      <c r="D101" s="76">
        <v>-857</v>
      </c>
      <c r="E101" s="76">
        <v>98</v>
      </c>
      <c r="F101" s="76">
        <v>249</v>
      </c>
      <c r="G101" s="30"/>
      <c r="H101" s="76">
        <v>7</v>
      </c>
      <c r="I101" s="76">
        <f>-904-H101</f>
        <v>-911</v>
      </c>
      <c r="J101" s="76">
        <f>-874-I101-H101</f>
        <v>30</v>
      </c>
      <c r="K101" s="30">
        <f t="shared" si="282"/>
        <v>17</v>
      </c>
      <c r="L101" s="76">
        <v>28</v>
      </c>
      <c r="M101" s="76">
        <f>52-L101</f>
        <v>24</v>
      </c>
      <c r="N101" s="76">
        <f>47-M101-L101</f>
        <v>-5</v>
      </c>
      <c r="O101" s="30">
        <f t="shared" si="283"/>
        <v>51</v>
      </c>
      <c r="P101" s="76">
        <v>32</v>
      </c>
      <c r="Q101" s="76">
        <f>48-P101</f>
        <v>16</v>
      </c>
      <c r="R101" s="76">
        <f>172-Q101-P101</f>
        <v>124</v>
      </c>
      <c r="S101" s="30">
        <f t="shared" si="284"/>
        <v>77</v>
      </c>
      <c r="T101" s="76">
        <v>102</v>
      </c>
      <c r="V101" s="30">
        <f t="shared" si="269"/>
        <v>-857</v>
      </c>
      <c r="W101" s="30">
        <f t="shared" si="270"/>
        <v>-836</v>
      </c>
      <c r="X101" s="30">
        <f t="shared" si="271"/>
        <v>99</v>
      </c>
      <c r="Y101" s="30">
        <f t="shared" si="272"/>
        <v>64</v>
      </c>
      <c r="Z101" s="30">
        <f t="shared" si="273"/>
        <v>98</v>
      </c>
      <c r="AA101" s="30">
        <f t="shared" si="274"/>
        <v>102</v>
      </c>
      <c r="AB101" s="30">
        <f t="shared" si="275"/>
        <v>94</v>
      </c>
      <c r="AC101" s="30">
        <f t="shared" si="276"/>
        <v>223</v>
      </c>
      <c r="AD101" s="30">
        <f t="shared" si="277"/>
        <v>249</v>
      </c>
      <c r="AE101" s="30">
        <f t="shared" si="278"/>
        <v>319</v>
      </c>
      <c r="AF101" s="11"/>
      <c r="AG101" s="68">
        <f t="shared" si="285"/>
        <v>2.1274509803921569</v>
      </c>
    </row>
    <row r="102" spans="2:33" ht="12.75" customHeight="1">
      <c r="B102" s="56" t="s">
        <v>150</v>
      </c>
      <c r="C102" s="76">
        <v>17</v>
      </c>
      <c r="D102" s="76">
        <v>0</v>
      </c>
      <c r="E102" s="76">
        <v>-51</v>
      </c>
      <c r="F102" s="76">
        <v>104</v>
      </c>
      <c r="G102" s="30"/>
      <c r="H102" s="76">
        <v>1</v>
      </c>
      <c r="I102" s="76">
        <f>-2-H102</f>
        <v>-3</v>
      </c>
      <c r="J102" s="76">
        <f>-13-I102-H102</f>
        <v>-11</v>
      </c>
      <c r="K102" s="30">
        <f t="shared" si="282"/>
        <v>13</v>
      </c>
      <c r="L102" s="76">
        <v>-18</v>
      </c>
      <c r="M102" s="76">
        <f>-25-L102</f>
        <v>-7</v>
      </c>
      <c r="N102" s="76">
        <f>-31-M102-L102</f>
        <v>-6</v>
      </c>
      <c r="O102" s="30">
        <f t="shared" si="283"/>
        <v>-20</v>
      </c>
      <c r="P102" s="76">
        <v>4</v>
      </c>
      <c r="Q102" s="76">
        <f>62-P102</f>
        <v>58</v>
      </c>
      <c r="R102" s="76">
        <f>43-Q102-P102</f>
        <v>-19</v>
      </c>
      <c r="S102" s="30">
        <f t="shared" si="284"/>
        <v>61</v>
      </c>
      <c r="T102" s="76">
        <v>-82</v>
      </c>
      <c r="V102" s="30">
        <f t="shared" si="269"/>
        <v>0</v>
      </c>
      <c r="W102" s="30">
        <f t="shared" si="270"/>
        <v>-19</v>
      </c>
      <c r="X102" s="30">
        <f t="shared" si="271"/>
        <v>-23</v>
      </c>
      <c r="Y102" s="30">
        <f t="shared" si="272"/>
        <v>-18</v>
      </c>
      <c r="Z102" s="30">
        <f t="shared" si="273"/>
        <v>-51</v>
      </c>
      <c r="AA102" s="30">
        <f t="shared" si="274"/>
        <v>-29</v>
      </c>
      <c r="AB102" s="30">
        <f t="shared" si="275"/>
        <v>36</v>
      </c>
      <c r="AC102" s="30">
        <f t="shared" si="276"/>
        <v>23</v>
      </c>
      <c r="AD102" s="30">
        <f t="shared" si="277"/>
        <v>104</v>
      </c>
      <c r="AE102" s="30">
        <f t="shared" si="278"/>
        <v>18</v>
      </c>
      <c r="AF102" s="11"/>
      <c r="AG102" s="68">
        <f t="shared" si="285"/>
        <v>-1.6206896551724137</v>
      </c>
    </row>
    <row r="103" spans="2:33" ht="5.0999999999999996" customHeight="1">
      <c r="B103" s="8"/>
      <c r="C103" s="76"/>
      <c r="D103" s="76"/>
      <c r="E103" s="76"/>
      <c r="F103" s="76"/>
      <c r="G103" s="30"/>
      <c r="H103" s="76"/>
      <c r="I103" s="76"/>
      <c r="J103" s="76"/>
      <c r="K103" s="30"/>
      <c r="L103" s="76"/>
      <c r="M103" s="76"/>
      <c r="N103" s="76"/>
      <c r="O103" s="30"/>
      <c r="P103" s="76"/>
      <c r="Q103" s="76"/>
      <c r="R103" s="76"/>
      <c r="S103" s="76"/>
      <c r="T103" s="76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11"/>
      <c r="AG103" s="68"/>
    </row>
    <row r="104" spans="2:33" ht="12.75" customHeight="1">
      <c r="B104" s="33" t="s">
        <v>13</v>
      </c>
      <c r="C104" s="76"/>
      <c r="D104" s="76"/>
      <c r="E104" s="76"/>
      <c r="F104" s="76"/>
      <c r="G104" s="30"/>
      <c r="H104" s="76"/>
      <c r="I104" s="76"/>
      <c r="J104" s="76"/>
      <c r="K104" s="30"/>
      <c r="L104" s="76"/>
      <c r="M104" s="76"/>
      <c r="N104" s="76"/>
      <c r="O104" s="30"/>
      <c r="P104" s="76"/>
      <c r="Q104" s="76"/>
      <c r="R104" s="76"/>
      <c r="S104" s="76"/>
      <c r="T104" s="76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55"/>
      <c r="AG104" s="68"/>
    </row>
    <row r="105" spans="2:33" ht="12.75" customHeight="1">
      <c r="B105" s="56" t="s">
        <v>151</v>
      </c>
      <c r="C105" s="76">
        <v>-340</v>
      </c>
      <c r="D105" s="76">
        <v>-300</v>
      </c>
      <c r="E105" s="76">
        <v>-254</v>
      </c>
      <c r="F105" s="76">
        <v>-312</v>
      </c>
      <c r="G105" s="30"/>
      <c r="H105" s="76">
        <v>619</v>
      </c>
      <c r="I105" s="76">
        <f>635-H105</f>
        <v>16</v>
      </c>
      <c r="J105" s="76">
        <f>552-I105-H105</f>
        <v>-83</v>
      </c>
      <c r="K105" s="30">
        <f>SUM(D105-SUM(H105:J105))</f>
        <v>-852</v>
      </c>
      <c r="L105" s="76">
        <v>715</v>
      </c>
      <c r="M105" s="76">
        <f>499-L105</f>
        <v>-216</v>
      </c>
      <c r="N105" s="76">
        <f>727-M105-L105</f>
        <v>228</v>
      </c>
      <c r="O105" s="30">
        <f>SUM(E105-SUM(L105:N105))</f>
        <v>-981</v>
      </c>
      <c r="P105" s="76">
        <v>901</v>
      </c>
      <c r="Q105" s="76">
        <f>599-P105</f>
        <v>-302</v>
      </c>
      <c r="R105" s="76">
        <f>740-Q105-P105</f>
        <v>141</v>
      </c>
      <c r="S105" s="30">
        <f t="shared" ref="S105" si="286">SUM(F105-SUM(P105:R105))</f>
        <v>-1052</v>
      </c>
      <c r="T105" s="76">
        <v>912</v>
      </c>
      <c r="V105" s="30">
        <f t="shared" ref="V105:V110" si="287">SUM(H105:K105)</f>
        <v>-300</v>
      </c>
      <c r="W105" s="30">
        <f t="shared" ref="W105:W110" si="288">SUM(I105:L105)</f>
        <v>-204</v>
      </c>
      <c r="X105" s="30">
        <f t="shared" ref="X105:X110" si="289">SUM(J105:M105)</f>
        <v>-436</v>
      </c>
      <c r="Y105" s="30">
        <f t="shared" ref="Y105:Y110" si="290">SUM(K105:N105)</f>
        <v>-125</v>
      </c>
      <c r="Z105" s="30">
        <f t="shared" ref="Z105:Z110" si="291">SUM(L105:O105)</f>
        <v>-254</v>
      </c>
      <c r="AA105" s="30">
        <f t="shared" ref="AA105:AA110" si="292">SUM(M105:P105)</f>
        <v>-68</v>
      </c>
      <c r="AB105" s="30">
        <f t="shared" ref="AB105:AB110" si="293">SUM(N105:Q105)</f>
        <v>-154</v>
      </c>
      <c r="AC105" s="30">
        <f t="shared" ref="AC105:AC110" si="294">SUM(O105:R105)</f>
        <v>-241</v>
      </c>
      <c r="AD105" s="30">
        <f t="shared" ref="AD105:AD110" si="295">SUM(P105:S105)</f>
        <v>-312</v>
      </c>
      <c r="AE105" s="30">
        <f t="shared" ref="AE105:AE110" si="296">SUM(Q105:T105)</f>
        <v>-301</v>
      </c>
      <c r="AF105" s="55"/>
      <c r="AG105" s="68">
        <f t="shared" si="279"/>
        <v>3.4264705882352944</v>
      </c>
    </row>
    <row r="106" spans="2:33" ht="12.75" customHeight="1">
      <c r="B106" s="56" t="s">
        <v>133</v>
      </c>
      <c r="C106" s="76">
        <v>172</v>
      </c>
      <c r="D106" s="76">
        <v>-142</v>
      </c>
      <c r="E106" s="76">
        <v>-52</v>
      </c>
      <c r="F106" s="76">
        <v>55</v>
      </c>
      <c r="G106" s="30"/>
      <c r="H106" s="76">
        <v>-46</v>
      </c>
      <c r="I106" s="76">
        <f>-90-H106</f>
        <v>-44</v>
      </c>
      <c r="J106" s="76">
        <f>-188-I106-H106</f>
        <v>-98</v>
      </c>
      <c r="K106" s="30">
        <f>SUM(D106-SUM(H106:J106))</f>
        <v>46</v>
      </c>
      <c r="L106" s="76">
        <v>107</v>
      </c>
      <c r="M106" s="76">
        <f>172-L106</f>
        <v>65</v>
      </c>
      <c r="N106" s="76">
        <f>42-M106-L106</f>
        <v>-130</v>
      </c>
      <c r="O106" s="30">
        <f>SUM(E106-SUM(L106:N106))</f>
        <v>-94</v>
      </c>
      <c r="P106" s="76">
        <v>234</v>
      </c>
      <c r="Q106" s="76">
        <f>133-P106</f>
        <v>-101</v>
      </c>
      <c r="R106" s="76">
        <f>48-Q106-P106</f>
        <v>-85</v>
      </c>
      <c r="S106" s="30">
        <f t="shared" ref="S106" si="297">SUM(F106-SUM(P106:R106))</f>
        <v>7</v>
      </c>
      <c r="T106" s="76">
        <v>250</v>
      </c>
      <c r="V106" s="30">
        <f t="shared" si="287"/>
        <v>-142</v>
      </c>
      <c r="W106" s="30">
        <f t="shared" si="288"/>
        <v>11</v>
      </c>
      <c r="X106" s="30">
        <f t="shared" si="289"/>
        <v>120</v>
      </c>
      <c r="Y106" s="30">
        <f t="shared" si="290"/>
        <v>88</v>
      </c>
      <c r="Z106" s="30">
        <f t="shared" si="291"/>
        <v>-52</v>
      </c>
      <c r="AA106" s="30">
        <f t="shared" si="292"/>
        <v>75</v>
      </c>
      <c r="AB106" s="30">
        <f t="shared" si="293"/>
        <v>-91</v>
      </c>
      <c r="AC106" s="30">
        <f t="shared" si="294"/>
        <v>-46</v>
      </c>
      <c r="AD106" s="30">
        <f t="shared" si="295"/>
        <v>55</v>
      </c>
      <c r="AE106" s="30">
        <f t="shared" si="296"/>
        <v>71</v>
      </c>
      <c r="AF106" s="55"/>
      <c r="AG106" s="68">
        <f t="shared" ref="AG106" si="298">SUM(AE106/AA106)-1</f>
        <v>-5.3333333333333344E-2</v>
      </c>
    </row>
    <row r="107" spans="2:33" ht="12.75" customHeight="1">
      <c r="B107" s="56" t="s">
        <v>152</v>
      </c>
      <c r="C107" s="76">
        <v>904</v>
      </c>
      <c r="D107" s="76">
        <v>1085</v>
      </c>
      <c r="E107" s="76">
        <v>1179</v>
      </c>
      <c r="F107" s="76">
        <v>1179</v>
      </c>
      <c r="G107" s="30"/>
      <c r="H107" s="76">
        <v>40</v>
      </c>
      <c r="I107" s="76">
        <f>-89-H107</f>
        <v>-129</v>
      </c>
      <c r="J107" s="76">
        <f>-217-I107-H107</f>
        <v>-128</v>
      </c>
      <c r="K107" s="30">
        <f t="shared" ref="K107:K110" si="299">SUM(D107-SUM(H107:J107))</f>
        <v>1302</v>
      </c>
      <c r="L107" s="76">
        <v>-10</v>
      </c>
      <c r="M107" s="76">
        <f>-92-L107</f>
        <v>-82</v>
      </c>
      <c r="N107" s="76">
        <f>-355-M107-L107</f>
        <v>-263</v>
      </c>
      <c r="O107" s="30">
        <f t="shared" ref="O107:O110" si="300">SUM(E107-SUM(L107:N107))</f>
        <v>1534</v>
      </c>
      <c r="P107" s="76">
        <v>-148</v>
      </c>
      <c r="Q107" s="76">
        <f>-264-P107</f>
        <v>-116</v>
      </c>
      <c r="R107" s="76">
        <f>-713-Q107-P107</f>
        <v>-449</v>
      </c>
      <c r="S107" s="30">
        <f t="shared" ref="S107:S110" si="301">SUM(F107-SUM(P107:R107))</f>
        <v>1892</v>
      </c>
      <c r="T107" s="76">
        <v>-278</v>
      </c>
      <c r="V107" s="30">
        <f t="shared" si="287"/>
        <v>1085</v>
      </c>
      <c r="W107" s="30">
        <f t="shared" si="288"/>
        <v>1035</v>
      </c>
      <c r="X107" s="30">
        <f t="shared" si="289"/>
        <v>1082</v>
      </c>
      <c r="Y107" s="30">
        <f t="shared" si="290"/>
        <v>947</v>
      </c>
      <c r="Z107" s="30">
        <f t="shared" si="291"/>
        <v>1179</v>
      </c>
      <c r="AA107" s="30">
        <f t="shared" si="292"/>
        <v>1041</v>
      </c>
      <c r="AB107" s="30">
        <f t="shared" si="293"/>
        <v>1007</v>
      </c>
      <c r="AC107" s="30">
        <f t="shared" si="294"/>
        <v>821</v>
      </c>
      <c r="AD107" s="30">
        <f t="shared" si="295"/>
        <v>1179</v>
      </c>
      <c r="AE107" s="30">
        <f t="shared" si="296"/>
        <v>1049</v>
      </c>
      <c r="AF107" s="55"/>
      <c r="AG107" s="68">
        <f t="shared" ref="AG107:AG110" si="302">SUM(AE107/AA107)-1</f>
        <v>7.684918347742542E-3</v>
      </c>
    </row>
    <row r="108" spans="2:33" ht="12.75" customHeight="1">
      <c r="B108" s="56" t="s">
        <v>153</v>
      </c>
      <c r="C108" s="76">
        <v>-39</v>
      </c>
      <c r="D108" s="76">
        <v>-203</v>
      </c>
      <c r="E108" s="76">
        <v>-332</v>
      </c>
      <c r="F108" s="76">
        <v>-384</v>
      </c>
      <c r="G108" s="30"/>
      <c r="H108" s="76">
        <v>-64</v>
      </c>
      <c r="I108" s="76">
        <f>-136-H108</f>
        <v>-72</v>
      </c>
      <c r="J108" s="76">
        <f>-183-I108-H108</f>
        <v>-47</v>
      </c>
      <c r="K108" s="30">
        <f t="shared" si="299"/>
        <v>-20</v>
      </c>
      <c r="L108" s="76">
        <v>-106</v>
      </c>
      <c r="M108" s="76">
        <f>-252-L108</f>
        <v>-146</v>
      </c>
      <c r="N108" s="76">
        <f>-267-M108-L108</f>
        <v>-15</v>
      </c>
      <c r="O108" s="30">
        <f t="shared" si="300"/>
        <v>-65</v>
      </c>
      <c r="P108" s="76">
        <v>-139</v>
      </c>
      <c r="Q108" s="76">
        <f>-222-P108</f>
        <v>-83</v>
      </c>
      <c r="R108" s="76">
        <f>-199-Q108-P108</f>
        <v>23</v>
      </c>
      <c r="S108" s="30">
        <f t="shared" si="301"/>
        <v>-185</v>
      </c>
      <c r="T108" s="76">
        <v>-42</v>
      </c>
      <c r="V108" s="30">
        <f t="shared" si="287"/>
        <v>-203</v>
      </c>
      <c r="W108" s="30">
        <f t="shared" si="288"/>
        <v>-245</v>
      </c>
      <c r="X108" s="30">
        <f t="shared" si="289"/>
        <v>-319</v>
      </c>
      <c r="Y108" s="30">
        <f t="shared" si="290"/>
        <v>-287</v>
      </c>
      <c r="Z108" s="30">
        <f t="shared" si="291"/>
        <v>-332</v>
      </c>
      <c r="AA108" s="30">
        <f t="shared" si="292"/>
        <v>-365</v>
      </c>
      <c r="AB108" s="30">
        <f t="shared" si="293"/>
        <v>-302</v>
      </c>
      <c r="AC108" s="30">
        <f t="shared" si="294"/>
        <v>-264</v>
      </c>
      <c r="AD108" s="30">
        <f t="shared" si="295"/>
        <v>-384</v>
      </c>
      <c r="AE108" s="30">
        <f t="shared" si="296"/>
        <v>-287</v>
      </c>
      <c r="AF108" s="55"/>
      <c r="AG108" s="68">
        <f t="shared" si="302"/>
        <v>-0.21369863013698631</v>
      </c>
    </row>
    <row r="109" spans="2:33" ht="12.75" customHeight="1">
      <c r="B109" s="56" t="s">
        <v>134</v>
      </c>
      <c r="C109" s="76">
        <v>43</v>
      </c>
      <c r="D109" s="76">
        <v>176</v>
      </c>
      <c r="E109" s="76">
        <v>107</v>
      </c>
      <c r="F109" s="76">
        <v>249</v>
      </c>
      <c r="G109" s="30"/>
      <c r="H109" s="76">
        <v>-259</v>
      </c>
      <c r="I109" s="76">
        <f>-104-H109</f>
        <v>155</v>
      </c>
      <c r="J109" s="76">
        <f>-199-I109-H109</f>
        <v>-95</v>
      </c>
      <c r="K109" s="30">
        <f t="shared" si="299"/>
        <v>375</v>
      </c>
      <c r="L109" s="76">
        <v>-240</v>
      </c>
      <c r="M109" s="76">
        <f>-91-L109</f>
        <v>149</v>
      </c>
      <c r="N109" s="76">
        <f>-216-M109-L109</f>
        <v>-125</v>
      </c>
      <c r="O109" s="30">
        <f t="shared" si="300"/>
        <v>323</v>
      </c>
      <c r="P109" s="76">
        <v>-287</v>
      </c>
      <c r="Q109" s="76">
        <f>-111-P109</f>
        <v>176</v>
      </c>
      <c r="R109" s="76">
        <f>-211-Q109-P109</f>
        <v>-100</v>
      </c>
      <c r="S109" s="30">
        <f t="shared" si="301"/>
        <v>460</v>
      </c>
      <c r="T109" s="76">
        <v>-439</v>
      </c>
      <c r="V109" s="30">
        <f t="shared" si="287"/>
        <v>176</v>
      </c>
      <c r="W109" s="30">
        <f t="shared" si="288"/>
        <v>195</v>
      </c>
      <c r="X109" s="30">
        <f t="shared" si="289"/>
        <v>189</v>
      </c>
      <c r="Y109" s="30">
        <f t="shared" si="290"/>
        <v>159</v>
      </c>
      <c r="Z109" s="30">
        <f t="shared" si="291"/>
        <v>107</v>
      </c>
      <c r="AA109" s="30">
        <f t="shared" si="292"/>
        <v>60</v>
      </c>
      <c r="AB109" s="30">
        <f t="shared" si="293"/>
        <v>87</v>
      </c>
      <c r="AC109" s="30">
        <f t="shared" si="294"/>
        <v>112</v>
      </c>
      <c r="AD109" s="30">
        <f t="shared" si="295"/>
        <v>249</v>
      </c>
      <c r="AE109" s="30">
        <f t="shared" si="296"/>
        <v>97</v>
      </c>
      <c r="AF109" s="55"/>
      <c r="AG109" s="68">
        <f t="shared" si="302"/>
        <v>0.6166666666666667</v>
      </c>
    </row>
    <row r="110" spans="2:33" ht="12.75" customHeight="1">
      <c r="B110" s="56" t="s">
        <v>154</v>
      </c>
      <c r="C110" s="76">
        <v>-566</v>
      </c>
      <c r="D110" s="76">
        <v>-717</v>
      </c>
      <c r="E110" s="76">
        <v>-713</v>
      </c>
      <c r="F110" s="76">
        <v>-758</v>
      </c>
      <c r="G110" s="30"/>
      <c r="H110" s="76">
        <v>-159</v>
      </c>
      <c r="I110" s="76">
        <f>-280-H110</f>
        <v>-121</v>
      </c>
      <c r="J110" s="76">
        <f>-453-I110-H110</f>
        <v>-173</v>
      </c>
      <c r="K110" s="30">
        <f t="shared" si="299"/>
        <v>-264</v>
      </c>
      <c r="L110" s="76">
        <v>-165</v>
      </c>
      <c r="M110" s="76">
        <f>-306-L110</f>
        <v>-141</v>
      </c>
      <c r="N110" s="76">
        <f>-461-M110-L110</f>
        <v>-155</v>
      </c>
      <c r="O110" s="30">
        <f t="shared" si="300"/>
        <v>-252</v>
      </c>
      <c r="P110" s="76">
        <v>-155</v>
      </c>
      <c r="Q110" s="76">
        <f>-291-P110</f>
        <v>-136</v>
      </c>
      <c r="R110" s="76">
        <f>-462-Q110-P110</f>
        <v>-171</v>
      </c>
      <c r="S110" s="30">
        <f t="shared" si="301"/>
        <v>-296</v>
      </c>
      <c r="T110" s="76">
        <v>-195</v>
      </c>
      <c r="V110" s="30">
        <f t="shared" si="287"/>
        <v>-717</v>
      </c>
      <c r="W110" s="30">
        <f t="shared" si="288"/>
        <v>-723</v>
      </c>
      <c r="X110" s="30">
        <f t="shared" si="289"/>
        <v>-743</v>
      </c>
      <c r="Y110" s="30">
        <f t="shared" si="290"/>
        <v>-725</v>
      </c>
      <c r="Z110" s="30">
        <f t="shared" si="291"/>
        <v>-713</v>
      </c>
      <c r="AA110" s="30">
        <f t="shared" si="292"/>
        <v>-703</v>
      </c>
      <c r="AB110" s="30">
        <f t="shared" si="293"/>
        <v>-698</v>
      </c>
      <c r="AC110" s="30">
        <f t="shared" si="294"/>
        <v>-714</v>
      </c>
      <c r="AD110" s="30">
        <f t="shared" si="295"/>
        <v>-758</v>
      </c>
      <c r="AE110" s="30">
        <f t="shared" si="296"/>
        <v>-798</v>
      </c>
      <c r="AF110" s="55"/>
      <c r="AG110" s="68">
        <f t="shared" si="302"/>
        <v>0.13513513513513509</v>
      </c>
    </row>
    <row r="111" spans="2:33" ht="12.75" customHeight="1">
      <c r="B111" s="12" t="s">
        <v>50</v>
      </c>
      <c r="C111" s="13">
        <f>SUM(C95:C110)</f>
        <v>2723</v>
      </c>
      <c r="D111" s="13">
        <f>SUM(D95:D110)</f>
        <v>3398</v>
      </c>
      <c r="E111" s="13">
        <f>SUM(E95:E110)</f>
        <v>4267</v>
      </c>
      <c r="F111" s="13">
        <f>SUM(F95:F110)</f>
        <v>5444</v>
      </c>
      <c r="H111" s="13">
        <f>SUM(H95:H110)</f>
        <v>902</v>
      </c>
      <c r="I111" s="13">
        <f>SUM(I95:I110)</f>
        <v>580</v>
      </c>
      <c r="J111" s="13">
        <f>SUM(J95:J110)</f>
        <v>311</v>
      </c>
      <c r="K111" s="13">
        <f>SUM(K95:K110)</f>
        <v>1605</v>
      </c>
      <c r="L111" s="13">
        <f>SUM(L95:L110)</f>
        <v>1341</v>
      </c>
      <c r="M111" s="13">
        <f>SUM(M95:M110)</f>
        <v>620</v>
      </c>
      <c r="N111" s="13">
        <f t="shared" ref="N111:T111" si="303">SUM(N95:N110)</f>
        <v>671</v>
      </c>
      <c r="O111" s="13">
        <f t="shared" si="303"/>
        <v>1635</v>
      </c>
      <c r="P111" s="13">
        <f t="shared" si="303"/>
        <v>1677</v>
      </c>
      <c r="Q111" s="13">
        <f t="shared" si="303"/>
        <v>716</v>
      </c>
      <c r="R111" s="13">
        <f t="shared" si="303"/>
        <v>813</v>
      </c>
      <c r="S111" s="13">
        <f t="shared" si="303"/>
        <v>2238</v>
      </c>
      <c r="T111" s="13">
        <f t="shared" si="303"/>
        <v>1670</v>
      </c>
      <c r="V111" s="13">
        <f>SUM(V95:V110)</f>
        <v>3398</v>
      </c>
      <c r="W111" s="13">
        <f>SUM(W95:W110)</f>
        <v>3837</v>
      </c>
      <c r="X111" s="13">
        <f>SUM(X95:X110)</f>
        <v>3877</v>
      </c>
      <c r="Y111" s="13">
        <f>SUM(Y95:Y110)</f>
        <v>4237</v>
      </c>
      <c r="Z111" s="13">
        <f>SUM(Z95:Z110)</f>
        <v>4267</v>
      </c>
      <c r="AA111" s="13">
        <f>SUM(AA95:AA110)</f>
        <v>4603</v>
      </c>
      <c r="AB111" s="13">
        <f>SUM(AB95:AB110)</f>
        <v>4699</v>
      </c>
      <c r="AC111" s="13">
        <f>SUM(AC95:AC110)</f>
        <v>4841</v>
      </c>
      <c r="AD111" s="13">
        <f>SUM(AD95:AD110)</f>
        <v>5444</v>
      </c>
      <c r="AE111" s="13">
        <f>SUM(AE95:AE110)</f>
        <v>5437</v>
      </c>
      <c r="AF111" s="39"/>
      <c r="AG111" s="69">
        <f>SUM(AE111/AA111)-1</f>
        <v>0.18118618292417987</v>
      </c>
    </row>
    <row r="112" spans="2:33" ht="12.75" customHeight="1">
      <c r="B112" s="49"/>
      <c r="C112" s="57"/>
      <c r="D112" s="57"/>
      <c r="E112" s="57"/>
      <c r="F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6"/>
    </row>
    <row r="113" spans="2:33" ht="12.75" customHeight="1">
      <c r="B113" s="112" t="s">
        <v>51</v>
      </c>
      <c r="C113" s="54"/>
      <c r="D113" s="54"/>
      <c r="E113" s="54"/>
      <c r="F113" s="54"/>
      <c r="H113" s="76"/>
      <c r="I113" s="76"/>
      <c r="J113" s="76"/>
      <c r="K113" s="30"/>
      <c r="L113" s="76"/>
      <c r="M113" s="76"/>
      <c r="N113" s="76"/>
      <c r="O113" s="30"/>
      <c r="P113" s="76"/>
      <c r="Q113" s="76"/>
      <c r="R113" s="76"/>
      <c r="S113" s="76"/>
      <c r="T113" s="76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5"/>
      <c r="AG113" s="36"/>
    </row>
    <row r="114" spans="2:33" ht="12.75" customHeight="1">
      <c r="B114" s="56" t="s">
        <v>155</v>
      </c>
      <c r="C114" s="76">
        <v>-550</v>
      </c>
      <c r="D114" s="76">
        <v>-694</v>
      </c>
      <c r="E114" s="76">
        <v>-852</v>
      </c>
      <c r="F114" s="76">
        <v>-868</v>
      </c>
      <c r="G114" s="30"/>
      <c r="H114" s="76">
        <v>-165</v>
      </c>
      <c r="I114" s="76">
        <f>-297-H114</f>
        <v>-132</v>
      </c>
      <c r="J114" s="76">
        <f>-433-I114-H114</f>
        <v>-136</v>
      </c>
      <c r="K114" s="30">
        <f t="shared" ref="K114" si="304">SUM(D114-SUM(H114:J114))</f>
        <v>-261</v>
      </c>
      <c r="L114" s="76">
        <v>-135</v>
      </c>
      <c r="M114" s="76">
        <f>-397-L114</f>
        <v>-262</v>
      </c>
      <c r="N114" s="76">
        <f>-599-M114-L114</f>
        <v>-202</v>
      </c>
      <c r="O114" s="30">
        <f t="shared" ref="O114" si="305">SUM(E114-SUM(L114:N114))</f>
        <v>-253</v>
      </c>
      <c r="P114" s="76">
        <v>-205</v>
      </c>
      <c r="Q114" s="76">
        <f>-395-P114</f>
        <v>-190</v>
      </c>
      <c r="R114" s="76">
        <f>-630-Q114-P114</f>
        <v>-235</v>
      </c>
      <c r="S114" s="30">
        <f t="shared" ref="S114" si="306">SUM(F114-SUM(P114:R114))</f>
        <v>-238</v>
      </c>
      <c r="T114" s="76">
        <v>-141</v>
      </c>
      <c r="U114" s="30"/>
      <c r="V114" s="30">
        <f t="shared" ref="V114:V123" si="307">SUM(H114:K114)</f>
        <v>-694</v>
      </c>
      <c r="W114" s="30">
        <f t="shared" ref="W114:W123" si="308">SUM(I114:L114)</f>
        <v>-664</v>
      </c>
      <c r="X114" s="30">
        <f t="shared" ref="X114:X123" si="309">SUM(J114:M114)</f>
        <v>-794</v>
      </c>
      <c r="Y114" s="30">
        <f t="shared" ref="Y114:Y123" si="310">SUM(K114:N114)</f>
        <v>-860</v>
      </c>
      <c r="Z114" s="30">
        <f t="shared" ref="Z114:Z123" si="311">SUM(L114:O114)</f>
        <v>-852</v>
      </c>
      <c r="AA114" s="30">
        <f t="shared" ref="AA114:AA123" si="312">SUM(M114:P114)</f>
        <v>-922</v>
      </c>
      <c r="AB114" s="30">
        <f t="shared" ref="AB114:AB123" si="313">SUM(N114:Q114)</f>
        <v>-850</v>
      </c>
      <c r="AC114" s="30">
        <f t="shared" ref="AC114:AC123" si="314">SUM(O114:R114)</f>
        <v>-883</v>
      </c>
      <c r="AD114" s="30">
        <f t="shared" ref="AD114:AD123" si="315">SUM(P114:S114)</f>
        <v>-868</v>
      </c>
      <c r="AE114" s="30">
        <f t="shared" ref="AE114:AE123" si="316">SUM(Q114:T114)</f>
        <v>-804</v>
      </c>
      <c r="AF114" s="55"/>
      <c r="AG114" s="68">
        <f t="shared" ref="AG114" si="317">SUM(AE114/AA114)-1</f>
        <v>-0.12798264642082424</v>
      </c>
    </row>
    <row r="115" spans="2:33" ht="12.75" customHeight="1">
      <c r="B115" s="56" t="s">
        <v>156</v>
      </c>
      <c r="C115" s="76">
        <v>-91</v>
      </c>
      <c r="D115" s="76">
        <v>-279</v>
      </c>
      <c r="E115" s="76">
        <v>-113</v>
      </c>
      <c r="F115" s="76">
        <v>-1084</v>
      </c>
      <c r="G115" s="30"/>
      <c r="H115" s="76">
        <v>0</v>
      </c>
      <c r="I115" s="76">
        <v>0</v>
      </c>
      <c r="J115" s="76">
        <f>-279-I115-H115</f>
        <v>-279</v>
      </c>
      <c r="K115" s="30">
        <f t="shared" ref="K115:K122" si="318">SUM(D115-SUM(H115:J115))</f>
        <v>0</v>
      </c>
      <c r="L115" s="76">
        <v>-10</v>
      </c>
      <c r="M115" s="76">
        <f>-41-L115</f>
        <v>-31</v>
      </c>
      <c r="N115" s="76">
        <f>-82-M115-L115</f>
        <v>-41</v>
      </c>
      <c r="O115" s="30">
        <f t="shared" ref="O115:O122" si="319">SUM(E115-SUM(L115:N115))</f>
        <v>-31</v>
      </c>
      <c r="P115" s="76">
        <v>-18</v>
      </c>
      <c r="Q115" s="76">
        <f>-76-P115</f>
        <v>-58</v>
      </c>
      <c r="R115" s="76">
        <f>-215-Q115-P115</f>
        <v>-139</v>
      </c>
      <c r="S115" s="30">
        <f t="shared" ref="S115:S122" si="320">SUM(F115-SUM(P115:R115))</f>
        <v>-869</v>
      </c>
      <c r="T115" s="76">
        <v>-1325</v>
      </c>
      <c r="U115" s="30"/>
      <c r="V115" s="30">
        <f t="shared" si="307"/>
        <v>-279</v>
      </c>
      <c r="W115" s="30">
        <f t="shared" si="308"/>
        <v>-289</v>
      </c>
      <c r="X115" s="30">
        <f t="shared" si="309"/>
        <v>-320</v>
      </c>
      <c r="Y115" s="30">
        <f t="shared" si="310"/>
        <v>-82</v>
      </c>
      <c r="Z115" s="30">
        <f t="shared" si="311"/>
        <v>-113</v>
      </c>
      <c r="AA115" s="30">
        <f t="shared" si="312"/>
        <v>-121</v>
      </c>
      <c r="AB115" s="30">
        <f t="shared" si="313"/>
        <v>-148</v>
      </c>
      <c r="AC115" s="30">
        <f t="shared" si="314"/>
        <v>-246</v>
      </c>
      <c r="AD115" s="30">
        <f t="shared" si="315"/>
        <v>-1084</v>
      </c>
      <c r="AE115" s="30">
        <f t="shared" si="316"/>
        <v>-2391</v>
      </c>
      <c r="AF115" s="55"/>
      <c r="AG115" s="68">
        <f t="shared" ref="AG115:AG122" si="321">SUM(AE115/AA115)-1</f>
        <v>18.760330578512395</v>
      </c>
    </row>
    <row r="116" spans="2:33" ht="12.75" customHeight="1">
      <c r="B116" s="56" t="s">
        <v>157</v>
      </c>
      <c r="C116" s="76">
        <v>0</v>
      </c>
      <c r="D116" s="76">
        <v>-3</v>
      </c>
      <c r="E116" s="76">
        <v>-40</v>
      </c>
      <c r="F116" s="76">
        <v>-43</v>
      </c>
      <c r="G116" s="30"/>
      <c r="H116" s="76">
        <v>0</v>
      </c>
      <c r="I116" s="76">
        <v>0</v>
      </c>
      <c r="J116" s="76">
        <f>-3-I116-H116</f>
        <v>-3</v>
      </c>
      <c r="K116" s="30">
        <f t="shared" si="318"/>
        <v>0</v>
      </c>
      <c r="L116" s="76">
        <v>-21</v>
      </c>
      <c r="M116" s="76">
        <f>-30-L116</f>
        <v>-9</v>
      </c>
      <c r="N116" s="76">
        <f>-30-M116-L116</f>
        <v>0</v>
      </c>
      <c r="O116" s="30">
        <f t="shared" si="319"/>
        <v>-10</v>
      </c>
      <c r="P116" s="76">
        <v>-34</v>
      </c>
      <c r="Q116" s="76">
        <f>-34-P116</f>
        <v>0</v>
      </c>
      <c r="R116" s="76">
        <f>-43-Q116-P116</f>
        <v>-9</v>
      </c>
      <c r="S116" s="30">
        <f t="shared" si="320"/>
        <v>0</v>
      </c>
      <c r="T116" s="76">
        <v>0</v>
      </c>
      <c r="U116" s="30"/>
      <c r="V116" s="30">
        <f t="shared" ref="V116:V122" si="322">SUM(H116:K116)</f>
        <v>-3</v>
      </c>
      <c r="W116" s="30">
        <f t="shared" ref="W116:W122" si="323">SUM(I116:L116)</f>
        <v>-24</v>
      </c>
      <c r="X116" s="30">
        <f t="shared" ref="X116:X122" si="324">SUM(J116:M116)</f>
        <v>-33</v>
      </c>
      <c r="Y116" s="30">
        <f t="shared" ref="Y116:Y122" si="325">SUM(K116:N116)</f>
        <v>-30</v>
      </c>
      <c r="Z116" s="30">
        <f t="shared" ref="Z116:Z122" si="326">SUM(L116:O116)</f>
        <v>-40</v>
      </c>
      <c r="AA116" s="30">
        <f t="shared" ref="AA116:AA122" si="327">SUM(M116:P116)</f>
        <v>-53</v>
      </c>
      <c r="AB116" s="30">
        <f t="shared" ref="AB116:AB122" si="328">SUM(N116:Q116)</f>
        <v>-44</v>
      </c>
      <c r="AC116" s="30">
        <f t="shared" ref="AC116:AC122" si="329">SUM(O116:R116)</f>
        <v>-53</v>
      </c>
      <c r="AD116" s="30">
        <f t="shared" ref="AD116:AD122" si="330">SUM(P116:S116)</f>
        <v>-43</v>
      </c>
      <c r="AE116" s="30">
        <f t="shared" ref="AE116:AE122" si="331">SUM(Q116:T116)</f>
        <v>-9</v>
      </c>
      <c r="AF116" s="55"/>
      <c r="AG116" s="68">
        <f t="shared" si="321"/>
        <v>-0.83018867924528306</v>
      </c>
    </row>
    <row r="117" spans="2:33" ht="12.75" customHeight="1">
      <c r="B117" s="56" t="s">
        <v>158</v>
      </c>
      <c r="C117" s="76">
        <v>-4038</v>
      </c>
      <c r="D117" s="76">
        <v>0</v>
      </c>
      <c r="E117" s="76">
        <v>0</v>
      </c>
      <c r="F117" s="76">
        <v>0</v>
      </c>
      <c r="G117" s="30"/>
      <c r="H117" s="76">
        <v>-1222</v>
      </c>
      <c r="I117" s="76">
        <f>-2821-H117</f>
        <v>-1599</v>
      </c>
      <c r="J117" s="76">
        <f>-3805-I117-H117</f>
        <v>-984</v>
      </c>
      <c r="K117" s="30">
        <f t="shared" ref="K117" si="332">SUM(D117-SUM(H117:J117))</f>
        <v>3805</v>
      </c>
      <c r="L117" s="76">
        <v>-1605</v>
      </c>
      <c r="M117" s="76">
        <f>-2660-L117</f>
        <v>-1055</v>
      </c>
      <c r="N117" s="76">
        <f>0-M117-L117</f>
        <v>2660</v>
      </c>
      <c r="O117" s="30">
        <f t="shared" ref="O117" si="333">SUM(E117-SUM(L117:N117))</f>
        <v>0</v>
      </c>
      <c r="P117" s="76">
        <v>0</v>
      </c>
      <c r="Q117" s="76">
        <f>-2322-P117</f>
        <v>-2322</v>
      </c>
      <c r="R117" s="76">
        <f>0-Q117-P117</f>
        <v>2322</v>
      </c>
      <c r="S117" s="30">
        <f t="shared" ref="S117" si="334">SUM(F117-SUM(P117:R117))</f>
        <v>0</v>
      </c>
      <c r="T117" s="76">
        <v>0</v>
      </c>
      <c r="U117" s="30"/>
      <c r="V117" s="30">
        <f t="shared" ref="V117" si="335">SUM(H117:K117)</f>
        <v>0</v>
      </c>
      <c r="W117" s="30">
        <f t="shared" ref="W117" si="336">SUM(I117:L117)</f>
        <v>-383</v>
      </c>
      <c r="X117" s="30">
        <f t="shared" ref="X117" si="337">SUM(J117:M117)</f>
        <v>161</v>
      </c>
      <c r="Y117" s="30">
        <f t="shared" ref="Y117" si="338">SUM(K117:N117)</f>
        <v>3805</v>
      </c>
      <c r="Z117" s="30">
        <f t="shared" ref="Z117" si="339">SUM(L117:O117)</f>
        <v>0</v>
      </c>
      <c r="AA117" s="30">
        <f t="shared" ref="AA117" si="340">SUM(M117:P117)</f>
        <v>1605</v>
      </c>
      <c r="AB117" s="30">
        <f t="shared" ref="AB117" si="341">SUM(N117:Q117)</f>
        <v>338</v>
      </c>
      <c r="AC117" s="30">
        <f t="shared" ref="AC117" si="342">SUM(O117:R117)</f>
        <v>0</v>
      </c>
      <c r="AD117" s="30">
        <f t="shared" ref="AD117" si="343">SUM(P117:S117)</f>
        <v>0</v>
      </c>
      <c r="AE117" s="30">
        <f t="shared" ref="AE117" si="344">SUM(Q117:T117)</f>
        <v>0</v>
      </c>
      <c r="AF117" s="55"/>
      <c r="AG117" s="68">
        <f t="shared" ref="AG117" si="345">SUM(AE117/AA117)-1</f>
        <v>-1</v>
      </c>
    </row>
    <row r="118" spans="2:33" ht="12.75" customHeight="1">
      <c r="B118" s="56" t="s">
        <v>159</v>
      </c>
      <c r="C118" s="76">
        <v>0</v>
      </c>
      <c r="D118" s="76">
        <v>-75</v>
      </c>
      <c r="E118" s="76">
        <v>-181</v>
      </c>
      <c r="F118" s="76">
        <v>-1056</v>
      </c>
      <c r="G118" s="30"/>
      <c r="H118" s="76">
        <v>0</v>
      </c>
      <c r="I118" s="76">
        <v>0</v>
      </c>
      <c r="J118" s="76">
        <v>0</v>
      </c>
      <c r="K118" s="30">
        <f t="shared" si="318"/>
        <v>-75</v>
      </c>
      <c r="L118" s="76">
        <v>0</v>
      </c>
      <c r="M118" s="76">
        <v>0</v>
      </c>
      <c r="N118" s="76">
        <f>-149-M118-L118</f>
        <v>-149</v>
      </c>
      <c r="O118" s="30">
        <f t="shared" si="319"/>
        <v>-32</v>
      </c>
      <c r="P118" s="76">
        <v>-4</v>
      </c>
      <c r="Q118" s="76">
        <f>0-P118</f>
        <v>4</v>
      </c>
      <c r="R118" s="76">
        <f>-1020-Q118-P118</f>
        <v>-1020</v>
      </c>
      <c r="S118" s="30">
        <f t="shared" si="320"/>
        <v>-36</v>
      </c>
      <c r="T118" s="76">
        <v>-121</v>
      </c>
      <c r="U118" s="30"/>
      <c r="V118" s="30">
        <f t="shared" si="322"/>
        <v>-75</v>
      </c>
      <c r="W118" s="30">
        <f t="shared" si="323"/>
        <v>-75</v>
      </c>
      <c r="X118" s="30">
        <f t="shared" si="324"/>
        <v>-75</v>
      </c>
      <c r="Y118" s="30">
        <f t="shared" si="325"/>
        <v>-224</v>
      </c>
      <c r="Z118" s="30">
        <f t="shared" si="326"/>
        <v>-181</v>
      </c>
      <c r="AA118" s="30">
        <f t="shared" si="327"/>
        <v>-185</v>
      </c>
      <c r="AB118" s="30">
        <f t="shared" si="328"/>
        <v>-181</v>
      </c>
      <c r="AC118" s="30">
        <f t="shared" si="329"/>
        <v>-1052</v>
      </c>
      <c r="AD118" s="30">
        <f t="shared" si="330"/>
        <v>-1056</v>
      </c>
      <c r="AE118" s="30">
        <f t="shared" si="331"/>
        <v>-1173</v>
      </c>
      <c r="AF118" s="55"/>
      <c r="AG118" s="68">
        <f t="shared" si="321"/>
        <v>5.3405405405405402</v>
      </c>
    </row>
    <row r="119" spans="2:33" ht="12.75" customHeight="1">
      <c r="B119" s="56" t="s">
        <v>163</v>
      </c>
      <c r="C119" s="76">
        <v>2245</v>
      </c>
      <c r="D119" s="76">
        <v>0</v>
      </c>
      <c r="E119" s="76">
        <v>0</v>
      </c>
      <c r="F119" s="76">
        <v>0</v>
      </c>
      <c r="G119" s="30"/>
      <c r="H119" s="76">
        <v>880</v>
      </c>
      <c r="I119" s="76">
        <f>1953-H119</f>
        <v>1073</v>
      </c>
      <c r="J119" s="76">
        <f>2868-I119-H119</f>
        <v>915</v>
      </c>
      <c r="K119" s="30">
        <f t="shared" si="318"/>
        <v>-2868</v>
      </c>
      <c r="L119" s="76">
        <v>1073</v>
      </c>
      <c r="M119" s="76">
        <f>2113-L119</f>
        <v>1040</v>
      </c>
      <c r="N119" s="76">
        <f>0-M119-L119</f>
        <v>-2113</v>
      </c>
      <c r="O119" s="30">
        <f t="shared" si="319"/>
        <v>0</v>
      </c>
      <c r="P119" s="76">
        <v>0</v>
      </c>
      <c r="Q119" s="76">
        <f>2281-P119</f>
        <v>2281</v>
      </c>
      <c r="R119" s="76">
        <f>0-Q119-P119</f>
        <v>-2281</v>
      </c>
      <c r="S119" s="30">
        <f t="shared" si="320"/>
        <v>0</v>
      </c>
      <c r="T119" s="76">
        <v>0</v>
      </c>
      <c r="U119" s="30"/>
      <c r="V119" s="30">
        <f t="shared" si="322"/>
        <v>0</v>
      </c>
      <c r="W119" s="30">
        <f t="shared" si="323"/>
        <v>193</v>
      </c>
      <c r="X119" s="30">
        <f t="shared" si="324"/>
        <v>160</v>
      </c>
      <c r="Y119" s="30">
        <f t="shared" si="325"/>
        <v>-2868</v>
      </c>
      <c r="Z119" s="30">
        <f t="shared" si="326"/>
        <v>0</v>
      </c>
      <c r="AA119" s="30">
        <f t="shared" si="327"/>
        <v>-1073</v>
      </c>
      <c r="AB119" s="30">
        <f t="shared" si="328"/>
        <v>168</v>
      </c>
      <c r="AC119" s="30">
        <f t="shared" si="329"/>
        <v>0</v>
      </c>
      <c r="AD119" s="30">
        <f t="shared" si="330"/>
        <v>0</v>
      </c>
      <c r="AE119" s="30">
        <f t="shared" si="331"/>
        <v>0</v>
      </c>
      <c r="AF119" s="55"/>
      <c r="AG119" s="68">
        <f t="shared" si="321"/>
        <v>-1</v>
      </c>
    </row>
    <row r="120" spans="2:33" ht="12.75" customHeight="1">
      <c r="B120" s="56" t="s">
        <v>162</v>
      </c>
      <c r="C120" s="76">
        <v>-167</v>
      </c>
      <c r="D120" s="76">
        <v>0</v>
      </c>
      <c r="E120" s="76">
        <v>0</v>
      </c>
      <c r="F120" s="76">
        <v>0</v>
      </c>
      <c r="G120" s="30"/>
      <c r="H120" s="76">
        <v>-30</v>
      </c>
      <c r="I120" s="76">
        <f>-46-H120</f>
        <v>-16</v>
      </c>
      <c r="J120" s="76">
        <f>-56-I120-H120</f>
        <v>-10</v>
      </c>
      <c r="K120" s="30">
        <f t="shared" si="318"/>
        <v>56</v>
      </c>
      <c r="L120" s="76">
        <v>-42</v>
      </c>
      <c r="M120" s="76">
        <f>-88-L120</f>
        <v>-46</v>
      </c>
      <c r="N120" s="76">
        <f>0-M120-L120</f>
        <v>88</v>
      </c>
      <c r="O120" s="30">
        <f t="shared" si="319"/>
        <v>0</v>
      </c>
      <c r="P120" s="76">
        <v>0</v>
      </c>
      <c r="Q120" s="76">
        <f>-138-P120</f>
        <v>-138</v>
      </c>
      <c r="R120" s="76">
        <f>0-Q120-P120</f>
        <v>138</v>
      </c>
      <c r="S120" s="30">
        <f t="shared" si="320"/>
        <v>0</v>
      </c>
      <c r="T120" s="76">
        <v>0</v>
      </c>
      <c r="U120" s="30"/>
      <c r="V120" s="30">
        <f t="shared" si="322"/>
        <v>0</v>
      </c>
      <c r="W120" s="30">
        <f t="shared" si="323"/>
        <v>-12</v>
      </c>
      <c r="X120" s="30">
        <f t="shared" si="324"/>
        <v>-42</v>
      </c>
      <c r="Y120" s="30">
        <f t="shared" si="325"/>
        <v>56</v>
      </c>
      <c r="Z120" s="30">
        <f t="shared" si="326"/>
        <v>0</v>
      </c>
      <c r="AA120" s="30">
        <f t="shared" si="327"/>
        <v>42</v>
      </c>
      <c r="AB120" s="30">
        <f t="shared" si="328"/>
        <v>-50</v>
      </c>
      <c r="AC120" s="30">
        <f t="shared" si="329"/>
        <v>0</v>
      </c>
      <c r="AD120" s="30">
        <f t="shared" si="330"/>
        <v>0</v>
      </c>
      <c r="AE120" s="30">
        <f t="shared" si="331"/>
        <v>0</v>
      </c>
      <c r="AF120" s="55"/>
      <c r="AG120" s="68">
        <f t="shared" si="321"/>
        <v>-1</v>
      </c>
    </row>
    <row r="121" spans="2:33" ht="12.75" customHeight="1">
      <c r="B121" s="56" t="s">
        <v>160</v>
      </c>
      <c r="C121" s="76">
        <v>0</v>
      </c>
      <c r="D121" s="76">
        <v>-4634</v>
      </c>
      <c r="E121" s="76">
        <v>-5031</v>
      </c>
      <c r="F121" s="76">
        <v>-2814</v>
      </c>
      <c r="G121" s="30"/>
      <c r="H121" s="76">
        <v>0</v>
      </c>
      <c r="I121" s="76">
        <v>0</v>
      </c>
      <c r="J121" s="76">
        <v>0</v>
      </c>
      <c r="K121" s="30">
        <f t="shared" si="318"/>
        <v>-4634</v>
      </c>
      <c r="L121" s="76">
        <v>0</v>
      </c>
      <c r="M121" s="76">
        <v>0</v>
      </c>
      <c r="N121" s="76">
        <f>-3952-M121-L121</f>
        <v>-3952</v>
      </c>
      <c r="O121" s="30">
        <f t="shared" si="319"/>
        <v>-1079</v>
      </c>
      <c r="P121" s="76">
        <v>-1140</v>
      </c>
      <c r="Q121" s="76">
        <f>0-P121</f>
        <v>1140</v>
      </c>
      <c r="R121" s="76">
        <f>-2719-Q121-P121</f>
        <v>-2719</v>
      </c>
      <c r="S121" s="30">
        <f t="shared" si="320"/>
        <v>-95</v>
      </c>
      <c r="T121" s="76">
        <v>-31</v>
      </c>
      <c r="U121" s="30"/>
      <c r="V121" s="30">
        <f t="shared" si="322"/>
        <v>-4634</v>
      </c>
      <c r="W121" s="30">
        <f t="shared" si="323"/>
        <v>-4634</v>
      </c>
      <c r="X121" s="30">
        <f t="shared" si="324"/>
        <v>-4634</v>
      </c>
      <c r="Y121" s="30">
        <f t="shared" si="325"/>
        <v>-8586</v>
      </c>
      <c r="Z121" s="30">
        <f t="shared" si="326"/>
        <v>-5031</v>
      </c>
      <c r="AA121" s="30">
        <f t="shared" si="327"/>
        <v>-6171</v>
      </c>
      <c r="AB121" s="30">
        <f t="shared" si="328"/>
        <v>-5031</v>
      </c>
      <c r="AC121" s="30">
        <f t="shared" si="329"/>
        <v>-3798</v>
      </c>
      <c r="AD121" s="30">
        <f t="shared" si="330"/>
        <v>-2814</v>
      </c>
      <c r="AE121" s="30">
        <f t="shared" si="331"/>
        <v>-1705</v>
      </c>
      <c r="AF121" s="55"/>
      <c r="AG121" s="68">
        <f t="shared" si="321"/>
        <v>-0.7237076648841354</v>
      </c>
    </row>
    <row r="122" spans="2:33" ht="12.75" customHeight="1">
      <c r="B122" s="56" t="s">
        <v>161</v>
      </c>
      <c r="C122" s="76">
        <v>0</v>
      </c>
      <c r="D122" s="76">
        <v>3522</v>
      </c>
      <c r="E122" s="76">
        <v>3752</v>
      </c>
      <c r="F122" s="76">
        <v>4138</v>
      </c>
      <c r="G122" s="30"/>
      <c r="H122" s="76">
        <v>0</v>
      </c>
      <c r="I122" s="76">
        <v>0</v>
      </c>
      <c r="J122" s="76">
        <v>0</v>
      </c>
      <c r="K122" s="30">
        <f t="shared" si="318"/>
        <v>3522</v>
      </c>
      <c r="L122" s="76">
        <v>0</v>
      </c>
      <c r="M122" s="76">
        <v>0</v>
      </c>
      <c r="N122" s="76">
        <f>3024-M122-L122</f>
        <v>3024</v>
      </c>
      <c r="O122" s="30">
        <f t="shared" si="319"/>
        <v>728</v>
      </c>
      <c r="P122" s="76">
        <v>1181</v>
      </c>
      <c r="Q122" s="76">
        <f>0-P122</f>
        <v>-1181</v>
      </c>
      <c r="R122" s="76">
        <f>3410-Q122-P122</f>
        <v>3410</v>
      </c>
      <c r="S122" s="30">
        <f t="shared" si="320"/>
        <v>728</v>
      </c>
      <c r="T122" s="76">
        <v>1139</v>
      </c>
      <c r="U122" s="30"/>
      <c r="V122" s="30">
        <f t="shared" si="322"/>
        <v>3522</v>
      </c>
      <c r="W122" s="30">
        <f t="shared" si="323"/>
        <v>3522</v>
      </c>
      <c r="X122" s="30">
        <f t="shared" si="324"/>
        <v>3522</v>
      </c>
      <c r="Y122" s="30">
        <f t="shared" si="325"/>
        <v>6546</v>
      </c>
      <c r="Z122" s="30">
        <f t="shared" si="326"/>
        <v>3752</v>
      </c>
      <c r="AA122" s="30">
        <f t="shared" si="327"/>
        <v>4933</v>
      </c>
      <c r="AB122" s="30">
        <f t="shared" si="328"/>
        <v>3752</v>
      </c>
      <c r="AC122" s="30">
        <f t="shared" si="329"/>
        <v>4138</v>
      </c>
      <c r="AD122" s="30">
        <f t="shared" si="330"/>
        <v>4138</v>
      </c>
      <c r="AE122" s="30">
        <f t="shared" si="331"/>
        <v>4096</v>
      </c>
      <c r="AF122" s="55"/>
      <c r="AG122" s="68">
        <f t="shared" si="321"/>
        <v>-0.16967362659639162</v>
      </c>
    </row>
    <row r="123" spans="2:33" ht="12.75" customHeight="1">
      <c r="B123" s="56" t="s">
        <v>150</v>
      </c>
      <c r="C123" s="76">
        <v>18</v>
      </c>
      <c r="D123" s="76">
        <v>-4</v>
      </c>
      <c r="E123" s="76">
        <v>-36</v>
      </c>
      <c r="F123" s="76">
        <v>38</v>
      </c>
      <c r="G123" s="30"/>
      <c r="H123" s="76">
        <v>13</v>
      </c>
      <c r="I123" s="76">
        <f>13-H123</f>
        <v>0</v>
      </c>
      <c r="J123" s="76">
        <f>-15-I123-H123</f>
        <v>-28</v>
      </c>
      <c r="K123" s="30">
        <f t="shared" ref="K123" si="346">SUM(D123-SUM(H123:J123))</f>
        <v>11</v>
      </c>
      <c r="L123" s="76">
        <v>6</v>
      </c>
      <c r="M123" s="76">
        <f>-2-L123</f>
        <v>-8</v>
      </c>
      <c r="N123" s="76">
        <f>25-M123-L123</f>
        <v>27</v>
      </c>
      <c r="O123" s="30">
        <f t="shared" ref="O123" si="347">SUM(E123-SUM(L123:N123))</f>
        <v>-61</v>
      </c>
      <c r="P123" s="76">
        <v>3</v>
      </c>
      <c r="Q123" s="76">
        <f>44-P123</f>
        <v>41</v>
      </c>
      <c r="R123" s="76">
        <f>26-Q123-P123</f>
        <v>-18</v>
      </c>
      <c r="S123" s="30">
        <f t="shared" ref="S123" si="348">SUM(F123-SUM(P123:R123))</f>
        <v>12</v>
      </c>
      <c r="T123" s="76">
        <v>28</v>
      </c>
      <c r="U123" s="30"/>
      <c r="V123" s="30">
        <f t="shared" si="307"/>
        <v>-4</v>
      </c>
      <c r="W123" s="30">
        <f t="shared" si="308"/>
        <v>-11</v>
      </c>
      <c r="X123" s="30">
        <f t="shared" si="309"/>
        <v>-19</v>
      </c>
      <c r="Y123" s="30">
        <f t="shared" si="310"/>
        <v>36</v>
      </c>
      <c r="Z123" s="30">
        <f t="shared" si="311"/>
        <v>-36</v>
      </c>
      <c r="AA123" s="30">
        <f t="shared" si="312"/>
        <v>-39</v>
      </c>
      <c r="AB123" s="30">
        <f t="shared" si="313"/>
        <v>10</v>
      </c>
      <c r="AC123" s="30">
        <f t="shared" si="314"/>
        <v>-35</v>
      </c>
      <c r="AD123" s="30">
        <f t="shared" si="315"/>
        <v>38</v>
      </c>
      <c r="AE123" s="30">
        <f t="shared" si="316"/>
        <v>63</v>
      </c>
      <c r="AF123" s="55"/>
      <c r="AG123" s="68">
        <f t="shared" ref="AG123" si="349">SUM(AE123/AA123)-1</f>
        <v>-2.6153846153846154</v>
      </c>
    </row>
    <row r="124" spans="2:33" ht="12.75" customHeight="1">
      <c r="B124" s="12" t="s">
        <v>52</v>
      </c>
      <c r="C124" s="13">
        <f>SUM(C114:C123)</f>
        <v>-2583</v>
      </c>
      <c r="D124" s="13">
        <f>SUM(D114:D123)</f>
        <v>-2167</v>
      </c>
      <c r="E124" s="13">
        <f>SUM(E114:E123)</f>
        <v>-2501</v>
      </c>
      <c r="F124" s="13">
        <f>SUM(F114:F123)</f>
        <v>-1689</v>
      </c>
      <c r="H124" s="13">
        <f>SUM(H114:H123)</f>
        <v>-524</v>
      </c>
      <c r="I124" s="13">
        <f>SUM(I114:I123)</f>
        <v>-674</v>
      </c>
      <c r="J124" s="13">
        <f>SUM(J114:J123)</f>
        <v>-525</v>
      </c>
      <c r="K124" s="13">
        <f>SUM(K114:K123)</f>
        <v>-444</v>
      </c>
      <c r="L124" s="13">
        <f>SUM(L114:L123)</f>
        <v>-734</v>
      </c>
      <c r="M124" s="13">
        <f>SUM(M114:M123)</f>
        <v>-371</v>
      </c>
      <c r="N124" s="13">
        <f>SUM(N114:N123)</f>
        <v>-658</v>
      </c>
      <c r="O124" s="13">
        <f>SUM(O114:O123)</f>
        <v>-738</v>
      </c>
      <c r="P124" s="13">
        <f>SUM(P114:P123)</f>
        <v>-217</v>
      </c>
      <c r="Q124" s="13">
        <f>SUM(Q114:Q123)</f>
        <v>-423</v>
      </c>
      <c r="R124" s="13">
        <f>SUM(R114:R123)</f>
        <v>-551</v>
      </c>
      <c r="S124" s="13">
        <f>SUM(S114:S123)</f>
        <v>-498</v>
      </c>
      <c r="T124" s="13">
        <f>SUM(T114:T123)</f>
        <v>-451</v>
      </c>
      <c r="V124" s="13">
        <f>SUM(V114:V123)</f>
        <v>-2167</v>
      </c>
      <c r="W124" s="13">
        <f>SUM(W114:W123)</f>
        <v>-2377</v>
      </c>
      <c r="X124" s="13">
        <f>SUM(X114:X123)</f>
        <v>-2074</v>
      </c>
      <c r="Y124" s="13">
        <f>SUM(Y114:Y123)</f>
        <v>-2207</v>
      </c>
      <c r="Z124" s="13">
        <f>SUM(Z114:Z123)</f>
        <v>-2501</v>
      </c>
      <c r="AA124" s="13">
        <f>SUM(AA114:AA123)</f>
        <v>-1984</v>
      </c>
      <c r="AB124" s="13">
        <f>SUM(AB114:AB123)</f>
        <v>-2036</v>
      </c>
      <c r="AC124" s="13">
        <f>SUM(AC114:AC123)</f>
        <v>-1929</v>
      </c>
      <c r="AD124" s="13">
        <f>SUM(AD114:AD123)</f>
        <v>-1689</v>
      </c>
      <c r="AE124" s="13">
        <f>SUM(AE114:AE123)</f>
        <v>-1923</v>
      </c>
      <c r="AF124" s="39"/>
      <c r="AG124" s="69">
        <f>SUM(AE124/AA124)-1</f>
        <v>-3.0745967741935498E-2</v>
      </c>
    </row>
    <row r="125" spans="2:33" ht="5.0999999999999996" customHeight="1">
      <c r="B125" s="48"/>
      <c r="C125" s="57"/>
      <c r="D125" s="57"/>
      <c r="E125" s="57"/>
      <c r="F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6"/>
    </row>
    <row r="126" spans="2:33" ht="12.75" customHeight="1">
      <c r="B126" s="112" t="s">
        <v>53</v>
      </c>
      <c r="C126" s="58"/>
      <c r="D126" s="58"/>
      <c r="E126" s="58"/>
      <c r="F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59"/>
      <c r="AG126" s="36"/>
    </row>
    <row r="127" spans="2:33" ht="12.75" customHeight="1">
      <c r="B127" s="77" t="s">
        <v>164</v>
      </c>
      <c r="C127" s="76">
        <v>-94</v>
      </c>
      <c r="D127" s="76">
        <v>0</v>
      </c>
      <c r="E127" s="76">
        <v>0</v>
      </c>
      <c r="F127" s="76">
        <v>0</v>
      </c>
      <c r="H127" s="76">
        <v>0</v>
      </c>
      <c r="I127" s="76">
        <v>0</v>
      </c>
      <c r="J127" s="76">
        <v>0</v>
      </c>
      <c r="K127" s="30">
        <f t="shared" ref="K127:K128" si="350">SUM(D127-SUM(H127:J127))</f>
        <v>0</v>
      </c>
      <c r="L127" s="76">
        <v>0</v>
      </c>
      <c r="M127" s="76">
        <v>0</v>
      </c>
      <c r="N127" s="76">
        <v>0</v>
      </c>
      <c r="O127" s="30">
        <f t="shared" ref="O127:O128" si="351">SUM(E127-SUM(L127:N127))</f>
        <v>0</v>
      </c>
      <c r="P127" s="76">
        <v>0</v>
      </c>
      <c r="Q127" s="76">
        <v>0</v>
      </c>
      <c r="R127" s="76">
        <v>0</v>
      </c>
      <c r="S127" s="30">
        <f t="shared" ref="S127:S128" si="352">SUM(F127-SUM(P127:R127))</f>
        <v>0</v>
      </c>
      <c r="T127" s="76">
        <v>0</v>
      </c>
      <c r="U127" s="30"/>
      <c r="V127" s="30">
        <f t="shared" ref="V127:V131" si="353">SUM(H127:K127)</f>
        <v>0</v>
      </c>
      <c r="W127" s="30">
        <f t="shared" ref="W127:W131" si="354">SUM(I127:L127)</f>
        <v>0</v>
      </c>
      <c r="X127" s="30">
        <f t="shared" ref="X127:X131" si="355">SUM(J127:M127)</f>
        <v>0</v>
      </c>
      <c r="Y127" s="30">
        <f t="shared" ref="Y127:Y131" si="356">SUM(K127:N127)</f>
        <v>0</v>
      </c>
      <c r="Z127" s="30">
        <f t="shared" ref="Z127:Z131" si="357">SUM(L127:O127)</f>
        <v>0</v>
      </c>
      <c r="AA127" s="30">
        <f t="shared" ref="AA127:AA131" si="358">SUM(M127:P127)</f>
        <v>0</v>
      </c>
      <c r="AB127" s="30">
        <f t="shared" ref="AB127:AB131" si="359">SUM(N127:Q127)</f>
        <v>0</v>
      </c>
      <c r="AC127" s="30">
        <f t="shared" ref="AC127:AC131" si="360">SUM(O127:R127)</f>
        <v>0</v>
      </c>
      <c r="AD127" s="30">
        <f t="shared" ref="AD127:AD131" si="361">SUM(P127:S127)</f>
        <v>0</v>
      </c>
      <c r="AE127" s="30">
        <f t="shared" ref="AE127:AE131" si="362">SUM(Q127:T127)</f>
        <v>0</v>
      </c>
      <c r="AF127" s="59"/>
      <c r="AG127" s="68" t="e">
        <f t="shared" ref="AG127" si="363">SUM(AE127/AA127)-1</f>
        <v>#DIV/0!</v>
      </c>
    </row>
    <row r="128" spans="2:33" ht="12.75" customHeight="1">
      <c r="B128" s="56" t="s">
        <v>165</v>
      </c>
      <c r="C128" s="76">
        <v>177</v>
      </c>
      <c r="D128" s="76">
        <v>194</v>
      </c>
      <c r="E128" s="76">
        <v>237</v>
      </c>
      <c r="F128" s="76">
        <v>270</v>
      </c>
      <c r="G128" s="30"/>
      <c r="H128" s="76">
        <v>117</v>
      </c>
      <c r="I128" s="76">
        <f>117-H128</f>
        <v>0</v>
      </c>
      <c r="J128" s="76">
        <f>193-I128-H128</f>
        <v>76</v>
      </c>
      <c r="K128" s="30">
        <f t="shared" si="350"/>
        <v>1</v>
      </c>
      <c r="L128" s="76">
        <v>131</v>
      </c>
      <c r="M128" s="76">
        <f>131-L128</f>
        <v>0</v>
      </c>
      <c r="N128" s="76">
        <f>237-M128-L128</f>
        <v>106</v>
      </c>
      <c r="O128" s="30">
        <f t="shared" si="351"/>
        <v>0</v>
      </c>
      <c r="P128" s="76">
        <v>153</v>
      </c>
      <c r="Q128" s="76">
        <f>153-P128</f>
        <v>0</v>
      </c>
      <c r="R128" s="76">
        <f>270-Q128-P128</f>
        <v>117</v>
      </c>
      <c r="S128" s="30">
        <f t="shared" si="352"/>
        <v>0</v>
      </c>
      <c r="T128" s="76">
        <v>153</v>
      </c>
      <c r="U128" s="30"/>
      <c r="V128" s="30">
        <f t="shared" si="353"/>
        <v>194</v>
      </c>
      <c r="W128" s="30">
        <f t="shared" si="354"/>
        <v>208</v>
      </c>
      <c r="X128" s="30">
        <f t="shared" si="355"/>
        <v>208</v>
      </c>
      <c r="Y128" s="30">
        <f t="shared" si="356"/>
        <v>238</v>
      </c>
      <c r="Z128" s="30">
        <f t="shared" si="357"/>
        <v>237</v>
      </c>
      <c r="AA128" s="30">
        <f t="shared" si="358"/>
        <v>259</v>
      </c>
      <c r="AB128" s="30">
        <f t="shared" si="359"/>
        <v>259</v>
      </c>
      <c r="AC128" s="30">
        <f t="shared" si="360"/>
        <v>270</v>
      </c>
      <c r="AD128" s="30">
        <f t="shared" si="361"/>
        <v>270</v>
      </c>
      <c r="AE128" s="30">
        <f t="shared" si="362"/>
        <v>270</v>
      </c>
      <c r="AF128" s="55"/>
      <c r="AG128" s="68">
        <f t="shared" ref="AG128" si="364">SUM(AE128/AA128)-1</f>
        <v>4.2471042471042386E-2</v>
      </c>
    </row>
    <row r="129" spans="2:33" ht="12.75" customHeight="1">
      <c r="B129" s="56" t="s">
        <v>166</v>
      </c>
      <c r="C129" s="76">
        <v>0</v>
      </c>
      <c r="D129" s="76">
        <v>-538</v>
      </c>
      <c r="E129" s="76">
        <v>-696</v>
      </c>
      <c r="F129" s="76">
        <v>-1840</v>
      </c>
      <c r="G129" s="30"/>
      <c r="H129" s="76">
        <v>0</v>
      </c>
      <c r="I129" s="76">
        <v>0</v>
      </c>
      <c r="J129" s="76">
        <f>-282-I129-H129</f>
        <v>-282</v>
      </c>
      <c r="K129" s="30">
        <f t="shared" ref="K129:K131" si="365">SUM(D129-SUM(H129:J129))</f>
        <v>-256</v>
      </c>
      <c r="L129" s="76">
        <v>-175</v>
      </c>
      <c r="M129" s="76">
        <f>-175-L129</f>
        <v>0</v>
      </c>
      <c r="N129" s="76">
        <f>-400-M129-L129</f>
        <v>-225</v>
      </c>
      <c r="O129" s="30">
        <f t="shared" ref="O129:O131" si="366">SUM(E129-SUM(L129:N129))</f>
        <v>-296</v>
      </c>
      <c r="P129" s="76">
        <v>-298</v>
      </c>
      <c r="Q129" s="76">
        <f>-659-P129</f>
        <v>-361</v>
      </c>
      <c r="R129" s="76">
        <f>-1243-Q129-P129</f>
        <v>-584</v>
      </c>
      <c r="S129" s="30">
        <f t="shared" ref="S129:S131" si="367">SUM(F129-SUM(P129:R129))</f>
        <v>-597</v>
      </c>
      <c r="T129" s="76">
        <v>-2225</v>
      </c>
      <c r="U129" s="30"/>
      <c r="V129" s="30">
        <f t="shared" si="353"/>
        <v>-538</v>
      </c>
      <c r="W129" s="30">
        <f t="shared" si="354"/>
        <v>-713</v>
      </c>
      <c r="X129" s="30">
        <f t="shared" si="355"/>
        <v>-713</v>
      </c>
      <c r="Y129" s="30">
        <f t="shared" si="356"/>
        <v>-656</v>
      </c>
      <c r="Z129" s="30">
        <f t="shared" si="357"/>
        <v>-696</v>
      </c>
      <c r="AA129" s="30">
        <f t="shared" si="358"/>
        <v>-819</v>
      </c>
      <c r="AB129" s="30">
        <f t="shared" si="359"/>
        <v>-1180</v>
      </c>
      <c r="AC129" s="30">
        <f t="shared" si="360"/>
        <v>-1539</v>
      </c>
      <c r="AD129" s="30">
        <f t="shared" si="361"/>
        <v>-1840</v>
      </c>
      <c r="AE129" s="30">
        <f t="shared" si="362"/>
        <v>-3767</v>
      </c>
      <c r="AF129" s="55"/>
      <c r="AG129" s="68">
        <f t="shared" ref="AG129:AG131" si="368">SUM(AE129/AA129)-1</f>
        <v>3.5995115995115992</v>
      </c>
    </row>
    <row r="130" spans="2:33" ht="12.75" customHeight="1">
      <c r="B130" s="56" t="s">
        <v>167</v>
      </c>
      <c r="C130" s="76">
        <v>-427</v>
      </c>
      <c r="D130" s="76">
        <v>-459</v>
      </c>
      <c r="E130" s="76">
        <v>-700</v>
      </c>
      <c r="F130" s="76">
        <v>-770</v>
      </c>
      <c r="G130" s="30"/>
      <c r="H130" s="76">
        <v>-112</v>
      </c>
      <c r="I130" s="76">
        <f>-206-H130</f>
        <v>-94</v>
      </c>
      <c r="J130" s="76">
        <f>-333-I130-H130</f>
        <v>-127</v>
      </c>
      <c r="K130" s="30">
        <f t="shared" si="365"/>
        <v>-126</v>
      </c>
      <c r="L130" s="76">
        <v>-215</v>
      </c>
      <c r="M130" s="76">
        <f>-352-L130</f>
        <v>-137</v>
      </c>
      <c r="N130" s="76">
        <f>-525-M130-L130</f>
        <v>-173</v>
      </c>
      <c r="O130" s="30">
        <f t="shared" si="366"/>
        <v>-175</v>
      </c>
      <c r="P130" s="76">
        <v>-253</v>
      </c>
      <c r="Q130" s="76">
        <f>-438-P130</f>
        <v>-185</v>
      </c>
      <c r="R130" s="76">
        <f>-628-Q130-P130</f>
        <v>-190</v>
      </c>
      <c r="S130" s="30">
        <f t="shared" si="367"/>
        <v>-142</v>
      </c>
      <c r="T130" s="76">
        <v>-164</v>
      </c>
      <c r="U130" s="30"/>
      <c r="V130" s="30">
        <f t="shared" si="353"/>
        <v>-459</v>
      </c>
      <c r="W130" s="30">
        <f t="shared" si="354"/>
        <v>-562</v>
      </c>
      <c r="X130" s="30">
        <f t="shared" si="355"/>
        <v>-605</v>
      </c>
      <c r="Y130" s="30">
        <f t="shared" si="356"/>
        <v>-651</v>
      </c>
      <c r="Z130" s="30">
        <f t="shared" si="357"/>
        <v>-700</v>
      </c>
      <c r="AA130" s="30">
        <f t="shared" si="358"/>
        <v>-738</v>
      </c>
      <c r="AB130" s="30">
        <f t="shared" si="359"/>
        <v>-786</v>
      </c>
      <c r="AC130" s="30">
        <f t="shared" si="360"/>
        <v>-803</v>
      </c>
      <c r="AD130" s="30">
        <f t="shared" si="361"/>
        <v>-770</v>
      </c>
      <c r="AE130" s="30">
        <f t="shared" si="362"/>
        <v>-681</v>
      </c>
      <c r="AF130" s="55"/>
      <c r="AG130" s="68">
        <f t="shared" si="368"/>
        <v>-7.7235772357723609E-2</v>
      </c>
    </row>
    <row r="131" spans="2:33" ht="12.75" customHeight="1">
      <c r="B131" s="56" t="s">
        <v>168</v>
      </c>
      <c r="C131" s="76">
        <v>0</v>
      </c>
      <c r="D131" s="76">
        <v>0</v>
      </c>
      <c r="E131" s="76">
        <v>-184</v>
      </c>
      <c r="F131" s="76">
        <v>0</v>
      </c>
      <c r="G131" s="30"/>
      <c r="H131" s="76">
        <v>0</v>
      </c>
      <c r="I131" s="76">
        <v>0</v>
      </c>
      <c r="J131" s="76">
        <v>0</v>
      </c>
      <c r="K131" s="30">
        <f t="shared" si="365"/>
        <v>0</v>
      </c>
      <c r="L131" s="76">
        <v>-184</v>
      </c>
      <c r="M131" s="76">
        <f>-184-L131</f>
        <v>0</v>
      </c>
      <c r="N131" s="76">
        <f>-184-M131-L131</f>
        <v>0</v>
      </c>
      <c r="O131" s="30">
        <f t="shared" si="366"/>
        <v>0</v>
      </c>
      <c r="P131" s="76">
        <v>0</v>
      </c>
      <c r="Q131" s="76">
        <v>0</v>
      </c>
      <c r="R131" s="76">
        <v>0</v>
      </c>
      <c r="S131" s="30">
        <f t="shared" si="367"/>
        <v>0</v>
      </c>
      <c r="T131" s="76">
        <v>0</v>
      </c>
      <c r="U131" s="30"/>
      <c r="V131" s="30">
        <f t="shared" si="353"/>
        <v>0</v>
      </c>
      <c r="W131" s="30">
        <f t="shared" si="354"/>
        <v>-184</v>
      </c>
      <c r="X131" s="30">
        <f t="shared" si="355"/>
        <v>-184</v>
      </c>
      <c r="Y131" s="30">
        <f t="shared" si="356"/>
        <v>-184</v>
      </c>
      <c r="Z131" s="30">
        <f t="shared" si="357"/>
        <v>-184</v>
      </c>
      <c r="AA131" s="30">
        <f t="shared" si="358"/>
        <v>0</v>
      </c>
      <c r="AB131" s="30">
        <f t="shared" si="359"/>
        <v>0</v>
      </c>
      <c r="AC131" s="30">
        <f t="shared" si="360"/>
        <v>0</v>
      </c>
      <c r="AD131" s="30">
        <f t="shared" si="361"/>
        <v>0</v>
      </c>
      <c r="AE131" s="30">
        <f t="shared" si="362"/>
        <v>0</v>
      </c>
      <c r="AF131" s="55"/>
      <c r="AG131" s="68" t="e">
        <f t="shared" si="368"/>
        <v>#DIV/0!</v>
      </c>
    </row>
    <row r="132" spans="2:33" ht="12.75" customHeight="1">
      <c r="B132" s="12" t="s">
        <v>54</v>
      </c>
      <c r="C132" s="13">
        <f>SUM(C127:C131)</f>
        <v>-344</v>
      </c>
      <c r="D132" s="13">
        <f>SUM(D127:D131)</f>
        <v>-803</v>
      </c>
      <c r="E132" s="13">
        <f>SUM(E127:E131)</f>
        <v>-1343</v>
      </c>
      <c r="F132" s="13">
        <f>SUM(F127:F131)</f>
        <v>-2340</v>
      </c>
      <c r="H132" s="13">
        <f>SUM(H127:H131)</f>
        <v>5</v>
      </c>
      <c r="I132" s="13">
        <f>SUM(I127:I131)</f>
        <v>-94</v>
      </c>
      <c r="J132" s="13">
        <f>SUM(J127:J131)</f>
        <v>-333</v>
      </c>
      <c r="K132" s="13">
        <f>SUM(K127:K131)</f>
        <v>-381</v>
      </c>
      <c r="L132" s="13">
        <f>SUM(L127:L131)</f>
        <v>-443</v>
      </c>
      <c r="M132" s="13">
        <f>SUM(M127:M131)</f>
        <v>-137</v>
      </c>
      <c r="N132" s="13">
        <f>SUM(N127:N131)</f>
        <v>-292</v>
      </c>
      <c r="O132" s="13">
        <f>SUM(O127:O131)</f>
        <v>-471</v>
      </c>
      <c r="P132" s="13">
        <f>SUM(P127:P131)</f>
        <v>-398</v>
      </c>
      <c r="Q132" s="13">
        <f>SUM(Q127:Q131)</f>
        <v>-546</v>
      </c>
      <c r="R132" s="13">
        <f>SUM(R127:R131)</f>
        <v>-657</v>
      </c>
      <c r="S132" s="13">
        <f>SUM(S127:S131)</f>
        <v>-739</v>
      </c>
      <c r="T132" s="13">
        <f>SUM(T127:T131)</f>
        <v>-2236</v>
      </c>
      <c r="V132" s="13">
        <f>SUM(V127:V131)</f>
        <v>-803</v>
      </c>
      <c r="W132" s="13">
        <f>SUM(W127:W131)</f>
        <v>-1251</v>
      </c>
      <c r="X132" s="13">
        <f>SUM(X127:X131)</f>
        <v>-1294</v>
      </c>
      <c r="Y132" s="13">
        <f>SUM(Y127:Y131)</f>
        <v>-1253</v>
      </c>
      <c r="Z132" s="13">
        <f>SUM(Z127:Z131)</f>
        <v>-1343</v>
      </c>
      <c r="AA132" s="13">
        <f>SUM(AA127:AA131)</f>
        <v>-1298</v>
      </c>
      <c r="AB132" s="13">
        <f>SUM(AB127:AB131)</f>
        <v>-1707</v>
      </c>
      <c r="AC132" s="13">
        <f>SUM(AC127:AC131)</f>
        <v>-2072</v>
      </c>
      <c r="AD132" s="13">
        <f>SUM(AD127:AD131)</f>
        <v>-2340</v>
      </c>
      <c r="AE132" s="13">
        <f>SUM(AE127:AE131)</f>
        <v>-4178</v>
      </c>
      <c r="AF132" s="39"/>
      <c r="AG132" s="69">
        <f>SUM(AE132/AA132)-1</f>
        <v>2.2187981510015407</v>
      </c>
    </row>
    <row r="133" spans="2:33" ht="5.0999999999999996" customHeight="1">
      <c r="B133" s="8"/>
      <c r="C133" s="60"/>
      <c r="D133" s="60"/>
      <c r="E133" s="60"/>
      <c r="F133" s="60"/>
      <c r="G133" s="3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42"/>
    </row>
    <row r="134" spans="2:33" ht="5.0999999999999996" customHeight="1">
      <c r="B134" s="65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11"/>
      <c r="AG134" s="42"/>
    </row>
    <row r="135" spans="2:33">
      <c r="B135" s="137" t="s">
        <v>87</v>
      </c>
      <c r="C135" s="149">
        <v>1728</v>
      </c>
      <c r="D135" s="143">
        <f t="shared" ref="C135:E135" si="369">C142</f>
        <v>1470</v>
      </c>
      <c r="E135" s="143">
        <f t="shared" si="369"/>
        <v>1897</v>
      </c>
      <c r="F135" s="143">
        <f t="shared" ref="F135" si="370">E142</f>
        <v>2304</v>
      </c>
      <c r="G135" s="143"/>
      <c r="H135" s="143">
        <f>D135</f>
        <v>1470</v>
      </c>
      <c r="I135" s="143">
        <f t="shared" ref="I135:Q135" si="371">H142</f>
        <v>1852</v>
      </c>
      <c r="J135" s="143">
        <f t="shared" si="371"/>
        <v>1663</v>
      </c>
      <c r="K135" s="143">
        <f t="shared" si="371"/>
        <v>1112</v>
      </c>
      <c r="L135" s="143">
        <f t="shared" si="371"/>
        <v>1897</v>
      </c>
      <c r="M135" s="143">
        <f t="shared" si="371"/>
        <v>2056</v>
      </c>
      <c r="N135" s="143">
        <f t="shared" si="371"/>
        <v>2159</v>
      </c>
      <c r="O135" s="143">
        <f t="shared" si="371"/>
        <v>1885</v>
      </c>
      <c r="P135" s="143">
        <f t="shared" si="371"/>
        <v>2304</v>
      </c>
      <c r="Q135" s="143">
        <f t="shared" si="371"/>
        <v>3369</v>
      </c>
      <c r="R135" s="143">
        <f t="shared" ref="R135:T135" si="372">Q142</f>
        <v>3124</v>
      </c>
      <c r="S135" s="143">
        <f t="shared" ref="S135" si="373">R142</f>
        <v>2725</v>
      </c>
      <c r="T135" s="143">
        <f t="shared" si="372"/>
        <v>3726</v>
      </c>
      <c r="U135" s="143"/>
      <c r="V135" s="143">
        <f>K135</f>
        <v>1112</v>
      </c>
      <c r="W135" s="143">
        <f t="shared" ref="W135:AE135" si="374">V142</f>
        <v>1897</v>
      </c>
      <c r="X135" s="143">
        <f t="shared" si="374"/>
        <v>2056</v>
      </c>
      <c r="Y135" s="143">
        <f t="shared" si="374"/>
        <v>2159</v>
      </c>
      <c r="Z135" s="143">
        <f t="shared" si="374"/>
        <v>1885</v>
      </c>
      <c r="AA135" s="143">
        <f t="shared" si="374"/>
        <v>2304</v>
      </c>
      <c r="AB135" s="143">
        <f t="shared" si="374"/>
        <v>3369</v>
      </c>
      <c r="AC135" s="143">
        <f t="shared" si="374"/>
        <v>3124</v>
      </c>
      <c r="AD135" s="143">
        <f t="shared" si="374"/>
        <v>2725</v>
      </c>
      <c r="AE135" s="144">
        <f t="shared" si="374"/>
        <v>3726</v>
      </c>
      <c r="AF135" s="11"/>
      <c r="AG135" s="42"/>
    </row>
    <row r="136" spans="2:33">
      <c r="B136" s="138" t="s">
        <v>84</v>
      </c>
      <c r="C136" s="76">
        <v>4</v>
      </c>
      <c r="D136" s="30">
        <f t="shared" ref="D136:E136" si="375">-C140</f>
        <v>5</v>
      </c>
      <c r="E136" s="30">
        <f t="shared" si="375"/>
        <v>7</v>
      </c>
      <c r="F136" s="30">
        <f t="shared" ref="F136" si="376">-E140</f>
        <v>6</v>
      </c>
      <c r="G136" s="30"/>
      <c r="H136" s="30">
        <f>D136</f>
        <v>5</v>
      </c>
      <c r="I136" s="30">
        <f>-H140</f>
        <v>7</v>
      </c>
      <c r="J136" s="30">
        <f t="shared" ref="J136:Q136" si="377">-I140</f>
        <v>7</v>
      </c>
      <c r="K136" s="30">
        <f t="shared" si="377"/>
        <v>7</v>
      </c>
      <c r="L136" s="30">
        <f t="shared" si="377"/>
        <v>7</v>
      </c>
      <c r="M136" s="30">
        <f t="shared" si="377"/>
        <v>8</v>
      </c>
      <c r="N136" s="30">
        <f t="shared" si="377"/>
        <v>8</v>
      </c>
      <c r="O136" s="30">
        <f t="shared" si="377"/>
        <v>8</v>
      </c>
      <c r="P136" s="30">
        <f t="shared" si="377"/>
        <v>6</v>
      </c>
      <c r="Q136" s="30">
        <f t="shared" si="377"/>
        <v>8</v>
      </c>
      <c r="R136" s="30">
        <f t="shared" ref="R136:S136" si="378">-Q140</f>
        <v>9</v>
      </c>
      <c r="S136" s="30">
        <f t="shared" si="378"/>
        <v>9</v>
      </c>
      <c r="T136" s="30">
        <f t="shared" ref="T136" si="379">-S140</f>
        <v>6</v>
      </c>
      <c r="U136" s="30"/>
      <c r="V136" s="30">
        <f>K136</f>
        <v>7</v>
      </c>
      <c r="W136" s="30">
        <f t="shared" ref="W136:AE136" si="380">-V140</f>
        <v>7</v>
      </c>
      <c r="X136" s="30">
        <f t="shared" si="380"/>
        <v>8</v>
      </c>
      <c r="Y136" s="30">
        <f t="shared" si="380"/>
        <v>8</v>
      </c>
      <c r="Z136" s="30">
        <f t="shared" si="380"/>
        <v>8</v>
      </c>
      <c r="AA136" s="30">
        <f t="shared" si="380"/>
        <v>6</v>
      </c>
      <c r="AB136" s="30">
        <f t="shared" si="380"/>
        <v>8</v>
      </c>
      <c r="AC136" s="30">
        <f t="shared" si="380"/>
        <v>9</v>
      </c>
      <c r="AD136" s="30">
        <f t="shared" si="380"/>
        <v>9</v>
      </c>
      <c r="AE136" s="133">
        <f t="shared" si="380"/>
        <v>6</v>
      </c>
      <c r="AF136" s="11"/>
      <c r="AG136" s="42"/>
    </row>
    <row r="137" spans="2:33">
      <c r="B137" s="139" t="s">
        <v>68</v>
      </c>
      <c r="C137" s="113">
        <f t="shared" ref="C137:E137" si="381">SUM(C135:C136)</f>
        <v>1732</v>
      </c>
      <c r="D137" s="113">
        <f t="shared" si="381"/>
        <v>1475</v>
      </c>
      <c r="E137" s="113">
        <f t="shared" si="381"/>
        <v>1904</v>
      </c>
      <c r="F137" s="113">
        <f t="shared" ref="F137" si="382">SUM(F135:F136)</f>
        <v>2310</v>
      </c>
      <c r="G137" s="30"/>
      <c r="H137" s="113">
        <f t="shared" ref="H137:Q137" si="383">SUM(H135:H136)</f>
        <v>1475</v>
      </c>
      <c r="I137" s="113">
        <f t="shared" si="383"/>
        <v>1859</v>
      </c>
      <c r="J137" s="113">
        <f t="shared" si="383"/>
        <v>1670</v>
      </c>
      <c r="K137" s="113">
        <f t="shared" si="383"/>
        <v>1119</v>
      </c>
      <c r="L137" s="113">
        <f t="shared" si="383"/>
        <v>1904</v>
      </c>
      <c r="M137" s="113">
        <f t="shared" si="383"/>
        <v>2064</v>
      </c>
      <c r="N137" s="113">
        <f t="shared" si="383"/>
        <v>2167</v>
      </c>
      <c r="O137" s="113">
        <f t="shared" si="383"/>
        <v>1893</v>
      </c>
      <c r="P137" s="113">
        <f t="shared" si="383"/>
        <v>2310</v>
      </c>
      <c r="Q137" s="113">
        <f t="shared" si="383"/>
        <v>3377</v>
      </c>
      <c r="R137" s="113">
        <f t="shared" ref="R137:S137" si="384">SUM(R135:R136)</f>
        <v>3133</v>
      </c>
      <c r="S137" s="113">
        <f t="shared" si="384"/>
        <v>2734</v>
      </c>
      <c r="T137" s="113">
        <f t="shared" ref="T137" si="385">SUM(T135:T136)</f>
        <v>3732</v>
      </c>
      <c r="U137" s="30"/>
      <c r="V137" s="113">
        <f t="shared" ref="V137:Z137" si="386">SUM(V135:V136)</f>
        <v>1119</v>
      </c>
      <c r="W137" s="113">
        <f t="shared" si="386"/>
        <v>1904</v>
      </c>
      <c r="X137" s="113">
        <f t="shared" si="386"/>
        <v>2064</v>
      </c>
      <c r="Y137" s="113">
        <f t="shared" si="386"/>
        <v>2167</v>
      </c>
      <c r="Z137" s="113">
        <f t="shared" si="386"/>
        <v>1893</v>
      </c>
      <c r="AA137" s="113">
        <f t="shared" ref="AA137" si="387">SUM(AA135:AA136)</f>
        <v>2310</v>
      </c>
      <c r="AB137" s="113">
        <f t="shared" ref="AB137" si="388">SUM(AB135:AB136)</f>
        <v>3377</v>
      </c>
      <c r="AC137" s="113">
        <f t="shared" ref="AC137" si="389">SUM(AC135:AC136)</f>
        <v>3133</v>
      </c>
      <c r="AD137" s="113">
        <f t="shared" ref="AD137" si="390">SUM(AD135:AD136)</f>
        <v>2734</v>
      </c>
      <c r="AE137" s="134">
        <f t="shared" ref="AE137" si="391">SUM(AE135:AE136)</f>
        <v>3732</v>
      </c>
      <c r="AF137" s="11"/>
      <c r="AG137" s="42"/>
    </row>
    <row r="138" spans="2:33" ht="5.0999999999999996" customHeight="1">
      <c r="B138" s="14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133"/>
      <c r="AF138" s="11"/>
      <c r="AG138" s="42"/>
    </row>
    <row r="139" spans="2:33">
      <c r="B139" s="138" t="s">
        <v>85</v>
      </c>
      <c r="C139" s="76">
        <v>-53</v>
      </c>
      <c r="D139" s="76">
        <v>1</v>
      </c>
      <c r="E139" s="76">
        <v>-17</v>
      </c>
      <c r="F139" s="76">
        <v>7</v>
      </c>
      <c r="G139" s="30"/>
      <c r="H139" s="76">
        <v>1</v>
      </c>
      <c r="I139" s="76">
        <f>0-H139</f>
        <v>-1</v>
      </c>
      <c r="J139" s="76">
        <f>-4-I139-H139</f>
        <v>-4</v>
      </c>
      <c r="K139" s="30">
        <f>SUM(D139-SUM(H139:J139))</f>
        <v>5</v>
      </c>
      <c r="L139" s="76">
        <v>-4</v>
      </c>
      <c r="M139" s="76">
        <f>-13-L139</f>
        <v>-9</v>
      </c>
      <c r="N139" s="76">
        <f>-8-M139-L139</f>
        <v>5</v>
      </c>
      <c r="O139" s="30">
        <f>SUM(E139-SUM(L139:N139))</f>
        <v>-9</v>
      </c>
      <c r="P139" s="76">
        <v>5</v>
      </c>
      <c r="Q139" s="76">
        <f>14-P139</f>
        <v>9</v>
      </c>
      <c r="R139" s="76">
        <f>10-Q139-P139</f>
        <v>-4</v>
      </c>
      <c r="S139" s="30">
        <f t="shared" ref="S139" si="392">SUM(F139-SUM(P139:R139))</f>
        <v>-3</v>
      </c>
      <c r="T139" s="76">
        <v>-5</v>
      </c>
      <c r="U139" s="30"/>
      <c r="V139" s="30">
        <f t="shared" ref="V139:AD141" si="393">K139</f>
        <v>5</v>
      </c>
      <c r="W139" s="30">
        <f t="shared" si="393"/>
        <v>-4</v>
      </c>
      <c r="X139" s="30">
        <f t="shared" si="393"/>
        <v>-9</v>
      </c>
      <c r="Y139" s="30">
        <f t="shared" si="393"/>
        <v>5</v>
      </c>
      <c r="Z139" s="30">
        <f t="shared" si="393"/>
        <v>-9</v>
      </c>
      <c r="AA139" s="30">
        <f t="shared" si="393"/>
        <v>5</v>
      </c>
      <c r="AB139" s="30">
        <f t="shared" si="393"/>
        <v>9</v>
      </c>
      <c r="AC139" s="30">
        <f t="shared" si="393"/>
        <v>-4</v>
      </c>
      <c r="AD139" s="30">
        <f t="shared" si="393"/>
        <v>-3</v>
      </c>
      <c r="AE139" s="133">
        <f>T139</f>
        <v>-5</v>
      </c>
      <c r="AF139" s="11"/>
      <c r="AG139" s="42"/>
    </row>
    <row r="140" spans="2:33">
      <c r="B140" s="138" t="s">
        <v>86</v>
      </c>
      <c r="C140" s="76">
        <v>-5</v>
      </c>
      <c r="D140" s="76">
        <v>-7</v>
      </c>
      <c r="E140" s="76">
        <v>-6</v>
      </c>
      <c r="F140" s="76">
        <v>-6</v>
      </c>
      <c r="G140" s="30"/>
      <c r="H140" s="76">
        <v>-7</v>
      </c>
      <c r="I140" s="76">
        <v>-7</v>
      </c>
      <c r="J140" s="76">
        <v>-7</v>
      </c>
      <c r="K140" s="30">
        <f>D140</f>
        <v>-7</v>
      </c>
      <c r="L140" s="76">
        <v>-8</v>
      </c>
      <c r="M140" s="76">
        <v>-8</v>
      </c>
      <c r="N140" s="76">
        <v>-8</v>
      </c>
      <c r="O140" s="30">
        <f>E140</f>
        <v>-6</v>
      </c>
      <c r="P140" s="76">
        <v>-8</v>
      </c>
      <c r="Q140" s="76">
        <v>-9</v>
      </c>
      <c r="R140" s="76">
        <v>-9</v>
      </c>
      <c r="S140" s="30">
        <f>F140</f>
        <v>-6</v>
      </c>
      <c r="T140" s="76">
        <v>-8</v>
      </c>
      <c r="U140" s="30"/>
      <c r="V140" s="30">
        <f t="shared" si="393"/>
        <v>-7</v>
      </c>
      <c r="W140" s="30">
        <f t="shared" si="393"/>
        <v>-8</v>
      </c>
      <c r="X140" s="30">
        <f t="shared" si="393"/>
        <v>-8</v>
      </c>
      <c r="Y140" s="30">
        <f t="shared" si="393"/>
        <v>-8</v>
      </c>
      <c r="Z140" s="30">
        <f t="shared" si="393"/>
        <v>-6</v>
      </c>
      <c r="AA140" s="30">
        <f t="shared" si="393"/>
        <v>-8</v>
      </c>
      <c r="AB140" s="30">
        <f t="shared" si="393"/>
        <v>-9</v>
      </c>
      <c r="AC140" s="30">
        <f t="shared" si="393"/>
        <v>-9</v>
      </c>
      <c r="AD140" s="30">
        <f t="shared" si="393"/>
        <v>-6</v>
      </c>
      <c r="AE140" s="133">
        <f>T140</f>
        <v>-8</v>
      </c>
      <c r="AF140" s="11"/>
      <c r="AG140" s="42"/>
    </row>
    <row r="141" spans="2:33">
      <c r="B141" s="138" t="s">
        <v>58</v>
      </c>
      <c r="C141" s="30">
        <f>+C132+C124+C111</f>
        <v>-204</v>
      </c>
      <c r="D141" s="30">
        <f>+D132+D124+D111</f>
        <v>428</v>
      </c>
      <c r="E141" s="30">
        <f>+E132+E124+E111</f>
        <v>423</v>
      </c>
      <c r="F141" s="30">
        <f>+F132+F124+F111</f>
        <v>1415</v>
      </c>
      <c r="G141" s="30"/>
      <c r="H141" s="30">
        <f>+H132+H124+H111</f>
        <v>383</v>
      </c>
      <c r="I141" s="30">
        <f>+I132+I124+I111</f>
        <v>-188</v>
      </c>
      <c r="J141" s="30">
        <f>+J132+J124+J111</f>
        <v>-547</v>
      </c>
      <c r="K141" s="30">
        <f>+K132+K124+K111</f>
        <v>780</v>
      </c>
      <c r="L141" s="30">
        <f>+L132+L124+L111</f>
        <v>164</v>
      </c>
      <c r="M141" s="30">
        <f>+M132+M124+M111</f>
        <v>112</v>
      </c>
      <c r="N141" s="30">
        <f>+N132+N124+N111</f>
        <v>-279</v>
      </c>
      <c r="O141" s="30">
        <f>+O132+O124+O111</f>
        <v>426</v>
      </c>
      <c r="P141" s="30">
        <f>+P132+P124+P111</f>
        <v>1062</v>
      </c>
      <c r="Q141" s="30">
        <f>+Q132+Q124+Q111</f>
        <v>-253</v>
      </c>
      <c r="R141" s="30">
        <f>+R132+R124+R111</f>
        <v>-395</v>
      </c>
      <c r="S141" s="30">
        <f>+S132+S124+S111</f>
        <v>1001</v>
      </c>
      <c r="T141" s="30">
        <f>+T132+T124+T111</f>
        <v>-1017</v>
      </c>
      <c r="U141" s="30"/>
      <c r="V141" s="30">
        <f t="shared" si="393"/>
        <v>780</v>
      </c>
      <c r="W141" s="30">
        <f t="shared" si="393"/>
        <v>164</v>
      </c>
      <c r="X141" s="30">
        <f t="shared" si="393"/>
        <v>112</v>
      </c>
      <c r="Y141" s="30">
        <f t="shared" si="393"/>
        <v>-279</v>
      </c>
      <c r="Z141" s="30">
        <f t="shared" si="393"/>
        <v>426</v>
      </c>
      <c r="AA141" s="30">
        <f t="shared" si="393"/>
        <v>1062</v>
      </c>
      <c r="AB141" s="30">
        <f t="shared" si="393"/>
        <v>-253</v>
      </c>
      <c r="AC141" s="30">
        <f t="shared" si="393"/>
        <v>-395</v>
      </c>
      <c r="AD141" s="30">
        <f t="shared" si="393"/>
        <v>1001</v>
      </c>
      <c r="AE141" s="133">
        <f>T141</f>
        <v>-1017</v>
      </c>
      <c r="AF141" s="11"/>
      <c r="AG141" s="42"/>
    </row>
    <row r="142" spans="2:33">
      <c r="B142" s="139" t="s">
        <v>69</v>
      </c>
      <c r="C142" s="113">
        <f t="shared" ref="C142:E142" si="394">SUM(C137:C141)</f>
        <v>1470</v>
      </c>
      <c r="D142" s="113">
        <f t="shared" si="394"/>
        <v>1897</v>
      </c>
      <c r="E142" s="113">
        <f t="shared" si="394"/>
        <v>2304</v>
      </c>
      <c r="F142" s="113">
        <f t="shared" ref="F142:Q142" si="395">SUM(F137:F141)</f>
        <v>3726</v>
      </c>
      <c r="G142" s="30"/>
      <c r="H142" s="113">
        <f t="shared" si="395"/>
        <v>1852</v>
      </c>
      <c r="I142" s="113">
        <f t="shared" si="395"/>
        <v>1663</v>
      </c>
      <c r="J142" s="113">
        <f t="shared" si="395"/>
        <v>1112</v>
      </c>
      <c r="K142" s="113">
        <f t="shared" si="395"/>
        <v>1897</v>
      </c>
      <c r="L142" s="113">
        <f t="shared" si="395"/>
        <v>2056</v>
      </c>
      <c r="M142" s="113">
        <f t="shared" si="395"/>
        <v>2159</v>
      </c>
      <c r="N142" s="113">
        <f t="shared" si="395"/>
        <v>1885</v>
      </c>
      <c r="O142" s="113">
        <f t="shared" si="395"/>
        <v>2304</v>
      </c>
      <c r="P142" s="113">
        <f t="shared" si="395"/>
        <v>3369</v>
      </c>
      <c r="Q142" s="113">
        <f t="shared" si="395"/>
        <v>3124</v>
      </c>
      <c r="R142" s="113">
        <f t="shared" ref="R142:S142" si="396">SUM(R137:R141)</f>
        <v>2725</v>
      </c>
      <c r="S142" s="113">
        <f t="shared" si="396"/>
        <v>3726</v>
      </c>
      <c r="T142" s="113">
        <f t="shared" ref="T142:AE142" si="397">SUM(T137:T141)</f>
        <v>2702</v>
      </c>
      <c r="U142" s="30"/>
      <c r="V142" s="113">
        <f t="shared" si="397"/>
        <v>1897</v>
      </c>
      <c r="W142" s="113">
        <f t="shared" si="397"/>
        <v>2056</v>
      </c>
      <c r="X142" s="113">
        <f t="shared" si="397"/>
        <v>2159</v>
      </c>
      <c r="Y142" s="113">
        <f t="shared" si="397"/>
        <v>1885</v>
      </c>
      <c r="Z142" s="113">
        <f t="shared" si="397"/>
        <v>2304</v>
      </c>
      <c r="AA142" s="113">
        <f t="shared" si="397"/>
        <v>3369</v>
      </c>
      <c r="AB142" s="113">
        <f t="shared" si="397"/>
        <v>3124</v>
      </c>
      <c r="AC142" s="113">
        <f t="shared" si="397"/>
        <v>2725</v>
      </c>
      <c r="AD142" s="113">
        <f t="shared" si="397"/>
        <v>3726</v>
      </c>
      <c r="AE142" s="134">
        <f t="shared" si="397"/>
        <v>2702</v>
      </c>
      <c r="AF142" s="11"/>
      <c r="AG142" s="42"/>
    </row>
    <row r="143" spans="2:33" ht="5.0999999999999996" customHeight="1">
      <c r="B143" s="141"/>
      <c r="C143" s="60"/>
      <c r="D143" s="60"/>
      <c r="E143" s="60"/>
      <c r="F143" s="60"/>
      <c r="G143" s="3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V143" s="11"/>
      <c r="W143" s="11"/>
      <c r="X143" s="11"/>
      <c r="Y143" s="11"/>
      <c r="Z143" s="11"/>
      <c r="AA143" s="11"/>
      <c r="AB143" s="11"/>
      <c r="AC143" s="11"/>
      <c r="AD143" s="11"/>
      <c r="AE143" s="135"/>
      <c r="AF143" s="11"/>
      <c r="AG143" s="42"/>
    </row>
    <row r="144" spans="2:33">
      <c r="B144" s="142" t="s">
        <v>57</v>
      </c>
      <c r="C144" s="131">
        <f>C142-C44</f>
        <v>0</v>
      </c>
      <c r="D144" s="131">
        <f>D142-D44</f>
        <v>0</v>
      </c>
      <c r="E144" s="131">
        <f>E142-E44</f>
        <v>0</v>
      </c>
      <c r="F144" s="131">
        <f>F142-F44</f>
        <v>0</v>
      </c>
      <c r="G144" s="132"/>
      <c r="H144" s="131">
        <f>H142-H44</f>
        <v>0</v>
      </c>
      <c r="I144" s="131">
        <f>I142-I44</f>
        <v>0</v>
      </c>
      <c r="J144" s="131">
        <f>J142-J44</f>
        <v>0</v>
      </c>
      <c r="K144" s="131">
        <f>K142-K44</f>
        <v>0</v>
      </c>
      <c r="L144" s="131">
        <f>L142-L44</f>
        <v>0</v>
      </c>
      <c r="M144" s="131">
        <f>M142-M44</f>
        <v>0</v>
      </c>
      <c r="N144" s="131">
        <f>N142-N44</f>
        <v>0</v>
      </c>
      <c r="O144" s="131">
        <f>O142-O44</f>
        <v>0</v>
      </c>
      <c r="P144" s="131">
        <f>P142-P44</f>
        <v>0</v>
      </c>
      <c r="Q144" s="131">
        <f>Q142-Q44</f>
        <v>0</v>
      </c>
      <c r="R144" s="131">
        <f>R142-R44</f>
        <v>0</v>
      </c>
      <c r="S144" s="131">
        <f>S142-S44</f>
        <v>0</v>
      </c>
      <c r="T144" s="131">
        <f>T142-T44</f>
        <v>0</v>
      </c>
      <c r="U144" s="131"/>
      <c r="V144" s="131">
        <f>V142-V44</f>
        <v>0</v>
      </c>
      <c r="W144" s="131">
        <f>W142-W44</f>
        <v>0</v>
      </c>
      <c r="X144" s="131">
        <f>X142-X44</f>
        <v>0</v>
      </c>
      <c r="Y144" s="131">
        <f>Y142-Y44</f>
        <v>0</v>
      </c>
      <c r="Z144" s="131">
        <f>Z142-Z44</f>
        <v>0</v>
      </c>
      <c r="AA144" s="131">
        <f>AA142-AA44</f>
        <v>0</v>
      </c>
      <c r="AB144" s="131">
        <f>AB142-AB44</f>
        <v>0</v>
      </c>
      <c r="AC144" s="131">
        <f>AC142-AC44</f>
        <v>0</v>
      </c>
      <c r="AD144" s="131">
        <f>AD142-AD44</f>
        <v>0</v>
      </c>
      <c r="AE144" s="136">
        <f>AE142-AE44</f>
        <v>0</v>
      </c>
      <c r="AF144" s="11"/>
      <c r="AG144" s="42"/>
    </row>
    <row r="145" spans="2:33" ht="5.0999999999999996" customHeight="1">
      <c r="B145" s="8"/>
      <c r="C145" s="60"/>
      <c r="D145" s="60"/>
      <c r="E145" s="60"/>
      <c r="F145" s="60"/>
      <c r="G145" s="3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42"/>
    </row>
    <row r="146" spans="2:33">
      <c r="B146" s="112" t="s">
        <v>81</v>
      </c>
      <c r="C146" s="60"/>
      <c r="D146" s="60"/>
      <c r="E146" s="60"/>
      <c r="F146" s="60"/>
      <c r="G146" s="3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42"/>
    </row>
    <row r="147" spans="2:33">
      <c r="B147" s="77" t="s">
        <v>83</v>
      </c>
      <c r="C147" s="60">
        <v>24</v>
      </c>
      <c r="D147" s="60">
        <v>23</v>
      </c>
      <c r="E147" s="60">
        <v>23</v>
      </c>
      <c r="F147" s="60">
        <v>22</v>
      </c>
      <c r="G147" s="30"/>
      <c r="H147" s="76">
        <v>11</v>
      </c>
      <c r="I147" s="76">
        <f>12-H147</f>
        <v>1</v>
      </c>
      <c r="J147" s="76">
        <f>23-I147-H147</f>
        <v>11</v>
      </c>
      <c r="K147" s="30">
        <f>SUM(D147-SUM(H147:J147))</f>
        <v>0</v>
      </c>
      <c r="L147" s="76">
        <v>11</v>
      </c>
      <c r="M147" s="76">
        <f>12-L147</f>
        <v>1</v>
      </c>
      <c r="N147" s="76">
        <f>23-M147-L147</f>
        <v>11</v>
      </c>
      <c r="O147" s="30">
        <f>SUM(E147-SUM(L147:N147))</f>
        <v>0</v>
      </c>
      <c r="P147" s="76">
        <v>11</v>
      </c>
      <c r="Q147" s="76">
        <f>11-P147</f>
        <v>0</v>
      </c>
      <c r="R147" s="76">
        <f>22-Q147-P147</f>
        <v>11</v>
      </c>
      <c r="S147" s="30">
        <f t="shared" ref="S147:S148" si="398">SUM(F147-SUM(P147:R147))</f>
        <v>0</v>
      </c>
      <c r="T147" s="76">
        <v>11</v>
      </c>
      <c r="V147" s="30">
        <f t="shared" ref="V147:AC148" si="399">SUM(J147:M147)</f>
        <v>23</v>
      </c>
      <c r="W147" s="30">
        <f t="shared" si="399"/>
        <v>23</v>
      </c>
      <c r="X147" s="30">
        <f t="shared" si="399"/>
        <v>23</v>
      </c>
      <c r="Y147" s="30">
        <f t="shared" si="399"/>
        <v>23</v>
      </c>
      <c r="Z147" s="30">
        <f t="shared" si="399"/>
        <v>22</v>
      </c>
      <c r="AA147" s="30">
        <f t="shared" si="399"/>
        <v>22</v>
      </c>
      <c r="AB147" s="30">
        <f t="shared" si="399"/>
        <v>22</v>
      </c>
      <c r="AC147" s="30">
        <f t="shared" si="399"/>
        <v>22</v>
      </c>
      <c r="AD147" s="30">
        <f>SUM(R147:T147)</f>
        <v>22</v>
      </c>
      <c r="AE147" s="30">
        <f>SUM(S147:T147)</f>
        <v>11</v>
      </c>
      <c r="AF147" s="11"/>
      <c r="AG147" s="42"/>
    </row>
    <row r="148" spans="2:33">
      <c r="B148" s="77" t="s">
        <v>82</v>
      </c>
      <c r="C148" s="60">
        <v>45</v>
      </c>
      <c r="D148" s="60">
        <v>127</v>
      </c>
      <c r="E148" s="60">
        <v>230</v>
      </c>
      <c r="F148" s="60">
        <v>283</v>
      </c>
      <c r="G148" s="30"/>
      <c r="H148" s="76">
        <v>22</v>
      </c>
      <c r="I148" s="76">
        <f>63-H148</f>
        <v>41</v>
      </c>
      <c r="J148" s="76">
        <f>103-I148-H148</f>
        <v>40</v>
      </c>
      <c r="K148" s="30">
        <f>SUM(D148-SUM(H148:J148))</f>
        <v>24</v>
      </c>
      <c r="L148" s="76">
        <v>21</v>
      </c>
      <c r="M148" s="76">
        <f>112-L148</f>
        <v>91</v>
      </c>
      <c r="N148" s="76">
        <f>183-M148-L148</f>
        <v>71</v>
      </c>
      <c r="O148" s="30">
        <f>SUM(E148-SUM(L148:N148))</f>
        <v>47</v>
      </c>
      <c r="P148" s="76">
        <v>36</v>
      </c>
      <c r="Q148" s="76">
        <f>129-P148</f>
        <v>93</v>
      </c>
      <c r="R148" s="76">
        <f>181-Q148-P148</f>
        <v>52</v>
      </c>
      <c r="S148" s="30">
        <f t="shared" si="398"/>
        <v>102</v>
      </c>
      <c r="T148" s="76">
        <v>38</v>
      </c>
      <c r="V148" s="30">
        <f t="shared" si="399"/>
        <v>176</v>
      </c>
      <c r="W148" s="30">
        <f t="shared" si="399"/>
        <v>207</v>
      </c>
      <c r="X148" s="30">
        <f t="shared" si="399"/>
        <v>230</v>
      </c>
      <c r="Y148" s="30">
        <f t="shared" si="399"/>
        <v>245</v>
      </c>
      <c r="Z148" s="30">
        <f t="shared" si="399"/>
        <v>247</v>
      </c>
      <c r="AA148" s="30">
        <f t="shared" si="399"/>
        <v>228</v>
      </c>
      <c r="AB148" s="30">
        <f t="shared" si="399"/>
        <v>283</v>
      </c>
      <c r="AC148" s="30">
        <f t="shared" si="399"/>
        <v>285</v>
      </c>
      <c r="AD148" s="30">
        <f>SUM(R148:T148)</f>
        <v>192</v>
      </c>
      <c r="AE148" s="30">
        <f>SUM(S148:T148)</f>
        <v>140</v>
      </c>
      <c r="AF148" s="11"/>
      <c r="AG148" s="42"/>
    </row>
    <row r="149" spans="2:33" ht="5.0999999999999996" customHeight="1" thickBot="1">
      <c r="B149" s="66"/>
      <c r="C149" s="67"/>
      <c r="D149" s="67"/>
      <c r="E149" s="67"/>
      <c r="F149" s="67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G149" s="42"/>
    </row>
    <row r="150" spans="2:33" ht="12.75" customHeight="1">
      <c r="C150" s="52"/>
      <c r="D150" s="52"/>
      <c r="E150" s="52"/>
      <c r="F150" s="52"/>
    </row>
    <row r="151" spans="2:33" ht="12.75" customHeight="1">
      <c r="C151" s="52"/>
      <c r="D151" s="52"/>
      <c r="E151" s="52"/>
      <c r="F151" s="52"/>
    </row>
    <row r="152" spans="2:33" ht="12.75" customHeight="1">
      <c r="C152" s="52"/>
      <c r="D152" s="52"/>
      <c r="E152" s="52"/>
      <c r="F152" s="52"/>
    </row>
    <row r="153" spans="2:33" ht="12.75" customHeight="1">
      <c r="C153" s="52"/>
      <c r="D153" s="52"/>
      <c r="E153" s="52"/>
      <c r="F153" s="52"/>
    </row>
    <row r="154" spans="2:33" ht="12.75" customHeight="1">
      <c r="C154" s="52"/>
      <c r="D154" s="52"/>
      <c r="E154" s="52"/>
      <c r="F154" s="52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</row>
    <row r="155" spans="2:33" ht="12.75" customHeight="1">
      <c r="C155" s="52"/>
      <c r="D155" s="52"/>
      <c r="E155" s="52"/>
      <c r="F155" s="52"/>
    </row>
    <row r="156" spans="2:33" ht="12.75" customHeight="1">
      <c r="C156" s="52"/>
      <c r="D156" s="52"/>
      <c r="E156" s="52"/>
      <c r="F156" s="52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</row>
    <row r="157" spans="2:33"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</row>
    <row r="158" spans="2:33"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</row>
    <row r="160" spans="2:33"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</row>
    <row r="161" spans="8:20"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</row>
  </sheetData>
  <mergeCells count="3">
    <mergeCell ref="AG6:AG8"/>
    <mergeCell ref="AG39:AG41"/>
    <mergeCell ref="AG90:AG92"/>
  </mergeCells>
  <pageMargins left="0.7" right="0.7" top="0.75" bottom="0.75" header="0.3" footer="0.3"/>
  <ignoredErrors>
    <ignoredError sqref="AE16:AE17 G50" formulaRange="1"/>
    <ignoredError sqref="AG124:AG126 AG111:AG113" evalError="1"/>
    <ignoredError sqref="L96:P9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E16"/>
  <sheetViews>
    <sheetView showGridLines="0" zoomScaleNormal="100" workbookViewId="0">
      <selection activeCell="O1" sqref="N1:O1048576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3" width="10.625" style="8" hidden="1" customWidth="1" outlineLevel="1"/>
    <col min="4" max="4" width="10.625" style="8" customWidth="1" collapsed="1"/>
    <col min="5" max="6" width="10.625" style="8" customWidth="1"/>
    <col min="7" max="7" width="1.5" style="8" customWidth="1"/>
    <col min="8" max="13" width="10.625" style="8" hidden="1" customWidth="1" outlineLevel="1"/>
    <col min="14" max="14" width="10.625" style="8" hidden="1" customWidth="1" outlineLevel="1" collapsed="1"/>
    <col min="15" max="15" width="10.625" style="8" hidden="1" customWidth="1" outlineLevel="1"/>
    <col min="16" max="16" width="10.625" style="8" customWidth="1" collapsed="1"/>
    <col min="17" max="20" width="10.625" style="8" customWidth="1"/>
    <col min="21" max="21" width="1.5" style="8" customWidth="1"/>
    <col min="22" max="26" width="10.625" style="8" hidden="1" customWidth="1" outlineLevel="1"/>
    <col min="27" max="27" width="10.625" style="8" customWidth="1" collapsed="1"/>
    <col min="28" max="30" width="10.625" style="8" hidden="1" customWidth="1" outlineLevel="1"/>
    <col min="31" max="31" width="10.625" style="8" customWidth="1" collapsed="1"/>
    <col min="32" max="16384" width="9" style="8"/>
  </cols>
  <sheetData>
    <row r="2" spans="1:31" s="5" customFormat="1" ht="12.95" customHeight="1">
      <c r="B2" s="1" t="str">
        <f>'Historical Financials'!B2</f>
        <v>ServiceNow, Inc. (NYSE: NOW)</v>
      </c>
      <c r="C2" s="2" t="s">
        <v>0</v>
      </c>
      <c r="D2" s="2" t="s">
        <v>0</v>
      </c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 t="s">
        <v>1</v>
      </c>
      <c r="Q2" s="2"/>
      <c r="R2" s="2"/>
      <c r="S2" s="2"/>
      <c r="T2" s="2"/>
      <c r="U2" s="3"/>
      <c r="V2" s="2"/>
      <c r="W2" s="2"/>
      <c r="X2" s="2"/>
      <c r="Y2" s="2"/>
      <c r="Z2" s="2"/>
      <c r="AA2" s="2" t="s">
        <v>10</v>
      </c>
      <c r="AB2" s="2"/>
      <c r="AC2" s="2"/>
      <c r="AD2" s="2"/>
      <c r="AE2" s="2"/>
    </row>
    <row r="3" spans="1:31" s="5" customFormat="1" ht="12.95" customHeight="1">
      <c r="B3" s="6" t="s">
        <v>64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4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</row>
    <row r="4" spans="1:31" s="5" customFormat="1" ht="12.95" customHeight="1">
      <c r="B4" s="6" t="s">
        <v>89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>
        <f>'Historical Financials'!F8</f>
        <v>46022</v>
      </c>
      <c r="G4" s="3"/>
      <c r="H4" s="3">
        <f>'Historical Financials'!H8</f>
        <v>45016</v>
      </c>
      <c r="I4" s="3">
        <f>'Historical Financials'!I8</f>
        <v>45107</v>
      </c>
      <c r="J4" s="3">
        <f>'Historical Financials'!J8</f>
        <v>45199</v>
      </c>
      <c r="K4" s="3">
        <f>'Historical Financials'!K8</f>
        <v>45291</v>
      </c>
      <c r="L4" s="3">
        <f>'Historical Financials'!L8</f>
        <v>45382</v>
      </c>
      <c r="M4" s="3">
        <f>'Historical Financials'!M8</f>
        <v>45473</v>
      </c>
      <c r="N4" s="3">
        <f>'Historical Financials'!N8</f>
        <v>45565</v>
      </c>
      <c r="O4" s="3">
        <f>'Historical Financials'!O8</f>
        <v>45657</v>
      </c>
      <c r="P4" s="3">
        <f>'Historical Financials'!P8</f>
        <v>45747</v>
      </c>
      <c r="Q4" s="3">
        <f>'Historical Financials'!Q8</f>
        <v>45838</v>
      </c>
      <c r="R4" s="3">
        <f>'Historical Financials'!R8</f>
        <v>45930</v>
      </c>
      <c r="S4" s="3">
        <f>'Historical Financials'!S8</f>
        <v>46022</v>
      </c>
      <c r="T4" s="3">
        <f>'Historical Financials'!T8</f>
        <v>46112</v>
      </c>
      <c r="U4" s="3"/>
      <c r="V4" s="3">
        <f t="shared" si="0"/>
        <v>45291</v>
      </c>
      <c r="W4" s="3">
        <f t="shared" si="0"/>
        <v>45382</v>
      </c>
      <c r="X4" s="3">
        <f t="shared" si="0"/>
        <v>45473</v>
      </c>
      <c r="Y4" s="3">
        <f t="shared" si="0"/>
        <v>45565</v>
      </c>
      <c r="Z4" s="3">
        <f t="shared" si="0"/>
        <v>45657</v>
      </c>
      <c r="AA4" s="3">
        <f t="shared" si="0"/>
        <v>45747</v>
      </c>
      <c r="AB4" s="3">
        <f t="shared" si="0"/>
        <v>45838</v>
      </c>
      <c r="AC4" s="3">
        <f t="shared" si="0"/>
        <v>45930</v>
      </c>
      <c r="AD4" s="3">
        <f t="shared" si="0"/>
        <v>46022</v>
      </c>
      <c r="AE4" s="3">
        <f t="shared" si="0"/>
        <v>46112</v>
      </c>
    </row>
    <row r="5" spans="1:31" ht="5.0999999999999996" customHeight="1"/>
    <row r="6" spans="1:31">
      <c r="A6" s="33" t="s">
        <v>17</v>
      </c>
      <c r="B6" s="1" t="s">
        <v>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.0999999999999996" customHeight="1"/>
    <row r="8" spans="1:31" ht="12.75" customHeight="1">
      <c r="A8" s="74" t="s">
        <v>17</v>
      </c>
      <c r="B8" s="72" t="s">
        <v>88</v>
      </c>
      <c r="C8" s="10"/>
      <c r="D8" s="10"/>
      <c r="E8" s="10"/>
      <c r="F8" s="10"/>
      <c r="G8" s="10"/>
      <c r="H8" s="81"/>
      <c r="I8" s="81"/>
      <c r="J8" s="81"/>
      <c r="K8" s="30"/>
      <c r="L8" s="81"/>
      <c r="M8" s="81"/>
      <c r="N8" s="81"/>
      <c r="O8" s="30"/>
      <c r="P8" s="81"/>
      <c r="Q8" s="81"/>
      <c r="R8" s="81"/>
      <c r="S8" s="81"/>
      <c r="T8" s="81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2.75" customHeight="1">
      <c r="A9" s="74"/>
      <c r="B9" s="9" t="s">
        <v>170</v>
      </c>
      <c r="C9" s="75">
        <v>6891</v>
      </c>
      <c r="D9" s="75">
        <v>8680</v>
      </c>
      <c r="E9" s="75">
        <v>10646</v>
      </c>
      <c r="F9" s="75">
        <v>12883</v>
      </c>
      <c r="G9" s="10"/>
      <c r="H9" s="75">
        <v>2024</v>
      </c>
      <c r="I9" s="75">
        <v>2075</v>
      </c>
      <c r="J9" s="75">
        <v>2216</v>
      </c>
      <c r="K9" s="30">
        <f>SUM(D9-SUM(H9:J9))</f>
        <v>2365</v>
      </c>
      <c r="L9" s="75">
        <v>2523</v>
      </c>
      <c r="M9" s="75">
        <v>2542</v>
      </c>
      <c r="N9" s="75">
        <v>2715</v>
      </c>
      <c r="O9" s="30">
        <f>SUM(E9-SUM(L9:N9))</f>
        <v>2866</v>
      </c>
      <c r="P9" s="75">
        <v>3005</v>
      </c>
      <c r="Q9" s="75">
        <v>3113</v>
      </c>
      <c r="R9" s="75">
        <v>3299</v>
      </c>
      <c r="S9" s="30">
        <f>SUM(F9-SUM(P9:R9))</f>
        <v>3466</v>
      </c>
      <c r="T9" s="75">
        <v>3671</v>
      </c>
      <c r="U9" s="5"/>
      <c r="V9" s="30">
        <f t="shared" ref="V9:AD9" si="1">SUM(H9:K9)</f>
        <v>8680</v>
      </c>
      <c r="W9" s="30">
        <f t="shared" si="1"/>
        <v>9179</v>
      </c>
      <c r="X9" s="30">
        <f t="shared" si="1"/>
        <v>9646</v>
      </c>
      <c r="Y9" s="30">
        <f t="shared" si="1"/>
        <v>10145</v>
      </c>
      <c r="Z9" s="30">
        <f t="shared" si="1"/>
        <v>10646</v>
      </c>
      <c r="AA9" s="30">
        <f t="shared" si="1"/>
        <v>11128</v>
      </c>
      <c r="AB9" s="30">
        <f t="shared" si="1"/>
        <v>11699</v>
      </c>
      <c r="AC9" s="30">
        <f t="shared" si="1"/>
        <v>12283</v>
      </c>
      <c r="AD9" s="30">
        <f t="shared" si="1"/>
        <v>12883</v>
      </c>
      <c r="AE9" s="30">
        <f>SUM(Q9:T9)</f>
        <v>13549</v>
      </c>
    </row>
    <row r="10" spans="1:31">
      <c r="B10" s="9" t="s">
        <v>169</v>
      </c>
      <c r="C10" s="75">
        <v>354</v>
      </c>
      <c r="D10" s="75">
        <v>291</v>
      </c>
      <c r="E10" s="75">
        <v>338</v>
      </c>
      <c r="F10" s="75">
        <v>395</v>
      </c>
      <c r="G10" s="75"/>
      <c r="H10" s="75">
        <v>72</v>
      </c>
      <c r="I10" s="75">
        <v>75</v>
      </c>
      <c r="J10" s="75">
        <v>72</v>
      </c>
      <c r="K10" s="30">
        <f>SUM(D10-SUM(H10:J10))</f>
        <v>72</v>
      </c>
      <c r="L10" s="75">
        <v>80</v>
      </c>
      <c r="M10" s="75">
        <v>85</v>
      </c>
      <c r="N10" s="75">
        <v>82</v>
      </c>
      <c r="O10" s="30">
        <f>SUM(E10-SUM(L10:N10))</f>
        <v>91</v>
      </c>
      <c r="P10" s="75">
        <v>83</v>
      </c>
      <c r="Q10" s="75">
        <v>102</v>
      </c>
      <c r="R10" s="75">
        <v>108</v>
      </c>
      <c r="S10" s="30">
        <f>SUM(F10-SUM(P10:R10))</f>
        <v>102</v>
      </c>
      <c r="T10" s="75">
        <v>99</v>
      </c>
      <c r="U10" s="5"/>
      <c r="V10" s="30">
        <f t="shared" ref="V10" si="2">SUM(H10:K10)</f>
        <v>291</v>
      </c>
      <c r="W10" s="30">
        <f t="shared" ref="W10" si="3">SUM(I10:L10)</f>
        <v>299</v>
      </c>
      <c r="X10" s="30">
        <f t="shared" ref="X10" si="4">SUM(J10:M10)</f>
        <v>309</v>
      </c>
      <c r="Y10" s="30">
        <f t="shared" ref="Y10" si="5">SUM(K10:N10)</f>
        <v>319</v>
      </c>
      <c r="Z10" s="30">
        <f t="shared" ref="Z10" si="6">SUM(L10:O10)</f>
        <v>338</v>
      </c>
      <c r="AA10" s="30">
        <f t="shared" ref="AA10" si="7">SUM(M10:P10)</f>
        <v>341</v>
      </c>
      <c r="AB10" s="30">
        <f t="shared" ref="AB10" si="8">SUM(N10:Q10)</f>
        <v>358</v>
      </c>
      <c r="AC10" s="30">
        <f t="shared" ref="AC10" si="9">SUM(O10:R10)</f>
        <v>384</v>
      </c>
      <c r="AD10" s="30">
        <f t="shared" ref="AD10" si="10">SUM(P10:S10)</f>
        <v>395</v>
      </c>
      <c r="AE10" s="30">
        <f>SUM(Q10:T10)</f>
        <v>411</v>
      </c>
    </row>
    <row r="11" spans="1:31">
      <c r="B11" s="12" t="s">
        <v>65</v>
      </c>
      <c r="C11" s="13">
        <f t="shared" ref="C11:F11" si="11">SUM(C9:C10)</f>
        <v>7245</v>
      </c>
      <c r="D11" s="13">
        <f t="shared" si="11"/>
        <v>8971</v>
      </c>
      <c r="E11" s="13">
        <f t="shared" si="11"/>
        <v>10984</v>
      </c>
      <c r="F11" s="13">
        <f t="shared" si="11"/>
        <v>13278</v>
      </c>
      <c r="G11" s="11"/>
      <c r="H11" s="13">
        <f t="shared" ref="H11:S11" si="12">SUM(H9:H10)</f>
        <v>2096</v>
      </c>
      <c r="I11" s="13">
        <f t="shared" si="12"/>
        <v>2150</v>
      </c>
      <c r="J11" s="13">
        <f t="shared" si="12"/>
        <v>2288</v>
      </c>
      <c r="K11" s="13">
        <f t="shared" si="12"/>
        <v>2437</v>
      </c>
      <c r="L11" s="13">
        <f t="shared" si="12"/>
        <v>2603</v>
      </c>
      <c r="M11" s="13">
        <f t="shared" si="12"/>
        <v>2627</v>
      </c>
      <c r="N11" s="13">
        <f t="shared" si="12"/>
        <v>2797</v>
      </c>
      <c r="O11" s="13">
        <f t="shared" si="12"/>
        <v>2957</v>
      </c>
      <c r="P11" s="13">
        <f t="shared" si="12"/>
        <v>3088</v>
      </c>
      <c r="Q11" s="13">
        <f t="shared" si="12"/>
        <v>3215</v>
      </c>
      <c r="R11" s="13">
        <f t="shared" si="12"/>
        <v>3407</v>
      </c>
      <c r="S11" s="13">
        <f t="shared" si="12"/>
        <v>3568</v>
      </c>
      <c r="T11" s="13">
        <f t="shared" ref="T11" si="13">SUM(T9:T10)</f>
        <v>3770</v>
      </c>
      <c r="U11" s="5"/>
      <c r="V11" s="13">
        <f t="shared" ref="V11:AD11" si="14">SUM(V9:V10)</f>
        <v>8971</v>
      </c>
      <c r="W11" s="13">
        <f t="shared" si="14"/>
        <v>9478</v>
      </c>
      <c r="X11" s="13">
        <f t="shared" si="14"/>
        <v>9955</v>
      </c>
      <c r="Y11" s="13">
        <f t="shared" si="14"/>
        <v>10464</v>
      </c>
      <c r="Z11" s="13">
        <f t="shared" si="14"/>
        <v>10984</v>
      </c>
      <c r="AA11" s="13">
        <f t="shared" si="14"/>
        <v>11469</v>
      </c>
      <c r="AB11" s="13">
        <f t="shared" si="14"/>
        <v>12057</v>
      </c>
      <c r="AC11" s="13">
        <f t="shared" si="14"/>
        <v>12667</v>
      </c>
      <c r="AD11" s="13">
        <f t="shared" si="14"/>
        <v>13278</v>
      </c>
      <c r="AE11" s="13">
        <f>SUM(AE9:AE10)</f>
        <v>13960</v>
      </c>
    </row>
    <row r="12" spans="1:31" outlineLevel="1">
      <c r="B12" s="114" t="s">
        <v>189</v>
      </c>
      <c r="C12" s="73">
        <f>+C11-'Historical Financials'!C11</f>
        <v>0</v>
      </c>
      <c r="D12" s="73">
        <f>+D11-'Historical Financials'!D11</f>
        <v>0</v>
      </c>
      <c r="E12" s="73">
        <f>+E11-'Historical Financials'!E11</f>
        <v>0</v>
      </c>
      <c r="F12" s="73">
        <f>+F11-'Historical Financials'!F11</f>
        <v>0</v>
      </c>
      <c r="G12" s="11"/>
      <c r="H12" s="73">
        <f>+H11-'Historical Financials'!H11</f>
        <v>0</v>
      </c>
      <c r="I12" s="73">
        <f>+I11-'Historical Financials'!I11</f>
        <v>0</v>
      </c>
      <c r="J12" s="73">
        <f>+J11-'Historical Financials'!J11</f>
        <v>0</v>
      </c>
      <c r="K12" s="73">
        <f>+K11-'Historical Financials'!K11</f>
        <v>0</v>
      </c>
      <c r="L12" s="73">
        <f>+L11-'Historical Financials'!L11</f>
        <v>0</v>
      </c>
      <c r="M12" s="73">
        <f>+M11-'Historical Financials'!M11</f>
        <v>0</v>
      </c>
      <c r="N12" s="73">
        <f>+N11-'Historical Financials'!N11</f>
        <v>0</v>
      </c>
      <c r="O12" s="73">
        <f>+O11-'Historical Financials'!O11</f>
        <v>0</v>
      </c>
      <c r="P12" s="73">
        <f>+P11-'Historical Financials'!P11</f>
        <v>0</v>
      </c>
      <c r="Q12" s="73">
        <f>+Q11-'Historical Financials'!Q11</f>
        <v>0</v>
      </c>
      <c r="R12" s="73">
        <f>+R11-'Historical Financials'!R11</f>
        <v>0</v>
      </c>
      <c r="S12" s="73">
        <f>+S11-'Historical Financials'!S11</f>
        <v>0</v>
      </c>
      <c r="T12" s="73">
        <f>+T11-'Historical Financials'!T11</f>
        <v>0</v>
      </c>
      <c r="U12" s="73"/>
      <c r="V12" s="73">
        <f>+V11-'Historical Financials'!V11</f>
        <v>0</v>
      </c>
      <c r="W12" s="73">
        <f>+W11-'Historical Financials'!W11</f>
        <v>0</v>
      </c>
      <c r="X12" s="73">
        <f>+X11-'Historical Financials'!X11</f>
        <v>0</v>
      </c>
      <c r="Y12" s="73">
        <f>+Y11-'Historical Financials'!Y11</f>
        <v>0</v>
      </c>
      <c r="Z12" s="73">
        <f>+Z11-'Historical Financials'!Z11</f>
        <v>0</v>
      </c>
      <c r="AA12" s="73">
        <f>+AA11-'Historical Financials'!AA11</f>
        <v>0</v>
      </c>
      <c r="AB12" s="73">
        <f>+AB11-'Historical Financials'!AB11</f>
        <v>0</v>
      </c>
      <c r="AC12" s="73">
        <f>+AC11-'Historical Financials'!AC11</f>
        <v>0</v>
      </c>
      <c r="AD12" s="73">
        <f>+AD11-'Historical Financials'!AD11</f>
        <v>0</v>
      </c>
      <c r="AE12" s="73">
        <f>+AE11-'Historical Financials'!AE11</f>
        <v>0</v>
      </c>
    </row>
    <row r="13" spans="1:31">
      <c r="B13" s="16"/>
      <c r="C13" s="17"/>
      <c r="D13" s="17"/>
      <c r="E13" s="17"/>
      <c r="F13" s="17"/>
      <c r="G13" s="18"/>
      <c r="H13" s="19"/>
      <c r="I13" s="19"/>
      <c r="J13" s="19"/>
      <c r="K13" s="20"/>
      <c r="L13" s="19"/>
      <c r="M13" s="19"/>
      <c r="N13" s="19"/>
      <c r="O13" s="19"/>
      <c r="P13" s="19"/>
      <c r="Q13" s="19"/>
      <c r="R13" s="19"/>
      <c r="S13" s="19"/>
      <c r="T13" s="19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1">
      <c r="B14" s="115" t="str">
        <f>B9&amp;"(%)"</f>
        <v>Subscription (%)</v>
      </c>
      <c r="C14" s="123">
        <f t="shared" ref="C14:E14" si="15">SUM(C9/C$11)</f>
        <v>0.95113871635610769</v>
      </c>
      <c r="D14" s="123">
        <f t="shared" si="15"/>
        <v>0.96756214468844048</v>
      </c>
      <c r="E14" s="123">
        <f t="shared" si="15"/>
        <v>0.96922796795338673</v>
      </c>
      <c r="F14" s="123">
        <f t="shared" ref="F14" si="16">SUM(F9/F$11)</f>
        <v>0.97025154390721491</v>
      </c>
      <c r="G14" s="116"/>
      <c r="H14" s="123">
        <f t="shared" ref="H14:Q14" si="17">SUM(H9/H$11)</f>
        <v>0.96564885496183206</v>
      </c>
      <c r="I14" s="123">
        <f t="shared" si="17"/>
        <v>0.96511627906976749</v>
      </c>
      <c r="J14" s="123">
        <f t="shared" si="17"/>
        <v>0.96853146853146854</v>
      </c>
      <c r="K14" s="123">
        <f t="shared" si="17"/>
        <v>0.97045547804677879</v>
      </c>
      <c r="L14" s="123">
        <f t="shared" si="17"/>
        <v>0.96926623127160971</v>
      </c>
      <c r="M14" s="123">
        <f t="shared" si="17"/>
        <v>0.96764370003806621</v>
      </c>
      <c r="N14" s="123">
        <f t="shared" si="17"/>
        <v>0.97068287450840185</v>
      </c>
      <c r="O14" s="123">
        <f t="shared" si="17"/>
        <v>0.96922556645248559</v>
      </c>
      <c r="P14" s="123">
        <f t="shared" si="17"/>
        <v>0.9731217616580311</v>
      </c>
      <c r="Q14" s="123">
        <f t="shared" si="17"/>
        <v>0.96827371695178854</v>
      </c>
      <c r="R14" s="123">
        <f t="shared" ref="R14:S14" si="18">SUM(R9/R$11)</f>
        <v>0.96830055767537426</v>
      </c>
      <c r="S14" s="123">
        <f t="shared" si="18"/>
        <v>0.9714125560538116</v>
      </c>
      <c r="T14" s="123">
        <f t="shared" ref="T14" si="19">SUM(T9/T$11)</f>
        <v>0.9737400530503979</v>
      </c>
      <c r="U14" s="116"/>
      <c r="V14" s="117">
        <f t="shared" ref="V14:AE15" si="20">I14</f>
        <v>0.96511627906976749</v>
      </c>
      <c r="W14" s="117">
        <f t="shared" si="20"/>
        <v>0.96853146853146854</v>
      </c>
      <c r="X14" s="117">
        <f t="shared" si="20"/>
        <v>0.97045547804677879</v>
      </c>
      <c r="Y14" s="117">
        <f t="shared" si="20"/>
        <v>0.96926623127160971</v>
      </c>
      <c r="Z14" s="117">
        <f t="shared" si="20"/>
        <v>0.96764370003806621</v>
      </c>
      <c r="AA14" s="117">
        <f t="shared" si="20"/>
        <v>0.97068287450840185</v>
      </c>
      <c r="AB14" s="117">
        <f t="shared" si="20"/>
        <v>0.96922556645248559</v>
      </c>
      <c r="AC14" s="117">
        <f t="shared" si="20"/>
        <v>0.9731217616580311</v>
      </c>
      <c r="AD14" s="117">
        <f t="shared" si="20"/>
        <v>0.96827371695178854</v>
      </c>
      <c r="AE14" s="118">
        <f t="shared" si="20"/>
        <v>0.96830055767537426</v>
      </c>
    </row>
    <row r="15" spans="1:31" ht="12.75" customHeight="1">
      <c r="B15" s="119" t="str">
        <f>B10&amp;"(%)"</f>
        <v>Professional Services Other (%)</v>
      </c>
      <c r="C15" s="124">
        <f t="shared" ref="C15:E15" si="21">SUM(C10/C$11)</f>
        <v>4.8861283643892341E-2</v>
      </c>
      <c r="D15" s="124">
        <f t="shared" si="21"/>
        <v>3.2437855311559467E-2</v>
      </c>
      <c r="E15" s="124">
        <f t="shared" si="21"/>
        <v>3.0772032046613256E-2</v>
      </c>
      <c r="F15" s="124">
        <f t="shared" ref="F15" si="22">SUM(F10/F$11)</f>
        <v>2.9748456092785057E-2</v>
      </c>
      <c r="G15" s="120"/>
      <c r="H15" s="124">
        <f t="shared" ref="H15:Q15" si="23">SUM(H10/H$11)</f>
        <v>3.4351145038167941E-2</v>
      </c>
      <c r="I15" s="124">
        <f t="shared" si="23"/>
        <v>3.4883720930232558E-2</v>
      </c>
      <c r="J15" s="124">
        <f t="shared" si="23"/>
        <v>3.1468531468531472E-2</v>
      </c>
      <c r="K15" s="124">
        <f t="shared" si="23"/>
        <v>2.9544521953221173E-2</v>
      </c>
      <c r="L15" s="124">
        <f t="shared" si="23"/>
        <v>3.0733768728390318E-2</v>
      </c>
      <c r="M15" s="124">
        <f t="shared" si="23"/>
        <v>3.2356299961933767E-2</v>
      </c>
      <c r="N15" s="124">
        <f t="shared" si="23"/>
        <v>2.931712549159814E-2</v>
      </c>
      <c r="O15" s="124">
        <f t="shared" si="23"/>
        <v>3.0774433547514371E-2</v>
      </c>
      <c r="P15" s="124">
        <f t="shared" si="23"/>
        <v>2.687823834196891E-2</v>
      </c>
      <c r="Q15" s="124">
        <f t="shared" si="23"/>
        <v>3.1726283048211505E-2</v>
      </c>
      <c r="R15" s="124">
        <f t="shared" ref="R15:S15" si="24">SUM(R10/R$11)</f>
        <v>3.1699442324625772E-2</v>
      </c>
      <c r="S15" s="124">
        <f t="shared" si="24"/>
        <v>2.858744394618834E-2</v>
      </c>
      <c r="T15" s="124">
        <f t="shared" ref="T15" si="25">SUM(T10/T$11)</f>
        <v>2.6259946949602122E-2</v>
      </c>
      <c r="U15" s="120"/>
      <c r="V15" s="121">
        <f t="shared" si="20"/>
        <v>3.4883720930232558E-2</v>
      </c>
      <c r="W15" s="121">
        <f t="shared" si="20"/>
        <v>3.1468531468531472E-2</v>
      </c>
      <c r="X15" s="121">
        <f t="shared" si="20"/>
        <v>2.9544521953221173E-2</v>
      </c>
      <c r="Y15" s="121">
        <f t="shared" si="20"/>
        <v>3.0733768728390318E-2</v>
      </c>
      <c r="Z15" s="121">
        <f t="shared" si="20"/>
        <v>3.2356299961933767E-2</v>
      </c>
      <c r="AA15" s="121">
        <f t="shared" si="20"/>
        <v>2.931712549159814E-2</v>
      </c>
      <c r="AB15" s="121">
        <f t="shared" si="20"/>
        <v>3.0774433547514371E-2</v>
      </c>
      <c r="AC15" s="121">
        <f t="shared" si="20"/>
        <v>2.687823834196891E-2</v>
      </c>
      <c r="AD15" s="121">
        <f t="shared" si="20"/>
        <v>3.1726283048211505E-2</v>
      </c>
      <c r="AE15" s="122">
        <f t="shared" si="20"/>
        <v>3.1699442324625772E-2</v>
      </c>
    </row>
    <row r="16" spans="1:31">
      <c r="B16" s="16"/>
      <c r="C16" s="17"/>
      <c r="D16" s="17"/>
      <c r="E16" s="17"/>
      <c r="F16" s="17"/>
      <c r="G16" s="18"/>
      <c r="H16" s="19"/>
      <c r="I16" s="19"/>
      <c r="J16" s="19"/>
      <c r="K16" s="20"/>
      <c r="L16" s="19"/>
      <c r="M16" s="19"/>
      <c r="N16" s="19"/>
      <c r="O16" s="19"/>
      <c r="P16" s="19"/>
      <c r="Q16" s="19"/>
      <c r="R16" s="19"/>
      <c r="S16" s="19"/>
      <c r="T16" s="19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</sheetData>
  <pageMargins left="0.7" right="0.7" top="0.75" bottom="0.75" header="0.3" footer="0.3"/>
  <ignoredErrors>
    <ignoredError sqref="H14:Q15 C14:E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6"/>
  <sheetViews>
    <sheetView showGridLines="0" tabSelected="1" zoomScale="115" zoomScaleNormal="115" workbookViewId="0">
      <selection activeCell="F13" sqref="F13:F14"/>
    </sheetView>
  </sheetViews>
  <sheetFormatPr defaultRowHeight="12" outlineLevelCol="1"/>
  <cols>
    <col min="1" max="1" width="1.5" style="8" customWidth="1"/>
    <col min="2" max="2" width="41.625" style="8" customWidth="1"/>
    <col min="3" max="3" width="10.625" style="8" hidden="1" customWidth="1" outlineLevel="1"/>
    <col min="4" max="4" width="10.625" style="8" customWidth="1" collapsed="1"/>
    <col min="5" max="6" width="10.625" style="8" customWidth="1"/>
    <col min="7" max="7" width="1.5" style="8" customWidth="1"/>
    <col min="8" max="15" width="10.625" style="8" hidden="1" customWidth="1" outlineLevel="1"/>
    <col min="16" max="16" width="10.625" style="8" customWidth="1" collapsed="1"/>
    <col min="17" max="20" width="10.625" style="8" customWidth="1"/>
    <col min="21" max="21" width="1.625" style="8" customWidth="1"/>
    <col min="22" max="26" width="10.625" style="8" hidden="1" customWidth="1" outlineLevel="1"/>
    <col min="27" max="27" width="10.625" style="8" customWidth="1" collapsed="1"/>
    <col min="28" max="30" width="10.625" style="8" hidden="1" customWidth="1" outlineLevel="1"/>
    <col min="31" max="31" width="10.625" style="8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95" customHeight="1">
      <c r="B2" s="1" t="str">
        <f>'Historical Financials'!B2</f>
        <v>ServiceNow, Inc. (NYSE: NOW)</v>
      </c>
      <c r="C2" s="2" t="s">
        <v>0</v>
      </c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/>
      <c r="R2" s="2"/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45" t="s">
        <v>23</v>
      </c>
    </row>
    <row r="3" spans="2:33" s="5" customFormat="1" ht="12.95" customHeight="1">
      <c r="B3" s="6" t="s">
        <v>24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  <c r="AF3" s="3"/>
      <c r="AG3" s="145"/>
    </row>
    <row r="4" spans="2:33" s="5" customFormat="1" ht="12.95" customHeight="1">
      <c r="B4" s="6" t="s">
        <v>89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>
        <f>'Historical Financials'!F8</f>
        <v>46022</v>
      </c>
      <c r="G4" s="3"/>
      <c r="H4" s="3">
        <f>'Historical Financials'!H8</f>
        <v>45016</v>
      </c>
      <c r="I4" s="3">
        <f>'Historical Financials'!I8</f>
        <v>45107</v>
      </c>
      <c r="J4" s="3">
        <f>'Historical Financials'!J8</f>
        <v>45199</v>
      </c>
      <c r="K4" s="3">
        <f>'Historical Financials'!K8</f>
        <v>45291</v>
      </c>
      <c r="L4" s="3">
        <f>'Historical Financials'!L8</f>
        <v>45382</v>
      </c>
      <c r="M4" s="3">
        <f>'Historical Financials'!M8</f>
        <v>45473</v>
      </c>
      <c r="N4" s="3">
        <f>'Historical Financials'!N8</f>
        <v>45565</v>
      </c>
      <c r="O4" s="3">
        <f>'Historical Financials'!O8</f>
        <v>45657</v>
      </c>
      <c r="P4" s="3">
        <f>'Historical Financials'!P8</f>
        <v>45747</v>
      </c>
      <c r="Q4" s="3">
        <f>'Historical Financials'!Q8</f>
        <v>45838</v>
      </c>
      <c r="R4" s="3">
        <f>'Historical Financials'!R8</f>
        <v>45930</v>
      </c>
      <c r="S4" s="3">
        <f>'Historical Financials'!S8</f>
        <v>46022</v>
      </c>
      <c r="T4" s="3">
        <f>'Historical Financials'!T8</f>
        <v>46112</v>
      </c>
      <c r="U4" s="3"/>
      <c r="V4" s="3">
        <f t="shared" si="0"/>
        <v>45291</v>
      </c>
      <c r="W4" s="3">
        <f t="shared" si="0"/>
        <v>45382</v>
      </c>
      <c r="X4" s="3">
        <f t="shared" si="0"/>
        <v>45473</v>
      </c>
      <c r="Y4" s="3">
        <f t="shared" si="0"/>
        <v>45565</v>
      </c>
      <c r="Z4" s="3">
        <f t="shared" si="0"/>
        <v>45657</v>
      </c>
      <c r="AA4" s="3">
        <f t="shared" si="0"/>
        <v>45747</v>
      </c>
      <c r="AB4" s="3">
        <f t="shared" si="0"/>
        <v>45838</v>
      </c>
      <c r="AC4" s="3">
        <f t="shared" si="0"/>
        <v>45930</v>
      </c>
      <c r="AD4" s="3">
        <f t="shared" si="0"/>
        <v>46022</v>
      </c>
      <c r="AE4" s="3">
        <f t="shared" si="0"/>
        <v>46112</v>
      </c>
      <c r="AF4" s="3"/>
      <c r="AG4" s="145"/>
    </row>
    <row r="5" spans="2:33" ht="5.0999999999999996" customHeight="1">
      <c r="AG5" s="107"/>
    </row>
    <row r="6" spans="2:33" ht="12.75" customHeight="1">
      <c r="B6" s="9" t="str">
        <f>'Revenue Drivers'!B9</f>
        <v xml:space="preserve">Subscription </v>
      </c>
      <c r="C6" s="80">
        <f>'Revenue Drivers'!C9</f>
        <v>6891</v>
      </c>
      <c r="D6" s="80">
        <f>'Revenue Drivers'!D9</f>
        <v>8680</v>
      </c>
      <c r="E6" s="80">
        <f>'Revenue Drivers'!E9</f>
        <v>10646</v>
      </c>
      <c r="F6" s="80">
        <f>'Revenue Drivers'!F9</f>
        <v>12883</v>
      </c>
      <c r="G6" s="10"/>
      <c r="H6" s="80">
        <f>'Revenue Drivers'!H9</f>
        <v>2024</v>
      </c>
      <c r="I6" s="80">
        <f>'Revenue Drivers'!I9</f>
        <v>2075</v>
      </c>
      <c r="J6" s="80">
        <f>'Revenue Drivers'!J9</f>
        <v>2216</v>
      </c>
      <c r="K6" s="80">
        <f>'Revenue Drivers'!K9</f>
        <v>2365</v>
      </c>
      <c r="L6" s="80">
        <f>'Revenue Drivers'!L9</f>
        <v>2523</v>
      </c>
      <c r="M6" s="80">
        <f>'Revenue Drivers'!M9</f>
        <v>2542</v>
      </c>
      <c r="N6" s="80">
        <f>'Revenue Drivers'!N9</f>
        <v>2715</v>
      </c>
      <c r="O6" s="80">
        <f>'Revenue Drivers'!O9</f>
        <v>2866</v>
      </c>
      <c r="P6" s="80">
        <f>'Revenue Drivers'!P9</f>
        <v>3005</v>
      </c>
      <c r="Q6" s="80">
        <f>'Revenue Drivers'!Q9</f>
        <v>3113</v>
      </c>
      <c r="R6" s="80">
        <f>'Revenue Drivers'!R9</f>
        <v>3299</v>
      </c>
      <c r="S6" s="80">
        <f>'Revenue Drivers'!S9</f>
        <v>3466</v>
      </c>
      <c r="T6" s="80">
        <f>'Revenue Drivers'!T9</f>
        <v>3671</v>
      </c>
      <c r="U6" s="5"/>
      <c r="V6" s="126">
        <f t="shared" ref="V6:AD6" si="1">SUM(H6:K6)</f>
        <v>8680</v>
      </c>
      <c r="W6" s="126">
        <f t="shared" si="1"/>
        <v>9179</v>
      </c>
      <c r="X6" s="126">
        <f t="shared" si="1"/>
        <v>9646</v>
      </c>
      <c r="Y6" s="126">
        <f t="shared" si="1"/>
        <v>10145</v>
      </c>
      <c r="Z6" s="126">
        <f t="shared" si="1"/>
        <v>10646</v>
      </c>
      <c r="AA6" s="126">
        <f t="shared" si="1"/>
        <v>11128</v>
      </c>
      <c r="AB6" s="126">
        <f t="shared" si="1"/>
        <v>11699</v>
      </c>
      <c r="AC6" s="126">
        <f t="shared" si="1"/>
        <v>12283</v>
      </c>
      <c r="AD6" s="126">
        <f t="shared" si="1"/>
        <v>12883</v>
      </c>
      <c r="AE6" s="126">
        <f>SUM(Q6:T6)</f>
        <v>13549</v>
      </c>
      <c r="AG6" s="108">
        <f t="shared" ref="AG6:AG7" si="2">SUM(AE6/AA6)-1</f>
        <v>0.21755930984902938</v>
      </c>
    </row>
    <row r="7" spans="2:33" ht="12.75" customHeight="1">
      <c r="B7" s="9" t="str">
        <f>'Revenue Drivers'!B10</f>
        <v xml:space="preserve">Professional Services Other </v>
      </c>
      <c r="C7" s="80">
        <f>'Revenue Drivers'!C10</f>
        <v>354</v>
      </c>
      <c r="D7" s="80">
        <f>'Revenue Drivers'!D10</f>
        <v>291</v>
      </c>
      <c r="E7" s="80">
        <f>'Revenue Drivers'!E10</f>
        <v>338</v>
      </c>
      <c r="F7" s="80">
        <f>'Revenue Drivers'!F10</f>
        <v>395</v>
      </c>
      <c r="G7" s="10"/>
      <c r="H7" s="80">
        <f>'Revenue Drivers'!H10</f>
        <v>72</v>
      </c>
      <c r="I7" s="80">
        <f>'Revenue Drivers'!I10</f>
        <v>75</v>
      </c>
      <c r="J7" s="80">
        <f>'Revenue Drivers'!J10</f>
        <v>72</v>
      </c>
      <c r="K7" s="80">
        <f>'Revenue Drivers'!K10</f>
        <v>72</v>
      </c>
      <c r="L7" s="80">
        <f>'Revenue Drivers'!L10</f>
        <v>80</v>
      </c>
      <c r="M7" s="80">
        <f>'Revenue Drivers'!M10</f>
        <v>85</v>
      </c>
      <c r="N7" s="80">
        <f>'Revenue Drivers'!N10</f>
        <v>82</v>
      </c>
      <c r="O7" s="80">
        <f>'Revenue Drivers'!O10</f>
        <v>91</v>
      </c>
      <c r="P7" s="80">
        <f>'Revenue Drivers'!P10</f>
        <v>83</v>
      </c>
      <c r="Q7" s="80">
        <f>'Revenue Drivers'!Q10</f>
        <v>102</v>
      </c>
      <c r="R7" s="80">
        <f>'Revenue Drivers'!R10</f>
        <v>108</v>
      </c>
      <c r="S7" s="80">
        <f>'Revenue Drivers'!S10</f>
        <v>102</v>
      </c>
      <c r="T7" s="80">
        <f>'Revenue Drivers'!T10</f>
        <v>99</v>
      </c>
      <c r="U7" s="5"/>
      <c r="V7" s="126">
        <f t="shared" ref="V7" si="3">SUM(H7:K7)</f>
        <v>291</v>
      </c>
      <c r="W7" s="126">
        <f t="shared" ref="W7" si="4">SUM(I7:L7)</f>
        <v>299</v>
      </c>
      <c r="X7" s="126">
        <f t="shared" ref="X7" si="5">SUM(J7:M7)</f>
        <v>309</v>
      </c>
      <c r="Y7" s="126">
        <f t="shared" ref="Y7" si="6">SUM(K7:N7)</f>
        <v>319</v>
      </c>
      <c r="Z7" s="126">
        <f t="shared" ref="Z7" si="7">SUM(L7:O7)</f>
        <v>338</v>
      </c>
      <c r="AA7" s="126">
        <f t="shared" ref="AA7" si="8">SUM(M7:P7)</f>
        <v>341</v>
      </c>
      <c r="AB7" s="126">
        <f t="shared" ref="AB7" si="9">SUM(N7:Q7)</f>
        <v>358</v>
      </c>
      <c r="AC7" s="126">
        <f t="shared" ref="AC7" si="10">SUM(O7:R7)</f>
        <v>384</v>
      </c>
      <c r="AD7" s="126">
        <f t="shared" ref="AD7" si="11">SUM(P7:S7)</f>
        <v>395</v>
      </c>
      <c r="AE7" s="126">
        <f t="shared" ref="AE7" si="12">SUM(Q7:T7)</f>
        <v>411</v>
      </c>
      <c r="AG7" s="108">
        <f t="shared" si="2"/>
        <v>0.20527859237536661</v>
      </c>
    </row>
    <row r="8" spans="2:33" ht="12.75" customHeight="1">
      <c r="B8" s="12" t="s">
        <v>12</v>
      </c>
      <c r="C8" s="13">
        <f>SUM(C6:C7)</f>
        <v>7245</v>
      </c>
      <c r="D8" s="13">
        <f>SUM(D6:D7)</f>
        <v>8971</v>
      </c>
      <c r="E8" s="13">
        <f>SUM(E6:E7)</f>
        <v>10984</v>
      </c>
      <c r="F8" s="13">
        <f>SUM(F6:F7)</f>
        <v>13278</v>
      </c>
      <c r="G8" s="10"/>
      <c r="H8" s="13">
        <f>SUM(H6:H7)</f>
        <v>2096</v>
      </c>
      <c r="I8" s="13">
        <f>SUM(I6:I7)</f>
        <v>2150</v>
      </c>
      <c r="J8" s="13">
        <f>SUM(J6:J7)</f>
        <v>2288</v>
      </c>
      <c r="K8" s="13">
        <f>SUM(K6:K7)</f>
        <v>2437</v>
      </c>
      <c r="L8" s="13">
        <f>SUM(L6:L7)</f>
        <v>2603</v>
      </c>
      <c r="M8" s="13">
        <f>SUM(M6:M7)</f>
        <v>2627</v>
      </c>
      <c r="N8" s="13">
        <f>SUM(N6:N7)</f>
        <v>2797</v>
      </c>
      <c r="O8" s="13">
        <f>SUM(O6:O7)</f>
        <v>2957</v>
      </c>
      <c r="P8" s="13">
        <f>SUM(P6:P7)</f>
        <v>3088</v>
      </c>
      <c r="Q8" s="13">
        <f>SUM(Q6:Q7)</f>
        <v>3215</v>
      </c>
      <c r="R8" s="13">
        <f>SUM(R6:R7)</f>
        <v>3407</v>
      </c>
      <c r="S8" s="13">
        <f>SUM(S6:S7)</f>
        <v>3568</v>
      </c>
      <c r="T8" s="13">
        <f>SUM(T6:T7)</f>
        <v>3770</v>
      </c>
      <c r="U8" s="5"/>
      <c r="V8" s="13">
        <f>SUM(V6:V7)</f>
        <v>8971</v>
      </c>
      <c r="W8" s="13">
        <f>SUM(W6:W7)</f>
        <v>9478</v>
      </c>
      <c r="X8" s="13">
        <f>SUM(X6:X7)</f>
        <v>9955</v>
      </c>
      <c r="Y8" s="13">
        <f>SUM(Y6:Y7)</f>
        <v>10464</v>
      </c>
      <c r="Z8" s="13">
        <f>SUM(Z6:Z7)</f>
        <v>10984</v>
      </c>
      <c r="AA8" s="13">
        <f>SUM(AA6:AA7)</f>
        <v>11469</v>
      </c>
      <c r="AB8" s="13">
        <f>SUM(AB6:AB7)</f>
        <v>12057</v>
      </c>
      <c r="AC8" s="13">
        <f>SUM(AC6:AC7)</f>
        <v>12667</v>
      </c>
      <c r="AD8" s="13">
        <f>SUM(AD6:AD7)</f>
        <v>13278</v>
      </c>
      <c r="AE8" s="13">
        <f>SUM(AE6:AE7)</f>
        <v>13960</v>
      </c>
      <c r="AG8" s="109">
        <f>SUM(AE8/AA8)-1</f>
        <v>0.21719417560380161</v>
      </c>
    </row>
    <row r="9" spans="2:33" ht="12.75" customHeight="1">
      <c r="B9" s="14" t="s">
        <v>27</v>
      </c>
      <c r="C9" s="99"/>
      <c r="D9" s="15">
        <f>SUM(D8/C8)-1</f>
        <v>0.23823326432022074</v>
      </c>
      <c r="E9" s="15">
        <f>SUM(E8/D8)-1</f>
        <v>0.22438970014491133</v>
      </c>
      <c r="F9" s="15">
        <f>SUM(F8/E8)-1</f>
        <v>0.20884923525127452</v>
      </c>
      <c r="G9" s="11"/>
      <c r="H9" s="99"/>
      <c r="I9" s="99"/>
      <c r="J9" s="99"/>
      <c r="K9" s="99"/>
      <c r="L9" s="15">
        <f t="shared" ref="L9:S9" si="13">SUM(L8/H8)-1</f>
        <v>0.24188931297709915</v>
      </c>
      <c r="M9" s="15">
        <f t="shared" si="13"/>
        <v>0.22186046511627899</v>
      </c>
      <c r="N9" s="15">
        <f t="shared" si="13"/>
        <v>0.222465034965035</v>
      </c>
      <c r="O9" s="15">
        <f t="shared" si="13"/>
        <v>0.21337710299548629</v>
      </c>
      <c r="P9" s="15">
        <f t="shared" si="13"/>
        <v>0.18632347291586626</v>
      </c>
      <c r="Q9" s="15">
        <f t="shared" si="13"/>
        <v>0.22382946326608288</v>
      </c>
      <c r="R9" s="15">
        <f t="shared" si="13"/>
        <v>0.21809081158383981</v>
      </c>
      <c r="S9" s="15">
        <f t="shared" si="13"/>
        <v>0.20662833953331083</v>
      </c>
      <c r="T9" s="15">
        <f t="shared" ref="T9" si="14">SUM(T8/P8)-1</f>
        <v>0.22085492227979264</v>
      </c>
      <c r="U9" s="5"/>
      <c r="V9" s="99"/>
      <c r="W9" s="99"/>
      <c r="X9" s="99"/>
      <c r="Y9" s="99"/>
      <c r="Z9" s="15">
        <f t="shared" ref="Z9:AE9" si="15">SUM(Z8/V8)-1</f>
        <v>0.22438970014491133</v>
      </c>
      <c r="AA9" s="15">
        <f t="shared" si="15"/>
        <v>0.21006541464443984</v>
      </c>
      <c r="AB9" s="15">
        <f t="shared" si="15"/>
        <v>0.21115017579105988</v>
      </c>
      <c r="AC9" s="15">
        <f t="shared" si="15"/>
        <v>0.21053134556574915</v>
      </c>
      <c r="AD9" s="15">
        <f t="shared" si="15"/>
        <v>0.20884923525127452</v>
      </c>
      <c r="AE9" s="15">
        <f t="shared" si="15"/>
        <v>0.21719417560380161</v>
      </c>
      <c r="AG9" s="110">
        <f>SUM(AE9-AA9)*10000</f>
        <v>71.287609593617688</v>
      </c>
    </row>
    <row r="10" spans="2:33" ht="12.75" customHeight="1">
      <c r="B10" s="14" t="s">
        <v>28</v>
      </c>
      <c r="C10" s="99"/>
      <c r="D10" s="99"/>
      <c r="E10" s="99"/>
      <c r="F10" s="99"/>
      <c r="G10" s="11"/>
      <c r="H10" s="99"/>
      <c r="I10" s="15">
        <f>SUM(I8/H8)-1</f>
        <v>2.57633587786259E-2</v>
      </c>
      <c r="J10" s="15">
        <f>SUM(J8/I8)-1</f>
        <v>6.4186046511627959E-2</v>
      </c>
      <c r="K10" s="15">
        <f>SUM(K8/J8)-1</f>
        <v>6.5122377622377714E-2</v>
      </c>
      <c r="L10" s="15">
        <f>SUM(L8/K8)-1</f>
        <v>6.8116536725482124E-2</v>
      </c>
      <c r="M10" s="15">
        <f t="shared" ref="M10:S10" si="16">SUM(M8/L8)-1</f>
        <v>9.2201306185171195E-3</v>
      </c>
      <c r="N10" s="15">
        <f t="shared" si="16"/>
        <v>6.4712599923867575E-2</v>
      </c>
      <c r="O10" s="15">
        <f t="shared" si="16"/>
        <v>5.7204147300679242E-2</v>
      </c>
      <c r="P10" s="15">
        <f t="shared" si="16"/>
        <v>4.4301657084883317E-2</v>
      </c>
      <c r="Q10" s="15">
        <f t="shared" si="16"/>
        <v>4.1126943005181271E-2</v>
      </c>
      <c r="R10" s="15">
        <f t="shared" si="16"/>
        <v>5.9720062208398206E-2</v>
      </c>
      <c r="S10" s="15">
        <f t="shared" si="16"/>
        <v>4.7255650132081106E-2</v>
      </c>
      <c r="T10" s="15">
        <f t="shared" ref="T10" si="17">SUM(T8/S8)-1</f>
        <v>5.6614349775784722E-2</v>
      </c>
      <c r="U10" s="5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G10" s="107"/>
    </row>
    <row r="11" spans="2:33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19"/>
      <c r="M11" s="19"/>
      <c r="N11" s="19"/>
      <c r="O11" s="20"/>
      <c r="P11" s="19"/>
      <c r="Q11" s="19"/>
      <c r="R11" s="19"/>
      <c r="S11" s="19"/>
      <c r="T11" s="19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07"/>
    </row>
    <row r="12" spans="2:33" ht="12.75" customHeight="1">
      <c r="B12" s="21" t="s">
        <v>172</v>
      </c>
      <c r="C12" s="80">
        <f>'Historical Financials'!C13</f>
        <v>-1187</v>
      </c>
      <c r="D12" s="80">
        <f>'Historical Financials'!D13</f>
        <v>-1606</v>
      </c>
      <c r="E12" s="80">
        <f>'Historical Financials'!E13</f>
        <v>-1942</v>
      </c>
      <c r="F12" s="80">
        <f>'Historical Financials'!F13</f>
        <v>-2569</v>
      </c>
      <c r="G12" s="10"/>
      <c r="H12" s="80">
        <f>'Historical Financials'!H13</f>
        <v>-354</v>
      </c>
      <c r="I12" s="80">
        <f>'Historical Financials'!I13</f>
        <v>-389</v>
      </c>
      <c r="J12" s="80">
        <f>'Historical Financials'!J13</f>
        <v>-420</v>
      </c>
      <c r="K12" s="80">
        <f>'Historical Financials'!K13</f>
        <v>-443</v>
      </c>
      <c r="L12" s="80">
        <f>'Historical Financials'!L13</f>
        <v>-441</v>
      </c>
      <c r="M12" s="80">
        <f>'Historical Financials'!M13</f>
        <v>-469</v>
      </c>
      <c r="N12" s="80">
        <f>'Historical Financials'!N13</f>
        <v>-496</v>
      </c>
      <c r="O12" s="80">
        <f>'Historical Financials'!O13</f>
        <v>-536</v>
      </c>
      <c r="P12" s="80">
        <f>'Historical Financials'!P13</f>
        <v>-561</v>
      </c>
      <c r="Q12" s="80">
        <f>'Historical Financials'!Q13</f>
        <v>-625</v>
      </c>
      <c r="R12" s="80">
        <f>'Historical Financials'!R13</f>
        <v>-666</v>
      </c>
      <c r="S12" s="80">
        <f>'Historical Financials'!S13</f>
        <v>-717</v>
      </c>
      <c r="T12" s="80">
        <f>'Historical Financials'!T13</f>
        <v>-820</v>
      </c>
      <c r="U12" s="5"/>
      <c r="V12" s="126">
        <f t="shared" ref="V12" si="18">SUM(H12:K12)</f>
        <v>-1606</v>
      </c>
      <c r="W12" s="126">
        <f t="shared" ref="W12" si="19">SUM(I12:L12)</f>
        <v>-1693</v>
      </c>
      <c r="X12" s="126">
        <f t="shared" ref="X12" si="20">SUM(J12:M12)</f>
        <v>-1773</v>
      </c>
      <c r="Y12" s="126">
        <f t="shared" ref="Y12" si="21">SUM(K12:N12)</f>
        <v>-1849</v>
      </c>
      <c r="Z12" s="126">
        <f t="shared" ref="Z12" si="22">SUM(L12:O12)</f>
        <v>-1942</v>
      </c>
      <c r="AA12" s="126">
        <f t="shared" ref="AA12" si="23">SUM(M12:P12)</f>
        <v>-2062</v>
      </c>
      <c r="AB12" s="126">
        <f t="shared" ref="AB12" si="24">SUM(N12:Q12)</f>
        <v>-2218</v>
      </c>
      <c r="AC12" s="126">
        <f t="shared" ref="AC12" si="25">SUM(O12:R12)</f>
        <v>-2388</v>
      </c>
      <c r="AD12" s="126">
        <f t="shared" ref="AD12" si="26">SUM(P12:S12)</f>
        <v>-2569</v>
      </c>
      <c r="AE12" s="126">
        <f>SUM(Q12:T12)</f>
        <v>-2828</v>
      </c>
      <c r="AG12" s="108">
        <f>SUM(AE12/AA12)-1</f>
        <v>0.37148399612027161</v>
      </c>
    </row>
    <row r="13" spans="2:33" ht="12.75" customHeight="1">
      <c r="B13" s="21" t="s">
        <v>173</v>
      </c>
      <c r="C13" s="80">
        <f>'Historical Financials'!C14</f>
        <v>-386</v>
      </c>
      <c r="D13" s="80">
        <f>'Historical Financials'!D14</f>
        <v>-315</v>
      </c>
      <c r="E13" s="80">
        <f>'Historical Financials'!E14</f>
        <v>-345</v>
      </c>
      <c r="F13" s="80">
        <f>'Historical Financials'!F14</f>
        <v>-414</v>
      </c>
      <c r="G13" s="10"/>
      <c r="H13" s="80">
        <f>'Historical Financials'!H14</f>
        <v>-84</v>
      </c>
      <c r="I13" s="80">
        <f>'Historical Financials'!I14</f>
        <v>-82</v>
      </c>
      <c r="J13" s="80">
        <f>'Historical Financials'!J14</f>
        <v>-76</v>
      </c>
      <c r="K13" s="80">
        <f>'Historical Financials'!K14</f>
        <v>-73</v>
      </c>
      <c r="L13" s="80">
        <f>'Historical Financials'!L14</f>
        <v>-79</v>
      </c>
      <c r="M13" s="80">
        <f>'Historical Financials'!M14</f>
        <v>-83</v>
      </c>
      <c r="N13" s="80">
        <f>'Historical Financials'!N14</f>
        <v>-88</v>
      </c>
      <c r="O13" s="80">
        <f>'Historical Financials'!O14</f>
        <v>-95</v>
      </c>
      <c r="P13" s="80">
        <f>'Historical Financials'!P14</f>
        <v>-90</v>
      </c>
      <c r="Q13" s="80">
        <f>'Historical Financials'!Q14</f>
        <v>-99</v>
      </c>
      <c r="R13" s="80">
        <f>'Historical Financials'!R14</f>
        <v>-108</v>
      </c>
      <c r="S13" s="80">
        <f>'Historical Financials'!S14</f>
        <v>-117</v>
      </c>
      <c r="T13" s="80">
        <f>'Historical Financials'!T14</f>
        <v>-120</v>
      </c>
      <c r="U13" s="5"/>
      <c r="V13" s="126">
        <f t="shared" ref="V13" si="27">SUM(H13:K13)</f>
        <v>-315</v>
      </c>
      <c r="W13" s="126">
        <f t="shared" ref="W13" si="28">SUM(I13:L13)</f>
        <v>-310</v>
      </c>
      <c r="X13" s="126">
        <f t="shared" ref="X13" si="29">SUM(J13:M13)</f>
        <v>-311</v>
      </c>
      <c r="Y13" s="126">
        <f t="shared" ref="Y13" si="30">SUM(K13:N13)</f>
        <v>-323</v>
      </c>
      <c r="Z13" s="126">
        <f t="shared" ref="Z13" si="31">SUM(L13:O13)</f>
        <v>-345</v>
      </c>
      <c r="AA13" s="126">
        <f t="shared" ref="AA13" si="32">SUM(M13:P13)</f>
        <v>-356</v>
      </c>
      <c r="AB13" s="126">
        <f t="shared" ref="AB13" si="33">SUM(N13:Q13)</f>
        <v>-372</v>
      </c>
      <c r="AC13" s="126">
        <f t="shared" ref="AC13" si="34">SUM(O13:R13)</f>
        <v>-392</v>
      </c>
      <c r="AD13" s="126">
        <f t="shared" ref="AD13:AE13" si="35">SUM(P13:S13)</f>
        <v>-414</v>
      </c>
      <c r="AE13" s="126">
        <f t="shared" si="35"/>
        <v>-444</v>
      </c>
      <c r="AG13" s="108">
        <f t="shared" ref="AG13" si="36">SUM(AE13/AA13)-1</f>
        <v>0.24719101123595499</v>
      </c>
    </row>
    <row r="14" spans="2:33" ht="12.75" customHeight="1">
      <c r="B14" s="23" t="s">
        <v>21</v>
      </c>
      <c r="C14" s="24">
        <f>SUM(C8+SUM(C12:C13))</f>
        <v>5672</v>
      </c>
      <c r="D14" s="24">
        <f t="shared" ref="D14:H14" si="37">SUM(D8+SUM(D12:D13))</f>
        <v>7050</v>
      </c>
      <c r="E14" s="24">
        <f t="shared" si="37"/>
        <v>8697</v>
      </c>
      <c r="F14" s="24">
        <f t="shared" si="37"/>
        <v>10295</v>
      </c>
      <c r="G14" s="5"/>
      <c r="H14" s="24">
        <f t="shared" si="37"/>
        <v>1658</v>
      </c>
      <c r="I14" s="24">
        <f t="shared" ref="I14" si="38">SUM(I8+SUM(I12:I13))</f>
        <v>1679</v>
      </c>
      <c r="J14" s="24">
        <f t="shared" ref="J14" si="39">SUM(J8+SUM(J12:J13))</f>
        <v>1792</v>
      </c>
      <c r="K14" s="24">
        <f t="shared" ref="K14" si="40">SUM(K8+SUM(K12:K13))</f>
        <v>1921</v>
      </c>
      <c r="L14" s="24">
        <f t="shared" ref="L14" si="41">SUM(L8+SUM(L12:L13))</f>
        <v>2083</v>
      </c>
      <c r="M14" s="24">
        <f t="shared" ref="M14" si="42">SUM(M8+SUM(M12:M13))</f>
        <v>2075</v>
      </c>
      <c r="N14" s="24">
        <f t="shared" ref="N14" si="43">SUM(N8+SUM(N12:N13))</f>
        <v>2213</v>
      </c>
      <c r="O14" s="24">
        <f t="shared" ref="O14" si="44">SUM(O8+SUM(O12:O13))</f>
        <v>2326</v>
      </c>
      <c r="P14" s="24">
        <f t="shared" ref="P14" si="45">SUM(P8+SUM(P12:P13))</f>
        <v>2437</v>
      </c>
      <c r="Q14" s="24">
        <f t="shared" ref="Q14" si="46">SUM(Q8+SUM(Q12:Q13))</f>
        <v>2491</v>
      </c>
      <c r="R14" s="24">
        <f t="shared" ref="R14" si="47">SUM(R8+SUM(R12:R13))</f>
        <v>2633</v>
      </c>
      <c r="S14" s="24">
        <f t="shared" ref="S14" si="48">SUM(S8+SUM(S12:S13))</f>
        <v>2734</v>
      </c>
      <c r="T14" s="24">
        <f t="shared" ref="T14" si="49">SUM(T8+SUM(T12:T13))</f>
        <v>2830</v>
      </c>
      <c r="U14" s="5"/>
      <c r="V14" s="24">
        <f t="shared" ref="V14" si="50">SUM(V8+SUM(V12:V13))</f>
        <v>7050</v>
      </c>
      <c r="W14" s="24">
        <f t="shared" ref="W14" si="51">SUM(W8+SUM(W12:W13))</f>
        <v>7475</v>
      </c>
      <c r="X14" s="24">
        <f t="shared" ref="X14" si="52">SUM(X8+SUM(X12:X13))</f>
        <v>7871</v>
      </c>
      <c r="Y14" s="24">
        <f t="shared" ref="Y14" si="53">SUM(Y8+SUM(Y12:Y13))</f>
        <v>8292</v>
      </c>
      <c r="Z14" s="24">
        <f t="shared" ref="Z14" si="54">SUM(Z8+SUM(Z12:Z13))</f>
        <v>8697</v>
      </c>
      <c r="AA14" s="24">
        <f t="shared" ref="AA14" si="55">SUM(AA8+SUM(AA12:AA13))</f>
        <v>9051</v>
      </c>
      <c r="AB14" s="24">
        <f t="shared" ref="AB14" si="56">SUM(AB8+SUM(AB12:AB13))</f>
        <v>9467</v>
      </c>
      <c r="AC14" s="24">
        <f t="shared" ref="AC14" si="57">SUM(AC8+SUM(AC12:AC13))</f>
        <v>9887</v>
      </c>
      <c r="AD14" s="24">
        <f t="shared" ref="AD14" si="58">SUM(AD8+SUM(AD12:AD13))</f>
        <v>10295</v>
      </c>
      <c r="AE14" s="24">
        <f t="shared" ref="AE14" si="59">SUM(AE8+SUM(AE12:AE13))</f>
        <v>10688</v>
      </c>
      <c r="AG14" s="109">
        <f>SUM(AE14/AA14)-1</f>
        <v>0.18086399292895816</v>
      </c>
    </row>
    <row r="15" spans="2:33" ht="12.75" customHeight="1">
      <c r="B15" s="14" t="s">
        <v>29</v>
      </c>
      <c r="C15" s="15">
        <f t="shared" ref="C15:F15" si="60">C14/C8</f>
        <v>0.78288474810213937</v>
      </c>
      <c r="D15" s="15">
        <f t="shared" si="60"/>
        <v>0.78586556682644071</v>
      </c>
      <c r="E15" s="15">
        <f t="shared" si="60"/>
        <v>0.79178805535324104</v>
      </c>
      <c r="F15" s="15">
        <f t="shared" si="60"/>
        <v>0.77534267208917007</v>
      </c>
      <c r="G15" s="25"/>
      <c r="H15" s="15">
        <f t="shared" ref="H15:T15" si="61">H14/H8</f>
        <v>0.79103053435114501</v>
      </c>
      <c r="I15" s="15">
        <f t="shared" si="61"/>
        <v>0.78093023255813954</v>
      </c>
      <c r="J15" s="15">
        <f t="shared" si="61"/>
        <v>0.78321678321678323</v>
      </c>
      <c r="K15" s="15">
        <f t="shared" si="61"/>
        <v>0.78826425933524824</v>
      </c>
      <c r="L15" s="15">
        <f t="shared" si="61"/>
        <v>0.80023050326546297</v>
      </c>
      <c r="M15" s="15">
        <f t="shared" si="61"/>
        <v>0.78987438142367716</v>
      </c>
      <c r="N15" s="15">
        <f t="shared" si="61"/>
        <v>0.79120486235252052</v>
      </c>
      <c r="O15" s="15">
        <f t="shared" si="61"/>
        <v>0.78660804869800471</v>
      </c>
      <c r="P15" s="15">
        <f t="shared" si="61"/>
        <v>0.78918393782383423</v>
      </c>
      <c r="Q15" s="15">
        <f t="shared" si="61"/>
        <v>0.77480559875583199</v>
      </c>
      <c r="R15" s="15">
        <f t="shared" si="61"/>
        <v>0.77282066334018196</v>
      </c>
      <c r="S15" s="15">
        <f t="shared" si="61"/>
        <v>0.76625560538116588</v>
      </c>
      <c r="T15" s="15">
        <f t="shared" si="61"/>
        <v>0.75066312997347484</v>
      </c>
      <c r="U15" s="26"/>
      <c r="V15" s="15">
        <f t="shared" ref="V15" si="62">V14/V8</f>
        <v>0.78586556682644071</v>
      </c>
      <c r="W15" s="15">
        <f t="shared" ref="W15:AE15" si="63">W14/W8</f>
        <v>0.78866849546317785</v>
      </c>
      <c r="X15" s="15">
        <f t="shared" si="63"/>
        <v>0.79065796082370665</v>
      </c>
      <c r="Y15" s="15">
        <f t="shared" si="63"/>
        <v>0.79243119266055051</v>
      </c>
      <c r="Z15" s="15">
        <f t="shared" si="63"/>
        <v>0.79178805535324104</v>
      </c>
      <c r="AA15" s="15">
        <f t="shared" si="63"/>
        <v>0.78917080826575992</v>
      </c>
      <c r="AB15" s="15">
        <f t="shared" si="63"/>
        <v>0.78518702828232567</v>
      </c>
      <c r="AC15" s="15">
        <f t="shared" si="63"/>
        <v>0.78053209126075629</v>
      </c>
      <c r="AD15" s="15">
        <f t="shared" si="63"/>
        <v>0.77534267208917007</v>
      </c>
      <c r="AE15" s="15">
        <f t="shared" si="63"/>
        <v>0.76561604584527221</v>
      </c>
      <c r="AG15" s="110">
        <f>SUM(AE15-AA15)*10000</f>
        <v>-235.54762420487708</v>
      </c>
    </row>
    <row r="16" spans="2:33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5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G16" s="107"/>
    </row>
    <row r="17" spans="2:33" ht="12.75" customHeight="1">
      <c r="B17" s="21" t="s">
        <v>176</v>
      </c>
      <c r="C17" s="127">
        <f>'Historical Financials'!C18</f>
        <v>-2814</v>
      </c>
      <c r="D17" s="127">
        <f>'Historical Financials'!D18</f>
        <v>-3301</v>
      </c>
      <c r="E17" s="127">
        <f>'Historical Financials'!E18</f>
        <v>-3854</v>
      </c>
      <c r="F17" s="127">
        <f>'Historical Financials'!F18</f>
        <v>-4388</v>
      </c>
      <c r="G17" s="80"/>
      <c r="H17" s="127">
        <f>'Historical Financials'!H18</f>
        <v>-823</v>
      </c>
      <c r="I17" s="127">
        <f>'Historical Financials'!I18</f>
        <v>-832</v>
      </c>
      <c r="J17" s="127">
        <f>'Historical Financials'!J18</f>
        <v>-799</v>
      </c>
      <c r="K17" s="127">
        <f>'Historical Financials'!K18</f>
        <v>-847</v>
      </c>
      <c r="L17" s="127">
        <f>'Historical Financials'!L18</f>
        <v>-923</v>
      </c>
      <c r="M17" s="127">
        <f>'Historical Financials'!M18</f>
        <v>-960</v>
      </c>
      <c r="N17" s="127">
        <f>'Historical Financials'!N18</f>
        <v>-944</v>
      </c>
      <c r="O17" s="127">
        <f>'Historical Financials'!O18</f>
        <v>-1027</v>
      </c>
      <c r="P17" s="127">
        <f>'Historical Financials'!P18</f>
        <v>-1054</v>
      </c>
      <c r="Q17" s="127">
        <f>'Historical Financials'!Q18</f>
        <v>-1128</v>
      </c>
      <c r="R17" s="127">
        <f>'Historical Financials'!R18</f>
        <v>-1056</v>
      </c>
      <c r="S17" s="127">
        <f>'Historical Financials'!S18</f>
        <v>-1150</v>
      </c>
      <c r="T17" s="127">
        <f>'Historical Financials'!T18</f>
        <v>-1216</v>
      </c>
      <c r="U17" s="5"/>
      <c r="V17" s="126">
        <f t="shared" ref="V17" si="64">SUM(H17:K17)</f>
        <v>-3301</v>
      </c>
      <c r="W17" s="126">
        <f t="shared" ref="W17" si="65">SUM(I17:L17)</f>
        <v>-3401</v>
      </c>
      <c r="X17" s="126">
        <f t="shared" ref="X17" si="66">SUM(J17:M17)</f>
        <v>-3529</v>
      </c>
      <c r="Y17" s="126">
        <f t="shared" ref="Y17" si="67">SUM(K17:N17)</f>
        <v>-3674</v>
      </c>
      <c r="Z17" s="126">
        <f t="shared" ref="Z17" si="68">SUM(L17:O17)</f>
        <v>-3854</v>
      </c>
      <c r="AA17" s="126">
        <f t="shared" ref="AA17" si="69">SUM(M17:P17)</f>
        <v>-3985</v>
      </c>
      <c r="AB17" s="126">
        <f t="shared" ref="AB17" si="70">SUM(N17:Q17)</f>
        <v>-4153</v>
      </c>
      <c r="AC17" s="126">
        <f t="shared" ref="AC17" si="71">SUM(O17:R17)</f>
        <v>-4265</v>
      </c>
      <c r="AD17" s="126">
        <f t="shared" ref="AD17" si="72">SUM(P17:S17)</f>
        <v>-4388</v>
      </c>
      <c r="AE17" s="126">
        <f t="shared" ref="AE17" si="73">SUM(Q17:T17)</f>
        <v>-4550</v>
      </c>
      <c r="AG17" s="108">
        <f>SUM(AE17/AA17)-1</f>
        <v>0.14178168130489333</v>
      </c>
    </row>
    <row r="18" spans="2:33" ht="12.75" customHeight="1">
      <c r="B18" s="21" t="s">
        <v>175</v>
      </c>
      <c r="C18" s="127">
        <f>'Historical Financials'!C19</f>
        <v>-735</v>
      </c>
      <c r="D18" s="127">
        <f>'Historical Financials'!D19</f>
        <v>-863</v>
      </c>
      <c r="E18" s="127">
        <f>'Historical Financials'!E19</f>
        <v>-936</v>
      </c>
      <c r="F18" s="127">
        <f>'Historical Financials'!F19</f>
        <v>-1123</v>
      </c>
      <c r="G18" s="80"/>
      <c r="H18" s="127">
        <f>'Historical Financials'!H19</f>
        <v>-199</v>
      </c>
      <c r="I18" s="127">
        <f>'Historical Financials'!I19</f>
        <v>-209</v>
      </c>
      <c r="J18" s="127">
        <f>'Historical Financials'!J19</f>
        <v>-213</v>
      </c>
      <c r="K18" s="127">
        <f>'Historical Financials'!K19</f>
        <v>-242</v>
      </c>
      <c r="L18" s="127">
        <f>'Historical Financials'!L19</f>
        <v>-222</v>
      </c>
      <c r="M18" s="127">
        <f>'Historical Financials'!M19</f>
        <v>-232</v>
      </c>
      <c r="N18" s="127">
        <f>'Historical Financials'!N19</f>
        <v>-225</v>
      </c>
      <c r="O18" s="127">
        <f>'Historical Financials'!O19</f>
        <v>-257</v>
      </c>
      <c r="P18" s="127">
        <f>'Historical Financials'!P19</f>
        <v>-229</v>
      </c>
      <c r="Q18" s="127">
        <f>'Historical Financials'!Q19</f>
        <v>-271</v>
      </c>
      <c r="R18" s="127">
        <f>'Historical Financials'!R19</f>
        <v>-255</v>
      </c>
      <c r="S18" s="127">
        <f>'Historical Financials'!S19</f>
        <v>-368</v>
      </c>
      <c r="T18" s="127">
        <f>'Historical Financials'!T19</f>
        <v>-288</v>
      </c>
      <c r="U18" s="5"/>
      <c r="V18" s="126">
        <f t="shared" ref="V18:V19" si="74">SUM(H18:K18)</f>
        <v>-863</v>
      </c>
      <c r="W18" s="126">
        <f t="shared" ref="W18:W19" si="75">SUM(I18:L18)</f>
        <v>-886</v>
      </c>
      <c r="X18" s="126">
        <f t="shared" ref="X18:X19" si="76">SUM(J18:M18)</f>
        <v>-909</v>
      </c>
      <c r="Y18" s="126">
        <f t="shared" ref="Y18:Y19" si="77">SUM(K18:N18)</f>
        <v>-921</v>
      </c>
      <c r="Z18" s="126">
        <f t="shared" ref="Z18:Z19" si="78">SUM(L18:O18)</f>
        <v>-936</v>
      </c>
      <c r="AA18" s="126">
        <f t="shared" ref="AA18:AA19" si="79">SUM(M18:P18)</f>
        <v>-943</v>
      </c>
      <c r="AB18" s="126">
        <f t="shared" ref="AB18:AB19" si="80">SUM(N18:Q18)</f>
        <v>-982</v>
      </c>
      <c r="AC18" s="126">
        <f t="shared" ref="AC18:AC19" si="81">SUM(O18:R18)</f>
        <v>-1012</v>
      </c>
      <c r="AD18" s="126">
        <f t="shared" ref="AD18:AD19" si="82">SUM(P18:S18)</f>
        <v>-1123</v>
      </c>
      <c r="AE18" s="126">
        <f t="shared" ref="AE18:AE19" si="83">SUM(Q18:T18)</f>
        <v>-1182</v>
      </c>
      <c r="AG18" s="108">
        <f t="shared" ref="AG18:AG19" si="84">SUM(AE18/AA18)-1</f>
        <v>0.25344644750795342</v>
      </c>
    </row>
    <row r="19" spans="2:33" ht="12.75" customHeight="1">
      <c r="B19" s="21" t="s">
        <v>174</v>
      </c>
      <c r="C19" s="127">
        <f>'Historical Financials'!C20</f>
        <v>-1768</v>
      </c>
      <c r="D19" s="127">
        <f>'Historical Financials'!D20</f>
        <v>-2124</v>
      </c>
      <c r="E19" s="127">
        <f>'Historical Financials'!E20</f>
        <v>-2543</v>
      </c>
      <c r="F19" s="127">
        <f>'Historical Financials'!F20</f>
        <v>-2960</v>
      </c>
      <c r="G19" s="80"/>
      <c r="H19" s="127">
        <f>'Historical Financials'!H20</f>
        <v>-492</v>
      </c>
      <c r="I19" s="127">
        <f>'Historical Financials'!I20</f>
        <v>-521</v>
      </c>
      <c r="J19" s="127">
        <f>'Historical Financials'!J20</f>
        <v>-549</v>
      </c>
      <c r="K19" s="127">
        <f>'Historical Financials'!K20</f>
        <v>-562</v>
      </c>
      <c r="L19" s="127">
        <f>'Historical Financials'!L20</f>
        <v>-606</v>
      </c>
      <c r="M19" s="127">
        <f>'Historical Financials'!M20</f>
        <v>-643</v>
      </c>
      <c r="N19" s="127">
        <f>'Historical Financials'!N20</f>
        <v>-626</v>
      </c>
      <c r="O19" s="127">
        <f>'Historical Financials'!O20</f>
        <v>-668</v>
      </c>
      <c r="P19" s="127">
        <f>'Historical Financials'!P20</f>
        <v>-703</v>
      </c>
      <c r="Q19" s="127">
        <f>'Historical Financials'!Q20</f>
        <v>-734</v>
      </c>
      <c r="R19" s="127">
        <f>'Historical Financials'!R20</f>
        <v>-750</v>
      </c>
      <c r="S19" s="127">
        <f>'Historical Financials'!S20</f>
        <v>-773</v>
      </c>
      <c r="T19" s="127">
        <f>'Historical Financials'!T20</f>
        <v>-823</v>
      </c>
      <c r="U19" s="5"/>
      <c r="V19" s="126">
        <f t="shared" si="74"/>
        <v>-2124</v>
      </c>
      <c r="W19" s="126">
        <f t="shared" si="75"/>
        <v>-2238</v>
      </c>
      <c r="X19" s="126">
        <f t="shared" si="76"/>
        <v>-2360</v>
      </c>
      <c r="Y19" s="126">
        <f t="shared" si="77"/>
        <v>-2437</v>
      </c>
      <c r="Z19" s="126">
        <f t="shared" si="78"/>
        <v>-2543</v>
      </c>
      <c r="AA19" s="126">
        <f t="shared" si="79"/>
        <v>-2640</v>
      </c>
      <c r="AB19" s="126">
        <f t="shared" si="80"/>
        <v>-2731</v>
      </c>
      <c r="AC19" s="126">
        <f t="shared" si="81"/>
        <v>-2855</v>
      </c>
      <c r="AD19" s="126">
        <f t="shared" si="82"/>
        <v>-2960</v>
      </c>
      <c r="AE19" s="126">
        <f t="shared" si="83"/>
        <v>-3080</v>
      </c>
      <c r="AG19" s="108">
        <f t="shared" si="84"/>
        <v>0.16666666666666674</v>
      </c>
    </row>
    <row r="20" spans="2:33" ht="12.75" customHeight="1">
      <c r="B20" s="12" t="s">
        <v>30</v>
      </c>
      <c r="C20" s="13">
        <f>SUM(C14+SUM(C17:C19))</f>
        <v>355</v>
      </c>
      <c r="D20" s="13">
        <f>SUM(D14+SUM(D17:D19))</f>
        <v>762</v>
      </c>
      <c r="E20" s="13">
        <f>SUM(E14+SUM(E17:E19))</f>
        <v>1364</v>
      </c>
      <c r="F20" s="13">
        <f>SUM(F14+SUM(F17:F19))</f>
        <v>1824</v>
      </c>
      <c r="G20" s="11"/>
      <c r="H20" s="13">
        <f>SUM(H14+SUM(H17:H19))</f>
        <v>144</v>
      </c>
      <c r="I20" s="13">
        <f>SUM(I14+SUM(I17:I19))</f>
        <v>117</v>
      </c>
      <c r="J20" s="13">
        <f>SUM(J14+SUM(J17:J19))</f>
        <v>231</v>
      </c>
      <c r="K20" s="13">
        <f>SUM(K14+SUM(K17:K19))</f>
        <v>270</v>
      </c>
      <c r="L20" s="13">
        <f>SUM(L14+SUM(L17:L19))</f>
        <v>332</v>
      </c>
      <c r="M20" s="13">
        <f>SUM(M14+SUM(M17:M19))</f>
        <v>240</v>
      </c>
      <c r="N20" s="13">
        <f>SUM(N14+SUM(N17:N19))</f>
        <v>418</v>
      </c>
      <c r="O20" s="13">
        <f>SUM(O14+SUM(O17:O19))</f>
        <v>374</v>
      </c>
      <c r="P20" s="13">
        <f>SUM(P14+SUM(P17:P19))</f>
        <v>451</v>
      </c>
      <c r="Q20" s="13">
        <f>SUM(Q14+SUM(Q17:Q19))</f>
        <v>358</v>
      </c>
      <c r="R20" s="13">
        <f>SUM(R14+SUM(R17:R19))</f>
        <v>572</v>
      </c>
      <c r="S20" s="13">
        <f>SUM(S14+SUM(S17:S19))</f>
        <v>443</v>
      </c>
      <c r="T20" s="13">
        <f>SUM(T14+SUM(T17:T19))</f>
        <v>503</v>
      </c>
      <c r="U20" s="5"/>
      <c r="V20" s="13">
        <f>SUM(V14+SUM(V17:V19))</f>
        <v>762</v>
      </c>
      <c r="W20" s="13">
        <f>SUM(W14+SUM(W17:W19))</f>
        <v>950</v>
      </c>
      <c r="X20" s="13">
        <f>SUM(X14+SUM(X17:X19))</f>
        <v>1073</v>
      </c>
      <c r="Y20" s="13">
        <f>SUM(Y14+SUM(Y17:Y19))</f>
        <v>1260</v>
      </c>
      <c r="Z20" s="13">
        <f>SUM(Z14+SUM(Z17:Z19))</f>
        <v>1364</v>
      </c>
      <c r="AA20" s="13">
        <f>SUM(AA14+SUM(AA17:AA19))</f>
        <v>1483</v>
      </c>
      <c r="AB20" s="13">
        <f>SUM(AB14+SUM(AB17:AB19))</f>
        <v>1601</v>
      </c>
      <c r="AC20" s="13">
        <f>SUM(AC14+SUM(AC17:AC19))</f>
        <v>1755</v>
      </c>
      <c r="AD20" s="13">
        <f>SUM(AD14+SUM(AD17:AD19))</f>
        <v>1824</v>
      </c>
      <c r="AE20" s="13">
        <f>SUM(AE14+SUM(AE17:AE19))</f>
        <v>1876</v>
      </c>
      <c r="AG20" s="109">
        <f>SUM(AE20/AA20)-1</f>
        <v>0.26500337154416731</v>
      </c>
    </row>
    <row r="21" spans="2:33" ht="12.75" customHeight="1">
      <c r="B21" s="14" t="s">
        <v>31</v>
      </c>
      <c r="C21" s="15">
        <f>C20/C8</f>
        <v>4.8999309868875088E-2</v>
      </c>
      <c r="D21" s="15">
        <f>D20/D8</f>
        <v>8.4940363393155721E-2</v>
      </c>
      <c r="E21" s="15">
        <f>E20/E8</f>
        <v>0.12418062636562273</v>
      </c>
      <c r="F21" s="15">
        <f>F20/F8</f>
        <v>0.13737008585630367</v>
      </c>
      <c r="G21" s="25"/>
      <c r="H21" s="15">
        <f>H20/H8</f>
        <v>6.8702290076335881E-2</v>
      </c>
      <c r="I21" s="15">
        <f>I20/I8</f>
        <v>5.4418604651162793E-2</v>
      </c>
      <c r="J21" s="15">
        <f>J20/J8</f>
        <v>0.10096153846153846</v>
      </c>
      <c r="K21" s="15">
        <f>K20/K8</f>
        <v>0.1107919573245794</v>
      </c>
      <c r="L21" s="15">
        <f>L20/L8</f>
        <v>0.12754514022281982</v>
      </c>
      <c r="M21" s="15">
        <f>M20/M8</f>
        <v>9.1358964598401218E-2</v>
      </c>
      <c r="N21" s="15">
        <f>N20/N8</f>
        <v>0.14944583482302468</v>
      </c>
      <c r="O21" s="15">
        <f>O20/O8</f>
        <v>0.12647954007439974</v>
      </c>
      <c r="P21" s="15">
        <f>P20/P8</f>
        <v>0.14604922279792745</v>
      </c>
      <c r="Q21" s="15">
        <f>Q20/Q8</f>
        <v>0.11135303265940902</v>
      </c>
      <c r="R21" s="15">
        <f>R20/R8</f>
        <v>0.16788963897857354</v>
      </c>
      <c r="S21" s="15">
        <f>S20/S8</f>
        <v>0.12415919282511211</v>
      </c>
      <c r="T21" s="15">
        <f>T20/T8</f>
        <v>0.13342175066312997</v>
      </c>
      <c r="U21" s="26"/>
      <c r="V21" s="15">
        <f>V20/V8</f>
        <v>8.4940363393155721E-2</v>
      </c>
      <c r="W21" s="15">
        <f>W20/W8</f>
        <v>0.1002321164802701</v>
      </c>
      <c r="X21" s="15">
        <f>X20/X8</f>
        <v>0.1077850326469111</v>
      </c>
      <c r="Y21" s="15">
        <f>Y20/Y8</f>
        <v>0.12041284403669725</v>
      </c>
      <c r="Z21" s="15">
        <f>Z20/Z8</f>
        <v>0.12418062636562273</v>
      </c>
      <c r="AA21" s="15">
        <f>AA20/AA8</f>
        <v>0.12930508326793966</v>
      </c>
      <c r="AB21" s="15">
        <f>AB20/AB8</f>
        <v>0.13278593348262421</v>
      </c>
      <c r="AC21" s="15">
        <f>AC20/AC8</f>
        <v>0.13854898555301176</v>
      </c>
      <c r="AD21" s="15">
        <f>AD20/AD8</f>
        <v>0.13737008585630367</v>
      </c>
      <c r="AE21" s="15">
        <f>AE20/AE8</f>
        <v>0.13438395415472779</v>
      </c>
      <c r="AG21" s="110">
        <f>SUM(AE21-AA21)*10000</f>
        <v>50.788708867881283</v>
      </c>
    </row>
    <row r="22" spans="2:33" ht="5.0999999999999996" customHeight="1">
      <c r="AG22" s="107"/>
    </row>
    <row r="23" spans="2:33" ht="12.75" customHeight="1">
      <c r="B23" s="29" t="s">
        <v>92</v>
      </c>
      <c r="C23" s="127">
        <f>'Historical Financials'!C98</f>
        <v>433</v>
      </c>
      <c r="D23" s="127">
        <f>'Historical Financials'!D98</f>
        <v>562</v>
      </c>
      <c r="E23" s="127">
        <f>'Historical Financials'!E98</f>
        <v>564</v>
      </c>
      <c r="F23" s="127">
        <f>'Historical Financials'!F98</f>
        <v>738</v>
      </c>
      <c r="H23" s="127">
        <f>'Historical Financials'!H98</f>
        <v>126</v>
      </c>
      <c r="I23" s="127">
        <f>'Historical Financials'!I98</f>
        <v>136</v>
      </c>
      <c r="J23" s="127">
        <f>'Historical Financials'!J98</f>
        <v>146</v>
      </c>
      <c r="K23" s="127">
        <f>'Historical Financials'!K98</f>
        <v>154</v>
      </c>
      <c r="L23" s="127">
        <f>'Historical Financials'!L98</f>
        <v>130</v>
      </c>
      <c r="M23" s="127">
        <f>'Historical Financials'!M98</f>
        <v>136</v>
      </c>
      <c r="N23" s="127">
        <f>'Historical Financials'!N98</f>
        <v>144</v>
      </c>
      <c r="O23" s="127">
        <f>'Historical Financials'!O98</f>
        <v>154</v>
      </c>
      <c r="P23" s="127">
        <f>'Historical Financials'!P98</f>
        <v>160</v>
      </c>
      <c r="Q23" s="127">
        <f>'Historical Financials'!Q98</f>
        <v>172</v>
      </c>
      <c r="R23" s="127">
        <f>'Historical Financials'!R98</f>
        <v>194</v>
      </c>
      <c r="S23" s="127">
        <f>'Historical Financials'!S98</f>
        <v>212</v>
      </c>
      <c r="T23" s="127">
        <f>'Historical Financials'!T98</f>
        <v>258</v>
      </c>
      <c r="V23" s="126">
        <f t="shared" ref="V23" si="85">SUM(H23:K23)</f>
        <v>562</v>
      </c>
      <c r="W23" s="126">
        <f t="shared" ref="W23" si="86">SUM(I23:L23)</f>
        <v>566</v>
      </c>
      <c r="X23" s="126">
        <f t="shared" ref="X23" si="87">SUM(J23:M23)</f>
        <v>566</v>
      </c>
      <c r="Y23" s="126">
        <f t="shared" ref="Y23" si="88">SUM(K23:N23)</f>
        <v>564</v>
      </c>
      <c r="Z23" s="126">
        <f t="shared" ref="Z23" si="89">SUM(L23:O23)</f>
        <v>564</v>
      </c>
      <c r="AA23" s="126">
        <f t="shared" ref="AA23" si="90">SUM(M23:P23)</f>
        <v>594</v>
      </c>
      <c r="AB23" s="126">
        <f t="shared" ref="AB23" si="91">SUM(N23:Q23)</f>
        <v>630</v>
      </c>
      <c r="AC23" s="126">
        <f t="shared" ref="AC23" si="92">SUM(O23:R23)</f>
        <v>680</v>
      </c>
      <c r="AD23" s="126">
        <f t="shared" ref="AD23" si="93">SUM(P23:S23)</f>
        <v>738</v>
      </c>
      <c r="AE23" s="126">
        <f>SUM(Q23:T23)</f>
        <v>836</v>
      </c>
      <c r="AG23" s="108">
        <f>SUM(AE23/AA23)-1</f>
        <v>0.40740740740740744</v>
      </c>
    </row>
    <row r="24" spans="2:33" ht="12.75" customHeight="1">
      <c r="B24" s="23" t="s">
        <v>11</v>
      </c>
      <c r="C24" s="24">
        <f t="shared" ref="C24:F24" si="94">SUM(C20+SUM(C23:C23))</f>
        <v>788</v>
      </c>
      <c r="D24" s="24">
        <f t="shared" si="94"/>
        <v>1324</v>
      </c>
      <c r="E24" s="24">
        <f t="shared" si="94"/>
        <v>1928</v>
      </c>
      <c r="F24" s="24">
        <f t="shared" si="94"/>
        <v>2562</v>
      </c>
      <c r="H24" s="24">
        <f t="shared" ref="H24:Q24" si="95">SUM(H20+SUM(H23:H23))</f>
        <v>270</v>
      </c>
      <c r="I24" s="24">
        <f t="shared" si="95"/>
        <v>253</v>
      </c>
      <c r="J24" s="24">
        <f t="shared" si="95"/>
        <v>377</v>
      </c>
      <c r="K24" s="24">
        <f t="shared" si="95"/>
        <v>424</v>
      </c>
      <c r="L24" s="24">
        <f t="shared" si="95"/>
        <v>462</v>
      </c>
      <c r="M24" s="24">
        <f t="shared" si="95"/>
        <v>376</v>
      </c>
      <c r="N24" s="24">
        <f t="shared" si="95"/>
        <v>562</v>
      </c>
      <c r="O24" s="24">
        <f t="shared" si="95"/>
        <v>528</v>
      </c>
      <c r="P24" s="24">
        <f t="shared" si="95"/>
        <v>611</v>
      </c>
      <c r="Q24" s="24">
        <f t="shared" si="95"/>
        <v>530</v>
      </c>
      <c r="R24" s="24">
        <f t="shared" ref="R24:S24" si="96">SUM(R20+SUM(R23:R23))</f>
        <v>766</v>
      </c>
      <c r="S24" s="24">
        <f t="shared" si="96"/>
        <v>655</v>
      </c>
      <c r="T24" s="24">
        <f t="shared" ref="T24" si="97">SUM(T20+SUM(T23:T23))</f>
        <v>761</v>
      </c>
      <c r="V24" s="24">
        <f t="shared" ref="V24" si="98">SUM(V20+SUM(V23:V23))</f>
        <v>1324</v>
      </c>
      <c r="W24" s="24">
        <f t="shared" ref="W24:AE24" si="99">SUM(W20+SUM(W23:W23))</f>
        <v>1516</v>
      </c>
      <c r="X24" s="24">
        <f t="shared" si="99"/>
        <v>1639</v>
      </c>
      <c r="Y24" s="24">
        <f t="shared" si="99"/>
        <v>1824</v>
      </c>
      <c r="Z24" s="24">
        <f t="shared" si="99"/>
        <v>1928</v>
      </c>
      <c r="AA24" s="24">
        <f t="shared" si="99"/>
        <v>2077</v>
      </c>
      <c r="AB24" s="24">
        <f t="shared" si="99"/>
        <v>2231</v>
      </c>
      <c r="AC24" s="24">
        <f t="shared" si="99"/>
        <v>2435</v>
      </c>
      <c r="AD24" s="24">
        <f t="shared" si="99"/>
        <v>2562</v>
      </c>
      <c r="AE24" s="24">
        <f t="shared" si="99"/>
        <v>2712</v>
      </c>
      <c r="AG24" s="109">
        <f>SUM(AE24/AA24)-1</f>
        <v>0.30572941742898418</v>
      </c>
    </row>
    <row r="25" spans="2:33" ht="12.75" customHeight="1">
      <c r="B25" s="14" t="s">
        <v>32</v>
      </c>
      <c r="C25" s="15">
        <f>C24/C8</f>
        <v>0.10876466528640441</v>
      </c>
      <c r="D25" s="15">
        <f>D24/D8</f>
        <v>0.14758666815293725</v>
      </c>
      <c r="E25" s="15">
        <f>E24/E8</f>
        <v>0.1755280407865987</v>
      </c>
      <c r="F25" s="15">
        <f>F24/F8</f>
        <v>0.19295074559421599</v>
      </c>
      <c r="H25" s="15">
        <f>H24/H8</f>
        <v>0.12881679389312978</v>
      </c>
      <c r="I25" s="15">
        <f>I24/I8</f>
        <v>0.11767441860465117</v>
      </c>
      <c r="J25" s="15">
        <f>J24/J8</f>
        <v>0.16477272727272727</v>
      </c>
      <c r="K25" s="15">
        <f>K24/K8</f>
        <v>0.17398440705785803</v>
      </c>
      <c r="L25" s="15">
        <f>L24/L8</f>
        <v>0.17748751440645408</v>
      </c>
      <c r="M25" s="15">
        <f>M24/M8</f>
        <v>0.14312904453749525</v>
      </c>
      <c r="N25" s="15">
        <f>N24/N8</f>
        <v>0.20092956739363604</v>
      </c>
      <c r="O25" s="15">
        <f>O24/O8</f>
        <v>0.1785593506932702</v>
      </c>
      <c r="P25" s="15">
        <f>P24/P8</f>
        <v>0.19786269430051814</v>
      </c>
      <c r="Q25" s="15">
        <f>Q24/Q8</f>
        <v>0.16485225505443235</v>
      </c>
      <c r="R25" s="15">
        <f>R24/R8</f>
        <v>0.22483122982095685</v>
      </c>
      <c r="S25" s="15">
        <f>S24/S8</f>
        <v>0.18357623318385649</v>
      </c>
      <c r="T25" s="15">
        <f>T24/T8</f>
        <v>0.20185676392572943</v>
      </c>
      <c r="V25" s="15">
        <f>V24/V8</f>
        <v>0.14758666815293725</v>
      </c>
      <c r="W25" s="15">
        <f>W24/W8</f>
        <v>0.15994935640430472</v>
      </c>
      <c r="X25" s="15">
        <f>X24/X8</f>
        <v>0.16464088397790055</v>
      </c>
      <c r="Y25" s="15">
        <f>Y24/Y8</f>
        <v>0.1743119266055046</v>
      </c>
      <c r="Z25" s="15">
        <f>Z24/Z8</f>
        <v>0.1755280407865987</v>
      </c>
      <c r="AA25" s="15">
        <f>AA24/AA8</f>
        <v>0.18109686982300113</v>
      </c>
      <c r="AB25" s="15">
        <f>AB24/AB8</f>
        <v>0.18503773741395041</v>
      </c>
      <c r="AC25" s="15">
        <f>AC24/AC8</f>
        <v>0.19223178337412172</v>
      </c>
      <c r="AD25" s="15">
        <f>AD24/AD8</f>
        <v>0.19295074559421599</v>
      </c>
      <c r="AE25" s="15">
        <f>AE24/AE8</f>
        <v>0.19426934097421203</v>
      </c>
      <c r="AG25" s="110">
        <f>SUM(AE25-AA25)*10000</f>
        <v>131.72471151210897</v>
      </c>
    </row>
    <row r="26" spans="2:33" ht="5.0999999999999996" customHeight="1">
      <c r="AG26" s="107"/>
    </row>
    <row r="27" spans="2:33" ht="12.75" customHeight="1">
      <c r="B27" s="29" t="s">
        <v>93</v>
      </c>
      <c r="C27" s="127">
        <f>'Historical Financials'!C100</f>
        <v>1401</v>
      </c>
      <c r="D27" s="127">
        <f>'Historical Financials'!D100</f>
        <v>1604</v>
      </c>
      <c r="E27" s="127">
        <f>'Historical Financials'!E100</f>
        <v>1746</v>
      </c>
      <c r="F27" s="127">
        <f>'Historical Financials'!F100</f>
        <v>1955</v>
      </c>
      <c r="H27" s="127">
        <f>'Historical Financials'!H100</f>
        <v>381</v>
      </c>
      <c r="I27" s="127">
        <f>'Historical Financials'!I100</f>
        <v>397</v>
      </c>
      <c r="J27" s="127">
        <f>'Historical Financials'!J100</f>
        <v>413</v>
      </c>
      <c r="K27" s="127">
        <f>'Historical Financials'!K100</f>
        <v>413</v>
      </c>
      <c r="L27" s="127">
        <f>'Historical Financials'!L100</f>
        <v>422</v>
      </c>
      <c r="M27" s="127">
        <f>'Historical Financials'!M100</f>
        <v>444</v>
      </c>
      <c r="N27" s="127">
        <f>'Historical Financials'!N100</f>
        <v>426</v>
      </c>
      <c r="O27" s="127">
        <f>'Historical Financials'!O100</f>
        <v>454</v>
      </c>
      <c r="P27" s="127">
        <f>'Historical Financials'!P100</f>
        <v>470</v>
      </c>
      <c r="Q27" s="127">
        <f>'Historical Financials'!Q100</f>
        <v>499</v>
      </c>
      <c r="R27" s="127">
        <f>'Historical Financials'!R100</f>
        <v>492</v>
      </c>
      <c r="S27" s="127">
        <f>'Historical Financials'!S100</f>
        <v>494</v>
      </c>
      <c r="T27" s="127">
        <f>'Historical Financials'!T100</f>
        <v>547</v>
      </c>
      <c r="V27" s="126">
        <f t="shared" ref="V27:V28" si="100">SUM(H27:K27)</f>
        <v>1604</v>
      </c>
      <c r="W27" s="126">
        <f t="shared" ref="W27:W28" si="101">SUM(I27:L27)</f>
        <v>1645</v>
      </c>
      <c r="X27" s="126">
        <f t="shared" ref="X27:X28" si="102">SUM(J27:M27)</f>
        <v>1692</v>
      </c>
      <c r="Y27" s="126">
        <f t="shared" ref="Y27:Y28" si="103">SUM(K27:N27)</f>
        <v>1705</v>
      </c>
      <c r="Z27" s="126">
        <f t="shared" ref="Z27:Z28" si="104">SUM(L27:O27)</f>
        <v>1746</v>
      </c>
      <c r="AA27" s="126">
        <f t="shared" ref="AA27:AA28" si="105">SUM(M27:P27)</f>
        <v>1794</v>
      </c>
      <c r="AB27" s="126">
        <f t="shared" ref="AB27:AB28" si="106">SUM(N27:Q27)</f>
        <v>1849</v>
      </c>
      <c r="AC27" s="126">
        <f t="shared" ref="AC27:AC28" si="107">SUM(O27:R27)</f>
        <v>1915</v>
      </c>
      <c r="AD27" s="126">
        <f t="shared" ref="AD27:AD28" si="108">SUM(P27:S27)</f>
        <v>1955</v>
      </c>
      <c r="AE27" s="126">
        <f t="shared" ref="AE27:AE28" si="109">SUM(Q27:T27)</f>
        <v>2032</v>
      </c>
      <c r="AG27" s="108">
        <f>SUM(AE27/AA27)-1</f>
        <v>0.13266443701226316</v>
      </c>
    </row>
    <row r="28" spans="2:33" ht="12.75" customHeight="1">
      <c r="B28" s="29" t="s">
        <v>177</v>
      </c>
      <c r="C28" s="127">
        <f>'Historical Financials'!C99</f>
        <v>358</v>
      </c>
      <c r="D28" s="127">
        <f>'Historical Financials'!D99</f>
        <v>459</v>
      </c>
      <c r="E28" s="127">
        <f>'Historical Financials'!E99</f>
        <v>550</v>
      </c>
      <c r="F28" s="127">
        <f>'Historical Financials'!F99</f>
        <v>621</v>
      </c>
      <c r="H28" s="127">
        <f>'Historical Financials'!H99</f>
        <v>106</v>
      </c>
      <c r="I28" s="127">
        <f>'Historical Financials'!I99</f>
        <v>112</v>
      </c>
      <c r="J28" s="127">
        <f>'Historical Financials'!J99</f>
        <v>115</v>
      </c>
      <c r="K28" s="127">
        <f>'Historical Financials'!K99</f>
        <v>126</v>
      </c>
      <c r="L28" s="127">
        <f>'Historical Financials'!L99</f>
        <v>131</v>
      </c>
      <c r="M28" s="127">
        <f>'Historical Financials'!M99</f>
        <v>132</v>
      </c>
      <c r="N28" s="127">
        <f>'Historical Financials'!N99</f>
        <v>140</v>
      </c>
      <c r="O28" s="127">
        <f>'Historical Financials'!O99</f>
        <v>147</v>
      </c>
      <c r="P28" s="127">
        <f>'Historical Financials'!P99</f>
        <v>145</v>
      </c>
      <c r="Q28" s="127">
        <f>'Historical Financials'!Q99</f>
        <v>148</v>
      </c>
      <c r="R28" s="127">
        <f>'Historical Financials'!R99</f>
        <v>161</v>
      </c>
      <c r="S28" s="127">
        <f>'Historical Financials'!S99</f>
        <v>167</v>
      </c>
      <c r="T28" s="127">
        <f>'Historical Financials'!T99</f>
        <v>168</v>
      </c>
      <c r="V28" s="126">
        <f t="shared" si="100"/>
        <v>459</v>
      </c>
      <c r="W28" s="126">
        <f t="shared" si="101"/>
        <v>484</v>
      </c>
      <c r="X28" s="126">
        <f t="shared" si="102"/>
        <v>504</v>
      </c>
      <c r="Y28" s="126">
        <f t="shared" si="103"/>
        <v>529</v>
      </c>
      <c r="Z28" s="126">
        <f t="shared" si="104"/>
        <v>550</v>
      </c>
      <c r="AA28" s="126">
        <f t="shared" si="105"/>
        <v>564</v>
      </c>
      <c r="AB28" s="126">
        <f t="shared" si="106"/>
        <v>580</v>
      </c>
      <c r="AC28" s="126">
        <f t="shared" si="107"/>
        <v>601</v>
      </c>
      <c r="AD28" s="126">
        <f t="shared" si="108"/>
        <v>621</v>
      </c>
      <c r="AE28" s="126">
        <f t="shared" si="109"/>
        <v>644</v>
      </c>
      <c r="AG28" s="108">
        <f>SUM(AE28/AA28)-1</f>
        <v>0.14184397163120566</v>
      </c>
    </row>
    <row r="29" spans="2:33" ht="12.75" customHeight="1">
      <c r="B29" s="12" t="s">
        <v>33</v>
      </c>
      <c r="C29" s="13">
        <f t="shared" ref="C29:F29" si="110">+SUM(C24+SUM(C27:C27))</f>
        <v>2189</v>
      </c>
      <c r="D29" s="13">
        <f t="shared" si="110"/>
        <v>2928</v>
      </c>
      <c r="E29" s="13">
        <f t="shared" si="110"/>
        <v>3674</v>
      </c>
      <c r="F29" s="13">
        <f t="shared" si="110"/>
        <v>4517</v>
      </c>
      <c r="G29" s="11"/>
      <c r="H29" s="13">
        <f>+SUM(H24+SUM(H27:H27))</f>
        <v>651</v>
      </c>
      <c r="I29" s="13">
        <f>+SUM(I24+SUM(I27:I27))</f>
        <v>650</v>
      </c>
      <c r="J29" s="13">
        <f>+SUM(J24+SUM(J27:J27))</f>
        <v>790</v>
      </c>
      <c r="K29" s="13">
        <f>+SUM(K24+SUM(K27:K27))</f>
        <v>837</v>
      </c>
      <c r="L29" s="13">
        <f t="shared" ref="L29:Q29" si="111">+SUM(L24+SUM(L27:L27))</f>
        <v>884</v>
      </c>
      <c r="M29" s="13">
        <f t="shared" si="111"/>
        <v>820</v>
      </c>
      <c r="N29" s="13">
        <f t="shared" si="111"/>
        <v>988</v>
      </c>
      <c r="O29" s="13">
        <f t="shared" si="111"/>
        <v>982</v>
      </c>
      <c r="P29" s="13">
        <f t="shared" si="111"/>
        <v>1081</v>
      </c>
      <c r="Q29" s="13">
        <f t="shared" si="111"/>
        <v>1029</v>
      </c>
      <c r="R29" s="13">
        <f t="shared" ref="R29:S29" si="112">+SUM(R24+SUM(R27:R27))</f>
        <v>1258</v>
      </c>
      <c r="S29" s="13">
        <f t="shared" si="112"/>
        <v>1149</v>
      </c>
      <c r="T29" s="13">
        <f t="shared" ref="T29" si="113">+SUM(T24+SUM(T27:T27))</f>
        <v>1308</v>
      </c>
      <c r="V29" s="13">
        <f t="shared" ref="V29" si="114">+SUM(V24+SUM(V27:V27))</f>
        <v>2928</v>
      </c>
      <c r="W29" s="13">
        <f t="shared" ref="W29:AE29" si="115">+SUM(W24+SUM(W27:W27))</f>
        <v>3161</v>
      </c>
      <c r="X29" s="13">
        <f t="shared" si="115"/>
        <v>3331</v>
      </c>
      <c r="Y29" s="13">
        <f t="shared" si="115"/>
        <v>3529</v>
      </c>
      <c r="Z29" s="13">
        <f t="shared" si="115"/>
        <v>3674</v>
      </c>
      <c r="AA29" s="13">
        <f t="shared" si="115"/>
        <v>3871</v>
      </c>
      <c r="AB29" s="13">
        <f t="shared" si="115"/>
        <v>4080</v>
      </c>
      <c r="AC29" s="13">
        <f t="shared" si="115"/>
        <v>4350</v>
      </c>
      <c r="AD29" s="13">
        <f t="shared" si="115"/>
        <v>4517</v>
      </c>
      <c r="AE29" s="13">
        <f t="shared" si="115"/>
        <v>4744</v>
      </c>
      <c r="AG29" s="109">
        <f>SUM(AE29/AA29)-1</f>
        <v>0.22552312064066138</v>
      </c>
    </row>
    <row r="30" spans="2:33" ht="12.75" customHeight="1">
      <c r="B30" s="14" t="s">
        <v>34</v>
      </c>
      <c r="C30" s="15">
        <f>C29/C8</f>
        <v>0.30213940648723259</v>
      </c>
      <c r="D30" s="15">
        <f>D29/D8</f>
        <v>0.32638501839259837</v>
      </c>
      <c r="E30" s="15">
        <f>E29/E8</f>
        <v>0.33448652585579025</v>
      </c>
      <c r="F30" s="15">
        <f>F29/F8</f>
        <v>0.34018677511673445</v>
      </c>
      <c r="H30" s="15">
        <f>H29/H8</f>
        <v>0.31059160305343514</v>
      </c>
      <c r="I30" s="15">
        <f>I29/I8</f>
        <v>0.30232558139534882</v>
      </c>
      <c r="J30" s="15">
        <f>J29/J8</f>
        <v>0.34527972027972026</v>
      </c>
      <c r="K30" s="15">
        <f>K29/K8</f>
        <v>0.34345506770619616</v>
      </c>
      <c r="L30" s="15">
        <f>L29/L8</f>
        <v>0.33960814444871301</v>
      </c>
      <c r="M30" s="15">
        <f>M29/M8</f>
        <v>0.3121431290445375</v>
      </c>
      <c r="N30" s="15">
        <f>N29/N8</f>
        <v>0.3532356095816947</v>
      </c>
      <c r="O30" s="15">
        <f>O29/O8</f>
        <v>0.33209333784240785</v>
      </c>
      <c r="P30" s="15">
        <f>P29/P8</f>
        <v>0.35006476683937826</v>
      </c>
      <c r="Q30" s="15">
        <f>Q29/Q8</f>
        <v>0.32006220839813376</v>
      </c>
      <c r="R30" s="15">
        <f>R29/R8</f>
        <v>0.36923980041091869</v>
      </c>
      <c r="S30" s="15">
        <f>S29/S8</f>
        <v>0.32202914798206278</v>
      </c>
      <c r="T30" s="15">
        <f>T29/T8</f>
        <v>0.34694960212201592</v>
      </c>
      <c r="V30" s="15">
        <f>V29/V8</f>
        <v>0.32638501839259837</v>
      </c>
      <c r="W30" s="15">
        <f>W29/W8</f>
        <v>0.33350917915171979</v>
      </c>
      <c r="X30" s="15">
        <f>X29/X8</f>
        <v>0.33460572576594677</v>
      </c>
      <c r="Y30" s="15">
        <f>Y29/Y8</f>
        <v>0.33725152905198774</v>
      </c>
      <c r="Z30" s="15">
        <f>Z29/Z8</f>
        <v>0.33448652585579025</v>
      </c>
      <c r="AA30" s="15">
        <f>AA29/AA8</f>
        <v>0.3375185282064696</v>
      </c>
      <c r="AB30" s="15">
        <f>AB29/AB8</f>
        <v>0.33839263498382682</v>
      </c>
      <c r="AC30" s="15">
        <f>AC29/AC8</f>
        <v>0.34341201547327704</v>
      </c>
      <c r="AD30" s="15">
        <f>AD29/AD8</f>
        <v>0.34018677511673445</v>
      </c>
      <c r="AE30" s="15">
        <f>AE29/AE8</f>
        <v>0.33982808022922634</v>
      </c>
      <c r="AG30" s="110">
        <f>SUM(AE30-AA30)*10000</f>
        <v>23.095520227567334</v>
      </c>
    </row>
    <row r="31" spans="2:33" ht="5.0999999999999996" customHeight="1">
      <c r="AG31" s="107"/>
    </row>
    <row r="32" spans="2:33" ht="12.75" customHeight="1">
      <c r="B32" s="21" t="s">
        <v>35</v>
      </c>
      <c r="C32" s="127">
        <f>'Historical Financials'!C114</f>
        <v>-550</v>
      </c>
      <c r="D32" s="127">
        <f>'Historical Financials'!D114</f>
        <v>-694</v>
      </c>
      <c r="E32" s="127">
        <f>'Historical Financials'!E114</f>
        <v>-852</v>
      </c>
      <c r="F32" s="127">
        <f>'Historical Financials'!F114</f>
        <v>-868</v>
      </c>
      <c r="H32" s="127">
        <f>'Historical Financials'!H114</f>
        <v>-165</v>
      </c>
      <c r="I32" s="127">
        <f>'Historical Financials'!I114</f>
        <v>-132</v>
      </c>
      <c r="J32" s="127">
        <f>'Historical Financials'!J114</f>
        <v>-136</v>
      </c>
      <c r="K32" s="127">
        <f>'Historical Financials'!K114</f>
        <v>-261</v>
      </c>
      <c r="L32" s="127">
        <f>'Historical Financials'!L114</f>
        <v>-135</v>
      </c>
      <c r="M32" s="127">
        <f>'Historical Financials'!M114</f>
        <v>-262</v>
      </c>
      <c r="N32" s="127">
        <f>'Historical Financials'!N114</f>
        <v>-202</v>
      </c>
      <c r="O32" s="127">
        <f>'Historical Financials'!O114</f>
        <v>-253</v>
      </c>
      <c r="P32" s="127">
        <f>'Historical Financials'!P114</f>
        <v>-205</v>
      </c>
      <c r="Q32" s="127">
        <f>'Historical Financials'!Q114</f>
        <v>-190</v>
      </c>
      <c r="R32" s="127">
        <f>'Historical Financials'!R114</f>
        <v>-235</v>
      </c>
      <c r="S32" s="127">
        <f>'Historical Financials'!S114</f>
        <v>-238</v>
      </c>
      <c r="T32" s="127">
        <f>'Historical Financials'!T114</f>
        <v>-141</v>
      </c>
      <c r="V32" s="126">
        <f t="shared" ref="V32:V36" si="116">SUM(H32:K32)</f>
        <v>-694</v>
      </c>
      <c r="W32" s="126">
        <f t="shared" ref="W32:W36" si="117">SUM(I32:L32)</f>
        <v>-664</v>
      </c>
      <c r="X32" s="126">
        <f t="shared" ref="X32:X36" si="118">SUM(J32:M32)</f>
        <v>-794</v>
      </c>
      <c r="Y32" s="126">
        <f t="shared" ref="Y32:Y36" si="119">SUM(K32:N32)</f>
        <v>-860</v>
      </c>
      <c r="Z32" s="126">
        <f t="shared" ref="Z32:Z36" si="120">SUM(L32:O32)</f>
        <v>-852</v>
      </c>
      <c r="AA32" s="126">
        <f t="shared" ref="AA32:AA36" si="121">SUM(M32:P32)</f>
        <v>-922</v>
      </c>
      <c r="AB32" s="126">
        <f t="shared" ref="AB32:AB36" si="122">SUM(N32:Q32)</f>
        <v>-850</v>
      </c>
      <c r="AC32" s="126">
        <f t="shared" ref="AC32:AC36" si="123">SUM(O32:R32)</f>
        <v>-883</v>
      </c>
      <c r="AD32" s="126">
        <f t="shared" ref="AD32:AD36" si="124">SUM(P32:S32)</f>
        <v>-868</v>
      </c>
      <c r="AE32" s="126">
        <f t="shared" ref="AE32:AE36" si="125">SUM(Q32:T32)</f>
        <v>-804</v>
      </c>
      <c r="AG32" s="108">
        <f t="shared" ref="AG32:AG37" si="126">SUM(AE32/AA32)-1</f>
        <v>-0.12798264642082424</v>
      </c>
    </row>
    <row r="33" spans="2:33" ht="12.75" customHeight="1">
      <c r="B33" s="21" t="s">
        <v>36</v>
      </c>
      <c r="C33" s="127">
        <f>-'Historical Financials'!C148</f>
        <v>-45</v>
      </c>
      <c r="D33" s="127">
        <f>-'Historical Financials'!D148</f>
        <v>-127</v>
      </c>
      <c r="E33" s="127">
        <f>-'Historical Financials'!E148</f>
        <v>-230</v>
      </c>
      <c r="F33" s="127">
        <f>-'Historical Financials'!F148</f>
        <v>-283</v>
      </c>
      <c r="H33" s="127">
        <f>-'Historical Financials'!H148</f>
        <v>-22</v>
      </c>
      <c r="I33" s="127">
        <f>-'Historical Financials'!I148</f>
        <v>-41</v>
      </c>
      <c r="J33" s="127">
        <f>-'Historical Financials'!J148</f>
        <v>-40</v>
      </c>
      <c r="K33" s="127">
        <f>-'Historical Financials'!K148</f>
        <v>-24</v>
      </c>
      <c r="L33" s="127">
        <f>-'Historical Financials'!L148</f>
        <v>-21</v>
      </c>
      <c r="M33" s="127">
        <f>-'Historical Financials'!M148</f>
        <v>-91</v>
      </c>
      <c r="N33" s="127">
        <f>-'Historical Financials'!N148</f>
        <v>-71</v>
      </c>
      <c r="O33" s="127">
        <f>-'Historical Financials'!O148</f>
        <v>-47</v>
      </c>
      <c r="P33" s="127">
        <f>-'Historical Financials'!P148</f>
        <v>-36</v>
      </c>
      <c r="Q33" s="127">
        <f>-'Historical Financials'!Q148</f>
        <v>-93</v>
      </c>
      <c r="R33" s="127">
        <f>-'Historical Financials'!R148</f>
        <v>-52</v>
      </c>
      <c r="S33" s="127">
        <f>-'Historical Financials'!S148</f>
        <v>-102</v>
      </c>
      <c r="T33" s="127">
        <f>-'Historical Financials'!T148</f>
        <v>-38</v>
      </c>
      <c r="V33" s="126">
        <f t="shared" si="116"/>
        <v>-127</v>
      </c>
      <c r="W33" s="126">
        <f t="shared" si="117"/>
        <v>-126</v>
      </c>
      <c r="X33" s="126">
        <f t="shared" si="118"/>
        <v>-176</v>
      </c>
      <c r="Y33" s="126">
        <f t="shared" si="119"/>
        <v>-207</v>
      </c>
      <c r="Z33" s="126">
        <f t="shared" si="120"/>
        <v>-230</v>
      </c>
      <c r="AA33" s="126">
        <f t="shared" si="121"/>
        <v>-245</v>
      </c>
      <c r="AB33" s="126">
        <f t="shared" si="122"/>
        <v>-247</v>
      </c>
      <c r="AC33" s="126">
        <f t="shared" si="123"/>
        <v>-228</v>
      </c>
      <c r="AD33" s="126">
        <f t="shared" si="124"/>
        <v>-283</v>
      </c>
      <c r="AE33" s="126">
        <f t="shared" si="125"/>
        <v>-285</v>
      </c>
      <c r="AG33" s="108">
        <f t="shared" si="126"/>
        <v>0.16326530612244894</v>
      </c>
    </row>
    <row r="34" spans="2:33" ht="12.75" customHeight="1">
      <c r="B34" s="21" t="s">
        <v>70</v>
      </c>
      <c r="C34" s="127">
        <f>-'Historical Financials'!C147</f>
        <v>-24</v>
      </c>
      <c r="D34" s="127">
        <f>-'Historical Financials'!D147</f>
        <v>-23</v>
      </c>
      <c r="E34" s="127">
        <f>-'Historical Financials'!E147</f>
        <v>-23</v>
      </c>
      <c r="F34" s="127">
        <f>-'Historical Financials'!F147</f>
        <v>-22</v>
      </c>
      <c r="H34" s="127">
        <f>-'Historical Financials'!H147</f>
        <v>-11</v>
      </c>
      <c r="I34" s="127">
        <f>-'Historical Financials'!I147</f>
        <v>-1</v>
      </c>
      <c r="J34" s="127">
        <f>-'Historical Financials'!J147</f>
        <v>-11</v>
      </c>
      <c r="K34" s="127">
        <f>-'Historical Financials'!K147</f>
        <v>0</v>
      </c>
      <c r="L34" s="127">
        <f>-'Historical Financials'!L147</f>
        <v>-11</v>
      </c>
      <c r="M34" s="127">
        <f>-'Historical Financials'!M147</f>
        <v>-1</v>
      </c>
      <c r="N34" s="127">
        <f>-'Historical Financials'!N147</f>
        <v>-11</v>
      </c>
      <c r="O34" s="127">
        <f>-'Historical Financials'!O147</f>
        <v>0</v>
      </c>
      <c r="P34" s="127">
        <f>-'Historical Financials'!P147</f>
        <v>-11</v>
      </c>
      <c r="Q34" s="127">
        <f>-'Historical Financials'!Q147</f>
        <v>0</v>
      </c>
      <c r="R34" s="127">
        <f>-'Historical Financials'!R147</f>
        <v>-11</v>
      </c>
      <c r="S34" s="127">
        <f>-'Historical Financials'!S147</f>
        <v>0</v>
      </c>
      <c r="T34" s="127">
        <f>-'Historical Financials'!T147</f>
        <v>-11</v>
      </c>
      <c r="V34" s="126">
        <f t="shared" si="116"/>
        <v>-23</v>
      </c>
      <c r="W34" s="126">
        <f t="shared" si="117"/>
        <v>-23</v>
      </c>
      <c r="X34" s="126">
        <f t="shared" si="118"/>
        <v>-23</v>
      </c>
      <c r="Y34" s="126">
        <f t="shared" si="119"/>
        <v>-23</v>
      </c>
      <c r="Z34" s="126">
        <f t="shared" si="120"/>
        <v>-23</v>
      </c>
      <c r="AA34" s="126">
        <f t="shared" si="121"/>
        <v>-23</v>
      </c>
      <c r="AB34" s="126">
        <f t="shared" si="122"/>
        <v>-22</v>
      </c>
      <c r="AC34" s="126">
        <f t="shared" si="123"/>
        <v>-22</v>
      </c>
      <c r="AD34" s="126">
        <f t="shared" si="124"/>
        <v>-22</v>
      </c>
      <c r="AE34" s="126">
        <f t="shared" si="125"/>
        <v>-22</v>
      </c>
      <c r="AG34" s="108">
        <f t="shared" si="126"/>
        <v>-4.3478260869565188E-2</v>
      </c>
    </row>
    <row r="35" spans="2:33" ht="12.75" customHeight="1">
      <c r="B35" s="21" t="s">
        <v>106</v>
      </c>
      <c r="C35" s="150">
        <v>0</v>
      </c>
      <c r="D35" s="150">
        <v>0</v>
      </c>
      <c r="E35" s="150">
        <v>0</v>
      </c>
      <c r="F35" s="150">
        <v>0</v>
      </c>
      <c r="H35" s="150">
        <v>0</v>
      </c>
      <c r="I35" s="150">
        <v>0</v>
      </c>
      <c r="J35" s="150"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v>0</v>
      </c>
      <c r="P35" s="150">
        <v>0</v>
      </c>
      <c r="Q35" s="150">
        <v>0</v>
      </c>
      <c r="R35" s="150">
        <v>0</v>
      </c>
      <c r="S35" s="150">
        <v>0</v>
      </c>
      <c r="T35" s="150">
        <v>0</v>
      </c>
      <c r="V35" s="126">
        <f t="shared" ref="V35" si="127">SUM(H35:K35)</f>
        <v>0</v>
      </c>
      <c r="W35" s="126">
        <f t="shared" ref="W35" si="128">SUM(I35:L35)</f>
        <v>0</v>
      </c>
      <c r="X35" s="126">
        <f t="shared" ref="X35" si="129">SUM(J35:M35)</f>
        <v>0</v>
      </c>
      <c r="Y35" s="126">
        <f t="shared" ref="Y35" si="130">SUM(K35:N35)</f>
        <v>0</v>
      </c>
      <c r="Z35" s="126">
        <f t="shared" ref="Z35" si="131">SUM(L35:O35)</f>
        <v>0</v>
      </c>
      <c r="AA35" s="126">
        <f t="shared" ref="AA35" si="132">SUM(M35:P35)</f>
        <v>0</v>
      </c>
      <c r="AB35" s="126">
        <f t="shared" ref="AB35" si="133">SUM(N35:Q35)</f>
        <v>0</v>
      </c>
      <c r="AC35" s="126">
        <f t="shared" ref="AC35" si="134">SUM(O35:R35)</f>
        <v>0</v>
      </c>
      <c r="AD35" s="126">
        <f t="shared" ref="AD35" si="135">SUM(P35:S35)</f>
        <v>0</v>
      </c>
      <c r="AE35" s="126">
        <f t="shared" ref="AE35" si="136">SUM(Q35:T35)</f>
        <v>0</v>
      </c>
      <c r="AG35" s="108" t="e">
        <f t="shared" si="126"/>
        <v>#DIV/0!</v>
      </c>
    </row>
    <row r="36" spans="2:33" ht="12.75" customHeight="1">
      <c r="B36" s="21" t="s">
        <v>37</v>
      </c>
      <c r="C36" s="127">
        <f>SUM('Historical Financials'!C105:C110)</f>
        <v>174</v>
      </c>
      <c r="D36" s="127">
        <f>SUM('Historical Financials'!D105:D110)</f>
        <v>-101</v>
      </c>
      <c r="E36" s="127">
        <f>SUM('Historical Financials'!E105:E110)</f>
        <v>-65</v>
      </c>
      <c r="F36" s="127">
        <f>SUM('Historical Financials'!F105:F110)</f>
        <v>29</v>
      </c>
      <c r="H36" s="127">
        <f>SUM('Historical Financials'!H105:H110)</f>
        <v>131</v>
      </c>
      <c r="I36" s="127">
        <f>SUM('Historical Financials'!I105:I110)</f>
        <v>-195</v>
      </c>
      <c r="J36" s="127">
        <f>SUM('Historical Financials'!J105:J110)</f>
        <v>-624</v>
      </c>
      <c r="K36" s="127">
        <f>SUM('Historical Financials'!K105:K110)</f>
        <v>587</v>
      </c>
      <c r="L36" s="127">
        <f>SUM('Historical Financials'!L105:L110)</f>
        <v>301</v>
      </c>
      <c r="M36" s="127">
        <f>SUM('Historical Financials'!M105:M110)</f>
        <v>-371</v>
      </c>
      <c r="N36" s="127">
        <f>SUM('Historical Financials'!N105:N110)</f>
        <v>-460</v>
      </c>
      <c r="O36" s="127">
        <f>SUM('Historical Financials'!O105:O110)</f>
        <v>465</v>
      </c>
      <c r="P36" s="127">
        <f>SUM('Historical Financials'!P105:P110)</f>
        <v>406</v>
      </c>
      <c r="Q36" s="127">
        <f>SUM('Historical Financials'!Q105:Q110)</f>
        <v>-562</v>
      </c>
      <c r="R36" s="127">
        <f>SUM('Historical Financials'!R105:R110)</f>
        <v>-641</v>
      </c>
      <c r="S36" s="127">
        <f>SUM('Historical Financials'!S105:S110)</f>
        <v>826</v>
      </c>
      <c r="T36" s="127">
        <f>SUM('Historical Financials'!T105:T110)</f>
        <v>208</v>
      </c>
      <c r="V36" s="126">
        <f t="shared" si="116"/>
        <v>-101</v>
      </c>
      <c r="W36" s="126">
        <f t="shared" si="117"/>
        <v>69</v>
      </c>
      <c r="X36" s="126">
        <f t="shared" si="118"/>
        <v>-107</v>
      </c>
      <c r="Y36" s="126">
        <f t="shared" si="119"/>
        <v>57</v>
      </c>
      <c r="Z36" s="126">
        <f t="shared" si="120"/>
        <v>-65</v>
      </c>
      <c r="AA36" s="126">
        <f t="shared" si="121"/>
        <v>40</v>
      </c>
      <c r="AB36" s="126">
        <f t="shared" si="122"/>
        <v>-151</v>
      </c>
      <c r="AC36" s="126">
        <f t="shared" si="123"/>
        <v>-332</v>
      </c>
      <c r="AD36" s="126">
        <f t="shared" si="124"/>
        <v>29</v>
      </c>
      <c r="AE36" s="126">
        <f t="shared" si="125"/>
        <v>-169</v>
      </c>
      <c r="AG36" s="108">
        <f t="shared" si="126"/>
        <v>-5.2249999999999996</v>
      </c>
    </row>
    <row r="37" spans="2:33" ht="12.75" customHeight="1">
      <c r="B37" s="12" t="s">
        <v>38</v>
      </c>
      <c r="C37" s="13">
        <f>SUM(C29+SUM(C32:C36))</f>
        <v>1744</v>
      </c>
      <c r="D37" s="13">
        <f>SUM(D29+SUM(D32:D36))</f>
        <v>1983</v>
      </c>
      <c r="E37" s="13">
        <f>SUM(E29+SUM(E32:E36))</f>
        <v>2504</v>
      </c>
      <c r="F37" s="13">
        <f>SUM(F29+SUM(F32:F36))</f>
        <v>3373</v>
      </c>
      <c r="H37" s="13">
        <f>SUM(H29+SUM(H32:H36))</f>
        <v>584</v>
      </c>
      <c r="I37" s="13">
        <f>SUM(I29+SUM(I32:I36))</f>
        <v>281</v>
      </c>
      <c r="J37" s="13">
        <f>SUM(J29+SUM(J32:J36))</f>
        <v>-21</v>
      </c>
      <c r="K37" s="13">
        <f>SUM(K29+SUM(K32:K36))</f>
        <v>1139</v>
      </c>
      <c r="L37" s="13">
        <f t="shared" ref="L37:Q37" si="137">SUM(L29+SUM(L32:L36))</f>
        <v>1018</v>
      </c>
      <c r="M37" s="13">
        <f t="shared" si="137"/>
        <v>95</v>
      </c>
      <c r="N37" s="13">
        <f t="shared" si="137"/>
        <v>244</v>
      </c>
      <c r="O37" s="13">
        <f t="shared" si="137"/>
        <v>1147</v>
      </c>
      <c r="P37" s="13">
        <f t="shared" si="137"/>
        <v>1235</v>
      </c>
      <c r="Q37" s="13">
        <f t="shared" si="137"/>
        <v>184</v>
      </c>
      <c r="R37" s="13">
        <f t="shared" ref="R37:S37" si="138">SUM(R29+SUM(R32:R36))</f>
        <v>319</v>
      </c>
      <c r="S37" s="13">
        <f t="shared" si="138"/>
        <v>1635</v>
      </c>
      <c r="T37" s="13">
        <f t="shared" ref="T37" si="139">SUM(T29+SUM(T32:T36))</f>
        <v>1326</v>
      </c>
      <c r="V37" s="13">
        <f t="shared" ref="V37" si="140">SUM(V29+SUM(V32:V36))</f>
        <v>1983</v>
      </c>
      <c r="W37" s="13">
        <f t="shared" ref="W37:AC37" si="141">SUM(W29+SUM(W32:W36))</f>
        <v>2417</v>
      </c>
      <c r="X37" s="13">
        <f t="shared" si="141"/>
        <v>2231</v>
      </c>
      <c r="Y37" s="13">
        <f t="shared" si="141"/>
        <v>2496</v>
      </c>
      <c r="Z37" s="13">
        <f t="shared" si="141"/>
        <v>2504</v>
      </c>
      <c r="AA37" s="13">
        <f t="shared" si="141"/>
        <v>2721</v>
      </c>
      <c r="AB37" s="13">
        <f t="shared" si="141"/>
        <v>2810</v>
      </c>
      <c r="AC37" s="13">
        <f t="shared" si="141"/>
        <v>2885</v>
      </c>
      <c r="AD37" s="13">
        <f>SUM(AD29+SUM(AD32:AD36))</f>
        <v>3373</v>
      </c>
      <c r="AE37" s="13">
        <f>SUM(AE29+SUM(AE32:AE36))</f>
        <v>3464</v>
      </c>
      <c r="AG37" s="109">
        <f t="shared" si="126"/>
        <v>0.27306137449467105</v>
      </c>
    </row>
    <row r="38" spans="2:33" ht="5.0999999999999996" customHeight="1"/>
    <row r="39" spans="2:33" ht="12.75" customHeight="1">
      <c r="B39" s="29" t="s">
        <v>178</v>
      </c>
      <c r="C39" s="127">
        <f>SUM('Historical Financials'!C121:C122)</f>
        <v>0</v>
      </c>
      <c r="D39" s="127">
        <f>SUM('Historical Financials'!D121:D122)</f>
        <v>-1112</v>
      </c>
      <c r="E39" s="127">
        <f>SUM('Historical Financials'!E121:E122)</f>
        <v>-1279</v>
      </c>
      <c r="F39" s="127">
        <f>SUM('Historical Financials'!F121:F122)</f>
        <v>1324</v>
      </c>
      <c r="G39" s="30"/>
      <c r="H39" s="127">
        <f>SUM('Historical Financials'!H121:H122)</f>
        <v>0</v>
      </c>
      <c r="I39" s="127">
        <f>SUM('Historical Financials'!I121:I122)</f>
        <v>0</v>
      </c>
      <c r="J39" s="127">
        <f>SUM('Historical Financials'!J121:J122)</f>
        <v>0</v>
      </c>
      <c r="K39" s="127">
        <f>SUM('Historical Financials'!K121:K122)</f>
        <v>-1112</v>
      </c>
      <c r="L39" s="127">
        <f>SUM('Historical Financials'!L121:L122)</f>
        <v>0</v>
      </c>
      <c r="M39" s="127">
        <f>SUM('Historical Financials'!M121:M122)</f>
        <v>0</v>
      </c>
      <c r="N39" s="127">
        <f>SUM('Historical Financials'!N121:N122)</f>
        <v>-928</v>
      </c>
      <c r="O39" s="127">
        <f>SUM('Historical Financials'!O121:O122)</f>
        <v>-351</v>
      </c>
      <c r="P39" s="127">
        <f>SUM('Historical Financials'!P121:P122)</f>
        <v>41</v>
      </c>
      <c r="Q39" s="127">
        <f>SUM('Historical Financials'!Q121:Q122)</f>
        <v>-41</v>
      </c>
      <c r="R39" s="127">
        <f>SUM('Historical Financials'!R121:R122)</f>
        <v>691</v>
      </c>
      <c r="S39" s="127">
        <f>SUM('Historical Financials'!S121:S122)</f>
        <v>633</v>
      </c>
      <c r="T39" s="127">
        <f>SUM('Historical Financials'!T121:T122)</f>
        <v>1108</v>
      </c>
      <c r="V39" s="126">
        <f t="shared" ref="V39:V46" si="142">SUM(H39:K39)</f>
        <v>-1112</v>
      </c>
      <c r="W39" s="126">
        <f t="shared" ref="W39:W46" si="143">SUM(I39:L39)</f>
        <v>-1112</v>
      </c>
      <c r="X39" s="126">
        <f t="shared" ref="X39:X46" si="144">SUM(J39:M39)</f>
        <v>-1112</v>
      </c>
      <c r="Y39" s="126">
        <f t="shared" ref="Y39:Y46" si="145">SUM(K39:N39)</f>
        <v>-2040</v>
      </c>
      <c r="Z39" s="126">
        <f t="shared" ref="Z39:Z46" si="146">SUM(L39:O39)</f>
        <v>-1279</v>
      </c>
      <c r="AA39" s="126">
        <f t="shared" ref="AA39:AA46" si="147">SUM(M39:P39)</f>
        <v>-1238</v>
      </c>
      <c r="AB39" s="126">
        <f t="shared" ref="AB39:AB46" si="148">SUM(N39:Q39)</f>
        <v>-1279</v>
      </c>
      <c r="AC39" s="126">
        <f t="shared" ref="AC39:AC46" si="149">SUM(O39:R39)</f>
        <v>340</v>
      </c>
      <c r="AD39" s="126">
        <f t="shared" ref="AD39:AD46" si="150">SUM(P39:S39)</f>
        <v>1324</v>
      </c>
      <c r="AE39" s="126">
        <f t="shared" ref="AE39:AE46" si="151">SUM(Q39:T39)</f>
        <v>2391</v>
      </c>
    </row>
    <row r="40" spans="2:33" ht="12.75" customHeight="1">
      <c r="B40" s="29" t="s">
        <v>179</v>
      </c>
      <c r="C40" s="127">
        <f>'Historical Financials'!C115+'Historical Financials'!C131</f>
        <v>-91</v>
      </c>
      <c r="D40" s="127">
        <f>'Historical Financials'!D115+'Historical Financials'!D131</f>
        <v>-279</v>
      </c>
      <c r="E40" s="127">
        <f>'Historical Financials'!E115+'Historical Financials'!E131</f>
        <v>-297</v>
      </c>
      <c r="F40" s="127">
        <f>'Historical Financials'!F115+'Historical Financials'!F131</f>
        <v>-1084</v>
      </c>
      <c r="G40" s="30"/>
      <c r="H40" s="127">
        <f>'Historical Financials'!H115+'Historical Financials'!H131</f>
        <v>0</v>
      </c>
      <c r="I40" s="127">
        <f>'Historical Financials'!I115+'Historical Financials'!I131</f>
        <v>0</v>
      </c>
      <c r="J40" s="127">
        <f>'Historical Financials'!J115+'Historical Financials'!J131</f>
        <v>-279</v>
      </c>
      <c r="K40" s="127">
        <f>'Historical Financials'!K115+'Historical Financials'!K131</f>
        <v>0</v>
      </c>
      <c r="L40" s="127">
        <f>'Historical Financials'!L115+'Historical Financials'!L131</f>
        <v>-194</v>
      </c>
      <c r="M40" s="127">
        <f>'Historical Financials'!M115+'Historical Financials'!M131</f>
        <v>-31</v>
      </c>
      <c r="N40" s="127">
        <f>'Historical Financials'!N115+'Historical Financials'!N131</f>
        <v>-41</v>
      </c>
      <c r="O40" s="127">
        <f>'Historical Financials'!O115+'Historical Financials'!O131</f>
        <v>-31</v>
      </c>
      <c r="P40" s="127">
        <f>'Historical Financials'!P115+'Historical Financials'!P131</f>
        <v>-18</v>
      </c>
      <c r="Q40" s="127">
        <f>'Historical Financials'!Q115+'Historical Financials'!Q131</f>
        <v>-58</v>
      </c>
      <c r="R40" s="127">
        <f>'Historical Financials'!R115+'Historical Financials'!R131</f>
        <v>-139</v>
      </c>
      <c r="S40" s="127">
        <f>'Historical Financials'!S115+'Historical Financials'!S131</f>
        <v>-869</v>
      </c>
      <c r="T40" s="127">
        <f>'Historical Financials'!T115+'Historical Financials'!T131</f>
        <v>-1325</v>
      </c>
      <c r="V40" s="126">
        <f t="shared" si="142"/>
        <v>-279</v>
      </c>
      <c r="W40" s="126">
        <f t="shared" si="143"/>
        <v>-473</v>
      </c>
      <c r="X40" s="126">
        <f t="shared" si="144"/>
        <v>-504</v>
      </c>
      <c r="Y40" s="126">
        <f t="shared" si="145"/>
        <v>-266</v>
      </c>
      <c r="Z40" s="126">
        <f t="shared" si="146"/>
        <v>-297</v>
      </c>
      <c r="AA40" s="126">
        <f t="shared" si="147"/>
        <v>-121</v>
      </c>
      <c r="AB40" s="126">
        <f t="shared" si="148"/>
        <v>-148</v>
      </c>
      <c r="AC40" s="126">
        <f t="shared" si="149"/>
        <v>-246</v>
      </c>
      <c r="AD40" s="126">
        <f t="shared" si="150"/>
        <v>-1084</v>
      </c>
      <c r="AE40" s="126">
        <f t="shared" si="151"/>
        <v>-2391</v>
      </c>
    </row>
    <row r="41" spans="2:33" ht="12.75" customHeight="1">
      <c r="B41" s="29" t="s">
        <v>180</v>
      </c>
      <c r="C41" s="127">
        <f>SUM('Historical Financials'!C117:C120)</f>
        <v>-1960</v>
      </c>
      <c r="D41" s="127">
        <f>SUM('Historical Financials'!D117:D120)</f>
        <v>-75</v>
      </c>
      <c r="E41" s="127">
        <f>SUM('Historical Financials'!E117:E120)</f>
        <v>-181</v>
      </c>
      <c r="F41" s="127">
        <f>SUM('Historical Financials'!F117:F120)</f>
        <v>-1056</v>
      </c>
      <c r="G41" s="30"/>
      <c r="H41" s="127">
        <f>SUM('Historical Financials'!H117:H120)</f>
        <v>-372</v>
      </c>
      <c r="I41" s="127">
        <f>SUM('Historical Financials'!I117:I120)</f>
        <v>-542</v>
      </c>
      <c r="J41" s="127">
        <f>SUM('Historical Financials'!J117:J120)</f>
        <v>-79</v>
      </c>
      <c r="K41" s="127">
        <f>SUM('Historical Financials'!K117:K120)</f>
        <v>918</v>
      </c>
      <c r="L41" s="127">
        <f>SUM('Historical Financials'!L117:L120)</f>
        <v>-574</v>
      </c>
      <c r="M41" s="127">
        <f>SUM('Historical Financials'!M117:M120)</f>
        <v>-61</v>
      </c>
      <c r="N41" s="127">
        <f>SUM('Historical Financials'!N117:N120)</f>
        <v>486</v>
      </c>
      <c r="O41" s="127">
        <f>SUM('Historical Financials'!O117:O120)</f>
        <v>-32</v>
      </c>
      <c r="P41" s="127">
        <f>SUM('Historical Financials'!P117:P120)</f>
        <v>-4</v>
      </c>
      <c r="Q41" s="127">
        <f>SUM('Historical Financials'!Q117:Q120)</f>
        <v>-175</v>
      </c>
      <c r="R41" s="127">
        <f>SUM('Historical Financials'!R117:R120)</f>
        <v>-841</v>
      </c>
      <c r="S41" s="127">
        <f>SUM('Historical Financials'!S117:S120)</f>
        <v>-36</v>
      </c>
      <c r="T41" s="127">
        <f>SUM('Historical Financials'!T117:T120)</f>
        <v>-121</v>
      </c>
      <c r="V41" s="126">
        <f t="shared" si="142"/>
        <v>-75</v>
      </c>
      <c r="W41" s="126">
        <f t="shared" si="143"/>
        <v>-277</v>
      </c>
      <c r="X41" s="126">
        <f t="shared" si="144"/>
        <v>204</v>
      </c>
      <c r="Y41" s="126">
        <f t="shared" si="145"/>
        <v>769</v>
      </c>
      <c r="Z41" s="126">
        <f t="shared" si="146"/>
        <v>-181</v>
      </c>
      <c r="AA41" s="126">
        <f t="shared" si="147"/>
        <v>389</v>
      </c>
      <c r="AB41" s="126">
        <f t="shared" si="148"/>
        <v>275</v>
      </c>
      <c r="AC41" s="126">
        <f t="shared" si="149"/>
        <v>-1052</v>
      </c>
      <c r="AD41" s="126">
        <f t="shared" si="150"/>
        <v>-1056</v>
      </c>
      <c r="AE41" s="126">
        <f t="shared" si="151"/>
        <v>-1173</v>
      </c>
    </row>
    <row r="42" spans="2:33" ht="12.75" customHeight="1">
      <c r="B42" s="29" t="s">
        <v>181</v>
      </c>
      <c r="C42" s="127">
        <f>'Historical Financials'!C127</f>
        <v>-94</v>
      </c>
      <c r="D42" s="127">
        <f>'Historical Financials'!D127</f>
        <v>0</v>
      </c>
      <c r="E42" s="127">
        <f>'Historical Financials'!E127</f>
        <v>0</v>
      </c>
      <c r="F42" s="127">
        <f>'Historical Financials'!F127</f>
        <v>0</v>
      </c>
      <c r="G42" s="30"/>
      <c r="H42" s="127">
        <f>'Historical Financials'!H127</f>
        <v>0</v>
      </c>
      <c r="I42" s="127">
        <f>'Historical Financials'!I127</f>
        <v>0</v>
      </c>
      <c r="J42" s="127">
        <f>'Historical Financials'!J127</f>
        <v>0</v>
      </c>
      <c r="K42" s="127">
        <f>'Historical Financials'!K127</f>
        <v>0</v>
      </c>
      <c r="L42" s="127">
        <f>'Historical Financials'!L127</f>
        <v>0</v>
      </c>
      <c r="M42" s="127">
        <f>'Historical Financials'!M127</f>
        <v>0</v>
      </c>
      <c r="N42" s="127">
        <f>'Historical Financials'!N127</f>
        <v>0</v>
      </c>
      <c r="O42" s="127">
        <f>'Historical Financials'!O127</f>
        <v>0</v>
      </c>
      <c r="P42" s="127">
        <f>'Historical Financials'!P127</f>
        <v>0</v>
      </c>
      <c r="Q42" s="127">
        <f>'Historical Financials'!Q127</f>
        <v>0</v>
      </c>
      <c r="R42" s="127">
        <f>'Historical Financials'!R127</f>
        <v>0</v>
      </c>
      <c r="S42" s="127">
        <f>'Historical Financials'!S127</f>
        <v>0</v>
      </c>
      <c r="T42" s="127">
        <f>'Historical Financials'!T127</f>
        <v>0</v>
      </c>
      <c r="V42" s="126">
        <f t="shared" si="142"/>
        <v>0</v>
      </c>
      <c r="W42" s="126">
        <f t="shared" si="143"/>
        <v>0</v>
      </c>
      <c r="X42" s="126">
        <f t="shared" si="144"/>
        <v>0</v>
      </c>
      <c r="Y42" s="126">
        <f t="shared" si="145"/>
        <v>0</v>
      </c>
      <c r="Z42" s="126">
        <f t="shared" si="146"/>
        <v>0</v>
      </c>
      <c r="AA42" s="126">
        <f t="shared" si="147"/>
        <v>0</v>
      </c>
      <c r="AB42" s="126">
        <f t="shared" si="148"/>
        <v>0</v>
      </c>
      <c r="AC42" s="126">
        <f t="shared" si="149"/>
        <v>0</v>
      </c>
      <c r="AD42" s="126">
        <f t="shared" si="150"/>
        <v>0</v>
      </c>
      <c r="AE42" s="126">
        <f t="shared" si="151"/>
        <v>0</v>
      </c>
    </row>
    <row r="43" spans="2:33" ht="12.75" customHeight="1">
      <c r="B43" s="29" t="s">
        <v>182</v>
      </c>
      <c r="C43" s="127">
        <f>'Historical Financials'!C129</f>
        <v>0</v>
      </c>
      <c r="D43" s="127">
        <f>'Historical Financials'!D129</f>
        <v>-538</v>
      </c>
      <c r="E43" s="127">
        <f>'Historical Financials'!E129</f>
        <v>-696</v>
      </c>
      <c r="F43" s="127">
        <f>'Historical Financials'!F129</f>
        <v>-1840</v>
      </c>
      <c r="G43" s="30"/>
      <c r="H43" s="127">
        <f>'Historical Financials'!H129</f>
        <v>0</v>
      </c>
      <c r="I43" s="127">
        <f>'Historical Financials'!I129</f>
        <v>0</v>
      </c>
      <c r="J43" s="127">
        <f>'Historical Financials'!J129</f>
        <v>-282</v>
      </c>
      <c r="K43" s="127">
        <f>'Historical Financials'!K129</f>
        <v>-256</v>
      </c>
      <c r="L43" s="127">
        <f>'Historical Financials'!L129</f>
        <v>-175</v>
      </c>
      <c r="M43" s="127">
        <f>'Historical Financials'!M129</f>
        <v>0</v>
      </c>
      <c r="N43" s="127">
        <f>'Historical Financials'!N129</f>
        <v>-225</v>
      </c>
      <c r="O43" s="127">
        <f>'Historical Financials'!O129</f>
        <v>-296</v>
      </c>
      <c r="P43" s="127">
        <f>'Historical Financials'!P129</f>
        <v>-298</v>
      </c>
      <c r="Q43" s="127">
        <f>'Historical Financials'!Q129</f>
        <v>-361</v>
      </c>
      <c r="R43" s="127">
        <f>'Historical Financials'!R129</f>
        <v>-584</v>
      </c>
      <c r="S43" s="127">
        <f>'Historical Financials'!S129</f>
        <v>-597</v>
      </c>
      <c r="T43" s="127">
        <f>'Historical Financials'!T129</f>
        <v>-2225</v>
      </c>
      <c r="V43" s="126">
        <f t="shared" si="142"/>
        <v>-538</v>
      </c>
      <c r="W43" s="126">
        <f t="shared" si="143"/>
        <v>-713</v>
      </c>
      <c r="X43" s="126">
        <f t="shared" si="144"/>
        <v>-713</v>
      </c>
      <c r="Y43" s="126">
        <f t="shared" si="145"/>
        <v>-656</v>
      </c>
      <c r="Z43" s="126">
        <f t="shared" si="146"/>
        <v>-696</v>
      </c>
      <c r="AA43" s="126">
        <f t="shared" si="147"/>
        <v>-819</v>
      </c>
      <c r="AB43" s="126">
        <f t="shared" si="148"/>
        <v>-1180</v>
      </c>
      <c r="AC43" s="126">
        <f t="shared" si="149"/>
        <v>-1539</v>
      </c>
      <c r="AD43" s="126">
        <f t="shared" si="150"/>
        <v>-1840</v>
      </c>
      <c r="AE43" s="126">
        <f t="shared" si="151"/>
        <v>-3767</v>
      </c>
    </row>
    <row r="44" spans="2:33" ht="12.75" customHeight="1">
      <c r="B44" s="29" t="s">
        <v>183</v>
      </c>
      <c r="C44" s="127">
        <f>'Historical Financials'!C128</f>
        <v>177</v>
      </c>
      <c r="D44" s="127">
        <f>'Historical Financials'!D128</f>
        <v>194</v>
      </c>
      <c r="E44" s="127">
        <f>'Historical Financials'!E128</f>
        <v>237</v>
      </c>
      <c r="F44" s="127">
        <f>'Historical Financials'!F128</f>
        <v>270</v>
      </c>
      <c r="G44" s="30"/>
      <c r="H44" s="127">
        <f>'Historical Financials'!H128</f>
        <v>117</v>
      </c>
      <c r="I44" s="127">
        <f>'Historical Financials'!I128</f>
        <v>0</v>
      </c>
      <c r="J44" s="127">
        <f>'Historical Financials'!J128</f>
        <v>76</v>
      </c>
      <c r="K44" s="127">
        <f>'Historical Financials'!K128</f>
        <v>1</v>
      </c>
      <c r="L44" s="127">
        <f>'Historical Financials'!L128</f>
        <v>131</v>
      </c>
      <c r="M44" s="127">
        <f>'Historical Financials'!M128</f>
        <v>0</v>
      </c>
      <c r="N44" s="127">
        <f>'Historical Financials'!N128</f>
        <v>106</v>
      </c>
      <c r="O44" s="127">
        <f>'Historical Financials'!O128</f>
        <v>0</v>
      </c>
      <c r="P44" s="127">
        <f>'Historical Financials'!P128</f>
        <v>153</v>
      </c>
      <c r="Q44" s="127">
        <f>'Historical Financials'!Q128</f>
        <v>0</v>
      </c>
      <c r="R44" s="127">
        <f>'Historical Financials'!R128</f>
        <v>117</v>
      </c>
      <c r="S44" s="127">
        <f>'Historical Financials'!S128</f>
        <v>0</v>
      </c>
      <c r="T44" s="127">
        <f>'Historical Financials'!T128</f>
        <v>153</v>
      </c>
      <c r="V44" s="126">
        <f t="shared" ref="V44:V45" si="152">SUM(H44:K44)</f>
        <v>194</v>
      </c>
      <c r="W44" s="126">
        <f t="shared" ref="W44:W45" si="153">SUM(I44:L44)</f>
        <v>208</v>
      </c>
      <c r="X44" s="126">
        <f t="shared" ref="X44:X45" si="154">SUM(J44:M44)</f>
        <v>208</v>
      </c>
      <c r="Y44" s="126">
        <f t="shared" ref="Y44:Y45" si="155">SUM(K44:N44)</f>
        <v>238</v>
      </c>
      <c r="Z44" s="126">
        <f t="shared" ref="Z44:Z45" si="156">SUM(L44:O44)</f>
        <v>237</v>
      </c>
      <c r="AA44" s="126">
        <f t="shared" ref="AA44:AA45" si="157">SUM(M44:P44)</f>
        <v>259</v>
      </c>
      <c r="AB44" s="126">
        <f t="shared" ref="AB44:AB45" si="158">SUM(N44:Q44)</f>
        <v>259</v>
      </c>
      <c r="AC44" s="126">
        <f t="shared" ref="AC44:AC45" si="159">SUM(O44:R44)</f>
        <v>270</v>
      </c>
      <c r="AD44" s="126">
        <f t="shared" ref="AD44:AD45" si="160">SUM(P44:S44)</f>
        <v>270</v>
      </c>
      <c r="AE44" s="126">
        <f t="shared" ref="AE44:AE45" si="161">SUM(Q44:T44)</f>
        <v>270</v>
      </c>
    </row>
    <row r="45" spans="2:33" ht="12.75" customHeight="1">
      <c r="B45" s="29" t="s">
        <v>184</v>
      </c>
      <c r="C45" s="127">
        <f>'Historical Financials'!C130</f>
        <v>-427</v>
      </c>
      <c r="D45" s="127">
        <f>'Historical Financials'!D130</f>
        <v>-459</v>
      </c>
      <c r="E45" s="127">
        <f>'Historical Financials'!E130</f>
        <v>-700</v>
      </c>
      <c r="F45" s="127">
        <f>'Historical Financials'!F130</f>
        <v>-770</v>
      </c>
      <c r="G45" s="30"/>
      <c r="H45" s="127">
        <f>'Historical Financials'!H130</f>
        <v>-112</v>
      </c>
      <c r="I45" s="127">
        <f>'Historical Financials'!I130</f>
        <v>-94</v>
      </c>
      <c r="J45" s="127">
        <f>'Historical Financials'!J130</f>
        <v>-127</v>
      </c>
      <c r="K45" s="127">
        <f>'Historical Financials'!K130</f>
        <v>-126</v>
      </c>
      <c r="L45" s="127">
        <f>'Historical Financials'!L130</f>
        <v>-215</v>
      </c>
      <c r="M45" s="127">
        <f>'Historical Financials'!M130</f>
        <v>-137</v>
      </c>
      <c r="N45" s="127">
        <f>'Historical Financials'!N130</f>
        <v>-173</v>
      </c>
      <c r="O45" s="127">
        <f>'Historical Financials'!O130</f>
        <v>-175</v>
      </c>
      <c r="P45" s="127">
        <f>'Historical Financials'!P130</f>
        <v>-253</v>
      </c>
      <c r="Q45" s="127">
        <f>'Historical Financials'!Q130</f>
        <v>-185</v>
      </c>
      <c r="R45" s="127">
        <f>'Historical Financials'!R130</f>
        <v>-190</v>
      </c>
      <c r="S45" s="127">
        <f>'Historical Financials'!S130</f>
        <v>-142</v>
      </c>
      <c r="T45" s="127">
        <f>'Historical Financials'!T130</f>
        <v>-164</v>
      </c>
      <c r="V45" s="126">
        <f t="shared" si="152"/>
        <v>-459</v>
      </c>
      <c r="W45" s="126">
        <f t="shared" si="153"/>
        <v>-562</v>
      </c>
      <c r="X45" s="126">
        <f t="shared" si="154"/>
        <v>-605</v>
      </c>
      <c r="Y45" s="126">
        <f t="shared" si="155"/>
        <v>-651</v>
      </c>
      <c r="Z45" s="126">
        <f t="shared" si="156"/>
        <v>-700</v>
      </c>
      <c r="AA45" s="126">
        <f t="shared" si="157"/>
        <v>-738</v>
      </c>
      <c r="AB45" s="126">
        <f t="shared" si="158"/>
        <v>-786</v>
      </c>
      <c r="AC45" s="126">
        <f t="shared" si="159"/>
        <v>-803</v>
      </c>
      <c r="AD45" s="126">
        <f t="shared" si="160"/>
        <v>-770</v>
      </c>
      <c r="AE45" s="126">
        <f t="shared" si="161"/>
        <v>-681</v>
      </c>
    </row>
    <row r="46" spans="2:33" ht="12.75" customHeight="1">
      <c r="B46" s="29" t="s">
        <v>66</v>
      </c>
      <c r="C46" s="128"/>
      <c r="D46" s="128">
        <f t="shared" ref="D46:F46" si="162">SUM(D51)-SUM(C51)-SUM(D37:D43)</f>
        <v>448</v>
      </c>
      <c r="E46" s="128">
        <f t="shared" si="162"/>
        <v>356</v>
      </c>
      <c r="F46" s="128">
        <f t="shared" si="162"/>
        <v>705</v>
      </c>
      <c r="G46" s="30"/>
      <c r="H46" s="128">
        <f>SUM(H51)-SUM(C51)-SUM(H37:H43)</f>
        <v>170</v>
      </c>
      <c r="I46" s="128">
        <f t="shared" ref="I46" si="163">SUM(I51)-SUM(H51)-SUM(I37:I43)</f>
        <v>72</v>
      </c>
      <c r="J46" s="128">
        <f t="shared" ref="J46" si="164">SUM(J51)-SUM(I51)-SUM(J37:J43)</f>
        <v>110</v>
      </c>
      <c r="K46" s="128">
        <f t="shared" ref="K46" si="165">SUM(K51)-SUM(J51)-SUM(K37:K43)</f>
        <v>96</v>
      </c>
      <c r="L46" s="128">
        <f t="shared" ref="L46" si="166">SUM(L51)-SUM(K51)-SUM(L37:L43)</f>
        <v>84</v>
      </c>
      <c r="M46" s="128">
        <f t="shared" ref="M46" si="167">SUM(M51)-SUM(L51)-SUM(M37:M43)</f>
        <v>100</v>
      </c>
      <c r="N46" s="128">
        <f t="shared" ref="N46" si="168">SUM(N51)-SUM(M51)-SUM(N37:N43)</f>
        <v>190</v>
      </c>
      <c r="O46" s="128">
        <f t="shared" ref="O46" si="169">SUM(O51)-SUM(N51)-SUM(O37:O43)</f>
        <v>-18</v>
      </c>
      <c r="P46" s="128">
        <f t="shared" ref="P46" si="170">SUM(P51)-SUM(O51)-SUM(P37:P43)</f>
        <v>109</v>
      </c>
      <c r="Q46" s="128">
        <f t="shared" ref="Q46" si="171">SUM(Q51)-SUM(P51)-SUM(Q37:Q43)</f>
        <v>206</v>
      </c>
      <c r="R46" s="128">
        <f t="shared" ref="R46" si="172">SUM(R51)-SUM(Q51)-SUM(R37:R43)</f>
        <v>155</v>
      </c>
      <c r="S46" s="128">
        <f t="shared" ref="S46" si="173">SUM(S51)-SUM(R51)-SUM(S37:S43)</f>
        <v>235</v>
      </c>
      <c r="T46" s="128">
        <f t="shared" ref="T46" si="174">SUM(T51)-SUM(S51)-SUM(T37:T43)</f>
        <v>213</v>
      </c>
      <c r="V46" s="126">
        <f t="shared" si="142"/>
        <v>448</v>
      </c>
      <c r="W46" s="126">
        <f t="shared" si="143"/>
        <v>362</v>
      </c>
      <c r="X46" s="126">
        <f t="shared" si="144"/>
        <v>390</v>
      </c>
      <c r="Y46" s="126">
        <f t="shared" si="145"/>
        <v>470</v>
      </c>
      <c r="Z46" s="126">
        <f t="shared" si="146"/>
        <v>356</v>
      </c>
      <c r="AA46" s="126">
        <f t="shared" si="147"/>
        <v>381</v>
      </c>
      <c r="AB46" s="126">
        <f t="shared" si="148"/>
        <v>487</v>
      </c>
      <c r="AC46" s="126">
        <f t="shared" si="149"/>
        <v>452</v>
      </c>
      <c r="AD46" s="126">
        <f t="shared" si="150"/>
        <v>705</v>
      </c>
      <c r="AE46" s="126">
        <f t="shared" si="151"/>
        <v>809</v>
      </c>
    </row>
    <row r="47" spans="2:33" ht="12.75" customHeight="1">
      <c r="B47" s="12" t="s">
        <v>39</v>
      </c>
      <c r="C47" s="13">
        <f t="shared" ref="C47:F47" si="175">SUM(C37+SUM(C39:C46))</f>
        <v>-651</v>
      </c>
      <c r="D47" s="13">
        <f t="shared" si="175"/>
        <v>162</v>
      </c>
      <c r="E47" s="13">
        <f t="shared" si="175"/>
        <v>-56</v>
      </c>
      <c r="F47" s="13">
        <f t="shared" si="175"/>
        <v>922</v>
      </c>
      <c r="H47" s="13">
        <f t="shared" ref="H47:S47" si="176">SUM(H37+SUM(H39:H46))</f>
        <v>387</v>
      </c>
      <c r="I47" s="13">
        <f t="shared" si="176"/>
        <v>-283</v>
      </c>
      <c r="J47" s="13">
        <f t="shared" si="176"/>
        <v>-602</v>
      </c>
      <c r="K47" s="13">
        <f t="shared" si="176"/>
        <v>660</v>
      </c>
      <c r="L47" s="13">
        <f t="shared" si="176"/>
        <v>75</v>
      </c>
      <c r="M47" s="13">
        <f t="shared" si="176"/>
        <v>-34</v>
      </c>
      <c r="N47" s="13">
        <f t="shared" si="176"/>
        <v>-341</v>
      </c>
      <c r="O47" s="13">
        <f t="shared" si="176"/>
        <v>244</v>
      </c>
      <c r="P47" s="13">
        <f t="shared" si="176"/>
        <v>965</v>
      </c>
      <c r="Q47" s="13">
        <f t="shared" si="176"/>
        <v>-430</v>
      </c>
      <c r="R47" s="13">
        <f t="shared" si="176"/>
        <v>-472</v>
      </c>
      <c r="S47" s="13">
        <f t="shared" si="176"/>
        <v>859</v>
      </c>
      <c r="T47" s="13">
        <f t="shared" ref="T47" si="177">SUM(T37+SUM(T39:T46))</f>
        <v>-1035</v>
      </c>
      <c r="V47" s="13">
        <f t="shared" ref="V47:AE47" si="178">SUM(V37+SUM(V39:V46))</f>
        <v>162</v>
      </c>
      <c r="W47" s="13">
        <f t="shared" si="178"/>
        <v>-150</v>
      </c>
      <c r="X47" s="13">
        <f t="shared" si="178"/>
        <v>99</v>
      </c>
      <c r="Y47" s="13">
        <f t="shared" si="178"/>
        <v>360</v>
      </c>
      <c r="Z47" s="13">
        <f t="shared" si="178"/>
        <v>-56</v>
      </c>
      <c r="AA47" s="13">
        <f t="shared" si="178"/>
        <v>834</v>
      </c>
      <c r="AB47" s="13">
        <f t="shared" si="178"/>
        <v>438</v>
      </c>
      <c r="AC47" s="13">
        <f t="shared" si="178"/>
        <v>307</v>
      </c>
      <c r="AD47" s="13">
        <f t="shared" si="178"/>
        <v>922</v>
      </c>
      <c r="AE47" s="13">
        <f t="shared" si="178"/>
        <v>-1078</v>
      </c>
    </row>
    <row r="48" spans="2:33" ht="5.0999999999999996" customHeight="1"/>
    <row r="49" spans="1:33" ht="12.75" customHeight="1">
      <c r="A49" s="5"/>
      <c r="B49" s="31" t="s">
        <v>40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3" ht="5.0999999999999996" customHeight="1"/>
    <row r="51" spans="1:33" ht="12.75" customHeight="1">
      <c r="B51" s="8" t="str">
        <f>'Historical Financials'!B44</f>
        <v>Cash and Cash Equivalents</v>
      </c>
      <c r="C51" s="80">
        <f>'Historical Financials'!C44</f>
        <v>1470</v>
      </c>
      <c r="D51" s="80">
        <f>'Historical Financials'!D44</f>
        <v>1897</v>
      </c>
      <c r="E51" s="80">
        <f>'Historical Financials'!E44</f>
        <v>2304</v>
      </c>
      <c r="F51" s="80">
        <f>'Historical Financials'!F44</f>
        <v>3726</v>
      </c>
      <c r="G51" s="30"/>
      <c r="H51" s="80">
        <f>'Historical Financials'!H44</f>
        <v>1852</v>
      </c>
      <c r="I51" s="80">
        <f>'Historical Financials'!I44</f>
        <v>1663</v>
      </c>
      <c r="J51" s="80">
        <f>'Historical Financials'!J44</f>
        <v>1112</v>
      </c>
      <c r="K51" s="80">
        <f>'Historical Financials'!K44</f>
        <v>1897</v>
      </c>
      <c r="L51" s="80">
        <f>'Historical Financials'!L44</f>
        <v>2056</v>
      </c>
      <c r="M51" s="80">
        <f>'Historical Financials'!M44</f>
        <v>2159</v>
      </c>
      <c r="N51" s="80">
        <f>'Historical Financials'!N44</f>
        <v>1885</v>
      </c>
      <c r="O51" s="80">
        <f>'Historical Financials'!O44</f>
        <v>2304</v>
      </c>
      <c r="P51" s="80">
        <f>'Historical Financials'!P44</f>
        <v>3369</v>
      </c>
      <c r="Q51" s="80">
        <f>'Historical Financials'!Q44</f>
        <v>3124</v>
      </c>
      <c r="R51" s="80">
        <f>'Historical Financials'!R44</f>
        <v>2725</v>
      </c>
      <c r="S51" s="80">
        <f>'Historical Financials'!S44</f>
        <v>3726</v>
      </c>
      <c r="T51" s="80">
        <f>'Historical Financials'!T44</f>
        <v>2702</v>
      </c>
      <c r="V51" s="10">
        <f t="shared" ref="V51:AD54" si="179">K51</f>
        <v>1897</v>
      </c>
      <c r="W51" s="10">
        <f t="shared" si="179"/>
        <v>2056</v>
      </c>
      <c r="X51" s="10">
        <f t="shared" si="179"/>
        <v>2159</v>
      </c>
      <c r="Y51" s="10">
        <f t="shared" si="179"/>
        <v>1885</v>
      </c>
      <c r="Z51" s="10">
        <f t="shared" si="179"/>
        <v>2304</v>
      </c>
      <c r="AA51" s="10">
        <f t="shared" si="179"/>
        <v>3369</v>
      </c>
      <c r="AB51" s="10">
        <f t="shared" si="179"/>
        <v>3124</v>
      </c>
      <c r="AC51" s="10">
        <f t="shared" si="179"/>
        <v>2725</v>
      </c>
      <c r="AD51" s="10">
        <f t="shared" si="179"/>
        <v>3726</v>
      </c>
      <c r="AE51" s="10">
        <f>T51</f>
        <v>2702</v>
      </c>
      <c r="AG51" s="10"/>
    </row>
    <row r="52" spans="1:33" ht="12.75" customHeight="1">
      <c r="B52" s="8" t="str">
        <f>'Historical Financials'!B45</f>
        <v>Marketable Securities</v>
      </c>
      <c r="C52" s="80">
        <f>'Historical Financials'!C45+'Historical Financials'!C56</f>
        <v>0</v>
      </c>
      <c r="D52" s="80">
        <f>'Historical Financials'!D45+'Historical Financials'!D56</f>
        <v>0</v>
      </c>
      <c r="E52" s="80">
        <f>'Historical Financials'!E45+'Historical Financials'!E56</f>
        <v>7569</v>
      </c>
      <c r="F52" s="80">
        <f>'Historical Financials'!F45+'Historical Financials'!F56</f>
        <v>6329</v>
      </c>
      <c r="G52" s="30"/>
      <c r="H52" s="80">
        <f>'Historical Financials'!H45+'Historical Financials'!H56</f>
        <v>0</v>
      </c>
      <c r="I52" s="80">
        <f>'Historical Financials'!I45+'Historical Financials'!I56</f>
        <v>0</v>
      </c>
      <c r="J52" s="80">
        <f>'Historical Financials'!J45+'Historical Financials'!J56</f>
        <v>0</v>
      </c>
      <c r="K52" s="80">
        <f>'Historical Financials'!K45+'Historical Financials'!K56</f>
        <v>0</v>
      </c>
      <c r="L52" s="80">
        <f>'Historical Financials'!L45+'Historical Financials'!L56</f>
        <v>0</v>
      </c>
      <c r="M52" s="80">
        <f>'Historical Financials'!M45+'Historical Financials'!M56</f>
        <v>0</v>
      </c>
      <c r="N52" s="80">
        <f>'Historical Financials'!N45+'Historical Financials'!N56</f>
        <v>0</v>
      </c>
      <c r="O52" s="80">
        <f>'Historical Financials'!O45+'Historical Financials'!O56</f>
        <v>7569</v>
      </c>
      <c r="P52" s="80">
        <f>'Historical Financials'!P45+'Historical Financials'!P56</f>
        <v>0</v>
      </c>
      <c r="Q52" s="80">
        <f>'Historical Financials'!Q45+'Historical Financials'!Q56</f>
        <v>0</v>
      </c>
      <c r="R52" s="80">
        <f>'Historical Financials'!R45+'Historical Financials'!R56</f>
        <v>6952</v>
      </c>
      <c r="S52" s="80">
        <f>'Historical Financials'!S45+'Historical Financials'!S56</f>
        <v>6329</v>
      </c>
      <c r="T52" s="80">
        <f>'Historical Financials'!T45+'Historical Financials'!T56</f>
        <v>5204</v>
      </c>
      <c r="V52" s="10">
        <f t="shared" si="179"/>
        <v>0</v>
      </c>
      <c r="W52" s="10">
        <f t="shared" si="179"/>
        <v>0</v>
      </c>
      <c r="X52" s="10">
        <f t="shared" si="179"/>
        <v>0</v>
      </c>
      <c r="Y52" s="10">
        <f t="shared" si="179"/>
        <v>0</v>
      </c>
      <c r="Z52" s="10">
        <f t="shared" si="179"/>
        <v>7569</v>
      </c>
      <c r="AA52" s="10">
        <f t="shared" si="179"/>
        <v>0</v>
      </c>
      <c r="AB52" s="10">
        <f t="shared" si="179"/>
        <v>0</v>
      </c>
      <c r="AC52" s="10">
        <f t="shared" si="179"/>
        <v>6952</v>
      </c>
      <c r="AD52" s="10">
        <f t="shared" si="179"/>
        <v>6329</v>
      </c>
      <c r="AE52" s="10">
        <f t="shared" ref="AE52:AE54" si="180">T52</f>
        <v>5204</v>
      </c>
      <c r="AG52" s="10"/>
    </row>
    <row r="53" spans="1:33" ht="12.75" customHeight="1">
      <c r="B53" s="8" t="str">
        <f>'Historical Financials'!B46</f>
        <v>Short-term Investments</v>
      </c>
      <c r="C53" s="80">
        <f>'Historical Financials'!C46</f>
        <v>2810</v>
      </c>
      <c r="D53" s="80">
        <f>'Historical Financials'!D46</f>
        <v>2980</v>
      </c>
      <c r="E53" s="80">
        <f>'Historical Financials'!E46</f>
        <v>0</v>
      </c>
      <c r="F53" s="80">
        <f>'Historical Financials'!F46</f>
        <v>0</v>
      </c>
      <c r="G53" s="30"/>
      <c r="H53" s="80">
        <f>'Historical Financials'!H46</f>
        <v>3062</v>
      </c>
      <c r="I53" s="80">
        <f>'Historical Financials'!I46</f>
        <v>3084</v>
      </c>
      <c r="J53" s="80">
        <f>'Historical Financials'!J46</f>
        <v>2955</v>
      </c>
      <c r="K53" s="80">
        <f>'Historical Financials'!K46</f>
        <v>2980</v>
      </c>
      <c r="L53" s="80">
        <f>'Historical Financials'!L46</f>
        <v>3054</v>
      </c>
      <c r="M53" s="80">
        <f>'Historical Financials'!M46</f>
        <v>3254</v>
      </c>
      <c r="N53" s="80">
        <f>'Historical Financials'!N46</f>
        <v>3410</v>
      </c>
      <c r="O53" s="80">
        <f>'Historical Financials'!O46</f>
        <v>0</v>
      </c>
      <c r="P53" s="80">
        <f>'Historical Financials'!P46</f>
        <v>3228</v>
      </c>
      <c r="Q53" s="80">
        <f>'Historical Financials'!Q46</f>
        <v>3008</v>
      </c>
      <c r="R53" s="80">
        <f>'Historical Financials'!R46</f>
        <v>0</v>
      </c>
      <c r="S53" s="80">
        <f>'Historical Financials'!S46</f>
        <v>0</v>
      </c>
      <c r="T53" s="80">
        <f>'Historical Financials'!T46</f>
        <v>0</v>
      </c>
      <c r="V53" s="10">
        <f t="shared" ref="V53" si="181">K53</f>
        <v>2980</v>
      </c>
      <c r="W53" s="10">
        <f t="shared" ref="W53" si="182">L53</f>
        <v>3054</v>
      </c>
      <c r="X53" s="10">
        <f t="shared" ref="X53" si="183">M53</f>
        <v>3254</v>
      </c>
      <c r="Y53" s="10">
        <f t="shared" ref="Y53" si="184">N53</f>
        <v>3410</v>
      </c>
      <c r="Z53" s="10">
        <f t="shared" ref="Z53" si="185">O53</f>
        <v>0</v>
      </c>
      <c r="AA53" s="10">
        <f t="shared" ref="AA53" si="186">P53</f>
        <v>3228</v>
      </c>
      <c r="AB53" s="10">
        <f t="shared" ref="AB53" si="187">Q53</f>
        <v>3008</v>
      </c>
      <c r="AC53" s="10">
        <f t="shared" ref="AC53" si="188">R53</f>
        <v>0</v>
      </c>
      <c r="AD53" s="10">
        <f t="shared" ref="AD53" si="189">S53</f>
        <v>0</v>
      </c>
      <c r="AE53" s="10">
        <f t="shared" ref="AE53" si="190">T53</f>
        <v>0</v>
      </c>
    </row>
    <row r="54" spans="1:33" ht="12.75" customHeight="1">
      <c r="B54" s="29" t="s">
        <v>186</v>
      </c>
      <c r="C54" s="75">
        <v>0</v>
      </c>
      <c r="D54" s="75">
        <v>0</v>
      </c>
      <c r="E54" s="75">
        <v>0</v>
      </c>
      <c r="F54" s="75">
        <v>0</v>
      </c>
      <c r="G54" s="30"/>
      <c r="H54" s="75">
        <v>0</v>
      </c>
      <c r="I54" s="75">
        <v>0</v>
      </c>
      <c r="J54" s="75">
        <v>0</v>
      </c>
      <c r="K54" s="106">
        <f>D54</f>
        <v>0</v>
      </c>
      <c r="L54" s="75">
        <v>0</v>
      </c>
      <c r="M54" s="75">
        <v>0</v>
      </c>
      <c r="N54" s="75">
        <v>0</v>
      </c>
      <c r="O54" s="106">
        <f>E54</f>
        <v>0</v>
      </c>
      <c r="P54" s="75">
        <v>0</v>
      </c>
      <c r="Q54" s="75">
        <v>0</v>
      </c>
      <c r="R54" s="75">
        <v>0</v>
      </c>
      <c r="S54" s="106">
        <f>F54</f>
        <v>0</v>
      </c>
      <c r="T54" s="106">
        <f>3000-T71</f>
        <v>900</v>
      </c>
      <c r="V54" s="10">
        <f t="shared" si="179"/>
        <v>0</v>
      </c>
      <c r="W54" s="10">
        <f t="shared" si="179"/>
        <v>0</v>
      </c>
      <c r="X54" s="10">
        <f t="shared" si="179"/>
        <v>0</v>
      </c>
      <c r="Y54" s="10">
        <f t="shared" si="179"/>
        <v>0</v>
      </c>
      <c r="Z54" s="10">
        <f t="shared" si="179"/>
        <v>0</v>
      </c>
      <c r="AA54" s="10">
        <f t="shared" si="179"/>
        <v>0</v>
      </c>
      <c r="AB54" s="10">
        <f t="shared" si="179"/>
        <v>0</v>
      </c>
      <c r="AC54" s="10">
        <f t="shared" si="179"/>
        <v>0</v>
      </c>
      <c r="AD54" s="10">
        <f t="shared" si="179"/>
        <v>0</v>
      </c>
      <c r="AE54" s="10">
        <f t="shared" si="180"/>
        <v>900</v>
      </c>
    </row>
    <row r="55" spans="1:33" ht="12.75" customHeight="1">
      <c r="B55" s="12" t="s">
        <v>41</v>
      </c>
      <c r="C55" s="13">
        <f>SUM(C51:C54)</f>
        <v>4280</v>
      </c>
      <c r="D55" s="13">
        <f t="shared" ref="D55:F55" si="191">SUM(D51:D54)</f>
        <v>4877</v>
      </c>
      <c r="E55" s="13">
        <f t="shared" si="191"/>
        <v>9873</v>
      </c>
      <c r="F55" s="13">
        <f t="shared" si="191"/>
        <v>10055</v>
      </c>
      <c r="G55" s="30"/>
      <c r="H55" s="13">
        <f t="shared" ref="H55:S55" si="192">SUM(H51:H54)</f>
        <v>4914</v>
      </c>
      <c r="I55" s="13">
        <f t="shared" si="192"/>
        <v>4747</v>
      </c>
      <c r="J55" s="13">
        <f t="shared" si="192"/>
        <v>4067</v>
      </c>
      <c r="K55" s="13">
        <f t="shared" si="192"/>
        <v>4877</v>
      </c>
      <c r="L55" s="13">
        <f t="shared" si="192"/>
        <v>5110</v>
      </c>
      <c r="M55" s="13">
        <f t="shared" si="192"/>
        <v>5413</v>
      </c>
      <c r="N55" s="13">
        <f t="shared" si="192"/>
        <v>5295</v>
      </c>
      <c r="O55" s="13">
        <f t="shared" si="192"/>
        <v>9873</v>
      </c>
      <c r="P55" s="13">
        <f t="shared" si="192"/>
        <v>6597</v>
      </c>
      <c r="Q55" s="13">
        <f t="shared" si="192"/>
        <v>6132</v>
      </c>
      <c r="R55" s="13">
        <f t="shared" si="192"/>
        <v>9677</v>
      </c>
      <c r="S55" s="13">
        <f t="shared" si="192"/>
        <v>10055</v>
      </c>
      <c r="T55" s="13">
        <f t="shared" ref="T55" si="193">SUM(T51:T54)</f>
        <v>8806</v>
      </c>
      <c r="V55" s="13">
        <f t="shared" ref="V55" si="194">SUM(V51:V54)</f>
        <v>4877</v>
      </c>
      <c r="W55" s="13">
        <f t="shared" ref="W55:AE55" si="195">SUM(W51:W54)</f>
        <v>5110</v>
      </c>
      <c r="X55" s="13">
        <f t="shared" si="195"/>
        <v>5413</v>
      </c>
      <c r="Y55" s="13">
        <f t="shared" si="195"/>
        <v>5295</v>
      </c>
      <c r="Z55" s="13">
        <f t="shared" si="195"/>
        <v>9873</v>
      </c>
      <c r="AA55" s="13">
        <f t="shared" si="195"/>
        <v>6597</v>
      </c>
      <c r="AB55" s="13">
        <f t="shared" si="195"/>
        <v>6132</v>
      </c>
      <c r="AC55" s="13">
        <f t="shared" si="195"/>
        <v>9677</v>
      </c>
      <c r="AD55" s="13">
        <f t="shared" si="195"/>
        <v>10055</v>
      </c>
      <c r="AE55" s="13">
        <f t="shared" si="195"/>
        <v>8806</v>
      </c>
    </row>
    <row r="56" spans="1:33" ht="5.0999999999999996" customHeight="1"/>
    <row r="57" spans="1:33" ht="12.75" customHeight="1">
      <c r="B57" s="32" t="s">
        <v>42</v>
      </c>
    </row>
    <row r="58" spans="1:33" ht="12.75" customHeight="1">
      <c r="B58" s="8" t="str">
        <f>'Historical Financials'!B47</f>
        <v>Accounts Receivable, Net</v>
      </c>
      <c r="C58" s="80">
        <f>'Historical Financials'!C47</f>
        <v>1725</v>
      </c>
      <c r="D58" s="80">
        <f>'Historical Financials'!D47</f>
        <v>2036</v>
      </c>
      <c r="E58" s="80">
        <f>'Historical Financials'!E47</f>
        <v>2240</v>
      </c>
      <c r="F58" s="80">
        <f>'Historical Financials'!F47</f>
        <v>2627</v>
      </c>
      <c r="H58" s="80">
        <f>'Historical Financials'!H47</f>
        <v>1109</v>
      </c>
      <c r="I58" s="80">
        <f>'Historical Financials'!I47</f>
        <v>1093</v>
      </c>
      <c r="J58" s="80">
        <f>'Historical Financials'!J47</f>
        <v>1168</v>
      </c>
      <c r="K58" s="80">
        <f>'Historical Financials'!K47</f>
        <v>2036</v>
      </c>
      <c r="L58" s="80">
        <f>'Historical Financials'!L47</f>
        <v>1306</v>
      </c>
      <c r="M58" s="80">
        <f>'Historical Financials'!M47</f>
        <v>1518</v>
      </c>
      <c r="N58" s="80">
        <f>'Historical Financials'!N47</f>
        <v>1308</v>
      </c>
      <c r="O58" s="80">
        <f>'Historical Financials'!O47</f>
        <v>2240</v>
      </c>
      <c r="P58" s="80">
        <f>'Historical Financials'!P47</f>
        <v>1359</v>
      </c>
      <c r="Q58" s="80">
        <f>'Historical Financials'!Q47</f>
        <v>1696</v>
      </c>
      <c r="R58" s="80">
        <f>'Historical Financials'!R47</f>
        <v>1548</v>
      </c>
      <c r="S58" s="80">
        <f>'Historical Financials'!S47</f>
        <v>2627</v>
      </c>
      <c r="T58" s="80">
        <f>'Historical Financials'!T47</f>
        <v>1713</v>
      </c>
      <c r="U58" s="10"/>
      <c r="V58" s="10">
        <f t="shared" ref="V58:V64" si="196">K58</f>
        <v>2036</v>
      </c>
      <c r="W58" s="10">
        <f t="shared" ref="W58:W64" si="197">L58</f>
        <v>1306</v>
      </c>
      <c r="X58" s="10">
        <f t="shared" ref="X58:X64" si="198">M58</f>
        <v>1518</v>
      </c>
      <c r="Y58" s="10">
        <f t="shared" ref="Y58:Y64" si="199">N58</f>
        <v>1308</v>
      </c>
      <c r="Z58" s="10">
        <f t="shared" ref="Z58:Z64" si="200">O58</f>
        <v>2240</v>
      </c>
      <c r="AA58" s="10">
        <f t="shared" ref="AA58:AA64" si="201">P58</f>
        <v>1359</v>
      </c>
      <c r="AB58" s="10">
        <f t="shared" ref="AB58:AB64" si="202">Q58</f>
        <v>1696</v>
      </c>
      <c r="AC58" s="10">
        <f t="shared" ref="AC58:AC64" si="203">R58</f>
        <v>1548</v>
      </c>
      <c r="AD58" s="10">
        <f t="shared" ref="AD58:AD64" si="204">S58</f>
        <v>2627</v>
      </c>
      <c r="AE58" s="10">
        <f t="shared" ref="AE58:AE64" si="205">T58</f>
        <v>1713</v>
      </c>
    </row>
    <row r="59" spans="1:33" ht="12.75" customHeight="1">
      <c r="B59" s="8" t="str">
        <f>'Historical Financials'!B66</f>
        <v>Accounts Payable</v>
      </c>
      <c r="C59" s="80">
        <f>'Historical Financials'!C66</f>
        <v>274</v>
      </c>
      <c r="D59" s="80">
        <f>'Historical Financials'!D66</f>
        <v>126</v>
      </c>
      <c r="E59" s="80">
        <f>'Historical Financials'!E66</f>
        <v>68</v>
      </c>
      <c r="F59" s="80">
        <f>'Historical Financials'!F66</f>
        <v>204</v>
      </c>
      <c r="H59" s="80">
        <f>'Historical Financials'!H66</f>
        <v>228</v>
      </c>
      <c r="I59" s="80">
        <f>'Historical Financials'!I66</f>
        <v>171</v>
      </c>
      <c r="J59" s="80">
        <f>'Historical Financials'!J66</f>
        <v>69</v>
      </c>
      <c r="K59" s="80">
        <f>'Historical Financials'!K66</f>
        <v>126</v>
      </c>
      <c r="L59" s="80">
        <f>'Historical Financials'!L66</f>
        <v>223</v>
      </c>
      <c r="M59" s="80">
        <f>'Historical Financials'!M66</f>
        <v>296</v>
      </c>
      <c r="N59" s="80">
        <f>'Historical Financials'!N66</f>
        <v>165</v>
      </c>
      <c r="O59" s="80">
        <f>'Historical Financials'!O66</f>
        <v>68</v>
      </c>
      <c r="P59" s="80">
        <f>'Historical Financials'!P66</f>
        <v>309</v>
      </c>
      <c r="Q59" s="80">
        <f>'Historical Financials'!Q66</f>
        <v>211</v>
      </c>
      <c r="R59" s="80">
        <f>'Historical Financials'!R66</f>
        <v>146</v>
      </c>
      <c r="S59" s="80">
        <f>'Historical Financials'!S66</f>
        <v>204</v>
      </c>
      <c r="T59" s="80">
        <f>'Historical Financials'!T66</f>
        <v>427</v>
      </c>
      <c r="U59" s="10"/>
      <c r="V59" s="10">
        <f t="shared" si="196"/>
        <v>126</v>
      </c>
      <c r="W59" s="10">
        <f t="shared" si="197"/>
        <v>223</v>
      </c>
      <c r="X59" s="10">
        <f t="shared" si="198"/>
        <v>296</v>
      </c>
      <c r="Y59" s="10">
        <f t="shared" si="199"/>
        <v>165</v>
      </c>
      <c r="Z59" s="10">
        <f t="shared" si="200"/>
        <v>68</v>
      </c>
      <c r="AA59" s="10">
        <f t="shared" si="201"/>
        <v>309</v>
      </c>
      <c r="AB59" s="10">
        <f t="shared" si="202"/>
        <v>211</v>
      </c>
      <c r="AC59" s="10">
        <f t="shared" si="203"/>
        <v>146</v>
      </c>
      <c r="AD59" s="10">
        <f t="shared" si="204"/>
        <v>204</v>
      </c>
      <c r="AE59" s="10">
        <f t="shared" si="205"/>
        <v>427</v>
      </c>
    </row>
    <row r="60" spans="1:33" ht="12.75" customHeight="1">
      <c r="B60" s="8" t="str">
        <f>'Historical Financials'!B54</f>
        <v>Property and Equipment, net</v>
      </c>
      <c r="C60" s="80">
        <f>'Historical Financials'!C54</f>
        <v>1053</v>
      </c>
      <c r="D60" s="80">
        <f>'Historical Financials'!D54</f>
        <v>1358</v>
      </c>
      <c r="E60" s="80">
        <f>'Historical Financials'!E54</f>
        <v>1763</v>
      </c>
      <c r="F60" s="80">
        <f>'Historical Financials'!F54</f>
        <v>2289</v>
      </c>
      <c r="H60" s="80">
        <f>'Historical Financials'!H54</f>
        <v>1117</v>
      </c>
      <c r="I60" s="80">
        <f>'Historical Financials'!I54</f>
        <v>1148</v>
      </c>
      <c r="J60" s="80">
        <f>'Historical Financials'!J54</f>
        <v>1199</v>
      </c>
      <c r="K60" s="80">
        <f>'Historical Financials'!K54</f>
        <v>1358</v>
      </c>
      <c r="L60" s="80">
        <f>'Historical Financials'!L54</f>
        <v>1450</v>
      </c>
      <c r="M60" s="80">
        <f>'Historical Financials'!M54</f>
        <v>1606</v>
      </c>
      <c r="N60" s="80">
        <f>'Historical Financials'!N54</f>
        <v>1718</v>
      </c>
      <c r="O60" s="80">
        <f>'Historical Financials'!O54</f>
        <v>1763</v>
      </c>
      <c r="P60" s="80">
        <f>'Historical Financials'!P54</f>
        <v>1885</v>
      </c>
      <c r="Q60" s="80">
        <f>'Historical Financials'!Q54</f>
        <v>1985</v>
      </c>
      <c r="R60" s="80">
        <f>'Historical Financials'!R54</f>
        <v>2127</v>
      </c>
      <c r="S60" s="80">
        <f>'Historical Financials'!S54</f>
        <v>2289</v>
      </c>
      <c r="T60" s="80">
        <f>'Historical Financials'!T54</f>
        <v>2250</v>
      </c>
      <c r="U60" s="10"/>
      <c r="V60" s="10">
        <f t="shared" si="196"/>
        <v>1358</v>
      </c>
      <c r="W60" s="10">
        <f t="shared" si="197"/>
        <v>1450</v>
      </c>
      <c r="X60" s="10">
        <f t="shared" si="198"/>
        <v>1606</v>
      </c>
      <c r="Y60" s="10">
        <f t="shared" si="199"/>
        <v>1718</v>
      </c>
      <c r="Z60" s="10">
        <f t="shared" si="200"/>
        <v>1763</v>
      </c>
      <c r="AA60" s="10">
        <f t="shared" si="201"/>
        <v>1885</v>
      </c>
      <c r="AB60" s="10">
        <f t="shared" si="202"/>
        <v>1985</v>
      </c>
      <c r="AC60" s="10">
        <f t="shared" si="203"/>
        <v>2127</v>
      </c>
      <c r="AD60" s="10">
        <f t="shared" si="204"/>
        <v>2289</v>
      </c>
      <c r="AE60" s="10">
        <f t="shared" si="205"/>
        <v>2250</v>
      </c>
    </row>
    <row r="61" spans="1:33" ht="12.75" customHeight="1">
      <c r="B61" s="8" t="str">
        <f>'Historical Financials'!B69</f>
        <v>Current Portion of: Deferred Revenue</v>
      </c>
      <c r="C61" s="80">
        <f>'Historical Financials'!C69</f>
        <v>4660</v>
      </c>
      <c r="D61" s="80">
        <f>'Historical Financials'!D69</f>
        <v>5785</v>
      </c>
      <c r="E61" s="80">
        <f>'Historical Financials'!E69</f>
        <v>6819</v>
      </c>
      <c r="F61" s="80">
        <f>'Historical Financials'!F69</f>
        <v>8314</v>
      </c>
      <c r="H61" s="80">
        <f>'Historical Financials'!H69</f>
        <v>4742</v>
      </c>
      <c r="I61" s="80">
        <f>'Historical Financials'!I69</f>
        <v>4613</v>
      </c>
      <c r="J61" s="80">
        <f>'Historical Financials'!J69</f>
        <v>4440</v>
      </c>
      <c r="K61" s="80">
        <f>'Historical Financials'!K69</f>
        <v>5785</v>
      </c>
      <c r="L61" s="80">
        <f>'Historical Financials'!L69</f>
        <v>5700</v>
      </c>
      <c r="M61" s="80">
        <f>'Historical Financials'!M69</f>
        <v>5615</v>
      </c>
      <c r="N61" s="80">
        <f>'Historical Financials'!N69</f>
        <v>5457</v>
      </c>
      <c r="O61" s="80">
        <f>'Historical Financials'!O69</f>
        <v>6819</v>
      </c>
      <c r="P61" s="80">
        <f>'Historical Financials'!P69</f>
        <v>6737</v>
      </c>
      <c r="Q61" s="80">
        <f>'Historical Financials'!Q69</f>
        <v>6802</v>
      </c>
      <c r="R61" s="80">
        <f>'Historical Financials'!R69</f>
        <v>6347</v>
      </c>
      <c r="S61" s="80">
        <f>'Historical Financials'!S69</f>
        <v>8314</v>
      </c>
      <c r="T61" s="80">
        <f>'Historical Financials'!T69</f>
        <v>8030</v>
      </c>
      <c r="U61" s="10"/>
      <c r="V61" s="10">
        <f t="shared" si="196"/>
        <v>5785</v>
      </c>
      <c r="W61" s="10">
        <f t="shared" si="197"/>
        <v>5700</v>
      </c>
      <c r="X61" s="10">
        <f t="shared" si="198"/>
        <v>5615</v>
      </c>
      <c r="Y61" s="10">
        <f t="shared" si="199"/>
        <v>5457</v>
      </c>
      <c r="Z61" s="10">
        <f t="shared" si="200"/>
        <v>6819</v>
      </c>
      <c r="AA61" s="10">
        <f t="shared" si="201"/>
        <v>6737</v>
      </c>
      <c r="AB61" s="10">
        <f t="shared" si="202"/>
        <v>6802</v>
      </c>
      <c r="AC61" s="10">
        <f t="shared" si="203"/>
        <v>6347</v>
      </c>
      <c r="AD61" s="10">
        <f t="shared" si="204"/>
        <v>8314</v>
      </c>
      <c r="AE61" s="10">
        <f t="shared" si="205"/>
        <v>8030</v>
      </c>
    </row>
    <row r="62" spans="1:33" ht="12.75" customHeight="1">
      <c r="B62" s="8" t="str">
        <f>'Historical Financials'!B75</f>
        <v>Deferred Revenues Less Current Portion</v>
      </c>
      <c r="C62" s="80">
        <f>'Historical Financials'!C75</f>
        <v>70</v>
      </c>
      <c r="D62" s="80">
        <f>'Historical Financials'!D75</f>
        <v>81</v>
      </c>
      <c r="E62" s="80">
        <f>'Historical Financials'!E75</f>
        <v>95</v>
      </c>
      <c r="F62" s="80">
        <f>'Historical Financials'!F75</f>
        <v>120</v>
      </c>
      <c r="G62" s="80"/>
      <c r="H62" s="80">
        <f>'Historical Financials'!H75</f>
        <v>53</v>
      </c>
      <c r="I62" s="80">
        <f>'Historical Financials'!I75</f>
        <v>45</v>
      </c>
      <c r="J62" s="80">
        <f>'Historical Financials'!J75</f>
        <v>46</v>
      </c>
      <c r="K62" s="80">
        <f>'Historical Financials'!K75</f>
        <v>81</v>
      </c>
      <c r="L62" s="80">
        <f>'Historical Financials'!L75</f>
        <v>100</v>
      </c>
      <c r="M62" s="80">
        <f>'Historical Financials'!M75</f>
        <v>85</v>
      </c>
      <c r="N62" s="80">
        <f>'Historical Financials'!N75</f>
        <v>77</v>
      </c>
      <c r="O62" s="80">
        <f>'Historical Financials'!O75</f>
        <v>95</v>
      </c>
      <c r="P62" s="80">
        <f>'Historical Financials'!P75</f>
        <v>117</v>
      </c>
      <c r="Q62" s="80">
        <f>'Historical Financials'!Q75</f>
        <v>110</v>
      </c>
      <c r="R62" s="80">
        <f>'Historical Financials'!R75</f>
        <v>115</v>
      </c>
      <c r="S62" s="80">
        <f>'Historical Financials'!S75</f>
        <v>120</v>
      </c>
      <c r="T62" s="80">
        <f>'Historical Financials'!T75</f>
        <v>99</v>
      </c>
      <c r="V62" s="10">
        <f t="shared" si="196"/>
        <v>81</v>
      </c>
      <c r="W62" s="10">
        <f t="shared" si="197"/>
        <v>100</v>
      </c>
      <c r="X62" s="10">
        <f t="shared" si="198"/>
        <v>85</v>
      </c>
      <c r="Y62" s="10">
        <f t="shared" si="199"/>
        <v>77</v>
      </c>
      <c r="Z62" s="10">
        <f t="shared" si="200"/>
        <v>95</v>
      </c>
      <c r="AA62" s="10">
        <f t="shared" si="201"/>
        <v>117</v>
      </c>
      <c r="AB62" s="10">
        <f t="shared" si="202"/>
        <v>110</v>
      </c>
      <c r="AC62" s="10">
        <f t="shared" si="203"/>
        <v>115</v>
      </c>
      <c r="AD62" s="10">
        <f t="shared" si="204"/>
        <v>120</v>
      </c>
      <c r="AE62" s="10">
        <f t="shared" si="205"/>
        <v>99</v>
      </c>
    </row>
    <row r="63" spans="1:33" ht="12.75" customHeight="1">
      <c r="B63" s="8" t="str">
        <f>'Historical Financials'!B70</f>
        <v>Total Current Liabilities</v>
      </c>
      <c r="C63" s="80">
        <f>'Historical Financials'!C70</f>
        <v>6005</v>
      </c>
      <c r="D63" s="80">
        <f>'Historical Financials'!D70</f>
        <v>7365</v>
      </c>
      <c r="E63" s="80">
        <f>'Historical Financials'!E70</f>
        <v>8358</v>
      </c>
      <c r="F63" s="80">
        <f>'Historical Financials'!F70</f>
        <v>10443</v>
      </c>
      <c r="G63" s="80"/>
      <c r="H63" s="80">
        <f>'Historical Financials'!H70</f>
        <v>5761</v>
      </c>
      <c r="I63" s="80">
        <f>'Historical Financials'!I70</f>
        <v>5767</v>
      </c>
      <c r="J63" s="80">
        <f>'Historical Financials'!J70</f>
        <v>5601</v>
      </c>
      <c r="K63" s="80">
        <f>'Historical Financials'!K70</f>
        <v>7365</v>
      </c>
      <c r="L63" s="80">
        <f>'Historical Financials'!L70</f>
        <v>7033</v>
      </c>
      <c r="M63" s="80">
        <f>'Historical Financials'!M70</f>
        <v>7172</v>
      </c>
      <c r="N63" s="80">
        <f>'Historical Financials'!N70</f>
        <v>6786</v>
      </c>
      <c r="O63" s="80">
        <f>'Historical Financials'!O70</f>
        <v>8358</v>
      </c>
      <c r="P63" s="80">
        <f>'Historical Financials'!P70</f>
        <v>8258</v>
      </c>
      <c r="Q63" s="80">
        <f>'Historical Financials'!Q70</f>
        <v>8495</v>
      </c>
      <c r="R63" s="80">
        <f>'Historical Financials'!R70</f>
        <v>7867</v>
      </c>
      <c r="S63" s="80">
        <f>'Historical Financials'!S70</f>
        <v>10443</v>
      </c>
      <c r="T63" s="80">
        <f>'Historical Financials'!T70</f>
        <v>9983</v>
      </c>
      <c r="V63" s="10">
        <f t="shared" si="196"/>
        <v>7365</v>
      </c>
      <c r="W63" s="10">
        <f t="shared" si="197"/>
        <v>7033</v>
      </c>
      <c r="X63" s="10">
        <f t="shared" si="198"/>
        <v>7172</v>
      </c>
      <c r="Y63" s="10">
        <f t="shared" si="199"/>
        <v>6786</v>
      </c>
      <c r="Z63" s="10">
        <f t="shared" si="200"/>
        <v>8358</v>
      </c>
      <c r="AA63" s="10">
        <f t="shared" si="201"/>
        <v>8258</v>
      </c>
      <c r="AB63" s="10">
        <f t="shared" si="202"/>
        <v>8495</v>
      </c>
      <c r="AC63" s="10">
        <f t="shared" si="203"/>
        <v>7867</v>
      </c>
      <c r="AD63" s="10">
        <f t="shared" si="204"/>
        <v>10443</v>
      </c>
      <c r="AE63" s="10">
        <f t="shared" si="205"/>
        <v>9983</v>
      </c>
    </row>
    <row r="64" spans="1:33" ht="12.75" customHeight="1">
      <c r="B64" s="8" t="str">
        <f>'Historical Financials'!B77</f>
        <v>Total Liabilities</v>
      </c>
      <c r="C64" s="80">
        <f>'Historical Financials'!C77</f>
        <v>8267</v>
      </c>
      <c r="D64" s="80">
        <f>'Historical Financials'!D77</f>
        <v>9759</v>
      </c>
      <c r="E64" s="80">
        <f>'Historical Financials'!E77</f>
        <v>10774</v>
      </c>
      <c r="F64" s="80">
        <f>'Historical Financials'!F77</f>
        <v>13074</v>
      </c>
      <c r="G64" s="80"/>
      <c r="H64" s="80">
        <f>'Historical Financials'!H77</f>
        <v>8014</v>
      </c>
      <c r="I64" s="80">
        <f>'Historical Financials'!I77</f>
        <v>7997</v>
      </c>
      <c r="J64" s="80">
        <f>'Historical Financials'!J77</f>
        <v>7909</v>
      </c>
      <c r="K64" s="80">
        <f>'Historical Financials'!K77</f>
        <v>9759</v>
      </c>
      <c r="L64" s="80">
        <f>'Historical Financials'!L77</f>
        <v>9437</v>
      </c>
      <c r="M64" s="80">
        <f>'Historical Financials'!M77</f>
        <v>9541</v>
      </c>
      <c r="N64" s="80">
        <f>'Historical Financials'!N77</f>
        <v>9144</v>
      </c>
      <c r="O64" s="80">
        <f>'Historical Financials'!O77</f>
        <v>10774</v>
      </c>
      <c r="P64" s="80">
        <f>'Historical Financials'!P77</f>
        <v>10833</v>
      </c>
      <c r="Q64" s="80">
        <f>'Historical Financials'!Q77</f>
        <v>11119</v>
      </c>
      <c r="R64" s="80">
        <f>'Historical Financials'!R77</f>
        <v>10488</v>
      </c>
      <c r="S64" s="80">
        <f>'Historical Financials'!S77</f>
        <v>13074</v>
      </c>
      <c r="T64" s="80">
        <f>'Historical Financials'!T77</f>
        <v>12653</v>
      </c>
      <c r="V64" s="10">
        <f t="shared" si="196"/>
        <v>9759</v>
      </c>
      <c r="W64" s="10">
        <f t="shared" si="197"/>
        <v>9437</v>
      </c>
      <c r="X64" s="10">
        <f t="shared" si="198"/>
        <v>9541</v>
      </c>
      <c r="Y64" s="10">
        <f t="shared" si="199"/>
        <v>9144</v>
      </c>
      <c r="Z64" s="10">
        <f t="shared" si="200"/>
        <v>10774</v>
      </c>
      <c r="AA64" s="10">
        <f t="shared" si="201"/>
        <v>10833</v>
      </c>
      <c r="AB64" s="10">
        <f t="shared" si="202"/>
        <v>11119</v>
      </c>
      <c r="AC64" s="10">
        <f t="shared" si="203"/>
        <v>10488</v>
      </c>
      <c r="AD64" s="10">
        <f t="shared" si="204"/>
        <v>13074</v>
      </c>
      <c r="AE64" s="10">
        <f t="shared" si="205"/>
        <v>12653</v>
      </c>
    </row>
    <row r="65" spans="1:31" ht="5.0999999999999996" customHeight="1">
      <c r="F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31">
      <c r="B66" s="32" t="s">
        <v>94</v>
      </c>
      <c r="F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31">
      <c r="B67" s="8" t="s">
        <v>95</v>
      </c>
      <c r="C67" s="75">
        <v>0</v>
      </c>
      <c r="D67" s="75">
        <v>0</v>
      </c>
      <c r="E67" s="75">
        <v>0</v>
      </c>
      <c r="F67" s="75">
        <v>0</v>
      </c>
      <c r="H67" s="75">
        <v>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4000</v>
      </c>
      <c r="V67" s="10">
        <f t="shared" ref="V67:V68" si="206">K67</f>
        <v>0</v>
      </c>
      <c r="W67" s="10">
        <f t="shared" ref="W67:W68" si="207">L67</f>
        <v>0</v>
      </c>
      <c r="X67" s="10">
        <f t="shared" ref="X67:X68" si="208">M67</f>
        <v>0</v>
      </c>
      <c r="Y67" s="10">
        <f t="shared" ref="Y67:Y68" si="209">N67</f>
        <v>0</v>
      </c>
      <c r="Z67" s="10">
        <f t="shared" ref="Z67:Z68" si="210">O67</f>
        <v>0</v>
      </c>
      <c r="AA67" s="10">
        <f t="shared" ref="AA67:AA68" si="211">P67</f>
        <v>0</v>
      </c>
      <c r="AB67" s="10">
        <f t="shared" ref="AB67:AB68" si="212">Q67</f>
        <v>0</v>
      </c>
      <c r="AC67" s="10">
        <f t="shared" ref="AC67:AC68" si="213">R67</f>
        <v>0</v>
      </c>
      <c r="AD67" s="10">
        <f t="shared" ref="AD67:AD68" si="214">S67</f>
        <v>0</v>
      </c>
      <c r="AE67" s="10">
        <f t="shared" ref="AE67:AE68" si="215">T67</f>
        <v>4000</v>
      </c>
    </row>
    <row r="68" spans="1:31">
      <c r="B68" s="8" t="s">
        <v>96</v>
      </c>
      <c r="C68" s="80">
        <f>'Historical Financials'!C73</f>
        <v>1486</v>
      </c>
      <c r="D68" s="80">
        <f>'Historical Financials'!D73</f>
        <v>1488</v>
      </c>
      <c r="E68" s="80">
        <f>'Historical Financials'!E73</f>
        <v>1489</v>
      </c>
      <c r="F68" s="80">
        <f>'Historical Financials'!F73</f>
        <v>1491</v>
      </c>
      <c r="H68" s="80">
        <f>'Historical Financials'!H73</f>
        <v>1486</v>
      </c>
      <c r="I68" s="80">
        <f>'Historical Financials'!I73</f>
        <v>1487</v>
      </c>
      <c r="J68" s="80">
        <f>'Historical Financials'!J73</f>
        <v>1487</v>
      </c>
      <c r="K68" s="80">
        <f>'Historical Financials'!K73</f>
        <v>1488</v>
      </c>
      <c r="L68" s="80">
        <f>'Historical Financials'!L73</f>
        <v>1488</v>
      </c>
      <c r="M68" s="80">
        <f>'Historical Financials'!M73</f>
        <v>1488</v>
      </c>
      <c r="N68" s="80">
        <f>'Historical Financials'!N73</f>
        <v>1489</v>
      </c>
      <c r="O68" s="80">
        <f>'Historical Financials'!O73</f>
        <v>1489</v>
      </c>
      <c r="P68" s="80">
        <f>'Historical Financials'!P73</f>
        <v>1490</v>
      </c>
      <c r="Q68" s="80">
        <f>'Historical Financials'!Q73</f>
        <v>1490</v>
      </c>
      <c r="R68" s="80">
        <f>'Historical Financials'!R73</f>
        <v>1491</v>
      </c>
      <c r="S68" s="80">
        <f>'Historical Financials'!S73</f>
        <v>1491</v>
      </c>
      <c r="T68" s="80">
        <f>'Historical Financials'!T73</f>
        <v>1491</v>
      </c>
      <c r="V68" s="10">
        <f t="shared" si="206"/>
        <v>1488</v>
      </c>
      <c r="W68" s="10">
        <f t="shared" si="207"/>
        <v>1488</v>
      </c>
      <c r="X68" s="10">
        <f t="shared" si="208"/>
        <v>1488</v>
      </c>
      <c r="Y68" s="10">
        <f t="shared" si="209"/>
        <v>1489</v>
      </c>
      <c r="Z68" s="10">
        <f t="shared" si="210"/>
        <v>1489</v>
      </c>
      <c r="AA68" s="10">
        <f t="shared" si="211"/>
        <v>1490</v>
      </c>
      <c r="AB68" s="10">
        <f t="shared" si="212"/>
        <v>1490</v>
      </c>
      <c r="AC68" s="10">
        <f t="shared" si="213"/>
        <v>1491</v>
      </c>
      <c r="AD68" s="10">
        <f t="shared" si="214"/>
        <v>1491</v>
      </c>
      <c r="AE68" s="10">
        <f t="shared" si="215"/>
        <v>1491</v>
      </c>
    </row>
    <row r="69" spans="1:31">
      <c r="F69" s="10"/>
    </row>
    <row r="70" spans="1:31">
      <c r="B70" s="125" t="s">
        <v>185</v>
      </c>
      <c r="C70" s="106">
        <f>C68</f>
        <v>1486</v>
      </c>
      <c r="D70" s="106">
        <f t="shared" ref="D70:T70" si="216">D68</f>
        <v>1488</v>
      </c>
      <c r="E70" s="106">
        <f t="shared" si="216"/>
        <v>1489</v>
      </c>
      <c r="F70" s="106">
        <f t="shared" si="216"/>
        <v>1491</v>
      </c>
      <c r="H70" s="106">
        <f t="shared" si="216"/>
        <v>1486</v>
      </c>
      <c r="I70" s="106">
        <f t="shared" si="216"/>
        <v>1487</v>
      </c>
      <c r="J70" s="106">
        <f t="shared" si="216"/>
        <v>1487</v>
      </c>
      <c r="K70" s="106">
        <f t="shared" si="216"/>
        <v>1488</v>
      </c>
      <c r="L70" s="106">
        <f t="shared" si="216"/>
        <v>1488</v>
      </c>
      <c r="M70" s="106">
        <f t="shared" si="216"/>
        <v>1488</v>
      </c>
      <c r="N70" s="106">
        <f t="shared" si="216"/>
        <v>1489</v>
      </c>
      <c r="O70" s="106">
        <f t="shared" si="216"/>
        <v>1489</v>
      </c>
      <c r="P70" s="106">
        <f t="shared" si="216"/>
        <v>1490</v>
      </c>
      <c r="Q70" s="106">
        <f t="shared" si="216"/>
        <v>1490</v>
      </c>
      <c r="R70" s="106">
        <f t="shared" si="216"/>
        <v>1491</v>
      </c>
      <c r="S70" s="106">
        <f t="shared" si="216"/>
        <v>1491</v>
      </c>
      <c r="T70" s="106">
        <f t="shared" si="216"/>
        <v>1491</v>
      </c>
      <c r="V70" s="10">
        <f t="shared" ref="V70:V72" si="217">K70</f>
        <v>1488</v>
      </c>
      <c r="W70" s="10">
        <f t="shared" ref="W70:W72" si="218">L70</f>
        <v>1488</v>
      </c>
      <c r="X70" s="10">
        <f t="shared" ref="X70:X72" si="219">M70</f>
        <v>1488</v>
      </c>
      <c r="Y70" s="10">
        <f t="shared" ref="Y70:Y72" si="220">N70</f>
        <v>1489</v>
      </c>
      <c r="Z70" s="10">
        <f t="shared" ref="Z70:Z72" si="221">O70</f>
        <v>1489</v>
      </c>
      <c r="AA70" s="10">
        <f t="shared" ref="AA70:AA72" si="222">P70</f>
        <v>1490</v>
      </c>
      <c r="AB70" s="10">
        <f t="shared" ref="AB70:AB72" si="223">Q70</f>
        <v>1490</v>
      </c>
      <c r="AC70" s="10">
        <f t="shared" ref="AC70:AC72" si="224">R70</f>
        <v>1491</v>
      </c>
      <c r="AD70" s="10">
        <f t="shared" ref="AD70:AD72" si="225">S70</f>
        <v>1491</v>
      </c>
      <c r="AE70" s="10">
        <f t="shared" ref="AE70:AE72" si="226">T70</f>
        <v>1491</v>
      </c>
    </row>
    <row r="71" spans="1:31">
      <c r="B71" s="29" t="s">
        <v>187</v>
      </c>
      <c r="C71" s="75">
        <v>0</v>
      </c>
      <c r="D71" s="75">
        <v>0</v>
      </c>
      <c r="E71" s="75">
        <v>0</v>
      </c>
      <c r="F71" s="75">
        <v>0</v>
      </c>
      <c r="H71" s="75">
        <v>0</v>
      </c>
      <c r="I71" s="75">
        <v>0</v>
      </c>
      <c r="J71" s="75">
        <v>0</v>
      </c>
      <c r="K71" s="106">
        <f t="shared" ref="K71" si="227">D71</f>
        <v>0</v>
      </c>
      <c r="L71" s="75">
        <v>0</v>
      </c>
      <c r="M71" s="75">
        <v>0</v>
      </c>
      <c r="N71" s="75">
        <v>0</v>
      </c>
      <c r="O71" s="106">
        <f t="shared" ref="O71" si="228">E71</f>
        <v>0</v>
      </c>
      <c r="P71" s="75">
        <v>0</v>
      </c>
      <c r="Q71" s="75">
        <v>0</v>
      </c>
      <c r="R71" s="75">
        <v>0</v>
      </c>
      <c r="S71" s="106">
        <f t="shared" ref="S71" si="229">F71</f>
        <v>0</v>
      </c>
      <c r="T71" s="75">
        <v>2100</v>
      </c>
      <c r="V71" s="10">
        <f t="shared" ref="V71" si="230">K71</f>
        <v>0</v>
      </c>
      <c r="W71" s="10">
        <f t="shared" ref="W71" si="231">L71</f>
        <v>0</v>
      </c>
      <c r="X71" s="10">
        <f t="shared" ref="X71" si="232">M71</f>
        <v>0</v>
      </c>
      <c r="Y71" s="10">
        <f t="shared" ref="Y71" si="233">N71</f>
        <v>0</v>
      </c>
      <c r="Z71" s="10">
        <f t="shared" ref="Z71" si="234">O71</f>
        <v>0</v>
      </c>
      <c r="AA71" s="10">
        <f t="shared" ref="AA71" si="235">P71</f>
        <v>0</v>
      </c>
      <c r="AB71" s="10">
        <f t="shared" ref="AB71" si="236">Q71</f>
        <v>0</v>
      </c>
      <c r="AC71" s="10">
        <f t="shared" ref="AC71" si="237">R71</f>
        <v>0</v>
      </c>
      <c r="AD71" s="10">
        <f t="shared" ref="AD71" si="238">S71</f>
        <v>0</v>
      </c>
      <c r="AE71" s="10">
        <f t="shared" ref="AE71" si="239">T71</f>
        <v>2100</v>
      </c>
    </row>
    <row r="72" spans="1:31">
      <c r="B72" s="29" t="s">
        <v>188</v>
      </c>
      <c r="C72" s="75">
        <v>0</v>
      </c>
      <c r="D72" s="75">
        <v>0</v>
      </c>
      <c r="E72" s="75">
        <v>0</v>
      </c>
      <c r="F72" s="75">
        <v>0</v>
      </c>
      <c r="H72" s="75">
        <v>0</v>
      </c>
      <c r="I72" s="75">
        <v>0</v>
      </c>
      <c r="J72" s="75">
        <v>0</v>
      </c>
      <c r="K72" s="106">
        <f t="shared" ref="K72" si="240">D72</f>
        <v>0</v>
      </c>
      <c r="L72" s="75">
        <v>0</v>
      </c>
      <c r="M72" s="75">
        <v>0</v>
      </c>
      <c r="N72" s="75">
        <v>0</v>
      </c>
      <c r="O72" s="106">
        <f t="shared" ref="O72" si="241">E72</f>
        <v>0</v>
      </c>
      <c r="P72" s="75">
        <v>0</v>
      </c>
      <c r="Q72" s="75">
        <v>0</v>
      </c>
      <c r="R72" s="75">
        <v>0</v>
      </c>
      <c r="S72" s="106">
        <f t="shared" ref="S72" si="242">F72</f>
        <v>0</v>
      </c>
      <c r="T72" s="106">
        <f>T67</f>
        <v>4000</v>
      </c>
      <c r="V72" s="10">
        <f t="shared" si="217"/>
        <v>0</v>
      </c>
      <c r="W72" s="10">
        <f t="shared" si="218"/>
        <v>0</v>
      </c>
      <c r="X72" s="10">
        <f t="shared" si="219"/>
        <v>0</v>
      </c>
      <c r="Y72" s="10">
        <f t="shared" si="220"/>
        <v>0</v>
      </c>
      <c r="Z72" s="10">
        <f t="shared" si="221"/>
        <v>0</v>
      </c>
      <c r="AA72" s="10">
        <f t="shared" si="222"/>
        <v>0</v>
      </c>
      <c r="AB72" s="10">
        <f t="shared" si="223"/>
        <v>0</v>
      </c>
      <c r="AC72" s="10">
        <f t="shared" si="224"/>
        <v>0</v>
      </c>
      <c r="AD72" s="10">
        <f t="shared" si="225"/>
        <v>0</v>
      </c>
      <c r="AE72" s="10">
        <f t="shared" si="226"/>
        <v>4000</v>
      </c>
    </row>
    <row r="73" spans="1:31" ht="12.75" customHeight="1">
      <c r="B73" s="12" t="s">
        <v>22</v>
      </c>
      <c r="C73" s="13">
        <f>SUM(C70:C72)</f>
        <v>1486</v>
      </c>
      <c r="D73" s="13">
        <f>SUM(D70:D72)</f>
        <v>1488</v>
      </c>
      <c r="E73" s="13">
        <f>SUM(E70:E72)</f>
        <v>1489</v>
      </c>
      <c r="F73" s="13">
        <f>SUM(F70:F72)</f>
        <v>1491</v>
      </c>
      <c r="H73" s="13">
        <f>SUM(H70:H72)</f>
        <v>1486</v>
      </c>
      <c r="I73" s="13">
        <f>SUM(I70:I72)</f>
        <v>1487</v>
      </c>
      <c r="J73" s="13">
        <f>SUM(J70:J72)</f>
        <v>1487</v>
      </c>
      <c r="K73" s="13">
        <f>SUM(K70:K72)</f>
        <v>1488</v>
      </c>
      <c r="L73" s="13">
        <f>SUM(L70:L72)</f>
        <v>1488</v>
      </c>
      <c r="M73" s="13">
        <f>SUM(M70:M72)</f>
        <v>1488</v>
      </c>
      <c r="N73" s="13">
        <f>SUM(N70:N72)</f>
        <v>1489</v>
      </c>
      <c r="O73" s="13">
        <f>SUM(O70:O72)</f>
        <v>1489</v>
      </c>
      <c r="P73" s="13">
        <f>SUM(P70:P72)</f>
        <v>1490</v>
      </c>
      <c r="Q73" s="13">
        <f>SUM(Q70:Q72)</f>
        <v>1490</v>
      </c>
      <c r="R73" s="13">
        <f>SUM(R70:R72)</f>
        <v>1491</v>
      </c>
      <c r="S73" s="13">
        <f>SUM(S70:S72)</f>
        <v>1491</v>
      </c>
      <c r="T73" s="13">
        <f>SUM(T70:T72)</f>
        <v>7591</v>
      </c>
      <c r="V73" s="13">
        <f>SUM(V70:V72)</f>
        <v>1488</v>
      </c>
      <c r="W73" s="13">
        <f>SUM(W70:W72)</f>
        <v>1488</v>
      </c>
      <c r="X73" s="13">
        <f>SUM(X70:X72)</f>
        <v>1488</v>
      </c>
      <c r="Y73" s="13">
        <f>SUM(Y70:Y72)</f>
        <v>1489</v>
      </c>
      <c r="Z73" s="13">
        <f>SUM(Z70:Z72)</f>
        <v>1489</v>
      </c>
      <c r="AA73" s="13">
        <f>SUM(AA70:AA72)</f>
        <v>1490</v>
      </c>
      <c r="AB73" s="13">
        <f>SUM(AB70:AB72)</f>
        <v>1490</v>
      </c>
      <c r="AC73" s="13">
        <f>SUM(AC70:AC72)</f>
        <v>1491</v>
      </c>
      <c r="AD73" s="13">
        <f>SUM(AD70:AD72)</f>
        <v>1491</v>
      </c>
      <c r="AE73" s="13">
        <f>SUM(AE70:AE72)</f>
        <v>7591</v>
      </c>
    </row>
    <row r="74" spans="1:31" ht="5.0999999999999996" customHeight="1"/>
    <row r="75" spans="1:31" ht="12.75" customHeight="1">
      <c r="B75" s="8" t="s">
        <v>44</v>
      </c>
      <c r="C75" s="80">
        <f>'Historical Financials'!C84</f>
        <v>5032</v>
      </c>
      <c r="D75" s="80">
        <f>'Historical Financials'!D84</f>
        <v>7628</v>
      </c>
      <c r="E75" s="80">
        <f>'Historical Financials'!E84</f>
        <v>9609</v>
      </c>
      <c r="F75" s="80">
        <f>'Historical Financials'!F84</f>
        <v>12964</v>
      </c>
      <c r="H75" s="80">
        <f>'Historical Financials'!H84</f>
        <v>5600</v>
      </c>
      <c r="I75" s="80">
        <f>'Historical Financials'!I84</f>
        <v>6926</v>
      </c>
      <c r="J75" s="80">
        <f>'Historical Financials'!J84</f>
        <v>7182</v>
      </c>
      <c r="K75" s="80">
        <f>'Historical Financials'!K84</f>
        <v>7628</v>
      </c>
      <c r="L75" s="80">
        <f>'Historical Financials'!L84</f>
        <v>8107</v>
      </c>
      <c r="M75" s="80">
        <f>'Historical Financials'!M84</f>
        <v>8666</v>
      </c>
      <c r="N75" s="80">
        <f>'Historical Financials'!N84</f>
        <v>9290</v>
      </c>
      <c r="O75" s="80">
        <f>'Historical Financials'!O84</f>
        <v>9609</v>
      </c>
      <c r="P75" s="80">
        <f>'Historical Financials'!P84</f>
        <v>10139</v>
      </c>
      <c r="Q75" s="80">
        <f>'Historical Financials'!Q84</f>
        <v>10932</v>
      </c>
      <c r="R75" s="80">
        <f>'Historical Financials'!R84</f>
        <v>11301</v>
      </c>
      <c r="S75" s="80">
        <f>'Historical Financials'!S84</f>
        <v>12964</v>
      </c>
      <c r="T75" s="80">
        <f>'Historical Financials'!T84</f>
        <v>11728</v>
      </c>
      <c r="V75" s="10">
        <f t="shared" ref="V75" si="243">K75</f>
        <v>7628</v>
      </c>
      <c r="W75" s="10">
        <f t="shared" ref="W75" si="244">L75</f>
        <v>8107</v>
      </c>
      <c r="X75" s="10">
        <f t="shared" ref="X75" si="245">M75</f>
        <v>8666</v>
      </c>
      <c r="Y75" s="10">
        <f t="shared" ref="Y75" si="246">N75</f>
        <v>9290</v>
      </c>
      <c r="Z75" s="10">
        <f t="shared" ref="Z75" si="247">O75</f>
        <v>9609</v>
      </c>
      <c r="AA75" s="10">
        <f t="shared" ref="AA75" si="248">P75</f>
        <v>10139</v>
      </c>
      <c r="AB75" s="10">
        <f t="shared" ref="AB75" si="249">Q75</f>
        <v>10932</v>
      </c>
      <c r="AC75" s="10">
        <f t="shared" ref="AC75" si="250">R75</f>
        <v>11301</v>
      </c>
      <c r="AD75" s="10">
        <f t="shared" ref="AD75" si="251">S75</f>
        <v>12964</v>
      </c>
      <c r="AE75" s="10">
        <f t="shared" ref="AE75" si="252">T75</f>
        <v>11728</v>
      </c>
    </row>
    <row r="76" spans="1:31" ht="12.75" customHeight="1">
      <c r="B76" s="12" t="s">
        <v>45</v>
      </c>
      <c r="C76" s="13">
        <f t="shared" ref="C76:F76" si="253">SUM(C73:C75)</f>
        <v>6518</v>
      </c>
      <c r="D76" s="13">
        <f t="shared" si="253"/>
        <v>9116</v>
      </c>
      <c r="E76" s="13">
        <f t="shared" si="253"/>
        <v>11098</v>
      </c>
      <c r="F76" s="13">
        <f t="shared" si="253"/>
        <v>14455</v>
      </c>
      <c r="H76" s="13">
        <f>SUM(H73:H75)</f>
        <v>7086</v>
      </c>
      <c r="I76" s="13">
        <f>SUM(I73:I75)</f>
        <v>8413</v>
      </c>
      <c r="J76" s="13">
        <f>SUM(J73:J75)</f>
        <v>8669</v>
      </c>
      <c r="K76" s="13">
        <f>SUM(K73:K75)</f>
        <v>9116</v>
      </c>
      <c r="L76" s="13">
        <f t="shared" ref="L76:Q76" si="254">SUM(L73:L75)</f>
        <v>9595</v>
      </c>
      <c r="M76" s="13">
        <f t="shared" si="254"/>
        <v>10154</v>
      </c>
      <c r="N76" s="13">
        <f t="shared" si="254"/>
        <v>10779</v>
      </c>
      <c r="O76" s="13">
        <f t="shared" si="254"/>
        <v>11098</v>
      </c>
      <c r="P76" s="13">
        <f t="shared" si="254"/>
        <v>11629</v>
      </c>
      <c r="Q76" s="13">
        <f t="shared" si="254"/>
        <v>12422</v>
      </c>
      <c r="R76" s="13">
        <f t="shared" ref="R76:S76" si="255">SUM(R73:R75)</f>
        <v>12792</v>
      </c>
      <c r="S76" s="13">
        <f t="shared" si="255"/>
        <v>14455</v>
      </c>
      <c r="T76" s="13">
        <f t="shared" ref="T76" si="256">SUM(T73:T75)</f>
        <v>19319</v>
      </c>
      <c r="V76" s="13">
        <f t="shared" ref="V76" si="257">SUM(V73:V75)</f>
        <v>9116</v>
      </c>
      <c r="W76" s="13">
        <f t="shared" ref="W76:AC76" si="258">SUM(W73:W75)</f>
        <v>9595</v>
      </c>
      <c r="X76" s="13">
        <f t="shared" si="258"/>
        <v>10154</v>
      </c>
      <c r="Y76" s="13">
        <f t="shared" si="258"/>
        <v>10779</v>
      </c>
      <c r="Z76" s="13">
        <f t="shared" si="258"/>
        <v>11098</v>
      </c>
      <c r="AA76" s="13">
        <f t="shared" si="258"/>
        <v>11629</v>
      </c>
      <c r="AB76" s="13">
        <f t="shared" si="258"/>
        <v>12422</v>
      </c>
      <c r="AC76" s="13">
        <f t="shared" si="258"/>
        <v>12792</v>
      </c>
      <c r="AD76" s="13">
        <f>SUM(AD73:AD75)</f>
        <v>14455</v>
      </c>
      <c r="AE76" s="13">
        <f>SUM(AE73:AE75)</f>
        <v>19319</v>
      </c>
    </row>
    <row r="77" spans="1:31" ht="5.0999999999999996" customHeight="1"/>
    <row r="78" spans="1:31" ht="12.75" customHeight="1">
      <c r="A78" s="5"/>
      <c r="B78" s="31" t="s">
        <v>67</v>
      </c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ht="5.0999999999999996" customHeight="1"/>
    <row r="80" spans="1:31" ht="12.75" customHeight="1">
      <c r="B80" s="29" t="s">
        <v>97</v>
      </c>
      <c r="C80" s="129">
        <f>C73/C29</f>
        <v>0.67884878940155324</v>
      </c>
      <c r="D80" s="129">
        <f>D73/D29</f>
        <v>0.50819672131147542</v>
      </c>
      <c r="E80" s="129">
        <f>E73/E29</f>
        <v>0.40528034839412086</v>
      </c>
      <c r="F80" s="129">
        <f>F73/F29</f>
        <v>0.33008634049147667</v>
      </c>
      <c r="H80" s="130"/>
      <c r="I80" s="130"/>
      <c r="J80" s="130"/>
      <c r="K80" s="129">
        <f>SUM(K73/SUM(H29:K29))</f>
        <v>0.50819672131147542</v>
      </c>
      <c r="L80" s="129">
        <f>SUM(L73/SUM(I29:L29))</f>
        <v>0.4707371085099652</v>
      </c>
      <c r="M80" s="129">
        <f>SUM(M73/SUM(J29:M29))</f>
        <v>0.44671269888922244</v>
      </c>
      <c r="N80" s="129">
        <f>SUM(N73/SUM(K29:N29))</f>
        <v>0.42193255879852648</v>
      </c>
      <c r="O80" s="129">
        <f>SUM(O73/SUM(L29:O29))</f>
        <v>0.40528034839412086</v>
      </c>
      <c r="P80" s="129">
        <f>SUM(P73/SUM(M29:P29))</f>
        <v>0.38491345905450786</v>
      </c>
      <c r="Q80" s="129">
        <f>SUM(Q73/SUM(N29:Q29))</f>
        <v>0.36519607843137253</v>
      </c>
      <c r="R80" s="129">
        <f>SUM(R73/SUM(O29:R29))</f>
        <v>0.34275862068965518</v>
      </c>
      <c r="S80" s="129">
        <f>SUM(S73/SUM(P29:S29))</f>
        <v>0.33008634049147667</v>
      </c>
      <c r="T80" s="129">
        <f>SUM(T73/SUM(Q29:T29))</f>
        <v>1.6001264755480606</v>
      </c>
      <c r="U80" s="129"/>
      <c r="V80" s="129">
        <f>V73/V29</f>
        <v>0.50819672131147542</v>
      </c>
      <c r="W80" s="129">
        <f>W73/W29</f>
        <v>0.4707371085099652</v>
      </c>
      <c r="X80" s="129">
        <f>X73/X29</f>
        <v>0.44671269888922244</v>
      </c>
      <c r="Y80" s="129">
        <f>Y73/Y29</f>
        <v>0.42193255879852648</v>
      </c>
      <c r="Z80" s="129">
        <f>Z73/Z29</f>
        <v>0.40528034839412086</v>
      </c>
      <c r="AA80" s="129">
        <f>AA73/AA29</f>
        <v>0.38491345905450786</v>
      </c>
      <c r="AB80" s="129">
        <f>AB73/AB29</f>
        <v>0.36519607843137253</v>
      </c>
      <c r="AC80" s="129">
        <f>AC73/AC29</f>
        <v>0.34275862068965518</v>
      </c>
      <c r="AD80" s="129">
        <f>AD73/AD29</f>
        <v>0.33008634049147667</v>
      </c>
      <c r="AE80" s="129">
        <f>AE73/AE29</f>
        <v>1.6001264755480606</v>
      </c>
    </row>
    <row r="81" spans="2:31" ht="12.75" customHeight="1">
      <c r="B81" s="29" t="s">
        <v>98</v>
      </c>
      <c r="C81" s="129">
        <f>SUM(C73-C51)/C29</f>
        <v>7.3092736409319323E-3</v>
      </c>
      <c r="D81" s="129">
        <f>SUM(D73-D51)/D29</f>
        <v>-0.13968579234972678</v>
      </c>
      <c r="E81" s="129">
        <f>SUM(E73-E51)/E29</f>
        <v>-0.22182906913445835</v>
      </c>
      <c r="F81" s="129">
        <f>SUM(F73-F51)/F29</f>
        <v>-0.49479743192384323</v>
      </c>
      <c r="H81" s="130"/>
      <c r="I81" s="130"/>
      <c r="J81" s="130"/>
      <c r="K81" s="129">
        <f>SUM(K73-K51)/SUM(H29:K29)</f>
        <v>-0.13968579234972678</v>
      </c>
      <c r="L81" s="129">
        <f>SUM(L73-L51)/SUM(I29:L29)</f>
        <v>-0.17968997152799748</v>
      </c>
      <c r="M81" s="129">
        <f>SUM(M73-M51)/SUM(J29:M29)</f>
        <v>-0.20144100870609427</v>
      </c>
      <c r="N81" s="129">
        <f>SUM(N73-N51)/SUM(K29:N29)</f>
        <v>-0.11221309152734486</v>
      </c>
      <c r="O81" s="129">
        <f>SUM(O73-O51)/SUM(L29:O29)</f>
        <v>-0.22182906913445835</v>
      </c>
      <c r="P81" s="129">
        <f>SUM(P73-P51)/SUM(M29:P29)</f>
        <v>-0.48540428829759752</v>
      </c>
      <c r="Q81" s="129">
        <f>SUM(Q73-Q51)/SUM(N29:Q29)</f>
        <v>-0.40049019607843139</v>
      </c>
      <c r="R81" s="129">
        <f>SUM(R73-R51)/SUM(O29:R29)</f>
        <v>-0.28367816091954023</v>
      </c>
      <c r="S81" s="129">
        <f>SUM(S73-S51)/SUM(P29:S29)</f>
        <v>-0.49479743192384323</v>
      </c>
      <c r="T81" s="129">
        <f>SUM(T73-T51)/SUM(Q29:T29)</f>
        <v>1.0305649241146713</v>
      </c>
      <c r="U81" s="129"/>
      <c r="V81" s="129">
        <f>SUM(V73-V51)/V29</f>
        <v>-0.13968579234972678</v>
      </c>
      <c r="W81" s="129">
        <f>SUM(W73-W51)/W29</f>
        <v>-0.17968997152799748</v>
      </c>
      <c r="X81" s="129">
        <f>SUM(X73-X51)/X29</f>
        <v>-0.20144100870609427</v>
      </c>
      <c r="Y81" s="129">
        <f>SUM(Y73-Y51)/Y29</f>
        <v>-0.11221309152734486</v>
      </c>
      <c r="Z81" s="129">
        <f>SUM(Z73-Z51)/Z29</f>
        <v>-0.22182906913445835</v>
      </c>
      <c r="AA81" s="129">
        <f>SUM(AA73-AA51)/AA29</f>
        <v>-0.48540428829759752</v>
      </c>
      <c r="AB81" s="129">
        <f>SUM(AB73-AB51)/AB29</f>
        <v>-0.40049019607843139</v>
      </c>
      <c r="AC81" s="129">
        <f>SUM(AC73-AC51)/AC29</f>
        <v>-0.28367816091954023</v>
      </c>
      <c r="AD81" s="129">
        <f>SUM(AD73-AD51)/AD29</f>
        <v>-0.49479743192384323</v>
      </c>
      <c r="AE81" s="129">
        <f>SUM(AE73-AE51)/AE29</f>
        <v>1.0305649241146713</v>
      </c>
    </row>
    <row r="82" spans="2:31" ht="12.75" customHeight="1">
      <c r="B82" s="29" t="s">
        <v>99</v>
      </c>
      <c r="C82" s="129">
        <f>C29/-C34</f>
        <v>91.208333333333329</v>
      </c>
      <c r="D82" s="129">
        <f>D29/-D34</f>
        <v>127.30434782608695</v>
      </c>
      <c r="E82" s="129">
        <f>E29/-E34</f>
        <v>159.7391304347826</v>
      </c>
      <c r="F82" s="129">
        <f>F29/-F34</f>
        <v>205.31818181818181</v>
      </c>
      <c r="H82" s="130"/>
      <c r="I82" s="130"/>
      <c r="J82" s="130"/>
      <c r="K82" s="129" cm="1">
        <f t="array" ref="K82">SUM(H29:K29)/SUM(-H34:K34)</f>
        <v>127.30434782608695</v>
      </c>
      <c r="L82" s="129" cm="1">
        <f t="array" ref="L82">SUM(I29:L29)/SUM(-I34:L34)</f>
        <v>137.43478260869566</v>
      </c>
      <c r="M82" s="129" cm="1">
        <f t="array" ref="M82">SUM(J29:M29)/SUM(-J34:M34)</f>
        <v>144.82608695652175</v>
      </c>
      <c r="N82" s="129" cm="1">
        <f t="array" ref="N82">SUM(K29:N29)/SUM(-K34:N34)</f>
        <v>153.43478260869566</v>
      </c>
      <c r="O82" s="129" cm="1">
        <f t="array" ref="O82">SUM(L29:O29)/SUM(-L34:O34)</f>
        <v>159.7391304347826</v>
      </c>
      <c r="P82" s="129" cm="1">
        <f t="array" ref="P82">SUM(M29:P29)/SUM(-M34:P34)</f>
        <v>168.30434782608697</v>
      </c>
      <c r="Q82" s="129" cm="1">
        <f t="array" ref="Q82">SUM(N29:Q29)/SUM(-N34:Q34)</f>
        <v>185.45454545454547</v>
      </c>
      <c r="R82" s="129" cm="1">
        <f t="array" ref="R82">SUM(O29:R29)/SUM(-O34:R34)</f>
        <v>197.72727272727272</v>
      </c>
      <c r="S82" s="129" cm="1">
        <f t="array" ref="S82">SUM(P29:S29)/SUM(-P34:S34)</f>
        <v>205.31818181818181</v>
      </c>
      <c r="T82" s="129" cm="1">
        <f t="array" ref="T82">SUM(Q29:T29)/SUM(-Q34:T34)</f>
        <v>215.63636363636363</v>
      </c>
      <c r="U82" s="129"/>
      <c r="V82" s="129">
        <f>V29/-V34</f>
        <v>127.30434782608695</v>
      </c>
      <c r="W82" s="129">
        <f>W29/-W34</f>
        <v>137.43478260869566</v>
      </c>
      <c r="X82" s="129">
        <f>X29/-X34</f>
        <v>144.82608695652175</v>
      </c>
      <c r="Y82" s="129">
        <f>Y29/-Y34</f>
        <v>153.43478260869566</v>
      </c>
      <c r="Z82" s="129">
        <f>Z29/-Z34</f>
        <v>159.7391304347826</v>
      </c>
      <c r="AA82" s="129">
        <f>AA29/-AA34</f>
        <v>168.30434782608697</v>
      </c>
      <c r="AB82" s="129">
        <f>AB29/-AB34</f>
        <v>185.45454545454547</v>
      </c>
      <c r="AC82" s="129">
        <f>AC29/-AC34</f>
        <v>197.72727272727272</v>
      </c>
      <c r="AD82" s="129">
        <f>AD29/-AD34</f>
        <v>205.31818181818181</v>
      </c>
      <c r="AE82" s="129">
        <f>AE29/-AE34</f>
        <v>215.63636363636363</v>
      </c>
    </row>
    <row r="83" spans="2:31" ht="12.75" customHeight="1">
      <c r="B83" s="29" t="s">
        <v>100</v>
      </c>
      <c r="C83" s="129" cm="1">
        <f t="array" ref="C83">SUM(C29+C32)/SUM(-C33:C34)</f>
        <v>23.753623188405797</v>
      </c>
      <c r="D83" s="129" cm="1">
        <f t="array" ref="D83">SUM(D29+D32)/SUM(-D33:D34)</f>
        <v>14.893333333333333</v>
      </c>
      <c r="E83" s="129" cm="1">
        <f t="array" ref="E83">SUM(E29+E32)/SUM(-E33:E34)</f>
        <v>11.154150197628459</v>
      </c>
      <c r="F83" s="129" cm="1">
        <f t="array" ref="F83">SUM(F29+F32)/SUM(-F33:F34)</f>
        <v>11.963934426229509</v>
      </c>
      <c r="H83" s="130"/>
      <c r="I83" s="130"/>
      <c r="J83" s="130"/>
      <c r="K83" s="129" cm="1">
        <f t="array" ref="K83">SUM(H29:K29+H32:K32)/SUM(-H33:K34)</f>
        <v>14.893333333333333</v>
      </c>
      <c r="L83" s="129" cm="1">
        <f t="array" ref="L83">SUM(I29:L29+I32:L32)/SUM(-I33:L34)</f>
        <v>16.758389261744966</v>
      </c>
      <c r="M83" s="129" cm="1">
        <f t="array" ref="M83">SUM(J29:M29+J32:M32)/SUM(-J33:M34)</f>
        <v>12.748743718592964</v>
      </c>
      <c r="N83" s="129" cm="1">
        <f t="array" ref="N83">SUM(K29:N29+K32:N32)/SUM(-K33:N34)</f>
        <v>11.604347826086956</v>
      </c>
      <c r="O83" s="129" cm="1">
        <f t="array" ref="O83">SUM(L29:O29+L32:O32)/SUM(-L33:O34)</f>
        <v>11.154150197628459</v>
      </c>
      <c r="P83" s="129" cm="1">
        <f t="array" ref="P83">SUM(M29:P29+M32:P32)/SUM(-M33:P34)</f>
        <v>11.003731343283581</v>
      </c>
      <c r="Q83" s="129" cm="1">
        <f t="array" ref="Q83">SUM(N29:Q29+N32:Q32)/SUM(-N33:Q34)</f>
        <v>12.007434944237918</v>
      </c>
      <c r="R83" s="129" cm="1">
        <f t="array" ref="R83">SUM(O29:R29+O32:R32)/SUM(-O33:R34)</f>
        <v>13.868</v>
      </c>
      <c r="S83" s="129" cm="1">
        <f t="array" ref="S83">SUM(P29:S29+P32:S32)/SUM(-P33:S34)</f>
        <v>11.963934426229509</v>
      </c>
      <c r="T83" s="129" cm="1">
        <f t="array" ref="T83">SUM(Q29:T29+Q32:T32)/SUM(-Q33:T34)</f>
        <v>12.833876221498372</v>
      </c>
      <c r="U83" s="129"/>
      <c r="V83" s="129" cm="1">
        <f t="array" ref="V83">SUM(V29+V32)/SUM(-V33:V34)</f>
        <v>14.893333333333333</v>
      </c>
      <c r="W83" s="129" cm="1">
        <f t="array" ref="W83">SUM(W29+W32)/SUM(-W33:W34)</f>
        <v>16.758389261744966</v>
      </c>
      <c r="X83" s="129" cm="1">
        <f t="array" ref="X83">SUM(X29+X32)/SUM(-X33:X34)</f>
        <v>12.748743718592964</v>
      </c>
      <c r="Y83" s="129" cm="1">
        <f t="array" ref="Y83">SUM(Y29+Y32)/SUM(-Y33:Y34)</f>
        <v>11.604347826086956</v>
      </c>
      <c r="Z83" s="129" cm="1">
        <f t="array" ref="Z83">SUM(Z29+Z32)/SUM(-Z33:Z34)</f>
        <v>11.154150197628459</v>
      </c>
      <c r="AA83" s="129" cm="1">
        <f t="array" ref="AA83">SUM(AA29+AA32)/SUM(-AA33:AA34)</f>
        <v>11.003731343283581</v>
      </c>
      <c r="AB83" s="129" cm="1">
        <f t="array" ref="AB83">SUM(AB29+AB32)/SUM(-AB33:AB34)</f>
        <v>12.007434944237918</v>
      </c>
      <c r="AC83" s="129" cm="1">
        <f t="array" ref="AC83">SUM(AC29+AC32)/SUM(-AC33:AC34)</f>
        <v>13.868</v>
      </c>
      <c r="AD83" s="129" cm="1">
        <f t="array" ref="AD83">SUM(AD29+AD32)/SUM(-AD33:AD34)</f>
        <v>11.963934426229509</v>
      </c>
      <c r="AE83" s="129" cm="1">
        <f t="array" ref="AE83">SUM(AE29+AE32)/SUM(-AE33:AE34)</f>
        <v>12.833876221498372</v>
      </c>
    </row>
    <row r="84" spans="2:31" ht="12.75" customHeight="1">
      <c r="B84" s="29" t="s">
        <v>101</v>
      </c>
      <c r="C84" s="129" cm="1">
        <f t="array" ref="C84">SUM(C29)/SUM(-C32:C34)</f>
        <v>3.5363489499192244</v>
      </c>
      <c r="D84" s="129" cm="1">
        <f t="array" ref="D84">SUM(D29)/SUM(-D32:D34)</f>
        <v>3.4691943127962084</v>
      </c>
      <c r="E84" s="129" cm="1">
        <f t="array" ref="E84">SUM(E29)/SUM(-E32:E34)</f>
        <v>3.3248868778280545</v>
      </c>
      <c r="F84" s="129" cm="1">
        <f t="array" ref="F84">SUM(F29)/SUM(-F32:F34)</f>
        <v>3.8508098891730604</v>
      </c>
      <c r="H84" s="130"/>
      <c r="I84" s="130"/>
      <c r="J84" s="130"/>
      <c r="K84" s="129" cm="1">
        <f t="array" ref="K84">SUM(H29:K29)/SUM(-H32:K34)</f>
        <v>3.4691943127962084</v>
      </c>
      <c r="L84" s="129" cm="1">
        <f t="array" ref="L84">SUM(I29:L29)/SUM(-I32:L34)</f>
        <v>3.8880688806888068</v>
      </c>
      <c r="M84" s="129" cm="1">
        <f t="array" ref="M84">SUM(J29:M29)/SUM(-J32:M34)</f>
        <v>3.3544813695871096</v>
      </c>
      <c r="N84" s="129" cm="1">
        <f t="array" ref="N84">SUM(K29:N29)/SUM(-K32:N34)</f>
        <v>3.2376146788990825</v>
      </c>
      <c r="O84" s="129" cm="1">
        <f t="array" ref="O84">SUM(L29:O29)/SUM(-L32:O34)</f>
        <v>3.3248868778280545</v>
      </c>
      <c r="P84" s="129" cm="1">
        <f t="array" ref="P84">SUM(M29:P29)/SUM(-M32:P34)</f>
        <v>3.2529411764705882</v>
      </c>
      <c r="Q84" s="129" cm="1">
        <f t="array" ref="Q84">SUM(N29:Q29)/SUM(-N32:Q34)</f>
        <v>3.6461126005361932</v>
      </c>
      <c r="R84" s="129" cm="1">
        <f t="array" ref="R84">SUM(O29:R29)/SUM(-O32:R34)</f>
        <v>3.8393645189761694</v>
      </c>
      <c r="S84" s="129" cm="1">
        <f t="array" ref="S84">SUM(P29:S29)/SUM(-P32:S34)</f>
        <v>3.8508098891730604</v>
      </c>
      <c r="T84" s="129" cm="1">
        <f t="array" ref="T84">SUM(Q29:T29)/SUM(-Q32:T34)</f>
        <v>4.27002700270027</v>
      </c>
      <c r="U84" s="129"/>
      <c r="V84" s="129" cm="1">
        <f t="array" ref="V84">SUM(V29)/SUM(-V32:V34)</f>
        <v>3.4691943127962084</v>
      </c>
      <c r="W84" s="129" cm="1">
        <f t="array" ref="W84">SUM(W29)/SUM(-W32:W34)</f>
        <v>3.8880688806888068</v>
      </c>
      <c r="X84" s="129" cm="1">
        <f t="array" ref="X84">SUM(X29)/SUM(-X32:X34)</f>
        <v>3.3544813695871096</v>
      </c>
      <c r="Y84" s="129" cm="1">
        <f t="array" ref="Y84">SUM(Y29)/SUM(-Y32:Y34)</f>
        <v>3.2376146788990825</v>
      </c>
      <c r="Z84" s="129" cm="1">
        <f t="array" ref="Z84">SUM(Z29)/SUM(-Z32:Z34)</f>
        <v>3.3248868778280545</v>
      </c>
      <c r="AA84" s="129" cm="1">
        <f t="array" ref="AA84">SUM(AA29)/SUM(-AA32:AA34)</f>
        <v>3.2529411764705882</v>
      </c>
      <c r="AB84" s="129" cm="1">
        <f t="array" ref="AB84">SUM(AB29)/SUM(-AB32:AB34)</f>
        <v>3.6461126005361932</v>
      </c>
      <c r="AC84" s="129" cm="1">
        <f t="array" ref="AC84">SUM(AC29)/SUM(-AC32:AC34)</f>
        <v>3.8393645189761694</v>
      </c>
      <c r="AD84" s="129" cm="1">
        <f t="array" ref="AD84">SUM(AD29)/SUM(-AD32:AD34)</f>
        <v>3.8508098891730604</v>
      </c>
      <c r="AE84" s="129" cm="1">
        <f t="array" ref="AE84">SUM(AE29)/SUM(-AE32:AE34)</f>
        <v>4.27002700270027</v>
      </c>
    </row>
    <row r="85" spans="2:31" ht="12.75" customHeight="1">
      <c r="B85" s="8" t="s">
        <v>46</v>
      </c>
      <c r="C85" s="129">
        <f t="shared" ref="C85:F85" si="259">C76/C73</f>
        <v>4.3862718707940784</v>
      </c>
      <c r="D85" s="129">
        <f t="shared" si="259"/>
        <v>6.126344086021505</v>
      </c>
      <c r="E85" s="129">
        <f t="shared" si="259"/>
        <v>7.4533243787777028</v>
      </c>
      <c r="F85" s="129">
        <f t="shared" si="259"/>
        <v>9.694835680751174</v>
      </c>
      <c r="H85" s="130"/>
      <c r="I85" s="130"/>
      <c r="J85" s="130"/>
      <c r="K85" s="129">
        <f t="shared" ref="K85:S85" si="260">K76/K73</f>
        <v>6.126344086021505</v>
      </c>
      <c r="L85" s="129">
        <f t="shared" si="260"/>
        <v>6.448252688172043</v>
      </c>
      <c r="M85" s="129">
        <f t="shared" si="260"/>
        <v>6.823924731182796</v>
      </c>
      <c r="N85" s="129">
        <f t="shared" si="260"/>
        <v>7.2390866353257222</v>
      </c>
      <c r="O85" s="129">
        <f t="shared" si="260"/>
        <v>7.4533243787777028</v>
      </c>
      <c r="P85" s="129">
        <f t="shared" si="260"/>
        <v>7.8046979865771808</v>
      </c>
      <c r="Q85" s="129">
        <f t="shared" si="260"/>
        <v>8.3369127516778523</v>
      </c>
      <c r="R85" s="129">
        <f t="shared" si="260"/>
        <v>8.5794768611670023</v>
      </c>
      <c r="S85" s="129">
        <f t="shared" si="260"/>
        <v>9.694835680751174</v>
      </c>
      <c r="T85" s="129">
        <f t="shared" ref="T85" si="261">T76/T73</f>
        <v>2.544987485179818</v>
      </c>
      <c r="U85" s="129"/>
      <c r="V85" s="129">
        <f t="shared" ref="V85" si="262">V76/V73</f>
        <v>6.126344086021505</v>
      </c>
      <c r="W85" s="129">
        <f t="shared" ref="W85:AC85" si="263">W76/W73</f>
        <v>6.448252688172043</v>
      </c>
      <c r="X85" s="129">
        <f t="shared" si="263"/>
        <v>6.823924731182796</v>
      </c>
      <c r="Y85" s="129">
        <f t="shared" si="263"/>
        <v>7.2390866353257222</v>
      </c>
      <c r="Z85" s="129">
        <f t="shared" si="263"/>
        <v>7.4533243787777028</v>
      </c>
      <c r="AA85" s="129">
        <f t="shared" si="263"/>
        <v>7.8046979865771808</v>
      </c>
      <c r="AB85" s="129">
        <f t="shared" si="263"/>
        <v>8.3369127516778523</v>
      </c>
      <c r="AC85" s="129">
        <f t="shared" si="263"/>
        <v>8.5794768611670023</v>
      </c>
      <c r="AD85" s="129">
        <f>AD76/AD73</f>
        <v>9.694835680751174</v>
      </c>
      <c r="AE85" s="129">
        <f>AE76/AE73</f>
        <v>2.544987485179818</v>
      </c>
    </row>
    <row r="86" spans="2:31" ht="5.0999999999999996" customHeight="1" thickBot="1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</row>
  </sheetData>
  <mergeCells count="1">
    <mergeCell ref="AG2:AG4"/>
  </mergeCells>
  <pageMargins left="0.7" right="0.7" top="0.75" bottom="0.75" header="0.3" footer="0.3"/>
  <ignoredErrors>
    <ignoredError sqref="C39:F39 H36:T38 C41:F41 H39:T39 H41:T41 AA32:AE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2026-05-23T20:16:51Z</dcterms:modified>
</cp:coreProperties>
</file>