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8ED8C7D4-EE94-4BBE-A943-4A86746DCCFC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10" l="1"/>
  <c r="AI30" i="10"/>
  <c r="B30" i="10"/>
  <c r="B29" i="10"/>
  <c r="B28" i="10"/>
  <c r="B27" i="10"/>
  <c r="AH26" i="10"/>
  <c r="B26" i="10"/>
  <c r="B25" i="10"/>
  <c r="B24" i="10"/>
  <c r="I23" i="10"/>
  <c r="B23" i="10"/>
  <c r="AR12" i="10"/>
  <c r="AQ12" i="10"/>
  <c r="AP12" i="10"/>
  <c r="AO12" i="10"/>
  <c r="AN12" i="10"/>
  <c r="AM12" i="10"/>
  <c r="AL12" i="10"/>
  <c r="AK12" i="10"/>
  <c r="AR11" i="10"/>
  <c r="AQ11" i="10"/>
  <c r="AP11" i="10"/>
  <c r="AO11" i="10"/>
  <c r="AN11" i="10"/>
  <c r="AM11" i="10"/>
  <c r="AL11" i="10"/>
  <c r="AK11" i="10"/>
  <c r="AR17" i="10"/>
  <c r="AQ17" i="10"/>
  <c r="AP17" i="10"/>
  <c r="AO17" i="10"/>
  <c r="AN17" i="10"/>
  <c r="AM17" i="10"/>
  <c r="AL17" i="10"/>
  <c r="AK17" i="10"/>
  <c r="AR16" i="10"/>
  <c r="AQ16" i="10"/>
  <c r="AP16" i="10"/>
  <c r="AO16" i="10"/>
  <c r="AN16" i="10"/>
  <c r="AM16" i="10"/>
  <c r="AL16" i="10"/>
  <c r="AK16" i="10"/>
  <c r="AR15" i="10"/>
  <c r="AQ15" i="10"/>
  <c r="AP15" i="10"/>
  <c r="AO15" i="10"/>
  <c r="AN15" i="10"/>
  <c r="AM15" i="10"/>
  <c r="AL15" i="10"/>
  <c r="AK15" i="10"/>
  <c r="AR14" i="10"/>
  <c r="AQ14" i="10"/>
  <c r="AP14" i="10"/>
  <c r="AO14" i="10"/>
  <c r="AN14" i="10"/>
  <c r="AM14" i="10"/>
  <c r="AL14" i="10"/>
  <c r="AK14" i="10"/>
  <c r="AR13" i="10"/>
  <c r="AQ13" i="10"/>
  <c r="AP13" i="10"/>
  <c r="AO13" i="10"/>
  <c r="AN13" i="10"/>
  <c r="AM13" i="10"/>
  <c r="AL13" i="10"/>
  <c r="AK13" i="10"/>
  <c r="AI46" i="10"/>
  <c r="AH46" i="10"/>
  <c r="AI36" i="10"/>
  <c r="AH36" i="10"/>
  <c r="AI19" i="10"/>
  <c r="AI49" i="10" s="1"/>
  <c r="AH19" i="10"/>
  <c r="AH39" i="10" s="1"/>
  <c r="AI4" i="10"/>
  <c r="AH4" i="10"/>
  <c r="AI3" i="10"/>
  <c r="AH3" i="10"/>
  <c r="I46" i="10"/>
  <c r="I36" i="10"/>
  <c r="I19" i="10"/>
  <c r="I48" i="10" s="1"/>
  <c r="I4" i="10"/>
  <c r="I3" i="10"/>
  <c r="AR73" i="8"/>
  <c r="AT73" i="8" s="1"/>
  <c r="AQ73" i="8"/>
  <c r="AP73" i="8"/>
  <c r="AO73" i="8"/>
  <c r="AN73" i="8"/>
  <c r="AM73" i="8"/>
  <c r="AL73" i="8"/>
  <c r="AK73" i="8"/>
  <c r="AR72" i="8"/>
  <c r="AT72" i="8" s="1"/>
  <c r="AQ72" i="8"/>
  <c r="AP72" i="8"/>
  <c r="AO72" i="8"/>
  <c r="AN72" i="8"/>
  <c r="AM72" i="8"/>
  <c r="AL72" i="8"/>
  <c r="AK72" i="8"/>
  <c r="AR71" i="8"/>
  <c r="AQ71" i="8"/>
  <c r="AP71" i="8"/>
  <c r="AO71" i="8"/>
  <c r="AN71" i="8"/>
  <c r="AM71" i="8"/>
  <c r="AL71" i="8"/>
  <c r="AK71" i="8"/>
  <c r="AR62" i="8"/>
  <c r="AQ62" i="8"/>
  <c r="AP62" i="8"/>
  <c r="AO62" i="8"/>
  <c r="AN62" i="8"/>
  <c r="AM62" i="8"/>
  <c r="AL62" i="8"/>
  <c r="AK62" i="8"/>
  <c r="AR63" i="8"/>
  <c r="AQ63" i="8"/>
  <c r="AP63" i="8"/>
  <c r="AO63" i="8"/>
  <c r="AN63" i="8"/>
  <c r="AM63" i="8"/>
  <c r="AL63" i="8"/>
  <c r="AK63" i="8"/>
  <c r="I117" i="8"/>
  <c r="I114" i="8"/>
  <c r="I108" i="8"/>
  <c r="I89" i="8"/>
  <c r="I88" i="8"/>
  <c r="I81" i="8"/>
  <c r="I66" i="8"/>
  <c r="I75" i="8" s="1"/>
  <c r="I47" i="8"/>
  <c r="I56" i="8" s="1"/>
  <c r="I39" i="8"/>
  <c r="I38" i="8"/>
  <c r="I11" i="8"/>
  <c r="I14" i="8" s="1"/>
  <c r="I20" i="8" s="1"/>
  <c r="AI117" i="8"/>
  <c r="AH117" i="8"/>
  <c r="AI114" i="8"/>
  <c r="AH114" i="8"/>
  <c r="AI108" i="8"/>
  <c r="AH108" i="8"/>
  <c r="AI89" i="8"/>
  <c r="AH89" i="8"/>
  <c r="AI88" i="8"/>
  <c r="AH88" i="8"/>
  <c r="AI81" i="8"/>
  <c r="AH81" i="8"/>
  <c r="AI66" i="8"/>
  <c r="AI75" i="8" s="1"/>
  <c r="AH66" i="8"/>
  <c r="AH75" i="8" s="1"/>
  <c r="AI47" i="8"/>
  <c r="AI56" i="8" s="1"/>
  <c r="AH47" i="8"/>
  <c r="AH56" i="8" s="1"/>
  <c r="AI39" i="8"/>
  <c r="AH39" i="8"/>
  <c r="AI38" i="8"/>
  <c r="AH38" i="8"/>
  <c r="AH14" i="8"/>
  <c r="AH15" i="8" s="1"/>
  <c r="AI11" i="8"/>
  <c r="AI14" i="8" s="1"/>
  <c r="AH11" i="8"/>
  <c r="AK10" i="8"/>
  <c r="AI27" i="10" l="1"/>
  <c r="AI24" i="10"/>
  <c r="I24" i="10"/>
  <c r="I25" i="10"/>
  <c r="I26" i="10"/>
  <c r="I27" i="10"/>
  <c r="I28" i="10"/>
  <c r="I29" i="10"/>
  <c r="I30" i="10"/>
  <c r="I31" i="10"/>
  <c r="AH23" i="10"/>
  <c r="AI26" i="10"/>
  <c r="AH29" i="10"/>
  <c r="AI23" i="10"/>
  <c r="AI29" i="10"/>
  <c r="AH31" i="10"/>
  <c r="AH25" i="10"/>
  <c r="AI31" i="10"/>
  <c r="AI25" i="10"/>
  <c r="AH28" i="10"/>
  <c r="AI28" i="10"/>
  <c r="AH24" i="10"/>
  <c r="AH27" i="10"/>
  <c r="AH30" i="10"/>
  <c r="AI20" i="10"/>
  <c r="AH22" i="10"/>
  <c r="AH48" i="10"/>
  <c r="AI39" i="10"/>
  <c r="AH20" i="10"/>
  <c r="AI22" i="10"/>
  <c r="AI48" i="10"/>
  <c r="AH38" i="10"/>
  <c r="AH49" i="10"/>
  <c r="AI38" i="10"/>
  <c r="I49" i="10"/>
  <c r="I20" i="10"/>
  <c r="I38" i="10"/>
  <c r="I39" i="10"/>
  <c r="I22" i="10"/>
  <c r="AT63" i="8"/>
  <c r="AT71" i="8"/>
  <c r="AT62" i="8"/>
  <c r="AH82" i="8"/>
  <c r="I24" i="8"/>
  <c r="I21" i="8"/>
  <c r="I82" i="8"/>
  <c r="I84" i="8" s="1"/>
  <c r="I15" i="8"/>
  <c r="AI15" i="8"/>
  <c r="AI20" i="8"/>
  <c r="AI24" i="8" s="1"/>
  <c r="AI25" i="8" s="1"/>
  <c r="AH20" i="8"/>
  <c r="AH24" i="8" s="1"/>
  <c r="AH25" i="8" s="1"/>
  <c r="AH84" i="8"/>
  <c r="AI82" i="8"/>
  <c r="AI84" i="8" s="1"/>
  <c r="AI21" i="8" l="1"/>
  <c r="AI28" i="8"/>
  <c r="AI32" i="8" s="1"/>
  <c r="AH28" i="8"/>
  <c r="AH92" i="8" s="1"/>
  <c r="AH101" i="8" s="1"/>
  <c r="AH122" i="8" s="1"/>
  <c r="I28" i="8"/>
  <c r="I25" i="8"/>
  <c r="AH21" i="8"/>
  <c r="AI92" i="8" l="1"/>
  <c r="AI101" i="8" s="1"/>
  <c r="AI122" i="8" s="1"/>
  <c r="AI35" i="8"/>
  <c r="AI29" i="8"/>
  <c r="AH29" i="8"/>
  <c r="AH32" i="8"/>
  <c r="AH35" i="8"/>
  <c r="I92" i="8"/>
  <c r="I101" i="8" s="1"/>
  <c r="I122" i="8" s="1"/>
  <c r="I32" i="8"/>
  <c r="I35" i="8"/>
  <c r="I29" i="8"/>
  <c r="AR70" i="8" l="1"/>
  <c r="AQ70" i="8"/>
  <c r="AP70" i="8"/>
  <c r="AO70" i="8"/>
  <c r="AN70" i="8"/>
  <c r="AM70" i="8"/>
  <c r="AL70" i="8"/>
  <c r="AK70" i="8"/>
  <c r="AR60" i="8"/>
  <c r="AQ60" i="8"/>
  <c r="AP60" i="8"/>
  <c r="AO60" i="8"/>
  <c r="AN60" i="8"/>
  <c r="AM60" i="8"/>
  <c r="AL60" i="8"/>
  <c r="AK60" i="8"/>
  <c r="AR52" i="8"/>
  <c r="AQ52" i="8"/>
  <c r="AP52" i="8"/>
  <c r="AO52" i="8"/>
  <c r="AN52" i="8"/>
  <c r="AM52" i="8"/>
  <c r="AL52" i="8"/>
  <c r="AK52" i="8"/>
  <c r="AR13" i="8"/>
  <c r="AQ13" i="8"/>
  <c r="AP13" i="8"/>
  <c r="AO13" i="8"/>
  <c r="AN13" i="8"/>
  <c r="AM13" i="8"/>
  <c r="AL13" i="8"/>
  <c r="AK13" i="8"/>
  <c r="B39" i="10"/>
  <c r="B38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H36" i="10"/>
  <c r="G36" i="10"/>
  <c r="F36" i="10"/>
  <c r="E36" i="10"/>
  <c r="D36" i="10"/>
  <c r="C36" i="10"/>
  <c r="AR35" i="10"/>
  <c r="AQ35" i="10"/>
  <c r="AP35" i="10"/>
  <c r="AO35" i="10"/>
  <c r="AN35" i="10"/>
  <c r="AM35" i="10"/>
  <c r="AL35" i="10"/>
  <c r="AK35" i="10"/>
  <c r="AR34" i="10"/>
  <c r="AQ34" i="10"/>
  <c r="AP34" i="10"/>
  <c r="AP36" i="10" s="1"/>
  <c r="AO34" i="10"/>
  <c r="AO36" i="10" s="1"/>
  <c r="AN34" i="10"/>
  <c r="AN36" i="10" s="1"/>
  <c r="AM34" i="10"/>
  <c r="AM36" i="10" s="1"/>
  <c r="AL34" i="10"/>
  <c r="AL36" i="10" s="1"/>
  <c r="AK34" i="10"/>
  <c r="AK36" i="10" s="1"/>
  <c r="C46" i="10"/>
  <c r="C19" i="10"/>
  <c r="C4" i="10"/>
  <c r="C3" i="10"/>
  <c r="C118" i="8"/>
  <c r="C114" i="8"/>
  <c r="C108" i="8"/>
  <c r="C89" i="8"/>
  <c r="C88" i="8"/>
  <c r="C81" i="8"/>
  <c r="C66" i="8"/>
  <c r="C75" i="8" s="1"/>
  <c r="C47" i="8"/>
  <c r="C56" i="8" s="1"/>
  <c r="C39" i="8"/>
  <c r="C38" i="8"/>
  <c r="C11" i="8"/>
  <c r="C14" i="8" s="1"/>
  <c r="AR10" i="10"/>
  <c r="AQ10" i="10"/>
  <c r="AP10" i="10"/>
  <c r="AO10" i="10"/>
  <c r="AN10" i="10"/>
  <c r="AM10" i="10"/>
  <c r="AL10" i="10"/>
  <c r="AK10" i="10"/>
  <c r="AR9" i="10"/>
  <c r="AQ9" i="10"/>
  <c r="AP9" i="10"/>
  <c r="AO9" i="10"/>
  <c r="AN9" i="10"/>
  <c r="AM9" i="10"/>
  <c r="AL9" i="10"/>
  <c r="AK9" i="10"/>
  <c r="K46" i="10"/>
  <c r="K4" i="10"/>
  <c r="K3" i="10"/>
  <c r="N46" i="10"/>
  <c r="M46" i="10"/>
  <c r="L46" i="10"/>
  <c r="L19" i="10"/>
  <c r="N4" i="10"/>
  <c r="M4" i="10"/>
  <c r="L4" i="10"/>
  <c r="N3" i="10"/>
  <c r="M3" i="10"/>
  <c r="L3" i="10"/>
  <c r="M118" i="8"/>
  <c r="L118" i="8"/>
  <c r="K118" i="8"/>
  <c r="M114" i="8"/>
  <c r="L114" i="8"/>
  <c r="K114" i="8"/>
  <c r="M108" i="8"/>
  <c r="L108" i="8"/>
  <c r="K108" i="8"/>
  <c r="M89" i="8"/>
  <c r="L89" i="8"/>
  <c r="K89" i="8"/>
  <c r="M88" i="8"/>
  <c r="L88" i="8"/>
  <c r="K88" i="8"/>
  <c r="M81" i="8"/>
  <c r="L81" i="8"/>
  <c r="K81" i="8"/>
  <c r="M66" i="8"/>
  <c r="M75" i="8" s="1"/>
  <c r="L66" i="8"/>
  <c r="L75" i="8" s="1"/>
  <c r="K66" i="8"/>
  <c r="K75" i="8" s="1"/>
  <c r="M47" i="8"/>
  <c r="M56" i="8" s="1"/>
  <c r="L47" i="8"/>
  <c r="L56" i="8" s="1"/>
  <c r="K47" i="8"/>
  <c r="K56" i="8" s="1"/>
  <c r="M39" i="8"/>
  <c r="L39" i="8"/>
  <c r="K39" i="8"/>
  <c r="M38" i="8"/>
  <c r="L38" i="8"/>
  <c r="K38" i="8"/>
  <c r="M11" i="8"/>
  <c r="M14" i="8" s="1"/>
  <c r="L11" i="8"/>
  <c r="L14" i="8" s="1"/>
  <c r="K11" i="8"/>
  <c r="K14" i="8" s="1"/>
  <c r="N118" i="8"/>
  <c r="N114" i="8"/>
  <c r="N108" i="8"/>
  <c r="N89" i="8"/>
  <c r="N88" i="8"/>
  <c r="N81" i="8"/>
  <c r="N66" i="8"/>
  <c r="N75" i="8" s="1"/>
  <c r="N47" i="8"/>
  <c r="N56" i="8" s="1"/>
  <c r="N39" i="8"/>
  <c r="N38" i="8"/>
  <c r="N11" i="8"/>
  <c r="N14" i="8" s="1"/>
  <c r="C27" i="10" l="1"/>
  <c r="C26" i="10"/>
  <c r="C25" i="10"/>
  <c r="C24" i="10"/>
  <c r="C23" i="10"/>
  <c r="C31" i="10"/>
  <c r="C30" i="10"/>
  <c r="C29" i="10"/>
  <c r="C28" i="10"/>
  <c r="L28" i="10"/>
  <c r="L25" i="10"/>
  <c r="L31" i="10"/>
  <c r="L29" i="10"/>
  <c r="L23" i="10"/>
  <c r="L26" i="10"/>
  <c r="L30" i="10"/>
  <c r="L27" i="10"/>
  <c r="L24" i="10"/>
  <c r="C48" i="10"/>
  <c r="AR36" i="10"/>
  <c r="AT70" i="8"/>
  <c r="AT60" i="8"/>
  <c r="AT52" i="8"/>
  <c r="C82" i="8"/>
  <c r="C84" i="8" s="1"/>
  <c r="M20" i="8"/>
  <c r="M24" i="8" s="1"/>
  <c r="M28" i="8" s="1"/>
  <c r="M92" i="8" s="1"/>
  <c r="K20" i="8"/>
  <c r="K21" i="8" s="1"/>
  <c r="AQ36" i="10"/>
  <c r="L38" i="10"/>
  <c r="C38" i="10"/>
  <c r="L39" i="10"/>
  <c r="C39" i="10"/>
  <c r="C49" i="10"/>
  <c r="C20" i="10"/>
  <c r="C22" i="10"/>
  <c r="C20" i="8"/>
  <c r="C15" i="8"/>
  <c r="L22" i="10"/>
  <c r="L49" i="10"/>
  <c r="N19" i="10"/>
  <c r="K19" i="10"/>
  <c r="M19" i="10"/>
  <c r="L20" i="10"/>
  <c r="L48" i="10"/>
  <c r="M82" i="8"/>
  <c r="M84" i="8" s="1"/>
  <c r="N82" i="8"/>
  <c r="N84" i="8" s="1"/>
  <c r="K82" i="8"/>
  <c r="K84" i="8" s="1"/>
  <c r="L82" i="8"/>
  <c r="L84" i="8" s="1"/>
  <c r="L20" i="8"/>
  <c r="L15" i="8"/>
  <c r="M15" i="8"/>
  <c r="K15" i="8"/>
  <c r="N20" i="8"/>
  <c r="N15" i="8"/>
  <c r="M25" i="10" l="1"/>
  <c r="M31" i="10"/>
  <c r="M29" i="10"/>
  <c r="M23" i="10"/>
  <c r="M26" i="10"/>
  <c r="M28" i="10"/>
  <c r="M30" i="10"/>
  <c r="M27" i="10"/>
  <c r="M24" i="10"/>
  <c r="N31" i="10"/>
  <c r="N29" i="10"/>
  <c r="N23" i="10"/>
  <c r="N26" i="10"/>
  <c r="N30" i="10"/>
  <c r="N27" i="10"/>
  <c r="N24" i="10"/>
  <c r="N28" i="10"/>
  <c r="N25" i="10"/>
  <c r="K28" i="10"/>
  <c r="K24" i="10"/>
  <c r="K25" i="10"/>
  <c r="K27" i="10"/>
  <c r="K31" i="10"/>
  <c r="K29" i="10"/>
  <c r="K23" i="10"/>
  <c r="K26" i="10"/>
  <c r="K30" i="10"/>
  <c r="M21" i="8"/>
  <c r="K24" i="8"/>
  <c r="K28" i="8" s="1"/>
  <c r="K92" i="8" s="1"/>
  <c r="M39" i="10"/>
  <c r="M38" i="10"/>
  <c r="N39" i="10"/>
  <c r="N38" i="10"/>
  <c r="K38" i="10"/>
  <c r="K39" i="10"/>
  <c r="C24" i="8"/>
  <c r="C21" i="8"/>
  <c r="N20" i="10"/>
  <c r="N48" i="10"/>
  <c r="N22" i="10"/>
  <c r="N49" i="10"/>
  <c r="K48" i="10"/>
  <c r="K49" i="10"/>
  <c r="K20" i="10"/>
  <c r="K22" i="10"/>
  <c r="M49" i="10"/>
  <c r="M20" i="10"/>
  <c r="M48" i="10"/>
  <c r="M22" i="10"/>
  <c r="M25" i="8"/>
  <c r="L24" i="8"/>
  <c r="L28" i="8" s="1"/>
  <c r="L92" i="8" s="1"/>
  <c r="L21" i="8"/>
  <c r="N24" i="8"/>
  <c r="N28" i="8" s="1"/>
  <c r="N92" i="8" s="1"/>
  <c r="N21" i="8"/>
  <c r="K25" i="8" l="1"/>
  <c r="C28" i="8"/>
  <c r="C92" i="8" s="1"/>
  <c r="C101" i="8" s="1"/>
  <c r="C122" i="8" s="1"/>
  <c r="C123" i="8" s="1"/>
  <c r="C125" i="8" s="1"/>
  <c r="C25" i="8"/>
  <c r="L25" i="8"/>
  <c r="M101" i="8"/>
  <c r="M122" i="8" s="1"/>
  <c r="M123" i="8" s="1"/>
  <c r="M125" i="8" s="1"/>
  <c r="K101" i="8"/>
  <c r="K122" i="8" s="1"/>
  <c r="K123" i="8" s="1"/>
  <c r="K125" i="8" s="1"/>
  <c r="N25" i="8"/>
  <c r="C32" i="8" l="1"/>
  <c r="C29" i="8"/>
  <c r="C35" i="8"/>
  <c r="K29" i="8"/>
  <c r="K35" i="8"/>
  <c r="K32" i="8"/>
  <c r="M35" i="8"/>
  <c r="M29" i="8"/>
  <c r="M32" i="8"/>
  <c r="L101" i="8"/>
  <c r="L122" i="8" s="1"/>
  <c r="L123" i="8" s="1"/>
  <c r="L125" i="8" s="1"/>
  <c r="N101" i="8"/>
  <c r="N122" i="8" s="1"/>
  <c r="N123" i="8" s="1"/>
  <c r="N125" i="8" s="1"/>
  <c r="L29" i="8" l="1"/>
  <c r="L35" i="8"/>
  <c r="L32" i="8"/>
  <c r="N32" i="8"/>
  <c r="N35" i="8"/>
  <c r="N29" i="8"/>
  <c r="AR74" i="8" l="1"/>
  <c r="AQ74" i="8"/>
  <c r="AP74" i="8"/>
  <c r="AN74" i="8"/>
  <c r="AM74" i="8"/>
  <c r="AL74" i="8"/>
  <c r="AO74" i="8"/>
  <c r="AK74" i="8"/>
  <c r="AR43" i="8"/>
  <c r="AQ43" i="8"/>
  <c r="AP43" i="8"/>
  <c r="AN43" i="8"/>
  <c r="AM43" i="8"/>
  <c r="AL43" i="8"/>
  <c r="AO43" i="8"/>
  <c r="AK43" i="8"/>
  <c r="AR27" i="8"/>
  <c r="AQ27" i="8"/>
  <c r="AP27" i="8"/>
  <c r="AO27" i="8"/>
  <c r="AN27" i="8"/>
  <c r="AM27" i="8"/>
  <c r="AL27" i="8"/>
  <c r="AK27" i="8"/>
  <c r="AR19" i="8"/>
  <c r="AQ19" i="8"/>
  <c r="AP19" i="8"/>
  <c r="AO19" i="8"/>
  <c r="AN19" i="8"/>
  <c r="AM19" i="8"/>
  <c r="AL19" i="8"/>
  <c r="AK19" i="8"/>
  <c r="AR18" i="8"/>
  <c r="AQ18" i="8"/>
  <c r="AP18" i="8"/>
  <c r="AO18" i="8"/>
  <c r="AN18" i="8"/>
  <c r="AM18" i="8"/>
  <c r="AL18" i="8"/>
  <c r="AK18" i="8"/>
  <c r="AR17" i="8"/>
  <c r="AQ17" i="8"/>
  <c r="AP17" i="8"/>
  <c r="AO17" i="8"/>
  <c r="AN17" i="8"/>
  <c r="AM17" i="8"/>
  <c r="AL17" i="8"/>
  <c r="AK17" i="8"/>
  <c r="AQ10" i="8"/>
  <c r="AP10" i="8"/>
  <c r="AO10" i="8"/>
  <c r="AN10" i="8"/>
  <c r="AM10" i="8"/>
  <c r="AL10" i="8"/>
  <c r="AR45" i="10"/>
  <c r="AQ45" i="10"/>
  <c r="AP45" i="10"/>
  <c r="AO45" i="10"/>
  <c r="AN45" i="10"/>
  <c r="AM45" i="10"/>
  <c r="AL45" i="10"/>
  <c r="AK45" i="10"/>
  <c r="AR44" i="10"/>
  <c r="AQ44" i="10"/>
  <c r="AP44" i="10"/>
  <c r="AO44" i="10"/>
  <c r="AN44" i="10"/>
  <c r="AM44" i="10"/>
  <c r="AL44" i="10"/>
  <c r="AK44" i="10"/>
  <c r="AQ18" i="10"/>
  <c r="AP18" i="10"/>
  <c r="AO18" i="10"/>
  <c r="AN18" i="10"/>
  <c r="AM18" i="10"/>
  <c r="AL18" i="10"/>
  <c r="AK18" i="10"/>
  <c r="P46" i="10"/>
  <c r="O46" i="10"/>
  <c r="P4" i="10"/>
  <c r="O4" i="10"/>
  <c r="P3" i="10"/>
  <c r="O3" i="10"/>
  <c r="V46" i="10"/>
  <c r="U46" i="10"/>
  <c r="T46" i="10"/>
  <c r="S46" i="10"/>
  <c r="R46" i="10"/>
  <c r="Q46" i="10"/>
  <c r="V4" i="10"/>
  <c r="U4" i="10"/>
  <c r="T4" i="10"/>
  <c r="S4" i="10"/>
  <c r="R4" i="10"/>
  <c r="Q4" i="10"/>
  <c r="V3" i="10"/>
  <c r="U3" i="10"/>
  <c r="T3" i="10"/>
  <c r="S3" i="10"/>
  <c r="R3" i="10"/>
  <c r="Q3" i="10"/>
  <c r="R118" i="8"/>
  <c r="Q118" i="8"/>
  <c r="P118" i="8"/>
  <c r="R114" i="8"/>
  <c r="Q114" i="8"/>
  <c r="P114" i="8"/>
  <c r="R108" i="8"/>
  <c r="Q108" i="8"/>
  <c r="P108" i="8"/>
  <c r="R89" i="8"/>
  <c r="Q89" i="8"/>
  <c r="P89" i="8"/>
  <c r="R88" i="8"/>
  <c r="Q88" i="8"/>
  <c r="P88" i="8"/>
  <c r="R81" i="8"/>
  <c r="Q81" i="8"/>
  <c r="P81" i="8"/>
  <c r="R66" i="8"/>
  <c r="R75" i="8" s="1"/>
  <c r="Q66" i="8"/>
  <c r="Q75" i="8" s="1"/>
  <c r="P66" i="8"/>
  <c r="P75" i="8" s="1"/>
  <c r="R47" i="8"/>
  <c r="R56" i="8" s="1"/>
  <c r="Q47" i="8"/>
  <c r="Q56" i="8" s="1"/>
  <c r="P47" i="8"/>
  <c r="P56" i="8" s="1"/>
  <c r="R39" i="8"/>
  <c r="Q39" i="8"/>
  <c r="P39" i="8"/>
  <c r="R38" i="8"/>
  <c r="Q38" i="8"/>
  <c r="P38" i="8"/>
  <c r="R11" i="8"/>
  <c r="R14" i="8" s="1"/>
  <c r="Q11" i="8"/>
  <c r="Q14" i="8" s="1"/>
  <c r="P11" i="8"/>
  <c r="U118" i="8"/>
  <c r="T118" i="8"/>
  <c r="S118" i="8"/>
  <c r="O118" i="8"/>
  <c r="U114" i="8"/>
  <c r="T114" i="8"/>
  <c r="S114" i="8"/>
  <c r="O114" i="8"/>
  <c r="U108" i="8"/>
  <c r="T108" i="8"/>
  <c r="S108" i="8"/>
  <c r="O108" i="8"/>
  <c r="U89" i="8"/>
  <c r="T89" i="8"/>
  <c r="S89" i="8"/>
  <c r="O89" i="8"/>
  <c r="U88" i="8"/>
  <c r="T88" i="8"/>
  <c r="S88" i="8"/>
  <c r="O88" i="8"/>
  <c r="U81" i="8"/>
  <c r="T81" i="8"/>
  <c r="S81" i="8"/>
  <c r="O81" i="8"/>
  <c r="U66" i="8"/>
  <c r="U75" i="8" s="1"/>
  <c r="T66" i="8"/>
  <c r="T75" i="8" s="1"/>
  <c r="S66" i="8"/>
  <c r="S75" i="8" s="1"/>
  <c r="O66" i="8"/>
  <c r="O75" i="8" s="1"/>
  <c r="U47" i="8"/>
  <c r="U56" i="8" s="1"/>
  <c r="T47" i="8"/>
  <c r="T56" i="8" s="1"/>
  <c r="S47" i="8"/>
  <c r="S56" i="8" s="1"/>
  <c r="O47" i="8"/>
  <c r="O56" i="8" s="1"/>
  <c r="U39" i="8"/>
  <c r="T39" i="8"/>
  <c r="S39" i="8"/>
  <c r="O39" i="8"/>
  <c r="U38" i="8"/>
  <c r="T38" i="8"/>
  <c r="S38" i="8"/>
  <c r="O38" i="8"/>
  <c r="U11" i="8"/>
  <c r="U14" i="8" s="1"/>
  <c r="T11" i="8"/>
  <c r="S11" i="8"/>
  <c r="S14" i="8" s="1"/>
  <c r="O11" i="8"/>
  <c r="V118" i="8"/>
  <c r="V114" i="8"/>
  <c r="V108" i="8"/>
  <c r="V89" i="8"/>
  <c r="V88" i="8"/>
  <c r="V81" i="8"/>
  <c r="V66" i="8"/>
  <c r="V75" i="8" s="1"/>
  <c r="V47" i="8"/>
  <c r="V56" i="8" s="1"/>
  <c r="V39" i="8"/>
  <c r="V38" i="8"/>
  <c r="V11" i="8"/>
  <c r="V14" i="8" s="1"/>
  <c r="AK23" i="8"/>
  <c r="AL23" i="8"/>
  <c r="AM23" i="8"/>
  <c r="AN23" i="8"/>
  <c r="AO23" i="8"/>
  <c r="AP23" i="8"/>
  <c r="AQ23" i="8"/>
  <c r="E46" i="10"/>
  <c r="D46" i="10"/>
  <c r="E4" i="10"/>
  <c r="D4" i="10"/>
  <c r="E3" i="10"/>
  <c r="D3" i="10"/>
  <c r="E118" i="8"/>
  <c r="D118" i="8"/>
  <c r="E114" i="8"/>
  <c r="D114" i="8"/>
  <c r="E108" i="8"/>
  <c r="D108" i="8"/>
  <c r="E89" i="8"/>
  <c r="D89" i="8"/>
  <c r="E88" i="8"/>
  <c r="D88" i="8"/>
  <c r="E81" i="8"/>
  <c r="D81" i="8"/>
  <c r="E66" i="8"/>
  <c r="E75" i="8" s="1"/>
  <c r="D66" i="8"/>
  <c r="D75" i="8" s="1"/>
  <c r="E47" i="8"/>
  <c r="E56" i="8" s="1"/>
  <c r="D47" i="8"/>
  <c r="D56" i="8" s="1"/>
  <c r="E39" i="8"/>
  <c r="D39" i="8"/>
  <c r="E38" i="8"/>
  <c r="D38" i="8"/>
  <c r="E11" i="8"/>
  <c r="D11" i="8"/>
  <c r="D14" i="8" s="1"/>
  <c r="B49" i="10"/>
  <c r="T14" i="8" l="1"/>
  <c r="T20" i="8" s="1"/>
  <c r="E14" i="8"/>
  <c r="E15" i="8" s="1"/>
  <c r="P14" i="8"/>
  <c r="P20" i="8" s="1"/>
  <c r="P24" i="8" s="1"/>
  <c r="P28" i="8" s="1"/>
  <c r="P92" i="8" s="1"/>
  <c r="O14" i="8"/>
  <c r="O15" i="8" s="1"/>
  <c r="AT74" i="8"/>
  <c r="AT43" i="8"/>
  <c r="AT27" i="8"/>
  <c r="R82" i="8"/>
  <c r="R84" i="8" s="1"/>
  <c r="U82" i="8"/>
  <c r="U84" i="8" s="1"/>
  <c r="AT19" i="8"/>
  <c r="O82" i="8"/>
  <c r="O84" i="8" s="1"/>
  <c r="Q15" i="8"/>
  <c r="Q20" i="8"/>
  <c r="Q24" i="8" s="1"/>
  <c r="Q28" i="8" s="1"/>
  <c r="Q92" i="8" s="1"/>
  <c r="O19" i="10"/>
  <c r="P19" i="10"/>
  <c r="R19" i="10"/>
  <c r="T19" i="10"/>
  <c r="Q19" i="10"/>
  <c r="S19" i="10"/>
  <c r="U19" i="10"/>
  <c r="V19" i="10"/>
  <c r="R15" i="8"/>
  <c r="R20" i="8"/>
  <c r="P82" i="8"/>
  <c r="P84" i="8" s="1"/>
  <c r="Q82" i="8"/>
  <c r="Q84" i="8" s="1"/>
  <c r="S82" i="8"/>
  <c r="S84" i="8" s="1"/>
  <c r="U20" i="8"/>
  <c r="U15" i="8"/>
  <c r="T82" i="8"/>
  <c r="T84" i="8" s="1"/>
  <c r="S20" i="8"/>
  <c r="S15" i="8"/>
  <c r="V82" i="8"/>
  <c r="V84" i="8" s="1"/>
  <c r="V15" i="8"/>
  <c r="V20" i="8"/>
  <c r="E82" i="8"/>
  <c r="E84" i="8" s="1"/>
  <c r="AT18" i="8"/>
  <c r="D82" i="8"/>
  <c r="D84" i="8" s="1"/>
  <c r="E19" i="10"/>
  <c r="D19" i="10"/>
  <c r="D15" i="8"/>
  <c r="D20" i="8"/>
  <c r="D26" i="10" l="1"/>
  <c r="D25" i="10"/>
  <c r="D30" i="10"/>
  <c r="D24" i="10"/>
  <c r="D23" i="10"/>
  <c r="D31" i="10"/>
  <c r="D28" i="10"/>
  <c r="D29" i="10"/>
  <c r="D27" i="10"/>
  <c r="E24" i="10"/>
  <c r="E23" i="10"/>
  <c r="E30" i="10"/>
  <c r="E28" i="10"/>
  <c r="E29" i="10"/>
  <c r="E27" i="10"/>
  <c r="E31" i="10"/>
  <c r="E26" i="10"/>
  <c r="E25" i="10"/>
  <c r="P26" i="10"/>
  <c r="P30" i="10"/>
  <c r="P27" i="10"/>
  <c r="P24" i="10"/>
  <c r="P29" i="10"/>
  <c r="P28" i="10"/>
  <c r="P23" i="10"/>
  <c r="P25" i="10"/>
  <c r="P31" i="10"/>
  <c r="S28" i="10"/>
  <c r="S27" i="10"/>
  <c r="S25" i="10"/>
  <c r="S24" i="10"/>
  <c r="S31" i="10"/>
  <c r="S29" i="10"/>
  <c r="S23" i="10"/>
  <c r="S26" i="10"/>
  <c r="S30" i="10"/>
  <c r="R30" i="10"/>
  <c r="R27" i="10"/>
  <c r="R24" i="10"/>
  <c r="R28" i="10"/>
  <c r="R25" i="10"/>
  <c r="R31" i="10"/>
  <c r="R29" i="10"/>
  <c r="R23" i="10"/>
  <c r="R26" i="10"/>
  <c r="V31" i="10"/>
  <c r="V25" i="10"/>
  <c r="V29" i="10"/>
  <c r="V23" i="10"/>
  <c r="V26" i="10"/>
  <c r="V30" i="10"/>
  <c r="V27" i="10"/>
  <c r="V24" i="10"/>
  <c r="V28" i="10"/>
  <c r="U25" i="10"/>
  <c r="U31" i="10"/>
  <c r="U29" i="10"/>
  <c r="U23" i="10"/>
  <c r="U26" i="10"/>
  <c r="U28" i="10"/>
  <c r="U30" i="10"/>
  <c r="U27" i="10"/>
  <c r="U24" i="10"/>
  <c r="Q30" i="10"/>
  <c r="Q27" i="10"/>
  <c r="Q24" i="10"/>
  <c r="Q28" i="10"/>
  <c r="Q26" i="10"/>
  <c r="Q25" i="10"/>
  <c r="Q31" i="10"/>
  <c r="Q29" i="10"/>
  <c r="Q23" i="10"/>
  <c r="O29" i="10"/>
  <c r="O23" i="10"/>
  <c r="O26" i="10"/>
  <c r="O30" i="10"/>
  <c r="O27" i="10"/>
  <c r="O24" i="10"/>
  <c r="O31" i="10"/>
  <c r="O28" i="10"/>
  <c r="O25" i="10"/>
  <c r="T28" i="10"/>
  <c r="T25" i="10"/>
  <c r="T31" i="10"/>
  <c r="T29" i="10"/>
  <c r="T23" i="10"/>
  <c r="T26" i="10"/>
  <c r="T30" i="10"/>
  <c r="T27" i="10"/>
  <c r="T24" i="10"/>
  <c r="P15" i="8"/>
  <c r="O20" i="8"/>
  <c r="O24" i="8" s="1"/>
  <c r="O28" i="8" s="1"/>
  <c r="O92" i="8" s="1"/>
  <c r="T15" i="8"/>
  <c r="T24" i="8"/>
  <c r="T28" i="8" s="1"/>
  <c r="T92" i="8" s="1"/>
  <c r="T21" i="8"/>
  <c r="E20" i="8"/>
  <c r="P21" i="8"/>
  <c r="U39" i="10"/>
  <c r="U38" i="10"/>
  <c r="Q39" i="10"/>
  <c r="Q38" i="10"/>
  <c r="T38" i="10"/>
  <c r="T39" i="10"/>
  <c r="S38" i="10"/>
  <c r="S39" i="10"/>
  <c r="D39" i="10"/>
  <c r="D38" i="10"/>
  <c r="R38" i="10"/>
  <c r="R39" i="10"/>
  <c r="E39" i="10"/>
  <c r="E38" i="10"/>
  <c r="P39" i="10"/>
  <c r="P38" i="10"/>
  <c r="O39" i="10"/>
  <c r="O38" i="10"/>
  <c r="V39" i="10"/>
  <c r="V38" i="10"/>
  <c r="S22" i="10"/>
  <c r="U22" i="10"/>
  <c r="P22" i="10"/>
  <c r="Q29" i="8"/>
  <c r="Q35" i="8"/>
  <c r="Q32" i="8"/>
  <c r="Q21" i="8"/>
  <c r="Q25" i="8"/>
  <c r="R20" i="10"/>
  <c r="R48" i="10"/>
  <c r="Q22" i="10"/>
  <c r="R49" i="10"/>
  <c r="R22" i="10"/>
  <c r="P20" i="10"/>
  <c r="P48" i="10"/>
  <c r="P49" i="10"/>
  <c r="O48" i="10"/>
  <c r="O22" i="10"/>
  <c r="O20" i="10"/>
  <c r="O49" i="10"/>
  <c r="V49" i="10"/>
  <c r="V48" i="10"/>
  <c r="V20" i="10"/>
  <c r="T20" i="10"/>
  <c r="T49" i="10"/>
  <c r="T48" i="10"/>
  <c r="T22" i="10"/>
  <c r="V22" i="10"/>
  <c r="Q20" i="10"/>
  <c r="Q49" i="10"/>
  <c r="Q48" i="10"/>
  <c r="U49" i="10"/>
  <c r="U48" i="10"/>
  <c r="U20" i="10"/>
  <c r="S20" i="10"/>
  <c r="S49" i="10"/>
  <c r="S48" i="10"/>
  <c r="P25" i="8"/>
  <c r="Q101" i="8"/>
  <c r="Q122" i="8" s="1"/>
  <c r="Q123" i="8" s="1"/>
  <c r="Q125" i="8" s="1"/>
  <c r="R24" i="8"/>
  <c r="R28" i="8" s="1"/>
  <c r="R92" i="8" s="1"/>
  <c r="R21" i="8"/>
  <c r="S24" i="8"/>
  <c r="S28" i="8" s="1"/>
  <c r="S92" i="8" s="1"/>
  <c r="S21" i="8"/>
  <c r="U24" i="8"/>
  <c r="U28" i="8" s="1"/>
  <c r="U92" i="8" s="1"/>
  <c r="U21" i="8"/>
  <c r="V24" i="8"/>
  <c r="V28" i="8" s="1"/>
  <c r="V92" i="8" s="1"/>
  <c r="V21" i="8"/>
  <c r="D48" i="10"/>
  <c r="D49" i="10"/>
  <c r="D22" i="10"/>
  <c r="D20" i="10"/>
  <c r="E20" i="10"/>
  <c r="E49" i="10"/>
  <c r="E22" i="10"/>
  <c r="E48" i="10"/>
  <c r="D24" i="8"/>
  <c r="D28" i="8" s="1"/>
  <c r="D92" i="8" s="1"/>
  <c r="D21" i="8"/>
  <c r="T25" i="8" l="1"/>
  <c r="O21" i="8"/>
  <c r="O25" i="8"/>
  <c r="E24" i="8"/>
  <c r="E21" i="8"/>
  <c r="T29" i="8"/>
  <c r="T35" i="8"/>
  <c r="T32" i="8"/>
  <c r="O29" i="8"/>
  <c r="O35" i="8"/>
  <c r="O32" i="8"/>
  <c r="P29" i="8"/>
  <c r="P35" i="8"/>
  <c r="P32" i="8"/>
  <c r="P101" i="8"/>
  <c r="P122" i="8" s="1"/>
  <c r="P123" i="8" s="1"/>
  <c r="P125" i="8" s="1"/>
  <c r="R25" i="8"/>
  <c r="S25" i="8"/>
  <c r="U25" i="8"/>
  <c r="O101" i="8"/>
  <c r="O122" i="8" s="1"/>
  <c r="O123" i="8" s="1"/>
  <c r="O125" i="8" s="1"/>
  <c r="T101" i="8"/>
  <c r="T122" i="8" s="1"/>
  <c r="T123" i="8" s="1"/>
  <c r="T125" i="8" s="1"/>
  <c r="V25" i="8"/>
  <c r="D25" i="8"/>
  <c r="D35" i="8"/>
  <c r="E28" i="8" l="1"/>
  <c r="E92" i="8" s="1"/>
  <c r="E101" i="8" s="1"/>
  <c r="E122" i="8" s="1"/>
  <c r="E123" i="8" s="1"/>
  <c r="E125" i="8" s="1"/>
  <c r="E25" i="8"/>
  <c r="U29" i="8"/>
  <c r="U35" i="8"/>
  <c r="U32" i="8"/>
  <c r="S29" i="8"/>
  <c r="S35" i="8"/>
  <c r="S32" i="8"/>
  <c r="V29" i="8"/>
  <c r="V35" i="8"/>
  <c r="V32" i="8"/>
  <c r="R29" i="8"/>
  <c r="R35" i="8"/>
  <c r="R32" i="8"/>
  <c r="D29" i="8"/>
  <c r="D32" i="8"/>
  <c r="R101" i="8"/>
  <c r="R122" i="8" s="1"/>
  <c r="R123" i="8" s="1"/>
  <c r="R125" i="8" s="1"/>
  <c r="U101" i="8"/>
  <c r="U122" i="8" s="1"/>
  <c r="U123" i="8" s="1"/>
  <c r="U125" i="8" s="1"/>
  <c r="S101" i="8"/>
  <c r="S122" i="8" s="1"/>
  <c r="S123" i="8" s="1"/>
  <c r="S125" i="8" s="1"/>
  <c r="V101" i="8"/>
  <c r="V122" i="8" s="1"/>
  <c r="V123" i="8" s="1"/>
  <c r="V125" i="8" s="1"/>
  <c r="D101" i="8"/>
  <c r="D122" i="8" s="1"/>
  <c r="D123" i="8" s="1"/>
  <c r="D125" i="8" s="1"/>
  <c r="E35" i="8" l="1"/>
  <c r="E29" i="8"/>
  <c r="E32" i="8"/>
  <c r="B48" i="10"/>
  <c r="AG46" i="10"/>
  <c r="AF46" i="10"/>
  <c r="AE46" i="10"/>
  <c r="AD46" i="10"/>
  <c r="AC46" i="10"/>
  <c r="AB46" i="10"/>
  <c r="AA46" i="10"/>
  <c r="Z46" i="10"/>
  <c r="Y46" i="10"/>
  <c r="X46" i="10"/>
  <c r="W46" i="10"/>
  <c r="H46" i="10"/>
  <c r="G46" i="10"/>
  <c r="F46" i="10"/>
  <c r="AQ46" i="10"/>
  <c r="AP46" i="10"/>
  <c r="AN46" i="10"/>
  <c r="AK46" i="10"/>
  <c r="AR46" i="10" l="1"/>
  <c r="AM46" i="10"/>
  <c r="AL46" i="10"/>
  <c r="AO46" i="10"/>
  <c r="AR18" i="10" l="1"/>
  <c r="AO44" i="8"/>
  <c r="AO53" i="8"/>
  <c r="AO65" i="8"/>
  <c r="AO64" i="8"/>
  <c r="AK44" i="8"/>
  <c r="AK53" i="8"/>
  <c r="AK65" i="8"/>
  <c r="AK64" i="8"/>
  <c r="AR65" i="8"/>
  <c r="AQ65" i="8"/>
  <c r="AP65" i="8"/>
  <c r="AN65" i="8"/>
  <c r="AM65" i="8"/>
  <c r="AL65" i="8"/>
  <c r="AR64" i="8"/>
  <c r="AQ64" i="8"/>
  <c r="AP64" i="8"/>
  <c r="AN64" i="8"/>
  <c r="AM64" i="8"/>
  <c r="AL64" i="8"/>
  <c r="AR53" i="8"/>
  <c r="AQ53" i="8"/>
  <c r="AP53" i="8"/>
  <c r="AN53" i="8"/>
  <c r="AM53" i="8"/>
  <c r="AL53" i="8"/>
  <c r="AR44" i="8"/>
  <c r="AQ44" i="8"/>
  <c r="AP44" i="8"/>
  <c r="AN44" i="8"/>
  <c r="AM44" i="8"/>
  <c r="AL44" i="8"/>
  <c r="AT64" i="8" l="1"/>
  <c r="AT65" i="8"/>
  <c r="AT53" i="8"/>
  <c r="AT44" i="8"/>
  <c r="AO46" i="8" l="1"/>
  <c r="AO55" i="8"/>
  <c r="AO54" i="8"/>
  <c r="AO61" i="8"/>
  <c r="AK55" i="8"/>
  <c r="AK54" i="8"/>
  <c r="AK61" i="8"/>
  <c r="AK46" i="8"/>
  <c r="AR54" i="8"/>
  <c r="AQ54" i="8"/>
  <c r="AP54" i="8"/>
  <c r="AN54" i="8"/>
  <c r="AM54" i="8"/>
  <c r="AL54" i="8"/>
  <c r="AD80" i="8"/>
  <c r="Z80" i="8"/>
  <c r="AD79" i="8"/>
  <c r="Z79" i="8"/>
  <c r="AD78" i="8"/>
  <c r="Z78" i="8"/>
  <c r="AR46" i="8"/>
  <c r="AQ46" i="8"/>
  <c r="AP46" i="8"/>
  <c r="AN46" i="8"/>
  <c r="AM46" i="8"/>
  <c r="AL46" i="8"/>
  <c r="AR61" i="8"/>
  <c r="AQ61" i="8"/>
  <c r="AP61" i="8"/>
  <c r="AN61" i="8"/>
  <c r="AM61" i="8"/>
  <c r="AL61" i="8"/>
  <c r="AR55" i="8"/>
  <c r="AQ55" i="8"/>
  <c r="AP55" i="8"/>
  <c r="AN55" i="8"/>
  <c r="AM55" i="8"/>
  <c r="AL55" i="8"/>
  <c r="AD34" i="8"/>
  <c r="Z34" i="8"/>
  <c r="AT54" i="8" l="1"/>
  <c r="AT46" i="8"/>
  <c r="AT61" i="8"/>
  <c r="AC19" i="10"/>
  <c r="AN19" i="10"/>
  <c r="AT55" i="8"/>
  <c r="AR80" i="8"/>
  <c r="AQ80" i="8"/>
  <c r="AP80" i="8"/>
  <c r="AN80" i="8"/>
  <c r="AM80" i="8"/>
  <c r="AL80" i="8"/>
  <c r="AR79" i="8"/>
  <c r="AQ79" i="8"/>
  <c r="AP79" i="8"/>
  <c r="AN79" i="8"/>
  <c r="AM79" i="8"/>
  <c r="AL79" i="8"/>
  <c r="AR78" i="8"/>
  <c r="AQ78" i="8"/>
  <c r="AP78" i="8"/>
  <c r="AN78" i="8"/>
  <c r="AM78" i="8"/>
  <c r="AL78" i="8"/>
  <c r="AO80" i="8"/>
  <c r="AO79" i="8"/>
  <c r="AO78" i="8"/>
  <c r="AK80" i="8"/>
  <c r="AK79" i="8"/>
  <c r="AK78" i="8"/>
  <c r="AO45" i="8"/>
  <c r="AK45" i="8"/>
  <c r="AR45" i="8"/>
  <c r="AQ45" i="8"/>
  <c r="AP45" i="8"/>
  <c r="AN45" i="8"/>
  <c r="AM45" i="8"/>
  <c r="AL45" i="8"/>
  <c r="AG4" i="10"/>
  <c r="AF4" i="10"/>
  <c r="AQ4" i="10" s="1"/>
  <c r="AE4" i="10"/>
  <c r="AP4" i="10" s="1"/>
  <c r="AC4" i="10"/>
  <c r="AN4" i="10" s="1"/>
  <c r="AB4" i="10"/>
  <c r="AM4" i="10" s="1"/>
  <c r="AA4" i="10"/>
  <c r="AL4" i="10" s="1"/>
  <c r="Y4" i="10"/>
  <c r="X4" i="10"/>
  <c r="W4" i="10"/>
  <c r="AG3" i="10"/>
  <c r="AF3" i="10"/>
  <c r="AQ3" i="10" s="1"/>
  <c r="AE3" i="10"/>
  <c r="AP3" i="10" s="1"/>
  <c r="AD3" i="10"/>
  <c r="AO3" i="10" s="1"/>
  <c r="AC3" i="10"/>
  <c r="AN3" i="10" s="1"/>
  <c r="AB3" i="10"/>
  <c r="AM3" i="10" s="1"/>
  <c r="AA3" i="10"/>
  <c r="AL3" i="10" s="1"/>
  <c r="Z3" i="10"/>
  <c r="AK3" i="10" s="1"/>
  <c r="Y3" i="10"/>
  <c r="X3" i="10"/>
  <c r="W3" i="10"/>
  <c r="H4" i="10"/>
  <c r="G4" i="10"/>
  <c r="F4" i="10"/>
  <c r="H3" i="10"/>
  <c r="G3" i="10"/>
  <c r="F3" i="10"/>
  <c r="B2" i="10"/>
  <c r="B22" i="10"/>
  <c r="AG19" i="10"/>
  <c r="AF19" i="10"/>
  <c r="AE19" i="10"/>
  <c r="AB19" i="10"/>
  <c r="AA19" i="10"/>
  <c r="Y19" i="10"/>
  <c r="X19" i="10"/>
  <c r="W19" i="10"/>
  <c r="H19" i="10"/>
  <c r="G19" i="10"/>
  <c r="H24" i="10" l="1"/>
  <c r="H31" i="10"/>
  <c r="H30" i="10"/>
  <c r="H29" i="10"/>
  <c r="H28" i="10"/>
  <c r="H23" i="10"/>
  <c r="H27" i="10"/>
  <c r="H26" i="10"/>
  <c r="H25" i="10"/>
  <c r="G25" i="10"/>
  <c r="G26" i="10"/>
  <c r="G24" i="10"/>
  <c r="G31" i="10"/>
  <c r="G30" i="10"/>
  <c r="G29" i="10"/>
  <c r="G28" i="10"/>
  <c r="G23" i="10"/>
  <c r="G27" i="10"/>
  <c r="Y30" i="10"/>
  <c r="Y27" i="10"/>
  <c r="Y24" i="10"/>
  <c r="Y28" i="10"/>
  <c r="Y25" i="10"/>
  <c r="Y26" i="10"/>
  <c r="Y31" i="10"/>
  <c r="Y29" i="10"/>
  <c r="Y23" i="10"/>
  <c r="AA30" i="10"/>
  <c r="AL30" i="10" s="1"/>
  <c r="AA28" i="10"/>
  <c r="AL28" i="10" s="1"/>
  <c r="AA25" i="10"/>
  <c r="AL25" i="10" s="1"/>
  <c r="AA31" i="10"/>
  <c r="AL31" i="10" s="1"/>
  <c r="AA29" i="10"/>
  <c r="AL29" i="10" s="1"/>
  <c r="AA23" i="10"/>
  <c r="AL23" i="10" s="1"/>
  <c r="AA24" i="10"/>
  <c r="AL24" i="10" s="1"/>
  <c r="AA26" i="10"/>
  <c r="AL26" i="10" s="1"/>
  <c r="AA27" i="10"/>
  <c r="AL27" i="10" s="1"/>
  <c r="AB28" i="10"/>
  <c r="AM28" i="10" s="1"/>
  <c r="AB25" i="10"/>
  <c r="AM25" i="10" s="1"/>
  <c r="AB31" i="10"/>
  <c r="AM31" i="10" s="1"/>
  <c r="AB29" i="10"/>
  <c r="AM29" i="10" s="1"/>
  <c r="AB23" i="10"/>
  <c r="AM23" i="10" s="1"/>
  <c r="AB26" i="10"/>
  <c r="AM26" i="10" s="1"/>
  <c r="AB30" i="10"/>
  <c r="AM30" i="10" s="1"/>
  <c r="AB27" i="10"/>
  <c r="AM27" i="10" s="1"/>
  <c r="AB24" i="10"/>
  <c r="AM24" i="10" s="1"/>
  <c r="AE29" i="10"/>
  <c r="AP29" i="10" s="1"/>
  <c r="AE23" i="10"/>
  <c r="AP23" i="10" s="1"/>
  <c r="AE26" i="10"/>
  <c r="AP26" i="10" s="1"/>
  <c r="AE30" i="10"/>
  <c r="AP30" i="10" s="1"/>
  <c r="AE27" i="10"/>
  <c r="AP27" i="10" s="1"/>
  <c r="AE24" i="10"/>
  <c r="AP24" i="10" s="1"/>
  <c r="AE28" i="10"/>
  <c r="AP28" i="10" s="1"/>
  <c r="AE31" i="10"/>
  <c r="AP31" i="10" s="1"/>
  <c r="AE25" i="10"/>
  <c r="AP25" i="10" s="1"/>
  <c r="AC25" i="10"/>
  <c r="AN25" i="10" s="1"/>
  <c r="AC31" i="10"/>
  <c r="AN31" i="10" s="1"/>
  <c r="AC29" i="10"/>
  <c r="AN29" i="10" s="1"/>
  <c r="AC23" i="10"/>
  <c r="AN23" i="10" s="1"/>
  <c r="AC26" i="10"/>
  <c r="AN26" i="10" s="1"/>
  <c r="AC30" i="10"/>
  <c r="AN30" i="10" s="1"/>
  <c r="AC27" i="10"/>
  <c r="AN27" i="10" s="1"/>
  <c r="AC24" i="10"/>
  <c r="AN24" i="10" s="1"/>
  <c r="AC28" i="10"/>
  <c r="AN28" i="10" s="1"/>
  <c r="AG26" i="10"/>
  <c r="AR26" i="10" s="1"/>
  <c r="AG30" i="10"/>
  <c r="AR30" i="10" s="1"/>
  <c r="AG27" i="10"/>
  <c r="AR27" i="10" s="1"/>
  <c r="AG24" i="10"/>
  <c r="AR24" i="10" s="1"/>
  <c r="AG28" i="10"/>
  <c r="AR28" i="10" s="1"/>
  <c r="AG25" i="10"/>
  <c r="AR25" i="10" s="1"/>
  <c r="AG31" i="10"/>
  <c r="AR31" i="10" s="1"/>
  <c r="AG29" i="10"/>
  <c r="AR29" i="10" s="1"/>
  <c r="AG23" i="10"/>
  <c r="AR23" i="10" s="1"/>
  <c r="AF26" i="10"/>
  <c r="AQ26" i="10" s="1"/>
  <c r="AF29" i="10"/>
  <c r="AQ29" i="10" s="1"/>
  <c r="AF30" i="10"/>
  <c r="AQ30" i="10" s="1"/>
  <c r="AF27" i="10"/>
  <c r="AQ27" i="10" s="1"/>
  <c r="AF24" i="10"/>
  <c r="AQ24" i="10" s="1"/>
  <c r="AF28" i="10"/>
  <c r="AQ28" i="10" s="1"/>
  <c r="AF25" i="10"/>
  <c r="AQ25" i="10" s="1"/>
  <c r="AF31" i="10"/>
  <c r="AQ31" i="10" s="1"/>
  <c r="AF23" i="10"/>
  <c r="AQ23" i="10" s="1"/>
  <c r="W29" i="10"/>
  <c r="W23" i="10"/>
  <c r="W26" i="10"/>
  <c r="W30" i="10"/>
  <c r="W27" i="10"/>
  <c r="W24" i="10"/>
  <c r="W31" i="10"/>
  <c r="W28" i="10"/>
  <c r="W25" i="10"/>
  <c r="X26" i="10"/>
  <c r="X30" i="10"/>
  <c r="X27" i="10"/>
  <c r="X24" i="10"/>
  <c r="X23" i="10"/>
  <c r="X28" i="10"/>
  <c r="X25" i="10"/>
  <c r="X31" i="10"/>
  <c r="X29" i="10"/>
  <c r="AB39" i="10"/>
  <c r="AM39" i="10" s="1"/>
  <c r="AB38" i="10"/>
  <c r="AM38" i="10" s="1"/>
  <c r="AE39" i="10"/>
  <c r="AP39" i="10" s="1"/>
  <c r="AE38" i="10"/>
  <c r="AP38" i="10" s="1"/>
  <c r="G39" i="10"/>
  <c r="G38" i="10"/>
  <c r="AF39" i="10"/>
  <c r="AQ39" i="10" s="1"/>
  <c r="AF38" i="10"/>
  <c r="AQ38" i="10" s="1"/>
  <c r="AC39" i="10"/>
  <c r="AN39" i="10" s="1"/>
  <c r="AC38" i="10"/>
  <c r="AN38" i="10" s="1"/>
  <c r="AG39" i="10"/>
  <c r="AR39" i="10" s="1"/>
  <c r="AG38" i="10"/>
  <c r="AR38" i="10" s="1"/>
  <c r="H38" i="10"/>
  <c r="H39" i="10"/>
  <c r="X39" i="10"/>
  <c r="X38" i="10"/>
  <c r="Y39" i="10"/>
  <c r="Y38" i="10"/>
  <c r="W39" i="10"/>
  <c r="W38" i="10"/>
  <c r="AA38" i="10"/>
  <c r="AL38" i="10" s="1"/>
  <c r="AA39" i="10"/>
  <c r="AL39" i="10" s="1"/>
  <c r="W49" i="10"/>
  <c r="X49" i="10"/>
  <c r="Y49" i="10"/>
  <c r="AB49" i="10"/>
  <c r="AM49" i="10" s="1"/>
  <c r="AC49" i="10"/>
  <c r="AN49" i="10" s="1"/>
  <c r="AE49" i="10"/>
  <c r="AP49" i="10" s="1"/>
  <c r="AA49" i="10"/>
  <c r="AL49" i="10" s="1"/>
  <c r="G49" i="10"/>
  <c r="AF49" i="10"/>
  <c r="AQ49" i="10" s="1"/>
  <c r="H49" i="10"/>
  <c r="AG49" i="10"/>
  <c r="AR49" i="10" s="1"/>
  <c r="AE48" i="10"/>
  <c r="AP48" i="10" s="1"/>
  <c r="W48" i="10"/>
  <c r="AC48" i="10"/>
  <c r="AN48" i="10" s="1"/>
  <c r="X48" i="10"/>
  <c r="AF48" i="10"/>
  <c r="AQ48" i="10" s="1"/>
  <c r="AG48" i="10"/>
  <c r="AR48" i="10" s="1"/>
  <c r="Y48" i="10"/>
  <c r="AA48" i="10"/>
  <c r="AL48" i="10" s="1"/>
  <c r="G48" i="10"/>
  <c r="H48" i="10"/>
  <c r="AB48" i="10"/>
  <c r="AM48" i="10" s="1"/>
  <c r="AQ19" i="10"/>
  <c r="AQ20" i="10" s="1"/>
  <c r="AK19" i="10"/>
  <c r="AP19" i="10"/>
  <c r="AO19" i="10"/>
  <c r="AL19" i="10"/>
  <c r="AM19" i="10"/>
  <c r="Z19" i="10"/>
  <c r="AR4" i="10"/>
  <c r="AR3" i="10"/>
  <c r="AT45" i="8"/>
  <c r="G22" i="10"/>
  <c r="AA22" i="10"/>
  <c r="AL22" i="10" s="1"/>
  <c r="W22" i="10"/>
  <c r="AB22" i="10"/>
  <c r="AM22" i="10" s="1"/>
  <c r="AE22" i="10"/>
  <c r="AP22" i="10" s="1"/>
  <c r="Y22" i="10"/>
  <c r="AG22" i="10"/>
  <c r="AR22" i="10" s="1"/>
  <c r="H22" i="10"/>
  <c r="AC22" i="10"/>
  <c r="AN22" i="10" s="1"/>
  <c r="AD19" i="10"/>
  <c r="X22" i="10"/>
  <c r="AF22" i="10"/>
  <c r="AQ22" i="10" s="1"/>
  <c r="Z30" i="10" l="1"/>
  <c r="AK30" i="10" s="1"/>
  <c r="Z27" i="10"/>
  <c r="AK27" i="10" s="1"/>
  <c r="Z24" i="10"/>
  <c r="AK24" i="10" s="1"/>
  <c r="Z28" i="10"/>
  <c r="AK28" i="10" s="1"/>
  <c r="Z25" i="10"/>
  <c r="AK25" i="10" s="1"/>
  <c r="Z31" i="10"/>
  <c r="AK31" i="10" s="1"/>
  <c r="Z29" i="10"/>
  <c r="AK29" i="10" s="1"/>
  <c r="Z23" i="10"/>
  <c r="AK23" i="10" s="1"/>
  <c r="Z26" i="10"/>
  <c r="AK26" i="10" s="1"/>
  <c r="AD31" i="10"/>
  <c r="AO31" i="10" s="1"/>
  <c r="AD29" i="10"/>
  <c r="AO29" i="10" s="1"/>
  <c r="AD23" i="10"/>
  <c r="AO23" i="10" s="1"/>
  <c r="AD26" i="10"/>
  <c r="AO26" i="10" s="1"/>
  <c r="AD25" i="10"/>
  <c r="AO25" i="10" s="1"/>
  <c r="AD30" i="10"/>
  <c r="AO30" i="10" s="1"/>
  <c r="AD27" i="10"/>
  <c r="AO27" i="10" s="1"/>
  <c r="AD24" i="10"/>
  <c r="AO24" i="10" s="1"/>
  <c r="AD28" i="10"/>
  <c r="AO28" i="10" s="1"/>
  <c r="AD39" i="10"/>
  <c r="AO39" i="10" s="1"/>
  <c r="AD38" i="10"/>
  <c r="AO38" i="10" s="1"/>
  <c r="Z38" i="10"/>
  <c r="AK38" i="10" s="1"/>
  <c r="Z39" i="10"/>
  <c r="AK39" i="10" s="1"/>
  <c r="Z49" i="10"/>
  <c r="AK49" i="10" s="1"/>
  <c r="AD49" i="10"/>
  <c r="AO49" i="10" s="1"/>
  <c r="AD48" i="10"/>
  <c r="AO48" i="10" s="1"/>
  <c r="Z48" i="10"/>
  <c r="AK48" i="10" s="1"/>
  <c r="Z22" i="10"/>
  <c r="AK22" i="10" s="1"/>
  <c r="AD22" i="10"/>
  <c r="AO22" i="10" s="1"/>
  <c r="AR19" i="10" l="1"/>
  <c r="K14" i="9"/>
  <c r="O14" i="9"/>
  <c r="AQ34" i="8"/>
  <c r="AP34" i="8"/>
  <c r="AO34" i="8"/>
  <c r="AN34" i="8"/>
  <c r="AM34" i="8"/>
  <c r="AL34" i="8"/>
  <c r="AK34" i="8"/>
  <c r="AQ31" i="8"/>
  <c r="AP31" i="8"/>
  <c r="AN31" i="8"/>
  <c r="AM31" i="8"/>
  <c r="AL31" i="8"/>
  <c r="K55" i="9"/>
  <c r="T55" i="9" s="1"/>
  <c r="AO42" i="8"/>
  <c r="K63" i="9"/>
  <c r="T63" i="9" s="1"/>
  <c r="K66" i="9"/>
  <c r="T66" i="9" s="1"/>
  <c r="AK51" i="8"/>
  <c r="K65" i="9"/>
  <c r="T65" i="9" s="1"/>
  <c r="K67" i="9"/>
  <c r="T67" i="9" s="1"/>
  <c r="AO51" i="8"/>
  <c r="AO50" i="8"/>
  <c r="AO59" i="8"/>
  <c r="AO69" i="8"/>
  <c r="K73" i="9"/>
  <c r="T73" i="9" s="1"/>
  <c r="AG47" i="8"/>
  <c r="AF47" i="8"/>
  <c r="AE47" i="8"/>
  <c r="AC47" i="8"/>
  <c r="AB47" i="8"/>
  <c r="AA47" i="8"/>
  <c r="Y47" i="8"/>
  <c r="X47" i="8"/>
  <c r="W47" i="8"/>
  <c r="H47" i="8"/>
  <c r="G47" i="8"/>
  <c r="F47" i="8"/>
  <c r="AD113" i="8"/>
  <c r="Z113" i="8"/>
  <c r="AD112" i="8"/>
  <c r="Z112" i="8"/>
  <c r="AD111" i="8"/>
  <c r="Z111" i="8"/>
  <c r="K47" i="9" s="1"/>
  <c r="AD107" i="8"/>
  <c r="O45" i="9" s="1"/>
  <c r="Z107" i="8"/>
  <c r="AL107" i="8" s="1"/>
  <c r="AD106" i="8"/>
  <c r="Z106" i="8"/>
  <c r="K46" i="9" s="1"/>
  <c r="AD105" i="8"/>
  <c r="Z105" i="8"/>
  <c r="AD104" i="8"/>
  <c r="Z104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Q77" i="8"/>
  <c r="AP77" i="8"/>
  <c r="AN77" i="8"/>
  <c r="AM77" i="8"/>
  <c r="AL77" i="8"/>
  <c r="AQ69" i="8"/>
  <c r="AP69" i="8"/>
  <c r="AN69" i="8"/>
  <c r="AM69" i="8"/>
  <c r="AL69" i="8"/>
  <c r="AQ59" i="8"/>
  <c r="AP59" i="8"/>
  <c r="AQ51" i="8"/>
  <c r="AP51" i="8"/>
  <c r="AN51" i="8"/>
  <c r="AM51" i="8"/>
  <c r="AL51" i="8"/>
  <c r="AQ50" i="8"/>
  <c r="AP50" i="8"/>
  <c r="AN50" i="8"/>
  <c r="AM50" i="8"/>
  <c r="AL50" i="8"/>
  <c r="AQ42" i="8"/>
  <c r="AP42" i="8"/>
  <c r="AN42" i="8"/>
  <c r="AM42" i="8"/>
  <c r="AL42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AD99" i="8"/>
  <c r="Z99" i="8"/>
  <c r="AM99" i="8" s="1"/>
  <c r="Z128" i="8"/>
  <c r="Z97" i="8"/>
  <c r="K32" i="9" s="1"/>
  <c r="J27" i="9"/>
  <c r="J38" i="9"/>
  <c r="R45" i="9"/>
  <c r="R46" i="9"/>
  <c r="R38" i="9"/>
  <c r="R32" i="9"/>
  <c r="R27" i="9"/>
  <c r="M46" i="9"/>
  <c r="N38" i="9"/>
  <c r="AD98" i="8"/>
  <c r="N32" i="9"/>
  <c r="N27" i="9"/>
  <c r="P47" i="9"/>
  <c r="AN59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Z129" i="8"/>
  <c r="K39" i="9" s="1"/>
  <c r="AD129" i="8"/>
  <c r="O39" i="9" s="1"/>
  <c r="AD128" i="8"/>
  <c r="AD121" i="8"/>
  <c r="AD120" i="8"/>
  <c r="AO120" i="8" s="1"/>
  <c r="Z121" i="8"/>
  <c r="Z120" i="8"/>
  <c r="AN120" i="8" s="1"/>
  <c r="AR77" i="8"/>
  <c r="AR69" i="8"/>
  <c r="AR59" i="8"/>
  <c r="AR51" i="8"/>
  <c r="AR50" i="8"/>
  <c r="AR42" i="8"/>
  <c r="D45" i="9"/>
  <c r="K64" i="9"/>
  <c r="T64" i="9" s="1"/>
  <c r="AK69" i="8"/>
  <c r="AO77" i="8"/>
  <c r="AK77" i="8"/>
  <c r="Z31" i="8"/>
  <c r="AK31" i="8" s="1"/>
  <c r="O23" i="9"/>
  <c r="O34" i="9" s="1"/>
  <c r="K23" i="9"/>
  <c r="K34" i="9" s="1"/>
  <c r="O21" i="9"/>
  <c r="K21" i="9"/>
  <c r="O72" i="9"/>
  <c r="X72" i="9" s="1"/>
  <c r="K72" i="9"/>
  <c r="T72" i="9" s="1"/>
  <c r="AR31" i="8"/>
  <c r="AR34" i="8"/>
  <c r="AD31" i="8"/>
  <c r="AO31" i="8" s="1"/>
  <c r="AR23" i="8" l="1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N47" i="8"/>
  <c r="AP47" i="8"/>
  <c r="AQ47" i="8"/>
  <c r="AR47" i="8"/>
  <c r="AD47" i="8"/>
  <c r="Z47" i="8"/>
  <c r="K56" i="9"/>
  <c r="T56" i="9" s="1"/>
  <c r="AO47" i="8"/>
  <c r="AD96" i="8"/>
  <c r="AR96" i="8" s="1"/>
  <c r="W14" i="9"/>
  <c r="V21" i="9"/>
  <c r="U14" i="9"/>
  <c r="X34" i="9"/>
  <c r="V14" i="9"/>
  <c r="AK99" i="8"/>
  <c r="AN99" i="8"/>
  <c r="AQ99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K111" i="8"/>
  <c r="AL106" i="8"/>
  <c r="AM107" i="8"/>
  <c r="Z23" i="9"/>
  <c r="W34" i="9"/>
  <c r="AK59" i="8"/>
  <c r="AL99" i="8"/>
  <c r="AM106" i="8"/>
  <c r="AN107" i="8"/>
  <c r="AL59" i="8"/>
  <c r="AK97" i="8"/>
  <c r="AO107" i="8"/>
  <c r="T23" i="9"/>
  <c r="AK42" i="8"/>
  <c r="AM59" i="8"/>
  <c r="AL97" i="8"/>
  <c r="AP107" i="8"/>
  <c r="U23" i="9"/>
  <c r="AM97" i="8"/>
  <c r="AO99" i="8"/>
  <c r="AQ107" i="8"/>
  <c r="AL111" i="8"/>
  <c r="V23" i="9"/>
  <c r="AN97" i="8"/>
  <c r="AO98" i="8"/>
  <c r="AP99" i="8"/>
  <c r="AM111" i="8"/>
  <c r="U21" i="9"/>
  <c r="W23" i="9"/>
  <c r="AK50" i="8"/>
  <c r="AP98" i="8"/>
  <c r="AK107" i="8"/>
  <c r="AN111" i="8"/>
  <c r="X23" i="9"/>
  <c r="AQ98" i="8"/>
  <c r="AK106" i="8"/>
  <c r="Y23" i="9"/>
  <c r="N49" i="9"/>
  <c r="J49" i="9"/>
  <c r="AT80" i="8"/>
  <c r="AT51" i="8"/>
  <c r="AT69" i="8"/>
  <c r="R49" i="9"/>
  <c r="M49" i="9"/>
  <c r="AE108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H41" i="9"/>
  <c r="F67" i="9"/>
  <c r="O65" i="9"/>
  <c r="X65" i="9" s="1"/>
  <c r="Y85" i="9"/>
  <c r="AA85" i="9"/>
  <c r="W85" i="9"/>
  <c r="K85" i="9"/>
  <c r="X85" i="9"/>
  <c r="Z85" i="9"/>
  <c r="O85" i="9"/>
  <c r="H108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AA108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F108" i="8"/>
  <c r="W108" i="8"/>
  <c r="G108" i="8"/>
  <c r="Z100" i="8"/>
  <c r="AD100" i="8"/>
  <c r="AQ100" i="8" s="1"/>
  <c r="AR99" i="8"/>
  <c r="Z98" i="8"/>
  <c r="AK98" i="8" s="1"/>
  <c r="AN104" i="8"/>
  <c r="Z95" i="8"/>
  <c r="AK95" i="8" s="1"/>
  <c r="AG108" i="8"/>
  <c r="AD97" i="8"/>
  <c r="AO104" i="8"/>
  <c r="AP105" i="8"/>
  <c r="AD95" i="8"/>
  <c r="AO95" i="8" s="1"/>
  <c r="AL120" i="8"/>
  <c r="AR98" i="8"/>
  <c r="AR120" i="8"/>
  <c r="AQ120" i="8"/>
  <c r="AP120" i="8"/>
  <c r="AM120" i="8"/>
  <c r="AK120" i="8"/>
  <c r="AR107" i="8"/>
  <c r="AT34" i="8"/>
  <c r="AT23" i="8" l="1"/>
  <c r="W10" i="9"/>
  <c r="V10" i="9"/>
  <c r="U10" i="9"/>
  <c r="T10" i="9"/>
  <c r="AO96" i="8"/>
  <c r="AQ96" i="8"/>
  <c r="Z96" i="8"/>
  <c r="AN96" i="8" s="1"/>
  <c r="AT96" i="8" s="1"/>
  <c r="AP96" i="8"/>
  <c r="AT99" i="8"/>
  <c r="V32" i="9"/>
  <c r="Z45" i="9"/>
  <c r="X22" i="9"/>
  <c r="V47" i="9"/>
  <c r="Z22" i="9"/>
  <c r="AP100" i="8"/>
  <c r="AK112" i="8"/>
  <c r="U20" i="9"/>
  <c r="AL98" i="8"/>
  <c r="AQ105" i="8"/>
  <c r="AL112" i="8"/>
  <c r="AP104" i="8"/>
  <c r="AP97" i="8"/>
  <c r="AQ97" i="8"/>
  <c r="K33" i="9"/>
  <c r="W22" i="9"/>
  <c r="AC22" i="9" s="1"/>
  <c r="V22" i="9"/>
  <c r="U47" i="9"/>
  <c r="N48" i="9"/>
  <c r="AO105" i="8"/>
  <c r="AQ95" i="8"/>
  <c r="Y22" i="9"/>
  <c r="Y20" i="9"/>
  <c r="X19" i="9"/>
  <c r="J44" i="9"/>
  <c r="W45" i="9"/>
  <c r="V45" i="9"/>
  <c r="K48" i="9"/>
  <c r="AN112" i="8"/>
  <c r="U22" i="9"/>
  <c r="T45" i="9"/>
  <c r="AN106" i="8"/>
  <c r="AO100" i="8"/>
  <c r="X20" i="9"/>
  <c r="T32" i="9"/>
  <c r="U32" i="9"/>
  <c r="J48" i="9"/>
  <c r="AM112" i="8"/>
  <c r="AQ104" i="8"/>
  <c r="AL104" i="8"/>
  <c r="AP95" i="8"/>
  <c r="AN95" i="8"/>
  <c r="AL95" i="8"/>
  <c r="AK100" i="8"/>
  <c r="AN100" i="8"/>
  <c r="AL100" i="8"/>
  <c r="U19" i="9"/>
  <c r="W19" i="9"/>
  <c r="V19" i="9"/>
  <c r="AN98" i="8"/>
  <c r="AT98" i="8" s="1"/>
  <c r="AM98" i="8"/>
  <c r="V20" i="9"/>
  <c r="W20" i="9"/>
  <c r="AO97" i="8"/>
  <c r="AM104" i="8"/>
  <c r="AM95" i="8"/>
  <c r="Y15" i="9"/>
  <c r="K28" i="9"/>
  <c r="W28" i="9" s="1"/>
  <c r="W15" i="9"/>
  <c r="U15" i="9"/>
  <c r="Y19" i="9"/>
  <c r="V15" i="9"/>
  <c r="AK104" i="8"/>
  <c r="X45" i="9"/>
  <c r="T15" i="9"/>
  <c r="AM100" i="8"/>
  <c r="T47" i="9"/>
  <c r="Y45" i="9"/>
  <c r="X15" i="9"/>
  <c r="W47" i="9"/>
  <c r="Q47" i="9"/>
  <c r="AC23" i="9"/>
  <c r="AC21" i="9"/>
  <c r="AT107" i="8"/>
  <c r="AC34" i="9"/>
  <c r="K41" i="9"/>
  <c r="O48" i="9"/>
  <c r="N41" i="9"/>
  <c r="AA20" i="9"/>
  <c r="O33" i="9"/>
  <c r="AQ106" i="8"/>
  <c r="N46" i="9"/>
  <c r="AR95" i="8"/>
  <c r="O27" i="9"/>
  <c r="Z27" i="9" s="1"/>
  <c r="O32" i="9"/>
  <c r="K38" i="9"/>
  <c r="Y108" i="8"/>
  <c r="AM105" i="8"/>
  <c r="O28" i="9"/>
  <c r="Z28" i="9" s="1"/>
  <c r="O44" i="9"/>
  <c r="Z44" i="9" s="1"/>
  <c r="K27" i="9"/>
  <c r="T27" i="9" s="1"/>
  <c r="AA15" i="9"/>
  <c r="O38" i="9"/>
  <c r="X108" i="8"/>
  <c r="AR97" i="8"/>
  <c r="AT97" i="8" s="1"/>
  <c r="AF108" i="8"/>
  <c r="AR105" i="8"/>
  <c r="AC108" i="8"/>
  <c r="AR104" i="8"/>
  <c r="AB108" i="8"/>
  <c r="AA73" i="9"/>
  <c r="AA72" i="9"/>
  <c r="O7" i="9"/>
  <c r="O6" i="9"/>
  <c r="AR121" i="8"/>
  <c r="AG117" i="8"/>
  <c r="AP121" i="8"/>
  <c r="AR117" i="8"/>
  <c r="AC117" i="8"/>
  <c r="AB117" i="8"/>
  <c r="Z117" i="8"/>
  <c r="Y117" i="8"/>
  <c r="W114" i="8"/>
  <c r="X114" i="8"/>
  <c r="Y114" i="8"/>
  <c r="X117" i="8"/>
  <c r="AE117" i="8"/>
  <c r="AA117" i="8"/>
  <c r="AR100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AK96" i="8"/>
  <c r="AL96" i="8"/>
  <c r="AM96" i="8"/>
  <c r="W48" i="9"/>
  <c r="O41" i="9"/>
  <c r="U27" i="9"/>
  <c r="AO106" i="8"/>
  <c r="Y27" i="9"/>
  <c r="AC20" i="9"/>
  <c r="X28" i="9"/>
  <c r="V28" i="9"/>
  <c r="X27" i="9"/>
  <c r="AO112" i="8"/>
  <c r="Z108" i="8"/>
  <c r="AN105" i="8"/>
  <c r="AT105" i="8" s="1"/>
  <c r="AL105" i="8"/>
  <c r="X44" i="9"/>
  <c r="X32" i="9"/>
  <c r="Z32" i="9"/>
  <c r="T28" i="9"/>
  <c r="AQ112" i="8"/>
  <c r="Y28" i="9"/>
  <c r="AP111" i="8"/>
  <c r="AQ111" i="8"/>
  <c r="AO111" i="8"/>
  <c r="Y44" i="9"/>
  <c r="AP112" i="8"/>
  <c r="AN113" i="8"/>
  <c r="AL113" i="8"/>
  <c r="AM113" i="8"/>
  <c r="AK113" i="8"/>
  <c r="W27" i="9"/>
  <c r="V27" i="9"/>
  <c r="Y32" i="9"/>
  <c r="V48" i="9"/>
  <c r="U48" i="9"/>
  <c r="T48" i="9"/>
  <c r="Z48" i="9"/>
  <c r="Y48" i="9"/>
  <c r="X48" i="9"/>
  <c r="AQ113" i="8"/>
  <c r="AO113" i="8"/>
  <c r="AP113" i="8"/>
  <c r="W46" i="9"/>
  <c r="AK105" i="8"/>
  <c r="O46" i="9"/>
  <c r="AA46" i="9" s="1"/>
  <c r="AP106" i="8"/>
  <c r="U33" i="9"/>
  <c r="W33" i="9"/>
  <c r="V33" i="9"/>
  <c r="T33" i="9"/>
  <c r="AA33" i="9"/>
  <c r="X33" i="9"/>
  <c r="Y33" i="9"/>
  <c r="Z33" i="9"/>
  <c r="U28" i="9"/>
  <c r="AC15" i="9"/>
  <c r="K49" i="9"/>
  <c r="O49" i="9"/>
  <c r="AT104" i="8"/>
  <c r="AR112" i="8"/>
  <c r="AT112" i="8" s="1"/>
  <c r="AR106" i="8"/>
  <c r="AT106" i="8" s="1"/>
  <c r="O9" i="9"/>
  <c r="O8" i="9"/>
  <c r="AR111" i="8"/>
  <c r="O47" i="9"/>
  <c r="AA28" i="9"/>
  <c r="AC28" i="9" s="1"/>
  <c r="K44" i="9"/>
  <c r="W44" i="9" s="1"/>
  <c r="AD108" i="8"/>
  <c r="AF117" i="8"/>
  <c r="AK128" i="8"/>
  <c r="AT100" i="8"/>
  <c r="AM117" i="8"/>
  <c r="AO117" i="8"/>
  <c r="AL121" i="8"/>
  <c r="AR113" i="8"/>
  <c r="AM121" i="8"/>
  <c r="AO121" i="8"/>
  <c r="AL117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K121" i="8"/>
  <c r="AN121" i="8"/>
  <c r="AN117" i="8"/>
  <c r="AP117" i="8"/>
  <c r="AQ121" i="8"/>
  <c r="AQ117" i="8"/>
  <c r="G117" i="8"/>
  <c r="AK117" i="8" s="1"/>
  <c r="H117" i="8"/>
  <c r="AD117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U29" i="9"/>
  <c r="U35" i="9" s="1"/>
  <c r="AC33" i="9"/>
  <c r="W29" i="9"/>
  <c r="W35" i="9" s="1"/>
  <c r="V29" i="9"/>
  <c r="V35" i="9" s="1"/>
  <c r="X46" i="9"/>
  <c r="T44" i="9"/>
  <c r="V44" i="9"/>
  <c r="Y46" i="9"/>
  <c r="AT113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P128" i="8"/>
  <c r="AQ128" i="8"/>
  <c r="AN128" i="8"/>
  <c r="AM128" i="8"/>
  <c r="AL128" i="8"/>
  <c r="AR128" i="8"/>
  <c r="AO128" i="8"/>
  <c r="AC14" i="9"/>
  <c r="X10" i="9" l="1"/>
  <c r="X16" i="9" s="1"/>
  <c r="X24" i="9" s="1"/>
  <c r="X29" i="9" s="1"/>
  <c r="X35" i="9" s="1"/>
  <c r="AA57" i="9" l="1"/>
  <c r="AA56" i="9"/>
  <c r="AD8" i="8"/>
  <c r="AD4" i="10" s="1"/>
  <c r="AO4" i="10" s="1"/>
  <c r="Z8" i="8"/>
  <c r="Z4" i="10" s="1"/>
  <c r="AK4" i="10" s="1"/>
  <c r="E58" i="9" l="1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AG66" i="8"/>
  <c r="R68" i="9" s="1"/>
  <c r="AF66" i="8"/>
  <c r="Q68" i="9" s="1"/>
  <c r="Z68" i="9" s="1"/>
  <c r="AE66" i="8"/>
  <c r="P68" i="9" s="1"/>
  <c r="Y68" i="9" s="1"/>
  <c r="AC66" i="8"/>
  <c r="N68" i="9" s="1"/>
  <c r="W68" i="9" s="1"/>
  <c r="AB66" i="8"/>
  <c r="M68" i="9" s="1"/>
  <c r="V68" i="9" s="1"/>
  <c r="AA66" i="8"/>
  <c r="L68" i="9" s="1"/>
  <c r="U68" i="9" s="1"/>
  <c r="Y66" i="8"/>
  <c r="J68" i="9" s="1"/>
  <c r="X66" i="8"/>
  <c r="I68" i="9" s="1"/>
  <c r="W66" i="8"/>
  <c r="H68" i="9" s="1"/>
  <c r="H66" i="8"/>
  <c r="F68" i="9" s="1"/>
  <c r="G66" i="8"/>
  <c r="E68" i="9" s="1"/>
  <c r="F66" i="8"/>
  <c r="D68" i="9" s="1"/>
  <c r="C68" i="9"/>
  <c r="AA55" i="9"/>
  <c r="AA58" i="9" s="1"/>
  <c r="R4" i="9"/>
  <c r="AA4" i="9" s="1"/>
  <c r="R3" i="9"/>
  <c r="AA3" i="9" s="1"/>
  <c r="AR8" i="8"/>
  <c r="AR89" i="8" s="1"/>
  <c r="AR7" i="8"/>
  <c r="AR88" i="8" s="1"/>
  <c r="AG89" i="8"/>
  <c r="AG88" i="8"/>
  <c r="AG81" i="8"/>
  <c r="R87" i="9" s="1"/>
  <c r="AG39" i="8"/>
  <c r="AG38" i="8"/>
  <c r="AG11" i="8"/>
  <c r="AG14" i="8" s="1"/>
  <c r="AE114" i="8"/>
  <c r="H114" i="8"/>
  <c r="G114" i="8"/>
  <c r="F114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Y81" i="8"/>
  <c r="J87" i="9" s="1"/>
  <c r="AF89" i="8"/>
  <c r="AE89" i="8"/>
  <c r="AD89" i="8"/>
  <c r="AC89" i="8"/>
  <c r="AB89" i="8"/>
  <c r="AA89" i="8"/>
  <c r="Z89" i="8"/>
  <c r="Y89" i="8"/>
  <c r="X89" i="8"/>
  <c r="W89" i="8"/>
  <c r="AF88" i="8"/>
  <c r="AE88" i="8"/>
  <c r="AD88" i="8"/>
  <c r="AC88" i="8"/>
  <c r="AB88" i="8"/>
  <c r="AA88" i="8"/>
  <c r="Z88" i="8"/>
  <c r="Y88" i="8"/>
  <c r="X88" i="8"/>
  <c r="W88" i="8"/>
  <c r="AC81" i="8"/>
  <c r="N87" i="9" s="1"/>
  <c r="AB81" i="8"/>
  <c r="M87" i="9" s="1"/>
  <c r="AA81" i="8"/>
  <c r="L87" i="9" s="1"/>
  <c r="X81" i="8"/>
  <c r="I87" i="9" s="1"/>
  <c r="W81" i="8"/>
  <c r="H87" i="9" s="1"/>
  <c r="AF39" i="8"/>
  <c r="AE39" i="8"/>
  <c r="AD39" i="8"/>
  <c r="AC39" i="8"/>
  <c r="AB39" i="8"/>
  <c r="AA39" i="8"/>
  <c r="Z39" i="8"/>
  <c r="Y39" i="8"/>
  <c r="X39" i="8"/>
  <c r="W39" i="8"/>
  <c r="AF38" i="8"/>
  <c r="AE38" i="8"/>
  <c r="AD38" i="8"/>
  <c r="AC38" i="8"/>
  <c r="AB38" i="8"/>
  <c r="AA38" i="8"/>
  <c r="Z38" i="8"/>
  <c r="Y38" i="8"/>
  <c r="X38" i="8"/>
  <c r="W38" i="8"/>
  <c r="H39" i="8"/>
  <c r="G39" i="8"/>
  <c r="F39" i="8"/>
  <c r="H38" i="8"/>
  <c r="G38" i="8"/>
  <c r="F38" i="8"/>
  <c r="AB11" i="8"/>
  <c r="AB14" i="8" s="1"/>
  <c r="AA11" i="8"/>
  <c r="AA14" i="8" s="1"/>
  <c r="Y11" i="8"/>
  <c r="Y14" i="8" s="1"/>
  <c r="X11" i="8"/>
  <c r="X14" i="8" s="1"/>
  <c r="W11" i="8"/>
  <c r="W14" i="8" s="1"/>
  <c r="AF11" i="8"/>
  <c r="AF14" i="8" s="1"/>
  <c r="AL8" i="8"/>
  <c r="AK8" i="8"/>
  <c r="AL7" i="8"/>
  <c r="AK7" i="8"/>
  <c r="AP8" i="8"/>
  <c r="AO8" i="8"/>
  <c r="AN8" i="8"/>
  <c r="AM8" i="8"/>
  <c r="AP7" i="8"/>
  <c r="AO7" i="8"/>
  <c r="AN7" i="8"/>
  <c r="AM7" i="8"/>
  <c r="AQ8" i="8"/>
  <c r="AQ7" i="8"/>
  <c r="Y20" i="10" l="1"/>
  <c r="W20" i="10"/>
  <c r="X20" i="10"/>
  <c r="AA20" i="10"/>
  <c r="AG20" i="10"/>
  <c r="AB20" i="10"/>
  <c r="AF20" i="10"/>
  <c r="AT42" i="8"/>
  <c r="AT77" i="8"/>
  <c r="AT50" i="8"/>
  <c r="AT59" i="8"/>
  <c r="AG75" i="8"/>
  <c r="R69" i="9" s="1"/>
  <c r="U87" i="9"/>
  <c r="AA87" i="9"/>
  <c r="AP129" i="8"/>
  <c r="V87" i="9"/>
  <c r="W87" i="9"/>
  <c r="K58" i="9"/>
  <c r="Y56" i="8"/>
  <c r="AP66" i="8"/>
  <c r="AQ66" i="8"/>
  <c r="AR66" i="8"/>
  <c r="AN66" i="8"/>
  <c r="Z66" i="8"/>
  <c r="K68" i="9" s="1"/>
  <c r="T68" i="9" s="1"/>
  <c r="AD66" i="8"/>
  <c r="O68" i="9" s="1"/>
  <c r="X68" i="9" s="1"/>
  <c r="Y75" i="8"/>
  <c r="J69" i="9" s="1"/>
  <c r="AR81" i="8"/>
  <c r="AR10" i="8"/>
  <c r="X75" i="8"/>
  <c r="I69" i="9" s="1"/>
  <c r="AR38" i="8"/>
  <c r="AR39" i="8"/>
  <c r="W75" i="8"/>
  <c r="H69" i="9" s="1"/>
  <c r="X56" i="8"/>
  <c r="AF114" i="8"/>
  <c r="AA114" i="8"/>
  <c r="AB114" i="8"/>
  <c r="AF56" i="8"/>
  <c r="AC56" i="8"/>
  <c r="W56" i="8"/>
  <c r="AB56" i="8"/>
  <c r="AA56" i="8"/>
  <c r="H75" i="8"/>
  <c r="F69" i="9" s="1"/>
  <c r="AN129" i="8"/>
  <c r="V58" i="9"/>
  <c r="U58" i="9"/>
  <c r="AO129" i="8"/>
  <c r="AL129" i="8"/>
  <c r="AM129" i="8"/>
  <c r="AK129" i="8"/>
  <c r="Z11" i="8"/>
  <c r="Z14" i="8" s="1"/>
  <c r="Z81" i="8"/>
  <c r="K87" i="9" s="1"/>
  <c r="Z56" i="8"/>
  <c r="AD56" i="8"/>
  <c r="AA15" i="8" l="1"/>
  <c r="AA20" i="8"/>
  <c r="AA24" i="8" s="1"/>
  <c r="AA28" i="8" s="1"/>
  <c r="AA92" i="8" s="1"/>
  <c r="W15" i="8"/>
  <c r="W20" i="8"/>
  <c r="W24" i="8" s="1"/>
  <c r="W28" i="8" s="1"/>
  <c r="W92" i="8" s="1"/>
  <c r="Y15" i="8"/>
  <c r="Y20" i="8"/>
  <c r="Y24" i="8" s="1"/>
  <c r="Y28" i="8" s="1"/>
  <c r="Y92" i="8" s="1"/>
  <c r="AB15" i="8"/>
  <c r="AB20" i="8"/>
  <c r="AF15" i="8"/>
  <c r="AF20" i="8"/>
  <c r="AF24" i="8" s="1"/>
  <c r="AF28" i="8" s="1"/>
  <c r="AF92" i="8" s="1"/>
  <c r="AG15" i="8"/>
  <c r="AG20" i="8"/>
  <c r="X15" i="8"/>
  <c r="X20" i="8"/>
  <c r="X24" i="8" s="1"/>
  <c r="X28" i="8" s="1"/>
  <c r="X92" i="8" s="1"/>
  <c r="Z20" i="10"/>
  <c r="AG82" i="8"/>
  <c r="AA69" i="9"/>
  <c r="AA9" i="9"/>
  <c r="AC9" i="9" s="1"/>
  <c r="AA8" i="9"/>
  <c r="AC8" i="9" s="1"/>
  <c r="AA7" i="9"/>
  <c r="AC7" i="9" s="1"/>
  <c r="AO66" i="8"/>
  <c r="AT17" i="8"/>
  <c r="AT111" i="8"/>
  <c r="AA48" i="9"/>
  <c r="AR56" i="8"/>
  <c r="AR75" i="8"/>
  <c r="AR82" i="8" s="1"/>
  <c r="AT66" i="8"/>
  <c r="AR11" i="8"/>
  <c r="AT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X82" i="8"/>
  <c r="X84" i="8" s="1"/>
  <c r="AA88" i="9"/>
  <c r="AA97" i="9" s="1"/>
  <c r="T87" i="9"/>
  <c r="T88" i="9" s="1"/>
  <c r="T97" i="9" s="1"/>
  <c r="AA19" i="9"/>
  <c r="AG56" i="8"/>
  <c r="AA68" i="9"/>
  <c r="AA38" i="9"/>
  <c r="Y82" i="8"/>
  <c r="Y84" i="8" s="1"/>
  <c r="AG114" i="8"/>
  <c r="W82" i="8"/>
  <c r="W84" i="8" s="1"/>
  <c r="AC114" i="8"/>
  <c r="AA44" i="9"/>
  <c r="T58" i="9"/>
  <c r="AB75" i="8"/>
  <c r="M69" i="9" s="1"/>
  <c r="V69" i="9" s="1"/>
  <c r="AA75" i="8"/>
  <c r="L69" i="9" s="1"/>
  <c r="U69" i="9" s="1"/>
  <c r="Z75" i="8"/>
  <c r="K69" i="9" s="1"/>
  <c r="T69" i="9" s="1"/>
  <c r="AC75" i="8"/>
  <c r="N69" i="9" s="1"/>
  <c r="W69" i="9" s="1"/>
  <c r="U39" i="9"/>
  <c r="X39" i="9"/>
  <c r="Y38" i="9"/>
  <c r="AA41" i="9"/>
  <c r="V39" i="9"/>
  <c r="Z38" i="9"/>
  <c r="W39" i="9"/>
  <c r="X38" i="9"/>
  <c r="T39" i="9"/>
  <c r="AP20" i="10" l="1"/>
  <c r="AR14" i="8"/>
  <c r="AR20" i="8" s="1"/>
  <c r="AG24" i="8"/>
  <c r="AG28" i="8" s="1"/>
  <c r="AG92" i="8" s="1"/>
  <c r="AB24" i="8"/>
  <c r="AB28" i="8" s="1"/>
  <c r="AB92" i="8" s="1"/>
  <c r="AA21" i="8"/>
  <c r="AG21" i="8"/>
  <c r="Z15" i="8"/>
  <c r="Z20" i="8"/>
  <c r="AB21" i="8"/>
  <c r="AC19" i="9"/>
  <c r="Y25" i="8"/>
  <c r="Y21" i="8"/>
  <c r="X21" i="8"/>
  <c r="AG84" i="8"/>
  <c r="R24" i="9"/>
  <c r="R29" i="9" s="1"/>
  <c r="R35" i="9" s="1"/>
  <c r="W21" i="8"/>
  <c r="AR84" i="8"/>
  <c r="Y40" i="9"/>
  <c r="Z40" i="9"/>
  <c r="X40" i="9"/>
  <c r="AC40" i="9"/>
  <c r="U40" i="9"/>
  <c r="V40" i="9"/>
  <c r="T40" i="9"/>
  <c r="Z39" i="9"/>
  <c r="AQ129" i="8"/>
  <c r="AA82" i="8"/>
  <c r="AA84" i="8" s="1"/>
  <c r="Y39" i="9"/>
  <c r="AB82" i="8"/>
  <c r="AB84" i="8" s="1"/>
  <c r="AO108" i="8"/>
  <c r="AQ108" i="8"/>
  <c r="AP108" i="8"/>
  <c r="AR108" i="8"/>
  <c r="Z41" i="9"/>
  <c r="AQ114" i="8"/>
  <c r="AR114" i="8"/>
  <c r="AM108" i="8"/>
  <c r="AO114" i="8"/>
  <c r="AM114" i="8"/>
  <c r="AP114" i="8"/>
  <c r="AD114" i="8"/>
  <c r="AC82" i="8"/>
  <c r="AC84" i="8" s="1"/>
  <c r="Z82" i="8"/>
  <c r="Z84" i="8" s="1"/>
  <c r="Y41" i="9"/>
  <c r="AT95" i="8"/>
  <c r="X41" i="9"/>
  <c r="AN108" i="8"/>
  <c r="AL108" i="8"/>
  <c r="AK108" i="8"/>
  <c r="V38" i="9"/>
  <c r="U38" i="9"/>
  <c r="W38" i="9"/>
  <c r="T38" i="9"/>
  <c r="W41" i="9"/>
  <c r="AC41" i="9" s="1"/>
  <c r="T41" i="9"/>
  <c r="U41" i="9"/>
  <c r="V41" i="9"/>
  <c r="AA25" i="8"/>
  <c r="AG25" i="8" l="1"/>
  <c r="AB25" i="8"/>
  <c r="X29" i="8"/>
  <c r="X35" i="8"/>
  <c r="X32" i="8"/>
  <c r="W29" i="8"/>
  <c r="W35" i="8"/>
  <c r="W32" i="8"/>
  <c r="AA29" i="8"/>
  <c r="AA32" i="8"/>
  <c r="AA35" i="8"/>
  <c r="AB29" i="8"/>
  <c r="AB35" i="8"/>
  <c r="AB32" i="8"/>
  <c r="AG29" i="8"/>
  <c r="AG35" i="8"/>
  <c r="AG32" i="8"/>
  <c r="AB101" i="8"/>
  <c r="AB122" i="8" s="1"/>
  <c r="AG101" i="8"/>
  <c r="AG122" i="8" s="1"/>
  <c r="Z24" i="8"/>
  <c r="AR24" i="8"/>
  <c r="Z21" i="8"/>
  <c r="AR15" i="8"/>
  <c r="X42" i="9"/>
  <c r="Y42" i="9"/>
  <c r="Z42" i="9"/>
  <c r="T42" i="9"/>
  <c r="AC38" i="9"/>
  <c r="W42" i="9"/>
  <c r="U42" i="9"/>
  <c r="V42" i="9"/>
  <c r="X25" i="8"/>
  <c r="R17" i="9"/>
  <c r="R25" i="9"/>
  <c r="W25" i="8"/>
  <c r="AT31" i="8"/>
  <c r="AT108" i="8"/>
  <c r="AA39" i="9"/>
  <c r="AC39" i="9" s="1"/>
  <c r="AR129" i="8"/>
  <c r="AA32" i="9"/>
  <c r="AC32" i="9" s="1"/>
  <c r="AA27" i="9"/>
  <c r="AA45" i="9"/>
  <c r="R30" i="9"/>
  <c r="AK114" i="8"/>
  <c r="Z114" i="8"/>
  <c r="AN114" i="8"/>
  <c r="AT114" i="8" s="1"/>
  <c r="AL114" i="8"/>
  <c r="Z25" i="8" l="1"/>
  <c r="Z28" i="8"/>
  <c r="Z92" i="8" s="1"/>
  <c r="AR25" i="8"/>
  <c r="AR28" i="8"/>
  <c r="AR92" i="8" s="1"/>
  <c r="Y29" i="8"/>
  <c r="Y35" i="8"/>
  <c r="Y32" i="8"/>
  <c r="W101" i="8"/>
  <c r="W122" i="8" s="1"/>
  <c r="AA101" i="8"/>
  <c r="AA122" i="8" s="1"/>
  <c r="X101" i="8"/>
  <c r="X122" i="8" s="1"/>
  <c r="AR21" i="8"/>
  <c r="AC27" i="9"/>
  <c r="AA6" i="9"/>
  <c r="AA10" i="9" s="1"/>
  <c r="AA16" i="9" s="1"/>
  <c r="AA24" i="9" s="1"/>
  <c r="AA29" i="9" s="1"/>
  <c r="AA35" i="9" s="1"/>
  <c r="AA42" i="9" s="1"/>
  <c r="V17" i="9"/>
  <c r="R36" i="9"/>
  <c r="R42" i="9"/>
  <c r="R50" i="9" s="1"/>
  <c r="AR29" i="8" l="1"/>
  <c r="AR35" i="8"/>
  <c r="AR32" i="8"/>
  <c r="Z29" i="8"/>
  <c r="Z35" i="8"/>
  <c r="Z32" i="8"/>
  <c r="Z101" i="8"/>
  <c r="Z122" i="8" s="1"/>
  <c r="Y101" i="8"/>
  <c r="Y122" i="8" s="1"/>
  <c r="U17" i="9"/>
  <c r="W25" i="9"/>
  <c r="W17" i="9"/>
  <c r="T17" i="9"/>
  <c r="V25" i="9"/>
  <c r="T25" i="9"/>
  <c r="Y11" i="9"/>
  <c r="AC6" i="9"/>
  <c r="R51" i="9"/>
  <c r="T30" i="9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L122" i="8"/>
  <c r="AM122" i="8"/>
  <c r="AK122" i="8"/>
  <c r="T96" i="9" a="1"/>
  <c r="T96" i="9" s="1"/>
  <c r="T94" i="9"/>
  <c r="T95" i="9" a="1"/>
  <c r="T95" i="9" s="1"/>
  <c r="T93" i="9"/>
  <c r="T36" i="9"/>
  <c r="T92" i="9"/>
  <c r="B89" i="8"/>
  <c r="B88" i="8"/>
  <c r="H89" i="8"/>
  <c r="G89" i="8"/>
  <c r="F89" i="8"/>
  <c r="H88" i="8"/>
  <c r="G88" i="8"/>
  <c r="F88" i="8"/>
  <c r="B39" i="8"/>
  <c r="B38" i="8"/>
  <c r="AQ39" i="8"/>
  <c r="AP39" i="8"/>
  <c r="AO39" i="8"/>
  <c r="AM39" i="8"/>
  <c r="AL39" i="8"/>
  <c r="AK39" i="8"/>
  <c r="AN39" i="8"/>
  <c r="AQ38" i="8"/>
  <c r="AP38" i="8"/>
  <c r="AO38" i="8"/>
  <c r="AN38" i="8"/>
  <c r="AM38" i="8"/>
  <c r="AL38" i="8"/>
  <c r="AK38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K88" i="8"/>
  <c r="AK89" i="8"/>
  <c r="AN88" i="8"/>
  <c r="AO88" i="8"/>
  <c r="AO89" i="8"/>
  <c r="AP89" i="8"/>
  <c r="AM88" i="8"/>
  <c r="AP88" i="8"/>
  <c r="AM89" i="8"/>
  <c r="AL89" i="8"/>
  <c r="AQ88" i="8"/>
  <c r="AN89" i="8"/>
  <c r="AL88" i="8"/>
  <c r="AQ89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AD81" i="8" l="1"/>
  <c r="O87" i="9" s="1"/>
  <c r="AF81" i="8"/>
  <c r="Q87" i="9" s="1"/>
  <c r="Z87" i="9" l="1"/>
  <c r="X87" i="9"/>
  <c r="X88" i="9" s="1"/>
  <c r="X97" i="9" s="1"/>
  <c r="AE56" i="8"/>
  <c r="AE81" i="8"/>
  <c r="P87" i="9" s="1"/>
  <c r="R11" i="9" l="1"/>
  <c r="R12" i="9"/>
  <c r="Y87" i="9"/>
  <c r="Y88" i="9" s="1"/>
  <c r="Y97" i="9" s="1"/>
  <c r="Z88" i="9"/>
  <c r="Z97" i="9" s="1"/>
  <c r="AL11" i="8" l="1"/>
  <c r="AL14" i="8" s="1"/>
  <c r="G56" i="8"/>
  <c r="F56" i="8"/>
  <c r="H56" i="8"/>
  <c r="AM11" i="8" l="1"/>
  <c r="AM47" i="8"/>
  <c r="AM56" i="8" s="1"/>
  <c r="AM81" i="8"/>
  <c r="AK47" i="8"/>
  <c r="AK56" i="8" s="1"/>
  <c r="AM66" i="8"/>
  <c r="AM75" i="8" s="1"/>
  <c r="AL66" i="8"/>
  <c r="AL75" i="8" s="1"/>
  <c r="AL47" i="8"/>
  <c r="AL56" i="8" s="1"/>
  <c r="AK81" i="8"/>
  <c r="AK11" i="8"/>
  <c r="AK14" i="8" s="1"/>
  <c r="AK66" i="8"/>
  <c r="AK75" i="8" s="1"/>
  <c r="AL81" i="8"/>
  <c r="AO81" i="8"/>
  <c r="AO56" i="8"/>
  <c r="AP81" i="8"/>
  <c r="AO11" i="8"/>
  <c r="AO75" i="8"/>
  <c r="AP75" i="8"/>
  <c r="AN11" i="8"/>
  <c r="AP11" i="8"/>
  <c r="AP56" i="8"/>
  <c r="AM20" i="10" l="1"/>
  <c r="AO14" i="8"/>
  <c r="AN20" i="10"/>
  <c r="AP14" i="8"/>
  <c r="AL20" i="10"/>
  <c r="AN14" i="8"/>
  <c r="AN20" i="8" s="1"/>
  <c r="AK20" i="10"/>
  <c r="AM14" i="8"/>
  <c r="AL15" i="8"/>
  <c r="AL20" i="8"/>
  <c r="AT11" i="8"/>
  <c r="AR20" i="10" s="1"/>
  <c r="AM82" i="8"/>
  <c r="AM84" i="8" s="1"/>
  <c r="AK82" i="8"/>
  <c r="AK84" i="8" s="1"/>
  <c r="AL82" i="8"/>
  <c r="AL84" i="8" s="1"/>
  <c r="AO82" i="8"/>
  <c r="AO84" i="8" s="1"/>
  <c r="AP82" i="8"/>
  <c r="AP84" i="8" s="1"/>
  <c r="AN24" i="8" l="1"/>
  <c r="AL24" i="8"/>
  <c r="AM15" i="8"/>
  <c r="AM20" i="8"/>
  <c r="AO15" i="8"/>
  <c r="AO20" i="8"/>
  <c r="AK15" i="8"/>
  <c r="AK20" i="8"/>
  <c r="AP15" i="8"/>
  <c r="AP20" i="8"/>
  <c r="AN15" i="8"/>
  <c r="AT15" i="8" s="1"/>
  <c r="AT14" i="8"/>
  <c r="AL21" i="8"/>
  <c r="Z17" i="9"/>
  <c r="AN25" i="8" l="1"/>
  <c r="AN28" i="8"/>
  <c r="AN92" i="8" s="1"/>
  <c r="AL25" i="8"/>
  <c r="AL28" i="8"/>
  <c r="AL92" i="8" s="1"/>
  <c r="AO24" i="8"/>
  <c r="AM24" i="8"/>
  <c r="AP24" i="8"/>
  <c r="AP28" i="8" s="1"/>
  <c r="AP92" i="8" s="1"/>
  <c r="AK24" i="8"/>
  <c r="AK21" i="8"/>
  <c r="AP21" i="8"/>
  <c r="AT20" i="8"/>
  <c r="AO21" i="8"/>
  <c r="AN21" i="8"/>
  <c r="AT21" i="8" s="1"/>
  <c r="AM21" i="8"/>
  <c r="Z94" i="9"/>
  <c r="Z25" i="9"/>
  <c r="AK25" i="8" l="1"/>
  <c r="AK28" i="8"/>
  <c r="AK92" i="8" s="1"/>
  <c r="AM25" i="8"/>
  <c r="AM28" i="8"/>
  <c r="AM92" i="8" s="1"/>
  <c r="AO25" i="8"/>
  <c r="AO28" i="8"/>
  <c r="AO92" i="8" s="1"/>
  <c r="AN29" i="8"/>
  <c r="AT29" i="8" s="1"/>
  <c r="AN35" i="8"/>
  <c r="AN32" i="8"/>
  <c r="AL29" i="8"/>
  <c r="AL32" i="8"/>
  <c r="AL35" i="8"/>
  <c r="AP29" i="8"/>
  <c r="AP35" i="8"/>
  <c r="AP32" i="8"/>
  <c r="AT28" i="8"/>
  <c r="AP25" i="8"/>
  <c r="AT25" i="8"/>
  <c r="AT24" i="8"/>
  <c r="Z30" i="9"/>
  <c r="AO29" i="8" l="1"/>
  <c r="AO35" i="8"/>
  <c r="AO32" i="8"/>
  <c r="AM29" i="8"/>
  <c r="AM32" i="8"/>
  <c r="AM35" i="8"/>
  <c r="AK29" i="8"/>
  <c r="AK35" i="8"/>
  <c r="AK32" i="8"/>
  <c r="AT35" i="8"/>
  <c r="AT32" i="8"/>
  <c r="Z96" i="9" a="1"/>
  <c r="Z96" i="9" s="1"/>
  <c r="Z36" i="9"/>
  <c r="Z95" i="9" a="1"/>
  <c r="Z95" i="9" s="1"/>
  <c r="Z92" i="9"/>
  <c r="Z93" i="9"/>
  <c r="AN75" i="8" l="1"/>
  <c r="AT75" i="8" s="1"/>
  <c r="AC11" i="8" l="1"/>
  <c r="AC14" i="8" s="1"/>
  <c r="H11" i="8"/>
  <c r="H14" i="8" s="1"/>
  <c r="G11" i="8"/>
  <c r="G14" i="8" s="1"/>
  <c r="F11" i="8"/>
  <c r="F14" i="8" s="1"/>
  <c r="H81" i="8"/>
  <c r="F87" i="9" s="1"/>
  <c r="G81" i="8"/>
  <c r="E87" i="9" s="1"/>
  <c r="F81" i="8"/>
  <c r="D87" i="9" s="1"/>
  <c r="C87" i="9"/>
  <c r="AF75" i="8"/>
  <c r="Q69" i="9" s="1"/>
  <c r="Z69" i="9" s="1"/>
  <c r="AD75" i="8"/>
  <c r="O69" i="9" s="1"/>
  <c r="X69" i="9" s="1"/>
  <c r="AQ11" i="8"/>
  <c r="P88" i="9"/>
  <c r="P97" i="9" s="1"/>
  <c r="H88" i="9"/>
  <c r="H97" i="9" s="1"/>
  <c r="AO20" i="10" l="1"/>
  <c r="AQ14" i="8"/>
  <c r="G20" i="10"/>
  <c r="H20" i="10"/>
  <c r="AC20" i="10"/>
  <c r="C69" i="9"/>
  <c r="G75" i="8"/>
  <c r="E69" i="9" s="1"/>
  <c r="F75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N81" i="8"/>
  <c r="AE75" i="8"/>
  <c r="P69" i="9" s="1"/>
  <c r="Y69" i="9" s="1"/>
  <c r="AQ75" i="8"/>
  <c r="AQ81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AC15" i="8" l="1"/>
  <c r="AC20" i="8"/>
  <c r="AC24" i="8" s="1"/>
  <c r="AC28" i="8" s="1"/>
  <c r="AC92" i="8" s="1"/>
  <c r="AQ15" i="8"/>
  <c r="AQ20" i="8"/>
  <c r="H15" i="8"/>
  <c r="H20" i="8"/>
  <c r="F15" i="8"/>
  <c r="F20" i="8"/>
  <c r="G15" i="8"/>
  <c r="G20" i="8"/>
  <c r="G24" i="8" s="1"/>
  <c r="G28" i="8" s="1"/>
  <c r="G92" i="8" s="1"/>
  <c r="AN82" i="8"/>
  <c r="AT82" i="8" s="1"/>
  <c r="AT81" i="8"/>
  <c r="F82" i="8"/>
  <c r="F84" i="8" s="1"/>
  <c r="O88" i="9"/>
  <c r="O97" i="9" s="1"/>
  <c r="AD82" i="8"/>
  <c r="AD84" i="8" s="1"/>
  <c r="AT47" i="8"/>
  <c r="AF82" i="8"/>
  <c r="AF84" i="8" s="1"/>
  <c r="G82" i="8"/>
  <c r="G84" i="8" s="1"/>
  <c r="H82" i="8"/>
  <c r="H84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Q56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AF29" i="8" l="1"/>
  <c r="AF35" i="8"/>
  <c r="AF32" i="8"/>
  <c r="F24" i="8"/>
  <c r="H24" i="8"/>
  <c r="AQ24" i="8"/>
  <c r="AC21" i="8"/>
  <c r="G21" i="8"/>
  <c r="R92" i="9"/>
  <c r="M17" i="9"/>
  <c r="M25" i="9"/>
  <c r="AF21" i="8"/>
  <c r="H21" i="8"/>
  <c r="G35" i="8"/>
  <c r="F21" i="8"/>
  <c r="AN56" i="8"/>
  <c r="AF25" i="8"/>
  <c r="AQ21" i="8"/>
  <c r="AQ82" i="8"/>
  <c r="AE82" i="8"/>
  <c r="AE84" i="8" s="1"/>
  <c r="O17" i="9"/>
  <c r="K17" i="9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AQ25" i="8" l="1"/>
  <c r="AQ28" i="8"/>
  <c r="AQ92" i="8" s="1"/>
  <c r="H28" i="8"/>
  <c r="F28" i="8"/>
  <c r="AC29" i="8"/>
  <c r="AC35" i="8"/>
  <c r="AC32" i="8"/>
  <c r="G29" i="8"/>
  <c r="G32" i="8"/>
  <c r="H25" i="8"/>
  <c r="F25" i="8"/>
  <c r="AF101" i="8"/>
  <c r="AF122" i="8" s="1"/>
  <c r="AN84" i="8"/>
  <c r="AT56" i="8"/>
  <c r="G25" i="8"/>
  <c r="AC25" i="8"/>
  <c r="AQ84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F35" i="8" l="1"/>
  <c r="F92" i="8"/>
  <c r="F101" i="8" s="1"/>
  <c r="H29" i="8"/>
  <c r="H92" i="8"/>
  <c r="H101" i="8" s="1"/>
  <c r="H122" i="8" s="1"/>
  <c r="H32" i="8"/>
  <c r="F32" i="8"/>
  <c r="F29" i="8"/>
  <c r="H35" i="8"/>
  <c r="AQ29" i="8"/>
  <c r="AQ35" i="8"/>
  <c r="AQ32" i="8"/>
  <c r="G101" i="8"/>
  <c r="G122" i="8" s="1"/>
  <c r="AC101" i="8"/>
  <c r="AC122" i="8" s="1"/>
  <c r="AN122" i="8" s="1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F122" i="8"/>
  <c r="AM101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N101" i="8" l="1"/>
  <c r="AK101" i="8"/>
  <c r="AL101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F118" i="8" l="1"/>
  <c r="F123" i="8" s="1"/>
  <c r="F125" i="8" s="1"/>
  <c r="G116" i="8" l="1"/>
  <c r="G118" i="8" l="1"/>
  <c r="G123" i="8" l="1"/>
  <c r="G125" i="8" s="1"/>
  <c r="H116" i="8" l="1"/>
  <c r="H118" i="8" s="1"/>
  <c r="H123" i="8" s="1"/>
  <c r="I116" i="8" s="1"/>
  <c r="I118" i="8" s="1"/>
  <c r="I123" i="8" s="1"/>
  <c r="I125" i="8" s="1"/>
  <c r="W118" i="8"/>
  <c r="W123" i="8" s="1"/>
  <c r="H125" i="8" l="1"/>
  <c r="W125" i="8"/>
  <c r="X116" i="8"/>
  <c r="X118" i="8" s="1"/>
  <c r="X123" i="8" s="1"/>
  <c r="AL116" i="8"/>
  <c r="X125" i="8" l="1"/>
  <c r="Y116" i="8"/>
  <c r="Y118" i="8" s="1"/>
  <c r="Y123" i="8" s="1"/>
  <c r="Y125" i="8" s="1"/>
  <c r="AM116" i="8"/>
  <c r="AN116" i="8" l="1"/>
  <c r="Z116" i="8"/>
  <c r="Z118" i="8" s="1"/>
  <c r="Z123" i="8" s="1"/>
  <c r="Z125" i="8" s="1"/>
  <c r="AO116" i="8" l="1"/>
  <c r="AA116" i="8"/>
  <c r="AA118" i="8" s="1"/>
  <c r="AA123" i="8" s="1"/>
  <c r="AA125" i="8" s="1"/>
  <c r="AP116" i="8" l="1"/>
  <c r="AL118" i="8"/>
  <c r="AL123" i="8" s="1"/>
  <c r="AL125" i="8" s="1"/>
  <c r="AB116" i="8"/>
  <c r="AB118" i="8" s="1"/>
  <c r="AB123" i="8" s="1"/>
  <c r="AB125" i="8" s="1"/>
  <c r="AQ116" i="8" l="1"/>
  <c r="AM118" i="8"/>
  <c r="AM123" i="8" s="1"/>
  <c r="AM125" i="8" s="1"/>
  <c r="AC116" i="8"/>
  <c r="AC118" i="8" s="1"/>
  <c r="AC123" i="8" s="1"/>
  <c r="AC125" i="8" s="1"/>
  <c r="AR116" i="8" l="1"/>
  <c r="AN118" i="8"/>
  <c r="AN123" i="8" s="1"/>
  <c r="AN125" i="8" s="1"/>
  <c r="AD116" i="8"/>
  <c r="AD118" i="8" s="1"/>
  <c r="AE11" i="8" l="1"/>
  <c r="AE14" i="8" s="1"/>
  <c r="AE20" i="10" l="1"/>
  <c r="AE15" i="8" l="1"/>
  <c r="AE20" i="8"/>
  <c r="AE24" i="8" l="1"/>
  <c r="AE28" i="8" s="1"/>
  <c r="AE92" i="8" s="1"/>
  <c r="AE21" i="8"/>
  <c r="AE29" i="8" l="1"/>
  <c r="AE35" i="8"/>
  <c r="AE32" i="8"/>
  <c r="AE25" i="8"/>
  <c r="AE101" i="8" l="1"/>
  <c r="AE122" i="8" s="1"/>
  <c r="AD11" i="8"/>
  <c r="AD14" i="8" s="1"/>
  <c r="AD20" i="10" l="1"/>
  <c r="AD15" i="8" l="1"/>
  <c r="AD20" i="8"/>
  <c r="AD24" i="8" l="1"/>
  <c r="AD28" i="8" s="1"/>
  <c r="AD92" i="8" s="1"/>
  <c r="AD21" i="8"/>
  <c r="AD29" i="8" l="1"/>
  <c r="AD35" i="8"/>
  <c r="AD32" i="8"/>
  <c r="AD25" i="8"/>
  <c r="AR101" i="8" l="1"/>
  <c r="AT101" i="8" s="1"/>
  <c r="AT92" i="8"/>
  <c r="AO101" i="8"/>
  <c r="AP101" i="8"/>
  <c r="AD101" i="8"/>
  <c r="AD122" i="8" s="1"/>
  <c r="AD123" i="8" l="1"/>
  <c r="AD125" i="8" s="1"/>
  <c r="AR122" i="8"/>
  <c r="AQ122" i="8"/>
  <c r="AP122" i="8"/>
  <c r="AO122" i="8"/>
  <c r="AO118" i="8"/>
  <c r="AQ101" i="8"/>
  <c r="AE116" i="8" l="1"/>
  <c r="AE118" i="8" s="1"/>
  <c r="AE123" i="8" s="1"/>
  <c r="AE125" i="8" s="1"/>
  <c r="AO123" i="8"/>
  <c r="AO125" i="8" s="1"/>
  <c r="AP118" i="8"/>
  <c r="AP123" i="8" s="1"/>
  <c r="AP125" i="8" s="1"/>
  <c r="AF116" i="8" l="1"/>
  <c r="AF118" i="8" s="1"/>
  <c r="AF123" i="8" s="1"/>
  <c r="AF125" i="8" s="1"/>
  <c r="AQ118" i="8"/>
  <c r="AQ123" i="8" s="1"/>
  <c r="AQ125" i="8" s="1"/>
  <c r="AK118" i="8"/>
  <c r="AK123" i="8" s="1"/>
  <c r="AK125" i="8" s="1"/>
  <c r="AG116" i="8" l="1"/>
  <c r="AG118" i="8" s="1"/>
  <c r="AG123" i="8" s="1"/>
  <c r="AH116" i="8" s="1"/>
  <c r="AH118" i="8" s="1"/>
  <c r="AH123" i="8" s="1"/>
  <c r="AR118" i="8"/>
  <c r="AR123" i="8" s="1"/>
  <c r="AR125" i="8" s="1"/>
  <c r="AI116" i="8" l="1"/>
  <c r="AI118" i="8" s="1"/>
  <c r="AI123" i="8" s="1"/>
  <c r="AI125" i="8" s="1"/>
  <c r="AH125" i="8"/>
  <c r="AG125" i="8"/>
  <c r="C88" i="9"/>
  <c r="C97" i="9" s="1"/>
  <c r="C92" i="9"/>
  <c r="C93" i="9"/>
  <c r="F19" i="10" l="1"/>
  <c r="F27" i="10" l="1"/>
  <c r="F26" i="10"/>
  <c r="F25" i="10"/>
  <c r="F31" i="10"/>
  <c r="F30" i="10"/>
  <c r="F29" i="10"/>
  <c r="F28" i="10"/>
  <c r="F24" i="10"/>
  <c r="F23" i="10"/>
  <c r="F39" i="10"/>
  <c r="F38" i="10"/>
  <c r="F49" i="10"/>
  <c r="F48" i="10"/>
  <c r="F20" i="10"/>
  <c r="F2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<sst xmlns="http://schemas.openxmlformats.org/spreadsheetml/2006/main" count="262" uniqueCount="217">
  <si>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</si>
  <si>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</si>
  <si>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</si>
  <si>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</si>
  <si>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</si>
  <si>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</si>
  <si>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</si>
  <si>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</si>
  <si>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</si>
  <si>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</si>
  <si>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</si>
  <si>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</si>
  <si>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</si>
  <si>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</si>
  <si>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</si>
  <si>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</si>
  <si>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</si>
  <si>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</si>
  <si>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</si>
  <si>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</si>
  <si>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</si>
  <si>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</si>
  <si>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</si>
  <si>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</si>
  <si>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</si>
  <si>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</si>
  <si>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</si>
  <si>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</si>
  <si>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</si>
  <si>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</si>
  <si>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</si>
  <si>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</si>
  <si>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</si>
  <si>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</si>
  <si>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</si>
  <si>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</si>
  <si>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</si>
  <si>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</si>
  <si>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</si>
  <si>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</si>
  <si>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</si>
  <si>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</si>
  <si>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</si>
  <si>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</si>
  <si>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</si>
  <si>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</si>
  <si>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</si>
  <si>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</si>
  <si>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</si>
  <si>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</si>
  <si>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</si>
  <si>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</si>
  <si>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</si>
  <si>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</si>
  <si>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</si>
  <si>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</si>
  <si>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</si>
  <si>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</si>
  <si>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</si>
  <si>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</si>
  <si>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</si>
  <si>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</si>
  <si>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</si>
  <si>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</si>
  <si>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</si>
  <si>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</si>
  <si>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</si>
  <si>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</si>
  <si>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</si>
  <si>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</si>
  <si>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</si>
  <si>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</si>
  <si>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</si>
  <si>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</si>
  <si>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</si>
  <si>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</si>
  <si>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</si>
  <si>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</si>
  <si>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</si>
  <si>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</si>
  <si>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</si>
  <si>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</si>
  <si>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</si>
  <si>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</si>
  <si>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</si>
  <si>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</si>
  <si>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</si>
  <si>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</si>
  <si>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</si>
  <si>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</si>
  <si>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</si>
  <si>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</si>
  <si>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</si>
  <si>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</si>
  <si>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</si>
  <si>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</si>
  <si>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</si>
  <si>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</si>
  <si>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</si>
  <si>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</si>
  <si>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</si>
  <si>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</si>
  <si>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</si>
  <si>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</si>
  <si>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</si>
  <si>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</si>
  <si>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</si>
  <si>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</si>
  <si>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</si>
  <si>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</si>
  <si>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</si>
  <si>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</si>
  <si>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</si>
  <si>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</si>
  <si>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</si>
  <si>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</si>
  <si>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</si>
  <si>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</si>
  <si>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</si>
  <si>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</si>
  <si>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</si>
  <si>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</si>
  <si>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</si>
  <si>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</si>
  <si>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</si>
  <si>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</si>
  <si>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</si>
  <si>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</si>
  <si>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</si>
  <si>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</si>
  <si>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</si>
  <si>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</si>
  <si>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</si>
  <si>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</si>
  <si>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</si>
  <si>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</si>
  <si>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</si>
  <si>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</si>
  <si>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</si>
  <si>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</si>
  <si>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</si>
  <si>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</si>
  <si>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</si>
  <si>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</si>
  <si>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</si>
  <si>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</si>
  <si>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</si>
  <si>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</si>
  <si>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</si>
  <si>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</si>
  <si>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</si>
  <si>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LT Debt</t>
  </si>
  <si>
    <t>Other LT Liabilities</t>
  </si>
  <si>
    <t>4Q25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</si>
  <si>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</si>
  <si>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</si>
  <si>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</si>
  <si>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</si>
  <si>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</si>
  <si>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</si>
  <si>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</si>
  <si>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</si>
  <si>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ST Investments</t>
  </si>
  <si>
    <t>LT Investments</t>
  </si>
  <si>
    <t>Intangibles</t>
  </si>
  <si>
    <t>Other</t>
  </si>
  <si>
    <t>4Q22</t>
  </si>
  <si>
    <t>1Q22</t>
  </si>
  <si>
    <t>2Q22</t>
  </si>
  <si>
    <t>3Q22</t>
  </si>
  <si>
    <t>R&amp;D</t>
  </si>
  <si>
    <t>Other Expenses</t>
  </si>
  <si>
    <t xml:space="preserve">Cash &amp; CEs </t>
  </si>
  <si>
    <t>A/R</t>
  </si>
  <si>
    <t>Other LT Assets</t>
  </si>
  <si>
    <t>A/P</t>
  </si>
  <si>
    <t>4Q21</t>
  </si>
  <si>
    <t>3Q21</t>
  </si>
  <si>
    <t>2Q21</t>
  </si>
  <si>
    <t>1Q21</t>
  </si>
  <si>
    <t>Sales and Marketing</t>
  </si>
  <si>
    <t>General and Administrative</t>
  </si>
  <si>
    <t>LT Operating Lease</t>
  </si>
  <si>
    <t>LT Income Taxes</t>
  </si>
  <si>
    <t>Current Portion of LT Debt</t>
  </si>
  <si>
    <t>Total Revenues</t>
  </si>
  <si>
    <t>Revenue by Geo</t>
  </si>
  <si>
    <t>Other Current Assets</t>
  </si>
  <si>
    <t>Other Current Liabilities</t>
  </si>
  <si>
    <t>4Q20</t>
  </si>
  <si>
    <t>3Q20</t>
  </si>
  <si>
    <t>2Q20</t>
  </si>
  <si>
    <t>1Q20</t>
  </si>
  <si>
    <t>Americas Revenues</t>
  </si>
  <si>
    <t>Ex Americas Revenues</t>
  </si>
  <si>
    <t>Subscription and Support Revenues</t>
  </si>
  <si>
    <t>Professional Services Revenues</t>
  </si>
  <si>
    <t>1Q26</t>
  </si>
  <si>
    <t>Cost of Goods Sold</t>
  </si>
  <si>
    <t xml:space="preserve">Income tax provision </t>
  </si>
  <si>
    <t>ST Debt</t>
  </si>
  <si>
    <t>Accrued Compensation</t>
  </si>
  <si>
    <t>ST Tax Liabilities</t>
  </si>
  <si>
    <t>ST Unearned Revenues</t>
  </si>
  <si>
    <t>LT Unearned Revenues</t>
  </si>
  <si>
    <t>Deffered Income Taxes</t>
  </si>
  <si>
    <t>Operating Lease Liabilities</t>
  </si>
  <si>
    <t>Server Products &amp; Cloud Services</t>
  </si>
  <si>
    <t>MS 365 Commercial Products &amp; Cloud Services</t>
  </si>
  <si>
    <t>Gaming</t>
  </si>
  <si>
    <t>LinkedIn</t>
  </si>
  <si>
    <t>Windows &amp; Devices</t>
  </si>
  <si>
    <t>Search &amp; Ads</t>
  </si>
  <si>
    <t xml:space="preserve">Enterprise Partner Consulting </t>
  </si>
  <si>
    <t>Dynamic Products &amp; Cloud Services</t>
  </si>
  <si>
    <t>MS 365 Consumer Products &amp; Cloud Services</t>
  </si>
  <si>
    <t>Microsoft Corp. (NASDAQ: MSFT)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</si>
</sst>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2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5" fontId="6" fillId="0" borderId="0" xfId="0" applyNumberFormat="1" applyFont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T146"/>
  <sheetViews>
    <sheetView showGridLines="0" tabSelected="1" zoomScale="130" zoomScaleNormal="13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9" width="9" style="5" bestFit="1" customWidth="1"/>
    <col min="10" max="10" width="1.5" style="5" customWidth="1"/>
    <col min="11" max="26" width="8.875" style="5" customWidth="1" outlineLevel="2"/>
    <col min="27" max="28" width="8.875" style="5" customWidth="1" outlineLevel="1"/>
    <col min="29" max="35" width="8.875" style="5" bestFit="1" customWidth="1"/>
    <col min="36" max="36" width="1.5" style="5" customWidth="1"/>
    <col min="37" max="39" width="8.75" style="5" customWidth="1" outlineLevel="1"/>
    <col min="40" max="40" width="9" style="5" bestFit="1" customWidth="1"/>
    <col min="41" max="43" width="9" style="5" customWidth="1" outlineLevel="1"/>
    <col min="44" max="44" width="9" style="5" bestFit="1" customWidth="1"/>
    <col min="45" max="45" width="1.25" style="5" customWidth="1"/>
    <col min="46" max="46" width="8" style="5" bestFit="1" customWidth="1"/>
    <col min="47" max="47" width="1.375" style="5" customWidth="1"/>
    <col min="48" max="16384" width="9" style="5"/>
  </cols>
  <sheetData>
    <row r="2" spans="1:46" ht="12.75" customHeight="1">
      <c r="B2" s="1" t="s">
        <v>216</v>
      </c>
      <c r="C2" s="101"/>
      <c r="D2" s="101"/>
      <c r="E2" s="101"/>
      <c r="F2" s="101"/>
      <c r="G2" s="101"/>
      <c r="H2" s="101"/>
      <c r="I2" s="101"/>
      <c r="J2" s="3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3"/>
      <c r="AK2" s="101"/>
      <c r="AL2" s="101"/>
      <c r="AM2" s="101"/>
      <c r="AN2" s="101"/>
      <c r="AO2" s="101"/>
      <c r="AP2" s="101"/>
      <c r="AQ2" s="101"/>
      <c r="AR2" s="101"/>
      <c r="AS2" s="3"/>
      <c r="AT2" s="1"/>
    </row>
    <row r="3" spans="1:46" ht="12.75" customHeight="1">
      <c r="B3" s="6" t="s">
        <v>74</v>
      </c>
      <c r="C3" s="7"/>
      <c r="D3" s="7"/>
      <c r="E3" s="7"/>
      <c r="F3" s="7"/>
      <c r="G3" s="7"/>
      <c r="H3" s="7"/>
      <c r="I3" s="7"/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3"/>
      <c r="AK3" s="4"/>
      <c r="AL3" s="4"/>
      <c r="AM3" s="4"/>
      <c r="AN3" s="4"/>
      <c r="AO3" s="4"/>
      <c r="AP3" s="4"/>
      <c r="AQ3" s="4"/>
      <c r="AR3" s="4"/>
      <c r="AS3" s="3"/>
      <c r="AT3" s="1"/>
    </row>
    <row r="4" spans="1:46" ht="12.75" customHeight="1">
      <c r="B4" s="6" t="s">
        <v>71</v>
      </c>
      <c r="C4" s="3"/>
      <c r="D4" s="3"/>
      <c r="E4" s="3"/>
      <c r="F4" s="3"/>
      <c r="G4" s="85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1"/>
    </row>
    <row r="6" spans="1:46" ht="12.75" customHeight="1">
      <c r="A6" s="5" t="s">
        <v>16</v>
      </c>
      <c r="B6" s="1" t="s">
        <v>72</v>
      </c>
      <c r="C6" s="2"/>
      <c r="D6" s="2"/>
      <c r="E6" s="2"/>
      <c r="F6" s="2"/>
      <c r="G6" s="2"/>
      <c r="H6" s="2"/>
      <c r="I6" s="2"/>
      <c r="J6" s="3"/>
      <c r="K6" s="2"/>
      <c r="L6" s="2"/>
      <c r="M6" s="2"/>
      <c r="N6" s="2"/>
      <c r="O6" s="2"/>
      <c r="P6" s="2"/>
      <c r="Q6" s="2" t="s">
        <v>1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 t="s">
        <v>1</v>
      </c>
      <c r="AD6" s="2"/>
      <c r="AE6" s="2"/>
      <c r="AF6" s="2"/>
      <c r="AG6" s="2"/>
      <c r="AH6" s="2"/>
      <c r="AI6" s="2"/>
      <c r="AJ6" s="3"/>
      <c r="AK6" s="2"/>
      <c r="AL6" s="2"/>
      <c r="AM6" s="2" t="s">
        <v>10</v>
      </c>
      <c r="AN6" s="2" t="s">
        <v>10</v>
      </c>
      <c r="AO6" s="2"/>
      <c r="AP6" s="2"/>
      <c r="AQ6" s="2"/>
      <c r="AR6" s="2"/>
      <c r="AS6" s="38"/>
      <c r="AT6" s="162" t="s">
        <v>22</v>
      </c>
    </row>
    <row r="7" spans="1:46" ht="12.75" customHeight="1">
      <c r="B7" s="6" t="s">
        <v>75</v>
      </c>
      <c r="C7" s="7">
        <v>2019</v>
      </c>
      <c r="D7" s="7">
        <v>2020</v>
      </c>
      <c r="E7" s="7">
        <v>2021</v>
      </c>
      <c r="F7" s="7">
        <v>2022</v>
      </c>
      <c r="G7" s="7">
        <v>2023</v>
      </c>
      <c r="H7" s="7">
        <v>2024</v>
      </c>
      <c r="I7" s="7">
        <v>2025</v>
      </c>
      <c r="J7" s="3"/>
      <c r="K7" s="4" t="s">
        <v>192</v>
      </c>
      <c r="L7" s="4" t="s">
        <v>191</v>
      </c>
      <c r="M7" s="4" t="s">
        <v>190</v>
      </c>
      <c r="N7" s="4" t="s">
        <v>189</v>
      </c>
      <c r="O7" s="4" t="s">
        <v>179</v>
      </c>
      <c r="P7" s="4" t="s">
        <v>178</v>
      </c>
      <c r="Q7" s="4" t="s">
        <v>177</v>
      </c>
      <c r="R7" s="4" t="s">
        <v>176</v>
      </c>
      <c r="S7" s="4" t="s">
        <v>167</v>
      </c>
      <c r="T7" s="4" t="s">
        <v>168</v>
      </c>
      <c r="U7" s="4" t="s">
        <v>169</v>
      </c>
      <c r="V7" s="4" t="s">
        <v>166</v>
      </c>
      <c r="W7" s="4" t="s">
        <v>6</v>
      </c>
      <c r="X7" s="4" t="s">
        <v>7</v>
      </c>
      <c r="Y7" s="4" t="s">
        <v>8</v>
      </c>
      <c r="Z7" s="4" t="s">
        <v>9</v>
      </c>
      <c r="AA7" s="4" t="s">
        <v>2</v>
      </c>
      <c r="AB7" s="4" t="s">
        <v>3</v>
      </c>
      <c r="AC7" s="4" t="s">
        <v>4</v>
      </c>
      <c r="AD7" s="4" t="s">
        <v>5</v>
      </c>
      <c r="AE7" s="4" t="s">
        <v>24</v>
      </c>
      <c r="AF7" s="4" t="s">
        <v>25</v>
      </c>
      <c r="AG7" s="4" t="s">
        <v>61</v>
      </c>
      <c r="AH7" s="4" t="s">
        <v>153</v>
      </c>
      <c r="AI7" s="4" t="s">
        <v>197</v>
      </c>
      <c r="AJ7" s="3"/>
      <c r="AK7" s="4" t="str">
        <f>Z7</f>
        <v>4Q23</v>
      </c>
      <c r="AL7" s="4" t="str">
        <f>AA7</f>
        <v>1Q24</v>
      </c>
      <c r="AM7" s="4" t="str">
        <f>AB7</f>
        <v>2Q24</v>
      </c>
      <c r="AN7" s="4" t="str">
        <f>AC7</f>
        <v>3Q24</v>
      </c>
      <c r="AO7" s="4" t="str">
        <f>AD7</f>
        <v>4Q24</v>
      </c>
      <c r="AP7" s="4" t="str">
        <f>AE7</f>
        <v>1Q25</v>
      </c>
      <c r="AQ7" s="4" t="str">
        <f>AF7</f>
        <v>2Q25</v>
      </c>
      <c r="AR7" s="4" t="str">
        <f>AG7</f>
        <v>3Q25</v>
      </c>
      <c r="AS7" s="38"/>
      <c r="AT7" s="162"/>
    </row>
    <row r="8" spans="1:46" ht="12.75" customHeight="1">
      <c r="B8" s="6" t="s">
        <v>76</v>
      </c>
      <c r="C8" s="3"/>
      <c r="D8" s="3"/>
      <c r="E8" s="3"/>
      <c r="F8" s="3"/>
      <c r="G8" s="85"/>
      <c r="H8" s="85"/>
      <c r="I8" s="85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>
        <f>G8</f>
        <v>0</v>
      </c>
      <c r="AA8" s="3"/>
      <c r="AB8" s="3"/>
      <c r="AC8" s="3"/>
      <c r="AD8" s="3">
        <f>H8</f>
        <v>0</v>
      </c>
      <c r="AE8" s="3"/>
      <c r="AF8" s="3"/>
      <c r="AG8" s="3"/>
      <c r="AH8" s="3"/>
      <c r="AI8" s="3"/>
      <c r="AJ8" s="3"/>
      <c r="AK8" s="3">
        <f>Z8</f>
        <v>0</v>
      </c>
      <c r="AL8" s="3">
        <f>AA8</f>
        <v>0</v>
      </c>
      <c r="AM8" s="3">
        <f>AB8</f>
        <v>0</v>
      </c>
      <c r="AN8" s="3">
        <f>AC8</f>
        <v>0</v>
      </c>
      <c r="AO8" s="3">
        <f>AD8</f>
        <v>0</v>
      </c>
      <c r="AP8" s="3">
        <f>AE8</f>
        <v>0</v>
      </c>
      <c r="AQ8" s="3">
        <f>AF8</f>
        <v>0</v>
      </c>
      <c r="AR8" s="3">
        <f>AG8</f>
        <v>0</v>
      </c>
      <c r="AS8" s="38"/>
      <c r="AT8" s="162"/>
    </row>
    <row r="9" spans="1:46" ht="5.0999999999999996" customHeight="1">
      <c r="AT9" s="100"/>
    </row>
    <row r="10" spans="1:46" ht="12.75" customHeight="1">
      <c r="B10" s="9" t="s">
        <v>56</v>
      </c>
      <c r="C10" s="95">
        <v>125843</v>
      </c>
      <c r="D10" s="95">
        <v>143015</v>
      </c>
      <c r="E10" s="95">
        <v>168088</v>
      </c>
      <c r="F10" s="95">
        <v>198270</v>
      </c>
      <c r="G10" s="95">
        <v>211915</v>
      </c>
      <c r="H10" s="95">
        <v>245122</v>
      </c>
      <c r="I10" s="95">
        <v>281724</v>
      </c>
      <c r="J10" s="11"/>
      <c r="K10" s="95">
        <v>33055</v>
      </c>
      <c r="L10" s="95">
        <v>36906</v>
      </c>
      <c r="M10" s="95">
        <v>35021</v>
      </c>
      <c r="N10" s="95">
        <v>38033</v>
      </c>
      <c r="O10" s="95">
        <v>37154</v>
      </c>
      <c r="P10" s="95">
        <v>43076</v>
      </c>
      <c r="Q10" s="95">
        <v>41706</v>
      </c>
      <c r="R10" s="24">
        <v>46152</v>
      </c>
      <c r="S10" s="95">
        <v>45317</v>
      </c>
      <c r="T10" s="95">
        <v>51728</v>
      </c>
      <c r="U10" s="95">
        <v>49360</v>
      </c>
      <c r="V10" s="24">
        <v>51865</v>
      </c>
      <c r="W10" s="95">
        <v>50122</v>
      </c>
      <c r="X10" s="95">
        <v>52747</v>
      </c>
      <c r="Y10" s="95">
        <v>52857</v>
      </c>
      <c r="Z10" s="32">
        <v>56189</v>
      </c>
      <c r="AA10" s="95">
        <v>56517</v>
      </c>
      <c r="AB10" s="95">
        <v>62020</v>
      </c>
      <c r="AC10" s="95">
        <v>61858</v>
      </c>
      <c r="AD10" s="32">
        <v>64727</v>
      </c>
      <c r="AE10" s="82">
        <v>65585</v>
      </c>
      <c r="AF10" s="82">
        <v>69632</v>
      </c>
      <c r="AG10" s="81">
        <v>70066</v>
      </c>
      <c r="AH10" s="81">
        <v>76441</v>
      </c>
      <c r="AI10" s="81">
        <v>77673</v>
      </c>
      <c r="AK10" s="32">
        <f>SUM(W10:Z10)</f>
        <v>211915</v>
      </c>
      <c r="AL10" s="32">
        <f>SUM(X10:AA10)</f>
        <v>218310</v>
      </c>
      <c r="AM10" s="32">
        <f>SUM(Y10:AB10)</f>
        <v>227583</v>
      </c>
      <c r="AN10" s="32">
        <f>SUM(Z10:AC10)</f>
        <v>236584</v>
      </c>
      <c r="AO10" s="32">
        <f>SUM(AA10:AD10)</f>
        <v>245122</v>
      </c>
      <c r="AP10" s="32">
        <f>SUM(AB10:AE10)</f>
        <v>254190</v>
      </c>
      <c r="AQ10" s="32">
        <f>SUM(AC10:AF10)</f>
        <v>261802</v>
      </c>
      <c r="AR10" s="32">
        <f>SUM(AD10:AG10)</f>
        <v>270010</v>
      </c>
      <c r="AS10" s="40"/>
      <c r="AT10" s="12">
        <f>SUM(AR10/AN10)-1</f>
        <v>0.14128597031075651</v>
      </c>
    </row>
    <row r="11" spans="1:46" ht="12.75" customHeight="1">
      <c r="B11" s="13" t="s">
        <v>12</v>
      </c>
      <c r="C11" s="14">
        <f t="shared" ref="C11" si="0">+SUM(C10:C10)</f>
        <v>125843</v>
      </c>
      <c r="D11" s="14">
        <f t="shared" ref="D11:E11" si="1">+SUM(D10:D10)</f>
        <v>143015</v>
      </c>
      <c r="E11" s="14">
        <f t="shared" si="1"/>
        <v>168088</v>
      </c>
      <c r="F11" s="14">
        <f t="shared" ref="F11:H11" si="2">+SUM(F10:F10)</f>
        <v>198270</v>
      </c>
      <c r="G11" s="14">
        <f t="shared" si="2"/>
        <v>211915</v>
      </c>
      <c r="H11" s="14">
        <f t="shared" si="2"/>
        <v>245122</v>
      </c>
      <c r="I11" s="14">
        <f t="shared" ref="I11" si="3">+SUM(I10:I10)</f>
        <v>281724</v>
      </c>
      <c r="J11" s="11"/>
      <c r="K11" s="14">
        <f t="shared" ref="K11:M11" si="4">+SUM(K10:K10)</f>
        <v>33055</v>
      </c>
      <c r="L11" s="14">
        <f t="shared" si="4"/>
        <v>36906</v>
      </c>
      <c r="M11" s="14">
        <f t="shared" si="4"/>
        <v>35021</v>
      </c>
      <c r="N11" s="14">
        <f t="shared" ref="N11" si="5">+SUM(N10:N10)</f>
        <v>38033</v>
      </c>
      <c r="O11" s="14">
        <f t="shared" ref="O11:U11" si="6">+SUM(O10:O10)</f>
        <v>37154</v>
      </c>
      <c r="P11" s="14">
        <f t="shared" ref="P11:R11" si="7">+SUM(P10:P10)</f>
        <v>43076</v>
      </c>
      <c r="Q11" s="14">
        <f t="shared" si="7"/>
        <v>41706</v>
      </c>
      <c r="R11" s="14">
        <f t="shared" si="7"/>
        <v>46152</v>
      </c>
      <c r="S11" s="14">
        <f t="shared" si="6"/>
        <v>45317</v>
      </c>
      <c r="T11" s="14">
        <f t="shared" si="6"/>
        <v>51728</v>
      </c>
      <c r="U11" s="14">
        <f t="shared" si="6"/>
        <v>49360</v>
      </c>
      <c r="V11" s="14">
        <f t="shared" ref="V11" si="8">+SUM(V10:V10)</f>
        <v>51865</v>
      </c>
      <c r="W11" s="14">
        <f t="shared" ref="W11:AF11" si="9">+SUM(W10:W10)</f>
        <v>50122</v>
      </c>
      <c r="X11" s="14">
        <f t="shared" si="9"/>
        <v>52747</v>
      </c>
      <c r="Y11" s="14">
        <f t="shared" si="9"/>
        <v>52857</v>
      </c>
      <c r="Z11" s="14">
        <f t="shared" si="9"/>
        <v>56189</v>
      </c>
      <c r="AA11" s="14">
        <f t="shared" si="9"/>
        <v>56517</v>
      </c>
      <c r="AB11" s="14">
        <f t="shared" si="9"/>
        <v>62020</v>
      </c>
      <c r="AC11" s="14">
        <f t="shared" si="9"/>
        <v>61858</v>
      </c>
      <c r="AD11" s="14">
        <f t="shared" si="9"/>
        <v>64727</v>
      </c>
      <c r="AE11" s="14">
        <f t="shared" si="9"/>
        <v>65585</v>
      </c>
      <c r="AF11" s="14">
        <f t="shared" si="9"/>
        <v>69632</v>
      </c>
      <c r="AG11" s="14">
        <f>+SUM(AG10:AG10)</f>
        <v>70066</v>
      </c>
      <c r="AH11" s="14">
        <f t="shared" ref="AH11:AI11" si="10">+SUM(AH10:AH10)</f>
        <v>76441</v>
      </c>
      <c r="AI11" s="14">
        <f t="shared" si="10"/>
        <v>77673</v>
      </c>
      <c r="AK11" s="14">
        <f t="shared" ref="AK11:AQ11" si="11">+SUM(AK10:AK10)</f>
        <v>211915</v>
      </c>
      <c r="AL11" s="14">
        <f t="shared" si="11"/>
        <v>218310</v>
      </c>
      <c r="AM11" s="14">
        <f t="shared" si="11"/>
        <v>227583</v>
      </c>
      <c r="AN11" s="14">
        <f t="shared" si="11"/>
        <v>236584</v>
      </c>
      <c r="AO11" s="14">
        <f t="shared" si="11"/>
        <v>245122</v>
      </c>
      <c r="AP11" s="14">
        <f t="shared" si="11"/>
        <v>254190</v>
      </c>
      <c r="AQ11" s="14">
        <f t="shared" si="11"/>
        <v>261802</v>
      </c>
      <c r="AR11" s="14">
        <f>+SUM(AR10:AR10)</f>
        <v>270010</v>
      </c>
      <c r="AS11" s="40"/>
      <c r="AT11" s="15">
        <f>SUM(AR11/AN11)-1</f>
        <v>0.14128597031075651</v>
      </c>
    </row>
    <row r="12" spans="1:46" s="20" customFormat="1" ht="5.0999999999999996" customHeight="1">
      <c r="B12" s="18"/>
      <c r="C12" s="19"/>
      <c r="D12" s="19"/>
      <c r="E12" s="19"/>
      <c r="F12" s="19"/>
      <c r="G12" s="19"/>
      <c r="H12" s="19"/>
      <c r="I12" s="19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2"/>
      <c r="AF12" s="21"/>
      <c r="AG12" s="21"/>
      <c r="AH12" s="21"/>
      <c r="AI12" s="21"/>
      <c r="AT12" s="75"/>
    </row>
    <row r="13" spans="1:46" s="20" customFormat="1">
      <c r="B13" s="9" t="s">
        <v>198</v>
      </c>
      <c r="C13" s="82">
        <v>-42910</v>
      </c>
      <c r="D13" s="82">
        <v>-46078</v>
      </c>
      <c r="E13" s="82">
        <v>-52232</v>
      </c>
      <c r="F13" s="82">
        <v>-62650</v>
      </c>
      <c r="G13" s="82">
        <v>-65863</v>
      </c>
      <c r="H13" s="82">
        <v>-74114</v>
      </c>
      <c r="I13" s="82">
        <v>-87831</v>
      </c>
      <c r="J13" s="32"/>
      <c r="K13" s="82">
        <v>-10406</v>
      </c>
      <c r="L13" s="82">
        <v>-12358</v>
      </c>
      <c r="M13" s="82">
        <v>-10975</v>
      </c>
      <c r="N13" s="82">
        <v>-12339</v>
      </c>
      <c r="O13" s="82">
        <v>-11002</v>
      </c>
      <c r="P13" s="82">
        <v>-14194</v>
      </c>
      <c r="Q13" s="82">
        <v>-13045</v>
      </c>
      <c r="R13" s="82">
        <v>-13991</v>
      </c>
      <c r="S13" s="82">
        <v>-13646</v>
      </c>
      <c r="T13" s="82">
        <v>-16960</v>
      </c>
      <c r="U13" s="82">
        <v>-15615</v>
      </c>
      <c r="V13" s="82">
        <v>-16429</v>
      </c>
      <c r="W13" s="82">
        <v>-15452</v>
      </c>
      <c r="X13" s="82">
        <v>-17488</v>
      </c>
      <c r="Y13" s="82">
        <v>-16128</v>
      </c>
      <c r="Z13" s="82">
        <v>-16795</v>
      </c>
      <c r="AA13" s="82">
        <v>-16302</v>
      </c>
      <c r="AB13" s="82">
        <v>-19623</v>
      </c>
      <c r="AC13" s="82">
        <v>-18505</v>
      </c>
      <c r="AD13" s="82">
        <v>-19684</v>
      </c>
      <c r="AE13" s="82">
        <v>-20099</v>
      </c>
      <c r="AF13" s="82">
        <v>-21799</v>
      </c>
      <c r="AG13" s="82">
        <v>-21919</v>
      </c>
      <c r="AH13" s="82">
        <v>-24014</v>
      </c>
      <c r="AI13" s="82">
        <v>-24043</v>
      </c>
      <c r="AJ13" s="5"/>
      <c r="AK13" s="32">
        <f>SUM(W13:Z13)</f>
        <v>-65863</v>
      </c>
      <c r="AL13" s="32">
        <f>SUM(X13:AA13)</f>
        <v>-66713</v>
      </c>
      <c r="AM13" s="32">
        <f>SUM(Y13:AB13)</f>
        <v>-68848</v>
      </c>
      <c r="AN13" s="32">
        <f>SUM(Z13:AC13)</f>
        <v>-71225</v>
      </c>
      <c r="AO13" s="32">
        <f>SUM(AA13:AD13)</f>
        <v>-74114</v>
      </c>
      <c r="AP13" s="32">
        <f>SUM(AB13:AE13)</f>
        <v>-77911</v>
      </c>
      <c r="AQ13" s="32">
        <f>SUM(AC13:AF13)</f>
        <v>-80087</v>
      </c>
      <c r="AR13" s="32">
        <f>SUM(AD13:AG13)</f>
        <v>-83501</v>
      </c>
      <c r="AS13" s="11"/>
      <c r="AT13" s="75"/>
    </row>
    <row r="14" spans="1:46" s="20" customFormat="1">
      <c r="B14" s="25" t="s">
        <v>20</v>
      </c>
      <c r="C14" s="26">
        <f>SUM(C11+SUM(C13:C13))</f>
        <v>82933</v>
      </c>
      <c r="D14" s="26">
        <f>SUM(D11+SUM(D13:D13))</f>
        <v>96937</v>
      </c>
      <c r="E14" s="26">
        <f>SUM(E11+SUM(E13:E13))</f>
        <v>115856</v>
      </c>
      <c r="F14" s="26">
        <f>SUM(F11+SUM(F13:F13))</f>
        <v>135620</v>
      </c>
      <c r="G14" s="26">
        <f>SUM(G11+SUM(G13:G13))</f>
        <v>146052</v>
      </c>
      <c r="H14" s="26">
        <f>SUM(H11+SUM(H13:H13))</f>
        <v>171008</v>
      </c>
      <c r="I14" s="26">
        <f>SUM(I11+SUM(I13:I13))</f>
        <v>193893</v>
      </c>
      <c r="J14" s="32"/>
      <c r="K14" s="26">
        <f>SUM(K11+SUM(K13:K13))</f>
        <v>22649</v>
      </c>
      <c r="L14" s="26">
        <f>SUM(L11+SUM(L13:L13))</f>
        <v>24548</v>
      </c>
      <c r="M14" s="26">
        <f>SUM(M11+SUM(M13:M13))</f>
        <v>24046</v>
      </c>
      <c r="N14" s="26">
        <f>SUM(N11+SUM(N13:N13))</f>
        <v>25694</v>
      </c>
      <c r="O14" s="26">
        <f>SUM(O11+SUM(O13:O13))</f>
        <v>26152</v>
      </c>
      <c r="P14" s="26">
        <f>SUM(P11+SUM(P13:P13))</f>
        <v>28882</v>
      </c>
      <c r="Q14" s="26">
        <f>SUM(Q11+SUM(Q13:Q13))</f>
        <v>28661</v>
      </c>
      <c r="R14" s="26">
        <f>SUM(R11+SUM(R13:R13))</f>
        <v>32161</v>
      </c>
      <c r="S14" s="26">
        <f>SUM(S11+SUM(S13:S13))</f>
        <v>31671</v>
      </c>
      <c r="T14" s="26">
        <f>SUM(T11+SUM(T13:T13))</f>
        <v>34768</v>
      </c>
      <c r="U14" s="26">
        <f>SUM(U11+SUM(U13:U13))</f>
        <v>33745</v>
      </c>
      <c r="V14" s="26">
        <f>SUM(V11+SUM(V13:V13))</f>
        <v>35436</v>
      </c>
      <c r="W14" s="26">
        <f>SUM(W11+SUM(W13:W13))</f>
        <v>34670</v>
      </c>
      <c r="X14" s="26">
        <f>SUM(X11+SUM(X13:X13))</f>
        <v>35259</v>
      </c>
      <c r="Y14" s="26">
        <f>SUM(Y11+SUM(Y13:Y13))</f>
        <v>36729</v>
      </c>
      <c r="Z14" s="26">
        <f>SUM(Z11+SUM(Z13:Z13))</f>
        <v>39394</v>
      </c>
      <c r="AA14" s="26">
        <f>SUM(AA11+SUM(AA13:AA13))</f>
        <v>40215</v>
      </c>
      <c r="AB14" s="26">
        <f>SUM(AB11+SUM(AB13:AB13))</f>
        <v>42397</v>
      </c>
      <c r="AC14" s="26">
        <f>SUM(AC11+SUM(AC13:AC13))</f>
        <v>43353</v>
      </c>
      <c r="AD14" s="26">
        <f>SUM(AD11+SUM(AD13:AD13))</f>
        <v>45043</v>
      </c>
      <c r="AE14" s="26">
        <f>SUM(AE11+SUM(AE13:AE13))</f>
        <v>45486</v>
      </c>
      <c r="AF14" s="26">
        <f>SUM(AF11+SUM(AF13:AF13))</f>
        <v>47833</v>
      </c>
      <c r="AG14" s="26">
        <f>SUM(AG11+SUM(AG13:AG13))</f>
        <v>48147</v>
      </c>
      <c r="AH14" s="26">
        <f>SUM(AH11+SUM(AH13:AH13))</f>
        <v>52427</v>
      </c>
      <c r="AI14" s="26">
        <f>SUM(AI11+SUM(AI13:AI13))</f>
        <v>53630</v>
      </c>
      <c r="AJ14" s="5"/>
      <c r="AK14" s="26">
        <f>SUM(AK11+SUM(AK13:AK13))</f>
        <v>146052</v>
      </c>
      <c r="AL14" s="26">
        <f>SUM(AL11+SUM(AL13:AL13))</f>
        <v>151597</v>
      </c>
      <c r="AM14" s="26">
        <f>SUM(AM11+SUM(AM13:AM13))</f>
        <v>158735</v>
      </c>
      <c r="AN14" s="26">
        <f>SUM(AN11+SUM(AN13:AN13))</f>
        <v>165359</v>
      </c>
      <c r="AO14" s="26">
        <f>SUM(AO11+SUM(AO13:AO13))</f>
        <v>171008</v>
      </c>
      <c r="AP14" s="26">
        <f>SUM(AP11+SUM(AP13:AP13))</f>
        <v>176279</v>
      </c>
      <c r="AQ14" s="26">
        <f>SUM(AQ11+SUM(AQ13:AQ13))</f>
        <v>181715</v>
      </c>
      <c r="AR14" s="26">
        <f>SUM(AR11+SUM(AR13:AR13))</f>
        <v>186509</v>
      </c>
      <c r="AS14" s="11"/>
      <c r="AT14" s="76">
        <f>SUM(AR14/AN14)-1</f>
        <v>0.12790353110505026</v>
      </c>
    </row>
    <row r="15" spans="1:46" s="20" customFormat="1">
      <c r="B15" s="16" t="s">
        <v>29</v>
      </c>
      <c r="C15" s="17">
        <f>C14/C11</f>
        <v>0.65901957200638894</v>
      </c>
      <c r="D15" s="17">
        <f>D14/D11</f>
        <v>0.67781001992797962</v>
      </c>
      <c r="E15" s="17">
        <f>E14/E11</f>
        <v>0.68925800771024703</v>
      </c>
      <c r="F15" s="17">
        <f>F14/F11</f>
        <v>0.68401674484289099</v>
      </c>
      <c r="G15" s="17">
        <f>G14/G11</f>
        <v>0.68920085883491022</v>
      </c>
      <c r="H15" s="17">
        <f>H14/H11</f>
        <v>0.69764443827971379</v>
      </c>
      <c r="I15" s="17">
        <f>I14/I11</f>
        <v>0.68823742386165188</v>
      </c>
      <c r="J15" s="32"/>
      <c r="K15" s="17">
        <f>K14/K11</f>
        <v>0.6851913477537438</v>
      </c>
      <c r="L15" s="17">
        <f>L14/L11</f>
        <v>0.66514929821709212</v>
      </c>
      <c r="M15" s="17">
        <f>M14/M11</f>
        <v>0.68661660146769077</v>
      </c>
      <c r="N15" s="17">
        <f>N14/N11</f>
        <v>0.67557121447164303</v>
      </c>
      <c r="O15" s="17">
        <f>O14/O11</f>
        <v>0.70388114334930285</v>
      </c>
      <c r="P15" s="17">
        <f>P14/P11</f>
        <v>0.67048936762930633</v>
      </c>
      <c r="Q15" s="17">
        <f>Q14/Q11</f>
        <v>0.68721526878626582</v>
      </c>
      <c r="R15" s="17">
        <f>R14/R11</f>
        <v>0.69684954064829263</v>
      </c>
      <c r="S15" s="17">
        <f>S14/S11</f>
        <v>0.6988768012004325</v>
      </c>
      <c r="T15" s="17">
        <f>T14/T11</f>
        <v>0.67213114754098358</v>
      </c>
      <c r="U15" s="17">
        <f>U14/U11</f>
        <v>0.68365072933549431</v>
      </c>
      <c r="V15" s="17">
        <f>V14/V11</f>
        <v>0.68323532247180174</v>
      </c>
      <c r="W15" s="17">
        <f>W14/W11</f>
        <v>0.69171222217788597</v>
      </c>
      <c r="X15" s="17">
        <f>X14/X11</f>
        <v>0.66845507801391546</v>
      </c>
      <c r="Y15" s="17">
        <f>Y14/Y11</f>
        <v>0.69487485101311086</v>
      </c>
      <c r="Z15" s="17">
        <f>Z14/Z11</f>
        <v>0.70109807969531401</v>
      </c>
      <c r="AA15" s="17">
        <f>AA14/AA11</f>
        <v>0.71155581506449384</v>
      </c>
      <c r="AB15" s="17">
        <f>AB14/AB11</f>
        <v>0.68360206385037081</v>
      </c>
      <c r="AC15" s="17">
        <f>AC14/AC11</f>
        <v>0.70084710142584628</v>
      </c>
      <c r="AD15" s="17">
        <f>AD14/AD11</f>
        <v>0.69589197707293715</v>
      </c>
      <c r="AE15" s="17">
        <f>AE14/AE11</f>
        <v>0.69354273080734929</v>
      </c>
      <c r="AF15" s="17">
        <f>AF14/AF11</f>
        <v>0.68693991268382348</v>
      </c>
      <c r="AG15" s="17">
        <f>AG14/AG11</f>
        <v>0.6871663859789342</v>
      </c>
      <c r="AH15" s="17">
        <f>AH14/AH11</f>
        <v>0.68584921704320978</v>
      </c>
      <c r="AI15" s="17">
        <f>AI14/AI11</f>
        <v>0.69045871795862135</v>
      </c>
      <c r="AJ15" s="5"/>
      <c r="AK15" s="17">
        <f>AK14/AK11</f>
        <v>0.68920085883491022</v>
      </c>
      <c r="AL15" s="17">
        <f>AL14/AL11</f>
        <v>0.69441161650863448</v>
      </c>
      <c r="AM15" s="17">
        <f>AM14/AM11</f>
        <v>0.69748179784957576</v>
      </c>
      <c r="AN15" s="17">
        <f>AN14/AN11</f>
        <v>0.6989441382342001</v>
      </c>
      <c r="AO15" s="17">
        <f>AO14/AO11</f>
        <v>0.69764443827971379</v>
      </c>
      <c r="AP15" s="17">
        <f>AP14/AP11</f>
        <v>0.69349305637515246</v>
      </c>
      <c r="AQ15" s="17">
        <f>AQ14/AQ11</f>
        <v>0.69409324604090117</v>
      </c>
      <c r="AR15" s="17">
        <f>AR14/AR11</f>
        <v>0.69074849079663714</v>
      </c>
      <c r="AS15" s="11"/>
      <c r="AT15" s="77">
        <f>SUM(AR15-AN15)*1000</f>
        <v>-8.1956474375629575</v>
      </c>
    </row>
    <row r="16" spans="1:46" s="20" customFormat="1" ht="5.0999999999999996" customHeight="1">
      <c r="B16" s="18"/>
      <c r="C16" s="19"/>
      <c r="D16" s="19"/>
      <c r="E16" s="19"/>
      <c r="F16" s="19"/>
      <c r="G16" s="19"/>
      <c r="H16" s="19"/>
      <c r="I16" s="1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2"/>
      <c r="AF16" s="21"/>
      <c r="AG16" s="21"/>
      <c r="AH16" s="21"/>
      <c r="AI16" s="21"/>
      <c r="AT16" s="75"/>
    </row>
    <row r="17" spans="2:46" ht="12.75" customHeight="1">
      <c r="B17" s="9" t="s">
        <v>170</v>
      </c>
      <c r="C17" s="82">
        <v>-16876</v>
      </c>
      <c r="D17" s="82">
        <v>-19269</v>
      </c>
      <c r="E17" s="82">
        <v>-20716</v>
      </c>
      <c r="F17" s="82">
        <v>-24512</v>
      </c>
      <c r="G17" s="82">
        <v>-27195</v>
      </c>
      <c r="H17" s="82">
        <v>-29510</v>
      </c>
      <c r="I17" s="82">
        <v>-32488</v>
      </c>
      <c r="J17" s="32"/>
      <c r="K17" s="82">
        <v>-4565</v>
      </c>
      <c r="L17" s="82">
        <v>-4603</v>
      </c>
      <c r="M17" s="82">
        <v>-4887</v>
      </c>
      <c r="N17" s="82">
        <v>-5214</v>
      </c>
      <c r="O17" s="82">
        <v>-4926</v>
      </c>
      <c r="P17" s="82">
        <v>-4899</v>
      </c>
      <c r="Q17" s="82">
        <v>-5204</v>
      </c>
      <c r="R17" s="82">
        <v>-5687</v>
      </c>
      <c r="S17" s="82">
        <v>-5599</v>
      </c>
      <c r="T17" s="82">
        <v>-5768</v>
      </c>
      <c r="U17" s="82">
        <v>-6306</v>
      </c>
      <c r="V17" s="82">
        <v>-6839</v>
      </c>
      <c r="W17" s="82">
        <v>-6628</v>
      </c>
      <c r="X17" s="82">
        <v>-6844</v>
      </c>
      <c r="Y17" s="82">
        <v>-6984</v>
      </c>
      <c r="Z17" s="82">
        <v>-6739</v>
      </c>
      <c r="AA17" s="82">
        <v>-6659</v>
      </c>
      <c r="AB17" s="82">
        <v>-7142</v>
      </c>
      <c r="AC17" s="82">
        <v>-7653</v>
      </c>
      <c r="AD17" s="82">
        <v>-8056</v>
      </c>
      <c r="AE17" s="82">
        <v>-7544</v>
      </c>
      <c r="AF17" s="82">
        <v>-7917</v>
      </c>
      <c r="AG17" s="82">
        <v>-8198</v>
      </c>
      <c r="AH17" s="82">
        <v>-8829</v>
      </c>
      <c r="AI17" s="82">
        <v>-8146</v>
      </c>
      <c r="AK17" s="32">
        <f>SUM(W17:Z17)</f>
        <v>-27195</v>
      </c>
      <c r="AL17" s="32">
        <f>SUM(X17:AA17)</f>
        <v>-27226</v>
      </c>
      <c r="AM17" s="32">
        <f>SUM(Y17:AB17)</f>
        <v>-27524</v>
      </c>
      <c r="AN17" s="32">
        <f>SUM(Z17:AC17)</f>
        <v>-28193</v>
      </c>
      <c r="AO17" s="32">
        <f>SUM(AA17:AD17)</f>
        <v>-29510</v>
      </c>
      <c r="AP17" s="32">
        <f>SUM(AB17:AE17)</f>
        <v>-30395</v>
      </c>
      <c r="AQ17" s="32">
        <f>SUM(AC17:AF17)</f>
        <v>-31170</v>
      </c>
      <c r="AR17" s="32">
        <f>SUM(AD17:AG17)</f>
        <v>-31715</v>
      </c>
      <c r="AS17" s="11"/>
      <c r="AT17" s="75">
        <f>SUM(AR17/AN17)-1</f>
        <v>0.12492462668038162</v>
      </c>
    </row>
    <row r="18" spans="2:46" ht="12.75" customHeight="1">
      <c r="B18" s="9" t="s">
        <v>180</v>
      </c>
      <c r="C18" s="82">
        <v>-18213</v>
      </c>
      <c r="D18" s="82">
        <v>-19598</v>
      </c>
      <c r="E18" s="82">
        <v>-20117</v>
      </c>
      <c r="F18" s="82">
        <v>-21825</v>
      </c>
      <c r="G18" s="82">
        <v>-22759</v>
      </c>
      <c r="H18" s="82">
        <v>-24456</v>
      </c>
      <c r="I18" s="82">
        <v>-25654</v>
      </c>
      <c r="J18" s="32"/>
      <c r="K18" s="82">
        <v>-4337</v>
      </c>
      <c r="L18" s="82">
        <v>-4933</v>
      </c>
      <c r="M18" s="82">
        <v>-4911</v>
      </c>
      <c r="N18" s="82">
        <v>-5417</v>
      </c>
      <c r="O18" s="82">
        <v>-4231</v>
      </c>
      <c r="P18" s="82">
        <v>-4947</v>
      </c>
      <c r="Q18" s="82">
        <v>-5082</v>
      </c>
      <c r="R18" s="82">
        <v>-5857</v>
      </c>
      <c r="S18" s="82">
        <v>-4547</v>
      </c>
      <c r="T18" s="82">
        <v>-5379</v>
      </c>
      <c r="U18" s="82">
        <v>-5595</v>
      </c>
      <c r="V18" s="82">
        <v>-6304</v>
      </c>
      <c r="W18" s="82">
        <v>-5126</v>
      </c>
      <c r="X18" s="82">
        <v>-5679</v>
      </c>
      <c r="Y18" s="82">
        <v>-5750</v>
      </c>
      <c r="Z18" s="82">
        <v>-6204</v>
      </c>
      <c r="AA18" s="82">
        <v>-5187</v>
      </c>
      <c r="AB18" s="82">
        <v>-6246</v>
      </c>
      <c r="AC18" s="82">
        <v>-6207</v>
      </c>
      <c r="AD18" s="82">
        <v>-6816</v>
      </c>
      <c r="AE18" s="82">
        <v>-5717</v>
      </c>
      <c r="AF18" s="82">
        <v>-6440</v>
      </c>
      <c r="AG18" s="82">
        <v>-6212</v>
      </c>
      <c r="AH18" s="82">
        <v>-7285</v>
      </c>
      <c r="AI18" s="82">
        <v>-5717</v>
      </c>
      <c r="AK18" s="32">
        <f>SUM(W18:Z18)</f>
        <v>-22759</v>
      </c>
      <c r="AL18" s="32">
        <f>SUM(X18:AA18)</f>
        <v>-22820</v>
      </c>
      <c r="AM18" s="32">
        <f>SUM(Y18:AB18)</f>
        <v>-23387</v>
      </c>
      <c r="AN18" s="32">
        <f>SUM(Z18:AC18)</f>
        <v>-23844</v>
      </c>
      <c r="AO18" s="32">
        <f>SUM(AA18:AD18)</f>
        <v>-24456</v>
      </c>
      <c r="AP18" s="32">
        <f>SUM(AB18:AE18)</f>
        <v>-24986</v>
      </c>
      <c r="AQ18" s="32">
        <f>SUM(AC18:AF18)</f>
        <v>-25180</v>
      </c>
      <c r="AR18" s="32">
        <f>SUM(AD18:AG18)</f>
        <v>-25185</v>
      </c>
      <c r="AS18" s="11"/>
      <c r="AT18" s="75">
        <f t="shared" ref="AT18:AT19" si="12">SUM(AR18/AN18)-1</f>
        <v>5.6240563663814802E-2</v>
      </c>
    </row>
    <row r="19" spans="2:46" ht="12.75" customHeight="1">
      <c r="B19" s="9" t="s">
        <v>181</v>
      </c>
      <c r="C19" s="82">
        <v>-4885</v>
      </c>
      <c r="D19" s="82">
        <v>-5111</v>
      </c>
      <c r="E19" s="82">
        <v>-5107</v>
      </c>
      <c r="F19" s="82">
        <v>-5900</v>
      </c>
      <c r="G19" s="82">
        <v>-7575</v>
      </c>
      <c r="H19" s="82">
        <v>-7609</v>
      </c>
      <c r="I19" s="82">
        <v>-7223</v>
      </c>
      <c r="J19" s="32"/>
      <c r="K19" s="82">
        <v>-1061</v>
      </c>
      <c r="L19" s="82">
        <v>-1121</v>
      </c>
      <c r="M19" s="82">
        <v>-1273</v>
      </c>
      <c r="N19" s="82">
        <v>-1656</v>
      </c>
      <c r="O19" s="82">
        <v>-1119</v>
      </c>
      <c r="P19" s="82">
        <v>-1139</v>
      </c>
      <c r="Q19" s="82">
        <v>-1327</v>
      </c>
      <c r="R19" s="82">
        <v>-1522</v>
      </c>
      <c r="S19" s="82">
        <v>-1287</v>
      </c>
      <c r="T19" s="82">
        <v>-1384</v>
      </c>
      <c r="U19" s="82">
        <v>-1480</v>
      </c>
      <c r="V19" s="82">
        <v>-1749</v>
      </c>
      <c r="W19" s="82">
        <v>-1398</v>
      </c>
      <c r="X19" s="82">
        <v>-2337</v>
      </c>
      <c r="Y19" s="82">
        <v>-1643</v>
      </c>
      <c r="Z19" s="82">
        <v>-2197</v>
      </c>
      <c r="AA19" s="82">
        <v>-1474</v>
      </c>
      <c r="AB19" s="82">
        <v>-1977</v>
      </c>
      <c r="AC19" s="82">
        <v>-1912</v>
      </c>
      <c r="AD19" s="82">
        <v>-2246</v>
      </c>
      <c r="AE19" s="82">
        <v>-1673</v>
      </c>
      <c r="AF19" s="82">
        <v>-1823</v>
      </c>
      <c r="AG19" s="82">
        <v>-1737</v>
      </c>
      <c r="AH19" s="82">
        <v>-1990</v>
      </c>
      <c r="AI19" s="82">
        <v>-1806</v>
      </c>
      <c r="AK19" s="32">
        <f>SUM(W19:Z19)</f>
        <v>-7575</v>
      </c>
      <c r="AL19" s="32">
        <f>SUM(X19:AA19)</f>
        <v>-7651</v>
      </c>
      <c r="AM19" s="32">
        <f>SUM(Y19:AB19)</f>
        <v>-7291</v>
      </c>
      <c r="AN19" s="32">
        <f>SUM(Z19:AC19)</f>
        <v>-7560</v>
      </c>
      <c r="AO19" s="32">
        <f>SUM(AA19:AD19)</f>
        <v>-7609</v>
      </c>
      <c r="AP19" s="32">
        <f>SUM(AB19:AE19)</f>
        <v>-7808</v>
      </c>
      <c r="AQ19" s="32">
        <f>SUM(AC19:AF19)</f>
        <v>-7654</v>
      </c>
      <c r="AR19" s="32">
        <f>SUM(AD19:AG19)</f>
        <v>-7479</v>
      </c>
      <c r="AS19" s="11"/>
      <c r="AT19" s="75">
        <f t="shared" si="12"/>
        <v>-1.0714285714285676E-2</v>
      </c>
    </row>
    <row r="20" spans="2:46" ht="12.75" customHeight="1">
      <c r="B20" s="25" t="s">
        <v>77</v>
      </c>
      <c r="C20" s="26">
        <f>+SUM(C14+SUM(C17:C19))</f>
        <v>42959</v>
      </c>
      <c r="D20" s="26">
        <f>+SUM(D14+SUM(D17:D19))</f>
        <v>52959</v>
      </c>
      <c r="E20" s="26">
        <f>+SUM(E14+SUM(E17:E19))</f>
        <v>69916</v>
      </c>
      <c r="F20" s="26">
        <f>+SUM(F14+SUM(F17:F19))</f>
        <v>83383</v>
      </c>
      <c r="G20" s="26">
        <f>+SUM(G14+SUM(G17:G19))</f>
        <v>88523</v>
      </c>
      <c r="H20" s="26">
        <f>+SUM(H14+SUM(H17:H19))</f>
        <v>109433</v>
      </c>
      <c r="I20" s="26">
        <f>+SUM(I14+SUM(I17:I19))</f>
        <v>128528</v>
      </c>
      <c r="J20" s="32"/>
      <c r="K20" s="26">
        <f>+SUM(K14+SUM(K17:K19))</f>
        <v>12686</v>
      </c>
      <c r="L20" s="26">
        <f>+SUM(L14+SUM(L17:L19))</f>
        <v>13891</v>
      </c>
      <c r="M20" s="26">
        <f>+SUM(M14+SUM(M17:M19))</f>
        <v>12975</v>
      </c>
      <c r="N20" s="26">
        <f>+SUM(N14+SUM(N17:N19))</f>
        <v>13407</v>
      </c>
      <c r="O20" s="26">
        <f>+SUM(O14+SUM(O17:O19))</f>
        <v>15876</v>
      </c>
      <c r="P20" s="26">
        <f>+SUM(P14+SUM(P17:P19))</f>
        <v>17897</v>
      </c>
      <c r="Q20" s="26">
        <f>+SUM(Q14+SUM(Q17:Q19))</f>
        <v>17048</v>
      </c>
      <c r="R20" s="26">
        <f>+SUM(R14+SUM(R17:R19))</f>
        <v>19095</v>
      </c>
      <c r="S20" s="26">
        <f>+SUM(S14+SUM(S17:S19))</f>
        <v>20238</v>
      </c>
      <c r="T20" s="26">
        <f>+SUM(T14+SUM(T17:T19))</f>
        <v>22237</v>
      </c>
      <c r="U20" s="26">
        <f>+SUM(U14+SUM(U17:U19))</f>
        <v>20364</v>
      </c>
      <c r="V20" s="26">
        <f>+SUM(V14+SUM(V17:V19))</f>
        <v>20544</v>
      </c>
      <c r="W20" s="26">
        <f>+SUM(W14+SUM(W17:W19))</f>
        <v>21518</v>
      </c>
      <c r="X20" s="26">
        <f>+SUM(X14+SUM(X17:X19))</f>
        <v>20399</v>
      </c>
      <c r="Y20" s="26">
        <f>+SUM(Y14+SUM(Y17:Y19))</f>
        <v>22352</v>
      </c>
      <c r="Z20" s="26">
        <f>+SUM(Z14+SUM(Z17:Z19))</f>
        <v>24254</v>
      </c>
      <c r="AA20" s="26">
        <f>+SUM(AA14+SUM(AA17:AA19))</f>
        <v>26895</v>
      </c>
      <c r="AB20" s="26">
        <f>+SUM(AB14+SUM(AB17:AB19))</f>
        <v>27032</v>
      </c>
      <c r="AC20" s="26">
        <f>+SUM(AC14+SUM(AC17:AC19))</f>
        <v>27581</v>
      </c>
      <c r="AD20" s="26">
        <f>+SUM(AD14+SUM(AD17:AD19))</f>
        <v>27925</v>
      </c>
      <c r="AE20" s="26">
        <f>+SUM(AE14+SUM(AE17:AE19))</f>
        <v>30552</v>
      </c>
      <c r="AF20" s="26">
        <f>+SUM(AF14+SUM(AF17:AF19))</f>
        <v>31653</v>
      </c>
      <c r="AG20" s="26">
        <f>+SUM(AG14+SUM(AG17:AG19))</f>
        <v>32000</v>
      </c>
      <c r="AH20" s="26">
        <f t="shared" ref="AH20:AI20" si="13">+SUM(AH14+SUM(AH17:AH19))</f>
        <v>34323</v>
      </c>
      <c r="AI20" s="26">
        <f t="shared" si="13"/>
        <v>37961</v>
      </c>
      <c r="AK20" s="26">
        <f>+SUM(AK14+SUM(AK17:AK19))</f>
        <v>88523</v>
      </c>
      <c r="AL20" s="26">
        <f>+SUM(AL14+SUM(AL17:AL19))</f>
        <v>93900</v>
      </c>
      <c r="AM20" s="26">
        <f>+SUM(AM14+SUM(AM17:AM19))</f>
        <v>100533</v>
      </c>
      <c r="AN20" s="26">
        <f>+SUM(AN14+SUM(AN17:AN19))</f>
        <v>105762</v>
      </c>
      <c r="AO20" s="26">
        <f>+SUM(AO14+SUM(AO17:AO19))</f>
        <v>109433</v>
      </c>
      <c r="AP20" s="26">
        <f>+SUM(AP14+SUM(AP17:AP19))</f>
        <v>113090</v>
      </c>
      <c r="AQ20" s="26">
        <f>+SUM(AQ14+SUM(AQ17:AQ19))</f>
        <v>117711</v>
      </c>
      <c r="AR20" s="26">
        <f>+SUM(AR14+SUM(AR17:AR19))</f>
        <v>122130</v>
      </c>
      <c r="AS20" s="11"/>
      <c r="AT20" s="76">
        <f>SUM(AR20/AN20)-1</f>
        <v>0.15476258013275079</v>
      </c>
    </row>
    <row r="21" spans="2:46" ht="12.75" customHeight="1">
      <c r="B21" s="16" t="s">
        <v>31</v>
      </c>
      <c r="C21" s="17">
        <f>C20/C11</f>
        <v>0.3413698020549415</v>
      </c>
      <c r="D21" s="17">
        <f>D20/D11</f>
        <v>0.37030381428521486</v>
      </c>
      <c r="E21" s="17">
        <f>E20/E11</f>
        <v>0.41594878872971303</v>
      </c>
      <c r="F21" s="17">
        <f>F20/F11</f>
        <v>0.4205527815604983</v>
      </c>
      <c r="G21" s="17">
        <f>G20/G11</f>
        <v>0.41772880636104098</v>
      </c>
      <c r="H21" s="17">
        <f>H20/H11</f>
        <v>0.44644299573273716</v>
      </c>
      <c r="I21" s="17">
        <f>I20/I11</f>
        <v>0.45621956240859851</v>
      </c>
      <c r="J21" s="32"/>
      <c r="K21" s="17">
        <f>K20/K11</f>
        <v>0.38378460142187265</v>
      </c>
      <c r="L21" s="17">
        <f>L20/L11</f>
        <v>0.37638866309001245</v>
      </c>
      <c r="M21" s="17">
        <f>M20/M11</f>
        <v>0.37049199051997372</v>
      </c>
      <c r="N21" s="17">
        <f>N20/N11</f>
        <v>0.35250966266137301</v>
      </c>
      <c r="O21" s="17">
        <f>O20/O11</f>
        <v>0.42730257845723207</v>
      </c>
      <c r="P21" s="17">
        <f>P20/P11</f>
        <v>0.41547497446373849</v>
      </c>
      <c r="Q21" s="17">
        <f>Q20/Q11</f>
        <v>0.40876612477820939</v>
      </c>
      <c r="R21" s="17">
        <f>R20/R11</f>
        <v>0.41374154966198645</v>
      </c>
      <c r="S21" s="17">
        <f>S20/S11</f>
        <v>0.44658737339188381</v>
      </c>
      <c r="T21" s="17">
        <f>T20/T11</f>
        <v>0.42988323538509127</v>
      </c>
      <c r="U21" s="17">
        <f>U20/U11</f>
        <v>0.41256077795786061</v>
      </c>
      <c r="V21" s="17">
        <f>V20/V11</f>
        <v>0.3961052733056975</v>
      </c>
      <c r="W21" s="17">
        <f>W20/W11</f>
        <v>0.42931247755476637</v>
      </c>
      <c r="X21" s="17">
        <f>X20/X11</f>
        <v>0.3867328947617874</v>
      </c>
      <c r="Y21" s="17">
        <f>Y20/Y11</f>
        <v>0.42287681858599618</v>
      </c>
      <c r="Z21" s="17">
        <f>Z20/Z11</f>
        <v>0.4316503230169606</v>
      </c>
      <c r="AA21" s="17">
        <f>AA20/AA11</f>
        <v>0.47587451563246458</v>
      </c>
      <c r="AB21" s="17">
        <f>AB20/AB11</f>
        <v>0.43585940019348596</v>
      </c>
      <c r="AC21" s="17">
        <f>AC20/AC11</f>
        <v>0.44587603866921011</v>
      </c>
      <c r="AD21" s="17">
        <f>AD20/AD11</f>
        <v>0.43142737960974553</v>
      </c>
      <c r="AE21" s="17">
        <f>AE20/AE11</f>
        <v>0.46583822520393381</v>
      </c>
      <c r="AF21" s="17">
        <f>AF20/AF11</f>
        <v>0.45457548253676472</v>
      </c>
      <c r="AG21" s="17">
        <f>AG20/AG11</f>
        <v>0.45671224274255701</v>
      </c>
      <c r="AH21" s="17">
        <f>AH20/AH11</f>
        <v>0.44901296424693554</v>
      </c>
      <c r="AI21" s="17">
        <f>AI20/AI11</f>
        <v>0.48872838695557014</v>
      </c>
      <c r="AK21" s="17">
        <f>AK20/AK11</f>
        <v>0.41772880636104098</v>
      </c>
      <c r="AL21" s="17">
        <f>AL20/AL11</f>
        <v>0.4301223031469012</v>
      </c>
      <c r="AM21" s="17">
        <f>AM20/AM11</f>
        <v>0.44174213363915582</v>
      </c>
      <c r="AN21" s="17">
        <f>AN20/AN11</f>
        <v>0.44703783856896495</v>
      </c>
      <c r="AO21" s="17">
        <f>AO20/AO11</f>
        <v>0.44644299573273716</v>
      </c>
      <c r="AP21" s="17">
        <f>AP20/AP11</f>
        <v>0.44490341870254535</v>
      </c>
      <c r="AQ21" s="17">
        <f>AQ20/AQ11</f>
        <v>0.4496184139158601</v>
      </c>
      <c r="AR21" s="17">
        <f>AR20/AR11</f>
        <v>0.45231658086737531</v>
      </c>
      <c r="AS21" s="11"/>
      <c r="AT21" s="77">
        <f>SUM(AR21-AN21)*1000</f>
        <v>5.2787422984103554</v>
      </c>
    </row>
    <row r="22" spans="2:46" ht="5.0999999999999996" customHeight="1">
      <c r="B22" s="16"/>
      <c r="C22" s="17"/>
      <c r="D22" s="17"/>
      <c r="E22" s="17"/>
      <c r="F22" s="17"/>
      <c r="G22" s="17"/>
      <c r="H22" s="17"/>
      <c r="I22" s="17"/>
      <c r="J22" s="3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32"/>
      <c r="AF22" s="82"/>
      <c r="AG22" s="82"/>
      <c r="AH22" s="82"/>
      <c r="AI22" s="82"/>
      <c r="AK22" s="32"/>
      <c r="AL22" s="32"/>
      <c r="AM22" s="32"/>
      <c r="AN22" s="32"/>
      <c r="AO22" s="32"/>
      <c r="AP22" s="32"/>
      <c r="AQ22" s="32"/>
      <c r="AR22" s="32"/>
      <c r="AS22" s="11"/>
      <c r="AT22" s="75"/>
    </row>
    <row r="23" spans="2:46" ht="12.75" customHeight="1">
      <c r="B23" s="9" t="s">
        <v>171</v>
      </c>
      <c r="C23" s="82">
        <v>729</v>
      </c>
      <c r="D23" s="82">
        <v>77</v>
      </c>
      <c r="E23" s="82">
        <v>1186</v>
      </c>
      <c r="F23" s="82">
        <v>333</v>
      </c>
      <c r="G23" s="82">
        <v>788</v>
      </c>
      <c r="H23" s="82">
        <v>-1646</v>
      </c>
      <c r="I23" s="82">
        <v>-4901</v>
      </c>
      <c r="J23" s="32"/>
      <c r="K23" s="82">
        <v>0</v>
      </c>
      <c r="L23" s="82">
        <v>194</v>
      </c>
      <c r="M23" s="82">
        <v>-132</v>
      </c>
      <c r="N23" s="82">
        <v>15</v>
      </c>
      <c r="O23" s="82">
        <v>248</v>
      </c>
      <c r="P23" s="82">
        <v>440</v>
      </c>
      <c r="Q23" s="82">
        <v>188</v>
      </c>
      <c r="R23" s="82">
        <v>310</v>
      </c>
      <c r="S23" s="82">
        <v>286</v>
      </c>
      <c r="T23" s="82">
        <v>268</v>
      </c>
      <c r="U23" s="82">
        <v>-174</v>
      </c>
      <c r="V23" s="82">
        <v>-47</v>
      </c>
      <c r="W23" s="82">
        <v>54</v>
      </c>
      <c r="X23" s="82">
        <v>-60</v>
      </c>
      <c r="Y23" s="82">
        <v>321</v>
      </c>
      <c r="Z23" s="82">
        <v>473</v>
      </c>
      <c r="AA23" s="82">
        <v>389</v>
      </c>
      <c r="AB23" s="82">
        <v>-506</v>
      </c>
      <c r="AC23" s="82">
        <v>-854</v>
      </c>
      <c r="AD23" s="82">
        <v>-675</v>
      </c>
      <c r="AE23" s="82">
        <v>-283</v>
      </c>
      <c r="AF23" s="82">
        <v>-2288</v>
      </c>
      <c r="AG23" s="82">
        <v>-623</v>
      </c>
      <c r="AH23" s="82">
        <v>-1707</v>
      </c>
      <c r="AI23" s="82">
        <v>-3660</v>
      </c>
      <c r="AK23" s="32">
        <f>SUM(W23:Z23)</f>
        <v>788</v>
      </c>
      <c r="AL23" s="32">
        <f>SUM(X23:AA23)</f>
        <v>1123</v>
      </c>
      <c r="AM23" s="32">
        <f>SUM(Y23:AB23)</f>
        <v>677</v>
      </c>
      <c r="AN23" s="32">
        <f>SUM(Z23:AC23)</f>
        <v>-498</v>
      </c>
      <c r="AO23" s="32">
        <f>SUM(AA23:AD23)</f>
        <v>-1646</v>
      </c>
      <c r="AP23" s="32">
        <f>SUM(AB23:AE23)</f>
        <v>-2318</v>
      </c>
      <c r="AQ23" s="32">
        <f>SUM(AC23:AF23)</f>
        <v>-4100</v>
      </c>
      <c r="AR23" s="32">
        <f>SUM(AD23:AG23)</f>
        <v>-3869</v>
      </c>
      <c r="AS23" s="11"/>
      <c r="AT23" s="75">
        <f t="shared" ref="AT23" si="14">SUM(AR23/AN23)-1</f>
        <v>6.7690763052208833</v>
      </c>
    </row>
    <row r="24" spans="2:46" ht="12.75" customHeight="1">
      <c r="B24" s="25" t="s">
        <v>156</v>
      </c>
      <c r="C24" s="26">
        <f>SUM(C20+SUM(C23:C23))</f>
        <v>43688</v>
      </c>
      <c r="D24" s="26">
        <f>SUM(D20+SUM(D23:D23))</f>
        <v>53036</v>
      </c>
      <c r="E24" s="26">
        <f>SUM(E20+SUM(E23:E23))</f>
        <v>71102</v>
      </c>
      <c r="F24" s="26">
        <f>SUM(F20+SUM(F23:F23))</f>
        <v>83716</v>
      </c>
      <c r="G24" s="26">
        <f>SUM(G20+SUM(G23:G23))</f>
        <v>89311</v>
      </c>
      <c r="H24" s="26">
        <f>SUM(H20+SUM(H23:H23))</f>
        <v>107787</v>
      </c>
      <c r="I24" s="26">
        <f>SUM(I20+SUM(I23:I23))</f>
        <v>123627</v>
      </c>
      <c r="K24" s="26">
        <f>SUM(K20+SUM(K23:K23))</f>
        <v>12686</v>
      </c>
      <c r="L24" s="26">
        <f>SUM(L20+SUM(L23:L23))</f>
        <v>14085</v>
      </c>
      <c r="M24" s="26">
        <f>SUM(M20+SUM(M23:M23))</f>
        <v>12843</v>
      </c>
      <c r="N24" s="26">
        <f>SUM(N20+SUM(N23:N23))</f>
        <v>13422</v>
      </c>
      <c r="O24" s="26">
        <f>SUM(O20+SUM(O23:O23))</f>
        <v>16124</v>
      </c>
      <c r="P24" s="26">
        <f>SUM(P20+SUM(P23:P23))</f>
        <v>18337</v>
      </c>
      <c r="Q24" s="26">
        <f>SUM(Q20+SUM(Q23:Q23))</f>
        <v>17236</v>
      </c>
      <c r="R24" s="26">
        <f>SUM(R20+SUM(R23:R23))</f>
        <v>19405</v>
      </c>
      <c r="S24" s="26">
        <f>SUM(S20+SUM(S23:S23))</f>
        <v>20524</v>
      </c>
      <c r="T24" s="26">
        <f>SUM(T20+SUM(T23:T23))</f>
        <v>22505</v>
      </c>
      <c r="U24" s="26">
        <f>SUM(U20+SUM(U23:U23))</f>
        <v>20190</v>
      </c>
      <c r="V24" s="26">
        <f>SUM(V20+SUM(V23:V23))</f>
        <v>20497</v>
      </c>
      <c r="W24" s="26">
        <f>SUM(W20+SUM(W23:W23))</f>
        <v>21572</v>
      </c>
      <c r="X24" s="26">
        <f>SUM(X20+SUM(X23:X23))</f>
        <v>20339</v>
      </c>
      <c r="Y24" s="26">
        <f>SUM(Y20+SUM(Y23:Y23))</f>
        <v>22673</v>
      </c>
      <c r="Z24" s="26">
        <f>SUM(Z20+SUM(Z23:Z23))</f>
        <v>24727</v>
      </c>
      <c r="AA24" s="26">
        <f>SUM(AA20+SUM(AA23:AA23))</f>
        <v>27284</v>
      </c>
      <c r="AB24" s="26">
        <f>SUM(AB20+SUM(AB23:AB23))</f>
        <v>26526</v>
      </c>
      <c r="AC24" s="26">
        <f>SUM(AC20+SUM(AC23:AC23))</f>
        <v>26727</v>
      </c>
      <c r="AD24" s="26">
        <f>SUM(AD20+SUM(AD23:AD23))</f>
        <v>27250</v>
      </c>
      <c r="AE24" s="26">
        <f>SUM(AE20+SUM(AE23:AE23))</f>
        <v>30269</v>
      </c>
      <c r="AF24" s="26">
        <f>SUM(AF20+SUM(AF23:AF23))</f>
        <v>29365</v>
      </c>
      <c r="AG24" s="26">
        <f>SUM(AG20+SUM(AG23:AG23))</f>
        <v>31377</v>
      </c>
      <c r="AH24" s="26">
        <f>SUM(AH20+SUM(AH23:AH23))</f>
        <v>32616</v>
      </c>
      <c r="AI24" s="26">
        <f>SUM(AI20+SUM(AI23:AI23))</f>
        <v>34301</v>
      </c>
      <c r="AK24" s="26">
        <f>SUM(AK20+SUM(AK23:AK23))</f>
        <v>89311</v>
      </c>
      <c r="AL24" s="26">
        <f>SUM(AL20+SUM(AL23:AL23))</f>
        <v>95023</v>
      </c>
      <c r="AM24" s="26">
        <f>SUM(AM20+SUM(AM23:AM23))</f>
        <v>101210</v>
      </c>
      <c r="AN24" s="26">
        <f>SUM(AN20+SUM(AN23:AN23))</f>
        <v>105264</v>
      </c>
      <c r="AO24" s="26">
        <f>SUM(AO20+SUM(AO23:AO23))</f>
        <v>107787</v>
      </c>
      <c r="AP24" s="26">
        <f>SUM(AP20+SUM(AP23:AP23))</f>
        <v>110772</v>
      </c>
      <c r="AQ24" s="26">
        <f>SUM(AQ20+SUM(AQ23:AQ23))</f>
        <v>113611</v>
      </c>
      <c r="AR24" s="26">
        <f>SUM(AR20+SUM(AR23:AR23))</f>
        <v>118261</v>
      </c>
      <c r="AS24" s="42"/>
      <c r="AT24" s="76">
        <f>SUM(AR24/AN24)-1</f>
        <v>0.12347051223590211</v>
      </c>
    </row>
    <row r="25" spans="2:46" ht="12.75" customHeight="1">
      <c r="B25" s="16" t="s">
        <v>157</v>
      </c>
      <c r="C25" s="17">
        <f>C24/C11</f>
        <v>0.34716273451840785</v>
      </c>
      <c r="D25" s="17">
        <f>D24/D11</f>
        <v>0.37084221934762091</v>
      </c>
      <c r="E25" s="17">
        <f>E24/E11</f>
        <v>0.4230046166293846</v>
      </c>
      <c r="F25" s="17">
        <f>F24/F11</f>
        <v>0.42223230947697582</v>
      </c>
      <c r="G25" s="17">
        <f>G24/G11</f>
        <v>0.42144727838992047</v>
      </c>
      <c r="H25" s="17">
        <f>H24/H11</f>
        <v>0.43972797219343834</v>
      </c>
      <c r="I25" s="17">
        <f>I24/I11</f>
        <v>0.43882310346296377</v>
      </c>
      <c r="J25" s="27"/>
      <c r="K25" s="17">
        <f>K24/K11</f>
        <v>0.38378460142187265</v>
      </c>
      <c r="L25" s="17">
        <f>L24/L11</f>
        <v>0.38164526093318157</v>
      </c>
      <c r="M25" s="17">
        <f>M24/M11</f>
        <v>0.36672282344878787</v>
      </c>
      <c r="N25" s="17">
        <f>N24/N11</f>
        <v>0.35290405700312888</v>
      </c>
      <c r="O25" s="17">
        <f>O24/O11</f>
        <v>0.43397749905797489</v>
      </c>
      <c r="P25" s="17">
        <f>P24/P11</f>
        <v>0.42568947906026555</v>
      </c>
      <c r="Q25" s="17">
        <f>Q24/Q11</f>
        <v>0.41327386946722294</v>
      </c>
      <c r="R25" s="17">
        <f>R24/R11</f>
        <v>0.42045848500606692</v>
      </c>
      <c r="S25" s="17">
        <f>S24/S11</f>
        <v>0.45289847077255774</v>
      </c>
      <c r="T25" s="17">
        <f>T24/T11</f>
        <v>0.43506418187442003</v>
      </c>
      <c r="U25" s="17">
        <f>U24/U11</f>
        <v>0.40903565640194489</v>
      </c>
      <c r="V25" s="17">
        <f>V24/V11</f>
        <v>0.39519907452038949</v>
      </c>
      <c r="W25" s="17">
        <f>W24/W11</f>
        <v>0.43038984876900366</v>
      </c>
      <c r="X25" s="17">
        <f>X24/X11</f>
        <v>0.38559538931124043</v>
      </c>
      <c r="Y25" s="17">
        <f>Y24/Y11</f>
        <v>0.42894980797245397</v>
      </c>
      <c r="Z25" s="17">
        <f>Z24/Z11</f>
        <v>0.4400683407784442</v>
      </c>
      <c r="AA25" s="17">
        <f>AA24/AA11</f>
        <v>0.48275740042818976</v>
      </c>
      <c r="AB25" s="17">
        <f>AB24/AB11</f>
        <v>0.42770074169622702</v>
      </c>
      <c r="AC25" s="17">
        <f>AC24/AC11</f>
        <v>0.43207022535484496</v>
      </c>
      <c r="AD25" s="17">
        <f>AD24/AD11</f>
        <v>0.42099896488327898</v>
      </c>
      <c r="AE25" s="17">
        <f>AE24/AE11</f>
        <v>0.46152321414957687</v>
      </c>
      <c r="AF25" s="17">
        <f>AF24/AF11</f>
        <v>0.42171702665441174</v>
      </c>
      <c r="AG25" s="17">
        <f>AG24/AG11</f>
        <v>0.44782062626666286</v>
      </c>
      <c r="AH25" s="17">
        <f>AH24/AH11</f>
        <v>0.42668201619549717</v>
      </c>
      <c r="AI25" s="17">
        <f>AI24/AI11</f>
        <v>0.44160776589033512</v>
      </c>
      <c r="AJ25" s="28"/>
      <c r="AK25" s="17">
        <f>AK24/AK11</f>
        <v>0.42144727838992047</v>
      </c>
      <c r="AL25" s="17">
        <f>AL24/AL11</f>
        <v>0.43526636434428106</v>
      </c>
      <c r="AM25" s="17">
        <f>AM24/AM11</f>
        <v>0.44471687252562803</v>
      </c>
      <c r="AN25" s="17">
        <f>AN24/AN11</f>
        <v>0.44493287796300679</v>
      </c>
      <c r="AO25" s="17">
        <f>AO24/AO11</f>
        <v>0.43972797219343834</v>
      </c>
      <c r="AP25" s="17">
        <f>AP24/AP11</f>
        <v>0.43578425587159214</v>
      </c>
      <c r="AQ25" s="17">
        <f>AQ24/AQ11</f>
        <v>0.43395772377598335</v>
      </c>
      <c r="AR25" s="17">
        <f>AR24/AR11</f>
        <v>0.43798748194511317</v>
      </c>
      <c r="AS25" s="43"/>
      <c r="AT25" s="77">
        <f>SUM(AR25-AN25)*1000</f>
        <v>-6.9453960178936232</v>
      </c>
    </row>
    <row r="26" spans="2:46" ht="5.0999999999999996" customHeight="1">
      <c r="B26" s="16"/>
      <c r="C26" s="17"/>
      <c r="D26" s="17"/>
      <c r="E26" s="17"/>
      <c r="F26" s="17"/>
      <c r="G26" s="17"/>
      <c r="H26" s="17"/>
      <c r="I26" s="17"/>
      <c r="J26" s="2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28"/>
      <c r="AK26" s="17"/>
      <c r="AL26" s="17"/>
      <c r="AM26" s="17"/>
      <c r="AN26" s="17"/>
      <c r="AO26" s="17"/>
      <c r="AP26" s="17"/>
      <c r="AQ26" s="17"/>
      <c r="AR26" s="17"/>
      <c r="AS26" s="43"/>
      <c r="AT26" s="77"/>
    </row>
    <row r="27" spans="2:46" ht="12.75" customHeight="1">
      <c r="B27" s="9" t="s">
        <v>199</v>
      </c>
      <c r="C27" s="82">
        <v>-4448</v>
      </c>
      <c r="D27" s="82">
        <v>-8755</v>
      </c>
      <c r="E27" s="82">
        <v>-9831</v>
      </c>
      <c r="F27" s="82">
        <v>-10978</v>
      </c>
      <c r="G27" s="82">
        <v>-16950</v>
      </c>
      <c r="H27" s="82">
        <v>-19651</v>
      </c>
      <c r="I27" s="82">
        <v>-21795</v>
      </c>
      <c r="J27" s="32"/>
      <c r="K27" s="82">
        <v>-2008</v>
      </c>
      <c r="L27" s="82">
        <v>-2436</v>
      </c>
      <c r="M27" s="82">
        <v>-2091</v>
      </c>
      <c r="N27" s="82">
        <v>-2220</v>
      </c>
      <c r="O27" s="82">
        <v>-2231</v>
      </c>
      <c r="P27" s="82">
        <v>-2874</v>
      </c>
      <c r="Q27" s="82">
        <v>-1779</v>
      </c>
      <c r="R27" s="82">
        <v>-2947</v>
      </c>
      <c r="S27" s="82">
        <v>-19</v>
      </c>
      <c r="T27" s="82">
        <v>-3750</v>
      </c>
      <c r="U27" s="82">
        <v>-3462</v>
      </c>
      <c r="V27" s="82">
        <v>-3747</v>
      </c>
      <c r="W27" s="82">
        <v>-4016</v>
      </c>
      <c r="X27" s="82">
        <v>-3914</v>
      </c>
      <c r="Y27" s="82">
        <v>-4374</v>
      </c>
      <c r="Z27" s="82">
        <v>-4646</v>
      </c>
      <c r="AA27" s="82">
        <v>-4993</v>
      </c>
      <c r="AB27" s="82">
        <v>-4656</v>
      </c>
      <c r="AC27" s="82">
        <v>-4788</v>
      </c>
      <c r="AD27" s="82">
        <v>-5214</v>
      </c>
      <c r="AE27" s="82">
        <v>-5602</v>
      </c>
      <c r="AF27" s="82">
        <v>-5257</v>
      </c>
      <c r="AG27" s="82">
        <v>-5553</v>
      </c>
      <c r="AH27" s="82">
        <v>-5383</v>
      </c>
      <c r="AI27" s="82">
        <v>-6554</v>
      </c>
      <c r="AK27" s="32">
        <f>SUM(W27:Z27)</f>
        <v>-16950</v>
      </c>
      <c r="AL27" s="32">
        <f>SUM(X27:AA27)</f>
        <v>-17927</v>
      </c>
      <c r="AM27" s="32">
        <f>SUM(Y27:AB27)</f>
        <v>-18669</v>
      </c>
      <c r="AN27" s="32">
        <f>SUM(Z27:AC27)</f>
        <v>-19083</v>
      </c>
      <c r="AO27" s="32">
        <f>SUM(AA27:AD27)</f>
        <v>-19651</v>
      </c>
      <c r="AP27" s="32">
        <f>SUM(AB27:AE27)</f>
        <v>-20260</v>
      </c>
      <c r="AQ27" s="32">
        <f>SUM(AC27:AF27)</f>
        <v>-20861</v>
      </c>
      <c r="AR27" s="32">
        <f>SUM(AD27:AG27)</f>
        <v>-21626</v>
      </c>
      <c r="AS27" s="11"/>
      <c r="AT27" s="75">
        <f>SUM(AR27/AN27)-1</f>
        <v>0.13325996960645603</v>
      </c>
    </row>
    <row r="28" spans="2:46" ht="12.75" customHeight="1">
      <c r="B28" s="13" t="s">
        <v>104</v>
      </c>
      <c r="C28" s="14">
        <f>SUM(C24+C27)</f>
        <v>39240</v>
      </c>
      <c r="D28" s="14">
        <f>SUM(D24+D27)</f>
        <v>44281</v>
      </c>
      <c r="E28" s="14">
        <f t="shared" ref="E28:I28" si="15">SUM(E24+E27)</f>
        <v>61271</v>
      </c>
      <c r="F28" s="14">
        <f t="shared" si="15"/>
        <v>72738</v>
      </c>
      <c r="G28" s="14">
        <f t="shared" si="15"/>
        <v>72361</v>
      </c>
      <c r="H28" s="14">
        <f t="shared" si="15"/>
        <v>88136</v>
      </c>
      <c r="I28" s="14">
        <f t="shared" si="15"/>
        <v>101832</v>
      </c>
      <c r="J28" s="11"/>
      <c r="K28" s="14">
        <f t="shared" ref="K28" si="16">SUM(K24+K27)</f>
        <v>10678</v>
      </c>
      <c r="L28" s="14">
        <f t="shared" ref="L28" si="17">SUM(L24+L27)</f>
        <v>11649</v>
      </c>
      <c r="M28" s="14">
        <f t="shared" ref="M28" si="18">SUM(M24+M27)</f>
        <v>10752</v>
      </c>
      <c r="N28" s="14">
        <f t="shared" ref="N28" si="19">SUM(N24+N27)</f>
        <v>11202</v>
      </c>
      <c r="O28" s="14">
        <f t="shared" ref="O28" si="20">SUM(O24+O27)</f>
        <v>13893</v>
      </c>
      <c r="P28" s="14">
        <f t="shared" ref="P28" si="21">SUM(P24+P27)</f>
        <v>15463</v>
      </c>
      <c r="Q28" s="14">
        <f t="shared" ref="Q28" si="22">SUM(Q24+Q27)</f>
        <v>15457</v>
      </c>
      <c r="R28" s="14">
        <f t="shared" ref="R28" si="23">SUM(R24+R27)</f>
        <v>16458</v>
      </c>
      <c r="S28" s="14">
        <f t="shared" ref="S28" si="24">SUM(S24+S27)</f>
        <v>20505</v>
      </c>
      <c r="T28" s="14">
        <f t="shared" ref="T28" si="25">SUM(T24+T27)</f>
        <v>18755</v>
      </c>
      <c r="U28" s="14">
        <f t="shared" ref="U28" si="26">SUM(U24+U27)</f>
        <v>16728</v>
      </c>
      <c r="V28" s="14">
        <f t="shared" ref="V28" si="27">SUM(V24+V27)</f>
        <v>16750</v>
      </c>
      <c r="W28" s="14">
        <f t="shared" ref="W28" si="28">SUM(W24+W27)</f>
        <v>17556</v>
      </c>
      <c r="X28" s="14">
        <f t="shared" ref="X28" si="29">SUM(X24+X27)</f>
        <v>16425</v>
      </c>
      <c r="Y28" s="14">
        <f t="shared" ref="Y28" si="30">SUM(Y24+Y27)</f>
        <v>18299</v>
      </c>
      <c r="Z28" s="14">
        <f t="shared" ref="Z28" si="31">SUM(Z24+Z27)</f>
        <v>20081</v>
      </c>
      <c r="AA28" s="14">
        <f t="shared" ref="AA28" si="32">SUM(AA24+AA27)</f>
        <v>22291</v>
      </c>
      <c r="AB28" s="14">
        <f t="shared" ref="AB28" si="33">SUM(AB24+AB27)</f>
        <v>21870</v>
      </c>
      <c r="AC28" s="14">
        <f t="shared" ref="AC28" si="34">SUM(AC24+AC27)</f>
        <v>21939</v>
      </c>
      <c r="AD28" s="14">
        <f t="shared" ref="AD28" si="35">SUM(AD24+AD27)</f>
        <v>22036</v>
      </c>
      <c r="AE28" s="14">
        <f t="shared" ref="AE28" si="36">SUM(AE24+AE27)</f>
        <v>24667</v>
      </c>
      <c r="AF28" s="14">
        <f t="shared" ref="AF28" si="37">SUM(AF24+AF27)</f>
        <v>24108</v>
      </c>
      <c r="AG28" s="14">
        <f t="shared" ref="AG28" si="38">SUM(AG24+AG27)</f>
        <v>25824</v>
      </c>
      <c r="AH28" s="14">
        <f t="shared" ref="AH28" si="39">SUM(AH24+AH27)</f>
        <v>27233</v>
      </c>
      <c r="AI28" s="14">
        <f t="shared" ref="AI28" si="40">SUM(AI24+AI27)</f>
        <v>27747</v>
      </c>
      <c r="AJ28" s="32"/>
      <c r="AK28" s="14">
        <f t="shared" ref="AK28" si="41">SUM(AK24+AK27)</f>
        <v>72361</v>
      </c>
      <c r="AL28" s="14">
        <f t="shared" ref="AL28" si="42">SUM(AL24+AL27)</f>
        <v>77096</v>
      </c>
      <c r="AM28" s="14">
        <f t="shared" ref="AM28" si="43">SUM(AM24+AM27)</f>
        <v>82541</v>
      </c>
      <c r="AN28" s="14">
        <f t="shared" ref="AN28" si="44">SUM(AN24+AN27)</f>
        <v>86181</v>
      </c>
      <c r="AO28" s="14">
        <f t="shared" ref="AO28" si="45">SUM(AO24+AO27)</f>
        <v>88136</v>
      </c>
      <c r="AP28" s="14">
        <f t="shared" ref="AP28" si="46">SUM(AP24+AP27)</f>
        <v>90512</v>
      </c>
      <c r="AQ28" s="14">
        <f t="shared" ref="AQ28" si="47">SUM(AQ24+AQ27)</f>
        <v>92750</v>
      </c>
      <c r="AR28" s="14">
        <f t="shared" ref="AR28" si="48">SUM(AR24+AR27)</f>
        <v>96635</v>
      </c>
      <c r="AS28" s="36"/>
      <c r="AT28" s="76">
        <f>SUM(AR28/AN28)-1</f>
        <v>0.12130283937294761</v>
      </c>
    </row>
    <row r="29" spans="2:46" ht="12.75" customHeight="1">
      <c r="B29" s="16" t="s">
        <v>103</v>
      </c>
      <c r="C29" s="17">
        <f>C28/C11</f>
        <v>0.31181710544090652</v>
      </c>
      <c r="D29" s="17">
        <f>D28/D11</f>
        <v>0.30962486452470023</v>
      </c>
      <c r="E29" s="17">
        <f>E28/E11</f>
        <v>0.36451739564989766</v>
      </c>
      <c r="F29" s="17">
        <f>F28/F11</f>
        <v>0.36686336813436221</v>
      </c>
      <c r="G29" s="17">
        <f>G28/G11</f>
        <v>0.34146237878394642</v>
      </c>
      <c r="H29" s="17">
        <f>H28/H11</f>
        <v>0.35955972944084985</v>
      </c>
      <c r="I29" s="17">
        <f>I28/I11</f>
        <v>0.36146015248967073</v>
      </c>
      <c r="J29" s="27"/>
      <c r="K29" s="17">
        <f>K28/K11</f>
        <v>0.32303736197247013</v>
      </c>
      <c r="L29" s="17">
        <f>L28/L11</f>
        <v>0.31563973337668672</v>
      </c>
      <c r="M29" s="17">
        <f>M28/M11</f>
        <v>0.30701579052568456</v>
      </c>
      <c r="N29" s="17">
        <f>N28/N11</f>
        <v>0.29453369442326399</v>
      </c>
      <c r="O29" s="17">
        <f>O28/O11</f>
        <v>0.37393012865371156</v>
      </c>
      <c r="P29" s="17">
        <f>P28/P11</f>
        <v>0.3589701922184047</v>
      </c>
      <c r="Q29" s="17">
        <f>Q28/Q11</f>
        <v>0.3706181364791637</v>
      </c>
      <c r="R29" s="17">
        <f>R28/R11</f>
        <v>0.35660426417056684</v>
      </c>
      <c r="S29" s="17">
        <f>S28/S11</f>
        <v>0.45247920206545006</v>
      </c>
      <c r="T29" s="17">
        <f>T28/T11</f>
        <v>0.36256959480358802</v>
      </c>
      <c r="U29" s="17">
        <f>U28/U11</f>
        <v>0.33889789303079415</v>
      </c>
      <c r="V29" s="17">
        <f>V28/V11</f>
        <v>0.32295382242359971</v>
      </c>
      <c r="W29" s="17">
        <f>W28/W11</f>
        <v>0.3502653525398029</v>
      </c>
      <c r="X29" s="17">
        <f>X28/X11</f>
        <v>0.31139211708722769</v>
      </c>
      <c r="Y29" s="17">
        <f>Y28/Y11</f>
        <v>0.34619823296819718</v>
      </c>
      <c r="Z29" s="17">
        <f>Z28/Z11</f>
        <v>0.35738311769207498</v>
      </c>
      <c r="AA29" s="17">
        <f>AA28/AA11</f>
        <v>0.39441230072367606</v>
      </c>
      <c r="AB29" s="17">
        <f>AB28/AB11</f>
        <v>0.35262818445662691</v>
      </c>
      <c r="AC29" s="17">
        <f>AC28/AC11</f>
        <v>0.35466714087102719</v>
      </c>
      <c r="AD29" s="17">
        <f>AD28/AD11</f>
        <v>0.34044525468506187</v>
      </c>
      <c r="AE29" s="17">
        <f>AE28/AE11</f>
        <v>0.37610734161774795</v>
      </c>
      <c r="AF29" s="17">
        <f>AF28/AF11</f>
        <v>0.34622012867647056</v>
      </c>
      <c r="AG29" s="17">
        <f>AG28/AG11</f>
        <v>0.36856677989324349</v>
      </c>
      <c r="AH29" s="17">
        <f>AH28/AH11</f>
        <v>0.35626169202391389</v>
      </c>
      <c r="AI29" s="17">
        <f>AI28/AI11</f>
        <v>0.35722838051832684</v>
      </c>
      <c r="AJ29" s="28"/>
      <c r="AK29" s="17">
        <f>AK28/AK11</f>
        <v>0.34146237878394642</v>
      </c>
      <c r="AL29" s="17">
        <f>AL28/AL11</f>
        <v>0.35314919151665064</v>
      </c>
      <c r="AM29" s="17">
        <f>AM28/AM11</f>
        <v>0.36268526208020813</v>
      </c>
      <c r="AN29" s="17">
        <f>AN28/AN11</f>
        <v>0.36427230920096032</v>
      </c>
      <c r="AO29" s="17">
        <f>AO28/AO11</f>
        <v>0.35955972944084985</v>
      </c>
      <c r="AP29" s="17">
        <f>AP28/AP11</f>
        <v>0.35608009756481374</v>
      </c>
      <c r="AQ29" s="17">
        <f>AQ28/AQ11</f>
        <v>0.35427536840818635</v>
      </c>
      <c r="AR29" s="17">
        <f>AR28/AR11</f>
        <v>0.35789415206844188</v>
      </c>
      <c r="AS29" s="43"/>
      <c r="AT29" s="77">
        <f>SUM(AR29-AN29)*1000</f>
        <v>-6.3781571325184361</v>
      </c>
    </row>
    <row r="30" spans="2:46" ht="5.0999999999999996" customHeight="1">
      <c r="B30" s="16"/>
      <c r="C30" s="17"/>
      <c r="D30" s="17"/>
      <c r="E30" s="17"/>
      <c r="F30" s="17"/>
      <c r="G30" s="17"/>
      <c r="H30" s="17"/>
      <c r="I30" s="17"/>
      <c r="J30" s="2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28"/>
      <c r="AK30" s="17"/>
      <c r="AL30" s="17"/>
      <c r="AM30" s="17"/>
      <c r="AN30" s="17"/>
      <c r="AO30" s="17"/>
      <c r="AP30" s="17"/>
      <c r="AQ30" s="17"/>
      <c r="AR30" s="17"/>
      <c r="AS30" s="43"/>
      <c r="AT30" s="77"/>
    </row>
    <row r="31" spans="2:46" ht="12.75" customHeight="1">
      <c r="B31" s="44" t="s">
        <v>84</v>
      </c>
      <c r="C31" s="82"/>
      <c r="D31" s="82">
        <v>-1</v>
      </c>
      <c r="E31" s="82"/>
      <c r="F31" s="82"/>
      <c r="G31" s="82"/>
      <c r="H31" s="82"/>
      <c r="I31" s="82"/>
      <c r="J31" s="27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32">
        <f>G31</f>
        <v>0</v>
      </c>
      <c r="AA31" s="82"/>
      <c r="AB31" s="82"/>
      <c r="AC31" s="82"/>
      <c r="AD31" s="32">
        <f>H31</f>
        <v>0</v>
      </c>
      <c r="AE31" s="82"/>
      <c r="AF31" s="82"/>
      <c r="AG31" s="82"/>
      <c r="AH31" s="82"/>
      <c r="AI31" s="82"/>
      <c r="AJ31" s="132"/>
      <c r="AK31" s="32">
        <f>Z31</f>
        <v>0</v>
      </c>
      <c r="AL31" s="32">
        <f>AA31</f>
        <v>0</v>
      </c>
      <c r="AM31" s="32">
        <f>AB31</f>
        <v>0</v>
      </c>
      <c r="AN31" s="32">
        <f>AC31</f>
        <v>0</v>
      </c>
      <c r="AO31" s="32">
        <f>AD31</f>
        <v>0</v>
      </c>
      <c r="AP31" s="32">
        <f>AE31</f>
        <v>0</v>
      </c>
      <c r="AQ31" s="32">
        <f>AF31</f>
        <v>0</v>
      </c>
      <c r="AR31" s="32">
        <f>AG31</f>
        <v>0</v>
      </c>
      <c r="AS31" s="43"/>
      <c r="AT31" s="75" t="e">
        <f>SUM(AR31/AN31)-1</f>
        <v>#DIV/0!</v>
      </c>
    </row>
    <row r="32" spans="2:46" ht="12.75" customHeight="1">
      <c r="B32" s="13" t="s">
        <v>62</v>
      </c>
      <c r="C32" s="144" t="e">
        <f>C28/C31</f>
        <v>#DIV/0!</v>
      </c>
      <c r="D32" s="144">
        <f>D28/D31</f>
        <v>-44281</v>
      </c>
      <c r="E32" s="144" t="e">
        <f t="shared" ref="E32:I32" si="49">E28/E31</f>
        <v>#DIV/0!</v>
      </c>
      <c r="F32" s="144" t="e">
        <f t="shared" si="49"/>
        <v>#DIV/0!</v>
      </c>
      <c r="G32" s="144" t="e">
        <f t="shared" si="49"/>
        <v>#DIV/0!</v>
      </c>
      <c r="H32" s="144" t="e">
        <f t="shared" si="49"/>
        <v>#DIV/0!</v>
      </c>
      <c r="I32" s="144" t="e">
        <f t="shared" si="49"/>
        <v>#DIV/0!</v>
      </c>
      <c r="J32" s="27"/>
      <c r="K32" s="144" t="e">
        <f t="shared" ref="K32" si="50">K28/K31</f>
        <v>#DIV/0!</v>
      </c>
      <c r="L32" s="144" t="e">
        <f t="shared" ref="L32" si="51">L28/L31</f>
        <v>#DIV/0!</v>
      </c>
      <c r="M32" s="144" t="e">
        <f t="shared" ref="M32" si="52">M28/M31</f>
        <v>#DIV/0!</v>
      </c>
      <c r="N32" s="144" t="e">
        <f t="shared" ref="N32:O32" si="53">N28/N31</f>
        <v>#DIV/0!</v>
      </c>
      <c r="O32" s="144" t="e">
        <f t="shared" si="53"/>
        <v>#DIV/0!</v>
      </c>
      <c r="P32" s="144" t="e">
        <f t="shared" ref="P32" si="54">P28/P31</f>
        <v>#DIV/0!</v>
      </c>
      <c r="Q32" s="144" t="e">
        <f t="shared" ref="Q32" si="55">Q28/Q31</f>
        <v>#DIV/0!</v>
      </c>
      <c r="R32" s="144" t="e">
        <f t="shared" ref="R32" si="56">R28/R31</f>
        <v>#DIV/0!</v>
      </c>
      <c r="S32" s="144" t="e">
        <f t="shared" ref="S32" si="57">S28/S31</f>
        <v>#DIV/0!</v>
      </c>
      <c r="T32" s="144" t="e">
        <f t="shared" ref="T32" si="58">T28/T31</f>
        <v>#DIV/0!</v>
      </c>
      <c r="U32" s="144" t="e">
        <f t="shared" ref="U32" si="59">U28/U31</f>
        <v>#DIV/0!</v>
      </c>
      <c r="V32" s="144" t="e">
        <f t="shared" ref="V32" si="60">V28/V31</f>
        <v>#DIV/0!</v>
      </c>
      <c r="W32" s="144" t="e">
        <f t="shared" ref="W32" si="61">W28/W31</f>
        <v>#DIV/0!</v>
      </c>
      <c r="X32" s="144" t="e">
        <f t="shared" ref="X32" si="62">X28/X31</f>
        <v>#DIV/0!</v>
      </c>
      <c r="Y32" s="144" t="e">
        <f t="shared" ref="Y32" si="63">Y28/Y31</f>
        <v>#DIV/0!</v>
      </c>
      <c r="Z32" s="144" t="e">
        <f t="shared" ref="Z32" si="64">Z28/Z31</f>
        <v>#DIV/0!</v>
      </c>
      <c r="AA32" s="144" t="e">
        <f t="shared" ref="AA32" si="65">AA28/AA31</f>
        <v>#DIV/0!</v>
      </c>
      <c r="AB32" s="144" t="e">
        <f t="shared" ref="AB32" si="66">AB28/AB31</f>
        <v>#DIV/0!</v>
      </c>
      <c r="AC32" s="144" t="e">
        <f t="shared" ref="AC32" si="67">AC28/AC31</f>
        <v>#DIV/0!</v>
      </c>
      <c r="AD32" s="144" t="e">
        <f t="shared" ref="AD32" si="68">AD28/AD31</f>
        <v>#DIV/0!</v>
      </c>
      <c r="AE32" s="144" t="e">
        <f t="shared" ref="AE32" si="69">AE28/AE31</f>
        <v>#DIV/0!</v>
      </c>
      <c r="AF32" s="144" t="e">
        <f t="shared" ref="AF32" si="70">AF28/AF31</f>
        <v>#DIV/0!</v>
      </c>
      <c r="AG32" s="144" t="e">
        <f t="shared" ref="AG32" si="71">AG28/AG31</f>
        <v>#DIV/0!</v>
      </c>
      <c r="AH32" s="144" t="e">
        <f t="shared" ref="AH32" si="72">AH28/AH31</f>
        <v>#DIV/0!</v>
      </c>
      <c r="AI32" s="144" t="e">
        <f t="shared" ref="AI32" si="73">AI28/AI31</f>
        <v>#DIV/0!</v>
      </c>
      <c r="AJ32" s="132"/>
      <c r="AK32" s="144" t="e">
        <f t="shared" ref="AK32" si="74">AK28/AK31</f>
        <v>#DIV/0!</v>
      </c>
      <c r="AL32" s="144" t="e">
        <f t="shared" ref="AL32" si="75">AL28/AL31</f>
        <v>#DIV/0!</v>
      </c>
      <c r="AM32" s="144" t="e">
        <f t="shared" ref="AM32" si="76">AM28/AM31</f>
        <v>#DIV/0!</v>
      </c>
      <c r="AN32" s="144" t="e">
        <f t="shared" ref="AN32" si="77">AN28/AN31</f>
        <v>#DIV/0!</v>
      </c>
      <c r="AO32" s="144" t="e">
        <f t="shared" ref="AO32" si="78">AO28/AO31</f>
        <v>#DIV/0!</v>
      </c>
      <c r="AP32" s="144" t="e">
        <f t="shared" ref="AP32" si="79">AP28/AP31</f>
        <v>#DIV/0!</v>
      </c>
      <c r="AQ32" s="144" t="e">
        <f t="shared" ref="AQ32" si="80">AQ28/AQ31</f>
        <v>#DIV/0!</v>
      </c>
      <c r="AR32" s="144" t="e">
        <f t="shared" ref="AR32" si="81">AR28/AR31</f>
        <v>#DIV/0!</v>
      </c>
      <c r="AS32" s="43"/>
      <c r="AT32" s="76" t="e">
        <f>SUM(AR32/AN32)-1</f>
        <v>#DIV/0!</v>
      </c>
    </row>
    <row r="33" spans="1:46" ht="12.75" customHeight="1">
      <c r="B33" s="25"/>
      <c r="C33" s="48"/>
      <c r="D33" s="48"/>
      <c r="E33" s="48"/>
      <c r="F33" s="48"/>
      <c r="G33" s="48"/>
      <c r="H33" s="48"/>
      <c r="I33" s="48"/>
      <c r="J33" s="143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132"/>
      <c r="AK33" s="132"/>
      <c r="AL33" s="132"/>
      <c r="AM33" s="132"/>
      <c r="AN33" s="48"/>
      <c r="AO33" s="132"/>
      <c r="AP33" s="132"/>
      <c r="AQ33" s="132"/>
      <c r="AR33" s="132"/>
      <c r="AS33" s="43"/>
      <c r="AT33" s="75"/>
    </row>
    <row r="34" spans="1:46" ht="12.75" customHeight="1">
      <c r="B34" s="44" t="s">
        <v>63</v>
      </c>
      <c r="C34" s="82"/>
      <c r="D34" s="82"/>
      <c r="E34" s="82"/>
      <c r="F34" s="82"/>
      <c r="G34" s="82"/>
      <c r="H34" s="82"/>
      <c r="I34" s="82"/>
      <c r="J34" s="143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32">
        <f>G34</f>
        <v>0</v>
      </c>
      <c r="AA34" s="82"/>
      <c r="AB34" s="82"/>
      <c r="AC34" s="82"/>
      <c r="AD34" s="32">
        <f>H34</f>
        <v>0</v>
      </c>
      <c r="AE34" s="82"/>
      <c r="AF34" s="82"/>
      <c r="AG34" s="82"/>
      <c r="AH34" s="82"/>
      <c r="AI34" s="82"/>
      <c r="AJ34" s="132"/>
      <c r="AK34" s="32">
        <f>Z34</f>
        <v>0</v>
      </c>
      <c r="AL34" s="32">
        <f>AA34</f>
        <v>0</v>
      </c>
      <c r="AM34" s="32">
        <f>AB34</f>
        <v>0</v>
      </c>
      <c r="AN34" s="32">
        <f>AC34</f>
        <v>0</v>
      </c>
      <c r="AO34" s="32">
        <f>AD34</f>
        <v>0</v>
      </c>
      <c r="AP34" s="32">
        <f>AE34</f>
        <v>0</v>
      </c>
      <c r="AQ34" s="32">
        <f>AF34</f>
        <v>0</v>
      </c>
      <c r="AR34" s="32">
        <f>AG34</f>
        <v>0</v>
      </c>
      <c r="AS34" s="43"/>
      <c r="AT34" s="75" t="e">
        <f>SUM(AR34/AN34)-1</f>
        <v>#DIV/0!</v>
      </c>
    </row>
    <row r="35" spans="1:46" ht="12.75" customHeight="1">
      <c r="B35" s="13" t="s">
        <v>83</v>
      </c>
      <c r="C35" s="144" t="e">
        <f>C28/C34</f>
        <v>#DIV/0!</v>
      </c>
      <c r="D35" s="144" t="e">
        <f>D28/D34</f>
        <v>#DIV/0!</v>
      </c>
      <c r="E35" s="144" t="e">
        <f t="shared" ref="E35:I35" si="82">E28/E34</f>
        <v>#DIV/0!</v>
      </c>
      <c r="F35" s="144" t="e">
        <f t="shared" si="82"/>
        <v>#DIV/0!</v>
      </c>
      <c r="G35" s="144" t="e">
        <f t="shared" si="82"/>
        <v>#DIV/0!</v>
      </c>
      <c r="H35" s="144" t="e">
        <f t="shared" si="82"/>
        <v>#DIV/0!</v>
      </c>
      <c r="I35" s="144" t="e">
        <f t="shared" si="82"/>
        <v>#DIV/0!</v>
      </c>
      <c r="J35" s="27"/>
      <c r="K35" s="144" t="e">
        <f t="shared" ref="K35" si="83">K28/K34</f>
        <v>#DIV/0!</v>
      </c>
      <c r="L35" s="144" t="e">
        <f t="shared" ref="L35" si="84">L28/L34</f>
        <v>#DIV/0!</v>
      </c>
      <c r="M35" s="144" t="e">
        <f t="shared" ref="M35" si="85">M28/M34</f>
        <v>#DIV/0!</v>
      </c>
      <c r="N35" s="144" t="e">
        <f t="shared" ref="N35:O35" si="86">N28/N34</f>
        <v>#DIV/0!</v>
      </c>
      <c r="O35" s="144" t="e">
        <f t="shared" si="86"/>
        <v>#DIV/0!</v>
      </c>
      <c r="P35" s="144" t="e">
        <f t="shared" ref="P35" si="87">P28/P34</f>
        <v>#DIV/0!</v>
      </c>
      <c r="Q35" s="144" t="e">
        <f t="shared" ref="Q35" si="88">Q28/Q34</f>
        <v>#DIV/0!</v>
      </c>
      <c r="R35" s="144" t="e">
        <f t="shared" ref="R35" si="89">R28/R34</f>
        <v>#DIV/0!</v>
      </c>
      <c r="S35" s="144" t="e">
        <f t="shared" ref="S35" si="90">S28/S34</f>
        <v>#DIV/0!</v>
      </c>
      <c r="T35" s="144" t="e">
        <f t="shared" ref="T35" si="91">T28/T34</f>
        <v>#DIV/0!</v>
      </c>
      <c r="U35" s="144" t="e">
        <f t="shared" ref="U35" si="92">U28/U34</f>
        <v>#DIV/0!</v>
      </c>
      <c r="V35" s="144" t="e">
        <f t="shared" ref="V35" si="93">V28/V34</f>
        <v>#DIV/0!</v>
      </c>
      <c r="W35" s="144" t="e">
        <f t="shared" ref="W35" si="94">W28/W34</f>
        <v>#DIV/0!</v>
      </c>
      <c r="X35" s="144" t="e">
        <f t="shared" ref="X35" si="95">X28/X34</f>
        <v>#DIV/0!</v>
      </c>
      <c r="Y35" s="144" t="e">
        <f t="shared" ref="Y35" si="96">Y28/Y34</f>
        <v>#DIV/0!</v>
      </c>
      <c r="Z35" s="144" t="e">
        <f t="shared" ref="Z35" si="97">Z28/Z34</f>
        <v>#DIV/0!</v>
      </c>
      <c r="AA35" s="144" t="e">
        <f t="shared" ref="AA35" si="98">AA28/AA34</f>
        <v>#DIV/0!</v>
      </c>
      <c r="AB35" s="144" t="e">
        <f t="shared" ref="AB35" si="99">AB28/AB34</f>
        <v>#DIV/0!</v>
      </c>
      <c r="AC35" s="144" t="e">
        <f t="shared" ref="AC35" si="100">AC28/AC34</f>
        <v>#DIV/0!</v>
      </c>
      <c r="AD35" s="144" t="e">
        <f t="shared" ref="AD35" si="101">AD28/AD34</f>
        <v>#DIV/0!</v>
      </c>
      <c r="AE35" s="144" t="e">
        <f t="shared" ref="AE35" si="102">AE28/AE34</f>
        <v>#DIV/0!</v>
      </c>
      <c r="AF35" s="144" t="e">
        <f t="shared" ref="AF35" si="103">AF28/AF34</f>
        <v>#DIV/0!</v>
      </c>
      <c r="AG35" s="144" t="e">
        <f t="shared" ref="AG35" si="104">AG28/AG34</f>
        <v>#DIV/0!</v>
      </c>
      <c r="AH35" s="144" t="e">
        <f t="shared" ref="AH35" si="105">AH28/AH34</f>
        <v>#DIV/0!</v>
      </c>
      <c r="AI35" s="144" t="e">
        <f t="shared" ref="AI35" si="106">AI28/AI34</f>
        <v>#DIV/0!</v>
      </c>
      <c r="AJ35" s="132"/>
      <c r="AK35" s="144" t="e">
        <f t="shared" ref="AK35" si="107">AK28/AK34</f>
        <v>#DIV/0!</v>
      </c>
      <c r="AL35" s="144" t="e">
        <f t="shared" ref="AL35" si="108">AL28/AL34</f>
        <v>#DIV/0!</v>
      </c>
      <c r="AM35" s="144" t="e">
        <f t="shared" ref="AM35" si="109">AM28/AM34</f>
        <v>#DIV/0!</v>
      </c>
      <c r="AN35" s="144" t="e">
        <f t="shared" ref="AN35" si="110">AN28/AN34</f>
        <v>#DIV/0!</v>
      </c>
      <c r="AO35" s="144" t="e">
        <f t="shared" ref="AO35" si="111">AO28/AO34</f>
        <v>#DIV/0!</v>
      </c>
      <c r="AP35" s="144" t="e">
        <f t="shared" ref="AP35" si="112">AP28/AP34</f>
        <v>#DIV/0!</v>
      </c>
      <c r="AQ35" s="144" t="e">
        <f t="shared" ref="AQ35" si="113">AQ28/AQ34</f>
        <v>#DIV/0!</v>
      </c>
      <c r="AR35" s="144" t="e">
        <f t="shared" ref="AR35" si="114">AR28/AR34</f>
        <v>#DIV/0!</v>
      </c>
      <c r="AS35" s="43"/>
      <c r="AT35" s="76" t="e">
        <f>SUM(AR35/AN35)-1</f>
        <v>#DIV/0!</v>
      </c>
    </row>
    <row r="36" spans="1:46">
      <c r="B36" s="16"/>
      <c r="C36" s="17"/>
      <c r="D36" s="17"/>
      <c r="E36" s="17"/>
      <c r="F36" s="17"/>
      <c r="G36" s="17"/>
      <c r="H36" s="17"/>
      <c r="I36" s="17"/>
      <c r="J36" s="2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28"/>
      <c r="AK36" s="17"/>
      <c r="AL36" s="17"/>
      <c r="AM36" s="17"/>
      <c r="AN36" s="17"/>
      <c r="AO36" s="17"/>
      <c r="AP36" s="17"/>
      <c r="AQ36" s="17"/>
      <c r="AR36" s="17"/>
      <c r="AS36" s="43"/>
    </row>
    <row r="37" spans="1:46" ht="12.75" customHeight="1">
      <c r="A37" s="5" t="s">
        <v>16</v>
      </c>
      <c r="B37" s="106" t="s">
        <v>73</v>
      </c>
      <c r="C37" s="107"/>
      <c r="D37" s="107"/>
      <c r="E37" s="107"/>
      <c r="F37" s="107"/>
      <c r="G37" s="107"/>
      <c r="H37" s="107"/>
      <c r="I37" s="107"/>
      <c r="J37" s="108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6"/>
      <c r="AK37" s="107"/>
      <c r="AL37" s="107"/>
      <c r="AM37" s="107" t="s">
        <v>10</v>
      </c>
      <c r="AN37" s="107"/>
      <c r="AO37" s="107"/>
      <c r="AP37" s="107"/>
      <c r="AQ37" s="107"/>
      <c r="AR37" s="107"/>
      <c r="AS37" s="108"/>
      <c r="AT37" s="163" t="s">
        <v>22</v>
      </c>
    </row>
    <row r="38" spans="1:46" ht="12.75" customHeight="1">
      <c r="B38" s="110" t="str">
        <f>B7</f>
        <v>Fiscal Period</v>
      </c>
      <c r="C38" s="109">
        <f>C7</f>
        <v>2019</v>
      </c>
      <c r="D38" s="109">
        <f>D7</f>
        <v>2020</v>
      </c>
      <c r="E38" s="109">
        <f>E7</f>
        <v>2021</v>
      </c>
      <c r="F38" s="109">
        <f>F7</f>
        <v>2022</v>
      </c>
      <c r="G38" s="109">
        <f>G7</f>
        <v>2023</v>
      </c>
      <c r="H38" s="109">
        <f>H7</f>
        <v>2024</v>
      </c>
      <c r="I38" s="109">
        <f>I7</f>
        <v>2025</v>
      </c>
      <c r="J38" s="108"/>
      <c r="K38" s="109" t="str">
        <f>K7</f>
        <v>1Q20</v>
      </c>
      <c r="L38" s="109" t="str">
        <f>L7</f>
        <v>2Q20</v>
      </c>
      <c r="M38" s="109" t="str">
        <f>M7</f>
        <v>3Q20</v>
      </c>
      <c r="N38" s="109" t="str">
        <f>N7</f>
        <v>4Q20</v>
      </c>
      <c r="O38" s="109" t="str">
        <f>O7</f>
        <v>1Q21</v>
      </c>
      <c r="P38" s="109" t="str">
        <f>P7</f>
        <v>2Q21</v>
      </c>
      <c r="Q38" s="109" t="str">
        <f>Q7</f>
        <v>3Q21</v>
      </c>
      <c r="R38" s="109" t="str">
        <f>R7</f>
        <v>4Q21</v>
      </c>
      <c r="S38" s="109" t="str">
        <f>S7</f>
        <v>1Q22</v>
      </c>
      <c r="T38" s="109" t="str">
        <f>T7</f>
        <v>2Q22</v>
      </c>
      <c r="U38" s="109" t="str">
        <f>U7</f>
        <v>3Q22</v>
      </c>
      <c r="V38" s="109" t="str">
        <f>V7</f>
        <v>4Q22</v>
      </c>
      <c r="W38" s="109" t="str">
        <f>W7</f>
        <v>1Q23</v>
      </c>
      <c r="X38" s="109" t="str">
        <f>X7</f>
        <v>2Q23</v>
      </c>
      <c r="Y38" s="109" t="str">
        <f>Y7</f>
        <v>3Q23</v>
      </c>
      <c r="Z38" s="109" t="str">
        <f>Z7</f>
        <v>4Q23</v>
      </c>
      <c r="AA38" s="109" t="str">
        <f>AA7</f>
        <v>1Q24</v>
      </c>
      <c r="AB38" s="109" t="str">
        <f>AB7</f>
        <v>2Q24</v>
      </c>
      <c r="AC38" s="109" t="str">
        <f>AC7</f>
        <v>3Q24</v>
      </c>
      <c r="AD38" s="109" t="str">
        <f>AD7</f>
        <v>4Q24</v>
      </c>
      <c r="AE38" s="109" t="str">
        <f>AE7</f>
        <v>1Q25</v>
      </c>
      <c r="AF38" s="109" t="str">
        <f>AF7</f>
        <v>2Q25</v>
      </c>
      <c r="AG38" s="109" t="str">
        <f>AG7</f>
        <v>3Q25</v>
      </c>
      <c r="AH38" s="109" t="str">
        <f t="shared" ref="AH38:AI38" si="115">AH7</f>
        <v>4Q25</v>
      </c>
      <c r="AI38" s="109" t="str">
        <f t="shared" si="115"/>
        <v>1Q26</v>
      </c>
      <c r="AJ38" s="111"/>
      <c r="AK38" s="109" t="str">
        <f>AK7</f>
        <v>4Q23</v>
      </c>
      <c r="AL38" s="109" t="str">
        <f>AL7</f>
        <v>1Q24</v>
      </c>
      <c r="AM38" s="109" t="str">
        <f>AM7</f>
        <v>2Q24</v>
      </c>
      <c r="AN38" s="109" t="str">
        <f>AN7</f>
        <v>3Q24</v>
      </c>
      <c r="AO38" s="109" t="str">
        <f>AO7</f>
        <v>4Q24</v>
      </c>
      <c r="AP38" s="109" t="str">
        <f>AP7</f>
        <v>1Q25</v>
      </c>
      <c r="AQ38" s="109" t="str">
        <f>AQ7</f>
        <v>2Q25</v>
      </c>
      <c r="AR38" s="109" t="str">
        <f>AR7</f>
        <v>3Q25</v>
      </c>
      <c r="AS38" s="108"/>
      <c r="AT38" s="163"/>
    </row>
    <row r="39" spans="1:46" ht="12.75" customHeight="1">
      <c r="B39" s="110" t="str">
        <f>B8</f>
        <v>Fiscal Period End Date</v>
      </c>
      <c r="C39" s="112">
        <f>C8</f>
        <v>0</v>
      </c>
      <c r="D39" s="112">
        <f>D8</f>
        <v>0</v>
      </c>
      <c r="E39" s="112">
        <f>E8</f>
        <v>0</v>
      </c>
      <c r="F39" s="112">
        <f>F8</f>
        <v>0</v>
      </c>
      <c r="G39" s="112">
        <f>G8</f>
        <v>0</v>
      </c>
      <c r="H39" s="112">
        <f>H8</f>
        <v>0</v>
      </c>
      <c r="I39" s="112">
        <f>I8</f>
        <v>0</v>
      </c>
      <c r="J39" s="108"/>
      <c r="K39" s="112">
        <f>K8</f>
        <v>0</v>
      </c>
      <c r="L39" s="112">
        <f>L8</f>
        <v>0</v>
      </c>
      <c r="M39" s="112">
        <f>M8</f>
        <v>0</v>
      </c>
      <c r="N39" s="112">
        <f>N8</f>
        <v>0</v>
      </c>
      <c r="O39" s="112">
        <f>O8</f>
        <v>0</v>
      </c>
      <c r="P39" s="112">
        <f>P8</f>
        <v>0</v>
      </c>
      <c r="Q39" s="112">
        <f>Q8</f>
        <v>0</v>
      </c>
      <c r="R39" s="112">
        <f>R8</f>
        <v>0</v>
      </c>
      <c r="S39" s="112">
        <f>S8</f>
        <v>0</v>
      </c>
      <c r="T39" s="112">
        <f>T8</f>
        <v>0</v>
      </c>
      <c r="U39" s="112">
        <f>U8</f>
        <v>0</v>
      </c>
      <c r="V39" s="112">
        <f>V8</f>
        <v>0</v>
      </c>
      <c r="W39" s="112">
        <f>W8</f>
        <v>0</v>
      </c>
      <c r="X39" s="112">
        <f>X8</f>
        <v>0</v>
      </c>
      <c r="Y39" s="112">
        <f>Y8</f>
        <v>0</v>
      </c>
      <c r="Z39" s="112">
        <f>Z8</f>
        <v>0</v>
      </c>
      <c r="AA39" s="112">
        <f>AA8</f>
        <v>0</v>
      </c>
      <c r="AB39" s="112">
        <f>AB8</f>
        <v>0</v>
      </c>
      <c r="AC39" s="112">
        <f>AC8</f>
        <v>0</v>
      </c>
      <c r="AD39" s="112">
        <f>AD8</f>
        <v>0</v>
      </c>
      <c r="AE39" s="112">
        <f>AE8</f>
        <v>0</v>
      </c>
      <c r="AF39" s="112">
        <f>AF8</f>
        <v>0</v>
      </c>
      <c r="AG39" s="112">
        <f>AG8</f>
        <v>0</v>
      </c>
      <c r="AH39" s="112">
        <f t="shared" ref="AH39:AI39" si="116">AH8</f>
        <v>0</v>
      </c>
      <c r="AI39" s="112">
        <f t="shared" si="116"/>
        <v>0</v>
      </c>
      <c r="AJ39" s="113"/>
      <c r="AK39" s="112">
        <f>AK8</f>
        <v>0</v>
      </c>
      <c r="AL39" s="112">
        <f>AL8</f>
        <v>0</v>
      </c>
      <c r="AM39" s="112">
        <f>AM8</f>
        <v>0</v>
      </c>
      <c r="AN39" s="112">
        <f>AN8</f>
        <v>0</v>
      </c>
      <c r="AO39" s="112">
        <f>AO8</f>
        <v>0</v>
      </c>
      <c r="AP39" s="112">
        <f>AP8</f>
        <v>0</v>
      </c>
      <c r="AQ39" s="112">
        <f>AQ8</f>
        <v>0</v>
      </c>
      <c r="AR39" s="112">
        <f>AR8</f>
        <v>0</v>
      </c>
      <c r="AS39" s="108"/>
      <c r="AT39" s="163"/>
    </row>
    <row r="40" spans="1:46" ht="5.0999999999999996" customHeight="1">
      <c r="B40" s="46"/>
      <c r="C40" s="47"/>
      <c r="D40" s="47"/>
      <c r="E40" s="47"/>
      <c r="F40" s="47"/>
      <c r="G40" s="47"/>
      <c r="H40" s="47"/>
      <c r="I40" s="47"/>
    </row>
    <row r="41" spans="1:46">
      <c r="B41" s="78" t="s">
        <v>78</v>
      </c>
      <c r="C41" s="47"/>
      <c r="D41" s="47"/>
      <c r="E41" s="47"/>
      <c r="F41" s="47"/>
      <c r="G41" s="47"/>
      <c r="H41" s="47"/>
      <c r="I41" s="47"/>
    </row>
    <row r="42" spans="1:46" s="122" customFormat="1" ht="12.75" customHeight="1">
      <c r="B42" s="114" t="s">
        <v>172</v>
      </c>
      <c r="C42" s="123">
        <v>11356</v>
      </c>
      <c r="D42" s="123">
        <v>13576</v>
      </c>
      <c r="E42" s="123">
        <v>14224</v>
      </c>
      <c r="F42" s="123">
        <v>13931</v>
      </c>
      <c r="G42" s="123">
        <v>34704</v>
      </c>
      <c r="H42" s="123">
        <v>18315</v>
      </c>
      <c r="I42" s="123">
        <v>30242</v>
      </c>
      <c r="K42" s="82">
        <v>13117</v>
      </c>
      <c r="L42" s="82">
        <v>8864</v>
      </c>
      <c r="M42" s="82">
        <v>11710</v>
      </c>
      <c r="N42" s="82">
        <v>13576</v>
      </c>
      <c r="O42" s="82">
        <v>17205</v>
      </c>
      <c r="P42" s="82">
        <v>14432</v>
      </c>
      <c r="Q42" s="82">
        <v>13702</v>
      </c>
      <c r="R42" s="82">
        <v>14224</v>
      </c>
      <c r="S42" s="82">
        <v>19165</v>
      </c>
      <c r="T42" s="82">
        <v>20604</v>
      </c>
      <c r="U42" s="82">
        <v>12498</v>
      </c>
      <c r="V42" s="82">
        <v>13931</v>
      </c>
      <c r="W42" s="82">
        <v>22884</v>
      </c>
      <c r="X42" s="82">
        <v>15646</v>
      </c>
      <c r="Y42" s="82">
        <v>26562</v>
      </c>
      <c r="Z42" s="32">
        <v>34704</v>
      </c>
      <c r="AA42" s="82">
        <v>80452</v>
      </c>
      <c r="AB42" s="82">
        <v>17305</v>
      </c>
      <c r="AC42" s="82">
        <v>19634</v>
      </c>
      <c r="AD42" s="32">
        <v>18315</v>
      </c>
      <c r="AE42" s="82">
        <v>20840</v>
      </c>
      <c r="AF42" s="82">
        <v>17482</v>
      </c>
      <c r="AG42" s="82">
        <v>28828</v>
      </c>
      <c r="AH42" s="82">
        <v>30242</v>
      </c>
      <c r="AI42" s="82">
        <v>28849</v>
      </c>
      <c r="AK42" s="96">
        <f>Z42</f>
        <v>34704</v>
      </c>
      <c r="AL42" s="96">
        <f>AA42</f>
        <v>80452</v>
      </c>
      <c r="AM42" s="96">
        <f>AB42</f>
        <v>17305</v>
      </c>
      <c r="AN42" s="96">
        <f>AC42</f>
        <v>19634</v>
      </c>
      <c r="AO42" s="96">
        <f>AD42</f>
        <v>18315</v>
      </c>
      <c r="AP42" s="96">
        <f>AE42</f>
        <v>20840</v>
      </c>
      <c r="AQ42" s="96">
        <f>AF42</f>
        <v>17482</v>
      </c>
      <c r="AR42" s="96">
        <f>AG42</f>
        <v>28828</v>
      </c>
      <c r="AS42" s="124"/>
      <c r="AT42" s="75">
        <f>SUM(AR42/AN42)-1</f>
        <v>0.46826932871549354</v>
      </c>
    </row>
    <row r="43" spans="1:46" s="122" customFormat="1" ht="12.75" customHeight="1">
      <c r="B43" s="114" t="s">
        <v>162</v>
      </c>
      <c r="C43" s="123">
        <v>122463</v>
      </c>
      <c r="D43" s="123">
        <v>122951</v>
      </c>
      <c r="E43" s="123">
        <v>116110</v>
      </c>
      <c r="F43" s="123">
        <v>90826</v>
      </c>
      <c r="G43" s="123">
        <v>76558</v>
      </c>
      <c r="H43" s="123">
        <v>57228</v>
      </c>
      <c r="I43" s="123">
        <v>64323</v>
      </c>
      <c r="K43" s="82">
        <v>123519</v>
      </c>
      <c r="L43" s="82">
        <v>125389</v>
      </c>
      <c r="M43" s="82">
        <v>125916</v>
      </c>
      <c r="N43" s="82">
        <v>122951</v>
      </c>
      <c r="O43" s="82">
        <v>120772</v>
      </c>
      <c r="P43" s="82">
        <v>117536</v>
      </c>
      <c r="Q43" s="82">
        <v>111705</v>
      </c>
      <c r="R43" s="82">
        <v>116110</v>
      </c>
      <c r="S43" s="82">
        <v>111450</v>
      </c>
      <c r="T43" s="82">
        <v>104765</v>
      </c>
      <c r="U43" s="82">
        <v>92195</v>
      </c>
      <c r="V43" s="82">
        <v>90826</v>
      </c>
      <c r="W43" s="82">
        <v>84378</v>
      </c>
      <c r="X43" s="82">
        <v>83862</v>
      </c>
      <c r="Y43" s="82">
        <v>77865</v>
      </c>
      <c r="Z43" s="32">
        <v>76558</v>
      </c>
      <c r="AA43" s="82">
        <v>63499</v>
      </c>
      <c r="AB43" s="82">
        <v>63712</v>
      </c>
      <c r="AC43" s="82">
        <v>60387</v>
      </c>
      <c r="AD43" s="32">
        <v>57228</v>
      </c>
      <c r="AE43" s="82">
        <v>57588</v>
      </c>
      <c r="AF43" s="82">
        <v>54073</v>
      </c>
      <c r="AG43" s="82">
        <v>50790</v>
      </c>
      <c r="AH43" s="82">
        <v>64323</v>
      </c>
      <c r="AI43" s="82">
        <v>73163</v>
      </c>
      <c r="AK43" s="96">
        <f>Z43</f>
        <v>76558</v>
      </c>
      <c r="AL43" s="96">
        <f>AA43</f>
        <v>63499</v>
      </c>
      <c r="AM43" s="96">
        <f>AB43</f>
        <v>63712</v>
      </c>
      <c r="AN43" s="96">
        <f>AC43</f>
        <v>60387</v>
      </c>
      <c r="AO43" s="96">
        <f>AD43</f>
        <v>57228</v>
      </c>
      <c r="AP43" s="96">
        <f>AE43</f>
        <v>57588</v>
      </c>
      <c r="AQ43" s="96">
        <f>AF43</f>
        <v>54073</v>
      </c>
      <c r="AR43" s="96">
        <f>AG43</f>
        <v>50790</v>
      </c>
      <c r="AS43" s="124"/>
      <c r="AT43" s="75">
        <f t="shared" ref="AT43" si="117">SUM(AR43/AN43)-1</f>
        <v>-0.15892493417457398</v>
      </c>
    </row>
    <row r="44" spans="1:46" s="122" customFormat="1" ht="12.75" customHeight="1">
      <c r="B44" s="114" t="s">
        <v>173</v>
      </c>
      <c r="C44" s="123">
        <v>29524</v>
      </c>
      <c r="D44" s="123">
        <v>32011</v>
      </c>
      <c r="E44" s="123">
        <v>38043</v>
      </c>
      <c r="F44" s="123">
        <v>44261</v>
      </c>
      <c r="G44" s="123">
        <v>48688</v>
      </c>
      <c r="H44" s="123">
        <v>56924</v>
      </c>
      <c r="I44" s="123">
        <v>69905</v>
      </c>
      <c r="K44" s="82">
        <v>19087</v>
      </c>
      <c r="L44" s="82">
        <v>23525</v>
      </c>
      <c r="M44" s="82">
        <v>22699</v>
      </c>
      <c r="N44" s="82">
        <v>32011</v>
      </c>
      <c r="O44" s="82">
        <v>22851</v>
      </c>
      <c r="P44" s="82">
        <v>27312</v>
      </c>
      <c r="Q44" s="82">
        <v>26322</v>
      </c>
      <c r="R44" s="82">
        <v>38043</v>
      </c>
      <c r="S44" s="82">
        <v>27349</v>
      </c>
      <c r="T44" s="82">
        <v>33520</v>
      </c>
      <c r="U44" s="82">
        <v>32613</v>
      </c>
      <c r="V44" s="82">
        <v>44261</v>
      </c>
      <c r="W44" s="82">
        <v>31279</v>
      </c>
      <c r="X44" s="82">
        <v>35833</v>
      </c>
      <c r="Y44" s="82">
        <v>37420</v>
      </c>
      <c r="Z44" s="32">
        <v>48688</v>
      </c>
      <c r="AA44" s="82">
        <v>36953</v>
      </c>
      <c r="AB44" s="82">
        <v>42831</v>
      </c>
      <c r="AC44" s="82">
        <v>44029</v>
      </c>
      <c r="AD44" s="32">
        <v>56924</v>
      </c>
      <c r="AE44" s="82">
        <v>44148</v>
      </c>
      <c r="AF44" s="82">
        <v>48188</v>
      </c>
      <c r="AG44" s="82">
        <v>51700</v>
      </c>
      <c r="AH44" s="82">
        <v>69905</v>
      </c>
      <c r="AI44" s="82">
        <v>52894</v>
      </c>
      <c r="AK44" s="96">
        <f>Z44</f>
        <v>48688</v>
      </c>
      <c r="AL44" s="96">
        <f>AA44</f>
        <v>36953</v>
      </c>
      <c r="AM44" s="96">
        <f>AB44</f>
        <v>42831</v>
      </c>
      <c r="AN44" s="96">
        <f>AC44</f>
        <v>44029</v>
      </c>
      <c r="AO44" s="96">
        <f>AD44</f>
        <v>56924</v>
      </c>
      <c r="AP44" s="96">
        <f>AE44</f>
        <v>44148</v>
      </c>
      <c r="AQ44" s="96">
        <f>AF44</f>
        <v>48188</v>
      </c>
      <c r="AR44" s="96">
        <f>AG44</f>
        <v>51700</v>
      </c>
      <c r="AS44" s="124"/>
      <c r="AT44" s="75">
        <f t="shared" ref="AT44" si="118">SUM(AR44/AN44)-1</f>
        <v>0.17422607826659697</v>
      </c>
    </row>
    <row r="45" spans="1:46" s="122" customFormat="1" ht="12.75" customHeight="1">
      <c r="B45" s="114" t="s">
        <v>105</v>
      </c>
      <c r="C45" s="123">
        <v>2063</v>
      </c>
      <c r="D45" s="123">
        <v>1895</v>
      </c>
      <c r="E45" s="123">
        <v>2636</v>
      </c>
      <c r="F45" s="123">
        <v>3742</v>
      </c>
      <c r="G45" s="123">
        <v>2500</v>
      </c>
      <c r="H45" s="123">
        <v>1246</v>
      </c>
      <c r="I45" s="123">
        <v>938</v>
      </c>
      <c r="K45" s="82">
        <v>2622</v>
      </c>
      <c r="L45" s="82">
        <v>1823</v>
      </c>
      <c r="M45" s="82">
        <v>1644</v>
      </c>
      <c r="N45" s="82">
        <v>1895</v>
      </c>
      <c r="O45" s="82">
        <v>2705</v>
      </c>
      <c r="P45" s="82">
        <v>1924</v>
      </c>
      <c r="Q45" s="82">
        <v>2245</v>
      </c>
      <c r="R45" s="82">
        <v>2636</v>
      </c>
      <c r="S45" s="82">
        <v>3411</v>
      </c>
      <c r="T45" s="82">
        <v>3019</v>
      </c>
      <c r="U45" s="82">
        <v>3296</v>
      </c>
      <c r="V45" s="82">
        <v>3742</v>
      </c>
      <c r="W45" s="82">
        <v>4268</v>
      </c>
      <c r="X45" s="82">
        <v>2980</v>
      </c>
      <c r="Y45" s="82">
        <v>2877</v>
      </c>
      <c r="Z45" s="32">
        <v>2500</v>
      </c>
      <c r="AA45" s="82">
        <v>3000</v>
      </c>
      <c r="AB45" s="82">
        <v>1615</v>
      </c>
      <c r="AC45" s="82">
        <v>1304</v>
      </c>
      <c r="AD45" s="32">
        <v>1246</v>
      </c>
      <c r="AE45" s="82">
        <v>1626</v>
      </c>
      <c r="AF45" s="82">
        <v>909</v>
      </c>
      <c r="AG45" s="82">
        <v>848</v>
      </c>
      <c r="AH45" s="82">
        <v>938</v>
      </c>
      <c r="AI45" s="82">
        <v>1130</v>
      </c>
      <c r="AK45" s="96">
        <f>Z45</f>
        <v>2500</v>
      </c>
      <c r="AL45" s="96">
        <f>AA45</f>
        <v>3000</v>
      </c>
      <c r="AM45" s="96">
        <f>AB45</f>
        <v>1615</v>
      </c>
      <c r="AN45" s="96">
        <f>AC45</f>
        <v>1304</v>
      </c>
      <c r="AO45" s="96">
        <f>AD45</f>
        <v>1246</v>
      </c>
      <c r="AP45" s="96">
        <f>AE45</f>
        <v>1626</v>
      </c>
      <c r="AQ45" s="96">
        <f>AF45</f>
        <v>909</v>
      </c>
      <c r="AR45" s="96">
        <f>AG45</f>
        <v>848</v>
      </c>
      <c r="AS45" s="124"/>
      <c r="AT45" s="75">
        <f t="shared" ref="AT45" si="119">SUM(AR45/AN45)-1</f>
        <v>-0.34969325153374231</v>
      </c>
    </row>
    <row r="46" spans="1:46" s="122" customFormat="1" ht="12.75" customHeight="1">
      <c r="B46" s="114" t="s">
        <v>187</v>
      </c>
      <c r="C46" s="123">
        <v>10146</v>
      </c>
      <c r="D46" s="123">
        <v>11482</v>
      </c>
      <c r="E46" s="123">
        <v>13393</v>
      </c>
      <c r="F46" s="123">
        <v>16924</v>
      </c>
      <c r="G46" s="123">
        <v>21807</v>
      </c>
      <c r="H46" s="123">
        <v>26021</v>
      </c>
      <c r="I46" s="123">
        <v>25723</v>
      </c>
      <c r="K46" s="82">
        <v>7551</v>
      </c>
      <c r="L46" s="82">
        <v>7473</v>
      </c>
      <c r="M46" s="82">
        <v>8536</v>
      </c>
      <c r="N46" s="82">
        <v>11482</v>
      </c>
      <c r="O46" s="82">
        <v>13544</v>
      </c>
      <c r="P46" s="82">
        <v>12769</v>
      </c>
      <c r="Q46" s="82">
        <v>11640</v>
      </c>
      <c r="R46" s="82">
        <v>13393</v>
      </c>
      <c r="S46" s="82">
        <v>12951</v>
      </c>
      <c r="T46" s="82">
        <v>12280</v>
      </c>
      <c r="U46" s="82">
        <v>13320</v>
      </c>
      <c r="V46" s="82">
        <v>16924</v>
      </c>
      <c r="W46" s="82">
        <v>18003</v>
      </c>
      <c r="X46" s="82">
        <v>19502</v>
      </c>
      <c r="Y46" s="82">
        <v>19165</v>
      </c>
      <c r="Z46" s="32">
        <v>21807</v>
      </c>
      <c r="AA46" s="82">
        <v>23682</v>
      </c>
      <c r="AB46" s="82">
        <v>21930</v>
      </c>
      <c r="AC46" s="82">
        <v>21826</v>
      </c>
      <c r="AD46" s="32">
        <v>26021</v>
      </c>
      <c r="AE46" s="82">
        <v>25724</v>
      </c>
      <c r="AF46" s="82">
        <v>26428</v>
      </c>
      <c r="AG46" s="82">
        <v>24478</v>
      </c>
      <c r="AH46" s="82">
        <v>25723</v>
      </c>
      <c r="AI46" s="82">
        <v>33030</v>
      </c>
      <c r="AK46" s="96">
        <f>Z46</f>
        <v>21807</v>
      </c>
      <c r="AL46" s="96">
        <f>AA46</f>
        <v>23682</v>
      </c>
      <c r="AM46" s="96">
        <f>AB46</f>
        <v>21930</v>
      </c>
      <c r="AN46" s="96">
        <f>AC46</f>
        <v>21826</v>
      </c>
      <c r="AO46" s="96">
        <f>AD46</f>
        <v>26021</v>
      </c>
      <c r="AP46" s="96">
        <f>AE46</f>
        <v>25724</v>
      </c>
      <c r="AQ46" s="96">
        <f>AF46</f>
        <v>26428</v>
      </c>
      <c r="AR46" s="96">
        <f>AG46</f>
        <v>24478</v>
      </c>
      <c r="AS46" s="124"/>
      <c r="AT46" s="75">
        <f t="shared" ref="AT46" si="120">SUM(AR46/AN46)-1</f>
        <v>0.12150646018510036</v>
      </c>
    </row>
    <row r="47" spans="1:46" ht="12.75" customHeight="1">
      <c r="B47" s="25" t="s">
        <v>18</v>
      </c>
      <c r="C47" s="26">
        <f>SUM(C42:C46)</f>
        <v>175552</v>
      </c>
      <c r="D47" s="26">
        <f>SUM(D42:D46)</f>
        <v>181915</v>
      </c>
      <c r="E47" s="26">
        <f>SUM(E42:E46)</f>
        <v>184406</v>
      </c>
      <c r="F47" s="26">
        <f>SUM(F42:F46)</f>
        <v>169684</v>
      </c>
      <c r="G47" s="26">
        <f>SUM(G42:G46)</f>
        <v>184257</v>
      </c>
      <c r="H47" s="26">
        <f>SUM(H42:H46)</f>
        <v>159734</v>
      </c>
      <c r="I47" s="26">
        <f>SUM(I42:I46)</f>
        <v>191131</v>
      </c>
      <c r="J47" s="48"/>
      <c r="K47" s="26">
        <f>SUM(K42:K46)</f>
        <v>165896</v>
      </c>
      <c r="L47" s="26">
        <f>SUM(L42:L46)</f>
        <v>167074</v>
      </c>
      <c r="M47" s="26">
        <f>SUM(M42:M46)</f>
        <v>170505</v>
      </c>
      <c r="N47" s="26">
        <f>SUM(N42:N46)</f>
        <v>181915</v>
      </c>
      <c r="O47" s="26">
        <f>SUM(O42:O46)</f>
        <v>177077</v>
      </c>
      <c r="P47" s="26">
        <f>SUM(P42:P46)</f>
        <v>173973</v>
      </c>
      <c r="Q47" s="26">
        <f>SUM(Q42:Q46)</f>
        <v>165614</v>
      </c>
      <c r="R47" s="26">
        <f>SUM(R42:R46)</f>
        <v>184406</v>
      </c>
      <c r="S47" s="26">
        <f>SUM(S42:S46)</f>
        <v>174326</v>
      </c>
      <c r="T47" s="26">
        <f>SUM(T42:T46)</f>
        <v>174188</v>
      </c>
      <c r="U47" s="26">
        <f>SUM(U42:U46)</f>
        <v>153922</v>
      </c>
      <c r="V47" s="26">
        <f>SUM(V42:V46)</f>
        <v>169684</v>
      </c>
      <c r="W47" s="26">
        <f>SUM(W42:W46)</f>
        <v>160812</v>
      </c>
      <c r="X47" s="26">
        <f>SUM(X42:X46)</f>
        <v>157823</v>
      </c>
      <c r="Y47" s="26">
        <f>SUM(Y42:Y46)</f>
        <v>163889</v>
      </c>
      <c r="Z47" s="26">
        <f>SUM(Z42:Z46)</f>
        <v>184257</v>
      </c>
      <c r="AA47" s="26">
        <f>SUM(AA42:AA46)</f>
        <v>207586</v>
      </c>
      <c r="AB47" s="26">
        <f>SUM(AB42:AB46)</f>
        <v>147393</v>
      </c>
      <c r="AC47" s="26">
        <f>SUM(AC42:AC46)</f>
        <v>147180</v>
      </c>
      <c r="AD47" s="26">
        <f>SUM(AD42:AD46)</f>
        <v>159734</v>
      </c>
      <c r="AE47" s="26">
        <f>SUM(AE42:AE46)</f>
        <v>149926</v>
      </c>
      <c r="AF47" s="26">
        <f>SUM(AF42:AF46)</f>
        <v>147080</v>
      </c>
      <c r="AG47" s="26">
        <f>SUM(AG42:AG46)</f>
        <v>156644</v>
      </c>
      <c r="AH47" s="26">
        <f>SUM(AH42:AH46)</f>
        <v>191131</v>
      </c>
      <c r="AI47" s="26">
        <f>SUM(AI42:AI46)</f>
        <v>189066</v>
      </c>
      <c r="AJ47" s="48"/>
      <c r="AK47" s="26">
        <f>SUM(AK42:AK46)</f>
        <v>184257</v>
      </c>
      <c r="AL47" s="26">
        <f>SUM(AL42:AL46)</f>
        <v>207586</v>
      </c>
      <c r="AM47" s="26">
        <f>SUM(AM42:AM46)</f>
        <v>147393</v>
      </c>
      <c r="AN47" s="26">
        <f>SUM(AN42:AN46)</f>
        <v>147180</v>
      </c>
      <c r="AO47" s="26">
        <f>SUM(AO42:AO46)</f>
        <v>159734</v>
      </c>
      <c r="AP47" s="26">
        <f>SUM(AP42:AP46)</f>
        <v>149926</v>
      </c>
      <c r="AQ47" s="26">
        <f>SUM(AQ42:AQ46)</f>
        <v>147080</v>
      </c>
      <c r="AR47" s="26">
        <f>SUM(AR42:AR46)</f>
        <v>156644</v>
      </c>
      <c r="AS47" s="42"/>
      <c r="AT47" s="76">
        <f>SUM(AR47/AN47)-1</f>
        <v>6.4302214974860661E-2</v>
      </c>
    </row>
    <row r="48" spans="1:46" ht="5.0999999999999996" customHeight="1">
      <c r="B48" s="25"/>
      <c r="C48" s="49"/>
      <c r="D48" s="49"/>
      <c r="E48" s="49"/>
      <c r="F48" s="49"/>
      <c r="G48" s="41"/>
      <c r="H48" s="41"/>
      <c r="I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K48" s="42"/>
      <c r="AL48" s="42"/>
      <c r="AM48" s="42"/>
      <c r="AN48" s="42"/>
      <c r="AO48" s="42"/>
      <c r="AP48" s="42"/>
      <c r="AQ48" s="42"/>
      <c r="AR48" s="42"/>
      <c r="AS48" s="42"/>
      <c r="AT48" s="39"/>
    </row>
    <row r="49" spans="2:46" ht="12.75" customHeight="1">
      <c r="B49" s="78" t="s">
        <v>79</v>
      </c>
      <c r="C49" s="82"/>
      <c r="D49" s="82"/>
      <c r="E49" s="82"/>
      <c r="F49" s="82"/>
      <c r="G49" s="82"/>
      <c r="H49" s="82"/>
      <c r="I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32"/>
      <c r="AF49" s="82"/>
      <c r="AG49" s="82"/>
      <c r="AH49" s="82"/>
      <c r="AI49" s="82"/>
      <c r="AK49" s="32"/>
      <c r="AL49" s="32"/>
      <c r="AM49" s="32"/>
      <c r="AN49" s="32"/>
      <c r="AO49" s="32"/>
      <c r="AP49" s="32"/>
      <c r="AQ49" s="32"/>
      <c r="AR49" s="32"/>
      <c r="AS49" s="11"/>
      <c r="AT49" s="75"/>
    </row>
    <row r="50" spans="2:46" ht="12.75" customHeight="1">
      <c r="B50" s="9" t="s">
        <v>150</v>
      </c>
      <c r="C50" s="82">
        <v>36477</v>
      </c>
      <c r="D50" s="82">
        <v>44151</v>
      </c>
      <c r="E50" s="82">
        <v>59715</v>
      </c>
      <c r="F50" s="82">
        <v>74398</v>
      </c>
      <c r="G50" s="82">
        <v>95641</v>
      </c>
      <c r="H50" s="82">
        <v>135591</v>
      </c>
      <c r="I50" s="82">
        <v>204966</v>
      </c>
      <c r="K50" s="82">
        <v>38409</v>
      </c>
      <c r="L50" s="82">
        <v>40522</v>
      </c>
      <c r="M50" s="82">
        <v>41221</v>
      </c>
      <c r="N50" s="82">
        <v>44151</v>
      </c>
      <c r="O50" s="82">
        <v>47927</v>
      </c>
      <c r="P50" s="82">
        <v>51737</v>
      </c>
      <c r="Q50" s="82">
        <v>54945</v>
      </c>
      <c r="R50" s="82">
        <v>59715</v>
      </c>
      <c r="S50" s="82">
        <v>63772</v>
      </c>
      <c r="T50" s="82">
        <v>67214</v>
      </c>
      <c r="U50" s="82">
        <v>70298</v>
      </c>
      <c r="V50" s="82">
        <v>74398</v>
      </c>
      <c r="W50" s="82">
        <v>77037</v>
      </c>
      <c r="X50" s="82">
        <v>82755</v>
      </c>
      <c r="Y50" s="82">
        <v>88132</v>
      </c>
      <c r="Z50" s="32">
        <v>95641</v>
      </c>
      <c r="AA50" s="82">
        <v>102502</v>
      </c>
      <c r="AB50" s="82">
        <v>112308</v>
      </c>
      <c r="AC50" s="82">
        <v>121826</v>
      </c>
      <c r="AD50" s="32">
        <v>135591</v>
      </c>
      <c r="AE50" s="82">
        <v>152863</v>
      </c>
      <c r="AF50" s="82">
        <v>166902</v>
      </c>
      <c r="AG50" s="82">
        <v>183939</v>
      </c>
      <c r="AH50" s="82">
        <v>204966</v>
      </c>
      <c r="AI50" s="82">
        <v>230861</v>
      </c>
      <c r="AK50" s="32">
        <f>Z50</f>
        <v>95641</v>
      </c>
      <c r="AL50" s="32">
        <f>AA50</f>
        <v>102502</v>
      </c>
      <c r="AM50" s="32">
        <f>AB50</f>
        <v>112308</v>
      </c>
      <c r="AN50" s="32">
        <f>AC50</f>
        <v>121826</v>
      </c>
      <c r="AO50" s="32">
        <f>AD50</f>
        <v>135591</v>
      </c>
      <c r="AP50" s="32">
        <f>AE50</f>
        <v>152863</v>
      </c>
      <c r="AQ50" s="32">
        <f>AF50</f>
        <v>166902</v>
      </c>
      <c r="AR50" s="32">
        <f>AG50</f>
        <v>183939</v>
      </c>
      <c r="AS50" s="11"/>
      <c r="AT50" s="75">
        <f t="shared" ref="AT50:AT56" si="121">SUM(AR50/AN50)-1</f>
        <v>0.50985011409715497</v>
      </c>
    </row>
    <row r="51" spans="2:46" ht="12.75" customHeight="1">
      <c r="B51" s="9" t="s">
        <v>182</v>
      </c>
      <c r="C51" s="82">
        <v>7379</v>
      </c>
      <c r="D51" s="82">
        <v>8753</v>
      </c>
      <c r="E51" s="82">
        <v>11088</v>
      </c>
      <c r="F51" s="82">
        <v>13148</v>
      </c>
      <c r="G51" s="82">
        <v>14346</v>
      </c>
      <c r="H51" s="82">
        <v>18961</v>
      </c>
      <c r="I51" s="82">
        <v>24823</v>
      </c>
      <c r="K51" s="82">
        <v>7890</v>
      </c>
      <c r="L51" s="82">
        <v>8439</v>
      </c>
      <c r="M51" s="82">
        <v>8448</v>
      </c>
      <c r="N51" s="82">
        <v>8753</v>
      </c>
      <c r="O51" s="82">
        <v>9047</v>
      </c>
      <c r="P51" s="82">
        <v>10298</v>
      </c>
      <c r="Q51" s="82">
        <v>10673</v>
      </c>
      <c r="R51" s="82">
        <v>11088</v>
      </c>
      <c r="S51" s="82">
        <v>11575</v>
      </c>
      <c r="T51" s="82">
        <v>12354</v>
      </c>
      <c r="U51" s="82">
        <v>12916</v>
      </c>
      <c r="V51" s="82">
        <v>13148</v>
      </c>
      <c r="W51" s="82">
        <v>13347</v>
      </c>
      <c r="X51" s="82">
        <v>13624</v>
      </c>
      <c r="Y51" s="82">
        <v>13879</v>
      </c>
      <c r="Z51" s="32">
        <v>14346</v>
      </c>
      <c r="AA51" s="82">
        <v>15435</v>
      </c>
      <c r="AB51" s="82">
        <v>16398</v>
      </c>
      <c r="AC51" s="82">
        <v>17371</v>
      </c>
      <c r="AD51" s="32">
        <v>18961</v>
      </c>
      <c r="AE51" s="82">
        <v>20528</v>
      </c>
      <c r="AF51" s="82">
        <v>22816</v>
      </c>
      <c r="AG51" s="82">
        <v>24475</v>
      </c>
      <c r="AH51" s="82">
        <v>24823</v>
      </c>
      <c r="AI51" s="82">
        <v>24791</v>
      </c>
      <c r="AK51" s="32">
        <f>Z51</f>
        <v>14346</v>
      </c>
      <c r="AL51" s="32">
        <f>AA51</f>
        <v>15435</v>
      </c>
      <c r="AM51" s="32">
        <f>AB51</f>
        <v>16398</v>
      </c>
      <c r="AN51" s="32">
        <f>AC51</f>
        <v>17371</v>
      </c>
      <c r="AO51" s="32">
        <f>AD51</f>
        <v>18961</v>
      </c>
      <c r="AP51" s="32">
        <f>AE51</f>
        <v>20528</v>
      </c>
      <c r="AQ51" s="32">
        <f>AF51</f>
        <v>22816</v>
      </c>
      <c r="AR51" s="32">
        <f>AG51</f>
        <v>24475</v>
      </c>
      <c r="AS51" s="11"/>
      <c r="AT51" s="75">
        <f t="shared" si="121"/>
        <v>0.40895745783201898</v>
      </c>
    </row>
    <row r="52" spans="2:46" ht="12.75" customHeight="1">
      <c r="B52" s="9" t="s">
        <v>163</v>
      </c>
      <c r="C52" s="82">
        <v>2649</v>
      </c>
      <c r="D52" s="82">
        <v>2965</v>
      </c>
      <c r="E52" s="82">
        <v>5984</v>
      </c>
      <c r="F52" s="82">
        <v>6891</v>
      </c>
      <c r="G52" s="82">
        <v>9879</v>
      </c>
      <c r="H52" s="82">
        <v>14600</v>
      </c>
      <c r="I52" s="82">
        <v>15405</v>
      </c>
      <c r="K52" s="82">
        <v>2684</v>
      </c>
      <c r="L52" s="82">
        <v>2755</v>
      </c>
      <c r="M52" s="82">
        <v>2660</v>
      </c>
      <c r="N52" s="82">
        <v>2965</v>
      </c>
      <c r="O52" s="82">
        <v>3103</v>
      </c>
      <c r="P52" s="82">
        <v>3794</v>
      </c>
      <c r="Q52" s="82">
        <v>5395</v>
      </c>
      <c r="R52" s="82">
        <v>5984</v>
      </c>
      <c r="S52" s="82">
        <v>6393</v>
      </c>
      <c r="T52" s="82">
        <v>6994</v>
      </c>
      <c r="U52" s="82">
        <v>6907</v>
      </c>
      <c r="V52" s="82">
        <v>6891</v>
      </c>
      <c r="W52" s="82">
        <v>6839</v>
      </c>
      <c r="X52" s="82">
        <v>7097</v>
      </c>
      <c r="Y52" s="82">
        <v>9415</v>
      </c>
      <c r="Z52" s="32">
        <v>9879</v>
      </c>
      <c r="AA52" s="82">
        <v>11423</v>
      </c>
      <c r="AB52" s="82">
        <v>13367</v>
      </c>
      <c r="AC52" s="82">
        <v>14807</v>
      </c>
      <c r="AD52" s="32">
        <v>14600</v>
      </c>
      <c r="AE52" s="82">
        <v>15778</v>
      </c>
      <c r="AF52" s="82">
        <v>15581</v>
      </c>
      <c r="AG52" s="82">
        <v>16035</v>
      </c>
      <c r="AH52" s="82">
        <v>15405</v>
      </c>
      <c r="AI52" s="82">
        <v>11465</v>
      </c>
      <c r="AK52" s="32">
        <f>Z52</f>
        <v>9879</v>
      </c>
      <c r="AL52" s="32">
        <f>AA52</f>
        <v>11423</v>
      </c>
      <c r="AM52" s="32">
        <f>AB52</f>
        <v>13367</v>
      </c>
      <c r="AN52" s="32">
        <f>AC52</f>
        <v>14807</v>
      </c>
      <c r="AO52" s="32">
        <f>AD52</f>
        <v>14600</v>
      </c>
      <c r="AP52" s="32">
        <f>AE52</f>
        <v>15778</v>
      </c>
      <c r="AQ52" s="32">
        <f>AF52</f>
        <v>15581</v>
      </c>
      <c r="AR52" s="32">
        <f>AG52</f>
        <v>16035</v>
      </c>
      <c r="AS52" s="11"/>
      <c r="AT52" s="75">
        <f t="shared" ref="AT52" si="122">SUM(AR52/AN52)-1</f>
        <v>8.2933747551833692E-2</v>
      </c>
    </row>
    <row r="53" spans="2:46" ht="12.75" customHeight="1">
      <c r="B53" s="9" t="s">
        <v>106</v>
      </c>
      <c r="C53" s="82">
        <v>42026</v>
      </c>
      <c r="D53" s="82">
        <v>43351</v>
      </c>
      <c r="E53" s="82">
        <v>49711</v>
      </c>
      <c r="F53" s="82">
        <v>67524</v>
      </c>
      <c r="G53" s="82">
        <v>67886</v>
      </c>
      <c r="H53" s="82">
        <v>119220</v>
      </c>
      <c r="I53" s="82">
        <v>119509</v>
      </c>
      <c r="K53" s="82">
        <v>42113</v>
      </c>
      <c r="L53" s="82">
        <v>42248</v>
      </c>
      <c r="M53" s="82">
        <v>42064</v>
      </c>
      <c r="N53" s="82">
        <v>43351</v>
      </c>
      <c r="O53" s="82">
        <v>43890</v>
      </c>
      <c r="P53" s="82">
        <v>44219</v>
      </c>
      <c r="Q53" s="82">
        <v>49698</v>
      </c>
      <c r="R53" s="82">
        <v>49711</v>
      </c>
      <c r="S53" s="82">
        <v>50455</v>
      </c>
      <c r="T53" s="82">
        <v>50921</v>
      </c>
      <c r="U53" s="82">
        <v>67371</v>
      </c>
      <c r="V53" s="82">
        <v>67524</v>
      </c>
      <c r="W53" s="82">
        <v>67459</v>
      </c>
      <c r="X53" s="82">
        <v>67905</v>
      </c>
      <c r="Y53" s="82">
        <v>67940</v>
      </c>
      <c r="Z53" s="32">
        <v>67886</v>
      </c>
      <c r="AA53" s="82">
        <v>67790</v>
      </c>
      <c r="AB53" s="82">
        <v>118931</v>
      </c>
      <c r="AC53" s="82">
        <v>119163</v>
      </c>
      <c r="AD53" s="32">
        <v>119220</v>
      </c>
      <c r="AE53" s="82">
        <v>119374</v>
      </c>
      <c r="AF53" s="82">
        <v>119191</v>
      </c>
      <c r="AG53" s="82">
        <v>119329</v>
      </c>
      <c r="AH53" s="82">
        <v>119509</v>
      </c>
      <c r="AI53" s="82">
        <v>119497</v>
      </c>
      <c r="AK53" s="32">
        <f>Z53</f>
        <v>67886</v>
      </c>
      <c r="AL53" s="32">
        <f>AA53</f>
        <v>67790</v>
      </c>
      <c r="AM53" s="32">
        <f>AB53</f>
        <v>118931</v>
      </c>
      <c r="AN53" s="32">
        <f>AC53</f>
        <v>119163</v>
      </c>
      <c r="AO53" s="32">
        <f>AD53</f>
        <v>119220</v>
      </c>
      <c r="AP53" s="32">
        <f>AE53</f>
        <v>119374</v>
      </c>
      <c r="AQ53" s="32">
        <f>AF53</f>
        <v>119191</v>
      </c>
      <c r="AR53" s="32">
        <f>AG53</f>
        <v>119329</v>
      </c>
      <c r="AS53" s="11"/>
      <c r="AT53" s="75">
        <f t="shared" si="121"/>
        <v>1.3930498560794646E-3</v>
      </c>
    </row>
    <row r="54" spans="2:46" ht="12.75" customHeight="1">
      <c r="B54" s="9" t="s">
        <v>164</v>
      </c>
      <c r="C54" s="82">
        <v>7750</v>
      </c>
      <c r="D54" s="82">
        <v>7038</v>
      </c>
      <c r="E54" s="82">
        <v>7800</v>
      </c>
      <c r="F54" s="82">
        <v>11298</v>
      </c>
      <c r="G54" s="82">
        <v>9366</v>
      </c>
      <c r="H54" s="82">
        <v>27597</v>
      </c>
      <c r="I54" s="82">
        <v>22604</v>
      </c>
      <c r="K54" s="82">
        <v>7508</v>
      </c>
      <c r="L54" s="82">
        <v>7126</v>
      </c>
      <c r="M54" s="82">
        <v>6855</v>
      </c>
      <c r="N54" s="82">
        <v>7038</v>
      </c>
      <c r="O54" s="82">
        <v>6923</v>
      </c>
      <c r="P54" s="82">
        <v>6555</v>
      </c>
      <c r="Q54" s="82">
        <v>8127</v>
      </c>
      <c r="R54" s="82">
        <v>7800</v>
      </c>
      <c r="S54" s="82">
        <v>7794</v>
      </c>
      <c r="T54" s="82">
        <v>7462</v>
      </c>
      <c r="U54" s="82">
        <v>11348</v>
      </c>
      <c r="V54" s="82">
        <v>11298</v>
      </c>
      <c r="W54" s="82">
        <v>10808</v>
      </c>
      <c r="X54" s="82">
        <v>10354</v>
      </c>
      <c r="Y54" s="82">
        <v>9879</v>
      </c>
      <c r="Z54" s="32">
        <v>9366</v>
      </c>
      <c r="AA54" s="82">
        <v>8895</v>
      </c>
      <c r="AB54" s="82">
        <v>29896</v>
      </c>
      <c r="AC54" s="82">
        <v>28828</v>
      </c>
      <c r="AD54" s="32">
        <v>27597</v>
      </c>
      <c r="AE54" s="82">
        <v>26751</v>
      </c>
      <c r="AF54" s="82">
        <v>25385</v>
      </c>
      <c r="AG54" s="82">
        <v>23968</v>
      </c>
      <c r="AH54" s="82">
        <v>22604</v>
      </c>
      <c r="AI54" s="82">
        <v>21236</v>
      </c>
      <c r="AK54" s="32">
        <f>Z54</f>
        <v>9366</v>
      </c>
      <c r="AL54" s="32">
        <f>AA54</f>
        <v>8895</v>
      </c>
      <c r="AM54" s="32">
        <f>AB54</f>
        <v>29896</v>
      </c>
      <c r="AN54" s="32">
        <f>AC54</f>
        <v>28828</v>
      </c>
      <c r="AO54" s="32">
        <f>AD54</f>
        <v>27597</v>
      </c>
      <c r="AP54" s="32">
        <f>AE54</f>
        <v>26751</v>
      </c>
      <c r="AQ54" s="32">
        <f>AF54</f>
        <v>25385</v>
      </c>
      <c r="AR54" s="32">
        <f>AG54</f>
        <v>23968</v>
      </c>
      <c r="AS54" s="11"/>
      <c r="AT54" s="75">
        <f t="shared" ref="AT54" si="123">SUM(AR54/AN54)-1</f>
        <v>-0.16858609685028447</v>
      </c>
    </row>
    <row r="55" spans="2:46" ht="12.75" customHeight="1">
      <c r="B55" s="9" t="s">
        <v>174</v>
      </c>
      <c r="C55" s="82">
        <v>14723</v>
      </c>
      <c r="D55" s="82">
        <v>13138</v>
      </c>
      <c r="E55" s="82">
        <v>15075</v>
      </c>
      <c r="F55" s="82">
        <v>21897</v>
      </c>
      <c r="G55" s="82">
        <v>30601</v>
      </c>
      <c r="H55" s="82">
        <v>36460</v>
      </c>
      <c r="I55" s="82">
        <v>40565</v>
      </c>
      <c r="K55" s="82">
        <v>14455</v>
      </c>
      <c r="L55" s="82">
        <v>14630</v>
      </c>
      <c r="M55" s="82">
        <v>13696</v>
      </c>
      <c r="N55" s="82">
        <v>13138</v>
      </c>
      <c r="O55" s="82">
        <v>13034</v>
      </c>
      <c r="P55" s="82">
        <v>13561</v>
      </c>
      <c r="Q55" s="82">
        <v>14427</v>
      </c>
      <c r="R55" s="82">
        <v>15075</v>
      </c>
      <c r="S55" s="82">
        <v>21103</v>
      </c>
      <c r="T55" s="82">
        <v>21256</v>
      </c>
      <c r="U55" s="82">
        <v>21845</v>
      </c>
      <c r="V55" s="82">
        <v>21897</v>
      </c>
      <c r="W55" s="82">
        <v>23482</v>
      </c>
      <c r="X55" s="82">
        <v>24994</v>
      </c>
      <c r="Y55" s="82">
        <v>26954</v>
      </c>
      <c r="Z55" s="32">
        <v>30601</v>
      </c>
      <c r="AA55" s="82">
        <v>32154</v>
      </c>
      <c r="AB55" s="82">
        <v>32265</v>
      </c>
      <c r="AC55" s="82">
        <v>35550</v>
      </c>
      <c r="AD55" s="32">
        <v>36460</v>
      </c>
      <c r="AE55" s="82">
        <v>37793</v>
      </c>
      <c r="AF55" s="82">
        <v>36943</v>
      </c>
      <c r="AG55" s="82">
        <v>38234</v>
      </c>
      <c r="AH55" s="82">
        <v>40565</v>
      </c>
      <c r="AI55" s="82">
        <v>39435</v>
      </c>
      <c r="AK55" s="32">
        <f>Z55</f>
        <v>30601</v>
      </c>
      <c r="AL55" s="32">
        <f>AA55</f>
        <v>32154</v>
      </c>
      <c r="AM55" s="32">
        <f>AB55</f>
        <v>32265</v>
      </c>
      <c r="AN55" s="32">
        <f>AC55</f>
        <v>35550</v>
      </c>
      <c r="AO55" s="32">
        <f>AD55</f>
        <v>36460</v>
      </c>
      <c r="AP55" s="32">
        <f>AE55</f>
        <v>37793</v>
      </c>
      <c r="AQ55" s="32">
        <f>AF55</f>
        <v>36943</v>
      </c>
      <c r="AR55" s="32">
        <f>AG55</f>
        <v>38234</v>
      </c>
      <c r="AS55" s="11"/>
      <c r="AT55" s="75">
        <f t="shared" si="121"/>
        <v>7.5499296765119572E-2</v>
      </c>
    </row>
    <row r="56" spans="2:46" ht="12.75" customHeight="1">
      <c r="B56" s="13" t="s">
        <v>19</v>
      </c>
      <c r="C56" s="14">
        <f t="shared" ref="C56:E56" si="124">SUM(C50:C55)+C47</f>
        <v>286556</v>
      </c>
      <c r="D56" s="14">
        <f t="shared" si="124"/>
        <v>301311</v>
      </c>
      <c r="E56" s="14">
        <f t="shared" si="124"/>
        <v>333779</v>
      </c>
      <c r="F56" s="14">
        <f>SUM(F50:F55)+F47</f>
        <v>364840</v>
      </c>
      <c r="G56" s="14">
        <f>SUM(G50:G55)+G47</f>
        <v>411976</v>
      </c>
      <c r="H56" s="14">
        <f>SUM(H50:H55)+H47</f>
        <v>512163</v>
      </c>
      <c r="I56" s="14">
        <f>SUM(I50:I55)+I47</f>
        <v>619003</v>
      </c>
      <c r="K56" s="14">
        <f t="shared" ref="K56" si="125">SUM(K50:K55)+K47</f>
        <v>278955</v>
      </c>
      <c r="L56" s="14">
        <f t="shared" ref="L56" si="126">SUM(L50:L55)+L47</f>
        <v>282794</v>
      </c>
      <c r="M56" s="14">
        <f t="shared" ref="M56" si="127">SUM(M50:M55)+M47</f>
        <v>285449</v>
      </c>
      <c r="N56" s="14">
        <f t="shared" ref="N56:O56" si="128">SUM(N50:N55)+N47</f>
        <v>301311</v>
      </c>
      <c r="O56" s="14">
        <f t="shared" si="128"/>
        <v>301001</v>
      </c>
      <c r="P56" s="14">
        <f t="shared" ref="P56" si="129">SUM(P50:P55)+P47</f>
        <v>304137</v>
      </c>
      <c r="Q56" s="14">
        <f t="shared" ref="Q56" si="130">SUM(Q50:Q55)+Q47</f>
        <v>308879</v>
      </c>
      <c r="R56" s="14">
        <f t="shared" ref="R56" si="131">SUM(R50:R55)+R47</f>
        <v>333779</v>
      </c>
      <c r="S56" s="14">
        <f t="shared" ref="S56" si="132">SUM(S50:S55)+S47</f>
        <v>335418</v>
      </c>
      <c r="T56" s="14">
        <f t="shared" ref="T56" si="133">SUM(T50:T55)+T47</f>
        <v>340389</v>
      </c>
      <c r="U56" s="14">
        <f t="shared" ref="U56" si="134">SUM(U50:U55)+U47</f>
        <v>344607</v>
      </c>
      <c r="V56" s="14">
        <f t="shared" ref="V56" si="135">SUM(V50:V55)+V47</f>
        <v>364840</v>
      </c>
      <c r="W56" s="14">
        <f>SUM(W50:W55)+W47</f>
        <v>359784</v>
      </c>
      <c r="X56" s="14">
        <f>SUM(X50:X55)+X47</f>
        <v>364552</v>
      </c>
      <c r="Y56" s="14">
        <f>SUM(Y50:Y55)+Y47</f>
        <v>380088</v>
      </c>
      <c r="Z56" s="14">
        <f>SUM(Z50:Z55)+Z47</f>
        <v>411976</v>
      </c>
      <c r="AA56" s="14">
        <f>SUM(AA50:AA55)+AA47</f>
        <v>445785</v>
      </c>
      <c r="AB56" s="14">
        <f>SUM(AB50:AB55)+AB47</f>
        <v>470558</v>
      </c>
      <c r="AC56" s="14">
        <f>SUM(AC50:AC55)+AC47</f>
        <v>484725</v>
      </c>
      <c r="AD56" s="14">
        <f>SUM(AD50:AD55)+AD47</f>
        <v>512163</v>
      </c>
      <c r="AE56" s="14">
        <f>SUM(AE50:AE55)+AE47</f>
        <v>523013</v>
      </c>
      <c r="AF56" s="14">
        <f>SUM(AF50:AF55)+AF47</f>
        <v>533898</v>
      </c>
      <c r="AG56" s="14">
        <f>SUM(AG50:AG55)+AG47</f>
        <v>562624</v>
      </c>
      <c r="AH56" s="14">
        <f t="shared" ref="AH56:AI56" si="136">SUM(AH50:AH55)+AH47</f>
        <v>619003</v>
      </c>
      <c r="AI56" s="14">
        <f t="shared" si="136"/>
        <v>636351</v>
      </c>
      <c r="AK56" s="14">
        <f>SUM(AK50:AK55)+AK47</f>
        <v>411976</v>
      </c>
      <c r="AL56" s="14">
        <f>SUM(AL50:AL55)+AL47</f>
        <v>445785</v>
      </c>
      <c r="AM56" s="14">
        <f>SUM(AM50:AM55)+AM47</f>
        <v>470558</v>
      </c>
      <c r="AN56" s="14">
        <f>SUM(AN50:AN55)+AN47</f>
        <v>484725</v>
      </c>
      <c r="AO56" s="14">
        <f>SUM(AO50:AO55)+AO47</f>
        <v>512163</v>
      </c>
      <c r="AP56" s="14">
        <f>SUM(AP50:AP55)+AP47</f>
        <v>523013</v>
      </c>
      <c r="AQ56" s="14">
        <f>SUM(AQ50:AQ55)+AQ47</f>
        <v>533898</v>
      </c>
      <c r="AR56" s="34">
        <f>SUM(AR50:AR55)+AR47</f>
        <v>562624</v>
      </c>
      <c r="AS56" s="42"/>
      <c r="AT56" s="76">
        <f t="shared" si="121"/>
        <v>0.16070761772138842</v>
      </c>
    </row>
    <row r="57" spans="2:46" ht="12.75" customHeight="1">
      <c r="B57" s="25"/>
      <c r="C57" s="50"/>
      <c r="D57" s="50"/>
      <c r="E57" s="50"/>
      <c r="F57" s="50"/>
      <c r="G57" s="41"/>
      <c r="H57" s="41"/>
      <c r="I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K57" s="42"/>
      <c r="AL57" s="42"/>
      <c r="AM57" s="42"/>
      <c r="AN57" s="42"/>
      <c r="AO57" s="42"/>
      <c r="AP57" s="42"/>
      <c r="AQ57" s="42"/>
      <c r="AR57" s="42"/>
      <c r="AS57" s="42"/>
      <c r="AT57" s="39"/>
    </row>
    <row r="58" spans="2:46" ht="12.75" customHeight="1">
      <c r="B58" s="78" t="s">
        <v>45</v>
      </c>
      <c r="C58" s="50"/>
      <c r="D58" s="50"/>
      <c r="E58" s="50"/>
      <c r="F58" s="50"/>
      <c r="G58" s="41"/>
      <c r="H58" s="41"/>
      <c r="I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K58" s="42"/>
      <c r="AL58" s="42"/>
      <c r="AM58" s="42"/>
      <c r="AN58" s="42"/>
      <c r="AO58" s="42"/>
      <c r="AP58" s="42"/>
      <c r="AQ58" s="42"/>
      <c r="AR58" s="42"/>
      <c r="AS58" s="42"/>
      <c r="AT58" s="39"/>
    </row>
    <row r="59" spans="2:46" ht="12.75" customHeight="1">
      <c r="B59" s="120" t="s">
        <v>175</v>
      </c>
      <c r="C59" s="121">
        <v>9382</v>
      </c>
      <c r="D59" s="121">
        <v>12530</v>
      </c>
      <c r="E59" s="121">
        <v>15163</v>
      </c>
      <c r="F59" s="121">
        <v>19000</v>
      </c>
      <c r="G59" s="121">
        <v>18095</v>
      </c>
      <c r="H59" s="121">
        <v>21996</v>
      </c>
      <c r="I59" s="121">
        <v>27724</v>
      </c>
      <c r="K59" s="82">
        <v>8574</v>
      </c>
      <c r="L59" s="82">
        <v>8811</v>
      </c>
      <c r="M59" s="82">
        <v>9246</v>
      </c>
      <c r="N59" s="82">
        <v>12530</v>
      </c>
      <c r="O59" s="82">
        <v>12509</v>
      </c>
      <c r="P59" s="82">
        <v>12770</v>
      </c>
      <c r="Q59" s="82">
        <v>13412</v>
      </c>
      <c r="R59" s="82">
        <v>15163</v>
      </c>
      <c r="S59" s="82">
        <v>14832</v>
      </c>
      <c r="T59" s="82">
        <v>15314</v>
      </c>
      <c r="U59" s="82">
        <v>16085</v>
      </c>
      <c r="V59" s="82">
        <v>19000</v>
      </c>
      <c r="W59" s="82">
        <v>16609</v>
      </c>
      <c r="X59" s="82">
        <v>15354</v>
      </c>
      <c r="Y59" s="82">
        <v>15305</v>
      </c>
      <c r="Z59" s="32">
        <v>18095</v>
      </c>
      <c r="AA59" s="82">
        <v>19307</v>
      </c>
      <c r="AB59" s="82">
        <v>17695</v>
      </c>
      <c r="AC59" s="82">
        <v>18087</v>
      </c>
      <c r="AD59" s="32">
        <v>21996</v>
      </c>
      <c r="AE59" s="82">
        <v>22768</v>
      </c>
      <c r="AF59" s="82">
        <v>22608</v>
      </c>
      <c r="AG59" s="82">
        <v>26250</v>
      </c>
      <c r="AH59" s="82">
        <v>27724</v>
      </c>
      <c r="AI59" s="82">
        <v>32580</v>
      </c>
      <c r="AK59" s="97">
        <f>Z59</f>
        <v>18095</v>
      </c>
      <c r="AL59" s="97">
        <f>AA59</f>
        <v>19307</v>
      </c>
      <c r="AM59" s="97">
        <f>AB59</f>
        <v>17695</v>
      </c>
      <c r="AN59" s="97">
        <f>AC59</f>
        <v>18087</v>
      </c>
      <c r="AO59" s="97">
        <f>AD59</f>
        <v>21996</v>
      </c>
      <c r="AP59" s="97">
        <f>AE59</f>
        <v>22768</v>
      </c>
      <c r="AQ59" s="97">
        <f>AF59</f>
        <v>22608</v>
      </c>
      <c r="AR59" s="97">
        <f>AG59</f>
        <v>26250</v>
      </c>
      <c r="AS59" s="11"/>
      <c r="AT59" s="75">
        <f t="shared" ref="AT59:AT66" si="137">SUM(AR59/AN59)-1</f>
        <v>0.45131862663791678</v>
      </c>
    </row>
    <row r="60" spans="2:46" ht="12.75" customHeight="1">
      <c r="B60" s="120" t="s">
        <v>200</v>
      </c>
      <c r="C60" s="121">
        <v>0</v>
      </c>
      <c r="D60" s="121">
        <v>0</v>
      </c>
      <c r="E60" s="121">
        <v>0</v>
      </c>
      <c r="F60" s="121">
        <v>0</v>
      </c>
      <c r="G60" s="121">
        <v>0</v>
      </c>
      <c r="H60" s="121">
        <v>6693</v>
      </c>
      <c r="I60" s="121">
        <v>0</v>
      </c>
      <c r="K60" s="82">
        <v>0</v>
      </c>
      <c r="L60" s="82">
        <v>0</v>
      </c>
      <c r="M60" s="82">
        <v>0</v>
      </c>
      <c r="N60" s="82">
        <v>0</v>
      </c>
      <c r="O60" s="82">
        <v>0</v>
      </c>
      <c r="P60" s="82">
        <v>0</v>
      </c>
      <c r="Q60" s="82">
        <v>0</v>
      </c>
      <c r="R60" s="82">
        <v>0</v>
      </c>
      <c r="S60" s="82"/>
      <c r="T60" s="82">
        <v>0</v>
      </c>
      <c r="U60" s="82">
        <v>0</v>
      </c>
      <c r="V60" s="82">
        <v>0</v>
      </c>
      <c r="W60" s="82">
        <v>0</v>
      </c>
      <c r="X60" s="82">
        <v>0</v>
      </c>
      <c r="Y60" s="82">
        <v>0</v>
      </c>
      <c r="Z60" s="32">
        <v>0</v>
      </c>
      <c r="AA60" s="82">
        <v>25808</v>
      </c>
      <c r="AB60" s="82">
        <v>27041</v>
      </c>
      <c r="AC60" s="82">
        <v>20535</v>
      </c>
      <c r="AD60" s="32">
        <v>6693</v>
      </c>
      <c r="AE60" s="82">
        <v>0</v>
      </c>
      <c r="AF60" s="82">
        <v>0</v>
      </c>
      <c r="AG60" s="82">
        <v>0</v>
      </c>
      <c r="AH60" s="82">
        <v>0</v>
      </c>
      <c r="AI60" s="82">
        <v>0</v>
      </c>
      <c r="AK60" s="97">
        <f>Z60</f>
        <v>0</v>
      </c>
      <c r="AL60" s="97">
        <f>AA60</f>
        <v>25808</v>
      </c>
      <c r="AM60" s="97">
        <f>AB60</f>
        <v>27041</v>
      </c>
      <c r="AN60" s="97">
        <f>AC60</f>
        <v>20535</v>
      </c>
      <c r="AO60" s="97">
        <f>AD60</f>
        <v>6693</v>
      </c>
      <c r="AP60" s="97">
        <f>AE60</f>
        <v>0</v>
      </c>
      <c r="AQ60" s="97">
        <f>AF60</f>
        <v>0</v>
      </c>
      <c r="AR60" s="97">
        <f>AG60</f>
        <v>0</v>
      </c>
      <c r="AS60" s="11"/>
      <c r="AT60" s="75">
        <f t="shared" ref="AT60" si="138">SUM(AR60/AN60)-1</f>
        <v>-1</v>
      </c>
    </row>
    <row r="61" spans="2:46" ht="12.75" customHeight="1">
      <c r="B61" s="120" t="s">
        <v>184</v>
      </c>
      <c r="C61" s="121">
        <v>5516</v>
      </c>
      <c r="D61" s="121">
        <v>3749</v>
      </c>
      <c r="E61" s="121">
        <v>8072</v>
      </c>
      <c r="F61" s="121">
        <v>2749</v>
      </c>
      <c r="G61" s="121">
        <v>5247</v>
      </c>
      <c r="H61" s="121">
        <v>2249</v>
      </c>
      <c r="I61" s="121">
        <v>2999</v>
      </c>
      <c r="K61" s="82">
        <v>3017</v>
      </c>
      <c r="L61" s="82">
        <v>6247</v>
      </c>
      <c r="M61" s="82">
        <v>3748</v>
      </c>
      <c r="N61" s="82">
        <v>3749</v>
      </c>
      <c r="O61" s="82">
        <v>6497</v>
      </c>
      <c r="P61" s="82">
        <v>5387</v>
      </c>
      <c r="Q61" s="82">
        <v>8051</v>
      </c>
      <c r="R61" s="82">
        <v>8072</v>
      </c>
      <c r="S61" s="82">
        <v>3249</v>
      </c>
      <c r="T61" s="82">
        <v>4998</v>
      </c>
      <c r="U61" s="82">
        <v>1749</v>
      </c>
      <c r="V61" s="82">
        <v>2749</v>
      </c>
      <c r="W61" s="82">
        <v>3248</v>
      </c>
      <c r="X61" s="82">
        <v>3997</v>
      </c>
      <c r="Y61" s="82">
        <v>6245</v>
      </c>
      <c r="Z61" s="32">
        <v>5247</v>
      </c>
      <c r="AA61" s="82">
        <v>3748</v>
      </c>
      <c r="AB61" s="82">
        <v>2250</v>
      </c>
      <c r="AC61" s="82">
        <v>2249</v>
      </c>
      <c r="AD61" s="32">
        <v>2249</v>
      </c>
      <c r="AE61" s="82">
        <v>2249</v>
      </c>
      <c r="AF61" s="82">
        <v>5248</v>
      </c>
      <c r="AG61" s="82">
        <v>2099</v>
      </c>
      <c r="AH61" s="82">
        <v>2999</v>
      </c>
      <c r="AI61" s="82">
        <v>7832</v>
      </c>
      <c r="AK61" s="97">
        <f>Z61</f>
        <v>5247</v>
      </c>
      <c r="AL61" s="97">
        <f>AA61</f>
        <v>3748</v>
      </c>
      <c r="AM61" s="97">
        <f>AB61</f>
        <v>2250</v>
      </c>
      <c r="AN61" s="97">
        <f>AC61</f>
        <v>2249</v>
      </c>
      <c r="AO61" s="97">
        <f>AD61</f>
        <v>2249</v>
      </c>
      <c r="AP61" s="97">
        <f>AE61</f>
        <v>2249</v>
      </c>
      <c r="AQ61" s="97">
        <f>AF61</f>
        <v>5248</v>
      </c>
      <c r="AR61" s="97">
        <f>AG61</f>
        <v>2099</v>
      </c>
      <c r="AS61" s="11"/>
      <c r="AT61" s="75">
        <f t="shared" ref="AT61:AT62" si="139">SUM(AR61/AN61)-1</f>
        <v>-6.6696309470875903E-2</v>
      </c>
    </row>
    <row r="62" spans="2:46" ht="12.75" customHeight="1">
      <c r="B62" s="120" t="s">
        <v>201</v>
      </c>
      <c r="C62" s="121">
        <v>6830</v>
      </c>
      <c r="D62" s="121">
        <v>7874</v>
      </c>
      <c r="E62" s="121">
        <v>10057</v>
      </c>
      <c r="F62" s="121">
        <v>10661</v>
      </c>
      <c r="G62" s="121">
        <v>11009</v>
      </c>
      <c r="H62" s="121">
        <v>12564</v>
      </c>
      <c r="I62" s="121">
        <v>13709</v>
      </c>
      <c r="K62" s="82">
        <v>4676</v>
      </c>
      <c r="L62" s="82">
        <v>5421</v>
      </c>
      <c r="M62" s="82">
        <v>6254</v>
      </c>
      <c r="N62" s="82">
        <v>7874</v>
      </c>
      <c r="O62" s="82">
        <v>5714</v>
      </c>
      <c r="P62" s="82">
        <v>6838</v>
      </c>
      <c r="Q62" s="82">
        <v>8032</v>
      </c>
      <c r="R62" s="82">
        <v>10057</v>
      </c>
      <c r="S62" s="82">
        <v>6894</v>
      </c>
      <c r="T62" s="82">
        <v>7782</v>
      </c>
      <c r="U62" s="82">
        <v>9067</v>
      </c>
      <c r="V62" s="82">
        <v>10661</v>
      </c>
      <c r="W62" s="82">
        <v>7405</v>
      </c>
      <c r="X62" s="82">
        <v>9030</v>
      </c>
      <c r="Y62" s="82">
        <v>10411</v>
      </c>
      <c r="Z62" s="32">
        <v>11009</v>
      </c>
      <c r="AA62" s="82">
        <v>6990</v>
      </c>
      <c r="AB62" s="82">
        <v>8813</v>
      </c>
      <c r="AC62" s="82">
        <v>10432</v>
      </c>
      <c r="AD62" s="32">
        <v>12564</v>
      </c>
      <c r="AE62" s="82">
        <v>8326</v>
      </c>
      <c r="AF62" s="82">
        <v>9176</v>
      </c>
      <c r="AG62" s="82">
        <v>10579</v>
      </c>
      <c r="AH62" s="82">
        <v>13709</v>
      </c>
      <c r="AI62" s="82">
        <v>9201</v>
      </c>
      <c r="AK62" s="97">
        <f t="shared" ref="AK62:AK63" si="140">Z62</f>
        <v>11009</v>
      </c>
      <c r="AL62" s="97">
        <f t="shared" ref="AL62:AL63" si="141">AA62</f>
        <v>6990</v>
      </c>
      <c r="AM62" s="97">
        <f t="shared" ref="AM62:AM63" si="142">AB62</f>
        <v>8813</v>
      </c>
      <c r="AN62" s="97">
        <f t="shared" ref="AN62:AN63" si="143">AC62</f>
        <v>10432</v>
      </c>
      <c r="AO62" s="97">
        <f t="shared" ref="AO62:AO63" si="144">AD62</f>
        <v>12564</v>
      </c>
      <c r="AP62" s="97">
        <f t="shared" ref="AP62:AP63" si="145">AE62</f>
        <v>8326</v>
      </c>
      <c r="AQ62" s="97">
        <f t="shared" ref="AQ62:AQ63" si="146">AF62</f>
        <v>9176</v>
      </c>
      <c r="AR62" s="97">
        <f t="shared" ref="AR62:AR63" si="147">AG62</f>
        <v>10579</v>
      </c>
      <c r="AS62" s="11"/>
      <c r="AT62" s="75">
        <f t="shared" si="139"/>
        <v>1.4091257668711554E-2</v>
      </c>
    </row>
    <row r="63" spans="2:46" ht="12.75" customHeight="1">
      <c r="B63" s="120" t="s">
        <v>202</v>
      </c>
      <c r="C63" s="121">
        <v>5665</v>
      </c>
      <c r="D63" s="121">
        <v>2130</v>
      </c>
      <c r="E63" s="121">
        <v>2174</v>
      </c>
      <c r="F63" s="121">
        <v>4067</v>
      </c>
      <c r="G63" s="121">
        <v>4152</v>
      </c>
      <c r="H63" s="121">
        <v>5017</v>
      </c>
      <c r="I63" s="121">
        <v>7211</v>
      </c>
      <c r="K63" s="82">
        <v>3440</v>
      </c>
      <c r="L63" s="82">
        <v>2687</v>
      </c>
      <c r="M63" s="82">
        <v>3296</v>
      </c>
      <c r="N63" s="82">
        <v>2130</v>
      </c>
      <c r="O63" s="82">
        <v>2384</v>
      </c>
      <c r="P63" s="82">
        <v>1562</v>
      </c>
      <c r="Q63" s="82">
        <v>2165</v>
      </c>
      <c r="R63" s="82">
        <v>2174</v>
      </c>
      <c r="S63" s="82">
        <v>6272</v>
      </c>
      <c r="T63" s="82">
        <v>3731</v>
      </c>
      <c r="U63" s="82">
        <v>4646</v>
      </c>
      <c r="V63" s="82">
        <v>4067</v>
      </c>
      <c r="W63" s="82">
        <v>6729</v>
      </c>
      <c r="X63" s="82">
        <v>3553</v>
      </c>
      <c r="Y63" s="82">
        <v>4163</v>
      </c>
      <c r="Z63" s="32">
        <v>4152</v>
      </c>
      <c r="AA63" s="82">
        <v>8035</v>
      </c>
      <c r="AB63" s="82">
        <v>5787</v>
      </c>
      <c r="AC63" s="82">
        <v>7311</v>
      </c>
      <c r="AD63" s="32">
        <v>5017</v>
      </c>
      <c r="AE63" s="82">
        <v>9717</v>
      </c>
      <c r="AF63" s="82">
        <v>6056</v>
      </c>
      <c r="AG63" s="82">
        <v>6805</v>
      </c>
      <c r="AH63" s="82">
        <v>7211</v>
      </c>
      <c r="AI63" s="82">
        <v>3655</v>
      </c>
      <c r="AK63" s="97">
        <f t="shared" ref="AK63:AR63" si="148">Z63</f>
        <v>4152</v>
      </c>
      <c r="AL63" s="97">
        <f t="shared" si="148"/>
        <v>8035</v>
      </c>
      <c r="AM63" s="97">
        <f t="shared" si="148"/>
        <v>5787</v>
      </c>
      <c r="AN63" s="97">
        <f t="shared" si="148"/>
        <v>7311</v>
      </c>
      <c r="AO63" s="97">
        <f t="shared" si="148"/>
        <v>5017</v>
      </c>
      <c r="AP63" s="97">
        <f t="shared" si="148"/>
        <v>9717</v>
      </c>
      <c r="AQ63" s="97">
        <f t="shared" si="148"/>
        <v>6056</v>
      </c>
      <c r="AR63" s="97">
        <f t="shared" si="148"/>
        <v>6805</v>
      </c>
      <c r="AS63" s="11"/>
      <c r="AT63" s="75">
        <f t="shared" ref="AT63" si="149">SUM(AR63/AN63)-1</f>
        <v>-6.9210778279305107E-2</v>
      </c>
    </row>
    <row r="64" spans="2:46" ht="12.75" customHeight="1">
      <c r="B64" s="120" t="s">
        <v>203</v>
      </c>
      <c r="C64" s="121">
        <v>32676</v>
      </c>
      <c r="D64" s="121">
        <v>36000</v>
      </c>
      <c r="E64" s="121">
        <v>41525</v>
      </c>
      <c r="F64" s="121">
        <v>45538</v>
      </c>
      <c r="G64" s="121">
        <v>50901</v>
      </c>
      <c r="H64" s="121">
        <v>57582</v>
      </c>
      <c r="I64" s="121">
        <v>64555</v>
      </c>
      <c r="K64" s="82">
        <v>29904</v>
      </c>
      <c r="L64" s="82">
        <v>27343</v>
      </c>
      <c r="M64" s="82">
        <v>27012</v>
      </c>
      <c r="N64" s="82">
        <v>36000</v>
      </c>
      <c r="O64" s="82">
        <v>33476</v>
      </c>
      <c r="P64" s="82">
        <v>30402</v>
      </c>
      <c r="Q64" s="82">
        <v>30083</v>
      </c>
      <c r="R64" s="82">
        <v>41525</v>
      </c>
      <c r="S64" s="82">
        <v>38465</v>
      </c>
      <c r="T64" s="82">
        <v>34001</v>
      </c>
      <c r="U64" s="82">
        <v>34027</v>
      </c>
      <c r="V64" s="82">
        <v>45538</v>
      </c>
      <c r="W64" s="82">
        <v>41340</v>
      </c>
      <c r="X64" s="82">
        <v>36982</v>
      </c>
      <c r="Y64" s="82">
        <v>36903</v>
      </c>
      <c r="Z64" s="32">
        <v>50901</v>
      </c>
      <c r="AA64" s="82">
        <v>46429</v>
      </c>
      <c r="AB64" s="82">
        <v>43068</v>
      </c>
      <c r="AC64" s="82">
        <v>41888</v>
      </c>
      <c r="AD64" s="32">
        <v>57582</v>
      </c>
      <c r="AE64" s="82">
        <v>53026</v>
      </c>
      <c r="AF64" s="82">
        <v>45508</v>
      </c>
      <c r="AG64" s="82">
        <v>44636</v>
      </c>
      <c r="AH64" s="82">
        <v>64555</v>
      </c>
      <c r="AI64" s="82">
        <v>58987</v>
      </c>
      <c r="AK64" s="97">
        <f>Z64</f>
        <v>50901</v>
      </c>
      <c r="AL64" s="97">
        <f>AA64</f>
        <v>46429</v>
      </c>
      <c r="AM64" s="97">
        <f>AB64</f>
        <v>43068</v>
      </c>
      <c r="AN64" s="97">
        <f>AC64</f>
        <v>41888</v>
      </c>
      <c r="AO64" s="97">
        <f>AD64</f>
        <v>57582</v>
      </c>
      <c r="AP64" s="97">
        <f>AE64</f>
        <v>53026</v>
      </c>
      <c r="AQ64" s="97">
        <f>AF64</f>
        <v>45508</v>
      </c>
      <c r="AR64" s="97">
        <f>AG64</f>
        <v>44636</v>
      </c>
      <c r="AS64" s="11"/>
      <c r="AT64" s="75">
        <f t="shared" ref="AT64:AT65" si="150">SUM(AR64/AN64)-1</f>
        <v>6.5603514132925866E-2</v>
      </c>
    </row>
    <row r="65" spans="2:46" ht="12.75" customHeight="1">
      <c r="B65" s="120" t="s">
        <v>188</v>
      </c>
      <c r="C65" s="121">
        <v>9351</v>
      </c>
      <c r="D65" s="121">
        <v>10027</v>
      </c>
      <c r="E65" s="121">
        <v>11666</v>
      </c>
      <c r="F65" s="121">
        <v>13067</v>
      </c>
      <c r="G65" s="121">
        <v>14745</v>
      </c>
      <c r="H65" s="121">
        <v>19185</v>
      </c>
      <c r="I65" s="121">
        <v>25020</v>
      </c>
      <c r="K65" s="82">
        <v>8507</v>
      </c>
      <c r="L65" s="82">
        <v>9131</v>
      </c>
      <c r="M65" s="82">
        <v>9151</v>
      </c>
      <c r="N65" s="82">
        <v>10027</v>
      </c>
      <c r="O65" s="82">
        <v>9476</v>
      </c>
      <c r="P65" s="82">
        <v>10527</v>
      </c>
      <c r="Q65" s="82">
        <v>10450</v>
      </c>
      <c r="R65" s="82">
        <v>11666</v>
      </c>
      <c r="S65" s="82">
        <v>10816</v>
      </c>
      <c r="T65" s="82">
        <v>11684</v>
      </c>
      <c r="U65" s="82">
        <v>11865</v>
      </c>
      <c r="V65" s="82">
        <v>13067</v>
      </c>
      <c r="W65" s="82">
        <v>12058</v>
      </c>
      <c r="X65" s="82">
        <v>12802</v>
      </c>
      <c r="Y65" s="82">
        <v>12664</v>
      </c>
      <c r="Z65" s="32">
        <v>14745</v>
      </c>
      <c r="AA65" s="82">
        <v>14475</v>
      </c>
      <c r="AB65" s="82">
        <v>16362</v>
      </c>
      <c r="AC65" s="82">
        <v>18023</v>
      </c>
      <c r="AD65" s="32">
        <v>19185</v>
      </c>
      <c r="AE65" s="82">
        <v>19114</v>
      </c>
      <c r="AF65" s="82">
        <v>20286</v>
      </c>
      <c r="AG65" s="82">
        <v>22937</v>
      </c>
      <c r="AH65" s="82">
        <v>25020</v>
      </c>
      <c r="AI65" s="82">
        <v>22741</v>
      </c>
      <c r="AK65" s="97">
        <f>Z65</f>
        <v>14745</v>
      </c>
      <c r="AL65" s="97">
        <f>AA65</f>
        <v>14475</v>
      </c>
      <c r="AM65" s="97">
        <f>AB65</f>
        <v>16362</v>
      </c>
      <c r="AN65" s="97">
        <f>AC65</f>
        <v>18023</v>
      </c>
      <c r="AO65" s="97">
        <f>AD65</f>
        <v>19185</v>
      </c>
      <c r="AP65" s="97">
        <f>AE65</f>
        <v>19114</v>
      </c>
      <c r="AQ65" s="97">
        <f>AF65</f>
        <v>20286</v>
      </c>
      <c r="AR65" s="97">
        <f>AG65</f>
        <v>22937</v>
      </c>
      <c r="AS65" s="11"/>
      <c r="AT65" s="75">
        <f t="shared" si="150"/>
        <v>0.27265161182932918</v>
      </c>
    </row>
    <row r="66" spans="2:46" ht="12.75" customHeight="1">
      <c r="B66" s="25" t="s">
        <v>17</v>
      </c>
      <c r="C66" s="26">
        <f>SUM(C59:C65)</f>
        <v>69420</v>
      </c>
      <c r="D66" s="26">
        <f>SUM(D59:D65)</f>
        <v>72310</v>
      </c>
      <c r="E66" s="26">
        <f>SUM(E59:E65)</f>
        <v>88657</v>
      </c>
      <c r="F66" s="26">
        <f>SUM(F59:F65)</f>
        <v>95082</v>
      </c>
      <c r="G66" s="26">
        <f>SUM(G59:G65)</f>
        <v>104149</v>
      </c>
      <c r="H66" s="26">
        <f>SUM(H59:H65)</f>
        <v>125286</v>
      </c>
      <c r="I66" s="26">
        <f>SUM(I59:I65)</f>
        <v>141218</v>
      </c>
      <c r="K66" s="26">
        <f t="shared" ref="K66:M66" si="151">SUM(K59:K65)</f>
        <v>58118</v>
      </c>
      <c r="L66" s="26">
        <f t="shared" si="151"/>
        <v>59640</v>
      </c>
      <c r="M66" s="26">
        <f t="shared" si="151"/>
        <v>58707</v>
      </c>
      <c r="N66" s="26">
        <f>SUM(N59:N65)</f>
        <v>72310</v>
      </c>
      <c r="O66" s="26">
        <f>SUM(O59:O65)</f>
        <v>70056</v>
      </c>
      <c r="P66" s="26">
        <f>SUM(P59:P65)</f>
        <v>67486</v>
      </c>
      <c r="Q66" s="26">
        <f>SUM(Q59:Q65)</f>
        <v>72193</v>
      </c>
      <c r="R66" s="26">
        <f>SUM(R59:R65)</f>
        <v>88657</v>
      </c>
      <c r="S66" s="26">
        <f>SUM(S59:S65)</f>
        <v>80528</v>
      </c>
      <c r="T66" s="26">
        <f>SUM(T59:T65)</f>
        <v>77510</v>
      </c>
      <c r="U66" s="26">
        <f>SUM(U59:U65)</f>
        <v>77439</v>
      </c>
      <c r="V66" s="26">
        <f>SUM(V59:V65)</f>
        <v>95082</v>
      </c>
      <c r="W66" s="26">
        <f>SUM(W59:W65)</f>
        <v>87389</v>
      </c>
      <c r="X66" s="26">
        <f>SUM(X59:X65)</f>
        <v>81718</v>
      </c>
      <c r="Y66" s="26">
        <f>SUM(Y59:Y65)</f>
        <v>85691</v>
      </c>
      <c r="Z66" s="26">
        <f>SUM(Z59:Z65)</f>
        <v>104149</v>
      </c>
      <c r="AA66" s="26">
        <f>SUM(AA59:AA65)</f>
        <v>124792</v>
      </c>
      <c r="AB66" s="26">
        <f>SUM(AB59:AB65)</f>
        <v>121016</v>
      </c>
      <c r="AC66" s="26">
        <f>SUM(AC59:AC65)</f>
        <v>118525</v>
      </c>
      <c r="AD66" s="26">
        <f>SUM(AD59:AD65)</f>
        <v>125286</v>
      </c>
      <c r="AE66" s="26">
        <f>SUM(AE59:AE65)</f>
        <v>115200</v>
      </c>
      <c r="AF66" s="26">
        <f>SUM(AF59:AF65)</f>
        <v>108882</v>
      </c>
      <c r="AG66" s="26">
        <f>SUM(AG59:AG65)</f>
        <v>113306</v>
      </c>
      <c r="AH66" s="26">
        <f t="shared" ref="AH66:AI66" si="152">SUM(AH59:AH65)</f>
        <v>141218</v>
      </c>
      <c r="AI66" s="26">
        <f t="shared" si="152"/>
        <v>134996</v>
      </c>
      <c r="AJ66" s="48"/>
      <c r="AK66" s="26">
        <f>SUM(AK59:AK65)</f>
        <v>104149</v>
      </c>
      <c r="AL66" s="26">
        <f>SUM(AL59:AL65)</f>
        <v>124792</v>
      </c>
      <c r="AM66" s="26">
        <f>SUM(AM59:AM65)</f>
        <v>121016</v>
      </c>
      <c r="AN66" s="26">
        <f>SUM(AN59:AN65)</f>
        <v>118525</v>
      </c>
      <c r="AO66" s="26">
        <f>SUM(AO59:AO65)</f>
        <v>125286</v>
      </c>
      <c r="AP66" s="26">
        <f>SUM(AP59:AP65)</f>
        <v>115200</v>
      </c>
      <c r="AQ66" s="26">
        <f>SUM(AQ59:AQ65)</f>
        <v>108882</v>
      </c>
      <c r="AR66" s="26">
        <f>SUM(AR59:AR65)</f>
        <v>113306</v>
      </c>
      <c r="AS66" s="42"/>
      <c r="AT66" s="76">
        <f t="shared" si="137"/>
        <v>-4.4032904450537869E-2</v>
      </c>
    </row>
    <row r="67" spans="2:46" ht="5.0999999999999996" customHeight="1">
      <c r="B67" s="25"/>
      <c r="C67" s="50"/>
      <c r="D67" s="50"/>
      <c r="E67" s="50"/>
      <c r="F67" s="50"/>
      <c r="G67" s="41"/>
      <c r="H67" s="41"/>
      <c r="I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K67" s="42"/>
      <c r="AL67" s="42"/>
      <c r="AM67" s="42"/>
      <c r="AN67" s="42"/>
      <c r="AO67" s="42"/>
      <c r="AP67" s="42"/>
      <c r="AQ67" s="42"/>
      <c r="AR67" s="42"/>
      <c r="AS67" s="42"/>
      <c r="AT67" s="39"/>
    </row>
    <row r="68" spans="2:46">
      <c r="B68" s="78" t="s">
        <v>80</v>
      </c>
      <c r="C68" s="50"/>
      <c r="D68" s="50"/>
      <c r="E68" s="50"/>
      <c r="F68" s="50"/>
      <c r="G68" s="41"/>
      <c r="H68" s="41"/>
      <c r="I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K68" s="42"/>
      <c r="AL68" s="42"/>
      <c r="AM68" s="42"/>
      <c r="AN68" s="42"/>
      <c r="AO68" s="42"/>
      <c r="AP68" s="42"/>
      <c r="AQ68" s="42"/>
      <c r="AR68" s="42"/>
      <c r="AS68" s="42"/>
      <c r="AT68" s="39"/>
    </row>
    <row r="69" spans="2:46" ht="12.75" customHeight="1">
      <c r="B69" s="120" t="s">
        <v>151</v>
      </c>
      <c r="C69" s="121">
        <v>66662</v>
      </c>
      <c r="D69" s="121">
        <v>59578</v>
      </c>
      <c r="E69" s="121">
        <v>50074</v>
      </c>
      <c r="F69" s="121">
        <v>47032</v>
      </c>
      <c r="G69" s="121">
        <v>41990</v>
      </c>
      <c r="H69" s="121">
        <v>42688</v>
      </c>
      <c r="I69" s="121">
        <v>40152</v>
      </c>
      <c r="J69" s="51"/>
      <c r="K69" s="82">
        <v>66478</v>
      </c>
      <c r="L69" s="82">
        <v>63361</v>
      </c>
      <c r="M69" s="82">
        <v>62862</v>
      </c>
      <c r="N69" s="82">
        <v>59578</v>
      </c>
      <c r="O69" s="82">
        <v>57055</v>
      </c>
      <c r="P69" s="82">
        <v>55136</v>
      </c>
      <c r="Q69" s="82">
        <v>50007</v>
      </c>
      <c r="R69" s="82">
        <v>50074</v>
      </c>
      <c r="S69" s="82">
        <v>50039</v>
      </c>
      <c r="T69" s="82">
        <v>48260</v>
      </c>
      <c r="U69" s="82">
        <v>48177</v>
      </c>
      <c r="V69" s="82">
        <v>47032</v>
      </c>
      <c r="W69" s="82">
        <v>45374</v>
      </c>
      <c r="X69" s="82">
        <v>44119</v>
      </c>
      <c r="Y69" s="82">
        <v>41965</v>
      </c>
      <c r="Z69" s="32">
        <v>41990</v>
      </c>
      <c r="AA69" s="82">
        <v>41946</v>
      </c>
      <c r="AB69" s="82">
        <v>44928</v>
      </c>
      <c r="AC69" s="82">
        <v>42658</v>
      </c>
      <c r="AD69" s="32">
        <v>42688</v>
      </c>
      <c r="AE69" s="82">
        <v>42868</v>
      </c>
      <c r="AF69" s="82">
        <v>39722</v>
      </c>
      <c r="AG69" s="82">
        <v>39882</v>
      </c>
      <c r="AH69" s="82">
        <v>40152</v>
      </c>
      <c r="AI69" s="82">
        <v>35376</v>
      </c>
      <c r="AJ69" s="121"/>
      <c r="AK69" s="97">
        <f>Z69</f>
        <v>41990</v>
      </c>
      <c r="AL69" s="97">
        <f>AA69</f>
        <v>41946</v>
      </c>
      <c r="AM69" s="97">
        <f>AB69</f>
        <v>44928</v>
      </c>
      <c r="AN69" s="97">
        <f>AC69</f>
        <v>42658</v>
      </c>
      <c r="AO69" s="97">
        <f>AD69</f>
        <v>42688</v>
      </c>
      <c r="AP69" s="97">
        <f>AE69</f>
        <v>42868</v>
      </c>
      <c r="AQ69" s="97">
        <f>AF69</f>
        <v>39722</v>
      </c>
      <c r="AR69" s="97">
        <f>AG69</f>
        <v>39882</v>
      </c>
      <c r="AS69" s="42"/>
      <c r="AT69" s="75">
        <f t="shared" ref="AT69:AT82" si="153">SUM(AR69/AN69)-1</f>
        <v>-6.5075718505321345E-2</v>
      </c>
    </row>
    <row r="70" spans="2:46" ht="12.75" customHeight="1">
      <c r="B70" s="120" t="s">
        <v>183</v>
      </c>
      <c r="C70" s="121">
        <v>29612</v>
      </c>
      <c r="D70" s="121">
        <v>29432</v>
      </c>
      <c r="E70" s="121">
        <v>27190</v>
      </c>
      <c r="F70" s="121">
        <v>26069</v>
      </c>
      <c r="G70" s="121">
        <v>25560</v>
      </c>
      <c r="H70" s="121">
        <v>27931</v>
      </c>
      <c r="I70" s="121">
        <v>25986</v>
      </c>
      <c r="J70" s="51"/>
      <c r="K70" s="82">
        <v>28457</v>
      </c>
      <c r="L70" s="82">
        <v>28754</v>
      </c>
      <c r="M70" s="82">
        <v>28888</v>
      </c>
      <c r="N70" s="82">
        <v>29432</v>
      </c>
      <c r="O70" s="82">
        <v>28204</v>
      </c>
      <c r="P70" s="82">
        <v>26701</v>
      </c>
      <c r="Q70" s="82">
        <v>27157</v>
      </c>
      <c r="R70" s="82">
        <v>27190</v>
      </c>
      <c r="S70" s="82">
        <v>25715</v>
      </c>
      <c r="T70" s="82">
        <v>26121</v>
      </c>
      <c r="U70" s="82">
        <v>26483</v>
      </c>
      <c r="V70" s="82">
        <v>26069</v>
      </c>
      <c r="W70" s="82">
        <v>23712</v>
      </c>
      <c r="X70" s="82">
        <v>24169</v>
      </c>
      <c r="Y70" s="82">
        <v>25000</v>
      </c>
      <c r="Z70" s="32">
        <v>25560</v>
      </c>
      <c r="AA70" s="82">
        <v>22983</v>
      </c>
      <c r="AB70" s="82">
        <v>25890</v>
      </c>
      <c r="AC70" s="82">
        <v>26786</v>
      </c>
      <c r="AD70" s="32">
        <v>27931</v>
      </c>
      <c r="AE70" s="82">
        <v>24452</v>
      </c>
      <c r="AF70" s="82">
        <v>24389</v>
      </c>
      <c r="AG70" s="82">
        <v>25061</v>
      </c>
      <c r="AH70" s="82">
        <v>25986</v>
      </c>
      <c r="AI70" s="82">
        <v>26569</v>
      </c>
      <c r="AJ70" s="121"/>
      <c r="AK70" s="97">
        <f>Z70</f>
        <v>25560</v>
      </c>
      <c r="AL70" s="97">
        <f>AA70</f>
        <v>22983</v>
      </c>
      <c r="AM70" s="97">
        <f>AB70</f>
        <v>25890</v>
      </c>
      <c r="AN70" s="97">
        <f>AC70</f>
        <v>26786</v>
      </c>
      <c r="AO70" s="97">
        <f>AD70</f>
        <v>27931</v>
      </c>
      <c r="AP70" s="97">
        <f>AE70</f>
        <v>24452</v>
      </c>
      <c r="AQ70" s="97">
        <f>AF70</f>
        <v>24389</v>
      </c>
      <c r="AR70" s="97">
        <f>AG70</f>
        <v>25061</v>
      </c>
      <c r="AS70" s="42"/>
      <c r="AT70" s="75">
        <f t="shared" si="153"/>
        <v>-6.4399313073993825E-2</v>
      </c>
    </row>
    <row r="71" spans="2:46" ht="12.75" customHeight="1">
      <c r="B71" s="120" t="s">
        <v>204</v>
      </c>
      <c r="C71" s="121">
        <v>4530</v>
      </c>
      <c r="D71" s="121">
        <v>3180</v>
      </c>
      <c r="E71" s="121">
        <v>2616</v>
      </c>
      <c r="F71" s="121">
        <v>2870</v>
      </c>
      <c r="G71" s="121">
        <v>2912</v>
      </c>
      <c r="H71" s="121">
        <v>2602</v>
      </c>
      <c r="I71" s="121">
        <v>2710</v>
      </c>
      <c r="J71" s="51"/>
      <c r="K71" s="82">
        <v>4122</v>
      </c>
      <c r="L71" s="82">
        <v>3878</v>
      </c>
      <c r="M71" s="82">
        <v>3385</v>
      </c>
      <c r="N71" s="82">
        <v>3180</v>
      </c>
      <c r="O71" s="82">
        <v>2829</v>
      </c>
      <c r="P71" s="82">
        <v>2985</v>
      </c>
      <c r="Q71" s="82">
        <v>2631</v>
      </c>
      <c r="R71" s="82">
        <v>2616</v>
      </c>
      <c r="S71" s="82">
        <v>2550</v>
      </c>
      <c r="T71" s="82">
        <v>2768</v>
      </c>
      <c r="U71" s="82">
        <v>2769</v>
      </c>
      <c r="V71" s="82">
        <v>2870</v>
      </c>
      <c r="W71" s="82">
        <v>2549</v>
      </c>
      <c r="X71" s="82">
        <v>2644</v>
      </c>
      <c r="Y71" s="82">
        <v>2698</v>
      </c>
      <c r="Z71" s="32">
        <v>2912</v>
      </c>
      <c r="AA71" s="82">
        <v>2759</v>
      </c>
      <c r="AB71" s="82">
        <v>2966</v>
      </c>
      <c r="AC71" s="82">
        <v>2945</v>
      </c>
      <c r="AD71" s="32">
        <v>2602</v>
      </c>
      <c r="AE71" s="82">
        <v>2663</v>
      </c>
      <c r="AF71" s="82">
        <v>2537</v>
      </c>
      <c r="AG71" s="82">
        <v>2840</v>
      </c>
      <c r="AH71" s="82">
        <v>2710</v>
      </c>
      <c r="AI71" s="82">
        <v>2546</v>
      </c>
      <c r="AJ71" s="121"/>
      <c r="AK71" s="97">
        <f t="shared" ref="AK71:AK74" si="154">Z71</f>
        <v>2912</v>
      </c>
      <c r="AL71" s="97">
        <f t="shared" ref="AL71:AL74" si="155">AA71</f>
        <v>2759</v>
      </c>
      <c r="AM71" s="97">
        <f t="shared" ref="AM71:AM74" si="156">AB71</f>
        <v>2966</v>
      </c>
      <c r="AN71" s="97">
        <f t="shared" ref="AN71:AN74" si="157">AC71</f>
        <v>2945</v>
      </c>
      <c r="AO71" s="97">
        <f t="shared" ref="AO71:AO74" si="158">AD71</f>
        <v>2602</v>
      </c>
      <c r="AP71" s="97">
        <f t="shared" ref="AP71:AP74" si="159">AE71</f>
        <v>2663</v>
      </c>
      <c r="AQ71" s="97">
        <f t="shared" ref="AQ71:AQ74" si="160">AF71</f>
        <v>2537</v>
      </c>
      <c r="AR71" s="97">
        <f t="shared" ref="AR71:AR74" si="161">AG71</f>
        <v>2840</v>
      </c>
      <c r="AS71" s="42"/>
      <c r="AT71" s="75">
        <f t="shared" si="153"/>
        <v>-3.5653650254668934E-2</v>
      </c>
    </row>
    <row r="72" spans="2:46" ht="12.75" customHeight="1">
      <c r="B72" s="120" t="s">
        <v>205</v>
      </c>
      <c r="C72" s="121">
        <v>233</v>
      </c>
      <c r="D72" s="121">
        <v>204</v>
      </c>
      <c r="E72" s="121">
        <v>198</v>
      </c>
      <c r="F72" s="121">
        <v>230</v>
      </c>
      <c r="G72" s="121">
        <v>433</v>
      </c>
      <c r="H72" s="121">
        <v>2618</v>
      </c>
      <c r="I72" s="121">
        <v>2835</v>
      </c>
      <c r="J72" s="51"/>
      <c r="K72" s="82">
        <v>234</v>
      </c>
      <c r="L72" s="82">
        <v>222</v>
      </c>
      <c r="M72" s="82">
        <v>185</v>
      </c>
      <c r="N72" s="82">
        <v>204</v>
      </c>
      <c r="O72" s="82">
        <v>187</v>
      </c>
      <c r="P72" s="82">
        <v>174</v>
      </c>
      <c r="Q72" s="82">
        <v>173</v>
      </c>
      <c r="R72" s="82">
        <v>198</v>
      </c>
      <c r="S72" s="82">
        <v>212</v>
      </c>
      <c r="T72" s="82">
        <v>199</v>
      </c>
      <c r="U72" s="82">
        <v>304</v>
      </c>
      <c r="V72" s="82">
        <v>230</v>
      </c>
      <c r="W72" s="82">
        <v>223</v>
      </c>
      <c r="X72" s="82">
        <v>289</v>
      </c>
      <c r="Y72" s="82">
        <v>302</v>
      </c>
      <c r="Z72" s="32">
        <v>433</v>
      </c>
      <c r="AA72" s="82">
        <v>470</v>
      </c>
      <c r="AB72" s="82">
        <v>2548</v>
      </c>
      <c r="AC72" s="82">
        <v>2469</v>
      </c>
      <c r="AD72" s="32">
        <v>2618</v>
      </c>
      <c r="AE72" s="82">
        <v>2581</v>
      </c>
      <c r="AF72" s="82">
        <v>2513</v>
      </c>
      <c r="AG72" s="82">
        <v>2522</v>
      </c>
      <c r="AH72" s="82">
        <v>2835</v>
      </c>
      <c r="AI72" s="82">
        <v>2852</v>
      </c>
      <c r="AJ72" s="121"/>
      <c r="AK72" s="97">
        <f t="shared" si="154"/>
        <v>433</v>
      </c>
      <c r="AL72" s="97">
        <f t="shared" si="155"/>
        <v>470</v>
      </c>
      <c r="AM72" s="97">
        <f t="shared" si="156"/>
        <v>2548</v>
      </c>
      <c r="AN72" s="97">
        <f t="shared" si="157"/>
        <v>2469</v>
      </c>
      <c r="AO72" s="97">
        <f t="shared" si="158"/>
        <v>2618</v>
      </c>
      <c r="AP72" s="97">
        <f t="shared" si="159"/>
        <v>2581</v>
      </c>
      <c r="AQ72" s="97">
        <f t="shared" si="160"/>
        <v>2513</v>
      </c>
      <c r="AR72" s="97">
        <f t="shared" si="161"/>
        <v>2522</v>
      </c>
      <c r="AS72" s="42"/>
      <c r="AT72" s="75">
        <f t="shared" si="153"/>
        <v>2.1466180639935217E-2</v>
      </c>
    </row>
    <row r="73" spans="2:46" ht="12.75" customHeight="1">
      <c r="B73" s="120" t="s">
        <v>206</v>
      </c>
      <c r="C73" s="121">
        <v>6188</v>
      </c>
      <c r="D73" s="121">
        <v>7671</v>
      </c>
      <c r="E73" s="121">
        <v>9629</v>
      </c>
      <c r="F73" s="121">
        <v>11489</v>
      </c>
      <c r="G73" s="121">
        <v>12728</v>
      </c>
      <c r="H73" s="121">
        <v>15497</v>
      </c>
      <c r="I73" s="121">
        <v>17437</v>
      </c>
      <c r="J73" s="51"/>
      <c r="K73" s="82">
        <v>6659</v>
      </c>
      <c r="L73" s="82">
        <v>7172</v>
      </c>
      <c r="M73" s="82">
        <v>7248</v>
      </c>
      <c r="N73" s="82">
        <v>7671</v>
      </c>
      <c r="O73" s="82">
        <v>7753</v>
      </c>
      <c r="P73" s="82">
        <v>8875</v>
      </c>
      <c r="Q73" s="82">
        <v>9272</v>
      </c>
      <c r="R73" s="82">
        <v>9629</v>
      </c>
      <c r="S73" s="82">
        <v>10050</v>
      </c>
      <c r="T73" s="82">
        <v>10774</v>
      </c>
      <c r="U73" s="82">
        <v>11357</v>
      </c>
      <c r="V73" s="82">
        <v>11489</v>
      </c>
      <c r="W73" s="82">
        <v>11660</v>
      </c>
      <c r="X73" s="82">
        <v>11998</v>
      </c>
      <c r="Y73" s="82">
        <v>12312</v>
      </c>
      <c r="Z73" s="32">
        <v>12728</v>
      </c>
      <c r="AA73" s="82">
        <v>13487</v>
      </c>
      <c r="AB73" s="82">
        <v>14155</v>
      </c>
      <c r="AC73" s="82">
        <v>14469</v>
      </c>
      <c r="AD73" s="32">
        <v>15497</v>
      </c>
      <c r="AE73" s="82">
        <v>16361</v>
      </c>
      <c r="AF73" s="82">
        <v>17254</v>
      </c>
      <c r="AG73" s="82">
        <v>17686</v>
      </c>
      <c r="AH73" s="82">
        <v>17437</v>
      </c>
      <c r="AI73" s="82">
        <v>17348</v>
      </c>
      <c r="AJ73" s="121"/>
      <c r="AK73" s="97">
        <f t="shared" si="154"/>
        <v>12728</v>
      </c>
      <c r="AL73" s="97">
        <f t="shared" si="155"/>
        <v>13487</v>
      </c>
      <c r="AM73" s="97">
        <f t="shared" si="156"/>
        <v>14155</v>
      </c>
      <c r="AN73" s="97">
        <f t="shared" si="157"/>
        <v>14469</v>
      </c>
      <c r="AO73" s="97">
        <f t="shared" si="158"/>
        <v>15497</v>
      </c>
      <c r="AP73" s="97">
        <f t="shared" si="159"/>
        <v>16361</v>
      </c>
      <c r="AQ73" s="97">
        <f t="shared" si="160"/>
        <v>17254</v>
      </c>
      <c r="AR73" s="97">
        <f t="shared" si="161"/>
        <v>17686</v>
      </c>
      <c r="AS73" s="42"/>
      <c r="AT73" s="75">
        <f t="shared" si="153"/>
        <v>0.22233741101665627</v>
      </c>
    </row>
    <row r="74" spans="2:46" ht="12.75" customHeight="1">
      <c r="B74" s="120" t="s">
        <v>152</v>
      </c>
      <c r="C74" s="121">
        <v>7581</v>
      </c>
      <c r="D74" s="121">
        <v>10632</v>
      </c>
      <c r="E74" s="121">
        <v>13427</v>
      </c>
      <c r="F74" s="121">
        <v>15526</v>
      </c>
      <c r="G74" s="121">
        <v>17981</v>
      </c>
      <c r="H74" s="121">
        <v>27064</v>
      </c>
      <c r="I74" s="121">
        <v>45186</v>
      </c>
      <c r="J74" s="51"/>
      <c r="K74" s="82">
        <v>8826</v>
      </c>
      <c r="L74" s="82">
        <v>9658</v>
      </c>
      <c r="M74" s="82">
        <v>9673</v>
      </c>
      <c r="N74" s="82">
        <v>10632</v>
      </c>
      <c r="O74" s="82">
        <v>11525</v>
      </c>
      <c r="P74" s="82">
        <v>12544</v>
      </c>
      <c r="Q74" s="82">
        <v>12941</v>
      </c>
      <c r="R74" s="82">
        <v>13427</v>
      </c>
      <c r="S74" s="82">
        <v>14346</v>
      </c>
      <c r="T74" s="82">
        <v>14747</v>
      </c>
      <c r="U74" s="82">
        <v>15154</v>
      </c>
      <c r="V74" s="82">
        <v>15526</v>
      </c>
      <c r="W74" s="82">
        <v>15311</v>
      </c>
      <c r="X74" s="82">
        <v>16479</v>
      </c>
      <c r="Y74" s="82">
        <v>17437</v>
      </c>
      <c r="Z74" s="32">
        <v>17981</v>
      </c>
      <c r="AA74" s="82">
        <v>18634</v>
      </c>
      <c r="AB74" s="82">
        <v>20787</v>
      </c>
      <c r="AC74" s="82">
        <v>23271</v>
      </c>
      <c r="AD74" s="32">
        <v>27064</v>
      </c>
      <c r="AE74" s="82">
        <v>31165</v>
      </c>
      <c r="AF74" s="82">
        <v>35906</v>
      </c>
      <c r="AG74" s="82">
        <v>38536</v>
      </c>
      <c r="AH74" s="82">
        <v>45186</v>
      </c>
      <c r="AI74" s="82">
        <v>53588</v>
      </c>
      <c r="AJ74" s="121"/>
      <c r="AK74" s="97">
        <f>Z74</f>
        <v>17981</v>
      </c>
      <c r="AL74" s="97">
        <f>AA74</f>
        <v>18634</v>
      </c>
      <c r="AM74" s="97">
        <f>AB74</f>
        <v>20787</v>
      </c>
      <c r="AN74" s="97">
        <f>AC74</f>
        <v>23271</v>
      </c>
      <c r="AO74" s="97">
        <f>AD74</f>
        <v>27064</v>
      </c>
      <c r="AP74" s="97">
        <f>AE74</f>
        <v>31165</v>
      </c>
      <c r="AQ74" s="97">
        <f>AF74</f>
        <v>35906</v>
      </c>
      <c r="AR74" s="97">
        <f>AG74</f>
        <v>38536</v>
      </c>
      <c r="AS74" s="42"/>
      <c r="AT74" s="75">
        <f t="shared" ref="AT74" si="162">SUM(AR74/AN74)-1</f>
        <v>0.65596665377508478</v>
      </c>
    </row>
    <row r="75" spans="2:46" ht="12.75" customHeight="1">
      <c r="B75" s="13" t="s">
        <v>15</v>
      </c>
      <c r="C75" s="14">
        <f>SUM(C69:C74)+C66</f>
        <v>184226</v>
      </c>
      <c r="D75" s="14">
        <f>SUM(D69:D74)+D66</f>
        <v>183007</v>
      </c>
      <c r="E75" s="14">
        <f>SUM(E69:E74)+E66</f>
        <v>191791</v>
      </c>
      <c r="F75" s="14">
        <f>SUM(F69:F74)+F66</f>
        <v>198298</v>
      </c>
      <c r="G75" s="14">
        <f>SUM(G69:G74)+G66</f>
        <v>205753</v>
      </c>
      <c r="H75" s="14">
        <f>SUM(H69:H74)+H66</f>
        <v>243686</v>
      </c>
      <c r="I75" s="14">
        <f>SUM(I69:I74)+I66</f>
        <v>275524</v>
      </c>
      <c r="K75" s="14">
        <f>SUM(K69:K74)+K66</f>
        <v>172894</v>
      </c>
      <c r="L75" s="14">
        <f>SUM(L69:L74)+L66</f>
        <v>172685</v>
      </c>
      <c r="M75" s="14">
        <f>SUM(M69:M74)+M66</f>
        <v>170948</v>
      </c>
      <c r="N75" s="14">
        <f>SUM(N69:N74)+N66</f>
        <v>183007</v>
      </c>
      <c r="O75" s="14">
        <f>SUM(O69:O74)+O66</f>
        <v>177609</v>
      </c>
      <c r="P75" s="14">
        <f>SUM(P69:P74)+P66</f>
        <v>173901</v>
      </c>
      <c r="Q75" s="14">
        <f>SUM(Q69:Q74)+Q66</f>
        <v>174374</v>
      </c>
      <c r="R75" s="14">
        <f>SUM(R69:R74)+R66</f>
        <v>191791</v>
      </c>
      <c r="S75" s="14">
        <f>SUM(S69:S74)+S66</f>
        <v>183440</v>
      </c>
      <c r="T75" s="14">
        <f>SUM(T69:T74)+T66</f>
        <v>180379</v>
      </c>
      <c r="U75" s="14">
        <f>SUM(U69:U74)+U66</f>
        <v>181683</v>
      </c>
      <c r="V75" s="14">
        <f>SUM(V69:V74)+V66</f>
        <v>198298</v>
      </c>
      <c r="W75" s="14">
        <f>SUM(W69:W74)+W66</f>
        <v>186218</v>
      </c>
      <c r="X75" s="14">
        <f>SUM(X69:X74)+X66</f>
        <v>181416</v>
      </c>
      <c r="Y75" s="14">
        <f>SUM(Y69:Y74)+Y66</f>
        <v>185405</v>
      </c>
      <c r="Z75" s="14">
        <f>SUM(Z69:Z74)+Z66</f>
        <v>205753</v>
      </c>
      <c r="AA75" s="14">
        <f>SUM(AA69:AA74)+AA66</f>
        <v>225071</v>
      </c>
      <c r="AB75" s="14">
        <f>SUM(AB69:AB74)+AB66</f>
        <v>232290</v>
      </c>
      <c r="AC75" s="14">
        <f>SUM(AC69:AC74)+AC66</f>
        <v>231123</v>
      </c>
      <c r="AD75" s="14">
        <f>SUM(AD69:AD74)+AD66</f>
        <v>243686</v>
      </c>
      <c r="AE75" s="14">
        <f>SUM(AE69:AE74)+AE66</f>
        <v>235290</v>
      </c>
      <c r="AF75" s="14">
        <f>SUM(AF69:AF74)+AF66</f>
        <v>231203</v>
      </c>
      <c r="AG75" s="14">
        <f>SUM(AG69:AG74)+AG66</f>
        <v>239833</v>
      </c>
      <c r="AH75" s="14">
        <f>SUM(AH69:AH74)+AH66</f>
        <v>275524</v>
      </c>
      <c r="AI75" s="14">
        <f>SUM(AI69:AI74)+AI66</f>
        <v>273275</v>
      </c>
      <c r="AK75" s="14">
        <f>SUM(AK69:AK74)+AK66</f>
        <v>205753</v>
      </c>
      <c r="AL75" s="14">
        <f>SUM(AL69:AL74)+AL66</f>
        <v>225071</v>
      </c>
      <c r="AM75" s="14">
        <f>SUM(AM69:AM74)+AM66</f>
        <v>232290</v>
      </c>
      <c r="AN75" s="14">
        <f>SUM(AN69:AN74)+AN66</f>
        <v>231123</v>
      </c>
      <c r="AO75" s="14">
        <f>SUM(AO69:AO74)+AO66</f>
        <v>243686</v>
      </c>
      <c r="AP75" s="14">
        <f>SUM(AP69:AP74)+AP66</f>
        <v>235290</v>
      </c>
      <c r="AQ75" s="14">
        <f>SUM(AQ69:AQ74)+AQ66</f>
        <v>231203</v>
      </c>
      <c r="AR75" s="14">
        <f>SUM(AR69:AR74)+AR66</f>
        <v>239833</v>
      </c>
      <c r="AS75" s="42"/>
      <c r="AT75" s="76">
        <f t="shared" si="153"/>
        <v>3.768556136775647E-2</v>
      </c>
    </row>
    <row r="76" spans="2:46" ht="5.0999999999999996" customHeight="1">
      <c r="B76" s="25"/>
      <c r="C76" s="49"/>
      <c r="D76" s="49"/>
      <c r="E76" s="49"/>
      <c r="F76" s="49"/>
      <c r="G76" s="41"/>
      <c r="H76" s="41"/>
      <c r="I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K76" s="42"/>
      <c r="AL76" s="42"/>
      <c r="AM76" s="42"/>
      <c r="AN76" s="42"/>
      <c r="AO76" s="42"/>
      <c r="AP76" s="42"/>
      <c r="AQ76" s="42"/>
      <c r="AR76" s="42"/>
      <c r="AS76" s="42"/>
      <c r="AT76" s="39"/>
    </row>
    <row r="77" spans="2:46" ht="12.75" customHeight="1">
      <c r="B77" s="9" t="s">
        <v>154</v>
      </c>
      <c r="C77" s="82">
        <v>102330</v>
      </c>
      <c r="D77" s="82">
        <v>118304</v>
      </c>
      <c r="E77" s="82">
        <v>141988</v>
      </c>
      <c r="F77" s="82">
        <v>166542</v>
      </c>
      <c r="G77" s="82">
        <v>206223</v>
      </c>
      <c r="H77" s="82">
        <v>268477</v>
      </c>
      <c r="I77" s="82">
        <v>343479</v>
      </c>
      <c r="J77" s="32"/>
      <c r="K77" s="82">
        <v>106061</v>
      </c>
      <c r="L77" s="82">
        <v>110109</v>
      </c>
      <c r="M77" s="82">
        <v>114501</v>
      </c>
      <c r="N77" s="82">
        <v>118304</v>
      </c>
      <c r="O77" s="82">
        <v>123392</v>
      </c>
      <c r="P77" s="82">
        <v>130236</v>
      </c>
      <c r="Q77" s="82">
        <v>134505</v>
      </c>
      <c r="R77" s="82">
        <v>141988</v>
      </c>
      <c r="S77" s="82">
        <v>151978</v>
      </c>
      <c r="T77" s="82">
        <v>160010</v>
      </c>
      <c r="U77" s="82">
        <v>162924</v>
      </c>
      <c r="V77" s="82">
        <v>166542</v>
      </c>
      <c r="W77" s="82">
        <v>173566</v>
      </c>
      <c r="X77" s="82">
        <v>183136</v>
      </c>
      <c r="Y77" s="82">
        <v>194683</v>
      </c>
      <c r="Z77" s="32">
        <v>206223</v>
      </c>
      <c r="AA77" s="82">
        <v>220714</v>
      </c>
      <c r="AB77" s="82">
        <v>238268</v>
      </c>
      <c r="AC77" s="82">
        <v>253152</v>
      </c>
      <c r="AD77" s="32">
        <v>268477</v>
      </c>
      <c r="AE77" s="82">
        <v>287723</v>
      </c>
      <c r="AF77" s="82">
        <v>302695</v>
      </c>
      <c r="AG77" s="82">
        <v>321891</v>
      </c>
      <c r="AH77" s="82">
        <v>343479</v>
      </c>
      <c r="AI77" s="82">
        <v>363076</v>
      </c>
      <c r="AK77" s="32">
        <f>Z77</f>
        <v>206223</v>
      </c>
      <c r="AL77" s="32">
        <f>AA77</f>
        <v>220714</v>
      </c>
      <c r="AM77" s="32">
        <f>AB77</f>
        <v>238268</v>
      </c>
      <c r="AN77" s="32">
        <f>AC77</f>
        <v>253152</v>
      </c>
      <c r="AO77" s="32">
        <f>AD77</f>
        <v>268477</v>
      </c>
      <c r="AP77" s="32">
        <f>AE77</f>
        <v>287723</v>
      </c>
      <c r="AQ77" s="32">
        <f>AF77</f>
        <v>302695</v>
      </c>
      <c r="AR77" s="32">
        <f>AG77</f>
        <v>321891</v>
      </c>
      <c r="AS77" s="11"/>
      <c r="AT77" s="75">
        <f t="shared" si="153"/>
        <v>0.27153251801289335</v>
      </c>
    </row>
    <row r="78" spans="2:46" ht="12.75" customHeight="1">
      <c r="B78" s="9" t="s">
        <v>136</v>
      </c>
      <c r="C78" s="82"/>
      <c r="D78" s="82"/>
      <c r="E78" s="82"/>
      <c r="F78" s="82"/>
      <c r="G78" s="82"/>
      <c r="H78" s="82"/>
      <c r="I78" s="82"/>
      <c r="J78" s="3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32">
        <f>G78</f>
        <v>0</v>
      </c>
      <c r="AA78" s="82"/>
      <c r="AB78" s="82"/>
      <c r="AC78" s="82"/>
      <c r="AD78" s="32">
        <f>H78</f>
        <v>0</v>
      </c>
      <c r="AE78" s="82"/>
      <c r="AF78" s="82"/>
      <c r="AG78" s="82"/>
      <c r="AH78" s="82"/>
      <c r="AI78" s="82"/>
      <c r="AK78" s="32">
        <f>Z78</f>
        <v>0</v>
      </c>
      <c r="AL78" s="32">
        <f>AA78</f>
        <v>0</v>
      </c>
      <c r="AM78" s="32">
        <f>AB78</f>
        <v>0</v>
      </c>
      <c r="AN78" s="32">
        <f>AC78</f>
        <v>0</v>
      </c>
      <c r="AO78" s="32">
        <f>AD78</f>
        <v>0</v>
      </c>
      <c r="AP78" s="32">
        <f>AE78</f>
        <v>0</v>
      </c>
      <c r="AQ78" s="32">
        <f>AF78</f>
        <v>0</v>
      </c>
      <c r="AR78" s="32">
        <f>AG78</f>
        <v>0</v>
      </c>
      <c r="AS78" s="11"/>
      <c r="AT78" s="75"/>
    </row>
    <row r="79" spans="2:46" ht="12.75" customHeight="1">
      <c r="B79" s="9" t="s">
        <v>155</v>
      </c>
      <c r="C79" s="82"/>
      <c r="D79" s="82"/>
      <c r="E79" s="82"/>
      <c r="F79" s="82"/>
      <c r="G79" s="82"/>
      <c r="H79" s="82"/>
      <c r="I79" s="82"/>
      <c r="J79" s="3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32">
        <f>G79</f>
        <v>0</v>
      </c>
      <c r="AA79" s="82"/>
      <c r="AB79" s="82"/>
      <c r="AC79" s="82"/>
      <c r="AD79" s="32">
        <f>H79</f>
        <v>0</v>
      </c>
      <c r="AE79" s="82"/>
      <c r="AF79" s="82"/>
      <c r="AG79" s="82"/>
      <c r="AH79" s="82"/>
      <c r="AI79" s="82"/>
      <c r="AK79" s="32">
        <f>Z79</f>
        <v>0</v>
      </c>
      <c r="AL79" s="32">
        <f>AA79</f>
        <v>0</v>
      </c>
      <c r="AM79" s="32">
        <f>AB79</f>
        <v>0</v>
      </c>
      <c r="AN79" s="32">
        <f>AC79</f>
        <v>0</v>
      </c>
      <c r="AO79" s="32">
        <f>AD79</f>
        <v>0</v>
      </c>
      <c r="AP79" s="32">
        <f>AE79</f>
        <v>0</v>
      </c>
      <c r="AQ79" s="32">
        <f>AF79</f>
        <v>0</v>
      </c>
      <c r="AR79" s="32">
        <f>AG79</f>
        <v>0</v>
      </c>
      <c r="AS79" s="11"/>
      <c r="AT79" s="75"/>
    </row>
    <row r="80" spans="2:46" ht="12.75" customHeight="1">
      <c r="B80" s="9" t="s">
        <v>136</v>
      </c>
      <c r="C80" s="82"/>
      <c r="D80" s="82"/>
      <c r="E80" s="82"/>
      <c r="F80" s="82"/>
      <c r="G80" s="82"/>
      <c r="H80" s="82"/>
      <c r="I80" s="82"/>
      <c r="J80" s="3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32">
        <f>G80</f>
        <v>0</v>
      </c>
      <c r="AA80" s="82"/>
      <c r="AB80" s="82"/>
      <c r="AC80" s="82"/>
      <c r="AD80" s="32">
        <f>H80</f>
        <v>0</v>
      </c>
      <c r="AE80" s="82"/>
      <c r="AF80" s="82"/>
      <c r="AG80" s="82"/>
      <c r="AH80" s="82"/>
      <c r="AI80" s="82"/>
      <c r="AK80" s="32">
        <f>Z80</f>
        <v>0</v>
      </c>
      <c r="AL80" s="32">
        <f>AA80</f>
        <v>0</v>
      </c>
      <c r="AM80" s="32">
        <f>AB80</f>
        <v>0</v>
      </c>
      <c r="AN80" s="32">
        <f>AC80</f>
        <v>0</v>
      </c>
      <c r="AO80" s="32">
        <f>AD80</f>
        <v>0</v>
      </c>
      <c r="AP80" s="32">
        <f>AE80</f>
        <v>0</v>
      </c>
      <c r="AQ80" s="32">
        <f>AF80</f>
        <v>0</v>
      </c>
      <c r="AR80" s="32">
        <f>AG80</f>
        <v>0</v>
      </c>
      <c r="AS80" s="11"/>
      <c r="AT80" s="75" t="e">
        <f t="shared" si="153"/>
        <v>#DIV/0!</v>
      </c>
    </row>
    <row r="81" spans="1:46" ht="12.75" customHeight="1">
      <c r="B81" s="13" t="s">
        <v>14</v>
      </c>
      <c r="C81" s="14">
        <f t="shared" ref="C81" si="163">SUM(C77:C80)</f>
        <v>102330</v>
      </c>
      <c r="D81" s="14">
        <f t="shared" ref="D81:E81" si="164">SUM(D77:D80)</f>
        <v>118304</v>
      </c>
      <c r="E81" s="14">
        <f t="shared" si="164"/>
        <v>141988</v>
      </c>
      <c r="F81" s="14">
        <f t="shared" ref="F81:H81" si="165">SUM(F77:F80)</f>
        <v>166542</v>
      </c>
      <c r="G81" s="14">
        <f t="shared" si="165"/>
        <v>206223</v>
      </c>
      <c r="H81" s="14">
        <f t="shared" si="165"/>
        <v>268477</v>
      </c>
      <c r="I81" s="14">
        <f t="shared" ref="I81" si="166">SUM(I77:I80)</f>
        <v>343479</v>
      </c>
      <c r="J81" s="52"/>
      <c r="K81" s="14">
        <f t="shared" ref="K81:M81" si="167">SUM(K77:K80)</f>
        <v>106061</v>
      </c>
      <c r="L81" s="14">
        <f t="shared" si="167"/>
        <v>110109</v>
      </c>
      <c r="M81" s="14">
        <f t="shared" si="167"/>
        <v>114501</v>
      </c>
      <c r="N81" s="14">
        <f t="shared" ref="N81" si="168">SUM(N77:N80)</f>
        <v>118304</v>
      </c>
      <c r="O81" s="14">
        <f t="shared" ref="O81:U81" si="169">SUM(O77:O80)</f>
        <v>123392</v>
      </c>
      <c r="P81" s="14">
        <f t="shared" ref="P81:R81" si="170">SUM(P77:P80)</f>
        <v>130236</v>
      </c>
      <c r="Q81" s="14">
        <f t="shared" si="170"/>
        <v>134505</v>
      </c>
      <c r="R81" s="14">
        <f t="shared" si="170"/>
        <v>141988</v>
      </c>
      <c r="S81" s="14">
        <f t="shared" si="169"/>
        <v>151978</v>
      </c>
      <c r="T81" s="14">
        <f t="shared" si="169"/>
        <v>160010</v>
      </c>
      <c r="U81" s="14">
        <f t="shared" si="169"/>
        <v>162924</v>
      </c>
      <c r="V81" s="14">
        <f t="shared" ref="V81" si="171">SUM(V77:V80)</f>
        <v>166542</v>
      </c>
      <c r="W81" s="14">
        <f t="shared" ref="W81:AG81" si="172">SUM(W77:W80)</f>
        <v>173566</v>
      </c>
      <c r="X81" s="14">
        <f t="shared" si="172"/>
        <v>183136</v>
      </c>
      <c r="Y81" s="14">
        <f t="shared" si="172"/>
        <v>194683</v>
      </c>
      <c r="Z81" s="14">
        <f t="shared" si="172"/>
        <v>206223</v>
      </c>
      <c r="AA81" s="14">
        <f t="shared" si="172"/>
        <v>220714</v>
      </c>
      <c r="AB81" s="14">
        <f t="shared" si="172"/>
        <v>238268</v>
      </c>
      <c r="AC81" s="14">
        <f t="shared" si="172"/>
        <v>253152</v>
      </c>
      <c r="AD81" s="14">
        <f t="shared" si="172"/>
        <v>268477</v>
      </c>
      <c r="AE81" s="14">
        <f t="shared" si="172"/>
        <v>287723</v>
      </c>
      <c r="AF81" s="14">
        <f t="shared" si="172"/>
        <v>302695</v>
      </c>
      <c r="AG81" s="14">
        <f t="shared" si="172"/>
        <v>321891</v>
      </c>
      <c r="AH81" s="14">
        <f t="shared" ref="AH81:AI81" si="173">SUM(AH77:AH80)</f>
        <v>343479</v>
      </c>
      <c r="AI81" s="14">
        <f t="shared" si="173"/>
        <v>363076</v>
      </c>
      <c r="AK81" s="14">
        <f t="shared" ref="AK81:AR81" si="174">SUM(AK77:AK80)</f>
        <v>206223</v>
      </c>
      <c r="AL81" s="14">
        <f t="shared" si="174"/>
        <v>220714</v>
      </c>
      <c r="AM81" s="14">
        <f t="shared" si="174"/>
        <v>238268</v>
      </c>
      <c r="AN81" s="14">
        <f t="shared" si="174"/>
        <v>253152</v>
      </c>
      <c r="AO81" s="14">
        <f t="shared" si="174"/>
        <v>268477</v>
      </c>
      <c r="AP81" s="14">
        <f t="shared" si="174"/>
        <v>287723</v>
      </c>
      <c r="AQ81" s="14">
        <f t="shared" si="174"/>
        <v>302695</v>
      </c>
      <c r="AR81" s="14">
        <f t="shared" si="174"/>
        <v>321891</v>
      </c>
      <c r="AS81" s="42"/>
      <c r="AT81" s="75">
        <f t="shared" si="153"/>
        <v>0.27153251801289335</v>
      </c>
    </row>
    <row r="82" spans="1:46" ht="12.75" customHeight="1">
      <c r="B82" s="25" t="s">
        <v>49</v>
      </c>
      <c r="C82" s="32">
        <f t="shared" ref="C82" si="175">SUM(C81+C75)</f>
        <v>286556</v>
      </c>
      <c r="D82" s="32">
        <f t="shared" ref="D82:E82" si="176">SUM(D81+D75)</f>
        <v>301311</v>
      </c>
      <c r="E82" s="32">
        <f t="shared" si="176"/>
        <v>333779</v>
      </c>
      <c r="F82" s="32">
        <f t="shared" ref="F82:H82" si="177">SUM(F81+F75)</f>
        <v>364840</v>
      </c>
      <c r="G82" s="32">
        <f t="shared" si="177"/>
        <v>411976</v>
      </c>
      <c r="H82" s="32">
        <f t="shared" si="177"/>
        <v>512163</v>
      </c>
      <c r="I82" s="32">
        <f t="shared" ref="I82" si="178">SUM(I81+I75)</f>
        <v>619003</v>
      </c>
      <c r="J82" s="32"/>
      <c r="K82" s="32">
        <f t="shared" ref="K82:M82" si="179">SUM(K81+K75)</f>
        <v>278955</v>
      </c>
      <c r="L82" s="32">
        <f t="shared" si="179"/>
        <v>282794</v>
      </c>
      <c r="M82" s="32">
        <f t="shared" si="179"/>
        <v>285449</v>
      </c>
      <c r="N82" s="32">
        <f t="shared" ref="N82" si="180">SUM(N81+N75)</f>
        <v>301311</v>
      </c>
      <c r="O82" s="32">
        <f t="shared" ref="O82:U82" si="181">SUM(O81+O75)</f>
        <v>301001</v>
      </c>
      <c r="P82" s="32">
        <f t="shared" ref="P82:R82" si="182">SUM(P81+P75)</f>
        <v>304137</v>
      </c>
      <c r="Q82" s="32">
        <f t="shared" si="182"/>
        <v>308879</v>
      </c>
      <c r="R82" s="32">
        <f t="shared" si="182"/>
        <v>333779</v>
      </c>
      <c r="S82" s="32">
        <f t="shared" si="181"/>
        <v>335418</v>
      </c>
      <c r="T82" s="32">
        <f t="shared" si="181"/>
        <v>340389</v>
      </c>
      <c r="U82" s="32">
        <f t="shared" si="181"/>
        <v>344607</v>
      </c>
      <c r="V82" s="32">
        <f t="shared" ref="V82" si="183">SUM(V81+V75)</f>
        <v>364840</v>
      </c>
      <c r="W82" s="32">
        <f t="shared" ref="W82:AG82" si="184">SUM(W81+W75)</f>
        <v>359784</v>
      </c>
      <c r="X82" s="32">
        <f t="shared" si="184"/>
        <v>364552</v>
      </c>
      <c r="Y82" s="32">
        <f t="shared" si="184"/>
        <v>380088</v>
      </c>
      <c r="Z82" s="32">
        <f t="shared" si="184"/>
        <v>411976</v>
      </c>
      <c r="AA82" s="32">
        <f t="shared" si="184"/>
        <v>445785</v>
      </c>
      <c r="AB82" s="32">
        <f t="shared" si="184"/>
        <v>470558</v>
      </c>
      <c r="AC82" s="32">
        <f t="shared" si="184"/>
        <v>484275</v>
      </c>
      <c r="AD82" s="32">
        <f t="shared" si="184"/>
        <v>512163</v>
      </c>
      <c r="AE82" s="32">
        <f t="shared" si="184"/>
        <v>523013</v>
      </c>
      <c r="AF82" s="32">
        <f t="shared" si="184"/>
        <v>533898</v>
      </c>
      <c r="AG82" s="32">
        <f t="shared" si="184"/>
        <v>561724</v>
      </c>
      <c r="AH82" s="32">
        <f t="shared" ref="AH82:AI82" si="185">SUM(AH81+AH75)</f>
        <v>619003</v>
      </c>
      <c r="AI82" s="32">
        <f t="shared" si="185"/>
        <v>636351</v>
      </c>
      <c r="AJ82" s="32"/>
      <c r="AK82" s="32">
        <f t="shared" ref="AK82:AR82" si="186">SUM(AK81+AK75)</f>
        <v>411976</v>
      </c>
      <c r="AL82" s="32">
        <f t="shared" si="186"/>
        <v>445785</v>
      </c>
      <c r="AM82" s="32">
        <f t="shared" si="186"/>
        <v>470558</v>
      </c>
      <c r="AN82" s="32">
        <f t="shared" si="186"/>
        <v>484275</v>
      </c>
      <c r="AO82" s="32">
        <f t="shared" si="186"/>
        <v>512163</v>
      </c>
      <c r="AP82" s="32">
        <f t="shared" si="186"/>
        <v>523013</v>
      </c>
      <c r="AQ82" s="32">
        <f t="shared" si="186"/>
        <v>533898</v>
      </c>
      <c r="AR82" s="32">
        <f t="shared" si="186"/>
        <v>561724</v>
      </c>
      <c r="AS82" s="11"/>
      <c r="AT82" s="76">
        <f t="shared" si="153"/>
        <v>0.15992772701460956</v>
      </c>
    </row>
    <row r="83" spans="1:46" ht="5.0999999999999996" customHeight="1">
      <c r="B83" s="25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11"/>
    </row>
    <row r="84" spans="1:46" ht="12.75" customHeight="1">
      <c r="B84" s="139" t="s">
        <v>58</v>
      </c>
      <c r="C84" s="69">
        <f>C82-C56</f>
        <v>0</v>
      </c>
      <c r="D84" s="69">
        <f>D82-D56</f>
        <v>0</v>
      </c>
      <c r="E84" s="69">
        <f>E82-E56</f>
        <v>0</v>
      </c>
      <c r="F84" s="69">
        <f>F82-F56</f>
        <v>0</v>
      </c>
      <c r="G84" s="69">
        <f>G82-G56</f>
        <v>0</v>
      </c>
      <c r="H84" s="69">
        <f>H82-H56</f>
        <v>0</v>
      </c>
      <c r="I84" s="69">
        <f>I82-I56</f>
        <v>0</v>
      </c>
      <c r="J84" s="70"/>
      <c r="K84" s="69">
        <f>K82-K56</f>
        <v>0</v>
      </c>
      <c r="L84" s="69">
        <f>L82-L56</f>
        <v>0</v>
      </c>
      <c r="M84" s="69">
        <f>M82-M56</f>
        <v>0</v>
      </c>
      <c r="N84" s="69">
        <f>N82-N56</f>
        <v>0</v>
      </c>
      <c r="O84" s="69">
        <f>O82-O56</f>
        <v>0</v>
      </c>
      <c r="P84" s="69">
        <f>P82-P56</f>
        <v>0</v>
      </c>
      <c r="Q84" s="69">
        <f>Q82-Q56</f>
        <v>0</v>
      </c>
      <c r="R84" s="69">
        <f>R82-R56</f>
        <v>0</v>
      </c>
      <c r="S84" s="69">
        <f>S82-S56</f>
        <v>0</v>
      </c>
      <c r="T84" s="69">
        <f>T82-T56</f>
        <v>0</v>
      </c>
      <c r="U84" s="69">
        <f>U82-U56</f>
        <v>0</v>
      </c>
      <c r="V84" s="69">
        <f>V82-V56</f>
        <v>0</v>
      </c>
      <c r="W84" s="69">
        <f>W82-W56</f>
        <v>0</v>
      </c>
      <c r="X84" s="69">
        <f>X82-X56</f>
        <v>0</v>
      </c>
      <c r="Y84" s="69">
        <f>Y82-Y56</f>
        <v>0</v>
      </c>
      <c r="Z84" s="69">
        <f>Z82-Z56</f>
        <v>0</v>
      </c>
      <c r="AA84" s="69">
        <f>AA82-AA56</f>
        <v>0</v>
      </c>
      <c r="AB84" s="69">
        <f>AB82-AB56</f>
        <v>0</v>
      </c>
      <c r="AC84" s="69">
        <f>AC82-AC56</f>
        <v>-450</v>
      </c>
      <c r="AD84" s="69">
        <f>AD82-AD56</f>
        <v>0</v>
      </c>
      <c r="AE84" s="69">
        <f>AE82-AE56</f>
        <v>0</v>
      </c>
      <c r="AF84" s="69">
        <f>AF82-AF56</f>
        <v>0</v>
      </c>
      <c r="AG84" s="69">
        <f>AG82-AG56</f>
        <v>-900</v>
      </c>
      <c r="AH84" s="69">
        <f>AH82-AH56</f>
        <v>0</v>
      </c>
      <c r="AI84" s="69">
        <f>AI82-AI56</f>
        <v>0</v>
      </c>
      <c r="AJ84" s="28"/>
      <c r="AK84" s="69">
        <f>AK82-AK56</f>
        <v>0</v>
      </c>
      <c r="AL84" s="69">
        <f>AL82-AL56</f>
        <v>0</v>
      </c>
      <c r="AM84" s="69">
        <f>AM82-AM56</f>
        <v>0</v>
      </c>
      <c r="AN84" s="69">
        <f>AN82-AN56</f>
        <v>-450</v>
      </c>
      <c r="AO84" s="69">
        <f>AO82-AO56</f>
        <v>0</v>
      </c>
      <c r="AP84" s="69">
        <f>AP82-AP56</f>
        <v>0</v>
      </c>
      <c r="AQ84" s="69">
        <f>AQ82-AQ56</f>
        <v>0</v>
      </c>
      <c r="AR84" s="69">
        <f>AR82-AR56</f>
        <v>-900</v>
      </c>
    </row>
    <row r="85" spans="1:46" ht="5.0999999999999996" customHeight="1" thickBot="1">
      <c r="B85" s="116"/>
      <c r="C85" s="117"/>
      <c r="D85" s="117"/>
      <c r="E85" s="117"/>
      <c r="F85" s="117"/>
      <c r="G85" s="117"/>
      <c r="H85" s="117"/>
      <c r="I85" s="117"/>
      <c r="J85" s="118"/>
      <c r="K85" s="117"/>
      <c r="L85" s="117"/>
      <c r="M85" s="117"/>
      <c r="N85" s="117"/>
      <c r="O85" s="117"/>
      <c r="P85" s="117"/>
      <c r="Q85" s="117"/>
      <c r="R85" s="117"/>
      <c r="S85" s="117"/>
      <c r="T85" s="117"/>
      <c r="U85" s="117"/>
      <c r="V85" s="117"/>
      <c r="W85" s="117"/>
      <c r="X85" s="117"/>
      <c r="Y85" s="117"/>
      <c r="Z85" s="117"/>
      <c r="AA85" s="117"/>
      <c r="AB85" s="117"/>
      <c r="AC85" s="117"/>
      <c r="AD85" s="117"/>
      <c r="AE85" s="117"/>
      <c r="AF85" s="117"/>
      <c r="AG85" s="117"/>
      <c r="AH85" s="117"/>
      <c r="AI85" s="117"/>
      <c r="AJ85" s="119"/>
      <c r="AK85" s="117"/>
      <c r="AL85" s="117"/>
      <c r="AM85" s="117"/>
      <c r="AN85" s="117"/>
      <c r="AO85" s="117"/>
      <c r="AP85" s="117"/>
      <c r="AQ85" s="117"/>
      <c r="AR85" s="117"/>
      <c r="AS85" s="73"/>
      <c r="AT85" s="73"/>
    </row>
    <row r="86" spans="1:46">
      <c r="B86" s="68"/>
      <c r="C86" s="24"/>
      <c r="D86" s="24"/>
      <c r="E86" s="24"/>
      <c r="F86" s="24"/>
      <c r="G86" s="24"/>
      <c r="H86" s="24"/>
      <c r="I86" s="24"/>
      <c r="J86" s="53"/>
    </row>
    <row r="87" spans="1:46" ht="12.75" customHeight="1">
      <c r="A87" s="5" t="s">
        <v>16</v>
      </c>
      <c r="B87" s="98" t="s">
        <v>13</v>
      </c>
      <c r="C87" s="102"/>
      <c r="D87" s="102"/>
      <c r="E87" s="102"/>
      <c r="F87" s="102"/>
      <c r="G87" s="102"/>
      <c r="H87" s="102"/>
      <c r="I87" s="102"/>
      <c r="J87" s="103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98"/>
      <c r="AK87" s="102"/>
      <c r="AL87" s="102"/>
      <c r="AM87" s="102" t="s">
        <v>10</v>
      </c>
      <c r="AN87" s="102"/>
      <c r="AO87" s="102"/>
      <c r="AP87" s="102"/>
      <c r="AQ87" s="102"/>
      <c r="AR87" s="102"/>
      <c r="AS87" s="103"/>
      <c r="AT87" s="164" t="s">
        <v>22</v>
      </c>
    </row>
    <row r="88" spans="1:46" ht="12.75" customHeight="1">
      <c r="B88" s="99" t="str">
        <f>B7</f>
        <v>Fiscal Period</v>
      </c>
      <c r="C88" s="104">
        <f>C7</f>
        <v>2019</v>
      </c>
      <c r="D88" s="104">
        <f>D7</f>
        <v>2020</v>
      </c>
      <c r="E88" s="104">
        <f>E7</f>
        <v>2021</v>
      </c>
      <c r="F88" s="104">
        <f>F7</f>
        <v>2022</v>
      </c>
      <c r="G88" s="104">
        <f>G7</f>
        <v>2023</v>
      </c>
      <c r="H88" s="104">
        <f>H7</f>
        <v>2024</v>
      </c>
      <c r="I88" s="104">
        <f>I7</f>
        <v>2025</v>
      </c>
      <c r="J88" s="103"/>
      <c r="K88" s="104" t="str">
        <f>K7</f>
        <v>1Q20</v>
      </c>
      <c r="L88" s="104" t="str">
        <f>L7</f>
        <v>2Q20</v>
      </c>
      <c r="M88" s="104" t="str">
        <f>M7</f>
        <v>3Q20</v>
      </c>
      <c r="N88" s="104" t="str">
        <f>N7</f>
        <v>4Q20</v>
      </c>
      <c r="O88" s="104" t="str">
        <f>O7</f>
        <v>1Q21</v>
      </c>
      <c r="P88" s="104" t="str">
        <f>P7</f>
        <v>2Q21</v>
      </c>
      <c r="Q88" s="104" t="str">
        <f>Q7</f>
        <v>3Q21</v>
      </c>
      <c r="R88" s="104" t="str">
        <f>R7</f>
        <v>4Q21</v>
      </c>
      <c r="S88" s="104" t="str">
        <f>S7</f>
        <v>1Q22</v>
      </c>
      <c r="T88" s="104" t="str">
        <f>T7</f>
        <v>2Q22</v>
      </c>
      <c r="U88" s="104" t="str">
        <f>U7</f>
        <v>3Q22</v>
      </c>
      <c r="V88" s="104" t="str">
        <f>V7</f>
        <v>4Q22</v>
      </c>
      <c r="W88" s="104" t="str">
        <f>W7</f>
        <v>1Q23</v>
      </c>
      <c r="X88" s="104" t="str">
        <f>X7</f>
        <v>2Q23</v>
      </c>
      <c r="Y88" s="104" t="str">
        <f>Y7</f>
        <v>3Q23</v>
      </c>
      <c r="Z88" s="104" t="str">
        <f>Z7</f>
        <v>4Q23</v>
      </c>
      <c r="AA88" s="104" t="str">
        <f>AA7</f>
        <v>1Q24</v>
      </c>
      <c r="AB88" s="104" t="str">
        <f>AB7</f>
        <v>2Q24</v>
      </c>
      <c r="AC88" s="104" t="str">
        <f>AC7</f>
        <v>3Q24</v>
      </c>
      <c r="AD88" s="104" t="str">
        <f>AD7</f>
        <v>4Q24</v>
      </c>
      <c r="AE88" s="104" t="str">
        <f>AE7</f>
        <v>1Q25</v>
      </c>
      <c r="AF88" s="104" t="str">
        <f>AF7</f>
        <v>2Q25</v>
      </c>
      <c r="AG88" s="104" t="str">
        <f>AG7</f>
        <v>3Q25</v>
      </c>
      <c r="AH88" s="104" t="str">
        <f t="shared" ref="AH88:AI88" si="187">AH7</f>
        <v>4Q25</v>
      </c>
      <c r="AI88" s="104" t="str">
        <f t="shared" si="187"/>
        <v>1Q26</v>
      </c>
      <c r="AJ88" s="104"/>
      <c r="AK88" s="104" t="str">
        <f>AK7</f>
        <v>4Q23</v>
      </c>
      <c r="AL88" s="104" t="str">
        <f>AL7</f>
        <v>1Q24</v>
      </c>
      <c r="AM88" s="104" t="str">
        <f>AM7</f>
        <v>2Q24</v>
      </c>
      <c r="AN88" s="104" t="str">
        <f>AN7</f>
        <v>3Q24</v>
      </c>
      <c r="AO88" s="104" t="str">
        <f>AO7</f>
        <v>4Q24</v>
      </c>
      <c r="AP88" s="104" t="str">
        <f>AP7</f>
        <v>1Q25</v>
      </c>
      <c r="AQ88" s="104" t="str">
        <f>AQ7</f>
        <v>2Q25</v>
      </c>
      <c r="AR88" s="104" t="str">
        <f>AR7</f>
        <v>3Q25</v>
      </c>
      <c r="AS88" s="103"/>
      <c r="AT88" s="164"/>
    </row>
    <row r="89" spans="1:46" ht="12.75" customHeight="1">
      <c r="B89" s="99" t="str">
        <f>B8</f>
        <v>Fiscal Period End Date</v>
      </c>
      <c r="C89" s="105">
        <f>C8</f>
        <v>0</v>
      </c>
      <c r="D89" s="105">
        <f>D8</f>
        <v>0</v>
      </c>
      <c r="E89" s="105">
        <f>E8</f>
        <v>0</v>
      </c>
      <c r="F89" s="105">
        <f>F8</f>
        <v>0</v>
      </c>
      <c r="G89" s="105">
        <f>G8</f>
        <v>0</v>
      </c>
      <c r="H89" s="105">
        <f>H8</f>
        <v>0</v>
      </c>
      <c r="I89" s="105">
        <f>I8</f>
        <v>0</v>
      </c>
      <c r="J89" s="103"/>
      <c r="K89" s="105">
        <f>K8</f>
        <v>0</v>
      </c>
      <c r="L89" s="105">
        <f>L8</f>
        <v>0</v>
      </c>
      <c r="M89" s="105">
        <f>M8</f>
        <v>0</v>
      </c>
      <c r="N89" s="105">
        <f>N8</f>
        <v>0</v>
      </c>
      <c r="O89" s="105">
        <f>O8</f>
        <v>0</v>
      </c>
      <c r="P89" s="105">
        <f>P8</f>
        <v>0</v>
      </c>
      <c r="Q89" s="105">
        <f>Q8</f>
        <v>0</v>
      </c>
      <c r="R89" s="105">
        <f>R8</f>
        <v>0</v>
      </c>
      <c r="S89" s="105">
        <f>S8</f>
        <v>0</v>
      </c>
      <c r="T89" s="105">
        <f>T8</f>
        <v>0</v>
      </c>
      <c r="U89" s="105">
        <f>U8</f>
        <v>0</v>
      </c>
      <c r="V89" s="105">
        <f>V8</f>
        <v>0</v>
      </c>
      <c r="W89" s="105">
        <f>W8</f>
        <v>0</v>
      </c>
      <c r="X89" s="105">
        <f>X8</f>
        <v>0</v>
      </c>
      <c r="Y89" s="105">
        <f>Y8</f>
        <v>0</v>
      </c>
      <c r="Z89" s="105">
        <f>Z8</f>
        <v>0</v>
      </c>
      <c r="AA89" s="105">
        <f>AA8</f>
        <v>0</v>
      </c>
      <c r="AB89" s="105">
        <f>AB8</f>
        <v>0</v>
      </c>
      <c r="AC89" s="105">
        <f>AC8</f>
        <v>0</v>
      </c>
      <c r="AD89" s="105">
        <f>AD8</f>
        <v>0</v>
      </c>
      <c r="AE89" s="105">
        <f>AE8</f>
        <v>0</v>
      </c>
      <c r="AF89" s="105">
        <f>AF8</f>
        <v>0</v>
      </c>
      <c r="AG89" s="105">
        <f>AG8</f>
        <v>0</v>
      </c>
      <c r="AH89" s="105">
        <f t="shared" ref="AH89:AI89" si="188">AH8</f>
        <v>0</v>
      </c>
      <c r="AI89" s="105">
        <f t="shared" si="188"/>
        <v>0</v>
      </c>
      <c r="AJ89" s="105"/>
      <c r="AK89" s="105">
        <f>AK8</f>
        <v>0</v>
      </c>
      <c r="AL89" s="105">
        <f>AL8</f>
        <v>0</v>
      </c>
      <c r="AM89" s="105">
        <f>AM8</f>
        <v>0</v>
      </c>
      <c r="AN89" s="105">
        <f>AN8</f>
        <v>0</v>
      </c>
      <c r="AO89" s="105">
        <f>AO8</f>
        <v>0</v>
      </c>
      <c r="AP89" s="105">
        <f>AP8</f>
        <v>0</v>
      </c>
      <c r="AQ89" s="105">
        <f>AQ8</f>
        <v>0</v>
      </c>
      <c r="AR89" s="105">
        <f>AR8</f>
        <v>0</v>
      </c>
      <c r="AS89" s="103"/>
      <c r="AT89" s="164"/>
    </row>
    <row r="90" spans="1:46" ht="5.0999999999999996" customHeight="1">
      <c r="B90" s="54"/>
      <c r="C90" s="47"/>
      <c r="D90" s="47"/>
      <c r="E90" s="47"/>
      <c r="F90" s="47"/>
      <c r="G90" s="47"/>
      <c r="H90" s="47"/>
      <c r="I90" s="47"/>
    </row>
    <row r="91" spans="1:46" ht="12.75" customHeight="1">
      <c r="B91" s="55" t="s">
        <v>50</v>
      </c>
      <c r="C91" s="56"/>
      <c r="D91" s="56"/>
      <c r="E91" s="56"/>
      <c r="F91" s="56"/>
      <c r="G91" s="56"/>
      <c r="H91" s="56"/>
      <c r="I91" s="56"/>
    </row>
    <row r="92" spans="1:46" ht="12.75" customHeight="1">
      <c r="B92" s="57" t="s">
        <v>104</v>
      </c>
      <c r="C92" s="32">
        <f>C28</f>
        <v>39240</v>
      </c>
      <c r="D92" s="32">
        <f t="shared" ref="D92:AR92" si="189">D28</f>
        <v>44281</v>
      </c>
      <c r="E92" s="32">
        <f t="shared" si="189"/>
        <v>61271</v>
      </c>
      <c r="F92" s="32">
        <f t="shared" si="189"/>
        <v>72738</v>
      </c>
      <c r="G92" s="32">
        <f t="shared" si="189"/>
        <v>72361</v>
      </c>
      <c r="H92" s="32">
        <f t="shared" si="189"/>
        <v>88136</v>
      </c>
      <c r="I92" s="32">
        <f t="shared" ref="I92" si="190">I28</f>
        <v>101832</v>
      </c>
      <c r="J92" s="32"/>
      <c r="K92" s="32">
        <f t="shared" si="189"/>
        <v>10678</v>
      </c>
      <c r="L92" s="32">
        <f t="shared" si="189"/>
        <v>11649</v>
      </c>
      <c r="M92" s="32">
        <f t="shared" si="189"/>
        <v>10752</v>
      </c>
      <c r="N92" s="32">
        <f t="shared" si="189"/>
        <v>11202</v>
      </c>
      <c r="O92" s="32">
        <f t="shared" si="189"/>
        <v>13893</v>
      </c>
      <c r="P92" s="32">
        <f t="shared" si="189"/>
        <v>15463</v>
      </c>
      <c r="Q92" s="32">
        <f t="shared" si="189"/>
        <v>15457</v>
      </c>
      <c r="R92" s="32">
        <f t="shared" si="189"/>
        <v>16458</v>
      </c>
      <c r="S92" s="32">
        <f t="shared" si="189"/>
        <v>20505</v>
      </c>
      <c r="T92" s="32">
        <f t="shared" si="189"/>
        <v>18755</v>
      </c>
      <c r="U92" s="32">
        <f t="shared" si="189"/>
        <v>16728</v>
      </c>
      <c r="V92" s="32">
        <f t="shared" si="189"/>
        <v>16750</v>
      </c>
      <c r="W92" s="32">
        <f t="shared" si="189"/>
        <v>17556</v>
      </c>
      <c r="X92" s="32">
        <f t="shared" si="189"/>
        <v>16425</v>
      </c>
      <c r="Y92" s="32">
        <f t="shared" si="189"/>
        <v>18299</v>
      </c>
      <c r="Z92" s="32">
        <f t="shared" si="189"/>
        <v>20081</v>
      </c>
      <c r="AA92" s="32">
        <f t="shared" si="189"/>
        <v>22291</v>
      </c>
      <c r="AB92" s="32">
        <f t="shared" si="189"/>
        <v>21870</v>
      </c>
      <c r="AC92" s="32">
        <f t="shared" si="189"/>
        <v>21939</v>
      </c>
      <c r="AD92" s="32">
        <f t="shared" si="189"/>
        <v>22036</v>
      </c>
      <c r="AE92" s="32">
        <f t="shared" si="189"/>
        <v>24667</v>
      </c>
      <c r="AF92" s="32">
        <f t="shared" si="189"/>
        <v>24108</v>
      </c>
      <c r="AG92" s="32">
        <f t="shared" si="189"/>
        <v>25824</v>
      </c>
      <c r="AH92" s="32">
        <f t="shared" ref="AH92:AI92" si="191">AH28</f>
        <v>27233</v>
      </c>
      <c r="AI92" s="32">
        <f t="shared" si="191"/>
        <v>27747</v>
      </c>
      <c r="AJ92" s="32"/>
      <c r="AK92" s="32">
        <f t="shared" si="189"/>
        <v>72361</v>
      </c>
      <c r="AL92" s="32">
        <f t="shared" si="189"/>
        <v>77096</v>
      </c>
      <c r="AM92" s="32">
        <f t="shared" si="189"/>
        <v>82541</v>
      </c>
      <c r="AN92" s="32">
        <f t="shared" si="189"/>
        <v>86181</v>
      </c>
      <c r="AO92" s="32">
        <f t="shared" si="189"/>
        <v>88136</v>
      </c>
      <c r="AP92" s="32">
        <f t="shared" si="189"/>
        <v>90512</v>
      </c>
      <c r="AQ92" s="32">
        <f t="shared" si="189"/>
        <v>92750</v>
      </c>
      <c r="AR92" s="32">
        <f t="shared" si="189"/>
        <v>96635</v>
      </c>
      <c r="AS92" s="11"/>
      <c r="AT92" s="75">
        <f>SUM(AR92/AN92)-1</f>
        <v>0.12130283937294761</v>
      </c>
    </row>
    <row r="93" spans="1:46" ht="5.0999999999999996" customHeight="1"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K93" s="32"/>
      <c r="AL93" s="32"/>
      <c r="AM93" s="32"/>
      <c r="AN93" s="32"/>
      <c r="AO93" s="32"/>
      <c r="AP93" s="32"/>
      <c r="AQ93" s="32"/>
      <c r="AR93" s="32"/>
      <c r="AS93" s="11"/>
      <c r="AT93" s="75"/>
    </row>
    <row r="94" spans="1:46" ht="12.75" customHeight="1">
      <c r="B94" s="36" t="s">
        <v>57</v>
      </c>
      <c r="C94" s="32"/>
      <c r="D94" s="32"/>
      <c r="E94" s="32"/>
      <c r="F94" s="32"/>
      <c r="G94" s="32"/>
      <c r="H94" s="32"/>
      <c r="I94" s="32"/>
      <c r="J94" s="3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32"/>
      <c r="AA94" s="82"/>
      <c r="AB94" s="82"/>
      <c r="AC94" s="82"/>
      <c r="AD94" s="32"/>
      <c r="AE94" s="82"/>
      <c r="AF94" s="82"/>
      <c r="AG94" s="82"/>
      <c r="AH94" s="82"/>
      <c r="AI94" s="82"/>
      <c r="AK94" s="32"/>
      <c r="AL94" s="32"/>
      <c r="AM94" s="32"/>
      <c r="AN94" s="32"/>
      <c r="AO94" s="32"/>
      <c r="AP94" s="32"/>
      <c r="AQ94" s="32"/>
      <c r="AR94" s="32"/>
      <c r="AS94" s="59"/>
      <c r="AT94" s="75"/>
    </row>
    <row r="95" spans="1:46" ht="12.75" customHeight="1">
      <c r="B95" s="60" t="s">
        <v>137</v>
      </c>
      <c r="C95" s="82"/>
      <c r="D95" s="82"/>
      <c r="E95" s="82"/>
      <c r="F95" s="82"/>
      <c r="G95" s="82"/>
      <c r="H95" s="82"/>
      <c r="I95" s="82"/>
      <c r="J95" s="3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32">
        <f>SUM(G95-SUM(W95:Y95))</f>
        <v>0</v>
      </c>
      <c r="AA95" s="82"/>
      <c r="AB95" s="82"/>
      <c r="AC95" s="82"/>
      <c r="AD95" s="32">
        <f>SUM(H95-SUM(AA95:AC95))</f>
        <v>0</v>
      </c>
      <c r="AE95" s="82"/>
      <c r="AF95" s="82"/>
      <c r="AG95" s="82"/>
      <c r="AH95" s="82"/>
      <c r="AI95" s="82"/>
      <c r="AK95" s="32">
        <f>SUM(W95:Z95)</f>
        <v>0</v>
      </c>
      <c r="AL95" s="32">
        <f>SUM(X95:AA95)</f>
        <v>0</v>
      </c>
      <c r="AM95" s="32">
        <f>SUM(Y95:AB95)</f>
        <v>0</v>
      </c>
      <c r="AN95" s="32">
        <f>SUM(Z95:AC95)</f>
        <v>0</v>
      </c>
      <c r="AO95" s="32">
        <f>SUM(AA95:AD95)</f>
        <v>0</v>
      </c>
      <c r="AP95" s="32">
        <f>SUM(AB95:AE95)</f>
        <v>0</v>
      </c>
      <c r="AQ95" s="32">
        <f>SUM(AC95:AF95)</f>
        <v>0</v>
      </c>
      <c r="AR95" s="32">
        <f>SUM(AD95:AG95)</f>
        <v>0</v>
      </c>
      <c r="AS95" s="11"/>
      <c r="AT95" s="75" t="e">
        <f t="shared" ref="AT95:AT101" si="192">SUM(AR95/AN95)-1</f>
        <v>#DIV/0!</v>
      </c>
    </row>
    <row r="96" spans="1:46" ht="12.75" customHeight="1">
      <c r="B96" s="60" t="s">
        <v>138</v>
      </c>
      <c r="C96" s="82"/>
      <c r="D96" s="82"/>
      <c r="E96" s="82"/>
      <c r="F96" s="82"/>
      <c r="G96" s="82"/>
      <c r="H96" s="82"/>
      <c r="I96" s="82"/>
      <c r="J96" s="3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32">
        <f>SUM(G96-SUM(W96:Y96))</f>
        <v>0</v>
      </c>
      <c r="AA96" s="82"/>
      <c r="AB96" s="82"/>
      <c r="AC96" s="82"/>
      <c r="AD96" s="32">
        <f>SUM(H96-SUM(AA96:AC96))</f>
        <v>0</v>
      </c>
      <c r="AE96" s="82"/>
      <c r="AF96" s="82"/>
      <c r="AG96" s="82"/>
      <c r="AH96" s="82"/>
      <c r="AI96" s="82"/>
      <c r="AK96" s="32">
        <f>SUM(W96:Z96)</f>
        <v>0</v>
      </c>
      <c r="AL96" s="32">
        <f>SUM(X96:AA96)</f>
        <v>0</v>
      </c>
      <c r="AM96" s="32">
        <f>SUM(Y96:AB96)</f>
        <v>0</v>
      </c>
      <c r="AN96" s="32">
        <f>SUM(Z96:AC96)</f>
        <v>0</v>
      </c>
      <c r="AO96" s="32">
        <f>SUM(AA96:AD96)</f>
        <v>0</v>
      </c>
      <c r="AP96" s="32">
        <f>SUM(AB96:AE96)</f>
        <v>0</v>
      </c>
      <c r="AQ96" s="32">
        <f>SUM(AC96:AF96)</f>
        <v>0</v>
      </c>
      <c r="AR96" s="32">
        <f>SUM(AD96:AG96)</f>
        <v>0</v>
      </c>
      <c r="AS96" s="11"/>
      <c r="AT96" s="75" t="e">
        <f t="shared" ref="AT96" si="193">SUM(AR96/AN96)-1</f>
        <v>#DIV/0!</v>
      </c>
    </row>
    <row r="97" spans="2:46" ht="12.75" customHeight="1">
      <c r="B97" s="60" t="s">
        <v>139</v>
      </c>
      <c r="C97" s="82"/>
      <c r="D97" s="82"/>
      <c r="E97" s="82"/>
      <c r="F97" s="82"/>
      <c r="G97" s="82"/>
      <c r="H97" s="82"/>
      <c r="I97" s="82"/>
      <c r="J97" s="3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32">
        <f>SUM(G97-SUM(W97:Y97))</f>
        <v>0</v>
      </c>
      <c r="AA97" s="82"/>
      <c r="AB97" s="82"/>
      <c r="AC97" s="82"/>
      <c r="AD97" s="32">
        <f>SUM(H97-SUM(AA97:AC97))</f>
        <v>0</v>
      </c>
      <c r="AE97" s="82"/>
      <c r="AF97" s="82"/>
      <c r="AG97" s="82"/>
      <c r="AH97" s="82"/>
      <c r="AI97" s="82"/>
      <c r="AK97" s="32">
        <f>SUM(W97:Z97)</f>
        <v>0</v>
      </c>
      <c r="AL97" s="32">
        <f>SUM(X97:AA97)</f>
        <v>0</v>
      </c>
      <c r="AM97" s="32">
        <f>SUM(Y97:AB97)</f>
        <v>0</v>
      </c>
      <c r="AN97" s="32">
        <f>SUM(Z97:AC97)</f>
        <v>0</v>
      </c>
      <c r="AO97" s="32">
        <f>SUM(AA97:AD97)</f>
        <v>0</v>
      </c>
      <c r="AP97" s="32">
        <f>SUM(AB97:AE97)</f>
        <v>0</v>
      </c>
      <c r="AQ97" s="32">
        <f>SUM(AC97:AF97)</f>
        <v>0</v>
      </c>
      <c r="AR97" s="32">
        <f>SUM(AD97:AG97)</f>
        <v>0</v>
      </c>
      <c r="AS97" s="11"/>
      <c r="AT97" s="75" t="e">
        <f t="shared" si="192"/>
        <v>#DIV/0!</v>
      </c>
    </row>
    <row r="98" spans="2:46" ht="12.75" customHeight="1">
      <c r="B98" s="60" t="s">
        <v>140</v>
      </c>
      <c r="C98" s="82"/>
      <c r="D98" s="82"/>
      <c r="E98" s="82"/>
      <c r="F98" s="82"/>
      <c r="G98" s="82"/>
      <c r="H98" s="82"/>
      <c r="I98" s="82"/>
      <c r="J98" s="3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32">
        <f>SUM(G98-SUM(W98:Y98))</f>
        <v>0</v>
      </c>
      <c r="AA98" s="82"/>
      <c r="AB98" s="82"/>
      <c r="AC98" s="82"/>
      <c r="AD98" s="32">
        <f>SUM(H98-SUM(AA98:AC98))</f>
        <v>0</v>
      </c>
      <c r="AE98" s="82"/>
      <c r="AF98" s="82"/>
      <c r="AG98" s="82"/>
      <c r="AH98" s="82"/>
      <c r="AI98" s="82"/>
      <c r="AK98" s="32">
        <f>SUM(W98:Z98)</f>
        <v>0</v>
      </c>
      <c r="AL98" s="32">
        <f>SUM(X98:AA98)</f>
        <v>0</v>
      </c>
      <c r="AM98" s="32">
        <f>SUM(Y98:AB98)</f>
        <v>0</v>
      </c>
      <c r="AN98" s="32">
        <f>SUM(Z98:AC98)</f>
        <v>0</v>
      </c>
      <c r="AO98" s="32">
        <f>SUM(AA98:AD98)</f>
        <v>0</v>
      </c>
      <c r="AP98" s="32">
        <f>SUM(AB98:AE98)</f>
        <v>0</v>
      </c>
      <c r="AQ98" s="32">
        <f>SUM(AC98:AF98)</f>
        <v>0</v>
      </c>
      <c r="AR98" s="32">
        <f>SUM(AD98:AG98)</f>
        <v>0</v>
      </c>
      <c r="AS98" s="11"/>
      <c r="AT98" s="75" t="e">
        <f t="shared" si="192"/>
        <v>#DIV/0!</v>
      </c>
    </row>
    <row r="99" spans="2:46" ht="12.75" customHeight="1">
      <c r="B99" s="60" t="s">
        <v>141</v>
      </c>
      <c r="C99" s="82"/>
      <c r="D99" s="82"/>
      <c r="E99" s="82"/>
      <c r="F99" s="82"/>
      <c r="G99" s="82"/>
      <c r="H99" s="82"/>
      <c r="I99" s="82"/>
      <c r="J99" s="3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32">
        <f>SUM(G99-SUM(W99:Y99))</f>
        <v>0</v>
      </c>
      <c r="AA99" s="82"/>
      <c r="AB99" s="82"/>
      <c r="AC99" s="82"/>
      <c r="AD99" s="32">
        <f>SUM(H99-SUM(AA99:AC99))</f>
        <v>0</v>
      </c>
      <c r="AE99" s="82"/>
      <c r="AF99" s="82"/>
      <c r="AG99" s="82"/>
      <c r="AH99" s="82"/>
      <c r="AI99" s="82"/>
      <c r="AK99" s="32">
        <f>SUM(W99:Z99)</f>
        <v>0</v>
      </c>
      <c r="AL99" s="32">
        <f>SUM(X99:AA99)</f>
        <v>0</v>
      </c>
      <c r="AM99" s="32">
        <f>SUM(Y99:AB99)</f>
        <v>0</v>
      </c>
      <c r="AN99" s="32">
        <f>SUM(Z99:AC99)</f>
        <v>0</v>
      </c>
      <c r="AO99" s="32">
        <f>SUM(AA99:AD99)</f>
        <v>0</v>
      </c>
      <c r="AP99" s="32">
        <f>SUM(AB99:AE99)</f>
        <v>0</v>
      </c>
      <c r="AQ99" s="32">
        <f>SUM(AC99:AF99)</f>
        <v>0</v>
      </c>
      <c r="AR99" s="32">
        <f>SUM(AD99:AG99)</f>
        <v>0</v>
      </c>
      <c r="AS99" s="11"/>
      <c r="AT99" s="75" t="e">
        <f t="shared" si="192"/>
        <v>#DIV/0!</v>
      </c>
    </row>
    <row r="100" spans="2:46" ht="12.75" customHeight="1">
      <c r="B100" s="60" t="s">
        <v>142</v>
      </c>
      <c r="C100" s="82"/>
      <c r="D100" s="82"/>
      <c r="E100" s="82"/>
      <c r="F100" s="82"/>
      <c r="G100" s="82"/>
      <c r="H100" s="82"/>
      <c r="I100" s="82"/>
      <c r="J100" s="3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32">
        <f>SUM(G100-SUM(W100:Y100))</f>
        <v>0</v>
      </c>
      <c r="AA100" s="82"/>
      <c r="AB100" s="82"/>
      <c r="AC100" s="82"/>
      <c r="AD100" s="32">
        <f>SUM(H100-SUM(AA100:AC100))</f>
        <v>0</v>
      </c>
      <c r="AE100" s="82"/>
      <c r="AF100" s="82"/>
      <c r="AG100" s="82"/>
      <c r="AH100" s="82"/>
      <c r="AI100" s="82"/>
      <c r="AK100" s="32">
        <f>SUM(W100:Z100)</f>
        <v>0</v>
      </c>
      <c r="AL100" s="32">
        <f>SUM(X100:AA100)</f>
        <v>0</v>
      </c>
      <c r="AM100" s="32">
        <f>SUM(Y100:AB100)</f>
        <v>0</v>
      </c>
      <c r="AN100" s="32">
        <f>SUM(Z100:AC100)</f>
        <v>0</v>
      </c>
      <c r="AO100" s="32">
        <f>SUM(AA100:AD100)</f>
        <v>0</v>
      </c>
      <c r="AP100" s="32">
        <f>SUM(AB100:AE100)</f>
        <v>0</v>
      </c>
      <c r="AQ100" s="32">
        <f>SUM(AC100:AF100)</f>
        <v>0</v>
      </c>
      <c r="AR100" s="32">
        <f>SUM(AD100:AG100)</f>
        <v>0</v>
      </c>
      <c r="AS100" s="11"/>
      <c r="AT100" s="75" t="e">
        <f t="shared" si="192"/>
        <v>#DIV/0!</v>
      </c>
    </row>
    <row r="101" spans="2:46" ht="12.75" customHeight="1">
      <c r="B101" s="13" t="s">
        <v>51</v>
      </c>
      <c r="C101" s="14">
        <f t="shared" ref="C101" si="194">SUM(C92:C100)</f>
        <v>39240</v>
      </c>
      <c r="D101" s="14">
        <f t="shared" ref="D101:E101" si="195">SUM(D92:D100)</f>
        <v>44281</v>
      </c>
      <c r="E101" s="14">
        <f t="shared" si="195"/>
        <v>61271</v>
      </c>
      <c r="F101" s="14">
        <f t="shared" ref="F101:H101" si="196">SUM(F92:F100)</f>
        <v>72738</v>
      </c>
      <c r="G101" s="14">
        <f t="shared" si="196"/>
        <v>72361</v>
      </c>
      <c r="H101" s="14">
        <f t="shared" si="196"/>
        <v>88136</v>
      </c>
      <c r="I101" s="14">
        <f t="shared" ref="I101" si="197">SUM(I92:I100)</f>
        <v>101832</v>
      </c>
      <c r="K101" s="14">
        <f t="shared" ref="K101:M101" si="198">SUM(K92:K100)</f>
        <v>10678</v>
      </c>
      <c r="L101" s="14">
        <f t="shared" si="198"/>
        <v>11649</v>
      </c>
      <c r="M101" s="14">
        <f t="shared" si="198"/>
        <v>10752</v>
      </c>
      <c r="N101" s="14">
        <f t="shared" ref="N101" si="199">SUM(N92:N100)</f>
        <v>11202</v>
      </c>
      <c r="O101" s="14">
        <f t="shared" ref="O101:U101" si="200">SUM(O92:O100)</f>
        <v>13893</v>
      </c>
      <c r="P101" s="14">
        <f t="shared" ref="P101:R101" si="201">SUM(P92:P100)</f>
        <v>15463</v>
      </c>
      <c r="Q101" s="14">
        <f t="shared" si="201"/>
        <v>15457</v>
      </c>
      <c r="R101" s="14">
        <f t="shared" si="201"/>
        <v>16458</v>
      </c>
      <c r="S101" s="14">
        <f t="shared" si="200"/>
        <v>20505</v>
      </c>
      <c r="T101" s="14">
        <f t="shared" si="200"/>
        <v>18755</v>
      </c>
      <c r="U101" s="14">
        <f t="shared" si="200"/>
        <v>16728</v>
      </c>
      <c r="V101" s="14">
        <f t="shared" ref="V101" si="202">SUM(V92:V100)</f>
        <v>16750</v>
      </c>
      <c r="W101" s="14">
        <f t="shared" ref="W101:AG101" si="203">SUM(W92:W100)</f>
        <v>17556</v>
      </c>
      <c r="X101" s="14">
        <f t="shared" si="203"/>
        <v>16425</v>
      </c>
      <c r="Y101" s="14">
        <f t="shared" si="203"/>
        <v>18299</v>
      </c>
      <c r="Z101" s="14">
        <f t="shared" si="203"/>
        <v>20081</v>
      </c>
      <c r="AA101" s="14">
        <f t="shared" si="203"/>
        <v>22291</v>
      </c>
      <c r="AB101" s="14">
        <f t="shared" si="203"/>
        <v>21870</v>
      </c>
      <c r="AC101" s="14">
        <f t="shared" si="203"/>
        <v>21939</v>
      </c>
      <c r="AD101" s="14">
        <f t="shared" si="203"/>
        <v>22036</v>
      </c>
      <c r="AE101" s="14">
        <f t="shared" si="203"/>
        <v>24667</v>
      </c>
      <c r="AF101" s="14">
        <f t="shared" si="203"/>
        <v>24108</v>
      </c>
      <c r="AG101" s="14">
        <f t="shared" si="203"/>
        <v>25824</v>
      </c>
      <c r="AH101" s="14">
        <f t="shared" ref="AH101:AI101" si="204">SUM(AH92:AH100)</f>
        <v>27233</v>
      </c>
      <c r="AI101" s="14">
        <f t="shared" si="204"/>
        <v>27747</v>
      </c>
      <c r="AK101" s="14">
        <f t="shared" ref="AK101:AR101" si="205">SUM(AK92:AK100)</f>
        <v>72361</v>
      </c>
      <c r="AL101" s="14">
        <f t="shared" si="205"/>
        <v>77096</v>
      </c>
      <c r="AM101" s="14">
        <f t="shared" si="205"/>
        <v>82541</v>
      </c>
      <c r="AN101" s="14">
        <f t="shared" si="205"/>
        <v>86181</v>
      </c>
      <c r="AO101" s="14">
        <f t="shared" si="205"/>
        <v>88136</v>
      </c>
      <c r="AP101" s="14">
        <f t="shared" si="205"/>
        <v>90512</v>
      </c>
      <c r="AQ101" s="14">
        <f t="shared" si="205"/>
        <v>92750</v>
      </c>
      <c r="AR101" s="14">
        <f t="shared" si="205"/>
        <v>96635</v>
      </c>
      <c r="AS101" s="42"/>
      <c r="AT101" s="76">
        <f t="shared" si="192"/>
        <v>0.12130283937294761</v>
      </c>
    </row>
    <row r="102" spans="2:46" ht="12.75" customHeight="1">
      <c r="B102" s="53"/>
      <c r="C102" s="61"/>
      <c r="D102" s="61"/>
      <c r="E102" s="61"/>
      <c r="F102" s="61"/>
      <c r="G102" s="61"/>
      <c r="H102" s="61"/>
      <c r="I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K102" s="42"/>
      <c r="AL102" s="42"/>
      <c r="AM102" s="42"/>
      <c r="AN102" s="42"/>
      <c r="AO102" s="42"/>
      <c r="AP102" s="42"/>
      <c r="AQ102" s="42"/>
      <c r="AR102" s="42"/>
      <c r="AS102" s="42"/>
      <c r="AT102" s="39"/>
    </row>
    <row r="103" spans="2:46" ht="12.75" customHeight="1">
      <c r="B103" s="53" t="s">
        <v>52</v>
      </c>
      <c r="C103" s="58"/>
      <c r="D103" s="58"/>
      <c r="E103" s="58"/>
      <c r="F103" s="58"/>
      <c r="G103" s="58"/>
      <c r="H103" s="58"/>
      <c r="I103" s="58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32"/>
      <c r="AA103" s="82"/>
      <c r="AB103" s="82"/>
      <c r="AC103" s="82"/>
      <c r="AD103" s="32"/>
      <c r="AE103" s="58"/>
      <c r="AF103" s="58"/>
      <c r="AG103" s="58"/>
      <c r="AH103" s="58"/>
      <c r="AI103" s="58"/>
      <c r="AK103" s="58"/>
      <c r="AL103" s="58"/>
      <c r="AM103" s="58"/>
      <c r="AN103" s="58"/>
      <c r="AO103" s="58"/>
      <c r="AP103" s="58"/>
      <c r="AQ103" s="58"/>
      <c r="AR103" s="58"/>
      <c r="AS103" s="59"/>
      <c r="AT103" s="75"/>
    </row>
    <row r="104" spans="2:46" ht="12.75" customHeight="1">
      <c r="B104" s="60" t="s">
        <v>143</v>
      </c>
      <c r="C104" s="82"/>
      <c r="D104" s="82"/>
      <c r="E104" s="82"/>
      <c r="F104" s="82"/>
      <c r="G104" s="82"/>
      <c r="H104" s="82"/>
      <c r="I104" s="82"/>
      <c r="J104" s="3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32">
        <f>SUM(G104-SUM(W104:Y104))</f>
        <v>0</v>
      </c>
      <c r="AA104" s="82"/>
      <c r="AB104" s="82"/>
      <c r="AC104" s="82"/>
      <c r="AD104" s="32">
        <f>SUM(H104-SUM(AA104:AC104))</f>
        <v>0</v>
      </c>
      <c r="AE104" s="82"/>
      <c r="AF104" s="82"/>
      <c r="AG104" s="82"/>
      <c r="AH104" s="82"/>
      <c r="AI104" s="82"/>
      <c r="AJ104" s="32"/>
      <c r="AK104" s="32">
        <f>SUM(W104:Z104)</f>
        <v>0</v>
      </c>
      <c r="AL104" s="32">
        <f>SUM(X104:AA104)</f>
        <v>0</v>
      </c>
      <c r="AM104" s="32">
        <f>SUM(Y104:AB104)</f>
        <v>0</v>
      </c>
      <c r="AN104" s="32">
        <f>SUM(Z104:AC104)</f>
        <v>0</v>
      </c>
      <c r="AO104" s="32">
        <f>SUM(AA104:AD104)</f>
        <v>0</v>
      </c>
      <c r="AP104" s="32">
        <f>SUM(AB104:AE104)</f>
        <v>0</v>
      </c>
      <c r="AQ104" s="32">
        <f>SUM(AC104:AF104)</f>
        <v>0</v>
      </c>
      <c r="AR104" s="32">
        <f>SUM(AD104:AG104)</f>
        <v>0</v>
      </c>
      <c r="AS104" s="59"/>
      <c r="AT104" s="75" t="e">
        <f t="shared" ref="AT104:AT107" si="206">SUM(AR104/AN104)-1</f>
        <v>#DIV/0!</v>
      </c>
    </row>
    <row r="105" spans="2:46" ht="12.75" customHeight="1">
      <c r="B105" s="60" t="s">
        <v>144</v>
      </c>
      <c r="C105" s="82"/>
      <c r="D105" s="82"/>
      <c r="E105" s="82"/>
      <c r="F105" s="82"/>
      <c r="G105" s="82"/>
      <c r="H105" s="82"/>
      <c r="I105" s="82"/>
      <c r="J105" s="3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32">
        <f>SUM(G105-SUM(W105:Y105))</f>
        <v>0</v>
      </c>
      <c r="AA105" s="82"/>
      <c r="AB105" s="82"/>
      <c r="AC105" s="82"/>
      <c r="AD105" s="32">
        <f>SUM(H105-SUM(AA105:AC105))</f>
        <v>0</v>
      </c>
      <c r="AE105" s="82"/>
      <c r="AF105" s="82"/>
      <c r="AG105" s="82"/>
      <c r="AH105" s="82"/>
      <c r="AI105" s="82"/>
      <c r="AJ105" s="32"/>
      <c r="AK105" s="32">
        <f>SUM(W105:Z105)</f>
        <v>0</v>
      </c>
      <c r="AL105" s="32">
        <f>SUM(X105:AA105)</f>
        <v>0</v>
      </c>
      <c r="AM105" s="32">
        <f>SUM(Y105:AB105)</f>
        <v>0</v>
      </c>
      <c r="AN105" s="32">
        <f>SUM(Z105:AC105)</f>
        <v>0</v>
      </c>
      <c r="AO105" s="32">
        <f>SUM(AA105:AD105)</f>
        <v>0</v>
      </c>
      <c r="AP105" s="32">
        <f>SUM(AB105:AE105)</f>
        <v>0</v>
      </c>
      <c r="AQ105" s="32">
        <f>SUM(AC105:AF105)</f>
        <v>0</v>
      </c>
      <c r="AR105" s="32">
        <f>SUM(AD105:AG105)</f>
        <v>0</v>
      </c>
      <c r="AS105" s="59"/>
      <c r="AT105" s="75" t="e">
        <f t="shared" si="206"/>
        <v>#DIV/0!</v>
      </c>
    </row>
    <row r="106" spans="2:46" ht="12.75" customHeight="1">
      <c r="B106" s="60" t="s">
        <v>145</v>
      </c>
      <c r="C106" s="82"/>
      <c r="D106" s="82"/>
      <c r="E106" s="82"/>
      <c r="F106" s="82"/>
      <c r="G106" s="82"/>
      <c r="H106" s="82"/>
      <c r="I106" s="82"/>
      <c r="J106" s="3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32">
        <f>SUM(G106-SUM(W106:Y106))</f>
        <v>0</v>
      </c>
      <c r="AA106" s="82"/>
      <c r="AB106" s="82"/>
      <c r="AC106" s="82"/>
      <c r="AD106" s="32">
        <f>SUM(H106-SUM(AA106:AC106))</f>
        <v>0</v>
      </c>
      <c r="AE106" s="82"/>
      <c r="AF106" s="82"/>
      <c r="AG106" s="82"/>
      <c r="AH106" s="82"/>
      <c r="AI106" s="82"/>
      <c r="AJ106" s="32"/>
      <c r="AK106" s="32">
        <f>SUM(W106:Z106)</f>
        <v>0</v>
      </c>
      <c r="AL106" s="32">
        <f>SUM(X106:AA106)</f>
        <v>0</v>
      </c>
      <c r="AM106" s="32">
        <f>SUM(Y106:AB106)</f>
        <v>0</v>
      </c>
      <c r="AN106" s="32">
        <f>SUM(Z106:AC106)</f>
        <v>0</v>
      </c>
      <c r="AO106" s="32">
        <f>SUM(AA106:AD106)</f>
        <v>0</v>
      </c>
      <c r="AP106" s="32">
        <f>SUM(AB106:AE106)</f>
        <v>0</v>
      </c>
      <c r="AQ106" s="32">
        <f>SUM(AC106:AF106)</f>
        <v>0</v>
      </c>
      <c r="AR106" s="32">
        <f>SUM(AD106:AG106)</f>
        <v>0</v>
      </c>
      <c r="AS106" s="59"/>
      <c r="AT106" s="75" t="e">
        <f t="shared" si="206"/>
        <v>#DIV/0!</v>
      </c>
    </row>
    <row r="107" spans="2:46" ht="12.75" customHeight="1">
      <c r="B107" s="60" t="s">
        <v>146</v>
      </c>
      <c r="C107" s="82"/>
      <c r="D107" s="82"/>
      <c r="E107" s="82"/>
      <c r="F107" s="82"/>
      <c r="G107" s="82"/>
      <c r="H107" s="82"/>
      <c r="I107" s="82"/>
      <c r="J107" s="3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32">
        <f>SUM(G107-SUM(W107:Y107))</f>
        <v>0</v>
      </c>
      <c r="AA107" s="82"/>
      <c r="AB107" s="82"/>
      <c r="AC107" s="82"/>
      <c r="AD107" s="32">
        <f>SUM(H107-SUM(AA107:AC107))</f>
        <v>0</v>
      </c>
      <c r="AE107" s="82"/>
      <c r="AF107" s="82"/>
      <c r="AG107" s="82"/>
      <c r="AH107" s="82"/>
      <c r="AI107" s="82"/>
      <c r="AJ107" s="32"/>
      <c r="AK107" s="32">
        <f>SUM(W107:Z107)</f>
        <v>0</v>
      </c>
      <c r="AL107" s="32">
        <f>SUM(X107:AA107)</f>
        <v>0</v>
      </c>
      <c r="AM107" s="32">
        <f>SUM(Y107:AB107)</f>
        <v>0</v>
      </c>
      <c r="AN107" s="32">
        <f>SUM(Z107:AC107)</f>
        <v>0</v>
      </c>
      <c r="AO107" s="32">
        <f>SUM(AA107:AD107)</f>
        <v>0</v>
      </c>
      <c r="AP107" s="32">
        <f>SUM(AB107:AE107)</f>
        <v>0</v>
      </c>
      <c r="AQ107" s="32">
        <f>SUM(AC107:AF107)</f>
        <v>0</v>
      </c>
      <c r="AR107" s="32">
        <f>SUM(AD107:AG107)</f>
        <v>0</v>
      </c>
      <c r="AS107" s="59"/>
      <c r="AT107" s="75" t="e">
        <f t="shared" si="206"/>
        <v>#DIV/0!</v>
      </c>
    </row>
    <row r="108" spans="2:46" ht="12.75" customHeight="1">
      <c r="B108" s="13" t="s">
        <v>53</v>
      </c>
      <c r="C108" s="14">
        <f t="shared" ref="C108" si="207">SUM(C104:C107)</f>
        <v>0</v>
      </c>
      <c r="D108" s="14">
        <f t="shared" ref="D108:E108" si="208">SUM(D104:D107)</f>
        <v>0</v>
      </c>
      <c r="E108" s="14">
        <f t="shared" si="208"/>
        <v>0</v>
      </c>
      <c r="F108" s="14">
        <f t="shared" ref="F108:H108" si="209">SUM(F104:F107)</f>
        <v>0</v>
      </c>
      <c r="G108" s="14">
        <f t="shared" si="209"/>
        <v>0</v>
      </c>
      <c r="H108" s="14">
        <f t="shared" si="209"/>
        <v>0</v>
      </c>
      <c r="I108" s="14">
        <f t="shared" ref="I108" si="210">SUM(I104:I107)</f>
        <v>0</v>
      </c>
      <c r="K108" s="14">
        <f t="shared" ref="K108:M108" si="211">SUM(K104:K107)</f>
        <v>0</v>
      </c>
      <c r="L108" s="14">
        <f t="shared" si="211"/>
        <v>0</v>
      </c>
      <c r="M108" s="14">
        <f t="shared" si="211"/>
        <v>0</v>
      </c>
      <c r="N108" s="14">
        <f t="shared" ref="N108" si="212">SUM(N104:N107)</f>
        <v>0</v>
      </c>
      <c r="O108" s="14">
        <f t="shared" ref="O108:U108" si="213">SUM(O104:O107)</f>
        <v>0</v>
      </c>
      <c r="P108" s="14">
        <f t="shared" ref="P108:R108" si="214">SUM(P104:P107)</f>
        <v>0</v>
      </c>
      <c r="Q108" s="14">
        <f t="shared" si="214"/>
        <v>0</v>
      </c>
      <c r="R108" s="14">
        <f t="shared" si="214"/>
        <v>0</v>
      </c>
      <c r="S108" s="14">
        <f t="shared" si="213"/>
        <v>0</v>
      </c>
      <c r="T108" s="14">
        <f t="shared" si="213"/>
        <v>0</v>
      </c>
      <c r="U108" s="14">
        <f t="shared" si="213"/>
        <v>0</v>
      </c>
      <c r="V108" s="14">
        <f t="shared" ref="V108" si="215">SUM(V104:V107)</f>
        <v>0</v>
      </c>
      <c r="W108" s="14">
        <f t="shared" ref="W108:AG108" si="216">SUM(W104:W107)</f>
        <v>0</v>
      </c>
      <c r="X108" s="14">
        <f t="shared" si="216"/>
        <v>0</v>
      </c>
      <c r="Y108" s="14">
        <f t="shared" si="216"/>
        <v>0</v>
      </c>
      <c r="Z108" s="14">
        <f t="shared" si="216"/>
        <v>0</v>
      </c>
      <c r="AA108" s="14">
        <f t="shared" si="216"/>
        <v>0</v>
      </c>
      <c r="AB108" s="14">
        <f t="shared" si="216"/>
        <v>0</v>
      </c>
      <c r="AC108" s="14">
        <f t="shared" si="216"/>
        <v>0</v>
      </c>
      <c r="AD108" s="14">
        <f t="shared" si="216"/>
        <v>0</v>
      </c>
      <c r="AE108" s="14">
        <f t="shared" si="216"/>
        <v>0</v>
      </c>
      <c r="AF108" s="14">
        <f t="shared" si="216"/>
        <v>0</v>
      </c>
      <c r="AG108" s="14">
        <f t="shared" si="216"/>
        <v>0</v>
      </c>
      <c r="AH108" s="14">
        <f t="shared" ref="AH108:AI108" si="217">SUM(AH104:AH107)</f>
        <v>0</v>
      </c>
      <c r="AI108" s="14">
        <f t="shared" si="217"/>
        <v>0</v>
      </c>
      <c r="AK108" s="14">
        <f t="shared" ref="AK108:AR108" si="218">SUM(AK107:AK107)</f>
        <v>0</v>
      </c>
      <c r="AL108" s="14">
        <f t="shared" si="218"/>
        <v>0</v>
      </c>
      <c r="AM108" s="14">
        <f t="shared" si="218"/>
        <v>0</v>
      </c>
      <c r="AN108" s="14">
        <f t="shared" si="218"/>
        <v>0</v>
      </c>
      <c r="AO108" s="14">
        <f t="shared" si="218"/>
        <v>0</v>
      </c>
      <c r="AP108" s="14">
        <f t="shared" si="218"/>
        <v>0</v>
      </c>
      <c r="AQ108" s="14">
        <f t="shared" si="218"/>
        <v>0</v>
      </c>
      <c r="AR108" s="14">
        <f t="shared" si="218"/>
        <v>0</v>
      </c>
      <c r="AS108" s="42"/>
      <c r="AT108" s="76" t="e">
        <f t="shared" ref="AT108:AT114" si="219">SUM(AR108/AN108)-1</f>
        <v>#DIV/0!</v>
      </c>
    </row>
    <row r="109" spans="2:46" ht="5.0999999999999996" customHeight="1">
      <c r="B109" s="52"/>
      <c r="C109" s="61"/>
      <c r="D109" s="61"/>
      <c r="E109" s="61"/>
      <c r="F109" s="61"/>
      <c r="G109" s="61"/>
      <c r="H109" s="61"/>
      <c r="I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K109" s="42"/>
      <c r="AL109" s="42"/>
      <c r="AM109" s="42"/>
      <c r="AN109" s="42"/>
      <c r="AO109" s="42"/>
      <c r="AP109" s="42"/>
      <c r="AQ109" s="42"/>
      <c r="AR109" s="42"/>
      <c r="AS109" s="42"/>
      <c r="AT109" s="39"/>
    </row>
    <row r="110" spans="2:46" ht="12.75" customHeight="1">
      <c r="B110" s="53" t="s">
        <v>54</v>
      </c>
      <c r="C110" s="63"/>
      <c r="D110" s="63"/>
      <c r="E110" s="63"/>
      <c r="F110" s="63"/>
      <c r="G110" s="63"/>
      <c r="H110" s="63"/>
      <c r="I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32"/>
      <c r="AK110" s="32"/>
      <c r="AL110" s="32"/>
      <c r="AM110" s="32"/>
      <c r="AN110" s="32"/>
      <c r="AO110" s="32"/>
      <c r="AP110" s="32"/>
      <c r="AQ110" s="32"/>
      <c r="AR110" s="32"/>
      <c r="AS110" s="64"/>
      <c r="AT110" s="75"/>
    </row>
    <row r="111" spans="2:46" ht="12.75" customHeight="1">
      <c r="B111" s="84" t="s">
        <v>147</v>
      </c>
      <c r="C111" s="82"/>
      <c r="D111" s="82"/>
      <c r="E111" s="82"/>
      <c r="F111" s="82"/>
      <c r="G111" s="82"/>
      <c r="H111" s="82"/>
      <c r="I111" s="82"/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32">
        <f>SUM(G111-SUM(W111:Y111))</f>
        <v>0</v>
      </c>
      <c r="AA111" s="82"/>
      <c r="AB111" s="82"/>
      <c r="AC111" s="82"/>
      <c r="AD111" s="32">
        <f>SUM(H111-SUM(AA111:AC111))</f>
        <v>0</v>
      </c>
      <c r="AE111" s="82"/>
      <c r="AF111" s="82"/>
      <c r="AG111" s="82"/>
      <c r="AH111" s="82"/>
      <c r="AI111" s="82"/>
      <c r="AJ111" s="32"/>
      <c r="AK111" s="32">
        <f>SUM(W111:Z111)</f>
        <v>0</v>
      </c>
      <c r="AL111" s="32">
        <f>SUM(X111:AA111)</f>
        <v>0</v>
      </c>
      <c r="AM111" s="32">
        <f>SUM(Y111:AB111)</f>
        <v>0</v>
      </c>
      <c r="AN111" s="32">
        <f>SUM(Z111:AC111)</f>
        <v>0</v>
      </c>
      <c r="AO111" s="32">
        <f>SUM(AA111:AD111)</f>
        <v>0</v>
      </c>
      <c r="AP111" s="32">
        <f>SUM(AB111:AE111)</f>
        <v>0</v>
      </c>
      <c r="AQ111" s="32">
        <f>SUM(AC111:AF111)</f>
        <v>0</v>
      </c>
      <c r="AR111" s="32">
        <f>SUM(AD111:AG111)</f>
        <v>0</v>
      </c>
      <c r="AS111" s="64"/>
      <c r="AT111" s="75" t="e">
        <f t="shared" si="219"/>
        <v>#DIV/0!</v>
      </c>
    </row>
    <row r="112" spans="2:46" ht="12.75" customHeight="1">
      <c r="B112" s="84" t="s">
        <v>148</v>
      </c>
      <c r="C112" s="82"/>
      <c r="D112" s="82"/>
      <c r="E112" s="82"/>
      <c r="F112" s="82"/>
      <c r="G112" s="82"/>
      <c r="H112" s="82"/>
      <c r="I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32">
        <f>SUM(G112-SUM(W112:Y112))</f>
        <v>0</v>
      </c>
      <c r="AA112" s="82"/>
      <c r="AB112" s="82"/>
      <c r="AC112" s="82"/>
      <c r="AD112" s="32">
        <f>SUM(H112-SUM(AA112:AC112))</f>
        <v>0</v>
      </c>
      <c r="AE112" s="82"/>
      <c r="AF112" s="82"/>
      <c r="AG112" s="82"/>
      <c r="AH112" s="82"/>
      <c r="AI112" s="82"/>
      <c r="AJ112" s="32"/>
      <c r="AK112" s="32">
        <f>SUM(W112:Z112)</f>
        <v>0</v>
      </c>
      <c r="AL112" s="32">
        <f>SUM(X112:AA112)</f>
        <v>0</v>
      </c>
      <c r="AM112" s="32">
        <f>SUM(Y112:AB112)</f>
        <v>0</v>
      </c>
      <c r="AN112" s="32">
        <f>SUM(Z112:AC112)</f>
        <v>0</v>
      </c>
      <c r="AO112" s="32">
        <f>SUM(AA112:AD112)</f>
        <v>0</v>
      </c>
      <c r="AP112" s="32">
        <f>SUM(AB112:AE112)</f>
        <v>0</v>
      </c>
      <c r="AQ112" s="32">
        <f>SUM(AC112:AF112)</f>
        <v>0</v>
      </c>
      <c r="AR112" s="32">
        <f>SUM(AD112:AG112)</f>
        <v>0</v>
      </c>
      <c r="AS112" s="64"/>
      <c r="AT112" s="75" t="e">
        <f t="shared" ref="AT112" si="220">SUM(AR112/AN112)-1</f>
        <v>#DIV/0!</v>
      </c>
    </row>
    <row r="113" spans="2:46" ht="12.75" customHeight="1">
      <c r="B113" s="84" t="s">
        <v>149</v>
      </c>
      <c r="C113" s="82"/>
      <c r="D113" s="82"/>
      <c r="E113" s="82"/>
      <c r="F113" s="82"/>
      <c r="G113" s="82"/>
      <c r="H113" s="82"/>
      <c r="I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32">
        <f>SUM(G113-SUM(W113:Y113))</f>
        <v>0</v>
      </c>
      <c r="AA113" s="82"/>
      <c r="AB113" s="82"/>
      <c r="AC113" s="82"/>
      <c r="AD113" s="32">
        <f>SUM(H113-SUM(AA113:AC113))</f>
        <v>0</v>
      </c>
      <c r="AE113" s="82"/>
      <c r="AF113" s="82"/>
      <c r="AG113" s="82"/>
      <c r="AH113" s="82"/>
      <c r="AI113" s="82"/>
      <c r="AJ113" s="32"/>
      <c r="AK113" s="32">
        <f>SUM(W113:Z113)</f>
        <v>0</v>
      </c>
      <c r="AL113" s="32">
        <f>SUM(X113:AA113)</f>
        <v>0</v>
      </c>
      <c r="AM113" s="32">
        <f>SUM(Y113:AB113)</f>
        <v>0</v>
      </c>
      <c r="AN113" s="32">
        <f>SUM(Z113:AC113)</f>
        <v>0</v>
      </c>
      <c r="AO113" s="32">
        <f>SUM(AA113:AD113)</f>
        <v>0</v>
      </c>
      <c r="AP113" s="32">
        <f>SUM(AB113:AE113)</f>
        <v>0</v>
      </c>
      <c r="AQ113" s="32">
        <f>SUM(AC113:AF113)</f>
        <v>0</v>
      </c>
      <c r="AR113" s="32">
        <f>SUM(AD113:AG113)</f>
        <v>0</v>
      </c>
      <c r="AS113" s="64"/>
      <c r="AT113" s="75" t="e">
        <f t="shared" si="219"/>
        <v>#DIV/0!</v>
      </c>
    </row>
    <row r="114" spans="2:46" ht="12.75" customHeight="1">
      <c r="B114" s="13" t="s">
        <v>55</v>
      </c>
      <c r="C114" s="14">
        <f t="shared" ref="C114" si="221">SUM(C111:C113)</f>
        <v>0</v>
      </c>
      <c r="D114" s="14">
        <f t="shared" ref="D114:E114" si="222">SUM(D111:D113)</f>
        <v>0</v>
      </c>
      <c r="E114" s="14">
        <f t="shared" si="222"/>
        <v>0</v>
      </c>
      <c r="F114" s="14">
        <f t="shared" ref="F114:H114" si="223">SUM(F111:F113)</f>
        <v>0</v>
      </c>
      <c r="G114" s="14">
        <f t="shared" si="223"/>
        <v>0</v>
      </c>
      <c r="H114" s="14">
        <f t="shared" si="223"/>
        <v>0</v>
      </c>
      <c r="I114" s="14">
        <f t="shared" ref="I114" si="224">SUM(I111:I113)</f>
        <v>0</v>
      </c>
      <c r="K114" s="14">
        <f t="shared" ref="K114:M114" si="225">SUM(K111:K113)</f>
        <v>0</v>
      </c>
      <c r="L114" s="14">
        <f t="shared" si="225"/>
        <v>0</v>
      </c>
      <c r="M114" s="14">
        <f t="shared" si="225"/>
        <v>0</v>
      </c>
      <c r="N114" s="14">
        <f t="shared" ref="N114" si="226">SUM(N111:N113)</f>
        <v>0</v>
      </c>
      <c r="O114" s="14">
        <f t="shared" ref="O114:U114" si="227">SUM(O111:O113)</f>
        <v>0</v>
      </c>
      <c r="P114" s="14">
        <f t="shared" ref="P114:R114" si="228">SUM(P111:P113)</f>
        <v>0</v>
      </c>
      <c r="Q114" s="14">
        <f t="shared" si="228"/>
        <v>0</v>
      </c>
      <c r="R114" s="14">
        <f t="shared" si="228"/>
        <v>0</v>
      </c>
      <c r="S114" s="14">
        <f t="shared" si="227"/>
        <v>0</v>
      </c>
      <c r="T114" s="14">
        <f t="shared" si="227"/>
        <v>0</v>
      </c>
      <c r="U114" s="14">
        <f t="shared" si="227"/>
        <v>0</v>
      </c>
      <c r="V114" s="14">
        <f t="shared" ref="V114" si="229">SUM(V111:V113)</f>
        <v>0</v>
      </c>
      <c r="W114" s="14">
        <f t="shared" ref="W114:AG114" si="230">SUM(W111:W113)</f>
        <v>0</v>
      </c>
      <c r="X114" s="14">
        <f t="shared" si="230"/>
        <v>0</v>
      </c>
      <c r="Y114" s="14">
        <f t="shared" si="230"/>
        <v>0</v>
      </c>
      <c r="Z114" s="14">
        <f t="shared" si="230"/>
        <v>0</v>
      </c>
      <c r="AA114" s="14">
        <f t="shared" si="230"/>
        <v>0</v>
      </c>
      <c r="AB114" s="14">
        <f t="shared" si="230"/>
        <v>0</v>
      </c>
      <c r="AC114" s="14">
        <f t="shared" si="230"/>
        <v>0</v>
      </c>
      <c r="AD114" s="14">
        <f t="shared" si="230"/>
        <v>0</v>
      </c>
      <c r="AE114" s="14">
        <f t="shared" si="230"/>
        <v>0</v>
      </c>
      <c r="AF114" s="14">
        <f t="shared" si="230"/>
        <v>0</v>
      </c>
      <c r="AG114" s="14">
        <f t="shared" si="230"/>
        <v>0</v>
      </c>
      <c r="AH114" s="14">
        <f t="shared" ref="AH114:AI114" si="231">SUM(AH111:AH113)</f>
        <v>0</v>
      </c>
      <c r="AI114" s="14">
        <f t="shared" si="231"/>
        <v>0</v>
      </c>
      <c r="AK114" s="14">
        <f t="shared" ref="AK114:AR114" si="232">SUM(AK111:AK113)</f>
        <v>0</v>
      </c>
      <c r="AL114" s="14">
        <f t="shared" si="232"/>
        <v>0</v>
      </c>
      <c r="AM114" s="14">
        <f t="shared" si="232"/>
        <v>0</v>
      </c>
      <c r="AN114" s="14">
        <f t="shared" si="232"/>
        <v>0</v>
      </c>
      <c r="AO114" s="14">
        <f t="shared" si="232"/>
        <v>0</v>
      </c>
      <c r="AP114" s="14">
        <f t="shared" si="232"/>
        <v>0</v>
      </c>
      <c r="AQ114" s="14">
        <f t="shared" si="232"/>
        <v>0</v>
      </c>
      <c r="AR114" s="14">
        <f t="shared" si="232"/>
        <v>0</v>
      </c>
      <c r="AS114" s="42"/>
      <c r="AT114" s="76" t="e">
        <f t="shared" si="219"/>
        <v>#DIV/0!</v>
      </c>
    </row>
    <row r="115" spans="2:46" ht="5.0999999999999996" customHeight="1">
      <c r="B115" s="71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11"/>
      <c r="AT115" s="45"/>
    </row>
    <row r="116" spans="2:46">
      <c r="B116" s="92" t="s">
        <v>81</v>
      </c>
      <c r="C116" s="93"/>
      <c r="D116" s="93"/>
      <c r="E116" s="93"/>
      <c r="F116" s="93"/>
      <c r="G116" s="93">
        <f t="shared" ref="G116:I116" si="233">F123</f>
        <v>72738</v>
      </c>
      <c r="H116" s="93">
        <f t="shared" si="233"/>
        <v>145099</v>
      </c>
      <c r="I116" s="93">
        <f t="shared" si="233"/>
        <v>233235</v>
      </c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>
        <f t="shared" ref="X116:AG116" si="234">W123</f>
        <v>17556</v>
      </c>
      <c r="Y116" s="93">
        <f t="shared" si="234"/>
        <v>33981</v>
      </c>
      <c r="Z116" s="93">
        <f t="shared" si="234"/>
        <v>52280</v>
      </c>
      <c r="AA116" s="93">
        <f t="shared" si="234"/>
        <v>72361</v>
      </c>
      <c r="AB116" s="93">
        <f t="shared" si="234"/>
        <v>94652</v>
      </c>
      <c r="AC116" s="93">
        <f t="shared" si="234"/>
        <v>116522</v>
      </c>
      <c r="AD116" s="93">
        <f t="shared" si="234"/>
        <v>138461</v>
      </c>
      <c r="AE116" s="93">
        <f t="shared" si="234"/>
        <v>160497</v>
      </c>
      <c r="AF116" s="93">
        <f t="shared" si="234"/>
        <v>185164</v>
      </c>
      <c r="AG116" s="93">
        <f t="shared" si="234"/>
        <v>209272</v>
      </c>
      <c r="AH116" s="93">
        <f t="shared" ref="AH116" si="235">AG123</f>
        <v>235096</v>
      </c>
      <c r="AI116" s="93">
        <f t="shared" ref="AI116" si="236">AH123</f>
        <v>262329</v>
      </c>
      <c r="AJ116" s="93"/>
      <c r="AK116" s="93"/>
      <c r="AL116" s="93">
        <f>W123</f>
        <v>17556</v>
      </c>
      <c r="AM116" s="93">
        <f>X123</f>
        <v>33981</v>
      </c>
      <c r="AN116" s="93">
        <f>Y123</f>
        <v>52280</v>
      </c>
      <c r="AO116" s="93">
        <f>Z123</f>
        <v>72361</v>
      </c>
      <c r="AP116" s="93">
        <f>AA123</f>
        <v>94652</v>
      </c>
      <c r="AQ116" s="93">
        <f>AB123</f>
        <v>116522</v>
      </c>
      <c r="AR116" s="140">
        <f>AC123</f>
        <v>138461</v>
      </c>
      <c r="AS116" s="11"/>
      <c r="AT116" s="45"/>
    </row>
    <row r="117" spans="2:46">
      <c r="B117" s="130" t="s">
        <v>94</v>
      </c>
      <c r="C117" s="32"/>
      <c r="D117" s="32"/>
      <c r="E117" s="32"/>
      <c r="F117" s="32"/>
      <c r="G117" s="32">
        <f t="shared" ref="G117:I117" si="237">-F121</f>
        <v>0</v>
      </c>
      <c r="H117" s="32">
        <f t="shared" si="237"/>
        <v>0</v>
      </c>
      <c r="I117" s="32">
        <f t="shared" si="237"/>
        <v>0</v>
      </c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>
        <f t="shared" ref="X117:AG117" si="238">-W121</f>
        <v>0</v>
      </c>
      <c r="Y117" s="32">
        <f t="shared" si="238"/>
        <v>0</v>
      </c>
      <c r="Z117" s="32">
        <f t="shared" si="238"/>
        <v>0</v>
      </c>
      <c r="AA117" s="32">
        <f t="shared" si="238"/>
        <v>0</v>
      </c>
      <c r="AB117" s="32">
        <f t="shared" si="238"/>
        <v>0</v>
      </c>
      <c r="AC117" s="32">
        <f t="shared" si="238"/>
        <v>0</v>
      </c>
      <c r="AD117" s="32">
        <f t="shared" si="238"/>
        <v>0</v>
      </c>
      <c r="AE117" s="32">
        <f t="shared" si="238"/>
        <v>0</v>
      </c>
      <c r="AF117" s="32">
        <f t="shared" si="238"/>
        <v>0</v>
      </c>
      <c r="AG117" s="32">
        <f t="shared" si="238"/>
        <v>0</v>
      </c>
      <c r="AH117" s="32">
        <f t="shared" ref="AH117" si="239">-AG121</f>
        <v>0</v>
      </c>
      <c r="AI117" s="32">
        <f t="shared" ref="AI117" si="240">-AH121</f>
        <v>0</v>
      </c>
      <c r="AJ117" s="32"/>
      <c r="AK117" s="32">
        <f>G117</f>
        <v>0</v>
      </c>
      <c r="AL117" s="32">
        <f>-W121</f>
        <v>0</v>
      </c>
      <c r="AM117" s="32">
        <f>-X121</f>
        <v>0</v>
      </c>
      <c r="AN117" s="32">
        <f>-Y121</f>
        <v>0</v>
      </c>
      <c r="AO117" s="32">
        <f>-Z121</f>
        <v>0</v>
      </c>
      <c r="AP117" s="32">
        <f>-AA121</f>
        <v>0</v>
      </c>
      <c r="AQ117" s="32">
        <f>-AB121</f>
        <v>0</v>
      </c>
      <c r="AR117" s="134">
        <f>-AC121</f>
        <v>0</v>
      </c>
      <c r="AS117" s="11"/>
      <c r="AT117" s="45"/>
    </row>
    <row r="118" spans="2:46">
      <c r="B118" s="145" t="s">
        <v>68</v>
      </c>
      <c r="C118" s="146">
        <f t="shared" ref="C118" si="241">SUM(C116:C117)</f>
        <v>0</v>
      </c>
      <c r="D118" s="146">
        <f t="shared" ref="D118:E118" si="242">SUM(D116:D117)</f>
        <v>0</v>
      </c>
      <c r="E118" s="146">
        <f t="shared" si="242"/>
        <v>0</v>
      </c>
      <c r="F118" s="146">
        <f t="shared" ref="F118:H118" si="243">SUM(F116:F117)</f>
        <v>0</v>
      </c>
      <c r="G118" s="146">
        <f t="shared" si="243"/>
        <v>72738</v>
      </c>
      <c r="H118" s="146">
        <f t="shared" si="243"/>
        <v>145099</v>
      </c>
      <c r="I118" s="146">
        <f t="shared" ref="I118" si="244">SUM(I116:I117)</f>
        <v>233235</v>
      </c>
      <c r="J118" s="32"/>
      <c r="K118" s="146">
        <f t="shared" ref="K118:M118" si="245">SUM(K116:K117)</f>
        <v>0</v>
      </c>
      <c r="L118" s="146">
        <f t="shared" si="245"/>
        <v>0</v>
      </c>
      <c r="M118" s="146">
        <f t="shared" si="245"/>
        <v>0</v>
      </c>
      <c r="N118" s="146">
        <f t="shared" ref="N118" si="246">SUM(N116:N117)</f>
        <v>0</v>
      </c>
      <c r="O118" s="146">
        <f t="shared" ref="O118:U118" si="247">SUM(O116:O117)</f>
        <v>0</v>
      </c>
      <c r="P118" s="146">
        <f t="shared" ref="P118:R118" si="248">SUM(P116:P117)</f>
        <v>0</v>
      </c>
      <c r="Q118" s="146">
        <f t="shared" si="248"/>
        <v>0</v>
      </c>
      <c r="R118" s="146">
        <f t="shared" si="248"/>
        <v>0</v>
      </c>
      <c r="S118" s="146">
        <f t="shared" si="247"/>
        <v>0</v>
      </c>
      <c r="T118" s="146">
        <f t="shared" si="247"/>
        <v>0</v>
      </c>
      <c r="U118" s="146">
        <f t="shared" si="247"/>
        <v>0</v>
      </c>
      <c r="V118" s="146">
        <f t="shared" ref="V118" si="249">SUM(V116:V117)</f>
        <v>0</v>
      </c>
      <c r="W118" s="146">
        <f t="shared" ref="W118:AG118" si="250">SUM(W116:W117)</f>
        <v>0</v>
      </c>
      <c r="X118" s="146">
        <f t="shared" si="250"/>
        <v>17556</v>
      </c>
      <c r="Y118" s="146">
        <f t="shared" si="250"/>
        <v>33981</v>
      </c>
      <c r="Z118" s="146">
        <f t="shared" si="250"/>
        <v>52280</v>
      </c>
      <c r="AA118" s="146">
        <f t="shared" si="250"/>
        <v>72361</v>
      </c>
      <c r="AB118" s="146">
        <f t="shared" si="250"/>
        <v>94652</v>
      </c>
      <c r="AC118" s="146">
        <f t="shared" si="250"/>
        <v>116522</v>
      </c>
      <c r="AD118" s="146">
        <f t="shared" si="250"/>
        <v>138461</v>
      </c>
      <c r="AE118" s="146">
        <f t="shared" si="250"/>
        <v>160497</v>
      </c>
      <c r="AF118" s="146">
        <f t="shared" si="250"/>
        <v>185164</v>
      </c>
      <c r="AG118" s="146">
        <f t="shared" si="250"/>
        <v>209272</v>
      </c>
      <c r="AH118" s="146">
        <f t="shared" ref="AH118:AI118" si="251">SUM(AH116:AH117)</f>
        <v>235096</v>
      </c>
      <c r="AI118" s="146">
        <f t="shared" si="251"/>
        <v>262329</v>
      </c>
      <c r="AJ118" s="32"/>
      <c r="AK118" s="133">
        <f t="shared" ref="AK118:AR118" si="252">SUM(AK116:AK117)</f>
        <v>0</v>
      </c>
      <c r="AL118" s="133">
        <f t="shared" si="252"/>
        <v>17556</v>
      </c>
      <c r="AM118" s="133">
        <f t="shared" si="252"/>
        <v>33981</v>
      </c>
      <c r="AN118" s="146">
        <f t="shared" si="252"/>
        <v>52280</v>
      </c>
      <c r="AO118" s="146">
        <f t="shared" si="252"/>
        <v>72361</v>
      </c>
      <c r="AP118" s="146">
        <f t="shared" si="252"/>
        <v>94652</v>
      </c>
      <c r="AQ118" s="146">
        <f t="shared" si="252"/>
        <v>116522</v>
      </c>
      <c r="AR118" s="147">
        <f t="shared" si="252"/>
        <v>138461</v>
      </c>
      <c r="AS118" s="11"/>
      <c r="AT118" s="45"/>
    </row>
    <row r="119" spans="2:46" ht="5.0999999999999996" customHeight="1">
      <c r="B119" s="137"/>
      <c r="C119" s="71"/>
      <c r="D119" s="71"/>
      <c r="E119" s="71"/>
      <c r="F119" s="71"/>
      <c r="G119" s="71"/>
      <c r="H119" s="71"/>
      <c r="I119" s="71"/>
      <c r="J119" s="32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32"/>
      <c r="AK119" s="71"/>
      <c r="AL119" s="71"/>
      <c r="AM119" s="71"/>
      <c r="AN119" s="71"/>
      <c r="AO119" s="71"/>
      <c r="AP119" s="71"/>
      <c r="AQ119" s="71"/>
      <c r="AR119" s="135"/>
      <c r="AS119" s="11"/>
      <c r="AT119" s="45"/>
    </row>
    <row r="120" spans="2:46">
      <c r="B120" s="130" t="s">
        <v>82</v>
      </c>
      <c r="C120" s="82"/>
      <c r="D120" s="82"/>
      <c r="E120" s="82"/>
      <c r="F120" s="82"/>
      <c r="G120" s="82"/>
      <c r="H120" s="82"/>
      <c r="I120" s="82"/>
      <c r="J120" s="32"/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32">
        <f>SUM(G120-SUM(W120:Y120))</f>
        <v>0</v>
      </c>
      <c r="AA120" s="82"/>
      <c r="AB120" s="82"/>
      <c r="AC120" s="82"/>
      <c r="AD120" s="32">
        <f>SUM(H120-SUM(AA120:AC120))</f>
        <v>0</v>
      </c>
      <c r="AE120" s="82"/>
      <c r="AF120" s="82"/>
      <c r="AG120" s="82"/>
      <c r="AH120" s="82"/>
      <c r="AI120" s="82"/>
      <c r="AJ120" s="32"/>
      <c r="AK120" s="32">
        <f>SUM(W120:Z120)</f>
        <v>0</v>
      </c>
      <c r="AL120" s="32">
        <f>SUM(X120:AA120)</f>
        <v>0</v>
      </c>
      <c r="AM120" s="32">
        <f>SUM(Y120:AB120)</f>
        <v>0</v>
      </c>
      <c r="AN120" s="32">
        <f>SUM(Z120:AC120)</f>
        <v>0</v>
      </c>
      <c r="AO120" s="32">
        <f>SUM(AA120:AD120)</f>
        <v>0</v>
      </c>
      <c r="AP120" s="32">
        <f>SUM(AB120:AE120)</f>
        <v>0</v>
      </c>
      <c r="AQ120" s="32">
        <f>SUM(AC120:AF120)</f>
        <v>0</v>
      </c>
      <c r="AR120" s="134">
        <f>SUM(AD120:AG120)</f>
        <v>0</v>
      </c>
      <c r="AS120" s="11"/>
      <c r="AT120" s="45"/>
    </row>
    <row r="121" spans="2:46">
      <c r="B121" s="130" t="s">
        <v>92</v>
      </c>
      <c r="C121" s="82"/>
      <c r="D121" s="82"/>
      <c r="E121" s="82"/>
      <c r="F121" s="82"/>
      <c r="G121" s="82"/>
      <c r="H121" s="82"/>
      <c r="I121" s="82"/>
      <c r="J121" s="3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32">
        <f>G121</f>
        <v>0</v>
      </c>
      <c r="AA121" s="82"/>
      <c r="AB121" s="82"/>
      <c r="AC121" s="82"/>
      <c r="AD121" s="32">
        <f>H121</f>
        <v>0</v>
      </c>
      <c r="AE121" s="82"/>
      <c r="AF121" s="82"/>
      <c r="AG121" s="82"/>
      <c r="AH121" s="82"/>
      <c r="AI121" s="82"/>
      <c r="AJ121" s="32"/>
      <c r="AK121" s="32">
        <f>Z121</f>
        <v>0</v>
      </c>
      <c r="AL121" s="32">
        <f>AA121</f>
        <v>0</v>
      </c>
      <c r="AM121" s="32">
        <f>AB121</f>
        <v>0</v>
      </c>
      <c r="AN121" s="32">
        <f>AC121</f>
        <v>0</v>
      </c>
      <c r="AO121" s="32">
        <f>AD121</f>
        <v>0</v>
      </c>
      <c r="AP121" s="32">
        <f>AE121</f>
        <v>0</v>
      </c>
      <c r="AQ121" s="32">
        <f>AF121</f>
        <v>0</v>
      </c>
      <c r="AR121" s="134">
        <f>AG121</f>
        <v>0</v>
      </c>
      <c r="AS121" s="11"/>
      <c r="AT121" s="45"/>
    </row>
    <row r="122" spans="2:46">
      <c r="B122" s="130" t="s">
        <v>59</v>
      </c>
      <c r="C122" s="171">
        <f>+C114+C108+C101</f>
        <v>39240</v>
      </c>
      <c r="D122" s="32">
        <f t="shared" ref="D122:E122" si="253">+D114+D108+D101</f>
        <v>44281</v>
      </c>
      <c r="E122" s="32">
        <f t="shared" si="253"/>
        <v>61271</v>
      </c>
      <c r="F122" s="32">
        <f t="shared" ref="F122:H122" si="254">+F114+F108+F101</f>
        <v>72738</v>
      </c>
      <c r="G122" s="32">
        <f t="shared" si="254"/>
        <v>72361</v>
      </c>
      <c r="H122" s="32">
        <f t="shared" si="254"/>
        <v>88136</v>
      </c>
      <c r="I122" s="32">
        <f t="shared" ref="I122" si="255">+I114+I108+I101</f>
        <v>101832</v>
      </c>
      <c r="J122" s="32"/>
      <c r="K122" s="32">
        <f t="shared" ref="K122:M122" si="256">+K114+K108+K101</f>
        <v>10678</v>
      </c>
      <c r="L122" s="32">
        <f t="shared" si="256"/>
        <v>11649</v>
      </c>
      <c r="M122" s="32">
        <f t="shared" si="256"/>
        <v>10752</v>
      </c>
      <c r="N122" s="32">
        <f t="shared" ref="N122" si="257">+N114+N108+N101</f>
        <v>11202</v>
      </c>
      <c r="O122" s="32">
        <f t="shared" ref="O122:U122" si="258">+O114+O108+O101</f>
        <v>13893</v>
      </c>
      <c r="P122" s="32">
        <f t="shared" ref="P122:R122" si="259">+P114+P108+P101</f>
        <v>15463</v>
      </c>
      <c r="Q122" s="32">
        <f t="shared" si="259"/>
        <v>15457</v>
      </c>
      <c r="R122" s="32">
        <f t="shared" si="259"/>
        <v>16458</v>
      </c>
      <c r="S122" s="32">
        <f t="shared" si="258"/>
        <v>20505</v>
      </c>
      <c r="T122" s="32">
        <f t="shared" si="258"/>
        <v>18755</v>
      </c>
      <c r="U122" s="32">
        <f t="shared" si="258"/>
        <v>16728</v>
      </c>
      <c r="V122" s="32">
        <f t="shared" ref="V122" si="260">+V114+V108+V101</f>
        <v>16750</v>
      </c>
      <c r="W122" s="32">
        <f t="shared" ref="W122:AG122" si="261">+W114+W108+W101</f>
        <v>17556</v>
      </c>
      <c r="X122" s="32">
        <f t="shared" si="261"/>
        <v>16425</v>
      </c>
      <c r="Y122" s="32">
        <f t="shared" si="261"/>
        <v>18299</v>
      </c>
      <c r="Z122" s="32">
        <f t="shared" si="261"/>
        <v>20081</v>
      </c>
      <c r="AA122" s="32">
        <f t="shared" si="261"/>
        <v>22291</v>
      </c>
      <c r="AB122" s="32">
        <f t="shared" si="261"/>
        <v>21870</v>
      </c>
      <c r="AC122" s="32">
        <f t="shared" si="261"/>
        <v>21939</v>
      </c>
      <c r="AD122" s="32">
        <f t="shared" si="261"/>
        <v>22036</v>
      </c>
      <c r="AE122" s="32">
        <f t="shared" si="261"/>
        <v>24667</v>
      </c>
      <c r="AF122" s="32">
        <f t="shared" si="261"/>
        <v>24108</v>
      </c>
      <c r="AG122" s="32">
        <f t="shared" si="261"/>
        <v>25824</v>
      </c>
      <c r="AH122" s="32">
        <f t="shared" ref="AH122:AI122" si="262">+AH114+AH108+AH101</f>
        <v>27233</v>
      </c>
      <c r="AI122" s="32">
        <f t="shared" si="262"/>
        <v>27747</v>
      </c>
      <c r="AJ122" s="32"/>
      <c r="AK122" s="32">
        <f>SUM(W122:Z122)</f>
        <v>72361</v>
      </c>
      <c r="AL122" s="32">
        <f>SUM(X122:AA122)</f>
        <v>77096</v>
      </c>
      <c r="AM122" s="32">
        <f>SUM(Y122:AB122)</f>
        <v>82541</v>
      </c>
      <c r="AN122" s="32">
        <f>SUM(Z122:AC122)</f>
        <v>86181</v>
      </c>
      <c r="AO122" s="32">
        <f>SUM(AA122:AD122)</f>
        <v>88136</v>
      </c>
      <c r="AP122" s="32">
        <f>SUM(AB122:AE122)</f>
        <v>90512</v>
      </c>
      <c r="AQ122" s="32">
        <f>SUM(AC122:AF122)</f>
        <v>92750</v>
      </c>
      <c r="AR122" s="134">
        <f>SUM(AD122:AG122)</f>
        <v>96635</v>
      </c>
      <c r="AS122" s="11"/>
      <c r="AT122" s="45"/>
    </row>
    <row r="123" spans="2:46">
      <c r="B123" s="89" t="s">
        <v>69</v>
      </c>
      <c r="C123" s="146">
        <f t="shared" ref="C123" si="263">SUM(C118:C122)</f>
        <v>39240</v>
      </c>
      <c r="D123" s="146">
        <f t="shared" ref="D123:E123" si="264">SUM(D118:D122)</f>
        <v>44281</v>
      </c>
      <c r="E123" s="146">
        <f t="shared" si="264"/>
        <v>61271</v>
      </c>
      <c r="F123" s="146">
        <f t="shared" ref="F123:H123" si="265">SUM(F118:F122)</f>
        <v>72738</v>
      </c>
      <c r="G123" s="146">
        <f t="shared" si="265"/>
        <v>145099</v>
      </c>
      <c r="H123" s="146">
        <f t="shared" si="265"/>
        <v>233235</v>
      </c>
      <c r="I123" s="146">
        <f t="shared" ref="I123" si="266">SUM(I118:I122)</f>
        <v>335067</v>
      </c>
      <c r="J123" s="32"/>
      <c r="K123" s="146">
        <f t="shared" ref="K123:M123" si="267">SUM(K118:K122)</f>
        <v>10678</v>
      </c>
      <c r="L123" s="146">
        <f t="shared" si="267"/>
        <v>11649</v>
      </c>
      <c r="M123" s="146">
        <f t="shared" si="267"/>
        <v>10752</v>
      </c>
      <c r="N123" s="146">
        <f t="shared" ref="N123" si="268">SUM(N118:N122)</f>
        <v>11202</v>
      </c>
      <c r="O123" s="146">
        <f t="shared" ref="O123:U123" si="269">SUM(O118:O122)</f>
        <v>13893</v>
      </c>
      <c r="P123" s="146">
        <f t="shared" ref="P123:R123" si="270">SUM(P118:P122)</f>
        <v>15463</v>
      </c>
      <c r="Q123" s="146">
        <f t="shared" si="270"/>
        <v>15457</v>
      </c>
      <c r="R123" s="146">
        <f t="shared" si="270"/>
        <v>16458</v>
      </c>
      <c r="S123" s="146">
        <f t="shared" si="269"/>
        <v>20505</v>
      </c>
      <c r="T123" s="146">
        <f t="shared" si="269"/>
        <v>18755</v>
      </c>
      <c r="U123" s="146">
        <f t="shared" si="269"/>
        <v>16728</v>
      </c>
      <c r="V123" s="146">
        <f t="shared" ref="V123" si="271">SUM(V118:V122)</f>
        <v>16750</v>
      </c>
      <c r="W123" s="146">
        <f t="shared" ref="W123:AG123" si="272">SUM(W118:W122)</f>
        <v>17556</v>
      </c>
      <c r="X123" s="146">
        <f t="shared" si="272"/>
        <v>33981</v>
      </c>
      <c r="Y123" s="146">
        <f t="shared" si="272"/>
        <v>52280</v>
      </c>
      <c r="Z123" s="146">
        <f t="shared" si="272"/>
        <v>72361</v>
      </c>
      <c r="AA123" s="146">
        <f t="shared" si="272"/>
        <v>94652</v>
      </c>
      <c r="AB123" s="146">
        <f t="shared" si="272"/>
        <v>116522</v>
      </c>
      <c r="AC123" s="146">
        <f t="shared" si="272"/>
        <v>138461</v>
      </c>
      <c r="AD123" s="146">
        <f t="shared" si="272"/>
        <v>160497</v>
      </c>
      <c r="AE123" s="146">
        <f t="shared" si="272"/>
        <v>185164</v>
      </c>
      <c r="AF123" s="146">
        <f t="shared" si="272"/>
        <v>209272</v>
      </c>
      <c r="AG123" s="146">
        <f t="shared" si="272"/>
        <v>235096</v>
      </c>
      <c r="AH123" s="146">
        <f t="shared" ref="AH123:AI123" si="273">SUM(AH118:AH122)</f>
        <v>262329</v>
      </c>
      <c r="AI123" s="146">
        <f t="shared" si="273"/>
        <v>290076</v>
      </c>
      <c r="AJ123" s="32"/>
      <c r="AK123" s="133">
        <f t="shared" ref="AK123:AR123" si="274">SUM(AK118:AK122)</f>
        <v>72361</v>
      </c>
      <c r="AL123" s="133">
        <f t="shared" si="274"/>
        <v>94652</v>
      </c>
      <c r="AM123" s="133">
        <f t="shared" si="274"/>
        <v>116522</v>
      </c>
      <c r="AN123" s="146">
        <f t="shared" si="274"/>
        <v>138461</v>
      </c>
      <c r="AO123" s="146">
        <f t="shared" si="274"/>
        <v>160497</v>
      </c>
      <c r="AP123" s="146">
        <f t="shared" si="274"/>
        <v>185164</v>
      </c>
      <c r="AQ123" s="146">
        <f t="shared" si="274"/>
        <v>209272</v>
      </c>
      <c r="AR123" s="147">
        <f t="shared" si="274"/>
        <v>235096</v>
      </c>
      <c r="AS123" s="11"/>
      <c r="AT123" s="45"/>
    </row>
    <row r="124" spans="2:46" ht="5.0999999999999996" customHeight="1">
      <c r="B124" s="90"/>
      <c r="C124" s="65"/>
      <c r="D124" s="65"/>
      <c r="E124" s="65"/>
      <c r="F124" s="65"/>
      <c r="G124" s="65"/>
      <c r="H124" s="65"/>
      <c r="I124" s="65"/>
      <c r="J124" s="32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K124" s="11"/>
      <c r="AL124" s="11"/>
      <c r="AM124" s="11"/>
      <c r="AN124" s="11"/>
      <c r="AO124" s="11"/>
      <c r="AP124" s="11"/>
      <c r="AQ124" s="11"/>
      <c r="AR124" s="91"/>
      <c r="AS124" s="11"/>
      <c r="AT124" s="45"/>
    </row>
    <row r="125" spans="2:46">
      <c r="B125" s="138" t="s">
        <v>85</v>
      </c>
      <c r="C125" s="87">
        <f>ROUND(C123-C42,1)</f>
        <v>27884</v>
      </c>
      <c r="D125" s="87">
        <f>ROUND(D123-D42,1)</f>
        <v>30705</v>
      </c>
      <c r="E125" s="87">
        <f>ROUND(E123-E42,1)</f>
        <v>47047</v>
      </c>
      <c r="F125" s="87">
        <f>ROUND(F123-F42,1)</f>
        <v>58807</v>
      </c>
      <c r="G125" s="87">
        <f>ROUND(G123-G42,1)</f>
        <v>110395</v>
      </c>
      <c r="H125" s="87">
        <f>ROUND(H123-H42,1)</f>
        <v>214920</v>
      </c>
      <c r="I125" s="87">
        <f>ROUND(I123-I42,1)</f>
        <v>304825</v>
      </c>
      <c r="J125" s="88"/>
      <c r="K125" s="87">
        <f>K123-K42</f>
        <v>-2439</v>
      </c>
      <c r="L125" s="87">
        <f>L123-L42</f>
        <v>2785</v>
      </c>
      <c r="M125" s="87">
        <f>M123-M42</f>
        <v>-958</v>
      </c>
      <c r="N125" s="87">
        <f>N123-N42</f>
        <v>-2374</v>
      </c>
      <c r="O125" s="87">
        <f>O123-O42</f>
        <v>-3312</v>
      </c>
      <c r="P125" s="87">
        <f>P123-P42</f>
        <v>1031</v>
      </c>
      <c r="Q125" s="87">
        <f>Q123-Q42</f>
        <v>1755</v>
      </c>
      <c r="R125" s="87">
        <f>R123-R42</f>
        <v>2234</v>
      </c>
      <c r="S125" s="87">
        <f>S123-S42</f>
        <v>1340</v>
      </c>
      <c r="T125" s="87">
        <f>T123-T42</f>
        <v>-1849</v>
      </c>
      <c r="U125" s="87">
        <f>U123-U42</f>
        <v>4230</v>
      </c>
      <c r="V125" s="87">
        <f>V123-V42</f>
        <v>2819</v>
      </c>
      <c r="W125" s="87">
        <f>W123-W42</f>
        <v>-5328</v>
      </c>
      <c r="X125" s="87">
        <f>X123-X42</f>
        <v>18335</v>
      </c>
      <c r="Y125" s="87">
        <f>Y123-Y42</f>
        <v>25718</v>
      </c>
      <c r="Z125" s="87">
        <f>Z123-Z42</f>
        <v>37657</v>
      </c>
      <c r="AA125" s="87">
        <f>AA123-AA42</f>
        <v>14200</v>
      </c>
      <c r="AB125" s="87">
        <f>AB123-AB42</f>
        <v>99217</v>
      </c>
      <c r="AC125" s="87">
        <f>AC123-AC42</f>
        <v>118827</v>
      </c>
      <c r="AD125" s="87">
        <f>AD123-AD42</f>
        <v>142182</v>
      </c>
      <c r="AE125" s="87">
        <f>AE123-AE42</f>
        <v>164324</v>
      </c>
      <c r="AF125" s="87">
        <f>AF123-AF42</f>
        <v>191790</v>
      </c>
      <c r="AG125" s="87">
        <f>AG123-AG42</f>
        <v>206268</v>
      </c>
      <c r="AH125" s="87">
        <f>AH123-AH42</f>
        <v>232087</v>
      </c>
      <c r="AI125" s="87">
        <f>AI123-AI42</f>
        <v>261227</v>
      </c>
      <c r="AJ125" s="87"/>
      <c r="AK125" s="87">
        <f>AK123-AK42</f>
        <v>37657</v>
      </c>
      <c r="AL125" s="87">
        <f>AL123-AL42</f>
        <v>14200</v>
      </c>
      <c r="AM125" s="87">
        <f>AM123-AM42</f>
        <v>99217</v>
      </c>
      <c r="AN125" s="87">
        <f>AN123-AN42</f>
        <v>118827</v>
      </c>
      <c r="AO125" s="87">
        <f>AO123-AO42</f>
        <v>142182</v>
      </c>
      <c r="AP125" s="87">
        <f>AP123-AP42</f>
        <v>164324</v>
      </c>
      <c r="AQ125" s="87">
        <f>AQ123-AQ42</f>
        <v>191790</v>
      </c>
      <c r="AR125" s="136">
        <f>AR123-AR42</f>
        <v>206268</v>
      </c>
      <c r="AS125" s="11"/>
      <c r="AT125" s="45"/>
    </row>
    <row r="126" spans="2:46" ht="5.0999999999999996" customHeight="1">
      <c r="B126" s="8"/>
      <c r="C126" s="65"/>
      <c r="D126" s="65"/>
      <c r="E126" s="65"/>
      <c r="F126" s="65"/>
      <c r="G126" s="65"/>
      <c r="H126" s="65"/>
      <c r="I126" s="65"/>
      <c r="J126" s="32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  <c r="AI126" s="65"/>
      <c r="AK126" s="11"/>
      <c r="AL126" s="11"/>
      <c r="AM126" s="11"/>
      <c r="AN126" s="11"/>
      <c r="AO126" s="11"/>
      <c r="AP126" s="11"/>
      <c r="AQ126" s="11"/>
      <c r="AR126" s="11"/>
      <c r="AS126" s="11"/>
      <c r="AT126" s="45"/>
    </row>
    <row r="127" spans="2:46" ht="12.75" customHeight="1">
      <c r="B127" s="72" t="s">
        <v>60</v>
      </c>
      <c r="C127" s="62"/>
      <c r="D127" s="62"/>
      <c r="E127" s="62"/>
      <c r="F127" s="62"/>
      <c r="G127" s="62"/>
      <c r="H127" s="62"/>
      <c r="I127" s="62"/>
      <c r="J127" s="11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82"/>
      <c r="AF127" s="62"/>
      <c r="AG127" s="62"/>
      <c r="AH127" s="62"/>
      <c r="AI127" s="62"/>
      <c r="AK127" s="62"/>
      <c r="AL127" s="62"/>
      <c r="AM127" s="62"/>
      <c r="AN127" s="62"/>
      <c r="AO127" s="62"/>
      <c r="AP127" s="62"/>
      <c r="AQ127" s="62"/>
      <c r="AR127" s="62"/>
      <c r="AS127" s="66"/>
      <c r="AT127" s="45"/>
    </row>
    <row r="128" spans="2:46" ht="12.75" customHeight="1">
      <c r="B128" s="8" t="s">
        <v>93</v>
      </c>
      <c r="C128" s="82"/>
      <c r="D128" s="82"/>
      <c r="E128" s="82"/>
      <c r="F128" s="82"/>
      <c r="G128" s="82"/>
      <c r="H128" s="82"/>
      <c r="I128" s="82"/>
      <c r="J128" s="11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32">
        <f>SUM(G128-SUM(W128:Y128))</f>
        <v>0</v>
      </c>
      <c r="AA128" s="82"/>
      <c r="AB128" s="82"/>
      <c r="AC128" s="82"/>
      <c r="AD128" s="32">
        <f>SUM(H128-SUM(AA128:AC128))</f>
        <v>0</v>
      </c>
      <c r="AE128" s="82"/>
      <c r="AF128" s="82"/>
      <c r="AG128" s="82"/>
      <c r="AH128" s="82"/>
      <c r="AI128" s="82"/>
      <c r="AK128" s="32">
        <f>SUM(W128:Z128)</f>
        <v>0</v>
      </c>
      <c r="AL128" s="32">
        <f>SUM(X128:AA128)</f>
        <v>0</v>
      </c>
      <c r="AM128" s="32">
        <f>SUM(Y128:AB128)</f>
        <v>0</v>
      </c>
      <c r="AN128" s="32">
        <f>SUM(Z128:AC128)</f>
        <v>0</v>
      </c>
      <c r="AO128" s="32">
        <f>SUM(AA128:AD128)</f>
        <v>0</v>
      </c>
      <c r="AP128" s="32">
        <f>SUM(AB128:AE128)</f>
        <v>0</v>
      </c>
      <c r="AQ128" s="32">
        <f>SUM(AC128:AF128)</f>
        <v>0</v>
      </c>
      <c r="AR128" s="32">
        <f>SUM(AD128:AG128)</f>
        <v>0</v>
      </c>
      <c r="AS128" s="66"/>
      <c r="AT128" s="45"/>
    </row>
    <row r="129" spans="2:46" ht="12.75" customHeight="1">
      <c r="B129" s="8" t="s">
        <v>108</v>
      </c>
      <c r="C129" s="82"/>
      <c r="D129" s="82"/>
      <c r="E129" s="82"/>
      <c r="F129" s="82"/>
      <c r="G129" s="82"/>
      <c r="H129" s="82"/>
      <c r="I129" s="82"/>
      <c r="J129" s="3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32">
        <f>SUM(G129-SUM(W129:Y129))</f>
        <v>0</v>
      </c>
      <c r="AA129" s="82"/>
      <c r="AB129" s="82"/>
      <c r="AC129" s="82"/>
      <c r="AD129" s="32">
        <f>SUM(H129-SUM(AA129:AC129))</f>
        <v>0</v>
      </c>
      <c r="AE129" s="82"/>
      <c r="AF129" s="82"/>
      <c r="AG129" s="82"/>
      <c r="AH129" s="82"/>
      <c r="AI129" s="82"/>
      <c r="AJ129" s="32"/>
      <c r="AK129" s="32">
        <f>SUM(W129:Z129)</f>
        <v>0</v>
      </c>
      <c r="AL129" s="32">
        <f>SUM(X129:AA129)</f>
        <v>0</v>
      </c>
      <c r="AM129" s="32">
        <f>SUM(Y129:AB129)</f>
        <v>0</v>
      </c>
      <c r="AN129" s="32">
        <f>SUM(Z129:AC129)</f>
        <v>0</v>
      </c>
      <c r="AO129" s="32">
        <f>SUM(AA129:AD129)</f>
        <v>0</v>
      </c>
      <c r="AP129" s="32">
        <f>SUM(AB129:AE129)</f>
        <v>0</v>
      </c>
      <c r="AQ129" s="32">
        <f>SUM(AC129:AF129)</f>
        <v>0</v>
      </c>
      <c r="AR129" s="32">
        <f>SUM(AD129:AG129)</f>
        <v>0</v>
      </c>
      <c r="AS129" s="11"/>
      <c r="AT129" s="45"/>
    </row>
    <row r="130" spans="2:46" ht="5.0999999999999996" customHeight="1" thickBot="1">
      <c r="B130" s="73"/>
      <c r="C130" s="74"/>
      <c r="D130" s="74"/>
      <c r="E130" s="74"/>
      <c r="F130" s="74"/>
      <c r="G130" s="74"/>
      <c r="H130" s="74"/>
      <c r="I130" s="74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T130" s="45"/>
    </row>
    <row r="131" spans="2:46" ht="12.75" customHeight="1">
      <c r="B131" s="53"/>
      <c r="C131" s="67"/>
      <c r="D131" s="67"/>
      <c r="E131" s="67"/>
      <c r="F131" s="67"/>
      <c r="G131" s="67"/>
      <c r="H131" s="67"/>
      <c r="I131" s="67"/>
    </row>
    <row r="132" spans="2:46" ht="12.75" customHeight="1">
      <c r="C132" s="56"/>
      <c r="D132" s="56"/>
      <c r="E132" s="56"/>
      <c r="F132" s="56"/>
      <c r="G132" s="56"/>
      <c r="H132" s="56"/>
      <c r="I132" s="56"/>
    </row>
    <row r="133" spans="2:46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</row>
    <row r="134" spans="2:46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</row>
    <row r="135" spans="2:46" ht="12.75" customHeight="1"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</row>
    <row r="136" spans="2:46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</row>
    <row r="137" spans="2:46" ht="12.75" customHeight="1"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86"/>
    </row>
    <row r="138" spans="2:46" ht="12.75" customHeight="1"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</row>
    <row r="139" spans="2:46" ht="12.75" customHeight="1"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86"/>
    </row>
    <row r="140" spans="2:46"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86"/>
    </row>
    <row r="141" spans="2:46"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86"/>
    </row>
    <row r="142" spans="2:46"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</row>
    <row r="143" spans="2:46"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86"/>
    </row>
    <row r="144" spans="2:46"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86"/>
    </row>
    <row r="145" spans="3:27"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</row>
    <row r="146" spans="3:27"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</row>
  </sheetData>
  <mergeCells count="3">
    <mergeCell ref="AT6:AT8"/>
    <mergeCell ref="AT37:AT39"/>
    <mergeCell ref="AT87:AT89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J47 AK21:AO22 AK25:AR26 AK11:AR12" formulaRange="1"/>
    <ignoredError sqref="F21:H22 X21:AF22 X25:AF25 F25:H25 AR108:AT110 AR101:AT102 AS107 AR103:AS103 AS111:AT111 X33:AF33 X30:AF31 X34:Y34 AE34:AF34 F31:G31 AK30:AR31 AK33:AR34 J30:J35 F33:H34 F30:H30" evalError="1"/>
    <ignoredError sqref="AK121:AR121 AK120:AR12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BD49"/>
  <sheetViews>
    <sheetView showGridLines="0" topLeftCell="A25" zoomScaleNormal="100" workbookViewId="0">
      <selection activeCell="B9" sqref="B9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9" width="8.625" style="8" bestFit="1" customWidth="1"/>
    <col min="10" max="10" width="1.5" style="8" customWidth="1"/>
    <col min="11" max="24" width="8" style="8" customWidth="1" outlineLevel="1"/>
    <col min="25" max="26" width="8.75" style="8" customWidth="1" outlineLevel="1"/>
    <col min="27" max="27" width="8.5" style="8" customWidth="1" outlineLevel="1"/>
    <col min="28" max="28" width="8.25" style="8" customWidth="1" outlineLevel="1"/>
    <col min="29" max="29" width="8.5" style="8" bestFit="1" customWidth="1"/>
    <col min="30" max="35" width="9.125" style="8" bestFit="1" customWidth="1"/>
    <col min="36" max="36" width="1.5" style="8" customWidth="1"/>
    <col min="37" max="39" width="8.75" style="8" customWidth="1" outlineLevel="1"/>
    <col min="40" max="40" width="8.75" style="8" customWidth="1"/>
    <col min="41" max="43" width="8.75" style="8" customWidth="1" outlineLevel="1"/>
    <col min="44" max="44" width="8.75" style="8" customWidth="1"/>
    <col min="45" max="16384" width="9" style="8"/>
  </cols>
  <sheetData>
    <row r="2" spans="1:44" s="5" customFormat="1" ht="12.75" customHeight="1">
      <c r="B2" s="1" t="str">
        <f>'Historical Financials'!B2</f>
        <v>Microsoft Corp. (NASDAQ: MSFT)</v>
      </c>
      <c r="C2" s="2" t="s">
        <v>0</v>
      </c>
      <c r="D2" s="2"/>
      <c r="E2" s="2"/>
      <c r="F2" s="2"/>
      <c r="G2" s="2"/>
      <c r="H2" s="2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 t="s">
        <v>1</v>
      </c>
      <c r="AD2" s="2"/>
      <c r="AE2" s="2"/>
      <c r="AF2" s="2"/>
      <c r="AG2" s="2"/>
      <c r="AH2" s="2"/>
      <c r="AI2" s="2"/>
      <c r="AJ2" s="3"/>
      <c r="AK2" s="2"/>
      <c r="AL2" s="2"/>
      <c r="AM2" s="2"/>
      <c r="AN2" s="2"/>
      <c r="AO2" s="2"/>
      <c r="AP2" s="2"/>
      <c r="AQ2" s="2"/>
      <c r="AR2" s="2"/>
    </row>
    <row r="3" spans="1:44" s="5" customFormat="1" ht="12.75" customHeight="1">
      <c r="B3" s="6" t="s">
        <v>64</v>
      </c>
      <c r="C3" s="7">
        <f>'Historical Financials'!C7</f>
        <v>2019</v>
      </c>
      <c r="D3" s="7">
        <f>'Historical Financials'!D7</f>
        <v>2020</v>
      </c>
      <c r="E3" s="7">
        <f>'Historical Financials'!E7</f>
        <v>2021</v>
      </c>
      <c r="F3" s="7">
        <f>'Historical Financials'!F7</f>
        <v>2022</v>
      </c>
      <c r="G3" s="7">
        <f>'Historical Financials'!G7</f>
        <v>2023</v>
      </c>
      <c r="H3" s="7">
        <f>'Historical Financials'!H7</f>
        <v>2024</v>
      </c>
      <c r="I3" s="7">
        <f>'Historical Financials'!I7</f>
        <v>2025</v>
      </c>
      <c r="J3" s="3"/>
      <c r="K3" s="7" t="str">
        <f>'Historical Financials'!K7</f>
        <v>1Q20</v>
      </c>
      <c r="L3" s="7" t="str">
        <f>'Historical Financials'!L7</f>
        <v>2Q20</v>
      </c>
      <c r="M3" s="7" t="str">
        <f>'Historical Financials'!M7</f>
        <v>3Q20</v>
      </c>
      <c r="N3" s="7" t="str">
        <f>'Historical Financials'!N7</f>
        <v>4Q20</v>
      </c>
      <c r="O3" s="7" t="str">
        <f>'Historical Financials'!O7</f>
        <v>1Q21</v>
      </c>
      <c r="P3" s="7" t="str">
        <f>'Historical Financials'!P7</f>
        <v>2Q21</v>
      </c>
      <c r="Q3" s="7" t="str">
        <f>'Historical Financials'!Q7</f>
        <v>3Q21</v>
      </c>
      <c r="R3" s="7" t="str">
        <f>'Historical Financials'!R7</f>
        <v>4Q21</v>
      </c>
      <c r="S3" s="7" t="str">
        <f>'Historical Financials'!S7</f>
        <v>1Q22</v>
      </c>
      <c r="T3" s="7" t="str">
        <f>'Historical Financials'!T7</f>
        <v>2Q22</v>
      </c>
      <c r="U3" s="7" t="str">
        <f>'Historical Financials'!U7</f>
        <v>3Q22</v>
      </c>
      <c r="V3" s="7" t="str">
        <f>'Historical Financials'!V7</f>
        <v>4Q22</v>
      </c>
      <c r="W3" s="7" t="str">
        <f>'Historical Financials'!W7</f>
        <v>1Q23</v>
      </c>
      <c r="X3" s="7" t="str">
        <f>'Historical Financials'!X7</f>
        <v>2Q23</v>
      </c>
      <c r="Y3" s="7" t="str">
        <f>'Historical Financials'!Y7</f>
        <v>3Q23</v>
      </c>
      <c r="Z3" s="7" t="str">
        <f>'Historical Financials'!Z7</f>
        <v>4Q23</v>
      </c>
      <c r="AA3" s="7" t="str">
        <f>'Historical Financials'!AA7</f>
        <v>1Q24</v>
      </c>
      <c r="AB3" s="7" t="str">
        <f>'Historical Financials'!AB7</f>
        <v>2Q24</v>
      </c>
      <c r="AC3" s="7" t="str">
        <f>'Historical Financials'!AC7</f>
        <v>3Q24</v>
      </c>
      <c r="AD3" s="7" t="str">
        <f>'Historical Financials'!AD7</f>
        <v>4Q24</v>
      </c>
      <c r="AE3" s="7" t="str">
        <f>'Historical Financials'!AE7</f>
        <v>1Q25</v>
      </c>
      <c r="AF3" s="7" t="str">
        <f>'Historical Financials'!AF7</f>
        <v>2Q25</v>
      </c>
      <c r="AG3" s="7" t="str">
        <f>'Historical Financials'!AG7</f>
        <v>3Q25</v>
      </c>
      <c r="AH3" s="7" t="str">
        <f>'Historical Financials'!AH7</f>
        <v>4Q25</v>
      </c>
      <c r="AI3" s="7" t="str">
        <f>'Historical Financials'!AI7</f>
        <v>1Q26</v>
      </c>
      <c r="AJ3" s="4"/>
      <c r="AK3" s="4" t="str">
        <f>Z3</f>
        <v>4Q23</v>
      </c>
      <c r="AL3" s="4" t="str">
        <f>AA3</f>
        <v>1Q24</v>
      </c>
      <c r="AM3" s="4" t="str">
        <f>AB3</f>
        <v>2Q24</v>
      </c>
      <c r="AN3" s="4" t="str">
        <f>AC3</f>
        <v>3Q24</v>
      </c>
      <c r="AO3" s="4" t="str">
        <f>AD3</f>
        <v>4Q24</v>
      </c>
      <c r="AP3" s="4" t="str">
        <f>AE3</f>
        <v>1Q25</v>
      </c>
      <c r="AQ3" s="4" t="str">
        <f>AF3</f>
        <v>2Q25</v>
      </c>
      <c r="AR3" s="4" t="str">
        <f>AG3</f>
        <v>3Q25</v>
      </c>
    </row>
    <row r="4" spans="1:44" s="5" customFormat="1" ht="12.75" customHeight="1">
      <c r="B4" s="6" t="s">
        <v>158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>
        <f>'Historical Financials'!H8</f>
        <v>0</v>
      </c>
      <c r="I4" s="3">
        <f>'Historical Financials'!I8</f>
        <v>0</v>
      </c>
      <c r="J4" s="3"/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>
        <f>'Historical Financials'!X8</f>
        <v>0</v>
      </c>
      <c r="Y4" s="3">
        <f>'Historical Financials'!Y8</f>
        <v>0</v>
      </c>
      <c r="Z4" s="3">
        <f>'Historical Financials'!Z8</f>
        <v>0</v>
      </c>
      <c r="AA4" s="3">
        <f>'Historical Financials'!AA8</f>
        <v>0</v>
      </c>
      <c r="AB4" s="3">
        <f>'Historical Financials'!AB8</f>
        <v>0</v>
      </c>
      <c r="AC4" s="3">
        <f>'Historical Financials'!AC8</f>
        <v>0</v>
      </c>
      <c r="AD4" s="3">
        <f>'Historical Financials'!AD8</f>
        <v>0</v>
      </c>
      <c r="AE4" s="3">
        <f>'Historical Financials'!AE8</f>
        <v>0</v>
      </c>
      <c r="AF4" s="3">
        <f>'Historical Financials'!AF8</f>
        <v>0</v>
      </c>
      <c r="AG4" s="3">
        <f>'Historical Financials'!AG8</f>
        <v>0</v>
      </c>
      <c r="AH4" s="3">
        <f>'Historical Financials'!AH8</f>
        <v>0</v>
      </c>
      <c r="AI4" s="3">
        <f>'Historical Financials'!AI8</f>
        <v>0</v>
      </c>
      <c r="AJ4" s="3"/>
      <c r="AK4" s="3">
        <f>Z4</f>
        <v>0</v>
      </c>
      <c r="AL4" s="3">
        <f>AA4</f>
        <v>0</v>
      </c>
      <c r="AM4" s="3">
        <f>AB4</f>
        <v>0</v>
      </c>
      <c r="AN4" s="3">
        <f>AC4</f>
        <v>0</v>
      </c>
      <c r="AO4" s="3">
        <f>AD4</f>
        <v>0</v>
      </c>
      <c r="AP4" s="3">
        <f>AE4</f>
        <v>0</v>
      </c>
      <c r="AQ4" s="3">
        <f>AF4</f>
        <v>0</v>
      </c>
      <c r="AR4" s="3">
        <f>AG4</f>
        <v>0</v>
      </c>
    </row>
    <row r="5" spans="1:44" ht="5.0999999999999996" customHeight="1"/>
    <row r="6" spans="1:44">
      <c r="A6" s="36" t="s">
        <v>16</v>
      </c>
      <c r="B6" s="1" t="s">
        <v>159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</row>
    <row r="7" spans="1:44" ht="5.0999999999999996" customHeight="1"/>
    <row r="8" spans="1:44" ht="12.75" customHeight="1">
      <c r="A8" s="80" t="s">
        <v>16</v>
      </c>
      <c r="B8" s="78" t="s">
        <v>160</v>
      </c>
      <c r="C8" s="10"/>
      <c r="D8" s="10"/>
      <c r="E8" s="10"/>
      <c r="F8" s="10"/>
      <c r="G8" s="10"/>
      <c r="H8" s="10"/>
      <c r="I8" s="10"/>
      <c r="J8" s="10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32"/>
      <c r="AA8" s="95"/>
      <c r="AB8" s="95"/>
      <c r="AC8" s="95"/>
      <c r="AD8" s="32"/>
      <c r="AE8" s="95"/>
      <c r="AF8" s="95"/>
      <c r="AG8" s="95"/>
      <c r="AH8" s="95"/>
      <c r="AI8" s="95"/>
      <c r="AJ8" s="5"/>
      <c r="AK8" s="11"/>
      <c r="AL8" s="11"/>
      <c r="AM8" s="11"/>
      <c r="AN8" s="11"/>
      <c r="AO8" s="11"/>
      <c r="AP8" s="11"/>
      <c r="AQ8" s="11"/>
      <c r="AR8" s="11"/>
    </row>
    <row r="9" spans="1:44">
      <c r="B9" s="9" t="s">
        <v>207</v>
      </c>
      <c r="C9" s="81"/>
      <c r="D9" s="81"/>
      <c r="E9" s="81"/>
      <c r="F9" s="81"/>
      <c r="G9" s="81"/>
      <c r="H9" s="81">
        <v>79828</v>
      </c>
      <c r="I9" s="81">
        <v>98435</v>
      </c>
      <c r="J9" s="81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32"/>
      <c r="AA9" s="95">
        <v>18062</v>
      </c>
      <c r="AB9" s="95">
        <v>19597</v>
      </c>
      <c r="AC9" s="95">
        <v>20266</v>
      </c>
      <c r="AD9" s="32">
        <v>21903</v>
      </c>
      <c r="AE9" s="82">
        <v>22155</v>
      </c>
      <c r="AF9" s="82">
        <v>23641</v>
      </c>
      <c r="AG9" s="81">
        <v>24761</v>
      </c>
      <c r="AH9" s="81">
        <v>27878</v>
      </c>
      <c r="AI9" s="81">
        <v>28872</v>
      </c>
      <c r="AJ9" s="5"/>
      <c r="AK9" s="32">
        <f t="shared" ref="AK9:AK12" si="0">SUM(W9:Z9)</f>
        <v>0</v>
      </c>
      <c r="AL9" s="32">
        <f t="shared" ref="AL9:AL12" si="1">SUM(X9:AA9)</f>
        <v>18062</v>
      </c>
      <c r="AM9" s="32">
        <f t="shared" ref="AM9:AM12" si="2">SUM(Y9:AB9)</f>
        <v>37659</v>
      </c>
      <c r="AN9" s="32">
        <f t="shared" ref="AN9:AN12" si="3">SUM(Z9:AC9)</f>
        <v>57925</v>
      </c>
      <c r="AO9" s="32">
        <f t="shared" ref="AO9:AO12" si="4">SUM(AA9:AD9)</f>
        <v>79828</v>
      </c>
      <c r="AP9" s="32">
        <f t="shared" ref="AP9:AP12" si="5">SUM(AB9:AE9)</f>
        <v>83921</v>
      </c>
      <c r="AQ9" s="32">
        <f t="shared" ref="AQ9:AQ12" si="6">SUM(AC9:AF9)</f>
        <v>87965</v>
      </c>
      <c r="AR9" s="32">
        <f t="shared" ref="AR9:AR12" si="7">SUM(AD9:AG9)</f>
        <v>92460</v>
      </c>
    </row>
    <row r="10" spans="1:44">
      <c r="B10" s="9" t="s">
        <v>208</v>
      </c>
      <c r="C10" s="81"/>
      <c r="D10" s="81"/>
      <c r="E10" s="81"/>
      <c r="F10" s="81"/>
      <c r="G10" s="81"/>
      <c r="H10" s="81">
        <v>76969</v>
      </c>
      <c r="I10" s="81">
        <v>87767</v>
      </c>
      <c r="J10" s="81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32"/>
      <c r="AA10" s="95">
        <v>18044</v>
      </c>
      <c r="AB10" s="95">
        <v>18321</v>
      </c>
      <c r="AC10" s="95">
        <v>19712</v>
      </c>
      <c r="AD10" s="32">
        <v>20892</v>
      </c>
      <c r="AE10" s="82">
        <v>20449</v>
      </c>
      <c r="AF10" s="82">
        <v>21117</v>
      </c>
      <c r="AG10" s="81">
        <v>21883</v>
      </c>
      <c r="AH10" s="81">
        <v>24318</v>
      </c>
      <c r="AI10" s="81">
        <v>23966</v>
      </c>
      <c r="AJ10" s="5"/>
      <c r="AK10" s="32">
        <f t="shared" si="0"/>
        <v>0</v>
      </c>
      <c r="AL10" s="32">
        <f t="shared" si="1"/>
        <v>18044</v>
      </c>
      <c r="AM10" s="32">
        <f t="shared" si="2"/>
        <v>36365</v>
      </c>
      <c r="AN10" s="32">
        <f t="shared" si="3"/>
        <v>56077</v>
      </c>
      <c r="AO10" s="32">
        <f t="shared" si="4"/>
        <v>76969</v>
      </c>
      <c r="AP10" s="32">
        <f t="shared" si="5"/>
        <v>79374</v>
      </c>
      <c r="AQ10" s="32">
        <f t="shared" si="6"/>
        <v>82170</v>
      </c>
      <c r="AR10" s="32">
        <f t="shared" si="7"/>
        <v>84341</v>
      </c>
    </row>
    <row r="11" spans="1:44">
      <c r="B11" s="9" t="s">
        <v>209</v>
      </c>
      <c r="C11" s="81"/>
      <c r="D11" s="81"/>
      <c r="E11" s="81"/>
      <c r="F11" s="81"/>
      <c r="G11" s="81"/>
      <c r="H11" s="81">
        <v>21503</v>
      </c>
      <c r="I11" s="81">
        <v>23455</v>
      </c>
      <c r="J11" s="81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32"/>
      <c r="AA11" s="95">
        <v>3919</v>
      </c>
      <c r="AB11" s="95">
        <v>7111</v>
      </c>
      <c r="AC11" s="95">
        <v>5451</v>
      </c>
      <c r="AD11" s="32">
        <v>5022</v>
      </c>
      <c r="AE11" s="82">
        <v>5621</v>
      </c>
      <c r="AF11" s="82">
        <v>6581</v>
      </c>
      <c r="AG11" s="81">
        <v>5721</v>
      </c>
      <c r="AH11" s="81">
        <v>5532</v>
      </c>
      <c r="AI11" s="81">
        <v>5508</v>
      </c>
      <c r="AJ11" s="5"/>
      <c r="AK11" s="32">
        <f t="shared" si="0"/>
        <v>0</v>
      </c>
      <c r="AL11" s="32">
        <f t="shared" si="1"/>
        <v>3919</v>
      </c>
      <c r="AM11" s="32">
        <f t="shared" si="2"/>
        <v>11030</v>
      </c>
      <c r="AN11" s="32">
        <f t="shared" si="3"/>
        <v>16481</v>
      </c>
      <c r="AO11" s="32">
        <f t="shared" si="4"/>
        <v>21503</v>
      </c>
      <c r="AP11" s="32">
        <f t="shared" si="5"/>
        <v>23205</v>
      </c>
      <c r="AQ11" s="32">
        <f t="shared" si="6"/>
        <v>22675</v>
      </c>
      <c r="AR11" s="32">
        <f t="shared" si="7"/>
        <v>22945</v>
      </c>
    </row>
    <row r="12" spans="1:44">
      <c r="B12" s="9" t="s">
        <v>210</v>
      </c>
      <c r="C12" s="81"/>
      <c r="D12" s="81"/>
      <c r="E12" s="81"/>
      <c r="F12" s="81"/>
      <c r="G12" s="81"/>
      <c r="H12" s="81">
        <v>16372</v>
      </c>
      <c r="I12" s="81">
        <v>17812</v>
      </c>
      <c r="J12" s="81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32"/>
      <c r="AA12" s="95">
        <v>4340</v>
      </c>
      <c r="AB12" s="95">
        <v>4195</v>
      </c>
      <c r="AC12" s="95">
        <v>4013</v>
      </c>
      <c r="AD12" s="32">
        <v>3824</v>
      </c>
      <c r="AE12" s="82">
        <v>4329</v>
      </c>
      <c r="AF12" s="82">
        <v>4587</v>
      </c>
      <c r="AG12" s="81">
        <v>4311</v>
      </c>
      <c r="AH12" s="81">
        <v>4585</v>
      </c>
      <c r="AI12" s="81">
        <v>4714</v>
      </c>
      <c r="AJ12" s="5"/>
      <c r="AK12" s="32">
        <f t="shared" si="0"/>
        <v>0</v>
      </c>
      <c r="AL12" s="32">
        <f t="shared" si="1"/>
        <v>4340</v>
      </c>
      <c r="AM12" s="32">
        <f t="shared" si="2"/>
        <v>8535</v>
      </c>
      <c r="AN12" s="32">
        <f t="shared" si="3"/>
        <v>12548</v>
      </c>
      <c r="AO12" s="32">
        <f t="shared" si="4"/>
        <v>16372</v>
      </c>
      <c r="AP12" s="32">
        <f t="shared" si="5"/>
        <v>16361</v>
      </c>
      <c r="AQ12" s="32">
        <f t="shared" si="6"/>
        <v>16753</v>
      </c>
      <c r="AR12" s="32">
        <f t="shared" si="7"/>
        <v>17051</v>
      </c>
    </row>
    <row r="13" spans="1:44">
      <c r="B13" s="9" t="s">
        <v>211</v>
      </c>
      <c r="C13" s="81"/>
      <c r="D13" s="81"/>
      <c r="E13" s="81"/>
      <c r="F13" s="81"/>
      <c r="G13" s="81"/>
      <c r="H13" s="81">
        <v>17026</v>
      </c>
      <c r="I13" s="81">
        <v>17314</v>
      </c>
      <c r="J13" s="81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32"/>
      <c r="AA13" s="95">
        <v>3913</v>
      </c>
      <c r="AB13" s="95">
        <v>4363</v>
      </c>
      <c r="AC13" s="95">
        <v>4098</v>
      </c>
      <c r="AD13" s="32">
        <v>4652</v>
      </c>
      <c r="AE13" s="82">
        <v>4292</v>
      </c>
      <c r="AF13" s="82">
        <v>4512</v>
      </c>
      <c r="AG13" s="81">
        <v>4144</v>
      </c>
      <c r="AH13" s="81">
        <v>4366</v>
      </c>
      <c r="AI13" s="81">
        <v>4551</v>
      </c>
      <c r="AJ13" s="5"/>
      <c r="AK13" s="32">
        <f t="shared" ref="AK13:AK17" si="8">SUM(W13:Z13)</f>
        <v>0</v>
      </c>
      <c r="AL13" s="32">
        <f t="shared" ref="AL13:AL17" si="9">SUM(X13:AA13)</f>
        <v>3913</v>
      </c>
      <c r="AM13" s="32">
        <f t="shared" ref="AM13:AM17" si="10">SUM(Y13:AB13)</f>
        <v>8276</v>
      </c>
      <c r="AN13" s="32">
        <f t="shared" ref="AN13:AN17" si="11">SUM(Z13:AC13)</f>
        <v>12374</v>
      </c>
      <c r="AO13" s="32">
        <f t="shared" ref="AO13:AO17" si="12">SUM(AA13:AD13)</f>
        <v>17026</v>
      </c>
      <c r="AP13" s="32">
        <f t="shared" ref="AP13:AP17" si="13">SUM(AB13:AE13)</f>
        <v>17405</v>
      </c>
      <c r="AQ13" s="32">
        <f t="shared" ref="AQ13:AQ17" si="14">SUM(AC13:AF13)</f>
        <v>17554</v>
      </c>
      <c r="AR13" s="32">
        <f t="shared" ref="AR13:AR17" si="15">SUM(AD13:AG13)</f>
        <v>17600</v>
      </c>
    </row>
    <row r="14" spans="1:44">
      <c r="B14" s="9" t="s">
        <v>212</v>
      </c>
      <c r="C14" s="81"/>
      <c r="D14" s="81"/>
      <c r="E14" s="81"/>
      <c r="F14" s="81"/>
      <c r="G14" s="81"/>
      <c r="H14" s="81">
        <v>12306</v>
      </c>
      <c r="I14" s="81">
        <v>13878</v>
      </c>
      <c r="J14" s="81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32"/>
      <c r="AA14" s="95">
        <v>3018</v>
      </c>
      <c r="AB14" s="95">
        <v>3168</v>
      </c>
      <c r="AC14" s="95">
        <v>3055</v>
      </c>
      <c r="AD14" s="32">
        <v>3065</v>
      </c>
      <c r="AE14" s="82">
        <v>3225</v>
      </c>
      <c r="AF14" s="82">
        <v>3558</v>
      </c>
      <c r="AG14" s="81">
        <v>3504</v>
      </c>
      <c r="AH14" s="81">
        <v>3591</v>
      </c>
      <c r="AI14" s="81">
        <v>3697</v>
      </c>
      <c r="AJ14" s="5"/>
      <c r="AK14" s="32">
        <f t="shared" si="8"/>
        <v>0</v>
      </c>
      <c r="AL14" s="32">
        <f t="shared" si="9"/>
        <v>3018</v>
      </c>
      <c r="AM14" s="32">
        <f t="shared" si="10"/>
        <v>6186</v>
      </c>
      <c r="AN14" s="32">
        <f t="shared" si="11"/>
        <v>9241</v>
      </c>
      <c r="AO14" s="32">
        <f t="shared" si="12"/>
        <v>12306</v>
      </c>
      <c r="AP14" s="32">
        <f t="shared" si="13"/>
        <v>12513</v>
      </c>
      <c r="AQ14" s="32">
        <f t="shared" si="14"/>
        <v>12903</v>
      </c>
      <c r="AR14" s="32">
        <f t="shared" si="15"/>
        <v>13352</v>
      </c>
    </row>
    <row r="15" spans="1:44">
      <c r="B15" s="9" t="s">
        <v>213</v>
      </c>
      <c r="C15" s="81"/>
      <c r="D15" s="81"/>
      <c r="E15" s="81"/>
      <c r="F15" s="81"/>
      <c r="G15" s="81"/>
      <c r="H15" s="81">
        <v>6831</v>
      </c>
      <c r="I15" s="81">
        <v>7827</v>
      </c>
      <c r="J15" s="81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32"/>
      <c r="AA15" s="95">
        <v>1944</v>
      </c>
      <c r="AB15" s="95">
        <v>1917</v>
      </c>
      <c r="AC15" s="95">
        <v>1861</v>
      </c>
      <c r="AD15" s="32">
        <v>1109</v>
      </c>
      <c r="AE15" s="82">
        <v>1928</v>
      </c>
      <c r="AF15" s="82">
        <v>1892</v>
      </c>
      <c r="AG15" s="81">
        <v>1946</v>
      </c>
      <c r="AH15" s="81">
        <v>2061</v>
      </c>
      <c r="AI15" s="81">
        <v>2204</v>
      </c>
      <c r="AJ15" s="5"/>
      <c r="AK15" s="32">
        <f t="shared" si="8"/>
        <v>0</v>
      </c>
      <c r="AL15" s="32">
        <f t="shared" si="9"/>
        <v>1944</v>
      </c>
      <c r="AM15" s="32">
        <f t="shared" si="10"/>
        <v>3861</v>
      </c>
      <c r="AN15" s="32">
        <f t="shared" si="11"/>
        <v>5722</v>
      </c>
      <c r="AO15" s="32">
        <f t="shared" si="12"/>
        <v>6831</v>
      </c>
      <c r="AP15" s="32">
        <f t="shared" si="13"/>
        <v>6815</v>
      </c>
      <c r="AQ15" s="32">
        <f t="shared" si="14"/>
        <v>6790</v>
      </c>
      <c r="AR15" s="32">
        <f t="shared" si="15"/>
        <v>6875</v>
      </c>
    </row>
    <row r="16" spans="1:44">
      <c r="B16" s="9" t="s">
        <v>214</v>
      </c>
      <c r="C16" s="81"/>
      <c r="D16" s="81"/>
      <c r="E16" s="81"/>
      <c r="F16" s="81"/>
      <c r="G16" s="81"/>
      <c r="H16" s="81">
        <v>7594</v>
      </c>
      <c r="I16" s="81">
        <v>7760</v>
      </c>
      <c r="J16" s="81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32"/>
      <c r="AA16" s="95">
        <v>1626</v>
      </c>
      <c r="AB16" s="95">
        <v>1659</v>
      </c>
      <c r="AC16" s="95">
        <v>1740</v>
      </c>
      <c r="AD16" s="32">
        <v>2569</v>
      </c>
      <c r="AE16" s="82">
        <v>1849</v>
      </c>
      <c r="AF16" s="82">
        <v>1913</v>
      </c>
      <c r="AG16" s="81">
        <v>1929</v>
      </c>
      <c r="AH16" s="81">
        <v>2069</v>
      </c>
      <c r="AI16" s="81">
        <v>2136</v>
      </c>
      <c r="AJ16" s="5"/>
      <c r="AK16" s="32">
        <f t="shared" si="8"/>
        <v>0</v>
      </c>
      <c r="AL16" s="32">
        <f t="shared" si="9"/>
        <v>1626</v>
      </c>
      <c r="AM16" s="32">
        <f t="shared" si="10"/>
        <v>3285</v>
      </c>
      <c r="AN16" s="32">
        <f t="shared" si="11"/>
        <v>5025</v>
      </c>
      <c r="AO16" s="32">
        <f t="shared" si="12"/>
        <v>7594</v>
      </c>
      <c r="AP16" s="32">
        <f t="shared" si="13"/>
        <v>7817</v>
      </c>
      <c r="AQ16" s="32">
        <f t="shared" si="14"/>
        <v>8071</v>
      </c>
      <c r="AR16" s="32">
        <f t="shared" si="15"/>
        <v>8260</v>
      </c>
    </row>
    <row r="17" spans="2:44">
      <c r="B17" s="9" t="s">
        <v>215</v>
      </c>
      <c r="C17" s="81"/>
      <c r="D17" s="81"/>
      <c r="E17" s="81"/>
      <c r="F17" s="81"/>
      <c r="G17" s="81"/>
      <c r="H17" s="81">
        <v>6648</v>
      </c>
      <c r="I17" s="81">
        <v>7404</v>
      </c>
      <c r="J17" s="81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32"/>
      <c r="AA17" s="95">
        <v>1643</v>
      </c>
      <c r="AB17" s="95">
        <v>1679</v>
      </c>
      <c r="AC17" s="95">
        <v>1648</v>
      </c>
      <c r="AD17" s="32">
        <v>1678</v>
      </c>
      <c r="AE17" s="82">
        <v>1727</v>
      </c>
      <c r="AF17" s="82">
        <v>1821</v>
      </c>
      <c r="AG17" s="81">
        <v>1821</v>
      </c>
      <c r="AH17" s="81">
        <v>2035</v>
      </c>
      <c r="AI17" s="81">
        <v>2022</v>
      </c>
      <c r="AJ17" s="5"/>
      <c r="AK17" s="32">
        <f t="shared" si="8"/>
        <v>0</v>
      </c>
      <c r="AL17" s="32">
        <f t="shared" si="9"/>
        <v>1643</v>
      </c>
      <c r="AM17" s="32">
        <f t="shared" si="10"/>
        <v>3322</v>
      </c>
      <c r="AN17" s="32">
        <f t="shared" si="11"/>
        <v>4970</v>
      </c>
      <c r="AO17" s="32">
        <f t="shared" si="12"/>
        <v>6648</v>
      </c>
      <c r="AP17" s="32">
        <f t="shared" si="13"/>
        <v>6732</v>
      </c>
      <c r="AQ17" s="32">
        <f t="shared" si="14"/>
        <v>6874</v>
      </c>
      <c r="AR17" s="32">
        <f t="shared" si="15"/>
        <v>7047</v>
      </c>
    </row>
    <row r="18" spans="2:44">
      <c r="B18" s="9" t="s">
        <v>165</v>
      </c>
      <c r="C18" s="81"/>
      <c r="D18" s="81"/>
      <c r="E18" s="81"/>
      <c r="F18" s="81"/>
      <c r="G18" s="81"/>
      <c r="H18" s="81">
        <v>45</v>
      </c>
      <c r="I18" s="81">
        <v>72</v>
      </c>
      <c r="J18" s="81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32"/>
      <c r="AA18" s="95">
        <v>8</v>
      </c>
      <c r="AB18" s="95">
        <v>10</v>
      </c>
      <c r="AC18" s="95">
        <v>14</v>
      </c>
      <c r="AD18" s="32">
        <v>13</v>
      </c>
      <c r="AE18" s="82">
        <v>10</v>
      </c>
      <c r="AF18" s="82">
        <v>10</v>
      </c>
      <c r="AG18" s="81">
        <v>46</v>
      </c>
      <c r="AH18" s="81">
        <v>6</v>
      </c>
      <c r="AI18" s="81">
        <v>3</v>
      </c>
      <c r="AJ18" s="5"/>
      <c r="AK18" s="32">
        <f t="shared" ref="AK18" si="16">SUM(W18:Z18)</f>
        <v>0</v>
      </c>
      <c r="AL18" s="32">
        <f t="shared" ref="AL18" si="17">SUM(X18:AA18)</f>
        <v>8</v>
      </c>
      <c r="AM18" s="32">
        <f t="shared" ref="AM18" si="18">SUM(Y18:AB18)</f>
        <v>18</v>
      </c>
      <c r="AN18" s="32">
        <f t="shared" ref="AN18" si="19">SUM(Z18:AC18)</f>
        <v>32</v>
      </c>
      <c r="AO18" s="32">
        <f t="shared" ref="AO18" si="20">SUM(AA18:AD18)</f>
        <v>45</v>
      </c>
      <c r="AP18" s="32">
        <f t="shared" ref="AP18" si="21">SUM(AB18:AE18)</f>
        <v>47</v>
      </c>
      <c r="AQ18" s="32">
        <f t="shared" ref="AQ18" si="22">SUM(AC18:AF18)</f>
        <v>47</v>
      </c>
      <c r="AR18" s="32">
        <f t="shared" ref="AR18" si="23">SUM(AD18:AG18)</f>
        <v>79</v>
      </c>
    </row>
    <row r="19" spans="2:44">
      <c r="B19" s="13" t="s">
        <v>65</v>
      </c>
      <c r="C19" s="14">
        <f>SUM(C9:C18)</f>
        <v>0</v>
      </c>
      <c r="D19" s="14">
        <f>SUM(D9:D18)</f>
        <v>0</v>
      </c>
      <c r="E19" s="14">
        <f>SUM(E9:E18)</f>
        <v>0</v>
      </c>
      <c r="F19" s="14">
        <f>SUM(F9:F18)</f>
        <v>0</v>
      </c>
      <c r="G19" s="14">
        <f>SUM(G9:G18)</f>
        <v>0</v>
      </c>
      <c r="H19" s="14">
        <f>SUM(H9:H18)</f>
        <v>245122</v>
      </c>
      <c r="I19" s="14">
        <f>SUM(I9:I18)</f>
        <v>281724</v>
      </c>
      <c r="J19" s="11"/>
      <c r="K19" s="14">
        <f>SUM(K9:K18)</f>
        <v>0</v>
      </c>
      <c r="L19" s="14">
        <f>SUM(L9:L18)</f>
        <v>0</v>
      </c>
      <c r="M19" s="14">
        <f>SUM(M9:M18)</f>
        <v>0</v>
      </c>
      <c r="N19" s="14">
        <f>SUM(N9:N18)</f>
        <v>0</v>
      </c>
      <c r="O19" s="14">
        <f>SUM(O9:O18)</f>
        <v>0</v>
      </c>
      <c r="P19" s="14">
        <f>SUM(P9:P18)</f>
        <v>0</v>
      </c>
      <c r="Q19" s="14">
        <f>SUM(Q9:Q18)</f>
        <v>0</v>
      </c>
      <c r="R19" s="14">
        <f>SUM(R9:R18)</f>
        <v>0</v>
      </c>
      <c r="S19" s="14">
        <f>SUM(S9:S18)</f>
        <v>0</v>
      </c>
      <c r="T19" s="14">
        <f>SUM(T9:T18)</f>
        <v>0</v>
      </c>
      <c r="U19" s="14">
        <f>SUM(U9:U18)</f>
        <v>0</v>
      </c>
      <c r="V19" s="14">
        <f>SUM(V9:V18)</f>
        <v>0</v>
      </c>
      <c r="W19" s="14">
        <f>SUM(W9:W18)</f>
        <v>0</v>
      </c>
      <c r="X19" s="14">
        <f>SUM(X9:X18)</f>
        <v>0</v>
      </c>
      <c r="Y19" s="14">
        <f>SUM(Y9:Y18)</f>
        <v>0</v>
      </c>
      <c r="Z19" s="14">
        <f>SUM(Z9:Z18)</f>
        <v>0</v>
      </c>
      <c r="AA19" s="14">
        <f>SUM(AA9:AA18)</f>
        <v>56517</v>
      </c>
      <c r="AB19" s="14">
        <f>SUM(AB9:AB18)</f>
        <v>62020</v>
      </c>
      <c r="AC19" s="14">
        <f>SUM(AC9:AC18)</f>
        <v>61858</v>
      </c>
      <c r="AD19" s="14">
        <f>SUM(AD9:AD18)</f>
        <v>64727</v>
      </c>
      <c r="AE19" s="14">
        <f>SUM(AE9:AE18)</f>
        <v>65585</v>
      </c>
      <c r="AF19" s="14">
        <f>SUM(AF9:AF18)</f>
        <v>69632</v>
      </c>
      <c r="AG19" s="14">
        <f>SUM(AG9:AG18)</f>
        <v>70066</v>
      </c>
      <c r="AH19" s="14">
        <f>SUM(AH9:AH18)</f>
        <v>76441</v>
      </c>
      <c r="AI19" s="14">
        <f>SUM(AI9:AI18)</f>
        <v>77673</v>
      </c>
      <c r="AJ19" s="5"/>
      <c r="AK19" s="14">
        <f>SUM(AK9:AK18)</f>
        <v>0</v>
      </c>
      <c r="AL19" s="14">
        <f>SUM(AL9:AL18)</f>
        <v>56517</v>
      </c>
      <c r="AM19" s="14">
        <f>SUM(AM9:AM18)</f>
        <v>118537</v>
      </c>
      <c r="AN19" s="14">
        <f>SUM(AN9:AN18)</f>
        <v>180395</v>
      </c>
      <c r="AO19" s="14">
        <f>SUM(AO9:AO18)</f>
        <v>245122</v>
      </c>
      <c r="AP19" s="14">
        <f>SUM(AP9:AP18)</f>
        <v>254190</v>
      </c>
      <c r="AQ19" s="14">
        <f>SUM(AQ9:AQ18)</f>
        <v>261802</v>
      </c>
      <c r="AR19" s="14">
        <f>SUM(AR9:AR18)</f>
        <v>270010</v>
      </c>
    </row>
    <row r="20" spans="2:44" outlineLevel="1">
      <c r="B20" s="131" t="s">
        <v>161</v>
      </c>
      <c r="C20" s="79">
        <f>C19-'Historical Financials'!C11</f>
        <v>-125843</v>
      </c>
      <c r="D20" s="79">
        <f>D19-'Historical Financials'!D11</f>
        <v>-143015</v>
      </c>
      <c r="E20" s="79">
        <f>E19-'Historical Financials'!E11</f>
        <v>-168088</v>
      </c>
      <c r="F20" s="79">
        <f>F19-'Historical Financials'!F11</f>
        <v>-198270</v>
      </c>
      <c r="G20" s="79">
        <f>G19-'Historical Financials'!G11</f>
        <v>-211915</v>
      </c>
      <c r="H20" s="79">
        <f>H19-'Historical Financials'!H11</f>
        <v>0</v>
      </c>
      <c r="I20" s="79">
        <f>I19-'Historical Financials'!I11</f>
        <v>0</v>
      </c>
      <c r="J20" s="11"/>
      <c r="K20" s="79">
        <f>K19-'Historical Financials'!K11</f>
        <v>-33055</v>
      </c>
      <c r="L20" s="79">
        <f>L19-'Historical Financials'!L11</f>
        <v>-36906</v>
      </c>
      <c r="M20" s="79">
        <f>M19-'Historical Financials'!M11</f>
        <v>-35021</v>
      </c>
      <c r="N20" s="79">
        <f>N19-'Historical Financials'!N11</f>
        <v>-38033</v>
      </c>
      <c r="O20" s="79">
        <f>O19-'Historical Financials'!O11</f>
        <v>-37154</v>
      </c>
      <c r="P20" s="79">
        <f>P19-'Historical Financials'!P11</f>
        <v>-43076</v>
      </c>
      <c r="Q20" s="79">
        <f>Q19-'Historical Financials'!Q11</f>
        <v>-41706</v>
      </c>
      <c r="R20" s="79">
        <f>R19-'Historical Financials'!R11</f>
        <v>-46152</v>
      </c>
      <c r="S20" s="79">
        <f>S19-'Historical Financials'!S11</f>
        <v>-45317</v>
      </c>
      <c r="T20" s="79">
        <f>T19-'Historical Financials'!T11</f>
        <v>-51728</v>
      </c>
      <c r="U20" s="79">
        <f>U19-'Historical Financials'!U11</f>
        <v>-49360</v>
      </c>
      <c r="V20" s="79">
        <f>V19-'Historical Financials'!V11</f>
        <v>-51865</v>
      </c>
      <c r="W20" s="79">
        <f>W19-'Historical Financials'!W11</f>
        <v>-50122</v>
      </c>
      <c r="X20" s="79">
        <f>X19-'Historical Financials'!X11</f>
        <v>-52747</v>
      </c>
      <c r="Y20" s="79">
        <f>Y19-'Historical Financials'!Y11</f>
        <v>-52857</v>
      </c>
      <c r="Z20" s="79">
        <f>Z19-'Historical Financials'!Z11</f>
        <v>-56189</v>
      </c>
      <c r="AA20" s="79">
        <f>AA19-'Historical Financials'!AA11</f>
        <v>0</v>
      </c>
      <c r="AB20" s="79">
        <f>AB19-'Historical Financials'!AB11</f>
        <v>0</v>
      </c>
      <c r="AC20" s="79">
        <f>AC19-'Historical Financials'!AC11</f>
        <v>0</v>
      </c>
      <c r="AD20" s="79">
        <f>AD19-'Historical Financials'!AD11</f>
        <v>0</v>
      </c>
      <c r="AE20" s="79">
        <f>AE19-'Historical Financials'!AE11</f>
        <v>0</v>
      </c>
      <c r="AF20" s="79">
        <f>AF19-'Historical Financials'!AF11</f>
        <v>0</v>
      </c>
      <c r="AG20" s="79">
        <f>AG19-'Historical Financials'!AG11</f>
        <v>0</v>
      </c>
      <c r="AH20" s="79">
        <f>AH19-'Historical Financials'!AH11</f>
        <v>0</v>
      </c>
      <c r="AI20" s="79">
        <f>AI19-'Historical Financials'!AI11</f>
        <v>0</v>
      </c>
      <c r="AJ20" s="79"/>
      <c r="AK20" s="79">
        <f>AK19-'Historical Financials'!AM11</f>
        <v>-227583</v>
      </c>
      <c r="AL20" s="79">
        <f>AL19-'Historical Financials'!AN11</f>
        <v>-180067</v>
      </c>
      <c r="AM20" s="79">
        <f>AM19-'Historical Financials'!AO11</f>
        <v>-126585</v>
      </c>
      <c r="AN20" s="79">
        <f>AN19-'Historical Financials'!AP11</f>
        <v>-73795</v>
      </c>
      <c r="AO20" s="79">
        <f>AO19-'Historical Financials'!AQ11</f>
        <v>-16680</v>
      </c>
      <c r="AP20" s="79">
        <f>AP19-'Historical Financials'!AR11</f>
        <v>-15820</v>
      </c>
      <c r="AQ20" s="79">
        <f>AQ19-'Historical Financials'!AS11</f>
        <v>261802</v>
      </c>
      <c r="AR20" s="79">
        <f>AR19-'Historical Financials'!AT11</f>
        <v>270009.85871402972</v>
      </c>
    </row>
    <row r="21" spans="2:44">
      <c r="B21" s="18"/>
      <c r="C21" s="19"/>
      <c r="D21" s="19"/>
      <c r="E21" s="19"/>
      <c r="F21" s="19"/>
      <c r="G21" s="19"/>
      <c r="H21" s="19"/>
      <c r="I21" s="19"/>
      <c r="J21" s="20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2"/>
      <c r="AA21" s="21"/>
      <c r="AB21" s="21"/>
      <c r="AC21" s="21"/>
      <c r="AD21" s="21"/>
      <c r="AE21" s="21"/>
      <c r="AF21" s="21"/>
      <c r="AG21" s="21"/>
      <c r="AH21" s="21"/>
      <c r="AI21" s="21"/>
      <c r="AJ21" s="20"/>
      <c r="AK21" s="20"/>
      <c r="AL21" s="20"/>
      <c r="AM21" s="20"/>
      <c r="AN21" s="20"/>
      <c r="AO21" s="20"/>
      <c r="AP21" s="20"/>
      <c r="AQ21" s="20"/>
      <c r="AR21" s="20"/>
    </row>
    <row r="22" spans="2:44">
      <c r="B22" s="152" t="str">
        <f>B9&amp;"(%)"</f>
        <v>Server Products &amp; Cloud Services(%)</v>
      </c>
      <c r="C22" s="153" t="e">
        <f>SUM(C9/C$19)</f>
        <v>#DIV/0!</v>
      </c>
      <c r="D22" s="153" t="e">
        <f>SUM(D9/D$19)</f>
        <v>#DIV/0!</v>
      </c>
      <c r="E22" s="153" t="e">
        <f>SUM(E9/E$19)</f>
        <v>#DIV/0!</v>
      </c>
      <c r="F22" s="153" t="e">
        <f>SUM(F9/F$19)</f>
        <v>#DIV/0!</v>
      </c>
      <c r="G22" s="153" t="e">
        <f>SUM(G9/G$19)</f>
        <v>#DIV/0!</v>
      </c>
      <c r="H22" s="153">
        <f>SUM(H9/H$19)</f>
        <v>0.32566640285245713</v>
      </c>
      <c r="I22" s="153">
        <f>SUM(I9/I$19)</f>
        <v>0.34940225184932772</v>
      </c>
      <c r="J22" s="154"/>
      <c r="K22" s="153" t="e">
        <f>SUM(K9/K$19)</f>
        <v>#DIV/0!</v>
      </c>
      <c r="L22" s="153" t="e">
        <f>SUM(L9/L$19)</f>
        <v>#DIV/0!</v>
      </c>
      <c r="M22" s="153" t="e">
        <f>SUM(M9/M$19)</f>
        <v>#DIV/0!</v>
      </c>
      <c r="N22" s="153" t="e">
        <f>SUM(N9/N$19)</f>
        <v>#DIV/0!</v>
      </c>
      <c r="O22" s="153" t="e">
        <f>SUM(O9/O$19)</f>
        <v>#DIV/0!</v>
      </c>
      <c r="P22" s="153" t="e">
        <f>SUM(P9/P$19)</f>
        <v>#DIV/0!</v>
      </c>
      <c r="Q22" s="153" t="e">
        <f>SUM(Q9/Q$19)</f>
        <v>#DIV/0!</v>
      </c>
      <c r="R22" s="153" t="e">
        <f>SUM(R9/R$19)</f>
        <v>#DIV/0!</v>
      </c>
      <c r="S22" s="153" t="e">
        <f>SUM(S9/S$19)</f>
        <v>#DIV/0!</v>
      </c>
      <c r="T22" s="153" t="e">
        <f>SUM(T9/T$19)</f>
        <v>#DIV/0!</v>
      </c>
      <c r="U22" s="153" t="e">
        <f>SUM(U9/U$19)</f>
        <v>#DIV/0!</v>
      </c>
      <c r="V22" s="153" t="e">
        <f>SUM(V9/V$19)</f>
        <v>#DIV/0!</v>
      </c>
      <c r="W22" s="153" t="e">
        <f>SUM(W9/W$19)</f>
        <v>#DIV/0!</v>
      </c>
      <c r="X22" s="153" t="e">
        <f>SUM(X9/X$19)</f>
        <v>#DIV/0!</v>
      </c>
      <c r="Y22" s="153" t="e">
        <f>SUM(Y9/Y$19)</f>
        <v>#DIV/0!</v>
      </c>
      <c r="Z22" s="153" t="e">
        <f>SUM(Z9/Z$19)</f>
        <v>#DIV/0!</v>
      </c>
      <c r="AA22" s="153">
        <f>SUM(AA9/AA$19)</f>
        <v>0.31958525753313161</v>
      </c>
      <c r="AB22" s="153">
        <f>SUM(AB9/AB$19)</f>
        <v>0.31597871654305065</v>
      </c>
      <c r="AC22" s="153">
        <f>SUM(AC9/AC$19)</f>
        <v>0.32762132626337742</v>
      </c>
      <c r="AD22" s="153">
        <f>SUM(AD9/AD$19)</f>
        <v>0.33839047074636552</v>
      </c>
      <c r="AE22" s="153">
        <f>SUM(AE9/AE$19)</f>
        <v>0.33780590073949834</v>
      </c>
      <c r="AF22" s="153">
        <f>SUM(AF9/AF$19)</f>
        <v>0.33951344209558826</v>
      </c>
      <c r="AG22" s="153">
        <f>SUM(AG9/AG$19)</f>
        <v>0.35339537007963917</v>
      </c>
      <c r="AH22" s="153">
        <f>SUM(AH9/AH$19)</f>
        <v>0.3646995722190971</v>
      </c>
      <c r="AI22" s="153">
        <f>SUM(AI9/AI$19)</f>
        <v>0.37171217797690315</v>
      </c>
      <c r="AJ22" s="154"/>
      <c r="AK22" s="155" t="e">
        <f t="shared" ref="AK22" si="24">Z22</f>
        <v>#DIV/0!</v>
      </c>
      <c r="AL22" s="155">
        <f t="shared" ref="AL22" si="25">AA22</f>
        <v>0.31958525753313161</v>
      </c>
      <c r="AM22" s="155">
        <f t="shared" ref="AM22" si="26">AB22</f>
        <v>0.31597871654305065</v>
      </c>
      <c r="AN22" s="155">
        <f t="shared" ref="AN22" si="27">AC22</f>
        <v>0.32762132626337742</v>
      </c>
      <c r="AO22" s="155">
        <f t="shared" ref="AO22" si="28">AD22</f>
        <v>0.33839047074636552</v>
      </c>
      <c r="AP22" s="155">
        <f t="shared" ref="AP22" si="29">AE22</f>
        <v>0.33780590073949834</v>
      </c>
      <c r="AQ22" s="155">
        <f t="shared" ref="AQ22" si="30">AF22</f>
        <v>0.33951344209558826</v>
      </c>
      <c r="AR22" s="156">
        <f t="shared" ref="AR22" si="31">AG22</f>
        <v>0.35339537007963917</v>
      </c>
    </row>
    <row r="23" spans="2:44">
      <c r="B23" s="166" t="str">
        <f t="shared" ref="B23:B31" si="32">B10&amp;"(%)"</f>
        <v>MS 365 Commercial Products &amp; Cloud Services(%)</v>
      </c>
      <c r="C23" s="167" t="e">
        <f t="shared" ref="C23:I23" si="33">SUM(C10/C$19)</f>
        <v>#DIV/0!</v>
      </c>
      <c r="D23" s="167" t="e">
        <f t="shared" si="33"/>
        <v>#DIV/0!</v>
      </c>
      <c r="E23" s="167" t="e">
        <f t="shared" si="33"/>
        <v>#DIV/0!</v>
      </c>
      <c r="F23" s="167" t="e">
        <f t="shared" si="33"/>
        <v>#DIV/0!</v>
      </c>
      <c r="G23" s="167" t="e">
        <f t="shared" si="33"/>
        <v>#DIV/0!</v>
      </c>
      <c r="H23" s="167">
        <f t="shared" si="33"/>
        <v>0.31400282308401528</v>
      </c>
      <c r="I23" s="167">
        <f t="shared" si="33"/>
        <v>0.31153540344450598</v>
      </c>
      <c r="J23" s="168"/>
      <c r="K23" s="167" t="e">
        <f t="shared" ref="K23:AI23" si="34">SUM(K10/K$19)</f>
        <v>#DIV/0!</v>
      </c>
      <c r="L23" s="167" t="e">
        <f t="shared" si="34"/>
        <v>#DIV/0!</v>
      </c>
      <c r="M23" s="167" t="e">
        <f t="shared" si="34"/>
        <v>#DIV/0!</v>
      </c>
      <c r="N23" s="167" t="e">
        <f t="shared" si="34"/>
        <v>#DIV/0!</v>
      </c>
      <c r="O23" s="167" t="e">
        <f t="shared" si="34"/>
        <v>#DIV/0!</v>
      </c>
      <c r="P23" s="167" t="e">
        <f t="shared" si="34"/>
        <v>#DIV/0!</v>
      </c>
      <c r="Q23" s="167" t="e">
        <f t="shared" si="34"/>
        <v>#DIV/0!</v>
      </c>
      <c r="R23" s="167" t="e">
        <f t="shared" si="34"/>
        <v>#DIV/0!</v>
      </c>
      <c r="S23" s="167" t="e">
        <f t="shared" si="34"/>
        <v>#DIV/0!</v>
      </c>
      <c r="T23" s="167" t="e">
        <f t="shared" si="34"/>
        <v>#DIV/0!</v>
      </c>
      <c r="U23" s="167" t="e">
        <f t="shared" si="34"/>
        <v>#DIV/0!</v>
      </c>
      <c r="V23" s="167" t="e">
        <f t="shared" si="34"/>
        <v>#DIV/0!</v>
      </c>
      <c r="W23" s="167" t="e">
        <f t="shared" si="34"/>
        <v>#DIV/0!</v>
      </c>
      <c r="X23" s="167" t="e">
        <f t="shared" si="34"/>
        <v>#DIV/0!</v>
      </c>
      <c r="Y23" s="167" t="e">
        <f t="shared" si="34"/>
        <v>#DIV/0!</v>
      </c>
      <c r="Z23" s="167" t="e">
        <f t="shared" si="34"/>
        <v>#DIV/0!</v>
      </c>
      <c r="AA23" s="167">
        <f t="shared" si="34"/>
        <v>0.31926676929065589</v>
      </c>
      <c r="AB23" s="167">
        <f t="shared" si="34"/>
        <v>0.29540470815865849</v>
      </c>
      <c r="AC23" s="167">
        <f t="shared" si="34"/>
        <v>0.31866533027255972</v>
      </c>
      <c r="AD23" s="167">
        <f t="shared" si="34"/>
        <v>0.32277102291161341</v>
      </c>
      <c r="AE23" s="167">
        <f t="shared" si="34"/>
        <v>0.31179385530227949</v>
      </c>
      <c r="AF23" s="167">
        <f t="shared" si="34"/>
        <v>0.3032657398897059</v>
      </c>
      <c r="AG23" s="167">
        <f t="shared" si="34"/>
        <v>0.31231981274798049</v>
      </c>
      <c r="AH23" s="167">
        <f t="shared" si="34"/>
        <v>0.31812770633560522</v>
      </c>
      <c r="AI23" s="167">
        <f t="shared" si="34"/>
        <v>0.30854994657088047</v>
      </c>
      <c r="AJ23" s="168"/>
      <c r="AK23" s="169" t="e">
        <f t="shared" ref="AK23:AK31" si="35">Z23</f>
        <v>#DIV/0!</v>
      </c>
      <c r="AL23" s="169">
        <f t="shared" ref="AL23:AL31" si="36">AA23</f>
        <v>0.31926676929065589</v>
      </c>
      <c r="AM23" s="169">
        <f t="shared" ref="AM23:AM31" si="37">AB23</f>
        <v>0.29540470815865849</v>
      </c>
      <c r="AN23" s="169">
        <f t="shared" ref="AN23:AN31" si="38">AC23</f>
        <v>0.31866533027255972</v>
      </c>
      <c r="AO23" s="169">
        <f t="shared" ref="AO23:AO31" si="39">AD23</f>
        <v>0.32277102291161341</v>
      </c>
      <c r="AP23" s="169">
        <f t="shared" ref="AP23:AP31" si="40">AE23</f>
        <v>0.31179385530227949</v>
      </c>
      <c r="AQ23" s="169">
        <f t="shared" ref="AQ23:AQ31" si="41">AF23</f>
        <v>0.3032657398897059</v>
      </c>
      <c r="AR23" s="170">
        <f t="shared" ref="AR23:AR31" si="42">AG23</f>
        <v>0.31231981274798049</v>
      </c>
    </row>
    <row r="24" spans="2:44">
      <c r="B24" s="166" t="str">
        <f t="shared" si="32"/>
        <v>Gaming(%)</v>
      </c>
      <c r="C24" s="167" t="e">
        <f t="shared" ref="C24:I24" si="43">SUM(C11/C$19)</f>
        <v>#DIV/0!</v>
      </c>
      <c r="D24" s="167" t="e">
        <f t="shared" si="43"/>
        <v>#DIV/0!</v>
      </c>
      <c r="E24" s="167" t="e">
        <f t="shared" si="43"/>
        <v>#DIV/0!</v>
      </c>
      <c r="F24" s="167" t="e">
        <f t="shared" si="43"/>
        <v>#DIV/0!</v>
      </c>
      <c r="G24" s="167" t="e">
        <f t="shared" si="43"/>
        <v>#DIV/0!</v>
      </c>
      <c r="H24" s="167">
        <f t="shared" si="43"/>
        <v>8.7723664134594204E-2</v>
      </c>
      <c r="I24" s="167">
        <f t="shared" si="43"/>
        <v>8.3255242719825082E-2</v>
      </c>
      <c r="J24" s="168"/>
      <c r="K24" s="167" t="e">
        <f t="shared" ref="K24:AI24" si="44">SUM(K11/K$19)</f>
        <v>#DIV/0!</v>
      </c>
      <c r="L24" s="167" t="e">
        <f t="shared" si="44"/>
        <v>#DIV/0!</v>
      </c>
      <c r="M24" s="167" t="e">
        <f t="shared" si="44"/>
        <v>#DIV/0!</v>
      </c>
      <c r="N24" s="167" t="e">
        <f t="shared" si="44"/>
        <v>#DIV/0!</v>
      </c>
      <c r="O24" s="167" t="e">
        <f t="shared" si="44"/>
        <v>#DIV/0!</v>
      </c>
      <c r="P24" s="167" t="e">
        <f t="shared" si="44"/>
        <v>#DIV/0!</v>
      </c>
      <c r="Q24" s="167" t="e">
        <f t="shared" si="44"/>
        <v>#DIV/0!</v>
      </c>
      <c r="R24" s="167" t="e">
        <f t="shared" si="44"/>
        <v>#DIV/0!</v>
      </c>
      <c r="S24" s="167" t="e">
        <f t="shared" si="44"/>
        <v>#DIV/0!</v>
      </c>
      <c r="T24" s="167" t="e">
        <f t="shared" si="44"/>
        <v>#DIV/0!</v>
      </c>
      <c r="U24" s="167" t="e">
        <f t="shared" si="44"/>
        <v>#DIV/0!</v>
      </c>
      <c r="V24" s="167" t="e">
        <f t="shared" si="44"/>
        <v>#DIV/0!</v>
      </c>
      <c r="W24" s="167" t="e">
        <f t="shared" si="44"/>
        <v>#DIV/0!</v>
      </c>
      <c r="X24" s="167" t="e">
        <f t="shared" si="44"/>
        <v>#DIV/0!</v>
      </c>
      <c r="Y24" s="167" t="e">
        <f t="shared" si="44"/>
        <v>#DIV/0!</v>
      </c>
      <c r="Z24" s="167" t="e">
        <f t="shared" si="44"/>
        <v>#DIV/0!</v>
      </c>
      <c r="AA24" s="167">
        <f t="shared" si="44"/>
        <v>6.934196790346267E-2</v>
      </c>
      <c r="AB24" s="167">
        <f t="shared" si="44"/>
        <v>0.11465656239922606</v>
      </c>
      <c r="AC24" s="167">
        <f t="shared" si="44"/>
        <v>8.8121180768857707E-2</v>
      </c>
      <c r="AD24" s="167">
        <f t="shared" si="44"/>
        <v>7.7587405564911088E-2</v>
      </c>
      <c r="AE24" s="167">
        <f t="shared" si="44"/>
        <v>8.5705572920637338E-2</v>
      </c>
      <c r="AF24" s="167">
        <f t="shared" si="44"/>
        <v>9.451114430147059E-2</v>
      </c>
      <c r="AG24" s="167">
        <f t="shared" si="44"/>
        <v>8.165158564781777E-2</v>
      </c>
      <c r="AH24" s="167">
        <f t="shared" si="44"/>
        <v>7.2369539906594629E-2</v>
      </c>
      <c r="AI24" s="167">
        <f t="shared" si="44"/>
        <v>7.091267235718976E-2</v>
      </c>
      <c r="AJ24" s="168"/>
      <c r="AK24" s="169" t="e">
        <f t="shared" si="35"/>
        <v>#DIV/0!</v>
      </c>
      <c r="AL24" s="169">
        <f t="shared" si="36"/>
        <v>6.934196790346267E-2</v>
      </c>
      <c r="AM24" s="169">
        <f t="shared" si="37"/>
        <v>0.11465656239922606</v>
      </c>
      <c r="AN24" s="169">
        <f t="shared" si="38"/>
        <v>8.8121180768857707E-2</v>
      </c>
      <c r="AO24" s="169">
        <f t="shared" si="39"/>
        <v>7.7587405564911088E-2</v>
      </c>
      <c r="AP24" s="169">
        <f t="shared" si="40"/>
        <v>8.5705572920637338E-2</v>
      </c>
      <c r="AQ24" s="169">
        <f t="shared" si="41"/>
        <v>9.451114430147059E-2</v>
      </c>
      <c r="AR24" s="170">
        <f t="shared" si="42"/>
        <v>8.165158564781777E-2</v>
      </c>
    </row>
    <row r="25" spans="2:44">
      <c r="B25" s="166" t="str">
        <f t="shared" si="32"/>
        <v>LinkedIn(%)</v>
      </c>
      <c r="C25" s="167" t="e">
        <f t="shared" ref="C25:I25" si="45">SUM(C12/C$19)</f>
        <v>#DIV/0!</v>
      </c>
      <c r="D25" s="167" t="e">
        <f t="shared" si="45"/>
        <v>#DIV/0!</v>
      </c>
      <c r="E25" s="167" t="e">
        <f t="shared" si="45"/>
        <v>#DIV/0!</v>
      </c>
      <c r="F25" s="167" t="e">
        <f t="shared" si="45"/>
        <v>#DIV/0!</v>
      </c>
      <c r="G25" s="167" t="e">
        <f t="shared" si="45"/>
        <v>#DIV/0!</v>
      </c>
      <c r="H25" s="167">
        <f t="shared" si="45"/>
        <v>6.6791230489307366E-2</v>
      </c>
      <c r="I25" s="167">
        <f t="shared" si="45"/>
        <v>6.3225000354957331E-2</v>
      </c>
      <c r="J25" s="168"/>
      <c r="K25" s="167" t="e">
        <f t="shared" ref="K25:AI25" si="46">SUM(K12/K$19)</f>
        <v>#DIV/0!</v>
      </c>
      <c r="L25" s="167" t="e">
        <f t="shared" si="46"/>
        <v>#DIV/0!</v>
      </c>
      <c r="M25" s="167" t="e">
        <f t="shared" si="46"/>
        <v>#DIV/0!</v>
      </c>
      <c r="N25" s="167" t="e">
        <f t="shared" si="46"/>
        <v>#DIV/0!</v>
      </c>
      <c r="O25" s="167" t="e">
        <f t="shared" si="46"/>
        <v>#DIV/0!</v>
      </c>
      <c r="P25" s="167" t="e">
        <f t="shared" si="46"/>
        <v>#DIV/0!</v>
      </c>
      <c r="Q25" s="167" t="e">
        <f t="shared" si="46"/>
        <v>#DIV/0!</v>
      </c>
      <c r="R25" s="167" t="e">
        <f t="shared" si="46"/>
        <v>#DIV/0!</v>
      </c>
      <c r="S25" s="167" t="e">
        <f t="shared" si="46"/>
        <v>#DIV/0!</v>
      </c>
      <c r="T25" s="167" t="e">
        <f t="shared" si="46"/>
        <v>#DIV/0!</v>
      </c>
      <c r="U25" s="167" t="e">
        <f t="shared" si="46"/>
        <v>#DIV/0!</v>
      </c>
      <c r="V25" s="167" t="e">
        <f t="shared" si="46"/>
        <v>#DIV/0!</v>
      </c>
      <c r="W25" s="167" t="e">
        <f t="shared" si="46"/>
        <v>#DIV/0!</v>
      </c>
      <c r="X25" s="167" t="e">
        <f t="shared" si="46"/>
        <v>#DIV/0!</v>
      </c>
      <c r="Y25" s="167" t="e">
        <f t="shared" si="46"/>
        <v>#DIV/0!</v>
      </c>
      <c r="Z25" s="167" t="e">
        <f t="shared" si="46"/>
        <v>#DIV/0!</v>
      </c>
      <c r="AA25" s="167">
        <f t="shared" si="46"/>
        <v>7.6791054019144683E-2</v>
      </c>
      <c r="AB25" s="167">
        <f t="shared" si="46"/>
        <v>6.7639471138342469E-2</v>
      </c>
      <c r="AC25" s="167">
        <f t="shared" si="46"/>
        <v>6.487438973132012E-2</v>
      </c>
      <c r="AD25" s="167">
        <f t="shared" si="46"/>
        <v>5.9078900613345281E-2</v>
      </c>
      <c r="AE25" s="167">
        <f t="shared" si="46"/>
        <v>6.6005946481665009E-2</v>
      </c>
      <c r="AF25" s="167">
        <f t="shared" si="46"/>
        <v>6.5874885110294115E-2</v>
      </c>
      <c r="AG25" s="167">
        <f t="shared" si="46"/>
        <v>6.1527702451973851E-2</v>
      </c>
      <c r="AH25" s="167">
        <f t="shared" si="46"/>
        <v>5.998090030219385E-2</v>
      </c>
      <c r="AI25" s="167">
        <f t="shared" si="46"/>
        <v>6.0690329973092323E-2</v>
      </c>
      <c r="AJ25" s="168"/>
      <c r="AK25" s="169" t="e">
        <f t="shared" si="35"/>
        <v>#DIV/0!</v>
      </c>
      <c r="AL25" s="169">
        <f t="shared" si="36"/>
        <v>7.6791054019144683E-2</v>
      </c>
      <c r="AM25" s="169">
        <f t="shared" si="37"/>
        <v>6.7639471138342469E-2</v>
      </c>
      <c r="AN25" s="169">
        <f t="shared" si="38"/>
        <v>6.487438973132012E-2</v>
      </c>
      <c r="AO25" s="169">
        <f t="shared" si="39"/>
        <v>5.9078900613345281E-2</v>
      </c>
      <c r="AP25" s="169">
        <f t="shared" si="40"/>
        <v>6.6005946481665009E-2</v>
      </c>
      <c r="AQ25" s="169">
        <f t="shared" si="41"/>
        <v>6.5874885110294115E-2</v>
      </c>
      <c r="AR25" s="170">
        <f t="shared" si="42"/>
        <v>6.1527702451973851E-2</v>
      </c>
    </row>
    <row r="26" spans="2:44">
      <c r="B26" s="166" t="str">
        <f t="shared" si="32"/>
        <v>Windows &amp; Devices(%)</v>
      </c>
      <c r="C26" s="167" t="e">
        <f t="shared" ref="C26:I26" si="47">SUM(C13/C$19)</f>
        <v>#DIV/0!</v>
      </c>
      <c r="D26" s="167" t="e">
        <f t="shared" si="47"/>
        <v>#DIV/0!</v>
      </c>
      <c r="E26" s="167" t="e">
        <f t="shared" si="47"/>
        <v>#DIV/0!</v>
      </c>
      <c r="F26" s="167" t="e">
        <f t="shared" si="47"/>
        <v>#DIV/0!</v>
      </c>
      <c r="G26" s="167" t="e">
        <f t="shared" si="47"/>
        <v>#DIV/0!</v>
      </c>
      <c r="H26" s="167">
        <f t="shared" si="47"/>
        <v>6.9459289659842854E-2</v>
      </c>
      <c r="I26" s="167">
        <f t="shared" si="47"/>
        <v>6.1457312830997715E-2</v>
      </c>
      <c r="J26" s="168"/>
      <c r="K26" s="167" t="e">
        <f t="shared" ref="K26:AI26" si="48">SUM(K13/K$19)</f>
        <v>#DIV/0!</v>
      </c>
      <c r="L26" s="167" t="e">
        <f t="shared" si="48"/>
        <v>#DIV/0!</v>
      </c>
      <c r="M26" s="167" t="e">
        <f t="shared" si="48"/>
        <v>#DIV/0!</v>
      </c>
      <c r="N26" s="167" t="e">
        <f t="shared" si="48"/>
        <v>#DIV/0!</v>
      </c>
      <c r="O26" s="167" t="e">
        <f t="shared" si="48"/>
        <v>#DIV/0!</v>
      </c>
      <c r="P26" s="167" t="e">
        <f t="shared" si="48"/>
        <v>#DIV/0!</v>
      </c>
      <c r="Q26" s="167" t="e">
        <f t="shared" si="48"/>
        <v>#DIV/0!</v>
      </c>
      <c r="R26" s="167" t="e">
        <f t="shared" si="48"/>
        <v>#DIV/0!</v>
      </c>
      <c r="S26" s="167" t="e">
        <f t="shared" si="48"/>
        <v>#DIV/0!</v>
      </c>
      <c r="T26" s="167" t="e">
        <f t="shared" si="48"/>
        <v>#DIV/0!</v>
      </c>
      <c r="U26" s="167" t="e">
        <f t="shared" si="48"/>
        <v>#DIV/0!</v>
      </c>
      <c r="V26" s="167" t="e">
        <f t="shared" si="48"/>
        <v>#DIV/0!</v>
      </c>
      <c r="W26" s="167" t="e">
        <f t="shared" si="48"/>
        <v>#DIV/0!</v>
      </c>
      <c r="X26" s="167" t="e">
        <f t="shared" si="48"/>
        <v>#DIV/0!</v>
      </c>
      <c r="Y26" s="167" t="e">
        <f t="shared" si="48"/>
        <v>#DIV/0!</v>
      </c>
      <c r="Z26" s="167" t="e">
        <f t="shared" si="48"/>
        <v>#DIV/0!</v>
      </c>
      <c r="AA26" s="167">
        <f t="shared" si="48"/>
        <v>6.9235805155970775E-2</v>
      </c>
      <c r="AB26" s="167">
        <f t="shared" si="48"/>
        <v>7.0348274750080625E-2</v>
      </c>
      <c r="AC26" s="167">
        <f t="shared" si="48"/>
        <v>6.6248504639658576E-2</v>
      </c>
      <c r="AD26" s="167">
        <f t="shared" si="48"/>
        <v>7.1871089344477571E-2</v>
      </c>
      <c r="AE26" s="167">
        <f t="shared" si="48"/>
        <v>6.544179309293284E-2</v>
      </c>
      <c r="AF26" s="167">
        <f t="shared" si="48"/>
        <v>6.4797794117647065E-2</v>
      </c>
      <c r="AG26" s="167">
        <f t="shared" si="48"/>
        <v>5.9144235435161133E-2</v>
      </c>
      <c r="AH26" s="167">
        <f t="shared" si="48"/>
        <v>5.7115945631271176E-2</v>
      </c>
      <c r="AI26" s="167">
        <f t="shared" si="48"/>
        <v>5.8591788652427486E-2</v>
      </c>
      <c r="AJ26" s="168"/>
      <c r="AK26" s="169" t="e">
        <f t="shared" si="35"/>
        <v>#DIV/0!</v>
      </c>
      <c r="AL26" s="169">
        <f t="shared" si="36"/>
        <v>6.9235805155970775E-2</v>
      </c>
      <c r="AM26" s="169">
        <f t="shared" si="37"/>
        <v>7.0348274750080625E-2</v>
      </c>
      <c r="AN26" s="169">
        <f t="shared" si="38"/>
        <v>6.6248504639658576E-2</v>
      </c>
      <c r="AO26" s="169">
        <f t="shared" si="39"/>
        <v>7.1871089344477571E-2</v>
      </c>
      <c r="AP26" s="169">
        <f t="shared" si="40"/>
        <v>6.544179309293284E-2</v>
      </c>
      <c r="AQ26" s="169">
        <f t="shared" si="41"/>
        <v>6.4797794117647065E-2</v>
      </c>
      <c r="AR26" s="170">
        <f t="shared" si="42"/>
        <v>5.9144235435161133E-2</v>
      </c>
    </row>
    <row r="27" spans="2:44">
      <c r="B27" s="166" t="str">
        <f t="shared" si="32"/>
        <v>Search &amp; Ads(%)</v>
      </c>
      <c r="C27" s="167" t="e">
        <f t="shared" ref="C27:I27" si="49">SUM(C14/C$19)</f>
        <v>#DIV/0!</v>
      </c>
      <c r="D27" s="167" t="e">
        <f t="shared" si="49"/>
        <v>#DIV/0!</v>
      </c>
      <c r="E27" s="167" t="e">
        <f t="shared" si="49"/>
        <v>#DIV/0!</v>
      </c>
      <c r="F27" s="167" t="e">
        <f t="shared" si="49"/>
        <v>#DIV/0!</v>
      </c>
      <c r="G27" s="167" t="e">
        <f t="shared" si="49"/>
        <v>#DIV/0!</v>
      </c>
      <c r="H27" s="167">
        <f t="shared" si="49"/>
        <v>5.0203572098791623E-2</v>
      </c>
      <c r="I27" s="167">
        <f t="shared" si="49"/>
        <v>4.9260978830344596E-2</v>
      </c>
      <c r="J27" s="168"/>
      <c r="K27" s="167" t="e">
        <f t="shared" ref="K27:AI27" si="50">SUM(K14/K$19)</f>
        <v>#DIV/0!</v>
      </c>
      <c r="L27" s="167" t="e">
        <f t="shared" si="50"/>
        <v>#DIV/0!</v>
      </c>
      <c r="M27" s="167" t="e">
        <f t="shared" si="50"/>
        <v>#DIV/0!</v>
      </c>
      <c r="N27" s="167" t="e">
        <f t="shared" si="50"/>
        <v>#DIV/0!</v>
      </c>
      <c r="O27" s="167" t="e">
        <f t="shared" si="50"/>
        <v>#DIV/0!</v>
      </c>
      <c r="P27" s="167" t="e">
        <f t="shared" si="50"/>
        <v>#DIV/0!</v>
      </c>
      <c r="Q27" s="167" t="e">
        <f t="shared" si="50"/>
        <v>#DIV/0!</v>
      </c>
      <c r="R27" s="167" t="e">
        <f t="shared" si="50"/>
        <v>#DIV/0!</v>
      </c>
      <c r="S27" s="167" t="e">
        <f t="shared" si="50"/>
        <v>#DIV/0!</v>
      </c>
      <c r="T27" s="167" t="e">
        <f t="shared" si="50"/>
        <v>#DIV/0!</v>
      </c>
      <c r="U27" s="167" t="e">
        <f t="shared" si="50"/>
        <v>#DIV/0!</v>
      </c>
      <c r="V27" s="167" t="e">
        <f t="shared" si="50"/>
        <v>#DIV/0!</v>
      </c>
      <c r="W27" s="167" t="e">
        <f t="shared" si="50"/>
        <v>#DIV/0!</v>
      </c>
      <c r="X27" s="167" t="e">
        <f t="shared" si="50"/>
        <v>#DIV/0!</v>
      </c>
      <c r="Y27" s="167" t="e">
        <f t="shared" si="50"/>
        <v>#DIV/0!</v>
      </c>
      <c r="Z27" s="167" t="e">
        <f t="shared" si="50"/>
        <v>#DIV/0!</v>
      </c>
      <c r="AA27" s="167">
        <f t="shared" si="50"/>
        <v>5.3399861988428263E-2</v>
      </c>
      <c r="AB27" s="167">
        <f t="shared" si="50"/>
        <v>5.1080296678490809E-2</v>
      </c>
      <c r="AC27" s="167">
        <f t="shared" si="50"/>
        <v>4.9387306411458505E-2</v>
      </c>
      <c r="AD27" s="167">
        <f t="shared" si="50"/>
        <v>4.7352727609807348E-2</v>
      </c>
      <c r="AE27" s="167">
        <f t="shared" si="50"/>
        <v>4.9172829153007545E-2</v>
      </c>
      <c r="AF27" s="167">
        <f t="shared" si="50"/>
        <v>5.1097196691176468E-2</v>
      </c>
      <c r="AG27" s="167">
        <f t="shared" si="50"/>
        <v>5.0009990580309992E-2</v>
      </c>
      <c r="AH27" s="167">
        <f t="shared" si="50"/>
        <v>4.6977407412252585E-2</v>
      </c>
      <c r="AI27" s="167">
        <f t="shared" si="50"/>
        <v>4.7596977070539309E-2</v>
      </c>
      <c r="AJ27" s="168"/>
      <c r="AK27" s="169" t="e">
        <f t="shared" si="35"/>
        <v>#DIV/0!</v>
      </c>
      <c r="AL27" s="169">
        <f t="shared" si="36"/>
        <v>5.3399861988428263E-2</v>
      </c>
      <c r="AM27" s="169">
        <f t="shared" si="37"/>
        <v>5.1080296678490809E-2</v>
      </c>
      <c r="AN27" s="169">
        <f t="shared" si="38"/>
        <v>4.9387306411458505E-2</v>
      </c>
      <c r="AO27" s="169">
        <f t="shared" si="39"/>
        <v>4.7352727609807348E-2</v>
      </c>
      <c r="AP27" s="169">
        <f t="shared" si="40"/>
        <v>4.9172829153007545E-2</v>
      </c>
      <c r="AQ27" s="169">
        <f t="shared" si="41"/>
        <v>5.1097196691176468E-2</v>
      </c>
      <c r="AR27" s="170">
        <f t="shared" si="42"/>
        <v>5.0009990580309992E-2</v>
      </c>
    </row>
    <row r="28" spans="2:44">
      <c r="B28" s="166" t="str">
        <f t="shared" si="32"/>
        <v>Enterprise Partner Consulting (%)</v>
      </c>
      <c r="C28" s="167" t="e">
        <f t="shared" ref="C28:I28" si="51">SUM(C15/C$19)</f>
        <v>#DIV/0!</v>
      </c>
      <c r="D28" s="167" t="e">
        <f t="shared" si="51"/>
        <v>#DIV/0!</v>
      </c>
      <c r="E28" s="167" t="e">
        <f t="shared" si="51"/>
        <v>#DIV/0!</v>
      </c>
      <c r="F28" s="167" t="e">
        <f t="shared" si="51"/>
        <v>#DIV/0!</v>
      </c>
      <c r="G28" s="167" t="e">
        <f t="shared" si="51"/>
        <v>#DIV/0!</v>
      </c>
      <c r="H28" s="167">
        <f t="shared" si="51"/>
        <v>2.7867755648207832E-2</v>
      </c>
      <c r="I28" s="167">
        <f t="shared" si="51"/>
        <v>2.7782510542232824E-2</v>
      </c>
      <c r="J28" s="168"/>
      <c r="K28" s="167" t="e">
        <f t="shared" ref="K28:AI28" si="52">SUM(K15/K$19)</f>
        <v>#DIV/0!</v>
      </c>
      <c r="L28" s="167" t="e">
        <f t="shared" si="52"/>
        <v>#DIV/0!</v>
      </c>
      <c r="M28" s="167" t="e">
        <f t="shared" si="52"/>
        <v>#DIV/0!</v>
      </c>
      <c r="N28" s="167" t="e">
        <f t="shared" si="52"/>
        <v>#DIV/0!</v>
      </c>
      <c r="O28" s="167" t="e">
        <f t="shared" si="52"/>
        <v>#DIV/0!</v>
      </c>
      <c r="P28" s="167" t="e">
        <f t="shared" si="52"/>
        <v>#DIV/0!</v>
      </c>
      <c r="Q28" s="167" t="e">
        <f t="shared" si="52"/>
        <v>#DIV/0!</v>
      </c>
      <c r="R28" s="167" t="e">
        <f t="shared" si="52"/>
        <v>#DIV/0!</v>
      </c>
      <c r="S28" s="167" t="e">
        <f t="shared" si="52"/>
        <v>#DIV/0!</v>
      </c>
      <c r="T28" s="167" t="e">
        <f t="shared" si="52"/>
        <v>#DIV/0!</v>
      </c>
      <c r="U28" s="167" t="e">
        <f t="shared" si="52"/>
        <v>#DIV/0!</v>
      </c>
      <c r="V28" s="167" t="e">
        <f t="shared" si="52"/>
        <v>#DIV/0!</v>
      </c>
      <c r="W28" s="167" t="e">
        <f t="shared" si="52"/>
        <v>#DIV/0!</v>
      </c>
      <c r="X28" s="167" t="e">
        <f t="shared" si="52"/>
        <v>#DIV/0!</v>
      </c>
      <c r="Y28" s="167" t="e">
        <f t="shared" si="52"/>
        <v>#DIV/0!</v>
      </c>
      <c r="Z28" s="167" t="e">
        <f t="shared" si="52"/>
        <v>#DIV/0!</v>
      </c>
      <c r="AA28" s="167">
        <f t="shared" si="52"/>
        <v>3.4396730187377246E-2</v>
      </c>
      <c r="AB28" s="167">
        <f t="shared" si="52"/>
        <v>3.090938406965495E-2</v>
      </c>
      <c r="AC28" s="167">
        <f t="shared" si="52"/>
        <v>3.0085033463739533E-2</v>
      </c>
      <c r="AD28" s="167">
        <f t="shared" si="52"/>
        <v>1.713349915800207E-2</v>
      </c>
      <c r="AE28" s="167">
        <f t="shared" si="52"/>
        <v>2.9396965769611955E-2</v>
      </c>
      <c r="AF28" s="167">
        <f t="shared" si="52"/>
        <v>2.7171415441176471E-2</v>
      </c>
      <c r="AG28" s="167">
        <f t="shared" si="52"/>
        <v>2.7773813261781747E-2</v>
      </c>
      <c r="AH28" s="167">
        <f t="shared" si="52"/>
        <v>2.6961970670190082E-2</v>
      </c>
      <c r="AI28" s="167">
        <f t="shared" si="52"/>
        <v>2.8375368532179781E-2</v>
      </c>
      <c r="AJ28" s="168"/>
      <c r="AK28" s="169" t="e">
        <f t="shared" si="35"/>
        <v>#DIV/0!</v>
      </c>
      <c r="AL28" s="169">
        <f t="shared" si="36"/>
        <v>3.4396730187377246E-2</v>
      </c>
      <c r="AM28" s="169">
        <f t="shared" si="37"/>
        <v>3.090938406965495E-2</v>
      </c>
      <c r="AN28" s="169">
        <f t="shared" si="38"/>
        <v>3.0085033463739533E-2</v>
      </c>
      <c r="AO28" s="169">
        <f t="shared" si="39"/>
        <v>1.713349915800207E-2</v>
      </c>
      <c r="AP28" s="169">
        <f t="shared" si="40"/>
        <v>2.9396965769611955E-2</v>
      </c>
      <c r="AQ28" s="169">
        <f t="shared" si="41"/>
        <v>2.7171415441176471E-2</v>
      </c>
      <c r="AR28" s="170">
        <f t="shared" si="42"/>
        <v>2.7773813261781747E-2</v>
      </c>
    </row>
    <row r="29" spans="2:44">
      <c r="B29" s="166" t="str">
        <f t="shared" si="32"/>
        <v>Dynamic Products &amp; Cloud Services(%)</v>
      </c>
      <c r="C29" s="167" t="e">
        <f t="shared" ref="C29:I29" si="53">SUM(C16/C$19)</f>
        <v>#DIV/0!</v>
      </c>
      <c r="D29" s="167" t="e">
        <f t="shared" si="53"/>
        <v>#DIV/0!</v>
      </c>
      <c r="E29" s="167" t="e">
        <f t="shared" si="53"/>
        <v>#DIV/0!</v>
      </c>
      <c r="F29" s="167" t="e">
        <f t="shared" si="53"/>
        <v>#DIV/0!</v>
      </c>
      <c r="G29" s="167" t="e">
        <f t="shared" si="53"/>
        <v>#DIV/0!</v>
      </c>
      <c r="H29" s="167">
        <f t="shared" si="53"/>
        <v>3.0980491347165903E-2</v>
      </c>
      <c r="I29" s="167">
        <f t="shared" si="53"/>
        <v>2.7544689128366769E-2</v>
      </c>
      <c r="J29" s="168"/>
      <c r="K29" s="167" t="e">
        <f t="shared" ref="K29:AI29" si="54">SUM(K16/K$19)</f>
        <v>#DIV/0!</v>
      </c>
      <c r="L29" s="167" t="e">
        <f t="shared" si="54"/>
        <v>#DIV/0!</v>
      </c>
      <c r="M29" s="167" t="e">
        <f t="shared" si="54"/>
        <v>#DIV/0!</v>
      </c>
      <c r="N29" s="167" t="e">
        <f t="shared" si="54"/>
        <v>#DIV/0!</v>
      </c>
      <c r="O29" s="167" t="e">
        <f t="shared" si="54"/>
        <v>#DIV/0!</v>
      </c>
      <c r="P29" s="167" t="e">
        <f t="shared" si="54"/>
        <v>#DIV/0!</v>
      </c>
      <c r="Q29" s="167" t="e">
        <f t="shared" si="54"/>
        <v>#DIV/0!</v>
      </c>
      <c r="R29" s="167" t="e">
        <f t="shared" si="54"/>
        <v>#DIV/0!</v>
      </c>
      <c r="S29" s="167" t="e">
        <f t="shared" si="54"/>
        <v>#DIV/0!</v>
      </c>
      <c r="T29" s="167" t="e">
        <f t="shared" si="54"/>
        <v>#DIV/0!</v>
      </c>
      <c r="U29" s="167" t="e">
        <f t="shared" si="54"/>
        <v>#DIV/0!</v>
      </c>
      <c r="V29" s="167" t="e">
        <f t="shared" si="54"/>
        <v>#DIV/0!</v>
      </c>
      <c r="W29" s="167" t="e">
        <f t="shared" si="54"/>
        <v>#DIV/0!</v>
      </c>
      <c r="X29" s="167" t="e">
        <f t="shared" si="54"/>
        <v>#DIV/0!</v>
      </c>
      <c r="Y29" s="167" t="e">
        <f t="shared" si="54"/>
        <v>#DIV/0!</v>
      </c>
      <c r="Z29" s="167" t="e">
        <f t="shared" si="54"/>
        <v>#DIV/0!</v>
      </c>
      <c r="AA29" s="167">
        <f t="shared" si="54"/>
        <v>2.8770104570306279E-2</v>
      </c>
      <c r="AB29" s="167">
        <f t="shared" si="54"/>
        <v>2.6749435665914222E-2</v>
      </c>
      <c r="AC29" s="167">
        <f t="shared" si="54"/>
        <v>2.8128940476575381E-2</v>
      </c>
      <c r="AD29" s="167">
        <f t="shared" si="54"/>
        <v>3.9689773973766745E-2</v>
      </c>
      <c r="AE29" s="167">
        <f t="shared" si="54"/>
        <v>2.8192422047724326E-2</v>
      </c>
      <c r="AF29" s="167">
        <f t="shared" si="54"/>
        <v>2.7473000919117647E-2</v>
      </c>
      <c r="AG29" s="167">
        <f t="shared" si="54"/>
        <v>2.7531184882824765E-2</v>
      </c>
      <c r="AH29" s="167">
        <f t="shared" si="54"/>
        <v>2.7066626548579952E-2</v>
      </c>
      <c r="AI29" s="167">
        <f t="shared" si="54"/>
        <v>2.7499903441350275E-2</v>
      </c>
      <c r="AJ29" s="168"/>
      <c r="AK29" s="169" t="e">
        <f t="shared" si="35"/>
        <v>#DIV/0!</v>
      </c>
      <c r="AL29" s="169">
        <f t="shared" si="36"/>
        <v>2.8770104570306279E-2</v>
      </c>
      <c r="AM29" s="169">
        <f t="shared" si="37"/>
        <v>2.6749435665914222E-2</v>
      </c>
      <c r="AN29" s="169">
        <f t="shared" si="38"/>
        <v>2.8128940476575381E-2</v>
      </c>
      <c r="AO29" s="169">
        <f t="shared" si="39"/>
        <v>3.9689773973766745E-2</v>
      </c>
      <c r="AP29" s="169">
        <f t="shared" si="40"/>
        <v>2.8192422047724326E-2</v>
      </c>
      <c r="AQ29" s="169">
        <f t="shared" si="41"/>
        <v>2.7473000919117647E-2</v>
      </c>
      <c r="AR29" s="170">
        <f t="shared" si="42"/>
        <v>2.7531184882824765E-2</v>
      </c>
    </row>
    <row r="30" spans="2:44">
      <c r="B30" s="166" t="str">
        <f t="shared" si="32"/>
        <v>MS 365 Consumer Products &amp; Cloud Services(%)</v>
      </c>
      <c r="C30" s="167" t="e">
        <f t="shared" ref="C30:I30" si="55">SUM(C17/C$19)</f>
        <v>#DIV/0!</v>
      </c>
      <c r="D30" s="167" t="e">
        <f t="shared" si="55"/>
        <v>#DIV/0!</v>
      </c>
      <c r="E30" s="167" t="e">
        <f t="shared" si="55"/>
        <v>#DIV/0!</v>
      </c>
      <c r="F30" s="167" t="e">
        <f t="shared" si="55"/>
        <v>#DIV/0!</v>
      </c>
      <c r="G30" s="167" t="e">
        <f t="shared" si="55"/>
        <v>#DIV/0!</v>
      </c>
      <c r="H30" s="167">
        <f t="shared" si="55"/>
        <v>2.7121188632599276E-2</v>
      </c>
      <c r="I30" s="167">
        <f t="shared" si="55"/>
        <v>2.6281041018869532E-2</v>
      </c>
      <c r="J30" s="168"/>
      <c r="K30" s="167" t="e">
        <f t="shared" ref="K30:AI30" si="56">SUM(K17/K$19)</f>
        <v>#DIV/0!</v>
      </c>
      <c r="L30" s="167" t="e">
        <f t="shared" si="56"/>
        <v>#DIV/0!</v>
      </c>
      <c r="M30" s="167" t="e">
        <f t="shared" si="56"/>
        <v>#DIV/0!</v>
      </c>
      <c r="N30" s="167" t="e">
        <f t="shared" si="56"/>
        <v>#DIV/0!</v>
      </c>
      <c r="O30" s="167" t="e">
        <f t="shared" si="56"/>
        <v>#DIV/0!</v>
      </c>
      <c r="P30" s="167" t="e">
        <f t="shared" si="56"/>
        <v>#DIV/0!</v>
      </c>
      <c r="Q30" s="167" t="e">
        <f t="shared" si="56"/>
        <v>#DIV/0!</v>
      </c>
      <c r="R30" s="167" t="e">
        <f t="shared" si="56"/>
        <v>#DIV/0!</v>
      </c>
      <c r="S30" s="167" t="e">
        <f t="shared" si="56"/>
        <v>#DIV/0!</v>
      </c>
      <c r="T30" s="167" t="e">
        <f t="shared" si="56"/>
        <v>#DIV/0!</v>
      </c>
      <c r="U30" s="167" t="e">
        <f t="shared" si="56"/>
        <v>#DIV/0!</v>
      </c>
      <c r="V30" s="167" t="e">
        <f t="shared" si="56"/>
        <v>#DIV/0!</v>
      </c>
      <c r="W30" s="167" t="e">
        <f t="shared" si="56"/>
        <v>#DIV/0!</v>
      </c>
      <c r="X30" s="167" t="e">
        <f t="shared" si="56"/>
        <v>#DIV/0!</v>
      </c>
      <c r="Y30" s="167" t="e">
        <f t="shared" si="56"/>
        <v>#DIV/0!</v>
      </c>
      <c r="Z30" s="167" t="e">
        <f t="shared" si="56"/>
        <v>#DIV/0!</v>
      </c>
      <c r="AA30" s="167">
        <f t="shared" si="56"/>
        <v>2.9070899021533345E-2</v>
      </c>
      <c r="AB30" s="167">
        <f t="shared" si="56"/>
        <v>2.7071912286359238E-2</v>
      </c>
      <c r="AC30" s="167">
        <f t="shared" si="56"/>
        <v>2.6641663164020821E-2</v>
      </c>
      <c r="AD30" s="167">
        <f t="shared" si="56"/>
        <v>2.5924266534830907E-2</v>
      </c>
      <c r="AE30" s="167">
        <f t="shared" si="56"/>
        <v>2.6332240603796599E-2</v>
      </c>
      <c r="AF30" s="167">
        <f t="shared" si="56"/>
        <v>2.615176930147059E-2</v>
      </c>
      <c r="AG30" s="167">
        <f t="shared" si="56"/>
        <v>2.5989781063568636E-2</v>
      </c>
      <c r="AH30" s="167">
        <f t="shared" si="56"/>
        <v>2.6621839065423005E-2</v>
      </c>
      <c r="AI30" s="167">
        <f t="shared" si="56"/>
        <v>2.6032211965547874E-2</v>
      </c>
      <c r="AJ30" s="168"/>
      <c r="AK30" s="169" t="e">
        <f t="shared" si="35"/>
        <v>#DIV/0!</v>
      </c>
      <c r="AL30" s="169">
        <f t="shared" si="36"/>
        <v>2.9070899021533345E-2</v>
      </c>
      <c r="AM30" s="169">
        <f t="shared" si="37"/>
        <v>2.7071912286359238E-2</v>
      </c>
      <c r="AN30" s="169">
        <f t="shared" si="38"/>
        <v>2.6641663164020821E-2</v>
      </c>
      <c r="AO30" s="169">
        <f t="shared" si="39"/>
        <v>2.5924266534830907E-2</v>
      </c>
      <c r="AP30" s="169">
        <f t="shared" si="40"/>
        <v>2.6332240603796599E-2</v>
      </c>
      <c r="AQ30" s="169">
        <f t="shared" si="41"/>
        <v>2.615176930147059E-2</v>
      </c>
      <c r="AR30" s="170">
        <f t="shared" si="42"/>
        <v>2.5989781063568636E-2</v>
      </c>
    </row>
    <row r="31" spans="2:44" ht="12.75" customHeight="1">
      <c r="B31" s="157" t="str">
        <f t="shared" si="32"/>
        <v>Other(%)</v>
      </c>
      <c r="C31" s="158" t="e">
        <f t="shared" ref="C31:I31" si="57">SUM(C18/C$19)</f>
        <v>#DIV/0!</v>
      </c>
      <c r="D31" s="158" t="e">
        <f t="shared" si="57"/>
        <v>#DIV/0!</v>
      </c>
      <c r="E31" s="158" t="e">
        <f t="shared" si="57"/>
        <v>#DIV/0!</v>
      </c>
      <c r="F31" s="158" t="e">
        <f t="shared" si="57"/>
        <v>#DIV/0!</v>
      </c>
      <c r="G31" s="158" t="e">
        <f t="shared" si="57"/>
        <v>#DIV/0!</v>
      </c>
      <c r="H31" s="158">
        <f t="shared" si="57"/>
        <v>1.8358205301849691E-4</v>
      </c>
      <c r="I31" s="158">
        <f t="shared" si="57"/>
        <v>2.5556928057247517E-4</v>
      </c>
      <c r="J31" s="159"/>
      <c r="K31" s="158" t="e">
        <f t="shared" ref="K31:AI31" si="58">SUM(K18/K$19)</f>
        <v>#DIV/0!</v>
      </c>
      <c r="L31" s="158" t="e">
        <f t="shared" si="58"/>
        <v>#DIV/0!</v>
      </c>
      <c r="M31" s="158" t="e">
        <f t="shared" si="58"/>
        <v>#DIV/0!</v>
      </c>
      <c r="N31" s="158" t="e">
        <f t="shared" si="58"/>
        <v>#DIV/0!</v>
      </c>
      <c r="O31" s="158" t="e">
        <f t="shared" si="58"/>
        <v>#DIV/0!</v>
      </c>
      <c r="P31" s="158" t="e">
        <f t="shared" si="58"/>
        <v>#DIV/0!</v>
      </c>
      <c r="Q31" s="158" t="e">
        <f t="shared" si="58"/>
        <v>#DIV/0!</v>
      </c>
      <c r="R31" s="158" t="e">
        <f t="shared" si="58"/>
        <v>#DIV/0!</v>
      </c>
      <c r="S31" s="158" t="e">
        <f t="shared" si="58"/>
        <v>#DIV/0!</v>
      </c>
      <c r="T31" s="158" t="e">
        <f t="shared" si="58"/>
        <v>#DIV/0!</v>
      </c>
      <c r="U31" s="158" t="e">
        <f t="shared" si="58"/>
        <v>#DIV/0!</v>
      </c>
      <c r="V31" s="158" t="e">
        <f t="shared" si="58"/>
        <v>#DIV/0!</v>
      </c>
      <c r="W31" s="158" t="e">
        <f t="shared" si="58"/>
        <v>#DIV/0!</v>
      </c>
      <c r="X31" s="158" t="e">
        <f t="shared" si="58"/>
        <v>#DIV/0!</v>
      </c>
      <c r="Y31" s="158" t="e">
        <f t="shared" si="58"/>
        <v>#DIV/0!</v>
      </c>
      <c r="Z31" s="158" t="e">
        <f t="shared" si="58"/>
        <v>#DIV/0!</v>
      </c>
      <c r="AA31" s="158">
        <f t="shared" si="58"/>
        <v>1.4155032998920678E-4</v>
      </c>
      <c r="AB31" s="158">
        <f t="shared" si="58"/>
        <v>1.6123831022250886E-4</v>
      </c>
      <c r="AC31" s="158">
        <f t="shared" si="58"/>
        <v>2.2632480843221573E-4</v>
      </c>
      <c r="AD31" s="158">
        <f t="shared" si="58"/>
        <v>2.008435428800964E-4</v>
      </c>
      <c r="AE31" s="158">
        <f t="shared" si="58"/>
        <v>1.5247388884653503E-4</v>
      </c>
      <c r="AF31" s="158">
        <f t="shared" si="58"/>
        <v>1.4361213235294118E-4</v>
      </c>
      <c r="AG31" s="158">
        <f t="shared" si="58"/>
        <v>6.5652384894242569E-4</v>
      </c>
      <c r="AH31" s="158">
        <f t="shared" si="58"/>
        <v>7.8491908792401987E-5</v>
      </c>
      <c r="AI31" s="158">
        <f t="shared" si="58"/>
        <v>3.8623459889536906E-5</v>
      </c>
      <c r="AJ31" s="159"/>
      <c r="AK31" s="160" t="e">
        <f t="shared" si="35"/>
        <v>#DIV/0!</v>
      </c>
      <c r="AL31" s="160">
        <f t="shared" si="36"/>
        <v>1.4155032998920678E-4</v>
      </c>
      <c r="AM31" s="160">
        <f t="shared" si="37"/>
        <v>1.6123831022250886E-4</v>
      </c>
      <c r="AN31" s="160">
        <f t="shared" si="38"/>
        <v>2.2632480843221573E-4</v>
      </c>
      <c r="AO31" s="160">
        <f t="shared" si="39"/>
        <v>2.008435428800964E-4</v>
      </c>
      <c r="AP31" s="160">
        <f t="shared" si="40"/>
        <v>1.5247388884653503E-4</v>
      </c>
      <c r="AQ31" s="160">
        <f t="shared" si="41"/>
        <v>1.4361213235294118E-4</v>
      </c>
      <c r="AR31" s="161">
        <f t="shared" si="42"/>
        <v>6.5652384894242569E-4</v>
      </c>
    </row>
    <row r="32" spans="2:44">
      <c r="B32" s="18"/>
      <c r="C32" s="19"/>
      <c r="D32" s="19"/>
      <c r="E32" s="19"/>
      <c r="F32" s="19"/>
      <c r="G32" s="19"/>
      <c r="H32" s="19"/>
      <c r="I32" s="19"/>
      <c r="J32" s="20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2"/>
      <c r="AA32" s="21"/>
      <c r="AB32" s="21"/>
      <c r="AC32" s="21"/>
      <c r="AD32" s="21"/>
      <c r="AE32" s="21"/>
      <c r="AF32" s="21"/>
      <c r="AG32" s="21"/>
      <c r="AH32" s="21"/>
      <c r="AI32" s="21"/>
      <c r="AJ32" s="20"/>
      <c r="AK32" s="20"/>
      <c r="AL32" s="20"/>
      <c r="AM32" s="20"/>
      <c r="AN32" s="20"/>
      <c r="AO32" s="20"/>
      <c r="AP32" s="20"/>
      <c r="AQ32" s="20"/>
      <c r="AR32" s="20"/>
    </row>
    <row r="33" spans="1:56" ht="12.75" customHeight="1">
      <c r="A33" s="80" t="s">
        <v>16</v>
      </c>
      <c r="B33" s="78" t="s">
        <v>160</v>
      </c>
      <c r="C33" s="10"/>
      <c r="D33" s="10"/>
      <c r="E33" s="10"/>
      <c r="F33" s="10"/>
      <c r="G33" s="10"/>
      <c r="H33" s="10"/>
      <c r="I33" s="10"/>
      <c r="J33" s="10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32"/>
      <c r="AA33" s="95"/>
      <c r="AB33" s="95"/>
      <c r="AC33" s="95"/>
      <c r="AD33" s="32"/>
      <c r="AE33" s="95"/>
      <c r="AF33" s="95"/>
      <c r="AG33" s="95"/>
      <c r="AH33" s="95"/>
      <c r="AI33" s="95"/>
      <c r="AJ33" s="5"/>
      <c r="AK33" s="11"/>
      <c r="AL33" s="11"/>
      <c r="AM33" s="11"/>
      <c r="AN33" s="11"/>
      <c r="AO33" s="11"/>
      <c r="AP33" s="11"/>
      <c r="AQ33" s="11"/>
      <c r="AR33" s="11"/>
    </row>
    <row r="34" spans="1:56">
      <c r="B34" s="9" t="s">
        <v>195</v>
      </c>
      <c r="C34" s="81">
        <v>245.76499999999999</v>
      </c>
      <c r="D34" s="81">
        <v>295.87700000000001</v>
      </c>
      <c r="E34" s="81">
        <v>379.34</v>
      </c>
      <c r="F34" s="81">
        <v>464.935</v>
      </c>
      <c r="G34" s="81">
        <v>558.64499999999998</v>
      </c>
      <c r="H34" s="81">
        <v>667.64599999999996</v>
      </c>
      <c r="I34" s="81">
        <v>667.64599999999996</v>
      </c>
      <c r="J34" s="81"/>
      <c r="K34" s="95">
        <v>68.361000000000004</v>
      </c>
      <c r="L34" s="95">
        <v>70.695999999999998</v>
      </c>
      <c r="M34" s="95">
        <v>75.849999999999994</v>
      </c>
      <c r="N34" s="95">
        <v>80.97</v>
      </c>
      <c r="O34" s="95">
        <v>84.936000000000007</v>
      </c>
      <c r="P34" s="95">
        <v>91.204999999999998</v>
      </c>
      <c r="Q34" s="95">
        <v>98.912000000000006</v>
      </c>
      <c r="R34" s="95">
        <v>104.28699999999998</v>
      </c>
      <c r="S34" s="95">
        <v>107.12</v>
      </c>
      <c r="T34" s="95">
        <v>113.35299999999999</v>
      </c>
      <c r="U34" s="95">
        <v>118.59099999999999</v>
      </c>
      <c r="V34" s="95">
        <v>125.87099999999998</v>
      </c>
      <c r="W34" s="95">
        <v>129.66399999999999</v>
      </c>
      <c r="X34" s="95">
        <v>136.77199999999999</v>
      </c>
      <c r="Y34" s="95">
        <v>143.42099999999999</v>
      </c>
      <c r="Z34" s="32">
        <v>148.78800000000001</v>
      </c>
      <c r="AA34" s="95">
        <v>154.97900000000001</v>
      </c>
      <c r="AB34" s="95">
        <v>160.73500000000001</v>
      </c>
      <c r="AC34" s="95">
        <v>171.035</v>
      </c>
      <c r="AD34" s="32">
        <v>180.89699999999993</v>
      </c>
      <c r="AE34" s="82">
        <v>185.512</v>
      </c>
      <c r="AF34" s="82">
        <v>198.22300000000001</v>
      </c>
      <c r="AG34" s="81">
        <v>209.56</v>
      </c>
      <c r="AH34" s="81">
        <v>209.56</v>
      </c>
      <c r="AI34" s="81">
        <v>209.56</v>
      </c>
      <c r="AJ34" s="5"/>
      <c r="AK34" s="32">
        <f t="shared" ref="AK34:AK35" si="59">SUM(W34:Z34)</f>
        <v>558.64499999999998</v>
      </c>
      <c r="AL34" s="32">
        <f t="shared" ref="AL34:AL35" si="60">SUM(X34:AA34)</f>
        <v>583.96</v>
      </c>
      <c r="AM34" s="32">
        <f t="shared" ref="AM34:AM35" si="61">SUM(Y34:AB34)</f>
        <v>607.923</v>
      </c>
      <c r="AN34" s="32">
        <f t="shared" ref="AN34:AN35" si="62">SUM(Z34:AC34)</f>
        <v>635.53700000000003</v>
      </c>
      <c r="AO34" s="32">
        <f t="shared" ref="AO34:AO35" si="63">SUM(AA34:AD34)</f>
        <v>667.64599999999996</v>
      </c>
      <c r="AP34" s="32">
        <f t="shared" ref="AP34:AP35" si="64">SUM(AB34:AE34)</f>
        <v>698.17899999999986</v>
      </c>
      <c r="AQ34" s="32">
        <f t="shared" ref="AQ34:AQ35" si="65">SUM(AC34:AF34)</f>
        <v>735.66699999999992</v>
      </c>
      <c r="AR34" s="32">
        <f t="shared" ref="AR34:AR35" si="66">SUM(AD34:AG34)</f>
        <v>774.19200000000001</v>
      </c>
    </row>
    <row r="35" spans="1:56">
      <c r="B35" s="9" t="s">
        <v>196</v>
      </c>
      <c r="C35" s="81">
        <v>52.125999999999998</v>
      </c>
      <c r="D35" s="81">
        <v>55.716999999999999</v>
      </c>
      <c r="E35" s="81">
        <v>63.945000000000007</v>
      </c>
      <c r="F35" s="81">
        <v>72.94</v>
      </c>
      <c r="G35" s="81">
        <v>71.394000000000005</v>
      </c>
      <c r="H35" s="81">
        <v>71.034000000000006</v>
      </c>
      <c r="I35" s="81">
        <v>71.034000000000006</v>
      </c>
      <c r="J35" s="81"/>
      <c r="K35" s="95">
        <v>17.440000000000001</v>
      </c>
      <c r="L35" s="95">
        <v>13.164000000000001</v>
      </c>
      <c r="M35" s="95">
        <v>12.248999999999999</v>
      </c>
      <c r="N35" s="95">
        <v>12.863999999999997</v>
      </c>
      <c r="O35" s="95">
        <v>19.286000000000001</v>
      </c>
      <c r="P35" s="95">
        <v>14.382000000000001</v>
      </c>
      <c r="Q35" s="95">
        <v>13.780999999999999</v>
      </c>
      <c r="R35" s="95">
        <v>16.495999999999999</v>
      </c>
      <c r="S35" s="95">
        <v>22.554000000000002</v>
      </c>
      <c r="T35" s="95">
        <v>18.195999999999998</v>
      </c>
      <c r="U35" s="95">
        <v>14.258000000000001</v>
      </c>
      <c r="V35" s="95">
        <v>17.932000000000002</v>
      </c>
      <c r="W35" s="95">
        <v>20.524999999999999</v>
      </c>
      <c r="X35" s="95">
        <v>18.25</v>
      </c>
      <c r="Y35" s="95">
        <v>14.754</v>
      </c>
      <c r="Z35" s="32">
        <v>17.865000000000002</v>
      </c>
      <c r="AA35" s="95">
        <v>20.687999999999999</v>
      </c>
      <c r="AB35" s="95">
        <v>16.768000000000001</v>
      </c>
      <c r="AC35" s="95">
        <v>14.587</v>
      </c>
      <c r="AD35" s="32">
        <v>18.991</v>
      </c>
      <c r="AE35" s="82">
        <v>20.76</v>
      </c>
      <c r="AF35" s="82">
        <v>16.96</v>
      </c>
      <c r="AG35" s="81">
        <v>14.603999999999999</v>
      </c>
      <c r="AH35" s="81">
        <v>14.603999999999999</v>
      </c>
      <c r="AI35" s="81">
        <v>14.603999999999999</v>
      </c>
      <c r="AJ35" s="5"/>
      <c r="AK35" s="32">
        <f t="shared" si="59"/>
        <v>71.394000000000005</v>
      </c>
      <c r="AL35" s="32">
        <f t="shared" si="60"/>
        <v>71.557000000000002</v>
      </c>
      <c r="AM35" s="32">
        <f t="shared" si="61"/>
        <v>70.075000000000003</v>
      </c>
      <c r="AN35" s="32">
        <f t="shared" si="62"/>
        <v>69.908000000000001</v>
      </c>
      <c r="AO35" s="32">
        <f t="shared" si="63"/>
        <v>71.034000000000006</v>
      </c>
      <c r="AP35" s="32">
        <f t="shared" si="64"/>
        <v>71.106000000000009</v>
      </c>
      <c r="AQ35" s="32">
        <f t="shared" si="65"/>
        <v>71.298000000000002</v>
      </c>
      <c r="AR35" s="32">
        <f t="shared" si="66"/>
        <v>71.314999999999998</v>
      </c>
    </row>
    <row r="36" spans="1:56">
      <c r="B36" s="13" t="s">
        <v>65</v>
      </c>
      <c r="C36" s="14">
        <f>SUM(C34:C35)</f>
        <v>297.89099999999996</v>
      </c>
      <c r="D36" s="14">
        <f>SUM(D34:D35)</f>
        <v>351.59399999999999</v>
      </c>
      <c r="E36" s="14">
        <f>SUM(E34:E35)</f>
        <v>443.28499999999997</v>
      </c>
      <c r="F36" s="14">
        <f>SUM(F34:F35)</f>
        <v>537.875</v>
      </c>
      <c r="G36" s="14">
        <f>SUM(G34:G35)</f>
        <v>630.03899999999999</v>
      </c>
      <c r="H36" s="14">
        <f>SUM(H34:H35)</f>
        <v>738.68</v>
      </c>
      <c r="I36" s="14">
        <f>SUM(I34:I35)</f>
        <v>738.68</v>
      </c>
      <c r="J36" s="11"/>
      <c r="K36" s="14">
        <f>SUM(K34:K35)</f>
        <v>85.801000000000002</v>
      </c>
      <c r="L36" s="14">
        <f>SUM(L34:L35)</f>
        <v>83.86</v>
      </c>
      <c r="M36" s="14">
        <f>SUM(M34:M35)</f>
        <v>88.09899999999999</v>
      </c>
      <c r="N36" s="14">
        <f>SUM(N34:N35)</f>
        <v>93.834000000000003</v>
      </c>
      <c r="O36" s="14">
        <f>SUM(O34:O35)</f>
        <v>104.22200000000001</v>
      </c>
      <c r="P36" s="14">
        <f>SUM(P34:P35)</f>
        <v>105.587</v>
      </c>
      <c r="Q36" s="14">
        <f>SUM(Q34:Q35)</f>
        <v>112.69300000000001</v>
      </c>
      <c r="R36" s="14">
        <f>SUM(R34:R35)</f>
        <v>120.78299999999997</v>
      </c>
      <c r="S36" s="14">
        <f>SUM(S34:S35)</f>
        <v>129.67400000000001</v>
      </c>
      <c r="T36" s="14">
        <f>SUM(T34:T35)</f>
        <v>131.54899999999998</v>
      </c>
      <c r="U36" s="14">
        <f>SUM(U34:U35)</f>
        <v>132.84899999999999</v>
      </c>
      <c r="V36" s="14">
        <f>SUM(V34:V35)</f>
        <v>143.803</v>
      </c>
      <c r="W36" s="14">
        <f>SUM(W34:W35)</f>
        <v>150.18899999999999</v>
      </c>
      <c r="X36" s="14">
        <f>SUM(X34:X35)</f>
        <v>155.02199999999999</v>
      </c>
      <c r="Y36" s="14">
        <f>SUM(Y34:Y35)</f>
        <v>158.17499999999998</v>
      </c>
      <c r="Z36" s="14">
        <f>SUM(Z34:Z35)</f>
        <v>166.65300000000002</v>
      </c>
      <c r="AA36" s="14">
        <f>SUM(AA34:AA35)</f>
        <v>175.667</v>
      </c>
      <c r="AB36" s="14">
        <f>SUM(AB34:AB35)</f>
        <v>177.50300000000001</v>
      </c>
      <c r="AC36" s="14">
        <f>SUM(AC34:AC35)</f>
        <v>185.62199999999999</v>
      </c>
      <c r="AD36" s="14">
        <f>SUM(AD34:AD35)</f>
        <v>199.88799999999992</v>
      </c>
      <c r="AE36" s="14">
        <f>SUM(AE34:AE35)</f>
        <v>206.27199999999999</v>
      </c>
      <c r="AF36" s="14">
        <f>SUM(AF34:AF35)</f>
        <v>215.18300000000002</v>
      </c>
      <c r="AG36" s="14">
        <f>SUM(AG34:AG35)</f>
        <v>224.16399999999999</v>
      </c>
      <c r="AH36" s="14">
        <f t="shared" ref="AH36:AI36" si="67">SUM(AH34:AH35)</f>
        <v>224.16399999999999</v>
      </c>
      <c r="AI36" s="14">
        <f t="shared" si="67"/>
        <v>224.16399999999999</v>
      </c>
      <c r="AJ36" s="5"/>
      <c r="AK36" s="14">
        <f>SUM(AK34:AK35)</f>
        <v>630.03899999999999</v>
      </c>
      <c r="AL36" s="14">
        <f>SUM(AL34:AL35)</f>
        <v>655.51700000000005</v>
      </c>
      <c r="AM36" s="14">
        <f>SUM(AM34:AM35)</f>
        <v>677.99800000000005</v>
      </c>
      <c r="AN36" s="14">
        <f>SUM(AN34:AN35)</f>
        <v>705.44500000000005</v>
      </c>
      <c r="AO36" s="14">
        <f>SUM(AO34:AO35)</f>
        <v>738.68</v>
      </c>
      <c r="AP36" s="14">
        <f>SUM(AP34:AP35)</f>
        <v>769.28499999999985</v>
      </c>
      <c r="AQ36" s="14">
        <f>SUM(AQ34:AQ35)</f>
        <v>806.96499999999992</v>
      </c>
      <c r="AR36" s="14">
        <f>SUM(AR34:AR35)</f>
        <v>845.50700000000006</v>
      </c>
    </row>
    <row r="37" spans="1:56">
      <c r="B37" s="18"/>
      <c r="C37" s="19"/>
      <c r="D37" s="19"/>
      <c r="E37" s="19"/>
      <c r="F37" s="19"/>
      <c r="G37" s="19"/>
      <c r="H37" s="19"/>
      <c r="I37" s="19"/>
      <c r="J37" s="20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2"/>
      <c r="AA37" s="21"/>
      <c r="AB37" s="21"/>
      <c r="AC37" s="21"/>
      <c r="AD37" s="21"/>
      <c r="AE37" s="21"/>
      <c r="AF37" s="21"/>
      <c r="AG37" s="21"/>
      <c r="AH37" s="21"/>
      <c r="AI37" s="21"/>
      <c r="AJ37" s="20"/>
      <c r="AK37" s="20"/>
      <c r="AL37" s="20"/>
      <c r="AM37" s="20"/>
      <c r="AN37" s="20"/>
      <c r="AO37" s="20"/>
      <c r="AP37" s="20"/>
      <c r="AQ37" s="20"/>
      <c r="AR37" s="20"/>
    </row>
    <row r="38" spans="1:56">
      <c r="B38" s="152" t="str">
        <f>B34&amp;"(%)"</f>
        <v>Subscription and Support Revenues(%)</v>
      </c>
      <c r="C38" s="153" t="e">
        <f>SUM(C34/C$19)</f>
        <v>#DIV/0!</v>
      </c>
      <c r="D38" s="153" t="e">
        <f>SUM(D34/D$19)</f>
        <v>#DIV/0!</v>
      </c>
      <c r="E38" s="153" t="e">
        <f>SUM(E34/E$19)</f>
        <v>#DIV/0!</v>
      </c>
      <c r="F38" s="153" t="e">
        <f>SUM(F34/F$19)</f>
        <v>#DIV/0!</v>
      </c>
      <c r="G38" s="153" t="e">
        <f>SUM(G34/G$19)</f>
        <v>#DIV/0!</v>
      </c>
      <c r="H38" s="153">
        <f>SUM(H34/H$19)</f>
        <v>2.723729408213053E-3</v>
      </c>
      <c r="I38" s="153">
        <f>SUM(I34/I$19)</f>
        <v>2.3698584430151496E-3</v>
      </c>
      <c r="J38" s="154"/>
      <c r="K38" s="153" t="e">
        <f>SUM(K34/K$19)</f>
        <v>#DIV/0!</v>
      </c>
      <c r="L38" s="153" t="e">
        <f>SUM(L34/L$19)</f>
        <v>#DIV/0!</v>
      </c>
      <c r="M38" s="153" t="e">
        <f>SUM(M34/M$19)</f>
        <v>#DIV/0!</v>
      </c>
      <c r="N38" s="153" t="e">
        <f>SUM(N34/N$19)</f>
        <v>#DIV/0!</v>
      </c>
      <c r="O38" s="153" t="e">
        <f>SUM(O34/O$19)</f>
        <v>#DIV/0!</v>
      </c>
      <c r="P38" s="153" t="e">
        <f>SUM(P34/P$19)</f>
        <v>#DIV/0!</v>
      </c>
      <c r="Q38" s="153" t="e">
        <f>SUM(Q34/Q$19)</f>
        <v>#DIV/0!</v>
      </c>
      <c r="R38" s="153" t="e">
        <f>SUM(R34/R$19)</f>
        <v>#DIV/0!</v>
      </c>
      <c r="S38" s="153" t="e">
        <f>SUM(S34/S$19)</f>
        <v>#DIV/0!</v>
      </c>
      <c r="T38" s="153" t="e">
        <f>SUM(T34/T$19)</f>
        <v>#DIV/0!</v>
      </c>
      <c r="U38" s="153" t="e">
        <f>SUM(U34/U$19)</f>
        <v>#DIV/0!</v>
      </c>
      <c r="V38" s="153" t="e">
        <f>SUM(V34/V$19)</f>
        <v>#DIV/0!</v>
      </c>
      <c r="W38" s="153" t="e">
        <f>SUM(W34/W$19)</f>
        <v>#DIV/0!</v>
      </c>
      <c r="X38" s="153" t="e">
        <f>SUM(X34/X$19)</f>
        <v>#DIV/0!</v>
      </c>
      <c r="Y38" s="153" t="e">
        <f>SUM(Y34/Y$19)</f>
        <v>#DIV/0!</v>
      </c>
      <c r="Z38" s="153" t="e">
        <f>SUM(Z34/Z$19)</f>
        <v>#DIV/0!</v>
      </c>
      <c r="AA38" s="153">
        <f>SUM(AA34/AA$19)</f>
        <v>2.7421660739246601E-3</v>
      </c>
      <c r="AB38" s="153">
        <f>SUM(AB34/AB$19)</f>
        <v>2.5916639793614965E-3</v>
      </c>
      <c r="AC38" s="153">
        <f>SUM(AC34/AC$19)</f>
        <v>2.7649616864431439E-3</v>
      </c>
      <c r="AD38" s="153">
        <f>SUM(AD34/AD$19)</f>
        <v>2.7947687981831372E-3</v>
      </c>
      <c r="AE38" s="153">
        <f>SUM(AE34/AE$19)</f>
        <v>2.8285736067698406E-3</v>
      </c>
      <c r="AF38" s="153">
        <f>SUM(AF34/AF$19)</f>
        <v>2.8467227711397062E-3</v>
      </c>
      <c r="AG38" s="153">
        <f>SUM(AG34/AG$19)</f>
        <v>2.9908942996603204E-3</v>
      </c>
      <c r="AH38" s="153">
        <f t="shared" ref="AH38:AI38" si="68">SUM(AH34/AH$19)</f>
        <v>2.7414607344226267E-3</v>
      </c>
      <c r="AI38" s="153">
        <f t="shared" si="68"/>
        <v>2.6979774181504512E-3</v>
      </c>
      <c r="AJ38" s="154"/>
      <c r="AK38" s="155" t="e">
        <f t="shared" ref="AK38:AK39" si="69">Z38</f>
        <v>#DIV/0!</v>
      </c>
      <c r="AL38" s="155">
        <f t="shared" ref="AL38:AL39" si="70">AA38</f>
        <v>2.7421660739246601E-3</v>
      </c>
      <c r="AM38" s="155">
        <f t="shared" ref="AM38:AM39" si="71">AB38</f>
        <v>2.5916639793614965E-3</v>
      </c>
      <c r="AN38" s="155">
        <f t="shared" ref="AN38:AN39" si="72">AC38</f>
        <v>2.7649616864431439E-3</v>
      </c>
      <c r="AO38" s="155">
        <f t="shared" ref="AO38:AO39" si="73">AD38</f>
        <v>2.7947687981831372E-3</v>
      </c>
      <c r="AP38" s="155">
        <f t="shared" ref="AP38:AP39" si="74">AE38</f>
        <v>2.8285736067698406E-3</v>
      </c>
      <c r="AQ38" s="155">
        <f t="shared" ref="AQ38:AQ39" si="75">AF38</f>
        <v>2.8467227711397062E-3</v>
      </c>
      <c r="AR38" s="156">
        <f t="shared" ref="AR38:AR39" si="76">AG38</f>
        <v>2.9908942996603204E-3</v>
      </c>
    </row>
    <row r="39" spans="1:56" ht="12.75" customHeight="1">
      <c r="B39" s="157" t="str">
        <f>B35&amp;"(%)"</f>
        <v>Professional Services Revenues(%)</v>
      </c>
      <c r="C39" s="158" t="e">
        <f>SUM(C35/C$19)</f>
        <v>#DIV/0!</v>
      </c>
      <c r="D39" s="158" t="e">
        <f>SUM(D35/D$19)</f>
        <v>#DIV/0!</v>
      </c>
      <c r="E39" s="158" t="e">
        <f>SUM(E35/E$19)</f>
        <v>#DIV/0!</v>
      </c>
      <c r="F39" s="158" t="e">
        <f>SUM(F35/F$19)</f>
        <v>#DIV/0!</v>
      </c>
      <c r="G39" s="158" t="e">
        <f>SUM(G35/G$19)</f>
        <v>#DIV/0!</v>
      </c>
      <c r="H39" s="158">
        <f>SUM(H35/H$19)</f>
        <v>2.8979039009146467E-4</v>
      </c>
      <c r="I39" s="158">
        <f>SUM(I35/I$19)</f>
        <v>2.5214039272479451E-4</v>
      </c>
      <c r="J39" s="159"/>
      <c r="K39" s="158" t="e">
        <f>SUM(K35/K$19)</f>
        <v>#DIV/0!</v>
      </c>
      <c r="L39" s="158" t="e">
        <f>SUM(L35/L$19)</f>
        <v>#DIV/0!</v>
      </c>
      <c r="M39" s="158" t="e">
        <f>SUM(M35/M$19)</f>
        <v>#DIV/0!</v>
      </c>
      <c r="N39" s="158" t="e">
        <f>SUM(N35/N$19)</f>
        <v>#DIV/0!</v>
      </c>
      <c r="O39" s="158" t="e">
        <f>SUM(O35/O$19)</f>
        <v>#DIV/0!</v>
      </c>
      <c r="P39" s="158" t="e">
        <f>SUM(P35/P$19)</f>
        <v>#DIV/0!</v>
      </c>
      <c r="Q39" s="158" t="e">
        <f>SUM(Q35/Q$19)</f>
        <v>#DIV/0!</v>
      </c>
      <c r="R39" s="158" t="e">
        <f>SUM(R35/R$19)</f>
        <v>#DIV/0!</v>
      </c>
      <c r="S39" s="158" t="e">
        <f>SUM(S35/S$19)</f>
        <v>#DIV/0!</v>
      </c>
      <c r="T39" s="158" t="e">
        <f>SUM(T35/T$19)</f>
        <v>#DIV/0!</v>
      </c>
      <c r="U39" s="158" t="e">
        <f>SUM(U35/U$19)</f>
        <v>#DIV/0!</v>
      </c>
      <c r="V39" s="158" t="e">
        <f>SUM(V35/V$19)</f>
        <v>#DIV/0!</v>
      </c>
      <c r="W39" s="158" t="e">
        <f>SUM(W35/W$19)</f>
        <v>#DIV/0!</v>
      </c>
      <c r="X39" s="158" t="e">
        <f>SUM(X35/X$19)</f>
        <v>#DIV/0!</v>
      </c>
      <c r="Y39" s="158" t="e">
        <f>SUM(Y35/Y$19)</f>
        <v>#DIV/0!</v>
      </c>
      <c r="Z39" s="158" t="e">
        <f>SUM(Z35/Z$19)</f>
        <v>#DIV/0!</v>
      </c>
      <c r="AA39" s="158">
        <f>SUM(AA35/AA$19)</f>
        <v>3.6604915335208875E-4</v>
      </c>
      <c r="AB39" s="158">
        <f>SUM(AB35/AB$19)</f>
        <v>2.703643985811029E-4</v>
      </c>
      <c r="AC39" s="158">
        <f>SUM(AC35/AC$19)</f>
        <v>2.3581428432862362E-4</v>
      </c>
      <c r="AD39" s="158">
        <f>SUM(AD35/AD$19)</f>
        <v>2.9340151714122388E-4</v>
      </c>
      <c r="AE39" s="158">
        <f>SUM(AE35/AE$19)</f>
        <v>3.1653579324540676E-4</v>
      </c>
      <c r="AF39" s="158">
        <f>SUM(AF35/AF$19)</f>
        <v>2.4356617647058824E-4</v>
      </c>
      <c r="AG39" s="158">
        <f>SUM(AG35/AG$19)</f>
        <v>2.0843204978163445E-4</v>
      </c>
      <c r="AH39" s="158">
        <f t="shared" ref="AH39:AI39" si="77">SUM(AH35/AH$19)</f>
        <v>1.9104930600070643E-4</v>
      </c>
      <c r="AI39" s="158">
        <f t="shared" si="77"/>
        <v>1.8801900274226563E-4</v>
      </c>
      <c r="AJ39" s="159"/>
      <c r="AK39" s="160" t="e">
        <f t="shared" si="69"/>
        <v>#DIV/0!</v>
      </c>
      <c r="AL39" s="160">
        <f t="shared" si="70"/>
        <v>3.6604915335208875E-4</v>
      </c>
      <c r="AM39" s="160">
        <f t="shared" si="71"/>
        <v>2.703643985811029E-4</v>
      </c>
      <c r="AN39" s="160">
        <f t="shared" si="72"/>
        <v>2.3581428432862362E-4</v>
      </c>
      <c r="AO39" s="160">
        <f t="shared" si="73"/>
        <v>2.9340151714122388E-4</v>
      </c>
      <c r="AP39" s="160">
        <f t="shared" si="74"/>
        <v>3.1653579324540676E-4</v>
      </c>
      <c r="AQ39" s="160">
        <f t="shared" si="75"/>
        <v>2.4356617647058824E-4</v>
      </c>
      <c r="AR39" s="161">
        <f t="shared" si="76"/>
        <v>2.0843204978163445E-4</v>
      </c>
    </row>
    <row r="40" spans="1:56">
      <c r="B40" s="18"/>
      <c r="C40" s="19"/>
      <c r="D40" s="19"/>
      <c r="E40" s="19"/>
      <c r="F40" s="19"/>
      <c r="G40" s="19"/>
      <c r="H40" s="19"/>
      <c r="I40" s="19"/>
      <c r="J40" s="20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2"/>
      <c r="AA40" s="21"/>
      <c r="AB40" s="21"/>
      <c r="AC40" s="21"/>
      <c r="AD40" s="21"/>
      <c r="AE40" s="21"/>
      <c r="AF40" s="21"/>
      <c r="AG40" s="21"/>
      <c r="AH40" s="21"/>
      <c r="AI40" s="21"/>
      <c r="AJ40" s="20"/>
      <c r="AK40" s="20"/>
      <c r="AL40" s="20"/>
      <c r="AM40" s="20"/>
      <c r="AN40" s="20"/>
      <c r="AO40" s="20"/>
      <c r="AP40" s="20"/>
      <c r="AQ40" s="20"/>
      <c r="AR40" s="20"/>
    </row>
    <row r="41" spans="1:56">
      <c r="A41" s="36" t="s">
        <v>16</v>
      </c>
      <c r="B41" s="1" t="s">
        <v>159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ht="5.0999999999999996" customHeight="1"/>
    <row r="43" spans="1:56" ht="12.75" customHeight="1">
      <c r="A43" s="80" t="s">
        <v>16</v>
      </c>
      <c r="B43" s="78" t="s">
        <v>186</v>
      </c>
      <c r="C43" s="10"/>
      <c r="D43" s="10"/>
      <c r="E43" s="10"/>
      <c r="F43" s="10"/>
      <c r="G43" s="10"/>
      <c r="H43" s="10"/>
      <c r="I43" s="10"/>
      <c r="J43" s="10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32"/>
      <c r="AA43" s="95"/>
      <c r="AB43" s="95"/>
      <c r="AC43" s="95"/>
      <c r="AD43" s="32"/>
      <c r="AE43" s="95"/>
      <c r="AF43" s="95"/>
      <c r="AG43" s="95"/>
      <c r="AH43" s="95"/>
      <c r="AI43" s="95"/>
      <c r="AJ43" s="5"/>
      <c r="AK43" s="11"/>
      <c r="AL43" s="11"/>
      <c r="AM43" s="11"/>
      <c r="AN43" s="11"/>
      <c r="AO43" s="11"/>
      <c r="AP43" s="11"/>
      <c r="AQ43" s="11"/>
      <c r="AR43" s="11"/>
    </row>
    <row r="44" spans="1:56" ht="12.75" customHeight="1">
      <c r="A44" s="80"/>
      <c r="B44" s="9" t="s">
        <v>193</v>
      </c>
      <c r="C44" s="81">
        <v>64199</v>
      </c>
      <c r="D44" s="81">
        <v>73160</v>
      </c>
      <c r="E44" s="81">
        <v>83953</v>
      </c>
      <c r="F44" s="81">
        <v>100218</v>
      </c>
      <c r="G44" s="81">
        <v>106744</v>
      </c>
      <c r="H44" s="81">
        <v>124704</v>
      </c>
      <c r="I44" s="81">
        <v>144546</v>
      </c>
      <c r="J44" s="10"/>
      <c r="K44" s="95">
        <v>17270</v>
      </c>
      <c r="L44" s="95">
        <v>19149</v>
      </c>
      <c r="M44" s="95">
        <v>17428</v>
      </c>
      <c r="N44" s="95">
        <v>19313</v>
      </c>
      <c r="O44" s="95">
        <v>19025</v>
      </c>
      <c r="P44" s="95">
        <v>21836</v>
      </c>
      <c r="Q44" s="95">
        <v>20373</v>
      </c>
      <c r="R44" s="24">
        <v>22719</v>
      </c>
      <c r="S44" s="95">
        <v>22830</v>
      </c>
      <c r="T44" s="95">
        <v>26463</v>
      </c>
      <c r="U44" s="95">
        <v>24771</v>
      </c>
      <c r="V44" s="24">
        <v>26154</v>
      </c>
      <c r="W44" s="95">
        <v>25867</v>
      </c>
      <c r="X44" s="95">
        <v>26976</v>
      </c>
      <c r="Y44" s="95">
        <v>26007</v>
      </c>
      <c r="Z44" s="32">
        <v>27894</v>
      </c>
      <c r="AA44" s="95">
        <v>28812</v>
      </c>
      <c r="AB44" s="95">
        <v>32295</v>
      </c>
      <c r="AC44" s="95">
        <v>31437</v>
      </c>
      <c r="AD44" s="32">
        <v>32160</v>
      </c>
      <c r="AE44" s="82">
        <v>33913</v>
      </c>
      <c r="AF44" s="82">
        <v>35537</v>
      </c>
      <c r="AG44" s="81">
        <v>36084</v>
      </c>
      <c r="AH44" s="81">
        <v>39012</v>
      </c>
      <c r="AI44" s="81">
        <v>40077</v>
      </c>
      <c r="AJ44" s="5"/>
      <c r="AK44" s="32">
        <f t="shared" ref="AK44:AK45" si="78">SUM(W44:Z44)</f>
        <v>106744</v>
      </c>
      <c r="AL44" s="32">
        <f t="shared" ref="AL44:AL45" si="79">SUM(X44:AA44)</f>
        <v>109689</v>
      </c>
      <c r="AM44" s="32">
        <f t="shared" ref="AM44:AM45" si="80">SUM(Y44:AB44)</f>
        <v>115008</v>
      </c>
      <c r="AN44" s="32">
        <f t="shared" ref="AN44:AN45" si="81">SUM(Z44:AC44)</f>
        <v>120438</v>
      </c>
      <c r="AO44" s="32">
        <f t="shared" ref="AO44:AO45" si="82">SUM(AA44:AD44)</f>
        <v>124704</v>
      </c>
      <c r="AP44" s="32">
        <f t="shared" ref="AP44:AP45" si="83">SUM(AB44:AE44)</f>
        <v>129805</v>
      </c>
      <c r="AQ44" s="32">
        <f t="shared" ref="AQ44:AQ45" si="84">SUM(AC44:AF44)</f>
        <v>133047</v>
      </c>
      <c r="AR44" s="32">
        <f t="shared" ref="AR44:AR45" si="85">SUM(AD44:AG44)</f>
        <v>137694</v>
      </c>
    </row>
    <row r="45" spans="1:56">
      <c r="B45" s="9" t="s">
        <v>194</v>
      </c>
      <c r="C45" s="81">
        <v>61644</v>
      </c>
      <c r="D45" s="81">
        <v>69855</v>
      </c>
      <c r="E45" s="81">
        <v>84135</v>
      </c>
      <c r="F45" s="81">
        <v>98052</v>
      </c>
      <c r="G45" s="81">
        <v>105171</v>
      </c>
      <c r="H45" s="81">
        <v>120418</v>
      </c>
      <c r="I45" s="81">
        <v>137178</v>
      </c>
      <c r="J45" s="81"/>
      <c r="K45" s="95">
        <v>15785</v>
      </c>
      <c r="L45" s="95">
        <v>17757</v>
      </c>
      <c r="M45" s="95">
        <v>17593</v>
      </c>
      <c r="N45" s="95">
        <v>18720</v>
      </c>
      <c r="O45" s="95">
        <v>18129</v>
      </c>
      <c r="P45" s="95">
        <v>21240</v>
      </c>
      <c r="Q45" s="95">
        <v>21333</v>
      </c>
      <c r="R45" s="24">
        <v>23433</v>
      </c>
      <c r="S45" s="95">
        <v>22487</v>
      </c>
      <c r="T45" s="95">
        <v>25265</v>
      </c>
      <c r="U45" s="95">
        <v>24589</v>
      </c>
      <c r="V45" s="24">
        <v>25711</v>
      </c>
      <c r="W45" s="95">
        <v>24255</v>
      </c>
      <c r="X45" s="95">
        <v>25771</v>
      </c>
      <c r="Y45" s="95">
        <v>26850</v>
      </c>
      <c r="Z45" s="32">
        <v>28295</v>
      </c>
      <c r="AA45" s="95">
        <v>27705</v>
      </c>
      <c r="AB45" s="95">
        <v>29725</v>
      </c>
      <c r="AC45" s="95">
        <v>30421</v>
      </c>
      <c r="AD45" s="32">
        <v>32567</v>
      </c>
      <c r="AE45" s="82">
        <v>31672</v>
      </c>
      <c r="AF45" s="82">
        <v>34095</v>
      </c>
      <c r="AG45" s="81">
        <v>33982</v>
      </c>
      <c r="AH45" s="81">
        <v>37429</v>
      </c>
      <c r="AI45" s="81">
        <v>37596</v>
      </c>
      <c r="AJ45" s="5"/>
      <c r="AK45" s="32">
        <f t="shared" si="78"/>
        <v>105171</v>
      </c>
      <c r="AL45" s="32">
        <f t="shared" si="79"/>
        <v>108621</v>
      </c>
      <c r="AM45" s="32">
        <f t="shared" si="80"/>
        <v>112575</v>
      </c>
      <c r="AN45" s="32">
        <f t="shared" si="81"/>
        <v>116146</v>
      </c>
      <c r="AO45" s="32">
        <f t="shared" si="82"/>
        <v>120418</v>
      </c>
      <c r="AP45" s="32">
        <f t="shared" si="83"/>
        <v>124385</v>
      </c>
      <c r="AQ45" s="32">
        <f t="shared" si="84"/>
        <v>128755</v>
      </c>
      <c r="AR45" s="32">
        <f t="shared" si="85"/>
        <v>132316</v>
      </c>
    </row>
    <row r="46" spans="1:56">
      <c r="B46" s="13" t="s">
        <v>185</v>
      </c>
      <c r="C46" s="14">
        <f>SUM(C44:C45)</f>
        <v>125843</v>
      </c>
      <c r="D46" s="14">
        <f>SUM(D44:D45)</f>
        <v>143015</v>
      </c>
      <c r="E46" s="14">
        <f>SUM(E44:E45)</f>
        <v>168088</v>
      </c>
      <c r="F46" s="14">
        <f>SUM(F44:F45)</f>
        <v>198270</v>
      </c>
      <c r="G46" s="14">
        <f>SUM(G44:G45)</f>
        <v>211915</v>
      </c>
      <c r="H46" s="14">
        <f>SUM(H44:H45)</f>
        <v>245122</v>
      </c>
      <c r="I46" s="14">
        <f>SUM(I44:I45)</f>
        <v>281724</v>
      </c>
      <c r="J46" s="11"/>
      <c r="K46" s="14">
        <f>SUM(K44:K45)</f>
        <v>33055</v>
      </c>
      <c r="L46" s="14">
        <f>SUM(L44:L45)</f>
        <v>36906</v>
      </c>
      <c r="M46" s="14">
        <f>SUM(M44:M45)</f>
        <v>35021</v>
      </c>
      <c r="N46" s="14">
        <f>SUM(N44:N45)</f>
        <v>38033</v>
      </c>
      <c r="O46" s="14">
        <f>SUM(O44:O45)</f>
        <v>37154</v>
      </c>
      <c r="P46" s="14">
        <f>SUM(P44:P45)</f>
        <v>43076</v>
      </c>
      <c r="Q46" s="14">
        <f>SUM(Q44:Q45)</f>
        <v>41706</v>
      </c>
      <c r="R46" s="14">
        <f>SUM(R44:R45)</f>
        <v>46152</v>
      </c>
      <c r="S46" s="14">
        <f>SUM(S44:S45)</f>
        <v>45317</v>
      </c>
      <c r="T46" s="14">
        <f>SUM(T44:T45)</f>
        <v>51728</v>
      </c>
      <c r="U46" s="14">
        <f>SUM(U44:U45)</f>
        <v>49360</v>
      </c>
      <c r="V46" s="14">
        <f>SUM(V44:V45)</f>
        <v>51865</v>
      </c>
      <c r="W46" s="14">
        <f>SUM(W44:W45)</f>
        <v>50122</v>
      </c>
      <c r="X46" s="14">
        <f>SUM(X44:X45)</f>
        <v>52747</v>
      </c>
      <c r="Y46" s="14">
        <f>SUM(Y44:Y45)</f>
        <v>52857</v>
      </c>
      <c r="Z46" s="14">
        <f>SUM(Z44:Z45)</f>
        <v>56189</v>
      </c>
      <c r="AA46" s="14">
        <f>SUM(AA44:AA45)</f>
        <v>56517</v>
      </c>
      <c r="AB46" s="14">
        <f>SUM(AB44:AB45)</f>
        <v>62020</v>
      </c>
      <c r="AC46" s="14">
        <f>SUM(AC44:AC45)</f>
        <v>61858</v>
      </c>
      <c r="AD46" s="14">
        <f>SUM(AD44:AD45)</f>
        <v>64727</v>
      </c>
      <c r="AE46" s="14">
        <f>SUM(AE44:AE45)</f>
        <v>65585</v>
      </c>
      <c r="AF46" s="14">
        <f>SUM(AF44:AF45)</f>
        <v>69632</v>
      </c>
      <c r="AG46" s="14">
        <f>SUM(AG44:AG45)</f>
        <v>70066</v>
      </c>
      <c r="AH46" s="14">
        <f t="shared" ref="AH46:AI46" si="86">SUM(AH44:AH45)</f>
        <v>76441</v>
      </c>
      <c r="AI46" s="14">
        <f t="shared" si="86"/>
        <v>77673</v>
      </c>
      <c r="AJ46" s="5"/>
      <c r="AK46" s="14">
        <f>SUM(AK44:AK45)</f>
        <v>211915</v>
      </c>
      <c r="AL46" s="14">
        <f>SUM(AL44:AL45)</f>
        <v>218310</v>
      </c>
      <c r="AM46" s="14">
        <f>SUM(AM44:AM45)</f>
        <v>227583</v>
      </c>
      <c r="AN46" s="14">
        <f>SUM(AN44:AN45)</f>
        <v>236584</v>
      </c>
      <c r="AO46" s="14">
        <f>SUM(AO44:AO45)</f>
        <v>245122</v>
      </c>
      <c r="AP46" s="14">
        <f>SUM(AP44:AP45)</f>
        <v>254190</v>
      </c>
      <c r="AQ46" s="14">
        <f>SUM(AQ44:AQ45)</f>
        <v>261802</v>
      </c>
      <c r="AR46" s="14">
        <f>SUM(AR44:AR45)</f>
        <v>270010</v>
      </c>
    </row>
    <row r="47" spans="1:56">
      <c r="B47" s="18"/>
      <c r="C47" s="19"/>
      <c r="D47" s="19"/>
      <c r="E47" s="19"/>
      <c r="F47" s="19"/>
      <c r="G47" s="19"/>
      <c r="H47" s="19"/>
      <c r="I47" s="19"/>
      <c r="J47" s="20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2"/>
      <c r="AA47" s="21"/>
      <c r="AB47" s="21"/>
      <c r="AC47" s="21"/>
      <c r="AD47" s="21"/>
      <c r="AE47" s="21"/>
      <c r="AF47" s="21"/>
      <c r="AG47" s="21"/>
      <c r="AH47" s="21"/>
      <c r="AI47" s="21"/>
      <c r="AJ47" s="20"/>
      <c r="AK47" s="20"/>
      <c r="AL47" s="20"/>
      <c r="AM47" s="20"/>
      <c r="AN47" s="20"/>
      <c r="AO47" s="20"/>
      <c r="AP47" s="20"/>
      <c r="AQ47" s="20"/>
      <c r="AR47" s="20"/>
    </row>
    <row r="48" spans="1:56">
      <c r="B48" s="152" t="str">
        <f>B44&amp;"(%)"</f>
        <v>Americas Revenues(%)</v>
      </c>
      <c r="C48" s="153" t="e">
        <f>SUM(C44/C$19)</f>
        <v>#DIV/0!</v>
      </c>
      <c r="D48" s="153" t="e">
        <f>SUM(D44/D$19)</f>
        <v>#DIV/0!</v>
      </c>
      <c r="E48" s="153" t="e">
        <f>SUM(E44/E$19)</f>
        <v>#DIV/0!</v>
      </c>
      <c r="F48" s="153" t="e">
        <f>SUM(F44/F$19)</f>
        <v>#DIV/0!</v>
      </c>
      <c r="G48" s="153" t="e">
        <f>SUM(G44/G$19)</f>
        <v>#DIV/0!</v>
      </c>
      <c r="H48" s="153">
        <f>SUM(H44/H$19)</f>
        <v>0.50874258532485861</v>
      </c>
      <c r="I48" s="153">
        <f>SUM(I44/I$19)</f>
        <v>0.51307662818929167</v>
      </c>
      <c r="J48" s="154"/>
      <c r="K48" s="153" t="e">
        <f>SUM(K44/K$19)</f>
        <v>#DIV/0!</v>
      </c>
      <c r="L48" s="153" t="e">
        <f>SUM(L44/L$19)</f>
        <v>#DIV/0!</v>
      </c>
      <c r="M48" s="153" t="e">
        <f>SUM(M44/M$19)</f>
        <v>#DIV/0!</v>
      </c>
      <c r="N48" s="153" t="e">
        <f>SUM(N44/N$19)</f>
        <v>#DIV/0!</v>
      </c>
      <c r="O48" s="153" t="e">
        <f>SUM(O44/O$19)</f>
        <v>#DIV/0!</v>
      </c>
      <c r="P48" s="153" t="e">
        <f>SUM(P44/P$19)</f>
        <v>#DIV/0!</v>
      </c>
      <c r="Q48" s="153" t="e">
        <f>SUM(Q44/Q$19)</f>
        <v>#DIV/0!</v>
      </c>
      <c r="R48" s="153" t="e">
        <f>SUM(R44/R$19)</f>
        <v>#DIV/0!</v>
      </c>
      <c r="S48" s="153" t="e">
        <f>SUM(S44/S$19)</f>
        <v>#DIV/0!</v>
      </c>
      <c r="T48" s="153" t="e">
        <f>SUM(T44/T$19)</f>
        <v>#DIV/0!</v>
      </c>
      <c r="U48" s="153" t="e">
        <f>SUM(U44/U$19)</f>
        <v>#DIV/0!</v>
      </c>
      <c r="V48" s="153" t="e">
        <f>SUM(V44/V$19)</f>
        <v>#DIV/0!</v>
      </c>
      <c r="W48" s="153" t="e">
        <f>SUM(W44/W$19)</f>
        <v>#DIV/0!</v>
      </c>
      <c r="X48" s="153" t="e">
        <f>SUM(X44/X$19)</f>
        <v>#DIV/0!</v>
      </c>
      <c r="Y48" s="153" t="e">
        <f>SUM(Y44/Y$19)</f>
        <v>#DIV/0!</v>
      </c>
      <c r="Z48" s="153" t="e">
        <f>SUM(Z44/Z$19)</f>
        <v>#DIV/0!</v>
      </c>
      <c r="AA48" s="153">
        <f>SUM(AA44/AA$19)</f>
        <v>0.50979351345612822</v>
      </c>
      <c r="AB48" s="153">
        <f>SUM(AB44/AB$19)</f>
        <v>0.52071912286359234</v>
      </c>
      <c r="AC48" s="153">
        <f>SUM(AC44/AC$19)</f>
        <v>0.5082123573345404</v>
      </c>
      <c r="AD48" s="153">
        <f>SUM(AD44/AD$19)</f>
        <v>0.49685602607876156</v>
      </c>
      <c r="AE48" s="153">
        <f>SUM(AE44/AE$19)</f>
        <v>0.51708469924525424</v>
      </c>
      <c r="AF48" s="153">
        <f>SUM(AF44/AF$19)</f>
        <v>0.51035443474264708</v>
      </c>
      <c r="AG48" s="153">
        <f>SUM(AG44/AG$19)</f>
        <v>0.51500014272257588</v>
      </c>
      <c r="AH48" s="153">
        <f t="shared" ref="AH48:AI48" si="87">SUM(AH44/AH$19)</f>
        <v>0.51035439096819768</v>
      </c>
      <c r="AI48" s="153">
        <f t="shared" si="87"/>
        <v>0.51597080066432355</v>
      </c>
      <c r="AJ48" s="154"/>
      <c r="AK48" s="155" t="e">
        <f t="shared" ref="AK48" si="88">Z48</f>
        <v>#DIV/0!</v>
      </c>
      <c r="AL48" s="155">
        <f t="shared" ref="AL48" si="89">AA48</f>
        <v>0.50979351345612822</v>
      </c>
      <c r="AM48" s="155">
        <f t="shared" ref="AM48" si="90">AB48</f>
        <v>0.52071912286359234</v>
      </c>
      <c r="AN48" s="155">
        <f t="shared" ref="AN48" si="91">AC48</f>
        <v>0.5082123573345404</v>
      </c>
      <c r="AO48" s="155">
        <f t="shared" ref="AO48" si="92">AD48</f>
        <v>0.49685602607876156</v>
      </c>
      <c r="AP48" s="155">
        <f t="shared" ref="AP48" si="93">AE48</f>
        <v>0.51708469924525424</v>
      </c>
      <c r="AQ48" s="155">
        <f t="shared" ref="AQ48" si="94">AF48</f>
        <v>0.51035443474264708</v>
      </c>
      <c r="AR48" s="156">
        <f t="shared" ref="AR48" si="95">AG48</f>
        <v>0.51500014272257588</v>
      </c>
    </row>
    <row r="49" spans="2:44" ht="12.75" customHeight="1">
      <c r="B49" s="157" t="str">
        <f>B45&amp;"(%)"</f>
        <v>Ex Americas Revenues(%)</v>
      </c>
      <c r="C49" s="158" t="e">
        <f>SUM(C45/C$19)</f>
        <v>#DIV/0!</v>
      </c>
      <c r="D49" s="158" t="e">
        <f>SUM(D45/D$19)</f>
        <v>#DIV/0!</v>
      </c>
      <c r="E49" s="158" t="e">
        <f>SUM(E45/E$19)</f>
        <v>#DIV/0!</v>
      </c>
      <c r="F49" s="158" t="e">
        <f>SUM(F45/F$19)</f>
        <v>#DIV/0!</v>
      </c>
      <c r="G49" s="158" t="e">
        <f>SUM(G45/G$19)</f>
        <v>#DIV/0!</v>
      </c>
      <c r="H49" s="158">
        <f>SUM(H45/H$19)</f>
        <v>0.49125741467514134</v>
      </c>
      <c r="I49" s="158">
        <f>SUM(I45/I$19)</f>
        <v>0.48692337181070833</v>
      </c>
      <c r="J49" s="159"/>
      <c r="K49" s="158" t="e">
        <f>SUM(K45/K$19)</f>
        <v>#DIV/0!</v>
      </c>
      <c r="L49" s="158" t="e">
        <f>SUM(L45/L$19)</f>
        <v>#DIV/0!</v>
      </c>
      <c r="M49" s="158" t="e">
        <f>SUM(M45/M$19)</f>
        <v>#DIV/0!</v>
      </c>
      <c r="N49" s="158" t="e">
        <f>SUM(N45/N$19)</f>
        <v>#DIV/0!</v>
      </c>
      <c r="O49" s="158" t="e">
        <f>SUM(O45/O$19)</f>
        <v>#DIV/0!</v>
      </c>
      <c r="P49" s="158" t="e">
        <f>SUM(P45/P$19)</f>
        <v>#DIV/0!</v>
      </c>
      <c r="Q49" s="158" t="e">
        <f>SUM(Q45/Q$19)</f>
        <v>#DIV/0!</v>
      </c>
      <c r="R49" s="158" t="e">
        <f>SUM(R45/R$19)</f>
        <v>#DIV/0!</v>
      </c>
      <c r="S49" s="158" t="e">
        <f>SUM(S45/S$19)</f>
        <v>#DIV/0!</v>
      </c>
      <c r="T49" s="158" t="e">
        <f>SUM(T45/T$19)</f>
        <v>#DIV/0!</v>
      </c>
      <c r="U49" s="158" t="e">
        <f>SUM(U45/U$19)</f>
        <v>#DIV/0!</v>
      </c>
      <c r="V49" s="158" t="e">
        <f>SUM(V45/V$19)</f>
        <v>#DIV/0!</v>
      </c>
      <c r="W49" s="158" t="e">
        <f>SUM(W45/W$19)</f>
        <v>#DIV/0!</v>
      </c>
      <c r="X49" s="158" t="e">
        <f>SUM(X45/X$19)</f>
        <v>#DIV/0!</v>
      </c>
      <c r="Y49" s="158" t="e">
        <f>SUM(Y45/Y$19)</f>
        <v>#DIV/0!</v>
      </c>
      <c r="Z49" s="158" t="e">
        <f>SUM(Z45/Z$19)</f>
        <v>#DIV/0!</v>
      </c>
      <c r="AA49" s="158">
        <f>SUM(AA45/AA$19)</f>
        <v>0.49020648654387178</v>
      </c>
      <c r="AB49" s="158">
        <f>SUM(AB45/AB$19)</f>
        <v>0.4792808771364076</v>
      </c>
      <c r="AC49" s="158">
        <f>SUM(AC45/AC$19)</f>
        <v>0.4917876426654596</v>
      </c>
      <c r="AD49" s="158">
        <f>SUM(AD45/AD$19)</f>
        <v>0.50314397392123844</v>
      </c>
      <c r="AE49" s="158">
        <f>SUM(AE45/AE$19)</f>
        <v>0.48291530075474576</v>
      </c>
      <c r="AF49" s="158">
        <f>SUM(AF45/AF$19)</f>
        <v>0.48964556525735292</v>
      </c>
      <c r="AG49" s="158">
        <f>SUM(AG45/AG$19)</f>
        <v>0.48499985727742412</v>
      </c>
      <c r="AH49" s="158">
        <f t="shared" ref="AH49:AI49" si="96">SUM(AH45/AH$19)</f>
        <v>0.48964560903180232</v>
      </c>
      <c r="AI49" s="158">
        <f t="shared" si="96"/>
        <v>0.48402919933567651</v>
      </c>
      <c r="AJ49" s="159"/>
      <c r="AK49" s="160" t="e">
        <f t="shared" ref="AK49" si="97">Z49</f>
        <v>#DIV/0!</v>
      </c>
      <c r="AL49" s="160">
        <f t="shared" ref="AL49" si="98">AA49</f>
        <v>0.49020648654387178</v>
      </c>
      <c r="AM49" s="160">
        <f t="shared" ref="AM49" si="99">AB49</f>
        <v>0.4792808771364076</v>
      </c>
      <c r="AN49" s="160">
        <f t="shared" ref="AN49" si="100">AC49</f>
        <v>0.4917876426654596</v>
      </c>
      <c r="AO49" s="160">
        <f t="shared" ref="AO49" si="101">AD49</f>
        <v>0.50314397392123844</v>
      </c>
      <c r="AP49" s="160">
        <f t="shared" ref="AP49" si="102">AE49</f>
        <v>0.48291530075474576</v>
      </c>
      <c r="AQ49" s="160">
        <f t="shared" ref="AQ49" si="103">AF49</f>
        <v>0.48964556525735292</v>
      </c>
      <c r="AR49" s="161">
        <f t="shared" ref="AR49" si="104">AG49</f>
        <v>0.48499985727742412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Microsoft Corp. (NASDAQ: MSFT)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 t="e">
        <f>'Historical Financials'!#REF!</f>
        <v>#REF!</v>
      </c>
      <c r="D3" s="7">
        <f>'Historical Financials'!F7</f>
        <v>2022</v>
      </c>
      <c r="E3" s="7">
        <f>'Historical Financials'!G7</f>
        <v>2023</v>
      </c>
      <c r="F3" s="7">
        <f>'Historical Financials'!H7</f>
        <v>2024</v>
      </c>
      <c r="G3" s="3"/>
      <c r="H3" s="7" t="str">
        <f>'Historical Financials'!W7</f>
        <v>1Q23</v>
      </c>
      <c r="I3" s="7" t="str">
        <f>'Historical Financials'!X7</f>
        <v>2Q23</v>
      </c>
      <c r="J3" s="7" t="str">
        <f>'Historical Financials'!Y7</f>
        <v>3Q23</v>
      </c>
      <c r="K3" s="7" t="str">
        <f>'Historical Financials'!Z7</f>
        <v>4Q23</v>
      </c>
      <c r="L3" s="7" t="str">
        <f>'Historical Financials'!AA7</f>
        <v>1Q24</v>
      </c>
      <c r="M3" s="7" t="str">
        <f>'Historical Financials'!AB7</f>
        <v>2Q24</v>
      </c>
      <c r="N3" s="7" t="str">
        <f>'Historical Financials'!AC7</f>
        <v>3Q24</v>
      </c>
      <c r="O3" s="7" t="str">
        <f>'Historical Financials'!AD7</f>
        <v>4Q24</v>
      </c>
      <c r="P3" s="7" t="str">
        <f>'Historical Financials'!AE7</f>
        <v>1Q25</v>
      </c>
      <c r="Q3" s="7" t="str">
        <f>'Historical Financials'!AF7</f>
        <v>2Q25</v>
      </c>
      <c r="R3" s="7" t="str">
        <f>'Historical Financials'!AG7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 t="e">
        <f>'Historical Financials'!#REF!</f>
        <v>#REF!</v>
      </c>
      <c r="D4" s="3">
        <f>'Historical Financials'!F8</f>
        <v>0</v>
      </c>
      <c r="E4" s="3">
        <f>'Historical Financials'!G8</f>
        <v>0</v>
      </c>
      <c r="F4" s="3">
        <f>'Historical Financials'!H8</f>
        <v>0</v>
      </c>
      <c r="G4" s="3"/>
      <c r="H4" s="3">
        <f>'Historical Financials'!W8</f>
        <v>0</v>
      </c>
      <c r="I4" s="3">
        <f>'Historical Financials'!X8</f>
        <v>0</v>
      </c>
      <c r="J4" s="3">
        <f>'Historical Financials'!Y8</f>
        <v>0</v>
      </c>
      <c r="K4" s="3">
        <f>'Historical Financials'!Z8</f>
        <v>0</v>
      </c>
      <c r="L4" s="3">
        <f>'Historical Financials'!AA8</f>
        <v>0</v>
      </c>
      <c r="M4" s="3">
        <f>'Historical Financials'!AB8</f>
        <v>0</v>
      </c>
      <c r="N4" s="3">
        <f>'Historical Financials'!AC8</f>
        <v>0</v>
      </c>
      <c r="O4" s="3">
        <f>'Historical Financials'!AD8</f>
        <v>0</v>
      </c>
      <c r="P4" s="3">
        <f>'Historical Financials'!AE8</f>
        <v>0</v>
      </c>
      <c r="Q4" s="3">
        <f>'Historical Financials'!AF8</f>
        <v>0</v>
      </c>
      <c r="R4" s="3">
        <f>'Historical Financials'!AG8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>Server Products &amp; Cloud Services</v>
      </c>
      <c r="C6" s="94">
        <f>'Revenue Drivers'!F9</f>
        <v>0</v>
      </c>
      <c r="D6" s="94">
        <f>'Revenue Drivers'!G9</f>
        <v>0</v>
      </c>
      <c r="E6" s="94">
        <f>'Revenue Drivers'!H9</f>
        <v>79828</v>
      </c>
      <c r="F6" s="94" t="e">
        <f>'Revenue Drivers'!#REF!</f>
        <v>#REF!</v>
      </c>
      <c r="G6" s="10"/>
      <c r="H6" s="94">
        <f>'Revenue Drivers'!W9</f>
        <v>0</v>
      </c>
      <c r="I6" s="94">
        <f>'Revenue Drivers'!X9</f>
        <v>0</v>
      </c>
      <c r="J6" s="94">
        <f>'Revenue Drivers'!Y9</f>
        <v>0</v>
      </c>
      <c r="K6" s="94">
        <f>'Revenue Drivers'!Z9</f>
        <v>0</v>
      </c>
      <c r="L6" s="94">
        <f>'Revenue Drivers'!AA9</f>
        <v>18062</v>
      </c>
      <c r="M6" s="94">
        <f>'Revenue Drivers'!AB9</f>
        <v>19597</v>
      </c>
      <c r="N6" s="94">
        <f>'Revenue Drivers'!AC9</f>
        <v>20266</v>
      </c>
      <c r="O6" s="94">
        <f>'Revenue Drivers'!AD9</f>
        <v>21903</v>
      </c>
      <c r="P6" s="94">
        <f>'Revenue Drivers'!AE9</f>
        <v>22155</v>
      </c>
      <c r="Q6" s="94">
        <f>'Revenue Drivers'!AF9</f>
        <v>23641</v>
      </c>
      <c r="R6" s="94">
        <f>'Revenue Drivers'!AG9</f>
        <v>24761</v>
      </c>
      <c r="S6" s="5"/>
      <c r="T6" s="142">
        <f t="shared" ref="T6:Z9" si="1">SUM(H6:K6)</f>
        <v>0</v>
      </c>
      <c r="U6" s="142">
        <f t="shared" si="1"/>
        <v>18062</v>
      </c>
      <c r="V6" s="142">
        <f t="shared" si="1"/>
        <v>37659</v>
      </c>
      <c r="W6" s="142">
        <f t="shared" si="1"/>
        <v>57925</v>
      </c>
      <c r="X6" s="142">
        <f t="shared" si="1"/>
        <v>79828</v>
      </c>
      <c r="Y6" s="142">
        <f t="shared" si="1"/>
        <v>83921</v>
      </c>
      <c r="Z6" s="142">
        <f t="shared" si="1"/>
        <v>87965</v>
      </c>
      <c r="AA6" s="142">
        <f>SUM(O6:R6)</f>
        <v>92460</v>
      </c>
      <c r="AC6" s="126">
        <f t="shared" ref="AC6:AC10" si="2">SUM(AA6/W6)-1</f>
        <v>0.59620198532585245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Drivers'!B18</f>
        <v>Other</v>
      </c>
      <c r="C9" s="94">
        <f>'Revenue Drivers'!F18</f>
        <v>0</v>
      </c>
      <c r="D9" s="94">
        <f>'Revenue Drivers'!G18</f>
        <v>0</v>
      </c>
      <c r="E9" s="94">
        <f>'Revenue Drivers'!H18</f>
        <v>45</v>
      </c>
      <c r="F9" s="94" t="e">
        <f>'Revenue Drivers'!#REF!</f>
        <v>#REF!</v>
      </c>
      <c r="G9" s="10"/>
      <c r="H9" s="94">
        <f>'Revenue Drivers'!W18</f>
        <v>0</v>
      </c>
      <c r="I9" s="94">
        <f>'Revenue Drivers'!X18</f>
        <v>0</v>
      </c>
      <c r="J9" s="94">
        <f>'Revenue Drivers'!Y18</f>
        <v>0</v>
      </c>
      <c r="K9" s="94">
        <f>'Revenue Drivers'!Z18</f>
        <v>0</v>
      </c>
      <c r="L9" s="94">
        <f>'Revenue Drivers'!AA18</f>
        <v>8</v>
      </c>
      <c r="M9" s="94">
        <f>'Revenue Drivers'!AB18</f>
        <v>10</v>
      </c>
      <c r="N9" s="94">
        <f>'Revenue Drivers'!AC18</f>
        <v>14</v>
      </c>
      <c r="O9" s="94">
        <f>'Revenue Drivers'!AD18</f>
        <v>13</v>
      </c>
      <c r="P9" s="94">
        <f>'Revenue Drivers'!AE18</f>
        <v>10</v>
      </c>
      <c r="Q9" s="94">
        <f>'Revenue Drivers'!AF18</f>
        <v>10</v>
      </c>
      <c r="R9" s="94">
        <f>'Revenue Drivers'!AG18</f>
        <v>46</v>
      </c>
      <c r="S9" s="5"/>
      <c r="T9" s="142">
        <f t="shared" si="1"/>
        <v>0</v>
      </c>
      <c r="U9" s="142">
        <f t="shared" si="1"/>
        <v>8</v>
      </c>
      <c r="V9" s="142">
        <f t="shared" si="1"/>
        <v>18</v>
      </c>
      <c r="W9" s="142">
        <f t="shared" si="1"/>
        <v>32</v>
      </c>
      <c r="X9" s="142">
        <f t="shared" si="1"/>
        <v>45</v>
      </c>
      <c r="Y9" s="142">
        <f t="shared" si="1"/>
        <v>47</v>
      </c>
      <c r="Z9" s="142">
        <f t="shared" si="1"/>
        <v>47</v>
      </c>
      <c r="AA9" s="142">
        <f>SUM(O9:R9)</f>
        <v>79</v>
      </c>
      <c r="AC9" s="126">
        <f t="shared" si="2"/>
        <v>1.46875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114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115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118</v>
      </c>
      <c r="C19" s="141" t="e">
        <f>'Historical Financials'!#REF!</f>
        <v>#REF!</v>
      </c>
      <c r="D19" s="141">
        <f>'Historical Financials'!F17</f>
        <v>-24512</v>
      </c>
      <c r="E19" s="141">
        <f>'Historical Financials'!G17</f>
        <v>-27195</v>
      </c>
      <c r="F19" s="141">
        <f>'Historical Financials'!H17</f>
        <v>-29510</v>
      </c>
      <c r="G19" s="94"/>
      <c r="H19" s="141">
        <f>'Historical Financials'!W17</f>
        <v>-6628</v>
      </c>
      <c r="I19" s="141">
        <f>'Historical Financials'!X17</f>
        <v>-6844</v>
      </c>
      <c r="J19" s="141">
        <f>'Historical Financials'!Y17</f>
        <v>-6984</v>
      </c>
      <c r="K19" s="141">
        <f>'Historical Financials'!Z17</f>
        <v>-6739</v>
      </c>
      <c r="L19" s="141">
        <f>'Historical Financials'!AA17</f>
        <v>-6659</v>
      </c>
      <c r="M19" s="141">
        <f>'Historical Financials'!AB17</f>
        <v>-7142</v>
      </c>
      <c r="N19" s="141">
        <f>'Historical Financials'!AC17</f>
        <v>-7653</v>
      </c>
      <c r="O19" s="141">
        <f>'Historical Financials'!AD17</f>
        <v>-8056</v>
      </c>
      <c r="P19" s="141">
        <f>'Historical Financials'!AE17</f>
        <v>-7544</v>
      </c>
      <c r="Q19" s="141">
        <f>'Historical Financials'!AF17</f>
        <v>-7917</v>
      </c>
      <c r="R19" s="141">
        <f>'Historical Financials'!AG17</f>
        <v>-8198</v>
      </c>
      <c r="S19" s="5"/>
      <c r="T19" s="142">
        <f t="shared" ref="T19:Z23" si="32">SUM(H19:K19)</f>
        <v>-27195</v>
      </c>
      <c r="U19" s="142">
        <f t="shared" si="32"/>
        <v>-27226</v>
      </c>
      <c r="V19" s="142">
        <f t="shared" si="32"/>
        <v>-27524</v>
      </c>
      <c r="W19" s="142">
        <f t="shared" si="32"/>
        <v>-28193</v>
      </c>
      <c r="X19" s="142">
        <f t="shared" si="32"/>
        <v>-29510</v>
      </c>
      <c r="Y19" s="142">
        <f t="shared" si="32"/>
        <v>-30395</v>
      </c>
      <c r="Z19" s="142">
        <f t="shared" si="32"/>
        <v>-31170</v>
      </c>
      <c r="AA19" s="142">
        <f>SUM(O19:R19)</f>
        <v>-31715</v>
      </c>
      <c r="AC19" s="126">
        <f t="shared" ref="AC19:AC23" si="33">SUM(AA19/W19)-1</f>
        <v>0.12492462668038162</v>
      </c>
    </row>
    <row r="20" spans="2:29" ht="12.75" customHeight="1">
      <c r="B20" s="23" t="s">
        <v>119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115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116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117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 t="e">
        <f>'Historical Financials'!#REF!</f>
        <v>#REF!</v>
      </c>
      <c r="D27" s="141">
        <f>'Historical Financials'!F95</f>
        <v>0</v>
      </c>
      <c r="E27" s="141">
        <f>'Historical Financials'!G95</f>
        <v>0</v>
      </c>
      <c r="F27" s="141">
        <f>'Historical Financials'!H95</f>
        <v>0</v>
      </c>
      <c r="H27" s="141">
        <f>'Historical Financials'!W95</f>
        <v>0</v>
      </c>
      <c r="I27" s="141">
        <f>'Historical Financials'!X95</f>
        <v>0</v>
      </c>
      <c r="J27" s="141">
        <f>'Historical Financials'!Y95</f>
        <v>0</v>
      </c>
      <c r="K27" s="141">
        <f>'Historical Financials'!Z95</f>
        <v>0</v>
      </c>
      <c r="L27" s="141">
        <f>'Historical Financials'!AA95</f>
        <v>0</v>
      </c>
      <c r="M27" s="141">
        <f>'Historical Financials'!AB95</f>
        <v>0</v>
      </c>
      <c r="N27" s="141">
        <f>'Historical Financials'!AC95</f>
        <v>0</v>
      </c>
      <c r="O27" s="141">
        <f>'Historical Financials'!AD95</f>
        <v>0</v>
      </c>
      <c r="P27" s="141">
        <f>'Historical Financials'!AE95</f>
        <v>0</v>
      </c>
      <c r="Q27" s="141">
        <f>'Historical Financials'!AF95</f>
        <v>0</v>
      </c>
      <c r="R27" s="141">
        <f>'Historical Financials'!AG95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120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121</v>
      </c>
      <c r="C32" s="141" t="e">
        <f>'Historical Financials'!#REF!</f>
        <v>#REF!</v>
      </c>
      <c r="D32" s="141">
        <f>'Historical Financials'!F97</f>
        <v>0</v>
      </c>
      <c r="E32" s="141">
        <f>'Historical Financials'!G97</f>
        <v>0</v>
      </c>
      <c r="F32" s="141">
        <f>'Historical Financials'!H97</f>
        <v>0</v>
      </c>
      <c r="H32" s="141">
        <f>'Historical Financials'!W97</f>
        <v>0</v>
      </c>
      <c r="I32" s="141">
        <f>'Historical Financials'!X97</f>
        <v>0</v>
      </c>
      <c r="J32" s="141">
        <f>'Historical Financials'!Y97</f>
        <v>0</v>
      </c>
      <c r="K32" s="141">
        <f>'Historical Financials'!Z97</f>
        <v>0</v>
      </c>
      <c r="L32" s="141">
        <f>'Historical Financials'!AA97</f>
        <v>0</v>
      </c>
      <c r="M32" s="141">
        <f>'Historical Financials'!AB97</f>
        <v>0</v>
      </c>
      <c r="N32" s="141">
        <f>'Historical Financials'!AC97</f>
        <v>0</v>
      </c>
      <c r="O32" s="141">
        <f>'Historical Financials'!AD97</f>
        <v>0</v>
      </c>
      <c r="P32" s="141">
        <f>'Historical Financials'!AE97</f>
        <v>0</v>
      </c>
      <c r="Q32" s="141">
        <f>'Historical Financials'!AF97</f>
        <v>0</v>
      </c>
      <c r="R32" s="141">
        <f>'Historical Financials'!AG97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122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123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 t="e">
        <f>'Historical Financials'!#REF!</f>
        <v>#REF!</v>
      </c>
      <c r="D38" s="141">
        <f>'Historical Financials'!F104</f>
        <v>0</v>
      </c>
      <c r="E38" s="141">
        <f>'Historical Financials'!G104</f>
        <v>0</v>
      </c>
      <c r="F38" s="141">
        <f>'Historical Financials'!H104</f>
        <v>0</v>
      </c>
      <c r="H38" s="141">
        <f>'Historical Financials'!W104</f>
        <v>0</v>
      </c>
      <c r="I38" s="141">
        <f>'Historical Financials'!X104</f>
        <v>0</v>
      </c>
      <c r="J38" s="141">
        <f>'Historical Financials'!Y104</f>
        <v>0</v>
      </c>
      <c r="K38" s="141">
        <f>'Historical Financials'!Z104</f>
        <v>0</v>
      </c>
      <c r="L38" s="141">
        <f>'Historical Financials'!AA104</f>
        <v>0</v>
      </c>
      <c r="M38" s="141">
        <f>'Historical Financials'!AB104</f>
        <v>0</v>
      </c>
      <c r="N38" s="141">
        <f>'Historical Financials'!AC104</f>
        <v>0</v>
      </c>
      <c r="O38" s="141">
        <f>'Historical Financials'!AD104</f>
        <v>0</v>
      </c>
      <c r="P38" s="141">
        <f>'Historical Financials'!AE104</f>
        <v>0</v>
      </c>
      <c r="Q38" s="141">
        <f>'Historical Financials'!AF104</f>
        <v>0</v>
      </c>
      <c r="R38" s="141">
        <f>'Historical Financials'!AG104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 t="e">
        <f>-'Historical Financials'!#REF!</f>
        <v>#REF!</v>
      </c>
      <c r="D39" s="141">
        <f>-'Historical Financials'!F129</f>
        <v>0</v>
      </c>
      <c r="E39" s="141">
        <f>-'Historical Financials'!G129</f>
        <v>0</v>
      </c>
      <c r="F39" s="141">
        <f>-'Historical Financials'!H129</f>
        <v>0</v>
      </c>
      <c r="H39" s="141">
        <f>-'Historical Financials'!W129</f>
        <v>0</v>
      </c>
      <c r="I39" s="141">
        <f>-'Historical Financials'!X129</f>
        <v>0</v>
      </c>
      <c r="J39" s="141">
        <f>-'Historical Financials'!Y129</f>
        <v>0</v>
      </c>
      <c r="K39" s="141">
        <f>-'Historical Financials'!Z129</f>
        <v>0</v>
      </c>
      <c r="L39" s="141">
        <f>-'Historical Financials'!AA129</f>
        <v>0</v>
      </c>
      <c r="M39" s="141">
        <f>-'Historical Financials'!AB129</f>
        <v>0</v>
      </c>
      <c r="N39" s="141">
        <f>-'Historical Financials'!AC129</f>
        <v>0</v>
      </c>
      <c r="O39" s="141">
        <f>-'Historical Financials'!AD129</f>
        <v>0</v>
      </c>
      <c r="P39" s="141">
        <f>-'Historical Financials'!AE129</f>
        <v>0</v>
      </c>
      <c r="Q39" s="141">
        <f>-'Historical Financials'!AF129</f>
        <v>0</v>
      </c>
      <c r="R39" s="141">
        <f>-'Historical Financials'!AG129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 t="e">
        <f>-'Historical Financials'!#REF!</f>
        <v>#REF!</v>
      </c>
      <c r="D40" s="141">
        <f>-'Historical Financials'!F128</f>
        <v>0</v>
      </c>
      <c r="E40" s="141">
        <f>-'Historical Financials'!G128</f>
        <v>0</v>
      </c>
      <c r="F40" s="141">
        <f>-'Historical Financials'!H128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 t="e">
        <f>'Historical Financials'!#REF!</f>
        <v>#REF!</v>
      </c>
      <c r="D44" s="141">
        <f>'Historical Financials'!F105</f>
        <v>0</v>
      </c>
      <c r="E44" s="141">
        <f>'Historical Financials'!G105</f>
        <v>0</v>
      </c>
      <c r="F44" s="141">
        <f>'Historical Financials'!H105</f>
        <v>0</v>
      </c>
      <c r="G44" s="32"/>
      <c r="H44" s="141">
        <f>'Historical Financials'!W105</f>
        <v>0</v>
      </c>
      <c r="I44" s="141">
        <f>'Historical Financials'!X105</f>
        <v>0</v>
      </c>
      <c r="J44" s="141">
        <f>'Historical Financials'!Y105</f>
        <v>0</v>
      </c>
      <c r="K44" s="141">
        <f>'Historical Financials'!Z105</f>
        <v>0</v>
      </c>
      <c r="L44" s="141">
        <f>'Historical Financials'!AA105</f>
        <v>0</v>
      </c>
      <c r="M44" s="141">
        <f>'Historical Financials'!AB105</f>
        <v>0</v>
      </c>
      <c r="N44" s="141">
        <f>'Historical Financials'!AC105</f>
        <v>0</v>
      </c>
      <c r="O44" s="141">
        <f>'Historical Financials'!AD105</f>
        <v>0</v>
      </c>
      <c r="P44" s="141">
        <f>'Historical Financials'!AE105</f>
        <v>0</v>
      </c>
      <c r="Q44" s="141">
        <f>'Historical Financials'!AF105</f>
        <v>0</v>
      </c>
      <c r="R44" s="141">
        <f>'Historical Financials'!AG105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 t="e">
        <f>'Historical Financials'!#REF!</f>
        <v>#REF!</v>
      </c>
      <c r="D45" s="141">
        <f>'Historical Financials'!F107</f>
        <v>0</v>
      </c>
      <c r="E45" s="141">
        <f>'Historical Financials'!G107</f>
        <v>0</v>
      </c>
      <c r="F45" s="141">
        <f>'Historical Financials'!H107</f>
        <v>0</v>
      </c>
      <c r="G45" s="32"/>
      <c r="H45" s="141">
        <f>'Historical Financials'!W107</f>
        <v>0</v>
      </c>
      <c r="I45" s="141">
        <f>'Historical Financials'!X107</f>
        <v>0</v>
      </c>
      <c r="J45" s="141">
        <f>'Historical Financials'!Y107</f>
        <v>0</v>
      </c>
      <c r="K45" s="141">
        <f>'Historical Financials'!Z107</f>
        <v>0</v>
      </c>
      <c r="L45" s="141">
        <f>'Historical Financials'!AA107</f>
        <v>0</v>
      </c>
      <c r="M45" s="141">
        <f>'Historical Financials'!AB107</f>
        <v>0</v>
      </c>
      <c r="N45" s="141">
        <f>'Historical Financials'!AC107</f>
        <v>0</v>
      </c>
      <c r="O45" s="141">
        <f>'Historical Financials'!AD107</f>
        <v>0</v>
      </c>
      <c r="P45" s="141">
        <f>'Historical Financials'!AE107</f>
        <v>0</v>
      </c>
      <c r="Q45" s="141">
        <f>'Historical Financials'!AF107</f>
        <v>0</v>
      </c>
      <c r="R45" s="141">
        <f>'Historical Financials'!AG107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124</v>
      </c>
      <c r="C46" s="141" t="e">
        <f>'Historical Financials'!#REF!</f>
        <v>#REF!</v>
      </c>
      <c r="D46" s="141">
        <f>'Historical Financials'!F106</f>
        <v>0</v>
      </c>
      <c r="E46" s="141">
        <f>'Historical Financials'!G106</f>
        <v>0</v>
      </c>
      <c r="F46" s="141">
        <f>'Historical Financials'!H106</f>
        <v>0</v>
      </c>
      <c r="G46" s="32"/>
      <c r="H46" s="141">
        <f>'Historical Financials'!W106</f>
        <v>0</v>
      </c>
      <c r="I46" s="141">
        <f>'Historical Financials'!X106</f>
        <v>0</v>
      </c>
      <c r="J46" s="141">
        <f>'Historical Financials'!Y106</f>
        <v>0</v>
      </c>
      <c r="K46" s="141">
        <f>'Historical Financials'!Z106</f>
        <v>0</v>
      </c>
      <c r="L46" s="141">
        <f>'Historical Financials'!AA106</f>
        <v>0</v>
      </c>
      <c r="M46" s="141">
        <f>'Historical Financials'!AB106</f>
        <v>0</v>
      </c>
      <c r="N46" s="141">
        <f>'Historical Financials'!AC106</f>
        <v>0</v>
      </c>
      <c r="O46" s="141">
        <f>'Historical Financials'!AD106</f>
        <v>0</v>
      </c>
      <c r="P46" s="141">
        <f>'Historical Financials'!AE106</f>
        <v>0</v>
      </c>
      <c r="Q46" s="141">
        <f>'Historical Financials'!AF106</f>
        <v>0</v>
      </c>
      <c r="R46" s="141">
        <f>'Historical Financials'!AG106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 t="e">
        <f>'Historical Financials'!#REF!</f>
        <v>#REF!</v>
      </c>
      <c r="D47" s="141">
        <f>'Historical Financials'!F111</f>
        <v>0</v>
      </c>
      <c r="E47" s="141">
        <f>'Historical Financials'!G111</f>
        <v>0</v>
      </c>
      <c r="F47" s="141">
        <f>'Historical Financials'!H111</f>
        <v>0</v>
      </c>
      <c r="G47" s="32"/>
      <c r="H47" s="141">
        <f>'Historical Financials'!W111</f>
        <v>0</v>
      </c>
      <c r="I47" s="141">
        <f>'Historical Financials'!X111</f>
        <v>0</v>
      </c>
      <c r="J47" s="141">
        <f>'Historical Financials'!Y111</f>
        <v>0</v>
      </c>
      <c r="K47" s="141">
        <f>'Historical Financials'!Z111</f>
        <v>0</v>
      </c>
      <c r="L47" s="141">
        <f>'Historical Financials'!AA111</f>
        <v>0</v>
      </c>
      <c r="M47" s="141">
        <f>'Historical Financials'!AB111</f>
        <v>0</v>
      </c>
      <c r="N47" s="141">
        <f>'Historical Financials'!AC111</f>
        <v>0</v>
      </c>
      <c r="O47" s="141">
        <f>'Historical Financials'!AD111</f>
        <v>0</v>
      </c>
      <c r="P47" s="141">
        <f>'Historical Financials'!AE111</f>
        <v>0</v>
      </c>
      <c r="Q47" s="141">
        <f>'Historical Financials'!AF111</f>
        <v>0</v>
      </c>
      <c r="R47" s="141">
        <f>'Historical Financials'!AG111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125</v>
      </c>
      <c r="C48" s="141" t="e">
        <f>'Historical Financials'!#REF!</f>
        <v>#REF!</v>
      </c>
      <c r="D48" s="141">
        <f>'Historical Financials'!F112</f>
        <v>0</v>
      </c>
      <c r="E48" s="141">
        <f>'Historical Financials'!G112</f>
        <v>0</v>
      </c>
      <c r="F48" s="141">
        <f>'Historical Financials'!H112</f>
        <v>0</v>
      </c>
      <c r="G48" s="32"/>
      <c r="H48" s="141">
        <f>'Historical Financials'!W112</f>
        <v>0</v>
      </c>
      <c r="I48" s="141">
        <f>'Historical Financials'!X112</f>
        <v>0</v>
      </c>
      <c r="J48" s="141">
        <f>'Historical Financials'!Y112</f>
        <v>0</v>
      </c>
      <c r="K48" s="141">
        <f>'Historical Financials'!Z112</f>
        <v>0</v>
      </c>
      <c r="L48" s="141">
        <f>'Historical Financials'!AA112</f>
        <v>0</v>
      </c>
      <c r="M48" s="141">
        <f>'Historical Financials'!AB112</f>
        <v>0</v>
      </c>
      <c r="N48" s="141">
        <f>'Historical Financials'!AC112</f>
        <v>0</v>
      </c>
      <c r="O48" s="141">
        <f>'Historical Financials'!AD112</f>
        <v>0</v>
      </c>
      <c r="P48" s="141">
        <f>'Historical Financials'!AE112</f>
        <v>0</v>
      </c>
      <c r="Q48" s="141">
        <f>'Historical Financials'!AF112</f>
        <v>0</v>
      </c>
      <c r="R48" s="141">
        <f>'Historical Financials'!AG112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 t="e">
        <f>SUM('Historical Financials'!#REF!)</f>
        <v>#REF!</v>
      </c>
      <c r="D49" s="141">
        <f>SUM('Historical Financials'!F113:F113)</f>
        <v>0</v>
      </c>
      <c r="E49" s="141">
        <f>SUM('Historical Financials'!G113:G113)</f>
        <v>0</v>
      </c>
      <c r="F49" s="141">
        <f>SUM('Historical Financials'!H113:H113)</f>
        <v>0</v>
      </c>
      <c r="G49" s="32"/>
      <c r="H49" s="141">
        <f>SUM('Historical Financials'!W113:W113)</f>
        <v>0</v>
      </c>
      <c r="I49" s="141">
        <f>SUM('Historical Financials'!X113:X113)</f>
        <v>0</v>
      </c>
      <c r="J49" s="141">
        <f>SUM('Historical Financials'!Y113:Y113)</f>
        <v>0</v>
      </c>
      <c r="K49" s="141">
        <f>SUM('Historical Financials'!Z113:Z113)</f>
        <v>0</v>
      </c>
      <c r="L49" s="141">
        <f>SUM('Historical Financials'!AA113:AA113)</f>
        <v>0</v>
      </c>
      <c r="M49" s="141">
        <f>SUM('Historical Financials'!AB113:AB113)</f>
        <v>0</v>
      </c>
      <c r="N49" s="141">
        <f>SUM('Historical Financials'!AC113:AC113)</f>
        <v>0</v>
      </c>
      <c r="O49" s="141">
        <f>SUM('Historical Financials'!AD113:AD113)</f>
        <v>0</v>
      </c>
      <c r="P49" s="141">
        <f>SUM('Historical Financials'!AE113:AE113)</f>
        <v>0</v>
      </c>
      <c r="Q49" s="141">
        <f>SUM('Historical Financials'!AF113:AF113)</f>
        <v>0</v>
      </c>
      <c r="R49" s="141">
        <f>SUM('Historical Financials'!AG113:AG113)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 t="e">
        <f>'Historical Financials'!#REF!</f>
        <v>#REF!</v>
      </c>
      <c r="D55" s="94">
        <f>'Historical Financials'!F42</f>
        <v>13931</v>
      </c>
      <c r="E55" s="94">
        <f>'Historical Financials'!G42</f>
        <v>34704</v>
      </c>
      <c r="F55" s="94">
        <f>'Historical Financials'!H42</f>
        <v>18315</v>
      </c>
      <c r="G55" s="32"/>
      <c r="H55" s="94">
        <f>'Historical Financials'!W42</f>
        <v>22884</v>
      </c>
      <c r="I55" s="94">
        <f>'Historical Financials'!X42</f>
        <v>15646</v>
      </c>
      <c r="J55" s="94">
        <f>'Historical Financials'!Y42</f>
        <v>26562</v>
      </c>
      <c r="K55" s="94">
        <f>'Historical Financials'!Z42</f>
        <v>34704</v>
      </c>
      <c r="L55" s="94">
        <f>'Historical Financials'!AA42</f>
        <v>80452</v>
      </c>
      <c r="M55" s="94">
        <f>'Historical Financials'!AB42</f>
        <v>17305</v>
      </c>
      <c r="N55" s="94">
        <f>'Historical Financials'!AC42</f>
        <v>19634</v>
      </c>
      <c r="O55" s="94">
        <f>'Historical Financials'!AD42</f>
        <v>18315</v>
      </c>
      <c r="P55" s="94">
        <f>'Historical Financials'!AE42</f>
        <v>20840</v>
      </c>
      <c r="Q55" s="94">
        <f>'Historical Financials'!AF42</f>
        <v>17482</v>
      </c>
      <c r="R55" s="94">
        <f>'Historical Financials'!AG42</f>
        <v>28828</v>
      </c>
      <c r="T55" s="10">
        <f t="shared" ref="T55:Z57" si="102">K55</f>
        <v>34704</v>
      </c>
      <c r="U55" s="10">
        <f t="shared" si="102"/>
        <v>80452</v>
      </c>
      <c r="V55" s="10">
        <f t="shared" si="102"/>
        <v>17305</v>
      </c>
      <c r="W55" s="10">
        <f t="shared" si="102"/>
        <v>19634</v>
      </c>
      <c r="X55" s="10">
        <f t="shared" si="102"/>
        <v>18315</v>
      </c>
      <c r="Y55" s="10">
        <f t="shared" si="102"/>
        <v>20840</v>
      </c>
      <c r="Z55" s="10">
        <f t="shared" si="102"/>
        <v>17482</v>
      </c>
      <c r="AA55" s="10">
        <f>R55</f>
        <v>28828</v>
      </c>
    </row>
    <row r="56" spans="1:27" ht="12.75" customHeight="1">
      <c r="B56" s="8" t="s">
        <v>126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133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34704</v>
      </c>
      <c r="U58" s="14">
        <f t="shared" si="105"/>
        <v>80452</v>
      </c>
      <c r="V58" s="14">
        <f t="shared" si="105"/>
        <v>17305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130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131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135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105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 t="e">
        <f>'Historical Financials'!#REF!</f>
        <v>#REF!</v>
      </c>
      <c r="D65" s="94">
        <f>'Historical Financials'!F50</f>
        <v>74398</v>
      </c>
      <c r="E65" s="94">
        <f>'Historical Financials'!G50</f>
        <v>95641</v>
      </c>
      <c r="F65" s="94">
        <f>'Historical Financials'!H50</f>
        <v>135591</v>
      </c>
      <c r="H65" s="94">
        <f>'Historical Financials'!W50</f>
        <v>77037</v>
      </c>
      <c r="I65" s="94">
        <f>'Historical Financials'!X50</f>
        <v>82755</v>
      </c>
      <c r="J65" s="94">
        <f>'Historical Financials'!Y50</f>
        <v>88132</v>
      </c>
      <c r="K65" s="94">
        <f>'Historical Financials'!Z50</f>
        <v>95641</v>
      </c>
      <c r="L65" s="94">
        <f>'Historical Financials'!AA50</f>
        <v>102502</v>
      </c>
      <c r="M65" s="94">
        <f>'Historical Financials'!AB50</f>
        <v>112308</v>
      </c>
      <c r="N65" s="94">
        <f>'Historical Financials'!AC50</f>
        <v>121826</v>
      </c>
      <c r="O65" s="94">
        <f>'Historical Financials'!AD50</f>
        <v>135591</v>
      </c>
      <c r="P65" s="94">
        <f>'Historical Financials'!AE50</f>
        <v>152863</v>
      </c>
      <c r="Q65" s="94">
        <f>'Historical Financials'!AF50</f>
        <v>166902</v>
      </c>
      <c r="R65" s="94">
        <f>'Historical Financials'!AG50</f>
        <v>183939</v>
      </c>
      <c r="S65" s="10"/>
      <c r="T65" s="10">
        <f t="shared" si="106"/>
        <v>95641</v>
      </c>
      <c r="U65" s="10">
        <f t="shared" si="106"/>
        <v>102502</v>
      </c>
      <c r="V65" s="10">
        <f t="shared" si="106"/>
        <v>112308</v>
      </c>
      <c r="W65" s="10">
        <f t="shared" si="106"/>
        <v>121826</v>
      </c>
      <c r="X65" s="10">
        <f t="shared" si="106"/>
        <v>135591</v>
      </c>
      <c r="Y65" s="10">
        <f t="shared" si="106"/>
        <v>152863</v>
      </c>
      <c r="Z65" s="10">
        <f t="shared" si="106"/>
        <v>166902</v>
      </c>
      <c r="AA65" s="10">
        <f t="shared" si="107"/>
        <v>183939</v>
      </c>
    </row>
    <row r="66" spans="2:27" ht="12.75" customHeight="1">
      <c r="B66" s="8" t="s">
        <v>107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 t="e">
        <f>'Historical Financials'!#REF!</f>
        <v>#REF!</v>
      </c>
      <c r="D67" s="94">
        <f>'Historical Financials'!F59</f>
        <v>19000</v>
      </c>
      <c r="E67" s="94">
        <f>'Historical Financials'!G59</f>
        <v>18095</v>
      </c>
      <c r="F67" s="94">
        <f>'Historical Financials'!H59</f>
        <v>21996</v>
      </c>
      <c r="G67" s="94"/>
      <c r="H67" s="94">
        <f>'Historical Financials'!W59</f>
        <v>16609</v>
      </c>
      <c r="I67" s="94">
        <f>'Historical Financials'!X59</f>
        <v>15354</v>
      </c>
      <c r="J67" s="94">
        <f>'Historical Financials'!Y59</f>
        <v>15305</v>
      </c>
      <c r="K67" s="94">
        <f>'Historical Financials'!Z59</f>
        <v>18095</v>
      </c>
      <c r="L67" s="94">
        <f>'Historical Financials'!AA59</f>
        <v>19307</v>
      </c>
      <c r="M67" s="94">
        <f>'Historical Financials'!AB59</f>
        <v>17695</v>
      </c>
      <c r="N67" s="94">
        <f>'Historical Financials'!AC59</f>
        <v>18087</v>
      </c>
      <c r="O67" s="94">
        <f>'Historical Financials'!AD59</f>
        <v>21996</v>
      </c>
      <c r="P67" s="94">
        <f>'Historical Financials'!AE59</f>
        <v>22768</v>
      </c>
      <c r="Q67" s="94">
        <f>'Historical Financials'!AF59</f>
        <v>22608</v>
      </c>
      <c r="R67" s="94">
        <f>'Historical Financials'!AG59</f>
        <v>26250</v>
      </c>
      <c r="T67" s="10">
        <f t="shared" si="106"/>
        <v>18095</v>
      </c>
      <c r="U67" s="10">
        <f t="shared" si="106"/>
        <v>19307</v>
      </c>
      <c r="V67" s="10">
        <f t="shared" si="106"/>
        <v>17695</v>
      </c>
      <c r="W67" s="10">
        <f t="shared" si="106"/>
        <v>18087</v>
      </c>
      <c r="X67" s="10">
        <f t="shared" si="106"/>
        <v>21996</v>
      </c>
      <c r="Y67" s="10">
        <f t="shared" si="106"/>
        <v>22768</v>
      </c>
      <c r="Z67" s="10">
        <f t="shared" si="106"/>
        <v>22608</v>
      </c>
      <c r="AA67" s="10">
        <f t="shared" si="107"/>
        <v>26250</v>
      </c>
    </row>
    <row r="68" spans="2:27" ht="12.75" customHeight="1">
      <c r="B68" s="8" t="s">
        <v>45</v>
      </c>
      <c r="C68" s="94" t="e">
        <f>'Historical Financials'!#REF!</f>
        <v>#REF!</v>
      </c>
      <c r="D68" s="94">
        <f>'Historical Financials'!F66</f>
        <v>95082</v>
      </c>
      <c r="E68" s="94">
        <f>'Historical Financials'!G66</f>
        <v>104149</v>
      </c>
      <c r="F68" s="94">
        <f>'Historical Financials'!H66</f>
        <v>125286</v>
      </c>
      <c r="G68" s="94"/>
      <c r="H68" s="94">
        <f>'Historical Financials'!W66</f>
        <v>87389</v>
      </c>
      <c r="I68" s="94">
        <f>'Historical Financials'!X66</f>
        <v>81718</v>
      </c>
      <c r="J68" s="94">
        <f>'Historical Financials'!Y66</f>
        <v>85691</v>
      </c>
      <c r="K68" s="94">
        <f>'Historical Financials'!Z66</f>
        <v>104149</v>
      </c>
      <c r="L68" s="94">
        <f>'Historical Financials'!AA66</f>
        <v>124792</v>
      </c>
      <c r="M68" s="94">
        <f>'Historical Financials'!AB66</f>
        <v>121016</v>
      </c>
      <c r="N68" s="94">
        <f>'Historical Financials'!AC66</f>
        <v>118525</v>
      </c>
      <c r="O68" s="94">
        <f>'Historical Financials'!AD66</f>
        <v>125286</v>
      </c>
      <c r="P68" s="94">
        <f>'Historical Financials'!AE66</f>
        <v>115200</v>
      </c>
      <c r="Q68" s="94">
        <f>'Historical Financials'!AF66</f>
        <v>108882</v>
      </c>
      <c r="R68" s="94">
        <f>'Historical Financials'!AG66</f>
        <v>113306</v>
      </c>
      <c r="T68" s="10">
        <f t="shared" si="106"/>
        <v>104149</v>
      </c>
      <c r="U68" s="10">
        <f t="shared" si="106"/>
        <v>124792</v>
      </c>
      <c r="V68" s="10">
        <f t="shared" si="106"/>
        <v>121016</v>
      </c>
      <c r="W68" s="10">
        <f t="shared" si="106"/>
        <v>118525</v>
      </c>
      <c r="X68" s="10">
        <f t="shared" si="106"/>
        <v>125286</v>
      </c>
      <c r="Y68" s="10">
        <f t="shared" si="106"/>
        <v>115200</v>
      </c>
      <c r="Z68" s="10">
        <f t="shared" si="106"/>
        <v>108882</v>
      </c>
      <c r="AA68" s="10">
        <f t="shared" si="107"/>
        <v>113306</v>
      </c>
    </row>
    <row r="69" spans="2:27" ht="12.75" customHeight="1">
      <c r="B69" s="8" t="s">
        <v>15</v>
      </c>
      <c r="C69" s="94" t="e">
        <f>'Historical Financials'!#REF!</f>
        <v>#REF!</v>
      </c>
      <c r="D69" s="94">
        <f>'Historical Financials'!F75</f>
        <v>198298</v>
      </c>
      <c r="E69" s="94">
        <f>'Historical Financials'!G75</f>
        <v>205753</v>
      </c>
      <c r="F69" s="94">
        <f>'Historical Financials'!H75</f>
        <v>243686</v>
      </c>
      <c r="G69" s="94"/>
      <c r="H69" s="94">
        <f>'Historical Financials'!W75</f>
        <v>186218</v>
      </c>
      <c r="I69" s="94">
        <f>'Historical Financials'!X75</f>
        <v>181416</v>
      </c>
      <c r="J69" s="94">
        <f>'Historical Financials'!Y75</f>
        <v>185405</v>
      </c>
      <c r="K69" s="94">
        <f>'Historical Financials'!Z75</f>
        <v>205753</v>
      </c>
      <c r="L69" s="94">
        <f>'Historical Financials'!AA75</f>
        <v>225071</v>
      </c>
      <c r="M69" s="94">
        <f>'Historical Financials'!AB75</f>
        <v>232290</v>
      </c>
      <c r="N69" s="94">
        <f>'Historical Financials'!AC75</f>
        <v>231123</v>
      </c>
      <c r="O69" s="94">
        <f>'Historical Financials'!AD75</f>
        <v>243686</v>
      </c>
      <c r="P69" s="94">
        <f>'Historical Financials'!AE75</f>
        <v>235290</v>
      </c>
      <c r="Q69" s="94">
        <f>'Historical Financials'!AF75</f>
        <v>231203</v>
      </c>
      <c r="R69" s="94">
        <f>'Historical Financials'!AG75</f>
        <v>239833</v>
      </c>
      <c r="T69" s="10">
        <f t="shared" si="106"/>
        <v>205753</v>
      </c>
      <c r="U69" s="10">
        <f t="shared" si="106"/>
        <v>225071</v>
      </c>
      <c r="V69" s="10">
        <f t="shared" si="106"/>
        <v>232290</v>
      </c>
      <c r="W69" s="10">
        <f t="shared" si="106"/>
        <v>231123</v>
      </c>
      <c r="X69" s="10">
        <f t="shared" si="106"/>
        <v>243686</v>
      </c>
      <c r="Y69" s="10">
        <f t="shared" si="106"/>
        <v>235290</v>
      </c>
      <c r="Z69" s="10">
        <f t="shared" si="106"/>
        <v>231203</v>
      </c>
      <c r="AA69" s="10">
        <f t="shared" si="107"/>
        <v>239833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134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132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127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113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112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111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110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109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128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129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 t="e">
        <f>'Historical Financials'!#REF!</f>
        <v>#REF!</v>
      </c>
      <c r="D87" s="94">
        <f>'Historical Financials'!F81</f>
        <v>166542</v>
      </c>
      <c r="E87" s="94">
        <f>'Historical Financials'!G81</f>
        <v>206223</v>
      </c>
      <c r="F87" s="94">
        <f>'Historical Financials'!H81</f>
        <v>268477</v>
      </c>
      <c r="H87" s="94">
        <f>'Historical Financials'!W81</f>
        <v>173566</v>
      </c>
      <c r="I87" s="94">
        <f>'Historical Financials'!X81</f>
        <v>183136</v>
      </c>
      <c r="J87" s="94">
        <f>'Historical Financials'!Y81</f>
        <v>194683</v>
      </c>
      <c r="K87" s="94">
        <f>'Historical Financials'!Z81</f>
        <v>206223</v>
      </c>
      <c r="L87" s="94">
        <f>'Historical Financials'!AA81</f>
        <v>220714</v>
      </c>
      <c r="M87" s="94">
        <f>'Historical Financials'!AB81</f>
        <v>238268</v>
      </c>
      <c r="N87" s="94">
        <f>'Historical Financials'!AC81</f>
        <v>253152</v>
      </c>
      <c r="O87" s="94">
        <f>'Historical Financials'!AD81</f>
        <v>268477</v>
      </c>
      <c r="P87" s="94">
        <f>'Historical Financials'!AE81</f>
        <v>287723</v>
      </c>
      <c r="Q87" s="94">
        <f>'Historical Financials'!AF81</f>
        <v>302695</v>
      </c>
      <c r="R87" s="94">
        <f>'Historical Financials'!AG81</f>
        <v>321891</v>
      </c>
      <c r="T87" s="10">
        <f t="shared" ref="T87:AA87" si="130">K87</f>
        <v>206223</v>
      </c>
      <c r="U87" s="10">
        <f t="shared" si="130"/>
        <v>220714</v>
      </c>
      <c r="V87" s="10">
        <f t="shared" si="130"/>
        <v>238268</v>
      </c>
      <c r="W87" s="142">
        <f t="shared" si="130"/>
        <v>253152</v>
      </c>
      <c r="X87" s="142">
        <f t="shared" si="130"/>
        <v>268477</v>
      </c>
      <c r="Y87" s="142">
        <f t="shared" si="130"/>
        <v>287723</v>
      </c>
      <c r="Z87" s="142">
        <f t="shared" si="130"/>
        <v>302695</v>
      </c>
      <c r="AA87" s="142">
        <f t="shared" si="130"/>
        <v>321891</v>
      </c>
    </row>
    <row r="88" spans="1:27" ht="12.75" customHeight="1">
      <c r="B88" s="13" t="s">
        <v>47</v>
      </c>
      <c r="C88" s="14" t="e">
        <f>SUM(C85:C87)</f>
        <v>#REF!</v>
      </c>
      <c r="D88" s="14">
        <f>SUM(D85:D87)</f>
        <v>169043</v>
      </c>
      <c r="E88" s="14">
        <f>SUM(E85:E87)</f>
        <v>208723</v>
      </c>
      <c r="F88" s="14">
        <f>SUM(F85:F87)</f>
        <v>270227</v>
      </c>
      <c r="H88" s="14">
        <f t="shared" ref="H88:M88" si="131">SUM(H85:H87)</f>
        <v>176066</v>
      </c>
      <c r="I88" s="14">
        <f t="shared" si="131"/>
        <v>185636</v>
      </c>
      <c r="J88" s="14">
        <f t="shared" si="131"/>
        <v>197183</v>
      </c>
      <c r="K88" s="14">
        <f t="shared" si="131"/>
        <v>208723</v>
      </c>
      <c r="L88" s="14">
        <f t="shared" si="131"/>
        <v>223214</v>
      </c>
      <c r="M88" s="14">
        <f t="shared" si="131"/>
        <v>240018</v>
      </c>
      <c r="N88" s="14">
        <f>SUM(N85:N87)</f>
        <v>254902</v>
      </c>
      <c r="O88" s="14">
        <f>SUM(O85:O87)</f>
        <v>270227</v>
      </c>
      <c r="P88" s="14">
        <f>SUM(P85:P87)</f>
        <v>291923</v>
      </c>
      <c r="Q88" s="14">
        <f>SUM(Q85:Q87)</f>
        <v>305945</v>
      </c>
      <c r="R88" s="14">
        <f>SUM(R85:R87)</f>
        <v>325141</v>
      </c>
      <c r="T88" s="14">
        <f t="shared" ref="T88:Y88" si="132">SUM(T85:T87)</f>
        <v>208723</v>
      </c>
      <c r="U88" s="14">
        <f t="shared" si="132"/>
        <v>223214</v>
      </c>
      <c r="V88" s="14">
        <f t="shared" si="132"/>
        <v>240018</v>
      </c>
      <c r="W88" s="14">
        <f t="shared" si="132"/>
        <v>254902</v>
      </c>
      <c r="X88" s="14">
        <f t="shared" si="132"/>
        <v>270227</v>
      </c>
      <c r="Y88" s="14">
        <f t="shared" si="132"/>
        <v>291923</v>
      </c>
      <c r="Z88" s="14">
        <f>SUM(Z85:Z87)</f>
        <v>305945</v>
      </c>
      <c r="AA88" s="14">
        <f>SUM(AA85:AA87)</f>
        <v>325141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 t="e">
        <f>C88/C85</f>
        <v>#REF!</v>
      </c>
      <c r="D97" s="83">
        <f>D88/D85</f>
        <v>67.590163934426229</v>
      </c>
      <c r="E97" s="83">
        <f>E88/E85</f>
        <v>83.489199999999997</v>
      </c>
      <c r="F97" s="83">
        <f>F88/F85</f>
        <v>154.41542857142858</v>
      </c>
      <c r="H97" s="83">
        <f t="shared" ref="H97:Q97" si="138">H88/H85</f>
        <v>70.426400000000001</v>
      </c>
      <c r="I97" s="83">
        <f t="shared" si="138"/>
        <v>74.254400000000004</v>
      </c>
      <c r="J97" s="83">
        <f t="shared" si="138"/>
        <v>78.873199999999997</v>
      </c>
      <c r="K97" s="83">
        <f t="shared" si="138"/>
        <v>83.489199999999997</v>
      </c>
      <c r="L97" s="83">
        <f t="shared" si="138"/>
        <v>89.285600000000002</v>
      </c>
      <c r="M97" s="83">
        <f t="shared" si="138"/>
        <v>137.15314285714285</v>
      </c>
      <c r="N97" s="83">
        <f t="shared" si="138"/>
        <v>145.65828571428571</v>
      </c>
      <c r="O97" s="83">
        <f t="shared" si="138"/>
        <v>154.41542857142858</v>
      </c>
      <c r="P97" s="83">
        <f t="shared" si="138"/>
        <v>69.505476190476188</v>
      </c>
      <c r="Q97" s="83">
        <f t="shared" si="138"/>
        <v>94.136923076923082</v>
      </c>
      <c r="R97" s="83">
        <f>R88/R85</f>
        <v>100.04338461538461</v>
      </c>
      <c r="S97" s="83"/>
      <c r="T97" s="83">
        <f t="shared" ref="T97:Y97" si="139">T88/T85</f>
        <v>83.489199999999997</v>
      </c>
      <c r="U97" s="83">
        <f t="shared" si="139"/>
        <v>89.285600000000002</v>
      </c>
      <c r="V97" s="83">
        <f t="shared" si="139"/>
        <v>137.15314285714285</v>
      </c>
      <c r="W97" s="83">
        <f t="shared" si="139"/>
        <v>145.65828571428571</v>
      </c>
      <c r="X97" s="83">
        <f t="shared" si="139"/>
        <v>154.41542857142858</v>
      </c>
      <c r="Y97" s="83">
        <f t="shared" si="139"/>
        <v>69.505476190476188</v>
      </c>
      <c r="Z97" s="83">
        <f>Z88/Z85</f>
        <v>94.136923076923082</v>
      </c>
      <c r="AA97" s="83">
        <f>AA88/AA85</f>
        <v>100.04338461538461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2025-12-28T20:46:22Z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