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688A1919-87E7-4BA2-8760-0D80AA43EBB6}" xr6:coauthVersionLast="47" xr6:coauthVersionMax="47" xr10:uidLastSave="{00000000-0000-0000-0000-000000000000}"/>
  <bookViews>
    <workbookView xWindow="2868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0" i="10" l="1"/>
  <c r="AK10" i="10"/>
  <c r="AJ10" i="10"/>
  <c r="AI10" i="10"/>
  <c r="AH10" i="10"/>
  <c r="AG10" i="10"/>
  <c r="AF10" i="10"/>
  <c r="AE10" i="10"/>
  <c r="AD10" i="10"/>
  <c r="AC10" i="10"/>
  <c r="AK9" i="10"/>
  <c r="AJ9" i="10"/>
  <c r="AI9" i="10"/>
  <c r="AH9" i="10"/>
  <c r="AG9" i="10"/>
  <c r="AF9" i="10"/>
  <c r="AE9" i="10"/>
  <c r="AD9" i="10"/>
  <c r="AC9" i="10"/>
  <c r="AL9" i="10"/>
  <c r="AL3" i="10"/>
  <c r="AL4" i="10"/>
  <c r="X10" i="10"/>
  <c r="X9" i="10"/>
  <c r="T10" i="10"/>
  <c r="T9" i="10"/>
  <c r="P10" i="10"/>
  <c r="P9" i="10"/>
  <c r="L10" i="10"/>
  <c r="L9" i="10"/>
  <c r="X17" i="10"/>
  <c r="T17" i="10"/>
  <c r="P17" i="10"/>
  <c r="L17" i="10"/>
  <c r="L11" i="10"/>
  <c r="L14" i="10" s="1"/>
  <c r="I11" i="10"/>
  <c r="I15" i="10" s="1"/>
  <c r="I4" i="10"/>
  <c r="I3" i="10"/>
  <c r="K11" i="10"/>
  <c r="K14" i="10" s="1"/>
  <c r="J11" i="10"/>
  <c r="J15" i="10" s="1"/>
  <c r="L4" i="10"/>
  <c r="K4" i="10"/>
  <c r="J4" i="10"/>
  <c r="L3" i="10"/>
  <c r="K3" i="10"/>
  <c r="J3" i="10"/>
  <c r="X48" i="8"/>
  <c r="X47" i="8"/>
  <c r="X46" i="8"/>
  <c r="X45" i="8"/>
  <c r="X44" i="8"/>
  <c r="X58" i="8"/>
  <c r="X57" i="8"/>
  <c r="X56" i="8"/>
  <c r="AG56" i="8" s="1"/>
  <c r="X55" i="8"/>
  <c r="X54" i="8"/>
  <c r="X53" i="8"/>
  <c r="X52" i="8"/>
  <c r="X65" i="8"/>
  <c r="X64" i="8"/>
  <c r="X63" i="8"/>
  <c r="X62" i="8"/>
  <c r="X71" i="8"/>
  <c r="X70" i="8"/>
  <c r="X69" i="8"/>
  <c r="T48" i="8"/>
  <c r="T47" i="8"/>
  <c r="T46" i="8"/>
  <c r="T45" i="8"/>
  <c r="T44" i="8"/>
  <c r="T58" i="8"/>
  <c r="T57" i="8"/>
  <c r="T56" i="8"/>
  <c r="AC56" i="8" s="1"/>
  <c r="T55" i="8"/>
  <c r="AC55" i="8" s="1"/>
  <c r="T54" i="8"/>
  <c r="T53" i="8"/>
  <c r="T52" i="8"/>
  <c r="T65" i="8"/>
  <c r="T64" i="8"/>
  <c r="T63" i="8"/>
  <c r="T62" i="8"/>
  <c r="T71" i="8"/>
  <c r="T70" i="8"/>
  <c r="AC70" i="8" s="1"/>
  <c r="T69" i="8"/>
  <c r="P48" i="8"/>
  <c r="P47" i="8"/>
  <c r="P46" i="8"/>
  <c r="P45" i="8"/>
  <c r="P44" i="8"/>
  <c r="P58" i="8"/>
  <c r="P57" i="8"/>
  <c r="P56" i="8"/>
  <c r="P55" i="8"/>
  <c r="P54" i="8"/>
  <c r="P53" i="8"/>
  <c r="P52" i="8"/>
  <c r="P65" i="8"/>
  <c r="P64" i="8"/>
  <c r="P63" i="8"/>
  <c r="P62" i="8"/>
  <c r="P71" i="8"/>
  <c r="P70" i="8"/>
  <c r="P69" i="8"/>
  <c r="L48" i="8"/>
  <c r="L47" i="8"/>
  <c r="L46" i="8"/>
  <c r="L45" i="8"/>
  <c r="L44" i="8"/>
  <c r="L58" i="8"/>
  <c r="L57" i="8"/>
  <c r="L56" i="8"/>
  <c r="L55" i="8"/>
  <c r="L54" i="8"/>
  <c r="L53" i="8"/>
  <c r="L52" i="8"/>
  <c r="L65" i="8"/>
  <c r="L64" i="8"/>
  <c r="L63" i="8"/>
  <c r="L62" i="8"/>
  <c r="L71" i="8"/>
  <c r="L70" i="8"/>
  <c r="L69" i="8"/>
  <c r="AL64" i="8"/>
  <c r="AJ64" i="8"/>
  <c r="AI64" i="8"/>
  <c r="AH64" i="8"/>
  <c r="AF64" i="8"/>
  <c r="AE64" i="8"/>
  <c r="AD64" i="8"/>
  <c r="AG64" i="8"/>
  <c r="AC64" i="8"/>
  <c r="AJ55" i="8"/>
  <c r="AI55" i="8"/>
  <c r="AH55" i="8"/>
  <c r="AF55" i="8"/>
  <c r="AE55" i="8"/>
  <c r="AD55" i="8"/>
  <c r="AG55" i="8"/>
  <c r="AJ56" i="8"/>
  <c r="AI56" i="8"/>
  <c r="AH56" i="8"/>
  <c r="AF56" i="8"/>
  <c r="AE56" i="8"/>
  <c r="AD56" i="8"/>
  <c r="AJ54" i="8"/>
  <c r="AI54" i="8"/>
  <c r="AH54" i="8"/>
  <c r="AF54" i="8"/>
  <c r="AE54" i="8"/>
  <c r="AD54" i="8"/>
  <c r="AG54" i="8"/>
  <c r="AC54" i="8"/>
  <c r="AJ46" i="8"/>
  <c r="AI46" i="8"/>
  <c r="AH46" i="8"/>
  <c r="AF46" i="8"/>
  <c r="AE46" i="8"/>
  <c r="AD46" i="8"/>
  <c r="AG46" i="8"/>
  <c r="AC46" i="8"/>
  <c r="X29" i="8"/>
  <c r="T29" i="8"/>
  <c r="P29" i="8"/>
  <c r="L29" i="8"/>
  <c r="AC71" i="8"/>
  <c r="AG70" i="8"/>
  <c r="T13" i="8"/>
  <c r="AD13" i="8" s="1"/>
  <c r="T20" i="8"/>
  <c r="AF20" i="8" s="1"/>
  <c r="T19" i="8"/>
  <c r="T18" i="8"/>
  <c r="T17" i="8"/>
  <c r="X13" i="8"/>
  <c r="AI13" i="8" s="1"/>
  <c r="X20" i="8"/>
  <c r="AJ20" i="8" s="1"/>
  <c r="X19" i="8"/>
  <c r="X18" i="8"/>
  <c r="X17" i="8"/>
  <c r="P13" i="8"/>
  <c r="P20" i="8"/>
  <c r="P19" i="8"/>
  <c r="P18" i="8"/>
  <c r="P17" i="8"/>
  <c r="L13" i="8"/>
  <c r="L20" i="8"/>
  <c r="L19" i="8"/>
  <c r="L18" i="8"/>
  <c r="L17" i="8"/>
  <c r="X10" i="8"/>
  <c r="X25" i="8"/>
  <c r="X24" i="8"/>
  <c r="T10" i="8"/>
  <c r="T25" i="8"/>
  <c r="AF25" i="8" s="1"/>
  <c r="T24" i="8"/>
  <c r="P10" i="8"/>
  <c r="P11" i="8" s="1"/>
  <c r="P25" i="8"/>
  <c r="P24" i="8"/>
  <c r="L10" i="8"/>
  <c r="L11" i="8" s="1"/>
  <c r="L25" i="8"/>
  <c r="L24" i="8"/>
  <c r="L77" i="8"/>
  <c r="L76" i="8"/>
  <c r="L75" i="8"/>
  <c r="L36" i="8"/>
  <c r="L33" i="8"/>
  <c r="L115" i="8"/>
  <c r="K115" i="8"/>
  <c r="J115" i="8"/>
  <c r="I115" i="8"/>
  <c r="L111" i="8"/>
  <c r="K111" i="8"/>
  <c r="J111" i="8"/>
  <c r="I111" i="8"/>
  <c r="L105" i="8"/>
  <c r="K105" i="8"/>
  <c r="J105" i="8"/>
  <c r="I105" i="8"/>
  <c r="L86" i="8"/>
  <c r="K86" i="8"/>
  <c r="J86" i="8"/>
  <c r="I86" i="8"/>
  <c r="L85" i="8"/>
  <c r="K85" i="8"/>
  <c r="J85" i="8"/>
  <c r="I85" i="8"/>
  <c r="K78" i="8"/>
  <c r="J78" i="8"/>
  <c r="I78" i="8"/>
  <c r="K66" i="8"/>
  <c r="K72" i="8" s="1"/>
  <c r="J66" i="8"/>
  <c r="J72" i="8" s="1"/>
  <c r="I66" i="8"/>
  <c r="I72" i="8" s="1"/>
  <c r="K49" i="8"/>
  <c r="K59" i="8" s="1"/>
  <c r="J49" i="8"/>
  <c r="J59" i="8" s="1"/>
  <c r="I49" i="8"/>
  <c r="I59" i="8" s="1"/>
  <c r="L41" i="8"/>
  <c r="K41" i="8"/>
  <c r="J41" i="8"/>
  <c r="I41" i="8"/>
  <c r="L40" i="8"/>
  <c r="K40" i="8"/>
  <c r="J40" i="8"/>
  <c r="I40" i="8"/>
  <c r="K11" i="8"/>
  <c r="K21" i="8" s="1"/>
  <c r="J11" i="8"/>
  <c r="J21" i="8" s="1"/>
  <c r="I11" i="8"/>
  <c r="I21" i="8" s="1"/>
  <c r="P118" i="8"/>
  <c r="Q114" i="8" s="1"/>
  <c r="P117" i="8"/>
  <c r="P114" i="8"/>
  <c r="O114" i="8"/>
  <c r="N114" i="8"/>
  <c r="X36" i="8"/>
  <c r="T36" i="8"/>
  <c r="P36" i="8"/>
  <c r="P33" i="8"/>
  <c r="P110" i="8"/>
  <c r="P109" i="8"/>
  <c r="P108" i="8"/>
  <c r="P104" i="8"/>
  <c r="P103" i="8"/>
  <c r="P102" i="8"/>
  <c r="P101" i="8"/>
  <c r="P97" i="8"/>
  <c r="P96" i="8"/>
  <c r="P95" i="8"/>
  <c r="P94" i="8"/>
  <c r="P93" i="8"/>
  <c r="P92" i="8"/>
  <c r="AG71" i="8"/>
  <c r="AJ71" i="8"/>
  <c r="AI71" i="8"/>
  <c r="AH71" i="8"/>
  <c r="AF71" i="8"/>
  <c r="AE71" i="8"/>
  <c r="AD71" i="8"/>
  <c r="AJ70" i="8"/>
  <c r="AI70" i="8"/>
  <c r="AH70" i="8"/>
  <c r="AF70" i="8"/>
  <c r="AE70" i="8"/>
  <c r="AD70" i="8"/>
  <c r="P77" i="8"/>
  <c r="P76" i="8"/>
  <c r="P75" i="8"/>
  <c r="AJ25" i="8"/>
  <c r="M11" i="10"/>
  <c r="M4" i="10"/>
  <c r="M3" i="10"/>
  <c r="O11" i="10"/>
  <c r="N11" i="10"/>
  <c r="N14" i="10" s="1"/>
  <c r="O4" i="10"/>
  <c r="N4" i="10"/>
  <c r="P3" i="10"/>
  <c r="O3" i="10"/>
  <c r="N3" i="10"/>
  <c r="P8" i="8"/>
  <c r="P41" i="8" s="1"/>
  <c r="N111" i="8"/>
  <c r="N105" i="8"/>
  <c r="N86" i="8"/>
  <c r="N85" i="8"/>
  <c r="N78" i="8"/>
  <c r="N66" i="8"/>
  <c r="N72" i="8" s="1"/>
  <c r="N49" i="8"/>
  <c r="N59" i="8" s="1"/>
  <c r="N41" i="8"/>
  <c r="N40" i="8"/>
  <c r="N11" i="8"/>
  <c r="N21" i="8" s="1"/>
  <c r="N26" i="8" s="1"/>
  <c r="M115" i="8"/>
  <c r="O111" i="8"/>
  <c r="M111" i="8"/>
  <c r="O105" i="8"/>
  <c r="M105" i="8"/>
  <c r="O86" i="8"/>
  <c r="M86" i="8"/>
  <c r="O85" i="8"/>
  <c r="M85" i="8"/>
  <c r="O78" i="8"/>
  <c r="M78" i="8"/>
  <c r="O66" i="8"/>
  <c r="O72" i="8" s="1"/>
  <c r="M66" i="8"/>
  <c r="M72" i="8" s="1"/>
  <c r="O49" i="8"/>
  <c r="O59" i="8" s="1"/>
  <c r="M49" i="8"/>
  <c r="M59" i="8" s="1"/>
  <c r="O41" i="8"/>
  <c r="M41" i="8"/>
  <c r="O40" i="8"/>
  <c r="M40" i="8"/>
  <c r="O11" i="8"/>
  <c r="O21" i="8" s="1"/>
  <c r="M11" i="8"/>
  <c r="M21" i="8" s="1"/>
  <c r="M26" i="8" s="1"/>
  <c r="P85" i="8"/>
  <c r="P40" i="8"/>
  <c r="J12" i="10" l="1"/>
  <c r="I14" i="10"/>
  <c r="I12" i="10"/>
  <c r="K12" i="10"/>
  <c r="K15" i="10"/>
  <c r="L15" i="10"/>
  <c r="L12" i="10"/>
  <c r="J14" i="10"/>
  <c r="AL55" i="8"/>
  <c r="AL56" i="8"/>
  <c r="AL46" i="8"/>
  <c r="AL54" i="8"/>
  <c r="L49" i="8"/>
  <c r="L59" i="8" s="1"/>
  <c r="L66" i="8"/>
  <c r="L72" i="8" s="1"/>
  <c r="I79" i="8"/>
  <c r="I81" i="8" s="1"/>
  <c r="K79" i="8"/>
  <c r="K81" i="8" s="1"/>
  <c r="J79" i="8"/>
  <c r="J81" i="8" s="1"/>
  <c r="L78" i="8"/>
  <c r="AE20" i="8"/>
  <c r="AC20" i="8"/>
  <c r="AE13" i="8"/>
  <c r="L21" i="8"/>
  <c r="L22" i="8" s="1"/>
  <c r="I26" i="8"/>
  <c r="I22" i="8"/>
  <c r="J26" i="8"/>
  <c r="J22" i="8"/>
  <c r="K26" i="8"/>
  <c r="K22" i="8"/>
  <c r="I14" i="8"/>
  <c r="I15" i="8" s="1"/>
  <c r="J14" i="8"/>
  <c r="J15" i="8" s="1"/>
  <c r="K14" i="8"/>
  <c r="K15" i="8" s="1"/>
  <c r="L14" i="8"/>
  <c r="L15" i="8" s="1"/>
  <c r="P66" i="8"/>
  <c r="P72" i="8" s="1"/>
  <c r="P49" i="8"/>
  <c r="P59" i="8" s="1"/>
  <c r="AL25" i="8"/>
  <c r="P105" i="8"/>
  <c r="P111" i="8"/>
  <c r="AH20" i="8"/>
  <c r="AL70" i="8"/>
  <c r="AL71" i="8"/>
  <c r="AD20" i="8"/>
  <c r="P78" i="8"/>
  <c r="AC13" i="8"/>
  <c r="P14" i="8"/>
  <c r="P15" i="8" s="1"/>
  <c r="AG20" i="8"/>
  <c r="AI20" i="8"/>
  <c r="AC25" i="8"/>
  <c r="AD25" i="8"/>
  <c r="AJ13" i="8"/>
  <c r="AE25" i="8"/>
  <c r="AL20" i="8"/>
  <c r="AG25" i="8"/>
  <c r="AH25" i="8"/>
  <c r="AI25" i="8"/>
  <c r="P86" i="8"/>
  <c r="N79" i="8"/>
  <c r="N81" i="8" s="1"/>
  <c r="P4" i="10"/>
  <c r="M14" i="8"/>
  <c r="M15" i="8" s="1"/>
  <c r="N14" i="8"/>
  <c r="N15" i="8" s="1"/>
  <c r="O14" i="8"/>
  <c r="O15" i="8" s="1"/>
  <c r="P11" i="10"/>
  <c r="M14" i="10"/>
  <c r="M12" i="10"/>
  <c r="M15" i="10"/>
  <c r="O14" i="10"/>
  <c r="N15" i="10"/>
  <c r="O15" i="10"/>
  <c r="N12" i="10"/>
  <c r="O12" i="10"/>
  <c r="AF13" i="8"/>
  <c r="AG13" i="8"/>
  <c r="AH13" i="8"/>
  <c r="P21" i="8"/>
  <c r="P22" i="8" s="1"/>
  <c r="O79" i="8"/>
  <c r="O81" i="8" s="1"/>
  <c r="N27" i="8"/>
  <c r="N30" i="8"/>
  <c r="N22" i="8"/>
  <c r="M79" i="8"/>
  <c r="M81" i="8" s="1"/>
  <c r="O26" i="8"/>
  <c r="O22" i="8"/>
  <c r="M30" i="8"/>
  <c r="M27" i="8"/>
  <c r="M22" i="8"/>
  <c r="AJ77" i="8"/>
  <c r="AI77" i="8"/>
  <c r="AH77" i="8"/>
  <c r="AF77" i="8"/>
  <c r="AE77" i="8"/>
  <c r="AD77" i="8"/>
  <c r="AJ76" i="8"/>
  <c r="AI76" i="8"/>
  <c r="AH76" i="8"/>
  <c r="AF76" i="8"/>
  <c r="AE76" i="8"/>
  <c r="AD76" i="8"/>
  <c r="AJ75" i="8"/>
  <c r="AI75" i="8"/>
  <c r="AH75" i="8"/>
  <c r="AF75" i="8"/>
  <c r="AE75" i="8"/>
  <c r="AD75" i="8"/>
  <c r="X77" i="8"/>
  <c r="AG77" i="8" s="1"/>
  <c r="X76" i="8"/>
  <c r="AG76" i="8" s="1"/>
  <c r="X75" i="8"/>
  <c r="AG75" i="8" s="1"/>
  <c r="T77" i="8"/>
  <c r="AC77" i="8" s="1"/>
  <c r="T76" i="8"/>
  <c r="AC76" i="8" s="1"/>
  <c r="T75" i="8"/>
  <c r="AC75" i="8" s="1"/>
  <c r="AG65" i="8"/>
  <c r="AG63" i="8"/>
  <c r="AC65" i="8"/>
  <c r="AC63" i="8"/>
  <c r="AJ65" i="8"/>
  <c r="AI65" i="8"/>
  <c r="AH65" i="8"/>
  <c r="AF65" i="8"/>
  <c r="AE65" i="8"/>
  <c r="AD65" i="8"/>
  <c r="AJ63" i="8"/>
  <c r="AI63" i="8"/>
  <c r="AH63" i="8"/>
  <c r="AF63" i="8"/>
  <c r="AE63" i="8"/>
  <c r="AD63" i="8"/>
  <c r="AG47" i="8"/>
  <c r="AG45" i="8"/>
  <c r="AC47" i="8"/>
  <c r="AC45" i="8"/>
  <c r="AJ47" i="8"/>
  <c r="AI47" i="8"/>
  <c r="AH47" i="8"/>
  <c r="AF47" i="8"/>
  <c r="AE47" i="8"/>
  <c r="AD47" i="8"/>
  <c r="AJ45" i="8"/>
  <c r="AI45" i="8"/>
  <c r="AH45" i="8"/>
  <c r="AF45" i="8"/>
  <c r="AE45" i="8"/>
  <c r="AD45" i="8"/>
  <c r="AJ19" i="8"/>
  <c r="AG18" i="8"/>
  <c r="AC19" i="8"/>
  <c r="AF18" i="8"/>
  <c r="AK4" i="10"/>
  <c r="AA4" i="10"/>
  <c r="AJ4" i="10" s="1"/>
  <c r="Z4" i="10"/>
  <c r="AI4" i="10" s="1"/>
  <c r="Y4" i="10"/>
  <c r="AH4" i="10" s="1"/>
  <c r="W4" i="10"/>
  <c r="AF4" i="10" s="1"/>
  <c r="V4" i="10"/>
  <c r="AE4" i="10" s="1"/>
  <c r="U4" i="10"/>
  <c r="AD4" i="10" s="1"/>
  <c r="S4" i="10"/>
  <c r="R4" i="10"/>
  <c r="Q4" i="10"/>
  <c r="AK3" i="10"/>
  <c r="AA3" i="10"/>
  <c r="AJ3" i="10" s="1"/>
  <c r="Z3" i="10"/>
  <c r="AI3" i="10" s="1"/>
  <c r="Y3" i="10"/>
  <c r="AH3" i="10" s="1"/>
  <c r="X3" i="10"/>
  <c r="AG3" i="10" s="1"/>
  <c r="W3" i="10"/>
  <c r="AF3" i="10" s="1"/>
  <c r="V3" i="10"/>
  <c r="AE3" i="10" s="1"/>
  <c r="U3" i="10"/>
  <c r="AD3" i="10" s="1"/>
  <c r="T3" i="10"/>
  <c r="AC3" i="10" s="1"/>
  <c r="S3" i="10"/>
  <c r="R3" i="10"/>
  <c r="Q3" i="10"/>
  <c r="G4" i="10"/>
  <c r="F4" i="10"/>
  <c r="E4" i="10"/>
  <c r="D4" i="10"/>
  <c r="C4" i="10"/>
  <c r="G3" i="10"/>
  <c r="F3" i="10"/>
  <c r="E3" i="10"/>
  <c r="D3" i="10"/>
  <c r="C3" i="10"/>
  <c r="D11" i="10"/>
  <c r="C11" i="10"/>
  <c r="B2" i="10"/>
  <c r="B15" i="10"/>
  <c r="B14" i="10"/>
  <c r="AA11" i="10"/>
  <c r="Z11" i="10"/>
  <c r="Y11" i="10"/>
  <c r="W11" i="10"/>
  <c r="V11" i="10"/>
  <c r="U11" i="10"/>
  <c r="S11" i="10"/>
  <c r="R11" i="10"/>
  <c r="Q11" i="10"/>
  <c r="G11" i="10"/>
  <c r="F11" i="10"/>
  <c r="E11" i="10"/>
  <c r="L79" i="8" l="1"/>
  <c r="L81" i="8" s="1"/>
  <c r="L26" i="8"/>
  <c r="L30" i="8" s="1"/>
  <c r="J30" i="8"/>
  <c r="J27" i="8"/>
  <c r="I30" i="8"/>
  <c r="I27" i="8"/>
  <c r="K30" i="8"/>
  <c r="K27" i="8"/>
  <c r="P79" i="8"/>
  <c r="P81" i="8" s="1"/>
  <c r="P26" i="8"/>
  <c r="P30" i="8" s="1"/>
  <c r="P15" i="10"/>
  <c r="P12" i="10"/>
  <c r="P14" i="10"/>
  <c r="AL13" i="8"/>
  <c r="N37" i="8"/>
  <c r="N34" i="8"/>
  <c r="N31" i="8"/>
  <c r="N89" i="8"/>
  <c r="N98" i="8" s="1"/>
  <c r="N119" i="8" s="1"/>
  <c r="M34" i="8"/>
  <c r="M31" i="8"/>
  <c r="M89" i="8"/>
  <c r="M98" i="8" s="1"/>
  <c r="M119" i="8" s="1"/>
  <c r="M120" i="8" s="1"/>
  <c r="M37" i="8"/>
  <c r="O27" i="8"/>
  <c r="O30" i="8"/>
  <c r="AA15" i="10"/>
  <c r="AL15" i="10" s="1"/>
  <c r="S15" i="10"/>
  <c r="AD15" i="10" s="1"/>
  <c r="Q15" i="10"/>
  <c r="V15" i="10"/>
  <c r="AG15" i="10" s="1"/>
  <c r="F15" i="10"/>
  <c r="AL63" i="8"/>
  <c r="AL65" i="8"/>
  <c r="AL45" i="8"/>
  <c r="AL47" i="8"/>
  <c r="AD19" i="8"/>
  <c r="AF19" i="8"/>
  <c r="AL19" i="8" s="1"/>
  <c r="AH18" i="8"/>
  <c r="AJ18" i="8"/>
  <c r="AL18" i="8" s="1"/>
  <c r="AI18" i="8"/>
  <c r="AE19" i="8"/>
  <c r="AC18" i="8"/>
  <c r="AG19" i="8"/>
  <c r="AD18" i="8"/>
  <c r="AH19" i="8"/>
  <c r="AE18" i="8"/>
  <c r="AI19" i="8"/>
  <c r="U15" i="10"/>
  <c r="AF15" i="10" s="1"/>
  <c r="C14" i="10"/>
  <c r="C15" i="10"/>
  <c r="D15" i="10"/>
  <c r="D14" i="10"/>
  <c r="F14" i="10"/>
  <c r="Y15" i="10"/>
  <c r="AJ15" i="10" s="1"/>
  <c r="U14" i="10"/>
  <c r="AF14" i="10" s="1"/>
  <c r="E15" i="10"/>
  <c r="Q14" i="10"/>
  <c r="V14" i="10"/>
  <c r="AG14" i="10" s="1"/>
  <c r="Y14" i="10"/>
  <c r="AJ14" i="10" s="1"/>
  <c r="E14" i="10"/>
  <c r="S14" i="10"/>
  <c r="AD14" i="10" s="1"/>
  <c r="AA14" i="10"/>
  <c r="AL14" i="10" s="1"/>
  <c r="G15" i="10"/>
  <c r="W15" i="10"/>
  <c r="AH15" i="10" s="1"/>
  <c r="T11" i="10"/>
  <c r="R15" i="10"/>
  <c r="AC15" i="10" s="1"/>
  <c r="Z15" i="10"/>
  <c r="AK15" i="10" s="1"/>
  <c r="G14" i="10"/>
  <c r="W14" i="10"/>
  <c r="AH14" i="10" s="1"/>
  <c r="X11" i="10"/>
  <c r="R14" i="10"/>
  <c r="AC14" i="10" s="1"/>
  <c r="Z14" i="10"/>
  <c r="AK14" i="10" s="1"/>
  <c r="L27" i="8" l="1"/>
  <c r="J37" i="8"/>
  <c r="J34" i="8"/>
  <c r="J89" i="8"/>
  <c r="J98" i="8" s="1"/>
  <c r="J119" i="8" s="1"/>
  <c r="J120" i="8" s="1"/>
  <c r="J122" i="8" s="1"/>
  <c r="J31" i="8"/>
  <c r="I34" i="8"/>
  <c r="I89" i="8"/>
  <c r="I98" i="8" s="1"/>
  <c r="I119" i="8" s="1"/>
  <c r="I120" i="8" s="1"/>
  <c r="I122" i="8" s="1"/>
  <c r="I37" i="8"/>
  <c r="I31" i="8"/>
  <c r="K34" i="8"/>
  <c r="K89" i="8"/>
  <c r="K98" i="8" s="1"/>
  <c r="K119" i="8" s="1"/>
  <c r="K120" i="8" s="1"/>
  <c r="K122" i="8" s="1"/>
  <c r="K37" i="8"/>
  <c r="K31" i="8"/>
  <c r="L34" i="8"/>
  <c r="L89" i="8"/>
  <c r="L98" i="8" s="1"/>
  <c r="L119" i="8" s="1"/>
  <c r="L120" i="8" s="1"/>
  <c r="L122" i="8" s="1"/>
  <c r="L37" i="8"/>
  <c r="L31" i="8"/>
  <c r="M122" i="8"/>
  <c r="N113" i="8"/>
  <c r="N115" i="8" s="1"/>
  <c r="N120" i="8" s="1"/>
  <c r="P27" i="8"/>
  <c r="O34" i="8"/>
  <c r="O31" i="8"/>
  <c r="O89" i="8"/>
  <c r="O98" i="8" s="1"/>
  <c r="O119" i="8" s="1"/>
  <c r="O37" i="8"/>
  <c r="P37" i="8"/>
  <c r="P34" i="8"/>
  <c r="P31" i="8"/>
  <c r="P89" i="8"/>
  <c r="P98" i="8" s="1"/>
  <c r="P119" i="8" s="1"/>
  <c r="AC11" i="10"/>
  <c r="AJ11" i="10"/>
  <c r="AH11" i="10"/>
  <c r="AF11" i="10"/>
  <c r="AK11" i="10"/>
  <c r="AK12" i="10" s="1"/>
  <c r="AE11" i="10"/>
  <c r="AL11" i="10"/>
  <c r="AD11" i="10"/>
  <c r="AG11" i="10"/>
  <c r="AI11" i="10"/>
  <c r="T15" i="10"/>
  <c r="AE15" i="10" s="1"/>
  <c r="T14" i="10"/>
  <c r="AE14" i="10" s="1"/>
  <c r="X15" i="10"/>
  <c r="AI15" i="10" s="1"/>
  <c r="X14" i="10"/>
  <c r="AI14" i="10" s="1"/>
  <c r="N122" i="8" l="1"/>
  <c r="O113" i="8"/>
  <c r="O115" i="8" s="1"/>
  <c r="O120" i="8" s="1"/>
  <c r="O122" i="8" s="1"/>
  <c r="AG24" i="8"/>
  <c r="AF24" i="8"/>
  <c r="K14" i="9"/>
  <c r="O14" i="9"/>
  <c r="AJ17" i="8"/>
  <c r="AF17" i="8"/>
  <c r="AI36" i="8"/>
  <c r="AH36" i="8"/>
  <c r="AG36" i="8"/>
  <c r="AF36" i="8"/>
  <c r="AE36" i="8"/>
  <c r="AD36" i="8"/>
  <c r="AC36" i="8"/>
  <c r="AI33" i="8"/>
  <c r="AH33" i="8"/>
  <c r="AF33" i="8"/>
  <c r="AE33" i="8"/>
  <c r="AD33" i="8"/>
  <c r="K55" i="9"/>
  <c r="T55" i="9" s="1"/>
  <c r="AG44" i="8"/>
  <c r="AC48" i="8"/>
  <c r="AG48" i="8"/>
  <c r="K63" i="9"/>
  <c r="T63" i="9" s="1"/>
  <c r="K66" i="9"/>
  <c r="T66" i="9" s="1"/>
  <c r="AC58" i="8"/>
  <c r="AC57" i="8"/>
  <c r="AC53" i="8"/>
  <c r="K65" i="9"/>
  <c r="T65" i="9" s="1"/>
  <c r="K67" i="9"/>
  <c r="T67" i="9" s="1"/>
  <c r="AG58" i="8"/>
  <c r="AG57" i="8"/>
  <c r="AG53" i="8"/>
  <c r="AG52" i="8"/>
  <c r="AG62" i="8"/>
  <c r="AG69" i="8"/>
  <c r="K73" i="9"/>
  <c r="T73" i="9" s="1"/>
  <c r="AA49" i="8"/>
  <c r="Z49" i="8"/>
  <c r="Y49" i="8"/>
  <c r="W49" i="8"/>
  <c r="V49" i="8"/>
  <c r="U49" i="8"/>
  <c r="S49" i="8"/>
  <c r="R49" i="8"/>
  <c r="Q49" i="8"/>
  <c r="G49" i="8"/>
  <c r="F49" i="8"/>
  <c r="E49" i="8"/>
  <c r="D49" i="8"/>
  <c r="C49" i="8"/>
  <c r="C59" i="8" s="1"/>
  <c r="X110" i="8"/>
  <c r="T110" i="8"/>
  <c r="X109" i="8"/>
  <c r="T109" i="8"/>
  <c r="X108" i="8"/>
  <c r="T108" i="8"/>
  <c r="K47" i="9" s="1"/>
  <c r="X104" i="8"/>
  <c r="O45" i="9" s="1"/>
  <c r="T104" i="8"/>
  <c r="AD104" i="8" s="1"/>
  <c r="X103" i="8"/>
  <c r="T103" i="8"/>
  <c r="K46" i="9" s="1"/>
  <c r="X102" i="8"/>
  <c r="T102" i="8"/>
  <c r="X101" i="8"/>
  <c r="T101" i="8"/>
  <c r="AJ58" i="8"/>
  <c r="AI58" i="8"/>
  <c r="AH58" i="8"/>
  <c r="AF58" i="8"/>
  <c r="AE58" i="8"/>
  <c r="AD58" i="8"/>
  <c r="AJ57" i="8"/>
  <c r="AI57" i="8"/>
  <c r="AH57" i="8"/>
  <c r="AF57" i="8"/>
  <c r="AE57" i="8"/>
  <c r="AD57" i="8"/>
  <c r="AJ48" i="8"/>
  <c r="AI48" i="8"/>
  <c r="AH48" i="8"/>
  <c r="AF48" i="8"/>
  <c r="AE48" i="8"/>
  <c r="AD48" i="8"/>
  <c r="C111" i="8"/>
  <c r="C105" i="8"/>
  <c r="C86" i="8"/>
  <c r="C85" i="8"/>
  <c r="C78" i="8"/>
  <c r="C66" i="8"/>
  <c r="C72" i="8" s="1"/>
  <c r="C41" i="8"/>
  <c r="C40" i="8"/>
  <c r="C11" i="8"/>
  <c r="Z84" i="9"/>
  <c r="Y84" i="9"/>
  <c r="X84" i="9"/>
  <c r="W84" i="9"/>
  <c r="V84" i="9"/>
  <c r="U84" i="9"/>
  <c r="T84" i="9"/>
  <c r="Z83" i="9"/>
  <c r="Y83" i="9"/>
  <c r="X83" i="9"/>
  <c r="W83" i="9"/>
  <c r="V83" i="9"/>
  <c r="U83" i="9"/>
  <c r="T83" i="9"/>
  <c r="Z82" i="9"/>
  <c r="Y82" i="9"/>
  <c r="X82" i="9"/>
  <c r="W82" i="9"/>
  <c r="V82" i="9"/>
  <c r="U82" i="9"/>
  <c r="T82" i="9"/>
  <c r="Z81" i="9"/>
  <c r="Y81" i="9"/>
  <c r="X81" i="9"/>
  <c r="W81" i="9"/>
  <c r="V81" i="9"/>
  <c r="U81" i="9"/>
  <c r="T81" i="9"/>
  <c r="Z80" i="9"/>
  <c r="Y80" i="9"/>
  <c r="X80" i="9"/>
  <c r="W80" i="9"/>
  <c r="V80" i="9"/>
  <c r="U80" i="9"/>
  <c r="T80" i="9"/>
  <c r="Z79" i="9"/>
  <c r="Y79" i="9"/>
  <c r="X79" i="9"/>
  <c r="W79" i="9"/>
  <c r="V79" i="9"/>
  <c r="U79" i="9"/>
  <c r="T79" i="9"/>
  <c r="T85" i="9" s="1"/>
  <c r="Z78" i="9"/>
  <c r="Y78" i="9"/>
  <c r="X78" i="9"/>
  <c r="W78" i="9"/>
  <c r="V78" i="9"/>
  <c r="U78" i="9"/>
  <c r="T78" i="9"/>
  <c r="Z77" i="9"/>
  <c r="Y77" i="9"/>
  <c r="X77" i="9"/>
  <c r="W77" i="9"/>
  <c r="V77" i="9"/>
  <c r="U77" i="9"/>
  <c r="U85" i="9" s="1"/>
  <c r="T77" i="9"/>
  <c r="Z76" i="9"/>
  <c r="Y76" i="9"/>
  <c r="X76" i="9"/>
  <c r="W76" i="9"/>
  <c r="V76" i="9"/>
  <c r="U76" i="9"/>
  <c r="T76" i="9"/>
  <c r="Z75" i="9"/>
  <c r="Y75" i="9"/>
  <c r="X75" i="9"/>
  <c r="W75" i="9"/>
  <c r="V75" i="9"/>
  <c r="U75" i="9"/>
  <c r="T75" i="9"/>
  <c r="Z57" i="9"/>
  <c r="Y57" i="9"/>
  <c r="X57" i="9"/>
  <c r="W57" i="9"/>
  <c r="V57" i="9"/>
  <c r="U57" i="9"/>
  <c r="T57" i="9"/>
  <c r="R6" i="9"/>
  <c r="R7" i="9"/>
  <c r="R8" i="9"/>
  <c r="R9" i="9"/>
  <c r="AI74" i="8"/>
  <c r="AH74" i="8"/>
  <c r="AF74" i="8"/>
  <c r="AE74" i="8"/>
  <c r="AD74" i="8"/>
  <c r="AI69" i="8"/>
  <c r="AH69" i="8"/>
  <c r="AF69" i="8"/>
  <c r="AE69" i="8"/>
  <c r="AD69" i="8"/>
  <c r="AI62" i="8"/>
  <c r="AH62" i="8"/>
  <c r="AI53" i="8"/>
  <c r="AH53" i="8"/>
  <c r="AF53" i="8"/>
  <c r="AE53" i="8"/>
  <c r="AD53" i="8"/>
  <c r="AI52" i="8"/>
  <c r="AH52" i="8"/>
  <c r="AF52" i="8"/>
  <c r="AE52" i="8"/>
  <c r="AD52" i="8"/>
  <c r="AI44" i="8"/>
  <c r="AH44" i="8"/>
  <c r="AF44" i="8"/>
  <c r="AE44" i="8"/>
  <c r="AD44" i="8"/>
  <c r="P49" i="9"/>
  <c r="L49" i="9"/>
  <c r="H49" i="9"/>
  <c r="F49" i="9"/>
  <c r="E49" i="9"/>
  <c r="D49" i="9"/>
  <c r="C49" i="9"/>
  <c r="P48" i="9"/>
  <c r="L48" i="9"/>
  <c r="H48" i="9"/>
  <c r="F48" i="9"/>
  <c r="E48" i="9"/>
  <c r="D48" i="9"/>
  <c r="C48" i="9"/>
  <c r="R48" i="9"/>
  <c r="M48" i="9"/>
  <c r="I48" i="9"/>
  <c r="O57" i="9"/>
  <c r="K57" i="9"/>
  <c r="R67" i="9"/>
  <c r="AA67" i="9" s="1"/>
  <c r="Q67" i="9"/>
  <c r="Z67" i="9" s="1"/>
  <c r="P67" i="9"/>
  <c r="Y67" i="9" s="1"/>
  <c r="R66" i="9"/>
  <c r="AA66" i="9" s="1"/>
  <c r="Q66" i="9"/>
  <c r="Z66" i="9" s="1"/>
  <c r="P66" i="9"/>
  <c r="Y66" i="9" s="1"/>
  <c r="N66" i="9"/>
  <c r="W66" i="9" s="1"/>
  <c r="M66" i="9"/>
  <c r="V66" i="9" s="1"/>
  <c r="L66" i="9"/>
  <c r="U66" i="9" s="1"/>
  <c r="J66" i="9"/>
  <c r="I66" i="9"/>
  <c r="R65" i="9"/>
  <c r="AA65" i="9" s="1"/>
  <c r="Q65" i="9"/>
  <c r="Z65" i="9" s="1"/>
  <c r="P65" i="9"/>
  <c r="Y65" i="9" s="1"/>
  <c r="N65" i="9"/>
  <c r="W65" i="9" s="1"/>
  <c r="M65" i="9"/>
  <c r="V65" i="9" s="1"/>
  <c r="L65" i="9"/>
  <c r="U65" i="9" s="1"/>
  <c r="J65" i="9"/>
  <c r="I65" i="9"/>
  <c r="R64" i="9"/>
  <c r="AA64" i="9" s="1"/>
  <c r="Q64" i="9"/>
  <c r="Z64" i="9" s="1"/>
  <c r="P64" i="9"/>
  <c r="Y64" i="9" s="1"/>
  <c r="N64" i="9"/>
  <c r="W64" i="9" s="1"/>
  <c r="M64" i="9"/>
  <c r="V64" i="9" s="1"/>
  <c r="L64" i="9"/>
  <c r="U64" i="9" s="1"/>
  <c r="J64" i="9"/>
  <c r="I64" i="9"/>
  <c r="R63" i="9"/>
  <c r="AA63" i="9" s="1"/>
  <c r="Q63" i="9"/>
  <c r="Z63" i="9" s="1"/>
  <c r="P63" i="9"/>
  <c r="Y63" i="9" s="1"/>
  <c r="N63" i="9"/>
  <c r="W63" i="9" s="1"/>
  <c r="M63" i="9"/>
  <c r="V63" i="9" s="1"/>
  <c r="L63" i="9"/>
  <c r="U63" i="9" s="1"/>
  <c r="J63" i="9"/>
  <c r="I63" i="9"/>
  <c r="H66" i="9"/>
  <c r="H65" i="9"/>
  <c r="H64" i="9"/>
  <c r="H63" i="9"/>
  <c r="F66" i="9"/>
  <c r="E66" i="9"/>
  <c r="D66" i="9"/>
  <c r="F65" i="9"/>
  <c r="E65" i="9"/>
  <c r="D65" i="9"/>
  <c r="F64" i="9"/>
  <c r="E64" i="9"/>
  <c r="D64" i="9"/>
  <c r="F63" i="9"/>
  <c r="E63" i="9"/>
  <c r="D63" i="9"/>
  <c r="C66" i="9"/>
  <c r="C65" i="9"/>
  <c r="C64" i="9"/>
  <c r="C63" i="9"/>
  <c r="R73" i="9"/>
  <c r="Q73" i="9"/>
  <c r="Z73" i="9" s="1"/>
  <c r="P73" i="9"/>
  <c r="Y73" i="9" s="1"/>
  <c r="N73" i="9"/>
  <c r="W73" i="9" s="1"/>
  <c r="M73" i="9"/>
  <c r="V73" i="9" s="1"/>
  <c r="L73" i="9"/>
  <c r="U73" i="9" s="1"/>
  <c r="J73" i="9"/>
  <c r="I73" i="9"/>
  <c r="R72" i="9"/>
  <c r="Q72" i="9"/>
  <c r="Z72" i="9" s="1"/>
  <c r="P72" i="9"/>
  <c r="Y72" i="9" s="1"/>
  <c r="N72" i="9"/>
  <c r="W72" i="9" s="1"/>
  <c r="M72" i="9"/>
  <c r="V72" i="9" s="1"/>
  <c r="L72" i="9"/>
  <c r="U72" i="9" s="1"/>
  <c r="J72" i="9"/>
  <c r="I72" i="9"/>
  <c r="H73" i="9"/>
  <c r="H72" i="9"/>
  <c r="F73" i="9"/>
  <c r="E73" i="9"/>
  <c r="D73" i="9"/>
  <c r="F72" i="9"/>
  <c r="E72" i="9"/>
  <c r="D72" i="9"/>
  <c r="C73" i="9"/>
  <c r="C72" i="9"/>
  <c r="AA75" i="9"/>
  <c r="AA76" i="9"/>
  <c r="N57" i="9"/>
  <c r="M57" i="9"/>
  <c r="L57" i="9"/>
  <c r="J57" i="9"/>
  <c r="I57" i="9"/>
  <c r="H57" i="9"/>
  <c r="R57" i="9"/>
  <c r="Q57" i="9"/>
  <c r="P57" i="9"/>
  <c r="P41" i="9"/>
  <c r="L41" i="9"/>
  <c r="O75" i="9"/>
  <c r="K75" i="9"/>
  <c r="O76" i="9"/>
  <c r="K76" i="9"/>
  <c r="C57" i="9"/>
  <c r="C59" i="9"/>
  <c r="R85" i="9"/>
  <c r="Q85" i="9"/>
  <c r="P85" i="9"/>
  <c r="N85" i="9"/>
  <c r="M85" i="9"/>
  <c r="L85" i="9"/>
  <c r="J85" i="9"/>
  <c r="I85" i="9"/>
  <c r="H85" i="9"/>
  <c r="F85" i="9"/>
  <c r="E85" i="9"/>
  <c r="D85" i="9"/>
  <c r="C85" i="9"/>
  <c r="AA84" i="9"/>
  <c r="O84" i="9"/>
  <c r="K84" i="9"/>
  <c r="AA83" i="9"/>
  <c r="O83" i="9"/>
  <c r="K83" i="9"/>
  <c r="AA82" i="9"/>
  <c r="AA81" i="9"/>
  <c r="AA80" i="9"/>
  <c r="AA79" i="9"/>
  <c r="AA78" i="9"/>
  <c r="AA77" i="9"/>
  <c r="V85" i="9"/>
  <c r="O77" i="9"/>
  <c r="K77" i="9"/>
  <c r="F41" i="9"/>
  <c r="R56" i="9"/>
  <c r="Q56" i="9"/>
  <c r="Z56" i="9" s="1"/>
  <c r="P56" i="9"/>
  <c r="Y56" i="9" s="1"/>
  <c r="N56" i="9"/>
  <c r="W56" i="9" s="1"/>
  <c r="M56" i="9"/>
  <c r="V56" i="9" s="1"/>
  <c r="L56" i="9"/>
  <c r="U56" i="9" s="1"/>
  <c r="J56" i="9"/>
  <c r="I56" i="9"/>
  <c r="H56" i="9"/>
  <c r="F56" i="9"/>
  <c r="E56" i="9"/>
  <c r="D56" i="9"/>
  <c r="C56" i="9"/>
  <c r="R55" i="9"/>
  <c r="Q55" i="9"/>
  <c r="Z55" i="9" s="1"/>
  <c r="P55" i="9"/>
  <c r="Y55" i="9" s="1"/>
  <c r="N55" i="9"/>
  <c r="W55" i="9" s="1"/>
  <c r="M55" i="9"/>
  <c r="V55" i="9" s="1"/>
  <c r="L55" i="9"/>
  <c r="U55" i="9" s="1"/>
  <c r="J55" i="9"/>
  <c r="I55" i="9"/>
  <c r="H55" i="9"/>
  <c r="F55" i="9"/>
  <c r="E55" i="9"/>
  <c r="D55" i="9"/>
  <c r="C55" i="9"/>
  <c r="L47" i="9"/>
  <c r="H47" i="9"/>
  <c r="F47" i="9"/>
  <c r="E47" i="9"/>
  <c r="C47" i="9"/>
  <c r="N47" i="9"/>
  <c r="D47" i="9"/>
  <c r="P46" i="9"/>
  <c r="L46" i="9"/>
  <c r="J46" i="9"/>
  <c r="I46" i="9"/>
  <c r="H46" i="9"/>
  <c r="F46" i="9"/>
  <c r="E46" i="9"/>
  <c r="D46" i="9"/>
  <c r="C46" i="9"/>
  <c r="P45" i="9"/>
  <c r="M45" i="9"/>
  <c r="L45" i="9"/>
  <c r="J45" i="9"/>
  <c r="I45" i="9"/>
  <c r="H45" i="9"/>
  <c r="F45" i="9"/>
  <c r="E45" i="9"/>
  <c r="C45" i="9"/>
  <c r="R39" i="9"/>
  <c r="Q39" i="9"/>
  <c r="P39" i="9"/>
  <c r="N39" i="9"/>
  <c r="M39" i="9"/>
  <c r="L39" i="9"/>
  <c r="J39" i="9"/>
  <c r="I39" i="9"/>
  <c r="H39" i="9"/>
  <c r="F40" i="9"/>
  <c r="O40" i="9" s="1"/>
  <c r="P40" i="9" s="1"/>
  <c r="Q40" i="9" s="1"/>
  <c r="R40" i="9" s="1"/>
  <c r="E40" i="9"/>
  <c r="H40" i="9" s="1"/>
  <c r="D40" i="9"/>
  <c r="C40" i="9"/>
  <c r="F39" i="9"/>
  <c r="E39" i="9"/>
  <c r="D39" i="9"/>
  <c r="C39" i="9"/>
  <c r="P38" i="9"/>
  <c r="L38" i="9"/>
  <c r="H38" i="9"/>
  <c r="F38" i="9"/>
  <c r="E38" i="9"/>
  <c r="D38" i="9"/>
  <c r="C38" i="9"/>
  <c r="P32" i="9"/>
  <c r="L32" i="9"/>
  <c r="H32" i="9"/>
  <c r="F32" i="9"/>
  <c r="E32" i="9"/>
  <c r="D32" i="9"/>
  <c r="C32" i="9"/>
  <c r="R15" i="9"/>
  <c r="Q15" i="9"/>
  <c r="P15" i="9"/>
  <c r="N15" i="9"/>
  <c r="M15" i="9"/>
  <c r="L15" i="9"/>
  <c r="J15" i="9"/>
  <c r="I15" i="9"/>
  <c r="R14" i="9"/>
  <c r="Q14" i="9"/>
  <c r="P14" i="9"/>
  <c r="N14" i="9"/>
  <c r="M14" i="9"/>
  <c r="L14" i="9"/>
  <c r="J14" i="9"/>
  <c r="I14" i="9"/>
  <c r="H15" i="9"/>
  <c r="H14" i="9"/>
  <c r="P27" i="9"/>
  <c r="L27" i="9"/>
  <c r="H27" i="9"/>
  <c r="F27" i="9"/>
  <c r="E27" i="9"/>
  <c r="D27" i="9"/>
  <c r="C27" i="9"/>
  <c r="R23" i="9"/>
  <c r="R34" i="9" s="1"/>
  <c r="Q23" i="9"/>
  <c r="Q34" i="9" s="1"/>
  <c r="P23" i="9"/>
  <c r="P34" i="9" s="1"/>
  <c r="N23" i="9"/>
  <c r="N34" i="9" s="1"/>
  <c r="M23" i="9"/>
  <c r="M34" i="9" s="1"/>
  <c r="L23" i="9"/>
  <c r="L34" i="9" s="1"/>
  <c r="J23" i="9"/>
  <c r="J34" i="9" s="1"/>
  <c r="I23" i="9"/>
  <c r="I34" i="9" s="1"/>
  <c r="R22" i="9"/>
  <c r="R33" i="9" s="1"/>
  <c r="Q22" i="9"/>
  <c r="Q33" i="9" s="1"/>
  <c r="P22" i="9"/>
  <c r="P33" i="9" s="1"/>
  <c r="N22" i="9"/>
  <c r="N33" i="9" s="1"/>
  <c r="M22" i="9"/>
  <c r="M33" i="9" s="1"/>
  <c r="L22" i="9"/>
  <c r="L33" i="9" s="1"/>
  <c r="J22" i="9"/>
  <c r="J33" i="9" s="1"/>
  <c r="I22" i="9"/>
  <c r="I33" i="9" s="1"/>
  <c r="R21" i="9"/>
  <c r="Q21" i="9"/>
  <c r="P21" i="9"/>
  <c r="N21" i="9"/>
  <c r="M21" i="9"/>
  <c r="L21" i="9"/>
  <c r="J21" i="9"/>
  <c r="I21" i="9"/>
  <c r="R20" i="9"/>
  <c r="Q20" i="9"/>
  <c r="P20" i="9"/>
  <c r="N20" i="9"/>
  <c r="M20" i="9"/>
  <c r="L20" i="9"/>
  <c r="J20" i="9"/>
  <c r="I20" i="9"/>
  <c r="R19" i="9"/>
  <c r="Q19" i="9"/>
  <c r="P19" i="9"/>
  <c r="N19" i="9"/>
  <c r="M19" i="9"/>
  <c r="L19" i="9"/>
  <c r="J19" i="9"/>
  <c r="I19" i="9"/>
  <c r="H23" i="9"/>
  <c r="H34" i="9" s="1"/>
  <c r="H22" i="9"/>
  <c r="H33" i="9" s="1"/>
  <c r="H21" i="9"/>
  <c r="H20" i="9"/>
  <c r="H19" i="9"/>
  <c r="F23" i="9"/>
  <c r="F34" i="9" s="1"/>
  <c r="E23" i="9"/>
  <c r="E34" i="9" s="1"/>
  <c r="D23" i="9"/>
  <c r="D34" i="9" s="1"/>
  <c r="C23" i="9"/>
  <c r="C34" i="9" s="1"/>
  <c r="F22" i="9"/>
  <c r="F33" i="9" s="1"/>
  <c r="E22" i="9"/>
  <c r="E33" i="9" s="1"/>
  <c r="D22" i="9"/>
  <c r="D33" i="9" s="1"/>
  <c r="C22" i="9"/>
  <c r="C33" i="9" s="1"/>
  <c r="F21" i="9"/>
  <c r="E21" i="9"/>
  <c r="D21" i="9"/>
  <c r="C21" i="9"/>
  <c r="F20" i="9"/>
  <c r="E20" i="9"/>
  <c r="D20" i="9"/>
  <c r="C20" i="9"/>
  <c r="F19" i="9"/>
  <c r="E19" i="9"/>
  <c r="D19" i="9"/>
  <c r="C19" i="9"/>
  <c r="F15" i="9"/>
  <c r="E15" i="9"/>
  <c r="D15" i="9"/>
  <c r="C15" i="9"/>
  <c r="F14" i="9"/>
  <c r="E14" i="9"/>
  <c r="D14" i="9"/>
  <c r="C14" i="9"/>
  <c r="Q9" i="9"/>
  <c r="P9" i="9"/>
  <c r="N9" i="9"/>
  <c r="M9" i="9"/>
  <c r="L9" i="9"/>
  <c r="K9" i="9"/>
  <c r="J9" i="9"/>
  <c r="I9" i="9"/>
  <c r="H9" i="9"/>
  <c r="Q8" i="9"/>
  <c r="P8" i="9"/>
  <c r="N8" i="9"/>
  <c r="M8" i="9"/>
  <c r="L8" i="9"/>
  <c r="K8" i="9"/>
  <c r="J8" i="9"/>
  <c r="I8" i="9"/>
  <c r="H8" i="9"/>
  <c r="Q7" i="9"/>
  <c r="P7" i="9"/>
  <c r="N7" i="9"/>
  <c r="M7" i="9"/>
  <c r="L7" i="9"/>
  <c r="K7" i="9"/>
  <c r="J7" i="9"/>
  <c r="I7" i="9"/>
  <c r="H7" i="9"/>
  <c r="Q6" i="9"/>
  <c r="P6" i="9"/>
  <c r="N6" i="9"/>
  <c r="M6" i="9"/>
  <c r="L6" i="9"/>
  <c r="K6" i="9"/>
  <c r="J6" i="9"/>
  <c r="I6" i="9"/>
  <c r="H6" i="9"/>
  <c r="F9" i="9"/>
  <c r="E9" i="9"/>
  <c r="D9" i="9"/>
  <c r="C9" i="9"/>
  <c r="F8" i="9"/>
  <c r="E8" i="9"/>
  <c r="D8" i="9"/>
  <c r="C8" i="9"/>
  <c r="F7" i="9"/>
  <c r="E7" i="9"/>
  <c r="D7" i="9"/>
  <c r="C7" i="9"/>
  <c r="F6" i="9"/>
  <c r="E6" i="9"/>
  <c r="D6" i="9"/>
  <c r="C6" i="9"/>
  <c r="B9" i="9"/>
  <c r="B8" i="9"/>
  <c r="B7" i="9"/>
  <c r="B6" i="9"/>
  <c r="R44" i="9"/>
  <c r="N44" i="9"/>
  <c r="F44" i="9"/>
  <c r="E44" i="9"/>
  <c r="D44" i="9"/>
  <c r="C44" i="9"/>
  <c r="X96" i="8"/>
  <c r="T96" i="8"/>
  <c r="AE96" i="8" s="1"/>
  <c r="T125" i="8"/>
  <c r="T94" i="8"/>
  <c r="K32" i="9" s="1"/>
  <c r="J27" i="9"/>
  <c r="J38" i="9"/>
  <c r="R45" i="9"/>
  <c r="R46" i="9"/>
  <c r="R38" i="9"/>
  <c r="R32" i="9"/>
  <c r="R27" i="9"/>
  <c r="M46" i="9"/>
  <c r="N38" i="9"/>
  <c r="X95" i="8"/>
  <c r="N32" i="9"/>
  <c r="N27" i="9"/>
  <c r="P47" i="9"/>
  <c r="AF62" i="8"/>
  <c r="M67" i="9"/>
  <c r="V67" i="9" s="1"/>
  <c r="L67" i="9"/>
  <c r="U67" i="9" s="1"/>
  <c r="J67" i="9"/>
  <c r="I67" i="9"/>
  <c r="H67" i="9"/>
  <c r="C67" i="9"/>
  <c r="D67" i="9"/>
  <c r="O78" i="9"/>
  <c r="K78" i="9"/>
  <c r="O82" i="9"/>
  <c r="O81" i="9"/>
  <c r="O80" i="9"/>
  <c r="O79" i="9"/>
  <c r="K82" i="9"/>
  <c r="K81" i="9"/>
  <c r="K80" i="9"/>
  <c r="K79" i="9"/>
  <c r="T126" i="8"/>
  <c r="K39" i="9" s="1"/>
  <c r="X126" i="8"/>
  <c r="O39" i="9" s="1"/>
  <c r="X125" i="8"/>
  <c r="X118" i="8"/>
  <c r="X117" i="8"/>
  <c r="AG117" i="8" s="1"/>
  <c r="T118" i="8"/>
  <c r="T117" i="8"/>
  <c r="AF117" i="8" s="1"/>
  <c r="AJ74" i="8"/>
  <c r="AJ69" i="8"/>
  <c r="AJ62" i="8"/>
  <c r="AJ53" i="8"/>
  <c r="AJ52" i="8"/>
  <c r="AJ44" i="8"/>
  <c r="D45" i="9"/>
  <c r="K64" i="9"/>
  <c r="T64" i="9" s="1"/>
  <c r="AC69" i="8"/>
  <c r="AG74" i="8"/>
  <c r="AC74" i="8"/>
  <c r="AI29" i="8"/>
  <c r="AC29" i="8"/>
  <c r="T33" i="8"/>
  <c r="AC33" i="8" s="1"/>
  <c r="O23" i="9"/>
  <c r="O34" i="9" s="1"/>
  <c r="K23" i="9"/>
  <c r="K34" i="9" s="1"/>
  <c r="O21" i="9"/>
  <c r="K21" i="9"/>
  <c r="O72" i="9"/>
  <c r="X72" i="9" s="1"/>
  <c r="K72" i="9"/>
  <c r="T72" i="9" s="1"/>
  <c r="AJ33" i="8"/>
  <c r="AJ36" i="8"/>
  <c r="X33" i="8"/>
  <c r="AG33" i="8" s="1"/>
  <c r="P113" i="8" l="1"/>
  <c r="P115" i="8" s="1"/>
  <c r="P120" i="8" s="1"/>
  <c r="P122" i="8" s="1"/>
  <c r="C21" i="8"/>
  <c r="C26" i="8" s="1"/>
  <c r="C14" i="8"/>
  <c r="C15" i="8" s="1"/>
  <c r="AJ24" i="8"/>
  <c r="AL24" i="8" s="1"/>
  <c r="C12" i="10"/>
  <c r="W8" i="9"/>
  <c r="V9" i="9"/>
  <c r="T7" i="9"/>
  <c r="U6" i="9"/>
  <c r="W9" i="9"/>
  <c r="T6" i="9"/>
  <c r="V6" i="9"/>
  <c r="U7" i="9"/>
  <c r="T8" i="9"/>
  <c r="W6" i="9"/>
  <c r="V7" i="9"/>
  <c r="U8" i="9"/>
  <c r="T9" i="9"/>
  <c r="W7" i="9"/>
  <c r="V8" i="9"/>
  <c r="U9" i="9"/>
  <c r="AH24" i="8"/>
  <c r="AI24" i="8"/>
  <c r="AC24" i="8"/>
  <c r="AD24" i="8"/>
  <c r="AE24" i="8"/>
  <c r="AF49" i="8"/>
  <c r="AH49" i="8"/>
  <c r="AI49" i="8"/>
  <c r="AJ49" i="8"/>
  <c r="X49" i="8"/>
  <c r="T49" i="8"/>
  <c r="K56" i="9"/>
  <c r="T56" i="9" s="1"/>
  <c r="AG49" i="8"/>
  <c r="X93" i="8"/>
  <c r="AJ93" i="8" s="1"/>
  <c r="AL57" i="8"/>
  <c r="AL58" i="8"/>
  <c r="AL48" i="8"/>
  <c r="W14" i="9"/>
  <c r="C79" i="8"/>
  <c r="C81" i="8" s="1"/>
  <c r="V21" i="9"/>
  <c r="U14" i="9"/>
  <c r="X34" i="9"/>
  <c r="V14" i="9"/>
  <c r="AC96" i="8"/>
  <c r="AF96" i="8"/>
  <c r="AI96" i="8"/>
  <c r="U46" i="9"/>
  <c r="T34" i="9"/>
  <c r="T14" i="9"/>
  <c r="V46" i="9"/>
  <c r="W21" i="9"/>
  <c r="U34" i="9"/>
  <c r="Y21" i="9"/>
  <c r="Y34" i="9"/>
  <c r="X14" i="9"/>
  <c r="V34" i="9"/>
  <c r="Z21" i="9"/>
  <c r="Z34" i="9"/>
  <c r="Y14" i="9"/>
  <c r="X21" i="9"/>
  <c r="T21" i="9"/>
  <c r="Z14" i="9"/>
  <c r="T46" i="9"/>
  <c r="AC108" i="8"/>
  <c r="AD103" i="8"/>
  <c r="AE104" i="8"/>
  <c r="Z23" i="9"/>
  <c r="W34" i="9"/>
  <c r="AC62" i="8"/>
  <c r="AD96" i="8"/>
  <c r="AE103" i="8"/>
  <c r="AF104" i="8"/>
  <c r="AD62" i="8"/>
  <c r="AC94" i="8"/>
  <c r="AG104" i="8"/>
  <c r="T23" i="9"/>
  <c r="AC44" i="8"/>
  <c r="AE62" i="8"/>
  <c r="AD94" i="8"/>
  <c r="AH104" i="8"/>
  <c r="U23" i="9"/>
  <c r="AE94" i="8"/>
  <c r="AG96" i="8"/>
  <c r="AI104" i="8"/>
  <c r="AD108" i="8"/>
  <c r="V23" i="9"/>
  <c r="AF94" i="8"/>
  <c r="AG95" i="8"/>
  <c r="AH96" i="8"/>
  <c r="AE108" i="8"/>
  <c r="U21" i="9"/>
  <c r="W23" i="9"/>
  <c r="AC52" i="8"/>
  <c r="AH95" i="8"/>
  <c r="AC104" i="8"/>
  <c r="AF108" i="8"/>
  <c r="X23" i="9"/>
  <c r="AI95" i="8"/>
  <c r="AC103" i="8"/>
  <c r="Y23" i="9"/>
  <c r="N49" i="9"/>
  <c r="AD29" i="8"/>
  <c r="AE29" i="8"/>
  <c r="AF29" i="8"/>
  <c r="AG29" i="8"/>
  <c r="AH29" i="8"/>
  <c r="J49" i="9"/>
  <c r="AC17" i="8"/>
  <c r="AL77" i="8"/>
  <c r="AD17" i="8"/>
  <c r="AL53" i="8"/>
  <c r="AL69" i="8"/>
  <c r="AE17" i="8"/>
  <c r="AG17" i="8"/>
  <c r="AH17" i="8"/>
  <c r="R49" i="9"/>
  <c r="AI17" i="8"/>
  <c r="M49" i="9"/>
  <c r="Y105" i="8"/>
  <c r="E41" i="9"/>
  <c r="I49" i="9"/>
  <c r="Q49" i="9"/>
  <c r="C41" i="9"/>
  <c r="Q48" i="9"/>
  <c r="D41" i="9"/>
  <c r="R41" i="9"/>
  <c r="I41" i="9"/>
  <c r="Q41" i="9"/>
  <c r="J41" i="9"/>
  <c r="O66" i="9"/>
  <c r="X66" i="9" s="1"/>
  <c r="N67" i="9"/>
  <c r="W67" i="9" s="1"/>
  <c r="O63" i="9"/>
  <c r="X63" i="9" s="1"/>
  <c r="O67" i="9"/>
  <c r="X67" i="9" s="1"/>
  <c r="M41" i="9"/>
  <c r="O73" i="9"/>
  <c r="X73" i="9" s="1"/>
  <c r="O64" i="9"/>
  <c r="X64" i="9" s="1"/>
  <c r="E67" i="9"/>
  <c r="D105" i="8"/>
  <c r="H41" i="9"/>
  <c r="F67" i="9"/>
  <c r="O65" i="9"/>
  <c r="X65" i="9" s="1"/>
  <c r="Y85" i="9"/>
  <c r="AA85" i="9"/>
  <c r="W85" i="9"/>
  <c r="K85" i="9"/>
  <c r="X85" i="9"/>
  <c r="Z85" i="9"/>
  <c r="O85" i="9"/>
  <c r="G105" i="8"/>
  <c r="R47" i="9"/>
  <c r="M47" i="9"/>
  <c r="K22" i="9"/>
  <c r="T22" i="9" s="1"/>
  <c r="M32" i="9"/>
  <c r="W32" i="9" s="1"/>
  <c r="O20" i="9"/>
  <c r="Z20" i="9" s="1"/>
  <c r="R28" i="9"/>
  <c r="Q44" i="9"/>
  <c r="K45" i="9"/>
  <c r="U45" i="9" s="1"/>
  <c r="I47" i="9"/>
  <c r="O56" i="9"/>
  <c r="X56" i="9" s="1"/>
  <c r="J47" i="9"/>
  <c r="O55" i="9"/>
  <c r="X55" i="9" s="1"/>
  <c r="I44" i="9"/>
  <c r="I27" i="9"/>
  <c r="Q27" i="9"/>
  <c r="K15" i="9"/>
  <c r="H44" i="9"/>
  <c r="P44" i="9"/>
  <c r="Q45" i="9"/>
  <c r="K19" i="9"/>
  <c r="T19" i="9" s="1"/>
  <c r="M38" i="9"/>
  <c r="M27" i="9"/>
  <c r="O15" i="9"/>
  <c r="Z15" i="9" s="1"/>
  <c r="L44" i="9"/>
  <c r="U105" i="8"/>
  <c r="K20" i="9"/>
  <c r="T20" i="9" s="1"/>
  <c r="O22" i="9"/>
  <c r="AA22" i="9" s="1"/>
  <c r="I32" i="9"/>
  <c r="Q32" i="9"/>
  <c r="M44" i="9"/>
  <c r="N45" i="9"/>
  <c r="J32" i="9"/>
  <c r="O19" i="9"/>
  <c r="Z19" i="9" s="1"/>
  <c r="I38" i="9"/>
  <c r="Q38" i="9"/>
  <c r="Q46" i="9"/>
  <c r="P28" i="9"/>
  <c r="J40" i="9"/>
  <c r="AA34" i="9"/>
  <c r="F28" i="9"/>
  <c r="I40" i="9"/>
  <c r="K40" i="9"/>
  <c r="L40" i="9"/>
  <c r="M40" i="9"/>
  <c r="N40" i="9"/>
  <c r="E28" i="9"/>
  <c r="N28" i="9"/>
  <c r="J28" i="9"/>
  <c r="AA23" i="9"/>
  <c r="C28" i="9"/>
  <c r="D28" i="9"/>
  <c r="H28" i="9"/>
  <c r="AA21" i="9"/>
  <c r="L28" i="9"/>
  <c r="I28" i="9"/>
  <c r="Q28" i="9"/>
  <c r="M28" i="9"/>
  <c r="E105" i="8"/>
  <c r="Q105" i="8"/>
  <c r="F105" i="8"/>
  <c r="T97" i="8"/>
  <c r="X97" i="8"/>
  <c r="AI97" i="8" s="1"/>
  <c r="AJ96" i="8"/>
  <c r="T95" i="8"/>
  <c r="AC95" i="8" s="1"/>
  <c r="AF101" i="8"/>
  <c r="T92" i="8"/>
  <c r="AC92" i="8" s="1"/>
  <c r="AA105" i="8"/>
  <c r="X94" i="8"/>
  <c r="AG101" i="8"/>
  <c r="AH102" i="8"/>
  <c r="X92" i="8"/>
  <c r="AG92" i="8" s="1"/>
  <c r="AD117" i="8"/>
  <c r="AJ95" i="8"/>
  <c r="AJ117" i="8"/>
  <c r="AI117" i="8"/>
  <c r="AH117" i="8"/>
  <c r="AE117" i="8"/>
  <c r="AC117" i="8"/>
  <c r="AJ104" i="8"/>
  <c r="AJ29" i="8"/>
  <c r="AL36" i="8"/>
  <c r="Q113" i="8" l="1"/>
  <c r="W10" i="9"/>
  <c r="V10" i="9"/>
  <c r="U10" i="9"/>
  <c r="T10" i="9"/>
  <c r="AG93" i="8"/>
  <c r="AI93" i="8"/>
  <c r="T93" i="8"/>
  <c r="AF93" i="8" s="1"/>
  <c r="AL93" i="8" s="1"/>
  <c r="AH93" i="8"/>
  <c r="AL96" i="8"/>
  <c r="V32" i="9"/>
  <c r="Z45" i="9"/>
  <c r="X22" i="9"/>
  <c r="C22" i="8"/>
  <c r="V47" i="9"/>
  <c r="Z22" i="9"/>
  <c r="AH97" i="8"/>
  <c r="AC109" i="8"/>
  <c r="U20" i="9"/>
  <c r="AD95" i="8"/>
  <c r="AI102" i="8"/>
  <c r="AD109" i="8"/>
  <c r="AH101" i="8"/>
  <c r="AH94" i="8"/>
  <c r="AI94" i="8"/>
  <c r="K33" i="9"/>
  <c r="W22" i="9"/>
  <c r="AC22" i="9" s="1"/>
  <c r="V22" i="9"/>
  <c r="U47" i="9"/>
  <c r="N48" i="9"/>
  <c r="AG102" i="8"/>
  <c r="AI92" i="8"/>
  <c r="Y22" i="9"/>
  <c r="Y20" i="9"/>
  <c r="X19" i="9"/>
  <c r="J44" i="9"/>
  <c r="W45" i="9"/>
  <c r="V45" i="9"/>
  <c r="K48" i="9"/>
  <c r="AF109" i="8"/>
  <c r="U22" i="9"/>
  <c r="T45" i="9"/>
  <c r="AF103" i="8"/>
  <c r="AG97" i="8"/>
  <c r="X20" i="9"/>
  <c r="T32" i="9"/>
  <c r="U32" i="9"/>
  <c r="J48" i="9"/>
  <c r="AE109" i="8"/>
  <c r="AI101" i="8"/>
  <c r="AD101" i="8"/>
  <c r="AH92" i="8"/>
  <c r="AF92" i="8"/>
  <c r="AD92" i="8"/>
  <c r="AC97" i="8"/>
  <c r="AF97" i="8"/>
  <c r="AD97" i="8"/>
  <c r="U19" i="9"/>
  <c r="W19" i="9"/>
  <c r="V19" i="9"/>
  <c r="AF95" i="8"/>
  <c r="AL95" i="8" s="1"/>
  <c r="AE95" i="8"/>
  <c r="V20" i="9"/>
  <c r="W20" i="9"/>
  <c r="AG94" i="8"/>
  <c r="AE101" i="8"/>
  <c r="AE92" i="8"/>
  <c r="Y15" i="9"/>
  <c r="K28" i="9"/>
  <c r="W28" i="9" s="1"/>
  <c r="W15" i="9"/>
  <c r="U15" i="9"/>
  <c r="Y19" i="9"/>
  <c r="V15" i="9"/>
  <c r="AC101" i="8"/>
  <c r="X45" i="9"/>
  <c r="T15" i="9"/>
  <c r="AE97" i="8"/>
  <c r="T47" i="9"/>
  <c r="Y45" i="9"/>
  <c r="X15" i="9"/>
  <c r="W47" i="9"/>
  <c r="Q47" i="9"/>
  <c r="AC23" i="9"/>
  <c r="AC21" i="9"/>
  <c r="AL104" i="8"/>
  <c r="AC34" i="9"/>
  <c r="K41" i="9"/>
  <c r="O48" i="9"/>
  <c r="N41" i="9"/>
  <c r="AA20" i="9"/>
  <c r="O33" i="9"/>
  <c r="AI103" i="8"/>
  <c r="N46" i="9"/>
  <c r="AJ92" i="8"/>
  <c r="O27" i="9"/>
  <c r="Z27" i="9" s="1"/>
  <c r="O32" i="9"/>
  <c r="K38" i="9"/>
  <c r="S105" i="8"/>
  <c r="AE102" i="8"/>
  <c r="O28" i="9"/>
  <c r="Z28" i="9" s="1"/>
  <c r="O44" i="9"/>
  <c r="Z44" i="9" s="1"/>
  <c r="K27" i="9"/>
  <c r="T27" i="9" s="1"/>
  <c r="AA15" i="9"/>
  <c r="O38" i="9"/>
  <c r="R105" i="8"/>
  <c r="AJ94" i="8"/>
  <c r="AL94" i="8" s="1"/>
  <c r="Z105" i="8"/>
  <c r="AJ102" i="8"/>
  <c r="W105" i="8"/>
  <c r="AJ101" i="8"/>
  <c r="V105" i="8"/>
  <c r="AL29" i="8"/>
  <c r="AA73" i="9"/>
  <c r="AA72" i="9"/>
  <c r="O7" i="9"/>
  <c r="O6" i="9"/>
  <c r="AJ118" i="8"/>
  <c r="AA114" i="8"/>
  <c r="AH118" i="8"/>
  <c r="AJ114" i="8"/>
  <c r="W114" i="8"/>
  <c r="V114" i="8"/>
  <c r="T114" i="8"/>
  <c r="S114" i="8"/>
  <c r="Q111" i="8"/>
  <c r="R111" i="8"/>
  <c r="S111" i="8"/>
  <c r="R114" i="8"/>
  <c r="Y114" i="8"/>
  <c r="U114" i="8"/>
  <c r="AJ97" i="8"/>
  <c r="W16" i="9" l="1"/>
  <c r="W24" i="9" s="1"/>
  <c r="V16" i="9"/>
  <c r="V24" i="9" s="1"/>
  <c r="T16" i="9"/>
  <c r="T24" i="9" s="1"/>
  <c r="U16" i="9"/>
  <c r="U24" i="9" s="1"/>
  <c r="Y7" i="9"/>
  <c r="X7" i="9"/>
  <c r="Z7" i="9"/>
  <c r="Y6" i="9"/>
  <c r="X6" i="9"/>
  <c r="Z6" i="9"/>
  <c r="AC93" i="8"/>
  <c r="AD93" i="8"/>
  <c r="AE93" i="8"/>
  <c r="W48" i="9"/>
  <c r="C30" i="8"/>
  <c r="C89" i="8" s="1"/>
  <c r="C27" i="8"/>
  <c r="O41" i="9"/>
  <c r="U27" i="9"/>
  <c r="AG103" i="8"/>
  <c r="Y27" i="9"/>
  <c r="AC20" i="9"/>
  <c r="X28" i="9"/>
  <c r="V28" i="9"/>
  <c r="X27" i="9"/>
  <c r="AG109" i="8"/>
  <c r="T105" i="8"/>
  <c r="AF102" i="8"/>
  <c r="AL102" i="8" s="1"/>
  <c r="AD102" i="8"/>
  <c r="X44" i="9"/>
  <c r="X32" i="9"/>
  <c r="Z32" i="9"/>
  <c r="T28" i="9"/>
  <c r="AI109" i="8"/>
  <c r="Y28" i="9"/>
  <c r="AH108" i="8"/>
  <c r="AI108" i="8"/>
  <c r="AG108" i="8"/>
  <c r="Y44" i="9"/>
  <c r="AH109" i="8"/>
  <c r="AF110" i="8"/>
  <c r="AD110" i="8"/>
  <c r="AE110" i="8"/>
  <c r="AC110" i="8"/>
  <c r="W27" i="9"/>
  <c r="V27" i="9"/>
  <c r="Y32" i="9"/>
  <c r="V48" i="9"/>
  <c r="U48" i="9"/>
  <c r="T48" i="9"/>
  <c r="Z48" i="9"/>
  <c r="Y48" i="9"/>
  <c r="X48" i="9"/>
  <c r="AI110" i="8"/>
  <c r="AG110" i="8"/>
  <c r="AH110" i="8"/>
  <c r="W46" i="9"/>
  <c r="AC102" i="8"/>
  <c r="O46" i="9"/>
  <c r="AA46" i="9" s="1"/>
  <c r="AH103" i="8"/>
  <c r="U33" i="9"/>
  <c r="W33" i="9"/>
  <c r="V33" i="9"/>
  <c r="T33" i="9"/>
  <c r="AA33" i="9"/>
  <c r="X33" i="9"/>
  <c r="Y33" i="9"/>
  <c r="Z33" i="9"/>
  <c r="U28" i="9"/>
  <c r="AC15" i="9"/>
  <c r="K49" i="9"/>
  <c r="O49" i="9"/>
  <c r="AL101" i="8"/>
  <c r="AJ109" i="8"/>
  <c r="AL109" i="8" s="1"/>
  <c r="AJ103" i="8"/>
  <c r="AL103" i="8" s="1"/>
  <c r="O9" i="9"/>
  <c r="O8" i="9"/>
  <c r="AJ108" i="8"/>
  <c r="O47" i="9"/>
  <c r="AA28" i="9"/>
  <c r="AC28" i="9" s="1"/>
  <c r="K44" i="9"/>
  <c r="W44" i="9" s="1"/>
  <c r="X105" i="8"/>
  <c r="Z114" i="8"/>
  <c r="AC125" i="8"/>
  <c r="AL97" i="8"/>
  <c r="AE114" i="8"/>
  <c r="AG114" i="8"/>
  <c r="AD118" i="8"/>
  <c r="AJ110" i="8"/>
  <c r="AE118" i="8"/>
  <c r="AG118" i="8"/>
  <c r="AD114" i="8"/>
  <c r="F10" i="9"/>
  <c r="F16" i="9" s="1"/>
  <c r="C10" i="9"/>
  <c r="C16" i="9" s="1"/>
  <c r="D10" i="9"/>
  <c r="D16" i="9" s="1"/>
  <c r="E10" i="9"/>
  <c r="E16" i="9" s="1"/>
  <c r="K10" i="9"/>
  <c r="K16" i="9" s="1"/>
  <c r="I10" i="9"/>
  <c r="I16" i="9" s="1"/>
  <c r="J10" i="9"/>
  <c r="J16" i="9" s="1"/>
  <c r="H10" i="9"/>
  <c r="H16" i="9" s="1"/>
  <c r="Q10" i="9"/>
  <c r="Q16" i="9" s="1"/>
  <c r="P10" i="9"/>
  <c r="P16" i="9" s="1"/>
  <c r="R10" i="9"/>
  <c r="R16" i="9" s="1"/>
  <c r="N10" i="9"/>
  <c r="N16" i="9" s="1"/>
  <c r="M10" i="9"/>
  <c r="M16" i="9" s="1"/>
  <c r="L10" i="9"/>
  <c r="L16" i="9" s="1"/>
  <c r="AC118" i="8"/>
  <c r="AF118" i="8"/>
  <c r="AF114" i="8"/>
  <c r="AH114" i="8"/>
  <c r="AI118" i="8"/>
  <c r="AI114" i="8"/>
  <c r="E114" i="8"/>
  <c r="F114" i="8"/>
  <c r="AC114" i="8" s="1"/>
  <c r="G114" i="8"/>
  <c r="X114" i="8"/>
  <c r="AA14" i="9"/>
  <c r="T29" i="9" l="1"/>
  <c r="T35" i="9" s="1"/>
  <c r="X9" i="9"/>
  <c r="Z9" i="9"/>
  <c r="Y9" i="9"/>
  <c r="X8" i="9"/>
  <c r="Y8" i="9"/>
  <c r="Y10" i="9" s="1"/>
  <c r="Y16" i="9" s="1"/>
  <c r="Y24" i="9" s="1"/>
  <c r="Y29" i="9" s="1"/>
  <c r="Y35" i="9" s="1"/>
  <c r="Z8" i="9"/>
  <c r="Z10" i="9" s="1"/>
  <c r="Z16" i="9" s="1"/>
  <c r="Z24" i="9" s="1"/>
  <c r="Z29" i="9" s="1"/>
  <c r="Z35" i="9" s="1"/>
  <c r="C37" i="8"/>
  <c r="C34" i="8"/>
  <c r="U29" i="9"/>
  <c r="U35" i="9" s="1"/>
  <c r="C31" i="8"/>
  <c r="AC33" i="9"/>
  <c r="W29" i="9"/>
  <c r="W35" i="9" s="1"/>
  <c r="V29" i="9"/>
  <c r="V35" i="9" s="1"/>
  <c r="X46" i="9"/>
  <c r="T44" i="9"/>
  <c r="V44" i="9"/>
  <c r="Y46" i="9"/>
  <c r="AL110" i="8"/>
  <c r="X49" i="9"/>
  <c r="Y49" i="9"/>
  <c r="Z49" i="9"/>
  <c r="Z47" i="9"/>
  <c r="Y47" i="9"/>
  <c r="X47" i="9"/>
  <c r="W49" i="9"/>
  <c r="V49" i="9"/>
  <c r="T49" i="9"/>
  <c r="U49" i="9"/>
  <c r="Z46" i="9"/>
  <c r="U44" i="9"/>
  <c r="O10" i="9"/>
  <c r="O16" i="9" s="1"/>
  <c r="AA47" i="9"/>
  <c r="AH125" i="8"/>
  <c r="AI125" i="8"/>
  <c r="AF125" i="8"/>
  <c r="AE125" i="8"/>
  <c r="AD125" i="8"/>
  <c r="AJ125" i="8"/>
  <c r="AG125" i="8"/>
  <c r="AC14" i="9"/>
  <c r="X10" i="9" l="1"/>
  <c r="X16" i="9" s="1"/>
  <c r="X24" i="9" s="1"/>
  <c r="X29" i="9" s="1"/>
  <c r="X35" i="9" s="1"/>
  <c r="C98" i="8"/>
  <c r="C119" i="8" s="1"/>
  <c r="C115" i="8" l="1"/>
  <c r="C120" i="8" s="1"/>
  <c r="D113" i="8" s="1"/>
  <c r="AA57" i="9"/>
  <c r="AA56" i="9"/>
  <c r="X8" i="8"/>
  <c r="X4" i="10" s="1"/>
  <c r="AG4" i="10" s="1"/>
  <c r="T8" i="8"/>
  <c r="T4" i="10" s="1"/>
  <c r="AC4" i="10" s="1"/>
  <c r="C122" i="8" l="1"/>
  <c r="E58" i="9"/>
  <c r="Q58" i="9"/>
  <c r="D58" i="9"/>
  <c r="J58" i="9"/>
  <c r="F58" i="9"/>
  <c r="N58" i="9"/>
  <c r="C58" i="9"/>
  <c r="I58" i="9"/>
  <c r="H58" i="9"/>
  <c r="L58" i="9"/>
  <c r="M58" i="9"/>
  <c r="P58" i="9"/>
  <c r="R58" i="9"/>
  <c r="AA49" i="9" l="1"/>
  <c r="B2" i="9" l="1"/>
  <c r="AA66" i="8"/>
  <c r="R68" i="9" s="1"/>
  <c r="Z66" i="8"/>
  <c r="Q68" i="9" s="1"/>
  <c r="Z68" i="9" s="1"/>
  <c r="Y66" i="8"/>
  <c r="P68" i="9" s="1"/>
  <c r="Y68" i="9" s="1"/>
  <c r="W66" i="8"/>
  <c r="N68" i="9" s="1"/>
  <c r="W68" i="9" s="1"/>
  <c r="V66" i="8"/>
  <c r="M68" i="9" s="1"/>
  <c r="V68" i="9" s="1"/>
  <c r="U66" i="8"/>
  <c r="L68" i="9" s="1"/>
  <c r="U68" i="9" s="1"/>
  <c r="S66" i="8"/>
  <c r="J68" i="9" s="1"/>
  <c r="R66" i="8"/>
  <c r="I68" i="9" s="1"/>
  <c r="Q66" i="8"/>
  <c r="H68" i="9" s="1"/>
  <c r="G66" i="8"/>
  <c r="F68" i="9" s="1"/>
  <c r="F66" i="8"/>
  <c r="E68" i="9" s="1"/>
  <c r="E66" i="8"/>
  <c r="D68" i="9" s="1"/>
  <c r="D66" i="8"/>
  <c r="C68" i="9" s="1"/>
  <c r="AA55" i="9"/>
  <c r="AA58" i="9" s="1"/>
  <c r="R4" i="9"/>
  <c r="AA4" i="9" s="1"/>
  <c r="R3" i="9"/>
  <c r="AA3" i="9" s="1"/>
  <c r="AJ8" i="8"/>
  <c r="AJ86" i="8" s="1"/>
  <c r="AJ7" i="8"/>
  <c r="AJ85" i="8" s="1"/>
  <c r="AA86" i="8"/>
  <c r="AA85" i="8"/>
  <c r="AA78" i="8"/>
  <c r="R87" i="9" s="1"/>
  <c r="AA41" i="8"/>
  <c r="AA40" i="8"/>
  <c r="AA11" i="8"/>
  <c r="Y111" i="8"/>
  <c r="G111" i="8"/>
  <c r="F111" i="8"/>
  <c r="E111" i="8"/>
  <c r="Z58" i="9"/>
  <c r="Y58" i="9"/>
  <c r="W58" i="9"/>
  <c r="Q4" i="9"/>
  <c r="Z4" i="9" s="1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I4" i="9"/>
  <c r="H4" i="9"/>
  <c r="Q3" i="9"/>
  <c r="Z3" i="9" s="1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I3" i="9"/>
  <c r="H3" i="9"/>
  <c r="F4" i="9"/>
  <c r="E4" i="9"/>
  <c r="D4" i="9"/>
  <c r="C4" i="9"/>
  <c r="F3" i="9"/>
  <c r="E3" i="9"/>
  <c r="D3" i="9"/>
  <c r="C3" i="9"/>
  <c r="S78" i="8"/>
  <c r="J87" i="9" s="1"/>
  <c r="Z86" i="8"/>
  <c r="Y86" i="8"/>
  <c r="X86" i="8"/>
  <c r="W86" i="8"/>
  <c r="V86" i="8"/>
  <c r="U86" i="8"/>
  <c r="T86" i="8"/>
  <c r="S86" i="8"/>
  <c r="R86" i="8"/>
  <c r="Q86" i="8"/>
  <c r="Z85" i="8"/>
  <c r="Y85" i="8"/>
  <c r="X85" i="8"/>
  <c r="W85" i="8"/>
  <c r="V85" i="8"/>
  <c r="U85" i="8"/>
  <c r="T85" i="8"/>
  <c r="S85" i="8"/>
  <c r="R85" i="8"/>
  <c r="Q85" i="8"/>
  <c r="W78" i="8"/>
  <c r="N87" i="9" s="1"/>
  <c r="V78" i="8"/>
  <c r="M87" i="9" s="1"/>
  <c r="U78" i="8"/>
  <c r="L87" i="9" s="1"/>
  <c r="R78" i="8"/>
  <c r="I87" i="9" s="1"/>
  <c r="Q78" i="8"/>
  <c r="H87" i="9" s="1"/>
  <c r="Z41" i="8"/>
  <c r="Y41" i="8"/>
  <c r="X41" i="8"/>
  <c r="W41" i="8"/>
  <c r="V41" i="8"/>
  <c r="U41" i="8"/>
  <c r="T41" i="8"/>
  <c r="S41" i="8"/>
  <c r="R41" i="8"/>
  <c r="Q41" i="8"/>
  <c r="Z40" i="8"/>
  <c r="Y40" i="8"/>
  <c r="X40" i="8"/>
  <c r="W40" i="8"/>
  <c r="V40" i="8"/>
  <c r="U40" i="8"/>
  <c r="T40" i="8"/>
  <c r="S40" i="8"/>
  <c r="R40" i="8"/>
  <c r="Q40" i="8"/>
  <c r="G41" i="8"/>
  <c r="F41" i="8"/>
  <c r="E41" i="8"/>
  <c r="D41" i="8"/>
  <c r="G40" i="8"/>
  <c r="F40" i="8"/>
  <c r="E40" i="8"/>
  <c r="D40" i="8"/>
  <c r="V11" i="8"/>
  <c r="U11" i="8"/>
  <c r="S11" i="8"/>
  <c r="R11" i="8"/>
  <c r="Q11" i="8"/>
  <c r="Z11" i="8"/>
  <c r="AD8" i="8"/>
  <c r="AC8" i="8"/>
  <c r="AD7" i="8"/>
  <c r="AC7" i="8"/>
  <c r="AH8" i="8"/>
  <c r="AG8" i="8"/>
  <c r="AF8" i="8"/>
  <c r="AE8" i="8"/>
  <c r="AH7" i="8"/>
  <c r="AG7" i="8"/>
  <c r="AF7" i="8"/>
  <c r="AE7" i="8"/>
  <c r="AI8" i="8"/>
  <c r="AI7" i="8"/>
  <c r="R21" i="8" l="1"/>
  <c r="R14" i="8"/>
  <c r="R15" i="8" s="1"/>
  <c r="Z21" i="8"/>
  <c r="Z14" i="8"/>
  <c r="Z15" i="8" s="1"/>
  <c r="V21" i="8"/>
  <c r="V26" i="8" s="1"/>
  <c r="V14" i="8"/>
  <c r="V15" i="8" s="1"/>
  <c r="S21" i="8"/>
  <c r="S14" i="8"/>
  <c r="S15" i="8" s="1"/>
  <c r="Q21" i="8"/>
  <c r="Q14" i="8"/>
  <c r="Q15" i="8" s="1"/>
  <c r="U21" i="8"/>
  <c r="U26" i="8" s="1"/>
  <c r="U14" i="8"/>
  <c r="U15" i="8" s="1"/>
  <c r="AA21" i="8"/>
  <c r="AA26" i="8" s="1"/>
  <c r="AA14" i="8"/>
  <c r="AA15" i="8" s="1"/>
  <c r="S12" i="10"/>
  <c r="Q12" i="10"/>
  <c r="R12" i="10"/>
  <c r="U12" i="10"/>
  <c r="AA12" i="10"/>
  <c r="V12" i="10"/>
  <c r="Z12" i="10"/>
  <c r="AC10" i="8"/>
  <c r="AE10" i="8"/>
  <c r="AF10" i="8"/>
  <c r="AD10" i="8"/>
  <c r="AI10" i="8"/>
  <c r="AH10" i="8"/>
  <c r="AG10" i="8"/>
  <c r="AL44" i="8"/>
  <c r="AL74" i="8"/>
  <c r="AL52" i="8"/>
  <c r="AL62" i="8"/>
  <c r="AA72" i="8"/>
  <c r="R69" i="9" s="1"/>
  <c r="U87" i="9"/>
  <c r="AA87" i="9"/>
  <c r="AH126" i="8"/>
  <c r="V87" i="9"/>
  <c r="W87" i="9"/>
  <c r="K58" i="9"/>
  <c r="S59" i="8"/>
  <c r="AH66" i="8"/>
  <c r="AI66" i="8"/>
  <c r="AJ66" i="8"/>
  <c r="AF66" i="8"/>
  <c r="T66" i="8"/>
  <c r="K68" i="9" s="1"/>
  <c r="T68" i="9" s="1"/>
  <c r="X66" i="8"/>
  <c r="O68" i="9" s="1"/>
  <c r="X68" i="9" s="1"/>
  <c r="S72" i="8"/>
  <c r="J69" i="9" s="1"/>
  <c r="AJ78" i="8"/>
  <c r="AJ10" i="8"/>
  <c r="R72" i="8"/>
  <c r="I69" i="9" s="1"/>
  <c r="AJ40" i="8"/>
  <c r="AJ41" i="8"/>
  <c r="Q72" i="8"/>
  <c r="H69" i="9" s="1"/>
  <c r="R59" i="8"/>
  <c r="D111" i="8"/>
  <c r="Z111" i="8"/>
  <c r="U111" i="8"/>
  <c r="V111" i="8"/>
  <c r="Z59" i="8"/>
  <c r="W59" i="8"/>
  <c r="Q59" i="8"/>
  <c r="V59" i="8"/>
  <c r="U59" i="8"/>
  <c r="G72" i="8"/>
  <c r="F69" i="9" s="1"/>
  <c r="AF126" i="8"/>
  <c r="V58" i="9"/>
  <c r="U58" i="9"/>
  <c r="AG126" i="8"/>
  <c r="AD126" i="8"/>
  <c r="AE126" i="8"/>
  <c r="AC126" i="8"/>
  <c r="T11" i="8"/>
  <c r="T78" i="8"/>
  <c r="K87" i="9" s="1"/>
  <c r="T59" i="8"/>
  <c r="X59" i="8"/>
  <c r="T21" i="8" l="1"/>
  <c r="T26" i="8" s="1"/>
  <c r="T14" i="8"/>
  <c r="T15" i="8" s="1"/>
  <c r="T12" i="10"/>
  <c r="S26" i="8"/>
  <c r="AA79" i="8"/>
  <c r="AA69" i="9"/>
  <c r="AA9" i="9"/>
  <c r="AC9" i="9" s="1"/>
  <c r="AA8" i="9"/>
  <c r="AC8" i="9" s="1"/>
  <c r="AA7" i="9"/>
  <c r="AC7" i="9" s="1"/>
  <c r="R26" i="8"/>
  <c r="AA22" i="8"/>
  <c r="AA30" i="8"/>
  <c r="AA89" i="8" s="1"/>
  <c r="Q26" i="8"/>
  <c r="AG66" i="8"/>
  <c r="AL17" i="8"/>
  <c r="AL108" i="8"/>
  <c r="AA48" i="9"/>
  <c r="AJ59" i="8"/>
  <c r="AJ72" i="8"/>
  <c r="AJ79" i="8" s="1"/>
  <c r="AL66" i="8"/>
  <c r="AJ11" i="8"/>
  <c r="AL10" i="8"/>
  <c r="O58" i="9"/>
  <c r="X58" i="9"/>
  <c r="V88" i="9"/>
  <c r="V97" i="9" s="1"/>
  <c r="U88" i="9"/>
  <c r="U97" i="9" s="1"/>
  <c r="R88" i="9"/>
  <c r="R97" i="9" s="1"/>
  <c r="AA40" i="9"/>
  <c r="W40" i="9"/>
  <c r="W88" i="9"/>
  <c r="W97" i="9" s="1"/>
  <c r="R79" i="8"/>
  <c r="R81" i="8" s="1"/>
  <c r="AA88" i="9"/>
  <c r="AA97" i="9" s="1"/>
  <c r="T87" i="9"/>
  <c r="T88" i="9" s="1"/>
  <c r="T97" i="9" s="1"/>
  <c r="AA19" i="9"/>
  <c r="AA59" i="8"/>
  <c r="AA68" i="9"/>
  <c r="AA38" i="9"/>
  <c r="S79" i="8"/>
  <c r="S81" i="8" s="1"/>
  <c r="AA111" i="8"/>
  <c r="Q79" i="8"/>
  <c r="Q81" i="8" s="1"/>
  <c r="W111" i="8"/>
  <c r="AA44" i="9"/>
  <c r="T58" i="9"/>
  <c r="V72" i="8"/>
  <c r="M69" i="9" s="1"/>
  <c r="V69" i="9" s="1"/>
  <c r="U72" i="8"/>
  <c r="L69" i="9" s="1"/>
  <c r="U69" i="9" s="1"/>
  <c r="T72" i="8"/>
  <c r="K69" i="9" s="1"/>
  <c r="T69" i="9" s="1"/>
  <c r="W72" i="8"/>
  <c r="N69" i="9" s="1"/>
  <c r="W69" i="9" s="1"/>
  <c r="U39" i="9"/>
  <c r="X39" i="9"/>
  <c r="Y38" i="9"/>
  <c r="AA41" i="9"/>
  <c r="V39" i="9"/>
  <c r="Z38" i="9"/>
  <c r="W39" i="9"/>
  <c r="X38" i="9"/>
  <c r="T39" i="9"/>
  <c r="V22" i="8"/>
  <c r="V30" i="8"/>
  <c r="V89" i="8" s="1"/>
  <c r="U22" i="8"/>
  <c r="AJ21" i="8" l="1"/>
  <c r="AJ26" i="8" s="1"/>
  <c r="AJ27" i="8" s="1"/>
  <c r="AJ14" i="8"/>
  <c r="AJ12" i="10"/>
  <c r="AA37" i="8"/>
  <c r="AA34" i="8"/>
  <c r="V37" i="8"/>
  <c r="V34" i="8"/>
  <c r="AC19" i="9"/>
  <c r="U30" i="8"/>
  <c r="U89" i="8" s="1"/>
  <c r="R30" i="8"/>
  <c r="R89" i="8" s="1"/>
  <c r="S27" i="8"/>
  <c r="S22" i="8"/>
  <c r="R22" i="8"/>
  <c r="AA81" i="8"/>
  <c r="R24" i="9"/>
  <c r="R29" i="9" s="1"/>
  <c r="R35" i="9" s="1"/>
  <c r="AA27" i="8"/>
  <c r="Q30" i="8"/>
  <c r="Q89" i="8" s="1"/>
  <c r="Q22" i="8"/>
  <c r="AJ81" i="8"/>
  <c r="Y40" i="9"/>
  <c r="Z40" i="9"/>
  <c r="X40" i="9"/>
  <c r="AC40" i="9"/>
  <c r="U40" i="9"/>
  <c r="V40" i="9"/>
  <c r="T40" i="9"/>
  <c r="Z39" i="9"/>
  <c r="AI126" i="8"/>
  <c r="U79" i="8"/>
  <c r="U81" i="8" s="1"/>
  <c r="Y39" i="9"/>
  <c r="V79" i="8"/>
  <c r="V81" i="8" s="1"/>
  <c r="AG105" i="8"/>
  <c r="AI105" i="8"/>
  <c r="AH105" i="8"/>
  <c r="AJ105" i="8"/>
  <c r="Z41" i="9"/>
  <c r="V27" i="8"/>
  <c r="AI111" i="8"/>
  <c r="AJ111" i="8"/>
  <c r="AE105" i="8"/>
  <c r="AG111" i="8"/>
  <c r="AE111" i="8"/>
  <c r="AH111" i="8"/>
  <c r="X111" i="8"/>
  <c r="W79" i="8"/>
  <c r="W81" i="8" s="1"/>
  <c r="T79" i="8"/>
  <c r="T81" i="8" s="1"/>
  <c r="Y41" i="9"/>
  <c r="AL92" i="8"/>
  <c r="X41" i="9"/>
  <c r="AF105" i="8"/>
  <c r="AD105" i="8"/>
  <c r="AC105" i="8"/>
  <c r="V38" i="9"/>
  <c r="U38" i="9"/>
  <c r="W38" i="9"/>
  <c r="T38" i="9"/>
  <c r="W41" i="9"/>
  <c r="AC41" i="9" s="1"/>
  <c r="T41" i="9"/>
  <c r="U41" i="9"/>
  <c r="V41" i="9"/>
  <c r="T22" i="8"/>
  <c r="T30" i="8"/>
  <c r="T89" i="8" s="1"/>
  <c r="U27" i="8"/>
  <c r="AJ15" i="8" l="1"/>
  <c r="U34" i="8"/>
  <c r="U37" i="8"/>
  <c r="Q37" i="8"/>
  <c r="Q34" i="8"/>
  <c r="R34" i="8"/>
  <c r="R37" i="8"/>
  <c r="T37" i="8"/>
  <c r="T34" i="8"/>
  <c r="AA98" i="8"/>
  <c r="AA119" i="8" s="1"/>
  <c r="V98" i="8"/>
  <c r="V119" i="8" s="1"/>
  <c r="X42" i="9"/>
  <c r="Y42" i="9"/>
  <c r="Z42" i="9"/>
  <c r="T42" i="9"/>
  <c r="AC38" i="9"/>
  <c r="W42" i="9"/>
  <c r="U42" i="9"/>
  <c r="V42" i="9"/>
  <c r="S30" i="8"/>
  <c r="S89" i="8" s="1"/>
  <c r="R27" i="8"/>
  <c r="AA31" i="8"/>
  <c r="R17" i="9"/>
  <c r="R25" i="9"/>
  <c r="Q27" i="8"/>
  <c r="AL33" i="8"/>
  <c r="AL105" i="8"/>
  <c r="AA39" i="9"/>
  <c r="AC39" i="9" s="1"/>
  <c r="AJ126" i="8"/>
  <c r="AA32" i="9"/>
  <c r="AC32" i="9" s="1"/>
  <c r="AA27" i="9"/>
  <c r="AA45" i="9"/>
  <c r="R30" i="9"/>
  <c r="R31" i="8"/>
  <c r="T27" i="8"/>
  <c r="AC111" i="8"/>
  <c r="T111" i="8"/>
  <c r="AF111" i="8"/>
  <c r="AL111" i="8" s="1"/>
  <c r="AD111" i="8"/>
  <c r="V31" i="8"/>
  <c r="U31" i="8"/>
  <c r="S37" i="8" l="1"/>
  <c r="S34" i="8"/>
  <c r="Q98" i="8"/>
  <c r="Q119" i="8" s="1"/>
  <c r="U98" i="8"/>
  <c r="U119" i="8" s="1"/>
  <c r="R98" i="8"/>
  <c r="R119" i="8" s="1"/>
  <c r="S31" i="8"/>
  <c r="AJ22" i="8"/>
  <c r="AJ30" i="8"/>
  <c r="AC27" i="9"/>
  <c r="AA6" i="9"/>
  <c r="AA10" i="9" s="1"/>
  <c r="AA16" i="9" s="1"/>
  <c r="AA24" i="9" s="1"/>
  <c r="AA29" i="9" s="1"/>
  <c r="AA35" i="9" s="1"/>
  <c r="AA42" i="9" s="1"/>
  <c r="Q31" i="8"/>
  <c r="V17" i="9"/>
  <c r="R36" i="9"/>
  <c r="R42" i="9"/>
  <c r="R50" i="9" s="1"/>
  <c r="T31" i="8"/>
  <c r="AJ89" i="8" l="1"/>
  <c r="AJ31" i="8"/>
  <c r="AJ37" i="8"/>
  <c r="AJ34" i="8"/>
  <c r="S98" i="8"/>
  <c r="S119" i="8" s="1"/>
  <c r="U17" i="9"/>
  <c r="W25" i="9"/>
  <c r="W17" i="9"/>
  <c r="T17" i="9"/>
  <c r="V25" i="9"/>
  <c r="T25" i="9"/>
  <c r="Y11" i="9"/>
  <c r="AC6" i="9"/>
  <c r="R51" i="9"/>
  <c r="T30" i="9"/>
  <c r="T98" i="8"/>
  <c r="T119" i="8" s="1"/>
  <c r="U95" i="9" l="1" a="1"/>
  <c r="U95" i="9" s="1"/>
  <c r="V94" i="9"/>
  <c r="U25" i="9"/>
  <c r="X11" i="9"/>
  <c r="Y17" i="9"/>
  <c r="X17" i="9"/>
  <c r="AC10" i="9"/>
  <c r="AA11" i="9"/>
  <c r="AC11" i="9" s="1"/>
  <c r="U30" i="9"/>
  <c r="V30" i="9"/>
  <c r="Y25" i="9"/>
  <c r="AD119" i="8"/>
  <c r="AE119" i="8"/>
  <c r="AC119" i="8"/>
  <c r="T96" i="9" a="1"/>
  <c r="T96" i="9" s="1"/>
  <c r="T94" i="9"/>
  <c r="T95" i="9" a="1"/>
  <c r="T95" i="9" s="1"/>
  <c r="T93" i="9"/>
  <c r="T36" i="9"/>
  <c r="T92" i="9"/>
  <c r="B86" i="8"/>
  <c r="B85" i="8"/>
  <c r="G86" i="8"/>
  <c r="F86" i="8"/>
  <c r="E86" i="8"/>
  <c r="D86" i="8"/>
  <c r="G85" i="8"/>
  <c r="F85" i="8"/>
  <c r="E85" i="8"/>
  <c r="D85" i="8"/>
  <c r="B41" i="8"/>
  <c r="B40" i="8"/>
  <c r="AI41" i="8"/>
  <c r="AH41" i="8"/>
  <c r="AG41" i="8"/>
  <c r="AE41" i="8"/>
  <c r="AD41" i="8"/>
  <c r="AC41" i="8"/>
  <c r="AF41" i="8"/>
  <c r="AI40" i="8"/>
  <c r="AH40" i="8"/>
  <c r="AG40" i="8"/>
  <c r="AF40" i="8"/>
  <c r="AE40" i="8"/>
  <c r="AD40" i="8"/>
  <c r="AC40" i="8"/>
  <c r="V96" i="9" l="1" a="1"/>
  <c r="V96" i="9" s="1"/>
  <c r="U93" i="9"/>
  <c r="V36" i="9"/>
  <c r="V92" i="9"/>
  <c r="V95" i="9" a="1"/>
  <c r="V95" i="9" s="1"/>
  <c r="U96" i="9" a="1"/>
  <c r="U96" i="9" s="1"/>
  <c r="V93" i="9"/>
  <c r="U94" i="9"/>
  <c r="U36" i="9"/>
  <c r="U92" i="9"/>
  <c r="W92" i="9"/>
  <c r="W30" i="9"/>
  <c r="AA17" i="9"/>
  <c r="AC17" i="9" s="1"/>
  <c r="AC16" i="9"/>
  <c r="X25" i="9"/>
  <c r="Y30" i="9"/>
  <c r="AC85" i="8"/>
  <c r="AC86" i="8"/>
  <c r="AF85" i="8"/>
  <c r="AG85" i="8"/>
  <c r="AG86" i="8"/>
  <c r="AH86" i="8"/>
  <c r="AE85" i="8"/>
  <c r="AH85" i="8"/>
  <c r="AE86" i="8"/>
  <c r="AD86" i="8"/>
  <c r="AI85" i="8"/>
  <c r="AF86" i="8"/>
  <c r="AD85" i="8"/>
  <c r="AI86" i="8"/>
  <c r="W96" i="9" l="1" a="1"/>
  <c r="W96" i="9" s="1"/>
  <c r="W95" i="9" a="1"/>
  <c r="W95" i="9" s="1"/>
  <c r="W36" i="9"/>
  <c r="W93" i="9"/>
  <c r="W94" i="9"/>
  <c r="X30" i="9"/>
  <c r="AA25" i="9"/>
  <c r="AC25" i="9" s="1"/>
  <c r="AC24" i="9"/>
  <c r="Y94" i="9"/>
  <c r="Y36" i="9"/>
  <c r="Y96" i="9" a="1"/>
  <c r="Y96" i="9" s="1"/>
  <c r="Y95" i="9" a="1"/>
  <c r="Y95" i="9" s="1"/>
  <c r="Y92" i="9"/>
  <c r="Y93" i="9"/>
  <c r="AC29" i="9" l="1"/>
  <c r="AA30" i="9"/>
  <c r="AC30" i="9" s="1"/>
  <c r="X94" i="9"/>
  <c r="X93" i="9"/>
  <c r="X95" i="9" a="1"/>
  <c r="X95" i="9" s="1"/>
  <c r="X36" i="9"/>
  <c r="X96" i="9" a="1"/>
  <c r="X96" i="9" s="1"/>
  <c r="X92" i="9"/>
  <c r="AA94" i="9" l="1"/>
  <c r="AC35" i="9"/>
  <c r="AA95" i="9" a="1"/>
  <c r="AA95" i="9" s="1"/>
  <c r="AA36" i="9"/>
  <c r="AC36" i="9" s="1"/>
  <c r="AA93" i="9"/>
  <c r="AA92" i="9"/>
  <c r="AA96" i="9" a="1"/>
  <c r="AA96" i="9" s="1"/>
  <c r="AC42" i="9"/>
  <c r="X78" i="8" l="1"/>
  <c r="O87" i="9" s="1"/>
  <c r="Z78" i="8"/>
  <c r="Q87" i="9" s="1"/>
  <c r="Z87" i="9" l="1"/>
  <c r="X87" i="9"/>
  <c r="X88" i="9" s="1"/>
  <c r="X97" i="9" s="1"/>
  <c r="Y59" i="8"/>
  <c r="Y78" i="8"/>
  <c r="P87" i="9" s="1"/>
  <c r="R11" i="9" l="1"/>
  <c r="R12" i="9"/>
  <c r="Y87" i="9"/>
  <c r="Y88" i="9" s="1"/>
  <c r="Y97" i="9" s="1"/>
  <c r="Z88" i="9"/>
  <c r="Z97" i="9" s="1"/>
  <c r="AD11" i="8" l="1"/>
  <c r="F59" i="8"/>
  <c r="E59" i="8"/>
  <c r="D59" i="8"/>
  <c r="G59" i="8"/>
  <c r="AD21" i="8" l="1"/>
  <c r="AD26" i="8" s="1"/>
  <c r="AD27" i="8" s="1"/>
  <c r="AD14" i="8"/>
  <c r="AD15" i="8" s="1"/>
  <c r="AD12" i="10"/>
  <c r="AE11" i="8"/>
  <c r="AE49" i="8"/>
  <c r="AE59" i="8" s="1"/>
  <c r="AE78" i="8"/>
  <c r="AC49" i="8"/>
  <c r="AC59" i="8" s="1"/>
  <c r="AE66" i="8"/>
  <c r="AE72" i="8" s="1"/>
  <c r="AD66" i="8"/>
  <c r="AD72" i="8" s="1"/>
  <c r="AD49" i="8"/>
  <c r="AD59" i="8" s="1"/>
  <c r="AC78" i="8"/>
  <c r="AC11" i="8"/>
  <c r="AC66" i="8"/>
  <c r="AC72" i="8" s="1"/>
  <c r="AD78" i="8"/>
  <c r="AG78" i="8"/>
  <c r="AG59" i="8"/>
  <c r="AH78" i="8"/>
  <c r="AG11" i="8"/>
  <c r="AG72" i="8"/>
  <c r="AH72" i="8"/>
  <c r="AF11" i="8"/>
  <c r="AH11" i="8"/>
  <c r="AH59" i="8"/>
  <c r="AG21" i="8" l="1"/>
  <c r="AG26" i="8" s="1"/>
  <c r="AG27" i="8" s="1"/>
  <c r="AG14" i="8"/>
  <c r="AG15" i="8" s="1"/>
  <c r="AH21" i="8"/>
  <c r="AH26" i="8" s="1"/>
  <c r="AH27" i="8" s="1"/>
  <c r="AH14" i="8"/>
  <c r="AH15" i="8" s="1"/>
  <c r="AF21" i="8"/>
  <c r="AF26" i="8" s="1"/>
  <c r="AF27" i="8" s="1"/>
  <c r="AF14" i="8"/>
  <c r="AC21" i="8"/>
  <c r="AC26" i="8" s="1"/>
  <c r="AC27" i="8" s="1"/>
  <c r="AC14" i="8"/>
  <c r="AC15" i="8" s="1"/>
  <c r="AE21" i="8"/>
  <c r="AE26" i="8" s="1"/>
  <c r="AE27" i="8" s="1"/>
  <c r="AE14" i="8"/>
  <c r="AE15" i="8" s="1"/>
  <c r="AF12" i="10"/>
  <c r="AH12" i="10"/>
  <c r="AC12" i="10"/>
  <c r="AE12" i="10"/>
  <c r="AG12" i="10"/>
  <c r="AL11" i="8"/>
  <c r="AL12" i="10" s="1"/>
  <c r="AE79" i="8"/>
  <c r="AE81" i="8" s="1"/>
  <c r="AC79" i="8"/>
  <c r="AC81" i="8" s="1"/>
  <c r="AD79" i="8"/>
  <c r="AD81" i="8" s="1"/>
  <c r="AG79" i="8"/>
  <c r="AG81" i="8" s="1"/>
  <c r="AH79" i="8"/>
  <c r="AH81" i="8" s="1"/>
  <c r="AF15" i="8" l="1"/>
  <c r="AL15" i="8" s="1"/>
  <c r="AL14" i="8"/>
  <c r="AC22" i="8"/>
  <c r="AD22" i="8"/>
  <c r="Z17" i="9"/>
  <c r="AD30" i="8" l="1"/>
  <c r="AH22" i="8"/>
  <c r="AG30" i="8"/>
  <c r="AF30" i="8"/>
  <c r="AL21" i="8"/>
  <c r="AG22" i="8"/>
  <c r="AF22" i="8"/>
  <c r="AL22" i="8" s="1"/>
  <c r="AE22" i="8"/>
  <c r="AH30" i="8"/>
  <c r="Z94" i="9"/>
  <c r="Z25" i="9"/>
  <c r="AF89" i="8" l="1"/>
  <c r="AF31" i="8"/>
  <c r="AG89" i="8"/>
  <c r="AG31" i="8"/>
  <c r="AH89" i="8"/>
  <c r="AH31" i="8"/>
  <c r="AD89" i="8"/>
  <c r="AD31" i="8"/>
  <c r="AF34" i="8"/>
  <c r="AF37" i="8"/>
  <c r="AH37" i="8"/>
  <c r="AH34" i="8"/>
  <c r="AG34" i="8"/>
  <c r="AG37" i="8"/>
  <c r="AD37" i="8"/>
  <c r="AD34" i="8"/>
  <c r="AC30" i="8"/>
  <c r="AE30" i="8"/>
  <c r="AL27" i="8"/>
  <c r="AL26" i="8"/>
  <c r="Z30" i="9"/>
  <c r="AE89" i="8" l="1"/>
  <c r="AE31" i="8"/>
  <c r="AC89" i="8"/>
  <c r="AC31" i="8"/>
  <c r="AE34" i="8"/>
  <c r="AE37" i="8"/>
  <c r="AC34" i="8"/>
  <c r="AC37" i="8"/>
  <c r="AL37" i="8"/>
  <c r="AL34" i="8"/>
  <c r="AL30" i="8"/>
  <c r="AL31" i="8"/>
  <c r="Z96" i="9" a="1"/>
  <c r="Z96" i="9" s="1"/>
  <c r="Z36" i="9"/>
  <c r="Z95" i="9" a="1"/>
  <c r="Z95" i="9" s="1"/>
  <c r="Z92" i="9"/>
  <c r="Z93" i="9"/>
  <c r="AF72" i="8" l="1"/>
  <c r="AL72" i="8" s="1"/>
  <c r="W11" i="8" l="1"/>
  <c r="G11" i="8"/>
  <c r="F11" i="8"/>
  <c r="E11" i="8"/>
  <c r="D11" i="8"/>
  <c r="G78" i="8"/>
  <c r="F87" i="9" s="1"/>
  <c r="F78" i="8"/>
  <c r="E87" i="9" s="1"/>
  <c r="E78" i="8"/>
  <c r="D87" i="9" s="1"/>
  <c r="D78" i="8"/>
  <c r="C87" i="9" s="1"/>
  <c r="Z72" i="8"/>
  <c r="Q69" i="9" s="1"/>
  <c r="Z69" i="9" s="1"/>
  <c r="X72" i="8"/>
  <c r="O69" i="9" s="1"/>
  <c r="X69" i="9" s="1"/>
  <c r="AI11" i="8"/>
  <c r="P88" i="9"/>
  <c r="P97" i="9" s="1"/>
  <c r="H88" i="9"/>
  <c r="H97" i="9" s="1"/>
  <c r="F21" i="8" l="1"/>
  <c r="F26" i="8" s="1"/>
  <c r="F14" i="8"/>
  <c r="F15" i="8" s="1"/>
  <c r="D21" i="8"/>
  <c r="D26" i="8" s="1"/>
  <c r="D14" i="8"/>
  <c r="D15" i="8" s="1"/>
  <c r="E21" i="8"/>
  <c r="E26" i="8" s="1"/>
  <c r="E14" i="8"/>
  <c r="E15" i="8" s="1"/>
  <c r="G21" i="8"/>
  <c r="G26" i="8" s="1"/>
  <c r="G14" i="8"/>
  <c r="G15" i="8" s="1"/>
  <c r="AI21" i="8"/>
  <c r="AI26" i="8" s="1"/>
  <c r="AI27" i="8" s="1"/>
  <c r="AI14" i="8"/>
  <c r="AI15" i="8" s="1"/>
  <c r="W21" i="8"/>
  <c r="W26" i="8" s="1"/>
  <c r="W14" i="8"/>
  <c r="W15" i="8" s="1"/>
  <c r="D12" i="10"/>
  <c r="E12" i="10"/>
  <c r="F12" i="10"/>
  <c r="G12" i="10"/>
  <c r="AI12" i="10"/>
  <c r="W12" i="10"/>
  <c r="D72" i="8"/>
  <c r="C69" i="9" s="1"/>
  <c r="F72" i="8"/>
  <c r="E69" i="9" s="1"/>
  <c r="E72" i="8"/>
  <c r="D69" i="9" s="1"/>
  <c r="I88" i="9"/>
  <c r="I97" i="9" s="1"/>
  <c r="Q88" i="9"/>
  <c r="Q97" i="9" s="1"/>
  <c r="D88" i="9"/>
  <c r="D97" i="9" s="1"/>
  <c r="J88" i="9"/>
  <c r="J97" i="9" s="1"/>
  <c r="F88" i="9"/>
  <c r="F97" i="9" s="1"/>
  <c r="J24" i="9"/>
  <c r="J29" i="9" s="1"/>
  <c r="J35" i="9" s="1"/>
  <c r="P11" i="9"/>
  <c r="E88" i="9"/>
  <c r="E97" i="9" s="1"/>
  <c r="P12" i="9"/>
  <c r="AF78" i="8"/>
  <c r="Z26" i="8"/>
  <c r="Y72" i="8"/>
  <c r="P69" i="9" s="1"/>
  <c r="Y69" i="9" s="1"/>
  <c r="AI72" i="8"/>
  <c r="AI78" i="8"/>
  <c r="F24" i="9"/>
  <c r="F29" i="9" s="1"/>
  <c r="F35" i="9" s="1"/>
  <c r="F11" i="9"/>
  <c r="D24" i="9"/>
  <c r="D29" i="9" s="1"/>
  <c r="D35" i="9" s="1"/>
  <c r="D11" i="9"/>
  <c r="E24" i="9"/>
  <c r="E29" i="9" s="1"/>
  <c r="E35" i="9" s="1"/>
  <c r="E11" i="9"/>
  <c r="L88" i="9"/>
  <c r="L97" i="9" s="1"/>
  <c r="C24" i="9"/>
  <c r="C29" i="9" s="1"/>
  <c r="C35" i="9" s="1"/>
  <c r="M88" i="9"/>
  <c r="M97" i="9" s="1"/>
  <c r="N88" i="9"/>
  <c r="N97" i="9" s="1"/>
  <c r="AF79" i="8" l="1"/>
  <c r="AL79" i="8" s="1"/>
  <c r="AL78" i="8"/>
  <c r="E79" i="8"/>
  <c r="E81" i="8" s="1"/>
  <c r="Z30" i="8"/>
  <c r="Z89" i="8" s="1"/>
  <c r="G30" i="8"/>
  <c r="G89" i="8" s="1"/>
  <c r="W22" i="8"/>
  <c r="D30" i="8"/>
  <c r="D89" i="8" s="1"/>
  <c r="E30" i="8"/>
  <c r="E89" i="8" s="1"/>
  <c r="F22" i="8"/>
  <c r="D79" i="8"/>
  <c r="D81" i="8" s="1"/>
  <c r="O88" i="9"/>
  <c r="O97" i="9" s="1"/>
  <c r="X79" i="8"/>
  <c r="X81" i="8" s="1"/>
  <c r="AL49" i="8"/>
  <c r="Z79" i="8"/>
  <c r="Z81" i="8" s="1"/>
  <c r="F79" i="8"/>
  <c r="F81" i="8" s="1"/>
  <c r="G79" i="8"/>
  <c r="G81" i="8" s="1"/>
  <c r="K88" i="9"/>
  <c r="K97" i="9" s="1"/>
  <c r="K12" i="9"/>
  <c r="O11" i="9"/>
  <c r="L11" i="9"/>
  <c r="M12" i="9"/>
  <c r="O24" i="9"/>
  <c r="O29" i="9" s="1"/>
  <c r="O35" i="9" s="1"/>
  <c r="J12" i="9"/>
  <c r="L12" i="9"/>
  <c r="I12" i="9"/>
  <c r="M24" i="9"/>
  <c r="M29" i="9" s="1"/>
  <c r="M35" i="9" s="1"/>
  <c r="K24" i="9"/>
  <c r="K29" i="9" s="1"/>
  <c r="K35" i="9" s="1"/>
  <c r="M11" i="9"/>
  <c r="AI59" i="8"/>
  <c r="J17" i="9"/>
  <c r="E17" i="9"/>
  <c r="N11" i="9"/>
  <c r="N24" i="9"/>
  <c r="N29" i="9" s="1"/>
  <c r="N35" i="9" s="1"/>
  <c r="N12" i="9"/>
  <c r="P24" i="9"/>
  <c r="P29" i="9" s="1"/>
  <c r="P35" i="9" s="1"/>
  <c r="Z11" i="9"/>
  <c r="I24" i="9"/>
  <c r="I29" i="9" s="1"/>
  <c r="I35" i="9" s="1"/>
  <c r="O12" i="9"/>
  <c r="C17" i="9"/>
  <c r="Q11" i="9"/>
  <c r="Q24" i="9"/>
  <c r="Q29" i="9" s="1"/>
  <c r="Q35" i="9" s="1"/>
  <c r="Q12" i="9"/>
  <c r="H24" i="9"/>
  <c r="H29" i="9" s="1"/>
  <c r="H35" i="9" s="1"/>
  <c r="F17" i="9"/>
  <c r="L24" i="9"/>
  <c r="L29" i="9" s="1"/>
  <c r="L35" i="9" s="1"/>
  <c r="D17" i="9"/>
  <c r="E37" i="8" l="1"/>
  <c r="E34" i="8"/>
  <c r="D34" i="8"/>
  <c r="D37" i="8"/>
  <c r="G34" i="8"/>
  <c r="G37" i="8"/>
  <c r="Z34" i="8"/>
  <c r="Z37" i="8"/>
  <c r="R92" i="9"/>
  <c r="M17" i="9"/>
  <c r="M25" i="9"/>
  <c r="Z22" i="8"/>
  <c r="G22" i="8"/>
  <c r="D22" i="8"/>
  <c r="F30" i="8"/>
  <c r="F89" i="8" s="1"/>
  <c r="W30" i="8"/>
  <c r="W89" i="8" s="1"/>
  <c r="E22" i="8"/>
  <c r="AF59" i="8"/>
  <c r="AI30" i="8"/>
  <c r="E27" i="8"/>
  <c r="Z27" i="8"/>
  <c r="AI22" i="8"/>
  <c r="G27" i="8"/>
  <c r="AI79" i="8"/>
  <c r="Y79" i="8"/>
  <c r="Y81" i="8" s="1"/>
  <c r="O17" i="9"/>
  <c r="K17" i="9"/>
  <c r="G31" i="8"/>
  <c r="D27" i="8"/>
  <c r="D94" i="9"/>
  <c r="D25" i="9"/>
  <c r="C94" i="9"/>
  <c r="C25" i="9"/>
  <c r="L17" i="9"/>
  <c r="E94" i="9"/>
  <c r="E25" i="9"/>
  <c r="J25" i="9"/>
  <c r="Q17" i="9"/>
  <c r="N17" i="9"/>
  <c r="O25" i="9"/>
  <c r="K25" i="9"/>
  <c r="F25" i="9"/>
  <c r="F94" i="9"/>
  <c r="P17" i="9"/>
  <c r="H17" i="9"/>
  <c r="I17" i="9"/>
  <c r="AI89" i="8" l="1"/>
  <c r="AI31" i="8"/>
  <c r="W34" i="8"/>
  <c r="W37" i="8"/>
  <c r="F34" i="8"/>
  <c r="F37" i="8"/>
  <c r="AI37" i="8"/>
  <c r="AI34" i="8"/>
  <c r="Z98" i="8"/>
  <c r="Z119" i="8" s="1"/>
  <c r="G98" i="8"/>
  <c r="G119" i="8" s="1"/>
  <c r="E98" i="8"/>
  <c r="D98" i="8"/>
  <c r="AF81" i="8"/>
  <c r="AL59" i="8"/>
  <c r="F27" i="8"/>
  <c r="F31" i="8"/>
  <c r="W27" i="8"/>
  <c r="E31" i="8"/>
  <c r="Z31" i="8"/>
  <c r="D31" i="8"/>
  <c r="AI81" i="8"/>
  <c r="F30" i="9"/>
  <c r="I25" i="9"/>
  <c r="O30" i="9"/>
  <c r="E30" i="9"/>
  <c r="C30" i="9"/>
  <c r="J30" i="9"/>
  <c r="N25" i="9"/>
  <c r="D30" i="9"/>
  <c r="P25" i="9"/>
  <c r="L25" i="9"/>
  <c r="H25" i="9"/>
  <c r="K30" i="9"/>
  <c r="Q25" i="9"/>
  <c r="F98" i="8" l="1"/>
  <c r="F119" i="8" s="1"/>
  <c r="W98" i="8"/>
  <c r="W119" i="8" s="1"/>
  <c r="AF119" i="8" s="1"/>
  <c r="W31" i="8"/>
  <c r="R96" i="9" a="1"/>
  <c r="R96" i="9" s="1"/>
  <c r="R93" i="9"/>
  <c r="R94" i="9" a="1"/>
  <c r="R94" i="9" s="1"/>
  <c r="R95" i="9" a="1"/>
  <c r="R95" i="9" s="1"/>
  <c r="L94" i="9" a="1"/>
  <c r="L94" i="9" s="1"/>
  <c r="K94" i="9" a="1"/>
  <c r="K94" i="9" s="1"/>
  <c r="Q94" i="9" a="1"/>
  <c r="Q94" i="9" s="1"/>
  <c r="I94" i="9" a="1"/>
  <c r="I94" i="9" s="1"/>
  <c r="P94" i="9" a="1"/>
  <c r="P94" i="9" s="1"/>
  <c r="O94" i="9" a="1"/>
  <c r="O94" i="9" s="1"/>
  <c r="H94" i="9" a="1"/>
  <c r="H94" i="9" s="1"/>
  <c r="M94" i="9" a="1"/>
  <c r="M94" i="9" s="1"/>
  <c r="J94" i="9" a="1"/>
  <c r="J94" i="9" s="1"/>
  <c r="N94" i="9" a="1"/>
  <c r="N94" i="9" s="1"/>
  <c r="E119" i="8"/>
  <c r="D119" i="8"/>
  <c r="AE98" i="8"/>
  <c r="M30" i="9"/>
  <c r="H30" i="9"/>
  <c r="L30" i="9"/>
  <c r="M96" i="9" a="1"/>
  <c r="M96" i="9" s="1"/>
  <c r="I30" i="9"/>
  <c r="C95" i="9" a="1"/>
  <c r="C95" i="9" s="1"/>
  <c r="C96" i="9" a="1"/>
  <c r="C96" i="9" s="1"/>
  <c r="C42" i="9"/>
  <c r="C36" i="9"/>
  <c r="E96" i="9" a="1"/>
  <c r="E96" i="9" s="1"/>
  <c r="E95" i="9" a="1"/>
  <c r="E95" i="9" s="1"/>
  <c r="E36" i="9"/>
  <c r="E42" i="9"/>
  <c r="E50" i="9" s="1"/>
  <c r="E92" i="9"/>
  <c r="E93" i="9"/>
  <c r="F95" i="9" a="1"/>
  <c r="F95" i="9" s="1"/>
  <c r="F96" i="9" a="1"/>
  <c r="F96" i="9" s="1"/>
  <c r="F36" i="9"/>
  <c r="F93" i="9"/>
  <c r="F42" i="9"/>
  <c r="F50" i="9" s="1"/>
  <c r="F92" i="9"/>
  <c r="M36" i="9"/>
  <c r="M42" i="9"/>
  <c r="M50" i="9" s="1"/>
  <c r="Q30" i="9"/>
  <c r="P30" i="9"/>
  <c r="K42" i="9"/>
  <c r="K50" i="9" s="1"/>
  <c r="K36" i="9"/>
  <c r="J42" i="9"/>
  <c r="J50" i="9" s="1"/>
  <c r="J36" i="9"/>
  <c r="N30" i="9"/>
  <c r="D96" i="9" a="1"/>
  <c r="D96" i="9" s="1"/>
  <c r="D42" i="9"/>
  <c r="D50" i="9" s="1"/>
  <c r="D36" i="9"/>
  <c r="D95" i="9" a="1"/>
  <c r="D95" i="9" s="1"/>
  <c r="D93" i="9"/>
  <c r="D92" i="9"/>
  <c r="O36" i="9"/>
  <c r="O42" i="9"/>
  <c r="O50" i="9" s="1"/>
  <c r="AF98" i="8" l="1"/>
  <c r="AC98" i="8"/>
  <c r="AD98" i="8"/>
  <c r="M95" i="9" a="1"/>
  <c r="M95" i="9" s="1"/>
  <c r="C51" i="9"/>
  <c r="P95" i="9" a="1"/>
  <c r="P95" i="9" s="1"/>
  <c r="N95" i="9" a="1"/>
  <c r="N95" i="9" s="1"/>
  <c r="P93" i="9"/>
  <c r="I96" i="9" a="1"/>
  <c r="I96" i="9" s="1"/>
  <c r="I95" i="9" a="1"/>
  <c r="I95" i="9" s="1"/>
  <c r="I92" i="9"/>
  <c r="I93" i="9"/>
  <c r="H95" i="9" a="1"/>
  <c r="H95" i="9" s="1"/>
  <c r="L42" i="9"/>
  <c r="L50" i="9" s="1"/>
  <c r="V50" i="9" s="1"/>
  <c r="V51" i="9" s="1"/>
  <c r="O95" i="9" a="1"/>
  <c r="O95" i="9" s="1"/>
  <c r="O96" i="9" a="1"/>
  <c r="O96" i="9" s="1"/>
  <c r="L36" i="9"/>
  <c r="O92" i="9"/>
  <c r="O93" i="9"/>
  <c r="M93" i="9"/>
  <c r="N92" i="9"/>
  <c r="F51" i="9"/>
  <c r="M92" i="9"/>
  <c r="J95" i="9" a="1"/>
  <c r="J95" i="9" s="1"/>
  <c r="J96" i="9" a="1"/>
  <c r="J96" i="9" s="1"/>
  <c r="J92" i="9"/>
  <c r="J93" i="9"/>
  <c r="E51" i="9"/>
  <c r="H92" i="9"/>
  <c r="P42" i="9"/>
  <c r="P50" i="9" s="1"/>
  <c r="P36" i="9"/>
  <c r="L96" i="9" a="1"/>
  <c r="L96" i="9" s="1"/>
  <c r="I42" i="9"/>
  <c r="I50" i="9" s="1"/>
  <c r="I36" i="9"/>
  <c r="L95" i="9" a="1"/>
  <c r="L95" i="9" s="1"/>
  <c r="L92" i="9"/>
  <c r="L93" i="9"/>
  <c r="N96" i="9" a="1"/>
  <c r="N96" i="9" s="1"/>
  <c r="P92" i="9"/>
  <c r="H96" i="9" a="1"/>
  <c r="H96" i="9" s="1"/>
  <c r="D51" i="9"/>
  <c r="Q96" i="9" a="1"/>
  <c r="Q96" i="9" s="1"/>
  <c r="Q95" i="9" a="1"/>
  <c r="Q95" i="9" s="1"/>
  <c r="Q92" i="9"/>
  <c r="N36" i="9"/>
  <c r="N42" i="9"/>
  <c r="N50" i="9" s="1"/>
  <c r="Q93" i="9"/>
  <c r="O51" i="9"/>
  <c r="P96" i="9" a="1"/>
  <c r="P96" i="9" s="1"/>
  <c r="K95" i="9" a="1"/>
  <c r="K95" i="9" s="1"/>
  <c r="K96" i="9" a="1"/>
  <c r="K96" i="9" s="1"/>
  <c r="H42" i="9"/>
  <c r="H36" i="9"/>
  <c r="K92" i="9"/>
  <c r="K93" i="9"/>
  <c r="N93" i="9"/>
  <c r="Q36" i="9"/>
  <c r="Q42" i="9"/>
  <c r="Q50" i="9" s="1"/>
  <c r="H93" i="9"/>
  <c r="Z50" i="9" l="1"/>
  <c r="Z51" i="9" s="1"/>
  <c r="U50" i="9"/>
  <c r="U51" i="9" s="1"/>
  <c r="T50" i="9"/>
  <c r="T51" i="9" s="1"/>
  <c r="X50" i="9"/>
  <c r="X51" i="9" s="1"/>
  <c r="Y50" i="9"/>
  <c r="Y51" i="9" s="1"/>
  <c r="W50" i="9"/>
  <c r="W51" i="9" s="1"/>
  <c r="AA50" i="9"/>
  <c r="AA51" i="9" s="1"/>
  <c r="P51" i="9"/>
  <c r="Q51" i="9"/>
  <c r="N51" i="9"/>
  <c r="M51" i="9"/>
  <c r="H51" i="9"/>
  <c r="J51" i="9"/>
  <c r="K51" i="9"/>
  <c r="I51" i="9" l="1"/>
  <c r="L51" i="9"/>
  <c r="D115" i="8" l="1"/>
  <c r="D120" i="8" s="1"/>
  <c r="D122" i="8" s="1"/>
  <c r="E113" i="8" l="1"/>
  <c r="E115" i="8" s="1"/>
  <c r="E120" i="8" s="1"/>
  <c r="E122" i="8" s="1"/>
  <c r="F113" i="8" l="1"/>
  <c r="F115" i="8" l="1"/>
  <c r="F120" i="8" l="1"/>
  <c r="F122" i="8" s="1"/>
  <c r="G113" i="8" l="1"/>
  <c r="G115" i="8" s="1"/>
  <c r="G120" i="8" s="1"/>
  <c r="Q115" i="8"/>
  <c r="Q120" i="8" s="1"/>
  <c r="G122" i="8" l="1"/>
  <c r="Q122" i="8"/>
  <c r="R113" i="8"/>
  <c r="R115" i="8" s="1"/>
  <c r="R120" i="8" s="1"/>
  <c r="AD113" i="8"/>
  <c r="R122" i="8" l="1"/>
  <c r="S113" i="8"/>
  <c r="S115" i="8" s="1"/>
  <c r="S120" i="8" s="1"/>
  <c r="S122" i="8" s="1"/>
  <c r="AE113" i="8"/>
  <c r="AF113" i="8" l="1"/>
  <c r="T113" i="8"/>
  <c r="T115" i="8" s="1"/>
  <c r="T120" i="8" s="1"/>
  <c r="T122" i="8" s="1"/>
  <c r="AG113" i="8" l="1"/>
  <c r="U113" i="8"/>
  <c r="U115" i="8" s="1"/>
  <c r="U120" i="8" s="1"/>
  <c r="U122" i="8" s="1"/>
  <c r="AH113" i="8" l="1"/>
  <c r="AD115" i="8"/>
  <c r="AD120" i="8" s="1"/>
  <c r="AD122" i="8" s="1"/>
  <c r="V113" i="8"/>
  <c r="V115" i="8" s="1"/>
  <c r="V120" i="8" s="1"/>
  <c r="V122" i="8" s="1"/>
  <c r="AI113" i="8" l="1"/>
  <c r="AE115" i="8"/>
  <c r="AE120" i="8" s="1"/>
  <c r="AE122" i="8" s="1"/>
  <c r="W113" i="8"/>
  <c r="W115" i="8" s="1"/>
  <c r="W120" i="8" s="1"/>
  <c r="W122" i="8" s="1"/>
  <c r="AJ113" i="8" l="1"/>
  <c r="AF115" i="8"/>
  <c r="AF120" i="8" s="1"/>
  <c r="AF122" i="8" s="1"/>
  <c r="X113" i="8"/>
  <c r="X115" i="8" s="1"/>
  <c r="Y11" i="8" l="1"/>
  <c r="Y21" i="8" l="1"/>
  <c r="Y26" i="8" s="1"/>
  <c r="Y14" i="8"/>
  <c r="Y15" i="8" s="1"/>
  <c r="Y12" i="10"/>
  <c r="Y30" i="8" l="1"/>
  <c r="Y89" i="8" s="1"/>
  <c r="Y34" i="8" l="1"/>
  <c r="Y37" i="8"/>
  <c r="Y22" i="8"/>
  <c r="Y27" i="8"/>
  <c r="Y31" i="8" l="1"/>
  <c r="Y98" i="8" l="1"/>
  <c r="Y119" i="8" s="1"/>
  <c r="X11" i="8"/>
  <c r="X21" i="8" l="1"/>
  <c r="X26" i="8" s="1"/>
  <c r="X14" i="8"/>
  <c r="X15" i="8" s="1"/>
  <c r="X12" i="10"/>
  <c r="X30" i="8" l="1"/>
  <c r="X89" i="8" s="1"/>
  <c r="X34" i="8" l="1"/>
  <c r="X37" i="8"/>
  <c r="X22" i="8"/>
  <c r="X27" i="8"/>
  <c r="X31" i="8" l="1"/>
  <c r="AJ98" i="8" l="1"/>
  <c r="AL98" i="8" s="1"/>
  <c r="AL89" i="8"/>
  <c r="AG98" i="8"/>
  <c r="AH98" i="8"/>
  <c r="X98" i="8"/>
  <c r="X119" i="8" s="1"/>
  <c r="X120" i="8" l="1"/>
  <c r="X122" i="8" s="1"/>
  <c r="AJ119" i="8"/>
  <c r="AI119" i="8"/>
  <c r="AH119" i="8"/>
  <c r="AG119" i="8"/>
  <c r="AG115" i="8"/>
  <c r="AI98" i="8"/>
  <c r="Y113" i="8" l="1"/>
  <c r="Y115" i="8" s="1"/>
  <c r="Y120" i="8" s="1"/>
  <c r="Y122" i="8" s="1"/>
  <c r="AG120" i="8"/>
  <c r="AG122" i="8" s="1"/>
  <c r="AH115" i="8"/>
  <c r="AH120" i="8" s="1"/>
  <c r="AH122" i="8" s="1"/>
  <c r="Z113" i="8" l="1"/>
  <c r="Z115" i="8" s="1"/>
  <c r="Z120" i="8" s="1"/>
  <c r="Z122" i="8" s="1"/>
  <c r="AI115" i="8"/>
  <c r="AI120" i="8" s="1"/>
  <c r="AI122" i="8" s="1"/>
  <c r="AC115" i="8"/>
  <c r="AC120" i="8" s="1"/>
  <c r="AC122" i="8" s="1"/>
  <c r="AA113" i="8" l="1"/>
  <c r="AA115" i="8" s="1"/>
  <c r="AA120" i="8" s="1"/>
  <c r="AJ115" i="8"/>
  <c r="AJ120" i="8" s="1"/>
  <c r="AJ122" i="8" s="1"/>
  <c r="AA122" i="8" l="1"/>
  <c r="C88" i="9"/>
  <c r="C97" i="9" s="1"/>
  <c r="C92" i="9"/>
  <c r="C93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<sst xmlns="http://schemas.openxmlformats.org/spreadsheetml/2006/main" count="240" uniqueCount="195">
  <si>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</si>
  <si>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</si>
  <si>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</si>
  <si>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</si>
  <si>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</si>
  <si>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</si>
  <si>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</si>
  <si>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</si>
  <si>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</si>
  <si>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</si>
  <si>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</si>
  <si>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</si>
  <si>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</si>
  <si>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</si>
  <si>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</si>
  <si>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</si>
  <si>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</si>
  <si>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</si>
  <si>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</si>
  <si>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</si>
  <si>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</si>
  <si>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</si>
  <si>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</si>
  <si>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</si>
  <si>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</si>
  <si>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</si>
  <si>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</si>
  <si>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</si>
  <si>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</si>
  <si>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</si>
  <si>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</si>
  <si>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</si>
  <si>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</si>
  <si>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</si>
  <si>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</si>
  <si>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</si>
  <si>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</si>
  <si>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</si>
  <si>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</si>
  <si>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</si>
  <si>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</si>
  <si>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</si>
  <si>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</si>
  <si>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</si>
  <si>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</si>
  <si>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</si>
  <si>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</si>
  <si>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</si>
  <si>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</si>
  <si>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</si>
  <si>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</si>
  <si>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</si>
  <si>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</si>
  <si>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</si>
  <si>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</si>
  <si>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</si>
  <si>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</si>
  <si>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</si>
  <si>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</si>
  <si>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</si>
  <si>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</si>
  <si>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</si>
  <si>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</si>
  <si>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</si>
  <si>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</si>
  <si>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</si>
  <si>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</si>
  <si>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</si>
  <si>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</si>
  <si>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</si>
  <si>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</si>
  <si>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</si>
  <si>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</si>
  <si>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</si>
  <si>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</si>
  <si>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</si>
  <si>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</si>
  <si>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</si>
  <si>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</si>
  <si>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</si>
  <si>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</si>
  <si>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</si>
  <si>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</si>
  <si>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</si>
  <si>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</si>
  <si>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</si>
  <si>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</si>
  <si>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</si>
  <si>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</si>
  <si>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</si>
  <si>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</si>
  <si>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</si>
  <si>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</si>
  <si>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Interest paid</t>
  </si>
  <si>
    <t>BOP Restricted Cash Adjustment</t>
  </si>
  <si>
    <t>(+/-) Proceeds / (Purchases) of ST Investments</t>
  </si>
  <si>
    <t>(-) 'Proceeds from issuance of Debt / (Repayment), net</t>
  </si>
  <si>
    <t>(+/-) Changes in Other Financing Activities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</si>
  <si>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</si>
  <si>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</si>
  <si>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</si>
  <si>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</si>
  <si>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</si>
  <si>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</si>
  <si>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Income tax provision (benefit)</t>
  </si>
  <si>
    <t>Net Income</t>
  </si>
  <si>
    <t>Inventories</t>
  </si>
  <si>
    <t>Goodwill</t>
  </si>
  <si>
    <t>Acquisition-related intangibles</t>
  </si>
  <si>
    <t xml:space="preserve">Income taxes paid </t>
  </si>
  <si>
    <t>4.393% Senior Notes Due 2052 (4.393% Notes)</t>
  </si>
  <si>
    <t>3.924% Senior Notes Due 2032 (3.924% Notes)</t>
  </si>
  <si>
    <t>2.375% Senior Notes Due 2030 (2.375% Notes)</t>
  </si>
  <si>
    <t>2.950% Senior Notes Due 2024 (2.950% Notes)</t>
  </si>
  <si>
    <t>2.125% Convertible Senior Notes Due 2026 (2.125% Notes)</t>
  </si>
  <si>
    <t>(-) Cost of Sales</t>
  </si>
  <si>
    <t xml:space="preserve">(-) Amortization of acquisition-related intangibles	</t>
  </si>
  <si>
    <t>(-) Restructuring charges</t>
  </si>
  <si>
    <t>(-) Licensing gain</t>
  </si>
  <si>
    <t>(-) Research and Development</t>
  </si>
  <si>
    <t>(-) Marketing, General and Administrative</t>
  </si>
  <si>
    <t xml:space="preserve">(+) Amortization of acquisition-related intangibles	</t>
  </si>
  <si>
    <t>(+) Stock-Based Compensation</t>
  </si>
  <si>
    <t>(+) Restructuring charges</t>
  </si>
  <si>
    <t>(+) Licensing gain</t>
  </si>
  <si>
    <t>(-) Purchases of strategic investments</t>
  </si>
  <si>
    <t>(-) Share Repurchases</t>
  </si>
  <si>
    <t>Short-Term Investments</t>
  </si>
  <si>
    <t>7.50% Senior Notes Due August 2022 (7.50% Notes)</t>
  </si>
  <si>
    <t>4.212% Senior Notes Due 2026 (4.212% Notes)</t>
  </si>
  <si>
    <t>4.319% Senior Notes Due 2028 (4.319% Notes)</t>
  </si>
  <si>
    <t>L/C Availability</t>
  </si>
  <si>
    <t>Swingline Availability</t>
  </si>
  <si>
    <t>$3.0Bn Commercial Paper Program</t>
  </si>
  <si>
    <t>$3.0Bn Sr. Unsecured RCF (CP Backstop)</t>
  </si>
  <si>
    <t xml:space="preserve">Revolver Utilization </t>
  </si>
  <si>
    <t>Accounts Receivable</t>
  </si>
  <si>
    <t>Retained Earnings</t>
  </si>
  <si>
    <t>Depreciation &amp; Amortisation</t>
  </si>
  <si>
    <t>Deferred Tax</t>
  </si>
  <si>
    <t>Working Capital</t>
  </si>
  <si>
    <t>Contract Assets &amp; Liabilities</t>
  </si>
  <si>
    <t>Finance Receivables</t>
  </si>
  <si>
    <t>Other Operating Activities</t>
  </si>
  <si>
    <t>PP&amp;E Investment</t>
  </si>
  <si>
    <t>Purchase of Intangible Assets</t>
  </si>
  <si>
    <t>Loans Issued</t>
  </si>
  <si>
    <t>Other Investing Activities</t>
  </si>
  <si>
    <t>Debt Issuance / (Repayment)</t>
  </si>
  <si>
    <t>Common Equity Issuance / (Buyback)</t>
  </si>
  <si>
    <t>Common Dividents Paid</t>
  </si>
  <si>
    <t>PP&amp;E</t>
  </si>
  <si>
    <t>Common Stock</t>
  </si>
  <si>
    <t>Accumulated Other Comprehensive Income Loss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</si>
  <si>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</si>
  <si>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</si>
  <si>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</si>
  <si>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</si>
  <si>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</si>
  <si>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</si>
  <si>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ST Investments</t>
  </si>
  <si>
    <t>LT Investments</t>
  </si>
  <si>
    <t>4Q22</t>
  </si>
  <si>
    <t>1Q22</t>
  </si>
  <si>
    <t>2Q22</t>
  </si>
  <si>
    <t>3Q22</t>
  </si>
  <si>
    <t>Cost Of Sales</t>
  </si>
  <si>
    <t>R&amp;D</t>
  </si>
  <si>
    <t>A/R</t>
  </si>
  <si>
    <t>Operating Leases</t>
  </si>
  <si>
    <t>A/P</t>
  </si>
  <si>
    <t>Unearned Revenue</t>
  </si>
  <si>
    <t>4Q21</t>
  </si>
  <si>
    <t>3Q21</t>
  </si>
  <si>
    <t>2Q21</t>
  </si>
  <si>
    <t>1Q21</t>
  </si>
  <si>
    <t>Sales and Marketing</t>
  </si>
  <si>
    <t>General and Administrative</t>
  </si>
  <si>
    <t>Restructuring</t>
  </si>
  <si>
    <t>G/(L) on Strat. Investments</t>
  </si>
  <si>
    <t>Other Income</t>
  </si>
  <si>
    <t>Cash and C.E.'s</t>
  </si>
  <si>
    <t>Cost Capitalized to Obtain Contracts</t>
  </si>
  <si>
    <t>Prepaid Expenses</t>
  </si>
  <si>
    <t xml:space="preserve">Noncurrent Cost Capitalized </t>
  </si>
  <si>
    <t>Intangible Assets</t>
  </si>
  <si>
    <t>Deferred Tax Assets</t>
  </si>
  <si>
    <t>Operating Lease Liabilities, Current</t>
  </si>
  <si>
    <t>Debt, Current</t>
  </si>
  <si>
    <t>Noncurrent Debts</t>
  </si>
  <si>
    <t>Noncurrent Operating Lease Liab.</t>
  </si>
  <si>
    <t>Other Noncurrent Liabilities</t>
  </si>
  <si>
    <t>Subscription and Support</t>
  </si>
  <si>
    <t>Professional Services and Other</t>
  </si>
  <si>
    <t>Salesforce Inc (NYSE: CRM)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</si>
</sst>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6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41" fontId="31" fillId="0" borderId="0" xfId="0" applyNumberFormat="1" applyFont="1" applyAlignment="1">
      <alignment vertical="center"/>
    </xf>
    <xf numFmtId="0" fontId="23" fillId="0" borderId="0" xfId="0" applyFont="1" applyAlignment="1">
      <alignment horizontal="left" vertical="center" indent="1"/>
    </xf>
    <xf numFmtId="41" fontId="31" fillId="8" borderId="0" xfId="0" applyNumberFormat="1" applyFont="1" applyFill="1" applyAlignment="1">
      <alignment vertical="center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43"/>
  <sheetViews>
    <sheetView showGridLines="0" tabSelected="1" zoomScaleNormal="100" workbookViewId="0">
      <selection activeCell="B2" sqref="B2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7.875" style="5" bestFit="1" customWidth="1" outlineLevel="1"/>
    <col min="4" max="4" width="9" style="5" customWidth="1" outlineLevel="1"/>
    <col min="5" max="7" width="9" style="5" bestFit="1" customWidth="1"/>
    <col min="8" max="8" width="1.5" style="5" customWidth="1"/>
    <col min="9" max="20" width="8.875" style="5" customWidth="1" outlineLevel="2"/>
    <col min="21" max="22" width="8.875" style="5" customWidth="1" outlineLevel="1"/>
    <col min="23" max="27" width="8.875" style="5" bestFit="1" customWidth="1"/>
    <col min="28" max="28" width="1.5" style="5" customWidth="1"/>
    <col min="29" max="31" width="8.75" style="5" customWidth="1" outlineLevel="1"/>
    <col min="32" max="32" width="9" style="5" bestFit="1" customWidth="1"/>
    <col min="33" max="35" width="9" style="5" customWidth="1" outlineLevel="1"/>
    <col min="36" max="36" width="9" style="5" bestFit="1" customWidth="1"/>
    <col min="37" max="37" width="1.25" style="5" customWidth="1"/>
    <col min="38" max="38" width="8" style="5" bestFit="1" customWidth="1"/>
    <col min="39" max="39" width="1.375" style="5" customWidth="1"/>
    <col min="40" max="16384" width="9" style="5"/>
  </cols>
  <sheetData>
    <row r="2" spans="1:38" ht="12.75" customHeight="1">
      <c r="B2" s="1" t="s">
        <v>194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3"/>
      <c r="AC2" s="101"/>
      <c r="AD2" s="101"/>
      <c r="AE2" s="101"/>
      <c r="AF2" s="101"/>
      <c r="AG2" s="101"/>
      <c r="AH2" s="101"/>
      <c r="AI2" s="101"/>
      <c r="AJ2" s="101"/>
      <c r="AK2" s="3"/>
      <c r="AL2" s="1"/>
    </row>
    <row r="3" spans="1:38" ht="12.75" customHeight="1">
      <c r="B3" s="6" t="s">
        <v>74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3"/>
      <c r="AC3" s="4"/>
      <c r="AD3" s="4"/>
      <c r="AE3" s="4"/>
      <c r="AF3" s="4"/>
      <c r="AG3" s="4"/>
      <c r="AH3" s="4"/>
      <c r="AI3" s="4"/>
      <c r="AJ3" s="4"/>
      <c r="AK3" s="3"/>
      <c r="AL3" s="1"/>
    </row>
    <row r="4" spans="1:38" ht="12.75" customHeight="1">
      <c r="B4" s="6" t="s">
        <v>71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1"/>
    </row>
    <row r="6" spans="1:38" ht="12.75" customHeight="1">
      <c r="A6" s="5" t="s">
        <v>16</v>
      </c>
      <c r="B6" s="1" t="s">
        <v>72</v>
      </c>
      <c r="C6" s="2" t="s">
        <v>0</v>
      </c>
      <c r="D6" s="2" t="s">
        <v>0</v>
      </c>
      <c r="E6" s="2"/>
      <c r="F6" s="2"/>
      <c r="G6" s="2"/>
      <c r="H6" s="3"/>
      <c r="I6" s="2" t="s">
        <v>1</v>
      </c>
      <c r="J6" s="2"/>
      <c r="K6" s="2"/>
      <c r="L6" s="2"/>
      <c r="M6" s="2" t="s">
        <v>1</v>
      </c>
      <c r="N6" s="2"/>
      <c r="O6" s="2"/>
      <c r="P6" s="2"/>
      <c r="Q6" s="2" t="s">
        <v>1</v>
      </c>
      <c r="R6" s="2"/>
      <c r="S6" s="2"/>
      <c r="T6" s="2"/>
      <c r="U6" s="2"/>
      <c r="V6" s="2"/>
      <c r="W6" s="2" t="s">
        <v>1</v>
      </c>
      <c r="X6" s="2"/>
      <c r="Y6" s="2"/>
      <c r="Z6" s="2"/>
      <c r="AA6" s="2"/>
      <c r="AB6" s="3"/>
      <c r="AC6" s="2"/>
      <c r="AD6" s="2"/>
      <c r="AE6" s="2" t="s">
        <v>10</v>
      </c>
      <c r="AF6" s="2" t="s">
        <v>10</v>
      </c>
      <c r="AG6" s="2"/>
      <c r="AH6" s="2"/>
      <c r="AI6" s="2"/>
      <c r="AJ6" s="2"/>
      <c r="AK6" s="38"/>
      <c r="AL6" s="162" t="s">
        <v>22</v>
      </c>
    </row>
    <row r="7" spans="1:38" ht="12.75" customHeight="1">
      <c r="B7" s="6" t="s">
        <v>75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175</v>
      </c>
      <c r="J7" s="4" t="s">
        <v>174</v>
      </c>
      <c r="K7" s="4" t="s">
        <v>173</v>
      </c>
      <c r="L7" s="4" t="s">
        <v>172</v>
      </c>
      <c r="M7" s="4" t="s">
        <v>163</v>
      </c>
      <c r="N7" s="4" t="s">
        <v>164</v>
      </c>
      <c r="O7" s="4" t="s">
        <v>165</v>
      </c>
      <c r="P7" s="4" t="s">
        <v>162</v>
      </c>
      <c r="Q7" s="4" t="s">
        <v>6</v>
      </c>
      <c r="R7" s="4" t="s">
        <v>7</v>
      </c>
      <c r="S7" s="4" t="s">
        <v>8</v>
      </c>
      <c r="T7" s="4" t="s">
        <v>9</v>
      </c>
      <c r="U7" s="4" t="s">
        <v>2</v>
      </c>
      <c r="V7" s="4" t="s">
        <v>3</v>
      </c>
      <c r="W7" s="4" t="s">
        <v>4</v>
      </c>
      <c r="X7" s="4" t="s">
        <v>5</v>
      </c>
      <c r="Y7" s="4" t="s">
        <v>24</v>
      </c>
      <c r="Z7" s="4" t="s">
        <v>25</v>
      </c>
      <c r="AA7" s="4" t="s">
        <v>61</v>
      </c>
      <c r="AB7" s="3"/>
      <c r="AC7" s="4" t="str">
        <f>T7</f>
        <v>4Q23</v>
      </c>
      <c r="AD7" s="4" t="str">
        <f>U7</f>
        <v>1Q24</v>
      </c>
      <c r="AE7" s="4" t="str">
        <f>V7</f>
        <v>2Q24</v>
      </c>
      <c r="AF7" s="4" t="str">
        <f>W7</f>
        <v>3Q24</v>
      </c>
      <c r="AG7" s="4" t="str">
        <f>X7</f>
        <v>4Q24</v>
      </c>
      <c r="AH7" s="4" t="str">
        <f>Y7</f>
        <v>1Q25</v>
      </c>
      <c r="AI7" s="4" t="str">
        <f>Z7</f>
        <v>2Q25</v>
      </c>
      <c r="AJ7" s="4" t="str">
        <f>AA7</f>
        <v>3Q25</v>
      </c>
      <c r="AK7" s="38"/>
      <c r="AL7" s="162"/>
    </row>
    <row r="8" spans="1:38" ht="12.75" customHeight="1">
      <c r="B8" s="6" t="s">
        <v>76</v>
      </c>
      <c r="C8" s="3"/>
      <c r="D8" s="3"/>
      <c r="E8" s="3"/>
      <c r="F8" s="85"/>
      <c r="G8" s="85"/>
      <c r="H8" s="3"/>
      <c r="I8" s="3"/>
      <c r="J8" s="3"/>
      <c r="K8" s="3"/>
      <c r="L8" s="3"/>
      <c r="M8" s="3"/>
      <c r="N8" s="3"/>
      <c r="O8" s="3"/>
      <c r="P8" s="3">
        <f>E8</f>
        <v>0</v>
      </c>
      <c r="Q8" s="3"/>
      <c r="R8" s="3"/>
      <c r="S8" s="3"/>
      <c r="T8" s="3">
        <f>F8</f>
        <v>0</v>
      </c>
      <c r="U8" s="3"/>
      <c r="V8" s="3"/>
      <c r="W8" s="3"/>
      <c r="X8" s="3">
        <f>G8</f>
        <v>0</v>
      </c>
      <c r="Y8" s="3"/>
      <c r="Z8" s="3"/>
      <c r="AA8" s="3"/>
      <c r="AB8" s="3"/>
      <c r="AC8" s="3">
        <f>T8</f>
        <v>0</v>
      </c>
      <c r="AD8" s="3">
        <f>U8</f>
        <v>0</v>
      </c>
      <c r="AE8" s="3">
        <f>V8</f>
        <v>0</v>
      </c>
      <c r="AF8" s="3">
        <f>W8</f>
        <v>0</v>
      </c>
      <c r="AG8" s="3">
        <f>X8</f>
        <v>0</v>
      </c>
      <c r="AH8" s="3">
        <f>Y8</f>
        <v>0</v>
      </c>
      <c r="AI8" s="3">
        <f>Z8</f>
        <v>0</v>
      </c>
      <c r="AJ8" s="3">
        <f>AA8</f>
        <v>0</v>
      </c>
      <c r="AK8" s="38"/>
      <c r="AL8" s="162"/>
    </row>
    <row r="9" spans="1:38" ht="5.0999999999999996" customHeight="1">
      <c r="AL9" s="100"/>
    </row>
    <row r="10" spans="1:38" ht="12.75" customHeight="1">
      <c r="B10" s="9" t="s">
        <v>56</v>
      </c>
      <c r="C10" s="95">
        <v>21252</v>
      </c>
      <c r="D10" s="95">
        <v>26492</v>
      </c>
      <c r="E10" s="95">
        <v>31355</v>
      </c>
      <c r="F10" s="95">
        <v>34857</v>
      </c>
      <c r="G10" s="95">
        <v>37895</v>
      </c>
      <c r="H10" s="11"/>
      <c r="I10" s="95">
        <v>5963</v>
      </c>
      <c r="J10" s="95">
        <v>6340</v>
      </c>
      <c r="K10" s="95">
        <v>6863</v>
      </c>
      <c r="L10" s="32">
        <f>SUM(D10-SUM(I10:K10))</f>
        <v>7326</v>
      </c>
      <c r="M10" s="95">
        <v>7411</v>
      </c>
      <c r="N10" s="95">
        <v>7720</v>
      </c>
      <c r="O10" s="95">
        <v>7837</v>
      </c>
      <c r="P10" s="32">
        <f>SUM(E10-SUM(M10:O10))</f>
        <v>8387</v>
      </c>
      <c r="Q10" s="95">
        <v>8247</v>
      </c>
      <c r="R10" s="95">
        <v>8603</v>
      </c>
      <c r="S10" s="95">
        <v>8720</v>
      </c>
      <c r="T10" s="32">
        <f>SUM(F10-SUM(Q10:S10))</f>
        <v>9287</v>
      </c>
      <c r="U10" s="95">
        <v>9133</v>
      </c>
      <c r="V10" s="95">
        <v>9325</v>
      </c>
      <c r="W10" s="95">
        <v>9444</v>
      </c>
      <c r="X10" s="32">
        <f>SUM(G10-SUM(U10:W10))</f>
        <v>9993</v>
      </c>
      <c r="Y10" s="82">
        <v>9829</v>
      </c>
      <c r="Z10" s="82">
        <v>10236</v>
      </c>
      <c r="AA10" s="82"/>
      <c r="AC10" s="32">
        <f>SUM(Q10:T10)</f>
        <v>34857</v>
      </c>
      <c r="AD10" s="32">
        <f>SUM(R10:U10)</f>
        <v>35743</v>
      </c>
      <c r="AE10" s="32">
        <f>SUM(S10:V10)</f>
        <v>36465</v>
      </c>
      <c r="AF10" s="32">
        <f>SUM(T10:W10)</f>
        <v>37189</v>
      </c>
      <c r="AG10" s="32">
        <f>SUM(U10:X10)</f>
        <v>37895</v>
      </c>
      <c r="AH10" s="32">
        <f>SUM(V10:Y10)</f>
        <v>38591</v>
      </c>
      <c r="AI10" s="32">
        <f>SUM(W10:Z10)</f>
        <v>39502</v>
      </c>
      <c r="AJ10" s="32">
        <f>SUM(X10:AA10)</f>
        <v>30058</v>
      </c>
      <c r="AK10" s="40"/>
      <c r="AL10" s="12">
        <f>SUM(AJ10/AF10)-1</f>
        <v>-0.191750248729463</v>
      </c>
    </row>
    <row r="11" spans="1:38" ht="12.75" customHeight="1">
      <c r="B11" s="13" t="s">
        <v>12</v>
      </c>
      <c r="C11" s="14">
        <f t="shared" ref="C11" si="0">+SUM(C10:C10)</f>
        <v>21252</v>
      </c>
      <c r="D11" s="14">
        <f t="shared" ref="D11:G11" si="1">+SUM(D10:D10)</f>
        <v>26492</v>
      </c>
      <c r="E11" s="14">
        <f t="shared" si="1"/>
        <v>31355</v>
      </c>
      <c r="F11" s="14">
        <f t="shared" si="1"/>
        <v>34857</v>
      </c>
      <c r="G11" s="14">
        <f t="shared" si="1"/>
        <v>37895</v>
      </c>
      <c r="H11" s="11"/>
      <c r="I11" s="14">
        <f t="shared" ref="I11:L11" si="2">+SUM(I10:I10)</f>
        <v>5963</v>
      </c>
      <c r="J11" s="14">
        <f t="shared" si="2"/>
        <v>6340</v>
      </c>
      <c r="K11" s="14">
        <f t="shared" si="2"/>
        <v>6863</v>
      </c>
      <c r="L11" s="14">
        <f t="shared" si="2"/>
        <v>7326</v>
      </c>
      <c r="M11" s="14">
        <f t="shared" ref="M11:P11" si="3">+SUM(M10:M10)</f>
        <v>7411</v>
      </c>
      <c r="N11" s="14">
        <f t="shared" ref="N11" si="4">+SUM(N10:N10)</f>
        <v>7720</v>
      </c>
      <c r="O11" s="14">
        <f t="shared" si="3"/>
        <v>7837</v>
      </c>
      <c r="P11" s="14">
        <f t="shared" si="3"/>
        <v>8387</v>
      </c>
      <c r="Q11" s="14">
        <f t="shared" ref="Q11:Z11" si="5">+SUM(Q10:Q10)</f>
        <v>8247</v>
      </c>
      <c r="R11" s="14">
        <f t="shared" si="5"/>
        <v>8603</v>
      </c>
      <c r="S11" s="14">
        <f t="shared" si="5"/>
        <v>8720</v>
      </c>
      <c r="T11" s="14">
        <f t="shared" si="5"/>
        <v>9287</v>
      </c>
      <c r="U11" s="14">
        <f t="shared" si="5"/>
        <v>9133</v>
      </c>
      <c r="V11" s="14">
        <f t="shared" si="5"/>
        <v>9325</v>
      </c>
      <c r="W11" s="14">
        <f t="shared" si="5"/>
        <v>9444</v>
      </c>
      <c r="X11" s="14">
        <f t="shared" si="5"/>
        <v>9993</v>
      </c>
      <c r="Y11" s="14">
        <f t="shared" si="5"/>
        <v>9829</v>
      </c>
      <c r="Z11" s="14">
        <f t="shared" si="5"/>
        <v>10236</v>
      </c>
      <c r="AA11" s="14">
        <f>+SUM(AA10:AA10)</f>
        <v>0</v>
      </c>
      <c r="AC11" s="14">
        <f t="shared" ref="AC11:AI11" si="6">+SUM(AC10:AC10)</f>
        <v>34857</v>
      </c>
      <c r="AD11" s="14">
        <f t="shared" si="6"/>
        <v>35743</v>
      </c>
      <c r="AE11" s="14">
        <f t="shared" si="6"/>
        <v>36465</v>
      </c>
      <c r="AF11" s="14">
        <f t="shared" si="6"/>
        <v>37189</v>
      </c>
      <c r="AG11" s="14">
        <f t="shared" si="6"/>
        <v>37895</v>
      </c>
      <c r="AH11" s="14">
        <f t="shared" si="6"/>
        <v>38591</v>
      </c>
      <c r="AI11" s="14">
        <f t="shared" si="6"/>
        <v>39502</v>
      </c>
      <c r="AJ11" s="14">
        <f>+SUM(AJ10:AJ10)</f>
        <v>30058</v>
      </c>
      <c r="AK11" s="40"/>
      <c r="AL11" s="15">
        <f>SUM(AJ11/AF11)-1</f>
        <v>-0.191750248729463</v>
      </c>
    </row>
    <row r="12" spans="1:38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2"/>
      <c r="Z12" s="21"/>
      <c r="AA12" s="21"/>
      <c r="AL12" s="75"/>
    </row>
    <row r="13" spans="1:38" s="20" customFormat="1">
      <c r="B13" s="9" t="s">
        <v>166</v>
      </c>
      <c r="C13" s="82">
        <v>-5438</v>
      </c>
      <c r="D13" s="82">
        <v>-7026</v>
      </c>
      <c r="E13" s="82">
        <v>-8360</v>
      </c>
      <c r="F13" s="82">
        <v>-8541</v>
      </c>
      <c r="G13" s="82">
        <v>-8643</v>
      </c>
      <c r="H13" s="32"/>
      <c r="I13" s="82">
        <v>-1555</v>
      </c>
      <c r="J13" s="82">
        <v>-1613</v>
      </c>
      <c r="K13" s="82">
        <v>-1844</v>
      </c>
      <c r="L13" s="32">
        <f t="shared" ref="L13" si="7">SUM(D13-SUM(I13:K13))</f>
        <v>-2014</v>
      </c>
      <c r="M13" s="82">
        <v>-2045</v>
      </c>
      <c r="N13" s="82">
        <v>-2127</v>
      </c>
      <c r="O13" s="82">
        <v>-2088</v>
      </c>
      <c r="P13" s="32">
        <f t="shared" ref="P13" si="8">SUM(E13-SUM(M13:O13))</f>
        <v>-2100</v>
      </c>
      <c r="Q13" s="82">
        <v>-2125</v>
      </c>
      <c r="R13" s="82">
        <v>-2113</v>
      </c>
      <c r="S13" s="82">
        <v>-2155</v>
      </c>
      <c r="T13" s="32">
        <f t="shared" ref="T13" si="9">SUM(F13-SUM(Q13:S13))</f>
        <v>-2148</v>
      </c>
      <c r="U13" s="82">
        <v>-2162</v>
      </c>
      <c r="V13" s="82">
        <v>-2159</v>
      </c>
      <c r="W13" s="82">
        <v>-2105</v>
      </c>
      <c r="X13" s="32">
        <f t="shared" ref="X13" si="10">SUM(G13-SUM(U13:W13))</f>
        <v>-2217</v>
      </c>
      <c r="Y13" s="82">
        <v>-2265</v>
      </c>
      <c r="Z13" s="82">
        <v>-2242</v>
      </c>
      <c r="AA13" s="82"/>
      <c r="AB13" s="5"/>
      <c r="AC13" s="32">
        <f>SUM(Q13:T13)</f>
        <v>-8541</v>
      </c>
      <c r="AD13" s="32">
        <f>SUM(R13:U13)</f>
        <v>-8578</v>
      </c>
      <c r="AE13" s="32">
        <f>SUM(S13:V13)</f>
        <v>-8624</v>
      </c>
      <c r="AF13" s="32">
        <f>SUM(T13:W13)</f>
        <v>-8574</v>
      </c>
      <c r="AG13" s="32">
        <f>SUM(U13:X13)</f>
        <v>-8643</v>
      </c>
      <c r="AH13" s="32">
        <f>SUM(V13:Y13)</f>
        <v>-8746</v>
      </c>
      <c r="AI13" s="32">
        <f>SUM(W13:Z13)</f>
        <v>-8829</v>
      </c>
      <c r="AJ13" s="32">
        <f>SUM(X13:AA13)</f>
        <v>-6724</v>
      </c>
      <c r="AK13" s="11"/>
      <c r="AL13" s="75">
        <f t="shared" ref="AL13" si="11">SUM(AJ13/AF13)-1</f>
        <v>-0.21576860275250753</v>
      </c>
    </row>
    <row r="14" spans="1:38" s="20" customFormat="1">
      <c r="B14" s="25" t="s">
        <v>20</v>
      </c>
      <c r="C14" s="26">
        <f>SUM(C11+C13)</f>
        <v>15814</v>
      </c>
      <c r="D14" s="26">
        <f t="shared" ref="D14:G14" si="12">SUM(D11+D13)</f>
        <v>19466</v>
      </c>
      <c r="E14" s="26">
        <f t="shared" si="12"/>
        <v>22995</v>
      </c>
      <c r="F14" s="26">
        <f t="shared" si="12"/>
        <v>26316</v>
      </c>
      <c r="G14" s="26">
        <f t="shared" si="12"/>
        <v>29252</v>
      </c>
      <c r="H14" s="32"/>
      <c r="I14" s="26">
        <f t="shared" ref="I14" si="13">SUM(I11+I13)</f>
        <v>4408</v>
      </c>
      <c r="J14" s="26">
        <f t="shared" ref="J14" si="14">SUM(J11+J13)</f>
        <v>4727</v>
      </c>
      <c r="K14" s="26">
        <f t="shared" ref="K14" si="15">SUM(K11+K13)</f>
        <v>5019</v>
      </c>
      <c r="L14" s="26">
        <f t="shared" ref="L14" si="16">SUM(L11+L13)</f>
        <v>5312</v>
      </c>
      <c r="M14" s="26">
        <f t="shared" ref="M14" si="17">SUM(M11+M13)</f>
        <v>5366</v>
      </c>
      <c r="N14" s="26">
        <f t="shared" ref="N14" si="18">SUM(N11+N13)</f>
        <v>5593</v>
      </c>
      <c r="O14" s="26">
        <f t="shared" ref="O14" si="19">SUM(O11+O13)</f>
        <v>5749</v>
      </c>
      <c r="P14" s="26">
        <f t="shared" ref="P14" si="20">SUM(P11+P13)</f>
        <v>6287</v>
      </c>
      <c r="Q14" s="26">
        <f t="shared" ref="Q14" si="21">SUM(Q11+Q13)</f>
        <v>6122</v>
      </c>
      <c r="R14" s="26">
        <f t="shared" ref="R14" si="22">SUM(R11+R13)</f>
        <v>6490</v>
      </c>
      <c r="S14" s="26">
        <f t="shared" ref="S14" si="23">SUM(S11+S13)</f>
        <v>6565</v>
      </c>
      <c r="T14" s="26">
        <f t="shared" ref="T14" si="24">SUM(T11+T13)</f>
        <v>7139</v>
      </c>
      <c r="U14" s="26">
        <f t="shared" ref="U14" si="25">SUM(U11+U13)</f>
        <v>6971</v>
      </c>
      <c r="V14" s="26">
        <f t="shared" ref="V14" si="26">SUM(V11+V13)</f>
        <v>7166</v>
      </c>
      <c r="W14" s="26">
        <f t="shared" ref="W14" si="27">SUM(W11+W13)</f>
        <v>7339</v>
      </c>
      <c r="X14" s="26">
        <f t="shared" ref="X14" si="28">SUM(X11+X13)</f>
        <v>7776</v>
      </c>
      <c r="Y14" s="26">
        <f t="shared" ref="Y14" si="29">SUM(Y11+Y13)</f>
        <v>7564</v>
      </c>
      <c r="Z14" s="26">
        <f t="shared" ref="Z14" si="30">SUM(Z11+Z13)</f>
        <v>7994</v>
      </c>
      <c r="AA14" s="26">
        <f t="shared" ref="AA14" si="31">SUM(AA11+AA13)</f>
        <v>0</v>
      </c>
      <c r="AB14" s="5"/>
      <c r="AC14" s="26">
        <f t="shared" ref="AC14" si="32">SUM(AC11+AC13)</f>
        <v>26316</v>
      </c>
      <c r="AD14" s="26">
        <f t="shared" ref="AD14" si="33">SUM(AD11+AD13)</f>
        <v>27165</v>
      </c>
      <c r="AE14" s="26">
        <f t="shared" ref="AE14" si="34">SUM(AE11+AE13)</f>
        <v>27841</v>
      </c>
      <c r="AF14" s="26">
        <f t="shared" ref="AF14" si="35">SUM(AF11+AF13)</f>
        <v>28615</v>
      </c>
      <c r="AG14" s="26">
        <f t="shared" ref="AG14" si="36">SUM(AG11+AG13)</f>
        <v>29252</v>
      </c>
      <c r="AH14" s="26">
        <f t="shared" ref="AH14" si="37">SUM(AH11+AH13)</f>
        <v>29845</v>
      </c>
      <c r="AI14" s="26">
        <f t="shared" ref="AI14" si="38">SUM(AI11+AI13)</f>
        <v>30673</v>
      </c>
      <c r="AJ14" s="26">
        <f t="shared" ref="AJ14" si="39">SUM(AJ11+AJ13)</f>
        <v>23334</v>
      </c>
      <c r="AK14" s="11"/>
      <c r="AL14" s="76">
        <f>SUM(AJ14/AF14)-1</f>
        <v>-0.18455355582736332</v>
      </c>
    </row>
    <row r="15" spans="1:38" s="20" customFormat="1">
      <c r="B15" s="16" t="s">
        <v>29</v>
      </c>
      <c r="C15" s="17">
        <f>C14/C11</f>
        <v>0.74411820063993972</v>
      </c>
      <c r="D15" s="17">
        <f t="shared" ref="D15:G15" si="40">D14/D11</f>
        <v>0.7347878604861845</v>
      </c>
      <c r="E15" s="17">
        <f t="shared" si="40"/>
        <v>0.73337585712007658</v>
      </c>
      <c r="F15" s="17">
        <f t="shared" si="40"/>
        <v>0.75497030725535763</v>
      </c>
      <c r="G15" s="17">
        <f t="shared" si="40"/>
        <v>0.77192241720543608</v>
      </c>
      <c r="H15" s="32"/>
      <c r="I15" s="17">
        <f t="shared" ref="I15" si="41">I14/I11</f>
        <v>0.73922522220358877</v>
      </c>
      <c r="J15" s="17">
        <f t="shared" ref="J15" si="42">J14/J11</f>
        <v>0.74558359621451109</v>
      </c>
      <c r="K15" s="17">
        <f t="shared" ref="K15" si="43">K14/K11</f>
        <v>0.73131283695177041</v>
      </c>
      <c r="L15" s="17">
        <f t="shared" ref="L15" si="44">L14/L11</f>
        <v>0.72508872508872513</v>
      </c>
      <c r="M15" s="17">
        <f t="shared" ref="M15" si="45">M14/M11</f>
        <v>0.72405883146673866</v>
      </c>
      <c r="N15" s="17">
        <f t="shared" ref="N15" si="46">N14/N11</f>
        <v>0.72448186528497405</v>
      </c>
      <c r="O15" s="17">
        <f t="shared" ref="O15" si="47">O14/O11</f>
        <v>0.73357151971417633</v>
      </c>
      <c r="P15" s="17">
        <f t="shared" ref="P15" si="48">P14/P11</f>
        <v>0.74961249552879461</v>
      </c>
      <c r="Q15" s="17">
        <f t="shared" ref="Q15" si="49">Q14/Q11</f>
        <v>0.74233054444040258</v>
      </c>
      <c r="R15" s="17">
        <f t="shared" ref="R15" si="50">R14/R11</f>
        <v>0.75438800418458674</v>
      </c>
      <c r="S15" s="17">
        <f t="shared" ref="S15" si="51">S14/S11</f>
        <v>0.75286697247706424</v>
      </c>
      <c r="T15" s="17">
        <f t="shared" ref="T15" si="52">T14/T11</f>
        <v>0.76870894799181655</v>
      </c>
      <c r="U15" s="17">
        <f t="shared" ref="U15" si="53">U14/U11</f>
        <v>0.7632760319719698</v>
      </c>
      <c r="V15" s="17">
        <f t="shared" ref="V15" si="54">V14/V11</f>
        <v>0.76847184986595174</v>
      </c>
      <c r="W15" s="17">
        <f t="shared" ref="W15" si="55">W14/W11</f>
        <v>0.77710715798390517</v>
      </c>
      <c r="X15" s="17">
        <f t="shared" ref="X15" si="56">X14/X11</f>
        <v>0.77814470129090363</v>
      </c>
      <c r="Y15" s="17">
        <f t="shared" ref="Y15" si="57">Y14/Y11</f>
        <v>0.76955946688371146</v>
      </c>
      <c r="Z15" s="17">
        <f t="shared" ref="Z15" si="58">Z14/Z11</f>
        <v>0.78096912856584599</v>
      </c>
      <c r="AA15" s="17" t="e">
        <f t="shared" ref="AA15" si="59">AA14/AA11</f>
        <v>#DIV/0!</v>
      </c>
      <c r="AB15" s="5"/>
      <c r="AC15" s="17">
        <f t="shared" ref="AC15" si="60">AC14/AC11</f>
        <v>0.75497030725535763</v>
      </c>
      <c r="AD15" s="17">
        <f t="shared" ref="AD15" si="61">AD14/AD11</f>
        <v>0.76000895280194725</v>
      </c>
      <c r="AE15" s="17">
        <f t="shared" ref="AE15" si="62">AE14/AE11</f>
        <v>0.76349924585218698</v>
      </c>
      <c r="AF15" s="17">
        <f t="shared" ref="AF15" si="63">AF14/AF11</f>
        <v>0.76944795504046892</v>
      </c>
      <c r="AG15" s="17">
        <f t="shared" ref="AG15" si="64">AG14/AG11</f>
        <v>0.77192241720543608</v>
      </c>
      <c r="AH15" s="17">
        <f t="shared" ref="AH15" si="65">AH14/AH11</f>
        <v>0.77336684719235049</v>
      </c>
      <c r="AI15" s="17">
        <f t="shared" ref="AI15" si="66">AI14/AI11</f>
        <v>0.77649232950230374</v>
      </c>
      <c r="AJ15" s="17">
        <f t="shared" ref="AJ15" si="67">AJ14/AJ11</f>
        <v>0.7762991549670637</v>
      </c>
      <c r="AK15" s="11"/>
      <c r="AL15" s="77">
        <f>SUM(AJ15-AF15)*1000</f>
        <v>6.8511999265947754</v>
      </c>
    </row>
    <row r="16" spans="1:38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2"/>
      <c r="Z16" s="21"/>
      <c r="AA16" s="21"/>
      <c r="AL16" s="75"/>
    </row>
    <row r="17" spans="2:38" ht="12.75" customHeight="1">
      <c r="B17" s="9" t="s">
        <v>167</v>
      </c>
      <c r="C17" s="82">
        <v>-3598</v>
      </c>
      <c r="D17" s="82">
        <v>-4465</v>
      </c>
      <c r="E17" s="82">
        <v>-5059</v>
      </c>
      <c r="F17" s="82">
        <v>-4906</v>
      </c>
      <c r="G17" s="82">
        <v>-5493</v>
      </c>
      <c r="H17" s="32"/>
      <c r="I17" s="82">
        <v>-951</v>
      </c>
      <c r="J17" s="82">
        <v>-1020</v>
      </c>
      <c r="K17" s="82">
        <v>-1203</v>
      </c>
      <c r="L17" s="32">
        <f t="shared" ref="L17:L20" si="68">SUM(D17-SUM(I17:K17))</f>
        <v>-1291</v>
      </c>
      <c r="M17" s="82">
        <v>-1318</v>
      </c>
      <c r="N17" s="82">
        <v>-1329</v>
      </c>
      <c r="O17" s="82">
        <v>-1280</v>
      </c>
      <c r="P17" s="32">
        <f t="shared" ref="P17:P20" si="69">SUM(E17-SUM(M17:O17))</f>
        <v>-1132</v>
      </c>
      <c r="Q17" s="82">
        <v>-1207</v>
      </c>
      <c r="R17" s="82">
        <v>-1220</v>
      </c>
      <c r="S17" s="82">
        <v>-1204</v>
      </c>
      <c r="T17" s="32">
        <f t="shared" ref="T17:T20" si="70">SUM(F17-SUM(Q17:S17))</f>
        <v>-1275</v>
      </c>
      <c r="U17" s="82">
        <v>-1368</v>
      </c>
      <c r="V17" s="82">
        <v>-1349</v>
      </c>
      <c r="W17" s="82">
        <v>-1356</v>
      </c>
      <c r="X17" s="32">
        <f t="shared" ref="X17:X20" si="71">SUM(G17-SUM(U17:W17))</f>
        <v>-1420</v>
      </c>
      <c r="Y17" s="82">
        <v>-1460</v>
      </c>
      <c r="Z17" s="82">
        <v>-1481</v>
      </c>
      <c r="AA17" s="82"/>
      <c r="AC17" s="32">
        <f>SUM(Q17:T17)</f>
        <v>-4906</v>
      </c>
      <c r="AD17" s="32">
        <f>SUM(R17:U17)</f>
        <v>-5067</v>
      </c>
      <c r="AE17" s="32">
        <f>SUM(S17:V17)</f>
        <v>-5196</v>
      </c>
      <c r="AF17" s="32">
        <f>SUM(T17:W17)</f>
        <v>-5348</v>
      </c>
      <c r="AG17" s="32">
        <f>SUM(U17:X17)</f>
        <v>-5493</v>
      </c>
      <c r="AH17" s="32">
        <f>SUM(V17:Y17)</f>
        <v>-5585</v>
      </c>
      <c r="AI17" s="32">
        <f>SUM(W17:Z17)</f>
        <v>-5717</v>
      </c>
      <c r="AJ17" s="32">
        <f>SUM(X17:AA17)</f>
        <v>-4361</v>
      </c>
      <c r="AK17" s="11"/>
      <c r="AL17" s="75">
        <f>SUM(AJ17/AF17)-1</f>
        <v>-0.18455497382198949</v>
      </c>
    </row>
    <row r="18" spans="2:38" ht="12.75" customHeight="1">
      <c r="B18" s="9" t="s">
        <v>176</v>
      </c>
      <c r="C18" s="82">
        <v>-9674</v>
      </c>
      <c r="D18" s="82">
        <v>-11855</v>
      </c>
      <c r="E18" s="82">
        <v>-13526</v>
      </c>
      <c r="F18" s="82">
        <v>-12877</v>
      </c>
      <c r="G18" s="82">
        <v>-13257</v>
      </c>
      <c r="H18" s="32"/>
      <c r="I18" s="82">
        <v>-2544</v>
      </c>
      <c r="J18" s="82">
        <v>-2736</v>
      </c>
      <c r="K18" s="82">
        <v>-3111</v>
      </c>
      <c r="L18" s="32">
        <f t="shared" si="68"/>
        <v>-3464</v>
      </c>
      <c r="M18" s="82">
        <v>-3372</v>
      </c>
      <c r="N18" s="82">
        <v>-3424</v>
      </c>
      <c r="O18" s="82">
        <v>-3345</v>
      </c>
      <c r="P18" s="32">
        <f t="shared" si="69"/>
        <v>-3385</v>
      </c>
      <c r="Q18" s="82">
        <v>-3154</v>
      </c>
      <c r="R18" s="82">
        <v>-3113</v>
      </c>
      <c r="S18" s="82">
        <v>-3173</v>
      </c>
      <c r="T18" s="32">
        <f t="shared" si="70"/>
        <v>-3437</v>
      </c>
      <c r="U18" s="82">
        <v>-3239</v>
      </c>
      <c r="V18" s="82">
        <v>-3224</v>
      </c>
      <c r="W18" s="82">
        <v>-3323</v>
      </c>
      <c r="X18" s="32">
        <f t="shared" si="71"/>
        <v>-3471</v>
      </c>
      <c r="Y18" s="82">
        <v>-3429</v>
      </c>
      <c r="Z18" s="82">
        <v>-3443</v>
      </c>
      <c r="AA18" s="82"/>
      <c r="AC18" s="32">
        <f>SUM(Q18:T18)</f>
        <v>-12877</v>
      </c>
      <c r="AD18" s="32">
        <f>SUM(R18:U18)</f>
        <v>-12962</v>
      </c>
      <c r="AE18" s="32">
        <f>SUM(S18:V18)</f>
        <v>-13073</v>
      </c>
      <c r="AF18" s="32">
        <f>SUM(T18:W18)</f>
        <v>-13223</v>
      </c>
      <c r="AG18" s="32">
        <f>SUM(U18:X18)</f>
        <v>-13257</v>
      </c>
      <c r="AH18" s="32">
        <f>SUM(V18:Y18)</f>
        <v>-13447</v>
      </c>
      <c r="AI18" s="32">
        <f>SUM(W18:Z18)</f>
        <v>-13666</v>
      </c>
      <c r="AJ18" s="32">
        <f>SUM(X18:AA18)</f>
        <v>-10343</v>
      </c>
      <c r="AK18" s="11"/>
      <c r="AL18" s="75">
        <f t="shared" ref="AL18:AL19" si="72">SUM(AJ18/AF18)-1</f>
        <v>-0.21780231414958784</v>
      </c>
    </row>
    <row r="19" spans="2:38" ht="12.75" customHeight="1">
      <c r="B19" s="9" t="s">
        <v>177</v>
      </c>
      <c r="C19" s="82">
        <v>-2087</v>
      </c>
      <c r="D19" s="82">
        <v>-2598</v>
      </c>
      <c r="E19" s="82">
        <v>-2553</v>
      </c>
      <c r="F19" s="82">
        <v>-2534</v>
      </c>
      <c r="G19" s="82">
        <v>-2836</v>
      </c>
      <c r="H19" s="32"/>
      <c r="I19" s="82">
        <v>-559</v>
      </c>
      <c r="J19" s="82">
        <v>-639</v>
      </c>
      <c r="K19" s="82">
        <v>-667</v>
      </c>
      <c r="L19" s="32">
        <f t="shared" si="68"/>
        <v>-733</v>
      </c>
      <c r="M19" s="82">
        <v>-656</v>
      </c>
      <c r="N19" s="82">
        <v>-647</v>
      </c>
      <c r="O19" s="82">
        <v>-664</v>
      </c>
      <c r="P19" s="32">
        <f t="shared" si="69"/>
        <v>-586</v>
      </c>
      <c r="Q19" s="82">
        <v>-638</v>
      </c>
      <c r="R19" s="82">
        <v>-632</v>
      </c>
      <c r="S19" s="82">
        <v>-632</v>
      </c>
      <c r="T19" s="32">
        <f t="shared" si="70"/>
        <v>-632</v>
      </c>
      <c r="U19" s="82">
        <v>-647</v>
      </c>
      <c r="V19" s="82">
        <v>-711</v>
      </c>
      <c r="W19" s="82">
        <v>-711</v>
      </c>
      <c r="X19" s="32">
        <f t="shared" si="71"/>
        <v>-767</v>
      </c>
      <c r="Y19" s="82">
        <v>-697</v>
      </c>
      <c r="Z19" s="82">
        <v>-734</v>
      </c>
      <c r="AA19" s="82"/>
      <c r="AC19" s="32">
        <f>SUM(Q19:T19)</f>
        <v>-2534</v>
      </c>
      <c r="AD19" s="32">
        <f>SUM(R19:U19)</f>
        <v>-2543</v>
      </c>
      <c r="AE19" s="32">
        <f>SUM(S19:V19)</f>
        <v>-2622</v>
      </c>
      <c r="AF19" s="32">
        <f>SUM(T19:W19)</f>
        <v>-2701</v>
      </c>
      <c r="AG19" s="32">
        <f>SUM(U19:X19)</f>
        <v>-2836</v>
      </c>
      <c r="AH19" s="32">
        <f>SUM(V19:Y19)</f>
        <v>-2886</v>
      </c>
      <c r="AI19" s="32">
        <f>SUM(W19:Z19)</f>
        <v>-2909</v>
      </c>
      <c r="AJ19" s="32">
        <f>SUM(X19:AA19)</f>
        <v>-2198</v>
      </c>
      <c r="AK19" s="11"/>
      <c r="AL19" s="75">
        <f t="shared" si="72"/>
        <v>-0.18622732321362456</v>
      </c>
    </row>
    <row r="20" spans="2:38" ht="12.75" customHeight="1">
      <c r="B20" s="9" t="s">
        <v>178</v>
      </c>
      <c r="C20" s="82">
        <v>0</v>
      </c>
      <c r="D20" s="82">
        <v>0</v>
      </c>
      <c r="E20" s="82">
        <v>-827</v>
      </c>
      <c r="F20" s="82">
        <v>-988</v>
      </c>
      <c r="G20" s="82">
        <v>-461</v>
      </c>
      <c r="H20" s="32"/>
      <c r="I20" s="82">
        <v>0</v>
      </c>
      <c r="J20" s="82">
        <v>0</v>
      </c>
      <c r="K20" s="82">
        <v>0</v>
      </c>
      <c r="L20" s="32">
        <f t="shared" si="68"/>
        <v>0</v>
      </c>
      <c r="M20" s="82">
        <v>0</v>
      </c>
      <c r="N20" s="82">
        <v>0</v>
      </c>
      <c r="O20" s="82">
        <v>0</v>
      </c>
      <c r="P20" s="32">
        <f t="shared" si="69"/>
        <v>-827</v>
      </c>
      <c r="Q20" s="82">
        <v>-711</v>
      </c>
      <c r="R20" s="82">
        <v>-49</v>
      </c>
      <c r="S20" s="82">
        <v>-55</v>
      </c>
      <c r="T20" s="32">
        <f t="shared" si="70"/>
        <v>-173</v>
      </c>
      <c r="U20" s="82">
        <v>-8</v>
      </c>
      <c r="V20" s="82">
        <v>-99</v>
      </c>
      <c r="W20" s="82">
        <v>-56</v>
      </c>
      <c r="X20" s="32">
        <f t="shared" si="71"/>
        <v>-298</v>
      </c>
      <c r="Y20" s="82">
        <v>-36</v>
      </c>
      <c r="Z20" s="82">
        <v>-4</v>
      </c>
      <c r="AA20" s="82"/>
      <c r="AC20" s="32">
        <f>SUM(Q20:T20)</f>
        <v>-988</v>
      </c>
      <c r="AD20" s="32">
        <f>SUM(R20:U20)</f>
        <v>-285</v>
      </c>
      <c r="AE20" s="32">
        <f>SUM(S20:V20)</f>
        <v>-335</v>
      </c>
      <c r="AF20" s="32">
        <f>SUM(T20:W20)</f>
        <v>-336</v>
      </c>
      <c r="AG20" s="32">
        <f>SUM(U20:X20)</f>
        <v>-461</v>
      </c>
      <c r="AH20" s="32">
        <f>SUM(V20:Y20)</f>
        <v>-489</v>
      </c>
      <c r="AI20" s="32">
        <f>SUM(W20:Z20)</f>
        <v>-394</v>
      </c>
      <c r="AJ20" s="32">
        <f>SUM(X20:AA20)</f>
        <v>-338</v>
      </c>
      <c r="AK20" s="11"/>
      <c r="AL20" s="75">
        <f t="shared" ref="AL20" si="73">SUM(AJ20/AF20)-1</f>
        <v>5.9523809523809312E-3</v>
      </c>
    </row>
    <row r="21" spans="2:38" ht="12.75" customHeight="1">
      <c r="B21" s="25" t="s">
        <v>77</v>
      </c>
      <c r="C21" s="26">
        <f>+SUM(C11+SUM(C17:C20))</f>
        <v>5893</v>
      </c>
      <c r="D21" s="26">
        <f>+SUM(D11+SUM(D17:D20))</f>
        <v>7574</v>
      </c>
      <c r="E21" s="26">
        <f>+SUM(E11+SUM(E17:E20))</f>
        <v>9390</v>
      </c>
      <c r="F21" s="26">
        <f>+SUM(F11+SUM(F17:F20))</f>
        <v>13552</v>
      </c>
      <c r="G21" s="26">
        <f>+SUM(G11+SUM(G17:G20))</f>
        <v>15848</v>
      </c>
      <c r="H21" s="32"/>
      <c r="I21" s="26">
        <f>+SUM(I11+SUM(I17:I20))</f>
        <v>1909</v>
      </c>
      <c r="J21" s="26">
        <f>+SUM(J11+SUM(J17:J20))</f>
        <v>1945</v>
      </c>
      <c r="K21" s="26">
        <f>+SUM(K11+SUM(K17:K20))</f>
        <v>1882</v>
      </c>
      <c r="L21" s="26">
        <f>+SUM(L11+SUM(L17:L20))</f>
        <v>1838</v>
      </c>
      <c r="M21" s="26">
        <f>+SUM(M11+SUM(M17:M20))</f>
        <v>2065</v>
      </c>
      <c r="N21" s="26">
        <f>+SUM(N11+SUM(N17:N20))</f>
        <v>2320</v>
      </c>
      <c r="O21" s="26">
        <f>+SUM(O11+SUM(O17:O20))</f>
        <v>2548</v>
      </c>
      <c r="P21" s="26">
        <f>+SUM(P11+SUM(P17:P20))</f>
        <v>2457</v>
      </c>
      <c r="Q21" s="26">
        <f>+SUM(Q11+SUM(Q17:Q20))</f>
        <v>2537</v>
      </c>
      <c r="R21" s="26">
        <f>+SUM(R11+SUM(R17:R20))</f>
        <v>3589</v>
      </c>
      <c r="S21" s="26">
        <f>+SUM(S11+SUM(S17:S20))</f>
        <v>3656</v>
      </c>
      <c r="T21" s="26">
        <f>+SUM(T11+SUM(T17:T20))</f>
        <v>3770</v>
      </c>
      <c r="U21" s="26">
        <f>+SUM(U11+SUM(U17:U20))</f>
        <v>3871</v>
      </c>
      <c r="V21" s="26">
        <f>+SUM(V11+SUM(V17:V20))</f>
        <v>3942</v>
      </c>
      <c r="W21" s="26">
        <f>+SUM(W11+SUM(W17:W20))</f>
        <v>3998</v>
      </c>
      <c r="X21" s="26">
        <f>+SUM(X11+SUM(X17:X20))</f>
        <v>4037</v>
      </c>
      <c r="Y21" s="26">
        <f>+SUM(Y11+SUM(Y17:Y20))</f>
        <v>4207</v>
      </c>
      <c r="Z21" s="26">
        <f>+SUM(Z11+SUM(Z17:Z20))</f>
        <v>4574</v>
      </c>
      <c r="AA21" s="26">
        <f>+SUM(AA11+SUM(AA17:AA20))</f>
        <v>0</v>
      </c>
      <c r="AC21" s="26">
        <f>+SUM(AC11+SUM(AC17:AC20))</f>
        <v>13552</v>
      </c>
      <c r="AD21" s="26">
        <f>+SUM(AD11+SUM(AD17:AD20))</f>
        <v>14886</v>
      </c>
      <c r="AE21" s="26">
        <f>+SUM(AE11+SUM(AE17:AE20))</f>
        <v>15239</v>
      </c>
      <c r="AF21" s="26">
        <f>+SUM(AF11+SUM(AF17:AF20))</f>
        <v>15581</v>
      </c>
      <c r="AG21" s="26">
        <f>+SUM(AG11+SUM(AG17:AG20))</f>
        <v>15848</v>
      </c>
      <c r="AH21" s="26">
        <f>+SUM(AH11+SUM(AH17:AH20))</f>
        <v>16184</v>
      </c>
      <c r="AI21" s="26">
        <f>+SUM(AI11+SUM(AI17:AI20))</f>
        <v>16816</v>
      </c>
      <c r="AJ21" s="26">
        <f>+SUM(AJ11+SUM(AJ17:AJ20))</f>
        <v>12818</v>
      </c>
      <c r="AK21" s="11"/>
      <c r="AL21" s="76">
        <f>SUM(AJ21/AF21)-1</f>
        <v>-0.17733136512418968</v>
      </c>
    </row>
    <row r="22" spans="2:38" ht="12.75" customHeight="1">
      <c r="B22" s="16" t="s">
        <v>31</v>
      </c>
      <c r="C22" s="17">
        <f>C21/C11</f>
        <v>0.27729154903067949</v>
      </c>
      <c r="D22" s="17">
        <f>D21/D11</f>
        <v>0.28589762947304848</v>
      </c>
      <c r="E22" s="17">
        <f>E21/E11</f>
        <v>0.2994737681390528</v>
      </c>
      <c r="F22" s="17">
        <f>F21/F11</f>
        <v>0.38878847864130589</v>
      </c>
      <c r="G22" s="17">
        <f>G21/G11</f>
        <v>0.41820820688745219</v>
      </c>
      <c r="H22" s="32"/>
      <c r="I22" s="17">
        <f>I21/I11</f>
        <v>0.3201408686902566</v>
      </c>
      <c r="J22" s="17">
        <f>J21/J11</f>
        <v>0.30678233438485802</v>
      </c>
      <c r="K22" s="17">
        <f>K21/K11</f>
        <v>0.2742241002477051</v>
      </c>
      <c r="L22" s="17">
        <f>L21/L11</f>
        <v>0.25088725088725089</v>
      </c>
      <c r="M22" s="17">
        <f>M21/M11</f>
        <v>0.27863985966806099</v>
      </c>
      <c r="N22" s="17">
        <f>N21/N11</f>
        <v>0.30051813471502592</v>
      </c>
      <c r="O22" s="17">
        <f>O21/O11</f>
        <v>0.32512440985070817</v>
      </c>
      <c r="P22" s="17">
        <f>P21/P11</f>
        <v>0.29295338023131035</v>
      </c>
      <c r="Q22" s="17">
        <f>Q21/Q11</f>
        <v>0.30762701588456409</v>
      </c>
      <c r="R22" s="17">
        <f>R21/R11</f>
        <v>0.41718005346971987</v>
      </c>
      <c r="S22" s="17">
        <f>S21/S11</f>
        <v>0.41926605504587156</v>
      </c>
      <c r="T22" s="17">
        <f>T21/T11</f>
        <v>0.40594379239797568</v>
      </c>
      <c r="U22" s="17">
        <f>U21/U11</f>
        <v>0.42384758567830944</v>
      </c>
      <c r="V22" s="17">
        <f>V21/V11</f>
        <v>0.42273458445040213</v>
      </c>
      <c r="W22" s="17">
        <f>W21/W11</f>
        <v>0.42333756882676832</v>
      </c>
      <c r="X22" s="17">
        <f>X21/X11</f>
        <v>0.40398278795156611</v>
      </c>
      <c r="Y22" s="17">
        <f>Y21/Y11</f>
        <v>0.42801912707294743</v>
      </c>
      <c r="Z22" s="17">
        <f>Z21/Z11</f>
        <v>0.44685423993747558</v>
      </c>
      <c r="AA22" s="17" t="e">
        <f>AA21/AA11</f>
        <v>#DIV/0!</v>
      </c>
      <c r="AC22" s="17">
        <f>AC21/AC11</f>
        <v>0.38878847864130589</v>
      </c>
      <c r="AD22" s="17">
        <f>AD21/AD11</f>
        <v>0.41647315558291131</v>
      </c>
      <c r="AE22" s="17">
        <f>AE21/AE11</f>
        <v>0.41790758261346495</v>
      </c>
      <c r="AF22" s="17">
        <f>AF21/AF11</f>
        <v>0.41896797440103256</v>
      </c>
      <c r="AG22" s="17">
        <f>AG21/AG11</f>
        <v>0.41820820688745219</v>
      </c>
      <c r="AH22" s="17">
        <f>AH21/AH11</f>
        <v>0.41937239252675496</v>
      </c>
      <c r="AI22" s="17">
        <f>AI21/AI11</f>
        <v>0.42569996455875653</v>
      </c>
      <c r="AJ22" s="17">
        <f>AJ21/AJ11</f>
        <v>0.42644221172400026</v>
      </c>
      <c r="AK22" s="11"/>
      <c r="AL22" s="77">
        <f>SUM(AJ22-AF22)*1000</f>
        <v>7.4742373229677028</v>
      </c>
    </row>
    <row r="23" spans="2:38" ht="5.0999999999999996" customHeight="1">
      <c r="B23" s="16"/>
      <c r="C23" s="17"/>
      <c r="D23" s="17"/>
      <c r="E23" s="17"/>
      <c r="F23" s="17"/>
      <c r="G23" s="17"/>
      <c r="H23" s="3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32"/>
      <c r="Z23" s="82"/>
      <c r="AA23" s="82"/>
      <c r="AC23" s="32"/>
      <c r="AD23" s="32"/>
      <c r="AE23" s="32"/>
      <c r="AF23" s="32"/>
      <c r="AG23" s="32"/>
      <c r="AH23" s="32"/>
      <c r="AI23" s="32"/>
      <c r="AJ23" s="32"/>
      <c r="AK23" s="11"/>
      <c r="AL23" s="75"/>
    </row>
    <row r="24" spans="2:38" ht="12.75" customHeight="1">
      <c r="B24" s="9" t="s">
        <v>179</v>
      </c>
      <c r="C24" s="82">
        <v>0</v>
      </c>
      <c r="D24" s="82">
        <v>1211</v>
      </c>
      <c r="E24" s="82">
        <v>-239</v>
      </c>
      <c r="F24" s="82">
        <v>-277</v>
      </c>
      <c r="G24" s="82">
        <v>-121</v>
      </c>
      <c r="H24" s="32"/>
      <c r="I24" s="95">
        <v>288</v>
      </c>
      <c r="J24" s="95">
        <v>526</v>
      </c>
      <c r="K24" s="95">
        <v>363</v>
      </c>
      <c r="L24" s="32">
        <f t="shared" ref="L24:L25" si="74">SUM(D24-SUM(I24:K24))</f>
        <v>34</v>
      </c>
      <c r="M24" s="95">
        <v>7</v>
      </c>
      <c r="N24" s="95">
        <v>45</v>
      </c>
      <c r="O24" s="95">
        <v>23</v>
      </c>
      <c r="P24" s="32">
        <f t="shared" ref="P24:P25" si="75">SUM(E24-SUM(M24:O24))</f>
        <v>-314</v>
      </c>
      <c r="Q24" s="95">
        <v>-141</v>
      </c>
      <c r="R24" s="95">
        <v>-29</v>
      </c>
      <c r="S24" s="95">
        <v>-72</v>
      </c>
      <c r="T24" s="32">
        <f t="shared" ref="T24:T25" si="76">SUM(F24-SUM(Q24:S24))</f>
        <v>-35</v>
      </c>
      <c r="U24" s="95">
        <v>37</v>
      </c>
      <c r="V24" s="95">
        <v>-37</v>
      </c>
      <c r="W24" s="95">
        <v>-217</v>
      </c>
      <c r="X24" s="32">
        <f t="shared" ref="X24:X25" si="77">SUM(G24-SUM(U24:W24))</f>
        <v>96</v>
      </c>
      <c r="Y24" s="82">
        <v>-63</v>
      </c>
      <c r="Z24" s="82">
        <v>6</v>
      </c>
      <c r="AA24" s="82"/>
      <c r="AC24" s="32">
        <f>SUM(Q24:T24)</f>
        <v>-277</v>
      </c>
      <c r="AD24" s="32">
        <f>SUM(R24:U24)</f>
        <v>-99</v>
      </c>
      <c r="AE24" s="32">
        <f>SUM(S24:V24)</f>
        <v>-107</v>
      </c>
      <c r="AF24" s="32">
        <f>SUM(T24:W24)</f>
        <v>-252</v>
      </c>
      <c r="AG24" s="32">
        <f>SUM(U24:X24)</f>
        <v>-121</v>
      </c>
      <c r="AH24" s="32">
        <f>SUM(V24:Y24)</f>
        <v>-221</v>
      </c>
      <c r="AI24" s="32">
        <f>SUM(W24:Z24)</f>
        <v>-178</v>
      </c>
      <c r="AJ24" s="32">
        <f>SUM(X24:AA24)</f>
        <v>39</v>
      </c>
      <c r="AK24" s="11"/>
      <c r="AL24" s="75">
        <f t="shared" ref="AL24:AL25" si="78">SUM(AJ24/AF24)-1</f>
        <v>-1.1547619047619047</v>
      </c>
    </row>
    <row r="25" spans="2:38" ht="12.75" customHeight="1">
      <c r="B25" s="9" t="s">
        <v>180</v>
      </c>
      <c r="C25" s="82">
        <v>2106</v>
      </c>
      <c r="D25" s="82">
        <v>-227</v>
      </c>
      <c r="E25" s="82">
        <v>-131</v>
      </c>
      <c r="F25" s="82">
        <v>216</v>
      </c>
      <c r="G25" s="82">
        <v>354</v>
      </c>
      <c r="H25" s="32"/>
      <c r="I25" s="95">
        <v>-38</v>
      </c>
      <c r="J25" s="95">
        <v>-32</v>
      </c>
      <c r="K25" s="95">
        <v>-102</v>
      </c>
      <c r="L25" s="32">
        <f t="shared" si="74"/>
        <v>-55</v>
      </c>
      <c r="M25" s="95">
        <v>-56</v>
      </c>
      <c r="N25" s="95">
        <v>-57</v>
      </c>
      <c r="O25" s="95">
        <v>-8</v>
      </c>
      <c r="P25" s="32">
        <f t="shared" si="75"/>
        <v>-10</v>
      </c>
      <c r="Q25" s="95">
        <v>55</v>
      </c>
      <c r="R25" s="95">
        <v>45</v>
      </c>
      <c r="S25" s="95">
        <v>58</v>
      </c>
      <c r="T25" s="32">
        <f t="shared" si="76"/>
        <v>58</v>
      </c>
      <c r="U25" s="95">
        <v>121</v>
      </c>
      <c r="V25" s="95">
        <v>91</v>
      </c>
      <c r="W25" s="95">
        <v>70</v>
      </c>
      <c r="X25" s="32">
        <f t="shared" si="77"/>
        <v>72</v>
      </c>
      <c r="Y25" s="82">
        <v>95</v>
      </c>
      <c r="Z25" s="82">
        <v>68</v>
      </c>
      <c r="AA25" s="82"/>
      <c r="AC25" s="32">
        <f t="shared" ref="AC25" si="79">SUM(Q25:T25)</f>
        <v>216</v>
      </c>
      <c r="AD25" s="32">
        <f t="shared" ref="AD25" si="80">SUM(R25:U25)</f>
        <v>282</v>
      </c>
      <c r="AE25" s="32">
        <f t="shared" ref="AE25" si="81">SUM(S25:V25)</f>
        <v>328</v>
      </c>
      <c r="AF25" s="32">
        <f t="shared" ref="AF25" si="82">SUM(T25:W25)</f>
        <v>340</v>
      </c>
      <c r="AG25" s="32">
        <f t="shared" ref="AG25" si="83">SUM(U25:X25)</f>
        <v>354</v>
      </c>
      <c r="AH25" s="32">
        <f t="shared" ref="AH25" si="84">SUM(V25:Y25)</f>
        <v>328</v>
      </c>
      <c r="AI25" s="32">
        <f t="shared" ref="AI25" si="85">SUM(W25:Z25)</f>
        <v>305</v>
      </c>
      <c r="AJ25" s="32">
        <f t="shared" ref="AJ25" si="86">SUM(X25:AA25)</f>
        <v>235</v>
      </c>
      <c r="AK25" s="11"/>
      <c r="AL25" s="75">
        <f t="shared" si="78"/>
        <v>-0.30882352941176472</v>
      </c>
    </row>
    <row r="26" spans="2:38" ht="12.75" customHeight="1">
      <c r="B26" s="25" t="s">
        <v>154</v>
      </c>
      <c r="C26" s="26">
        <f>SUM(C21+SUM(C24:C24))</f>
        <v>5893</v>
      </c>
      <c r="D26" s="26">
        <f>SUM(D21+SUM(D24:D24))</f>
        <v>8785</v>
      </c>
      <c r="E26" s="26">
        <f>SUM(E21+SUM(E24:E24))</f>
        <v>9151</v>
      </c>
      <c r="F26" s="26">
        <f>SUM(F21+SUM(F24:F24))</f>
        <v>13275</v>
      </c>
      <c r="G26" s="26">
        <f>SUM(G21+SUM(G24:G24))</f>
        <v>15727</v>
      </c>
      <c r="I26" s="26">
        <f>SUM(I21+SUM(I24:I24))</f>
        <v>2197</v>
      </c>
      <c r="J26" s="26">
        <f>SUM(J21+SUM(J24:J24))</f>
        <v>2471</v>
      </c>
      <c r="K26" s="26">
        <f>SUM(K21+SUM(K24:K24))</f>
        <v>2245</v>
      </c>
      <c r="L26" s="26">
        <f>SUM(L21+SUM(L24:L24))</f>
        <v>1872</v>
      </c>
      <c r="M26" s="26">
        <f>SUM(M21+SUM(M24:M24))</f>
        <v>2072</v>
      </c>
      <c r="N26" s="26">
        <f>SUM(N21+SUM(N24:N24))</f>
        <v>2365</v>
      </c>
      <c r="O26" s="26">
        <f>SUM(O21+SUM(O24:O24))</f>
        <v>2571</v>
      </c>
      <c r="P26" s="26">
        <f>SUM(P21+SUM(P24:P24))</f>
        <v>2143</v>
      </c>
      <c r="Q26" s="26">
        <f>SUM(Q21+SUM(Q24:Q24))</f>
        <v>2396</v>
      </c>
      <c r="R26" s="26">
        <f>SUM(R21+SUM(R24:R24))</f>
        <v>3560</v>
      </c>
      <c r="S26" s="26">
        <f>SUM(S21+SUM(S24:S24))</f>
        <v>3584</v>
      </c>
      <c r="T26" s="26">
        <f>SUM(T21+SUM(T24:T24))</f>
        <v>3735</v>
      </c>
      <c r="U26" s="26">
        <f>SUM(U21+SUM(U24:U24))</f>
        <v>3908</v>
      </c>
      <c r="V26" s="26">
        <f>SUM(V21+SUM(V24:V24))</f>
        <v>3905</v>
      </c>
      <c r="W26" s="26">
        <f>SUM(W21+SUM(W24:W24))</f>
        <v>3781</v>
      </c>
      <c r="X26" s="26">
        <f>SUM(X21+SUM(X24:X24))</f>
        <v>4133</v>
      </c>
      <c r="Y26" s="26">
        <f>SUM(Y21+SUM(Y24:Y24))</f>
        <v>4144</v>
      </c>
      <c r="Z26" s="26">
        <f>SUM(Z21+SUM(Z24:Z24))</f>
        <v>4580</v>
      </c>
      <c r="AA26" s="26">
        <f>SUM(AA21+SUM(AA24:AA24))</f>
        <v>0</v>
      </c>
      <c r="AC26" s="26">
        <f>SUM(AC21+SUM(AC24:AC24))</f>
        <v>13275</v>
      </c>
      <c r="AD26" s="26">
        <f>SUM(AD21+SUM(AD24:AD24))</f>
        <v>14787</v>
      </c>
      <c r="AE26" s="26">
        <f>SUM(AE21+SUM(AE24:AE24))</f>
        <v>15132</v>
      </c>
      <c r="AF26" s="26">
        <f>SUM(AF21+SUM(AF24:AF24))</f>
        <v>15329</v>
      </c>
      <c r="AG26" s="26">
        <f>SUM(AG21+SUM(AG24:AG24))</f>
        <v>15727</v>
      </c>
      <c r="AH26" s="26">
        <f>SUM(AH21+SUM(AH24:AH24))</f>
        <v>15963</v>
      </c>
      <c r="AI26" s="26">
        <f>SUM(AI21+SUM(AI24:AI24))</f>
        <v>16638</v>
      </c>
      <c r="AJ26" s="26">
        <f>SUM(AJ21+SUM(AJ24:AJ24))</f>
        <v>12857</v>
      </c>
      <c r="AK26" s="42"/>
      <c r="AL26" s="76">
        <f>SUM(AJ26/AF26)-1</f>
        <v>-0.16126296562071885</v>
      </c>
    </row>
    <row r="27" spans="2:38" ht="12.75" customHeight="1">
      <c r="B27" s="16" t="s">
        <v>155</v>
      </c>
      <c r="C27" s="17">
        <f>C26/C11</f>
        <v>0.27729154903067949</v>
      </c>
      <c r="D27" s="17">
        <f>D26/D11</f>
        <v>0.33160954250339725</v>
      </c>
      <c r="E27" s="17">
        <f>E26/E11</f>
        <v>0.29185137936533251</v>
      </c>
      <c r="F27" s="17">
        <f>F26/F11</f>
        <v>0.38084172476116707</v>
      </c>
      <c r="G27" s="17">
        <f>G26/G11</f>
        <v>0.41501517350573952</v>
      </c>
      <c r="H27" s="27"/>
      <c r="I27" s="17">
        <f>I26/I11</f>
        <v>0.36843870534965623</v>
      </c>
      <c r="J27" s="17">
        <f>J26/J11</f>
        <v>0.38974763406940061</v>
      </c>
      <c r="K27" s="17">
        <f>K26/K11</f>
        <v>0.32711642139006264</v>
      </c>
      <c r="L27" s="17">
        <f>L26/L11</f>
        <v>0.25552825552825553</v>
      </c>
      <c r="M27" s="17">
        <f>M26/M11</f>
        <v>0.27958440156524084</v>
      </c>
      <c r="N27" s="17">
        <f>N26/N11</f>
        <v>0.30634715025906734</v>
      </c>
      <c r="O27" s="17">
        <f>O26/O11</f>
        <v>0.32805920632895241</v>
      </c>
      <c r="P27" s="17">
        <f>P26/P11</f>
        <v>0.25551448670561583</v>
      </c>
      <c r="Q27" s="17">
        <f>Q26/Q11</f>
        <v>0.2905298896568449</v>
      </c>
      <c r="R27" s="17">
        <f>R26/R11</f>
        <v>0.41380913634778566</v>
      </c>
      <c r="S27" s="17">
        <f>S26/S11</f>
        <v>0.41100917431192663</v>
      </c>
      <c r="T27" s="17">
        <f>T26/T11</f>
        <v>0.40217508344998387</v>
      </c>
      <c r="U27" s="17">
        <f>U26/U11</f>
        <v>0.42789882842439503</v>
      </c>
      <c r="V27" s="17">
        <f>V26/V11</f>
        <v>0.41876675603217156</v>
      </c>
      <c r="W27" s="17">
        <f>W26/W11</f>
        <v>0.40036001694197376</v>
      </c>
      <c r="X27" s="17">
        <f>X26/X11</f>
        <v>0.41358951265886118</v>
      </c>
      <c r="Y27" s="17">
        <f>Y26/Y11</f>
        <v>0.42160952284057379</v>
      </c>
      <c r="Z27" s="17">
        <f>Z26/Z11</f>
        <v>0.44744040640875343</v>
      </c>
      <c r="AA27" s="17" t="e">
        <f>AA26/AA11</f>
        <v>#DIV/0!</v>
      </c>
      <c r="AB27" s="28"/>
      <c r="AC27" s="17">
        <f>AC26/AC11</f>
        <v>0.38084172476116707</v>
      </c>
      <c r="AD27" s="17">
        <f>AD26/AD11</f>
        <v>0.41370338248048572</v>
      </c>
      <c r="AE27" s="17">
        <f>AE26/AE11</f>
        <v>0.41497326203208557</v>
      </c>
      <c r="AF27" s="17">
        <f>AF26/AF11</f>
        <v>0.41219177713840116</v>
      </c>
      <c r="AG27" s="17">
        <f>AG26/AG11</f>
        <v>0.41501517350573952</v>
      </c>
      <c r="AH27" s="17">
        <f>AH26/AH11</f>
        <v>0.41364566867922575</v>
      </c>
      <c r="AI27" s="17">
        <f>AI26/AI11</f>
        <v>0.42119386360184297</v>
      </c>
      <c r="AJ27" s="17">
        <f>AJ26/AJ11</f>
        <v>0.42773970324040189</v>
      </c>
      <c r="AK27" s="43"/>
      <c r="AL27" s="77">
        <f>SUM(AJ27-AF27)*1000</f>
        <v>15.54792610200073</v>
      </c>
    </row>
    <row r="28" spans="2:38" ht="5.0999999999999996" customHeight="1">
      <c r="B28" s="16"/>
      <c r="C28" s="17"/>
      <c r="D28" s="17"/>
      <c r="E28" s="17"/>
      <c r="F28" s="17"/>
      <c r="G28" s="17"/>
      <c r="H28" s="2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28"/>
      <c r="AC28" s="17"/>
      <c r="AD28" s="17"/>
      <c r="AE28" s="17"/>
      <c r="AF28" s="17"/>
      <c r="AG28" s="17"/>
      <c r="AH28" s="17"/>
      <c r="AI28" s="17"/>
      <c r="AJ28" s="17"/>
      <c r="AK28" s="43"/>
      <c r="AL28" s="77"/>
    </row>
    <row r="29" spans="2:38" ht="12.75" customHeight="1">
      <c r="B29" s="9" t="s">
        <v>104</v>
      </c>
      <c r="C29" s="82">
        <v>1511</v>
      </c>
      <c r="D29" s="82">
        <v>-88</v>
      </c>
      <c r="E29" s="82">
        <v>-452</v>
      </c>
      <c r="F29" s="82">
        <v>-814</v>
      </c>
      <c r="G29" s="82">
        <v>-1241</v>
      </c>
      <c r="H29" s="32"/>
      <c r="I29" s="82">
        <v>-135</v>
      </c>
      <c r="J29" s="82">
        <v>-291</v>
      </c>
      <c r="K29" s="82">
        <v>169</v>
      </c>
      <c r="L29" s="32">
        <f t="shared" ref="L29" si="87">SUM(D29-SUM(I29:K29))</f>
        <v>169</v>
      </c>
      <c r="M29" s="82">
        <v>57</v>
      </c>
      <c r="N29" s="82">
        <v>-113</v>
      </c>
      <c r="O29" s="82">
        <v>-265</v>
      </c>
      <c r="P29" s="32">
        <f t="shared" ref="P29" si="88">SUM(E29-SUM(M29:O29))</f>
        <v>-131</v>
      </c>
      <c r="Q29" s="82">
        <v>-127</v>
      </c>
      <c r="R29" s="82">
        <v>-225</v>
      </c>
      <c r="S29" s="82">
        <v>-263</v>
      </c>
      <c r="T29" s="32">
        <f t="shared" ref="T29" si="89">SUM(F29-SUM(Q29:S29))</f>
        <v>-199</v>
      </c>
      <c r="U29" s="82">
        <v>-334</v>
      </c>
      <c r="V29" s="82">
        <v>-408</v>
      </c>
      <c r="W29" s="82">
        <v>-219</v>
      </c>
      <c r="X29" s="32">
        <f t="shared" ref="X29" si="90">SUM(G29-SUM(U29:W29))</f>
        <v>-280</v>
      </c>
      <c r="Y29" s="82">
        <v>-433</v>
      </c>
      <c r="Z29" s="82">
        <v>-519</v>
      </c>
      <c r="AA29" s="82"/>
      <c r="AC29" s="32">
        <f>SUM(Q29:T29)</f>
        <v>-814</v>
      </c>
      <c r="AD29" s="32">
        <f>SUM(R29:U29)</f>
        <v>-1021</v>
      </c>
      <c r="AE29" s="32">
        <f>SUM(S29:V29)</f>
        <v>-1204</v>
      </c>
      <c r="AF29" s="32">
        <f>SUM(T29:W29)</f>
        <v>-1160</v>
      </c>
      <c r="AG29" s="32">
        <f>SUM(U29:X29)</f>
        <v>-1241</v>
      </c>
      <c r="AH29" s="32">
        <f>SUM(V29:Y29)</f>
        <v>-1340</v>
      </c>
      <c r="AI29" s="32">
        <f>SUM(W29:Z29)</f>
        <v>-1451</v>
      </c>
      <c r="AJ29" s="32">
        <f>SUM(X29:AA29)</f>
        <v>-1232</v>
      </c>
      <c r="AK29" s="11"/>
      <c r="AL29" s="75">
        <f>SUM(AJ29/AF29)-1</f>
        <v>6.2068965517241281E-2</v>
      </c>
    </row>
    <row r="30" spans="2:38" ht="12.75" customHeight="1">
      <c r="B30" s="13" t="s">
        <v>105</v>
      </c>
      <c r="C30" s="14">
        <f t="shared" ref="C30:G30" si="91">SUM(C26+SUM(C29:C29))</f>
        <v>7404</v>
      </c>
      <c r="D30" s="14">
        <f t="shared" si="91"/>
        <v>8697</v>
      </c>
      <c r="E30" s="14">
        <f t="shared" si="91"/>
        <v>8699</v>
      </c>
      <c r="F30" s="14">
        <f t="shared" si="91"/>
        <v>12461</v>
      </c>
      <c r="G30" s="14">
        <f t="shared" si="91"/>
        <v>14486</v>
      </c>
      <c r="H30" s="11"/>
      <c r="I30" s="14">
        <f t="shared" ref="I30:L30" si="92">SUM(I26+SUM(I29:I29))</f>
        <v>2062</v>
      </c>
      <c r="J30" s="14">
        <f t="shared" si="92"/>
        <v>2180</v>
      </c>
      <c r="K30" s="14">
        <f t="shared" si="92"/>
        <v>2414</v>
      </c>
      <c r="L30" s="14">
        <f t="shared" si="92"/>
        <v>2041</v>
      </c>
      <c r="M30" s="14">
        <f t="shared" ref="M30:P30" si="93">SUM(M26+SUM(M29:M29))</f>
        <v>2129</v>
      </c>
      <c r="N30" s="14">
        <f t="shared" ref="N30" si="94">SUM(N26+SUM(N29:N29))</f>
        <v>2252</v>
      </c>
      <c r="O30" s="14">
        <f t="shared" si="93"/>
        <v>2306</v>
      </c>
      <c r="P30" s="14">
        <f t="shared" si="93"/>
        <v>2012</v>
      </c>
      <c r="Q30" s="14">
        <f t="shared" ref="Q30:AA30" si="95">SUM(Q26+SUM(Q29:Q29))</f>
        <v>2269</v>
      </c>
      <c r="R30" s="14">
        <f t="shared" si="95"/>
        <v>3335</v>
      </c>
      <c r="S30" s="14">
        <f t="shared" si="95"/>
        <v>3321</v>
      </c>
      <c r="T30" s="14">
        <f t="shared" si="95"/>
        <v>3536</v>
      </c>
      <c r="U30" s="14">
        <f t="shared" si="95"/>
        <v>3574</v>
      </c>
      <c r="V30" s="14">
        <f t="shared" si="95"/>
        <v>3497</v>
      </c>
      <c r="W30" s="14">
        <f t="shared" si="95"/>
        <v>3562</v>
      </c>
      <c r="X30" s="14">
        <f t="shared" si="95"/>
        <v>3853</v>
      </c>
      <c r="Y30" s="14">
        <f t="shared" si="95"/>
        <v>3711</v>
      </c>
      <c r="Z30" s="14">
        <f t="shared" si="95"/>
        <v>4061</v>
      </c>
      <c r="AA30" s="14">
        <f t="shared" si="95"/>
        <v>0</v>
      </c>
      <c r="AB30" s="32"/>
      <c r="AC30" s="14">
        <f t="shared" ref="AC30:AJ30" si="96">SUM(AC26+SUM(AC29:AC29))</f>
        <v>12461</v>
      </c>
      <c r="AD30" s="14">
        <f t="shared" si="96"/>
        <v>13766</v>
      </c>
      <c r="AE30" s="14">
        <f t="shared" si="96"/>
        <v>13928</v>
      </c>
      <c r="AF30" s="14">
        <f t="shared" si="96"/>
        <v>14169</v>
      </c>
      <c r="AG30" s="14">
        <f t="shared" si="96"/>
        <v>14486</v>
      </c>
      <c r="AH30" s="14">
        <f t="shared" si="96"/>
        <v>14623</v>
      </c>
      <c r="AI30" s="14">
        <f t="shared" si="96"/>
        <v>15187</v>
      </c>
      <c r="AJ30" s="14">
        <f t="shared" si="96"/>
        <v>11625</v>
      </c>
      <c r="AK30" s="36"/>
      <c r="AL30" s="76">
        <f>SUM(AJ30/AF30)-1</f>
        <v>-0.17954689815795044</v>
      </c>
    </row>
    <row r="31" spans="2:38" ht="12.75" customHeight="1">
      <c r="B31" s="16" t="s">
        <v>103</v>
      </c>
      <c r="C31" s="17">
        <f>C30/C11</f>
        <v>0.34839073969508755</v>
      </c>
      <c r="D31" s="17">
        <f>D30/D11</f>
        <v>0.32828778499169559</v>
      </c>
      <c r="E31" s="17">
        <f>E30/E11</f>
        <v>0.27743581565938447</v>
      </c>
      <c r="F31" s="17">
        <f>F30/F11</f>
        <v>0.35748917003758213</v>
      </c>
      <c r="G31" s="17">
        <f>G30/G11</f>
        <v>0.38226678981395962</v>
      </c>
      <c r="H31" s="27"/>
      <c r="I31" s="17">
        <f>I30/I11</f>
        <v>0.34579909441556261</v>
      </c>
      <c r="J31" s="17">
        <f>J30/J11</f>
        <v>0.34384858044164041</v>
      </c>
      <c r="K31" s="17">
        <f>K30/K11</f>
        <v>0.35174122104036137</v>
      </c>
      <c r="L31" s="17">
        <f>L30/L11</f>
        <v>0.27859677859677862</v>
      </c>
      <c r="M31" s="17">
        <f>M30/M11</f>
        <v>0.28727567129941978</v>
      </c>
      <c r="N31" s="17">
        <f>N30/N11</f>
        <v>0.29170984455958548</v>
      </c>
      <c r="O31" s="17">
        <f>O30/O11</f>
        <v>0.29424524690570369</v>
      </c>
      <c r="P31" s="17">
        <f>P30/P11</f>
        <v>0.23989507571241206</v>
      </c>
      <c r="Q31" s="17">
        <f>Q30/Q11</f>
        <v>0.27513035043045958</v>
      </c>
      <c r="R31" s="17">
        <f>R30/R11</f>
        <v>0.38765546902243403</v>
      </c>
      <c r="S31" s="17">
        <f>S30/S11</f>
        <v>0.380848623853211</v>
      </c>
      <c r="T31" s="17">
        <f>T30/T11</f>
        <v>0.38074728114568751</v>
      </c>
      <c r="U31" s="17">
        <f>U30/U11</f>
        <v>0.39132815066243293</v>
      </c>
      <c r="V31" s="17">
        <f>V30/V11</f>
        <v>0.37501340482573725</v>
      </c>
      <c r="W31" s="17">
        <f>W30/W11</f>
        <v>0.37717069038542989</v>
      </c>
      <c r="X31" s="17">
        <f>X30/X11</f>
        <v>0.38556989892925048</v>
      </c>
      <c r="Y31" s="17">
        <f>Y30/Y11</f>
        <v>0.37755621121172039</v>
      </c>
      <c r="Z31" s="17">
        <f>Z30/Z11</f>
        <v>0.39673700664321998</v>
      </c>
      <c r="AA31" s="17" t="e">
        <f>AA30/AA11</f>
        <v>#DIV/0!</v>
      </c>
      <c r="AB31" s="28"/>
      <c r="AC31" s="17">
        <f>AC30/AC11</f>
        <v>0.35748917003758213</v>
      </c>
      <c r="AD31" s="17">
        <f>AD30/AD11</f>
        <v>0.38513834876759084</v>
      </c>
      <c r="AE31" s="17">
        <f>AE30/AE11</f>
        <v>0.38195529960235841</v>
      </c>
      <c r="AF31" s="17">
        <f>AF30/AF11</f>
        <v>0.38099975799295488</v>
      </c>
      <c r="AG31" s="17">
        <f>AG30/AG11</f>
        <v>0.38226678981395962</v>
      </c>
      <c r="AH31" s="17">
        <f>AH30/AH11</f>
        <v>0.37892254670778158</v>
      </c>
      <c r="AI31" s="17">
        <f>AI30/AI11</f>
        <v>0.38446154625082274</v>
      </c>
      <c r="AJ31" s="17">
        <f>AJ30/AJ11</f>
        <v>0.38675227892740699</v>
      </c>
      <c r="AK31" s="43"/>
      <c r="AL31" s="77">
        <f>SUM(AJ31-AF31)*1000</f>
        <v>5.75252093445211</v>
      </c>
    </row>
    <row r="32" spans="2:38" ht="5.0999999999999996" customHeight="1">
      <c r="B32" s="16"/>
      <c r="C32" s="17"/>
      <c r="D32" s="17"/>
      <c r="E32" s="17"/>
      <c r="F32" s="17"/>
      <c r="G32" s="17"/>
      <c r="H32" s="2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28"/>
      <c r="AC32" s="17"/>
      <c r="AD32" s="17"/>
      <c r="AE32" s="17"/>
      <c r="AF32" s="17"/>
      <c r="AG32" s="17"/>
      <c r="AH32" s="17"/>
      <c r="AI32" s="17"/>
      <c r="AJ32" s="17"/>
      <c r="AK32" s="43"/>
      <c r="AL32" s="77"/>
    </row>
    <row r="33" spans="1:38" ht="12.75" customHeight="1">
      <c r="B33" s="44" t="s">
        <v>84</v>
      </c>
      <c r="C33" s="82"/>
      <c r="D33" s="82"/>
      <c r="E33" s="82"/>
      <c r="F33" s="82"/>
      <c r="G33" s="82"/>
      <c r="H33" s="27"/>
      <c r="I33" s="82"/>
      <c r="J33" s="82"/>
      <c r="K33" s="82"/>
      <c r="L33" s="32">
        <f>D33</f>
        <v>0</v>
      </c>
      <c r="M33" s="82"/>
      <c r="N33" s="82"/>
      <c r="O33" s="82"/>
      <c r="P33" s="32">
        <f>E33</f>
        <v>0</v>
      </c>
      <c r="Q33" s="82"/>
      <c r="R33" s="82"/>
      <c r="S33" s="82"/>
      <c r="T33" s="32">
        <f>F33</f>
        <v>0</v>
      </c>
      <c r="U33" s="82"/>
      <c r="V33" s="82"/>
      <c r="W33" s="82"/>
      <c r="X33" s="32">
        <f>G33</f>
        <v>0</v>
      </c>
      <c r="Y33" s="82"/>
      <c r="Z33" s="82"/>
      <c r="AA33" s="82"/>
      <c r="AB33" s="132"/>
      <c r="AC33" s="32">
        <f>T33</f>
        <v>0</v>
      </c>
      <c r="AD33" s="32">
        <f>U33</f>
        <v>0</v>
      </c>
      <c r="AE33" s="32">
        <f>V33</f>
        <v>0</v>
      </c>
      <c r="AF33" s="32">
        <f>W33</f>
        <v>0</v>
      </c>
      <c r="AG33" s="32">
        <f>X33</f>
        <v>0</v>
      </c>
      <c r="AH33" s="32">
        <f>Y33</f>
        <v>0</v>
      </c>
      <c r="AI33" s="32">
        <f>Z33</f>
        <v>0</v>
      </c>
      <c r="AJ33" s="32">
        <f>AA33</f>
        <v>0</v>
      </c>
      <c r="AK33" s="43"/>
      <c r="AL33" s="75" t="e">
        <f>SUM(AJ33/AF33)-1</f>
        <v>#DIV/0!</v>
      </c>
    </row>
    <row r="34" spans="1:38" ht="12.75" customHeight="1">
      <c r="B34" s="13" t="s">
        <v>62</v>
      </c>
      <c r="C34" s="144" t="e">
        <f t="shared" ref="C34:G34" si="97">C30/C33</f>
        <v>#DIV/0!</v>
      </c>
      <c r="D34" s="144" t="e">
        <f t="shared" si="97"/>
        <v>#DIV/0!</v>
      </c>
      <c r="E34" s="144" t="e">
        <f t="shared" si="97"/>
        <v>#DIV/0!</v>
      </c>
      <c r="F34" s="144" t="e">
        <f t="shared" si="97"/>
        <v>#DIV/0!</v>
      </c>
      <c r="G34" s="144" t="e">
        <f t="shared" si="97"/>
        <v>#DIV/0!</v>
      </c>
      <c r="H34" s="27"/>
      <c r="I34" s="144" t="e">
        <f t="shared" ref="I34" si="98">I30/I33</f>
        <v>#DIV/0!</v>
      </c>
      <c r="J34" s="144" t="e">
        <f t="shared" ref="J34" si="99">J30/J33</f>
        <v>#DIV/0!</v>
      </c>
      <c r="K34" s="144" t="e">
        <f t="shared" ref="K34" si="100">K30/K33</f>
        <v>#DIV/0!</v>
      </c>
      <c r="L34" s="144" t="e">
        <f t="shared" ref="L34" si="101">L30/L33</f>
        <v>#DIV/0!</v>
      </c>
      <c r="M34" s="144" t="e">
        <f t="shared" ref="M34" si="102">M30/M33</f>
        <v>#DIV/0!</v>
      </c>
      <c r="N34" s="144" t="e">
        <f t="shared" ref="N34:O34" si="103">N30/N33</f>
        <v>#DIV/0!</v>
      </c>
      <c r="O34" s="144" t="e">
        <f t="shared" si="103"/>
        <v>#DIV/0!</v>
      </c>
      <c r="P34" s="144" t="e">
        <f t="shared" ref="P34:AA34" si="104">P30/P33</f>
        <v>#DIV/0!</v>
      </c>
      <c r="Q34" s="144" t="e">
        <f t="shared" si="104"/>
        <v>#DIV/0!</v>
      </c>
      <c r="R34" s="144" t="e">
        <f t="shared" si="104"/>
        <v>#DIV/0!</v>
      </c>
      <c r="S34" s="144" t="e">
        <f t="shared" si="104"/>
        <v>#DIV/0!</v>
      </c>
      <c r="T34" s="144" t="e">
        <f t="shared" si="104"/>
        <v>#DIV/0!</v>
      </c>
      <c r="U34" s="144" t="e">
        <f t="shared" si="104"/>
        <v>#DIV/0!</v>
      </c>
      <c r="V34" s="144" t="e">
        <f t="shared" si="104"/>
        <v>#DIV/0!</v>
      </c>
      <c r="W34" s="144" t="e">
        <f t="shared" si="104"/>
        <v>#DIV/0!</v>
      </c>
      <c r="X34" s="144" t="e">
        <f t="shared" si="104"/>
        <v>#DIV/0!</v>
      </c>
      <c r="Y34" s="144" t="e">
        <f t="shared" si="104"/>
        <v>#DIV/0!</v>
      </c>
      <c r="Z34" s="144" t="e">
        <f t="shared" si="104"/>
        <v>#DIV/0!</v>
      </c>
      <c r="AA34" s="144" t="e">
        <f t="shared" si="104"/>
        <v>#DIV/0!</v>
      </c>
      <c r="AB34" s="132"/>
      <c r="AC34" s="144" t="e">
        <f t="shared" ref="AC34:AJ34" si="105">AC30/AC33</f>
        <v>#DIV/0!</v>
      </c>
      <c r="AD34" s="144" t="e">
        <f t="shared" si="105"/>
        <v>#DIV/0!</v>
      </c>
      <c r="AE34" s="144" t="e">
        <f t="shared" si="105"/>
        <v>#DIV/0!</v>
      </c>
      <c r="AF34" s="144" t="e">
        <f t="shared" si="105"/>
        <v>#DIV/0!</v>
      </c>
      <c r="AG34" s="144" t="e">
        <f t="shared" si="105"/>
        <v>#DIV/0!</v>
      </c>
      <c r="AH34" s="144" t="e">
        <f t="shared" si="105"/>
        <v>#DIV/0!</v>
      </c>
      <c r="AI34" s="144" t="e">
        <f t="shared" si="105"/>
        <v>#DIV/0!</v>
      </c>
      <c r="AJ34" s="144" t="e">
        <f t="shared" si="105"/>
        <v>#DIV/0!</v>
      </c>
      <c r="AK34" s="43"/>
      <c r="AL34" s="76" t="e">
        <f>SUM(AJ34/AF34)-1</f>
        <v>#DIV/0!</v>
      </c>
    </row>
    <row r="35" spans="1:38" ht="12.75" customHeight="1">
      <c r="B35" s="25"/>
      <c r="C35" s="48"/>
      <c r="D35" s="48"/>
      <c r="E35" s="48"/>
      <c r="F35" s="48"/>
      <c r="G35" s="48"/>
      <c r="H35" s="143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132"/>
      <c r="AC35" s="132"/>
      <c r="AD35" s="132"/>
      <c r="AE35" s="132"/>
      <c r="AF35" s="48"/>
      <c r="AG35" s="132"/>
      <c r="AH35" s="132"/>
      <c r="AI35" s="132"/>
      <c r="AJ35" s="132"/>
      <c r="AK35" s="43"/>
      <c r="AL35" s="75"/>
    </row>
    <row r="36" spans="1:38" ht="12.75" customHeight="1">
      <c r="B36" s="44" t="s">
        <v>63</v>
      </c>
      <c r="C36" s="82"/>
      <c r="D36" s="82"/>
      <c r="E36" s="82"/>
      <c r="F36" s="82"/>
      <c r="G36" s="82"/>
      <c r="H36" s="143"/>
      <c r="I36" s="82"/>
      <c r="J36" s="82"/>
      <c r="K36" s="82"/>
      <c r="L36" s="32">
        <f>D36</f>
        <v>0</v>
      </c>
      <c r="M36" s="82"/>
      <c r="N36" s="82"/>
      <c r="O36" s="82"/>
      <c r="P36" s="32">
        <f>E36</f>
        <v>0</v>
      </c>
      <c r="Q36" s="82"/>
      <c r="R36" s="82"/>
      <c r="S36" s="82"/>
      <c r="T36" s="32">
        <f>F36</f>
        <v>0</v>
      </c>
      <c r="U36" s="82"/>
      <c r="V36" s="82"/>
      <c r="W36" s="82"/>
      <c r="X36" s="32">
        <f>G36</f>
        <v>0</v>
      </c>
      <c r="Y36" s="82"/>
      <c r="Z36" s="82"/>
      <c r="AA36" s="82"/>
      <c r="AB36" s="132"/>
      <c r="AC36" s="32">
        <f>T36</f>
        <v>0</v>
      </c>
      <c r="AD36" s="32">
        <f>U36</f>
        <v>0</v>
      </c>
      <c r="AE36" s="32">
        <f>V36</f>
        <v>0</v>
      </c>
      <c r="AF36" s="32">
        <f>W36</f>
        <v>0</v>
      </c>
      <c r="AG36" s="32">
        <f>X36</f>
        <v>0</v>
      </c>
      <c r="AH36" s="32">
        <f>Y36</f>
        <v>0</v>
      </c>
      <c r="AI36" s="32">
        <f>Z36</f>
        <v>0</v>
      </c>
      <c r="AJ36" s="32">
        <f>AA36</f>
        <v>0</v>
      </c>
      <c r="AK36" s="43"/>
      <c r="AL36" s="75" t="e">
        <f>SUM(AJ36/AF36)-1</f>
        <v>#DIV/0!</v>
      </c>
    </row>
    <row r="37" spans="1:38" ht="12.75" customHeight="1">
      <c r="B37" s="13" t="s">
        <v>83</v>
      </c>
      <c r="C37" s="144" t="e">
        <f t="shared" ref="C37:G37" si="106">C30/C36</f>
        <v>#DIV/0!</v>
      </c>
      <c r="D37" s="144" t="e">
        <f t="shared" si="106"/>
        <v>#DIV/0!</v>
      </c>
      <c r="E37" s="144" t="e">
        <f t="shared" si="106"/>
        <v>#DIV/0!</v>
      </c>
      <c r="F37" s="144" t="e">
        <f t="shared" si="106"/>
        <v>#DIV/0!</v>
      </c>
      <c r="G37" s="144" t="e">
        <f t="shared" si="106"/>
        <v>#DIV/0!</v>
      </c>
      <c r="H37" s="27"/>
      <c r="I37" s="144" t="e">
        <f t="shared" ref="I37" si="107">I30/I36</f>
        <v>#DIV/0!</v>
      </c>
      <c r="J37" s="144" t="e">
        <f t="shared" ref="J37" si="108">J30/J36</f>
        <v>#DIV/0!</v>
      </c>
      <c r="K37" s="144" t="e">
        <f t="shared" ref="K37" si="109">K30/K36</f>
        <v>#DIV/0!</v>
      </c>
      <c r="L37" s="144" t="e">
        <f t="shared" ref="L37" si="110">L30/L36</f>
        <v>#DIV/0!</v>
      </c>
      <c r="M37" s="144" t="e">
        <f t="shared" ref="M37" si="111">M30/M36</f>
        <v>#DIV/0!</v>
      </c>
      <c r="N37" s="144" t="e">
        <f t="shared" ref="N37:O37" si="112">N30/N36</f>
        <v>#DIV/0!</v>
      </c>
      <c r="O37" s="144" t="e">
        <f t="shared" si="112"/>
        <v>#DIV/0!</v>
      </c>
      <c r="P37" s="144" t="e">
        <f t="shared" ref="P37:AA37" si="113">P30/P36</f>
        <v>#DIV/0!</v>
      </c>
      <c r="Q37" s="144" t="e">
        <f t="shared" si="113"/>
        <v>#DIV/0!</v>
      </c>
      <c r="R37" s="144" t="e">
        <f t="shared" si="113"/>
        <v>#DIV/0!</v>
      </c>
      <c r="S37" s="144" t="e">
        <f t="shared" si="113"/>
        <v>#DIV/0!</v>
      </c>
      <c r="T37" s="144" t="e">
        <f t="shared" si="113"/>
        <v>#DIV/0!</v>
      </c>
      <c r="U37" s="144" t="e">
        <f t="shared" si="113"/>
        <v>#DIV/0!</v>
      </c>
      <c r="V37" s="144" t="e">
        <f t="shared" si="113"/>
        <v>#DIV/0!</v>
      </c>
      <c r="W37" s="144" t="e">
        <f t="shared" si="113"/>
        <v>#DIV/0!</v>
      </c>
      <c r="X37" s="144" t="e">
        <f t="shared" si="113"/>
        <v>#DIV/0!</v>
      </c>
      <c r="Y37" s="144" t="e">
        <f t="shared" si="113"/>
        <v>#DIV/0!</v>
      </c>
      <c r="Z37" s="144" t="e">
        <f t="shared" si="113"/>
        <v>#DIV/0!</v>
      </c>
      <c r="AA37" s="144" t="e">
        <f t="shared" si="113"/>
        <v>#DIV/0!</v>
      </c>
      <c r="AB37" s="132"/>
      <c r="AC37" s="144" t="e">
        <f t="shared" ref="AC37:AJ37" si="114">AC30/AC36</f>
        <v>#DIV/0!</v>
      </c>
      <c r="AD37" s="144" t="e">
        <f t="shared" si="114"/>
        <v>#DIV/0!</v>
      </c>
      <c r="AE37" s="144" t="e">
        <f t="shared" si="114"/>
        <v>#DIV/0!</v>
      </c>
      <c r="AF37" s="144" t="e">
        <f t="shared" si="114"/>
        <v>#DIV/0!</v>
      </c>
      <c r="AG37" s="144" t="e">
        <f t="shared" si="114"/>
        <v>#DIV/0!</v>
      </c>
      <c r="AH37" s="144" t="e">
        <f t="shared" si="114"/>
        <v>#DIV/0!</v>
      </c>
      <c r="AI37" s="144" t="e">
        <f t="shared" si="114"/>
        <v>#DIV/0!</v>
      </c>
      <c r="AJ37" s="144" t="e">
        <f t="shared" si="114"/>
        <v>#DIV/0!</v>
      </c>
      <c r="AK37" s="43"/>
      <c r="AL37" s="76" t="e">
        <f>SUM(AJ37/AF37)-1</f>
        <v>#DIV/0!</v>
      </c>
    </row>
    <row r="38" spans="1:38">
      <c r="B38" s="16"/>
      <c r="C38" s="17"/>
      <c r="D38" s="17"/>
      <c r="E38" s="17"/>
      <c r="F38" s="17"/>
      <c r="G38" s="17"/>
      <c r="H38" s="2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28"/>
      <c r="AC38" s="17"/>
      <c r="AD38" s="17"/>
      <c r="AE38" s="17"/>
      <c r="AF38" s="17"/>
      <c r="AG38" s="17"/>
      <c r="AH38" s="17"/>
      <c r="AI38" s="17"/>
      <c r="AJ38" s="17"/>
      <c r="AK38" s="43"/>
    </row>
    <row r="39" spans="1:38" ht="12.75" customHeight="1">
      <c r="A39" s="5" t="s">
        <v>16</v>
      </c>
      <c r="B39" s="106" t="s">
        <v>73</v>
      </c>
      <c r="C39" s="107"/>
      <c r="D39" s="107"/>
      <c r="E39" s="107"/>
      <c r="F39" s="107"/>
      <c r="G39" s="107"/>
      <c r="H39" s="108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6"/>
      <c r="AC39" s="107"/>
      <c r="AD39" s="107"/>
      <c r="AE39" s="107" t="s">
        <v>10</v>
      </c>
      <c r="AF39" s="107"/>
      <c r="AG39" s="107"/>
      <c r="AH39" s="107"/>
      <c r="AI39" s="107"/>
      <c r="AJ39" s="107"/>
      <c r="AK39" s="108"/>
      <c r="AL39" s="163" t="s">
        <v>22</v>
      </c>
    </row>
    <row r="40" spans="1:38" ht="12.75" customHeight="1">
      <c r="B40" s="110" t="str">
        <f>B7</f>
        <v>Fiscal Period</v>
      </c>
      <c r="C40" s="109">
        <f>C7</f>
        <v>2020</v>
      </c>
      <c r="D40" s="109">
        <f>D7</f>
        <v>2021</v>
      </c>
      <c r="E40" s="109">
        <f>E7</f>
        <v>2022</v>
      </c>
      <c r="F40" s="109">
        <f>F7</f>
        <v>2023</v>
      </c>
      <c r="G40" s="109">
        <f>G7</f>
        <v>2024</v>
      </c>
      <c r="H40" s="108"/>
      <c r="I40" s="109" t="str">
        <f>I7</f>
        <v>1Q21</v>
      </c>
      <c r="J40" s="109" t="str">
        <f>J7</f>
        <v>2Q21</v>
      </c>
      <c r="K40" s="109" t="str">
        <f>K7</f>
        <v>3Q21</v>
      </c>
      <c r="L40" s="109" t="str">
        <f>L7</f>
        <v>4Q21</v>
      </c>
      <c r="M40" s="109" t="str">
        <f>M7</f>
        <v>1Q22</v>
      </c>
      <c r="N40" s="109" t="str">
        <f>N7</f>
        <v>2Q22</v>
      </c>
      <c r="O40" s="109" t="str">
        <f>O7</f>
        <v>3Q22</v>
      </c>
      <c r="P40" s="109" t="str">
        <f>P7</f>
        <v>4Q22</v>
      </c>
      <c r="Q40" s="109" t="str">
        <f>Q7</f>
        <v>1Q23</v>
      </c>
      <c r="R40" s="109" t="str">
        <f>R7</f>
        <v>2Q23</v>
      </c>
      <c r="S40" s="109" t="str">
        <f>S7</f>
        <v>3Q23</v>
      </c>
      <c r="T40" s="109" t="str">
        <f>T7</f>
        <v>4Q23</v>
      </c>
      <c r="U40" s="109" t="str">
        <f>U7</f>
        <v>1Q24</v>
      </c>
      <c r="V40" s="109" t="str">
        <f>V7</f>
        <v>2Q24</v>
      </c>
      <c r="W40" s="109" t="str">
        <f>W7</f>
        <v>3Q24</v>
      </c>
      <c r="X40" s="109" t="str">
        <f>X7</f>
        <v>4Q24</v>
      </c>
      <c r="Y40" s="109" t="str">
        <f>Y7</f>
        <v>1Q25</v>
      </c>
      <c r="Z40" s="109" t="str">
        <f>Z7</f>
        <v>2Q25</v>
      </c>
      <c r="AA40" s="109" t="str">
        <f>AA7</f>
        <v>3Q25</v>
      </c>
      <c r="AB40" s="111"/>
      <c r="AC40" s="109" t="str">
        <f>AC7</f>
        <v>4Q23</v>
      </c>
      <c r="AD40" s="109" t="str">
        <f>AD7</f>
        <v>1Q24</v>
      </c>
      <c r="AE40" s="109" t="str">
        <f>AE7</f>
        <v>2Q24</v>
      </c>
      <c r="AF40" s="109" t="str">
        <f>AF7</f>
        <v>3Q24</v>
      </c>
      <c r="AG40" s="109" t="str">
        <f>AG7</f>
        <v>4Q24</v>
      </c>
      <c r="AH40" s="109" t="str">
        <f>AH7</f>
        <v>1Q25</v>
      </c>
      <c r="AI40" s="109" t="str">
        <f>AI7</f>
        <v>2Q25</v>
      </c>
      <c r="AJ40" s="109" t="str">
        <f>AJ7</f>
        <v>3Q25</v>
      </c>
      <c r="AK40" s="108"/>
      <c r="AL40" s="163"/>
    </row>
    <row r="41" spans="1:38" ht="12.75" customHeight="1">
      <c r="B41" s="110" t="str">
        <f>B8</f>
        <v>Fiscal Period End Date</v>
      </c>
      <c r="C41" s="112">
        <f>C8</f>
        <v>0</v>
      </c>
      <c r="D41" s="112">
        <f>D8</f>
        <v>0</v>
      </c>
      <c r="E41" s="112">
        <f>E8</f>
        <v>0</v>
      </c>
      <c r="F41" s="112">
        <f>F8</f>
        <v>0</v>
      </c>
      <c r="G41" s="112">
        <f>G8</f>
        <v>0</v>
      </c>
      <c r="H41" s="108"/>
      <c r="I41" s="112">
        <f>I8</f>
        <v>0</v>
      </c>
      <c r="J41" s="112">
        <f>J8</f>
        <v>0</v>
      </c>
      <c r="K41" s="112">
        <f>K8</f>
        <v>0</v>
      </c>
      <c r="L41" s="112">
        <f>L8</f>
        <v>0</v>
      </c>
      <c r="M41" s="112">
        <f>M8</f>
        <v>0</v>
      </c>
      <c r="N41" s="112">
        <f>N8</f>
        <v>0</v>
      </c>
      <c r="O41" s="112">
        <f>O8</f>
        <v>0</v>
      </c>
      <c r="P41" s="112">
        <f>P8</f>
        <v>0</v>
      </c>
      <c r="Q41" s="112">
        <f>Q8</f>
        <v>0</v>
      </c>
      <c r="R41" s="112">
        <f>R8</f>
        <v>0</v>
      </c>
      <c r="S41" s="112">
        <f>S8</f>
        <v>0</v>
      </c>
      <c r="T41" s="112">
        <f>T8</f>
        <v>0</v>
      </c>
      <c r="U41" s="112">
        <f>U8</f>
        <v>0</v>
      </c>
      <c r="V41" s="112">
        <f>V8</f>
        <v>0</v>
      </c>
      <c r="W41" s="112">
        <f>W8</f>
        <v>0</v>
      </c>
      <c r="X41" s="112">
        <f>X8</f>
        <v>0</v>
      </c>
      <c r="Y41" s="112">
        <f>Y8</f>
        <v>0</v>
      </c>
      <c r="Z41" s="112">
        <f>Z8</f>
        <v>0</v>
      </c>
      <c r="AA41" s="112">
        <f>AA8</f>
        <v>0</v>
      </c>
      <c r="AB41" s="113"/>
      <c r="AC41" s="112">
        <f>AC8</f>
        <v>0</v>
      </c>
      <c r="AD41" s="112">
        <f>AD8</f>
        <v>0</v>
      </c>
      <c r="AE41" s="112">
        <f>AE8</f>
        <v>0</v>
      </c>
      <c r="AF41" s="112">
        <f>AF8</f>
        <v>0</v>
      </c>
      <c r="AG41" s="112">
        <f>AG8</f>
        <v>0</v>
      </c>
      <c r="AH41" s="112">
        <f>AH8</f>
        <v>0</v>
      </c>
      <c r="AI41" s="112">
        <f>AI8</f>
        <v>0</v>
      </c>
      <c r="AJ41" s="112">
        <f>AJ8</f>
        <v>0</v>
      </c>
      <c r="AK41" s="108"/>
      <c r="AL41" s="163"/>
    </row>
    <row r="42" spans="1:38" ht="5.0999999999999996" customHeight="1">
      <c r="B42" s="46"/>
      <c r="C42" s="47"/>
      <c r="D42" s="47"/>
      <c r="E42" s="47"/>
      <c r="F42" s="47"/>
      <c r="G42" s="47"/>
    </row>
    <row r="43" spans="1:38">
      <c r="B43" s="78" t="s">
        <v>78</v>
      </c>
      <c r="C43" s="47"/>
      <c r="D43" s="47"/>
      <c r="E43" s="47"/>
      <c r="F43" s="47"/>
      <c r="G43" s="47"/>
    </row>
    <row r="44" spans="1:38" s="122" customFormat="1" ht="12.75" customHeight="1">
      <c r="B44" s="114" t="s">
        <v>181</v>
      </c>
      <c r="C44" s="123"/>
      <c r="D44" s="123">
        <v>25060</v>
      </c>
      <c r="E44" s="123">
        <v>26882</v>
      </c>
      <c r="F44" s="123">
        <v>30852</v>
      </c>
      <c r="G44" s="123">
        <v>34485</v>
      </c>
      <c r="I44" s="82">
        <v>8544</v>
      </c>
      <c r="J44" s="82">
        <v>6299</v>
      </c>
      <c r="K44" s="82">
        <v>4753</v>
      </c>
      <c r="L44" s="32">
        <f t="shared" ref="L44:L48" si="115">D44</f>
        <v>25060</v>
      </c>
      <c r="M44" s="82">
        <v>6859</v>
      </c>
      <c r="N44" s="82">
        <v>6931</v>
      </c>
      <c r="O44" s="82">
        <v>6076</v>
      </c>
      <c r="P44" s="32">
        <f t="shared" ref="P44:P48" si="116">E44</f>
        <v>26882</v>
      </c>
      <c r="Q44" s="82">
        <v>9155</v>
      </c>
      <c r="R44" s="82">
        <v>6772</v>
      </c>
      <c r="S44" s="82">
        <v>6453</v>
      </c>
      <c r="T44" s="32">
        <f t="shared" ref="T44:T48" si="117">F44</f>
        <v>30852</v>
      </c>
      <c r="U44" s="82">
        <v>9958</v>
      </c>
      <c r="V44" s="82">
        <v>7682</v>
      </c>
      <c r="W44" s="82">
        <v>7997</v>
      </c>
      <c r="X44" s="32">
        <f t="shared" ref="X44:X48" si="118">G44</f>
        <v>34485</v>
      </c>
      <c r="Y44" s="82">
        <v>10928</v>
      </c>
      <c r="Z44" s="82">
        <v>10365</v>
      </c>
      <c r="AA44" s="82"/>
      <c r="AC44" s="96">
        <f>T44</f>
        <v>30852</v>
      </c>
      <c r="AD44" s="96">
        <f>U44</f>
        <v>9958</v>
      </c>
      <c r="AE44" s="96">
        <f>V44</f>
        <v>7682</v>
      </c>
      <c r="AF44" s="96">
        <f>W44</f>
        <v>7997</v>
      </c>
      <c r="AG44" s="96">
        <f>X44</f>
        <v>34485</v>
      </c>
      <c r="AH44" s="96">
        <f>Y44</f>
        <v>10928</v>
      </c>
      <c r="AI44" s="96">
        <f>Z44</f>
        <v>10365</v>
      </c>
      <c r="AJ44" s="96">
        <f>AA44</f>
        <v>0</v>
      </c>
      <c r="AK44" s="124"/>
      <c r="AL44" s="75">
        <f>SUM(AJ44/AF44)-1</f>
        <v>-1</v>
      </c>
    </row>
    <row r="45" spans="1:38" s="122" customFormat="1" ht="12.75" customHeight="1">
      <c r="B45" s="114" t="s">
        <v>160</v>
      </c>
      <c r="C45" s="123"/>
      <c r="D45" s="123">
        <v>19541</v>
      </c>
      <c r="E45" s="123">
        <v>24580</v>
      </c>
      <c r="F45" s="123">
        <v>21579</v>
      </c>
      <c r="G45" s="123">
        <v>22610</v>
      </c>
      <c r="I45" s="82">
        <v>6479</v>
      </c>
      <c r="J45" s="82">
        <v>3351</v>
      </c>
      <c r="K45" s="82">
        <v>4638</v>
      </c>
      <c r="L45" s="32">
        <f t="shared" si="115"/>
        <v>19541</v>
      </c>
      <c r="M45" s="82">
        <v>6644</v>
      </c>
      <c r="N45" s="82">
        <v>6602</v>
      </c>
      <c r="O45" s="82">
        <v>5842</v>
      </c>
      <c r="P45" s="32">
        <f t="shared" si="116"/>
        <v>24580</v>
      </c>
      <c r="Q45" s="82">
        <v>4822</v>
      </c>
      <c r="R45" s="82">
        <v>5625</v>
      </c>
      <c r="S45" s="82">
        <v>5410</v>
      </c>
      <c r="T45" s="32">
        <f t="shared" si="117"/>
        <v>21579</v>
      </c>
      <c r="U45" s="82">
        <v>7712</v>
      </c>
      <c r="V45" s="82">
        <v>4954</v>
      </c>
      <c r="W45" s="82">
        <v>4760</v>
      </c>
      <c r="X45" s="32">
        <f t="shared" si="118"/>
        <v>22610</v>
      </c>
      <c r="Y45" s="82">
        <v>6480</v>
      </c>
      <c r="Z45" s="82">
        <v>5007</v>
      </c>
      <c r="AA45" s="82"/>
      <c r="AC45" s="96">
        <f>T45</f>
        <v>21579</v>
      </c>
      <c r="AD45" s="96">
        <f>U45</f>
        <v>7712</v>
      </c>
      <c r="AE45" s="96">
        <f>V45</f>
        <v>4954</v>
      </c>
      <c r="AF45" s="96">
        <f>W45</f>
        <v>4760</v>
      </c>
      <c r="AG45" s="96">
        <f>X45</f>
        <v>22610</v>
      </c>
      <c r="AH45" s="96">
        <f>Y45</f>
        <v>6480</v>
      </c>
      <c r="AI45" s="96">
        <f>Z45</f>
        <v>5007</v>
      </c>
      <c r="AJ45" s="96">
        <f>AA45</f>
        <v>0</v>
      </c>
      <c r="AK45" s="124"/>
      <c r="AL45" s="75">
        <f t="shared" ref="AL45:AL47" si="119">SUM(AJ45/AF45)-1</f>
        <v>-1</v>
      </c>
    </row>
    <row r="46" spans="1:38" s="122" customFormat="1" ht="12.75" customHeight="1">
      <c r="B46" s="114" t="s">
        <v>168</v>
      </c>
      <c r="C46" s="123"/>
      <c r="D46" s="123">
        <v>21006</v>
      </c>
      <c r="E46" s="123">
        <v>23727</v>
      </c>
      <c r="F46" s="123">
        <v>26296</v>
      </c>
      <c r="G46" s="123">
        <v>26350</v>
      </c>
      <c r="I46" s="82">
        <v>3174</v>
      </c>
      <c r="J46" s="82">
        <v>4074</v>
      </c>
      <c r="K46" s="82">
        <v>4019</v>
      </c>
      <c r="L46" s="32">
        <f t="shared" si="115"/>
        <v>21006</v>
      </c>
      <c r="M46" s="82">
        <v>3952</v>
      </c>
      <c r="N46" s="82">
        <v>4745</v>
      </c>
      <c r="O46" s="82">
        <v>4275</v>
      </c>
      <c r="P46" s="32">
        <f t="shared" si="116"/>
        <v>23727</v>
      </c>
      <c r="Q46" s="82">
        <v>4632</v>
      </c>
      <c r="R46" s="82">
        <v>5400</v>
      </c>
      <c r="S46" s="82">
        <v>4850</v>
      </c>
      <c r="T46" s="32">
        <f t="shared" si="117"/>
        <v>26296</v>
      </c>
      <c r="U46" s="82">
        <v>4273</v>
      </c>
      <c r="V46" s="82">
        <v>5391</v>
      </c>
      <c r="W46" s="82">
        <v>4741</v>
      </c>
      <c r="X46" s="32">
        <f t="shared" si="118"/>
        <v>26350</v>
      </c>
      <c r="Y46" s="82">
        <v>4354</v>
      </c>
      <c r="Z46" s="82">
        <v>5596</v>
      </c>
      <c r="AA46" s="82"/>
      <c r="AC46" s="96">
        <f>T46</f>
        <v>26296</v>
      </c>
      <c r="AD46" s="96">
        <f>U46</f>
        <v>4273</v>
      </c>
      <c r="AE46" s="96">
        <f>V46</f>
        <v>5391</v>
      </c>
      <c r="AF46" s="96">
        <f>W46</f>
        <v>4741</v>
      </c>
      <c r="AG46" s="96">
        <f>X46</f>
        <v>26350</v>
      </c>
      <c r="AH46" s="96">
        <f>Y46</f>
        <v>4354</v>
      </c>
      <c r="AI46" s="96">
        <f>Z46</f>
        <v>5596</v>
      </c>
      <c r="AJ46" s="96">
        <f>AA46</f>
        <v>0</v>
      </c>
      <c r="AK46" s="124"/>
      <c r="AL46" s="75">
        <f t="shared" ref="AL46" si="120">SUM(AJ46/AF46)-1</f>
        <v>-1</v>
      </c>
    </row>
    <row r="47" spans="1:38" s="122" customFormat="1" ht="12.75" customHeight="1">
      <c r="B47" s="114" t="s">
        <v>182</v>
      </c>
      <c r="C47" s="123"/>
      <c r="D47" s="123">
        <v>5073</v>
      </c>
      <c r="E47" s="123">
        <v>6334</v>
      </c>
      <c r="F47" s="123">
        <v>7215</v>
      </c>
      <c r="G47" s="123">
        <v>7523</v>
      </c>
      <c r="I47" s="82">
        <v>1166</v>
      </c>
      <c r="J47" s="82">
        <v>1211</v>
      </c>
      <c r="K47" s="82">
        <v>1242</v>
      </c>
      <c r="L47" s="32">
        <f t="shared" si="115"/>
        <v>5073</v>
      </c>
      <c r="M47" s="82">
        <v>1478</v>
      </c>
      <c r="N47" s="82">
        <v>1531</v>
      </c>
      <c r="O47" s="82">
        <v>1549</v>
      </c>
      <c r="P47" s="32">
        <f t="shared" si="116"/>
        <v>6334</v>
      </c>
      <c r="Q47" s="82">
        <v>1772</v>
      </c>
      <c r="R47" s="82">
        <v>1781</v>
      </c>
      <c r="S47" s="82">
        <v>1757</v>
      </c>
      <c r="T47" s="32">
        <f t="shared" si="117"/>
        <v>7215</v>
      </c>
      <c r="U47" s="82">
        <v>1865</v>
      </c>
      <c r="V47" s="82">
        <v>1851</v>
      </c>
      <c r="W47" s="82">
        <v>1836</v>
      </c>
      <c r="X47" s="32">
        <f t="shared" si="118"/>
        <v>7523</v>
      </c>
      <c r="Y47" s="82">
        <v>1924</v>
      </c>
      <c r="Z47" s="82">
        <v>1862</v>
      </c>
      <c r="AA47" s="82"/>
      <c r="AC47" s="96">
        <f>T47</f>
        <v>7215</v>
      </c>
      <c r="AD47" s="96">
        <f>U47</f>
        <v>1865</v>
      </c>
      <c r="AE47" s="96">
        <f>V47</f>
        <v>1851</v>
      </c>
      <c r="AF47" s="96">
        <f>W47</f>
        <v>1836</v>
      </c>
      <c r="AG47" s="96">
        <f>X47</f>
        <v>7523</v>
      </c>
      <c r="AH47" s="96">
        <f>Y47</f>
        <v>1924</v>
      </c>
      <c r="AI47" s="96">
        <f>Z47</f>
        <v>1862</v>
      </c>
      <c r="AJ47" s="96">
        <f>AA47</f>
        <v>0</v>
      </c>
      <c r="AK47" s="124"/>
      <c r="AL47" s="75">
        <f t="shared" si="119"/>
        <v>-1</v>
      </c>
    </row>
    <row r="48" spans="1:38" s="122" customFormat="1" ht="12.75" customHeight="1">
      <c r="B48" s="114" t="s">
        <v>183</v>
      </c>
      <c r="C48" s="123"/>
      <c r="D48" s="123">
        <v>4827</v>
      </c>
      <c r="E48" s="123">
        <v>5738</v>
      </c>
      <c r="F48" s="123">
        <v>6453</v>
      </c>
      <c r="G48" s="123">
        <v>7650</v>
      </c>
      <c r="I48" s="82">
        <v>1081</v>
      </c>
      <c r="J48" s="82">
        <v>1321</v>
      </c>
      <c r="K48" s="82">
        <v>1305</v>
      </c>
      <c r="L48" s="32">
        <f t="shared" si="115"/>
        <v>4827</v>
      </c>
      <c r="M48" s="82">
        <v>1478</v>
      </c>
      <c r="N48" s="82">
        <v>1437</v>
      </c>
      <c r="O48" s="82">
        <v>1467</v>
      </c>
      <c r="P48" s="32">
        <f t="shared" si="116"/>
        <v>5738</v>
      </c>
      <c r="Q48" s="82">
        <v>1600</v>
      </c>
      <c r="R48" s="82">
        <v>1560</v>
      </c>
      <c r="S48" s="82">
        <v>1732</v>
      </c>
      <c r="T48" s="32">
        <f t="shared" si="117"/>
        <v>6453</v>
      </c>
      <c r="U48" s="82">
        <v>1796</v>
      </c>
      <c r="V48" s="82">
        <v>1984</v>
      </c>
      <c r="W48" s="82">
        <v>2091</v>
      </c>
      <c r="X48" s="32">
        <f t="shared" si="118"/>
        <v>7650</v>
      </c>
      <c r="Y48" s="82">
        <v>2180</v>
      </c>
      <c r="Z48" s="82">
        <v>2501</v>
      </c>
      <c r="AA48" s="82"/>
      <c r="AC48" s="96">
        <f>T48</f>
        <v>6453</v>
      </c>
      <c r="AD48" s="96">
        <f>U48</f>
        <v>1796</v>
      </c>
      <c r="AE48" s="96">
        <f>V48</f>
        <v>1984</v>
      </c>
      <c r="AF48" s="96">
        <f>W48</f>
        <v>2091</v>
      </c>
      <c r="AG48" s="96">
        <f>X48</f>
        <v>7650</v>
      </c>
      <c r="AH48" s="96">
        <f>Y48</f>
        <v>2180</v>
      </c>
      <c r="AI48" s="96">
        <f>Z48</f>
        <v>2501</v>
      </c>
      <c r="AJ48" s="96">
        <f>AA48</f>
        <v>0</v>
      </c>
      <c r="AK48" s="124"/>
      <c r="AL48" s="75">
        <f t="shared" ref="AL48" si="121">SUM(AJ48/AF48)-1</f>
        <v>-1</v>
      </c>
    </row>
    <row r="49" spans="2:38" ht="12.75" customHeight="1">
      <c r="B49" s="25" t="s">
        <v>18</v>
      </c>
      <c r="C49" s="26">
        <f>SUM(C44:C48)</f>
        <v>0</v>
      </c>
      <c r="D49" s="26">
        <f>SUM(D44:D48)</f>
        <v>75507</v>
      </c>
      <c r="E49" s="26">
        <f>SUM(E44:E48)</f>
        <v>87261</v>
      </c>
      <c r="F49" s="26">
        <f>SUM(F44:F48)</f>
        <v>92395</v>
      </c>
      <c r="G49" s="26">
        <f>SUM(G44:G48)</f>
        <v>98618</v>
      </c>
      <c r="H49" s="48"/>
      <c r="I49" s="26">
        <f t="shared" ref="I49:L49" si="122">SUM(I44:I48)</f>
        <v>20444</v>
      </c>
      <c r="J49" s="26">
        <f t="shared" si="122"/>
        <v>16256</v>
      </c>
      <c r="K49" s="26">
        <f t="shared" si="122"/>
        <v>15957</v>
      </c>
      <c r="L49" s="26">
        <f t="shared" si="122"/>
        <v>75507</v>
      </c>
      <c r="M49" s="26">
        <f>SUM(M44:M48)</f>
        <v>20411</v>
      </c>
      <c r="N49" s="26">
        <f>SUM(N44:N48)</f>
        <v>21246</v>
      </c>
      <c r="O49" s="26">
        <f>SUM(O44:O48)</f>
        <v>19209</v>
      </c>
      <c r="P49" s="26">
        <f>SUM(P44:P48)</f>
        <v>87261</v>
      </c>
      <c r="Q49" s="26">
        <f>SUM(Q44:Q48)</f>
        <v>21981</v>
      </c>
      <c r="R49" s="26">
        <f>SUM(R44:R48)</f>
        <v>21138</v>
      </c>
      <c r="S49" s="26">
        <f>SUM(S44:S48)</f>
        <v>20202</v>
      </c>
      <c r="T49" s="26">
        <f>SUM(T44:T48)</f>
        <v>92395</v>
      </c>
      <c r="U49" s="26">
        <f>SUM(U44:U48)</f>
        <v>25604</v>
      </c>
      <c r="V49" s="26">
        <f>SUM(V44:V48)</f>
        <v>21862</v>
      </c>
      <c r="W49" s="26">
        <f>SUM(W44:W48)</f>
        <v>21425</v>
      </c>
      <c r="X49" s="26">
        <f>SUM(X44:X48)</f>
        <v>98618</v>
      </c>
      <c r="Y49" s="26">
        <f>SUM(Y44:Y48)</f>
        <v>25866</v>
      </c>
      <c r="Z49" s="26">
        <f>SUM(Z44:Z48)</f>
        <v>25331</v>
      </c>
      <c r="AA49" s="26">
        <f>SUM(AA44:AA48)</f>
        <v>0</v>
      </c>
      <c r="AB49" s="48"/>
      <c r="AC49" s="26">
        <f>SUM(AC44:AC48)</f>
        <v>92395</v>
      </c>
      <c r="AD49" s="26">
        <f>SUM(AD44:AD48)</f>
        <v>25604</v>
      </c>
      <c r="AE49" s="26">
        <f>SUM(AE44:AE48)</f>
        <v>21862</v>
      </c>
      <c r="AF49" s="26">
        <f>SUM(AF44:AF48)</f>
        <v>21425</v>
      </c>
      <c r="AG49" s="26">
        <f>SUM(AG44:AG48)</f>
        <v>98618</v>
      </c>
      <c r="AH49" s="26">
        <f>SUM(AH44:AH48)</f>
        <v>25866</v>
      </c>
      <c r="AI49" s="26">
        <f>SUM(AI44:AI48)</f>
        <v>25331</v>
      </c>
      <c r="AJ49" s="26">
        <f>SUM(AJ44:AJ48)</f>
        <v>0</v>
      </c>
      <c r="AK49" s="42"/>
      <c r="AL49" s="76">
        <f>SUM(AJ49/AF49)-1</f>
        <v>-1</v>
      </c>
    </row>
    <row r="50" spans="2:38" ht="5.0999999999999996" customHeight="1">
      <c r="B50" s="25"/>
      <c r="C50" s="49"/>
      <c r="D50" s="49"/>
      <c r="E50" s="49"/>
      <c r="F50" s="41"/>
      <c r="G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C50" s="42"/>
      <c r="AD50" s="42"/>
      <c r="AE50" s="42"/>
      <c r="AF50" s="42"/>
      <c r="AG50" s="42"/>
      <c r="AH50" s="42"/>
      <c r="AI50" s="42"/>
      <c r="AJ50" s="42"/>
      <c r="AK50" s="42"/>
      <c r="AL50" s="39"/>
    </row>
    <row r="51" spans="2:38" ht="12.75" customHeight="1">
      <c r="B51" s="78" t="s">
        <v>79</v>
      </c>
      <c r="C51" s="82"/>
      <c r="D51" s="82"/>
      <c r="E51" s="82"/>
      <c r="F51" s="82"/>
      <c r="G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32"/>
      <c r="Z51" s="82"/>
      <c r="AA51" s="82"/>
      <c r="AC51" s="32"/>
      <c r="AD51" s="32"/>
      <c r="AE51" s="32"/>
      <c r="AF51" s="32"/>
      <c r="AG51" s="32"/>
      <c r="AH51" s="32"/>
      <c r="AI51" s="32"/>
      <c r="AJ51" s="32"/>
      <c r="AK51" s="11"/>
      <c r="AL51" s="75"/>
    </row>
    <row r="52" spans="2:38" ht="12.75" customHeight="1">
      <c r="B52" s="9" t="s">
        <v>151</v>
      </c>
      <c r="C52" s="82"/>
      <c r="D52" s="82">
        <v>10784</v>
      </c>
      <c r="E52" s="82">
        <v>13459</v>
      </c>
      <c r="F52" s="82">
        <v>15067</v>
      </c>
      <c r="G52" s="82">
        <v>13738</v>
      </c>
      <c r="I52" s="82">
        <v>2490</v>
      </c>
      <c r="J52" s="82">
        <v>2711</v>
      </c>
      <c r="K52" s="82">
        <v>2768</v>
      </c>
      <c r="L52" s="32">
        <f t="shared" ref="L52:L58" si="123">D52</f>
        <v>10784</v>
      </c>
      <c r="M52" s="82">
        <v>2868</v>
      </c>
      <c r="N52" s="82">
        <v>3375</v>
      </c>
      <c r="O52" s="82">
        <v>3514</v>
      </c>
      <c r="P52" s="32">
        <f t="shared" ref="P52:P58" si="124">E52</f>
        <v>13459</v>
      </c>
      <c r="Q52" s="82">
        <v>3695</v>
      </c>
      <c r="R52" s="82">
        <v>3876</v>
      </c>
      <c r="S52" s="82">
        <v>3807</v>
      </c>
      <c r="T52" s="32">
        <f t="shared" ref="T52:T58" si="125">F52</f>
        <v>15067</v>
      </c>
      <c r="U52" s="82">
        <v>3506</v>
      </c>
      <c r="V52" s="82">
        <v>3580</v>
      </c>
      <c r="W52" s="82">
        <v>3416</v>
      </c>
      <c r="X52" s="32">
        <f t="shared" ref="X52:X58" si="126">G52</f>
        <v>13738</v>
      </c>
      <c r="Y52" s="82">
        <v>3131</v>
      </c>
      <c r="Z52" s="82">
        <v>3154</v>
      </c>
      <c r="AA52" s="82"/>
      <c r="AC52" s="32">
        <f>T52</f>
        <v>15067</v>
      </c>
      <c r="AD52" s="32">
        <f>U52</f>
        <v>3506</v>
      </c>
      <c r="AE52" s="32">
        <f>V52</f>
        <v>3580</v>
      </c>
      <c r="AF52" s="32">
        <f>W52</f>
        <v>3416</v>
      </c>
      <c r="AG52" s="32">
        <f>X52</f>
        <v>13738</v>
      </c>
      <c r="AH52" s="32">
        <f>Y52</f>
        <v>3131</v>
      </c>
      <c r="AI52" s="32">
        <f>Z52</f>
        <v>3154</v>
      </c>
      <c r="AJ52" s="32">
        <f>AA52</f>
        <v>0</v>
      </c>
      <c r="AK52" s="11"/>
      <c r="AL52" s="75">
        <f t="shared" ref="AL52:AL59" si="127">SUM(AJ52/AF52)-1</f>
        <v>-1</v>
      </c>
    </row>
    <row r="53" spans="2:38" ht="12.75" customHeight="1">
      <c r="B53" s="9" t="s">
        <v>169</v>
      </c>
      <c r="C53" s="82"/>
      <c r="D53" s="82">
        <v>11977</v>
      </c>
      <c r="E53" s="82">
        <v>11434</v>
      </c>
      <c r="F53" s="82">
        <v>10105</v>
      </c>
      <c r="G53" s="82">
        <v>8709</v>
      </c>
      <c r="I53" s="82">
        <v>3065</v>
      </c>
      <c r="J53" s="82">
        <v>3123</v>
      </c>
      <c r="K53" s="82">
        <v>2909</v>
      </c>
      <c r="L53" s="32">
        <f t="shared" si="123"/>
        <v>11977</v>
      </c>
      <c r="M53" s="82">
        <v>2913</v>
      </c>
      <c r="N53" s="82">
        <v>2727</v>
      </c>
      <c r="O53" s="82">
        <v>2904</v>
      </c>
      <c r="P53" s="32">
        <f t="shared" si="124"/>
        <v>11434</v>
      </c>
      <c r="Q53" s="82">
        <v>2646</v>
      </c>
      <c r="R53" s="82">
        <v>2575</v>
      </c>
      <c r="S53" s="82">
        <v>2518</v>
      </c>
      <c r="T53" s="32">
        <f t="shared" si="125"/>
        <v>10105</v>
      </c>
      <c r="U53" s="82">
        <v>2255</v>
      </c>
      <c r="V53" s="82">
        <v>2130</v>
      </c>
      <c r="W53" s="82">
        <v>2167</v>
      </c>
      <c r="X53" s="32">
        <f t="shared" si="126"/>
        <v>8709</v>
      </c>
      <c r="Y53" s="82">
        <v>2129</v>
      </c>
      <c r="Z53" s="82">
        <v>2028</v>
      </c>
      <c r="AA53" s="82"/>
      <c r="AC53" s="32">
        <f>T53</f>
        <v>10105</v>
      </c>
      <c r="AD53" s="32">
        <f>U53</f>
        <v>2255</v>
      </c>
      <c r="AE53" s="32">
        <f>V53</f>
        <v>2130</v>
      </c>
      <c r="AF53" s="32">
        <f>W53</f>
        <v>2167</v>
      </c>
      <c r="AG53" s="32">
        <f>X53</f>
        <v>8709</v>
      </c>
      <c r="AH53" s="32">
        <f>Y53</f>
        <v>2129</v>
      </c>
      <c r="AI53" s="32">
        <f>Z53</f>
        <v>2028</v>
      </c>
      <c r="AJ53" s="32">
        <f>AA53</f>
        <v>0</v>
      </c>
      <c r="AK53" s="11"/>
      <c r="AL53" s="75">
        <f t="shared" si="127"/>
        <v>-1</v>
      </c>
    </row>
    <row r="54" spans="2:38" ht="12.75" customHeight="1">
      <c r="B54" s="9" t="s">
        <v>184</v>
      </c>
      <c r="C54" s="82"/>
      <c r="D54" s="82">
        <v>7748</v>
      </c>
      <c r="E54" s="82">
        <v>9688</v>
      </c>
      <c r="F54" s="82">
        <v>9567</v>
      </c>
      <c r="G54" s="82">
        <v>9083</v>
      </c>
      <c r="I54" s="82">
        <v>1736</v>
      </c>
      <c r="J54" s="82">
        <v>1820</v>
      </c>
      <c r="K54" s="82">
        <v>1850</v>
      </c>
      <c r="L54" s="32">
        <f t="shared" si="123"/>
        <v>7748</v>
      </c>
      <c r="M54" s="82">
        <v>2323</v>
      </c>
      <c r="N54" s="82">
        <v>2367</v>
      </c>
      <c r="O54" s="82">
        <v>2301</v>
      </c>
      <c r="P54" s="32">
        <f t="shared" si="124"/>
        <v>9688</v>
      </c>
      <c r="Q54" s="82">
        <v>2506</v>
      </c>
      <c r="R54" s="82">
        <v>2352</v>
      </c>
      <c r="S54" s="82">
        <v>2194</v>
      </c>
      <c r="T54" s="32">
        <f t="shared" si="125"/>
        <v>9567</v>
      </c>
      <c r="U54" s="82">
        <v>2286</v>
      </c>
      <c r="V54" s="82">
        <v>2201</v>
      </c>
      <c r="W54" s="82">
        <v>2121</v>
      </c>
      <c r="X54" s="32">
        <f t="shared" si="126"/>
        <v>9083</v>
      </c>
      <c r="Y54" s="82">
        <v>2342</v>
      </c>
      <c r="Z54" s="82">
        <v>2266</v>
      </c>
      <c r="AA54" s="82"/>
      <c r="AC54" s="32">
        <f t="shared" ref="AC54:AC57" si="128">T54</f>
        <v>9567</v>
      </c>
      <c r="AD54" s="32">
        <f t="shared" ref="AD54:AD57" si="129">U54</f>
        <v>2286</v>
      </c>
      <c r="AE54" s="32">
        <f t="shared" ref="AE54:AE57" si="130">V54</f>
        <v>2201</v>
      </c>
      <c r="AF54" s="32">
        <f t="shared" ref="AF54:AF57" si="131">W54</f>
        <v>2121</v>
      </c>
      <c r="AG54" s="32">
        <f t="shared" ref="AG54:AG57" si="132">X54</f>
        <v>9083</v>
      </c>
      <c r="AH54" s="32">
        <f t="shared" ref="AH54:AH57" si="133">Y54</f>
        <v>2342</v>
      </c>
      <c r="AI54" s="32">
        <f t="shared" ref="AI54:AI57" si="134">Z54</f>
        <v>2266</v>
      </c>
      <c r="AJ54" s="32">
        <f t="shared" ref="AJ54:AJ57" si="135">AA54</f>
        <v>0</v>
      </c>
      <c r="AK54" s="11"/>
      <c r="AL54" s="75">
        <f t="shared" si="127"/>
        <v>-1</v>
      </c>
    </row>
    <row r="55" spans="2:38" ht="12.75" customHeight="1">
      <c r="B55" s="9" t="s">
        <v>161</v>
      </c>
      <c r="C55" s="82"/>
      <c r="D55" s="82">
        <v>16837</v>
      </c>
      <c r="E55" s="82">
        <v>19856</v>
      </c>
      <c r="F55" s="82">
        <v>19033</v>
      </c>
      <c r="G55" s="82">
        <v>19692</v>
      </c>
      <c r="I55" s="82">
        <v>3944</v>
      </c>
      <c r="J55" s="82">
        <v>4105</v>
      </c>
      <c r="K55" s="82">
        <v>4004</v>
      </c>
      <c r="L55" s="32">
        <f t="shared" si="123"/>
        <v>16837</v>
      </c>
      <c r="M55" s="82">
        <v>4936</v>
      </c>
      <c r="N55" s="82">
        <v>5124</v>
      </c>
      <c r="O55" s="82">
        <v>5124</v>
      </c>
      <c r="P55" s="32">
        <f t="shared" si="124"/>
        <v>19856</v>
      </c>
      <c r="Q55" s="82">
        <v>4633</v>
      </c>
      <c r="R55" s="82">
        <v>4778</v>
      </c>
      <c r="S55" s="82">
        <v>4774</v>
      </c>
      <c r="T55" s="32">
        <f t="shared" si="125"/>
        <v>19033</v>
      </c>
      <c r="U55" s="82">
        <v>4978</v>
      </c>
      <c r="V55" s="82">
        <v>5017</v>
      </c>
      <c r="W55" s="82">
        <v>4845</v>
      </c>
      <c r="X55" s="32">
        <f t="shared" si="126"/>
        <v>19692</v>
      </c>
      <c r="Y55" s="82">
        <v>4941</v>
      </c>
      <c r="Z55" s="82">
        <v>5085</v>
      </c>
      <c r="AA55" s="82"/>
      <c r="AC55" s="32">
        <f t="shared" ref="AC55" si="136">T55</f>
        <v>19033</v>
      </c>
      <c r="AD55" s="32">
        <f t="shared" ref="AD55" si="137">U55</f>
        <v>4978</v>
      </c>
      <c r="AE55" s="32">
        <f t="shared" ref="AE55" si="138">V55</f>
        <v>5017</v>
      </c>
      <c r="AF55" s="32">
        <f t="shared" ref="AF55" si="139">W55</f>
        <v>4845</v>
      </c>
      <c r="AG55" s="32">
        <f t="shared" ref="AG55" si="140">X55</f>
        <v>19692</v>
      </c>
      <c r="AH55" s="32">
        <f t="shared" ref="AH55" si="141">Y55</f>
        <v>4941</v>
      </c>
      <c r="AI55" s="32">
        <f t="shared" ref="AI55" si="142">Z55</f>
        <v>5085</v>
      </c>
      <c r="AJ55" s="32">
        <f t="shared" ref="AJ55" si="143">AA55</f>
        <v>0</v>
      </c>
      <c r="AK55" s="11"/>
      <c r="AL55" s="75">
        <f t="shared" ref="AL55" si="144">SUM(AJ55/AF55)-1</f>
        <v>-1</v>
      </c>
    </row>
    <row r="56" spans="2:38" ht="12.75" customHeight="1">
      <c r="B56" s="9" t="s">
        <v>107</v>
      </c>
      <c r="C56" s="82"/>
      <c r="D56" s="82">
        <v>170641</v>
      </c>
      <c r="E56" s="82">
        <v>194010</v>
      </c>
      <c r="F56" s="82">
        <v>194367</v>
      </c>
      <c r="G56" s="82">
        <v>198257</v>
      </c>
      <c r="I56" s="82">
        <v>26640</v>
      </c>
      <c r="J56" s="82">
        <v>48103</v>
      </c>
      <c r="K56" s="82">
        <v>47961</v>
      </c>
      <c r="L56" s="32">
        <f t="shared" si="123"/>
        <v>170641</v>
      </c>
      <c r="M56" s="82">
        <v>48319</v>
      </c>
      <c r="N56" s="82">
        <v>48568</v>
      </c>
      <c r="O56" s="82">
        <v>48555</v>
      </c>
      <c r="P56" s="32">
        <f t="shared" si="124"/>
        <v>194010</v>
      </c>
      <c r="Q56" s="82">
        <v>48567</v>
      </c>
      <c r="R56" s="82">
        <v>48566</v>
      </c>
      <c r="S56" s="82">
        <v>48614</v>
      </c>
      <c r="T56" s="32">
        <f t="shared" si="125"/>
        <v>194367</v>
      </c>
      <c r="U56" s="82">
        <v>48940</v>
      </c>
      <c r="V56" s="82">
        <v>48941</v>
      </c>
      <c r="W56" s="82">
        <v>49093</v>
      </c>
      <c r="X56" s="32">
        <f t="shared" si="126"/>
        <v>198257</v>
      </c>
      <c r="Y56" s="82">
        <v>51281</v>
      </c>
      <c r="Z56" s="82">
        <v>51438</v>
      </c>
      <c r="AA56" s="82"/>
      <c r="AC56" s="32">
        <f t="shared" si="128"/>
        <v>194367</v>
      </c>
      <c r="AD56" s="32">
        <f t="shared" si="129"/>
        <v>48940</v>
      </c>
      <c r="AE56" s="32">
        <f t="shared" si="130"/>
        <v>48941</v>
      </c>
      <c r="AF56" s="32">
        <f t="shared" si="131"/>
        <v>49093</v>
      </c>
      <c r="AG56" s="32">
        <f t="shared" si="132"/>
        <v>198257</v>
      </c>
      <c r="AH56" s="32">
        <f t="shared" si="133"/>
        <v>51281</v>
      </c>
      <c r="AI56" s="32">
        <f t="shared" si="134"/>
        <v>51438</v>
      </c>
      <c r="AJ56" s="32">
        <f t="shared" si="135"/>
        <v>0</v>
      </c>
      <c r="AK56" s="11"/>
      <c r="AL56" s="75">
        <f t="shared" si="127"/>
        <v>-1</v>
      </c>
    </row>
    <row r="57" spans="2:38" ht="12.75" customHeight="1">
      <c r="B57" s="9" t="s">
        <v>185</v>
      </c>
      <c r="C57" s="82"/>
      <c r="D57" s="82">
        <v>32121</v>
      </c>
      <c r="E57" s="82">
        <v>31354</v>
      </c>
      <c r="F57" s="82">
        <v>23851</v>
      </c>
      <c r="G57" s="82">
        <v>17831</v>
      </c>
      <c r="I57" s="82">
        <v>3925</v>
      </c>
      <c r="J57" s="82">
        <v>9746</v>
      </c>
      <c r="K57" s="82">
        <v>9472</v>
      </c>
      <c r="L57" s="32">
        <f t="shared" si="123"/>
        <v>32121</v>
      </c>
      <c r="M57" s="82">
        <v>8559</v>
      </c>
      <c r="N57" s="82">
        <v>8072</v>
      </c>
      <c r="O57" s="82">
        <v>7598</v>
      </c>
      <c r="P57" s="32">
        <f t="shared" si="124"/>
        <v>31354</v>
      </c>
      <c r="Q57" s="82">
        <v>6654</v>
      </c>
      <c r="R57" s="82">
        <v>6182</v>
      </c>
      <c r="S57" s="82">
        <v>5737</v>
      </c>
      <c r="T57" s="32">
        <f t="shared" si="125"/>
        <v>23851</v>
      </c>
      <c r="U57" s="82">
        <v>4869</v>
      </c>
      <c r="V57" s="82">
        <v>4415</v>
      </c>
      <c r="W57" s="82">
        <v>4119</v>
      </c>
      <c r="X57" s="32">
        <f t="shared" si="126"/>
        <v>17831</v>
      </c>
      <c r="Y57" s="82">
        <v>4033</v>
      </c>
      <c r="Z57" s="82">
        <v>3669</v>
      </c>
      <c r="AA57" s="82"/>
      <c r="AC57" s="32">
        <f>T57</f>
        <v>23851</v>
      </c>
      <c r="AD57" s="32">
        <f>U57</f>
        <v>4869</v>
      </c>
      <c r="AE57" s="32">
        <f>V57</f>
        <v>4415</v>
      </c>
      <c r="AF57" s="32">
        <f>W57</f>
        <v>4119</v>
      </c>
      <c r="AG57" s="32">
        <f>X57</f>
        <v>17831</v>
      </c>
      <c r="AH57" s="32">
        <f>Y57</f>
        <v>4033</v>
      </c>
      <c r="AI57" s="32">
        <f>Z57</f>
        <v>3669</v>
      </c>
      <c r="AJ57" s="32">
        <f>AA57</f>
        <v>0</v>
      </c>
      <c r="AK57" s="11"/>
      <c r="AL57" s="75">
        <f t="shared" ref="AL57:AL58" si="145">SUM(AJ57/AF57)-1</f>
        <v>-1</v>
      </c>
    </row>
    <row r="58" spans="2:38" ht="12.75" customHeight="1">
      <c r="B58" s="9" t="s">
        <v>186</v>
      </c>
      <c r="C58" s="82"/>
      <c r="D58" s="82">
        <v>10583</v>
      </c>
      <c r="E58" s="82">
        <v>10841</v>
      </c>
      <c r="F58" s="82">
        <v>12448</v>
      </c>
      <c r="G58" s="82">
        <v>16755</v>
      </c>
      <c r="I58" s="82">
        <v>2641</v>
      </c>
      <c r="J58" s="82">
        <v>2794</v>
      </c>
      <c r="K58" s="82">
        <v>2525</v>
      </c>
      <c r="L58" s="32">
        <f t="shared" si="123"/>
        <v>10583</v>
      </c>
      <c r="M58" s="82">
        <v>2693</v>
      </c>
      <c r="N58" s="82">
        <v>2669</v>
      </c>
      <c r="O58" s="82">
        <v>2679</v>
      </c>
      <c r="P58" s="32">
        <f t="shared" si="124"/>
        <v>10841</v>
      </c>
      <c r="Q58" s="82">
        <v>2859</v>
      </c>
      <c r="R58" s="82">
        <v>2980</v>
      </c>
      <c r="S58" s="82">
        <v>3176</v>
      </c>
      <c r="T58" s="32">
        <f t="shared" si="125"/>
        <v>12448</v>
      </c>
      <c r="U58" s="82">
        <v>3742</v>
      </c>
      <c r="V58" s="82">
        <v>4034</v>
      </c>
      <c r="W58" s="82">
        <v>4209</v>
      </c>
      <c r="X58" s="32">
        <f t="shared" si="126"/>
        <v>16755</v>
      </c>
      <c r="Y58" s="82">
        <v>4887</v>
      </c>
      <c r="Z58" s="82">
        <v>4602</v>
      </c>
      <c r="AA58" s="82"/>
      <c r="AC58" s="32">
        <f>T58</f>
        <v>12448</v>
      </c>
      <c r="AD58" s="32">
        <f>U58</f>
        <v>3742</v>
      </c>
      <c r="AE58" s="32">
        <f>V58</f>
        <v>4034</v>
      </c>
      <c r="AF58" s="32">
        <f>W58</f>
        <v>4209</v>
      </c>
      <c r="AG58" s="32">
        <f>X58</f>
        <v>16755</v>
      </c>
      <c r="AH58" s="32">
        <f>Y58</f>
        <v>4887</v>
      </c>
      <c r="AI58" s="32">
        <f>Z58</f>
        <v>4602</v>
      </c>
      <c r="AJ58" s="32">
        <f>AA58</f>
        <v>0</v>
      </c>
      <c r="AK58" s="11"/>
      <c r="AL58" s="75">
        <f t="shared" si="145"/>
        <v>-1</v>
      </c>
    </row>
    <row r="59" spans="2:38" ht="12.75" customHeight="1">
      <c r="B59" s="13" t="s">
        <v>19</v>
      </c>
      <c r="C59" s="14">
        <f>SUM(C52:C58)+C49</f>
        <v>0</v>
      </c>
      <c r="D59" s="14">
        <f>SUM(D52:D58)+D49</f>
        <v>336198</v>
      </c>
      <c r="E59" s="14">
        <f>SUM(E52:E58)+E49</f>
        <v>377903</v>
      </c>
      <c r="F59" s="14">
        <f>SUM(F52:F58)+F49</f>
        <v>376833</v>
      </c>
      <c r="G59" s="14">
        <f>SUM(G52:G58)+G49</f>
        <v>382683</v>
      </c>
      <c r="I59" s="14">
        <f t="shared" ref="I59:L59" si="146">SUM(I52:I58)+I49</f>
        <v>64885</v>
      </c>
      <c r="J59" s="14">
        <f t="shared" si="146"/>
        <v>88658</v>
      </c>
      <c r="K59" s="14">
        <f t="shared" si="146"/>
        <v>87446</v>
      </c>
      <c r="L59" s="14">
        <f t="shared" si="146"/>
        <v>336198</v>
      </c>
      <c r="M59" s="14">
        <f>SUM(M52:M58)+M49</f>
        <v>93022</v>
      </c>
      <c r="N59" s="14">
        <f>SUM(N52:N58)+N49</f>
        <v>94148</v>
      </c>
      <c r="O59" s="14">
        <f>SUM(O52:O58)+O49</f>
        <v>91884</v>
      </c>
      <c r="P59" s="14">
        <f>SUM(P52:P58)+P49</f>
        <v>377903</v>
      </c>
      <c r="Q59" s="14">
        <f>SUM(Q52:Q58)+Q49</f>
        <v>93541</v>
      </c>
      <c r="R59" s="14">
        <f>SUM(R52:R58)+R49</f>
        <v>92447</v>
      </c>
      <c r="S59" s="14">
        <f>SUM(S52:S58)+S49</f>
        <v>91022</v>
      </c>
      <c r="T59" s="14">
        <f>SUM(T52:T58)+T49</f>
        <v>376833</v>
      </c>
      <c r="U59" s="14">
        <f>SUM(U52:U58)+U49</f>
        <v>96180</v>
      </c>
      <c r="V59" s="14">
        <f>SUM(V52:V58)+V49</f>
        <v>92180</v>
      </c>
      <c r="W59" s="14">
        <f>SUM(W52:W58)+W49</f>
        <v>91395</v>
      </c>
      <c r="X59" s="14">
        <f>SUM(X52:X58)+X49</f>
        <v>382683</v>
      </c>
      <c r="Y59" s="14">
        <f>SUM(Y52:Y58)+Y49</f>
        <v>98610</v>
      </c>
      <c r="Z59" s="14">
        <f>SUM(Z52:Z58)+Z49</f>
        <v>97573</v>
      </c>
      <c r="AA59" s="14">
        <f>SUM(AA52:AA58)+AA49</f>
        <v>0</v>
      </c>
      <c r="AC59" s="14">
        <f>SUM(AC52:AC58)+AC49</f>
        <v>376833</v>
      </c>
      <c r="AD59" s="14">
        <f>SUM(AD52:AD58)+AD49</f>
        <v>96180</v>
      </c>
      <c r="AE59" s="14">
        <f>SUM(AE52:AE58)+AE49</f>
        <v>92180</v>
      </c>
      <c r="AF59" s="14">
        <f>SUM(AF52:AF58)+AF49</f>
        <v>91395</v>
      </c>
      <c r="AG59" s="14">
        <f>SUM(AG52:AG58)+AG49</f>
        <v>382683</v>
      </c>
      <c r="AH59" s="14">
        <f>SUM(AH52:AH58)+AH49</f>
        <v>98610</v>
      </c>
      <c r="AI59" s="14">
        <f>SUM(AI52:AI58)+AI49</f>
        <v>97573</v>
      </c>
      <c r="AJ59" s="34">
        <f>SUM(AJ52:AJ58)+AJ49</f>
        <v>0</v>
      </c>
      <c r="AK59" s="42"/>
      <c r="AL59" s="76">
        <f t="shared" si="127"/>
        <v>-1</v>
      </c>
    </row>
    <row r="60" spans="2:38" ht="12.75" customHeight="1">
      <c r="B60" s="25"/>
      <c r="C60" s="50"/>
      <c r="D60" s="50"/>
      <c r="E60" s="50"/>
      <c r="F60" s="41"/>
      <c r="G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C60" s="42"/>
      <c r="AD60" s="42"/>
      <c r="AE60" s="42"/>
      <c r="AF60" s="42"/>
      <c r="AG60" s="42"/>
      <c r="AH60" s="42"/>
      <c r="AI60" s="42"/>
      <c r="AJ60" s="42"/>
      <c r="AK60" s="42"/>
      <c r="AL60" s="39"/>
    </row>
    <row r="61" spans="2:38" ht="12.75" customHeight="1">
      <c r="B61" s="78" t="s">
        <v>45</v>
      </c>
      <c r="C61" s="50"/>
      <c r="D61" s="50"/>
      <c r="E61" s="50"/>
      <c r="F61" s="41"/>
      <c r="G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C61" s="42"/>
      <c r="AD61" s="42"/>
      <c r="AE61" s="42"/>
      <c r="AF61" s="42"/>
      <c r="AG61" s="42"/>
      <c r="AH61" s="42"/>
      <c r="AI61" s="42"/>
      <c r="AJ61" s="42"/>
      <c r="AK61" s="42"/>
      <c r="AL61" s="39"/>
    </row>
    <row r="62" spans="2:38" ht="12.75" customHeight="1">
      <c r="B62" s="120" t="s">
        <v>170</v>
      </c>
      <c r="C62" s="121"/>
      <c r="D62" s="121">
        <v>17414</v>
      </c>
      <c r="E62" s="121">
        <v>22077</v>
      </c>
      <c r="F62" s="121">
        <v>22460</v>
      </c>
      <c r="G62" s="121">
        <v>22729</v>
      </c>
      <c r="I62" s="82">
        <v>3439</v>
      </c>
      <c r="J62" s="82">
        <v>4274</v>
      </c>
      <c r="K62" s="82">
        <v>4231</v>
      </c>
      <c r="L62" s="32">
        <f t="shared" ref="L62:L65" si="147">D62</f>
        <v>17414</v>
      </c>
      <c r="M62" s="82">
        <v>4603</v>
      </c>
      <c r="N62" s="82">
        <v>5446</v>
      </c>
      <c r="O62" s="82">
        <v>5285</v>
      </c>
      <c r="P62" s="32">
        <f t="shared" ref="P62:P65" si="148">E62</f>
        <v>22077</v>
      </c>
      <c r="Q62" s="82">
        <v>5733</v>
      </c>
      <c r="R62" s="82">
        <v>5308</v>
      </c>
      <c r="S62" s="82">
        <v>5308</v>
      </c>
      <c r="T62" s="32">
        <f t="shared" ref="T62:T65" si="149">F62</f>
        <v>22460</v>
      </c>
      <c r="U62" s="82">
        <v>5520</v>
      </c>
      <c r="V62" s="82">
        <v>5220</v>
      </c>
      <c r="W62" s="82">
        <v>5331</v>
      </c>
      <c r="X62" s="32">
        <f t="shared" ref="X62:X65" si="150">G62</f>
        <v>22729</v>
      </c>
      <c r="Y62" s="82">
        <v>5804</v>
      </c>
      <c r="Z62" s="82">
        <v>5397</v>
      </c>
      <c r="AA62" s="82"/>
      <c r="AC62" s="97">
        <f>T62</f>
        <v>22460</v>
      </c>
      <c r="AD62" s="97">
        <f>U62</f>
        <v>5520</v>
      </c>
      <c r="AE62" s="97">
        <f>V62</f>
        <v>5220</v>
      </c>
      <c r="AF62" s="97">
        <f>W62</f>
        <v>5331</v>
      </c>
      <c r="AG62" s="97">
        <f>X62</f>
        <v>22729</v>
      </c>
      <c r="AH62" s="97">
        <f>Y62</f>
        <v>5804</v>
      </c>
      <c r="AI62" s="97">
        <f>Z62</f>
        <v>5397</v>
      </c>
      <c r="AJ62" s="97">
        <f>AA62</f>
        <v>0</v>
      </c>
      <c r="AK62" s="11"/>
      <c r="AL62" s="75">
        <f t="shared" ref="AL62:AL66" si="151">SUM(AJ62/AF62)-1</f>
        <v>-1</v>
      </c>
    </row>
    <row r="63" spans="2:38" ht="12.75" customHeight="1">
      <c r="B63" s="120" t="s">
        <v>187</v>
      </c>
      <c r="C63" s="121"/>
      <c r="D63" s="121">
        <v>2813</v>
      </c>
      <c r="E63" s="121">
        <v>2441</v>
      </c>
      <c r="F63" s="121">
        <v>2155</v>
      </c>
      <c r="G63" s="121">
        <v>2278</v>
      </c>
      <c r="I63" s="82">
        <v>726</v>
      </c>
      <c r="J63" s="82">
        <v>713</v>
      </c>
      <c r="K63" s="82">
        <v>688</v>
      </c>
      <c r="L63" s="32">
        <f t="shared" si="147"/>
        <v>2813</v>
      </c>
      <c r="M63" s="82">
        <v>658</v>
      </c>
      <c r="N63" s="82">
        <v>626</v>
      </c>
      <c r="O63" s="82">
        <v>567</v>
      </c>
      <c r="P63" s="32">
        <f t="shared" si="148"/>
        <v>2441</v>
      </c>
      <c r="Q63" s="82">
        <v>591</v>
      </c>
      <c r="R63" s="82">
        <v>523</v>
      </c>
      <c r="S63" s="82">
        <v>523</v>
      </c>
      <c r="T63" s="32">
        <f t="shared" si="149"/>
        <v>2155</v>
      </c>
      <c r="U63" s="82">
        <v>568</v>
      </c>
      <c r="V63" s="82">
        <v>559</v>
      </c>
      <c r="W63" s="82">
        <v>572</v>
      </c>
      <c r="X63" s="32">
        <f t="shared" si="150"/>
        <v>2278</v>
      </c>
      <c r="Y63" s="82">
        <v>593</v>
      </c>
      <c r="Z63" s="82">
        <v>580</v>
      </c>
      <c r="AA63" s="82"/>
      <c r="AC63" s="97">
        <f>T63</f>
        <v>2155</v>
      </c>
      <c r="AD63" s="97">
        <f>U63</f>
        <v>568</v>
      </c>
      <c r="AE63" s="97">
        <f>V63</f>
        <v>559</v>
      </c>
      <c r="AF63" s="97">
        <f>W63</f>
        <v>572</v>
      </c>
      <c r="AG63" s="97">
        <f>X63</f>
        <v>2278</v>
      </c>
      <c r="AH63" s="97">
        <f>Y63</f>
        <v>593</v>
      </c>
      <c r="AI63" s="97">
        <f>Z63</f>
        <v>580</v>
      </c>
      <c r="AJ63" s="97">
        <f>AA63</f>
        <v>0</v>
      </c>
      <c r="AK63" s="11"/>
      <c r="AL63" s="75">
        <f t="shared" ref="AL63:AL65" si="152">SUM(AJ63/AF63)-1</f>
        <v>-1</v>
      </c>
    </row>
    <row r="64" spans="2:38" ht="12.75" customHeight="1">
      <c r="B64" s="120" t="s">
        <v>171</v>
      </c>
      <c r="C64" s="121"/>
      <c r="D64" s="121">
        <v>47969</v>
      </c>
      <c r="E64" s="121">
        <v>55030</v>
      </c>
      <c r="F64" s="121">
        <v>59252</v>
      </c>
      <c r="G64" s="121">
        <v>65498</v>
      </c>
      <c r="I64" s="82">
        <v>11158</v>
      </c>
      <c r="J64" s="82">
        <v>11067</v>
      </c>
      <c r="K64" s="82">
        <v>10116</v>
      </c>
      <c r="L64" s="32">
        <f t="shared" si="147"/>
        <v>47969</v>
      </c>
      <c r="M64" s="82">
        <v>13636</v>
      </c>
      <c r="N64" s="82">
        <v>12825</v>
      </c>
      <c r="O64" s="82">
        <v>11193</v>
      </c>
      <c r="P64" s="32">
        <f t="shared" si="148"/>
        <v>55030</v>
      </c>
      <c r="Q64" s="82">
        <v>15121</v>
      </c>
      <c r="R64" s="82">
        <v>12564</v>
      </c>
      <c r="S64" s="82">
        <v>12564</v>
      </c>
      <c r="T64" s="32">
        <f t="shared" si="149"/>
        <v>59252</v>
      </c>
      <c r="U64" s="82">
        <v>16061</v>
      </c>
      <c r="V64" s="82">
        <v>15222</v>
      </c>
      <c r="W64" s="82">
        <v>13472</v>
      </c>
      <c r="X64" s="32">
        <f t="shared" si="150"/>
        <v>65498</v>
      </c>
      <c r="Y64" s="82">
        <v>17799</v>
      </c>
      <c r="Z64" s="82">
        <v>16555</v>
      </c>
      <c r="AA64" s="82"/>
      <c r="AC64" s="97">
        <f>T64</f>
        <v>59252</v>
      </c>
      <c r="AD64" s="97">
        <f>U64</f>
        <v>16061</v>
      </c>
      <c r="AE64" s="97">
        <f>V64</f>
        <v>15222</v>
      </c>
      <c r="AF64" s="97">
        <f>W64</f>
        <v>13472</v>
      </c>
      <c r="AG64" s="97">
        <f>X64</f>
        <v>65498</v>
      </c>
      <c r="AH64" s="97">
        <f>Y64</f>
        <v>17799</v>
      </c>
      <c r="AI64" s="97">
        <f>Z64</f>
        <v>16555</v>
      </c>
      <c r="AJ64" s="97">
        <f>AA64</f>
        <v>0</v>
      </c>
      <c r="AK64" s="11"/>
      <c r="AL64" s="75">
        <f t="shared" ref="AL64" si="153">SUM(AJ64/AF64)-1</f>
        <v>-1</v>
      </c>
    </row>
    <row r="65" spans="2:38" ht="12.75" customHeight="1">
      <c r="B65" s="120" t="s">
        <v>188</v>
      </c>
      <c r="C65" s="121"/>
      <c r="D65" s="121">
        <v>1343</v>
      </c>
      <c r="E65" s="121">
        <v>4549</v>
      </c>
      <c r="F65" s="121">
        <v>3178</v>
      </c>
      <c r="G65" s="121">
        <v>1000</v>
      </c>
      <c r="I65" s="82">
        <v>0</v>
      </c>
      <c r="J65" s="82">
        <v>1339</v>
      </c>
      <c r="K65" s="82">
        <v>0</v>
      </c>
      <c r="L65" s="32">
        <f t="shared" si="147"/>
        <v>1343</v>
      </c>
      <c r="M65" s="82">
        <v>1002</v>
      </c>
      <c r="N65" s="82">
        <v>1183</v>
      </c>
      <c r="O65" s="82">
        <v>1182</v>
      </c>
      <c r="P65" s="32">
        <f t="shared" si="148"/>
        <v>4549</v>
      </c>
      <c r="Q65" s="82">
        <v>181</v>
      </c>
      <c r="R65" s="82">
        <v>999</v>
      </c>
      <c r="S65" s="82">
        <v>999</v>
      </c>
      <c r="T65" s="32">
        <f t="shared" si="149"/>
        <v>3178</v>
      </c>
      <c r="U65" s="82">
        <v>1000</v>
      </c>
      <c r="V65" s="82">
        <v>0</v>
      </c>
      <c r="W65" s="82">
        <v>0</v>
      </c>
      <c r="X65" s="32">
        <f t="shared" si="150"/>
        <v>1000</v>
      </c>
      <c r="Y65" s="82">
        <v>0</v>
      </c>
      <c r="Z65" s="82">
        <v>0</v>
      </c>
      <c r="AA65" s="82"/>
      <c r="AC65" s="97">
        <f>T65</f>
        <v>3178</v>
      </c>
      <c r="AD65" s="97">
        <f>U65</f>
        <v>1000</v>
      </c>
      <c r="AE65" s="97">
        <f>V65</f>
        <v>0</v>
      </c>
      <c r="AF65" s="97">
        <f>W65</f>
        <v>0</v>
      </c>
      <c r="AG65" s="97">
        <f>X65</f>
        <v>1000</v>
      </c>
      <c r="AH65" s="97">
        <f>Y65</f>
        <v>0</v>
      </c>
      <c r="AI65" s="97">
        <f>Z65</f>
        <v>0</v>
      </c>
      <c r="AJ65" s="97">
        <f>AA65</f>
        <v>0</v>
      </c>
      <c r="AK65" s="11"/>
      <c r="AL65" s="75" t="e">
        <f t="shared" si="152"/>
        <v>#DIV/0!</v>
      </c>
    </row>
    <row r="66" spans="2:38" ht="12.75" customHeight="1">
      <c r="B66" s="25" t="s">
        <v>17</v>
      </c>
      <c r="C66" s="26">
        <f t="shared" ref="C66:G66" si="154">SUM(C62:C65)</f>
        <v>0</v>
      </c>
      <c r="D66" s="26">
        <f t="shared" si="154"/>
        <v>69539</v>
      </c>
      <c r="E66" s="26">
        <f t="shared" si="154"/>
        <v>84097</v>
      </c>
      <c r="F66" s="26">
        <f t="shared" si="154"/>
        <v>87045</v>
      </c>
      <c r="G66" s="26">
        <f t="shared" si="154"/>
        <v>91505</v>
      </c>
      <c r="I66" s="26">
        <f t="shared" ref="I66" si="155">SUM(I62:I65)</f>
        <v>15323</v>
      </c>
      <c r="J66" s="26">
        <f t="shared" ref="J66" si="156">SUM(J62:J65)</f>
        <v>17393</v>
      </c>
      <c r="K66" s="26">
        <f t="shared" ref="K66" si="157">SUM(K62:K65)</f>
        <v>15035</v>
      </c>
      <c r="L66" s="26">
        <f t="shared" ref="L66" si="158">SUM(L62:L65)</f>
        <v>69539</v>
      </c>
      <c r="M66" s="26">
        <f t="shared" ref="M66" si="159">SUM(M62:M65)</f>
        <v>19899</v>
      </c>
      <c r="N66" s="26">
        <f t="shared" ref="N66:O66" si="160">SUM(N62:N65)</f>
        <v>20080</v>
      </c>
      <c r="O66" s="26">
        <f t="shared" si="160"/>
        <v>18227</v>
      </c>
      <c r="P66" s="26">
        <f t="shared" ref="P66:AA66" si="161">SUM(P62:P65)</f>
        <v>84097</v>
      </c>
      <c r="Q66" s="26">
        <f t="shared" si="161"/>
        <v>21626</v>
      </c>
      <c r="R66" s="26">
        <f t="shared" si="161"/>
        <v>19394</v>
      </c>
      <c r="S66" s="26">
        <f t="shared" si="161"/>
        <v>19394</v>
      </c>
      <c r="T66" s="26">
        <f t="shared" si="161"/>
        <v>87045</v>
      </c>
      <c r="U66" s="26">
        <f t="shared" si="161"/>
        <v>23149</v>
      </c>
      <c r="V66" s="26">
        <f t="shared" si="161"/>
        <v>21001</v>
      </c>
      <c r="W66" s="26">
        <f t="shared" si="161"/>
        <v>19375</v>
      </c>
      <c r="X66" s="26">
        <f t="shared" si="161"/>
        <v>91505</v>
      </c>
      <c r="Y66" s="26">
        <f t="shared" si="161"/>
        <v>24196</v>
      </c>
      <c r="Z66" s="26">
        <f t="shared" si="161"/>
        <v>22532</v>
      </c>
      <c r="AA66" s="26">
        <f t="shared" si="161"/>
        <v>0</v>
      </c>
      <c r="AB66" s="48"/>
      <c r="AC66" s="26">
        <f t="shared" ref="AC66:AJ66" si="162">SUM(AC62:AC65)</f>
        <v>87045</v>
      </c>
      <c r="AD66" s="26">
        <f t="shared" si="162"/>
        <v>23149</v>
      </c>
      <c r="AE66" s="26">
        <f t="shared" si="162"/>
        <v>21001</v>
      </c>
      <c r="AF66" s="26">
        <f t="shared" si="162"/>
        <v>19375</v>
      </c>
      <c r="AG66" s="26">
        <f t="shared" si="162"/>
        <v>91505</v>
      </c>
      <c r="AH66" s="26">
        <f t="shared" si="162"/>
        <v>24196</v>
      </c>
      <c r="AI66" s="26">
        <f t="shared" si="162"/>
        <v>22532</v>
      </c>
      <c r="AJ66" s="26">
        <f t="shared" si="162"/>
        <v>0</v>
      </c>
      <c r="AK66" s="42"/>
      <c r="AL66" s="76">
        <f t="shared" si="151"/>
        <v>-1</v>
      </c>
    </row>
    <row r="67" spans="2:38" ht="5.0999999999999996" customHeight="1">
      <c r="B67" s="25"/>
      <c r="C67" s="50"/>
      <c r="D67" s="50"/>
      <c r="E67" s="50"/>
      <c r="F67" s="41"/>
      <c r="G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C67" s="42"/>
      <c r="AD67" s="42"/>
      <c r="AE67" s="42"/>
      <c r="AF67" s="42"/>
      <c r="AG67" s="42"/>
      <c r="AH67" s="42"/>
      <c r="AI67" s="42"/>
      <c r="AJ67" s="42"/>
      <c r="AK67" s="42"/>
      <c r="AL67" s="39"/>
    </row>
    <row r="68" spans="2:38">
      <c r="B68" s="78" t="s">
        <v>80</v>
      </c>
      <c r="C68" s="50"/>
      <c r="D68" s="50"/>
      <c r="E68" s="50"/>
      <c r="F68" s="41"/>
      <c r="G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C68" s="42"/>
      <c r="AD68" s="42"/>
      <c r="AE68" s="42"/>
      <c r="AF68" s="42"/>
      <c r="AG68" s="42"/>
      <c r="AH68" s="42"/>
      <c r="AI68" s="42"/>
      <c r="AJ68" s="42"/>
      <c r="AK68" s="42"/>
      <c r="AL68" s="39"/>
    </row>
    <row r="69" spans="2:38" ht="12.75" customHeight="1">
      <c r="B69" s="120" t="s">
        <v>189</v>
      </c>
      <c r="C69" s="121"/>
      <c r="D69" s="121">
        <v>34444</v>
      </c>
      <c r="E69" s="121">
        <v>37848</v>
      </c>
      <c r="F69" s="121">
        <v>34700</v>
      </c>
      <c r="G69" s="121">
        <v>33724</v>
      </c>
      <c r="H69" s="51"/>
      <c r="I69" s="82">
        <v>2672</v>
      </c>
      <c r="J69" s="82">
        <v>10589</v>
      </c>
      <c r="K69" s="82">
        <v>10591</v>
      </c>
      <c r="L69" s="32">
        <f t="shared" ref="L69:L71" si="163">D69</f>
        <v>34444</v>
      </c>
      <c r="M69" s="82">
        <v>9595</v>
      </c>
      <c r="N69" s="82">
        <v>9416</v>
      </c>
      <c r="O69" s="82">
        <v>9418</v>
      </c>
      <c r="P69" s="32">
        <f t="shared" ref="P69:P71" si="164">E69</f>
        <v>37848</v>
      </c>
      <c r="Q69" s="82">
        <v>9421</v>
      </c>
      <c r="R69" s="82">
        <v>8426</v>
      </c>
      <c r="S69" s="82">
        <v>8426</v>
      </c>
      <c r="T69" s="32">
        <f t="shared" ref="T69:T71" si="165">F69</f>
        <v>34700</v>
      </c>
      <c r="U69" s="82">
        <v>8429</v>
      </c>
      <c r="V69" s="82">
        <v>8430</v>
      </c>
      <c r="W69" s="82">
        <v>8432</v>
      </c>
      <c r="X69" s="32">
        <f t="shared" ref="X69:X71" si="166">G69</f>
        <v>33724</v>
      </c>
      <c r="Y69" s="82">
        <v>8435</v>
      </c>
      <c r="Z69" s="82">
        <v>8436</v>
      </c>
      <c r="AA69" s="82"/>
      <c r="AB69" s="121"/>
      <c r="AC69" s="97">
        <f>T69</f>
        <v>34700</v>
      </c>
      <c r="AD69" s="97">
        <f>U69</f>
        <v>8429</v>
      </c>
      <c r="AE69" s="97">
        <f>V69</f>
        <v>8430</v>
      </c>
      <c r="AF69" s="97">
        <f>W69</f>
        <v>8432</v>
      </c>
      <c r="AG69" s="97">
        <f>X69</f>
        <v>33724</v>
      </c>
      <c r="AH69" s="97">
        <f>Y69</f>
        <v>8435</v>
      </c>
      <c r="AI69" s="97">
        <f>Z69</f>
        <v>8436</v>
      </c>
      <c r="AJ69" s="97">
        <f>AA69</f>
        <v>0</v>
      </c>
      <c r="AK69" s="42"/>
      <c r="AL69" s="75">
        <f t="shared" ref="AL69:AL79" si="167">SUM(AJ69/AF69)-1</f>
        <v>-1</v>
      </c>
    </row>
    <row r="70" spans="2:38" ht="12.75" customHeight="1">
      <c r="B70" s="120" t="s">
        <v>190</v>
      </c>
      <c r="C70" s="121"/>
      <c r="D70" s="121">
        <v>11037</v>
      </c>
      <c r="E70" s="121">
        <v>11038</v>
      </c>
      <c r="F70" s="121">
        <v>11052</v>
      </c>
      <c r="G70" s="121">
        <v>9723</v>
      </c>
      <c r="H70" s="51"/>
      <c r="I70" s="82">
        <v>2734</v>
      </c>
      <c r="J70" s="82">
        <v>2878</v>
      </c>
      <c r="K70" s="82">
        <v>2722</v>
      </c>
      <c r="L70" s="32">
        <f t="shared" si="163"/>
        <v>11037</v>
      </c>
      <c r="M70" s="82">
        <v>2730</v>
      </c>
      <c r="N70" s="82">
        <v>2580</v>
      </c>
      <c r="O70" s="82">
        <v>2831</v>
      </c>
      <c r="P70" s="32">
        <f t="shared" si="164"/>
        <v>11038</v>
      </c>
      <c r="Q70" s="82">
        <v>2880</v>
      </c>
      <c r="R70" s="82">
        <v>2764</v>
      </c>
      <c r="S70" s="82">
        <v>2764</v>
      </c>
      <c r="T70" s="32">
        <f t="shared" si="165"/>
        <v>11052</v>
      </c>
      <c r="U70" s="82">
        <v>2519</v>
      </c>
      <c r="V70" s="82">
        <v>2404</v>
      </c>
      <c r="W70" s="82">
        <v>2420</v>
      </c>
      <c r="X70" s="32">
        <f t="shared" si="166"/>
        <v>9723</v>
      </c>
      <c r="Y70" s="82">
        <v>2341</v>
      </c>
      <c r="Z70" s="82">
        <v>2221</v>
      </c>
      <c r="AA70" s="82"/>
      <c r="AB70" s="121"/>
      <c r="AC70" s="97">
        <f t="shared" ref="AC70:AC71" si="168">T70</f>
        <v>11052</v>
      </c>
      <c r="AD70" s="97">
        <f t="shared" ref="AD70:AD71" si="169">U70</f>
        <v>2519</v>
      </c>
      <c r="AE70" s="97">
        <f t="shared" ref="AE70:AE71" si="170">V70</f>
        <v>2404</v>
      </c>
      <c r="AF70" s="97">
        <f t="shared" ref="AF70:AF71" si="171">W70</f>
        <v>2420</v>
      </c>
      <c r="AG70" s="97">
        <f t="shared" ref="AG70:AG71" si="172">X70</f>
        <v>9723</v>
      </c>
      <c r="AH70" s="97">
        <f t="shared" ref="AH70:AH71" si="173">Y70</f>
        <v>2341</v>
      </c>
      <c r="AI70" s="97">
        <f t="shared" ref="AI70:AI71" si="174">Z70</f>
        <v>2221</v>
      </c>
      <c r="AJ70" s="97">
        <f t="shared" ref="AJ70:AJ71" si="175">AA70</f>
        <v>0</v>
      </c>
      <c r="AK70" s="42"/>
      <c r="AL70" s="75">
        <f t="shared" si="167"/>
        <v>-1</v>
      </c>
    </row>
    <row r="71" spans="2:38" ht="12.75" customHeight="1">
      <c r="B71" s="120" t="s">
        <v>191</v>
      </c>
      <c r="C71" s="121"/>
      <c r="D71" s="121">
        <v>7896</v>
      </c>
      <c r="E71" s="121">
        <v>8236</v>
      </c>
      <c r="F71" s="121">
        <v>9373</v>
      </c>
      <c r="G71" s="121">
        <v>10717</v>
      </c>
      <c r="H71" s="51"/>
      <c r="I71" s="82">
        <v>1589</v>
      </c>
      <c r="J71" s="82">
        <v>2278</v>
      </c>
      <c r="K71" s="82">
        <v>2034</v>
      </c>
      <c r="L71" s="32">
        <f t="shared" si="163"/>
        <v>7896</v>
      </c>
      <c r="M71" s="82">
        <v>1922</v>
      </c>
      <c r="N71" s="82">
        <v>1974</v>
      </c>
      <c r="O71" s="82">
        <v>2057</v>
      </c>
      <c r="P71" s="32">
        <f t="shared" si="164"/>
        <v>8236</v>
      </c>
      <c r="Q71" s="82">
        <v>2202</v>
      </c>
      <c r="R71" s="82">
        <v>2348</v>
      </c>
      <c r="S71" s="82">
        <v>2348</v>
      </c>
      <c r="T71" s="32">
        <f t="shared" si="165"/>
        <v>9373</v>
      </c>
      <c r="U71" s="82">
        <v>2400</v>
      </c>
      <c r="V71" s="82">
        <v>2712</v>
      </c>
      <c r="W71" s="82">
        <v>2643</v>
      </c>
      <c r="X71" s="32">
        <f t="shared" si="166"/>
        <v>10717</v>
      </c>
      <c r="Y71" s="82">
        <v>2972</v>
      </c>
      <c r="Z71" s="82">
        <v>3056</v>
      </c>
      <c r="AA71" s="82"/>
      <c r="AB71" s="121"/>
      <c r="AC71" s="97">
        <f t="shared" si="168"/>
        <v>9373</v>
      </c>
      <c r="AD71" s="97">
        <f t="shared" si="169"/>
        <v>2400</v>
      </c>
      <c r="AE71" s="97">
        <f t="shared" si="170"/>
        <v>2712</v>
      </c>
      <c r="AF71" s="97">
        <f t="shared" si="171"/>
        <v>2643</v>
      </c>
      <c r="AG71" s="97">
        <f t="shared" si="172"/>
        <v>10717</v>
      </c>
      <c r="AH71" s="97">
        <f t="shared" si="173"/>
        <v>2972</v>
      </c>
      <c r="AI71" s="97">
        <f t="shared" si="174"/>
        <v>3056</v>
      </c>
      <c r="AJ71" s="97">
        <f t="shared" si="175"/>
        <v>0</v>
      </c>
      <c r="AK71" s="42"/>
      <c r="AL71" s="75">
        <f t="shared" si="167"/>
        <v>-1</v>
      </c>
    </row>
    <row r="72" spans="2:38" ht="12.75" customHeight="1">
      <c r="B72" s="13" t="s">
        <v>15</v>
      </c>
      <c r="C72" s="14">
        <f>SUM(C69:C71)+C66</f>
        <v>0</v>
      </c>
      <c r="D72" s="14">
        <f>SUM(D69:D71)+D66</f>
        <v>122916</v>
      </c>
      <c r="E72" s="14">
        <f>SUM(E69:E71)+E66</f>
        <v>141219</v>
      </c>
      <c r="F72" s="14">
        <f>SUM(F69:F71)+F66</f>
        <v>142170</v>
      </c>
      <c r="G72" s="14">
        <f>SUM(G69:G71)+G66</f>
        <v>145669</v>
      </c>
      <c r="I72" s="14">
        <f t="shared" ref="I72:L72" si="176">SUM(I69:I71)+I66</f>
        <v>22318</v>
      </c>
      <c r="J72" s="14">
        <f t="shared" si="176"/>
        <v>33138</v>
      </c>
      <c r="K72" s="14">
        <f t="shared" si="176"/>
        <v>30382</v>
      </c>
      <c r="L72" s="14">
        <f t="shared" si="176"/>
        <v>122916</v>
      </c>
      <c r="M72" s="14">
        <f>SUM(M69:M71)+M66</f>
        <v>34146</v>
      </c>
      <c r="N72" s="14">
        <f>SUM(N69:N71)+N66</f>
        <v>34050</v>
      </c>
      <c r="O72" s="14">
        <f>SUM(O69:O71)+O66</f>
        <v>32533</v>
      </c>
      <c r="P72" s="14">
        <f>SUM(P69:P71)+P66</f>
        <v>141219</v>
      </c>
      <c r="Q72" s="14">
        <f>SUM(Q69:Q71)+Q66</f>
        <v>36129</v>
      </c>
      <c r="R72" s="14">
        <f>SUM(R69:R71)+R66</f>
        <v>32932</v>
      </c>
      <c r="S72" s="14">
        <f>SUM(S69:S71)+S66</f>
        <v>32932</v>
      </c>
      <c r="T72" s="14">
        <f>SUM(T69:T71)+T66</f>
        <v>142170</v>
      </c>
      <c r="U72" s="14">
        <f>SUM(U69:U71)+U66</f>
        <v>36497</v>
      </c>
      <c r="V72" s="14">
        <f>SUM(V69:V71)+V66</f>
        <v>34547</v>
      </c>
      <c r="W72" s="14">
        <f>SUM(W69:W71)+W66</f>
        <v>32870</v>
      </c>
      <c r="X72" s="14">
        <f>SUM(X69:X71)+X66</f>
        <v>145669</v>
      </c>
      <c r="Y72" s="14">
        <f>SUM(Y69:Y71)+Y66</f>
        <v>37944</v>
      </c>
      <c r="Z72" s="14">
        <f>SUM(Z69:Z71)+Z66</f>
        <v>36245</v>
      </c>
      <c r="AA72" s="14">
        <f>SUM(AA69:AA71)+AA66</f>
        <v>0</v>
      </c>
      <c r="AC72" s="14">
        <f>SUM(AC69:AC71)+AC66</f>
        <v>142170</v>
      </c>
      <c r="AD72" s="14">
        <f>SUM(AD69:AD71)+AD66</f>
        <v>36497</v>
      </c>
      <c r="AE72" s="14">
        <f>SUM(AE69:AE71)+AE66</f>
        <v>34547</v>
      </c>
      <c r="AF72" s="14">
        <f>SUM(AF69:AF71)+AF66</f>
        <v>32870</v>
      </c>
      <c r="AG72" s="14">
        <f>SUM(AG69:AG71)+AG66</f>
        <v>145669</v>
      </c>
      <c r="AH72" s="14">
        <f>SUM(AH69:AH71)+AH66</f>
        <v>37944</v>
      </c>
      <c r="AI72" s="14">
        <f>SUM(AI69:AI71)+AI66</f>
        <v>36245</v>
      </c>
      <c r="AJ72" s="14">
        <f>SUM(AJ69:AJ71)+AJ66</f>
        <v>0</v>
      </c>
      <c r="AK72" s="42"/>
      <c r="AL72" s="76">
        <f t="shared" si="167"/>
        <v>-1</v>
      </c>
    </row>
    <row r="73" spans="2:38" ht="5.0999999999999996" customHeight="1">
      <c r="B73" s="25"/>
      <c r="C73" s="49"/>
      <c r="D73" s="49"/>
      <c r="E73" s="49"/>
      <c r="F73" s="41"/>
      <c r="G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C73" s="42"/>
      <c r="AD73" s="42"/>
      <c r="AE73" s="42"/>
      <c r="AF73" s="42"/>
      <c r="AG73" s="42"/>
      <c r="AH73" s="42"/>
      <c r="AI73" s="42"/>
      <c r="AJ73" s="42"/>
      <c r="AK73" s="42"/>
      <c r="AL73" s="39"/>
    </row>
    <row r="74" spans="2:38" ht="12.75" customHeight="1">
      <c r="B74" s="9" t="s">
        <v>152</v>
      </c>
      <c r="C74" s="82"/>
      <c r="D74" s="82">
        <v>213654</v>
      </c>
      <c r="E74" s="82">
        <v>236684</v>
      </c>
      <c r="F74" s="82">
        <v>233238</v>
      </c>
      <c r="G74" s="82">
        <v>237014</v>
      </c>
      <c r="H74" s="32"/>
      <c r="I74" s="82">
        <v>42567</v>
      </c>
      <c r="J74" s="82">
        <v>55520</v>
      </c>
      <c r="K74" s="82">
        <v>57436</v>
      </c>
      <c r="L74" s="32">
        <v>58131</v>
      </c>
      <c r="M74" s="82">
        <v>58876</v>
      </c>
      <c r="N74" s="82">
        <v>60098</v>
      </c>
      <c r="O74" s="82">
        <v>59351</v>
      </c>
      <c r="P74" s="32">
        <v>58359</v>
      </c>
      <c r="Q74" s="82">
        <v>57412</v>
      </c>
      <c r="R74" s="82">
        <v>58090</v>
      </c>
      <c r="S74" s="82">
        <v>58090</v>
      </c>
      <c r="T74" s="32">
        <v>59646</v>
      </c>
      <c r="U74" s="82">
        <v>59683</v>
      </c>
      <c r="V74" s="82">
        <v>57633</v>
      </c>
      <c r="W74" s="82">
        <v>58525</v>
      </c>
      <c r="X74" s="32">
        <v>61173</v>
      </c>
      <c r="Y74" s="82">
        <v>60666</v>
      </c>
      <c r="Z74" s="82">
        <v>61328</v>
      </c>
      <c r="AA74" s="82"/>
      <c r="AC74" s="32">
        <f>T74</f>
        <v>59646</v>
      </c>
      <c r="AD74" s="32">
        <f>U74</f>
        <v>59683</v>
      </c>
      <c r="AE74" s="32">
        <f>V74</f>
        <v>57633</v>
      </c>
      <c r="AF74" s="32">
        <f>W74</f>
        <v>58525</v>
      </c>
      <c r="AG74" s="32">
        <f>X74</f>
        <v>61173</v>
      </c>
      <c r="AH74" s="32">
        <f>Y74</f>
        <v>60666</v>
      </c>
      <c r="AI74" s="32">
        <f>Z74</f>
        <v>61328</v>
      </c>
      <c r="AJ74" s="32">
        <f>AA74</f>
        <v>0</v>
      </c>
      <c r="AK74" s="11"/>
      <c r="AL74" s="75">
        <f t="shared" si="167"/>
        <v>-1</v>
      </c>
    </row>
    <row r="75" spans="2:38" ht="12.75" customHeight="1">
      <c r="B75" s="9" t="s">
        <v>137</v>
      </c>
      <c r="C75" s="82"/>
      <c r="D75" s="82"/>
      <c r="E75" s="82"/>
      <c r="F75" s="82"/>
      <c r="G75" s="82"/>
      <c r="H75" s="32"/>
      <c r="I75" s="82"/>
      <c r="J75" s="82"/>
      <c r="K75" s="82"/>
      <c r="L75" s="32">
        <f t="shared" ref="L75:L77" si="177">D75</f>
        <v>0</v>
      </c>
      <c r="M75" s="82"/>
      <c r="N75" s="82"/>
      <c r="O75" s="82"/>
      <c r="P75" s="32">
        <f>E75</f>
        <v>0</v>
      </c>
      <c r="Q75" s="82"/>
      <c r="R75" s="82"/>
      <c r="S75" s="82"/>
      <c r="T75" s="32">
        <f>F75</f>
        <v>0</v>
      </c>
      <c r="U75" s="82"/>
      <c r="V75" s="82"/>
      <c r="W75" s="82"/>
      <c r="X75" s="32">
        <f>G75</f>
        <v>0</v>
      </c>
      <c r="Y75" s="82"/>
      <c r="Z75" s="82"/>
      <c r="AA75" s="82"/>
      <c r="AC75" s="32">
        <f>T75</f>
        <v>0</v>
      </c>
      <c r="AD75" s="32">
        <f>U75</f>
        <v>0</v>
      </c>
      <c r="AE75" s="32">
        <f>V75</f>
        <v>0</v>
      </c>
      <c r="AF75" s="32">
        <f>W75</f>
        <v>0</v>
      </c>
      <c r="AG75" s="32">
        <f>X75</f>
        <v>0</v>
      </c>
      <c r="AH75" s="32">
        <f>Y75</f>
        <v>0</v>
      </c>
      <c r="AI75" s="32">
        <f>Z75</f>
        <v>0</v>
      </c>
      <c r="AJ75" s="32">
        <f>AA75</f>
        <v>0</v>
      </c>
      <c r="AK75" s="11"/>
      <c r="AL75" s="75"/>
    </row>
    <row r="76" spans="2:38" ht="12.75" customHeight="1">
      <c r="B76" s="9" t="s">
        <v>153</v>
      </c>
      <c r="C76" s="82"/>
      <c r="D76" s="82"/>
      <c r="E76" s="82"/>
      <c r="F76" s="82"/>
      <c r="G76" s="82"/>
      <c r="H76" s="32"/>
      <c r="I76" s="82"/>
      <c r="J76" s="82"/>
      <c r="K76" s="82"/>
      <c r="L76" s="32">
        <f t="shared" si="177"/>
        <v>0</v>
      </c>
      <c r="M76" s="82"/>
      <c r="N76" s="82"/>
      <c r="O76" s="82"/>
      <c r="P76" s="32">
        <f>E76</f>
        <v>0</v>
      </c>
      <c r="Q76" s="82"/>
      <c r="R76" s="82"/>
      <c r="S76" s="82"/>
      <c r="T76" s="32">
        <f>F76</f>
        <v>0</v>
      </c>
      <c r="U76" s="82"/>
      <c r="V76" s="82"/>
      <c r="W76" s="82"/>
      <c r="X76" s="32">
        <f>G76</f>
        <v>0</v>
      </c>
      <c r="Y76" s="82"/>
      <c r="Z76" s="82"/>
      <c r="AA76" s="82"/>
      <c r="AC76" s="32">
        <f>T76</f>
        <v>0</v>
      </c>
      <c r="AD76" s="32">
        <f>U76</f>
        <v>0</v>
      </c>
      <c r="AE76" s="32">
        <f>V76</f>
        <v>0</v>
      </c>
      <c r="AF76" s="32">
        <f>W76</f>
        <v>0</v>
      </c>
      <c r="AG76" s="32">
        <f>X76</f>
        <v>0</v>
      </c>
      <c r="AH76" s="32">
        <f>Y76</f>
        <v>0</v>
      </c>
      <c r="AI76" s="32">
        <f>Z76</f>
        <v>0</v>
      </c>
      <c r="AJ76" s="32">
        <f>AA76</f>
        <v>0</v>
      </c>
      <c r="AK76" s="11"/>
      <c r="AL76" s="75"/>
    </row>
    <row r="77" spans="2:38" ht="12.75" customHeight="1">
      <c r="B77" s="9" t="s">
        <v>137</v>
      </c>
      <c r="C77" s="82"/>
      <c r="D77" s="82"/>
      <c r="E77" s="82"/>
      <c r="F77" s="82"/>
      <c r="G77" s="82"/>
      <c r="H77" s="32"/>
      <c r="I77" s="82"/>
      <c r="J77" s="82"/>
      <c r="K77" s="82"/>
      <c r="L77" s="32">
        <f t="shared" si="177"/>
        <v>0</v>
      </c>
      <c r="M77" s="82"/>
      <c r="N77" s="82"/>
      <c r="O77" s="82"/>
      <c r="P77" s="32">
        <f>E77</f>
        <v>0</v>
      </c>
      <c r="Q77" s="82"/>
      <c r="R77" s="82"/>
      <c r="S77" s="82"/>
      <c r="T77" s="32">
        <f>F77</f>
        <v>0</v>
      </c>
      <c r="U77" s="82"/>
      <c r="V77" s="82"/>
      <c r="W77" s="82"/>
      <c r="X77" s="32">
        <f>G77</f>
        <v>0</v>
      </c>
      <c r="Y77" s="82"/>
      <c r="Z77" s="82"/>
      <c r="AA77" s="82"/>
      <c r="AC77" s="32">
        <f>T77</f>
        <v>0</v>
      </c>
      <c r="AD77" s="32">
        <f>U77</f>
        <v>0</v>
      </c>
      <c r="AE77" s="32">
        <f>V77</f>
        <v>0</v>
      </c>
      <c r="AF77" s="32">
        <f>W77</f>
        <v>0</v>
      </c>
      <c r="AG77" s="32">
        <f>X77</f>
        <v>0</v>
      </c>
      <c r="AH77" s="32">
        <f>Y77</f>
        <v>0</v>
      </c>
      <c r="AI77" s="32">
        <f>Z77</f>
        <v>0</v>
      </c>
      <c r="AJ77" s="32">
        <f>AA77</f>
        <v>0</v>
      </c>
      <c r="AK77" s="11"/>
      <c r="AL77" s="75" t="e">
        <f t="shared" si="167"/>
        <v>#DIV/0!</v>
      </c>
    </row>
    <row r="78" spans="2:38" ht="12.75" customHeight="1">
      <c r="B78" s="13" t="s">
        <v>14</v>
      </c>
      <c r="C78" s="14">
        <f t="shared" ref="C78:G78" si="178">SUM(C74:C77)</f>
        <v>0</v>
      </c>
      <c r="D78" s="14">
        <f t="shared" si="178"/>
        <v>213654</v>
      </c>
      <c r="E78" s="14">
        <f t="shared" si="178"/>
        <v>236684</v>
      </c>
      <c r="F78" s="14">
        <f t="shared" si="178"/>
        <v>233238</v>
      </c>
      <c r="G78" s="14">
        <f t="shared" si="178"/>
        <v>237014</v>
      </c>
      <c r="H78" s="52"/>
      <c r="I78" s="14">
        <f t="shared" ref="I78:L78" si="179">SUM(I74:I77)</f>
        <v>42567</v>
      </c>
      <c r="J78" s="14">
        <f t="shared" si="179"/>
        <v>55520</v>
      </c>
      <c r="K78" s="14">
        <f t="shared" si="179"/>
        <v>57436</v>
      </c>
      <c r="L78" s="14">
        <f t="shared" si="179"/>
        <v>58131</v>
      </c>
      <c r="M78" s="14">
        <f t="shared" ref="M78:P78" si="180">SUM(M74:M77)</f>
        <v>58876</v>
      </c>
      <c r="N78" s="14">
        <f t="shared" ref="N78" si="181">SUM(N74:N77)</f>
        <v>60098</v>
      </c>
      <c r="O78" s="14">
        <f t="shared" si="180"/>
        <v>59351</v>
      </c>
      <c r="P78" s="14">
        <f t="shared" si="180"/>
        <v>58359</v>
      </c>
      <c r="Q78" s="14">
        <f t="shared" ref="Q78:AA78" si="182">SUM(Q74:Q77)</f>
        <v>57412</v>
      </c>
      <c r="R78" s="14">
        <f t="shared" si="182"/>
        <v>58090</v>
      </c>
      <c r="S78" s="14">
        <f t="shared" si="182"/>
        <v>58090</v>
      </c>
      <c r="T78" s="14">
        <f t="shared" si="182"/>
        <v>59646</v>
      </c>
      <c r="U78" s="14">
        <f t="shared" si="182"/>
        <v>59683</v>
      </c>
      <c r="V78" s="14">
        <f t="shared" si="182"/>
        <v>57633</v>
      </c>
      <c r="W78" s="14">
        <f t="shared" si="182"/>
        <v>58525</v>
      </c>
      <c r="X78" s="14">
        <f t="shared" si="182"/>
        <v>61173</v>
      </c>
      <c r="Y78" s="14">
        <f t="shared" si="182"/>
        <v>60666</v>
      </c>
      <c r="Z78" s="14">
        <f t="shared" si="182"/>
        <v>61328</v>
      </c>
      <c r="AA78" s="14">
        <f t="shared" si="182"/>
        <v>0</v>
      </c>
      <c r="AC78" s="14">
        <f t="shared" ref="AC78:AJ78" si="183">SUM(AC74:AC77)</f>
        <v>59646</v>
      </c>
      <c r="AD78" s="14">
        <f t="shared" si="183"/>
        <v>59683</v>
      </c>
      <c r="AE78" s="14">
        <f t="shared" si="183"/>
        <v>57633</v>
      </c>
      <c r="AF78" s="14">
        <f t="shared" si="183"/>
        <v>58525</v>
      </c>
      <c r="AG78" s="14">
        <f t="shared" si="183"/>
        <v>61173</v>
      </c>
      <c r="AH78" s="14">
        <f t="shared" si="183"/>
        <v>60666</v>
      </c>
      <c r="AI78" s="14">
        <f t="shared" si="183"/>
        <v>61328</v>
      </c>
      <c r="AJ78" s="14">
        <f t="shared" si="183"/>
        <v>0</v>
      </c>
      <c r="AK78" s="42"/>
      <c r="AL78" s="75">
        <f t="shared" si="167"/>
        <v>-1</v>
      </c>
    </row>
    <row r="79" spans="2:38" ht="12.75" customHeight="1">
      <c r="B79" s="25" t="s">
        <v>49</v>
      </c>
      <c r="C79" s="32">
        <f t="shared" ref="C79:G79" si="184">SUM(C78+C72)</f>
        <v>0</v>
      </c>
      <c r="D79" s="32">
        <f t="shared" si="184"/>
        <v>336570</v>
      </c>
      <c r="E79" s="32">
        <f t="shared" si="184"/>
        <v>377903</v>
      </c>
      <c r="F79" s="32">
        <f t="shared" si="184"/>
        <v>375408</v>
      </c>
      <c r="G79" s="32">
        <f t="shared" si="184"/>
        <v>382683</v>
      </c>
      <c r="H79" s="32"/>
      <c r="I79" s="32">
        <f t="shared" ref="I79:L79" si="185">SUM(I78+I72)</f>
        <v>64885</v>
      </c>
      <c r="J79" s="32">
        <f t="shared" si="185"/>
        <v>88658</v>
      </c>
      <c r="K79" s="32">
        <f t="shared" si="185"/>
        <v>87818</v>
      </c>
      <c r="L79" s="32">
        <f t="shared" si="185"/>
        <v>181047</v>
      </c>
      <c r="M79" s="32">
        <f t="shared" ref="M79:P79" si="186">SUM(M78+M72)</f>
        <v>93022</v>
      </c>
      <c r="N79" s="32">
        <f t="shared" ref="N79" si="187">SUM(N78+N72)</f>
        <v>94148</v>
      </c>
      <c r="O79" s="32">
        <f t="shared" si="186"/>
        <v>91884</v>
      </c>
      <c r="P79" s="32">
        <f t="shared" si="186"/>
        <v>199578</v>
      </c>
      <c r="Q79" s="32">
        <f t="shared" ref="Q79:AA79" si="188">SUM(Q78+Q72)</f>
        <v>93541</v>
      </c>
      <c r="R79" s="32">
        <f t="shared" si="188"/>
        <v>91022</v>
      </c>
      <c r="S79" s="32">
        <f t="shared" si="188"/>
        <v>91022</v>
      </c>
      <c r="T79" s="32">
        <f t="shared" si="188"/>
        <v>201816</v>
      </c>
      <c r="U79" s="32">
        <f t="shared" si="188"/>
        <v>96180</v>
      </c>
      <c r="V79" s="32">
        <f t="shared" si="188"/>
        <v>92180</v>
      </c>
      <c r="W79" s="32">
        <f t="shared" si="188"/>
        <v>91395</v>
      </c>
      <c r="X79" s="32">
        <f t="shared" si="188"/>
        <v>206842</v>
      </c>
      <c r="Y79" s="32">
        <f t="shared" si="188"/>
        <v>98610</v>
      </c>
      <c r="Z79" s="32">
        <f t="shared" si="188"/>
        <v>97573</v>
      </c>
      <c r="AA79" s="32">
        <f t="shared" si="188"/>
        <v>0</v>
      </c>
      <c r="AB79" s="32"/>
      <c r="AC79" s="32">
        <f t="shared" ref="AC79:AJ79" si="189">SUM(AC78+AC72)</f>
        <v>201816</v>
      </c>
      <c r="AD79" s="32">
        <f t="shared" si="189"/>
        <v>96180</v>
      </c>
      <c r="AE79" s="32">
        <f t="shared" si="189"/>
        <v>92180</v>
      </c>
      <c r="AF79" s="32">
        <f t="shared" si="189"/>
        <v>91395</v>
      </c>
      <c r="AG79" s="32">
        <f t="shared" si="189"/>
        <v>206842</v>
      </c>
      <c r="AH79" s="32">
        <f t="shared" si="189"/>
        <v>98610</v>
      </c>
      <c r="AI79" s="32">
        <f t="shared" si="189"/>
        <v>97573</v>
      </c>
      <c r="AJ79" s="32">
        <f t="shared" si="189"/>
        <v>0</v>
      </c>
      <c r="AK79" s="11"/>
      <c r="AL79" s="76">
        <f t="shared" si="167"/>
        <v>-1</v>
      </c>
    </row>
    <row r="80" spans="2:38" ht="5.0999999999999996" customHeight="1">
      <c r="B80" s="25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11"/>
    </row>
    <row r="81" spans="1:38" ht="12.75" customHeight="1">
      <c r="B81" s="139" t="s">
        <v>58</v>
      </c>
      <c r="C81" s="69">
        <f>C79-C59</f>
        <v>0</v>
      </c>
      <c r="D81" s="69">
        <f>D79-D59</f>
        <v>372</v>
      </c>
      <c r="E81" s="69">
        <f>E79-E59</f>
        <v>0</v>
      </c>
      <c r="F81" s="69">
        <f>F79-F59</f>
        <v>-1425</v>
      </c>
      <c r="G81" s="69">
        <f>G79-G59</f>
        <v>0</v>
      </c>
      <c r="H81" s="70"/>
      <c r="I81" s="69">
        <f t="shared" ref="I81:L81" si="190">I79-I59</f>
        <v>0</v>
      </c>
      <c r="J81" s="69">
        <f t="shared" si="190"/>
        <v>0</v>
      </c>
      <c r="K81" s="69">
        <f t="shared" si="190"/>
        <v>372</v>
      </c>
      <c r="L81" s="69">
        <f t="shared" si="190"/>
        <v>-155151</v>
      </c>
      <c r="M81" s="69">
        <f>M79-M59</f>
        <v>0</v>
      </c>
      <c r="N81" s="69">
        <f>N79-N59</f>
        <v>0</v>
      </c>
      <c r="O81" s="69">
        <f>O79-O59</f>
        <v>0</v>
      </c>
      <c r="P81" s="69">
        <f>P79-P59</f>
        <v>-178325</v>
      </c>
      <c r="Q81" s="69">
        <f>Q79-Q59</f>
        <v>0</v>
      </c>
      <c r="R81" s="69">
        <f>R79-R59</f>
        <v>-1425</v>
      </c>
      <c r="S81" s="69">
        <f>S79-S59</f>
        <v>0</v>
      </c>
      <c r="T81" s="69">
        <f>T79-T59</f>
        <v>-175017</v>
      </c>
      <c r="U81" s="69">
        <f>U79-U59</f>
        <v>0</v>
      </c>
      <c r="V81" s="69">
        <f>V79-V59</f>
        <v>0</v>
      </c>
      <c r="W81" s="69">
        <f>W79-W59</f>
        <v>0</v>
      </c>
      <c r="X81" s="69">
        <f>X79-X59</f>
        <v>-175841</v>
      </c>
      <c r="Y81" s="69">
        <f>Y79-Y59</f>
        <v>0</v>
      </c>
      <c r="Z81" s="69">
        <f>Z79-Z59</f>
        <v>0</v>
      </c>
      <c r="AA81" s="69">
        <f>AA79-AA59</f>
        <v>0</v>
      </c>
      <c r="AB81" s="28"/>
      <c r="AC81" s="69">
        <f>AC79-AC59</f>
        <v>-175017</v>
      </c>
      <c r="AD81" s="69">
        <f>AD79-AD59</f>
        <v>0</v>
      </c>
      <c r="AE81" s="69">
        <f>AE79-AE59</f>
        <v>0</v>
      </c>
      <c r="AF81" s="69">
        <f>AF79-AF59</f>
        <v>0</v>
      </c>
      <c r="AG81" s="69">
        <f>AG79-AG59</f>
        <v>-175841</v>
      </c>
      <c r="AH81" s="69">
        <f>AH79-AH59</f>
        <v>0</v>
      </c>
      <c r="AI81" s="69">
        <f>AI79-AI59</f>
        <v>0</v>
      </c>
      <c r="AJ81" s="69">
        <f>AJ79-AJ59</f>
        <v>0</v>
      </c>
    </row>
    <row r="82" spans="1:38" ht="5.0999999999999996" customHeight="1" thickBot="1">
      <c r="B82" s="116"/>
      <c r="C82" s="117"/>
      <c r="D82" s="117"/>
      <c r="E82" s="117"/>
      <c r="F82" s="117"/>
      <c r="G82" s="117"/>
      <c r="H82" s="118"/>
      <c r="I82" s="117"/>
      <c r="J82" s="117"/>
      <c r="K82" s="117"/>
      <c r="L82" s="117"/>
      <c r="M82" s="117"/>
      <c r="N82" s="117"/>
      <c r="O82" s="117"/>
      <c r="P82" s="117"/>
      <c r="Q82" s="117"/>
      <c r="R82" s="117"/>
      <c r="S82" s="117"/>
      <c r="T82" s="117"/>
      <c r="U82" s="117"/>
      <c r="V82" s="117"/>
      <c r="W82" s="117"/>
      <c r="X82" s="117"/>
      <c r="Y82" s="117"/>
      <c r="Z82" s="117"/>
      <c r="AA82" s="117"/>
      <c r="AB82" s="119"/>
      <c r="AC82" s="117"/>
      <c r="AD82" s="117"/>
      <c r="AE82" s="117"/>
      <c r="AF82" s="117"/>
      <c r="AG82" s="117"/>
      <c r="AH82" s="117"/>
      <c r="AI82" s="117"/>
      <c r="AJ82" s="117"/>
      <c r="AK82" s="73"/>
      <c r="AL82" s="73"/>
    </row>
    <row r="83" spans="1:38">
      <c r="B83" s="68"/>
      <c r="C83" s="53"/>
      <c r="D83" s="53"/>
      <c r="E83" s="24"/>
      <c r="F83" s="24"/>
      <c r="G83" s="24"/>
      <c r="H83" s="53"/>
    </row>
    <row r="84" spans="1:38" ht="12.75" customHeight="1">
      <c r="A84" s="5" t="s">
        <v>16</v>
      </c>
      <c r="B84" s="98" t="s">
        <v>13</v>
      </c>
      <c r="C84" s="102"/>
      <c r="D84" s="102"/>
      <c r="E84" s="102"/>
      <c r="F84" s="102"/>
      <c r="G84" s="102"/>
      <c r="H84" s="103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  <c r="AB84" s="98"/>
      <c r="AC84" s="102"/>
      <c r="AD84" s="102"/>
      <c r="AE84" s="102" t="s">
        <v>10</v>
      </c>
      <c r="AF84" s="102"/>
      <c r="AG84" s="102"/>
      <c r="AH84" s="102"/>
      <c r="AI84" s="102"/>
      <c r="AJ84" s="102"/>
      <c r="AK84" s="103"/>
      <c r="AL84" s="164" t="s">
        <v>22</v>
      </c>
    </row>
    <row r="85" spans="1:38" ht="12.75" customHeight="1">
      <c r="B85" s="99" t="str">
        <f>B7</f>
        <v>Fiscal Period</v>
      </c>
      <c r="C85" s="104">
        <f>C7</f>
        <v>2020</v>
      </c>
      <c r="D85" s="104">
        <f>D7</f>
        <v>2021</v>
      </c>
      <c r="E85" s="104">
        <f>E7</f>
        <v>2022</v>
      </c>
      <c r="F85" s="104">
        <f>F7</f>
        <v>2023</v>
      </c>
      <c r="G85" s="104">
        <f>G7</f>
        <v>2024</v>
      </c>
      <c r="H85" s="103"/>
      <c r="I85" s="104" t="str">
        <f>I7</f>
        <v>1Q21</v>
      </c>
      <c r="J85" s="104" t="str">
        <f>J7</f>
        <v>2Q21</v>
      </c>
      <c r="K85" s="104" t="str">
        <f>K7</f>
        <v>3Q21</v>
      </c>
      <c r="L85" s="104" t="str">
        <f>L7</f>
        <v>4Q21</v>
      </c>
      <c r="M85" s="104" t="str">
        <f>M7</f>
        <v>1Q22</v>
      </c>
      <c r="N85" s="104" t="str">
        <f>N7</f>
        <v>2Q22</v>
      </c>
      <c r="O85" s="104" t="str">
        <f>O7</f>
        <v>3Q22</v>
      </c>
      <c r="P85" s="104" t="str">
        <f>P7</f>
        <v>4Q22</v>
      </c>
      <c r="Q85" s="104" t="str">
        <f>Q7</f>
        <v>1Q23</v>
      </c>
      <c r="R85" s="104" t="str">
        <f>R7</f>
        <v>2Q23</v>
      </c>
      <c r="S85" s="104" t="str">
        <f>S7</f>
        <v>3Q23</v>
      </c>
      <c r="T85" s="104" t="str">
        <f>T7</f>
        <v>4Q23</v>
      </c>
      <c r="U85" s="104" t="str">
        <f>U7</f>
        <v>1Q24</v>
      </c>
      <c r="V85" s="104" t="str">
        <f>V7</f>
        <v>2Q24</v>
      </c>
      <c r="W85" s="104" t="str">
        <f>W7</f>
        <v>3Q24</v>
      </c>
      <c r="X85" s="104" t="str">
        <f>X7</f>
        <v>4Q24</v>
      </c>
      <c r="Y85" s="104" t="str">
        <f>Y7</f>
        <v>1Q25</v>
      </c>
      <c r="Z85" s="104" t="str">
        <f>Z7</f>
        <v>2Q25</v>
      </c>
      <c r="AA85" s="104" t="str">
        <f>AA7</f>
        <v>3Q25</v>
      </c>
      <c r="AB85" s="104"/>
      <c r="AC85" s="104" t="str">
        <f>AC7</f>
        <v>4Q23</v>
      </c>
      <c r="AD85" s="104" t="str">
        <f>AD7</f>
        <v>1Q24</v>
      </c>
      <c r="AE85" s="104" t="str">
        <f>AE7</f>
        <v>2Q24</v>
      </c>
      <c r="AF85" s="104" t="str">
        <f>AF7</f>
        <v>3Q24</v>
      </c>
      <c r="AG85" s="104" t="str">
        <f>AG7</f>
        <v>4Q24</v>
      </c>
      <c r="AH85" s="104" t="str">
        <f>AH7</f>
        <v>1Q25</v>
      </c>
      <c r="AI85" s="104" t="str">
        <f>AI7</f>
        <v>2Q25</v>
      </c>
      <c r="AJ85" s="104" t="str">
        <f>AJ7</f>
        <v>3Q25</v>
      </c>
      <c r="AK85" s="103"/>
      <c r="AL85" s="164"/>
    </row>
    <row r="86" spans="1:38" ht="12.75" customHeight="1">
      <c r="B86" s="99" t="str">
        <f>B8</f>
        <v>Fiscal Period End Date</v>
      </c>
      <c r="C86" s="105">
        <f>C8</f>
        <v>0</v>
      </c>
      <c r="D86" s="105">
        <f>D8</f>
        <v>0</v>
      </c>
      <c r="E86" s="105">
        <f>E8</f>
        <v>0</v>
      </c>
      <c r="F86" s="105">
        <f>F8</f>
        <v>0</v>
      </c>
      <c r="G86" s="105">
        <f>G8</f>
        <v>0</v>
      </c>
      <c r="H86" s="103"/>
      <c r="I86" s="105">
        <f>I8</f>
        <v>0</v>
      </c>
      <c r="J86" s="105">
        <f>J8</f>
        <v>0</v>
      </c>
      <c r="K86" s="105">
        <f>K8</f>
        <v>0</v>
      </c>
      <c r="L86" s="105">
        <f>L8</f>
        <v>0</v>
      </c>
      <c r="M86" s="105">
        <f>M8</f>
        <v>0</v>
      </c>
      <c r="N86" s="105">
        <f>N8</f>
        <v>0</v>
      </c>
      <c r="O86" s="105">
        <f>O8</f>
        <v>0</v>
      </c>
      <c r="P86" s="105">
        <f>P8</f>
        <v>0</v>
      </c>
      <c r="Q86" s="105">
        <f>Q8</f>
        <v>0</v>
      </c>
      <c r="R86" s="105">
        <f>R8</f>
        <v>0</v>
      </c>
      <c r="S86" s="105">
        <f>S8</f>
        <v>0</v>
      </c>
      <c r="T86" s="105">
        <f>T8</f>
        <v>0</v>
      </c>
      <c r="U86" s="105">
        <f>U8</f>
        <v>0</v>
      </c>
      <c r="V86" s="105">
        <f>V8</f>
        <v>0</v>
      </c>
      <c r="W86" s="105">
        <f>W8</f>
        <v>0</v>
      </c>
      <c r="X86" s="105">
        <f>X8</f>
        <v>0</v>
      </c>
      <c r="Y86" s="105">
        <f>Y8</f>
        <v>0</v>
      </c>
      <c r="Z86" s="105">
        <f>Z8</f>
        <v>0</v>
      </c>
      <c r="AA86" s="105">
        <f>AA8</f>
        <v>0</v>
      </c>
      <c r="AB86" s="105"/>
      <c r="AC86" s="105">
        <f>AC8</f>
        <v>0</v>
      </c>
      <c r="AD86" s="105">
        <f>AD8</f>
        <v>0</v>
      </c>
      <c r="AE86" s="105">
        <f>AE8</f>
        <v>0</v>
      </c>
      <c r="AF86" s="105">
        <f>AF8</f>
        <v>0</v>
      </c>
      <c r="AG86" s="105">
        <f>AG8</f>
        <v>0</v>
      </c>
      <c r="AH86" s="105">
        <f>AH8</f>
        <v>0</v>
      </c>
      <c r="AI86" s="105">
        <f>AI8</f>
        <v>0</v>
      </c>
      <c r="AJ86" s="105">
        <f>AJ8</f>
        <v>0</v>
      </c>
      <c r="AK86" s="103"/>
      <c r="AL86" s="164"/>
    </row>
    <row r="87" spans="1:38" ht="5.0999999999999996" customHeight="1">
      <c r="B87" s="54"/>
      <c r="C87" s="47"/>
      <c r="D87" s="47"/>
      <c r="E87" s="47"/>
      <c r="F87" s="47"/>
      <c r="G87" s="47"/>
    </row>
    <row r="88" spans="1:38" ht="12.75" customHeight="1">
      <c r="B88" s="55" t="s">
        <v>50</v>
      </c>
      <c r="C88" s="56"/>
      <c r="D88" s="56"/>
      <c r="E88" s="56"/>
      <c r="F88" s="56"/>
      <c r="G88" s="56"/>
    </row>
    <row r="89" spans="1:38" ht="12.75" customHeight="1">
      <c r="B89" s="57" t="s">
        <v>105</v>
      </c>
      <c r="C89" s="32">
        <f>C30</f>
        <v>7404</v>
      </c>
      <c r="D89" s="32">
        <f>D30</f>
        <v>8697</v>
      </c>
      <c r="E89" s="32">
        <f>E30</f>
        <v>8699</v>
      </c>
      <c r="F89" s="32">
        <f>F30</f>
        <v>12461</v>
      </c>
      <c r="G89" s="32">
        <f>G30</f>
        <v>14486</v>
      </c>
      <c r="H89" s="32"/>
      <c r="I89" s="32">
        <f t="shared" ref="I89:L89" si="191">I30</f>
        <v>2062</v>
      </c>
      <c r="J89" s="32">
        <f t="shared" si="191"/>
        <v>2180</v>
      </c>
      <c r="K89" s="32">
        <f t="shared" si="191"/>
        <v>2414</v>
      </c>
      <c r="L89" s="32">
        <f t="shared" si="191"/>
        <v>2041</v>
      </c>
      <c r="M89" s="32">
        <f>M30</f>
        <v>2129</v>
      </c>
      <c r="N89" s="32">
        <f>N30</f>
        <v>2252</v>
      </c>
      <c r="O89" s="32">
        <f>O30</f>
        <v>2306</v>
      </c>
      <c r="P89" s="32">
        <f>P30</f>
        <v>2012</v>
      </c>
      <c r="Q89" s="32">
        <f>Q30</f>
        <v>2269</v>
      </c>
      <c r="R89" s="32">
        <f>R30</f>
        <v>3335</v>
      </c>
      <c r="S89" s="32">
        <f>S30</f>
        <v>3321</v>
      </c>
      <c r="T89" s="32">
        <f>T30</f>
        <v>3536</v>
      </c>
      <c r="U89" s="32">
        <f>U30</f>
        <v>3574</v>
      </c>
      <c r="V89" s="32">
        <f>V30</f>
        <v>3497</v>
      </c>
      <c r="W89" s="32">
        <f>W30</f>
        <v>3562</v>
      </c>
      <c r="X89" s="32">
        <f>X30</f>
        <v>3853</v>
      </c>
      <c r="Y89" s="32">
        <f>Y30</f>
        <v>3711</v>
      </c>
      <c r="Z89" s="32">
        <f>Z30</f>
        <v>4061</v>
      </c>
      <c r="AA89" s="32">
        <f>AA30</f>
        <v>0</v>
      </c>
      <c r="AB89" s="32"/>
      <c r="AC89" s="32">
        <f>AC30</f>
        <v>12461</v>
      </c>
      <c r="AD89" s="32">
        <f>AD30</f>
        <v>13766</v>
      </c>
      <c r="AE89" s="32">
        <f>AE30</f>
        <v>13928</v>
      </c>
      <c r="AF89" s="32">
        <f>AF30</f>
        <v>14169</v>
      </c>
      <c r="AG89" s="32">
        <f>AG30</f>
        <v>14486</v>
      </c>
      <c r="AH89" s="32">
        <f>AH30</f>
        <v>14623</v>
      </c>
      <c r="AI89" s="32">
        <f>AI30</f>
        <v>15187</v>
      </c>
      <c r="AJ89" s="32">
        <f>AJ30</f>
        <v>11625</v>
      </c>
      <c r="AK89" s="11"/>
      <c r="AL89" s="75">
        <f>SUM(AJ89/AF89)-1</f>
        <v>-0.17954689815795044</v>
      </c>
    </row>
    <row r="90" spans="1:38" ht="5.0999999999999996" customHeight="1"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C90" s="32"/>
      <c r="AD90" s="32"/>
      <c r="AE90" s="32"/>
      <c r="AF90" s="32"/>
      <c r="AG90" s="32"/>
      <c r="AH90" s="32"/>
      <c r="AI90" s="32"/>
      <c r="AJ90" s="32"/>
      <c r="AK90" s="11"/>
      <c r="AL90" s="75"/>
    </row>
    <row r="91" spans="1:38" ht="12.75" customHeight="1">
      <c r="B91" s="36" t="s">
        <v>57</v>
      </c>
      <c r="C91" s="32"/>
      <c r="D91" s="32"/>
      <c r="E91" s="32"/>
      <c r="F91" s="32"/>
      <c r="G91" s="32"/>
      <c r="H91" s="32"/>
      <c r="I91" s="82"/>
      <c r="J91" s="82"/>
      <c r="K91" s="82"/>
      <c r="L91" s="82"/>
      <c r="M91" s="82"/>
      <c r="N91" s="82"/>
      <c r="O91" s="82"/>
      <c r="P91" s="82"/>
      <c r="Q91" s="82"/>
      <c r="R91" s="82"/>
      <c r="S91" s="82"/>
      <c r="T91" s="32"/>
      <c r="U91" s="82"/>
      <c r="V91" s="82"/>
      <c r="W91" s="82"/>
      <c r="X91" s="32"/>
      <c r="Y91" s="82"/>
      <c r="Z91" s="82"/>
      <c r="AA91" s="82"/>
      <c r="AC91" s="32"/>
      <c r="AD91" s="32"/>
      <c r="AE91" s="32"/>
      <c r="AF91" s="32"/>
      <c r="AG91" s="32"/>
      <c r="AH91" s="32"/>
      <c r="AI91" s="32"/>
      <c r="AJ91" s="32"/>
      <c r="AK91" s="59"/>
      <c r="AL91" s="75"/>
    </row>
    <row r="92" spans="1:38" ht="12.75" customHeight="1">
      <c r="B92" s="60" t="s">
        <v>138</v>
      </c>
      <c r="C92" s="82"/>
      <c r="D92" s="82"/>
      <c r="E92" s="82"/>
      <c r="F92" s="82"/>
      <c r="G92" s="82"/>
      <c r="H92" s="32"/>
      <c r="I92" s="82"/>
      <c r="J92" s="82"/>
      <c r="K92" s="82"/>
      <c r="L92" s="82"/>
      <c r="M92" s="82"/>
      <c r="N92" s="82"/>
      <c r="O92" s="82"/>
      <c r="P92" s="32">
        <f>SUM(E91-SUM(M92:O92))</f>
        <v>0</v>
      </c>
      <c r="Q92" s="82"/>
      <c r="R92" s="82"/>
      <c r="S92" s="82"/>
      <c r="T92" s="32">
        <f>SUM(F92-SUM(Q92:S92))</f>
        <v>0</v>
      </c>
      <c r="U92" s="82"/>
      <c r="V92" s="82"/>
      <c r="W92" s="82"/>
      <c r="X92" s="32">
        <f>SUM(G92-SUM(U92:W92))</f>
        <v>0</v>
      </c>
      <c r="Y92" s="82"/>
      <c r="Z92" s="82"/>
      <c r="AA92" s="82"/>
      <c r="AC92" s="32">
        <f>SUM(Q92:T92)</f>
        <v>0</v>
      </c>
      <c r="AD92" s="32">
        <f>SUM(R92:U92)</f>
        <v>0</v>
      </c>
      <c r="AE92" s="32">
        <f>SUM(S92:V92)</f>
        <v>0</v>
      </c>
      <c r="AF92" s="32">
        <f>SUM(T92:W92)</f>
        <v>0</v>
      </c>
      <c r="AG92" s="32">
        <f>SUM(U92:X92)</f>
        <v>0</v>
      </c>
      <c r="AH92" s="32">
        <f>SUM(V92:Y92)</f>
        <v>0</v>
      </c>
      <c r="AI92" s="32">
        <f>SUM(W92:Z92)</f>
        <v>0</v>
      </c>
      <c r="AJ92" s="32">
        <f>SUM(X92:AA92)</f>
        <v>0</v>
      </c>
      <c r="AK92" s="11"/>
      <c r="AL92" s="75" t="e">
        <f t="shared" ref="AL92:AL98" si="192">SUM(AJ92/AF92)-1</f>
        <v>#DIV/0!</v>
      </c>
    </row>
    <row r="93" spans="1:38" ht="12.75" customHeight="1">
      <c r="B93" s="60" t="s">
        <v>139</v>
      </c>
      <c r="C93" s="82"/>
      <c r="D93" s="82"/>
      <c r="E93" s="82"/>
      <c r="F93" s="82"/>
      <c r="G93" s="82"/>
      <c r="H93" s="32"/>
      <c r="I93" s="82"/>
      <c r="J93" s="82"/>
      <c r="K93" s="82"/>
      <c r="L93" s="82"/>
      <c r="M93" s="82"/>
      <c r="N93" s="82"/>
      <c r="O93" s="82"/>
      <c r="P93" s="32">
        <f t="shared" ref="P93:P97" si="193">SUM(E92-SUM(M93:O93))</f>
        <v>0</v>
      </c>
      <c r="Q93" s="82"/>
      <c r="R93" s="82"/>
      <c r="S93" s="82"/>
      <c r="T93" s="32">
        <f>SUM(F93-SUM(Q93:S93))</f>
        <v>0</v>
      </c>
      <c r="U93" s="82"/>
      <c r="V93" s="82"/>
      <c r="W93" s="82"/>
      <c r="X93" s="32">
        <f>SUM(G93-SUM(U93:W93))</f>
        <v>0</v>
      </c>
      <c r="Y93" s="82"/>
      <c r="Z93" s="82"/>
      <c r="AA93" s="82"/>
      <c r="AC93" s="32">
        <f>SUM(Q93:T93)</f>
        <v>0</v>
      </c>
      <c r="AD93" s="32">
        <f>SUM(R93:U93)</f>
        <v>0</v>
      </c>
      <c r="AE93" s="32">
        <f>SUM(S93:V93)</f>
        <v>0</v>
      </c>
      <c r="AF93" s="32">
        <f>SUM(T93:W93)</f>
        <v>0</v>
      </c>
      <c r="AG93" s="32">
        <f>SUM(U93:X93)</f>
        <v>0</v>
      </c>
      <c r="AH93" s="32">
        <f>SUM(V93:Y93)</f>
        <v>0</v>
      </c>
      <c r="AI93" s="32">
        <f>SUM(W93:Z93)</f>
        <v>0</v>
      </c>
      <c r="AJ93" s="32">
        <f>SUM(X93:AA93)</f>
        <v>0</v>
      </c>
      <c r="AK93" s="11"/>
      <c r="AL93" s="75" t="e">
        <f t="shared" ref="AL93" si="194">SUM(AJ93/AF93)-1</f>
        <v>#DIV/0!</v>
      </c>
    </row>
    <row r="94" spans="1:38" ht="12.75" customHeight="1">
      <c r="B94" s="60" t="s">
        <v>140</v>
      </c>
      <c r="C94" s="82"/>
      <c r="D94" s="82"/>
      <c r="E94" s="82"/>
      <c r="F94" s="82"/>
      <c r="G94" s="82"/>
      <c r="H94" s="32"/>
      <c r="I94" s="82"/>
      <c r="J94" s="82"/>
      <c r="K94" s="82"/>
      <c r="L94" s="82"/>
      <c r="M94" s="82"/>
      <c r="N94" s="82"/>
      <c r="O94" s="82"/>
      <c r="P94" s="32">
        <f t="shared" si="193"/>
        <v>0</v>
      </c>
      <c r="Q94" s="82"/>
      <c r="R94" s="82"/>
      <c r="S94" s="82"/>
      <c r="T94" s="32">
        <f>SUM(F94-SUM(Q94:S94))</f>
        <v>0</v>
      </c>
      <c r="U94" s="82"/>
      <c r="V94" s="82"/>
      <c r="W94" s="82"/>
      <c r="X94" s="32">
        <f>SUM(G94-SUM(U94:W94))</f>
        <v>0</v>
      </c>
      <c r="Y94" s="82"/>
      <c r="Z94" s="82"/>
      <c r="AA94" s="82"/>
      <c r="AC94" s="32">
        <f>SUM(Q94:T94)</f>
        <v>0</v>
      </c>
      <c r="AD94" s="32">
        <f>SUM(R94:U94)</f>
        <v>0</v>
      </c>
      <c r="AE94" s="32">
        <f>SUM(S94:V94)</f>
        <v>0</v>
      </c>
      <c r="AF94" s="32">
        <f>SUM(T94:W94)</f>
        <v>0</v>
      </c>
      <c r="AG94" s="32">
        <f>SUM(U94:X94)</f>
        <v>0</v>
      </c>
      <c r="AH94" s="32">
        <f>SUM(V94:Y94)</f>
        <v>0</v>
      </c>
      <c r="AI94" s="32">
        <f>SUM(W94:Z94)</f>
        <v>0</v>
      </c>
      <c r="AJ94" s="32">
        <f>SUM(X94:AA94)</f>
        <v>0</v>
      </c>
      <c r="AK94" s="11"/>
      <c r="AL94" s="75" t="e">
        <f t="shared" si="192"/>
        <v>#DIV/0!</v>
      </c>
    </row>
    <row r="95" spans="1:38" ht="12.75" customHeight="1">
      <c r="B95" s="60" t="s">
        <v>141</v>
      </c>
      <c r="C95" s="82"/>
      <c r="D95" s="82"/>
      <c r="E95" s="82"/>
      <c r="F95" s="82"/>
      <c r="G95" s="82"/>
      <c r="H95" s="32"/>
      <c r="I95" s="82"/>
      <c r="J95" s="82"/>
      <c r="K95" s="82"/>
      <c r="L95" s="82"/>
      <c r="M95" s="82"/>
      <c r="N95" s="82"/>
      <c r="O95" s="82"/>
      <c r="P95" s="32">
        <f t="shared" si="193"/>
        <v>0</v>
      </c>
      <c r="Q95" s="82"/>
      <c r="R95" s="82"/>
      <c r="S95" s="82"/>
      <c r="T95" s="32">
        <f>SUM(F95-SUM(Q95:S95))</f>
        <v>0</v>
      </c>
      <c r="U95" s="82"/>
      <c r="V95" s="82"/>
      <c r="W95" s="82"/>
      <c r="X95" s="32">
        <f>SUM(G95-SUM(U95:W95))</f>
        <v>0</v>
      </c>
      <c r="Y95" s="82"/>
      <c r="Z95" s="82"/>
      <c r="AA95" s="82"/>
      <c r="AC95" s="32">
        <f>SUM(Q95:T95)</f>
        <v>0</v>
      </c>
      <c r="AD95" s="32">
        <f>SUM(R95:U95)</f>
        <v>0</v>
      </c>
      <c r="AE95" s="32">
        <f>SUM(S95:V95)</f>
        <v>0</v>
      </c>
      <c r="AF95" s="32">
        <f>SUM(T95:W95)</f>
        <v>0</v>
      </c>
      <c r="AG95" s="32">
        <f>SUM(U95:X95)</f>
        <v>0</v>
      </c>
      <c r="AH95" s="32">
        <f>SUM(V95:Y95)</f>
        <v>0</v>
      </c>
      <c r="AI95" s="32">
        <f>SUM(W95:Z95)</f>
        <v>0</v>
      </c>
      <c r="AJ95" s="32">
        <f>SUM(X95:AA95)</f>
        <v>0</v>
      </c>
      <c r="AK95" s="11"/>
      <c r="AL95" s="75" t="e">
        <f t="shared" si="192"/>
        <v>#DIV/0!</v>
      </c>
    </row>
    <row r="96" spans="1:38" ht="12.75" customHeight="1">
      <c r="B96" s="60" t="s">
        <v>142</v>
      </c>
      <c r="C96" s="82"/>
      <c r="D96" s="82"/>
      <c r="E96" s="82"/>
      <c r="F96" s="82"/>
      <c r="G96" s="82"/>
      <c r="H96" s="32"/>
      <c r="I96" s="82"/>
      <c r="J96" s="82"/>
      <c r="K96" s="82"/>
      <c r="L96" s="82"/>
      <c r="M96" s="82"/>
      <c r="N96" s="82"/>
      <c r="O96" s="82"/>
      <c r="P96" s="32">
        <f t="shared" si="193"/>
        <v>0</v>
      </c>
      <c r="Q96" s="82"/>
      <c r="R96" s="82"/>
      <c r="S96" s="82"/>
      <c r="T96" s="32">
        <f>SUM(F96-SUM(Q96:S96))</f>
        <v>0</v>
      </c>
      <c r="U96" s="82"/>
      <c r="V96" s="82"/>
      <c r="W96" s="82"/>
      <c r="X96" s="32">
        <f>SUM(G96-SUM(U96:W96))</f>
        <v>0</v>
      </c>
      <c r="Y96" s="82"/>
      <c r="Z96" s="82"/>
      <c r="AA96" s="82"/>
      <c r="AC96" s="32">
        <f>SUM(Q96:T96)</f>
        <v>0</v>
      </c>
      <c r="AD96" s="32">
        <f>SUM(R96:U96)</f>
        <v>0</v>
      </c>
      <c r="AE96" s="32">
        <f>SUM(S96:V96)</f>
        <v>0</v>
      </c>
      <c r="AF96" s="32">
        <f>SUM(T96:W96)</f>
        <v>0</v>
      </c>
      <c r="AG96" s="32">
        <f>SUM(U96:X96)</f>
        <v>0</v>
      </c>
      <c r="AH96" s="32">
        <f>SUM(V96:Y96)</f>
        <v>0</v>
      </c>
      <c r="AI96" s="32">
        <f>SUM(W96:Z96)</f>
        <v>0</v>
      </c>
      <c r="AJ96" s="32">
        <f>SUM(X96:AA96)</f>
        <v>0</v>
      </c>
      <c r="AK96" s="11"/>
      <c r="AL96" s="75" t="e">
        <f t="shared" si="192"/>
        <v>#DIV/0!</v>
      </c>
    </row>
    <row r="97" spans="2:38" ht="12.75" customHeight="1">
      <c r="B97" s="60" t="s">
        <v>143</v>
      </c>
      <c r="C97" s="82"/>
      <c r="D97" s="82"/>
      <c r="E97" s="82"/>
      <c r="F97" s="82"/>
      <c r="G97" s="82"/>
      <c r="H97" s="32"/>
      <c r="I97" s="82"/>
      <c r="J97" s="82"/>
      <c r="K97" s="82"/>
      <c r="L97" s="82"/>
      <c r="M97" s="82"/>
      <c r="N97" s="82"/>
      <c r="O97" s="82"/>
      <c r="P97" s="32">
        <f t="shared" si="193"/>
        <v>0</v>
      </c>
      <c r="Q97" s="82"/>
      <c r="R97" s="82"/>
      <c r="S97" s="82"/>
      <c r="T97" s="32">
        <f>SUM(F97-SUM(Q97:S97))</f>
        <v>0</v>
      </c>
      <c r="U97" s="82"/>
      <c r="V97" s="82"/>
      <c r="W97" s="82"/>
      <c r="X97" s="32">
        <f>SUM(G97-SUM(U97:W97))</f>
        <v>0</v>
      </c>
      <c r="Y97" s="82"/>
      <c r="Z97" s="82"/>
      <c r="AA97" s="82"/>
      <c r="AC97" s="32">
        <f>SUM(Q97:T97)</f>
        <v>0</v>
      </c>
      <c r="AD97" s="32">
        <f>SUM(R97:U97)</f>
        <v>0</v>
      </c>
      <c r="AE97" s="32">
        <f>SUM(S97:V97)</f>
        <v>0</v>
      </c>
      <c r="AF97" s="32">
        <f>SUM(T97:W97)</f>
        <v>0</v>
      </c>
      <c r="AG97" s="32">
        <f>SUM(U97:X97)</f>
        <v>0</v>
      </c>
      <c r="AH97" s="32">
        <f>SUM(V97:Y97)</f>
        <v>0</v>
      </c>
      <c r="AI97" s="32">
        <f>SUM(W97:Z97)</f>
        <v>0</v>
      </c>
      <c r="AJ97" s="32">
        <f>SUM(X97:AA97)</f>
        <v>0</v>
      </c>
      <c r="AK97" s="11"/>
      <c r="AL97" s="75" t="e">
        <f t="shared" si="192"/>
        <v>#DIV/0!</v>
      </c>
    </row>
    <row r="98" spans="2:38" ht="12.75" customHeight="1">
      <c r="B98" s="13" t="s">
        <v>51</v>
      </c>
      <c r="C98" s="14">
        <f t="shared" ref="C98:G98" si="195">SUM(C89:C97)</f>
        <v>7404</v>
      </c>
      <c r="D98" s="14">
        <f t="shared" si="195"/>
        <v>8697</v>
      </c>
      <c r="E98" s="14">
        <f t="shared" si="195"/>
        <v>8699</v>
      </c>
      <c r="F98" s="14">
        <f t="shared" si="195"/>
        <v>12461</v>
      </c>
      <c r="G98" s="14">
        <f t="shared" si="195"/>
        <v>14486</v>
      </c>
      <c r="I98" s="14">
        <f t="shared" ref="I98:L98" si="196">SUM(I89:I97)</f>
        <v>2062</v>
      </c>
      <c r="J98" s="14">
        <f t="shared" si="196"/>
        <v>2180</v>
      </c>
      <c r="K98" s="14">
        <f t="shared" si="196"/>
        <v>2414</v>
      </c>
      <c r="L98" s="14">
        <f t="shared" si="196"/>
        <v>2041</v>
      </c>
      <c r="M98" s="14">
        <f t="shared" ref="M98:P98" si="197">SUM(M89:M97)</f>
        <v>2129</v>
      </c>
      <c r="N98" s="14">
        <f t="shared" ref="N98" si="198">SUM(N89:N97)</f>
        <v>2252</v>
      </c>
      <c r="O98" s="14">
        <f t="shared" si="197"/>
        <v>2306</v>
      </c>
      <c r="P98" s="14">
        <f t="shared" si="197"/>
        <v>2012</v>
      </c>
      <c r="Q98" s="14">
        <f t="shared" ref="Q98:AA98" si="199">SUM(Q89:Q97)</f>
        <v>2269</v>
      </c>
      <c r="R98" s="14">
        <f t="shared" si="199"/>
        <v>3335</v>
      </c>
      <c r="S98" s="14">
        <f t="shared" si="199"/>
        <v>3321</v>
      </c>
      <c r="T98" s="14">
        <f t="shared" si="199"/>
        <v>3536</v>
      </c>
      <c r="U98" s="14">
        <f t="shared" si="199"/>
        <v>3574</v>
      </c>
      <c r="V98" s="14">
        <f t="shared" si="199"/>
        <v>3497</v>
      </c>
      <c r="W98" s="14">
        <f t="shared" si="199"/>
        <v>3562</v>
      </c>
      <c r="X98" s="14">
        <f t="shared" si="199"/>
        <v>3853</v>
      </c>
      <c r="Y98" s="14">
        <f t="shared" si="199"/>
        <v>3711</v>
      </c>
      <c r="Z98" s="14">
        <f t="shared" si="199"/>
        <v>4061</v>
      </c>
      <c r="AA98" s="14">
        <f t="shared" si="199"/>
        <v>0</v>
      </c>
      <c r="AC98" s="14">
        <f t="shared" ref="AC98:AJ98" si="200">SUM(AC89:AC97)</f>
        <v>12461</v>
      </c>
      <c r="AD98" s="14">
        <f t="shared" si="200"/>
        <v>13766</v>
      </c>
      <c r="AE98" s="14">
        <f t="shared" si="200"/>
        <v>13928</v>
      </c>
      <c r="AF98" s="14">
        <f t="shared" si="200"/>
        <v>14169</v>
      </c>
      <c r="AG98" s="14">
        <f t="shared" si="200"/>
        <v>14486</v>
      </c>
      <c r="AH98" s="14">
        <f t="shared" si="200"/>
        <v>14623</v>
      </c>
      <c r="AI98" s="14">
        <f t="shared" si="200"/>
        <v>15187</v>
      </c>
      <c r="AJ98" s="14">
        <f t="shared" si="200"/>
        <v>11625</v>
      </c>
      <c r="AK98" s="42"/>
      <c r="AL98" s="76">
        <f t="shared" si="192"/>
        <v>-0.17954689815795044</v>
      </c>
    </row>
    <row r="99" spans="2:38" ht="12.75" customHeight="1">
      <c r="B99" s="53"/>
      <c r="C99" s="61"/>
      <c r="D99" s="61"/>
      <c r="E99" s="61"/>
      <c r="F99" s="61"/>
      <c r="G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C99" s="42"/>
      <c r="AD99" s="42"/>
      <c r="AE99" s="42"/>
      <c r="AF99" s="42"/>
      <c r="AG99" s="42"/>
      <c r="AH99" s="42"/>
      <c r="AI99" s="42"/>
      <c r="AJ99" s="42"/>
      <c r="AK99" s="42"/>
      <c r="AL99" s="39"/>
    </row>
    <row r="100" spans="2:38" ht="12.75" customHeight="1">
      <c r="B100" s="53" t="s">
        <v>52</v>
      </c>
      <c r="C100" s="58"/>
      <c r="D100" s="58"/>
      <c r="E100" s="58"/>
      <c r="F100" s="58"/>
      <c r="G100" s="58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32"/>
      <c r="U100" s="82"/>
      <c r="V100" s="82"/>
      <c r="W100" s="82"/>
      <c r="X100" s="32"/>
      <c r="Y100" s="58"/>
      <c r="Z100" s="58"/>
      <c r="AA100" s="58"/>
      <c r="AC100" s="58"/>
      <c r="AD100" s="58"/>
      <c r="AE100" s="58"/>
      <c r="AF100" s="58"/>
      <c r="AG100" s="58"/>
      <c r="AH100" s="58"/>
      <c r="AI100" s="58"/>
      <c r="AJ100" s="58"/>
      <c r="AK100" s="59"/>
      <c r="AL100" s="75"/>
    </row>
    <row r="101" spans="2:38" ht="12.75" customHeight="1">
      <c r="B101" s="60" t="s">
        <v>144</v>
      </c>
      <c r="C101" s="82"/>
      <c r="D101" s="82"/>
      <c r="E101" s="82"/>
      <c r="F101" s="82"/>
      <c r="G101" s="82"/>
      <c r="H101" s="32"/>
      <c r="I101" s="82"/>
      <c r="J101" s="82"/>
      <c r="K101" s="82"/>
      <c r="L101" s="82"/>
      <c r="M101" s="82"/>
      <c r="N101" s="82"/>
      <c r="O101" s="82"/>
      <c r="P101" s="32">
        <f t="shared" ref="P101:P104" si="201">SUM(E100-SUM(M101:O101))</f>
        <v>0</v>
      </c>
      <c r="Q101" s="82"/>
      <c r="R101" s="82"/>
      <c r="S101" s="82"/>
      <c r="T101" s="32">
        <f>SUM(F101-SUM(Q101:S101))</f>
        <v>0</v>
      </c>
      <c r="U101" s="82"/>
      <c r="V101" s="82"/>
      <c r="W101" s="82"/>
      <c r="X101" s="32">
        <f>SUM(G101-SUM(U101:W101))</f>
        <v>0</v>
      </c>
      <c r="Y101" s="82"/>
      <c r="Z101" s="82"/>
      <c r="AA101" s="82"/>
      <c r="AB101" s="32"/>
      <c r="AC101" s="32">
        <f>SUM(Q101:T101)</f>
        <v>0</v>
      </c>
      <c r="AD101" s="32">
        <f>SUM(R101:U101)</f>
        <v>0</v>
      </c>
      <c r="AE101" s="32">
        <f>SUM(S101:V101)</f>
        <v>0</v>
      </c>
      <c r="AF101" s="32">
        <f>SUM(T101:W101)</f>
        <v>0</v>
      </c>
      <c r="AG101" s="32">
        <f>SUM(U101:X101)</f>
        <v>0</v>
      </c>
      <c r="AH101" s="32">
        <f>SUM(V101:Y101)</f>
        <v>0</v>
      </c>
      <c r="AI101" s="32">
        <f>SUM(W101:Z101)</f>
        <v>0</v>
      </c>
      <c r="AJ101" s="32">
        <f>SUM(X101:AA101)</f>
        <v>0</v>
      </c>
      <c r="AK101" s="59"/>
      <c r="AL101" s="75" t="e">
        <f t="shared" ref="AL101:AL104" si="202">SUM(AJ101/AF101)-1</f>
        <v>#DIV/0!</v>
      </c>
    </row>
    <row r="102" spans="2:38" ht="12.75" customHeight="1">
      <c r="B102" s="60" t="s">
        <v>145</v>
      </c>
      <c r="C102" s="82"/>
      <c r="D102" s="82"/>
      <c r="E102" s="82"/>
      <c r="F102" s="82"/>
      <c r="G102" s="82"/>
      <c r="H102" s="32"/>
      <c r="I102" s="82"/>
      <c r="J102" s="82"/>
      <c r="K102" s="82"/>
      <c r="L102" s="82"/>
      <c r="M102" s="82"/>
      <c r="N102" s="82"/>
      <c r="O102" s="82"/>
      <c r="P102" s="32">
        <f t="shared" si="201"/>
        <v>0</v>
      </c>
      <c r="Q102" s="82"/>
      <c r="R102" s="82"/>
      <c r="S102" s="82"/>
      <c r="T102" s="32">
        <f>SUM(F102-SUM(Q102:S102))</f>
        <v>0</v>
      </c>
      <c r="U102" s="82"/>
      <c r="V102" s="82"/>
      <c r="W102" s="82"/>
      <c r="X102" s="32">
        <f>SUM(G102-SUM(U102:W102))</f>
        <v>0</v>
      </c>
      <c r="Y102" s="82"/>
      <c r="Z102" s="82"/>
      <c r="AA102" s="82"/>
      <c r="AB102" s="32"/>
      <c r="AC102" s="32">
        <f>SUM(Q102:T102)</f>
        <v>0</v>
      </c>
      <c r="AD102" s="32">
        <f>SUM(R102:U102)</f>
        <v>0</v>
      </c>
      <c r="AE102" s="32">
        <f>SUM(S102:V102)</f>
        <v>0</v>
      </c>
      <c r="AF102" s="32">
        <f>SUM(T102:W102)</f>
        <v>0</v>
      </c>
      <c r="AG102" s="32">
        <f>SUM(U102:X102)</f>
        <v>0</v>
      </c>
      <c r="AH102" s="32">
        <f>SUM(V102:Y102)</f>
        <v>0</v>
      </c>
      <c r="AI102" s="32">
        <f>SUM(W102:Z102)</f>
        <v>0</v>
      </c>
      <c r="AJ102" s="32">
        <f>SUM(X102:AA102)</f>
        <v>0</v>
      </c>
      <c r="AK102" s="59"/>
      <c r="AL102" s="75" t="e">
        <f t="shared" si="202"/>
        <v>#DIV/0!</v>
      </c>
    </row>
    <row r="103" spans="2:38" ht="12.75" customHeight="1">
      <c r="B103" s="60" t="s">
        <v>146</v>
      </c>
      <c r="C103" s="82"/>
      <c r="D103" s="82"/>
      <c r="E103" s="82"/>
      <c r="F103" s="82"/>
      <c r="G103" s="82"/>
      <c r="H103" s="32"/>
      <c r="I103" s="82"/>
      <c r="J103" s="82"/>
      <c r="K103" s="82"/>
      <c r="L103" s="82"/>
      <c r="M103" s="82"/>
      <c r="N103" s="82"/>
      <c r="O103" s="82"/>
      <c r="P103" s="32">
        <f t="shared" si="201"/>
        <v>0</v>
      </c>
      <c r="Q103" s="82"/>
      <c r="R103" s="82"/>
      <c r="S103" s="82"/>
      <c r="T103" s="32">
        <f>SUM(F103-SUM(Q103:S103))</f>
        <v>0</v>
      </c>
      <c r="U103" s="82"/>
      <c r="V103" s="82"/>
      <c r="W103" s="82"/>
      <c r="X103" s="32">
        <f>SUM(G103-SUM(U103:W103))</f>
        <v>0</v>
      </c>
      <c r="Y103" s="82"/>
      <c r="Z103" s="82"/>
      <c r="AA103" s="82"/>
      <c r="AB103" s="32"/>
      <c r="AC103" s="32">
        <f>SUM(Q103:T103)</f>
        <v>0</v>
      </c>
      <c r="AD103" s="32">
        <f>SUM(R103:U103)</f>
        <v>0</v>
      </c>
      <c r="AE103" s="32">
        <f>SUM(S103:V103)</f>
        <v>0</v>
      </c>
      <c r="AF103" s="32">
        <f>SUM(T103:W103)</f>
        <v>0</v>
      </c>
      <c r="AG103" s="32">
        <f>SUM(U103:X103)</f>
        <v>0</v>
      </c>
      <c r="AH103" s="32">
        <f>SUM(V103:Y103)</f>
        <v>0</v>
      </c>
      <c r="AI103" s="32">
        <f>SUM(W103:Z103)</f>
        <v>0</v>
      </c>
      <c r="AJ103" s="32">
        <f>SUM(X103:AA103)</f>
        <v>0</v>
      </c>
      <c r="AK103" s="59"/>
      <c r="AL103" s="75" t="e">
        <f t="shared" si="202"/>
        <v>#DIV/0!</v>
      </c>
    </row>
    <row r="104" spans="2:38" ht="12.75" customHeight="1">
      <c r="B104" s="60" t="s">
        <v>147</v>
      </c>
      <c r="C104" s="82"/>
      <c r="D104" s="82"/>
      <c r="E104" s="82"/>
      <c r="F104" s="82"/>
      <c r="G104" s="82"/>
      <c r="H104" s="32"/>
      <c r="I104" s="82"/>
      <c r="J104" s="82"/>
      <c r="K104" s="82"/>
      <c r="L104" s="82"/>
      <c r="M104" s="82"/>
      <c r="N104" s="82"/>
      <c r="O104" s="82"/>
      <c r="P104" s="32">
        <f t="shared" si="201"/>
        <v>0</v>
      </c>
      <c r="Q104" s="82"/>
      <c r="R104" s="82"/>
      <c r="S104" s="82"/>
      <c r="T104" s="32">
        <f>SUM(F104-SUM(Q104:S104))</f>
        <v>0</v>
      </c>
      <c r="U104" s="82"/>
      <c r="V104" s="82"/>
      <c r="W104" s="82"/>
      <c r="X104" s="32">
        <f>SUM(G104-SUM(U104:W104))</f>
        <v>0</v>
      </c>
      <c r="Y104" s="82"/>
      <c r="Z104" s="82"/>
      <c r="AA104" s="82"/>
      <c r="AB104" s="32"/>
      <c r="AC104" s="32">
        <f>SUM(Q104:T104)</f>
        <v>0</v>
      </c>
      <c r="AD104" s="32">
        <f>SUM(R104:U104)</f>
        <v>0</v>
      </c>
      <c r="AE104" s="32">
        <f>SUM(S104:V104)</f>
        <v>0</v>
      </c>
      <c r="AF104" s="32">
        <f>SUM(T104:W104)</f>
        <v>0</v>
      </c>
      <c r="AG104" s="32">
        <f>SUM(U104:X104)</f>
        <v>0</v>
      </c>
      <c r="AH104" s="32">
        <f>SUM(V104:Y104)</f>
        <v>0</v>
      </c>
      <c r="AI104" s="32">
        <f>SUM(W104:Z104)</f>
        <v>0</v>
      </c>
      <c r="AJ104" s="32">
        <f>SUM(X104:AA104)</f>
        <v>0</v>
      </c>
      <c r="AK104" s="59"/>
      <c r="AL104" s="75" t="e">
        <f t="shared" si="202"/>
        <v>#DIV/0!</v>
      </c>
    </row>
    <row r="105" spans="2:38" ht="12.75" customHeight="1">
      <c r="B105" s="13" t="s">
        <v>53</v>
      </c>
      <c r="C105" s="14">
        <f t="shared" ref="C105:G105" si="203">SUM(C101:C104)</f>
        <v>0</v>
      </c>
      <c r="D105" s="14">
        <f t="shared" si="203"/>
        <v>0</v>
      </c>
      <c r="E105" s="14">
        <f t="shared" si="203"/>
        <v>0</v>
      </c>
      <c r="F105" s="14">
        <f t="shared" si="203"/>
        <v>0</v>
      </c>
      <c r="G105" s="14">
        <f t="shared" si="203"/>
        <v>0</v>
      </c>
      <c r="I105" s="14">
        <f t="shared" ref="I105:L105" si="204">SUM(I101:I104)</f>
        <v>0</v>
      </c>
      <c r="J105" s="14">
        <f t="shared" si="204"/>
        <v>0</v>
      </c>
      <c r="K105" s="14">
        <f t="shared" si="204"/>
        <v>0</v>
      </c>
      <c r="L105" s="14">
        <f t="shared" si="204"/>
        <v>0</v>
      </c>
      <c r="M105" s="14">
        <f t="shared" ref="M105:P105" si="205">SUM(M101:M104)</f>
        <v>0</v>
      </c>
      <c r="N105" s="14">
        <f t="shared" ref="N105" si="206">SUM(N101:N104)</f>
        <v>0</v>
      </c>
      <c r="O105" s="14">
        <f t="shared" si="205"/>
        <v>0</v>
      </c>
      <c r="P105" s="14">
        <f t="shared" si="205"/>
        <v>0</v>
      </c>
      <c r="Q105" s="14">
        <f t="shared" ref="Q105:AA105" si="207">SUM(Q101:Q104)</f>
        <v>0</v>
      </c>
      <c r="R105" s="14">
        <f t="shared" si="207"/>
        <v>0</v>
      </c>
      <c r="S105" s="14">
        <f t="shared" si="207"/>
        <v>0</v>
      </c>
      <c r="T105" s="14">
        <f t="shared" si="207"/>
        <v>0</v>
      </c>
      <c r="U105" s="14">
        <f t="shared" si="207"/>
        <v>0</v>
      </c>
      <c r="V105" s="14">
        <f t="shared" si="207"/>
        <v>0</v>
      </c>
      <c r="W105" s="14">
        <f t="shared" si="207"/>
        <v>0</v>
      </c>
      <c r="X105" s="14">
        <f t="shared" si="207"/>
        <v>0</v>
      </c>
      <c r="Y105" s="14">
        <f t="shared" si="207"/>
        <v>0</v>
      </c>
      <c r="Z105" s="14">
        <f t="shared" si="207"/>
        <v>0</v>
      </c>
      <c r="AA105" s="14">
        <f t="shared" si="207"/>
        <v>0</v>
      </c>
      <c r="AC105" s="14">
        <f t="shared" ref="AC105:AJ105" si="208">SUM(AC104:AC104)</f>
        <v>0</v>
      </c>
      <c r="AD105" s="14">
        <f t="shared" si="208"/>
        <v>0</v>
      </c>
      <c r="AE105" s="14">
        <f t="shared" si="208"/>
        <v>0</v>
      </c>
      <c r="AF105" s="14">
        <f t="shared" si="208"/>
        <v>0</v>
      </c>
      <c r="AG105" s="14">
        <f t="shared" si="208"/>
        <v>0</v>
      </c>
      <c r="AH105" s="14">
        <f t="shared" si="208"/>
        <v>0</v>
      </c>
      <c r="AI105" s="14">
        <f t="shared" si="208"/>
        <v>0</v>
      </c>
      <c r="AJ105" s="14">
        <f t="shared" si="208"/>
        <v>0</v>
      </c>
      <c r="AK105" s="42"/>
      <c r="AL105" s="76" t="e">
        <f t="shared" ref="AL105:AL111" si="209">SUM(AJ105/AF105)-1</f>
        <v>#DIV/0!</v>
      </c>
    </row>
    <row r="106" spans="2:38" ht="5.0999999999999996" customHeight="1">
      <c r="B106" s="52"/>
      <c r="C106" s="61"/>
      <c r="D106" s="61"/>
      <c r="E106" s="61"/>
      <c r="F106" s="61"/>
      <c r="G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C106" s="42"/>
      <c r="AD106" s="42"/>
      <c r="AE106" s="42"/>
      <c r="AF106" s="42"/>
      <c r="AG106" s="42"/>
      <c r="AH106" s="42"/>
      <c r="AI106" s="42"/>
      <c r="AJ106" s="42"/>
      <c r="AK106" s="42"/>
      <c r="AL106" s="39"/>
    </row>
    <row r="107" spans="2:38" ht="12.75" customHeight="1">
      <c r="B107" s="53" t="s">
        <v>54</v>
      </c>
      <c r="C107" s="63"/>
      <c r="D107" s="63"/>
      <c r="E107" s="63"/>
      <c r="F107" s="63"/>
      <c r="G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32"/>
      <c r="AC107" s="32"/>
      <c r="AD107" s="32"/>
      <c r="AE107" s="32"/>
      <c r="AF107" s="32"/>
      <c r="AG107" s="32"/>
      <c r="AH107" s="32"/>
      <c r="AI107" s="32"/>
      <c r="AJ107" s="32"/>
      <c r="AK107" s="64"/>
      <c r="AL107" s="75"/>
    </row>
    <row r="108" spans="2:38" ht="12.75" customHeight="1">
      <c r="B108" s="84" t="s">
        <v>148</v>
      </c>
      <c r="C108" s="82"/>
      <c r="D108" s="82"/>
      <c r="E108" s="82"/>
      <c r="F108" s="82"/>
      <c r="G108" s="82"/>
      <c r="I108" s="82"/>
      <c r="J108" s="82"/>
      <c r="K108" s="82"/>
      <c r="L108" s="82"/>
      <c r="M108" s="82"/>
      <c r="N108" s="82"/>
      <c r="O108" s="82"/>
      <c r="P108" s="32">
        <f t="shared" ref="P108:P110" si="210">SUM(E107-SUM(M108:O108))</f>
        <v>0</v>
      </c>
      <c r="Q108" s="82"/>
      <c r="R108" s="82"/>
      <c r="S108" s="82"/>
      <c r="T108" s="32">
        <f>SUM(F108-SUM(Q108:S108))</f>
        <v>0</v>
      </c>
      <c r="U108" s="82"/>
      <c r="V108" s="82"/>
      <c r="W108" s="82"/>
      <c r="X108" s="32">
        <f>SUM(G108-SUM(U108:W108))</f>
        <v>0</v>
      </c>
      <c r="Y108" s="82"/>
      <c r="Z108" s="82"/>
      <c r="AA108" s="82"/>
      <c r="AB108" s="32"/>
      <c r="AC108" s="32">
        <f>SUM(Q108:T108)</f>
        <v>0</v>
      </c>
      <c r="AD108" s="32">
        <f>SUM(R108:U108)</f>
        <v>0</v>
      </c>
      <c r="AE108" s="32">
        <f>SUM(S108:V108)</f>
        <v>0</v>
      </c>
      <c r="AF108" s="32">
        <f>SUM(T108:W108)</f>
        <v>0</v>
      </c>
      <c r="AG108" s="32">
        <f>SUM(U108:X108)</f>
        <v>0</v>
      </c>
      <c r="AH108" s="32">
        <f>SUM(V108:Y108)</f>
        <v>0</v>
      </c>
      <c r="AI108" s="32">
        <f>SUM(W108:Z108)</f>
        <v>0</v>
      </c>
      <c r="AJ108" s="32">
        <f>SUM(X108:AA108)</f>
        <v>0</v>
      </c>
      <c r="AK108" s="64"/>
      <c r="AL108" s="75" t="e">
        <f t="shared" si="209"/>
        <v>#DIV/0!</v>
      </c>
    </row>
    <row r="109" spans="2:38" ht="12.75" customHeight="1">
      <c r="B109" s="84" t="s">
        <v>149</v>
      </c>
      <c r="C109" s="82"/>
      <c r="D109" s="82"/>
      <c r="E109" s="82"/>
      <c r="F109" s="82"/>
      <c r="G109" s="82"/>
      <c r="I109" s="82"/>
      <c r="J109" s="82"/>
      <c r="K109" s="82"/>
      <c r="L109" s="82"/>
      <c r="M109" s="82"/>
      <c r="N109" s="82"/>
      <c r="O109" s="82"/>
      <c r="P109" s="32">
        <f t="shared" si="210"/>
        <v>0</v>
      </c>
      <c r="Q109" s="82"/>
      <c r="R109" s="82"/>
      <c r="S109" s="82"/>
      <c r="T109" s="32">
        <f>SUM(F109-SUM(Q109:S109))</f>
        <v>0</v>
      </c>
      <c r="U109" s="82"/>
      <c r="V109" s="82"/>
      <c r="W109" s="82"/>
      <c r="X109" s="32">
        <f>SUM(G109-SUM(U109:W109))</f>
        <v>0</v>
      </c>
      <c r="Y109" s="82"/>
      <c r="Z109" s="82"/>
      <c r="AA109" s="82"/>
      <c r="AB109" s="32"/>
      <c r="AC109" s="32">
        <f>SUM(Q109:T109)</f>
        <v>0</v>
      </c>
      <c r="AD109" s="32">
        <f>SUM(R109:U109)</f>
        <v>0</v>
      </c>
      <c r="AE109" s="32">
        <f>SUM(S109:V109)</f>
        <v>0</v>
      </c>
      <c r="AF109" s="32">
        <f>SUM(T109:W109)</f>
        <v>0</v>
      </c>
      <c r="AG109" s="32">
        <f>SUM(U109:X109)</f>
        <v>0</v>
      </c>
      <c r="AH109" s="32">
        <f>SUM(V109:Y109)</f>
        <v>0</v>
      </c>
      <c r="AI109" s="32">
        <f>SUM(W109:Z109)</f>
        <v>0</v>
      </c>
      <c r="AJ109" s="32">
        <f>SUM(X109:AA109)</f>
        <v>0</v>
      </c>
      <c r="AK109" s="64"/>
      <c r="AL109" s="75" t="e">
        <f t="shared" ref="AL109" si="211">SUM(AJ109/AF109)-1</f>
        <v>#DIV/0!</v>
      </c>
    </row>
    <row r="110" spans="2:38" ht="12.75" customHeight="1">
      <c r="B110" s="84" t="s">
        <v>150</v>
      </c>
      <c r="C110" s="82"/>
      <c r="D110" s="82"/>
      <c r="E110" s="82"/>
      <c r="F110" s="82"/>
      <c r="G110" s="82"/>
      <c r="I110" s="82"/>
      <c r="J110" s="82"/>
      <c r="K110" s="82"/>
      <c r="L110" s="82"/>
      <c r="M110" s="82"/>
      <c r="N110" s="82"/>
      <c r="O110" s="82"/>
      <c r="P110" s="32">
        <f t="shared" si="210"/>
        <v>0</v>
      </c>
      <c r="Q110" s="82"/>
      <c r="R110" s="82"/>
      <c r="S110" s="82"/>
      <c r="T110" s="32">
        <f>SUM(F110-SUM(Q110:S110))</f>
        <v>0</v>
      </c>
      <c r="U110" s="82"/>
      <c r="V110" s="82"/>
      <c r="W110" s="82"/>
      <c r="X110" s="32">
        <f>SUM(G110-SUM(U110:W110))</f>
        <v>0</v>
      </c>
      <c r="Y110" s="82"/>
      <c r="Z110" s="82"/>
      <c r="AA110" s="82"/>
      <c r="AB110" s="32"/>
      <c r="AC110" s="32">
        <f>SUM(Q110:T110)</f>
        <v>0</v>
      </c>
      <c r="AD110" s="32">
        <f>SUM(R110:U110)</f>
        <v>0</v>
      </c>
      <c r="AE110" s="32">
        <f>SUM(S110:V110)</f>
        <v>0</v>
      </c>
      <c r="AF110" s="32">
        <f>SUM(T110:W110)</f>
        <v>0</v>
      </c>
      <c r="AG110" s="32">
        <f>SUM(U110:X110)</f>
        <v>0</v>
      </c>
      <c r="AH110" s="32">
        <f>SUM(V110:Y110)</f>
        <v>0</v>
      </c>
      <c r="AI110" s="32">
        <f>SUM(W110:Z110)</f>
        <v>0</v>
      </c>
      <c r="AJ110" s="32">
        <f>SUM(X110:AA110)</f>
        <v>0</v>
      </c>
      <c r="AK110" s="64"/>
      <c r="AL110" s="75" t="e">
        <f t="shared" si="209"/>
        <v>#DIV/0!</v>
      </c>
    </row>
    <row r="111" spans="2:38" ht="12.75" customHeight="1">
      <c r="B111" s="13" t="s">
        <v>55</v>
      </c>
      <c r="C111" s="14">
        <f t="shared" ref="C111:G111" si="212">SUM(C108:C110)</f>
        <v>0</v>
      </c>
      <c r="D111" s="14">
        <f t="shared" si="212"/>
        <v>0</v>
      </c>
      <c r="E111" s="14">
        <f t="shared" si="212"/>
        <v>0</v>
      </c>
      <c r="F111" s="14">
        <f t="shared" si="212"/>
        <v>0</v>
      </c>
      <c r="G111" s="14">
        <f t="shared" si="212"/>
        <v>0</v>
      </c>
      <c r="I111" s="14">
        <f t="shared" ref="I111:L111" si="213">SUM(I108:I110)</f>
        <v>0</v>
      </c>
      <c r="J111" s="14">
        <f t="shared" si="213"/>
        <v>0</v>
      </c>
      <c r="K111" s="14">
        <f t="shared" si="213"/>
        <v>0</v>
      </c>
      <c r="L111" s="14">
        <f t="shared" si="213"/>
        <v>0</v>
      </c>
      <c r="M111" s="14">
        <f t="shared" ref="M111:P111" si="214">SUM(M108:M110)</f>
        <v>0</v>
      </c>
      <c r="N111" s="14">
        <f t="shared" ref="N111" si="215">SUM(N108:N110)</f>
        <v>0</v>
      </c>
      <c r="O111" s="14">
        <f t="shared" si="214"/>
        <v>0</v>
      </c>
      <c r="P111" s="14">
        <f t="shared" si="214"/>
        <v>0</v>
      </c>
      <c r="Q111" s="14">
        <f t="shared" ref="Q111:AA111" si="216">SUM(Q108:Q110)</f>
        <v>0</v>
      </c>
      <c r="R111" s="14">
        <f t="shared" si="216"/>
        <v>0</v>
      </c>
      <c r="S111" s="14">
        <f t="shared" si="216"/>
        <v>0</v>
      </c>
      <c r="T111" s="14">
        <f t="shared" si="216"/>
        <v>0</v>
      </c>
      <c r="U111" s="14">
        <f t="shared" si="216"/>
        <v>0</v>
      </c>
      <c r="V111" s="14">
        <f t="shared" si="216"/>
        <v>0</v>
      </c>
      <c r="W111" s="14">
        <f t="shared" si="216"/>
        <v>0</v>
      </c>
      <c r="X111" s="14">
        <f t="shared" si="216"/>
        <v>0</v>
      </c>
      <c r="Y111" s="14">
        <f t="shared" si="216"/>
        <v>0</v>
      </c>
      <c r="Z111" s="14">
        <f t="shared" si="216"/>
        <v>0</v>
      </c>
      <c r="AA111" s="14">
        <f t="shared" si="216"/>
        <v>0</v>
      </c>
      <c r="AC111" s="14">
        <f t="shared" ref="AC111:AJ111" si="217">SUM(AC108:AC110)</f>
        <v>0</v>
      </c>
      <c r="AD111" s="14">
        <f t="shared" si="217"/>
        <v>0</v>
      </c>
      <c r="AE111" s="14">
        <f t="shared" si="217"/>
        <v>0</v>
      </c>
      <c r="AF111" s="14">
        <f t="shared" si="217"/>
        <v>0</v>
      </c>
      <c r="AG111" s="14">
        <f t="shared" si="217"/>
        <v>0</v>
      </c>
      <c r="AH111" s="14">
        <f t="shared" si="217"/>
        <v>0</v>
      </c>
      <c r="AI111" s="14">
        <f t="shared" si="217"/>
        <v>0</v>
      </c>
      <c r="AJ111" s="14">
        <f t="shared" si="217"/>
        <v>0</v>
      </c>
      <c r="AK111" s="42"/>
      <c r="AL111" s="76" t="e">
        <f t="shared" si="209"/>
        <v>#DIV/0!</v>
      </c>
    </row>
    <row r="112" spans="2:38" ht="5.0999999999999996" customHeight="1">
      <c r="B112" s="71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11"/>
      <c r="AL112" s="45"/>
    </row>
    <row r="113" spans="2:38">
      <c r="B113" s="92" t="s">
        <v>81</v>
      </c>
      <c r="C113" s="93"/>
      <c r="D113" s="93">
        <f t="shared" ref="D113:G113" si="218">C120</f>
        <v>7404</v>
      </c>
      <c r="E113" s="93">
        <f t="shared" si="218"/>
        <v>16101</v>
      </c>
      <c r="F113" s="93">
        <f t="shared" si="218"/>
        <v>24800</v>
      </c>
      <c r="G113" s="93">
        <f t="shared" si="218"/>
        <v>37261</v>
      </c>
      <c r="H113" s="93"/>
      <c r="I113" s="93"/>
      <c r="J113" s="93"/>
      <c r="K113" s="93"/>
      <c r="L113" s="93"/>
      <c r="M113" s="93"/>
      <c r="N113" s="93">
        <f t="shared" ref="N113" si="219">M120</f>
        <v>2129</v>
      </c>
      <c r="O113" s="93">
        <f t="shared" ref="O113" si="220">N120</f>
        <v>4381</v>
      </c>
      <c r="P113" s="93">
        <f t="shared" ref="P113" si="221">O120</f>
        <v>6687</v>
      </c>
      <c r="Q113" s="93">
        <f t="shared" ref="Q113" si="222">P120</f>
        <v>8699</v>
      </c>
      <c r="R113" s="93">
        <f t="shared" ref="R113:AA113" si="223">Q120</f>
        <v>10968</v>
      </c>
      <c r="S113" s="93">
        <f t="shared" si="223"/>
        <v>14303</v>
      </c>
      <c r="T113" s="93">
        <f t="shared" si="223"/>
        <v>17624</v>
      </c>
      <c r="U113" s="93">
        <f t="shared" si="223"/>
        <v>21160</v>
      </c>
      <c r="V113" s="93">
        <f t="shared" si="223"/>
        <v>24734</v>
      </c>
      <c r="W113" s="93">
        <f t="shared" si="223"/>
        <v>28231</v>
      </c>
      <c r="X113" s="93">
        <f t="shared" si="223"/>
        <v>31793</v>
      </c>
      <c r="Y113" s="93">
        <f t="shared" si="223"/>
        <v>35646</v>
      </c>
      <c r="Z113" s="93">
        <f t="shared" si="223"/>
        <v>39357</v>
      </c>
      <c r="AA113" s="93">
        <f t="shared" si="223"/>
        <v>43418</v>
      </c>
      <c r="AB113" s="93"/>
      <c r="AC113" s="93"/>
      <c r="AD113" s="93">
        <f t="shared" ref="AD113:AJ113" si="224">Q120</f>
        <v>10968</v>
      </c>
      <c r="AE113" s="93">
        <f t="shared" si="224"/>
        <v>14303</v>
      </c>
      <c r="AF113" s="93">
        <f t="shared" si="224"/>
        <v>17624</v>
      </c>
      <c r="AG113" s="93">
        <f t="shared" si="224"/>
        <v>21160</v>
      </c>
      <c r="AH113" s="93">
        <f t="shared" si="224"/>
        <v>24734</v>
      </c>
      <c r="AI113" s="93">
        <f t="shared" si="224"/>
        <v>28231</v>
      </c>
      <c r="AJ113" s="140">
        <f t="shared" si="224"/>
        <v>31793</v>
      </c>
      <c r="AK113" s="11"/>
      <c r="AL113" s="45"/>
    </row>
    <row r="114" spans="2:38">
      <c r="B114" s="130" t="s">
        <v>94</v>
      </c>
      <c r="C114" s="32"/>
      <c r="D114" s="32"/>
      <c r="E114" s="32">
        <f t="shared" ref="E114:G114" si="225">-D118</f>
        <v>0</v>
      </c>
      <c r="F114" s="32">
        <f t="shared" si="225"/>
        <v>0</v>
      </c>
      <c r="G114" s="32">
        <f t="shared" si="225"/>
        <v>0</v>
      </c>
      <c r="H114" s="32"/>
      <c r="I114" s="32"/>
      <c r="J114" s="32"/>
      <c r="K114" s="32"/>
      <c r="L114" s="32"/>
      <c r="M114" s="32"/>
      <c r="N114" s="32">
        <f t="shared" ref="N114" si="226">-M118</f>
        <v>0</v>
      </c>
      <c r="O114" s="32">
        <f t="shared" ref="O114" si="227">-N118</f>
        <v>0</v>
      </c>
      <c r="P114" s="32">
        <f t="shared" ref="P114" si="228">-O118</f>
        <v>0</v>
      </c>
      <c r="Q114" s="32">
        <f t="shared" ref="Q114" si="229">-P118</f>
        <v>0</v>
      </c>
      <c r="R114" s="32">
        <f t="shared" ref="R114:AA114" si="230">-Q118</f>
        <v>0</v>
      </c>
      <c r="S114" s="32">
        <f t="shared" si="230"/>
        <v>0</v>
      </c>
      <c r="T114" s="32">
        <f t="shared" si="230"/>
        <v>0</v>
      </c>
      <c r="U114" s="32">
        <f t="shared" si="230"/>
        <v>0</v>
      </c>
      <c r="V114" s="32">
        <f t="shared" si="230"/>
        <v>0</v>
      </c>
      <c r="W114" s="32">
        <f t="shared" si="230"/>
        <v>0</v>
      </c>
      <c r="X114" s="32">
        <f t="shared" si="230"/>
        <v>0</v>
      </c>
      <c r="Y114" s="32">
        <f t="shared" si="230"/>
        <v>0</v>
      </c>
      <c r="Z114" s="32">
        <f t="shared" si="230"/>
        <v>0</v>
      </c>
      <c r="AA114" s="32">
        <f t="shared" si="230"/>
        <v>0</v>
      </c>
      <c r="AB114" s="32"/>
      <c r="AC114" s="32">
        <f>F114</f>
        <v>0</v>
      </c>
      <c r="AD114" s="32">
        <f>-Q118</f>
        <v>0</v>
      </c>
      <c r="AE114" s="32">
        <f>-R118</f>
        <v>0</v>
      </c>
      <c r="AF114" s="32">
        <f>-S118</f>
        <v>0</v>
      </c>
      <c r="AG114" s="32">
        <f>-T118</f>
        <v>0</v>
      </c>
      <c r="AH114" s="32">
        <f>-U118</f>
        <v>0</v>
      </c>
      <c r="AI114" s="32">
        <f>-V118</f>
        <v>0</v>
      </c>
      <c r="AJ114" s="134">
        <f>-W118</f>
        <v>0</v>
      </c>
      <c r="AK114" s="11"/>
      <c r="AL114" s="45"/>
    </row>
    <row r="115" spans="2:38">
      <c r="B115" s="145" t="s">
        <v>68</v>
      </c>
      <c r="C115" s="146">
        <f t="shared" ref="C115" si="231">SUM(C113:C114)</f>
        <v>0</v>
      </c>
      <c r="D115" s="146">
        <f t="shared" ref="D115:G115" si="232">SUM(D113:D114)</f>
        <v>7404</v>
      </c>
      <c r="E115" s="146">
        <f t="shared" si="232"/>
        <v>16101</v>
      </c>
      <c r="F115" s="146">
        <f t="shared" si="232"/>
        <v>24800</v>
      </c>
      <c r="G115" s="146">
        <f t="shared" si="232"/>
        <v>37261</v>
      </c>
      <c r="H115" s="32"/>
      <c r="I115" s="146">
        <f t="shared" ref="I115:L115" si="233">SUM(I113:I114)</f>
        <v>0</v>
      </c>
      <c r="J115" s="146">
        <f t="shared" si="233"/>
        <v>0</v>
      </c>
      <c r="K115" s="146">
        <f t="shared" si="233"/>
        <v>0</v>
      </c>
      <c r="L115" s="146">
        <f t="shared" si="233"/>
        <v>0</v>
      </c>
      <c r="M115" s="146">
        <f t="shared" ref="M115:P115" si="234">SUM(M113:M114)</f>
        <v>0</v>
      </c>
      <c r="N115" s="146">
        <f t="shared" ref="N115" si="235">SUM(N113:N114)</f>
        <v>2129</v>
      </c>
      <c r="O115" s="146">
        <f t="shared" si="234"/>
        <v>4381</v>
      </c>
      <c r="P115" s="146">
        <f t="shared" si="234"/>
        <v>6687</v>
      </c>
      <c r="Q115" s="146">
        <f t="shared" ref="Q115:AA115" si="236">SUM(Q113:Q114)</f>
        <v>8699</v>
      </c>
      <c r="R115" s="146">
        <f t="shared" si="236"/>
        <v>10968</v>
      </c>
      <c r="S115" s="146">
        <f t="shared" si="236"/>
        <v>14303</v>
      </c>
      <c r="T115" s="146">
        <f t="shared" si="236"/>
        <v>17624</v>
      </c>
      <c r="U115" s="146">
        <f t="shared" si="236"/>
        <v>21160</v>
      </c>
      <c r="V115" s="146">
        <f t="shared" si="236"/>
        <v>24734</v>
      </c>
      <c r="W115" s="146">
        <f t="shared" si="236"/>
        <v>28231</v>
      </c>
      <c r="X115" s="146">
        <f t="shared" si="236"/>
        <v>31793</v>
      </c>
      <c r="Y115" s="146">
        <f t="shared" si="236"/>
        <v>35646</v>
      </c>
      <c r="Z115" s="146">
        <f t="shared" si="236"/>
        <v>39357</v>
      </c>
      <c r="AA115" s="146">
        <f t="shared" si="236"/>
        <v>43418</v>
      </c>
      <c r="AB115" s="32"/>
      <c r="AC115" s="133">
        <f t="shared" ref="AC115:AJ115" si="237">SUM(AC113:AC114)</f>
        <v>0</v>
      </c>
      <c r="AD115" s="133">
        <f t="shared" si="237"/>
        <v>10968</v>
      </c>
      <c r="AE115" s="133">
        <f t="shared" si="237"/>
        <v>14303</v>
      </c>
      <c r="AF115" s="146">
        <f t="shared" si="237"/>
        <v>17624</v>
      </c>
      <c r="AG115" s="146">
        <f t="shared" si="237"/>
        <v>21160</v>
      </c>
      <c r="AH115" s="146">
        <f t="shared" si="237"/>
        <v>24734</v>
      </c>
      <c r="AI115" s="146">
        <f t="shared" si="237"/>
        <v>28231</v>
      </c>
      <c r="AJ115" s="147">
        <f t="shared" si="237"/>
        <v>31793</v>
      </c>
      <c r="AK115" s="11"/>
      <c r="AL115" s="45"/>
    </row>
    <row r="116" spans="2:38" ht="5.0999999999999996" customHeight="1">
      <c r="B116" s="137"/>
      <c r="C116" s="71"/>
      <c r="D116" s="71"/>
      <c r="E116" s="71"/>
      <c r="F116" s="71"/>
      <c r="G116" s="71"/>
      <c r="H116" s="32"/>
      <c r="I116" s="71"/>
      <c r="J116" s="71"/>
      <c r="K116" s="71"/>
      <c r="L116" s="71"/>
      <c r="M116" s="71"/>
      <c r="N116" s="71"/>
      <c r="O116" s="71"/>
      <c r="P116" s="71"/>
      <c r="Q116" s="71"/>
      <c r="R116" s="71"/>
      <c r="S116" s="71"/>
      <c r="T116" s="71"/>
      <c r="U116" s="71"/>
      <c r="V116" s="71"/>
      <c r="W116" s="71"/>
      <c r="X116" s="71"/>
      <c r="Y116" s="71"/>
      <c r="Z116" s="71"/>
      <c r="AA116" s="71"/>
      <c r="AB116" s="32"/>
      <c r="AC116" s="71"/>
      <c r="AD116" s="71"/>
      <c r="AE116" s="71"/>
      <c r="AF116" s="71"/>
      <c r="AG116" s="71"/>
      <c r="AH116" s="71"/>
      <c r="AI116" s="71"/>
      <c r="AJ116" s="135"/>
      <c r="AK116" s="11"/>
      <c r="AL116" s="45"/>
    </row>
    <row r="117" spans="2:38">
      <c r="B117" s="130" t="s">
        <v>82</v>
      </c>
      <c r="C117" s="82"/>
      <c r="D117" s="82"/>
      <c r="E117" s="82"/>
      <c r="F117" s="82"/>
      <c r="G117" s="82"/>
      <c r="H117" s="32"/>
      <c r="I117" s="82"/>
      <c r="J117" s="82"/>
      <c r="K117" s="82"/>
      <c r="L117" s="82"/>
      <c r="M117" s="82"/>
      <c r="N117" s="82"/>
      <c r="O117" s="82"/>
      <c r="P117" s="32">
        <f t="shared" ref="P117" si="238">SUM(E116-SUM(M117:O117))</f>
        <v>0</v>
      </c>
      <c r="Q117" s="82"/>
      <c r="R117" s="82"/>
      <c r="S117" s="82"/>
      <c r="T117" s="32">
        <f>SUM(F117-SUM(Q117:S117))</f>
        <v>0</v>
      </c>
      <c r="U117" s="82"/>
      <c r="V117" s="82"/>
      <c r="W117" s="82"/>
      <c r="X117" s="32">
        <f>SUM(G117-SUM(U117:W117))</f>
        <v>0</v>
      </c>
      <c r="Y117" s="82"/>
      <c r="Z117" s="82"/>
      <c r="AA117" s="82"/>
      <c r="AB117" s="32"/>
      <c r="AC117" s="32">
        <f>SUM(Q117:T117)</f>
        <v>0</v>
      </c>
      <c r="AD117" s="32">
        <f>SUM(R117:U117)</f>
        <v>0</v>
      </c>
      <c r="AE117" s="32">
        <f>SUM(S117:V117)</f>
        <v>0</v>
      </c>
      <c r="AF117" s="32">
        <f>SUM(T117:W117)</f>
        <v>0</v>
      </c>
      <c r="AG117" s="32">
        <f>SUM(U117:X117)</f>
        <v>0</v>
      </c>
      <c r="AH117" s="32">
        <f>SUM(V117:Y117)</f>
        <v>0</v>
      </c>
      <c r="AI117" s="32">
        <f>SUM(W117:Z117)</f>
        <v>0</v>
      </c>
      <c r="AJ117" s="134">
        <f>SUM(X117:AA117)</f>
        <v>0</v>
      </c>
      <c r="AK117" s="11"/>
      <c r="AL117" s="45"/>
    </row>
    <row r="118" spans="2:38">
      <c r="B118" s="130" t="s">
        <v>92</v>
      </c>
      <c r="C118" s="82"/>
      <c r="D118" s="82"/>
      <c r="E118" s="82"/>
      <c r="F118" s="82"/>
      <c r="G118" s="82"/>
      <c r="H118" s="32"/>
      <c r="I118" s="82"/>
      <c r="J118" s="82"/>
      <c r="K118" s="82"/>
      <c r="L118" s="82"/>
      <c r="M118" s="82"/>
      <c r="N118" s="82"/>
      <c r="O118" s="82"/>
      <c r="P118" s="32">
        <f>E118</f>
        <v>0</v>
      </c>
      <c r="Q118" s="82"/>
      <c r="R118" s="82"/>
      <c r="S118" s="82"/>
      <c r="T118" s="32">
        <f>F118</f>
        <v>0</v>
      </c>
      <c r="U118" s="82"/>
      <c r="V118" s="82"/>
      <c r="W118" s="82"/>
      <c r="X118" s="32">
        <f>G118</f>
        <v>0</v>
      </c>
      <c r="Y118" s="82"/>
      <c r="Z118" s="82"/>
      <c r="AA118" s="82"/>
      <c r="AB118" s="32"/>
      <c r="AC118" s="32">
        <f t="shared" ref="AC118:AJ118" si="239">T118</f>
        <v>0</v>
      </c>
      <c r="AD118" s="32">
        <f t="shared" si="239"/>
        <v>0</v>
      </c>
      <c r="AE118" s="32">
        <f t="shared" si="239"/>
        <v>0</v>
      </c>
      <c r="AF118" s="32">
        <f t="shared" si="239"/>
        <v>0</v>
      </c>
      <c r="AG118" s="32">
        <f t="shared" si="239"/>
        <v>0</v>
      </c>
      <c r="AH118" s="32">
        <f t="shared" si="239"/>
        <v>0</v>
      </c>
      <c r="AI118" s="32">
        <f t="shared" si="239"/>
        <v>0</v>
      </c>
      <c r="AJ118" s="134">
        <f t="shared" si="239"/>
        <v>0</v>
      </c>
      <c r="AK118" s="11"/>
      <c r="AL118" s="45"/>
    </row>
    <row r="119" spans="2:38">
      <c r="B119" s="130" t="s">
        <v>59</v>
      </c>
      <c r="C119" s="32">
        <f t="shared" ref="C119:G119" si="240">+C111+C105+C98</f>
        <v>7404</v>
      </c>
      <c r="D119" s="32">
        <f t="shared" si="240"/>
        <v>8697</v>
      </c>
      <c r="E119" s="32">
        <f t="shared" si="240"/>
        <v>8699</v>
      </c>
      <c r="F119" s="32">
        <f t="shared" si="240"/>
        <v>12461</v>
      </c>
      <c r="G119" s="32">
        <f t="shared" si="240"/>
        <v>14486</v>
      </c>
      <c r="H119" s="32"/>
      <c r="I119" s="32">
        <f t="shared" ref="I119:L119" si="241">+I111+I105+I98</f>
        <v>2062</v>
      </c>
      <c r="J119" s="32">
        <f t="shared" si="241"/>
        <v>2180</v>
      </c>
      <c r="K119" s="32">
        <f t="shared" si="241"/>
        <v>2414</v>
      </c>
      <c r="L119" s="32">
        <f t="shared" si="241"/>
        <v>2041</v>
      </c>
      <c r="M119" s="32">
        <f t="shared" ref="M119:P119" si="242">+M111+M105+M98</f>
        <v>2129</v>
      </c>
      <c r="N119" s="32">
        <f t="shared" ref="N119" si="243">+N111+N105+N98</f>
        <v>2252</v>
      </c>
      <c r="O119" s="32">
        <f t="shared" si="242"/>
        <v>2306</v>
      </c>
      <c r="P119" s="32">
        <f t="shared" si="242"/>
        <v>2012</v>
      </c>
      <c r="Q119" s="32">
        <f t="shared" ref="Q119:AA119" si="244">+Q111+Q105+Q98</f>
        <v>2269</v>
      </c>
      <c r="R119" s="32">
        <f t="shared" si="244"/>
        <v>3335</v>
      </c>
      <c r="S119" s="32">
        <f t="shared" si="244"/>
        <v>3321</v>
      </c>
      <c r="T119" s="32">
        <f t="shared" si="244"/>
        <v>3536</v>
      </c>
      <c r="U119" s="32">
        <f t="shared" si="244"/>
        <v>3574</v>
      </c>
      <c r="V119" s="32">
        <f t="shared" si="244"/>
        <v>3497</v>
      </c>
      <c r="W119" s="32">
        <f t="shared" si="244"/>
        <v>3562</v>
      </c>
      <c r="X119" s="32">
        <f t="shared" si="244"/>
        <v>3853</v>
      </c>
      <c r="Y119" s="32">
        <f t="shared" si="244"/>
        <v>3711</v>
      </c>
      <c r="Z119" s="32">
        <f t="shared" si="244"/>
        <v>4061</v>
      </c>
      <c r="AA119" s="32">
        <f t="shared" si="244"/>
        <v>0</v>
      </c>
      <c r="AB119" s="32"/>
      <c r="AC119" s="32">
        <f>SUM(Q119:T119)</f>
        <v>12461</v>
      </c>
      <c r="AD119" s="32">
        <f>SUM(R119:U119)</f>
        <v>13766</v>
      </c>
      <c r="AE119" s="32">
        <f>SUM(S119:V119)</f>
        <v>13928</v>
      </c>
      <c r="AF119" s="32">
        <f>SUM(T119:W119)</f>
        <v>14169</v>
      </c>
      <c r="AG119" s="32">
        <f>SUM(U119:X119)</f>
        <v>14486</v>
      </c>
      <c r="AH119" s="32">
        <f>SUM(V119:Y119)</f>
        <v>14623</v>
      </c>
      <c r="AI119" s="32">
        <f>SUM(W119:Z119)</f>
        <v>15187</v>
      </c>
      <c r="AJ119" s="134">
        <f>SUM(X119:AA119)</f>
        <v>11625</v>
      </c>
      <c r="AK119" s="11"/>
      <c r="AL119" s="45"/>
    </row>
    <row r="120" spans="2:38">
      <c r="B120" s="89" t="s">
        <v>69</v>
      </c>
      <c r="C120" s="146">
        <f t="shared" ref="C120:G120" si="245">SUM(C115:C119)</f>
        <v>7404</v>
      </c>
      <c r="D120" s="146">
        <f t="shared" si="245"/>
        <v>16101</v>
      </c>
      <c r="E120" s="146">
        <f t="shared" si="245"/>
        <v>24800</v>
      </c>
      <c r="F120" s="146">
        <f t="shared" si="245"/>
        <v>37261</v>
      </c>
      <c r="G120" s="146">
        <f t="shared" si="245"/>
        <v>51747</v>
      </c>
      <c r="H120" s="32"/>
      <c r="I120" s="146">
        <f t="shared" ref="I120:L120" si="246">SUM(I115:I119)</f>
        <v>2062</v>
      </c>
      <c r="J120" s="146">
        <f t="shared" si="246"/>
        <v>2180</v>
      </c>
      <c r="K120" s="146">
        <f t="shared" si="246"/>
        <v>2414</v>
      </c>
      <c r="L120" s="146">
        <f t="shared" si="246"/>
        <v>2041</v>
      </c>
      <c r="M120" s="146">
        <f t="shared" ref="M120:P120" si="247">SUM(M115:M119)</f>
        <v>2129</v>
      </c>
      <c r="N120" s="146">
        <f t="shared" ref="N120" si="248">SUM(N115:N119)</f>
        <v>4381</v>
      </c>
      <c r="O120" s="146">
        <f t="shared" si="247"/>
        <v>6687</v>
      </c>
      <c r="P120" s="146">
        <f t="shared" si="247"/>
        <v>8699</v>
      </c>
      <c r="Q120" s="146">
        <f t="shared" ref="Q120:AA120" si="249">SUM(Q115:Q119)</f>
        <v>10968</v>
      </c>
      <c r="R120" s="146">
        <f t="shared" si="249"/>
        <v>14303</v>
      </c>
      <c r="S120" s="146">
        <f t="shared" si="249"/>
        <v>17624</v>
      </c>
      <c r="T120" s="146">
        <f t="shared" si="249"/>
        <v>21160</v>
      </c>
      <c r="U120" s="146">
        <f t="shared" si="249"/>
        <v>24734</v>
      </c>
      <c r="V120" s="146">
        <f t="shared" si="249"/>
        <v>28231</v>
      </c>
      <c r="W120" s="146">
        <f t="shared" si="249"/>
        <v>31793</v>
      </c>
      <c r="X120" s="146">
        <f t="shared" si="249"/>
        <v>35646</v>
      </c>
      <c r="Y120" s="146">
        <f t="shared" si="249"/>
        <v>39357</v>
      </c>
      <c r="Z120" s="146">
        <f t="shared" si="249"/>
        <v>43418</v>
      </c>
      <c r="AA120" s="146">
        <f t="shared" si="249"/>
        <v>43418</v>
      </c>
      <c r="AB120" s="32"/>
      <c r="AC120" s="133">
        <f t="shared" ref="AC120:AJ120" si="250">SUM(AC115:AC119)</f>
        <v>12461</v>
      </c>
      <c r="AD120" s="133">
        <f t="shared" si="250"/>
        <v>24734</v>
      </c>
      <c r="AE120" s="133">
        <f t="shared" si="250"/>
        <v>28231</v>
      </c>
      <c r="AF120" s="146">
        <f t="shared" si="250"/>
        <v>31793</v>
      </c>
      <c r="AG120" s="146">
        <f t="shared" si="250"/>
        <v>35646</v>
      </c>
      <c r="AH120" s="146">
        <f t="shared" si="250"/>
        <v>39357</v>
      </c>
      <c r="AI120" s="146">
        <f t="shared" si="250"/>
        <v>43418</v>
      </c>
      <c r="AJ120" s="147">
        <f t="shared" si="250"/>
        <v>43418</v>
      </c>
      <c r="AK120" s="11"/>
      <c r="AL120" s="45"/>
    </row>
    <row r="121" spans="2:38" ht="5.0999999999999996" customHeight="1">
      <c r="B121" s="90"/>
      <c r="C121" s="65"/>
      <c r="D121" s="65"/>
      <c r="E121" s="65"/>
      <c r="F121" s="65"/>
      <c r="G121" s="65"/>
      <c r="H121" s="32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C121" s="11"/>
      <c r="AD121" s="11"/>
      <c r="AE121" s="11"/>
      <c r="AF121" s="11"/>
      <c r="AG121" s="11"/>
      <c r="AH121" s="11"/>
      <c r="AI121" s="11"/>
      <c r="AJ121" s="91"/>
      <c r="AK121" s="11"/>
      <c r="AL121" s="45"/>
    </row>
    <row r="122" spans="2:38">
      <c r="B122" s="138" t="s">
        <v>85</v>
      </c>
      <c r="C122" s="87">
        <f>ROUND(C120-C44,1)</f>
        <v>7404</v>
      </c>
      <c r="D122" s="87">
        <f>ROUND(D120-D44,1)</f>
        <v>-8959</v>
      </c>
      <c r="E122" s="87">
        <f>ROUND(E120-E44,1)</f>
        <v>-2082</v>
      </c>
      <c r="F122" s="87">
        <f>ROUND(F120-F44,1)</f>
        <v>6409</v>
      </c>
      <c r="G122" s="87">
        <f>ROUND(G120-G44,1)</f>
        <v>17262</v>
      </c>
      <c r="H122" s="88"/>
      <c r="I122" s="87">
        <f t="shared" ref="I122:L122" si="251">I120-I44</f>
        <v>-6482</v>
      </c>
      <c r="J122" s="87">
        <f t="shared" si="251"/>
        <v>-4119</v>
      </c>
      <c r="K122" s="87">
        <f t="shared" si="251"/>
        <v>-2339</v>
      </c>
      <c r="L122" s="87">
        <f t="shared" si="251"/>
        <v>-23019</v>
      </c>
      <c r="M122" s="87">
        <f>M120-M44</f>
        <v>-4730</v>
      </c>
      <c r="N122" s="87">
        <f>N120-N44</f>
        <v>-2550</v>
      </c>
      <c r="O122" s="87">
        <f>O120-O44</f>
        <v>611</v>
      </c>
      <c r="P122" s="87">
        <f>P120-P44</f>
        <v>-18183</v>
      </c>
      <c r="Q122" s="87">
        <f>Q120-Q44</f>
        <v>1813</v>
      </c>
      <c r="R122" s="87">
        <f>R120-R44</f>
        <v>7531</v>
      </c>
      <c r="S122" s="87">
        <f>S120-S44</f>
        <v>11171</v>
      </c>
      <c r="T122" s="87">
        <f>T120-T44</f>
        <v>-9692</v>
      </c>
      <c r="U122" s="87">
        <f>U120-U44</f>
        <v>14776</v>
      </c>
      <c r="V122" s="87">
        <f>V120-V44</f>
        <v>20549</v>
      </c>
      <c r="W122" s="87">
        <f>W120-W44</f>
        <v>23796</v>
      </c>
      <c r="X122" s="87">
        <f>X120-X44</f>
        <v>1161</v>
      </c>
      <c r="Y122" s="87">
        <f>Y120-Y44</f>
        <v>28429</v>
      </c>
      <c r="Z122" s="87">
        <f>Z120-Z44</f>
        <v>33053</v>
      </c>
      <c r="AA122" s="87">
        <f>AA120-AA44</f>
        <v>43418</v>
      </c>
      <c r="AB122" s="87"/>
      <c r="AC122" s="87">
        <f>AC120-AC44</f>
        <v>-18391</v>
      </c>
      <c r="AD122" s="87">
        <f>AD120-AD44</f>
        <v>14776</v>
      </c>
      <c r="AE122" s="87">
        <f>AE120-AE44</f>
        <v>20549</v>
      </c>
      <c r="AF122" s="87">
        <f>AF120-AF44</f>
        <v>23796</v>
      </c>
      <c r="AG122" s="87">
        <f>AG120-AG44</f>
        <v>1161</v>
      </c>
      <c r="AH122" s="87">
        <f>AH120-AH44</f>
        <v>28429</v>
      </c>
      <c r="AI122" s="87">
        <f>AI120-AI44</f>
        <v>33053</v>
      </c>
      <c r="AJ122" s="136">
        <f>AJ120-AJ44</f>
        <v>43418</v>
      </c>
      <c r="AK122" s="11"/>
      <c r="AL122" s="45"/>
    </row>
    <row r="123" spans="2:38" ht="5.0999999999999996" customHeight="1">
      <c r="B123" s="8"/>
      <c r="C123" s="65"/>
      <c r="D123" s="65"/>
      <c r="E123" s="65"/>
      <c r="F123" s="65"/>
      <c r="G123" s="65"/>
      <c r="H123" s="32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C123" s="11"/>
      <c r="AD123" s="11"/>
      <c r="AE123" s="11"/>
      <c r="AF123" s="11"/>
      <c r="AG123" s="11"/>
      <c r="AH123" s="11"/>
      <c r="AI123" s="11"/>
      <c r="AJ123" s="11"/>
      <c r="AK123" s="11"/>
      <c r="AL123" s="45"/>
    </row>
    <row r="124" spans="2:38" ht="12.75" customHeight="1">
      <c r="B124" s="72" t="s">
        <v>60</v>
      </c>
      <c r="C124" s="62"/>
      <c r="D124" s="62"/>
      <c r="E124" s="62"/>
      <c r="F124" s="62"/>
      <c r="G124" s="62"/>
      <c r="H124" s="11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82"/>
      <c r="Z124" s="62"/>
      <c r="AA124" s="62"/>
      <c r="AC124" s="62"/>
      <c r="AD124" s="62"/>
      <c r="AE124" s="62"/>
      <c r="AF124" s="62"/>
      <c r="AG124" s="62"/>
      <c r="AH124" s="62"/>
      <c r="AI124" s="62"/>
      <c r="AJ124" s="62"/>
      <c r="AK124" s="66"/>
      <c r="AL124" s="45"/>
    </row>
    <row r="125" spans="2:38" ht="12.75" customHeight="1">
      <c r="B125" s="8" t="s">
        <v>93</v>
      </c>
      <c r="C125" s="82"/>
      <c r="D125" s="82"/>
      <c r="E125" s="82"/>
      <c r="F125" s="82"/>
      <c r="G125" s="82"/>
      <c r="H125" s="11"/>
      <c r="I125" s="82"/>
      <c r="J125" s="82"/>
      <c r="K125" s="82"/>
      <c r="L125" s="82"/>
      <c r="M125" s="82"/>
      <c r="N125" s="82"/>
      <c r="O125" s="82"/>
      <c r="P125" s="82"/>
      <c r="Q125" s="82"/>
      <c r="R125" s="82"/>
      <c r="S125" s="82"/>
      <c r="T125" s="32">
        <f>SUM(F125-SUM(Q125:S125))</f>
        <v>0</v>
      </c>
      <c r="U125" s="82"/>
      <c r="V125" s="82"/>
      <c r="W125" s="82"/>
      <c r="X125" s="32">
        <f>SUM(G125-SUM(U125:W125))</f>
        <v>0</v>
      </c>
      <c r="Y125" s="82"/>
      <c r="Z125" s="82"/>
      <c r="AA125" s="82"/>
      <c r="AC125" s="32">
        <f>SUM(Q125:T125)</f>
        <v>0</v>
      </c>
      <c r="AD125" s="32">
        <f>SUM(R125:U125)</f>
        <v>0</v>
      </c>
      <c r="AE125" s="32">
        <f>SUM(S125:V125)</f>
        <v>0</v>
      </c>
      <c r="AF125" s="32">
        <f>SUM(T125:W125)</f>
        <v>0</v>
      </c>
      <c r="AG125" s="32">
        <f>SUM(U125:X125)</f>
        <v>0</v>
      </c>
      <c r="AH125" s="32">
        <f>SUM(V125:Y125)</f>
        <v>0</v>
      </c>
      <c r="AI125" s="32">
        <f>SUM(W125:Z125)</f>
        <v>0</v>
      </c>
      <c r="AJ125" s="32">
        <f>SUM(X125:AA125)</f>
        <v>0</v>
      </c>
      <c r="AK125" s="66"/>
      <c r="AL125" s="45"/>
    </row>
    <row r="126" spans="2:38" ht="12.75" customHeight="1">
      <c r="B126" s="8" t="s">
        <v>109</v>
      </c>
      <c r="C126" s="82"/>
      <c r="D126" s="82"/>
      <c r="E126" s="82"/>
      <c r="F126" s="82"/>
      <c r="G126" s="82"/>
      <c r="H126" s="32"/>
      <c r="I126" s="82"/>
      <c r="J126" s="82"/>
      <c r="K126" s="82"/>
      <c r="L126" s="82"/>
      <c r="M126" s="82"/>
      <c r="N126" s="82"/>
      <c r="O126" s="82"/>
      <c r="P126" s="82"/>
      <c r="Q126" s="82"/>
      <c r="R126" s="82"/>
      <c r="S126" s="82"/>
      <c r="T126" s="32">
        <f>SUM(F126-SUM(Q126:S126))</f>
        <v>0</v>
      </c>
      <c r="U126" s="82"/>
      <c r="V126" s="82"/>
      <c r="W126" s="82"/>
      <c r="X126" s="32">
        <f>SUM(G126-SUM(U126:W126))</f>
        <v>0</v>
      </c>
      <c r="Y126" s="82"/>
      <c r="Z126" s="82"/>
      <c r="AA126" s="82"/>
      <c r="AB126" s="32"/>
      <c r="AC126" s="32">
        <f>SUM(Q126:T126)</f>
        <v>0</v>
      </c>
      <c r="AD126" s="32">
        <f>SUM(R126:U126)</f>
        <v>0</v>
      </c>
      <c r="AE126" s="32">
        <f>SUM(S126:V126)</f>
        <v>0</v>
      </c>
      <c r="AF126" s="32">
        <f>SUM(T126:W126)</f>
        <v>0</v>
      </c>
      <c r="AG126" s="32">
        <f>SUM(U126:X126)</f>
        <v>0</v>
      </c>
      <c r="AH126" s="32">
        <f>SUM(V126:Y126)</f>
        <v>0</v>
      </c>
      <c r="AI126" s="32">
        <f>SUM(W126:Z126)</f>
        <v>0</v>
      </c>
      <c r="AJ126" s="32">
        <f>SUM(X126:AA126)</f>
        <v>0</v>
      </c>
      <c r="AK126" s="11"/>
      <c r="AL126" s="45"/>
    </row>
    <row r="127" spans="2:38" ht="5.0999999999999996" customHeight="1" thickBot="1">
      <c r="B127" s="73"/>
      <c r="C127" s="74"/>
      <c r="D127" s="74"/>
      <c r="E127" s="74"/>
      <c r="F127" s="74"/>
      <c r="G127" s="74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L127" s="45"/>
    </row>
    <row r="128" spans="2:38" ht="12.75" customHeight="1">
      <c r="B128" s="53"/>
      <c r="C128" s="67"/>
      <c r="D128" s="67"/>
      <c r="E128" s="67"/>
      <c r="F128" s="67"/>
      <c r="G128" s="67"/>
    </row>
    <row r="129" spans="3:22" ht="12.75" customHeight="1">
      <c r="C129" s="56"/>
      <c r="D129" s="56"/>
      <c r="E129" s="56"/>
      <c r="F129" s="56"/>
      <c r="G129" s="56"/>
    </row>
    <row r="130" spans="3:22" ht="12.75" customHeight="1"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</row>
    <row r="131" spans="3:22" ht="12.75" customHeight="1"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</row>
    <row r="132" spans="3:22" ht="12.75" customHeight="1"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</row>
    <row r="133" spans="3:22" ht="12.75" customHeight="1"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</row>
    <row r="134" spans="3:22" ht="12.75" customHeight="1"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86"/>
    </row>
    <row r="135" spans="3:22" ht="12.75" customHeight="1"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</row>
    <row r="136" spans="3:22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86"/>
    </row>
    <row r="137" spans="3:22"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86"/>
    </row>
    <row r="138" spans="3:22"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86"/>
    </row>
    <row r="139" spans="3:22"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</row>
    <row r="140" spans="3:22"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86"/>
    </row>
    <row r="141" spans="3:22"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86"/>
    </row>
    <row r="142" spans="3:22"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</row>
    <row r="143" spans="3:22"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</row>
  </sheetData>
  <mergeCells count="3">
    <mergeCell ref="AL6:AL8"/>
    <mergeCell ref="AL39:AL41"/>
    <mergeCell ref="AL84:AL86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H49 AC22:AG23 AC27:AJ28" formulaRange="1"/>
    <ignoredError sqref="D22:G23 Q22:AA23 Q27:AA27 D27:G27 AJ105:AL107 AJ98:AL99 AK104 AJ100:AK100 AK108:AL108 M30:AJ32 M34:AJ35 M33:O33 Q33:AJ33 M37:AJ37 M36:O36 Q36:S36 Y36:AJ36 C30:H32 H29 AB29 C34:H37 C33:F33 H33" evalError="1"/>
    <ignoredError sqref="AC118:AJ118 AC117:AJ117" formula="1"/>
    <ignoredError sqref="AC29:AJ29" evalError="1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L17"/>
  <sheetViews>
    <sheetView showGridLines="0" zoomScale="115" zoomScaleNormal="115" workbookViewId="0">
      <selection activeCell="D21" sqref="D21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8" width="8" style="8" customWidth="1" outlineLevel="1"/>
    <col min="19" max="20" width="8.75" style="8" customWidth="1" outlineLevel="1"/>
    <col min="21" max="21" width="8.5" style="8" customWidth="1" outlineLevel="1"/>
    <col min="22" max="22" width="8.25" style="8" customWidth="1" outlineLevel="1"/>
    <col min="23" max="23" width="8.5" style="8" bestFit="1" customWidth="1"/>
    <col min="24" max="27" width="9.125" style="8" bestFit="1" customWidth="1"/>
    <col min="28" max="28" width="1.5" style="8" customWidth="1"/>
    <col min="29" max="33" width="8.75" style="8" customWidth="1" outlineLevel="1"/>
    <col min="34" max="34" width="8.75" style="8" customWidth="1"/>
    <col min="35" max="37" width="8.75" style="8" customWidth="1" outlineLevel="1"/>
    <col min="38" max="38" width="8.75" style="8" customWidth="1"/>
    <col min="39" max="16384" width="9" style="8"/>
  </cols>
  <sheetData>
    <row r="2" spans="1:38" s="5" customFormat="1" ht="12.75" customHeight="1">
      <c r="B2" s="1" t="str">
        <f>'Historical Financials'!B2</f>
        <v>Salesforce Inc (NYSE: CRM)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/>
      <c r="AF2" s="2"/>
      <c r="AG2" s="2"/>
      <c r="AH2" s="2" t="s">
        <v>10</v>
      </c>
      <c r="AI2" s="2"/>
      <c r="AJ2" s="2"/>
      <c r="AK2" s="2"/>
      <c r="AL2" s="2"/>
    </row>
    <row r="3" spans="1:38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4"/>
      <c r="AC3" s="4" t="str">
        <f>T3</f>
        <v>4Q23</v>
      </c>
      <c r="AD3" s="4" t="str">
        <f>U3</f>
        <v>1Q24</v>
      </c>
      <c r="AE3" s="4" t="str">
        <f>V3</f>
        <v>2Q24</v>
      </c>
      <c r="AF3" s="4" t="str">
        <f>W3</f>
        <v>3Q24</v>
      </c>
      <c r="AG3" s="4" t="str">
        <f>X3</f>
        <v>4Q24</v>
      </c>
      <c r="AH3" s="4" t="str">
        <f>Y3</f>
        <v>1Q25</v>
      </c>
      <c r="AI3" s="4" t="str">
        <f>Z3</f>
        <v>2Q25</v>
      </c>
      <c r="AJ3" s="4" t="str">
        <f>AA3</f>
        <v>3Q25</v>
      </c>
      <c r="AK3" s="4" t="e">
        <f>#REF!</f>
        <v>#REF!</v>
      </c>
      <c r="AL3" s="4" t="str">
        <f>AA3</f>
        <v>3Q25</v>
      </c>
    </row>
    <row r="4" spans="1:38" s="5" customFormat="1" ht="12.75" customHeight="1">
      <c r="B4" s="6" t="s">
        <v>156</v>
      </c>
      <c r="C4" s="3">
        <f>'Historical Financials'!C8</f>
        <v>0</v>
      </c>
      <c r="D4" s="3">
        <f>'Historical Financials'!D8</f>
        <v>0</v>
      </c>
      <c r="E4" s="3">
        <f>'Historical Financials'!E8</f>
        <v>0</v>
      </c>
      <c r="F4" s="3">
        <f>'Historical Financials'!F8</f>
        <v>0</v>
      </c>
      <c r="G4" s="3">
        <f>'Historical Financials'!G8</f>
        <v>0</v>
      </c>
      <c r="H4" s="3"/>
      <c r="I4" s="3">
        <f>'Historical Financials'!I8</f>
        <v>0</v>
      </c>
      <c r="J4" s="3">
        <f>'Historical Financials'!J8</f>
        <v>0</v>
      </c>
      <c r="K4" s="3">
        <f>'Historical Financials'!K8</f>
        <v>0</v>
      </c>
      <c r="L4" s="3">
        <f>'Historical Financials'!L8</f>
        <v>0</v>
      </c>
      <c r="M4" s="3">
        <f>'Historical Financials'!M8</f>
        <v>0</v>
      </c>
      <c r="N4" s="3">
        <f>'Historical Financials'!N8</f>
        <v>0</v>
      </c>
      <c r="O4" s="3">
        <f>'Historical Financials'!O8</f>
        <v>0</v>
      </c>
      <c r="P4" s="3">
        <f>'Historical Financials'!P8</f>
        <v>0</v>
      </c>
      <c r="Q4" s="3">
        <f>'Historical Financials'!Q8</f>
        <v>0</v>
      </c>
      <c r="R4" s="3">
        <f>'Historical Financials'!R8</f>
        <v>0</v>
      </c>
      <c r="S4" s="3">
        <f>'Historical Financials'!S8</f>
        <v>0</v>
      </c>
      <c r="T4" s="3">
        <f>'Historical Financials'!T8</f>
        <v>0</v>
      </c>
      <c r="U4" s="3">
        <f>'Historical Financials'!U8</f>
        <v>0</v>
      </c>
      <c r="V4" s="3">
        <f>'Historical Financials'!V8</f>
        <v>0</v>
      </c>
      <c r="W4" s="3">
        <f>'Historical Financials'!W8</f>
        <v>0</v>
      </c>
      <c r="X4" s="3">
        <f>'Historical Financials'!X8</f>
        <v>0</v>
      </c>
      <c r="Y4" s="3">
        <f>'Historical Financials'!Y8</f>
        <v>0</v>
      </c>
      <c r="Z4" s="3">
        <f>'Historical Financials'!Z8</f>
        <v>0</v>
      </c>
      <c r="AA4" s="3">
        <f>'Historical Financials'!AA8</f>
        <v>0</v>
      </c>
      <c r="AB4" s="3"/>
      <c r="AC4" s="3">
        <f>T4</f>
        <v>0</v>
      </c>
      <c r="AD4" s="3">
        <f>U4</f>
        <v>0</v>
      </c>
      <c r="AE4" s="3">
        <f>V4</f>
        <v>0</v>
      </c>
      <c r="AF4" s="3">
        <f>W4</f>
        <v>0</v>
      </c>
      <c r="AG4" s="3">
        <f>X4</f>
        <v>0</v>
      </c>
      <c r="AH4" s="3">
        <f>Y4</f>
        <v>0</v>
      </c>
      <c r="AI4" s="3">
        <f>Z4</f>
        <v>0</v>
      </c>
      <c r="AJ4" s="3">
        <f>AA4</f>
        <v>0</v>
      </c>
      <c r="AK4" s="3" t="e">
        <f>#REF!</f>
        <v>#REF!</v>
      </c>
      <c r="AL4" s="3">
        <f>AA4</f>
        <v>0</v>
      </c>
    </row>
    <row r="5" spans="1:38" ht="5.0999999999999996" customHeight="1"/>
    <row r="6" spans="1:38">
      <c r="A6" s="36" t="s">
        <v>16</v>
      </c>
      <c r="B6" s="1" t="s">
        <v>157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1:38" ht="5.0999999999999996" customHeight="1"/>
    <row r="8" spans="1:38" ht="12.75" customHeight="1">
      <c r="A8" s="80" t="s">
        <v>16</v>
      </c>
      <c r="B8" s="78" t="s">
        <v>158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32"/>
      <c r="U8" s="95"/>
      <c r="V8" s="95"/>
      <c r="W8" s="95"/>
      <c r="X8" s="32"/>
      <c r="Y8" s="95"/>
      <c r="Z8" s="95"/>
      <c r="AA8" s="95"/>
      <c r="AB8" s="5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ht="12.75" customHeight="1">
      <c r="A9" s="80"/>
      <c r="B9" s="9" t="s">
        <v>192</v>
      </c>
      <c r="C9" s="81"/>
      <c r="D9" s="81">
        <v>24657</v>
      </c>
      <c r="E9" s="81">
        <v>29024</v>
      </c>
      <c r="F9" s="81">
        <v>32537</v>
      </c>
      <c r="G9" s="81">
        <v>35679</v>
      </c>
      <c r="H9" s="10"/>
      <c r="I9" s="95">
        <v>5536</v>
      </c>
      <c r="J9" s="95">
        <v>5914</v>
      </c>
      <c r="K9" s="95">
        <v>6379</v>
      </c>
      <c r="L9" s="32">
        <f t="shared" ref="L9:L10" si="0">SUM(D9-SUM(I9:K9))</f>
        <v>6828</v>
      </c>
      <c r="M9" s="95">
        <v>6856</v>
      </c>
      <c r="N9" s="95">
        <v>7143</v>
      </c>
      <c r="O9" s="95">
        <v>7233</v>
      </c>
      <c r="P9" s="32">
        <f t="shared" ref="P9:P10" si="1">SUM(E9-SUM(M9:O9))</f>
        <v>7792</v>
      </c>
      <c r="Q9" s="95">
        <v>7642</v>
      </c>
      <c r="R9" s="95">
        <v>8006</v>
      </c>
      <c r="S9" s="95">
        <v>8141</v>
      </c>
      <c r="T9" s="32">
        <f t="shared" ref="T9:T10" si="2">SUM(F9-SUM(Q9:S9))</f>
        <v>8748</v>
      </c>
      <c r="U9" s="95">
        <v>8585</v>
      </c>
      <c r="V9" s="95">
        <v>8764</v>
      </c>
      <c r="W9" s="95">
        <v>8879</v>
      </c>
      <c r="X9" s="32">
        <f t="shared" ref="X9:X10" si="3">SUM(G9-SUM(U9:W9))</f>
        <v>9451</v>
      </c>
      <c r="Y9" s="82">
        <v>9297</v>
      </c>
      <c r="Z9" s="82">
        <v>9690</v>
      </c>
      <c r="AA9" s="81"/>
      <c r="AB9" s="5"/>
      <c r="AC9" s="32">
        <f t="shared" ref="AC9:AK9" si="4">SUM(O9:R9)</f>
        <v>30673</v>
      </c>
      <c r="AD9" s="32">
        <f t="shared" si="4"/>
        <v>31581</v>
      </c>
      <c r="AE9" s="32">
        <f t="shared" si="4"/>
        <v>32537</v>
      </c>
      <c r="AF9" s="32">
        <f t="shared" si="4"/>
        <v>33480</v>
      </c>
      <c r="AG9" s="32">
        <f t="shared" si="4"/>
        <v>34238</v>
      </c>
      <c r="AH9" s="32">
        <f t="shared" si="4"/>
        <v>34976</v>
      </c>
      <c r="AI9" s="32">
        <f t="shared" si="4"/>
        <v>35679</v>
      </c>
      <c r="AJ9" s="32">
        <f t="shared" si="4"/>
        <v>36391</v>
      </c>
      <c r="AK9" s="32">
        <f t="shared" si="4"/>
        <v>37317</v>
      </c>
      <c r="AL9" s="32">
        <f>SUM(X9:AA9)</f>
        <v>28438</v>
      </c>
    </row>
    <row r="10" spans="1:38">
      <c r="B10" s="9" t="s">
        <v>193</v>
      </c>
      <c r="C10" s="81"/>
      <c r="D10" s="81">
        <v>1835</v>
      </c>
      <c r="E10" s="81">
        <v>2331</v>
      </c>
      <c r="F10" s="81">
        <v>2320</v>
      </c>
      <c r="G10" s="81">
        <v>2216</v>
      </c>
      <c r="H10" s="81"/>
      <c r="I10" s="95">
        <v>427</v>
      </c>
      <c r="J10" s="95">
        <v>426</v>
      </c>
      <c r="K10" s="95">
        <v>484</v>
      </c>
      <c r="L10" s="32">
        <f t="shared" si="0"/>
        <v>498</v>
      </c>
      <c r="M10" s="95">
        <v>555</v>
      </c>
      <c r="N10" s="95">
        <v>577</v>
      </c>
      <c r="O10" s="95">
        <v>604</v>
      </c>
      <c r="P10" s="32">
        <f t="shared" si="1"/>
        <v>595</v>
      </c>
      <c r="Q10" s="95">
        <v>605</v>
      </c>
      <c r="R10" s="95">
        <v>597</v>
      </c>
      <c r="S10" s="95">
        <v>579</v>
      </c>
      <c r="T10" s="32">
        <f t="shared" si="2"/>
        <v>539</v>
      </c>
      <c r="U10" s="95">
        <v>548</v>
      </c>
      <c r="V10" s="95">
        <v>561</v>
      </c>
      <c r="W10" s="95">
        <v>565</v>
      </c>
      <c r="X10" s="32">
        <f t="shared" si="3"/>
        <v>542</v>
      </c>
      <c r="Y10" s="82">
        <v>532</v>
      </c>
      <c r="Z10" s="82">
        <v>546</v>
      </c>
      <c r="AA10" s="81"/>
      <c r="AB10" s="5"/>
      <c r="AC10" s="32">
        <f t="shared" ref="AC10" si="5">SUM(O10:R10)</f>
        <v>2401</v>
      </c>
      <c r="AD10" s="32">
        <f t="shared" ref="AD10" si="6">SUM(P10:S10)</f>
        <v>2376</v>
      </c>
      <c r="AE10" s="32">
        <f t="shared" ref="AE10" si="7">SUM(Q10:T10)</f>
        <v>2320</v>
      </c>
      <c r="AF10" s="32">
        <f t="shared" ref="AF10" si="8">SUM(R10:U10)</f>
        <v>2263</v>
      </c>
      <c r="AG10" s="32">
        <f t="shared" ref="AG10" si="9">SUM(S10:V10)</f>
        <v>2227</v>
      </c>
      <c r="AH10" s="32">
        <f t="shared" ref="AH10" si="10">SUM(T10:W10)</f>
        <v>2213</v>
      </c>
      <c r="AI10" s="32">
        <f t="shared" ref="AI10" si="11">SUM(U10:X10)</f>
        <v>2216</v>
      </c>
      <c r="AJ10" s="32">
        <f t="shared" ref="AJ10" si="12">SUM(V10:Y10)</f>
        <v>2200</v>
      </c>
      <c r="AK10" s="32">
        <f t="shared" ref="AK10" si="13">SUM(W10:Z10)</f>
        <v>2185</v>
      </c>
      <c r="AL10" s="32">
        <f>SUM(X10:AA10)</f>
        <v>1620</v>
      </c>
    </row>
    <row r="11" spans="1:38">
      <c r="B11" s="13" t="s">
        <v>65</v>
      </c>
      <c r="C11" s="14">
        <f>SUM(C9:C10)</f>
        <v>0</v>
      </c>
      <c r="D11" s="14">
        <f>SUM(D9:D10)</f>
        <v>26492</v>
      </c>
      <c r="E11" s="14">
        <f>SUM(E9:E10)</f>
        <v>31355</v>
      </c>
      <c r="F11" s="14">
        <f>SUM(F9:F10)</f>
        <v>34857</v>
      </c>
      <c r="G11" s="14">
        <f>SUM(G9:G10)</f>
        <v>37895</v>
      </c>
      <c r="H11" s="11"/>
      <c r="I11" s="14">
        <f t="shared" ref="I11" si="14">SUM(I9:I10)</f>
        <v>5963</v>
      </c>
      <c r="J11" s="14">
        <f t="shared" ref="J11:L11" si="15">SUM(J9:J10)</f>
        <v>6340</v>
      </c>
      <c r="K11" s="14">
        <f t="shared" si="15"/>
        <v>6863</v>
      </c>
      <c r="L11" s="14">
        <f t="shared" si="15"/>
        <v>7326</v>
      </c>
      <c r="M11" s="14">
        <f>SUM(M9:M10)</f>
        <v>7411</v>
      </c>
      <c r="N11" s="14">
        <f>SUM(N9:N10)</f>
        <v>7720</v>
      </c>
      <c r="O11" s="14">
        <f>SUM(O9:O10)</f>
        <v>7837</v>
      </c>
      <c r="P11" s="14">
        <f>SUM(P9:P10)</f>
        <v>8387</v>
      </c>
      <c r="Q11" s="14">
        <f>SUM(Q9:Q10)</f>
        <v>8247</v>
      </c>
      <c r="R11" s="14">
        <f>SUM(R9:R10)</f>
        <v>8603</v>
      </c>
      <c r="S11" s="14">
        <f>SUM(S9:S10)</f>
        <v>8720</v>
      </c>
      <c r="T11" s="14">
        <f>SUM(T9:T10)</f>
        <v>9287</v>
      </c>
      <c r="U11" s="14">
        <f>SUM(U9:U10)</f>
        <v>9133</v>
      </c>
      <c r="V11" s="14">
        <f>SUM(V9:V10)</f>
        <v>9325</v>
      </c>
      <c r="W11" s="14">
        <f>SUM(W9:W10)</f>
        <v>9444</v>
      </c>
      <c r="X11" s="14">
        <f>SUM(X9:X10)</f>
        <v>9993</v>
      </c>
      <c r="Y11" s="14">
        <f>SUM(Y9:Y10)</f>
        <v>9829</v>
      </c>
      <c r="Z11" s="14">
        <f>SUM(Z9:Z10)</f>
        <v>10236</v>
      </c>
      <c r="AA11" s="14">
        <f>SUM(AA9:AA10)</f>
        <v>0</v>
      </c>
      <c r="AB11" s="5"/>
      <c r="AC11" s="14">
        <f>SUM(AC9:AC10)</f>
        <v>33074</v>
      </c>
      <c r="AD11" s="14">
        <f>SUM(AD9:AD10)</f>
        <v>33957</v>
      </c>
      <c r="AE11" s="14">
        <f>SUM(AE9:AE10)</f>
        <v>34857</v>
      </c>
      <c r="AF11" s="14">
        <f>SUM(AF9:AF10)</f>
        <v>35743</v>
      </c>
      <c r="AG11" s="14">
        <f>SUM(AG9:AG10)</f>
        <v>36465</v>
      </c>
      <c r="AH11" s="14">
        <f>SUM(AH9:AH10)</f>
        <v>37189</v>
      </c>
      <c r="AI11" s="14">
        <f>SUM(AI9:AI10)</f>
        <v>37895</v>
      </c>
      <c r="AJ11" s="14">
        <f>SUM(AJ9:AJ10)</f>
        <v>38591</v>
      </c>
      <c r="AK11" s="14">
        <f>SUM(AK9:AK10)</f>
        <v>39502</v>
      </c>
      <c r="AL11" s="14">
        <f>SUM(AL9:AL10)</f>
        <v>30058</v>
      </c>
    </row>
    <row r="12" spans="1:38" outlineLevel="1">
      <c r="B12" s="131" t="s">
        <v>159</v>
      </c>
      <c r="C12" s="79">
        <f>C11-'Historical Financials'!C11</f>
        <v>-21252</v>
      </c>
      <c r="D12" s="79">
        <f>D11-'Historical Financials'!D11</f>
        <v>0</v>
      </c>
      <c r="E12" s="79">
        <f>E11-'Historical Financials'!E11</f>
        <v>0</v>
      </c>
      <c r="F12" s="79">
        <f>F11-'Historical Financials'!F11</f>
        <v>0</v>
      </c>
      <c r="G12" s="79">
        <f>G11-'Historical Financials'!G11</f>
        <v>0</v>
      </c>
      <c r="H12" s="11"/>
      <c r="I12" s="79">
        <f>I11-'Historical Financials'!I11</f>
        <v>0</v>
      </c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0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>
        <f>R11-'Historical Financials'!R11</f>
        <v>0</v>
      </c>
      <c r="S12" s="79">
        <f>S11-'Historical Financials'!S11</f>
        <v>0</v>
      </c>
      <c r="T12" s="79">
        <f>T11-'Historical Financials'!T11</f>
        <v>0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0</v>
      </c>
      <c r="X12" s="79">
        <f>X11-'Historical Financials'!X11</f>
        <v>0</v>
      </c>
      <c r="Y12" s="79">
        <f>Y11-'Historical Financials'!Y11</f>
        <v>0</v>
      </c>
      <c r="Z12" s="79">
        <f>Z11-'Historical Financials'!Z11</f>
        <v>0</v>
      </c>
      <c r="AA12" s="79">
        <f>AA11-'Historical Financials'!AA11</f>
        <v>0</v>
      </c>
      <c r="AB12" s="79"/>
      <c r="AC12" s="79">
        <f>AC11-'Historical Financials'!AC11</f>
        <v>-1783</v>
      </c>
      <c r="AD12" s="79">
        <f>AD11-'Historical Financials'!AD11</f>
        <v>-1786</v>
      </c>
      <c r="AE12" s="79">
        <f>AE11-'Historical Financials'!AE11</f>
        <v>-1608</v>
      </c>
      <c r="AF12" s="79">
        <f>AF11-'Historical Financials'!AF11</f>
        <v>-1446</v>
      </c>
      <c r="AG12" s="79">
        <f>AG11-'Historical Financials'!AG11</f>
        <v>-1430</v>
      </c>
      <c r="AH12" s="79">
        <f>AH11-'Historical Financials'!AH11</f>
        <v>-1402</v>
      </c>
      <c r="AI12" s="79">
        <f>AI11-'Historical Financials'!AI11</f>
        <v>-1607</v>
      </c>
      <c r="AJ12" s="79">
        <f>AJ11-'Historical Financials'!AJ11</f>
        <v>8533</v>
      </c>
      <c r="AK12" s="79">
        <f>AK11-'Historical Financials'!AK11</f>
        <v>39502</v>
      </c>
      <c r="AL12" s="79">
        <f>AL11-'Historical Financials'!AL11</f>
        <v>30058.19175024873</v>
      </c>
    </row>
    <row r="13" spans="1:38">
      <c r="B13" s="18"/>
      <c r="C13" s="19"/>
      <c r="D13" s="19"/>
      <c r="E13" s="19"/>
      <c r="F13" s="19"/>
      <c r="G13" s="19"/>
      <c r="H13" s="20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1"/>
      <c r="Y13" s="21"/>
      <c r="Z13" s="21"/>
      <c r="AA13" s="21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</row>
    <row r="14" spans="1:38">
      <c r="B14" s="152" t="str">
        <f>B9&amp;"(%)"</f>
        <v>Subscription and Support(%)</v>
      </c>
      <c r="C14" s="153" t="e">
        <f>SUM(C9/C$11)</f>
        <v>#DIV/0!</v>
      </c>
      <c r="D14" s="153">
        <f>SUM(D9/D$11)</f>
        <v>0.93073380643213044</v>
      </c>
      <c r="E14" s="153">
        <f>SUM(E9/E$11)</f>
        <v>0.92565778982618407</v>
      </c>
      <c r="F14" s="153">
        <f>SUM(F9/F$11)</f>
        <v>0.93344235017356625</v>
      </c>
      <c r="G14" s="153">
        <f>SUM(G9/G$11)</f>
        <v>0.94152262831508116</v>
      </c>
      <c r="H14" s="154"/>
      <c r="I14" s="153">
        <f t="shared" ref="I14:J14" si="16">SUM(I9/I$11)</f>
        <v>0.92839174911957068</v>
      </c>
      <c r="J14" s="153">
        <f t="shared" ref="J14:M14" si="17">SUM(J9/J$11)</f>
        <v>0.932807570977918</v>
      </c>
      <c r="K14" s="153">
        <f t="shared" si="17"/>
        <v>0.92947690514352321</v>
      </c>
      <c r="L14" s="153">
        <f t="shared" si="17"/>
        <v>0.93202293202293207</v>
      </c>
      <c r="M14" s="153">
        <f>SUM(M9/M$11)</f>
        <v>0.92511132100931048</v>
      </c>
      <c r="N14" s="153">
        <f>SUM(N9/N$11)</f>
        <v>0.92525906735751295</v>
      </c>
      <c r="O14" s="153">
        <f>SUM(O9/O$11)</f>
        <v>0.92292969248436907</v>
      </c>
      <c r="P14" s="153">
        <f>SUM(P9/P$11)</f>
        <v>0.92905687373315848</v>
      </c>
      <c r="Q14" s="153">
        <f>SUM(Q9/Q$11)</f>
        <v>0.92663999029950284</v>
      </c>
      <c r="R14" s="153">
        <f>SUM(R9/R$11)</f>
        <v>0.93060560269673365</v>
      </c>
      <c r="S14" s="153">
        <f>SUM(S9/S$11)</f>
        <v>0.93360091743119267</v>
      </c>
      <c r="T14" s="153">
        <f>SUM(T9/T$11)</f>
        <v>0.94196188220092603</v>
      </c>
      <c r="U14" s="153">
        <f>SUM(U9/U$11)</f>
        <v>0.93999781013905614</v>
      </c>
      <c r="V14" s="153">
        <f>SUM(V9/V$11)</f>
        <v>0.93983914209115282</v>
      </c>
      <c r="W14" s="153">
        <f>SUM(W9/W$11)</f>
        <v>0.9401736552308344</v>
      </c>
      <c r="X14" s="153">
        <f>SUM(X9/X$11)</f>
        <v>0.94576203342339638</v>
      </c>
      <c r="Y14" s="153">
        <f>SUM(Y9/Y$11)</f>
        <v>0.94587445314884522</v>
      </c>
      <c r="Z14" s="153">
        <f>SUM(Z9/Z$11)</f>
        <v>0.94665885111371628</v>
      </c>
      <c r="AA14" s="153" t="e">
        <f>SUM(AA9/AA$11)</f>
        <v>#DIV/0!</v>
      </c>
      <c r="AB14" s="154"/>
      <c r="AC14" s="155">
        <f t="shared" ref="AC14:AL15" si="18">R14</f>
        <v>0.93060560269673365</v>
      </c>
      <c r="AD14" s="155">
        <f t="shared" si="18"/>
        <v>0.93360091743119267</v>
      </c>
      <c r="AE14" s="155">
        <f t="shared" si="18"/>
        <v>0.94196188220092603</v>
      </c>
      <c r="AF14" s="155">
        <f t="shared" si="18"/>
        <v>0.93999781013905614</v>
      </c>
      <c r="AG14" s="155">
        <f t="shared" si="18"/>
        <v>0.93983914209115282</v>
      </c>
      <c r="AH14" s="155">
        <f t="shared" si="18"/>
        <v>0.9401736552308344</v>
      </c>
      <c r="AI14" s="155">
        <f t="shared" si="18"/>
        <v>0.94576203342339638</v>
      </c>
      <c r="AJ14" s="155">
        <f t="shared" si="18"/>
        <v>0.94587445314884522</v>
      </c>
      <c r="AK14" s="155">
        <f t="shared" si="18"/>
        <v>0.94665885111371628</v>
      </c>
      <c r="AL14" s="156" t="e">
        <f t="shared" si="18"/>
        <v>#DIV/0!</v>
      </c>
    </row>
    <row r="15" spans="1:38" ht="12.75" customHeight="1">
      <c r="B15" s="157" t="str">
        <f>B10&amp;"(%)"</f>
        <v>Professional Services and Other(%)</v>
      </c>
      <c r="C15" s="158" t="e">
        <f>SUM(C10/C$11)</f>
        <v>#DIV/0!</v>
      </c>
      <c r="D15" s="158">
        <f>SUM(D10/D$11)</f>
        <v>6.9266193567869547E-2</v>
      </c>
      <c r="E15" s="158">
        <f>SUM(E10/E$11)</f>
        <v>7.4342210173815981E-2</v>
      </c>
      <c r="F15" s="158">
        <f>SUM(F10/F$11)</f>
        <v>6.655764982643371E-2</v>
      </c>
      <c r="G15" s="158">
        <f>SUM(G10/G$11)</f>
        <v>5.8477371684918858E-2</v>
      </c>
      <c r="H15" s="159"/>
      <c r="I15" s="158">
        <f t="shared" ref="I15:J15" si="19">SUM(I10/I$11)</f>
        <v>7.1608250880429311E-2</v>
      </c>
      <c r="J15" s="158">
        <f t="shared" ref="J15:M15" si="20">SUM(J10/J$11)</f>
        <v>6.7192429022082015E-2</v>
      </c>
      <c r="K15" s="158">
        <f t="shared" si="20"/>
        <v>7.0523094856476759E-2</v>
      </c>
      <c r="L15" s="158">
        <f t="shared" si="20"/>
        <v>6.797706797706797E-2</v>
      </c>
      <c r="M15" s="158">
        <f>SUM(M10/M$11)</f>
        <v>7.4888678990689517E-2</v>
      </c>
      <c r="N15" s="158">
        <f>SUM(N10/N$11)</f>
        <v>7.4740932642487046E-2</v>
      </c>
      <c r="O15" s="158">
        <f>SUM(O10/O$11)</f>
        <v>7.7070307515630987E-2</v>
      </c>
      <c r="P15" s="158">
        <f>SUM(P10/P$11)</f>
        <v>7.0943126266841544E-2</v>
      </c>
      <c r="Q15" s="158">
        <f>SUM(Q10/Q$11)</f>
        <v>7.336000970049715E-2</v>
      </c>
      <c r="R15" s="158">
        <f>SUM(R10/R$11)</f>
        <v>6.9394397303266298E-2</v>
      </c>
      <c r="S15" s="158">
        <f>SUM(S10/S$11)</f>
        <v>6.6399082568807333E-2</v>
      </c>
      <c r="T15" s="158">
        <f>SUM(T10/T$11)</f>
        <v>5.8038117799073974E-2</v>
      </c>
      <c r="U15" s="158">
        <f>SUM(U10/U$11)</f>
        <v>6.0002189860943828E-2</v>
      </c>
      <c r="V15" s="158">
        <f>SUM(V10/V$11)</f>
        <v>6.0160857908847183E-2</v>
      </c>
      <c r="W15" s="158">
        <f>SUM(W10/W$11)</f>
        <v>5.982634476916561E-2</v>
      </c>
      <c r="X15" s="158">
        <f>SUM(X10/X$11)</f>
        <v>5.4237966576603625E-2</v>
      </c>
      <c r="Y15" s="158">
        <f>SUM(Y10/Y$11)</f>
        <v>5.4125546851154747E-2</v>
      </c>
      <c r="Z15" s="158">
        <f>SUM(Z10/Z$11)</f>
        <v>5.3341148886283704E-2</v>
      </c>
      <c r="AA15" s="158" t="e">
        <f>SUM(AA10/AA$11)</f>
        <v>#DIV/0!</v>
      </c>
      <c r="AB15" s="159"/>
      <c r="AC15" s="160">
        <f t="shared" si="18"/>
        <v>6.9394397303266298E-2</v>
      </c>
      <c r="AD15" s="160">
        <f t="shared" si="18"/>
        <v>6.6399082568807333E-2</v>
      </c>
      <c r="AE15" s="160">
        <f t="shared" si="18"/>
        <v>5.8038117799073974E-2</v>
      </c>
      <c r="AF15" s="160">
        <f t="shared" si="18"/>
        <v>6.0002189860943828E-2</v>
      </c>
      <c r="AG15" s="160">
        <f t="shared" si="18"/>
        <v>6.0160857908847183E-2</v>
      </c>
      <c r="AH15" s="160">
        <f t="shared" si="18"/>
        <v>5.982634476916561E-2</v>
      </c>
      <c r="AI15" s="160">
        <f t="shared" si="18"/>
        <v>5.4237966576603625E-2</v>
      </c>
      <c r="AJ15" s="160">
        <f t="shared" si="18"/>
        <v>5.4125546851154747E-2</v>
      </c>
      <c r="AK15" s="160">
        <f t="shared" si="18"/>
        <v>5.3341148886283704E-2</v>
      </c>
      <c r="AL15" s="161" t="e">
        <f t="shared" si="18"/>
        <v>#DIV/0!</v>
      </c>
    </row>
    <row r="16" spans="1:38">
      <c r="B16" s="18"/>
      <c r="C16" s="19"/>
      <c r="D16" s="19"/>
      <c r="E16" s="19"/>
      <c r="F16" s="19"/>
      <c r="G16" s="19"/>
      <c r="H16" s="20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/>
      <c r="U16" s="21"/>
      <c r="V16" s="21"/>
      <c r="W16" s="21"/>
      <c r="X16" s="21"/>
      <c r="Y16" s="21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</row>
    <row r="17" spans="12:24">
      <c r="L17" s="32">
        <f>SUM(D17-SUM(I17:K17))</f>
        <v>0</v>
      </c>
      <c r="M17" s="95"/>
      <c r="N17" s="95"/>
      <c r="O17" s="95"/>
      <c r="P17" s="32">
        <f>SUM(E17-SUM(M17:O17))</f>
        <v>0</v>
      </c>
      <c r="Q17" s="95"/>
      <c r="R17" s="95"/>
      <c r="S17" s="95"/>
      <c r="T17" s="32">
        <f>SUM(F17-SUM(Q17:S17))</f>
        <v>0</v>
      </c>
      <c r="U17" s="95"/>
      <c r="V17" s="95"/>
      <c r="W17" s="95"/>
      <c r="X17" s="32">
        <f>SUM(G17-SUM(U17:W17))</f>
        <v>0</v>
      </c>
    </row>
  </sheetData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12:D14 C15:D1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C98"/>
  <sheetViews>
    <sheetView showGridLines="0" zoomScale="115" zoomScaleNormal="115" workbookViewId="0">
      <selection activeCell="B7" sqref="B7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8.625" style="8" hidden="1" customWidth="1" outlineLevel="1"/>
    <col min="4" max="4" width="9" style="8" bestFit="1" customWidth="1" collapsed="1"/>
    <col min="5" max="5" width="9.25" style="8" bestFit="1" customWidth="1"/>
    <col min="6" max="6" width="9" style="8"/>
    <col min="7" max="7" width="1.5" style="8" customWidth="1"/>
    <col min="8" max="9" width="8" style="8" hidden="1" customWidth="1" outlineLevel="1"/>
    <col min="10" max="13" width="8.875" style="8" hidden="1" customWidth="1" outlineLevel="1"/>
    <col min="14" max="14" width="8.875" style="8" bestFit="1" customWidth="1" collapsed="1"/>
    <col min="15" max="18" width="8.875" style="8" bestFit="1" customWidth="1"/>
    <col min="19" max="19" width="1.625" style="8" customWidth="1"/>
    <col min="20" max="20" width="9.25" style="8" hidden="1" customWidth="1" outlineLevel="1"/>
    <col min="21" max="21" width="9.75" style="8" hidden="1" customWidth="1" outlineLevel="1"/>
    <col min="22" max="22" width="9" style="8" hidden="1" customWidth="1" outlineLevel="1"/>
    <col min="23" max="23" width="9" style="8" customWidth="1" collapsed="1"/>
    <col min="24" max="25" width="9" style="8" hidden="1" customWidth="1" outlineLevel="1"/>
    <col min="26" max="26" width="8.5" style="8" hidden="1" customWidth="1" outlineLevel="1"/>
    <col min="27" max="27" width="8.5" style="8" bestFit="1" customWidth="1" collapsed="1"/>
    <col min="28" max="28" width="1.5" style="8" customWidth="1"/>
    <col min="29" max="29" width="9.375" style="129" bestFit="1" customWidth="1"/>
    <col min="30" max="16384" width="9" style="8"/>
  </cols>
  <sheetData>
    <row r="2" spans="2:29" s="5" customFormat="1" ht="12.75" customHeight="1">
      <c r="B2" s="1" t="str">
        <f>'Historical Financials'!B2</f>
        <v>Salesforce Inc (NYSE: CRM)</v>
      </c>
      <c r="C2" s="2"/>
      <c r="D2" s="2" t="s">
        <v>0</v>
      </c>
      <c r="E2" s="2"/>
      <c r="F2" s="2"/>
      <c r="G2" s="3"/>
      <c r="H2" s="2" t="s">
        <v>1</v>
      </c>
      <c r="I2" s="2"/>
      <c r="J2" s="2"/>
      <c r="K2" s="2"/>
      <c r="L2" s="2"/>
      <c r="M2" s="2"/>
      <c r="N2" s="2" t="s">
        <v>1</v>
      </c>
      <c r="O2" s="2"/>
      <c r="P2" s="2"/>
      <c r="Q2" s="2"/>
      <c r="R2" s="2"/>
      <c r="S2" s="3"/>
      <c r="T2" s="2"/>
      <c r="U2" s="2"/>
      <c r="V2" s="2" t="s">
        <v>10</v>
      </c>
      <c r="W2" s="2" t="s">
        <v>10</v>
      </c>
      <c r="X2" s="2"/>
      <c r="Y2" s="2"/>
      <c r="Z2" s="2"/>
      <c r="AA2" s="2"/>
      <c r="AB2" s="3"/>
      <c r="AC2" s="165" t="s">
        <v>22</v>
      </c>
    </row>
    <row r="3" spans="2:29" s="5" customFormat="1" ht="12.75" customHeight="1">
      <c r="B3" s="6" t="s">
        <v>23</v>
      </c>
      <c r="C3" s="7">
        <f>'Historical Financials'!D7</f>
        <v>2021</v>
      </c>
      <c r="D3" s="7">
        <f>'Historical Financials'!E7</f>
        <v>2022</v>
      </c>
      <c r="E3" s="7">
        <f>'Historical Financials'!F7</f>
        <v>2023</v>
      </c>
      <c r="F3" s="7">
        <f>'Historical Financials'!G7</f>
        <v>2024</v>
      </c>
      <c r="G3" s="3"/>
      <c r="H3" s="7" t="str">
        <f>'Historical Financials'!Q7</f>
        <v>1Q23</v>
      </c>
      <c r="I3" s="7" t="str">
        <f>'Historical Financials'!R7</f>
        <v>2Q23</v>
      </c>
      <c r="J3" s="7" t="str">
        <f>'Historical Financials'!S7</f>
        <v>3Q23</v>
      </c>
      <c r="K3" s="7" t="str">
        <f>'Historical Financials'!T7</f>
        <v>4Q23</v>
      </c>
      <c r="L3" s="7" t="str">
        <f>'Historical Financials'!U7</f>
        <v>1Q24</v>
      </c>
      <c r="M3" s="7" t="str">
        <f>'Historical Financials'!V7</f>
        <v>2Q24</v>
      </c>
      <c r="N3" s="7" t="str">
        <f>'Historical Financials'!W7</f>
        <v>3Q24</v>
      </c>
      <c r="O3" s="7" t="str">
        <f>'Historical Financials'!X7</f>
        <v>4Q24</v>
      </c>
      <c r="P3" s="7" t="str">
        <f>'Historical Financials'!Y7</f>
        <v>1Q25</v>
      </c>
      <c r="Q3" s="7" t="str">
        <f>'Historical Financials'!Z7</f>
        <v>2Q25</v>
      </c>
      <c r="R3" s="7" t="str">
        <f>'Historical Financials'!AA7</f>
        <v>3Q25</v>
      </c>
      <c r="S3" s="3"/>
      <c r="T3" s="4" t="str">
        <f t="shared" ref="T3:AA4" si="0">K3</f>
        <v>4Q23</v>
      </c>
      <c r="U3" s="4" t="str">
        <f t="shared" si="0"/>
        <v>1Q24</v>
      </c>
      <c r="V3" s="4" t="str">
        <f t="shared" si="0"/>
        <v>2Q24</v>
      </c>
      <c r="W3" s="4" t="str">
        <f t="shared" si="0"/>
        <v>3Q24</v>
      </c>
      <c r="X3" s="4" t="str">
        <f t="shared" si="0"/>
        <v>4Q24</v>
      </c>
      <c r="Y3" s="4" t="str">
        <f t="shared" si="0"/>
        <v>1Q25</v>
      </c>
      <c r="Z3" s="4" t="str">
        <f t="shared" si="0"/>
        <v>2Q25</v>
      </c>
      <c r="AA3" s="4" t="str">
        <f t="shared" si="0"/>
        <v>3Q25</v>
      </c>
      <c r="AB3" s="3"/>
      <c r="AC3" s="165"/>
    </row>
    <row r="4" spans="2:29" s="5" customFormat="1" ht="12.75" customHeight="1">
      <c r="B4" s="6" t="s">
        <v>71</v>
      </c>
      <c r="C4" s="3">
        <f>'Historical Financials'!D8</f>
        <v>0</v>
      </c>
      <c r="D4" s="3">
        <f>'Historical Financials'!E8</f>
        <v>0</v>
      </c>
      <c r="E4" s="3">
        <f>'Historical Financials'!F8</f>
        <v>0</v>
      </c>
      <c r="F4" s="3">
        <f>'Historical Financials'!G8</f>
        <v>0</v>
      </c>
      <c r="G4" s="3"/>
      <c r="H4" s="3">
        <f>'Historical Financials'!Q8</f>
        <v>0</v>
      </c>
      <c r="I4" s="3">
        <f>'Historical Financials'!R8</f>
        <v>0</v>
      </c>
      <c r="J4" s="3">
        <f>'Historical Financials'!S8</f>
        <v>0</v>
      </c>
      <c r="K4" s="3">
        <f>'Historical Financials'!T8</f>
        <v>0</v>
      </c>
      <c r="L4" s="3">
        <f>'Historical Financials'!U8</f>
        <v>0</v>
      </c>
      <c r="M4" s="3">
        <f>'Historical Financials'!V8</f>
        <v>0</v>
      </c>
      <c r="N4" s="3">
        <f>'Historical Financials'!W8</f>
        <v>0</v>
      </c>
      <c r="O4" s="3">
        <f>'Historical Financials'!X8</f>
        <v>0</v>
      </c>
      <c r="P4" s="3">
        <f>'Historical Financials'!Y8</f>
        <v>0</v>
      </c>
      <c r="Q4" s="3">
        <f>'Historical Financials'!Z8</f>
        <v>0</v>
      </c>
      <c r="R4" s="3">
        <f>'Historical Financials'!AA8</f>
        <v>0</v>
      </c>
      <c r="S4" s="3"/>
      <c r="T4" s="3">
        <f t="shared" si="0"/>
        <v>0</v>
      </c>
      <c r="U4" s="3">
        <f t="shared" si="0"/>
        <v>0</v>
      </c>
      <c r="V4" s="3">
        <f t="shared" si="0"/>
        <v>0</v>
      </c>
      <c r="W4" s="3">
        <f t="shared" si="0"/>
        <v>0</v>
      </c>
      <c r="X4" s="3">
        <f t="shared" si="0"/>
        <v>0</v>
      </c>
      <c r="Y4" s="3">
        <f t="shared" si="0"/>
        <v>0</v>
      </c>
      <c r="Z4" s="3">
        <f t="shared" si="0"/>
        <v>0</v>
      </c>
      <c r="AA4" s="3">
        <f t="shared" si="0"/>
        <v>0</v>
      </c>
      <c r="AB4" s="3"/>
      <c r="AC4" s="165"/>
    </row>
    <row r="5" spans="2:29" ht="5.0999999999999996" customHeight="1">
      <c r="AC5" s="125"/>
    </row>
    <row r="6" spans="2:29" ht="12.75" customHeight="1">
      <c r="B6" s="9" t="str">
        <f>'Revenue Drivers'!B9</f>
        <v>Subscription and Support</v>
      </c>
      <c r="C6" s="94">
        <f>'Revenue Drivers'!E9</f>
        <v>29024</v>
      </c>
      <c r="D6" s="94">
        <f>'Revenue Drivers'!F9</f>
        <v>32537</v>
      </c>
      <c r="E6" s="94">
        <f>'Revenue Drivers'!G9</f>
        <v>35679</v>
      </c>
      <c r="F6" s="94" t="e">
        <f>'Revenue Drivers'!#REF!</f>
        <v>#REF!</v>
      </c>
      <c r="G6" s="10"/>
      <c r="H6" s="94">
        <f>'Revenue Drivers'!Q9</f>
        <v>7642</v>
      </c>
      <c r="I6" s="94">
        <f>'Revenue Drivers'!R9</f>
        <v>8006</v>
      </c>
      <c r="J6" s="94">
        <f>'Revenue Drivers'!S9</f>
        <v>8141</v>
      </c>
      <c r="K6" s="94">
        <f>'Revenue Drivers'!T9</f>
        <v>8748</v>
      </c>
      <c r="L6" s="94">
        <f>'Revenue Drivers'!U9</f>
        <v>8585</v>
      </c>
      <c r="M6" s="94">
        <f>'Revenue Drivers'!V9</f>
        <v>8764</v>
      </c>
      <c r="N6" s="94">
        <f>'Revenue Drivers'!W9</f>
        <v>8879</v>
      </c>
      <c r="O6" s="94">
        <f>'Revenue Drivers'!X9</f>
        <v>9451</v>
      </c>
      <c r="P6" s="94">
        <f>'Revenue Drivers'!Y9</f>
        <v>9297</v>
      </c>
      <c r="Q6" s="94">
        <f>'Revenue Drivers'!Z9</f>
        <v>9690</v>
      </c>
      <c r="R6" s="94">
        <f>'Revenue Drivers'!AA9</f>
        <v>0</v>
      </c>
      <c r="S6" s="5"/>
      <c r="T6" s="142">
        <f t="shared" ref="T6:Z9" si="1">SUM(H6:K6)</f>
        <v>32537</v>
      </c>
      <c r="U6" s="142">
        <f t="shared" si="1"/>
        <v>33480</v>
      </c>
      <c r="V6" s="142">
        <f t="shared" si="1"/>
        <v>34238</v>
      </c>
      <c r="W6" s="142">
        <f t="shared" si="1"/>
        <v>34976</v>
      </c>
      <c r="X6" s="142">
        <f t="shared" si="1"/>
        <v>35679</v>
      </c>
      <c r="Y6" s="142">
        <f t="shared" si="1"/>
        <v>36391</v>
      </c>
      <c r="Z6" s="142">
        <f t="shared" si="1"/>
        <v>37317</v>
      </c>
      <c r="AA6" s="142">
        <f>SUM(O6:R6)</f>
        <v>28438</v>
      </c>
      <c r="AC6" s="126">
        <f t="shared" ref="AC6:AC10" si="2">SUM(AA6/W6)-1</f>
        <v>-0.18692817932296435</v>
      </c>
    </row>
    <row r="7" spans="2:29" ht="12.75" customHeight="1">
      <c r="B7" s="9" t="e">
        <f>'Revenue Drivers'!#REF!</f>
        <v>#REF!</v>
      </c>
      <c r="C7" s="94" t="e">
        <f>'Revenue Drivers'!#REF!</f>
        <v>#REF!</v>
      </c>
      <c r="D7" s="94" t="e">
        <f>'Revenue Drivers'!#REF!</f>
        <v>#REF!</v>
      </c>
      <c r="E7" s="94" t="e">
        <f>'Revenue Drivers'!#REF!</f>
        <v>#REF!</v>
      </c>
      <c r="F7" s="94" t="e">
        <f>'Revenue Drivers'!#REF!</f>
        <v>#REF!</v>
      </c>
      <c r="G7" s="10"/>
      <c r="H7" s="94" t="e">
        <f>'Revenue Drivers'!#REF!</f>
        <v>#REF!</v>
      </c>
      <c r="I7" s="94" t="e">
        <f>'Revenue Drivers'!#REF!</f>
        <v>#REF!</v>
      </c>
      <c r="J7" s="94" t="e">
        <f>'Revenue Drivers'!#REF!</f>
        <v>#REF!</v>
      </c>
      <c r="K7" s="94" t="e">
        <f>'Revenue Drivers'!#REF!</f>
        <v>#REF!</v>
      </c>
      <c r="L7" s="94" t="e">
        <f>'Revenue Drivers'!#REF!</f>
        <v>#REF!</v>
      </c>
      <c r="M7" s="94" t="e">
        <f>'Revenue Drivers'!#REF!</f>
        <v>#REF!</v>
      </c>
      <c r="N7" s="94" t="e">
        <f>'Revenue Drivers'!#REF!</f>
        <v>#REF!</v>
      </c>
      <c r="O7" s="94" t="e">
        <f>'Revenue Drivers'!#REF!</f>
        <v>#REF!</v>
      </c>
      <c r="P7" s="94" t="e">
        <f>'Revenue Drivers'!#REF!</f>
        <v>#REF!</v>
      </c>
      <c r="Q7" s="94" t="e">
        <f>'Revenue Drivers'!#REF!</f>
        <v>#REF!</v>
      </c>
      <c r="R7" s="94" t="e">
        <f>'Revenue Drivers'!#REF!</f>
        <v>#REF!</v>
      </c>
      <c r="S7" s="5"/>
      <c r="T7" s="142" t="e">
        <f t="shared" si="1"/>
        <v>#REF!</v>
      </c>
      <c r="U7" s="142" t="e">
        <f t="shared" si="1"/>
        <v>#REF!</v>
      </c>
      <c r="V7" s="142" t="e">
        <f t="shared" si="1"/>
        <v>#REF!</v>
      </c>
      <c r="W7" s="142" t="e">
        <f t="shared" si="1"/>
        <v>#REF!</v>
      </c>
      <c r="X7" s="142" t="e">
        <f t="shared" si="1"/>
        <v>#REF!</v>
      </c>
      <c r="Y7" s="142" t="e">
        <f t="shared" si="1"/>
        <v>#REF!</v>
      </c>
      <c r="Z7" s="142" t="e">
        <f t="shared" si="1"/>
        <v>#REF!</v>
      </c>
      <c r="AA7" s="142" t="e">
        <f>SUM(O7:R7)</f>
        <v>#REF!</v>
      </c>
      <c r="AC7" s="126" t="e">
        <f t="shared" si="2"/>
        <v>#REF!</v>
      </c>
    </row>
    <row r="8" spans="2:29" ht="12.75" customHeight="1">
      <c r="B8" s="9" t="e">
        <f>'Revenue Drivers'!#REF!</f>
        <v>#REF!</v>
      </c>
      <c r="C8" s="94" t="e">
        <f>'Revenue Drivers'!#REF!</f>
        <v>#REF!</v>
      </c>
      <c r="D8" s="94" t="e">
        <f>'Revenue Drivers'!#REF!</f>
        <v>#REF!</v>
      </c>
      <c r="E8" s="94" t="e">
        <f>'Revenue Drivers'!#REF!</f>
        <v>#REF!</v>
      </c>
      <c r="F8" s="94" t="e">
        <f>'Revenue Drivers'!#REF!</f>
        <v>#REF!</v>
      </c>
      <c r="G8" s="10"/>
      <c r="H8" s="94" t="e">
        <f>'Revenue Drivers'!#REF!</f>
        <v>#REF!</v>
      </c>
      <c r="I8" s="94" t="e">
        <f>'Revenue Drivers'!#REF!</f>
        <v>#REF!</v>
      </c>
      <c r="J8" s="94" t="e">
        <f>'Revenue Drivers'!#REF!</f>
        <v>#REF!</v>
      </c>
      <c r="K8" s="94" t="e">
        <f>'Revenue Drivers'!#REF!</f>
        <v>#REF!</v>
      </c>
      <c r="L8" s="94" t="e">
        <f>'Revenue Drivers'!#REF!</f>
        <v>#REF!</v>
      </c>
      <c r="M8" s="94" t="e">
        <f>'Revenue Drivers'!#REF!</f>
        <v>#REF!</v>
      </c>
      <c r="N8" s="94" t="e">
        <f>'Revenue Drivers'!#REF!</f>
        <v>#REF!</v>
      </c>
      <c r="O8" s="94" t="e">
        <f>'Revenue Drivers'!#REF!</f>
        <v>#REF!</v>
      </c>
      <c r="P8" s="94" t="e">
        <f>'Revenue Drivers'!#REF!</f>
        <v>#REF!</v>
      </c>
      <c r="Q8" s="94" t="e">
        <f>'Revenue Drivers'!#REF!</f>
        <v>#REF!</v>
      </c>
      <c r="R8" s="94" t="e">
        <f>'Revenue Drivers'!#REF!</f>
        <v>#REF!</v>
      </c>
      <c r="S8" s="5"/>
      <c r="T8" s="142" t="e">
        <f t="shared" si="1"/>
        <v>#REF!</v>
      </c>
      <c r="U8" s="142" t="e">
        <f t="shared" si="1"/>
        <v>#REF!</v>
      </c>
      <c r="V8" s="142" t="e">
        <f t="shared" si="1"/>
        <v>#REF!</v>
      </c>
      <c r="W8" s="142" t="e">
        <f t="shared" si="1"/>
        <v>#REF!</v>
      </c>
      <c r="X8" s="142" t="e">
        <f t="shared" si="1"/>
        <v>#REF!</v>
      </c>
      <c r="Y8" s="142" t="e">
        <f t="shared" si="1"/>
        <v>#REF!</v>
      </c>
      <c r="Z8" s="142" t="e">
        <f t="shared" si="1"/>
        <v>#REF!</v>
      </c>
      <c r="AA8" s="142" t="e">
        <f>SUM(O8:R8)</f>
        <v>#REF!</v>
      </c>
      <c r="AC8" s="126" t="e">
        <f t="shared" si="2"/>
        <v>#REF!</v>
      </c>
    </row>
    <row r="9" spans="2:29" ht="12.75" customHeight="1">
      <c r="B9" s="9" t="str">
        <f>'Revenue Drivers'!B10</f>
        <v>Professional Services and Other</v>
      </c>
      <c r="C9" s="94">
        <f>'Revenue Drivers'!E10</f>
        <v>2331</v>
      </c>
      <c r="D9" s="94">
        <f>'Revenue Drivers'!F10</f>
        <v>2320</v>
      </c>
      <c r="E9" s="94">
        <f>'Revenue Drivers'!G10</f>
        <v>2216</v>
      </c>
      <c r="F9" s="94" t="e">
        <f>'Revenue Drivers'!#REF!</f>
        <v>#REF!</v>
      </c>
      <c r="G9" s="10"/>
      <c r="H9" s="94">
        <f>'Revenue Drivers'!Q10</f>
        <v>605</v>
      </c>
      <c r="I9" s="94">
        <f>'Revenue Drivers'!R10</f>
        <v>597</v>
      </c>
      <c r="J9" s="94">
        <f>'Revenue Drivers'!S10</f>
        <v>579</v>
      </c>
      <c r="K9" s="94">
        <f>'Revenue Drivers'!T10</f>
        <v>539</v>
      </c>
      <c r="L9" s="94">
        <f>'Revenue Drivers'!U10</f>
        <v>548</v>
      </c>
      <c r="M9" s="94">
        <f>'Revenue Drivers'!V10</f>
        <v>561</v>
      </c>
      <c r="N9" s="94">
        <f>'Revenue Drivers'!W10</f>
        <v>565</v>
      </c>
      <c r="O9" s="94">
        <f>'Revenue Drivers'!X10</f>
        <v>542</v>
      </c>
      <c r="P9" s="94">
        <f>'Revenue Drivers'!Y10</f>
        <v>532</v>
      </c>
      <c r="Q9" s="94">
        <f>'Revenue Drivers'!Z10</f>
        <v>546</v>
      </c>
      <c r="R9" s="94">
        <f>'Revenue Drivers'!AA10</f>
        <v>0</v>
      </c>
      <c r="S9" s="5"/>
      <c r="T9" s="142">
        <f t="shared" si="1"/>
        <v>2320</v>
      </c>
      <c r="U9" s="142">
        <f t="shared" si="1"/>
        <v>2263</v>
      </c>
      <c r="V9" s="142">
        <f t="shared" si="1"/>
        <v>2227</v>
      </c>
      <c r="W9" s="142">
        <f t="shared" si="1"/>
        <v>2213</v>
      </c>
      <c r="X9" s="142">
        <f t="shared" si="1"/>
        <v>2216</v>
      </c>
      <c r="Y9" s="142">
        <f t="shared" si="1"/>
        <v>2200</v>
      </c>
      <c r="Z9" s="142">
        <f t="shared" si="1"/>
        <v>2185</v>
      </c>
      <c r="AA9" s="142">
        <f>SUM(O9:R9)</f>
        <v>1620</v>
      </c>
      <c r="AC9" s="126">
        <f t="shared" si="2"/>
        <v>-0.26796204247627653</v>
      </c>
    </row>
    <row r="10" spans="2:29" ht="12.75" customHeight="1">
      <c r="B10" s="13" t="s">
        <v>12</v>
      </c>
      <c r="C10" s="14" t="e">
        <f>SUM(C6:C9)</f>
        <v>#REF!</v>
      </c>
      <c r="D10" s="14" t="e">
        <f>SUM(D6:D9)</f>
        <v>#REF!</v>
      </c>
      <c r="E10" s="14" t="e">
        <f>SUM(E6:E9)</f>
        <v>#REF!</v>
      </c>
      <c r="F10" s="14" t="e">
        <f>SUM(F6:F9)</f>
        <v>#REF!</v>
      </c>
      <c r="G10" s="10"/>
      <c r="H10" s="14" t="e">
        <f t="shared" ref="H10:R10" si="3">SUM(H6:H9)</f>
        <v>#REF!</v>
      </c>
      <c r="I10" s="14" t="e">
        <f t="shared" si="3"/>
        <v>#REF!</v>
      </c>
      <c r="J10" s="14" t="e">
        <f t="shared" si="3"/>
        <v>#REF!</v>
      </c>
      <c r="K10" s="14" t="e">
        <f t="shared" si="3"/>
        <v>#REF!</v>
      </c>
      <c r="L10" s="14" t="e">
        <f t="shared" si="3"/>
        <v>#REF!</v>
      </c>
      <c r="M10" s="14" t="e">
        <f t="shared" si="3"/>
        <v>#REF!</v>
      </c>
      <c r="N10" s="14" t="e">
        <f t="shared" si="3"/>
        <v>#REF!</v>
      </c>
      <c r="O10" s="14" t="e">
        <f t="shared" si="3"/>
        <v>#REF!</v>
      </c>
      <c r="P10" s="14" t="e">
        <f t="shared" si="3"/>
        <v>#REF!</v>
      </c>
      <c r="Q10" s="14" t="e">
        <f t="shared" si="3"/>
        <v>#REF!</v>
      </c>
      <c r="R10" s="14" t="e">
        <f t="shared" si="3"/>
        <v>#REF!</v>
      </c>
      <c r="S10" s="5"/>
      <c r="T10" s="14" t="e">
        <f t="shared" ref="T10:AA10" si="4">SUM(T6:T9)</f>
        <v>#REF!</v>
      </c>
      <c r="U10" s="14" t="e">
        <f t="shared" si="4"/>
        <v>#REF!</v>
      </c>
      <c r="V10" s="14" t="e">
        <f t="shared" si="4"/>
        <v>#REF!</v>
      </c>
      <c r="W10" s="14" t="e">
        <f t="shared" si="4"/>
        <v>#REF!</v>
      </c>
      <c r="X10" s="14" t="e">
        <f t="shared" si="4"/>
        <v>#REF!</v>
      </c>
      <c r="Y10" s="14" t="e">
        <f t="shared" si="4"/>
        <v>#REF!</v>
      </c>
      <c r="Z10" s="14" t="e">
        <f t="shared" si="4"/>
        <v>#REF!</v>
      </c>
      <c r="AA10" s="14" t="e">
        <f t="shared" si="4"/>
        <v>#REF!</v>
      </c>
      <c r="AC10" s="127" t="e">
        <f t="shared" si="2"/>
        <v>#REF!</v>
      </c>
    </row>
    <row r="11" spans="2:29" ht="12.75" customHeight="1">
      <c r="B11" s="16" t="s">
        <v>26</v>
      </c>
      <c r="C11" s="115"/>
      <c r="D11" s="17" t="e">
        <f>SUM(D10/C10)-1</f>
        <v>#REF!</v>
      </c>
      <c r="E11" s="17" t="e">
        <f>SUM(E10/D10)-1</f>
        <v>#REF!</v>
      </c>
      <c r="F11" s="17" t="e">
        <f>SUM(F10/E10)-1</f>
        <v>#REF!</v>
      </c>
      <c r="G11" s="11"/>
      <c r="H11" s="115"/>
      <c r="I11" s="115"/>
      <c r="J11" s="115"/>
      <c r="K11" s="115"/>
      <c r="L11" s="17" t="e">
        <f t="shared" ref="L11:R11" si="5">SUM(L10/H10)-1</f>
        <v>#REF!</v>
      </c>
      <c r="M11" s="17" t="e">
        <f t="shared" si="5"/>
        <v>#REF!</v>
      </c>
      <c r="N11" s="17" t="e">
        <f t="shared" si="5"/>
        <v>#REF!</v>
      </c>
      <c r="O11" s="17" t="e">
        <f t="shared" si="5"/>
        <v>#REF!</v>
      </c>
      <c r="P11" s="17" t="e">
        <f t="shared" si="5"/>
        <v>#REF!</v>
      </c>
      <c r="Q11" s="17" t="e">
        <f t="shared" si="5"/>
        <v>#REF!</v>
      </c>
      <c r="R11" s="17" t="e">
        <f t="shared" si="5"/>
        <v>#REF!</v>
      </c>
      <c r="S11" s="5"/>
      <c r="T11" s="115"/>
      <c r="U11" s="115"/>
      <c r="V11" s="115"/>
      <c r="W11" s="115"/>
      <c r="X11" s="17" t="e">
        <f t="shared" ref="X11:AA11" si="6">SUM(X10/T10)-1</f>
        <v>#REF!</v>
      </c>
      <c r="Y11" s="17" t="e">
        <f t="shared" si="6"/>
        <v>#REF!</v>
      </c>
      <c r="Z11" s="17" t="e">
        <f t="shared" si="6"/>
        <v>#REF!</v>
      </c>
      <c r="AA11" s="17" t="e">
        <f t="shared" si="6"/>
        <v>#REF!</v>
      </c>
      <c r="AC11" s="128" t="e">
        <f>SUM(AA11-W11)*10000</f>
        <v>#REF!</v>
      </c>
    </row>
    <row r="12" spans="2:29" ht="12.75" customHeight="1">
      <c r="B12" s="16" t="s">
        <v>27</v>
      </c>
      <c r="C12" s="17" t="s">
        <v>28</v>
      </c>
      <c r="D12" s="17" t="s">
        <v>28</v>
      </c>
      <c r="E12" s="17" t="s">
        <v>28</v>
      </c>
      <c r="F12" s="17" t="s">
        <v>28</v>
      </c>
      <c r="G12" s="11"/>
      <c r="H12" s="115"/>
      <c r="I12" s="17" t="e">
        <f t="shared" ref="I12:R12" si="7">SUM(I10/H10)-1</f>
        <v>#REF!</v>
      </c>
      <c r="J12" s="17" t="e">
        <f t="shared" si="7"/>
        <v>#REF!</v>
      </c>
      <c r="K12" s="17" t="e">
        <f t="shared" si="7"/>
        <v>#REF!</v>
      </c>
      <c r="L12" s="17" t="e">
        <f t="shared" si="7"/>
        <v>#REF!</v>
      </c>
      <c r="M12" s="17" t="e">
        <f t="shared" si="7"/>
        <v>#REF!</v>
      </c>
      <c r="N12" s="17" t="e">
        <f t="shared" si="7"/>
        <v>#REF!</v>
      </c>
      <c r="O12" s="17" t="e">
        <f t="shared" si="7"/>
        <v>#REF!</v>
      </c>
      <c r="P12" s="17" t="e">
        <f t="shared" si="7"/>
        <v>#REF!</v>
      </c>
      <c r="Q12" s="17" t="e">
        <f t="shared" si="7"/>
        <v>#REF!</v>
      </c>
      <c r="R12" s="17" t="e">
        <f t="shared" si="7"/>
        <v>#REF!</v>
      </c>
      <c r="S12" s="5"/>
      <c r="T12" s="17" t="s">
        <v>28</v>
      </c>
      <c r="U12" s="17" t="s">
        <v>28</v>
      </c>
      <c r="V12" s="17" t="s">
        <v>28</v>
      </c>
      <c r="W12" s="17" t="s">
        <v>28</v>
      </c>
      <c r="X12" s="17" t="s">
        <v>28</v>
      </c>
      <c r="Y12" s="17" t="s">
        <v>28</v>
      </c>
      <c r="Z12" s="17" t="s">
        <v>28</v>
      </c>
      <c r="AA12" s="17" t="s">
        <v>28</v>
      </c>
      <c r="AC12" s="125"/>
    </row>
    <row r="13" spans="2:29" ht="5.0999999999999996" customHeight="1">
      <c r="B13" s="18"/>
      <c r="C13" s="19"/>
      <c r="D13" s="19"/>
      <c r="E13" s="19"/>
      <c r="F13" s="19"/>
      <c r="G13" s="20"/>
      <c r="H13" s="21"/>
      <c r="I13" s="21"/>
      <c r="J13" s="21"/>
      <c r="K13" s="22"/>
      <c r="L13" s="21"/>
      <c r="M13" s="21"/>
      <c r="N13" s="21"/>
      <c r="O13" s="21"/>
      <c r="P13" s="21"/>
      <c r="Q13" s="21"/>
      <c r="R13" s="21"/>
      <c r="S13" s="20"/>
      <c r="T13" s="20"/>
      <c r="U13" s="20"/>
      <c r="V13" s="20"/>
      <c r="W13" s="20"/>
      <c r="X13" s="20"/>
      <c r="Y13" s="20"/>
      <c r="Z13" s="20"/>
      <c r="AA13" s="20"/>
      <c r="AC13" s="125"/>
    </row>
    <row r="14" spans="2:29" ht="12.75" customHeight="1">
      <c r="B14" s="23" t="s">
        <v>115</v>
      </c>
      <c r="C14" s="94" t="e">
        <f>'Historical Financials'!#REF!</f>
        <v>#REF!</v>
      </c>
      <c r="D14" s="94" t="e">
        <f>'Historical Financials'!#REF!</f>
        <v>#REF!</v>
      </c>
      <c r="E14" s="94" t="e">
        <f>'Historical Financials'!#REF!</f>
        <v>#REF!</v>
      </c>
      <c r="F14" s="94" t="e">
        <f>'Historical Financials'!#REF!</f>
        <v>#REF!</v>
      </c>
      <c r="G14" s="10"/>
      <c r="H14" s="94" t="e">
        <f>'Historical Financials'!#REF!</f>
        <v>#REF!</v>
      </c>
      <c r="I14" s="94" t="e">
        <f>'Historical Financials'!#REF!</f>
        <v>#REF!</v>
      </c>
      <c r="J14" s="94" t="e">
        <f>'Historical Financials'!#REF!</f>
        <v>#REF!</v>
      </c>
      <c r="K14" s="94" t="e">
        <f>'Historical Financials'!#REF!</f>
        <v>#REF!</v>
      </c>
      <c r="L14" s="94" t="e">
        <f>'Historical Financials'!#REF!</f>
        <v>#REF!</v>
      </c>
      <c r="M14" s="94" t="e">
        <f>'Historical Financials'!#REF!</f>
        <v>#REF!</v>
      </c>
      <c r="N14" s="94" t="e">
        <f>'Historical Financials'!#REF!</f>
        <v>#REF!</v>
      </c>
      <c r="O14" s="94" t="e">
        <f>'Historical Financials'!#REF!</f>
        <v>#REF!</v>
      </c>
      <c r="P14" s="94" t="e">
        <f>'Historical Financials'!#REF!</f>
        <v>#REF!</v>
      </c>
      <c r="Q14" s="94" t="e">
        <f>'Historical Financials'!#REF!</f>
        <v>#REF!</v>
      </c>
      <c r="R14" s="94" t="e">
        <f>'Historical Financials'!#REF!</f>
        <v>#REF!</v>
      </c>
      <c r="S14" s="5"/>
      <c r="T14" s="142" t="e">
        <f t="shared" ref="T14:Z15" si="8">SUM(H14:K14)</f>
        <v>#REF!</v>
      </c>
      <c r="U14" s="142" t="e">
        <f t="shared" si="8"/>
        <v>#REF!</v>
      </c>
      <c r="V14" s="142" t="e">
        <f t="shared" si="8"/>
        <v>#REF!</v>
      </c>
      <c r="W14" s="142" t="e">
        <f t="shared" si="8"/>
        <v>#REF!</v>
      </c>
      <c r="X14" s="142" t="e">
        <f t="shared" si="8"/>
        <v>#REF!</v>
      </c>
      <c r="Y14" s="142" t="e">
        <f t="shared" si="8"/>
        <v>#REF!</v>
      </c>
      <c r="Z14" s="142" t="e">
        <f t="shared" si="8"/>
        <v>#REF!</v>
      </c>
      <c r="AA14" s="142" t="e">
        <f>SUM(O14:R14)</f>
        <v>#REF!</v>
      </c>
      <c r="AC14" s="126" t="e">
        <f t="shared" ref="AC14:AC15" si="9">SUM(AA14/W14)-1</f>
        <v>#REF!</v>
      </c>
    </row>
    <row r="15" spans="2:29" ht="12.75" customHeight="1">
      <c r="B15" s="23" t="s">
        <v>116</v>
      </c>
      <c r="C15" s="94" t="e">
        <f>'Historical Financials'!#REF!</f>
        <v>#REF!</v>
      </c>
      <c r="D15" s="94" t="e">
        <f>'Historical Financials'!#REF!</f>
        <v>#REF!</v>
      </c>
      <c r="E15" s="94" t="e">
        <f>'Historical Financials'!#REF!</f>
        <v>#REF!</v>
      </c>
      <c r="F15" s="94" t="e">
        <f>'Historical Financials'!#REF!</f>
        <v>#REF!</v>
      </c>
      <c r="G15" s="10"/>
      <c r="H15" s="94" t="e">
        <f>'Historical Financials'!#REF!</f>
        <v>#REF!</v>
      </c>
      <c r="I15" s="94" t="e">
        <f>'Historical Financials'!#REF!</f>
        <v>#REF!</v>
      </c>
      <c r="J15" s="94" t="e">
        <f>'Historical Financials'!#REF!</f>
        <v>#REF!</v>
      </c>
      <c r="K15" s="94" t="e">
        <f>'Historical Financials'!#REF!</f>
        <v>#REF!</v>
      </c>
      <c r="L15" s="94" t="e">
        <f>'Historical Financials'!#REF!</f>
        <v>#REF!</v>
      </c>
      <c r="M15" s="94" t="e">
        <f>'Historical Financials'!#REF!</f>
        <v>#REF!</v>
      </c>
      <c r="N15" s="94" t="e">
        <f>'Historical Financials'!#REF!</f>
        <v>#REF!</v>
      </c>
      <c r="O15" s="94" t="e">
        <f>'Historical Financials'!#REF!</f>
        <v>#REF!</v>
      </c>
      <c r="P15" s="94" t="e">
        <f>'Historical Financials'!#REF!</f>
        <v>#REF!</v>
      </c>
      <c r="Q15" s="94" t="e">
        <f>'Historical Financials'!#REF!</f>
        <v>#REF!</v>
      </c>
      <c r="R15" s="94" t="e">
        <f>'Historical Financials'!#REF!</f>
        <v>#REF!</v>
      </c>
      <c r="S15" s="5"/>
      <c r="T15" s="142" t="e">
        <f t="shared" si="8"/>
        <v>#REF!</v>
      </c>
      <c r="U15" s="142" t="e">
        <f t="shared" si="8"/>
        <v>#REF!</v>
      </c>
      <c r="V15" s="142" t="e">
        <f t="shared" si="8"/>
        <v>#REF!</v>
      </c>
      <c r="W15" s="142" t="e">
        <f t="shared" si="8"/>
        <v>#REF!</v>
      </c>
      <c r="X15" s="142" t="e">
        <f t="shared" si="8"/>
        <v>#REF!</v>
      </c>
      <c r="Y15" s="142" t="e">
        <f t="shared" si="8"/>
        <v>#REF!</v>
      </c>
      <c r="Z15" s="142" t="e">
        <f t="shared" si="8"/>
        <v>#REF!</v>
      </c>
      <c r="AA15" s="142" t="e">
        <f>SUM(O15:R15)</f>
        <v>#REF!</v>
      </c>
      <c r="AC15" s="126" t="e">
        <f t="shared" si="9"/>
        <v>#REF!</v>
      </c>
    </row>
    <row r="16" spans="2:29" ht="12.75" customHeight="1">
      <c r="B16" s="25" t="s">
        <v>20</v>
      </c>
      <c r="C16" s="26" t="e">
        <f>SUM(C10+SUM(C14:C15))</f>
        <v>#REF!</v>
      </c>
      <c r="D16" s="26" t="e">
        <f t="shared" ref="D16:F16" si="10">SUM(D10+SUM(D14:D15))</f>
        <v>#REF!</v>
      </c>
      <c r="E16" s="26" t="e">
        <f t="shared" si="10"/>
        <v>#REF!</v>
      </c>
      <c r="F16" s="26" t="e">
        <f t="shared" si="10"/>
        <v>#REF!</v>
      </c>
      <c r="G16" s="5"/>
      <c r="H16" s="26" t="e">
        <f t="shared" ref="H16" si="11">SUM(H10+SUM(H14:H15))</f>
        <v>#REF!</v>
      </c>
      <c r="I16" s="26" t="e">
        <f t="shared" ref="I16" si="12">SUM(I10+SUM(I14:I15))</f>
        <v>#REF!</v>
      </c>
      <c r="J16" s="26" t="e">
        <f t="shared" ref="J16" si="13">SUM(J10+SUM(J14:J15))</f>
        <v>#REF!</v>
      </c>
      <c r="K16" s="26" t="e">
        <f t="shared" ref="K16" si="14">SUM(K10+SUM(K14:K15))</f>
        <v>#REF!</v>
      </c>
      <c r="L16" s="26" t="e">
        <f t="shared" ref="L16" si="15">SUM(L10+SUM(L14:L15))</f>
        <v>#REF!</v>
      </c>
      <c r="M16" s="26" t="e">
        <f t="shared" ref="M16" si="16">SUM(M10+SUM(M14:M15))</f>
        <v>#REF!</v>
      </c>
      <c r="N16" s="26" t="e">
        <f t="shared" ref="N16" si="17">SUM(N10+SUM(N14:N15))</f>
        <v>#REF!</v>
      </c>
      <c r="O16" s="26" t="e">
        <f t="shared" ref="O16" si="18">SUM(O10+SUM(O14:O15))</f>
        <v>#REF!</v>
      </c>
      <c r="P16" s="26" t="e">
        <f t="shared" ref="P16" si="19">SUM(P10+SUM(P14:P15))</f>
        <v>#REF!</v>
      </c>
      <c r="Q16" s="26" t="e">
        <f t="shared" ref="Q16" si="20">SUM(Q10+SUM(Q14:Q15))</f>
        <v>#REF!</v>
      </c>
      <c r="R16" s="26" t="e">
        <f t="shared" ref="R16" si="21">SUM(R10+SUM(R14:R15))</f>
        <v>#REF!</v>
      </c>
      <c r="S16" s="5"/>
      <c r="T16" s="26" t="e">
        <f t="shared" ref="T16" si="22">SUM(T10+SUM(T14:T15))</f>
        <v>#REF!</v>
      </c>
      <c r="U16" s="26" t="e">
        <f t="shared" ref="U16" si="23">SUM(U10+SUM(U14:U15))</f>
        <v>#REF!</v>
      </c>
      <c r="V16" s="26" t="e">
        <f t="shared" ref="V16" si="24">SUM(V10+SUM(V14:V15))</f>
        <v>#REF!</v>
      </c>
      <c r="W16" s="26" t="e">
        <f t="shared" ref="W16" si="25">SUM(W10+SUM(W14:W15))</f>
        <v>#REF!</v>
      </c>
      <c r="X16" s="26" t="e">
        <f t="shared" ref="X16" si="26">SUM(X10+SUM(X14:X15))</f>
        <v>#REF!</v>
      </c>
      <c r="Y16" s="26" t="e">
        <f t="shared" ref="Y16" si="27">SUM(Y10+SUM(Y14:Y15))</f>
        <v>#REF!</v>
      </c>
      <c r="Z16" s="26" t="e">
        <f t="shared" ref="Z16" si="28">SUM(Z10+SUM(Z14:Z15))</f>
        <v>#REF!</v>
      </c>
      <c r="AA16" s="26" t="e">
        <f t="shared" ref="AA16" si="29">SUM(AA10+SUM(AA14:AA15))</f>
        <v>#REF!</v>
      </c>
      <c r="AC16" s="127" t="e">
        <f>SUM(AA16/W16)-1</f>
        <v>#REF!</v>
      </c>
    </row>
    <row r="17" spans="2:29" ht="12.75" customHeight="1">
      <c r="B17" s="16" t="s">
        <v>29</v>
      </c>
      <c r="C17" s="17" t="e">
        <f>C16/C10</f>
        <v>#REF!</v>
      </c>
      <c r="D17" s="17" t="e">
        <f>D16/D10</f>
        <v>#REF!</v>
      </c>
      <c r="E17" s="17" t="e">
        <f>E16/E10</f>
        <v>#REF!</v>
      </c>
      <c r="F17" s="17" t="e">
        <f>F16/F10</f>
        <v>#REF!</v>
      </c>
      <c r="G17" s="27"/>
      <c r="H17" s="17" t="e">
        <f t="shared" ref="H17:R17" si="30">H16/H10</f>
        <v>#REF!</v>
      </c>
      <c r="I17" s="17" t="e">
        <f t="shared" si="30"/>
        <v>#REF!</v>
      </c>
      <c r="J17" s="17" t="e">
        <f t="shared" si="30"/>
        <v>#REF!</v>
      </c>
      <c r="K17" s="17" t="e">
        <f t="shared" si="30"/>
        <v>#REF!</v>
      </c>
      <c r="L17" s="17" t="e">
        <f t="shared" si="30"/>
        <v>#REF!</v>
      </c>
      <c r="M17" s="17" t="e">
        <f t="shared" si="30"/>
        <v>#REF!</v>
      </c>
      <c r="N17" s="17" t="e">
        <f t="shared" si="30"/>
        <v>#REF!</v>
      </c>
      <c r="O17" s="17" t="e">
        <f t="shared" si="30"/>
        <v>#REF!</v>
      </c>
      <c r="P17" s="17" t="e">
        <f t="shared" si="30"/>
        <v>#REF!</v>
      </c>
      <c r="Q17" s="17" t="e">
        <f t="shared" si="30"/>
        <v>#REF!</v>
      </c>
      <c r="R17" s="17" t="e">
        <f t="shared" si="30"/>
        <v>#REF!</v>
      </c>
      <c r="S17" s="28"/>
      <c r="T17" s="17" t="e">
        <f t="shared" ref="T17:AA17" si="31">T16/T10</f>
        <v>#REF!</v>
      </c>
      <c r="U17" s="17" t="e">
        <f t="shared" si="31"/>
        <v>#REF!</v>
      </c>
      <c r="V17" s="17" t="e">
        <f t="shared" si="31"/>
        <v>#REF!</v>
      </c>
      <c r="W17" s="17" t="e">
        <f t="shared" si="31"/>
        <v>#REF!</v>
      </c>
      <c r="X17" s="17" t="e">
        <f t="shared" si="31"/>
        <v>#REF!</v>
      </c>
      <c r="Y17" s="17" t="e">
        <f t="shared" si="31"/>
        <v>#REF!</v>
      </c>
      <c r="Z17" s="17" t="e">
        <f t="shared" si="31"/>
        <v>#REF!</v>
      </c>
      <c r="AA17" s="17" t="e">
        <f t="shared" si="31"/>
        <v>#REF!</v>
      </c>
      <c r="AC17" s="128" t="e">
        <f>SUM(AA17-W17)*10000</f>
        <v>#REF!</v>
      </c>
    </row>
    <row r="18" spans="2:29" ht="5.0999999999999996" customHeight="1"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5"/>
      <c r="T18" s="30"/>
      <c r="U18" s="30"/>
      <c r="V18" s="30"/>
      <c r="W18" s="30"/>
      <c r="X18" s="30"/>
      <c r="Y18" s="30"/>
      <c r="Z18" s="30"/>
      <c r="AA18" s="30"/>
      <c r="AC18" s="125"/>
    </row>
    <row r="19" spans="2:29" ht="12.75" customHeight="1">
      <c r="B19" s="23" t="s">
        <v>119</v>
      </c>
      <c r="C19" s="141">
        <f>'Historical Financials'!D17</f>
        <v>-4465</v>
      </c>
      <c r="D19" s="141">
        <f>'Historical Financials'!E17</f>
        <v>-5059</v>
      </c>
      <c r="E19" s="141">
        <f>'Historical Financials'!F17</f>
        <v>-4906</v>
      </c>
      <c r="F19" s="141">
        <f>'Historical Financials'!G17</f>
        <v>-5493</v>
      </c>
      <c r="G19" s="94"/>
      <c r="H19" s="141">
        <f>'Historical Financials'!Q17</f>
        <v>-1207</v>
      </c>
      <c r="I19" s="141">
        <f>'Historical Financials'!R17</f>
        <v>-1220</v>
      </c>
      <c r="J19" s="141">
        <f>'Historical Financials'!S17</f>
        <v>-1204</v>
      </c>
      <c r="K19" s="141">
        <f>'Historical Financials'!T17</f>
        <v>-1275</v>
      </c>
      <c r="L19" s="141">
        <f>'Historical Financials'!U17</f>
        <v>-1368</v>
      </c>
      <c r="M19" s="141">
        <f>'Historical Financials'!V17</f>
        <v>-1349</v>
      </c>
      <c r="N19" s="141">
        <f>'Historical Financials'!W17</f>
        <v>-1356</v>
      </c>
      <c r="O19" s="141">
        <f>'Historical Financials'!X17</f>
        <v>-1420</v>
      </c>
      <c r="P19" s="141">
        <f>'Historical Financials'!Y17</f>
        <v>-1460</v>
      </c>
      <c r="Q19" s="141">
        <f>'Historical Financials'!Z17</f>
        <v>-1481</v>
      </c>
      <c r="R19" s="141">
        <f>'Historical Financials'!AA17</f>
        <v>0</v>
      </c>
      <c r="S19" s="5"/>
      <c r="T19" s="142">
        <f t="shared" ref="T19:Z23" si="32">SUM(H19:K19)</f>
        <v>-4906</v>
      </c>
      <c r="U19" s="142">
        <f t="shared" si="32"/>
        <v>-5067</v>
      </c>
      <c r="V19" s="142">
        <f t="shared" si="32"/>
        <v>-5196</v>
      </c>
      <c r="W19" s="142">
        <f t="shared" si="32"/>
        <v>-5348</v>
      </c>
      <c r="X19" s="142">
        <f t="shared" si="32"/>
        <v>-5493</v>
      </c>
      <c r="Y19" s="142">
        <f t="shared" si="32"/>
        <v>-5585</v>
      </c>
      <c r="Z19" s="142">
        <f t="shared" si="32"/>
        <v>-5717</v>
      </c>
      <c r="AA19" s="142">
        <f>SUM(O19:R19)</f>
        <v>-4361</v>
      </c>
      <c r="AC19" s="126">
        <f t="shared" ref="AC19:AC23" si="33">SUM(AA19/W19)-1</f>
        <v>-0.18455497382198949</v>
      </c>
    </row>
    <row r="20" spans="2:29" ht="12.75" customHeight="1">
      <c r="B20" s="23" t="s">
        <v>120</v>
      </c>
      <c r="C20" s="141" t="e">
        <f>'Historical Financials'!#REF!</f>
        <v>#REF!</v>
      </c>
      <c r="D20" s="141" t="e">
        <f>'Historical Financials'!#REF!</f>
        <v>#REF!</v>
      </c>
      <c r="E20" s="141" t="e">
        <f>'Historical Financials'!#REF!</f>
        <v>#REF!</v>
      </c>
      <c r="F20" s="141" t="e">
        <f>'Historical Financials'!#REF!</f>
        <v>#REF!</v>
      </c>
      <c r="G20" s="94"/>
      <c r="H20" s="141" t="e">
        <f>'Historical Financials'!#REF!</f>
        <v>#REF!</v>
      </c>
      <c r="I20" s="141" t="e">
        <f>'Historical Financials'!#REF!</f>
        <v>#REF!</v>
      </c>
      <c r="J20" s="141" t="e">
        <f>'Historical Financials'!#REF!</f>
        <v>#REF!</v>
      </c>
      <c r="K20" s="141" t="e">
        <f>'Historical Financials'!#REF!</f>
        <v>#REF!</v>
      </c>
      <c r="L20" s="141" t="e">
        <f>'Historical Financials'!#REF!</f>
        <v>#REF!</v>
      </c>
      <c r="M20" s="141" t="e">
        <f>'Historical Financials'!#REF!</f>
        <v>#REF!</v>
      </c>
      <c r="N20" s="141" t="e">
        <f>'Historical Financials'!#REF!</f>
        <v>#REF!</v>
      </c>
      <c r="O20" s="141" t="e">
        <f>'Historical Financials'!#REF!</f>
        <v>#REF!</v>
      </c>
      <c r="P20" s="141" t="e">
        <f>'Historical Financials'!#REF!</f>
        <v>#REF!</v>
      </c>
      <c r="Q20" s="141" t="e">
        <f>'Historical Financials'!#REF!</f>
        <v>#REF!</v>
      </c>
      <c r="R20" s="141" t="e">
        <f>'Historical Financials'!#REF!</f>
        <v>#REF!</v>
      </c>
      <c r="S20" s="5"/>
      <c r="T20" s="142" t="e">
        <f t="shared" si="32"/>
        <v>#REF!</v>
      </c>
      <c r="U20" s="142" t="e">
        <f t="shared" si="32"/>
        <v>#REF!</v>
      </c>
      <c r="V20" s="142" t="e">
        <f t="shared" si="32"/>
        <v>#REF!</v>
      </c>
      <c r="W20" s="142" t="e">
        <f t="shared" si="32"/>
        <v>#REF!</v>
      </c>
      <c r="X20" s="142" t="e">
        <f t="shared" si="32"/>
        <v>#REF!</v>
      </c>
      <c r="Y20" s="142" t="e">
        <f t="shared" si="32"/>
        <v>#REF!</v>
      </c>
      <c r="Z20" s="142" t="e">
        <f t="shared" si="32"/>
        <v>#REF!</v>
      </c>
      <c r="AA20" s="142" t="e">
        <f>SUM(O20:R20)</f>
        <v>#REF!</v>
      </c>
      <c r="AC20" s="126" t="e">
        <f t="shared" si="33"/>
        <v>#REF!</v>
      </c>
    </row>
    <row r="21" spans="2:29" ht="12.75" customHeight="1">
      <c r="B21" s="23" t="s">
        <v>116</v>
      </c>
      <c r="C21" s="141" t="e">
        <f>'Historical Financials'!#REF!</f>
        <v>#REF!</v>
      </c>
      <c r="D21" s="141" t="e">
        <f>'Historical Financials'!#REF!</f>
        <v>#REF!</v>
      </c>
      <c r="E21" s="141" t="e">
        <f>'Historical Financials'!#REF!</f>
        <v>#REF!</v>
      </c>
      <c r="F21" s="141" t="e">
        <f>'Historical Financials'!#REF!</f>
        <v>#REF!</v>
      </c>
      <c r="G21" s="94"/>
      <c r="H21" s="141" t="e">
        <f>'Historical Financials'!#REF!</f>
        <v>#REF!</v>
      </c>
      <c r="I21" s="141" t="e">
        <f>'Historical Financials'!#REF!</f>
        <v>#REF!</v>
      </c>
      <c r="J21" s="141" t="e">
        <f>'Historical Financials'!#REF!</f>
        <v>#REF!</v>
      </c>
      <c r="K21" s="141" t="e">
        <f>'Historical Financials'!#REF!</f>
        <v>#REF!</v>
      </c>
      <c r="L21" s="141" t="e">
        <f>'Historical Financials'!#REF!</f>
        <v>#REF!</v>
      </c>
      <c r="M21" s="141" t="e">
        <f>'Historical Financials'!#REF!</f>
        <v>#REF!</v>
      </c>
      <c r="N21" s="141" t="e">
        <f>'Historical Financials'!#REF!</f>
        <v>#REF!</v>
      </c>
      <c r="O21" s="141" t="e">
        <f>'Historical Financials'!#REF!</f>
        <v>#REF!</v>
      </c>
      <c r="P21" s="141" t="e">
        <f>'Historical Financials'!#REF!</f>
        <v>#REF!</v>
      </c>
      <c r="Q21" s="141" t="e">
        <f>'Historical Financials'!#REF!</f>
        <v>#REF!</v>
      </c>
      <c r="R21" s="141" t="e">
        <f>'Historical Financials'!#REF!</f>
        <v>#REF!</v>
      </c>
      <c r="S21" s="5"/>
      <c r="T21" s="142" t="e">
        <f t="shared" si="32"/>
        <v>#REF!</v>
      </c>
      <c r="U21" s="142" t="e">
        <f t="shared" si="32"/>
        <v>#REF!</v>
      </c>
      <c r="V21" s="142" t="e">
        <f t="shared" si="32"/>
        <v>#REF!</v>
      </c>
      <c r="W21" s="142" t="e">
        <f t="shared" si="32"/>
        <v>#REF!</v>
      </c>
      <c r="X21" s="142" t="e">
        <f t="shared" si="32"/>
        <v>#REF!</v>
      </c>
      <c r="Y21" s="142" t="e">
        <f t="shared" si="32"/>
        <v>#REF!</v>
      </c>
      <c r="Z21" s="142" t="e">
        <f t="shared" si="32"/>
        <v>#REF!</v>
      </c>
      <c r="AA21" s="142" t="e">
        <f>SUM(O21:R21)</f>
        <v>#REF!</v>
      </c>
      <c r="AC21" s="126" t="e">
        <f t="shared" si="33"/>
        <v>#REF!</v>
      </c>
    </row>
    <row r="22" spans="2:29" ht="12.75" customHeight="1">
      <c r="B22" s="23" t="s">
        <v>117</v>
      </c>
      <c r="C22" s="141" t="e">
        <f>'Historical Financials'!#REF!</f>
        <v>#REF!</v>
      </c>
      <c r="D22" s="141" t="e">
        <f>'Historical Financials'!#REF!</f>
        <v>#REF!</v>
      </c>
      <c r="E22" s="141" t="e">
        <f>'Historical Financials'!#REF!</f>
        <v>#REF!</v>
      </c>
      <c r="F22" s="141" t="e">
        <f>'Historical Financials'!#REF!</f>
        <v>#REF!</v>
      </c>
      <c r="G22" s="94"/>
      <c r="H22" s="141" t="e">
        <f>'Historical Financials'!#REF!</f>
        <v>#REF!</v>
      </c>
      <c r="I22" s="141" t="e">
        <f>'Historical Financials'!#REF!</f>
        <v>#REF!</v>
      </c>
      <c r="J22" s="141" t="e">
        <f>'Historical Financials'!#REF!</f>
        <v>#REF!</v>
      </c>
      <c r="K22" s="141" t="e">
        <f>'Historical Financials'!#REF!</f>
        <v>#REF!</v>
      </c>
      <c r="L22" s="141" t="e">
        <f>'Historical Financials'!#REF!</f>
        <v>#REF!</v>
      </c>
      <c r="M22" s="141" t="e">
        <f>'Historical Financials'!#REF!</f>
        <v>#REF!</v>
      </c>
      <c r="N22" s="141" t="e">
        <f>'Historical Financials'!#REF!</f>
        <v>#REF!</v>
      </c>
      <c r="O22" s="141" t="e">
        <f>'Historical Financials'!#REF!</f>
        <v>#REF!</v>
      </c>
      <c r="P22" s="141" t="e">
        <f>'Historical Financials'!#REF!</f>
        <v>#REF!</v>
      </c>
      <c r="Q22" s="141" t="e">
        <f>'Historical Financials'!#REF!</f>
        <v>#REF!</v>
      </c>
      <c r="R22" s="141" t="e">
        <f>'Historical Financials'!#REF!</f>
        <v>#REF!</v>
      </c>
      <c r="S22" s="5"/>
      <c r="T22" s="142" t="e">
        <f t="shared" si="32"/>
        <v>#REF!</v>
      </c>
      <c r="U22" s="142" t="e">
        <f t="shared" si="32"/>
        <v>#REF!</v>
      </c>
      <c r="V22" s="142" t="e">
        <f t="shared" si="32"/>
        <v>#REF!</v>
      </c>
      <c r="W22" s="142" t="e">
        <f t="shared" si="32"/>
        <v>#REF!</v>
      </c>
      <c r="X22" s="142" t="e">
        <f t="shared" si="32"/>
        <v>#REF!</v>
      </c>
      <c r="Y22" s="142" t="e">
        <f t="shared" si="32"/>
        <v>#REF!</v>
      </c>
      <c r="Z22" s="142" t="e">
        <f t="shared" si="32"/>
        <v>#REF!</v>
      </c>
      <c r="AA22" s="142" t="e">
        <f>SUM(O22:R22)</f>
        <v>#REF!</v>
      </c>
      <c r="AC22" s="126" t="e">
        <f t="shared" si="33"/>
        <v>#REF!</v>
      </c>
    </row>
    <row r="23" spans="2:29" ht="12.75" customHeight="1">
      <c r="B23" s="23" t="s">
        <v>118</v>
      </c>
      <c r="C23" s="141" t="e">
        <f>'Historical Financials'!#REF!</f>
        <v>#REF!</v>
      </c>
      <c r="D23" s="141" t="e">
        <f>'Historical Financials'!#REF!</f>
        <v>#REF!</v>
      </c>
      <c r="E23" s="141" t="e">
        <f>'Historical Financials'!#REF!</f>
        <v>#REF!</v>
      </c>
      <c r="F23" s="141" t="e">
        <f>'Historical Financials'!#REF!</f>
        <v>#REF!</v>
      </c>
      <c r="G23" s="94"/>
      <c r="H23" s="141" t="e">
        <f>'Historical Financials'!#REF!</f>
        <v>#REF!</v>
      </c>
      <c r="I23" s="141" t="e">
        <f>'Historical Financials'!#REF!</f>
        <v>#REF!</v>
      </c>
      <c r="J23" s="141" t="e">
        <f>'Historical Financials'!#REF!</f>
        <v>#REF!</v>
      </c>
      <c r="K23" s="141" t="e">
        <f>'Historical Financials'!#REF!</f>
        <v>#REF!</v>
      </c>
      <c r="L23" s="141" t="e">
        <f>'Historical Financials'!#REF!</f>
        <v>#REF!</v>
      </c>
      <c r="M23" s="141" t="e">
        <f>'Historical Financials'!#REF!</f>
        <v>#REF!</v>
      </c>
      <c r="N23" s="141" t="e">
        <f>'Historical Financials'!#REF!</f>
        <v>#REF!</v>
      </c>
      <c r="O23" s="141" t="e">
        <f>'Historical Financials'!#REF!</f>
        <v>#REF!</v>
      </c>
      <c r="P23" s="141" t="e">
        <f>'Historical Financials'!#REF!</f>
        <v>#REF!</v>
      </c>
      <c r="Q23" s="141" t="e">
        <f>'Historical Financials'!#REF!</f>
        <v>#REF!</v>
      </c>
      <c r="R23" s="141" t="e">
        <f>'Historical Financials'!#REF!</f>
        <v>#REF!</v>
      </c>
      <c r="S23" s="5"/>
      <c r="T23" s="142" t="e">
        <f t="shared" si="32"/>
        <v>#REF!</v>
      </c>
      <c r="U23" s="142" t="e">
        <f t="shared" si="32"/>
        <v>#REF!</v>
      </c>
      <c r="V23" s="142" t="e">
        <f t="shared" si="32"/>
        <v>#REF!</v>
      </c>
      <c r="W23" s="142" t="e">
        <f t="shared" si="32"/>
        <v>#REF!</v>
      </c>
      <c r="X23" s="142" t="e">
        <f t="shared" si="32"/>
        <v>#REF!</v>
      </c>
      <c r="Y23" s="142" t="e">
        <f t="shared" si="32"/>
        <v>#REF!</v>
      </c>
      <c r="Z23" s="142" t="e">
        <f t="shared" si="32"/>
        <v>#REF!</v>
      </c>
      <c r="AA23" s="142" t="e">
        <f>SUM(O23:R23)</f>
        <v>#REF!</v>
      </c>
      <c r="AC23" s="126" t="e">
        <f t="shared" si="33"/>
        <v>#REF!</v>
      </c>
    </row>
    <row r="24" spans="2:29" ht="12.75" customHeight="1">
      <c r="B24" s="13" t="s">
        <v>30</v>
      </c>
      <c r="C24" s="14" t="e">
        <f>SUM(C16+SUM(C19:C23))</f>
        <v>#REF!</v>
      </c>
      <c r="D24" s="14" t="e">
        <f>SUM(D16+SUM(D19:D23))</f>
        <v>#REF!</v>
      </c>
      <c r="E24" s="14" t="e">
        <f>SUM(E16+SUM(E19:E23))</f>
        <v>#REF!</v>
      </c>
      <c r="F24" s="14" t="e">
        <f>SUM(F16+SUM(F19:F23))</f>
        <v>#REF!</v>
      </c>
      <c r="G24" s="11"/>
      <c r="H24" s="14" t="e">
        <f t="shared" ref="H24:R24" si="34">SUM(H16+SUM(H19:H23))</f>
        <v>#REF!</v>
      </c>
      <c r="I24" s="14" t="e">
        <f t="shared" si="34"/>
        <v>#REF!</v>
      </c>
      <c r="J24" s="14" t="e">
        <f t="shared" si="34"/>
        <v>#REF!</v>
      </c>
      <c r="K24" s="14" t="e">
        <f t="shared" si="34"/>
        <v>#REF!</v>
      </c>
      <c r="L24" s="14" t="e">
        <f t="shared" si="34"/>
        <v>#REF!</v>
      </c>
      <c r="M24" s="14" t="e">
        <f t="shared" si="34"/>
        <v>#REF!</v>
      </c>
      <c r="N24" s="14" t="e">
        <f t="shared" si="34"/>
        <v>#REF!</v>
      </c>
      <c r="O24" s="14" t="e">
        <f t="shared" si="34"/>
        <v>#REF!</v>
      </c>
      <c r="P24" s="14" t="e">
        <f t="shared" si="34"/>
        <v>#REF!</v>
      </c>
      <c r="Q24" s="14" t="e">
        <f t="shared" si="34"/>
        <v>#REF!</v>
      </c>
      <c r="R24" s="14" t="e">
        <f t="shared" si="34"/>
        <v>#REF!</v>
      </c>
      <c r="S24" s="5"/>
      <c r="T24" s="14" t="e">
        <f t="shared" ref="T24:AA24" si="35">SUM(T16+SUM(T19:T23))</f>
        <v>#REF!</v>
      </c>
      <c r="U24" s="14" t="e">
        <f t="shared" si="35"/>
        <v>#REF!</v>
      </c>
      <c r="V24" s="14" t="e">
        <f t="shared" si="35"/>
        <v>#REF!</v>
      </c>
      <c r="W24" s="14" t="e">
        <f t="shared" si="35"/>
        <v>#REF!</v>
      </c>
      <c r="X24" s="14" t="e">
        <f t="shared" si="35"/>
        <v>#REF!</v>
      </c>
      <c r="Y24" s="14" t="e">
        <f t="shared" si="35"/>
        <v>#REF!</v>
      </c>
      <c r="Z24" s="14" t="e">
        <f t="shared" si="35"/>
        <v>#REF!</v>
      </c>
      <c r="AA24" s="14" t="e">
        <f t="shared" si="35"/>
        <v>#REF!</v>
      </c>
      <c r="AC24" s="127" t="e">
        <f>SUM(AA24/W24)-1</f>
        <v>#REF!</v>
      </c>
    </row>
    <row r="25" spans="2:29" ht="12.75" customHeight="1">
      <c r="B25" s="16" t="s">
        <v>31</v>
      </c>
      <c r="C25" s="17" t="e">
        <f>C24/C10</f>
        <v>#REF!</v>
      </c>
      <c r="D25" s="17" t="e">
        <f>D24/D10</f>
        <v>#REF!</v>
      </c>
      <c r="E25" s="17" t="e">
        <f>E24/E10</f>
        <v>#REF!</v>
      </c>
      <c r="F25" s="17" t="e">
        <f>F24/F10</f>
        <v>#REF!</v>
      </c>
      <c r="G25" s="27"/>
      <c r="H25" s="17" t="e">
        <f t="shared" ref="H25:R25" si="36">H24/H10</f>
        <v>#REF!</v>
      </c>
      <c r="I25" s="17" t="e">
        <f t="shared" si="36"/>
        <v>#REF!</v>
      </c>
      <c r="J25" s="17" t="e">
        <f t="shared" si="36"/>
        <v>#REF!</v>
      </c>
      <c r="K25" s="17" t="e">
        <f t="shared" si="36"/>
        <v>#REF!</v>
      </c>
      <c r="L25" s="17" t="e">
        <f t="shared" si="36"/>
        <v>#REF!</v>
      </c>
      <c r="M25" s="17" t="e">
        <f t="shared" si="36"/>
        <v>#REF!</v>
      </c>
      <c r="N25" s="17" t="e">
        <f t="shared" si="36"/>
        <v>#REF!</v>
      </c>
      <c r="O25" s="17" t="e">
        <f t="shared" si="36"/>
        <v>#REF!</v>
      </c>
      <c r="P25" s="17" t="e">
        <f t="shared" si="36"/>
        <v>#REF!</v>
      </c>
      <c r="Q25" s="17" t="e">
        <f t="shared" si="36"/>
        <v>#REF!</v>
      </c>
      <c r="R25" s="17" t="e">
        <f t="shared" si="36"/>
        <v>#REF!</v>
      </c>
      <c r="S25" s="28"/>
      <c r="T25" s="17" t="e">
        <f t="shared" ref="T25:AA25" si="37">T24/T10</f>
        <v>#REF!</v>
      </c>
      <c r="U25" s="17" t="e">
        <f t="shared" si="37"/>
        <v>#REF!</v>
      </c>
      <c r="V25" s="17" t="e">
        <f t="shared" si="37"/>
        <v>#REF!</v>
      </c>
      <c r="W25" s="17" t="e">
        <f t="shared" si="37"/>
        <v>#REF!</v>
      </c>
      <c r="X25" s="17" t="e">
        <f t="shared" si="37"/>
        <v>#REF!</v>
      </c>
      <c r="Y25" s="17" t="e">
        <f t="shared" si="37"/>
        <v>#REF!</v>
      </c>
      <c r="Z25" s="17" t="e">
        <f t="shared" si="37"/>
        <v>#REF!</v>
      </c>
      <c r="AA25" s="17" t="e">
        <f t="shared" si="37"/>
        <v>#REF!</v>
      </c>
      <c r="AC25" s="128" t="e">
        <f>SUM(AA25-W25)*10000</f>
        <v>#REF!</v>
      </c>
    </row>
    <row r="26" spans="2:29" ht="5.0999999999999996" customHeight="1">
      <c r="AC26" s="125"/>
    </row>
    <row r="27" spans="2:29" ht="12.75" customHeight="1">
      <c r="B27" s="31" t="s">
        <v>102</v>
      </c>
      <c r="C27" s="141">
        <f>'Historical Financials'!D92</f>
        <v>0</v>
      </c>
      <c r="D27" s="141">
        <f>'Historical Financials'!E92</f>
        <v>0</v>
      </c>
      <c r="E27" s="141">
        <f>'Historical Financials'!F92</f>
        <v>0</v>
      </c>
      <c r="F27" s="141">
        <f>'Historical Financials'!G92</f>
        <v>0</v>
      </c>
      <c r="H27" s="141">
        <f>'Historical Financials'!Q92</f>
        <v>0</v>
      </c>
      <c r="I27" s="141">
        <f>'Historical Financials'!R92</f>
        <v>0</v>
      </c>
      <c r="J27" s="141">
        <f>'Historical Financials'!S92</f>
        <v>0</v>
      </c>
      <c r="K27" s="141">
        <f>'Historical Financials'!T92</f>
        <v>0</v>
      </c>
      <c r="L27" s="141">
        <f>'Historical Financials'!U92</f>
        <v>0</v>
      </c>
      <c r="M27" s="141">
        <f>'Historical Financials'!V92</f>
        <v>0</v>
      </c>
      <c r="N27" s="141">
        <f>'Historical Financials'!W92</f>
        <v>0</v>
      </c>
      <c r="O27" s="141">
        <f>'Historical Financials'!X92</f>
        <v>0</v>
      </c>
      <c r="P27" s="141">
        <f>'Historical Financials'!Y92</f>
        <v>0</v>
      </c>
      <c r="Q27" s="141">
        <f>'Historical Financials'!Z92</f>
        <v>0</v>
      </c>
      <c r="R27" s="141">
        <f>'Historical Financials'!AA92</f>
        <v>0</v>
      </c>
      <c r="T27" s="10">
        <f t="shared" ref="T27:Z28" si="38">SUM(H27:K27)</f>
        <v>0</v>
      </c>
      <c r="U27" s="10">
        <f t="shared" si="38"/>
        <v>0</v>
      </c>
      <c r="V27" s="10">
        <f t="shared" si="38"/>
        <v>0</v>
      </c>
      <c r="W27" s="10">
        <f t="shared" si="38"/>
        <v>0</v>
      </c>
      <c r="X27" s="10">
        <f t="shared" si="38"/>
        <v>0</v>
      </c>
      <c r="Y27" s="10">
        <f t="shared" si="38"/>
        <v>0</v>
      </c>
      <c r="Z27" s="10">
        <f t="shared" si="38"/>
        <v>0</v>
      </c>
      <c r="AA27" s="10">
        <f>SUM(O27:R27)</f>
        <v>0</v>
      </c>
      <c r="AC27" s="126" t="e">
        <f>SUM(AA27/W27)-1</f>
        <v>#DIV/0!</v>
      </c>
    </row>
    <row r="28" spans="2:29" ht="12.75" customHeight="1">
      <c r="B28" s="23" t="s">
        <v>121</v>
      </c>
      <c r="C28" s="148" t="e">
        <f>-C21-C15</f>
        <v>#REF!</v>
      </c>
      <c r="D28" s="148" t="e">
        <f t="shared" ref="D28:R28" si="39">-D21-D15</f>
        <v>#REF!</v>
      </c>
      <c r="E28" s="148" t="e">
        <f t="shared" si="39"/>
        <v>#REF!</v>
      </c>
      <c r="F28" s="148" t="e">
        <f t="shared" si="39"/>
        <v>#REF!</v>
      </c>
      <c r="H28" s="148" t="e">
        <f t="shared" si="39"/>
        <v>#REF!</v>
      </c>
      <c r="I28" s="148" t="e">
        <f t="shared" si="39"/>
        <v>#REF!</v>
      </c>
      <c r="J28" s="148" t="e">
        <f t="shared" si="39"/>
        <v>#REF!</v>
      </c>
      <c r="K28" s="148" t="e">
        <f t="shared" si="39"/>
        <v>#REF!</v>
      </c>
      <c r="L28" s="148" t="e">
        <f t="shared" si="39"/>
        <v>#REF!</v>
      </c>
      <c r="M28" s="148" t="e">
        <f t="shared" si="39"/>
        <v>#REF!</v>
      </c>
      <c r="N28" s="148" t="e">
        <f t="shared" si="39"/>
        <v>#REF!</v>
      </c>
      <c r="O28" s="148" t="e">
        <f t="shared" si="39"/>
        <v>#REF!</v>
      </c>
      <c r="P28" s="148" t="e">
        <f t="shared" si="39"/>
        <v>#REF!</v>
      </c>
      <c r="Q28" s="148" t="e">
        <f t="shared" si="39"/>
        <v>#REF!</v>
      </c>
      <c r="R28" s="148" t="e">
        <f t="shared" si="39"/>
        <v>#REF!</v>
      </c>
      <c r="T28" s="10" t="e">
        <f t="shared" si="38"/>
        <v>#REF!</v>
      </c>
      <c r="U28" s="10" t="e">
        <f t="shared" si="38"/>
        <v>#REF!</v>
      </c>
      <c r="V28" s="10" t="e">
        <f t="shared" si="38"/>
        <v>#REF!</v>
      </c>
      <c r="W28" s="10" t="e">
        <f t="shared" si="38"/>
        <v>#REF!</v>
      </c>
      <c r="X28" s="10" t="e">
        <f t="shared" si="38"/>
        <v>#REF!</v>
      </c>
      <c r="Y28" s="10" t="e">
        <f t="shared" si="38"/>
        <v>#REF!</v>
      </c>
      <c r="Z28" s="10" t="e">
        <f t="shared" si="38"/>
        <v>#REF!</v>
      </c>
      <c r="AA28" s="10" t="e">
        <f>SUM(O28:R28)</f>
        <v>#REF!</v>
      </c>
      <c r="AC28" s="126" t="e">
        <f t="shared" ref="AC28" si="40">SUM(AA28/W28)-1</f>
        <v>#REF!</v>
      </c>
    </row>
    <row r="29" spans="2:29" ht="12.75" customHeight="1">
      <c r="B29" s="25" t="s">
        <v>11</v>
      </c>
      <c r="C29" s="26" t="e">
        <f>SUM(C24+SUM(C27:C28))</f>
        <v>#REF!</v>
      </c>
      <c r="D29" s="26" t="e">
        <f t="shared" ref="D29:F29" si="41">SUM(D24+SUM(D27:D28))</f>
        <v>#REF!</v>
      </c>
      <c r="E29" s="26" t="e">
        <f t="shared" si="41"/>
        <v>#REF!</v>
      </c>
      <c r="F29" s="26" t="e">
        <f t="shared" si="41"/>
        <v>#REF!</v>
      </c>
      <c r="H29" s="26" t="e">
        <f t="shared" ref="H29" si="42">SUM(H24+SUM(H27:H28))</f>
        <v>#REF!</v>
      </c>
      <c r="I29" s="26" t="e">
        <f t="shared" ref="I29" si="43">SUM(I24+SUM(I27:I28))</f>
        <v>#REF!</v>
      </c>
      <c r="J29" s="26" t="e">
        <f t="shared" ref="J29" si="44">SUM(J24+SUM(J27:J28))</f>
        <v>#REF!</v>
      </c>
      <c r="K29" s="26" t="e">
        <f t="shared" ref="K29" si="45">SUM(K24+SUM(K27:K28))</f>
        <v>#REF!</v>
      </c>
      <c r="L29" s="26" t="e">
        <f t="shared" ref="L29" si="46">SUM(L24+SUM(L27:L28))</f>
        <v>#REF!</v>
      </c>
      <c r="M29" s="26" t="e">
        <f t="shared" ref="M29" si="47">SUM(M24+SUM(M27:M28))</f>
        <v>#REF!</v>
      </c>
      <c r="N29" s="26" t="e">
        <f t="shared" ref="N29" si="48">SUM(N24+SUM(N27:N28))</f>
        <v>#REF!</v>
      </c>
      <c r="O29" s="26" t="e">
        <f t="shared" ref="O29" si="49">SUM(O24+SUM(O27:O28))</f>
        <v>#REF!</v>
      </c>
      <c r="P29" s="26" t="e">
        <f t="shared" ref="P29" si="50">SUM(P24+SUM(P27:P28))</f>
        <v>#REF!</v>
      </c>
      <c r="Q29" s="26" t="e">
        <f t="shared" ref="Q29" si="51">SUM(Q24+SUM(Q27:Q28))</f>
        <v>#REF!</v>
      </c>
      <c r="R29" s="26" t="e">
        <f t="shared" ref="R29" si="52">SUM(R24+SUM(R27:R28))</f>
        <v>#REF!</v>
      </c>
      <c r="T29" s="26" t="e">
        <f t="shared" ref="T29" si="53">SUM(T24+SUM(T27:T28))</f>
        <v>#REF!</v>
      </c>
      <c r="U29" s="26" t="e">
        <f t="shared" ref="U29" si="54">SUM(U24+SUM(U27:U28))</f>
        <v>#REF!</v>
      </c>
      <c r="V29" s="26" t="e">
        <f t="shared" ref="V29" si="55">SUM(V24+SUM(V27:V28))</f>
        <v>#REF!</v>
      </c>
      <c r="W29" s="26" t="e">
        <f t="shared" ref="W29" si="56">SUM(W24+SUM(W27:W28))</f>
        <v>#REF!</v>
      </c>
      <c r="X29" s="26" t="e">
        <f t="shared" ref="X29" si="57">SUM(X24+SUM(X27:X28))</f>
        <v>#REF!</v>
      </c>
      <c r="Y29" s="26" t="e">
        <f t="shared" ref="Y29" si="58">SUM(Y24+SUM(Y27:Y28))</f>
        <v>#REF!</v>
      </c>
      <c r="Z29" s="26" t="e">
        <f t="shared" ref="Z29" si="59">SUM(Z24+SUM(Z27:Z28))</f>
        <v>#REF!</v>
      </c>
      <c r="AA29" s="26" t="e">
        <f t="shared" ref="AA29" si="60">SUM(AA24+SUM(AA27:AA28))</f>
        <v>#REF!</v>
      </c>
      <c r="AC29" s="127" t="e">
        <f>SUM(AA29/W29)-1</f>
        <v>#REF!</v>
      </c>
    </row>
    <row r="30" spans="2:29" ht="12.75" customHeight="1">
      <c r="B30" s="16" t="s">
        <v>32</v>
      </c>
      <c r="C30" s="17" t="e">
        <f>C29/C10</f>
        <v>#REF!</v>
      </c>
      <c r="D30" s="17" t="e">
        <f>D29/D10</f>
        <v>#REF!</v>
      </c>
      <c r="E30" s="17" t="e">
        <f>E29/E10</f>
        <v>#REF!</v>
      </c>
      <c r="F30" s="17" t="e">
        <f>F29/F10</f>
        <v>#REF!</v>
      </c>
      <c r="H30" s="17" t="e">
        <f t="shared" ref="H30:R30" si="61">H29/H10</f>
        <v>#REF!</v>
      </c>
      <c r="I30" s="17" t="e">
        <f t="shared" si="61"/>
        <v>#REF!</v>
      </c>
      <c r="J30" s="17" t="e">
        <f t="shared" si="61"/>
        <v>#REF!</v>
      </c>
      <c r="K30" s="17" t="e">
        <f t="shared" si="61"/>
        <v>#REF!</v>
      </c>
      <c r="L30" s="17" t="e">
        <f t="shared" si="61"/>
        <v>#REF!</v>
      </c>
      <c r="M30" s="17" t="e">
        <f t="shared" si="61"/>
        <v>#REF!</v>
      </c>
      <c r="N30" s="17" t="e">
        <f t="shared" si="61"/>
        <v>#REF!</v>
      </c>
      <c r="O30" s="17" t="e">
        <f t="shared" si="61"/>
        <v>#REF!</v>
      </c>
      <c r="P30" s="17" t="e">
        <f t="shared" si="61"/>
        <v>#REF!</v>
      </c>
      <c r="Q30" s="17" t="e">
        <f t="shared" si="61"/>
        <v>#REF!</v>
      </c>
      <c r="R30" s="17" t="e">
        <f t="shared" si="61"/>
        <v>#REF!</v>
      </c>
      <c r="T30" s="17" t="e">
        <f t="shared" ref="T30:AA30" si="62">T29/T10</f>
        <v>#REF!</v>
      </c>
      <c r="U30" s="17" t="e">
        <f t="shared" si="62"/>
        <v>#REF!</v>
      </c>
      <c r="V30" s="17" t="e">
        <f t="shared" si="62"/>
        <v>#REF!</v>
      </c>
      <c r="W30" s="17" t="e">
        <f t="shared" si="62"/>
        <v>#REF!</v>
      </c>
      <c r="X30" s="17" t="e">
        <f t="shared" si="62"/>
        <v>#REF!</v>
      </c>
      <c r="Y30" s="17" t="e">
        <f t="shared" si="62"/>
        <v>#REF!</v>
      </c>
      <c r="Z30" s="17" t="e">
        <f t="shared" si="62"/>
        <v>#REF!</v>
      </c>
      <c r="AA30" s="17" t="e">
        <f t="shared" si="62"/>
        <v>#REF!</v>
      </c>
      <c r="AC30" s="128" t="e">
        <f>SUM(AA30-W30)*10000</f>
        <v>#REF!</v>
      </c>
    </row>
    <row r="31" spans="2:29" ht="5.0999999999999996" customHeight="1">
      <c r="AC31" s="125"/>
    </row>
    <row r="32" spans="2:29" ht="12.75" customHeight="1">
      <c r="B32" s="31" t="s">
        <v>122</v>
      </c>
      <c r="C32" s="141">
        <f>'Historical Financials'!D94</f>
        <v>0</v>
      </c>
      <c r="D32" s="141">
        <f>'Historical Financials'!E94</f>
        <v>0</v>
      </c>
      <c r="E32" s="141">
        <f>'Historical Financials'!F94</f>
        <v>0</v>
      </c>
      <c r="F32" s="141">
        <f>'Historical Financials'!G94</f>
        <v>0</v>
      </c>
      <c r="H32" s="141">
        <f>'Historical Financials'!Q94</f>
        <v>0</v>
      </c>
      <c r="I32" s="141">
        <f>'Historical Financials'!R94</f>
        <v>0</v>
      </c>
      <c r="J32" s="141">
        <f>'Historical Financials'!S94</f>
        <v>0</v>
      </c>
      <c r="K32" s="141">
        <f>'Historical Financials'!T94</f>
        <v>0</v>
      </c>
      <c r="L32" s="141">
        <f>'Historical Financials'!U94</f>
        <v>0</v>
      </c>
      <c r="M32" s="141">
        <f>'Historical Financials'!V94</f>
        <v>0</v>
      </c>
      <c r="N32" s="141">
        <f>'Historical Financials'!W94</f>
        <v>0</v>
      </c>
      <c r="O32" s="141">
        <f>'Historical Financials'!X94</f>
        <v>0</v>
      </c>
      <c r="P32" s="141">
        <f>'Historical Financials'!Y94</f>
        <v>0</v>
      </c>
      <c r="Q32" s="141">
        <f>'Historical Financials'!Z94</f>
        <v>0</v>
      </c>
      <c r="R32" s="141">
        <f>'Historical Financials'!AA94</f>
        <v>0</v>
      </c>
      <c r="T32" s="142">
        <f t="shared" ref="T32:Z34" si="63">SUM(H32:K32)</f>
        <v>0</v>
      </c>
      <c r="U32" s="142">
        <f t="shared" si="63"/>
        <v>0</v>
      </c>
      <c r="V32" s="142">
        <f t="shared" si="63"/>
        <v>0</v>
      </c>
      <c r="W32" s="142">
        <f t="shared" si="63"/>
        <v>0</v>
      </c>
      <c r="X32" s="142">
        <f t="shared" si="63"/>
        <v>0</v>
      </c>
      <c r="Y32" s="142">
        <f t="shared" si="63"/>
        <v>0</v>
      </c>
      <c r="Z32" s="142">
        <f t="shared" si="63"/>
        <v>0</v>
      </c>
      <c r="AA32" s="142">
        <f>SUM(O32:R32)</f>
        <v>0</v>
      </c>
      <c r="AC32" s="126" t="e">
        <f t="shared" ref="AC32:AC34" si="64">SUM(AA32/W32)-1</f>
        <v>#DIV/0!</v>
      </c>
    </row>
    <row r="33" spans="2:29" ht="12.75" customHeight="1">
      <c r="B33" s="23" t="s">
        <v>123</v>
      </c>
      <c r="C33" s="148" t="e">
        <f>-C22</f>
        <v>#REF!</v>
      </c>
      <c r="D33" s="148" t="e">
        <f t="shared" ref="D33:F33" si="65">-D22</f>
        <v>#REF!</v>
      </c>
      <c r="E33" s="148" t="e">
        <f t="shared" si="65"/>
        <v>#REF!</v>
      </c>
      <c r="F33" s="148" t="e">
        <f t="shared" si="65"/>
        <v>#REF!</v>
      </c>
      <c r="H33" s="148" t="e">
        <f t="shared" ref="H33:R33" si="66">-H22</f>
        <v>#REF!</v>
      </c>
      <c r="I33" s="148" t="e">
        <f t="shared" si="66"/>
        <v>#REF!</v>
      </c>
      <c r="J33" s="148" t="e">
        <f t="shared" si="66"/>
        <v>#REF!</v>
      </c>
      <c r="K33" s="148" t="e">
        <f t="shared" si="66"/>
        <v>#REF!</v>
      </c>
      <c r="L33" s="148" t="e">
        <f t="shared" si="66"/>
        <v>#REF!</v>
      </c>
      <c r="M33" s="148" t="e">
        <f t="shared" si="66"/>
        <v>#REF!</v>
      </c>
      <c r="N33" s="148" t="e">
        <f t="shared" si="66"/>
        <v>#REF!</v>
      </c>
      <c r="O33" s="148" t="e">
        <f t="shared" si="66"/>
        <v>#REF!</v>
      </c>
      <c r="P33" s="148" t="e">
        <f t="shared" si="66"/>
        <v>#REF!</v>
      </c>
      <c r="Q33" s="148" t="e">
        <f t="shared" si="66"/>
        <v>#REF!</v>
      </c>
      <c r="R33" s="148" t="e">
        <f t="shared" si="66"/>
        <v>#REF!</v>
      </c>
      <c r="T33" s="142" t="e">
        <f t="shared" si="63"/>
        <v>#REF!</v>
      </c>
      <c r="U33" s="142" t="e">
        <f t="shared" si="63"/>
        <v>#REF!</v>
      </c>
      <c r="V33" s="142" t="e">
        <f t="shared" si="63"/>
        <v>#REF!</v>
      </c>
      <c r="W33" s="142" t="e">
        <f t="shared" si="63"/>
        <v>#REF!</v>
      </c>
      <c r="X33" s="142" t="e">
        <f t="shared" si="63"/>
        <v>#REF!</v>
      </c>
      <c r="Y33" s="142" t="e">
        <f t="shared" si="63"/>
        <v>#REF!</v>
      </c>
      <c r="Z33" s="142" t="e">
        <f t="shared" si="63"/>
        <v>#REF!</v>
      </c>
      <c r="AA33" s="142" t="e">
        <f>SUM(O33:R33)</f>
        <v>#REF!</v>
      </c>
      <c r="AC33" s="126" t="e">
        <f t="shared" si="64"/>
        <v>#REF!</v>
      </c>
    </row>
    <row r="34" spans="2:29" ht="12.75" customHeight="1">
      <c r="B34" s="23" t="s">
        <v>124</v>
      </c>
      <c r="C34" s="148" t="e">
        <f>-C23</f>
        <v>#REF!</v>
      </c>
      <c r="D34" s="148" t="e">
        <f t="shared" ref="D34:F34" si="67">-D23</f>
        <v>#REF!</v>
      </c>
      <c r="E34" s="148" t="e">
        <f t="shared" si="67"/>
        <v>#REF!</v>
      </c>
      <c r="F34" s="148" t="e">
        <f t="shared" si="67"/>
        <v>#REF!</v>
      </c>
      <c r="H34" s="148" t="e">
        <f t="shared" ref="H34:R34" si="68">-H23</f>
        <v>#REF!</v>
      </c>
      <c r="I34" s="148" t="e">
        <f t="shared" si="68"/>
        <v>#REF!</v>
      </c>
      <c r="J34" s="148" t="e">
        <f t="shared" si="68"/>
        <v>#REF!</v>
      </c>
      <c r="K34" s="148" t="e">
        <f t="shared" si="68"/>
        <v>#REF!</v>
      </c>
      <c r="L34" s="148" t="e">
        <f t="shared" si="68"/>
        <v>#REF!</v>
      </c>
      <c r="M34" s="148" t="e">
        <f t="shared" si="68"/>
        <v>#REF!</v>
      </c>
      <c r="N34" s="148" t="e">
        <f t="shared" si="68"/>
        <v>#REF!</v>
      </c>
      <c r="O34" s="148" t="e">
        <f t="shared" si="68"/>
        <v>#REF!</v>
      </c>
      <c r="P34" s="148" t="e">
        <f t="shared" si="68"/>
        <v>#REF!</v>
      </c>
      <c r="Q34" s="148" t="e">
        <f t="shared" si="68"/>
        <v>#REF!</v>
      </c>
      <c r="R34" s="148" t="e">
        <f t="shared" si="68"/>
        <v>#REF!</v>
      </c>
      <c r="T34" s="142" t="e">
        <f t="shared" si="63"/>
        <v>#REF!</v>
      </c>
      <c r="U34" s="142" t="e">
        <f t="shared" si="63"/>
        <v>#REF!</v>
      </c>
      <c r="V34" s="142" t="e">
        <f t="shared" si="63"/>
        <v>#REF!</v>
      </c>
      <c r="W34" s="142" t="e">
        <f t="shared" si="63"/>
        <v>#REF!</v>
      </c>
      <c r="X34" s="142" t="e">
        <f t="shared" si="63"/>
        <v>#REF!</v>
      </c>
      <c r="Y34" s="142" t="e">
        <f t="shared" si="63"/>
        <v>#REF!</v>
      </c>
      <c r="Z34" s="142" t="e">
        <f t="shared" si="63"/>
        <v>#REF!</v>
      </c>
      <c r="AA34" s="142" t="e">
        <f>SUM(O34:R34)</f>
        <v>#REF!</v>
      </c>
      <c r="AC34" s="126" t="e">
        <f t="shared" si="64"/>
        <v>#REF!</v>
      </c>
    </row>
    <row r="35" spans="2:29" ht="12.75" customHeight="1">
      <c r="B35" s="13" t="s">
        <v>33</v>
      </c>
      <c r="C35" s="14" t="e">
        <f>+SUM(C29+SUM(C32:C34))</f>
        <v>#REF!</v>
      </c>
      <c r="D35" s="14" t="e">
        <f t="shared" ref="D35:F35" si="69">+SUM(D29+SUM(D32:D34))</f>
        <v>#REF!</v>
      </c>
      <c r="E35" s="14" t="e">
        <f t="shared" si="69"/>
        <v>#REF!</v>
      </c>
      <c r="F35" s="14" t="e">
        <f t="shared" si="69"/>
        <v>#REF!</v>
      </c>
      <c r="G35" s="11"/>
      <c r="H35" s="14" t="e">
        <f t="shared" ref="H35" si="70">+SUM(H29+SUM(H32:H34))</f>
        <v>#REF!</v>
      </c>
      <c r="I35" s="14" t="e">
        <f t="shared" ref="I35" si="71">+SUM(I29+SUM(I32:I34))</f>
        <v>#REF!</v>
      </c>
      <c r="J35" s="14" t="e">
        <f t="shared" ref="J35" si="72">+SUM(J29+SUM(J32:J34))</f>
        <v>#REF!</v>
      </c>
      <c r="K35" s="14" t="e">
        <f t="shared" ref="K35" si="73">+SUM(K29+SUM(K32:K34))</f>
        <v>#REF!</v>
      </c>
      <c r="L35" s="14" t="e">
        <f t="shared" ref="L35" si="74">+SUM(L29+SUM(L32:L34))</f>
        <v>#REF!</v>
      </c>
      <c r="M35" s="14" t="e">
        <f t="shared" ref="M35" si="75">+SUM(M29+SUM(M32:M34))</f>
        <v>#REF!</v>
      </c>
      <c r="N35" s="14" t="e">
        <f t="shared" ref="N35" si="76">+SUM(N29+SUM(N32:N34))</f>
        <v>#REF!</v>
      </c>
      <c r="O35" s="14" t="e">
        <f t="shared" ref="O35" si="77">+SUM(O29+SUM(O32:O34))</f>
        <v>#REF!</v>
      </c>
      <c r="P35" s="14" t="e">
        <f t="shared" ref="P35" si="78">+SUM(P29+SUM(P32:P34))</f>
        <v>#REF!</v>
      </c>
      <c r="Q35" s="14" t="e">
        <f t="shared" ref="Q35" si="79">+SUM(Q29+SUM(Q32:Q34))</f>
        <v>#REF!</v>
      </c>
      <c r="R35" s="14" t="e">
        <f t="shared" ref="R35" si="80">+SUM(R29+SUM(R32:R34))</f>
        <v>#REF!</v>
      </c>
      <c r="T35" s="14" t="e">
        <f t="shared" ref="T35" si="81">+SUM(T29+SUM(T32:T34))</f>
        <v>#REF!</v>
      </c>
      <c r="U35" s="14" t="e">
        <f t="shared" ref="U35" si="82">+SUM(U29+SUM(U32:U34))</f>
        <v>#REF!</v>
      </c>
      <c r="V35" s="14" t="e">
        <f t="shared" ref="V35" si="83">+SUM(V29+SUM(V32:V34))</f>
        <v>#REF!</v>
      </c>
      <c r="W35" s="14" t="e">
        <f t="shared" ref="W35" si="84">+SUM(W29+SUM(W32:W34))</f>
        <v>#REF!</v>
      </c>
      <c r="X35" s="14" t="e">
        <f t="shared" ref="X35" si="85">+SUM(X29+SUM(X32:X34))</f>
        <v>#REF!</v>
      </c>
      <c r="Y35" s="14" t="e">
        <f t="shared" ref="Y35" si="86">+SUM(Y29+SUM(Y32:Y34))</f>
        <v>#REF!</v>
      </c>
      <c r="Z35" s="14" t="e">
        <f t="shared" ref="Z35" si="87">+SUM(Z29+SUM(Z32:Z34))</f>
        <v>#REF!</v>
      </c>
      <c r="AA35" s="14" t="e">
        <f t="shared" ref="AA35" si="88">+SUM(AA29+SUM(AA32:AA34))</f>
        <v>#REF!</v>
      </c>
      <c r="AC35" s="127" t="e">
        <f>SUM(AA35/W35)-1</f>
        <v>#REF!</v>
      </c>
    </row>
    <row r="36" spans="2:29" ht="12.75" customHeight="1">
      <c r="B36" s="16" t="s">
        <v>34</v>
      </c>
      <c r="C36" s="17" t="e">
        <f>C35/C10</f>
        <v>#REF!</v>
      </c>
      <c r="D36" s="17" t="e">
        <f>D35/D10</f>
        <v>#REF!</v>
      </c>
      <c r="E36" s="17" t="e">
        <f>E35/E10</f>
        <v>#REF!</v>
      </c>
      <c r="F36" s="17" t="e">
        <f>F35/F10</f>
        <v>#REF!</v>
      </c>
      <c r="H36" s="17" t="e">
        <f t="shared" ref="H36:R36" si="89">H35/H10</f>
        <v>#REF!</v>
      </c>
      <c r="I36" s="17" t="e">
        <f t="shared" si="89"/>
        <v>#REF!</v>
      </c>
      <c r="J36" s="17" t="e">
        <f t="shared" si="89"/>
        <v>#REF!</v>
      </c>
      <c r="K36" s="17" t="e">
        <f t="shared" si="89"/>
        <v>#REF!</v>
      </c>
      <c r="L36" s="17" t="e">
        <f t="shared" si="89"/>
        <v>#REF!</v>
      </c>
      <c r="M36" s="17" t="e">
        <f t="shared" si="89"/>
        <v>#REF!</v>
      </c>
      <c r="N36" s="17" t="e">
        <f t="shared" si="89"/>
        <v>#REF!</v>
      </c>
      <c r="O36" s="17" t="e">
        <f t="shared" si="89"/>
        <v>#REF!</v>
      </c>
      <c r="P36" s="17" t="e">
        <f t="shared" si="89"/>
        <v>#REF!</v>
      </c>
      <c r="Q36" s="17" t="e">
        <f t="shared" si="89"/>
        <v>#REF!</v>
      </c>
      <c r="R36" s="17" t="e">
        <f t="shared" si="89"/>
        <v>#REF!</v>
      </c>
      <c r="T36" s="17" t="e">
        <f t="shared" ref="T36:AA36" si="90">T35/T10</f>
        <v>#REF!</v>
      </c>
      <c r="U36" s="17" t="e">
        <f t="shared" si="90"/>
        <v>#REF!</v>
      </c>
      <c r="V36" s="17" t="e">
        <f t="shared" si="90"/>
        <v>#REF!</v>
      </c>
      <c r="W36" s="17" t="e">
        <f t="shared" si="90"/>
        <v>#REF!</v>
      </c>
      <c r="X36" s="17" t="e">
        <f t="shared" si="90"/>
        <v>#REF!</v>
      </c>
      <c r="Y36" s="17" t="e">
        <f t="shared" si="90"/>
        <v>#REF!</v>
      </c>
      <c r="Z36" s="17" t="e">
        <f t="shared" si="90"/>
        <v>#REF!</v>
      </c>
      <c r="AA36" s="17" t="e">
        <f t="shared" si="90"/>
        <v>#REF!</v>
      </c>
      <c r="AC36" s="128" t="e">
        <f>SUM(AA36-W36)*10000</f>
        <v>#REF!</v>
      </c>
    </row>
    <row r="37" spans="2:29" ht="5.0999999999999996" customHeight="1">
      <c r="AC37" s="125"/>
    </row>
    <row r="38" spans="2:29" ht="12.75" customHeight="1">
      <c r="B38" s="23" t="s">
        <v>35</v>
      </c>
      <c r="C38" s="141">
        <f>'Historical Financials'!D101</f>
        <v>0</v>
      </c>
      <c r="D38" s="141">
        <f>'Historical Financials'!E101</f>
        <v>0</v>
      </c>
      <c r="E38" s="141">
        <f>'Historical Financials'!F101</f>
        <v>0</v>
      </c>
      <c r="F38" s="141">
        <f>'Historical Financials'!G101</f>
        <v>0</v>
      </c>
      <c r="H38" s="141">
        <f>'Historical Financials'!Q101</f>
        <v>0</v>
      </c>
      <c r="I38" s="141">
        <f>'Historical Financials'!R101</f>
        <v>0</v>
      </c>
      <c r="J38" s="141">
        <f>'Historical Financials'!S101</f>
        <v>0</v>
      </c>
      <c r="K38" s="141">
        <f>'Historical Financials'!T101</f>
        <v>0</v>
      </c>
      <c r="L38" s="141">
        <f>'Historical Financials'!U101</f>
        <v>0</v>
      </c>
      <c r="M38" s="141">
        <f>'Historical Financials'!V101</f>
        <v>0</v>
      </c>
      <c r="N38" s="141">
        <f>'Historical Financials'!W101</f>
        <v>0</v>
      </c>
      <c r="O38" s="141">
        <f>'Historical Financials'!X101</f>
        <v>0</v>
      </c>
      <c r="P38" s="141">
        <f>'Historical Financials'!Y101</f>
        <v>0</v>
      </c>
      <c r="Q38" s="141">
        <f>'Historical Financials'!Z101</f>
        <v>0</v>
      </c>
      <c r="R38" s="141">
        <f>'Historical Financials'!AA101</f>
        <v>0</v>
      </c>
      <c r="T38" s="10">
        <f t="shared" ref="T38:AA41" si="91">SUM(H38:K38)</f>
        <v>0</v>
      </c>
      <c r="U38" s="10">
        <f t="shared" si="91"/>
        <v>0</v>
      </c>
      <c r="V38" s="10">
        <f t="shared" si="91"/>
        <v>0</v>
      </c>
      <c r="W38" s="142">
        <f t="shared" si="91"/>
        <v>0</v>
      </c>
      <c r="X38" s="142">
        <f t="shared" si="91"/>
        <v>0</v>
      </c>
      <c r="Y38" s="142">
        <f t="shared" si="91"/>
        <v>0</v>
      </c>
      <c r="Z38" s="142">
        <f t="shared" si="91"/>
        <v>0</v>
      </c>
      <c r="AA38" s="142">
        <f t="shared" si="91"/>
        <v>0</v>
      </c>
      <c r="AC38" s="126" t="e">
        <f>SUM(AA38/W38)-1</f>
        <v>#DIV/0!</v>
      </c>
    </row>
    <row r="39" spans="2:29" ht="12.75" customHeight="1">
      <c r="B39" s="23" t="s">
        <v>36</v>
      </c>
      <c r="C39" s="141">
        <f>-'Historical Financials'!D126</f>
        <v>0</v>
      </c>
      <c r="D39" s="141">
        <f>-'Historical Financials'!E126</f>
        <v>0</v>
      </c>
      <c r="E39" s="141">
        <f>-'Historical Financials'!F126</f>
        <v>0</v>
      </c>
      <c r="F39" s="141">
        <f>-'Historical Financials'!G126</f>
        <v>0</v>
      </c>
      <c r="H39" s="141">
        <f>-'Historical Financials'!Q126</f>
        <v>0</v>
      </c>
      <c r="I39" s="141">
        <f>-'Historical Financials'!R126</f>
        <v>0</v>
      </c>
      <c r="J39" s="141">
        <f>-'Historical Financials'!S126</f>
        <v>0</v>
      </c>
      <c r="K39" s="141">
        <f>-'Historical Financials'!T126</f>
        <v>0</v>
      </c>
      <c r="L39" s="141">
        <f>-'Historical Financials'!U126</f>
        <v>0</v>
      </c>
      <c r="M39" s="141">
        <f>-'Historical Financials'!V126</f>
        <v>0</v>
      </c>
      <c r="N39" s="141">
        <f>-'Historical Financials'!W126</f>
        <v>0</v>
      </c>
      <c r="O39" s="141">
        <f>-'Historical Financials'!X126</f>
        <v>0</v>
      </c>
      <c r="P39" s="141">
        <f>-'Historical Financials'!Y126</f>
        <v>0</v>
      </c>
      <c r="Q39" s="141">
        <f>-'Historical Financials'!Z126</f>
        <v>0</v>
      </c>
      <c r="R39" s="141">
        <f>-'Historical Financials'!AA126</f>
        <v>0</v>
      </c>
      <c r="T39" s="10">
        <f t="shared" si="91"/>
        <v>0</v>
      </c>
      <c r="U39" s="10">
        <f t="shared" si="91"/>
        <v>0</v>
      </c>
      <c r="V39" s="10">
        <f t="shared" si="91"/>
        <v>0</v>
      </c>
      <c r="W39" s="142">
        <f t="shared" si="91"/>
        <v>0</v>
      </c>
      <c r="X39" s="142">
        <f t="shared" si="91"/>
        <v>0</v>
      </c>
      <c r="Y39" s="142">
        <f t="shared" si="91"/>
        <v>0</v>
      </c>
      <c r="Z39" s="142">
        <f t="shared" si="91"/>
        <v>0</v>
      </c>
      <c r="AA39" s="142">
        <f t="shared" si="91"/>
        <v>0</v>
      </c>
      <c r="AC39" s="126" t="e">
        <f>SUM(AA39/W39)-1</f>
        <v>#DIV/0!</v>
      </c>
    </row>
    <row r="40" spans="2:29" ht="12.75" customHeight="1">
      <c r="B40" s="23" t="s">
        <v>70</v>
      </c>
      <c r="C40" s="141">
        <f>-'Historical Financials'!D125</f>
        <v>0</v>
      </c>
      <c r="D40" s="141">
        <f>-'Historical Financials'!E125</f>
        <v>0</v>
      </c>
      <c r="E40" s="141">
        <f>-'Historical Financials'!F125</f>
        <v>0</v>
      </c>
      <c r="F40" s="141">
        <f>-'Historical Financials'!G125</f>
        <v>0</v>
      </c>
      <c r="H40" s="148">
        <f>$E$40/4</f>
        <v>0</v>
      </c>
      <c r="I40" s="148">
        <f t="shared" ref="I40:K40" si="92">$E$40/4</f>
        <v>0</v>
      </c>
      <c r="J40" s="148">
        <f t="shared" si="92"/>
        <v>0</v>
      </c>
      <c r="K40" s="148">
        <f t="shared" si="92"/>
        <v>0</v>
      </c>
      <c r="L40" s="148">
        <f>$F$40/4</f>
        <v>0</v>
      </c>
      <c r="M40" s="148">
        <f t="shared" ref="M40:O40" si="93">$F$40/4</f>
        <v>0</v>
      </c>
      <c r="N40" s="148">
        <f t="shared" si="93"/>
        <v>0</v>
      </c>
      <c r="O40" s="148">
        <f t="shared" si="93"/>
        <v>0</v>
      </c>
      <c r="P40" s="148">
        <f>O40</f>
        <v>0</v>
      </c>
      <c r="Q40" s="148">
        <f t="shared" ref="Q40:R40" si="94">P40</f>
        <v>0</v>
      </c>
      <c r="R40" s="148">
        <f t="shared" si="94"/>
        <v>0</v>
      </c>
      <c r="T40" s="10">
        <f t="shared" si="91"/>
        <v>0</v>
      </c>
      <c r="U40" s="10">
        <f t="shared" si="91"/>
        <v>0</v>
      </c>
      <c r="V40" s="10">
        <f t="shared" si="91"/>
        <v>0</v>
      </c>
      <c r="W40" s="142">
        <f t="shared" si="91"/>
        <v>0</v>
      </c>
      <c r="X40" s="142">
        <f t="shared" si="91"/>
        <v>0</v>
      </c>
      <c r="Y40" s="142">
        <f t="shared" si="91"/>
        <v>0</v>
      </c>
      <c r="Z40" s="142">
        <f t="shared" si="91"/>
        <v>0</v>
      </c>
      <c r="AA40" s="142">
        <f t="shared" si="91"/>
        <v>0</v>
      </c>
      <c r="AC40" s="126" t="e">
        <f>SUM(AA40/W40)-1</f>
        <v>#DIV/0!</v>
      </c>
    </row>
    <row r="41" spans="2:29" ht="12.75" customHeight="1">
      <c r="B41" s="23" t="s">
        <v>37</v>
      </c>
      <c r="C41" s="141" t="e">
        <f>SUM('Historical Financials'!#REF!)</f>
        <v>#REF!</v>
      </c>
      <c r="D41" s="141" t="e">
        <f>SUM('Historical Financials'!#REF!)</f>
        <v>#REF!</v>
      </c>
      <c r="E41" s="141" t="e">
        <f>SUM('Historical Financials'!#REF!)</f>
        <v>#REF!</v>
      </c>
      <c r="F41" s="141" t="e">
        <f>SUM('Historical Financials'!#REF!)</f>
        <v>#REF!</v>
      </c>
      <c r="H41" s="141" t="e">
        <f>SUM('Historical Financials'!#REF!)</f>
        <v>#REF!</v>
      </c>
      <c r="I41" s="141" t="e">
        <f>SUM('Historical Financials'!#REF!)</f>
        <v>#REF!</v>
      </c>
      <c r="J41" s="141" t="e">
        <f>SUM('Historical Financials'!#REF!)</f>
        <v>#REF!</v>
      </c>
      <c r="K41" s="141" t="e">
        <f>SUM('Historical Financials'!#REF!)</f>
        <v>#REF!</v>
      </c>
      <c r="L41" s="141" t="e">
        <f>SUM('Historical Financials'!#REF!)</f>
        <v>#REF!</v>
      </c>
      <c r="M41" s="141" t="e">
        <f>SUM('Historical Financials'!#REF!)</f>
        <v>#REF!</v>
      </c>
      <c r="N41" s="141" t="e">
        <f>SUM('Historical Financials'!#REF!)</f>
        <v>#REF!</v>
      </c>
      <c r="O41" s="141" t="e">
        <f>SUM('Historical Financials'!#REF!)</f>
        <v>#REF!</v>
      </c>
      <c r="P41" s="141" t="e">
        <f>SUM('Historical Financials'!#REF!)</f>
        <v>#REF!</v>
      </c>
      <c r="Q41" s="141" t="e">
        <f>SUM('Historical Financials'!#REF!)</f>
        <v>#REF!</v>
      </c>
      <c r="R41" s="141" t="e">
        <f>SUM('Historical Financials'!#REF!)</f>
        <v>#REF!</v>
      </c>
      <c r="T41" s="10" t="e">
        <f t="shared" si="91"/>
        <v>#REF!</v>
      </c>
      <c r="U41" s="10" t="e">
        <f t="shared" si="91"/>
        <v>#REF!</v>
      </c>
      <c r="V41" s="10" t="e">
        <f t="shared" si="91"/>
        <v>#REF!</v>
      </c>
      <c r="W41" s="142" t="e">
        <f t="shared" si="91"/>
        <v>#REF!</v>
      </c>
      <c r="X41" s="142" t="e">
        <f t="shared" si="91"/>
        <v>#REF!</v>
      </c>
      <c r="Y41" s="142" t="e">
        <f t="shared" si="91"/>
        <v>#REF!</v>
      </c>
      <c r="Z41" s="142" t="e">
        <f t="shared" si="91"/>
        <v>#REF!</v>
      </c>
      <c r="AA41" s="142" t="e">
        <f t="shared" si="91"/>
        <v>#REF!</v>
      </c>
      <c r="AC41" s="126" t="e">
        <f>SUM(AA41/W41)-1</f>
        <v>#REF!</v>
      </c>
    </row>
    <row r="42" spans="2:29" ht="12.75" customHeight="1">
      <c r="B42" s="13" t="s">
        <v>38</v>
      </c>
      <c r="C42" s="14" t="e">
        <f>SUM(C35+SUM(C38:C41))</f>
        <v>#REF!</v>
      </c>
      <c r="D42" s="14" t="e">
        <f>SUM(D35+SUM(D38:D41))</f>
        <v>#REF!</v>
      </c>
      <c r="E42" s="14" t="e">
        <f>SUM(E35+SUM(E38:E41))</f>
        <v>#REF!</v>
      </c>
      <c r="F42" s="14" t="e">
        <f>SUM(F35+SUM(F38:F41))</f>
        <v>#REF!</v>
      </c>
      <c r="H42" s="14" t="e">
        <f t="shared" ref="H42:Q42" si="95">SUM(H35+SUM(H38:H41))</f>
        <v>#REF!</v>
      </c>
      <c r="I42" s="14" t="e">
        <f t="shared" si="95"/>
        <v>#REF!</v>
      </c>
      <c r="J42" s="14" t="e">
        <f t="shared" si="95"/>
        <v>#REF!</v>
      </c>
      <c r="K42" s="14" t="e">
        <f t="shared" si="95"/>
        <v>#REF!</v>
      </c>
      <c r="L42" s="14" t="e">
        <f t="shared" si="95"/>
        <v>#REF!</v>
      </c>
      <c r="M42" s="14" t="e">
        <f t="shared" si="95"/>
        <v>#REF!</v>
      </c>
      <c r="N42" s="14" t="e">
        <f t="shared" si="95"/>
        <v>#REF!</v>
      </c>
      <c r="O42" s="14" t="e">
        <f t="shared" si="95"/>
        <v>#REF!</v>
      </c>
      <c r="P42" s="14" t="e">
        <f t="shared" si="95"/>
        <v>#REF!</v>
      </c>
      <c r="Q42" s="14" t="e">
        <f t="shared" si="95"/>
        <v>#REF!</v>
      </c>
      <c r="R42" s="14" t="e">
        <f>SUM(R35+SUM(R38:R41))</f>
        <v>#REF!</v>
      </c>
      <c r="T42" s="14" t="e">
        <f t="shared" ref="T42:AA42" si="96">SUM(T35+SUM(T38:T41))</f>
        <v>#REF!</v>
      </c>
      <c r="U42" s="14" t="e">
        <f t="shared" si="96"/>
        <v>#REF!</v>
      </c>
      <c r="V42" s="14" t="e">
        <f t="shared" si="96"/>
        <v>#REF!</v>
      </c>
      <c r="W42" s="14" t="e">
        <f t="shared" si="96"/>
        <v>#REF!</v>
      </c>
      <c r="X42" s="14" t="e">
        <f t="shared" si="96"/>
        <v>#REF!</v>
      </c>
      <c r="Y42" s="14" t="e">
        <f t="shared" si="96"/>
        <v>#REF!</v>
      </c>
      <c r="Z42" s="14" t="e">
        <f t="shared" si="96"/>
        <v>#REF!</v>
      </c>
      <c r="AA42" s="14" t="e">
        <f t="shared" si="96"/>
        <v>#REF!</v>
      </c>
      <c r="AC42" s="127" t="e">
        <f>SUM(AA42/W42)-1</f>
        <v>#REF!</v>
      </c>
    </row>
    <row r="43" spans="2:29" ht="5.0999999999999996" customHeight="1"/>
    <row r="44" spans="2:29" ht="12.75" customHeight="1">
      <c r="B44" s="31" t="s">
        <v>95</v>
      </c>
      <c r="C44" s="141">
        <f>'Historical Financials'!D102</f>
        <v>0</v>
      </c>
      <c r="D44" s="141">
        <f>'Historical Financials'!E102</f>
        <v>0</v>
      </c>
      <c r="E44" s="141">
        <f>'Historical Financials'!F102</f>
        <v>0</v>
      </c>
      <c r="F44" s="141">
        <f>'Historical Financials'!G102</f>
        <v>0</v>
      </c>
      <c r="G44" s="32"/>
      <c r="H44" s="141">
        <f>'Historical Financials'!Q102</f>
        <v>0</v>
      </c>
      <c r="I44" s="141">
        <f>'Historical Financials'!R102</f>
        <v>0</v>
      </c>
      <c r="J44" s="141">
        <f>'Historical Financials'!S102</f>
        <v>0</v>
      </c>
      <c r="K44" s="141">
        <f>'Historical Financials'!T102</f>
        <v>0</v>
      </c>
      <c r="L44" s="141">
        <f>'Historical Financials'!U102</f>
        <v>0</v>
      </c>
      <c r="M44" s="141">
        <f>'Historical Financials'!V102</f>
        <v>0</v>
      </c>
      <c r="N44" s="141">
        <f>'Historical Financials'!W102</f>
        <v>0</v>
      </c>
      <c r="O44" s="141">
        <f>'Historical Financials'!X102</f>
        <v>0</v>
      </c>
      <c r="P44" s="141">
        <f>'Historical Financials'!Y102</f>
        <v>0</v>
      </c>
      <c r="Q44" s="141">
        <f>'Historical Financials'!Z102</f>
        <v>0</v>
      </c>
      <c r="R44" s="141">
        <f>'Historical Financials'!AA102</f>
        <v>0</v>
      </c>
      <c r="T44" s="142">
        <f t="shared" ref="T44:Z50" si="97">SUM(H44:K44)</f>
        <v>0</v>
      </c>
      <c r="U44" s="142">
        <f t="shared" si="97"/>
        <v>0</v>
      </c>
      <c r="V44" s="142">
        <f t="shared" si="97"/>
        <v>0</v>
      </c>
      <c r="W44" s="142">
        <f t="shared" si="97"/>
        <v>0</v>
      </c>
      <c r="X44" s="142">
        <f t="shared" si="97"/>
        <v>0</v>
      </c>
      <c r="Y44" s="142">
        <f t="shared" si="97"/>
        <v>0</v>
      </c>
      <c r="Z44" s="142">
        <f t="shared" si="97"/>
        <v>0</v>
      </c>
      <c r="AA44" s="142">
        <f t="shared" ref="AA44:AA50" si="98">SUM(O44:R44)</f>
        <v>0</v>
      </c>
    </row>
    <row r="45" spans="2:29" ht="12.75" customHeight="1">
      <c r="B45" s="31" t="s">
        <v>86</v>
      </c>
      <c r="C45" s="141">
        <f>'Historical Financials'!D104</f>
        <v>0</v>
      </c>
      <c r="D45" s="141">
        <f>'Historical Financials'!E104</f>
        <v>0</v>
      </c>
      <c r="E45" s="141">
        <f>'Historical Financials'!F104</f>
        <v>0</v>
      </c>
      <c r="F45" s="141">
        <f>'Historical Financials'!G104</f>
        <v>0</v>
      </c>
      <c r="G45" s="32"/>
      <c r="H45" s="141">
        <f>'Historical Financials'!Q104</f>
        <v>0</v>
      </c>
      <c r="I45" s="141">
        <f>'Historical Financials'!R104</f>
        <v>0</v>
      </c>
      <c r="J45" s="141">
        <f>'Historical Financials'!S104</f>
        <v>0</v>
      </c>
      <c r="K45" s="141">
        <f>'Historical Financials'!T104</f>
        <v>0</v>
      </c>
      <c r="L45" s="141">
        <f>'Historical Financials'!U104</f>
        <v>0</v>
      </c>
      <c r="M45" s="141">
        <f>'Historical Financials'!V104</f>
        <v>0</v>
      </c>
      <c r="N45" s="141">
        <f>'Historical Financials'!W104</f>
        <v>0</v>
      </c>
      <c r="O45" s="141">
        <f>'Historical Financials'!X104</f>
        <v>0</v>
      </c>
      <c r="P45" s="141">
        <f>'Historical Financials'!Y104</f>
        <v>0</v>
      </c>
      <c r="Q45" s="141">
        <f>'Historical Financials'!Z104</f>
        <v>0</v>
      </c>
      <c r="R45" s="141">
        <f>'Historical Financials'!AA104</f>
        <v>0</v>
      </c>
      <c r="T45" s="142">
        <f t="shared" si="97"/>
        <v>0</v>
      </c>
      <c r="U45" s="142">
        <f t="shared" si="97"/>
        <v>0</v>
      </c>
      <c r="V45" s="142">
        <f t="shared" si="97"/>
        <v>0</v>
      </c>
      <c r="W45" s="142">
        <f t="shared" si="97"/>
        <v>0</v>
      </c>
      <c r="X45" s="142">
        <f t="shared" si="97"/>
        <v>0</v>
      </c>
      <c r="Y45" s="142">
        <f t="shared" si="97"/>
        <v>0</v>
      </c>
      <c r="Z45" s="142">
        <f t="shared" si="97"/>
        <v>0</v>
      </c>
      <c r="AA45" s="142">
        <f t="shared" si="98"/>
        <v>0</v>
      </c>
    </row>
    <row r="46" spans="2:29" ht="12.75" customHeight="1">
      <c r="B46" s="31" t="s">
        <v>125</v>
      </c>
      <c r="C46" s="141">
        <f>'Historical Financials'!D103</f>
        <v>0</v>
      </c>
      <c r="D46" s="141">
        <f>'Historical Financials'!E103</f>
        <v>0</v>
      </c>
      <c r="E46" s="141">
        <f>'Historical Financials'!F103</f>
        <v>0</v>
      </c>
      <c r="F46" s="141">
        <f>'Historical Financials'!G103</f>
        <v>0</v>
      </c>
      <c r="G46" s="32"/>
      <c r="H46" s="141">
        <f>'Historical Financials'!Q103</f>
        <v>0</v>
      </c>
      <c r="I46" s="141">
        <f>'Historical Financials'!R103</f>
        <v>0</v>
      </c>
      <c r="J46" s="141">
        <f>'Historical Financials'!S103</f>
        <v>0</v>
      </c>
      <c r="K46" s="141">
        <f>'Historical Financials'!T103</f>
        <v>0</v>
      </c>
      <c r="L46" s="141">
        <f>'Historical Financials'!U103</f>
        <v>0</v>
      </c>
      <c r="M46" s="141">
        <f>'Historical Financials'!V103</f>
        <v>0</v>
      </c>
      <c r="N46" s="141">
        <f>'Historical Financials'!W103</f>
        <v>0</v>
      </c>
      <c r="O46" s="141">
        <f>'Historical Financials'!X103</f>
        <v>0</v>
      </c>
      <c r="P46" s="141">
        <f>'Historical Financials'!Y103</f>
        <v>0</v>
      </c>
      <c r="Q46" s="141">
        <f>'Historical Financials'!Z103</f>
        <v>0</v>
      </c>
      <c r="R46" s="141">
        <f>'Historical Financials'!AA103</f>
        <v>0</v>
      </c>
      <c r="T46" s="142">
        <f t="shared" si="97"/>
        <v>0</v>
      </c>
      <c r="U46" s="142">
        <f t="shared" si="97"/>
        <v>0</v>
      </c>
      <c r="V46" s="142">
        <f t="shared" si="97"/>
        <v>0</v>
      </c>
      <c r="W46" s="142">
        <f t="shared" si="97"/>
        <v>0</v>
      </c>
      <c r="X46" s="142">
        <f t="shared" si="97"/>
        <v>0</v>
      </c>
      <c r="Y46" s="142">
        <f t="shared" si="97"/>
        <v>0</v>
      </c>
      <c r="Z46" s="142">
        <f t="shared" si="97"/>
        <v>0</v>
      </c>
      <c r="AA46" s="142">
        <f t="shared" si="98"/>
        <v>0</v>
      </c>
    </row>
    <row r="47" spans="2:29" ht="12.75" customHeight="1">
      <c r="B47" s="31" t="s">
        <v>96</v>
      </c>
      <c r="C47" s="141">
        <f>'Historical Financials'!D108</f>
        <v>0</v>
      </c>
      <c r="D47" s="141">
        <f>'Historical Financials'!E108</f>
        <v>0</v>
      </c>
      <c r="E47" s="141">
        <f>'Historical Financials'!F108</f>
        <v>0</v>
      </c>
      <c r="F47" s="141">
        <f>'Historical Financials'!G108</f>
        <v>0</v>
      </c>
      <c r="G47" s="32"/>
      <c r="H47" s="141">
        <f>'Historical Financials'!Q108</f>
        <v>0</v>
      </c>
      <c r="I47" s="141">
        <f>'Historical Financials'!R108</f>
        <v>0</v>
      </c>
      <c r="J47" s="141">
        <f>'Historical Financials'!S108</f>
        <v>0</v>
      </c>
      <c r="K47" s="141">
        <f>'Historical Financials'!T108</f>
        <v>0</v>
      </c>
      <c r="L47" s="141">
        <f>'Historical Financials'!U108</f>
        <v>0</v>
      </c>
      <c r="M47" s="141">
        <f>'Historical Financials'!V108</f>
        <v>0</v>
      </c>
      <c r="N47" s="141">
        <f>'Historical Financials'!W108</f>
        <v>0</v>
      </c>
      <c r="O47" s="141">
        <f>'Historical Financials'!X108</f>
        <v>0</v>
      </c>
      <c r="P47" s="141">
        <f>'Historical Financials'!Y108</f>
        <v>0</v>
      </c>
      <c r="Q47" s="141">
        <f>'Historical Financials'!Z108</f>
        <v>0</v>
      </c>
      <c r="R47" s="141">
        <f>'Historical Financials'!AA108</f>
        <v>0</v>
      </c>
      <c r="T47" s="142">
        <f t="shared" si="97"/>
        <v>0</v>
      </c>
      <c r="U47" s="142">
        <f t="shared" si="97"/>
        <v>0</v>
      </c>
      <c r="V47" s="142">
        <f t="shared" si="97"/>
        <v>0</v>
      </c>
      <c r="W47" s="142">
        <f t="shared" si="97"/>
        <v>0</v>
      </c>
      <c r="X47" s="142">
        <f t="shared" si="97"/>
        <v>0</v>
      </c>
      <c r="Y47" s="142">
        <f t="shared" si="97"/>
        <v>0</v>
      </c>
      <c r="Z47" s="142">
        <f t="shared" si="97"/>
        <v>0</v>
      </c>
      <c r="AA47" s="142">
        <f t="shared" si="98"/>
        <v>0</v>
      </c>
    </row>
    <row r="48" spans="2:29" ht="12.75" customHeight="1">
      <c r="B48" s="31" t="s">
        <v>126</v>
      </c>
      <c r="C48" s="141">
        <f>'Historical Financials'!D109</f>
        <v>0</v>
      </c>
      <c r="D48" s="141">
        <f>'Historical Financials'!E109</f>
        <v>0</v>
      </c>
      <c r="E48" s="141">
        <f>'Historical Financials'!F109</f>
        <v>0</v>
      </c>
      <c r="F48" s="141">
        <f>'Historical Financials'!G109</f>
        <v>0</v>
      </c>
      <c r="G48" s="32"/>
      <c r="H48" s="141">
        <f>'Historical Financials'!Q109</f>
        <v>0</v>
      </c>
      <c r="I48" s="141">
        <f>'Historical Financials'!R109</f>
        <v>0</v>
      </c>
      <c r="J48" s="141">
        <f>'Historical Financials'!S109</f>
        <v>0</v>
      </c>
      <c r="K48" s="141">
        <f>'Historical Financials'!T109</f>
        <v>0</v>
      </c>
      <c r="L48" s="141">
        <f>'Historical Financials'!U109</f>
        <v>0</v>
      </c>
      <c r="M48" s="141">
        <f>'Historical Financials'!V109</f>
        <v>0</v>
      </c>
      <c r="N48" s="141">
        <f>'Historical Financials'!W109</f>
        <v>0</v>
      </c>
      <c r="O48" s="141">
        <f>'Historical Financials'!X109</f>
        <v>0</v>
      </c>
      <c r="P48" s="141">
        <f>'Historical Financials'!Y109</f>
        <v>0</v>
      </c>
      <c r="Q48" s="141">
        <f>'Historical Financials'!Z109</f>
        <v>0</v>
      </c>
      <c r="R48" s="141">
        <f>'Historical Financials'!AA109</f>
        <v>0</v>
      </c>
      <c r="T48" s="142">
        <f t="shared" si="97"/>
        <v>0</v>
      </c>
      <c r="U48" s="142">
        <f t="shared" si="97"/>
        <v>0</v>
      </c>
      <c r="V48" s="142">
        <f t="shared" si="97"/>
        <v>0</v>
      </c>
      <c r="W48" s="142">
        <f t="shared" si="97"/>
        <v>0</v>
      </c>
      <c r="X48" s="142">
        <f t="shared" si="97"/>
        <v>0</v>
      </c>
      <c r="Y48" s="142">
        <f t="shared" si="97"/>
        <v>0</v>
      </c>
      <c r="Z48" s="142">
        <f t="shared" si="97"/>
        <v>0</v>
      </c>
      <c r="AA48" s="142">
        <f t="shared" si="98"/>
        <v>0</v>
      </c>
    </row>
    <row r="49" spans="1:27" ht="12.75" customHeight="1">
      <c r="B49" s="31" t="s">
        <v>97</v>
      </c>
      <c r="C49" s="141">
        <f>SUM('Historical Financials'!D110:D110)</f>
        <v>0</v>
      </c>
      <c r="D49" s="141">
        <f>SUM('Historical Financials'!E110:E110)</f>
        <v>0</v>
      </c>
      <c r="E49" s="141">
        <f>SUM('Historical Financials'!F110:F110)</f>
        <v>0</v>
      </c>
      <c r="F49" s="141">
        <f>SUM('Historical Financials'!G110:G110)</f>
        <v>0</v>
      </c>
      <c r="G49" s="32"/>
      <c r="H49" s="141">
        <f>SUM('Historical Financials'!Q110:Q110)</f>
        <v>0</v>
      </c>
      <c r="I49" s="141">
        <f>SUM('Historical Financials'!R110:R110)</f>
        <v>0</v>
      </c>
      <c r="J49" s="141">
        <f>SUM('Historical Financials'!S110:S110)</f>
        <v>0</v>
      </c>
      <c r="K49" s="141">
        <f>SUM('Historical Financials'!T110:T110)</f>
        <v>0</v>
      </c>
      <c r="L49" s="141">
        <f>SUM('Historical Financials'!U110:U110)</f>
        <v>0</v>
      </c>
      <c r="M49" s="141">
        <f>SUM('Historical Financials'!V110:V110)</f>
        <v>0</v>
      </c>
      <c r="N49" s="141">
        <f>SUM('Historical Financials'!W110:W110)</f>
        <v>0</v>
      </c>
      <c r="O49" s="141">
        <f>SUM('Historical Financials'!X110:X110)</f>
        <v>0</v>
      </c>
      <c r="P49" s="141">
        <f>SUM('Historical Financials'!Y110:Y110)</f>
        <v>0</v>
      </c>
      <c r="Q49" s="141">
        <f>SUM('Historical Financials'!Z110:Z110)</f>
        <v>0</v>
      </c>
      <c r="R49" s="141">
        <f>SUM('Historical Financials'!AA110:AA110)</f>
        <v>0</v>
      </c>
      <c r="T49" s="142">
        <f t="shared" si="97"/>
        <v>0</v>
      </c>
      <c r="U49" s="142">
        <f t="shared" si="97"/>
        <v>0</v>
      </c>
      <c r="V49" s="142">
        <f t="shared" si="97"/>
        <v>0</v>
      </c>
      <c r="W49" s="142">
        <f t="shared" si="97"/>
        <v>0</v>
      </c>
      <c r="X49" s="142">
        <f t="shared" si="97"/>
        <v>0</v>
      </c>
      <c r="Y49" s="142">
        <f t="shared" si="97"/>
        <v>0</v>
      </c>
      <c r="Z49" s="142">
        <f t="shared" si="97"/>
        <v>0</v>
      </c>
      <c r="AA49" s="142">
        <f t="shared" si="98"/>
        <v>0</v>
      </c>
    </row>
    <row r="50" spans="1:27" ht="12.75" customHeight="1">
      <c r="B50" s="31" t="s">
        <v>66</v>
      </c>
      <c r="C50" s="96"/>
      <c r="D50" s="96" t="e">
        <f>SUM(D55-C55)-SUM(D42:D49)</f>
        <v>#REF!</v>
      </c>
      <c r="E50" s="96" t="e">
        <f>SUM(E55-D55)-SUM(E42:E49)</f>
        <v>#REF!</v>
      </c>
      <c r="F50" s="96" t="e">
        <f>SUM(F55-E55)-SUM(F42:F49)</f>
        <v>#REF!</v>
      </c>
      <c r="G50" s="32"/>
      <c r="H50" s="96"/>
      <c r="I50" s="96" t="e">
        <f t="shared" ref="I50:R50" si="99">SUM(I55-H55)-SUM(I42:I49)</f>
        <v>#REF!</v>
      </c>
      <c r="J50" s="96" t="e">
        <f t="shared" si="99"/>
        <v>#REF!</v>
      </c>
      <c r="K50" s="96" t="e">
        <f t="shared" si="99"/>
        <v>#REF!</v>
      </c>
      <c r="L50" s="96" t="e">
        <f t="shared" si="99"/>
        <v>#REF!</v>
      </c>
      <c r="M50" s="96" t="e">
        <f t="shared" si="99"/>
        <v>#REF!</v>
      </c>
      <c r="N50" s="96" t="e">
        <f t="shared" si="99"/>
        <v>#REF!</v>
      </c>
      <c r="O50" s="96" t="e">
        <f t="shared" si="99"/>
        <v>#REF!</v>
      </c>
      <c r="P50" s="96" t="e">
        <f t="shared" si="99"/>
        <v>#REF!</v>
      </c>
      <c r="Q50" s="96" t="e">
        <f t="shared" si="99"/>
        <v>#REF!</v>
      </c>
      <c r="R50" s="96" t="e">
        <f t="shared" si="99"/>
        <v>#REF!</v>
      </c>
      <c r="T50" s="142" t="e">
        <f t="shared" si="97"/>
        <v>#REF!</v>
      </c>
      <c r="U50" s="142" t="e">
        <f t="shared" si="97"/>
        <v>#REF!</v>
      </c>
      <c r="V50" s="142" t="e">
        <f t="shared" si="97"/>
        <v>#REF!</v>
      </c>
      <c r="W50" s="142" t="e">
        <f t="shared" si="97"/>
        <v>#REF!</v>
      </c>
      <c r="X50" s="142" t="e">
        <f t="shared" si="97"/>
        <v>#REF!</v>
      </c>
      <c r="Y50" s="142" t="e">
        <f t="shared" si="97"/>
        <v>#REF!</v>
      </c>
      <c r="Z50" s="142" t="e">
        <f t="shared" si="97"/>
        <v>#REF!</v>
      </c>
      <c r="AA50" s="142" t="e">
        <f t="shared" si="98"/>
        <v>#REF!</v>
      </c>
    </row>
    <row r="51" spans="1:27" ht="12.75" customHeight="1">
      <c r="B51" s="13" t="s">
        <v>39</v>
      </c>
      <c r="C51" s="14" t="e">
        <f>SUM(C42+SUM(C44:C50))</f>
        <v>#REF!</v>
      </c>
      <c r="D51" s="14" t="e">
        <f>SUM(D42+SUM(D44:D50))</f>
        <v>#REF!</v>
      </c>
      <c r="E51" s="14" t="e">
        <f>SUM(E42+SUM(E44:E50))</f>
        <v>#REF!</v>
      </c>
      <c r="F51" s="14" t="e">
        <f>SUM(F42+SUM(F44:F50))</f>
        <v>#REF!</v>
      </c>
      <c r="H51" s="14" t="e">
        <f t="shared" ref="H51:R51" si="100">SUM(H42+SUM(H44:H50))</f>
        <v>#REF!</v>
      </c>
      <c r="I51" s="14" t="e">
        <f t="shared" si="100"/>
        <v>#REF!</v>
      </c>
      <c r="J51" s="14" t="e">
        <f t="shared" si="100"/>
        <v>#REF!</v>
      </c>
      <c r="K51" s="14" t="e">
        <f t="shared" si="100"/>
        <v>#REF!</v>
      </c>
      <c r="L51" s="14" t="e">
        <f t="shared" si="100"/>
        <v>#REF!</v>
      </c>
      <c r="M51" s="14" t="e">
        <f t="shared" si="100"/>
        <v>#REF!</v>
      </c>
      <c r="N51" s="14" t="e">
        <f t="shared" si="100"/>
        <v>#REF!</v>
      </c>
      <c r="O51" s="14" t="e">
        <f t="shared" si="100"/>
        <v>#REF!</v>
      </c>
      <c r="P51" s="14" t="e">
        <f t="shared" si="100"/>
        <v>#REF!</v>
      </c>
      <c r="Q51" s="14" t="e">
        <f t="shared" si="100"/>
        <v>#REF!</v>
      </c>
      <c r="R51" s="14" t="e">
        <f t="shared" si="100"/>
        <v>#REF!</v>
      </c>
      <c r="T51" s="14" t="e">
        <f t="shared" ref="T51:AA51" si="101">SUM(T42+SUM(T44:T50))</f>
        <v>#REF!</v>
      </c>
      <c r="U51" s="14" t="e">
        <f t="shared" si="101"/>
        <v>#REF!</v>
      </c>
      <c r="V51" s="14" t="e">
        <f t="shared" si="101"/>
        <v>#REF!</v>
      </c>
      <c r="W51" s="14" t="e">
        <f t="shared" si="101"/>
        <v>#REF!</v>
      </c>
      <c r="X51" s="14" t="e">
        <f t="shared" si="101"/>
        <v>#REF!</v>
      </c>
      <c r="Y51" s="14" t="e">
        <f t="shared" si="101"/>
        <v>#REF!</v>
      </c>
      <c r="Z51" s="14" t="e">
        <f t="shared" si="101"/>
        <v>#REF!</v>
      </c>
      <c r="AA51" s="14" t="e">
        <f t="shared" si="101"/>
        <v>#REF!</v>
      </c>
    </row>
    <row r="52" spans="1:27" ht="5.0999999999999996" customHeight="1"/>
    <row r="53" spans="1:27" ht="12.75" customHeight="1">
      <c r="A53" s="5"/>
      <c r="B53" s="33" t="s">
        <v>40</v>
      </c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1:27" ht="5.0999999999999996" customHeight="1"/>
    <row r="55" spans="1:27" ht="12.75" customHeight="1">
      <c r="B55" s="8" t="s">
        <v>41</v>
      </c>
      <c r="C55" s="94">
        <f>'Historical Financials'!D44</f>
        <v>25060</v>
      </c>
      <c r="D55" s="94">
        <f>'Historical Financials'!E44</f>
        <v>26882</v>
      </c>
      <c r="E55" s="94">
        <f>'Historical Financials'!F44</f>
        <v>30852</v>
      </c>
      <c r="F55" s="94">
        <f>'Historical Financials'!G44</f>
        <v>34485</v>
      </c>
      <c r="G55" s="32"/>
      <c r="H55" s="94">
        <f>'Historical Financials'!Q44</f>
        <v>9155</v>
      </c>
      <c r="I55" s="94">
        <f>'Historical Financials'!R44</f>
        <v>6772</v>
      </c>
      <c r="J55" s="94">
        <f>'Historical Financials'!S44</f>
        <v>6453</v>
      </c>
      <c r="K55" s="94">
        <f>'Historical Financials'!T44</f>
        <v>30852</v>
      </c>
      <c r="L55" s="94">
        <f>'Historical Financials'!U44</f>
        <v>9958</v>
      </c>
      <c r="M55" s="94">
        <f>'Historical Financials'!V44</f>
        <v>7682</v>
      </c>
      <c r="N55" s="94">
        <f>'Historical Financials'!W44</f>
        <v>7997</v>
      </c>
      <c r="O55" s="94">
        <f>'Historical Financials'!X44</f>
        <v>34485</v>
      </c>
      <c r="P55" s="94">
        <f>'Historical Financials'!Y44</f>
        <v>10928</v>
      </c>
      <c r="Q55" s="94">
        <f>'Historical Financials'!Z44</f>
        <v>10365</v>
      </c>
      <c r="R55" s="94">
        <f>'Historical Financials'!AA44</f>
        <v>0</v>
      </c>
      <c r="T55" s="10">
        <f t="shared" ref="T55:Z57" si="102">K55</f>
        <v>30852</v>
      </c>
      <c r="U55" s="10">
        <f t="shared" si="102"/>
        <v>9958</v>
      </c>
      <c r="V55" s="10">
        <f t="shared" si="102"/>
        <v>7682</v>
      </c>
      <c r="W55" s="10">
        <f t="shared" si="102"/>
        <v>7997</v>
      </c>
      <c r="X55" s="10">
        <f t="shared" si="102"/>
        <v>34485</v>
      </c>
      <c r="Y55" s="10">
        <f t="shared" si="102"/>
        <v>10928</v>
      </c>
      <c r="Z55" s="10">
        <f t="shared" si="102"/>
        <v>10365</v>
      </c>
      <c r="AA55" s="10">
        <f>R55</f>
        <v>0</v>
      </c>
    </row>
    <row r="56" spans="1:27" ht="12.75" customHeight="1">
      <c r="B56" s="8" t="s">
        <v>127</v>
      </c>
      <c r="C56" s="94" t="e">
        <f>'Historical Financials'!#REF!</f>
        <v>#REF!</v>
      </c>
      <c r="D56" s="94" t="e">
        <f>'Historical Financials'!#REF!</f>
        <v>#REF!</v>
      </c>
      <c r="E56" s="94" t="e">
        <f>'Historical Financials'!#REF!</f>
        <v>#REF!</v>
      </c>
      <c r="F56" s="94" t="e">
        <f>'Historical Financials'!#REF!</f>
        <v>#REF!</v>
      </c>
      <c r="G56" s="32"/>
      <c r="H56" s="94" t="e">
        <f>'Historical Financials'!#REF!</f>
        <v>#REF!</v>
      </c>
      <c r="I56" s="94" t="e">
        <f>'Historical Financials'!#REF!</f>
        <v>#REF!</v>
      </c>
      <c r="J56" s="94" t="e">
        <f>'Historical Financials'!#REF!</f>
        <v>#REF!</v>
      </c>
      <c r="K56" s="94" t="e">
        <f>'Historical Financials'!#REF!</f>
        <v>#REF!</v>
      </c>
      <c r="L56" s="94" t="e">
        <f>'Historical Financials'!#REF!</f>
        <v>#REF!</v>
      </c>
      <c r="M56" s="94" t="e">
        <f>'Historical Financials'!#REF!</f>
        <v>#REF!</v>
      </c>
      <c r="N56" s="94" t="e">
        <f>'Historical Financials'!#REF!</f>
        <v>#REF!</v>
      </c>
      <c r="O56" s="94" t="e">
        <f>'Historical Financials'!#REF!</f>
        <v>#REF!</v>
      </c>
      <c r="P56" s="94" t="e">
        <f>'Historical Financials'!#REF!</f>
        <v>#REF!</v>
      </c>
      <c r="Q56" s="94" t="e">
        <f>'Historical Financials'!#REF!</f>
        <v>#REF!</v>
      </c>
      <c r="R56" s="94" t="e">
        <f>'Historical Financials'!#REF!</f>
        <v>#REF!</v>
      </c>
      <c r="T56" s="10" t="e">
        <f t="shared" si="102"/>
        <v>#REF!</v>
      </c>
      <c r="U56" s="10" t="e">
        <f t="shared" si="102"/>
        <v>#REF!</v>
      </c>
      <c r="V56" s="10" t="e">
        <f t="shared" si="102"/>
        <v>#REF!</v>
      </c>
      <c r="W56" s="10" t="e">
        <f t="shared" si="102"/>
        <v>#REF!</v>
      </c>
      <c r="X56" s="10" t="e">
        <f t="shared" si="102"/>
        <v>#REF!</v>
      </c>
      <c r="Y56" s="10" t="e">
        <f t="shared" si="102"/>
        <v>#REF!</v>
      </c>
      <c r="Z56" s="10" t="e">
        <f t="shared" si="102"/>
        <v>#REF!</v>
      </c>
      <c r="AA56" s="10" t="e">
        <f>R56</f>
        <v>#REF!</v>
      </c>
    </row>
    <row r="57" spans="1:27" ht="12.75" customHeight="1">
      <c r="B57" s="31" t="s">
        <v>134</v>
      </c>
      <c r="C57" s="81">
        <f>500-C75</f>
        <v>486</v>
      </c>
      <c r="D57" s="81">
        <v>3000</v>
      </c>
      <c r="E57" s="81">
        <v>3000</v>
      </c>
      <c r="F57" s="81">
        <v>3000</v>
      </c>
      <c r="G57" s="94"/>
      <c r="H57" s="81">
        <f t="shared" ref="H57:N57" si="103">3000-H75-H76</f>
        <v>3000</v>
      </c>
      <c r="I57" s="81">
        <f t="shared" si="103"/>
        <v>3000</v>
      </c>
      <c r="J57" s="81">
        <f t="shared" si="103"/>
        <v>3000</v>
      </c>
      <c r="K57" s="10">
        <f>E57</f>
        <v>3000</v>
      </c>
      <c r="L57" s="81">
        <f t="shared" si="103"/>
        <v>3000</v>
      </c>
      <c r="M57" s="81">
        <f t="shared" si="103"/>
        <v>3000</v>
      </c>
      <c r="N57" s="81">
        <f t="shared" si="103"/>
        <v>3000</v>
      </c>
      <c r="O57" s="10">
        <f>F57</f>
        <v>3000</v>
      </c>
      <c r="P57" s="81">
        <f>3000-P75-P76</f>
        <v>2050</v>
      </c>
      <c r="Q57" s="81">
        <f>3000-Q75-Q76</f>
        <v>3000</v>
      </c>
      <c r="R57" s="81">
        <f>3000-R75-R76</f>
        <v>3000</v>
      </c>
      <c r="T57" s="10">
        <f t="shared" si="102"/>
        <v>3000</v>
      </c>
      <c r="U57" s="10">
        <f t="shared" si="102"/>
        <v>3000</v>
      </c>
      <c r="V57" s="10">
        <f t="shared" si="102"/>
        <v>3000</v>
      </c>
      <c r="W57" s="10">
        <f t="shared" si="102"/>
        <v>3000</v>
      </c>
      <c r="X57" s="10">
        <f t="shared" si="102"/>
        <v>3000</v>
      </c>
      <c r="Y57" s="10">
        <f t="shared" si="102"/>
        <v>2050</v>
      </c>
      <c r="Z57" s="10">
        <f t="shared" si="102"/>
        <v>3000</v>
      </c>
      <c r="AA57" s="10">
        <f>R57</f>
        <v>3000</v>
      </c>
    </row>
    <row r="58" spans="1:27" ht="12.75" customHeight="1">
      <c r="B58" s="13" t="s">
        <v>42</v>
      </c>
      <c r="C58" s="14" t="e">
        <f>SUM(C55:C57)</f>
        <v>#REF!</v>
      </c>
      <c r="D58" s="14" t="e">
        <f>SUM(D55:D57)</f>
        <v>#REF!</v>
      </c>
      <c r="E58" s="14" t="e">
        <f>SUM(E55:E57)</f>
        <v>#REF!</v>
      </c>
      <c r="F58" s="14" t="e">
        <f>SUM(F55:F57)</f>
        <v>#REF!</v>
      </c>
      <c r="G58" s="32"/>
      <c r="H58" s="14" t="e">
        <f t="shared" ref="H58:R58" si="104">SUM(H55:H57)</f>
        <v>#REF!</v>
      </c>
      <c r="I58" s="14" t="e">
        <f t="shared" si="104"/>
        <v>#REF!</v>
      </c>
      <c r="J58" s="14" t="e">
        <f t="shared" si="104"/>
        <v>#REF!</v>
      </c>
      <c r="K58" s="14" t="e">
        <f t="shared" si="104"/>
        <v>#REF!</v>
      </c>
      <c r="L58" s="14" t="e">
        <f t="shared" si="104"/>
        <v>#REF!</v>
      </c>
      <c r="M58" s="14" t="e">
        <f t="shared" si="104"/>
        <v>#REF!</v>
      </c>
      <c r="N58" s="14" t="e">
        <f t="shared" si="104"/>
        <v>#REF!</v>
      </c>
      <c r="O58" s="14" t="e">
        <f t="shared" si="104"/>
        <v>#REF!</v>
      </c>
      <c r="P58" s="14" t="e">
        <f t="shared" si="104"/>
        <v>#REF!</v>
      </c>
      <c r="Q58" s="14" t="e">
        <f t="shared" si="104"/>
        <v>#REF!</v>
      </c>
      <c r="R58" s="14" t="e">
        <f t="shared" si="104"/>
        <v>#REF!</v>
      </c>
      <c r="T58" s="14">
        <f t="shared" ref="T58:V58" si="105">SUM(T55:T55)</f>
        <v>30852</v>
      </c>
      <c r="U58" s="14">
        <f t="shared" si="105"/>
        <v>9958</v>
      </c>
      <c r="V58" s="14">
        <f t="shared" si="105"/>
        <v>7682</v>
      </c>
      <c r="W58" s="14" t="e">
        <f>SUM(W55:W57)</f>
        <v>#REF!</v>
      </c>
      <c r="X58" s="14" t="e">
        <f>SUM(X55:X57)</f>
        <v>#REF!</v>
      </c>
      <c r="Y58" s="14" t="e">
        <f>SUM(Y55:Y57)</f>
        <v>#REF!</v>
      </c>
      <c r="Z58" s="14" t="e">
        <f>SUM(Z55:Z57)</f>
        <v>#REF!</v>
      </c>
      <c r="AA58" s="14" t="e">
        <f>SUM(AA55:AA57)</f>
        <v>#REF!</v>
      </c>
    </row>
    <row r="59" spans="1:27" ht="12.75" hidden="1" customHeight="1" outlineLevel="1">
      <c r="B59" s="150" t="s">
        <v>131</v>
      </c>
      <c r="C59" s="149">
        <f>75-C75</f>
        <v>61</v>
      </c>
      <c r="D59" s="151"/>
      <c r="E59" s="151"/>
      <c r="F59" s="151"/>
      <c r="G59" s="32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T59" s="151"/>
      <c r="U59" s="151"/>
      <c r="V59" s="151"/>
      <c r="W59" s="151"/>
      <c r="X59" s="151"/>
      <c r="Y59" s="151"/>
      <c r="Z59" s="151"/>
      <c r="AA59" s="151"/>
    </row>
    <row r="60" spans="1:27" ht="12.75" hidden="1" customHeight="1" outlineLevel="1">
      <c r="B60" s="150" t="s">
        <v>132</v>
      </c>
      <c r="C60" s="149">
        <v>50</v>
      </c>
      <c r="D60" s="151"/>
      <c r="E60" s="151"/>
      <c r="F60" s="151"/>
      <c r="G60" s="32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T60" s="151"/>
      <c r="U60" s="151"/>
      <c r="V60" s="151"/>
      <c r="W60" s="151"/>
      <c r="X60" s="151"/>
      <c r="Y60" s="151"/>
      <c r="Z60" s="151"/>
      <c r="AA60" s="151"/>
    </row>
    <row r="61" spans="1:27" ht="5.0999999999999996" customHeight="1" collapsed="1"/>
    <row r="62" spans="1:27" ht="12.75" customHeight="1">
      <c r="B62" s="35" t="s">
        <v>43</v>
      </c>
    </row>
    <row r="63" spans="1:27" ht="12.75" customHeight="1">
      <c r="B63" s="8" t="s">
        <v>136</v>
      </c>
      <c r="C63" s="94" t="e">
        <f>'Historical Financials'!#REF!</f>
        <v>#REF!</v>
      </c>
      <c r="D63" s="94" t="e">
        <f>'Historical Financials'!#REF!</f>
        <v>#REF!</v>
      </c>
      <c r="E63" s="94" t="e">
        <f>'Historical Financials'!#REF!</f>
        <v>#REF!</v>
      </c>
      <c r="F63" s="94" t="e">
        <f>'Historical Financials'!#REF!</f>
        <v>#REF!</v>
      </c>
      <c r="H63" s="94" t="e">
        <f>'Historical Financials'!#REF!</f>
        <v>#REF!</v>
      </c>
      <c r="I63" s="94" t="e">
        <f>'Historical Financials'!#REF!</f>
        <v>#REF!</v>
      </c>
      <c r="J63" s="94" t="e">
        <f>'Historical Financials'!#REF!</f>
        <v>#REF!</v>
      </c>
      <c r="K63" s="94" t="e">
        <f>'Historical Financials'!#REF!</f>
        <v>#REF!</v>
      </c>
      <c r="L63" s="94" t="e">
        <f>'Historical Financials'!#REF!</f>
        <v>#REF!</v>
      </c>
      <c r="M63" s="94" t="e">
        <f>'Historical Financials'!#REF!</f>
        <v>#REF!</v>
      </c>
      <c r="N63" s="94" t="e">
        <f>'Historical Financials'!#REF!</f>
        <v>#REF!</v>
      </c>
      <c r="O63" s="94" t="e">
        <f>'Historical Financials'!#REF!</f>
        <v>#REF!</v>
      </c>
      <c r="P63" s="94" t="e">
        <f>'Historical Financials'!#REF!</f>
        <v>#REF!</v>
      </c>
      <c r="Q63" s="94" t="e">
        <f>'Historical Financials'!#REF!</f>
        <v>#REF!</v>
      </c>
      <c r="R63" s="94" t="e">
        <f>'Historical Financials'!#REF!</f>
        <v>#REF!</v>
      </c>
      <c r="S63" s="10"/>
      <c r="T63" s="10" t="e">
        <f t="shared" ref="T63:Z69" si="106">K63</f>
        <v>#REF!</v>
      </c>
      <c r="U63" s="10" t="e">
        <f t="shared" si="106"/>
        <v>#REF!</v>
      </c>
      <c r="V63" s="10" t="e">
        <f t="shared" si="106"/>
        <v>#REF!</v>
      </c>
      <c r="W63" s="10" t="e">
        <f t="shared" si="106"/>
        <v>#REF!</v>
      </c>
      <c r="X63" s="10" t="e">
        <f t="shared" si="106"/>
        <v>#REF!</v>
      </c>
      <c r="Y63" s="10" t="e">
        <f t="shared" si="106"/>
        <v>#REF!</v>
      </c>
      <c r="Z63" s="10" t="e">
        <f t="shared" si="106"/>
        <v>#REF!</v>
      </c>
      <c r="AA63" s="10" t="e">
        <f t="shared" ref="AA63:AA69" si="107">R63</f>
        <v>#REF!</v>
      </c>
    </row>
    <row r="64" spans="1:27" ht="12.75" customHeight="1">
      <c r="B64" s="8" t="s">
        <v>106</v>
      </c>
      <c r="C64" s="94" t="e">
        <f>'Historical Financials'!#REF!</f>
        <v>#REF!</v>
      </c>
      <c r="D64" s="94" t="e">
        <f>'Historical Financials'!#REF!</f>
        <v>#REF!</v>
      </c>
      <c r="E64" s="94" t="e">
        <f>'Historical Financials'!#REF!</f>
        <v>#REF!</v>
      </c>
      <c r="F64" s="94" t="e">
        <f>'Historical Financials'!#REF!</f>
        <v>#REF!</v>
      </c>
      <c r="G64" s="94"/>
      <c r="H64" s="94" t="e">
        <f>'Historical Financials'!#REF!</f>
        <v>#REF!</v>
      </c>
      <c r="I64" s="94" t="e">
        <f>'Historical Financials'!#REF!</f>
        <v>#REF!</v>
      </c>
      <c r="J64" s="94" t="e">
        <f>'Historical Financials'!#REF!</f>
        <v>#REF!</v>
      </c>
      <c r="K64" s="94" t="e">
        <f>'Historical Financials'!#REF!</f>
        <v>#REF!</v>
      </c>
      <c r="L64" s="94" t="e">
        <f>'Historical Financials'!#REF!</f>
        <v>#REF!</v>
      </c>
      <c r="M64" s="94" t="e">
        <f>'Historical Financials'!#REF!</f>
        <v>#REF!</v>
      </c>
      <c r="N64" s="94" t="e">
        <f>'Historical Financials'!#REF!</f>
        <v>#REF!</v>
      </c>
      <c r="O64" s="94" t="e">
        <f>'Historical Financials'!#REF!</f>
        <v>#REF!</v>
      </c>
      <c r="P64" s="94" t="e">
        <f>'Historical Financials'!#REF!</f>
        <v>#REF!</v>
      </c>
      <c r="Q64" s="94" t="e">
        <f>'Historical Financials'!#REF!</f>
        <v>#REF!</v>
      </c>
      <c r="R64" s="94" t="e">
        <f>'Historical Financials'!#REF!</f>
        <v>#REF!</v>
      </c>
      <c r="T64" s="10" t="e">
        <f t="shared" si="106"/>
        <v>#REF!</v>
      </c>
      <c r="U64" s="10" t="e">
        <f t="shared" si="106"/>
        <v>#REF!</v>
      </c>
      <c r="V64" s="10" t="e">
        <f t="shared" si="106"/>
        <v>#REF!</v>
      </c>
      <c r="W64" s="10" t="e">
        <f t="shared" si="106"/>
        <v>#REF!</v>
      </c>
      <c r="X64" s="10" t="e">
        <f t="shared" si="106"/>
        <v>#REF!</v>
      </c>
      <c r="Y64" s="10" t="e">
        <f t="shared" si="106"/>
        <v>#REF!</v>
      </c>
      <c r="Z64" s="10" t="e">
        <f t="shared" si="106"/>
        <v>#REF!</v>
      </c>
      <c r="AA64" s="10" t="e">
        <f t="shared" si="107"/>
        <v>#REF!</v>
      </c>
    </row>
    <row r="65" spans="2:27" ht="12.75" customHeight="1">
      <c r="B65" s="8" t="s">
        <v>101</v>
      </c>
      <c r="C65" s="94">
        <f>'Historical Financials'!D52</f>
        <v>10784</v>
      </c>
      <c r="D65" s="94">
        <f>'Historical Financials'!E52</f>
        <v>13459</v>
      </c>
      <c r="E65" s="94">
        <f>'Historical Financials'!F52</f>
        <v>15067</v>
      </c>
      <c r="F65" s="94">
        <f>'Historical Financials'!G52</f>
        <v>13738</v>
      </c>
      <c r="H65" s="94">
        <f>'Historical Financials'!Q52</f>
        <v>3695</v>
      </c>
      <c r="I65" s="94">
        <f>'Historical Financials'!R52</f>
        <v>3876</v>
      </c>
      <c r="J65" s="94">
        <f>'Historical Financials'!S52</f>
        <v>3807</v>
      </c>
      <c r="K65" s="94">
        <f>'Historical Financials'!T52</f>
        <v>15067</v>
      </c>
      <c r="L65" s="94">
        <f>'Historical Financials'!U52</f>
        <v>3506</v>
      </c>
      <c r="M65" s="94">
        <f>'Historical Financials'!V52</f>
        <v>3580</v>
      </c>
      <c r="N65" s="94">
        <f>'Historical Financials'!W52</f>
        <v>3416</v>
      </c>
      <c r="O65" s="94">
        <f>'Historical Financials'!X52</f>
        <v>13738</v>
      </c>
      <c r="P65" s="94">
        <f>'Historical Financials'!Y52</f>
        <v>3131</v>
      </c>
      <c r="Q65" s="94">
        <f>'Historical Financials'!Z52</f>
        <v>3154</v>
      </c>
      <c r="R65" s="94">
        <f>'Historical Financials'!AA52</f>
        <v>0</v>
      </c>
      <c r="S65" s="10"/>
      <c r="T65" s="10">
        <f t="shared" si="106"/>
        <v>15067</v>
      </c>
      <c r="U65" s="10">
        <f t="shared" si="106"/>
        <v>3506</v>
      </c>
      <c r="V65" s="10">
        <f t="shared" si="106"/>
        <v>3580</v>
      </c>
      <c r="W65" s="10">
        <f t="shared" si="106"/>
        <v>3416</v>
      </c>
      <c r="X65" s="10">
        <f t="shared" si="106"/>
        <v>13738</v>
      </c>
      <c r="Y65" s="10">
        <f t="shared" si="106"/>
        <v>3131</v>
      </c>
      <c r="Z65" s="10">
        <f t="shared" si="106"/>
        <v>3154</v>
      </c>
      <c r="AA65" s="10">
        <f t="shared" si="107"/>
        <v>0</v>
      </c>
    </row>
    <row r="66" spans="2:27" ht="12.75" customHeight="1">
      <c r="B66" s="8" t="s">
        <v>108</v>
      </c>
      <c r="C66" s="94" t="e">
        <f>'Historical Financials'!#REF!</f>
        <v>#REF!</v>
      </c>
      <c r="D66" s="94" t="e">
        <f>'Historical Financials'!#REF!</f>
        <v>#REF!</v>
      </c>
      <c r="E66" s="94" t="e">
        <f>'Historical Financials'!#REF!</f>
        <v>#REF!</v>
      </c>
      <c r="F66" s="94" t="e">
        <f>'Historical Financials'!#REF!</f>
        <v>#REF!</v>
      </c>
      <c r="H66" s="94" t="e">
        <f>'Historical Financials'!#REF!</f>
        <v>#REF!</v>
      </c>
      <c r="I66" s="94" t="e">
        <f>'Historical Financials'!#REF!</f>
        <v>#REF!</v>
      </c>
      <c r="J66" s="94" t="e">
        <f>'Historical Financials'!#REF!</f>
        <v>#REF!</v>
      </c>
      <c r="K66" s="94" t="e">
        <f>'Historical Financials'!#REF!</f>
        <v>#REF!</v>
      </c>
      <c r="L66" s="94" t="e">
        <f>'Historical Financials'!#REF!</f>
        <v>#REF!</v>
      </c>
      <c r="M66" s="94" t="e">
        <f>'Historical Financials'!#REF!</f>
        <v>#REF!</v>
      </c>
      <c r="N66" s="94" t="e">
        <f>'Historical Financials'!#REF!</f>
        <v>#REF!</v>
      </c>
      <c r="O66" s="94" t="e">
        <f>'Historical Financials'!#REF!</f>
        <v>#REF!</v>
      </c>
      <c r="P66" s="94" t="e">
        <f>'Historical Financials'!#REF!</f>
        <v>#REF!</v>
      </c>
      <c r="Q66" s="94" t="e">
        <f>'Historical Financials'!#REF!</f>
        <v>#REF!</v>
      </c>
      <c r="R66" s="94" t="e">
        <f>'Historical Financials'!#REF!</f>
        <v>#REF!</v>
      </c>
      <c r="S66" s="10"/>
      <c r="T66" s="10" t="e">
        <f t="shared" si="106"/>
        <v>#REF!</v>
      </c>
      <c r="U66" s="10" t="e">
        <f t="shared" si="106"/>
        <v>#REF!</v>
      </c>
      <c r="V66" s="10" t="e">
        <f t="shared" si="106"/>
        <v>#REF!</v>
      </c>
      <c r="W66" s="10" t="e">
        <f t="shared" si="106"/>
        <v>#REF!</v>
      </c>
      <c r="X66" s="10" t="e">
        <f t="shared" si="106"/>
        <v>#REF!</v>
      </c>
      <c r="Y66" s="10" t="e">
        <f t="shared" si="106"/>
        <v>#REF!</v>
      </c>
      <c r="Z66" s="10" t="e">
        <f t="shared" si="106"/>
        <v>#REF!</v>
      </c>
      <c r="AA66" s="10" t="e">
        <f t="shared" si="107"/>
        <v>#REF!</v>
      </c>
    </row>
    <row r="67" spans="2:27" ht="12.75" customHeight="1">
      <c r="B67" s="8" t="s">
        <v>44</v>
      </c>
      <c r="C67" s="94">
        <f>'Historical Financials'!D62</f>
        <v>17414</v>
      </c>
      <c r="D67" s="94">
        <f>'Historical Financials'!E62</f>
        <v>22077</v>
      </c>
      <c r="E67" s="94">
        <f>'Historical Financials'!F62</f>
        <v>22460</v>
      </c>
      <c r="F67" s="94">
        <f>'Historical Financials'!G62</f>
        <v>22729</v>
      </c>
      <c r="G67" s="94"/>
      <c r="H67" s="94">
        <f>'Historical Financials'!Q62</f>
        <v>5733</v>
      </c>
      <c r="I67" s="94">
        <f>'Historical Financials'!R62</f>
        <v>5308</v>
      </c>
      <c r="J67" s="94">
        <f>'Historical Financials'!S62</f>
        <v>5308</v>
      </c>
      <c r="K67" s="94">
        <f>'Historical Financials'!T62</f>
        <v>22460</v>
      </c>
      <c r="L67" s="94">
        <f>'Historical Financials'!U62</f>
        <v>5520</v>
      </c>
      <c r="M67" s="94">
        <f>'Historical Financials'!V62</f>
        <v>5220</v>
      </c>
      <c r="N67" s="94">
        <f>'Historical Financials'!W62</f>
        <v>5331</v>
      </c>
      <c r="O67" s="94">
        <f>'Historical Financials'!X62</f>
        <v>22729</v>
      </c>
      <c r="P67" s="94">
        <f>'Historical Financials'!Y62</f>
        <v>5804</v>
      </c>
      <c r="Q67" s="94">
        <f>'Historical Financials'!Z62</f>
        <v>5397</v>
      </c>
      <c r="R67" s="94">
        <f>'Historical Financials'!AA62</f>
        <v>0</v>
      </c>
      <c r="T67" s="10">
        <f t="shared" si="106"/>
        <v>22460</v>
      </c>
      <c r="U67" s="10">
        <f t="shared" si="106"/>
        <v>5520</v>
      </c>
      <c r="V67" s="10">
        <f t="shared" si="106"/>
        <v>5220</v>
      </c>
      <c r="W67" s="10">
        <f t="shared" si="106"/>
        <v>5331</v>
      </c>
      <c r="X67" s="10">
        <f t="shared" si="106"/>
        <v>22729</v>
      </c>
      <c r="Y67" s="10">
        <f t="shared" si="106"/>
        <v>5804</v>
      </c>
      <c r="Z67" s="10">
        <f t="shared" si="106"/>
        <v>5397</v>
      </c>
      <c r="AA67" s="10">
        <f t="shared" si="107"/>
        <v>0</v>
      </c>
    </row>
    <row r="68" spans="2:27" ht="12.75" customHeight="1">
      <c r="B68" s="8" t="s">
        <v>45</v>
      </c>
      <c r="C68" s="94">
        <f>'Historical Financials'!D66</f>
        <v>69539</v>
      </c>
      <c r="D68" s="94">
        <f>'Historical Financials'!E66</f>
        <v>84097</v>
      </c>
      <c r="E68" s="94">
        <f>'Historical Financials'!F66</f>
        <v>87045</v>
      </c>
      <c r="F68" s="94">
        <f>'Historical Financials'!G66</f>
        <v>91505</v>
      </c>
      <c r="G68" s="94"/>
      <c r="H68" s="94">
        <f>'Historical Financials'!Q66</f>
        <v>21626</v>
      </c>
      <c r="I68" s="94">
        <f>'Historical Financials'!R66</f>
        <v>19394</v>
      </c>
      <c r="J68" s="94">
        <f>'Historical Financials'!S66</f>
        <v>19394</v>
      </c>
      <c r="K68" s="94">
        <f>'Historical Financials'!T66</f>
        <v>87045</v>
      </c>
      <c r="L68" s="94">
        <f>'Historical Financials'!U66</f>
        <v>23149</v>
      </c>
      <c r="M68" s="94">
        <f>'Historical Financials'!V66</f>
        <v>21001</v>
      </c>
      <c r="N68" s="94">
        <f>'Historical Financials'!W66</f>
        <v>19375</v>
      </c>
      <c r="O68" s="94">
        <f>'Historical Financials'!X66</f>
        <v>91505</v>
      </c>
      <c r="P68" s="94">
        <f>'Historical Financials'!Y66</f>
        <v>24196</v>
      </c>
      <c r="Q68" s="94">
        <f>'Historical Financials'!Z66</f>
        <v>22532</v>
      </c>
      <c r="R68" s="94">
        <f>'Historical Financials'!AA66</f>
        <v>0</v>
      </c>
      <c r="T68" s="10">
        <f t="shared" si="106"/>
        <v>87045</v>
      </c>
      <c r="U68" s="10">
        <f t="shared" si="106"/>
        <v>23149</v>
      </c>
      <c r="V68" s="10">
        <f t="shared" si="106"/>
        <v>21001</v>
      </c>
      <c r="W68" s="10">
        <f t="shared" si="106"/>
        <v>19375</v>
      </c>
      <c r="X68" s="10">
        <f t="shared" si="106"/>
        <v>91505</v>
      </c>
      <c r="Y68" s="10">
        <f t="shared" si="106"/>
        <v>24196</v>
      </c>
      <c r="Z68" s="10">
        <f t="shared" si="106"/>
        <v>22532</v>
      </c>
      <c r="AA68" s="10">
        <f t="shared" si="107"/>
        <v>0</v>
      </c>
    </row>
    <row r="69" spans="2:27" ht="12.75" customHeight="1">
      <c r="B69" s="8" t="s">
        <v>15</v>
      </c>
      <c r="C69" s="94">
        <f>'Historical Financials'!D72</f>
        <v>122916</v>
      </c>
      <c r="D69" s="94">
        <f>'Historical Financials'!E72</f>
        <v>141219</v>
      </c>
      <c r="E69" s="94">
        <f>'Historical Financials'!F72</f>
        <v>142170</v>
      </c>
      <c r="F69" s="94">
        <f>'Historical Financials'!G72</f>
        <v>145669</v>
      </c>
      <c r="G69" s="94"/>
      <c r="H69" s="94">
        <f>'Historical Financials'!Q72</f>
        <v>36129</v>
      </c>
      <c r="I69" s="94">
        <f>'Historical Financials'!R72</f>
        <v>32932</v>
      </c>
      <c r="J69" s="94">
        <f>'Historical Financials'!S72</f>
        <v>32932</v>
      </c>
      <c r="K69" s="94">
        <f>'Historical Financials'!T72</f>
        <v>142170</v>
      </c>
      <c r="L69" s="94">
        <f>'Historical Financials'!U72</f>
        <v>36497</v>
      </c>
      <c r="M69" s="94">
        <f>'Historical Financials'!V72</f>
        <v>34547</v>
      </c>
      <c r="N69" s="94">
        <f>'Historical Financials'!W72</f>
        <v>32870</v>
      </c>
      <c r="O69" s="94">
        <f>'Historical Financials'!X72</f>
        <v>145669</v>
      </c>
      <c r="P69" s="94">
        <f>'Historical Financials'!Y72</f>
        <v>37944</v>
      </c>
      <c r="Q69" s="94">
        <f>'Historical Financials'!Z72</f>
        <v>36245</v>
      </c>
      <c r="R69" s="94">
        <f>'Historical Financials'!AA72</f>
        <v>0</v>
      </c>
      <c r="T69" s="10">
        <f t="shared" si="106"/>
        <v>142170</v>
      </c>
      <c r="U69" s="10">
        <f t="shared" si="106"/>
        <v>36497</v>
      </c>
      <c r="V69" s="10">
        <f t="shared" si="106"/>
        <v>34547</v>
      </c>
      <c r="W69" s="10">
        <f t="shared" si="106"/>
        <v>32870</v>
      </c>
      <c r="X69" s="10">
        <f t="shared" si="106"/>
        <v>145669</v>
      </c>
      <c r="Y69" s="10">
        <f t="shared" si="106"/>
        <v>37944</v>
      </c>
      <c r="Z69" s="10">
        <f t="shared" si="106"/>
        <v>36245</v>
      </c>
      <c r="AA69" s="10">
        <f t="shared" si="107"/>
        <v>0</v>
      </c>
    </row>
    <row r="70" spans="2:27" ht="5.0999999999999996" customHeight="1">
      <c r="F70" s="10"/>
    </row>
    <row r="71" spans="2:27">
      <c r="B71" s="35" t="s">
        <v>98</v>
      </c>
      <c r="F71" s="10"/>
    </row>
    <row r="72" spans="2:27">
      <c r="B72" s="8" t="s">
        <v>99</v>
      </c>
      <c r="C72" s="94" t="e">
        <f>'Historical Financials'!#REF!</f>
        <v>#REF!</v>
      </c>
      <c r="D72" s="94" t="e">
        <f>'Historical Financials'!#REF!</f>
        <v>#REF!</v>
      </c>
      <c r="E72" s="94" t="e">
        <f>'Historical Financials'!#REF!</f>
        <v>#REF!</v>
      </c>
      <c r="F72" s="94" t="e">
        <f>'Historical Financials'!#REF!</f>
        <v>#REF!</v>
      </c>
      <c r="H72" s="94" t="e">
        <f>'Historical Financials'!#REF!</f>
        <v>#REF!</v>
      </c>
      <c r="I72" s="94" t="e">
        <f>'Historical Financials'!#REF!</f>
        <v>#REF!</v>
      </c>
      <c r="J72" s="94" t="e">
        <f>'Historical Financials'!#REF!</f>
        <v>#REF!</v>
      </c>
      <c r="K72" s="94" t="e">
        <f>'Historical Financials'!#REF!</f>
        <v>#REF!</v>
      </c>
      <c r="L72" s="94" t="e">
        <f>'Historical Financials'!#REF!</f>
        <v>#REF!</v>
      </c>
      <c r="M72" s="94" t="e">
        <f>'Historical Financials'!#REF!</f>
        <v>#REF!</v>
      </c>
      <c r="N72" s="94" t="e">
        <f>'Historical Financials'!#REF!</f>
        <v>#REF!</v>
      </c>
      <c r="O72" s="94" t="e">
        <f>'Historical Financials'!#REF!</f>
        <v>#REF!</v>
      </c>
      <c r="P72" s="94" t="e">
        <f>'Historical Financials'!#REF!</f>
        <v>#REF!</v>
      </c>
      <c r="Q72" s="94" t="e">
        <f>'Historical Financials'!#REF!</f>
        <v>#REF!</v>
      </c>
      <c r="R72" s="94" t="e">
        <f>'Historical Financials'!#REF!</f>
        <v>#REF!</v>
      </c>
      <c r="T72" s="10" t="e">
        <f t="shared" ref="T72:Z73" si="108">K72</f>
        <v>#REF!</v>
      </c>
      <c r="U72" s="10" t="e">
        <f t="shared" si="108"/>
        <v>#REF!</v>
      </c>
      <c r="V72" s="10" t="e">
        <f t="shared" si="108"/>
        <v>#REF!</v>
      </c>
      <c r="W72" s="10" t="e">
        <f t="shared" si="108"/>
        <v>#REF!</v>
      </c>
      <c r="X72" s="10" t="e">
        <f t="shared" si="108"/>
        <v>#REF!</v>
      </c>
      <c r="Y72" s="10" t="e">
        <f t="shared" si="108"/>
        <v>#REF!</v>
      </c>
      <c r="Z72" s="10" t="e">
        <f t="shared" si="108"/>
        <v>#REF!</v>
      </c>
      <c r="AA72" s="10" t="e">
        <f>R72</f>
        <v>#REF!</v>
      </c>
    </row>
    <row r="73" spans="2:27">
      <c r="B73" s="8" t="s">
        <v>100</v>
      </c>
      <c r="C73" s="94" t="e">
        <f>'Historical Financials'!#REF!</f>
        <v>#REF!</v>
      </c>
      <c r="D73" s="94" t="e">
        <f>'Historical Financials'!#REF!</f>
        <v>#REF!</v>
      </c>
      <c r="E73" s="94" t="e">
        <f>'Historical Financials'!#REF!</f>
        <v>#REF!</v>
      </c>
      <c r="F73" s="94" t="e">
        <f>'Historical Financials'!#REF!</f>
        <v>#REF!</v>
      </c>
      <c r="H73" s="94" t="e">
        <f>'Historical Financials'!#REF!</f>
        <v>#REF!</v>
      </c>
      <c r="I73" s="94" t="e">
        <f>'Historical Financials'!#REF!</f>
        <v>#REF!</v>
      </c>
      <c r="J73" s="94" t="e">
        <f>'Historical Financials'!#REF!</f>
        <v>#REF!</v>
      </c>
      <c r="K73" s="94" t="e">
        <f>'Historical Financials'!#REF!</f>
        <v>#REF!</v>
      </c>
      <c r="L73" s="94" t="e">
        <f>'Historical Financials'!#REF!</f>
        <v>#REF!</v>
      </c>
      <c r="M73" s="94" t="e">
        <f>'Historical Financials'!#REF!</f>
        <v>#REF!</v>
      </c>
      <c r="N73" s="94" t="e">
        <f>'Historical Financials'!#REF!</f>
        <v>#REF!</v>
      </c>
      <c r="O73" s="94" t="e">
        <f>'Historical Financials'!#REF!</f>
        <v>#REF!</v>
      </c>
      <c r="P73" s="94" t="e">
        <f>'Historical Financials'!#REF!</f>
        <v>#REF!</v>
      </c>
      <c r="Q73" s="94" t="e">
        <f>'Historical Financials'!#REF!</f>
        <v>#REF!</v>
      </c>
      <c r="R73" s="94" t="e">
        <f>'Historical Financials'!#REF!</f>
        <v>#REF!</v>
      </c>
      <c r="T73" s="10" t="e">
        <f t="shared" si="108"/>
        <v>#REF!</v>
      </c>
      <c r="U73" s="10" t="e">
        <f t="shared" si="108"/>
        <v>#REF!</v>
      </c>
      <c r="V73" s="10" t="e">
        <f t="shared" si="108"/>
        <v>#REF!</v>
      </c>
      <c r="W73" s="10" t="e">
        <f t="shared" si="108"/>
        <v>#REF!</v>
      </c>
      <c r="X73" s="10" t="e">
        <f t="shared" si="108"/>
        <v>#REF!</v>
      </c>
      <c r="Y73" s="10" t="e">
        <f t="shared" si="108"/>
        <v>#REF!</v>
      </c>
      <c r="Z73" s="10" t="e">
        <f t="shared" si="108"/>
        <v>#REF!</v>
      </c>
      <c r="AA73" s="10" t="e">
        <f>R73</f>
        <v>#REF!</v>
      </c>
    </row>
    <row r="74" spans="2:27">
      <c r="F74" s="10"/>
    </row>
    <row r="75" spans="2:27">
      <c r="B75" s="8" t="s">
        <v>135</v>
      </c>
      <c r="C75" s="81">
        <v>14</v>
      </c>
      <c r="D75" s="81">
        <v>0</v>
      </c>
      <c r="E75" s="81">
        <v>0</v>
      </c>
      <c r="F75" s="81">
        <v>0</v>
      </c>
      <c r="H75" s="81">
        <v>0</v>
      </c>
      <c r="I75" s="81">
        <v>0</v>
      </c>
      <c r="J75" s="81">
        <v>0</v>
      </c>
      <c r="K75" s="10">
        <f>E75</f>
        <v>0</v>
      </c>
      <c r="L75" s="81">
        <v>0</v>
      </c>
      <c r="M75" s="81">
        <v>0</v>
      </c>
      <c r="N75" s="81">
        <v>0</v>
      </c>
      <c r="O75" s="10">
        <f>F75</f>
        <v>0</v>
      </c>
      <c r="P75" s="81">
        <v>0</v>
      </c>
      <c r="Q75" s="81">
        <v>0</v>
      </c>
      <c r="R75" s="81">
        <v>0</v>
      </c>
      <c r="T75" s="10">
        <f t="shared" ref="T75:Z84" si="109">K75</f>
        <v>0</v>
      </c>
      <c r="U75" s="10">
        <f t="shared" si="109"/>
        <v>0</v>
      </c>
      <c r="V75" s="10">
        <f t="shared" si="109"/>
        <v>0</v>
      </c>
      <c r="W75" s="10">
        <f t="shared" si="109"/>
        <v>0</v>
      </c>
      <c r="X75" s="10">
        <f t="shared" si="109"/>
        <v>0</v>
      </c>
      <c r="Y75" s="10">
        <f t="shared" si="109"/>
        <v>0</v>
      </c>
      <c r="Z75" s="10">
        <f t="shared" si="109"/>
        <v>0</v>
      </c>
      <c r="AA75" s="10">
        <f t="shared" ref="AA75:AA84" si="110">R75</f>
        <v>0</v>
      </c>
    </row>
    <row r="76" spans="2:27">
      <c r="B76" s="8" t="s">
        <v>133</v>
      </c>
      <c r="C76" s="81">
        <v>0</v>
      </c>
      <c r="D76" s="81">
        <v>0</v>
      </c>
      <c r="E76" s="81">
        <v>0</v>
      </c>
      <c r="F76" s="81">
        <v>0</v>
      </c>
      <c r="H76" s="81">
        <v>0</v>
      </c>
      <c r="I76" s="81">
        <v>0</v>
      </c>
      <c r="J76" s="81">
        <v>0</v>
      </c>
      <c r="K76" s="10">
        <f>E76</f>
        <v>0</v>
      </c>
      <c r="L76" s="81">
        <v>0</v>
      </c>
      <c r="M76" s="81">
        <v>0</v>
      </c>
      <c r="N76" s="81">
        <v>0</v>
      </c>
      <c r="O76" s="10">
        <f>F76</f>
        <v>0</v>
      </c>
      <c r="P76" s="81">
        <v>950</v>
      </c>
      <c r="Q76" s="81">
        <v>0</v>
      </c>
      <c r="R76" s="81">
        <v>0</v>
      </c>
      <c r="T76" s="10">
        <f t="shared" si="109"/>
        <v>0</v>
      </c>
      <c r="U76" s="10">
        <f t="shared" si="109"/>
        <v>0</v>
      </c>
      <c r="V76" s="10">
        <f t="shared" si="109"/>
        <v>0</v>
      </c>
      <c r="W76" s="10">
        <f t="shared" si="109"/>
        <v>0</v>
      </c>
      <c r="X76" s="10">
        <f t="shared" si="109"/>
        <v>0</v>
      </c>
      <c r="Y76" s="10">
        <f t="shared" si="109"/>
        <v>950</v>
      </c>
      <c r="Z76" s="10">
        <f t="shared" si="109"/>
        <v>0</v>
      </c>
      <c r="AA76" s="10">
        <f t="shared" si="110"/>
        <v>0</v>
      </c>
    </row>
    <row r="77" spans="2:27">
      <c r="B77" s="31" t="s">
        <v>128</v>
      </c>
      <c r="C77" s="81">
        <v>312</v>
      </c>
      <c r="D77" s="81">
        <v>0</v>
      </c>
      <c r="E77" s="81">
        <v>0</v>
      </c>
      <c r="F77" s="81">
        <v>0</v>
      </c>
      <c r="H77" s="81">
        <v>0</v>
      </c>
      <c r="I77" s="81">
        <v>0</v>
      </c>
      <c r="J77" s="81">
        <v>0</v>
      </c>
      <c r="K77" s="10">
        <f>E77</f>
        <v>0</v>
      </c>
      <c r="L77" s="81">
        <v>0</v>
      </c>
      <c r="M77" s="81">
        <v>0</v>
      </c>
      <c r="N77" s="81">
        <v>0</v>
      </c>
      <c r="O77" s="10">
        <f>F77</f>
        <v>0</v>
      </c>
      <c r="P77" s="81">
        <v>0</v>
      </c>
      <c r="Q77" s="81">
        <v>0</v>
      </c>
      <c r="R77" s="81">
        <v>0</v>
      </c>
      <c r="T77" s="10">
        <f t="shared" si="109"/>
        <v>0</v>
      </c>
      <c r="U77" s="10">
        <f t="shared" si="109"/>
        <v>0</v>
      </c>
      <c r="V77" s="10">
        <f t="shared" si="109"/>
        <v>0</v>
      </c>
      <c r="W77" s="10">
        <f t="shared" si="109"/>
        <v>0</v>
      </c>
      <c r="X77" s="10">
        <f t="shared" si="109"/>
        <v>0</v>
      </c>
      <c r="Y77" s="10">
        <f t="shared" si="109"/>
        <v>0</v>
      </c>
      <c r="Z77" s="10">
        <f t="shared" si="109"/>
        <v>0</v>
      </c>
      <c r="AA77" s="10">
        <f t="shared" si="110"/>
        <v>0</v>
      </c>
    </row>
    <row r="78" spans="2:27">
      <c r="B78" s="31" t="s">
        <v>114</v>
      </c>
      <c r="C78" s="81">
        <v>1</v>
      </c>
      <c r="D78" s="81">
        <v>1</v>
      </c>
      <c r="E78" s="81">
        <v>0</v>
      </c>
      <c r="F78" s="81">
        <v>0</v>
      </c>
      <c r="H78" s="81">
        <v>0</v>
      </c>
      <c r="I78" s="81">
        <v>0</v>
      </c>
      <c r="J78" s="81">
        <v>0</v>
      </c>
      <c r="K78" s="10">
        <f>E78</f>
        <v>0</v>
      </c>
      <c r="L78" s="81">
        <v>0</v>
      </c>
      <c r="M78" s="81">
        <v>0</v>
      </c>
      <c r="N78" s="81">
        <v>0</v>
      </c>
      <c r="O78" s="10">
        <f>F78</f>
        <v>0</v>
      </c>
      <c r="P78" s="81">
        <v>0</v>
      </c>
      <c r="Q78" s="81">
        <v>0</v>
      </c>
      <c r="R78" s="81">
        <v>0</v>
      </c>
      <c r="T78" s="10">
        <f t="shared" si="109"/>
        <v>0</v>
      </c>
      <c r="U78" s="10">
        <f t="shared" si="109"/>
        <v>0</v>
      </c>
      <c r="V78" s="10">
        <f t="shared" si="109"/>
        <v>0</v>
      </c>
      <c r="W78" s="10">
        <f t="shared" si="109"/>
        <v>0</v>
      </c>
      <c r="X78" s="10">
        <f t="shared" si="109"/>
        <v>0</v>
      </c>
      <c r="Y78" s="10">
        <f t="shared" si="109"/>
        <v>0</v>
      </c>
      <c r="Z78" s="10">
        <f t="shared" si="109"/>
        <v>0</v>
      </c>
      <c r="AA78" s="10">
        <f t="shared" si="110"/>
        <v>0</v>
      </c>
    </row>
    <row r="79" spans="2:27">
      <c r="B79" s="31" t="s">
        <v>113</v>
      </c>
      <c r="C79" s="81">
        <v>0</v>
      </c>
      <c r="D79" s="81">
        <v>750</v>
      </c>
      <c r="E79" s="81">
        <v>750</v>
      </c>
      <c r="F79" s="81">
        <v>0</v>
      </c>
      <c r="H79" s="81">
        <v>750</v>
      </c>
      <c r="I79" s="81">
        <v>750</v>
      </c>
      <c r="J79" s="81">
        <v>750</v>
      </c>
      <c r="K79" s="10">
        <f>E79</f>
        <v>750</v>
      </c>
      <c r="L79" s="81">
        <v>750</v>
      </c>
      <c r="M79" s="81">
        <v>0</v>
      </c>
      <c r="N79" s="81"/>
      <c r="O79" s="10">
        <f>F79</f>
        <v>0</v>
      </c>
      <c r="P79" s="81">
        <v>0</v>
      </c>
      <c r="Q79" s="81">
        <v>0</v>
      </c>
      <c r="R79" s="81">
        <v>0</v>
      </c>
      <c r="T79" s="10">
        <f t="shared" si="109"/>
        <v>750</v>
      </c>
      <c r="U79" s="10">
        <f t="shared" si="109"/>
        <v>750</v>
      </c>
      <c r="V79" s="10">
        <f t="shared" si="109"/>
        <v>0</v>
      </c>
      <c r="W79" s="10">
        <f t="shared" si="109"/>
        <v>0</v>
      </c>
      <c r="X79" s="10">
        <f t="shared" si="109"/>
        <v>0</v>
      </c>
      <c r="Y79" s="10">
        <f t="shared" si="109"/>
        <v>0</v>
      </c>
      <c r="Z79" s="10">
        <f t="shared" si="109"/>
        <v>0</v>
      </c>
      <c r="AA79" s="10">
        <f t="shared" si="110"/>
        <v>0</v>
      </c>
    </row>
    <row r="80" spans="2:27">
      <c r="B80" s="31" t="s">
        <v>112</v>
      </c>
      <c r="C80" s="81">
        <v>0</v>
      </c>
      <c r="D80" s="81">
        <v>750</v>
      </c>
      <c r="E80" s="81">
        <v>750</v>
      </c>
      <c r="F80" s="81">
        <v>750</v>
      </c>
      <c r="H80" s="81">
        <v>750</v>
      </c>
      <c r="I80" s="81">
        <v>750</v>
      </c>
      <c r="J80" s="81">
        <v>750</v>
      </c>
      <c r="K80" s="10">
        <f t="shared" ref="K80:K82" si="111">E80</f>
        <v>750</v>
      </c>
      <c r="L80" s="81">
        <v>750</v>
      </c>
      <c r="M80" s="81">
        <v>750</v>
      </c>
      <c r="N80" s="81">
        <v>750</v>
      </c>
      <c r="O80" s="10">
        <f t="shared" ref="O80:O82" si="112">F80</f>
        <v>750</v>
      </c>
      <c r="P80" s="81">
        <v>750</v>
      </c>
      <c r="Q80" s="81">
        <v>750</v>
      </c>
      <c r="R80" s="81">
        <v>750</v>
      </c>
      <c r="T80" s="10">
        <f t="shared" si="109"/>
        <v>750</v>
      </c>
      <c r="U80" s="10">
        <f t="shared" si="109"/>
        <v>750</v>
      </c>
      <c r="V80" s="10">
        <f t="shared" si="109"/>
        <v>750</v>
      </c>
      <c r="W80" s="10">
        <f t="shared" si="109"/>
        <v>750</v>
      </c>
      <c r="X80" s="10">
        <f t="shared" si="109"/>
        <v>750</v>
      </c>
      <c r="Y80" s="10">
        <f t="shared" si="109"/>
        <v>750</v>
      </c>
      <c r="Z80" s="10">
        <f t="shared" si="109"/>
        <v>750</v>
      </c>
      <c r="AA80" s="10">
        <f t="shared" si="110"/>
        <v>750</v>
      </c>
    </row>
    <row r="81" spans="1:27">
      <c r="B81" s="31" t="s">
        <v>111</v>
      </c>
      <c r="C81" s="81">
        <v>0</v>
      </c>
      <c r="D81" s="81">
        <v>500</v>
      </c>
      <c r="E81" s="81">
        <v>500</v>
      </c>
      <c r="F81" s="81">
        <v>500</v>
      </c>
      <c r="H81" s="81">
        <v>500</v>
      </c>
      <c r="I81" s="81">
        <v>500</v>
      </c>
      <c r="J81" s="81">
        <v>500</v>
      </c>
      <c r="K81" s="10">
        <f t="shared" si="111"/>
        <v>500</v>
      </c>
      <c r="L81" s="81">
        <v>500</v>
      </c>
      <c r="M81" s="81">
        <v>500</v>
      </c>
      <c r="N81" s="81">
        <v>500</v>
      </c>
      <c r="O81" s="10">
        <f t="shared" si="112"/>
        <v>500</v>
      </c>
      <c r="P81" s="81">
        <v>500</v>
      </c>
      <c r="Q81" s="81">
        <v>500</v>
      </c>
      <c r="R81" s="81">
        <v>500</v>
      </c>
      <c r="T81" s="10">
        <f t="shared" si="109"/>
        <v>500</v>
      </c>
      <c r="U81" s="10">
        <f t="shared" si="109"/>
        <v>500</v>
      </c>
      <c r="V81" s="10">
        <f t="shared" si="109"/>
        <v>500</v>
      </c>
      <c r="W81" s="10">
        <f t="shared" si="109"/>
        <v>500</v>
      </c>
      <c r="X81" s="10">
        <f t="shared" si="109"/>
        <v>500</v>
      </c>
      <c r="Y81" s="10">
        <f t="shared" si="109"/>
        <v>500</v>
      </c>
      <c r="Z81" s="10">
        <f t="shared" si="109"/>
        <v>500</v>
      </c>
      <c r="AA81" s="10">
        <f t="shared" si="110"/>
        <v>500</v>
      </c>
    </row>
    <row r="82" spans="1:27">
      <c r="B82" s="31" t="s">
        <v>110</v>
      </c>
      <c r="C82" s="81">
        <v>0</v>
      </c>
      <c r="D82" s="81">
        <v>500</v>
      </c>
      <c r="E82" s="81">
        <v>500</v>
      </c>
      <c r="F82" s="81">
        <v>500</v>
      </c>
      <c r="H82" s="81">
        <v>500</v>
      </c>
      <c r="I82" s="81">
        <v>500</v>
      </c>
      <c r="J82" s="81">
        <v>500</v>
      </c>
      <c r="K82" s="10">
        <f t="shared" si="111"/>
        <v>500</v>
      </c>
      <c r="L82" s="81">
        <v>500</v>
      </c>
      <c r="M82" s="81">
        <v>500</v>
      </c>
      <c r="N82" s="81">
        <v>500</v>
      </c>
      <c r="O82" s="10">
        <f t="shared" si="112"/>
        <v>500</v>
      </c>
      <c r="P82" s="81">
        <v>500</v>
      </c>
      <c r="Q82" s="81">
        <v>500</v>
      </c>
      <c r="R82" s="81">
        <v>500</v>
      </c>
      <c r="T82" s="10">
        <f t="shared" si="109"/>
        <v>500</v>
      </c>
      <c r="U82" s="10">
        <f t="shared" si="109"/>
        <v>500</v>
      </c>
      <c r="V82" s="10">
        <f t="shared" si="109"/>
        <v>500</v>
      </c>
      <c r="W82" s="10">
        <f t="shared" si="109"/>
        <v>500</v>
      </c>
      <c r="X82" s="10">
        <f t="shared" si="109"/>
        <v>500</v>
      </c>
      <c r="Y82" s="10">
        <f t="shared" si="109"/>
        <v>500</v>
      </c>
      <c r="Z82" s="10">
        <f t="shared" si="109"/>
        <v>500</v>
      </c>
      <c r="AA82" s="10">
        <f t="shared" si="110"/>
        <v>500</v>
      </c>
    </row>
    <row r="83" spans="1:27">
      <c r="B83" s="31" t="s">
        <v>129</v>
      </c>
      <c r="C83" s="81">
        <v>0</v>
      </c>
      <c r="D83" s="81">
        <v>0</v>
      </c>
      <c r="E83" s="81">
        <v>0</v>
      </c>
      <c r="F83" s="81">
        <v>0</v>
      </c>
      <c r="H83" s="81">
        <v>0</v>
      </c>
      <c r="I83" s="81">
        <v>0</v>
      </c>
      <c r="J83" s="81">
        <v>0</v>
      </c>
      <c r="K83" s="10">
        <f>E83</f>
        <v>0</v>
      </c>
      <c r="L83" s="81">
        <v>0</v>
      </c>
      <c r="M83" s="81">
        <v>0</v>
      </c>
      <c r="N83" s="81">
        <v>0</v>
      </c>
      <c r="O83" s="10">
        <f>F83</f>
        <v>0</v>
      </c>
      <c r="P83" s="81">
        <v>875</v>
      </c>
      <c r="Q83" s="81">
        <v>875</v>
      </c>
      <c r="R83" s="81">
        <v>875</v>
      </c>
      <c r="T83" s="10">
        <f t="shared" si="109"/>
        <v>0</v>
      </c>
      <c r="U83" s="10">
        <f t="shared" si="109"/>
        <v>0</v>
      </c>
      <c r="V83" s="10">
        <f t="shared" si="109"/>
        <v>0</v>
      </c>
      <c r="W83" s="10">
        <f t="shared" si="109"/>
        <v>0</v>
      </c>
      <c r="X83" s="10">
        <f t="shared" si="109"/>
        <v>0</v>
      </c>
      <c r="Y83" s="10">
        <f t="shared" si="109"/>
        <v>875</v>
      </c>
      <c r="Z83" s="10">
        <f t="shared" si="109"/>
        <v>875</v>
      </c>
      <c r="AA83" s="10">
        <f t="shared" si="110"/>
        <v>875</v>
      </c>
    </row>
    <row r="84" spans="1:27">
      <c r="B84" s="31" t="s">
        <v>130</v>
      </c>
      <c r="C84" s="81">
        <v>0</v>
      </c>
      <c r="D84" s="81">
        <v>0</v>
      </c>
      <c r="E84" s="81">
        <v>0</v>
      </c>
      <c r="F84" s="81">
        <v>0</v>
      </c>
      <c r="H84" s="81">
        <v>0</v>
      </c>
      <c r="I84" s="81">
        <v>0</v>
      </c>
      <c r="J84" s="81">
        <v>0</v>
      </c>
      <c r="K84" s="10">
        <f>E84</f>
        <v>0</v>
      </c>
      <c r="L84" s="81">
        <v>0</v>
      </c>
      <c r="M84" s="81">
        <v>0</v>
      </c>
      <c r="N84" s="81">
        <v>0</v>
      </c>
      <c r="O84" s="10">
        <f>F84</f>
        <v>0</v>
      </c>
      <c r="P84" s="81">
        <v>625</v>
      </c>
      <c r="Q84" s="81">
        <v>625</v>
      </c>
      <c r="R84" s="81">
        <v>625</v>
      </c>
      <c r="T84" s="10">
        <f t="shared" si="109"/>
        <v>0</v>
      </c>
      <c r="U84" s="10">
        <f t="shared" si="109"/>
        <v>0</v>
      </c>
      <c r="V84" s="10">
        <f t="shared" si="109"/>
        <v>0</v>
      </c>
      <c r="W84" s="10">
        <f t="shared" si="109"/>
        <v>0</v>
      </c>
      <c r="X84" s="10">
        <f t="shared" si="109"/>
        <v>0</v>
      </c>
      <c r="Y84" s="10">
        <f t="shared" si="109"/>
        <v>625</v>
      </c>
      <c r="Z84" s="10">
        <f t="shared" si="109"/>
        <v>625</v>
      </c>
      <c r="AA84" s="10">
        <f t="shared" si="110"/>
        <v>625</v>
      </c>
    </row>
    <row r="85" spans="1:27" ht="12.75" customHeight="1">
      <c r="B85" s="13" t="s">
        <v>21</v>
      </c>
      <c r="C85" s="14">
        <f>SUM(C75:C84)</f>
        <v>327</v>
      </c>
      <c r="D85" s="14">
        <f t="shared" ref="D85:F85" si="113">SUM(D75:D84)</f>
        <v>2501</v>
      </c>
      <c r="E85" s="14">
        <f t="shared" si="113"/>
        <v>2500</v>
      </c>
      <c r="F85" s="14">
        <f t="shared" si="113"/>
        <v>1750</v>
      </c>
      <c r="H85" s="14">
        <f t="shared" ref="H85" si="114">SUM(H75:H84)</f>
        <v>2500</v>
      </c>
      <c r="I85" s="14">
        <f t="shared" ref="I85" si="115">SUM(I75:I84)</f>
        <v>2500</v>
      </c>
      <c r="J85" s="14">
        <f t="shared" ref="J85" si="116">SUM(J75:J84)</f>
        <v>2500</v>
      </c>
      <c r="K85" s="14">
        <f t="shared" ref="K85" si="117">SUM(K75:K84)</f>
        <v>2500</v>
      </c>
      <c r="L85" s="14">
        <f t="shared" ref="L85" si="118">SUM(L75:L84)</f>
        <v>2500</v>
      </c>
      <c r="M85" s="14">
        <f t="shared" ref="M85" si="119">SUM(M75:M84)</f>
        <v>1750</v>
      </c>
      <c r="N85" s="14">
        <f t="shared" ref="N85" si="120">SUM(N75:N84)</f>
        <v>1750</v>
      </c>
      <c r="O85" s="14">
        <f t="shared" ref="O85" si="121">SUM(O75:O84)</f>
        <v>1750</v>
      </c>
      <c r="P85" s="14">
        <f t="shared" ref="P85" si="122">SUM(P75:P84)</f>
        <v>4200</v>
      </c>
      <c r="Q85" s="14">
        <f t="shared" ref="Q85" si="123">SUM(Q75:Q84)</f>
        <v>3250</v>
      </c>
      <c r="R85" s="14">
        <f t="shared" ref="R85" si="124">SUM(R75:R84)</f>
        <v>3250</v>
      </c>
      <c r="T85" s="14">
        <f>SUM(T77:T82)</f>
        <v>2500</v>
      </c>
      <c r="U85" s="14">
        <f>SUM(U77:U82)</f>
        <v>2500</v>
      </c>
      <c r="V85" s="14">
        <f>SUM(V77:V82)</f>
        <v>1750</v>
      </c>
      <c r="W85" s="14">
        <f t="shared" ref="W85" si="125">SUM(W75:W84)</f>
        <v>1750</v>
      </c>
      <c r="X85" s="14">
        <f t="shared" ref="X85" si="126">SUM(X75:X84)</f>
        <v>1750</v>
      </c>
      <c r="Y85" s="14">
        <f t="shared" ref="Y85" si="127">SUM(Y75:Y84)</f>
        <v>4200</v>
      </c>
      <c r="Z85" s="14">
        <f t="shared" ref="Z85" si="128">SUM(Z75:Z84)</f>
        <v>3250</v>
      </c>
      <c r="AA85" s="14">
        <f t="shared" ref="AA85" si="129">SUM(AA75:AA84)</f>
        <v>3250</v>
      </c>
    </row>
    <row r="86" spans="1:27" ht="5.0999999999999996" customHeight="1"/>
    <row r="87" spans="1:27" ht="12.75" customHeight="1">
      <c r="B87" s="8" t="s">
        <v>46</v>
      </c>
      <c r="C87" s="94">
        <f>'Historical Financials'!D78</f>
        <v>213654</v>
      </c>
      <c r="D87" s="94">
        <f>'Historical Financials'!E78</f>
        <v>236684</v>
      </c>
      <c r="E87" s="94">
        <f>'Historical Financials'!F78</f>
        <v>233238</v>
      </c>
      <c r="F87" s="94">
        <f>'Historical Financials'!G78</f>
        <v>237014</v>
      </c>
      <c r="H87" s="94">
        <f>'Historical Financials'!Q78</f>
        <v>57412</v>
      </c>
      <c r="I87" s="94">
        <f>'Historical Financials'!R78</f>
        <v>58090</v>
      </c>
      <c r="J87" s="94">
        <f>'Historical Financials'!S78</f>
        <v>58090</v>
      </c>
      <c r="K87" s="94">
        <f>'Historical Financials'!T78</f>
        <v>59646</v>
      </c>
      <c r="L87" s="94">
        <f>'Historical Financials'!U78</f>
        <v>59683</v>
      </c>
      <c r="M87" s="94">
        <f>'Historical Financials'!V78</f>
        <v>57633</v>
      </c>
      <c r="N87" s="94">
        <f>'Historical Financials'!W78</f>
        <v>58525</v>
      </c>
      <c r="O87" s="94">
        <f>'Historical Financials'!X78</f>
        <v>61173</v>
      </c>
      <c r="P87" s="94">
        <f>'Historical Financials'!Y78</f>
        <v>60666</v>
      </c>
      <c r="Q87" s="94">
        <f>'Historical Financials'!Z78</f>
        <v>61328</v>
      </c>
      <c r="R87" s="94">
        <f>'Historical Financials'!AA78</f>
        <v>0</v>
      </c>
      <c r="T87" s="10">
        <f t="shared" ref="T87:AA87" si="130">K87</f>
        <v>59646</v>
      </c>
      <c r="U87" s="10">
        <f t="shared" si="130"/>
        <v>59683</v>
      </c>
      <c r="V87" s="10">
        <f t="shared" si="130"/>
        <v>57633</v>
      </c>
      <c r="W87" s="142">
        <f t="shared" si="130"/>
        <v>58525</v>
      </c>
      <c r="X87" s="142">
        <f t="shared" si="130"/>
        <v>61173</v>
      </c>
      <c r="Y87" s="142">
        <f t="shared" si="130"/>
        <v>60666</v>
      </c>
      <c r="Z87" s="142">
        <f t="shared" si="130"/>
        <v>61328</v>
      </c>
      <c r="AA87" s="142">
        <f t="shared" si="130"/>
        <v>0</v>
      </c>
    </row>
    <row r="88" spans="1:27" ht="12.75" customHeight="1">
      <c r="B88" s="13" t="s">
        <v>47</v>
      </c>
      <c r="C88" s="14">
        <f>SUM(C85:C87)</f>
        <v>213981</v>
      </c>
      <c r="D88" s="14">
        <f>SUM(D85:D87)</f>
        <v>239185</v>
      </c>
      <c r="E88" s="14">
        <f>SUM(E85:E87)</f>
        <v>235738</v>
      </c>
      <c r="F88" s="14">
        <f>SUM(F85:F87)</f>
        <v>238764</v>
      </c>
      <c r="H88" s="14">
        <f t="shared" ref="H88:M88" si="131">SUM(H85:H87)</f>
        <v>59912</v>
      </c>
      <c r="I88" s="14">
        <f t="shared" si="131"/>
        <v>60590</v>
      </c>
      <c r="J88" s="14">
        <f t="shared" si="131"/>
        <v>60590</v>
      </c>
      <c r="K88" s="14">
        <f t="shared" si="131"/>
        <v>62146</v>
      </c>
      <c r="L88" s="14">
        <f t="shared" si="131"/>
        <v>62183</v>
      </c>
      <c r="M88" s="14">
        <f t="shared" si="131"/>
        <v>59383</v>
      </c>
      <c r="N88" s="14">
        <f>SUM(N85:N87)</f>
        <v>60275</v>
      </c>
      <c r="O88" s="14">
        <f>SUM(O85:O87)</f>
        <v>62923</v>
      </c>
      <c r="P88" s="14">
        <f>SUM(P85:P87)</f>
        <v>64866</v>
      </c>
      <c r="Q88" s="14">
        <f>SUM(Q85:Q87)</f>
        <v>64578</v>
      </c>
      <c r="R88" s="14">
        <f>SUM(R85:R87)</f>
        <v>3250</v>
      </c>
      <c r="T88" s="14">
        <f t="shared" ref="T88:Y88" si="132">SUM(T85:T87)</f>
        <v>62146</v>
      </c>
      <c r="U88" s="14">
        <f t="shared" si="132"/>
        <v>62183</v>
      </c>
      <c r="V88" s="14">
        <f t="shared" si="132"/>
        <v>59383</v>
      </c>
      <c r="W88" s="14">
        <f t="shared" si="132"/>
        <v>60275</v>
      </c>
      <c r="X88" s="14">
        <f t="shared" si="132"/>
        <v>62923</v>
      </c>
      <c r="Y88" s="14">
        <f t="shared" si="132"/>
        <v>64866</v>
      </c>
      <c r="Z88" s="14">
        <f>SUM(Z85:Z87)</f>
        <v>64578</v>
      </c>
      <c r="AA88" s="14">
        <f>SUM(AA85:AA87)</f>
        <v>3250</v>
      </c>
    </row>
    <row r="89" spans="1:27" ht="5.0999999999999996" customHeight="1"/>
    <row r="90" spans="1:27" ht="12.75" customHeight="1">
      <c r="A90" s="5"/>
      <c r="B90" s="33" t="s">
        <v>67</v>
      </c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1:27" ht="5.0999999999999996" customHeight="1"/>
    <row r="92" spans="1:27" ht="12.75" customHeight="1">
      <c r="B92" s="31" t="s">
        <v>87</v>
      </c>
      <c r="C92" s="83" t="e">
        <f>C85/C35</f>
        <v>#REF!</v>
      </c>
      <c r="D92" s="83" t="e">
        <f>D85/D35</f>
        <v>#REF!</v>
      </c>
      <c r="E92" s="83" t="e">
        <f>E85/E35</f>
        <v>#REF!</v>
      </c>
      <c r="F92" s="83" t="e">
        <f>F85/F35</f>
        <v>#REF!</v>
      </c>
      <c r="H92" s="83" t="e">
        <f>SUM(H85/SUM(H35:H35))</f>
        <v>#REF!</v>
      </c>
      <c r="I92" s="83" t="e">
        <f>SUM(I85/SUM(H35:I35))</f>
        <v>#REF!</v>
      </c>
      <c r="J92" s="83" t="e">
        <f>SUM(J85/SUM(H35:J35))</f>
        <v>#REF!</v>
      </c>
      <c r="K92" s="83" t="e">
        <f t="shared" ref="K92:R92" si="133">SUM(K85/SUM(H35:K35))</f>
        <v>#REF!</v>
      </c>
      <c r="L92" s="83" t="e">
        <f t="shared" si="133"/>
        <v>#REF!</v>
      </c>
      <c r="M92" s="83" t="e">
        <f t="shared" si="133"/>
        <v>#REF!</v>
      </c>
      <c r="N92" s="83" t="e">
        <f t="shared" si="133"/>
        <v>#REF!</v>
      </c>
      <c r="O92" s="83" t="e">
        <f t="shared" si="133"/>
        <v>#REF!</v>
      </c>
      <c r="P92" s="83" t="e">
        <f t="shared" si="133"/>
        <v>#REF!</v>
      </c>
      <c r="Q92" s="83" t="e">
        <f t="shared" si="133"/>
        <v>#REF!</v>
      </c>
      <c r="R92" s="83" t="e">
        <f t="shared" si="133"/>
        <v>#REF!</v>
      </c>
      <c r="S92" s="83"/>
      <c r="T92" s="83" t="e">
        <f t="shared" ref="T92:AA92" si="134">T85/T35</f>
        <v>#REF!</v>
      </c>
      <c r="U92" s="83" t="e">
        <f t="shared" si="134"/>
        <v>#REF!</v>
      </c>
      <c r="V92" s="83" t="e">
        <f t="shared" si="134"/>
        <v>#REF!</v>
      </c>
      <c r="W92" s="83" t="e">
        <f t="shared" si="134"/>
        <v>#REF!</v>
      </c>
      <c r="X92" s="83" t="e">
        <f t="shared" si="134"/>
        <v>#REF!</v>
      </c>
      <c r="Y92" s="83" t="e">
        <f t="shared" si="134"/>
        <v>#REF!</v>
      </c>
      <c r="Z92" s="83" t="e">
        <f t="shared" si="134"/>
        <v>#REF!</v>
      </c>
      <c r="AA92" s="83" t="e">
        <f t="shared" si="134"/>
        <v>#REF!</v>
      </c>
    </row>
    <row r="93" spans="1:27" ht="12.75" customHeight="1">
      <c r="B93" s="31" t="s">
        <v>88</v>
      </c>
      <c r="C93" s="83" t="e">
        <f>SUM(C85-C55)/C35</f>
        <v>#REF!</v>
      </c>
      <c r="D93" s="83" t="e">
        <f>SUM(D85-D55)/D35</f>
        <v>#REF!</v>
      </c>
      <c r="E93" s="83" t="e">
        <f>SUM(E85-E55)/E35</f>
        <v>#REF!</v>
      </c>
      <c r="F93" s="83" t="e">
        <f>SUM(F85-F55)/F35</f>
        <v>#REF!</v>
      </c>
      <c r="H93" s="83" t="e">
        <f>SUM(H85-H55)/SUM(H35:H35)</f>
        <v>#REF!</v>
      </c>
      <c r="I93" s="83" t="e">
        <f>SUM(I85-I55)/SUM(H35:I35)</f>
        <v>#REF!</v>
      </c>
      <c r="J93" s="83" t="e">
        <f>SUM(J85-J55)/SUM(H35:J35)</f>
        <v>#REF!</v>
      </c>
      <c r="K93" s="83" t="e">
        <f t="shared" ref="K93:R93" si="135">SUM(K85-K55)/SUM(H35:K35)</f>
        <v>#REF!</v>
      </c>
      <c r="L93" s="83" t="e">
        <f t="shared" si="135"/>
        <v>#REF!</v>
      </c>
      <c r="M93" s="83" t="e">
        <f t="shared" si="135"/>
        <v>#REF!</v>
      </c>
      <c r="N93" s="83" t="e">
        <f t="shared" si="135"/>
        <v>#REF!</v>
      </c>
      <c r="O93" s="83" t="e">
        <f t="shared" si="135"/>
        <v>#REF!</v>
      </c>
      <c r="P93" s="83" t="e">
        <f t="shared" si="135"/>
        <v>#REF!</v>
      </c>
      <c r="Q93" s="83" t="e">
        <f t="shared" si="135"/>
        <v>#REF!</v>
      </c>
      <c r="R93" s="83" t="e">
        <f t="shared" si="135"/>
        <v>#REF!</v>
      </c>
      <c r="S93" s="83"/>
      <c r="T93" s="83" t="e">
        <f t="shared" ref="T93:AA93" si="136">SUM(T85-T55)/T35</f>
        <v>#REF!</v>
      </c>
      <c r="U93" s="83" t="e">
        <f t="shared" si="136"/>
        <v>#REF!</v>
      </c>
      <c r="V93" s="83" t="e">
        <f t="shared" si="136"/>
        <v>#REF!</v>
      </c>
      <c r="W93" s="83" t="e">
        <f t="shared" si="136"/>
        <v>#REF!</v>
      </c>
      <c r="X93" s="83" t="e">
        <f t="shared" si="136"/>
        <v>#REF!</v>
      </c>
      <c r="Y93" s="83" t="e">
        <f t="shared" si="136"/>
        <v>#REF!</v>
      </c>
      <c r="Z93" s="83" t="e">
        <f t="shared" si="136"/>
        <v>#REF!</v>
      </c>
      <c r="AA93" s="83" t="e">
        <f t="shared" si="136"/>
        <v>#REF!</v>
      </c>
    </row>
    <row r="94" spans="1:27" ht="12.75" customHeight="1">
      <c r="B94" s="31" t="s">
        <v>89</v>
      </c>
      <c r="C94" s="83" t="e">
        <f>C35/-C40</f>
        <v>#REF!</v>
      </c>
      <c r="D94" s="83" t="e">
        <f>D35/-D40</f>
        <v>#REF!</v>
      </c>
      <c r="E94" s="83" t="e">
        <f>E35/-E40</f>
        <v>#REF!</v>
      </c>
      <c r="F94" s="83" t="e">
        <f>F35/-F40</f>
        <v>#REF!</v>
      </c>
      <c r="H94" s="83" t="e" cm="1">
        <f t="array" ref="H94">SUM(H35:H35)/SUM(-H40:H40)</f>
        <v>#REF!</v>
      </c>
      <c r="I94" s="83" t="e" cm="1">
        <f t="array" ref="I94">SUM(H35:I35)/SUM(-H40:I40)</f>
        <v>#REF!</v>
      </c>
      <c r="J94" s="83" t="e" cm="1">
        <f t="array" ref="J94">SUM(H35:J35)/SUM(-H40:J40)</f>
        <v>#REF!</v>
      </c>
      <c r="K94" s="83" t="e" cm="1">
        <f t="array" ref="K94">SUM(H35:K35)/SUM(-H40:K40)</f>
        <v>#REF!</v>
      </c>
      <c r="L94" s="83" t="e" cm="1">
        <f t="array" ref="L94">SUM(I35:L35)/SUM(-I40:L40)</f>
        <v>#REF!</v>
      </c>
      <c r="M94" s="83" t="e" cm="1">
        <f t="array" ref="M94">SUM(J35:M35)/SUM(-J40:M40)</f>
        <v>#REF!</v>
      </c>
      <c r="N94" s="83" t="e" cm="1">
        <f t="array" ref="N94">SUM(K35:N35)/SUM(-K40:N40)</f>
        <v>#REF!</v>
      </c>
      <c r="O94" s="83" t="e" cm="1">
        <f t="array" ref="O94">SUM(L35:O35)/SUM(-L40:O40)</f>
        <v>#REF!</v>
      </c>
      <c r="P94" s="83" t="e" cm="1">
        <f t="array" ref="P94">SUM(M35:P35)/SUM(-M40:P40)</f>
        <v>#REF!</v>
      </c>
      <c r="Q94" s="83" t="e" cm="1">
        <f t="array" ref="Q94">SUM(N35:Q35)/SUM(-N40:Q40)</f>
        <v>#REF!</v>
      </c>
      <c r="R94" s="83" t="e" cm="1">
        <f t="array" ref="R94">SUM(O35:R35)/SUM(-O40:R40)</f>
        <v>#REF!</v>
      </c>
      <c r="S94" s="83"/>
      <c r="T94" s="83" t="e">
        <f t="shared" ref="T94:AA94" si="137">T35/-T40</f>
        <v>#REF!</v>
      </c>
      <c r="U94" s="83" t="e">
        <f t="shared" si="137"/>
        <v>#REF!</v>
      </c>
      <c r="V94" s="83" t="e">
        <f t="shared" si="137"/>
        <v>#REF!</v>
      </c>
      <c r="W94" s="83" t="e">
        <f t="shared" si="137"/>
        <v>#REF!</v>
      </c>
      <c r="X94" s="83" t="e">
        <f t="shared" si="137"/>
        <v>#REF!</v>
      </c>
      <c r="Y94" s="83" t="e">
        <f t="shared" si="137"/>
        <v>#REF!</v>
      </c>
      <c r="Z94" s="83" t="e">
        <f t="shared" si="137"/>
        <v>#REF!</v>
      </c>
      <c r="AA94" s="83" t="e">
        <f t="shared" si="137"/>
        <v>#REF!</v>
      </c>
    </row>
    <row r="95" spans="1:27" ht="12.75" customHeight="1">
      <c r="B95" s="31" t="s">
        <v>90</v>
      </c>
      <c r="C95" s="83" t="e" cm="1">
        <f t="array" ref="C95">SUM(C35+C38)/SUM(-C39:C40)</f>
        <v>#REF!</v>
      </c>
      <c r="D95" s="83" t="e" cm="1">
        <f t="array" ref="D95">SUM(D35+D38)/SUM(-D39:D40)</f>
        <v>#REF!</v>
      </c>
      <c r="E95" s="83" t="e" cm="1">
        <f t="array" ref="E95">SUM(E35+E38)/SUM(-E39:E40)</f>
        <v>#REF!</v>
      </c>
      <c r="F95" s="83" t="e" cm="1">
        <f t="array" ref="F95">SUM(F35+F38)/SUM(-F39:F40)</f>
        <v>#REF!</v>
      </c>
      <c r="H95" s="83" t="e" cm="1">
        <f t="array" ref="H95">SUM(H35:H35+H38:H38)/SUM(-H39:H40)</f>
        <v>#REF!</v>
      </c>
      <c r="I95" s="83" t="e" cm="1">
        <f t="array" ref="I95">SUM(H35:I35+H38:I38)/SUM(-H39:I40)</f>
        <v>#REF!</v>
      </c>
      <c r="J95" s="83" t="e" cm="1">
        <f t="array" ref="J95">SUM(H35:J35+H38:J38)/SUM(-H39:J40)</f>
        <v>#REF!</v>
      </c>
      <c r="K95" s="83" t="e" cm="1">
        <f t="array" ref="K95">SUM(H35:K35+H38:K38)/SUM(-H39:K40)</f>
        <v>#REF!</v>
      </c>
      <c r="L95" s="83" t="e" cm="1">
        <f t="array" ref="L95">SUM(I35:L35+I38:L38)/SUM(-I39:L40)</f>
        <v>#REF!</v>
      </c>
      <c r="M95" s="83" t="e" cm="1">
        <f t="array" ref="M95">SUM(J35:M35+J38:M38)/SUM(-J39:M40)</f>
        <v>#REF!</v>
      </c>
      <c r="N95" s="83" t="e" cm="1">
        <f t="array" ref="N95">SUM(K35:N35+K38:N38)/SUM(-K39:N40)</f>
        <v>#REF!</v>
      </c>
      <c r="O95" s="83" t="e" cm="1">
        <f t="array" ref="O95">SUM(L35:O35+L38:O38)/SUM(-L39:O40)</f>
        <v>#REF!</v>
      </c>
      <c r="P95" s="83" t="e" cm="1">
        <f t="array" ref="P95">SUM(M35:P35+M38:P38)/SUM(-M39:P40)</f>
        <v>#REF!</v>
      </c>
      <c r="Q95" s="83" t="e" cm="1">
        <f t="array" ref="Q95">SUM(N35:Q35+N38:Q38)/SUM(-N39:Q40)</f>
        <v>#REF!</v>
      </c>
      <c r="R95" s="83" t="e" cm="1">
        <f t="array" ref="R95">SUM(O35:R35+O38:R38)/SUM(-O39:R40)</f>
        <v>#REF!</v>
      </c>
      <c r="S95" s="83"/>
      <c r="T95" s="83" t="e" cm="1">
        <f t="array" ref="T95">SUM(T35+T38)/SUM(-T39:T40)</f>
        <v>#REF!</v>
      </c>
      <c r="U95" s="83" t="e" cm="1">
        <f t="array" ref="U95">SUM(U35+U38)/SUM(-U39:U40)</f>
        <v>#REF!</v>
      </c>
      <c r="V95" s="83" t="e" cm="1">
        <f t="array" ref="V95">SUM(V35+V38)/SUM(-V39:V40)</f>
        <v>#REF!</v>
      </c>
      <c r="W95" s="83" t="e" cm="1">
        <f t="array" ref="W95">SUM(W35+W38)/SUM(-W39:W40)</f>
        <v>#REF!</v>
      </c>
      <c r="X95" s="83" t="e" cm="1">
        <f t="array" ref="X95">SUM(X35+X38)/SUM(-X39:X40)</f>
        <v>#REF!</v>
      </c>
      <c r="Y95" s="83" t="e" cm="1">
        <f t="array" ref="Y95">SUM(Y35+Y38)/SUM(-Y39:Y40)</f>
        <v>#REF!</v>
      </c>
      <c r="Z95" s="83" t="e" cm="1">
        <f t="array" ref="Z95">SUM(Z35+Z38)/SUM(-Z39:Z40)</f>
        <v>#REF!</v>
      </c>
      <c r="AA95" s="83" t="e" cm="1">
        <f t="array" ref="AA95">SUM(AA35+AA38)/SUM(-AA39:AA40)</f>
        <v>#REF!</v>
      </c>
    </row>
    <row r="96" spans="1:27" ht="12.75" customHeight="1">
      <c r="B96" s="31" t="s">
        <v>91</v>
      </c>
      <c r="C96" s="83" t="e" cm="1">
        <f t="array" ref="C96">SUM(C35)/SUM(-C38:C40)</f>
        <v>#REF!</v>
      </c>
      <c r="D96" s="83" t="e" cm="1">
        <f t="array" ref="D96">SUM(D35)/SUM(-D38:D40)</f>
        <v>#REF!</v>
      </c>
      <c r="E96" s="83" t="e" cm="1">
        <f t="array" ref="E96">SUM(E35)/SUM(-E38:E40)</f>
        <v>#REF!</v>
      </c>
      <c r="F96" s="83" t="e" cm="1">
        <f t="array" ref="F96">SUM(F35)/SUM(-F38:F40)</f>
        <v>#REF!</v>
      </c>
      <c r="H96" s="83" t="e" cm="1">
        <f t="array" ref="H96">SUM(H35:H35)/SUM(-H38:H40)</f>
        <v>#REF!</v>
      </c>
      <c r="I96" s="83" t="e" cm="1">
        <f t="array" ref="I96">SUM(H35:I35)/SUM(-H38:I40)</f>
        <v>#REF!</v>
      </c>
      <c r="J96" s="83" t="e" cm="1">
        <f t="array" ref="J96">SUM(H35:J35)/SUM(-H38:J40)</f>
        <v>#REF!</v>
      </c>
      <c r="K96" s="83" t="e" cm="1">
        <f t="array" ref="K96">SUM(H35:K35)/SUM(-H38:K40)</f>
        <v>#REF!</v>
      </c>
      <c r="L96" s="83" t="e" cm="1">
        <f t="array" ref="L96">SUM(I35:L35)/SUM(-I38:L40)</f>
        <v>#REF!</v>
      </c>
      <c r="M96" s="83" t="e" cm="1">
        <f t="array" ref="M96">SUM(J35:M35)/SUM(-J38:M40)</f>
        <v>#REF!</v>
      </c>
      <c r="N96" s="83" t="e" cm="1">
        <f t="array" ref="N96">SUM(K35:N35)/SUM(-K38:N40)</f>
        <v>#REF!</v>
      </c>
      <c r="O96" s="83" t="e" cm="1">
        <f t="array" ref="O96">SUM(L35:O35)/SUM(-L38:O40)</f>
        <v>#REF!</v>
      </c>
      <c r="P96" s="83" t="e" cm="1">
        <f t="array" ref="P96">SUM(M35:P35)/SUM(-M38:P40)</f>
        <v>#REF!</v>
      </c>
      <c r="Q96" s="83" t="e" cm="1">
        <f t="array" ref="Q96">SUM(N35:Q35)/SUM(-N38:Q40)</f>
        <v>#REF!</v>
      </c>
      <c r="R96" s="83" t="e" cm="1">
        <f t="array" ref="R96">SUM(O35:R35)/SUM(-O38:R40)</f>
        <v>#REF!</v>
      </c>
      <c r="S96" s="83"/>
      <c r="T96" s="83" t="e" cm="1">
        <f t="array" ref="T96">SUM(T35)/SUM(-T38:T40)</f>
        <v>#REF!</v>
      </c>
      <c r="U96" s="83" t="e" cm="1">
        <f t="array" ref="U96">SUM(U35)/SUM(-U38:U40)</f>
        <v>#REF!</v>
      </c>
      <c r="V96" s="83" t="e" cm="1">
        <f t="array" ref="V96">SUM(V35)/SUM(-V38:V40)</f>
        <v>#REF!</v>
      </c>
      <c r="W96" s="83" t="e" cm="1">
        <f t="array" ref="W96">SUM(W35)/SUM(-W38:W40)</f>
        <v>#REF!</v>
      </c>
      <c r="X96" s="83" t="e" cm="1">
        <f t="array" ref="X96">SUM(X35)/SUM(-X38:X40)</f>
        <v>#REF!</v>
      </c>
      <c r="Y96" s="83" t="e" cm="1">
        <f t="array" ref="Y96">SUM(Y35)/SUM(-Y38:Y40)</f>
        <v>#REF!</v>
      </c>
      <c r="Z96" s="83" t="e" cm="1">
        <f t="array" ref="Z96">SUM(Z35)/SUM(-Z38:Z40)</f>
        <v>#REF!</v>
      </c>
      <c r="AA96" s="83" t="e" cm="1">
        <f t="array" ref="AA96">SUM(AA35)/SUM(-AA38:AA40)</f>
        <v>#REF!</v>
      </c>
    </row>
    <row r="97" spans="2:27" ht="12.75" customHeight="1">
      <c r="B97" s="8" t="s">
        <v>48</v>
      </c>
      <c r="C97" s="83">
        <f>C88/C85</f>
        <v>654.37614678899081</v>
      </c>
      <c r="D97" s="83">
        <f>D88/D85</f>
        <v>95.635745701719316</v>
      </c>
      <c r="E97" s="83">
        <f>E88/E85</f>
        <v>94.295199999999994</v>
      </c>
      <c r="F97" s="83">
        <f>F88/F85</f>
        <v>136.43657142857143</v>
      </c>
      <c r="H97" s="83">
        <f t="shared" ref="H97:Q97" si="138">H88/H85</f>
        <v>23.9648</v>
      </c>
      <c r="I97" s="83">
        <f t="shared" si="138"/>
        <v>24.236000000000001</v>
      </c>
      <c r="J97" s="83">
        <f t="shared" si="138"/>
        <v>24.236000000000001</v>
      </c>
      <c r="K97" s="83">
        <f t="shared" si="138"/>
        <v>24.8584</v>
      </c>
      <c r="L97" s="83">
        <f t="shared" si="138"/>
        <v>24.873200000000001</v>
      </c>
      <c r="M97" s="83">
        <f t="shared" si="138"/>
        <v>33.933142857142855</v>
      </c>
      <c r="N97" s="83">
        <f t="shared" si="138"/>
        <v>34.442857142857143</v>
      </c>
      <c r="O97" s="83">
        <f t="shared" si="138"/>
        <v>35.956000000000003</v>
      </c>
      <c r="P97" s="83">
        <f t="shared" si="138"/>
        <v>15.444285714285714</v>
      </c>
      <c r="Q97" s="83">
        <f t="shared" si="138"/>
        <v>19.870153846153848</v>
      </c>
      <c r="R97" s="83">
        <f>R88/R85</f>
        <v>1</v>
      </c>
      <c r="S97" s="83"/>
      <c r="T97" s="83">
        <f t="shared" ref="T97:Y97" si="139">T88/T85</f>
        <v>24.8584</v>
      </c>
      <c r="U97" s="83">
        <f t="shared" si="139"/>
        <v>24.873200000000001</v>
      </c>
      <c r="V97" s="83">
        <f t="shared" si="139"/>
        <v>33.933142857142855</v>
      </c>
      <c r="W97" s="83">
        <f t="shared" si="139"/>
        <v>34.442857142857143</v>
      </c>
      <c r="X97" s="83">
        <f t="shared" si="139"/>
        <v>35.956000000000003</v>
      </c>
      <c r="Y97" s="83">
        <f t="shared" si="139"/>
        <v>15.444285714285714</v>
      </c>
      <c r="Z97" s="83">
        <f>Z88/Z85</f>
        <v>19.870153846153848</v>
      </c>
      <c r="AA97" s="83">
        <f>AA88/AA85</f>
        <v>1</v>
      </c>
    </row>
    <row r="98" spans="2:27" ht="5.0999999999999996" customHeight="1" thickBo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</row>
  </sheetData>
  <mergeCells count="1">
    <mergeCell ref="AC2:AC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42:G43 AB43:AC43 G38:G40 G45 AB45:AC45 AB41 AB42 G41 AB44:AC44 G44 H42:Q43" formulaRange="1"/>
    <ignoredError sqref="C12:G13 G24 G27 S27 G32 AC35:AC42 S32 AC10:AC13 G16 AC24:AC27 G29 AC16:AC18 S19 G19 C93:S97 H13:S13 C25:S26 C17:S18 C30:S31 C36:S36 D11:G11 I12:S12 L11:S11 S21 G21 AC29:AC31 G35 T92:AA97 T13:AA13 T25:AA26 T17:AA18 T30:AA31 T36:AA36 T12:AA12 X11:AA11 C92:Q92 S92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2025-12-26T04:59:07Z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