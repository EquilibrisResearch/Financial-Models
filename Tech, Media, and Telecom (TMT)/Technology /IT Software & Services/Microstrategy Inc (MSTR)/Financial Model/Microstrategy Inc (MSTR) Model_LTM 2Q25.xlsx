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7D1EA02D-1C8B-4FF2-8552-A1906954B8A9}" xr6:coauthVersionLast="47" xr6:coauthVersionMax="47" xr10:uidLastSave="{00000000-0000-0000-0000-000000000000}"/>
  <bookViews>
    <workbookView xWindow="28680" yWindow="-120" windowWidth="29040" windowHeight="15720" activeTab="1" xr2:uid="{D8DF2202-62BF-453D-A849-EFD132DF8234}"/>
  </bookViews>
  <sheets>
    <sheet name="3-Statement Model" sheetId="4" r:id="rId1"/>
    <sheet name="FCF Analysis" sheetId="7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" i="7" l="1"/>
  <c r="AI20" i="7"/>
  <c r="AI28" i="7"/>
  <c r="AI32" i="7"/>
  <c r="AI38" i="7"/>
  <c r="AI45" i="7"/>
  <c r="AI44" i="7"/>
  <c r="AI43" i="7"/>
  <c r="AI42" i="7"/>
  <c r="AI41" i="7"/>
  <c r="AI40" i="7"/>
  <c r="AI37" i="7"/>
  <c r="AI36" i="7"/>
  <c r="AI35" i="7"/>
  <c r="AI34" i="7"/>
  <c r="AI31" i="7"/>
  <c r="AI30" i="7"/>
  <c r="AG53" i="7"/>
  <c r="AF53" i="7"/>
  <c r="AE53" i="7"/>
  <c r="AD53" i="7"/>
  <c r="AC53" i="7"/>
  <c r="AG52" i="7"/>
  <c r="AF52" i="7"/>
  <c r="AE52" i="7"/>
  <c r="AD52" i="7"/>
  <c r="AC52" i="7"/>
  <c r="AG51" i="7"/>
  <c r="AF51" i="7"/>
  <c r="AE51" i="7"/>
  <c r="AD51" i="7"/>
  <c r="AC51" i="7"/>
  <c r="AG50" i="7"/>
  <c r="AF50" i="7"/>
  <c r="AE50" i="7"/>
  <c r="AD50" i="7"/>
  <c r="AC50" i="7"/>
  <c r="AG49" i="7"/>
  <c r="AF49" i="7"/>
  <c r="AE49" i="7"/>
  <c r="AD49" i="7"/>
  <c r="AC49" i="7"/>
  <c r="AG48" i="7"/>
  <c r="AF48" i="7"/>
  <c r="AE48" i="7"/>
  <c r="AD48" i="7"/>
  <c r="AC48" i="7"/>
  <c r="AG36" i="7"/>
  <c r="AF36" i="7"/>
  <c r="AE36" i="7"/>
  <c r="AD36" i="7"/>
  <c r="AC36" i="7"/>
  <c r="AG35" i="7"/>
  <c r="AF35" i="7"/>
  <c r="AE35" i="7"/>
  <c r="AD35" i="7"/>
  <c r="AC35" i="7"/>
  <c r="AG25" i="7"/>
  <c r="AF25" i="7"/>
  <c r="AE25" i="7"/>
  <c r="AD25" i="7"/>
  <c r="AC25" i="7"/>
  <c r="AI25" i="7" s="1"/>
  <c r="AG24" i="7"/>
  <c r="AF24" i="7"/>
  <c r="AE24" i="7"/>
  <c r="AD24" i="7"/>
  <c r="AC24" i="7"/>
  <c r="AI24" i="7" s="1"/>
  <c r="AG23" i="7"/>
  <c r="AF23" i="7"/>
  <c r="AE23" i="7"/>
  <c r="AD23" i="7"/>
  <c r="AC23" i="7"/>
  <c r="AI23" i="7" s="1"/>
  <c r="AI26" i="7"/>
  <c r="AI22" i="7"/>
  <c r="AI19" i="7"/>
  <c r="AI18" i="7"/>
  <c r="AI17" i="7"/>
  <c r="AI16" i="7"/>
  <c r="AI15" i="7"/>
  <c r="AI14" i="7"/>
  <c r="AI10" i="7"/>
  <c r="AI9" i="7"/>
  <c r="AI8" i="7"/>
  <c r="AI7" i="7"/>
  <c r="AI6" i="7"/>
  <c r="Q95" i="7"/>
  <c r="AG82" i="7"/>
  <c r="AG80" i="7"/>
  <c r="AF82" i="7"/>
  <c r="AF80" i="7"/>
  <c r="U90" i="7"/>
  <c r="T90" i="7"/>
  <c r="S90" i="7"/>
  <c r="U75" i="7"/>
  <c r="AG75" i="7" s="1"/>
  <c r="T75" i="7"/>
  <c r="AF75" i="7" s="1"/>
  <c r="U74" i="7"/>
  <c r="AG74" i="7" s="1"/>
  <c r="T74" i="7"/>
  <c r="AF74" i="7" s="1"/>
  <c r="U71" i="7"/>
  <c r="AG71" i="7" s="1"/>
  <c r="T71" i="7"/>
  <c r="AF71" i="7" s="1"/>
  <c r="U70" i="7"/>
  <c r="AG70" i="7" s="1"/>
  <c r="T70" i="7"/>
  <c r="AF70" i="7" s="1"/>
  <c r="U69" i="7"/>
  <c r="AG69" i="7" s="1"/>
  <c r="T69" i="7"/>
  <c r="AF69" i="7" s="1"/>
  <c r="U68" i="7"/>
  <c r="AG68" i="7" s="1"/>
  <c r="T68" i="7"/>
  <c r="AF68" i="7" s="1"/>
  <c r="U67" i="7"/>
  <c r="AG67" i="7" s="1"/>
  <c r="T67" i="7"/>
  <c r="AF67" i="7" s="1"/>
  <c r="U63" i="7"/>
  <c r="T63" i="7"/>
  <c r="U60" i="7"/>
  <c r="AG60" i="7" s="1"/>
  <c r="T60" i="7"/>
  <c r="AF60" i="7" s="1"/>
  <c r="U59" i="7"/>
  <c r="AG59" i="7" s="1"/>
  <c r="T59" i="7"/>
  <c r="AF59" i="7" s="1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F53" i="7"/>
  <c r="F52" i="7"/>
  <c r="F51" i="7"/>
  <c r="F50" i="7"/>
  <c r="F49" i="7"/>
  <c r="F48" i="7"/>
  <c r="F47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C53" i="7"/>
  <c r="C52" i="7"/>
  <c r="C51" i="7"/>
  <c r="C50" i="7"/>
  <c r="C49" i="7"/>
  <c r="C48" i="7"/>
  <c r="C47" i="7"/>
  <c r="U40" i="7"/>
  <c r="T40" i="7"/>
  <c r="U44" i="7"/>
  <c r="T4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U30" i="7"/>
  <c r="T30" i="7"/>
  <c r="U26" i="7"/>
  <c r="U35" i="7" s="1"/>
  <c r="T26" i="7"/>
  <c r="T35" i="7" s="1"/>
  <c r="S26" i="7"/>
  <c r="S35" i="7" s="1"/>
  <c r="R26" i="7"/>
  <c r="R35" i="7" s="1"/>
  <c r="Q26" i="7"/>
  <c r="Q35" i="7" s="1"/>
  <c r="P26" i="7"/>
  <c r="P35" i="7" s="1"/>
  <c r="O26" i="7"/>
  <c r="O35" i="7" s="1"/>
  <c r="N26" i="7"/>
  <c r="N35" i="7" s="1"/>
  <c r="M26" i="7"/>
  <c r="M35" i="7" s="1"/>
  <c r="L26" i="7"/>
  <c r="L35" i="7" s="1"/>
  <c r="K26" i="7"/>
  <c r="K35" i="7" s="1"/>
  <c r="J26" i="7"/>
  <c r="J35" i="7" s="1"/>
  <c r="I26" i="7"/>
  <c r="I35" i="7" s="1"/>
  <c r="H26" i="7"/>
  <c r="H35" i="7" s="1"/>
  <c r="G26" i="7"/>
  <c r="U25" i="7"/>
  <c r="U36" i="7" s="1"/>
  <c r="T25" i="7"/>
  <c r="T36" i="7" s="1"/>
  <c r="S25" i="7"/>
  <c r="S36" i="7" s="1"/>
  <c r="R25" i="7"/>
  <c r="R36" i="7" s="1"/>
  <c r="Q25" i="7"/>
  <c r="Q36" i="7" s="1"/>
  <c r="P25" i="7"/>
  <c r="P36" i="7" s="1"/>
  <c r="O25" i="7"/>
  <c r="O36" i="7" s="1"/>
  <c r="N25" i="7"/>
  <c r="N36" i="7" s="1"/>
  <c r="M25" i="7"/>
  <c r="M36" i="7" s="1"/>
  <c r="L25" i="7"/>
  <c r="L36" i="7" s="1"/>
  <c r="K25" i="7"/>
  <c r="K36" i="7" s="1"/>
  <c r="J25" i="7"/>
  <c r="J36" i="7" s="1"/>
  <c r="I25" i="7"/>
  <c r="I36" i="7" s="1"/>
  <c r="H25" i="7"/>
  <c r="H36" i="7" s="1"/>
  <c r="G25" i="7"/>
  <c r="G36" i="7" s="1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6" i="7"/>
  <c r="F35" i="7" s="1"/>
  <c r="E26" i="7"/>
  <c r="E35" i="7" s="1"/>
  <c r="D26" i="7"/>
  <c r="D35" i="7" s="1"/>
  <c r="F25" i="7"/>
  <c r="F36" i="7" s="1"/>
  <c r="E25" i="7"/>
  <c r="E36" i="7" s="1"/>
  <c r="D25" i="7"/>
  <c r="D36" i="7" s="1"/>
  <c r="F24" i="7"/>
  <c r="E24" i="7"/>
  <c r="D24" i="7"/>
  <c r="F23" i="7"/>
  <c r="E23" i="7"/>
  <c r="D23" i="7"/>
  <c r="F22" i="7"/>
  <c r="E22" i="7"/>
  <c r="D22" i="7"/>
  <c r="C26" i="7"/>
  <c r="C35" i="7" s="1"/>
  <c r="C25" i="7"/>
  <c r="C36" i="7" s="1"/>
  <c r="C24" i="7"/>
  <c r="C23" i="7"/>
  <c r="U17" i="7"/>
  <c r="T17" i="7"/>
  <c r="U16" i="7"/>
  <c r="T16" i="7"/>
  <c r="U15" i="7"/>
  <c r="T15" i="7"/>
  <c r="U14" i="7"/>
  <c r="T14" i="7"/>
  <c r="U9" i="7"/>
  <c r="T9" i="7"/>
  <c r="U8" i="7"/>
  <c r="T8" i="7"/>
  <c r="U7" i="7"/>
  <c r="T7" i="7"/>
  <c r="U6" i="7"/>
  <c r="T6" i="7"/>
  <c r="X124" i="4"/>
  <c r="W124" i="4"/>
  <c r="X123" i="4"/>
  <c r="W123" i="4"/>
  <c r="X122" i="4"/>
  <c r="W122" i="4"/>
  <c r="X121" i="4"/>
  <c r="W121" i="4"/>
  <c r="X120" i="4"/>
  <c r="W120" i="4"/>
  <c r="X126" i="4"/>
  <c r="W126" i="4"/>
  <c r="U127" i="4"/>
  <c r="U128" i="4"/>
  <c r="T125" i="4"/>
  <c r="P125" i="4"/>
  <c r="Q125" i="4" s="1"/>
  <c r="R125" i="4" s="1"/>
  <c r="L125" i="4"/>
  <c r="M125" i="4" s="1"/>
  <c r="N125" i="4" s="1"/>
  <c r="F125" i="4"/>
  <c r="E125" i="4"/>
  <c r="D125" i="4"/>
  <c r="K125" i="4" s="1"/>
  <c r="C125" i="4"/>
  <c r="U125" i="4"/>
  <c r="U130" i="4"/>
  <c r="U126" i="4"/>
  <c r="U123" i="4"/>
  <c r="U114" i="4"/>
  <c r="U113" i="4"/>
  <c r="U112" i="4"/>
  <c r="U116" i="4" s="1"/>
  <c r="U108" i="4"/>
  <c r="U107" i="4"/>
  <c r="U106" i="4"/>
  <c r="U105" i="4"/>
  <c r="U104" i="4"/>
  <c r="U103" i="4"/>
  <c r="U102" i="4"/>
  <c r="U100" i="4"/>
  <c r="U96" i="4"/>
  <c r="U94" i="4"/>
  <c r="U93" i="4"/>
  <c r="U91" i="4"/>
  <c r="U89" i="4"/>
  <c r="U88" i="4"/>
  <c r="U85" i="4"/>
  <c r="T26" i="4"/>
  <c r="U24" i="4"/>
  <c r="U79" i="4"/>
  <c r="X130" i="4"/>
  <c r="W130" i="4"/>
  <c r="L131" i="4"/>
  <c r="H131" i="4"/>
  <c r="T126" i="4"/>
  <c r="T120" i="4"/>
  <c r="T131" i="4" s="1"/>
  <c r="T101" i="4"/>
  <c r="T109" i="4" s="1"/>
  <c r="T79" i="4"/>
  <c r="U60" i="4"/>
  <c r="U67" i="4" s="1"/>
  <c r="U46" i="4"/>
  <c r="U53" i="4" s="1"/>
  <c r="T116" i="4"/>
  <c r="T60" i="4"/>
  <c r="T67" i="4" s="1"/>
  <c r="T46" i="4"/>
  <c r="T53" i="4" s="1"/>
  <c r="AG90" i="7"/>
  <c r="AF90" i="7"/>
  <c r="AG87" i="7"/>
  <c r="AF87" i="7"/>
  <c r="AG86" i="7"/>
  <c r="AF86" i="7"/>
  <c r="AG85" i="7"/>
  <c r="AF85" i="7"/>
  <c r="AG84" i="7"/>
  <c r="AF84" i="7"/>
  <c r="AG83" i="7"/>
  <c r="AF83" i="7"/>
  <c r="AG81" i="7"/>
  <c r="AF81" i="7"/>
  <c r="AG79" i="7"/>
  <c r="AF79" i="7"/>
  <c r="AG78" i="7"/>
  <c r="AF78" i="7"/>
  <c r="AG77" i="7"/>
  <c r="AF77" i="7"/>
  <c r="AG63" i="7"/>
  <c r="AG64" i="7" s="1"/>
  <c r="AF63" i="7"/>
  <c r="AF64" i="7" s="1"/>
  <c r="AG43" i="7"/>
  <c r="AF43" i="7"/>
  <c r="AG4" i="7"/>
  <c r="AF4" i="7"/>
  <c r="AG3" i="7"/>
  <c r="AF3" i="7"/>
  <c r="T88" i="7"/>
  <c r="U88" i="7"/>
  <c r="Z87" i="7"/>
  <c r="Y87" i="7"/>
  <c r="X87" i="7"/>
  <c r="Z86" i="7"/>
  <c r="Y86" i="7"/>
  <c r="X86" i="7"/>
  <c r="Z85" i="7"/>
  <c r="Y85" i="7"/>
  <c r="X85" i="7"/>
  <c r="Z84" i="7"/>
  <c r="Y84" i="7"/>
  <c r="X84" i="7"/>
  <c r="Z83" i="7"/>
  <c r="Y83" i="7"/>
  <c r="X83" i="7"/>
  <c r="Z81" i="7"/>
  <c r="Y81" i="7"/>
  <c r="X81" i="7"/>
  <c r="Z79" i="7"/>
  <c r="Y79" i="7"/>
  <c r="X79" i="7"/>
  <c r="Z78" i="7"/>
  <c r="Y78" i="7"/>
  <c r="X78" i="7"/>
  <c r="Z77" i="7"/>
  <c r="Y77" i="7"/>
  <c r="X77" i="7"/>
  <c r="Z43" i="7"/>
  <c r="Y43" i="7"/>
  <c r="X43" i="7"/>
  <c r="W43" i="7"/>
  <c r="Z4" i="7"/>
  <c r="Y4" i="7"/>
  <c r="X4" i="7"/>
  <c r="W4" i="7"/>
  <c r="Z3" i="7"/>
  <c r="Y3" i="7"/>
  <c r="X3" i="7"/>
  <c r="W3" i="7"/>
  <c r="AD87" i="7"/>
  <c r="AC87" i="7"/>
  <c r="AB87" i="7"/>
  <c r="AD86" i="7"/>
  <c r="AC86" i="7"/>
  <c r="AB86" i="7"/>
  <c r="AD85" i="7"/>
  <c r="AC85" i="7"/>
  <c r="AB85" i="7"/>
  <c r="AD84" i="7"/>
  <c r="AC84" i="7"/>
  <c r="AB84" i="7"/>
  <c r="AD83" i="7"/>
  <c r="AC83" i="7"/>
  <c r="AB83" i="7"/>
  <c r="AD81" i="7"/>
  <c r="AC81" i="7"/>
  <c r="AB81" i="7"/>
  <c r="AD79" i="7"/>
  <c r="AC79" i="7"/>
  <c r="AB79" i="7"/>
  <c r="AD78" i="7"/>
  <c r="AC78" i="7"/>
  <c r="AB78" i="7"/>
  <c r="AD77" i="7"/>
  <c r="AC77" i="7"/>
  <c r="AB77" i="7"/>
  <c r="AD43" i="7"/>
  <c r="AC43" i="7"/>
  <c r="AB43" i="7"/>
  <c r="AA43" i="7"/>
  <c r="AD4" i="7"/>
  <c r="AC4" i="7"/>
  <c r="AB4" i="7"/>
  <c r="AA4" i="7"/>
  <c r="AD3" i="7"/>
  <c r="AC3" i="7"/>
  <c r="AB3" i="7"/>
  <c r="AA3" i="7"/>
  <c r="AE43" i="7"/>
  <c r="AE4" i="7"/>
  <c r="AE3" i="7"/>
  <c r="F69" i="7"/>
  <c r="F68" i="7"/>
  <c r="F67" i="7"/>
  <c r="S87" i="7"/>
  <c r="AE87" i="7" s="1"/>
  <c r="S86" i="7"/>
  <c r="AE86" i="7" s="1"/>
  <c r="S85" i="7"/>
  <c r="AE85" i="7" s="1"/>
  <c r="S84" i="7"/>
  <c r="AE84" i="7" s="1"/>
  <c r="S83" i="7"/>
  <c r="AE83" i="7" s="1"/>
  <c r="S81" i="7"/>
  <c r="AE81" i="7" s="1"/>
  <c r="S79" i="7"/>
  <c r="AE79" i="7" s="1"/>
  <c r="S78" i="7"/>
  <c r="AE78" i="7" s="1"/>
  <c r="S77" i="7"/>
  <c r="AE77" i="7" s="1"/>
  <c r="Q123" i="4"/>
  <c r="M123" i="4"/>
  <c r="N123" i="4" s="1"/>
  <c r="O123" i="4" s="1"/>
  <c r="I123" i="4"/>
  <c r="J123" i="4" s="1"/>
  <c r="D123" i="4"/>
  <c r="R122" i="4"/>
  <c r="S122" i="4" s="1"/>
  <c r="M122" i="4"/>
  <c r="N122" i="4" s="1"/>
  <c r="O122" i="4" s="1"/>
  <c r="I122" i="4"/>
  <c r="J122" i="4" s="1"/>
  <c r="D122" i="4"/>
  <c r="P120" i="4"/>
  <c r="Q120" i="4" s="1"/>
  <c r="R120" i="4" s="1"/>
  <c r="C121" i="4"/>
  <c r="F120" i="4"/>
  <c r="C120" i="4"/>
  <c r="S113" i="4"/>
  <c r="S32" i="4"/>
  <c r="R17" i="4"/>
  <c r="Q17" i="4"/>
  <c r="P17" i="4"/>
  <c r="N17" i="4"/>
  <c r="M17" i="4"/>
  <c r="L17" i="4"/>
  <c r="J17" i="4"/>
  <c r="I17" i="4"/>
  <c r="H17" i="4"/>
  <c r="F17" i="4"/>
  <c r="E17" i="4"/>
  <c r="D17" i="4"/>
  <c r="C17" i="4"/>
  <c r="S36" i="4"/>
  <c r="S33" i="4"/>
  <c r="S31" i="4"/>
  <c r="S27" i="4"/>
  <c r="S25" i="4"/>
  <c r="S24" i="4"/>
  <c r="S23" i="4"/>
  <c r="S19" i="4"/>
  <c r="S17" i="7" s="1"/>
  <c r="S18" i="4"/>
  <c r="S16" i="7" s="1"/>
  <c r="S16" i="4"/>
  <c r="S15" i="7" s="1"/>
  <c r="S15" i="4"/>
  <c r="S14" i="7" s="1"/>
  <c r="S12" i="4"/>
  <c r="S9" i="7" s="1"/>
  <c r="S11" i="4"/>
  <c r="S8" i="7" s="1"/>
  <c r="S9" i="4"/>
  <c r="S7" i="7" s="1"/>
  <c r="S8" i="4"/>
  <c r="S6" i="7" s="1"/>
  <c r="S135" i="4"/>
  <c r="S134" i="4"/>
  <c r="S121" i="4"/>
  <c r="S115" i="4"/>
  <c r="S78" i="4"/>
  <c r="S77" i="4"/>
  <c r="S76" i="4"/>
  <c r="S75" i="4"/>
  <c r="S74" i="4"/>
  <c r="S73" i="4"/>
  <c r="S72" i="4"/>
  <c r="S66" i="4"/>
  <c r="S65" i="4"/>
  <c r="S64" i="4"/>
  <c r="S63" i="4"/>
  <c r="S62" i="4"/>
  <c r="S75" i="7" s="1"/>
  <c r="AE75" i="7" s="1"/>
  <c r="S59" i="4"/>
  <c r="S58" i="4"/>
  <c r="S74" i="7" s="1"/>
  <c r="AE74" i="7" s="1"/>
  <c r="S57" i="4"/>
  <c r="S56" i="4"/>
  <c r="S55" i="4"/>
  <c r="S68" i="7" s="1"/>
  <c r="AE68" i="7" s="1"/>
  <c r="S52" i="4"/>
  <c r="S51" i="4"/>
  <c r="S50" i="4"/>
  <c r="S49" i="4"/>
  <c r="S69" i="7" s="1"/>
  <c r="AE69" i="7" s="1"/>
  <c r="S48" i="4"/>
  <c r="S63" i="7" s="1"/>
  <c r="AE63" i="7" s="1"/>
  <c r="AE64" i="7" s="1"/>
  <c r="S45" i="4"/>
  <c r="S44" i="4"/>
  <c r="S67" i="7" s="1"/>
  <c r="AE67" i="7" s="1"/>
  <c r="S43" i="4"/>
  <c r="S60" i="7" s="1"/>
  <c r="AE60" i="7" s="1"/>
  <c r="S42" i="4"/>
  <c r="S59" i="7" s="1"/>
  <c r="AE59" i="7" s="1"/>
  <c r="F6" i="7"/>
  <c r="F7" i="7"/>
  <c r="F8" i="7"/>
  <c r="F9" i="7"/>
  <c r="F88" i="7"/>
  <c r="F75" i="7"/>
  <c r="F74" i="7"/>
  <c r="F63" i="7"/>
  <c r="F60" i="7"/>
  <c r="F59" i="7"/>
  <c r="F44" i="7"/>
  <c r="F42" i="7"/>
  <c r="S42" i="7" s="1"/>
  <c r="T42" i="7" s="1"/>
  <c r="U42" i="7" s="1"/>
  <c r="F41" i="7"/>
  <c r="S41" i="7" s="1"/>
  <c r="T41" i="7" s="1"/>
  <c r="U41" i="7" s="1"/>
  <c r="F40" i="7"/>
  <c r="F34" i="7"/>
  <c r="F30" i="7"/>
  <c r="F17" i="7"/>
  <c r="F16" i="7"/>
  <c r="F15" i="7"/>
  <c r="F14" i="7"/>
  <c r="R10" i="4"/>
  <c r="R13" i="4" s="1"/>
  <c r="Q10" i="4"/>
  <c r="Q13" i="4" s="1"/>
  <c r="P10" i="4"/>
  <c r="P13" i="4" s="1"/>
  <c r="N10" i="4"/>
  <c r="N13" i="4" s="1"/>
  <c r="M10" i="4"/>
  <c r="L10" i="4"/>
  <c r="L13" i="4" s="1"/>
  <c r="J10" i="4"/>
  <c r="J13" i="4" s="1"/>
  <c r="I10" i="4"/>
  <c r="I13" i="4" s="1"/>
  <c r="H10" i="4"/>
  <c r="H13" i="4" s="1"/>
  <c r="F10" i="4"/>
  <c r="F13" i="4" s="1"/>
  <c r="E10" i="4"/>
  <c r="D10" i="4"/>
  <c r="D13" i="4" s="1"/>
  <c r="C10" i="4"/>
  <c r="C13" i="4" s="1"/>
  <c r="F116" i="4"/>
  <c r="F109" i="4"/>
  <c r="F79" i="4"/>
  <c r="F90" i="7" s="1"/>
  <c r="F60" i="4"/>
  <c r="F67" i="4" s="1"/>
  <c r="F71" i="7" s="1"/>
  <c r="F46" i="4"/>
  <c r="F53" i="4" s="1"/>
  <c r="O79" i="7"/>
  <c r="AA79" i="7" s="1"/>
  <c r="O78" i="7"/>
  <c r="AA78" i="7" s="1"/>
  <c r="K79" i="7"/>
  <c r="W79" i="7" s="1"/>
  <c r="O84" i="7"/>
  <c r="AA84" i="7" s="1"/>
  <c r="K84" i="7"/>
  <c r="W84" i="7" s="1"/>
  <c r="O83" i="7"/>
  <c r="AA83" i="7" s="1"/>
  <c r="O81" i="7"/>
  <c r="AA81" i="7" s="1"/>
  <c r="K83" i="7"/>
  <c r="W83" i="7" s="1"/>
  <c r="K81" i="7"/>
  <c r="W81" i="7" s="1"/>
  <c r="O86" i="7"/>
  <c r="AA86" i="7" s="1"/>
  <c r="O85" i="7"/>
  <c r="AA85" i="7" s="1"/>
  <c r="O77" i="7"/>
  <c r="AA77" i="7" s="1"/>
  <c r="O87" i="7"/>
  <c r="AA87" i="7" s="1"/>
  <c r="K86" i="7"/>
  <c r="W86" i="7" s="1"/>
  <c r="K85" i="7"/>
  <c r="W85" i="7" s="1"/>
  <c r="K78" i="7"/>
  <c r="W78" i="7" s="1"/>
  <c r="K77" i="7"/>
  <c r="W77" i="7" s="1"/>
  <c r="K87" i="7"/>
  <c r="W87" i="7" s="1"/>
  <c r="R88" i="7"/>
  <c r="Q88" i="7"/>
  <c r="P88" i="7"/>
  <c r="N88" i="7"/>
  <c r="M88" i="7"/>
  <c r="L88" i="7"/>
  <c r="J88" i="7"/>
  <c r="I88" i="7"/>
  <c r="H88" i="7"/>
  <c r="R75" i="7"/>
  <c r="AD75" i="7" s="1"/>
  <c r="Q75" i="7"/>
  <c r="AC75" i="7" s="1"/>
  <c r="P75" i="7"/>
  <c r="AB75" i="7" s="1"/>
  <c r="N75" i="7"/>
  <c r="Z75" i="7" s="1"/>
  <c r="M75" i="7"/>
  <c r="Y75" i="7" s="1"/>
  <c r="L75" i="7"/>
  <c r="X75" i="7" s="1"/>
  <c r="J75" i="7"/>
  <c r="I75" i="7"/>
  <c r="H75" i="7"/>
  <c r="E75" i="7"/>
  <c r="D75" i="7"/>
  <c r="C75" i="7"/>
  <c r="R74" i="7"/>
  <c r="AD74" i="7" s="1"/>
  <c r="Q74" i="7"/>
  <c r="AC74" i="7" s="1"/>
  <c r="P74" i="7"/>
  <c r="AB74" i="7" s="1"/>
  <c r="N74" i="7"/>
  <c r="Z74" i="7" s="1"/>
  <c r="M74" i="7"/>
  <c r="Y74" i="7" s="1"/>
  <c r="L74" i="7"/>
  <c r="X74" i="7" s="1"/>
  <c r="J74" i="7"/>
  <c r="I74" i="7"/>
  <c r="H74" i="7"/>
  <c r="E74" i="7"/>
  <c r="D74" i="7"/>
  <c r="C74" i="7"/>
  <c r="R69" i="7"/>
  <c r="AD69" i="7" s="1"/>
  <c r="Q69" i="7"/>
  <c r="AC69" i="7" s="1"/>
  <c r="P69" i="7"/>
  <c r="AB69" i="7" s="1"/>
  <c r="N69" i="7"/>
  <c r="Z69" i="7" s="1"/>
  <c r="M69" i="7"/>
  <c r="Y69" i="7" s="1"/>
  <c r="L69" i="7"/>
  <c r="X69" i="7" s="1"/>
  <c r="J69" i="7"/>
  <c r="I69" i="7"/>
  <c r="H69" i="7"/>
  <c r="E69" i="7"/>
  <c r="D69" i="7"/>
  <c r="C69" i="7"/>
  <c r="R68" i="7"/>
  <c r="AD68" i="7" s="1"/>
  <c r="Q68" i="7"/>
  <c r="AC68" i="7" s="1"/>
  <c r="P68" i="7"/>
  <c r="AB68" i="7" s="1"/>
  <c r="N68" i="7"/>
  <c r="Z68" i="7" s="1"/>
  <c r="M68" i="7"/>
  <c r="Y68" i="7" s="1"/>
  <c r="L68" i="7"/>
  <c r="X68" i="7" s="1"/>
  <c r="J68" i="7"/>
  <c r="I68" i="7"/>
  <c r="H68" i="7"/>
  <c r="E68" i="7"/>
  <c r="D68" i="7"/>
  <c r="C68" i="7"/>
  <c r="R67" i="7"/>
  <c r="AD67" i="7" s="1"/>
  <c r="Q67" i="7"/>
  <c r="AC67" i="7" s="1"/>
  <c r="P67" i="7"/>
  <c r="AB67" i="7" s="1"/>
  <c r="N67" i="7"/>
  <c r="Z67" i="7" s="1"/>
  <c r="M67" i="7"/>
  <c r="Y67" i="7" s="1"/>
  <c r="L67" i="7"/>
  <c r="X67" i="7" s="1"/>
  <c r="J67" i="7"/>
  <c r="I67" i="7"/>
  <c r="H67" i="7"/>
  <c r="E67" i="7"/>
  <c r="D67" i="7"/>
  <c r="C67" i="7"/>
  <c r="R63" i="7"/>
  <c r="AD63" i="7" s="1"/>
  <c r="AD64" i="7" s="1"/>
  <c r="Q63" i="7"/>
  <c r="AC63" i="7" s="1"/>
  <c r="AC64" i="7" s="1"/>
  <c r="P63" i="7"/>
  <c r="AB63" i="7" s="1"/>
  <c r="AB64" i="7" s="1"/>
  <c r="N63" i="7"/>
  <c r="Z63" i="7" s="1"/>
  <c r="Z64" i="7" s="1"/>
  <c r="M63" i="7"/>
  <c r="Y63" i="7" s="1"/>
  <c r="Y64" i="7" s="1"/>
  <c r="L63" i="7"/>
  <c r="X63" i="7" s="1"/>
  <c r="X64" i="7" s="1"/>
  <c r="J63" i="7"/>
  <c r="I63" i="7"/>
  <c r="H63" i="7"/>
  <c r="E63" i="7"/>
  <c r="D63" i="7"/>
  <c r="C63" i="7"/>
  <c r="E88" i="7"/>
  <c r="D88" i="7"/>
  <c r="C88" i="7"/>
  <c r="R60" i="7"/>
  <c r="AD60" i="7" s="1"/>
  <c r="Q60" i="7"/>
  <c r="AC60" i="7" s="1"/>
  <c r="P60" i="7"/>
  <c r="AB60" i="7" s="1"/>
  <c r="N60" i="7"/>
  <c r="Z60" i="7" s="1"/>
  <c r="M60" i="7"/>
  <c r="Y60" i="7" s="1"/>
  <c r="L60" i="7"/>
  <c r="X60" i="7" s="1"/>
  <c r="J60" i="7"/>
  <c r="I60" i="7"/>
  <c r="R59" i="7"/>
  <c r="AD59" i="7" s="1"/>
  <c r="AD61" i="7" s="1"/>
  <c r="Q59" i="7"/>
  <c r="AC59" i="7" s="1"/>
  <c r="P59" i="7"/>
  <c r="AB59" i="7" s="1"/>
  <c r="N59" i="7"/>
  <c r="Z59" i="7" s="1"/>
  <c r="M59" i="7"/>
  <c r="Y59" i="7" s="1"/>
  <c r="L59" i="7"/>
  <c r="X59" i="7" s="1"/>
  <c r="X61" i="7" s="1"/>
  <c r="J59" i="7"/>
  <c r="I59" i="7"/>
  <c r="H60" i="7"/>
  <c r="H59" i="7"/>
  <c r="E60" i="7"/>
  <c r="D60" i="7"/>
  <c r="E59" i="7"/>
  <c r="D59" i="7"/>
  <c r="C60" i="7"/>
  <c r="C59" i="7"/>
  <c r="P44" i="7"/>
  <c r="L44" i="7"/>
  <c r="H44" i="7"/>
  <c r="E44" i="7"/>
  <c r="D44" i="7"/>
  <c r="C44" i="7"/>
  <c r="E42" i="7"/>
  <c r="O42" i="7" s="1"/>
  <c r="D42" i="7"/>
  <c r="K42" i="7" s="1"/>
  <c r="E41" i="7"/>
  <c r="O41" i="7" s="1"/>
  <c r="D41" i="7"/>
  <c r="K41" i="7" s="1"/>
  <c r="C42" i="7"/>
  <c r="C41" i="7"/>
  <c r="P40" i="7"/>
  <c r="L40" i="7"/>
  <c r="H40" i="7"/>
  <c r="E40" i="7"/>
  <c r="D40" i="7"/>
  <c r="C40" i="7"/>
  <c r="E34" i="7"/>
  <c r="D34" i="7"/>
  <c r="C34" i="7"/>
  <c r="P30" i="7"/>
  <c r="L30" i="7"/>
  <c r="H30" i="7"/>
  <c r="E30" i="7"/>
  <c r="D30" i="7"/>
  <c r="C30" i="7"/>
  <c r="C22" i="7"/>
  <c r="R17" i="7"/>
  <c r="Q17" i="7"/>
  <c r="P17" i="7"/>
  <c r="N17" i="7"/>
  <c r="M17" i="7"/>
  <c r="L17" i="7"/>
  <c r="J17" i="7"/>
  <c r="I17" i="7"/>
  <c r="H17" i="7"/>
  <c r="R16" i="7"/>
  <c r="Q16" i="7"/>
  <c r="P16" i="7"/>
  <c r="N16" i="7"/>
  <c r="M16" i="7"/>
  <c r="L16" i="7"/>
  <c r="J16" i="7"/>
  <c r="I16" i="7"/>
  <c r="H16" i="7"/>
  <c r="R15" i="7"/>
  <c r="Q15" i="7"/>
  <c r="P15" i="7"/>
  <c r="N15" i="7"/>
  <c r="M15" i="7"/>
  <c r="L15" i="7"/>
  <c r="J15" i="7"/>
  <c r="I15" i="7"/>
  <c r="H15" i="7"/>
  <c r="R14" i="7"/>
  <c r="Q14" i="7"/>
  <c r="P14" i="7"/>
  <c r="N14" i="7"/>
  <c r="M14" i="7"/>
  <c r="L14" i="7"/>
  <c r="J14" i="7"/>
  <c r="I14" i="7"/>
  <c r="H14" i="7"/>
  <c r="E17" i="7"/>
  <c r="D17" i="7"/>
  <c r="E16" i="7"/>
  <c r="D16" i="7"/>
  <c r="E15" i="7"/>
  <c r="D15" i="7"/>
  <c r="E14" i="7"/>
  <c r="D14" i="7"/>
  <c r="C17" i="7"/>
  <c r="C16" i="7"/>
  <c r="C15" i="7"/>
  <c r="R9" i="7"/>
  <c r="Q9" i="7"/>
  <c r="P9" i="7"/>
  <c r="N9" i="7"/>
  <c r="M9" i="7"/>
  <c r="L9" i="7"/>
  <c r="J9" i="7"/>
  <c r="I9" i="7"/>
  <c r="H9" i="7"/>
  <c r="R8" i="7"/>
  <c r="Q8" i="7"/>
  <c r="P8" i="7"/>
  <c r="N8" i="7"/>
  <c r="M8" i="7"/>
  <c r="L8" i="7"/>
  <c r="J8" i="7"/>
  <c r="I8" i="7"/>
  <c r="H8" i="7"/>
  <c r="R7" i="7"/>
  <c r="Q7" i="7"/>
  <c r="P7" i="7"/>
  <c r="N7" i="7"/>
  <c r="M7" i="7"/>
  <c r="L7" i="7"/>
  <c r="J7" i="7"/>
  <c r="I7" i="7"/>
  <c r="H7" i="7"/>
  <c r="R6" i="7"/>
  <c r="Q6" i="7"/>
  <c r="P6" i="7"/>
  <c r="N6" i="7"/>
  <c r="M6" i="7"/>
  <c r="L6" i="7"/>
  <c r="J6" i="7"/>
  <c r="I6" i="7"/>
  <c r="H6" i="7"/>
  <c r="C14" i="7"/>
  <c r="E9" i="7"/>
  <c r="D9" i="7"/>
  <c r="C9" i="7"/>
  <c r="E8" i="7"/>
  <c r="D8" i="7"/>
  <c r="C8" i="7"/>
  <c r="E7" i="7"/>
  <c r="D7" i="7"/>
  <c r="C7" i="7"/>
  <c r="E6" i="7"/>
  <c r="D6" i="7"/>
  <c r="C6" i="7"/>
  <c r="R79" i="4"/>
  <c r="R90" i="7" s="1"/>
  <c r="AD90" i="7" s="1"/>
  <c r="Q79" i="4"/>
  <c r="Q90" i="7" s="1"/>
  <c r="AC90" i="7" s="1"/>
  <c r="P79" i="4"/>
  <c r="P90" i="7" s="1"/>
  <c r="AB90" i="7" s="1"/>
  <c r="N79" i="4"/>
  <c r="N90" i="7" s="1"/>
  <c r="Z90" i="7" s="1"/>
  <c r="M79" i="4"/>
  <c r="M90" i="7" s="1"/>
  <c r="Y90" i="7" s="1"/>
  <c r="L79" i="4"/>
  <c r="L90" i="7" s="1"/>
  <c r="X90" i="7" s="1"/>
  <c r="J79" i="4"/>
  <c r="J90" i="7" s="1"/>
  <c r="I79" i="4"/>
  <c r="I90" i="7" s="1"/>
  <c r="H79" i="4"/>
  <c r="H90" i="7" s="1"/>
  <c r="E79" i="4"/>
  <c r="E90" i="7" s="1"/>
  <c r="D79" i="4"/>
  <c r="D90" i="7" s="1"/>
  <c r="K31" i="4"/>
  <c r="W31" i="4" s="1"/>
  <c r="O31" i="4"/>
  <c r="X31" i="4" s="1"/>
  <c r="K32" i="4"/>
  <c r="W32" i="4" s="1"/>
  <c r="O32" i="4"/>
  <c r="X32" i="4" s="1"/>
  <c r="K33" i="4"/>
  <c r="W33" i="4" s="1"/>
  <c r="O33" i="4"/>
  <c r="X33" i="4" s="1"/>
  <c r="Q127" i="4"/>
  <c r="R127" i="4" s="1"/>
  <c r="Q128" i="4"/>
  <c r="R128" i="4" s="1"/>
  <c r="Q129" i="4"/>
  <c r="R129" i="4" s="1"/>
  <c r="M129" i="4"/>
  <c r="N129" i="4" s="1"/>
  <c r="M128" i="4"/>
  <c r="M127" i="4"/>
  <c r="N127" i="4" s="1"/>
  <c r="I127" i="4"/>
  <c r="J127" i="4" s="1"/>
  <c r="K127" i="4" s="1"/>
  <c r="I128" i="4"/>
  <c r="J128" i="4" s="1"/>
  <c r="K128" i="4" s="1"/>
  <c r="I129" i="4"/>
  <c r="J129" i="4" s="1"/>
  <c r="O121" i="4"/>
  <c r="O120" i="4"/>
  <c r="K121" i="4"/>
  <c r="K120" i="4"/>
  <c r="Q114" i="4"/>
  <c r="R114" i="4" s="1"/>
  <c r="R40" i="7" s="1"/>
  <c r="Q112" i="4"/>
  <c r="R112" i="4" s="1"/>
  <c r="M114" i="4"/>
  <c r="N114" i="4" s="1"/>
  <c r="O114" i="4" s="1"/>
  <c r="O40" i="7" s="1"/>
  <c r="M112" i="4"/>
  <c r="N112" i="4" s="1"/>
  <c r="O112" i="4" s="1"/>
  <c r="O115" i="4"/>
  <c r="X115" i="4" s="1"/>
  <c r="K115" i="4"/>
  <c r="W115" i="4" s="1"/>
  <c r="I114" i="4"/>
  <c r="J114" i="4" s="1"/>
  <c r="K114" i="4" s="1"/>
  <c r="K40" i="7" s="1"/>
  <c r="I112" i="4"/>
  <c r="Q108" i="4"/>
  <c r="R108" i="4" s="1"/>
  <c r="Q107" i="4"/>
  <c r="R107" i="4" s="1"/>
  <c r="Q106" i="4"/>
  <c r="R106" i="4" s="1"/>
  <c r="Q105" i="4"/>
  <c r="R105" i="4" s="1"/>
  <c r="Q104" i="4"/>
  <c r="R104" i="4" s="1"/>
  <c r="Q103" i="4"/>
  <c r="R103" i="4" s="1"/>
  <c r="Q102" i="4"/>
  <c r="R102" i="4" s="1"/>
  <c r="Q101" i="4"/>
  <c r="R101" i="4" s="1"/>
  <c r="Q100" i="4"/>
  <c r="R100" i="4" s="1"/>
  <c r="Q97" i="4"/>
  <c r="R97" i="4" s="1"/>
  <c r="Q96" i="4"/>
  <c r="R96" i="4" s="1"/>
  <c r="Q95" i="4"/>
  <c r="R95" i="4" s="1"/>
  <c r="Q93" i="4"/>
  <c r="R93" i="4" s="1"/>
  <c r="Q92" i="4"/>
  <c r="R92" i="4" s="1"/>
  <c r="Q91" i="4"/>
  <c r="R91" i="4" s="1"/>
  <c r="Q90" i="4"/>
  <c r="R90" i="4" s="1"/>
  <c r="Q89" i="4"/>
  <c r="R89" i="4" s="1"/>
  <c r="Q88" i="4"/>
  <c r="Q30" i="7" s="1"/>
  <c r="Q85" i="4"/>
  <c r="R85" i="4" s="1"/>
  <c r="M108" i="4"/>
  <c r="N108" i="4" s="1"/>
  <c r="O108" i="4" s="1"/>
  <c r="M107" i="4"/>
  <c r="N107" i="4" s="1"/>
  <c r="O107" i="4" s="1"/>
  <c r="M106" i="4"/>
  <c r="N106" i="4" s="1"/>
  <c r="M105" i="4"/>
  <c r="N105" i="4" s="1"/>
  <c r="O105" i="4" s="1"/>
  <c r="M104" i="4"/>
  <c r="N104" i="4" s="1"/>
  <c r="M103" i="4"/>
  <c r="M102" i="4"/>
  <c r="N102" i="4" s="1"/>
  <c r="O102" i="4" s="1"/>
  <c r="M101" i="4"/>
  <c r="N101" i="4" s="1"/>
  <c r="M100" i="4"/>
  <c r="N100" i="4" s="1"/>
  <c r="O100" i="4" s="1"/>
  <c r="M97" i="4"/>
  <c r="N97" i="4" s="1"/>
  <c r="O97" i="4" s="1"/>
  <c r="M96" i="4"/>
  <c r="M95" i="4"/>
  <c r="N95" i="4" s="1"/>
  <c r="O95" i="4" s="1"/>
  <c r="M93" i="4"/>
  <c r="M92" i="4"/>
  <c r="M91" i="4"/>
  <c r="N91" i="4" s="1"/>
  <c r="O91" i="4" s="1"/>
  <c r="M90" i="4"/>
  <c r="N90" i="4" s="1"/>
  <c r="M89" i="4"/>
  <c r="N89" i="4" s="1"/>
  <c r="O89" i="4" s="1"/>
  <c r="M88" i="4"/>
  <c r="N88" i="4" s="1"/>
  <c r="N30" i="7" s="1"/>
  <c r="M85" i="4"/>
  <c r="N85" i="4" s="1"/>
  <c r="I108" i="4"/>
  <c r="J108" i="4" s="1"/>
  <c r="K108" i="4" s="1"/>
  <c r="I107" i="4"/>
  <c r="J107" i="4" s="1"/>
  <c r="I106" i="4"/>
  <c r="J106" i="4" s="1"/>
  <c r="I105" i="4"/>
  <c r="J105" i="4" s="1"/>
  <c r="K105" i="4" s="1"/>
  <c r="I104" i="4"/>
  <c r="J104" i="4" s="1"/>
  <c r="I103" i="4"/>
  <c r="I102" i="4"/>
  <c r="I101" i="4"/>
  <c r="J101" i="4" s="1"/>
  <c r="I100" i="4"/>
  <c r="J100" i="4" s="1"/>
  <c r="I96" i="4"/>
  <c r="J96" i="4" s="1"/>
  <c r="K96" i="4" s="1"/>
  <c r="I95" i="4"/>
  <c r="I93" i="4"/>
  <c r="I91" i="4"/>
  <c r="J91" i="4" s="1"/>
  <c r="I90" i="4"/>
  <c r="J90" i="4" s="1"/>
  <c r="I89" i="4"/>
  <c r="J89" i="4" s="1"/>
  <c r="I88" i="4"/>
  <c r="I30" i="7" s="1"/>
  <c r="K97" i="4"/>
  <c r="K92" i="4"/>
  <c r="I85" i="4"/>
  <c r="O78" i="4"/>
  <c r="X78" i="4" s="1"/>
  <c r="O77" i="4"/>
  <c r="X77" i="4" s="1"/>
  <c r="O76" i="4"/>
  <c r="X76" i="4" s="1"/>
  <c r="O75" i="4"/>
  <c r="X75" i="4" s="1"/>
  <c r="O74" i="4"/>
  <c r="X74" i="4" s="1"/>
  <c r="O73" i="4"/>
  <c r="X73" i="4" s="1"/>
  <c r="O72" i="4"/>
  <c r="X72" i="4" s="1"/>
  <c r="K78" i="4"/>
  <c r="W78" i="4" s="1"/>
  <c r="K77" i="4"/>
  <c r="W77" i="4" s="1"/>
  <c r="K76" i="4"/>
  <c r="W76" i="4" s="1"/>
  <c r="K75" i="4"/>
  <c r="W75" i="4" s="1"/>
  <c r="K74" i="4"/>
  <c r="W74" i="4" s="1"/>
  <c r="K73" i="4"/>
  <c r="W73" i="4" s="1"/>
  <c r="K72" i="4"/>
  <c r="W72" i="4" s="1"/>
  <c r="O66" i="4"/>
  <c r="X66" i="4" s="1"/>
  <c r="O65" i="4"/>
  <c r="X65" i="4" s="1"/>
  <c r="O64" i="4"/>
  <c r="X64" i="4" s="1"/>
  <c r="O63" i="4"/>
  <c r="X63" i="4" s="1"/>
  <c r="O62" i="4"/>
  <c r="X62" i="4" s="1"/>
  <c r="O55" i="4"/>
  <c r="X55" i="4" s="1"/>
  <c r="K66" i="4"/>
  <c r="W66" i="4" s="1"/>
  <c r="K65" i="4"/>
  <c r="W65" i="4" s="1"/>
  <c r="K64" i="4"/>
  <c r="W64" i="4" s="1"/>
  <c r="K63" i="4"/>
  <c r="W63" i="4" s="1"/>
  <c r="K62" i="4"/>
  <c r="W62" i="4" s="1"/>
  <c r="O56" i="4"/>
  <c r="X56" i="4" s="1"/>
  <c r="O57" i="4"/>
  <c r="X57" i="4" s="1"/>
  <c r="O58" i="4"/>
  <c r="O74" i="7" s="1"/>
  <c r="AA74" i="7" s="1"/>
  <c r="O59" i="4"/>
  <c r="X59" i="4" s="1"/>
  <c r="K56" i="4"/>
  <c r="W56" i="4" s="1"/>
  <c r="K57" i="4"/>
  <c r="W57" i="4" s="1"/>
  <c r="K58" i="4"/>
  <c r="W58" i="4" s="1"/>
  <c r="K59" i="4"/>
  <c r="W59" i="4" s="1"/>
  <c r="K55" i="4"/>
  <c r="W55" i="4" s="1"/>
  <c r="O52" i="4"/>
  <c r="X52" i="4" s="1"/>
  <c r="O51" i="4"/>
  <c r="X51" i="4" s="1"/>
  <c r="O50" i="4"/>
  <c r="X50" i="4" s="1"/>
  <c r="O49" i="4"/>
  <c r="X49" i="4" s="1"/>
  <c r="O48" i="4"/>
  <c r="X48" i="4" s="1"/>
  <c r="K52" i="4"/>
  <c r="W52" i="4" s="1"/>
  <c r="K51" i="4"/>
  <c r="W51" i="4" s="1"/>
  <c r="K50" i="4"/>
  <c r="W50" i="4" s="1"/>
  <c r="K49" i="4"/>
  <c r="W49" i="4" s="1"/>
  <c r="K48" i="4"/>
  <c r="W48" i="4" s="1"/>
  <c r="R60" i="4"/>
  <c r="R70" i="7" s="1"/>
  <c r="AD70" i="7" s="1"/>
  <c r="R46" i="4"/>
  <c r="O45" i="4"/>
  <c r="X45" i="4" s="1"/>
  <c r="O44" i="4"/>
  <c r="X44" i="4" s="1"/>
  <c r="O43" i="4"/>
  <c r="X43" i="4" s="1"/>
  <c r="O42" i="4"/>
  <c r="X42" i="4" s="1"/>
  <c r="K45" i="4"/>
  <c r="W45" i="4" s="1"/>
  <c r="K44" i="4"/>
  <c r="W44" i="4" s="1"/>
  <c r="K43" i="4"/>
  <c r="W43" i="4" s="1"/>
  <c r="K42" i="4"/>
  <c r="W42" i="4" s="1"/>
  <c r="O19" i="4"/>
  <c r="X19" i="4" s="1"/>
  <c r="O18" i="4"/>
  <c r="X18" i="4" s="1"/>
  <c r="O16" i="4"/>
  <c r="X16" i="4" s="1"/>
  <c r="O15" i="4"/>
  <c r="X15" i="4" s="1"/>
  <c r="O12" i="4"/>
  <c r="X12" i="4" s="1"/>
  <c r="O11" i="4"/>
  <c r="X11" i="4" s="1"/>
  <c r="O9" i="4"/>
  <c r="X9" i="4" s="1"/>
  <c r="O8" i="4"/>
  <c r="X8" i="4" s="1"/>
  <c r="K19" i="4"/>
  <c r="W19" i="4" s="1"/>
  <c r="K18" i="4"/>
  <c r="W18" i="4" s="1"/>
  <c r="K16" i="4"/>
  <c r="W16" i="4" s="1"/>
  <c r="K15" i="4"/>
  <c r="W15" i="4" s="1"/>
  <c r="W36" i="4"/>
  <c r="O36" i="4"/>
  <c r="X36" i="4" s="1"/>
  <c r="O27" i="4"/>
  <c r="X27" i="4" s="1"/>
  <c r="O25" i="4"/>
  <c r="X25" i="4" s="1"/>
  <c r="O24" i="4"/>
  <c r="X24" i="4" s="1"/>
  <c r="O23" i="4"/>
  <c r="X23" i="4" s="1"/>
  <c r="K27" i="4"/>
  <c r="W27" i="4" s="1"/>
  <c r="K25" i="4"/>
  <c r="W25" i="4" s="1"/>
  <c r="K24" i="4"/>
  <c r="W24" i="4" s="1"/>
  <c r="K23" i="4"/>
  <c r="W23" i="4" s="1"/>
  <c r="K8" i="4"/>
  <c r="W8" i="4" s="1"/>
  <c r="K9" i="4"/>
  <c r="W9" i="4" s="1"/>
  <c r="K11" i="4"/>
  <c r="W11" i="4" s="1"/>
  <c r="K12" i="4"/>
  <c r="W12" i="4" s="1"/>
  <c r="H116" i="4"/>
  <c r="E116" i="4"/>
  <c r="D116" i="4"/>
  <c r="C116" i="4"/>
  <c r="E109" i="4"/>
  <c r="D109" i="4"/>
  <c r="C109" i="4"/>
  <c r="C79" i="4"/>
  <c r="C90" i="7" s="1"/>
  <c r="Q60" i="4"/>
  <c r="Q67" i="4" s="1"/>
  <c r="Q71" i="7" s="1"/>
  <c r="AC71" i="7" s="1"/>
  <c r="P60" i="4"/>
  <c r="P67" i="4" s="1"/>
  <c r="P71" i="7" s="1"/>
  <c r="AB71" i="7" s="1"/>
  <c r="N60" i="4"/>
  <c r="N67" i="4" s="1"/>
  <c r="N71" i="7" s="1"/>
  <c r="Z71" i="7" s="1"/>
  <c r="M60" i="4"/>
  <c r="M67" i="4" s="1"/>
  <c r="M71" i="7" s="1"/>
  <c r="Y71" i="7" s="1"/>
  <c r="L60" i="4"/>
  <c r="L67" i="4" s="1"/>
  <c r="L71" i="7" s="1"/>
  <c r="X71" i="7" s="1"/>
  <c r="J60" i="4"/>
  <c r="J67" i="4" s="1"/>
  <c r="J71" i="7" s="1"/>
  <c r="I60" i="4"/>
  <c r="I67" i="4" s="1"/>
  <c r="I71" i="7" s="1"/>
  <c r="H60" i="4"/>
  <c r="H67" i="4" s="1"/>
  <c r="H71" i="7" s="1"/>
  <c r="E60" i="4"/>
  <c r="E67" i="4" s="1"/>
  <c r="E71" i="7" s="1"/>
  <c r="D60" i="4"/>
  <c r="D67" i="4" s="1"/>
  <c r="D71" i="7" s="1"/>
  <c r="C60" i="4"/>
  <c r="C67" i="4" s="1"/>
  <c r="C71" i="7" s="1"/>
  <c r="Q46" i="4"/>
  <c r="Q53" i="4" s="1"/>
  <c r="P46" i="4"/>
  <c r="P53" i="4" s="1"/>
  <c r="N46" i="4"/>
  <c r="N53" i="4" s="1"/>
  <c r="M46" i="4"/>
  <c r="M53" i="4" s="1"/>
  <c r="L46" i="4"/>
  <c r="J46" i="4"/>
  <c r="I46" i="4"/>
  <c r="I53" i="4" s="1"/>
  <c r="H46" i="4"/>
  <c r="H53" i="4" s="1"/>
  <c r="E46" i="4"/>
  <c r="E53" i="4" s="1"/>
  <c r="D46" i="4"/>
  <c r="D53" i="4" s="1"/>
  <c r="C46" i="4"/>
  <c r="C53" i="4" s="1"/>
  <c r="U61" i="7" l="1"/>
  <c r="U64" i="7" s="1"/>
  <c r="U10" i="7"/>
  <c r="U12" i="7" s="1"/>
  <c r="U18" i="7"/>
  <c r="T10" i="7"/>
  <c r="AE90" i="7"/>
  <c r="T61" i="7"/>
  <c r="T64" i="7" s="1"/>
  <c r="AG61" i="7"/>
  <c r="T18" i="7"/>
  <c r="U120" i="4"/>
  <c r="U131" i="4" s="1"/>
  <c r="U101" i="4"/>
  <c r="U109" i="4" s="1"/>
  <c r="E131" i="4"/>
  <c r="D131" i="4"/>
  <c r="M131" i="4"/>
  <c r="AG9" i="7"/>
  <c r="F131" i="4"/>
  <c r="P131" i="4"/>
  <c r="I131" i="4"/>
  <c r="Q131" i="4"/>
  <c r="J131" i="4"/>
  <c r="C131" i="4"/>
  <c r="AF88" i="7"/>
  <c r="AF91" i="7" s="1"/>
  <c r="AF102" i="7" s="1"/>
  <c r="AG88" i="7"/>
  <c r="AG91" i="7" s="1"/>
  <c r="AG102" i="7" s="1"/>
  <c r="AF61" i="7"/>
  <c r="AF8" i="7"/>
  <c r="AF17" i="7"/>
  <c r="AG8" i="7"/>
  <c r="AF6" i="7"/>
  <c r="T17" i="4"/>
  <c r="U80" i="4"/>
  <c r="T80" i="4"/>
  <c r="AG14" i="7"/>
  <c r="AF15" i="7"/>
  <c r="AG7" i="7"/>
  <c r="AG16" i="7"/>
  <c r="AF22" i="7"/>
  <c r="AF14" i="7"/>
  <c r="AF9" i="7"/>
  <c r="AG22" i="7"/>
  <c r="R123" i="4"/>
  <c r="S123" i="4" s="1"/>
  <c r="AG6" i="7"/>
  <c r="AF7" i="7"/>
  <c r="AG15" i="7"/>
  <c r="AF16" i="7"/>
  <c r="AG26" i="7"/>
  <c r="AG17" i="7"/>
  <c r="AA48" i="7"/>
  <c r="X48" i="7"/>
  <c r="F70" i="7"/>
  <c r="Z47" i="7"/>
  <c r="AF26" i="7"/>
  <c r="X88" i="7"/>
  <c r="X91" i="7" s="1"/>
  <c r="X102" i="7" s="1"/>
  <c r="U91" i="7"/>
  <c r="U102" i="7" s="1"/>
  <c r="T91" i="7"/>
  <c r="T102" i="7" s="1"/>
  <c r="Y88" i="7"/>
  <c r="Y91" i="7" s="1"/>
  <c r="Y102" i="7" s="1"/>
  <c r="Y61" i="7"/>
  <c r="W88" i="7"/>
  <c r="Z88" i="7"/>
  <c r="Z91" i="7" s="1"/>
  <c r="Z102" i="7" s="1"/>
  <c r="Z61" i="7"/>
  <c r="AB61" i="7"/>
  <c r="AC61" i="7"/>
  <c r="AB88" i="7"/>
  <c r="AB91" i="7" s="1"/>
  <c r="AB102" i="7" s="1"/>
  <c r="AA47" i="7"/>
  <c r="AC88" i="7"/>
  <c r="AC91" i="7" s="1"/>
  <c r="AC102" i="7" s="1"/>
  <c r="AA88" i="7"/>
  <c r="AD88" i="7"/>
  <c r="AD91" i="7" s="1"/>
  <c r="AD102" i="7" s="1"/>
  <c r="AE9" i="7"/>
  <c r="AE15" i="7"/>
  <c r="AE6" i="7"/>
  <c r="AE8" i="7"/>
  <c r="AE26" i="7"/>
  <c r="AE14" i="7"/>
  <c r="AE7" i="7"/>
  <c r="AE16" i="7"/>
  <c r="AE17" i="7"/>
  <c r="AE22" i="7"/>
  <c r="AE88" i="7"/>
  <c r="AE61" i="7"/>
  <c r="S18" i="7"/>
  <c r="P41" i="7"/>
  <c r="P42" i="7"/>
  <c r="Q41" i="7"/>
  <c r="R41" i="7"/>
  <c r="AG41" i="7" s="1"/>
  <c r="Q42" i="7"/>
  <c r="R42" i="7"/>
  <c r="AG42" i="7" s="1"/>
  <c r="S88" i="7"/>
  <c r="K123" i="4"/>
  <c r="K122" i="4"/>
  <c r="R20" i="4"/>
  <c r="R28" i="4" s="1"/>
  <c r="W17" i="4"/>
  <c r="X17" i="4"/>
  <c r="S107" i="4"/>
  <c r="C20" i="4"/>
  <c r="C28" i="4" s="1"/>
  <c r="J20" i="4"/>
  <c r="J28" i="4" s="1"/>
  <c r="N20" i="4"/>
  <c r="N28" i="4" s="1"/>
  <c r="L20" i="4"/>
  <c r="L28" i="4" s="1"/>
  <c r="L29" i="4" s="1"/>
  <c r="D20" i="4"/>
  <c r="D28" i="4" s="1"/>
  <c r="D34" i="4" s="1"/>
  <c r="X10" i="4"/>
  <c r="X13" i="4" s="1"/>
  <c r="F20" i="4"/>
  <c r="F21" i="4" s="1"/>
  <c r="S97" i="4"/>
  <c r="S79" i="4"/>
  <c r="K17" i="4"/>
  <c r="P20" i="4"/>
  <c r="P21" i="4" s="1"/>
  <c r="Q20" i="4"/>
  <c r="Q28" i="4" s="1"/>
  <c r="H20" i="4"/>
  <c r="H28" i="4" s="1"/>
  <c r="O17" i="4"/>
  <c r="I20" i="4"/>
  <c r="I21" i="4" s="1"/>
  <c r="S17" i="4"/>
  <c r="S89" i="4"/>
  <c r="S100" i="4"/>
  <c r="S108" i="4"/>
  <c r="S125" i="4"/>
  <c r="S90" i="4"/>
  <c r="S101" i="4"/>
  <c r="S112" i="4"/>
  <c r="S91" i="4"/>
  <c r="S102" i="4"/>
  <c r="S114" i="4"/>
  <c r="S40" i="7" s="1"/>
  <c r="AG40" i="7" s="1"/>
  <c r="S127" i="4"/>
  <c r="S92" i="4"/>
  <c r="S103" i="4"/>
  <c r="S128" i="4"/>
  <c r="S93" i="4"/>
  <c r="S104" i="4"/>
  <c r="S120" i="4"/>
  <c r="S129" i="4"/>
  <c r="F91" i="7"/>
  <c r="F102" i="7" s="1"/>
  <c r="S46" i="4"/>
  <c r="S53" i="4" s="1"/>
  <c r="S60" i="4"/>
  <c r="S95" i="4"/>
  <c r="S105" i="4"/>
  <c r="S85" i="4"/>
  <c r="S96" i="4"/>
  <c r="AG34" i="7" s="1"/>
  <c r="S106" i="4"/>
  <c r="S10" i="4"/>
  <c r="S13" i="4" s="1"/>
  <c r="M13" i="4"/>
  <c r="M20" i="4" s="1"/>
  <c r="M28" i="4" s="1"/>
  <c r="E13" i="4"/>
  <c r="E20" i="4" s="1"/>
  <c r="S10" i="7"/>
  <c r="S61" i="7"/>
  <c r="S64" i="7" s="1"/>
  <c r="F61" i="7"/>
  <c r="F64" i="7" s="1"/>
  <c r="F18" i="7"/>
  <c r="F10" i="7"/>
  <c r="W10" i="4"/>
  <c r="W13" i="4" s="1"/>
  <c r="O10" i="4"/>
  <c r="O13" i="4" s="1"/>
  <c r="K10" i="4"/>
  <c r="K13" i="4" s="1"/>
  <c r="O7" i="7"/>
  <c r="AA7" i="7" s="1"/>
  <c r="AA26" i="7"/>
  <c r="K9" i="7"/>
  <c r="Z9" i="7" s="1"/>
  <c r="R44" i="7"/>
  <c r="O16" i="7"/>
  <c r="AD16" i="7" s="1"/>
  <c r="F80" i="4"/>
  <c r="K8" i="7"/>
  <c r="Z8" i="7" s="1"/>
  <c r="O15" i="7"/>
  <c r="AD15" i="7" s="1"/>
  <c r="AA22" i="7"/>
  <c r="W24" i="7"/>
  <c r="K60" i="7"/>
  <c r="W60" i="7" s="1"/>
  <c r="K14" i="7"/>
  <c r="Z14" i="7" s="1"/>
  <c r="K63" i="7"/>
  <c r="W63" i="7" s="1"/>
  <c r="W64" i="7" s="1"/>
  <c r="K67" i="7"/>
  <c r="W67" i="7" s="1"/>
  <c r="O69" i="7"/>
  <c r="AA69" i="7" s="1"/>
  <c r="L70" i="7"/>
  <c r="X70" i="7" s="1"/>
  <c r="K74" i="7"/>
  <c r="W74" i="7" s="1"/>
  <c r="K6" i="7"/>
  <c r="Z6" i="7" s="1"/>
  <c r="K17" i="7"/>
  <c r="X17" i="7" s="1"/>
  <c r="X26" i="7"/>
  <c r="M30" i="7"/>
  <c r="I40" i="7"/>
  <c r="Q40" i="7"/>
  <c r="M44" i="7"/>
  <c r="O59" i="7"/>
  <c r="AA59" i="7" s="1"/>
  <c r="M70" i="7"/>
  <c r="Y70" i="7" s="1"/>
  <c r="J40" i="7"/>
  <c r="O68" i="7"/>
  <c r="AA68" i="7" s="1"/>
  <c r="N70" i="7"/>
  <c r="Z70" i="7" s="1"/>
  <c r="O75" i="7"/>
  <c r="AA75" i="7" s="1"/>
  <c r="O8" i="7"/>
  <c r="AD8" i="7" s="1"/>
  <c r="K15" i="7"/>
  <c r="Z15" i="7" s="1"/>
  <c r="X22" i="7"/>
  <c r="AA24" i="7"/>
  <c r="O60" i="7"/>
  <c r="AA60" i="7" s="1"/>
  <c r="K7" i="7"/>
  <c r="O14" i="7"/>
  <c r="AD14" i="7" s="1"/>
  <c r="Y34" i="7"/>
  <c r="O63" i="7"/>
  <c r="AA63" i="7" s="1"/>
  <c r="AA64" i="7" s="1"/>
  <c r="O67" i="7"/>
  <c r="AA67" i="7" s="1"/>
  <c r="K69" i="7"/>
  <c r="W69" i="7" s="1"/>
  <c r="C70" i="7"/>
  <c r="P70" i="7"/>
  <c r="AB70" i="7" s="1"/>
  <c r="O6" i="7"/>
  <c r="AD6" i="7" s="1"/>
  <c r="O17" i="7"/>
  <c r="AA17" i="7" s="1"/>
  <c r="Z23" i="7"/>
  <c r="M40" i="7"/>
  <c r="I44" i="7"/>
  <c r="Q44" i="7"/>
  <c r="K59" i="7"/>
  <c r="W59" i="7" s="1"/>
  <c r="D70" i="7"/>
  <c r="Q70" i="7"/>
  <c r="AC70" i="7" s="1"/>
  <c r="O9" i="7"/>
  <c r="AB9" i="7" s="1"/>
  <c r="K16" i="7"/>
  <c r="Z16" i="7" s="1"/>
  <c r="N40" i="7"/>
  <c r="K68" i="7"/>
  <c r="W68" i="7" s="1"/>
  <c r="E70" i="7"/>
  <c r="K75" i="7"/>
  <c r="W75" i="7" s="1"/>
  <c r="N18" i="7"/>
  <c r="L18" i="7"/>
  <c r="I18" i="7"/>
  <c r="Q18" i="7"/>
  <c r="M18" i="7"/>
  <c r="D18" i="7"/>
  <c r="P18" i="7"/>
  <c r="H18" i="7"/>
  <c r="P91" i="7"/>
  <c r="P102" i="7" s="1"/>
  <c r="C18" i="7"/>
  <c r="J18" i="7"/>
  <c r="R18" i="7"/>
  <c r="E18" i="7"/>
  <c r="H91" i="7"/>
  <c r="I91" i="7"/>
  <c r="R91" i="7"/>
  <c r="R102" i="7" s="1"/>
  <c r="M91" i="7"/>
  <c r="M102" i="7" s="1"/>
  <c r="Q91" i="7"/>
  <c r="Q102" i="7" s="1"/>
  <c r="O88" i="7"/>
  <c r="N91" i="7"/>
  <c r="N102" i="7" s="1"/>
  <c r="C91" i="7"/>
  <c r="C102" i="7" s="1"/>
  <c r="J91" i="7"/>
  <c r="E91" i="7"/>
  <c r="E102" i="7" s="1"/>
  <c r="L91" i="7"/>
  <c r="L102" i="7" s="1"/>
  <c r="K88" i="7"/>
  <c r="D91" i="7"/>
  <c r="D102" i="7" s="1"/>
  <c r="I70" i="7"/>
  <c r="J70" i="7"/>
  <c r="H70" i="7"/>
  <c r="C61" i="7"/>
  <c r="C64" i="7" s="1"/>
  <c r="P61" i="7"/>
  <c r="P64" i="7" s="1"/>
  <c r="J61" i="7"/>
  <c r="J64" i="7" s="1"/>
  <c r="R61" i="7"/>
  <c r="R64" i="7" s="1"/>
  <c r="D61" i="7"/>
  <c r="D64" i="7" s="1"/>
  <c r="E61" i="7"/>
  <c r="E64" i="7" s="1"/>
  <c r="M61" i="7"/>
  <c r="M64" i="7" s="1"/>
  <c r="H61" i="7"/>
  <c r="H64" i="7" s="1"/>
  <c r="L61" i="7"/>
  <c r="L64" i="7" s="1"/>
  <c r="I61" i="7"/>
  <c r="I64" i="7" s="1"/>
  <c r="Q61" i="7"/>
  <c r="Q64" i="7" s="1"/>
  <c r="N61" i="7"/>
  <c r="N64" i="7" s="1"/>
  <c r="I41" i="7"/>
  <c r="L42" i="7"/>
  <c r="H41" i="7"/>
  <c r="L41" i="7"/>
  <c r="H42" i="7"/>
  <c r="I42" i="7"/>
  <c r="J42" i="7"/>
  <c r="J41" i="7"/>
  <c r="M41" i="7"/>
  <c r="M42" i="7"/>
  <c r="N41" i="7"/>
  <c r="N42" i="7"/>
  <c r="H10" i="7"/>
  <c r="P10" i="7"/>
  <c r="Q10" i="7"/>
  <c r="M10" i="7"/>
  <c r="R10" i="7"/>
  <c r="D10" i="7"/>
  <c r="L10" i="7"/>
  <c r="I10" i="7"/>
  <c r="J10" i="7"/>
  <c r="N10" i="7"/>
  <c r="C10" i="7"/>
  <c r="E10" i="7"/>
  <c r="X79" i="4"/>
  <c r="W79" i="4"/>
  <c r="O79" i="4"/>
  <c r="O90" i="7" s="1"/>
  <c r="AA90" i="7" s="1"/>
  <c r="K79" i="4"/>
  <c r="K90" i="7" s="1"/>
  <c r="W90" i="7" s="1"/>
  <c r="R67" i="4"/>
  <c r="J53" i="4"/>
  <c r="R53" i="4"/>
  <c r="L53" i="4"/>
  <c r="W105" i="4"/>
  <c r="W108" i="4"/>
  <c r="J93" i="4"/>
  <c r="X97" i="4"/>
  <c r="X107" i="4"/>
  <c r="X89" i="4"/>
  <c r="W127" i="4"/>
  <c r="R116" i="4"/>
  <c r="J103" i="4"/>
  <c r="K103" i="4" s="1"/>
  <c r="J112" i="4"/>
  <c r="K89" i="4"/>
  <c r="W89" i="4" s="1"/>
  <c r="X91" i="4"/>
  <c r="X102" i="4"/>
  <c r="O85" i="4"/>
  <c r="X85" i="4" s="1"/>
  <c r="J102" i="4"/>
  <c r="K102" i="4" s="1"/>
  <c r="W102" i="4" s="1"/>
  <c r="X108" i="4"/>
  <c r="O106" i="4"/>
  <c r="X106" i="4" s="1"/>
  <c r="O104" i="4"/>
  <c r="X104" i="4" s="1"/>
  <c r="X100" i="4"/>
  <c r="K100" i="4"/>
  <c r="X95" i="4"/>
  <c r="X105" i="4"/>
  <c r="N96" i="4"/>
  <c r="O88" i="4"/>
  <c r="O30" i="7" s="1"/>
  <c r="W97" i="4"/>
  <c r="K106" i="4"/>
  <c r="W106" i="4" s="1"/>
  <c r="R88" i="4"/>
  <c r="N128" i="4"/>
  <c r="O128" i="4" s="1"/>
  <c r="X128" i="4" s="1"/>
  <c r="J88" i="4"/>
  <c r="J30" i="7" s="1"/>
  <c r="N93" i="4"/>
  <c r="N92" i="4"/>
  <c r="O92" i="4" s="1"/>
  <c r="X92" i="4" s="1"/>
  <c r="J85" i="4"/>
  <c r="K85" i="4" s="1"/>
  <c r="W85" i="4" s="1"/>
  <c r="O90" i="4"/>
  <c r="X90" i="4" s="1"/>
  <c r="O101" i="4"/>
  <c r="X101" i="4" s="1"/>
  <c r="K101" i="4"/>
  <c r="W101" i="4" s="1"/>
  <c r="N103" i="4"/>
  <c r="O103" i="4" s="1"/>
  <c r="X103" i="4" s="1"/>
  <c r="W125" i="4"/>
  <c r="K90" i="4"/>
  <c r="W90" i="4" s="1"/>
  <c r="J95" i="4"/>
  <c r="K95" i="4" s="1"/>
  <c r="W95" i="4" s="1"/>
  <c r="O127" i="4"/>
  <c r="X127" i="4" s="1"/>
  <c r="K91" i="4"/>
  <c r="W91" i="4" s="1"/>
  <c r="K104" i="4"/>
  <c r="W104" i="4" s="1"/>
  <c r="X114" i="4"/>
  <c r="O129" i="4"/>
  <c r="X129" i="4" s="1"/>
  <c r="O125" i="4"/>
  <c r="K129" i="4"/>
  <c r="W129" i="4" s="1"/>
  <c r="W114" i="4"/>
  <c r="O116" i="4"/>
  <c r="X112" i="4"/>
  <c r="K107" i="4"/>
  <c r="W107" i="4" s="1"/>
  <c r="X58" i="4"/>
  <c r="I116" i="4"/>
  <c r="X134" i="4"/>
  <c r="K60" i="4"/>
  <c r="W60" i="4"/>
  <c r="W67" i="4" s="1"/>
  <c r="O60" i="4"/>
  <c r="O70" i="7" s="1"/>
  <c r="AA70" i="7" s="1"/>
  <c r="K46" i="4"/>
  <c r="K53" i="4" s="1"/>
  <c r="O46" i="4"/>
  <c r="O53" i="4" s="1"/>
  <c r="J80" i="4"/>
  <c r="L80" i="4"/>
  <c r="I80" i="4"/>
  <c r="Q80" i="4"/>
  <c r="L116" i="4"/>
  <c r="W46" i="4"/>
  <c r="W53" i="4" s="1"/>
  <c r="C80" i="4"/>
  <c r="H80" i="4"/>
  <c r="P80" i="4"/>
  <c r="P116" i="4"/>
  <c r="Q116" i="4"/>
  <c r="P109" i="4"/>
  <c r="W134" i="4"/>
  <c r="H109" i="4"/>
  <c r="D80" i="4"/>
  <c r="M80" i="4"/>
  <c r="E80" i="4"/>
  <c r="N80" i="4"/>
  <c r="U11" i="7" l="1"/>
  <c r="T19" i="7"/>
  <c r="T20" i="7" s="1"/>
  <c r="U19" i="7"/>
  <c r="W91" i="7"/>
  <c r="W102" i="7" s="1"/>
  <c r="T11" i="7"/>
  <c r="AE91" i="7"/>
  <c r="AE102" i="7" s="1"/>
  <c r="T12" i="7"/>
  <c r="AC41" i="7"/>
  <c r="R131" i="4"/>
  <c r="K131" i="4"/>
  <c r="N131" i="4"/>
  <c r="AG47" i="7"/>
  <c r="S131" i="4"/>
  <c r="W61" i="7"/>
  <c r="O131" i="4"/>
  <c r="AC40" i="7"/>
  <c r="Y51" i="7"/>
  <c r="AA50" i="7"/>
  <c r="X47" i="7"/>
  <c r="AG10" i="7"/>
  <c r="AB48" i="7"/>
  <c r="AD47" i="7"/>
  <c r="Y47" i="7"/>
  <c r="W47" i="7"/>
  <c r="AB49" i="7"/>
  <c r="AF41" i="7"/>
  <c r="AB47" i="7"/>
  <c r="AB50" i="7"/>
  <c r="U10" i="4"/>
  <c r="U13" i="4" s="1"/>
  <c r="T10" i="4"/>
  <c r="T13" i="4" s="1"/>
  <c r="T20" i="4" s="1"/>
  <c r="T28" i="4" s="1"/>
  <c r="AF10" i="7"/>
  <c r="U17" i="4"/>
  <c r="AC47" i="7"/>
  <c r="AG18" i="7"/>
  <c r="AA49" i="7"/>
  <c r="AF42" i="7"/>
  <c r="Z48" i="7"/>
  <c r="Y48" i="7"/>
  <c r="W48" i="7"/>
  <c r="S44" i="7"/>
  <c r="AG44" i="7" s="1"/>
  <c r="AE34" i="7"/>
  <c r="AF34" i="7"/>
  <c r="AE40" i="7"/>
  <c r="AF40" i="7"/>
  <c r="S67" i="4"/>
  <c r="S71" i="7" s="1"/>
  <c r="AE71" i="7" s="1"/>
  <c r="S70" i="7"/>
  <c r="AE70" i="7" s="1"/>
  <c r="AF18" i="7"/>
  <c r="X41" i="7"/>
  <c r="W16" i="7"/>
  <c r="U20" i="7"/>
  <c r="U27" i="7"/>
  <c r="T27" i="7"/>
  <c r="W17" i="7"/>
  <c r="Z40" i="7"/>
  <c r="Z42" i="7"/>
  <c r="Y40" i="7"/>
  <c r="Y22" i="7"/>
  <c r="Z22" i="7"/>
  <c r="Y41" i="7"/>
  <c r="Y26" i="7"/>
  <c r="X15" i="7"/>
  <c r="W23" i="7"/>
  <c r="Y9" i="7"/>
  <c r="Y23" i="7"/>
  <c r="Y16" i="7"/>
  <c r="Y7" i="7"/>
  <c r="Z7" i="7"/>
  <c r="Z10" i="7" s="1"/>
  <c r="Y17" i="7"/>
  <c r="Z17" i="7"/>
  <c r="Y14" i="7"/>
  <c r="W15" i="7"/>
  <c r="Y15" i="7"/>
  <c r="X9" i="7"/>
  <c r="W9" i="7"/>
  <c r="W34" i="7"/>
  <c r="X42" i="7"/>
  <c r="W7" i="7"/>
  <c r="X14" i="7"/>
  <c r="Y8" i="7"/>
  <c r="X8" i="7"/>
  <c r="W42" i="7"/>
  <c r="Y24" i="7"/>
  <c r="Z24" i="7"/>
  <c r="X6" i="7"/>
  <c r="W6" i="7"/>
  <c r="X16" i="7"/>
  <c r="Y42" i="7"/>
  <c r="Z41" i="7"/>
  <c r="W14" i="7"/>
  <c r="X7" i="7"/>
  <c r="X24" i="7"/>
  <c r="W40" i="7"/>
  <c r="Z26" i="7"/>
  <c r="W41" i="7"/>
  <c r="X34" i="7"/>
  <c r="X40" i="7"/>
  <c r="W26" i="7"/>
  <c r="W22" i="7"/>
  <c r="Y6" i="7"/>
  <c r="X23" i="7"/>
  <c r="W8" i="7"/>
  <c r="AA61" i="7"/>
  <c r="AB8" i="7"/>
  <c r="J12" i="7"/>
  <c r="AB52" i="7"/>
  <c r="AD42" i="7"/>
  <c r="AB40" i="7"/>
  <c r="AB26" i="7"/>
  <c r="AA91" i="7"/>
  <c r="AA102" i="7" s="1"/>
  <c r="AA23" i="7"/>
  <c r="AC8" i="7"/>
  <c r="AB15" i="7"/>
  <c r="AB14" i="7"/>
  <c r="AA52" i="7"/>
  <c r="AA16" i="7"/>
  <c r="AC42" i="7"/>
  <c r="AA41" i="7"/>
  <c r="AD22" i="7"/>
  <c r="AC22" i="7"/>
  <c r="AB22" i="7"/>
  <c r="AD26" i="7"/>
  <c r="AB6" i="7"/>
  <c r="AA40" i="7"/>
  <c r="AD40" i="7"/>
  <c r="AB16" i="7"/>
  <c r="AA15" i="7"/>
  <c r="F11" i="7"/>
  <c r="AD41" i="7"/>
  <c r="AB23" i="7"/>
  <c r="AC15" i="7"/>
  <c r="AC6" i="7"/>
  <c r="AC30" i="7"/>
  <c r="D11" i="7"/>
  <c r="AB42" i="7"/>
  <c r="AA42" i="7"/>
  <c r="AC9" i="7"/>
  <c r="AD9" i="7"/>
  <c r="AB24" i="7"/>
  <c r="AB30" i="7"/>
  <c r="AD7" i="7"/>
  <c r="AC7" i="7"/>
  <c r="AC16" i="7"/>
  <c r="AA8" i="7"/>
  <c r="AA14" i="7"/>
  <c r="AC14" i="7"/>
  <c r="AA6" i="7"/>
  <c r="AB41" i="7"/>
  <c r="AC17" i="7"/>
  <c r="AD17" i="7"/>
  <c r="AB17" i="7"/>
  <c r="AC26" i="7"/>
  <c r="AA30" i="7"/>
  <c r="AA9" i="7"/>
  <c r="AB7" i="7"/>
  <c r="I12" i="7"/>
  <c r="L11" i="7"/>
  <c r="S12" i="7"/>
  <c r="R11" i="7"/>
  <c r="R12" i="7"/>
  <c r="N12" i="7"/>
  <c r="N11" i="7"/>
  <c r="M11" i="7"/>
  <c r="M12" i="7"/>
  <c r="P11" i="7"/>
  <c r="E11" i="7"/>
  <c r="Q11" i="7"/>
  <c r="Q12" i="7"/>
  <c r="AE10" i="7"/>
  <c r="AE42" i="7"/>
  <c r="AE41" i="7"/>
  <c r="AE18" i="7"/>
  <c r="S91" i="7"/>
  <c r="S102" i="7" s="1"/>
  <c r="K61" i="7"/>
  <c r="K64" i="7" s="1"/>
  <c r="Q21" i="4"/>
  <c r="L21" i="4"/>
  <c r="C21" i="4"/>
  <c r="H21" i="4"/>
  <c r="R21" i="4"/>
  <c r="X20" i="4"/>
  <c r="X28" i="4" s="1"/>
  <c r="O20" i="4"/>
  <c r="O28" i="4" s="1"/>
  <c r="O29" i="4" s="1"/>
  <c r="S19" i="7"/>
  <c r="S27" i="7" s="1"/>
  <c r="D21" i="4"/>
  <c r="S20" i="4"/>
  <c r="S28" i="4" s="1"/>
  <c r="S34" i="4" s="1"/>
  <c r="S37" i="4" s="1"/>
  <c r="S38" i="4" s="1"/>
  <c r="S116" i="4"/>
  <c r="P28" i="4"/>
  <c r="P34" i="4" s="1"/>
  <c r="P37" i="4" s="1"/>
  <c r="I28" i="4"/>
  <c r="I29" i="4" s="1"/>
  <c r="W20" i="4"/>
  <c r="W21" i="4" s="1"/>
  <c r="K20" i="4"/>
  <c r="K28" i="4" s="1"/>
  <c r="J21" i="4"/>
  <c r="R30" i="7"/>
  <c r="S88" i="4"/>
  <c r="F28" i="4"/>
  <c r="F34" i="4" s="1"/>
  <c r="F37" i="4" s="1"/>
  <c r="F38" i="4" s="1"/>
  <c r="E28" i="4"/>
  <c r="E21" i="4"/>
  <c r="N21" i="4"/>
  <c r="M21" i="4"/>
  <c r="F19" i="7"/>
  <c r="F20" i="7" s="1"/>
  <c r="K10" i="7"/>
  <c r="K12" i="7" s="1"/>
  <c r="O10" i="7"/>
  <c r="S11" i="7" s="1"/>
  <c r="O18" i="7"/>
  <c r="AD18" i="7" s="1"/>
  <c r="K18" i="7"/>
  <c r="Z18" i="7" s="1"/>
  <c r="O61" i="7"/>
  <c r="O64" i="7" s="1"/>
  <c r="O44" i="7"/>
  <c r="AD44" i="7" s="1"/>
  <c r="X125" i="4"/>
  <c r="L19" i="7"/>
  <c r="L20" i="7" s="1"/>
  <c r="R80" i="4"/>
  <c r="R71" i="7"/>
  <c r="AD71" i="7" s="1"/>
  <c r="K67" i="4"/>
  <c r="K71" i="7" s="1"/>
  <c r="W71" i="7" s="1"/>
  <c r="K70" i="7"/>
  <c r="W70" i="7" s="1"/>
  <c r="W96" i="4"/>
  <c r="Z34" i="7"/>
  <c r="K112" i="4"/>
  <c r="Z52" i="7" s="1"/>
  <c r="O91" i="7"/>
  <c r="O102" i="7" s="1"/>
  <c r="J44" i="7"/>
  <c r="W100" i="4"/>
  <c r="K44" i="7"/>
  <c r="K91" i="7"/>
  <c r="K102" i="7" s="1"/>
  <c r="N44" i="7"/>
  <c r="D19" i="7"/>
  <c r="D20" i="7" s="1"/>
  <c r="J19" i="7"/>
  <c r="J20" i="7" s="1"/>
  <c r="C19" i="7"/>
  <c r="C27" i="7" s="1"/>
  <c r="C28" i="7" s="1"/>
  <c r="Q19" i="7"/>
  <c r="Q27" i="7" s="1"/>
  <c r="M19" i="7"/>
  <c r="M20" i="7" s="1"/>
  <c r="N19" i="7"/>
  <c r="N20" i="7" s="1"/>
  <c r="P19" i="7"/>
  <c r="P27" i="7" s="1"/>
  <c r="R19" i="7"/>
  <c r="R27" i="7" s="1"/>
  <c r="H19" i="7"/>
  <c r="H27" i="7" s="1"/>
  <c r="H28" i="7" s="1"/>
  <c r="I19" i="7"/>
  <c r="I20" i="7" s="1"/>
  <c r="E19" i="7"/>
  <c r="E27" i="7" s="1"/>
  <c r="X116" i="4"/>
  <c r="O67" i="4"/>
  <c r="C29" i="4"/>
  <c r="C34" i="4"/>
  <c r="C37" i="4" s="1"/>
  <c r="R34" i="4"/>
  <c r="R37" i="4" s="1"/>
  <c r="R29" i="4"/>
  <c r="H34" i="4"/>
  <c r="H37" i="4" s="1"/>
  <c r="H29" i="4"/>
  <c r="J34" i="4"/>
  <c r="J37" i="4" s="1"/>
  <c r="J29" i="4"/>
  <c r="K93" i="4"/>
  <c r="R109" i="4"/>
  <c r="K88" i="4"/>
  <c r="K30" i="7" s="1"/>
  <c r="X30" i="7" s="1"/>
  <c r="O93" i="4"/>
  <c r="W103" i="4"/>
  <c r="O96" i="4"/>
  <c r="W128" i="4"/>
  <c r="W92" i="4"/>
  <c r="X88" i="4"/>
  <c r="M29" i="4"/>
  <c r="W80" i="4"/>
  <c r="X60" i="4"/>
  <c r="X46" i="4"/>
  <c r="Q109" i="4"/>
  <c r="J116" i="4"/>
  <c r="M116" i="4"/>
  <c r="M109" i="4"/>
  <c r="L34" i="4"/>
  <c r="L37" i="4" s="1"/>
  <c r="I109" i="4"/>
  <c r="N116" i="4"/>
  <c r="L109" i="4"/>
  <c r="W131" i="4" l="1"/>
  <c r="AE47" i="7"/>
  <c r="X131" i="4"/>
  <c r="AF47" i="7"/>
  <c r="AG19" i="7"/>
  <c r="AG20" i="7" s="1"/>
  <c r="AE44" i="7"/>
  <c r="AF44" i="7"/>
  <c r="S80" i="4"/>
  <c r="U20" i="4"/>
  <c r="U21" i="4" s="1"/>
  <c r="T34" i="4"/>
  <c r="T37" i="4" s="1"/>
  <c r="T38" i="4" s="1"/>
  <c r="T29" i="4"/>
  <c r="AF19" i="7"/>
  <c r="AF20" i="7" s="1"/>
  <c r="T21" i="4"/>
  <c r="Z49" i="7"/>
  <c r="W49" i="7"/>
  <c r="X49" i="7"/>
  <c r="Y49" i="7"/>
  <c r="S109" i="4"/>
  <c r="S30" i="7"/>
  <c r="AG30" i="7" s="1"/>
  <c r="Z50" i="7"/>
  <c r="Y50" i="7"/>
  <c r="W50" i="7"/>
  <c r="X50" i="7"/>
  <c r="Z19" i="7"/>
  <c r="Z27" i="7" s="1"/>
  <c r="Z28" i="7" s="1"/>
  <c r="T31" i="7"/>
  <c r="T37" i="7" s="1"/>
  <c r="T28" i="7"/>
  <c r="U31" i="7"/>
  <c r="U37" i="7" s="1"/>
  <c r="U28" i="7"/>
  <c r="X51" i="7"/>
  <c r="Z44" i="7"/>
  <c r="W18" i="7"/>
  <c r="X44" i="7"/>
  <c r="Y44" i="7"/>
  <c r="Y10" i="7"/>
  <c r="Y18" i="7"/>
  <c r="AD10" i="7"/>
  <c r="AD11" i="7" s="1"/>
  <c r="Y35" i="7"/>
  <c r="Z35" i="7"/>
  <c r="W35" i="7"/>
  <c r="X35" i="7"/>
  <c r="Z30" i="7"/>
  <c r="W30" i="7"/>
  <c r="Y52" i="7"/>
  <c r="W52" i="7"/>
  <c r="X52" i="7"/>
  <c r="W10" i="7"/>
  <c r="X18" i="7"/>
  <c r="Y30" i="7"/>
  <c r="W44" i="7"/>
  <c r="Z51" i="7"/>
  <c r="W51" i="7"/>
  <c r="X10" i="7"/>
  <c r="P12" i="7"/>
  <c r="AD30" i="7"/>
  <c r="AC10" i="7"/>
  <c r="AG11" i="7" s="1"/>
  <c r="AC44" i="7"/>
  <c r="AA18" i="7"/>
  <c r="AA44" i="7"/>
  <c r="AB44" i="7"/>
  <c r="AA51" i="7"/>
  <c r="AB10" i="7"/>
  <c r="AF11" i="7" s="1"/>
  <c r="AB18" i="7"/>
  <c r="AA10" i="7"/>
  <c r="AB51" i="7"/>
  <c r="AB35" i="7"/>
  <c r="AA35" i="7"/>
  <c r="AC18" i="7"/>
  <c r="AE19" i="7"/>
  <c r="AE20" i="7" s="1"/>
  <c r="L12" i="7"/>
  <c r="O11" i="7"/>
  <c r="O12" i="7"/>
  <c r="X21" i="4"/>
  <c r="S20" i="7"/>
  <c r="O21" i="4"/>
  <c r="S21" i="4"/>
  <c r="S28" i="7"/>
  <c r="I34" i="4"/>
  <c r="I37" i="4" s="1"/>
  <c r="I38" i="4" s="1"/>
  <c r="P29" i="4"/>
  <c r="K21" i="4"/>
  <c r="S29" i="4"/>
  <c r="W28" i="4"/>
  <c r="F29" i="4"/>
  <c r="E34" i="4"/>
  <c r="E37" i="4" s="1"/>
  <c r="E38" i="4" s="1"/>
  <c r="E29" i="4"/>
  <c r="F27" i="7"/>
  <c r="F28" i="7" s="1"/>
  <c r="O19" i="7"/>
  <c r="O27" i="7" s="1"/>
  <c r="O28" i="7" s="1"/>
  <c r="K19" i="7"/>
  <c r="K27" i="7" s="1"/>
  <c r="K31" i="7" s="1"/>
  <c r="K37" i="7" s="1"/>
  <c r="L27" i="7"/>
  <c r="L28" i="7" s="1"/>
  <c r="K116" i="4"/>
  <c r="W112" i="4"/>
  <c r="W116" i="4" s="1"/>
  <c r="O80" i="4"/>
  <c r="O71" i="7"/>
  <c r="AA71" i="7" s="1"/>
  <c r="X96" i="4"/>
  <c r="AD34" i="7"/>
  <c r="K80" i="4"/>
  <c r="J27" i="7"/>
  <c r="J28" i="7" s="1"/>
  <c r="R20" i="7"/>
  <c r="C20" i="7"/>
  <c r="N27" i="7"/>
  <c r="N28" i="7" s="1"/>
  <c r="D27" i="7"/>
  <c r="D28" i="7" s="1"/>
  <c r="P20" i="7"/>
  <c r="R28" i="7"/>
  <c r="R31" i="7"/>
  <c r="R37" i="7" s="1"/>
  <c r="I27" i="7"/>
  <c r="I28" i="7" s="1"/>
  <c r="E20" i="7"/>
  <c r="Q20" i="7"/>
  <c r="P28" i="7"/>
  <c r="P31" i="7"/>
  <c r="P37" i="7" s="1"/>
  <c r="E28" i="7"/>
  <c r="E31" i="7"/>
  <c r="E37" i="7" s="1"/>
  <c r="Q28" i="7"/>
  <c r="Q31" i="7"/>
  <c r="M27" i="7"/>
  <c r="H20" i="7"/>
  <c r="C31" i="7"/>
  <c r="C37" i="7" s="1"/>
  <c r="H31" i="7"/>
  <c r="H37" i="7" s="1"/>
  <c r="X67" i="4"/>
  <c r="X53" i="4"/>
  <c r="L38" i="4"/>
  <c r="R38" i="4"/>
  <c r="J38" i="4"/>
  <c r="H38" i="4"/>
  <c r="C38" i="4"/>
  <c r="P38" i="4"/>
  <c r="D37" i="4"/>
  <c r="D29" i="4"/>
  <c r="N34" i="4"/>
  <c r="N37" i="4" s="1"/>
  <c r="N29" i="4"/>
  <c r="Q34" i="4"/>
  <c r="Q37" i="4" s="1"/>
  <c r="Q38" i="4" s="1"/>
  <c r="Q29" i="4"/>
  <c r="W93" i="4"/>
  <c r="W88" i="4"/>
  <c r="X93" i="4"/>
  <c r="M34" i="4"/>
  <c r="M37" i="4" s="1"/>
  <c r="K29" i="4"/>
  <c r="O34" i="4"/>
  <c r="O37" i="4" s="1"/>
  <c r="O38" i="4" s="1"/>
  <c r="O109" i="4"/>
  <c r="K109" i="4"/>
  <c r="N109" i="4"/>
  <c r="Q37" i="7" l="1"/>
  <c r="Q38" i="7" s="1"/>
  <c r="AG27" i="7"/>
  <c r="AF27" i="7"/>
  <c r="AF28" i="7" s="1"/>
  <c r="U28" i="4"/>
  <c r="W19" i="7"/>
  <c r="W20" i="7" s="1"/>
  <c r="AE30" i="7"/>
  <c r="Z20" i="7"/>
  <c r="Z31" i="7"/>
  <c r="Z37" i="7" s="1"/>
  <c r="S31" i="7"/>
  <c r="S37" i="7" s="1"/>
  <c r="AF30" i="7"/>
  <c r="AB11" i="7"/>
  <c r="U32" i="7"/>
  <c r="T32" i="7"/>
  <c r="X19" i="7"/>
  <c r="X27" i="7" s="1"/>
  <c r="AC11" i="7"/>
  <c r="Y19" i="7"/>
  <c r="AD19" i="7"/>
  <c r="AD27" i="7" s="1"/>
  <c r="AA11" i="7"/>
  <c r="AA34" i="7"/>
  <c r="AC19" i="7"/>
  <c r="AC27" i="7" s="1"/>
  <c r="AB19" i="7"/>
  <c r="AA19" i="7"/>
  <c r="AB34" i="7"/>
  <c r="AE11" i="7"/>
  <c r="AC34" i="7"/>
  <c r="AE27" i="7"/>
  <c r="E96" i="7"/>
  <c r="E99" i="7"/>
  <c r="E101" i="7" a="1"/>
  <c r="E101" i="7" s="1"/>
  <c r="E97" i="7"/>
  <c r="E100" i="7" a="1"/>
  <c r="E100" i="7" s="1"/>
  <c r="C100" i="7" a="1"/>
  <c r="C100" i="7" s="1"/>
  <c r="C96" i="7"/>
  <c r="C99" i="7"/>
  <c r="C101" i="7" a="1"/>
  <c r="C101" i="7" s="1"/>
  <c r="C97" i="7"/>
  <c r="R45" i="7"/>
  <c r="R54" i="7" s="1" a="1"/>
  <c r="R54" i="7" s="1"/>
  <c r="P45" i="7"/>
  <c r="P54" i="7" s="1" a="1"/>
  <c r="P54" i="7" s="1"/>
  <c r="C45" i="7"/>
  <c r="C55" i="7" s="1"/>
  <c r="C95" i="7"/>
  <c r="K45" i="7"/>
  <c r="K54" i="7" s="1" a="1"/>
  <c r="K54" i="7" s="1"/>
  <c r="H45" i="7"/>
  <c r="H55" i="7" s="1"/>
  <c r="E45" i="7"/>
  <c r="E54" i="7" s="1" a="1"/>
  <c r="E54" i="7" s="1"/>
  <c r="E55" i="7" s="1"/>
  <c r="E95" i="7"/>
  <c r="F31" i="7"/>
  <c r="D31" i="7"/>
  <c r="K20" i="7"/>
  <c r="O20" i="7"/>
  <c r="K28" i="7"/>
  <c r="O31" i="7"/>
  <c r="C38" i="7"/>
  <c r="L31" i="7"/>
  <c r="L37" i="7" s="1"/>
  <c r="E32" i="7"/>
  <c r="J31" i="7"/>
  <c r="J37" i="7" s="1"/>
  <c r="N31" i="7"/>
  <c r="N37" i="7" s="1"/>
  <c r="K38" i="7"/>
  <c r="K32" i="7"/>
  <c r="C32" i="7"/>
  <c r="P38" i="7"/>
  <c r="P32" i="7"/>
  <c r="I31" i="7"/>
  <c r="I37" i="7" s="1"/>
  <c r="R38" i="7"/>
  <c r="Q32" i="7"/>
  <c r="R32" i="7"/>
  <c r="E38" i="7"/>
  <c r="M31" i="7"/>
  <c r="M37" i="7" s="1"/>
  <c r="M28" i="7"/>
  <c r="H38" i="7"/>
  <c r="H32" i="7"/>
  <c r="X80" i="4"/>
  <c r="D38" i="4"/>
  <c r="N38" i="4"/>
  <c r="M38" i="4"/>
  <c r="W34" i="4"/>
  <c r="W37" i="4" s="1"/>
  <c r="W38" i="4" s="1"/>
  <c r="W29" i="4"/>
  <c r="X34" i="4"/>
  <c r="X37" i="4" s="1"/>
  <c r="X38" i="4" s="1"/>
  <c r="X29" i="4"/>
  <c r="K34" i="4"/>
  <c r="K37" i="4" s="1"/>
  <c r="J109" i="4"/>
  <c r="X109" i="4"/>
  <c r="AG28" i="7" l="1"/>
  <c r="AI27" i="7"/>
  <c r="AF31" i="7"/>
  <c r="AF32" i="7" s="1"/>
  <c r="T96" i="7"/>
  <c r="Q45" i="7"/>
  <c r="Q54" i="7" s="1" a="1"/>
  <c r="Q54" i="7" s="1"/>
  <c r="Q55" i="7" s="1"/>
  <c r="D37" i="7"/>
  <c r="D95" i="7" s="1"/>
  <c r="O37" i="7"/>
  <c r="R96" i="7" s="1"/>
  <c r="AF37" i="7"/>
  <c r="AF45" i="7" s="1"/>
  <c r="F32" i="7"/>
  <c r="F37" i="7"/>
  <c r="AG31" i="7"/>
  <c r="AG37" i="7" s="1"/>
  <c r="Z32" i="7"/>
  <c r="W27" i="7"/>
  <c r="W28" i="7" s="1"/>
  <c r="U29" i="4"/>
  <c r="U34" i="4"/>
  <c r="U37" i="4" s="1"/>
  <c r="U38" i="4" s="1"/>
  <c r="U99" i="7" a="1"/>
  <c r="U99" i="7" s="1"/>
  <c r="S32" i="7"/>
  <c r="R55" i="7"/>
  <c r="X20" i="7"/>
  <c r="T38" i="7"/>
  <c r="T45" i="7"/>
  <c r="U38" i="7"/>
  <c r="U45" i="7"/>
  <c r="K55" i="7"/>
  <c r="AD20" i="7"/>
  <c r="Y27" i="7"/>
  <c r="Y20" i="7"/>
  <c r="X31" i="7"/>
  <c r="X28" i="7"/>
  <c r="Z99" i="7"/>
  <c r="Z45" i="7"/>
  <c r="Z38" i="7"/>
  <c r="Z101" i="7" a="1"/>
  <c r="Z101" i="7" s="1"/>
  <c r="Z100" i="7" a="1"/>
  <c r="Z100" i="7" s="1"/>
  <c r="Z96" i="7"/>
  <c r="Z97" i="7"/>
  <c r="Z95" i="7"/>
  <c r="AC20" i="7"/>
  <c r="AA27" i="7"/>
  <c r="AA20" i="7"/>
  <c r="AB20" i="7"/>
  <c r="AB27" i="7"/>
  <c r="AD28" i="7"/>
  <c r="AD31" i="7"/>
  <c r="AD37" i="7" s="1"/>
  <c r="AC28" i="7"/>
  <c r="AC31" i="7"/>
  <c r="AC37" i="7" s="1"/>
  <c r="AE28" i="7"/>
  <c r="AE31" i="7"/>
  <c r="AE37" i="7" s="1"/>
  <c r="K100" i="7" a="1"/>
  <c r="K100" i="7" s="1"/>
  <c r="K97" i="7"/>
  <c r="P55" i="7"/>
  <c r="K95" i="7"/>
  <c r="R99" i="7" a="1"/>
  <c r="R99" i="7" s="1"/>
  <c r="K96" i="7"/>
  <c r="K101" i="7" a="1"/>
  <c r="K101" i="7" s="1"/>
  <c r="K99" i="7" a="1"/>
  <c r="K99" i="7" s="1"/>
  <c r="L101" i="7" a="1"/>
  <c r="L101" i="7" s="1"/>
  <c r="L97" i="7"/>
  <c r="L99" i="7" a="1"/>
  <c r="L99" i="7" s="1"/>
  <c r="L100" i="7" a="1"/>
  <c r="L100" i="7" s="1"/>
  <c r="L96" i="7"/>
  <c r="J45" i="7"/>
  <c r="J54" i="7" s="1" a="1"/>
  <c r="J54" i="7" s="1"/>
  <c r="I45" i="7"/>
  <c r="I54" i="7" s="1" a="1"/>
  <c r="I54" i="7" s="1"/>
  <c r="L95" i="7"/>
  <c r="L45" i="7"/>
  <c r="L54" i="7" s="1" a="1"/>
  <c r="L54" i="7" s="1"/>
  <c r="N45" i="7"/>
  <c r="N54" i="7" s="1" a="1"/>
  <c r="N54" i="7" s="1"/>
  <c r="L32" i="7"/>
  <c r="L38" i="7"/>
  <c r="D32" i="7"/>
  <c r="O32" i="7"/>
  <c r="J38" i="7"/>
  <c r="J32" i="7"/>
  <c r="N32" i="7"/>
  <c r="N38" i="7"/>
  <c r="I38" i="7"/>
  <c r="I32" i="7"/>
  <c r="M32" i="7"/>
  <c r="K38" i="4"/>
  <c r="W109" i="4"/>
  <c r="D96" i="7" l="1"/>
  <c r="Q96" i="7"/>
  <c r="D101" i="7" a="1"/>
  <c r="D101" i="7" s="1"/>
  <c r="D45" i="7"/>
  <c r="D54" i="7" s="1" a="1"/>
  <c r="D54" i="7" s="1"/>
  <c r="D55" i="7" s="1"/>
  <c r="D99" i="7"/>
  <c r="D38" i="7"/>
  <c r="D100" i="7" a="1"/>
  <c r="D100" i="7" s="1"/>
  <c r="Q97" i="7"/>
  <c r="D97" i="7"/>
  <c r="Q100" i="7" a="1"/>
  <c r="Q100" i="7" s="1"/>
  <c r="O45" i="7"/>
  <c r="O54" i="7" s="1" a="1"/>
  <c r="O54" i="7" s="1"/>
  <c r="AC54" i="7" s="1"/>
  <c r="R100" i="7" a="1"/>
  <c r="R100" i="7" s="1"/>
  <c r="R101" i="7" a="1"/>
  <c r="R101" i="7" s="1"/>
  <c r="R97" i="7"/>
  <c r="Q99" i="7" a="1"/>
  <c r="Q99" i="7" s="1"/>
  <c r="R95" i="7"/>
  <c r="O38" i="7"/>
  <c r="Q101" i="7" a="1"/>
  <c r="Q101" i="7" s="1"/>
  <c r="U54" i="7" a="1"/>
  <c r="U54" i="7" s="1"/>
  <c r="U55" i="7" s="1"/>
  <c r="T54" i="7" a="1"/>
  <c r="T54" i="7" s="1"/>
  <c r="T55" i="7" s="1"/>
  <c r="AG32" i="7"/>
  <c r="T100" i="7" a="1"/>
  <c r="T100" i="7" s="1"/>
  <c r="AF97" i="7"/>
  <c r="U101" i="7" a="1"/>
  <c r="U101" i="7" s="1"/>
  <c r="AF96" i="7"/>
  <c r="W31" i="7"/>
  <c r="W37" i="7" s="1"/>
  <c r="T95" i="7"/>
  <c r="U95" i="7"/>
  <c r="T101" i="7" a="1"/>
  <c r="T101" i="7" s="1"/>
  <c r="U100" i="7" a="1"/>
  <c r="U100" i="7" s="1"/>
  <c r="AF99" i="7"/>
  <c r="T97" i="7"/>
  <c r="U97" i="7"/>
  <c r="T99" i="7" a="1"/>
  <c r="T99" i="7" s="1"/>
  <c r="U96" i="7"/>
  <c r="AF100" i="7" a="1"/>
  <c r="AF100" i="7" s="1"/>
  <c r="AF38" i="7"/>
  <c r="AF95" i="7"/>
  <c r="AF101" i="7" a="1"/>
  <c r="AF101" i="7" s="1"/>
  <c r="S99" i="7" a="1"/>
  <c r="S99" i="7" s="1"/>
  <c r="S101" i="7" a="1"/>
  <c r="S101" i="7" s="1"/>
  <c r="S38" i="7"/>
  <c r="S100" i="7" a="1"/>
  <c r="S100" i="7" s="1"/>
  <c r="S95" i="7"/>
  <c r="S96" i="7"/>
  <c r="S97" i="7"/>
  <c r="S45" i="7"/>
  <c r="Y31" i="7"/>
  <c r="Y28" i="7"/>
  <c r="X37" i="7"/>
  <c r="X32" i="7"/>
  <c r="J55" i="7"/>
  <c r="I55" i="7"/>
  <c r="X54" i="7"/>
  <c r="W54" i="7"/>
  <c r="AB31" i="7"/>
  <c r="AB28" i="7"/>
  <c r="AC32" i="7"/>
  <c r="AD32" i="7"/>
  <c r="N55" i="7"/>
  <c r="L55" i="7"/>
  <c r="AA28" i="7"/>
  <c r="AA31" i="7"/>
  <c r="AE32" i="7"/>
  <c r="P96" i="7"/>
  <c r="P101" i="7" a="1"/>
  <c r="P101" i="7" s="1"/>
  <c r="P97" i="7"/>
  <c r="P100" i="7" a="1"/>
  <c r="P100" i="7" s="1"/>
  <c r="P99" i="7" a="1"/>
  <c r="P99" i="7" s="1"/>
  <c r="N99" i="7" a="1"/>
  <c r="N99" i="7" s="1"/>
  <c r="N96" i="7"/>
  <c r="N100" i="7" a="1"/>
  <c r="N100" i="7" s="1"/>
  <c r="M97" i="7"/>
  <c r="O97" i="7"/>
  <c r="M101" i="7" a="1"/>
  <c r="M101" i="7" s="1"/>
  <c r="F101" i="7" a="1"/>
  <c r="F101" i="7" s="1"/>
  <c r="F97" i="7"/>
  <c r="F100" i="7" a="1"/>
  <c r="F100" i="7" s="1"/>
  <c r="F96" i="7"/>
  <c r="F99" i="7"/>
  <c r="O99" i="7" a="1"/>
  <c r="O99" i="7" s="1"/>
  <c r="M96" i="7"/>
  <c r="M99" i="7" a="1"/>
  <c r="M99" i="7" s="1"/>
  <c r="N97" i="7"/>
  <c r="N101" i="7" a="1"/>
  <c r="N101" i="7" s="1"/>
  <c r="O95" i="7"/>
  <c r="O101" i="7" a="1"/>
  <c r="O101" i="7" s="1"/>
  <c r="O96" i="7"/>
  <c r="M100" i="7" a="1"/>
  <c r="M100" i="7" s="1"/>
  <c r="O100" i="7" a="1"/>
  <c r="O100" i="7" s="1"/>
  <c r="F38" i="7"/>
  <c r="F95" i="7"/>
  <c r="P95" i="7"/>
  <c r="N95" i="7"/>
  <c r="M95" i="7"/>
  <c r="F45" i="7"/>
  <c r="F54" i="7" s="1" a="1"/>
  <c r="F54" i="7" s="1"/>
  <c r="F55" i="7" s="1"/>
  <c r="M45" i="7"/>
  <c r="M54" i="7" s="1" a="1"/>
  <c r="M54" i="7" s="1"/>
  <c r="M38" i="7"/>
  <c r="AD54" i="7" l="1"/>
  <c r="O55" i="7"/>
  <c r="AA54" i="7"/>
  <c r="S54" i="7" a="1"/>
  <c r="S54" i="7" s="1"/>
  <c r="W32" i="7"/>
  <c r="AG96" i="7"/>
  <c r="AG95" i="7"/>
  <c r="AG38" i="7"/>
  <c r="AG99" i="7"/>
  <c r="AG45" i="7"/>
  <c r="AG101" i="7" a="1"/>
  <c r="AG101" i="7" s="1"/>
  <c r="AG100" i="7" a="1"/>
  <c r="AG100" i="7" s="1"/>
  <c r="AG97" i="7"/>
  <c r="W96" i="7"/>
  <c r="W97" i="7"/>
  <c r="W101" i="7" a="1"/>
  <c r="W101" i="7" s="1"/>
  <c r="W100" i="7" a="1"/>
  <c r="W100" i="7" s="1"/>
  <c r="W95" i="7"/>
  <c r="W99" i="7"/>
  <c r="W45" i="7"/>
  <c r="W55" i="7" s="1"/>
  <c r="W38" i="7"/>
  <c r="X96" i="7"/>
  <c r="X101" i="7" a="1"/>
  <c r="X101" i="7" s="1"/>
  <c r="X97" i="7"/>
  <c r="X100" i="7" a="1"/>
  <c r="X100" i="7" s="1"/>
  <c r="X99" i="7"/>
  <c r="X38" i="7"/>
  <c r="X95" i="7"/>
  <c r="X45" i="7"/>
  <c r="X55" i="7" s="1"/>
  <c r="Y54" i="7"/>
  <c r="Y37" i="7"/>
  <c r="Y32" i="7"/>
  <c r="Z54" i="7"/>
  <c r="Z55" i="7" s="1"/>
  <c r="AA37" i="7"/>
  <c r="AA32" i="7"/>
  <c r="AD99" i="7"/>
  <c r="AD45" i="7"/>
  <c r="AD38" i="7"/>
  <c r="AD100" i="7" a="1"/>
  <c r="AD100" i="7" s="1"/>
  <c r="AD97" i="7"/>
  <c r="AD95" i="7"/>
  <c r="AD96" i="7"/>
  <c r="AD101" i="7" a="1"/>
  <c r="AD101" i="7" s="1"/>
  <c r="AC38" i="7"/>
  <c r="AC99" i="7"/>
  <c r="AC100" i="7" a="1"/>
  <c r="AC100" i="7" s="1"/>
  <c r="AC101" i="7" a="1"/>
  <c r="AC101" i="7" s="1"/>
  <c r="AC97" i="7"/>
  <c r="AC95" i="7"/>
  <c r="AC96" i="7"/>
  <c r="AC45" i="7"/>
  <c r="AC55" i="7" s="1"/>
  <c r="M55" i="7"/>
  <c r="AB54" i="7"/>
  <c r="AB32" i="7"/>
  <c r="AB37" i="7"/>
  <c r="AE95" i="7"/>
  <c r="AE96" i="7"/>
  <c r="AE38" i="7"/>
  <c r="AE100" i="7" a="1"/>
  <c r="AE100" i="7" s="1"/>
  <c r="AE101" i="7" a="1"/>
  <c r="AE101" i="7" s="1"/>
  <c r="AE45" i="7"/>
  <c r="AE97" i="7"/>
  <c r="AE99" i="7"/>
  <c r="AD55" i="7" l="1"/>
  <c r="AG54" i="7"/>
  <c r="AG55" i="7" s="1"/>
  <c r="AF54" i="7"/>
  <c r="AF55" i="7" s="1"/>
  <c r="AE54" i="7"/>
  <c r="AE55" i="7" s="1"/>
  <c r="S55" i="7"/>
  <c r="Y96" i="7"/>
  <c r="Y99" i="7"/>
  <c r="Y95" i="7"/>
  <c r="Y45" i="7"/>
  <c r="Y55" i="7" s="1"/>
  <c r="Y97" i="7"/>
  <c r="Y38" i="7"/>
  <c r="Y101" i="7" a="1"/>
  <c r="Y101" i="7" s="1"/>
  <c r="Y100" i="7" a="1"/>
  <c r="Y100" i="7" s="1"/>
  <c r="AB101" i="7" a="1"/>
  <c r="AB101" i="7" s="1"/>
  <c r="AB45" i="7"/>
  <c r="AB55" i="7" s="1"/>
  <c r="AB99" i="7"/>
  <c r="AB38" i="7"/>
  <c r="AB96" i="7"/>
  <c r="AB97" i="7"/>
  <c r="AB95" i="7"/>
  <c r="AB100" i="7" a="1"/>
  <c r="AB100" i="7" s="1"/>
  <c r="AA101" i="7" a="1"/>
  <c r="AA101" i="7" s="1"/>
  <c r="AA100" i="7" a="1"/>
  <c r="AA100" i="7" s="1"/>
  <c r="AA99" i="7"/>
  <c r="AA38" i="7"/>
  <c r="AA45" i="7"/>
  <c r="AA55" i="7" s="1"/>
  <c r="AA96" i="7"/>
  <c r="AA97" i="7"/>
  <c r="AA9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<sst xmlns="http://schemas.openxmlformats.org/spreadsheetml/2006/main" count="262" uniqueCount="197">
  <si>
    <t>Cash and cash equivalents</t>
  </si>
  <si>
    <t>Restricted cash</t>
  </si>
  <si>
    <t>Property and equipment, net</t>
  </si>
  <si>
    <t>Operating lease liabilities</t>
  </si>
  <si>
    <t>Other long-term liabilities</t>
  </si>
  <si>
    <t>Additional paid-in capital</t>
  </si>
  <si>
    <t>Accumulated other comprehensive loss</t>
  </si>
  <si>
    <t>FYE</t>
  </si>
  <si>
    <t>Quarterly</t>
  </si>
  <si>
    <t>LTM</t>
  </si>
  <si>
    <t>Sales and marketing</t>
  </si>
  <si>
    <t>General and administrative</t>
  </si>
  <si>
    <t>Research and development</t>
  </si>
  <si>
    <t>Other income (expense), net</t>
  </si>
  <si>
    <t>Net income (loss)</t>
  </si>
  <si>
    <t>Adjustments to reconcile net income (loss) to net cash used in operating activities:</t>
  </si>
  <si>
    <t>Depreciation and amortization</t>
  </si>
  <si>
    <t>Changes in assets and liabilities, net of effect of acquisitions:</t>
  </si>
  <si>
    <t>Accounts receivable</t>
  </si>
  <si>
    <t>Net cash used in operating activities</t>
  </si>
  <si>
    <t>Purchases of property and equipment</t>
  </si>
  <si>
    <t>Net cash used in investing activities</t>
  </si>
  <si>
    <t>Net cash provided by financing activities</t>
  </si>
  <si>
    <t>X</t>
  </si>
  <si>
    <t xml:space="preserve">Income Statement </t>
  </si>
  <si>
    <t>Gross Profit</t>
  </si>
  <si>
    <t>Gross Margin</t>
  </si>
  <si>
    <t>Profit From Operations</t>
  </si>
  <si>
    <t>Operating Margin</t>
  </si>
  <si>
    <t>Net loss before provision for income taxes</t>
  </si>
  <si>
    <t>Net loss</t>
  </si>
  <si>
    <t>Net Margin</t>
  </si>
  <si>
    <t xml:space="preserve">Balance Sheet Statement </t>
  </si>
  <si>
    <t>Current Liabilities</t>
  </si>
  <si>
    <t>Total Liabilities</t>
  </si>
  <si>
    <t>Total stockholders' equity</t>
  </si>
  <si>
    <t>Total liabilities and stockholders' equity</t>
  </si>
  <si>
    <t>Ratio Analysis</t>
  </si>
  <si>
    <t>Cash-Flows Statement</t>
  </si>
  <si>
    <t>Cash flows from investing activities:</t>
  </si>
  <si>
    <t>Cash flows from financing activities:</t>
  </si>
  <si>
    <t>FCF Analysis</t>
  </si>
  <si>
    <t>EBITDA</t>
  </si>
  <si>
    <t>Product licenses</t>
  </si>
  <si>
    <t>Subscription services</t>
  </si>
  <si>
    <t>Product support</t>
  </si>
  <si>
    <t>Other services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</si>
  <si>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</si>
  <si>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</si>
  <si>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</si>
  <si>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</si>
  <si>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</si>
  <si>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</si>
  <si>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</si>
  <si>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</si>
  <si>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</si>
  <si>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</si>
  <si>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</si>
  <si>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Digital asset impairment gains (losses on sale), net</t>
  </si>
  <si>
    <t>Interest expense, net</t>
  </si>
  <si>
    <t>Benefit (Expense) from provision for income taxes</t>
  </si>
  <si>
    <t>Accounts receivable, net</t>
  </si>
  <si>
    <t>Prepaid expenses and other current assets</t>
  </si>
  <si>
    <t>Digital assets</t>
  </si>
  <si>
    <t>Right-of-use assets</t>
  </si>
  <si>
    <t>Deposits and other assets</t>
  </si>
  <si>
    <t>Deferred tax assets, net</t>
  </si>
  <si>
    <t>Accounts payable, accrued expenses, and operating lease liabilities</t>
  </si>
  <si>
    <t>Accrued compensation and employee benefits</t>
  </si>
  <si>
    <t>Accrued interest</t>
  </si>
  <si>
    <t>Current portion of long-term debt, net</t>
  </si>
  <si>
    <t>Deferred revenue and advance payments</t>
  </si>
  <si>
    <t>Long-term debt, net</t>
  </si>
  <si>
    <t>Deferred tax liabilities</t>
  </si>
  <si>
    <t>Treasury stock, at cost;  8,684  shares and  8,684  shares, respectively</t>
  </si>
  <si>
    <t>(Accumulated deficit) retained earnings</t>
  </si>
  <si>
    <t>Reduction in carrying amount of right-of-use assets</t>
  </si>
  <si>
    <t>Credit losses and sales allowances</t>
  </si>
  <si>
    <t>Deferred taxes</t>
  </si>
  <si>
    <t>Release of liabilities for unrecognized tax benefits</t>
  </si>
  <si>
    <t>Share-based compensation expense</t>
  </si>
  <si>
    <t>Digital asset impairment losses (gains on sale), net</t>
  </si>
  <si>
    <t>Amortization of issuance costs on long-term debt</t>
  </si>
  <si>
    <t>Accounts payable and accrued expenses</t>
  </si>
  <si>
    <t>Purchases of digital assets</t>
  </si>
  <si>
    <t>Proceeds from sale of digital assets</t>
  </si>
  <si>
    <t>Proceeds from exercise of stock options</t>
  </si>
  <si>
    <t>Proceeds from sales under employee stock purchase plan</t>
  </si>
  <si>
    <t>Payment of withholding tax on vesting of restricted stock units</t>
  </si>
  <si>
    <t>Supplemental disclosure of cash flow information:</t>
  </si>
  <si>
    <t>Cash paid during the year for interest</t>
  </si>
  <si>
    <t>Cash paid during the year for income taxes, net of tax refunds</t>
  </si>
  <si>
    <t>Microstrategy, Inc. (NASDAQ: MSTR)</t>
  </si>
  <si>
    <t>3-Statement Model</t>
  </si>
  <si>
    <t>($ In Thousands)</t>
  </si>
  <si>
    <t>Variance</t>
  </si>
  <si>
    <t>Total Revenue</t>
  </si>
  <si>
    <t>Total Current Assets</t>
  </si>
  <si>
    <t>Total Assets</t>
  </si>
  <si>
    <t>Total Current Liabilities</t>
  </si>
  <si>
    <t>Cash-Flows From Operating Activities</t>
  </si>
  <si>
    <t>Earning before Interest &amp; Taxes (EBIT)</t>
  </si>
  <si>
    <t>(-) Product licenses</t>
  </si>
  <si>
    <t>(-) Subscription services</t>
  </si>
  <si>
    <t>(-) Product support</t>
  </si>
  <si>
    <t>(-) Other services</t>
  </si>
  <si>
    <t>(-) Digital asset impairment gains (losses on sale), net</t>
  </si>
  <si>
    <t>Adj. EBITDA</t>
  </si>
  <si>
    <t xml:space="preserve">(+) Share-based Compensation </t>
  </si>
  <si>
    <t>(+) Depreciation and Amortization</t>
  </si>
  <si>
    <t>(-) Sales and Marketing</t>
  </si>
  <si>
    <t>(-) Research and Development</t>
  </si>
  <si>
    <t>(-) General and Administrative</t>
  </si>
  <si>
    <t>Discretionary Cash-Flows</t>
  </si>
  <si>
    <t>(-) Capital Expenditures</t>
  </si>
  <si>
    <t>(-) Cash Interest</t>
  </si>
  <si>
    <t>(-) Cash Taxes</t>
  </si>
  <si>
    <t>(-) Mandatory Amortization</t>
  </si>
  <si>
    <t>Free-Cash Flows</t>
  </si>
  <si>
    <t>(+/-) Changes in NWC</t>
  </si>
  <si>
    <t>(+/-) Net Equity Issuances / (Share Repurchases)</t>
  </si>
  <si>
    <t>(+/-) Purchases / (Sale) of Digital Assets</t>
  </si>
  <si>
    <t>(+/-) Other Adjustments</t>
  </si>
  <si>
    <t>Capitalization</t>
  </si>
  <si>
    <t>Cash &amp; Cash Equivelants</t>
  </si>
  <si>
    <t>Restricted Cash</t>
  </si>
  <si>
    <t>Total Liquidity</t>
  </si>
  <si>
    <t>Balance Sheet Metrics:</t>
  </si>
  <si>
    <t>Accounts Receivable</t>
  </si>
  <si>
    <t>Accounts Payable</t>
  </si>
  <si>
    <t>Property Plant, and Equiptment</t>
  </si>
  <si>
    <t>Total Debt</t>
  </si>
  <si>
    <t>Total Shareholder Equity</t>
  </si>
  <si>
    <t>Total Book Capitalization</t>
  </si>
  <si>
    <t>Other long-term secured debt</t>
  </si>
  <si>
    <t>$500MM 6.580% 2028 Sr. Secured Notes due 2028</t>
  </si>
  <si>
    <t>$205MM 3.870% 2025 Secured Term Loan</t>
  </si>
  <si>
    <t>Total Adj. Liquidity</t>
  </si>
  <si>
    <t>Digital Assets (Bitcoin Holdings)</t>
  </si>
  <si>
    <t>Summary Debt (BS):</t>
  </si>
  <si>
    <t>CPLTD</t>
  </si>
  <si>
    <t>LTD</t>
  </si>
  <si>
    <t>(-) Cost of Sales</t>
  </si>
  <si>
    <t xml:space="preserve">$603.8MM 0.875% Sr. Unsecured Convertible Notes due 2031 </t>
  </si>
  <si>
    <t>$800MM 0.625% Sr. Unsecured Convertible Notes due 2030</t>
  </si>
  <si>
    <t xml:space="preserve">$1.050Bn 0.000% Sr. Unsecured Convertible Notes due 2027 </t>
  </si>
  <si>
    <t xml:space="preserve">$650MM 0.750% Sr. Unsecured Convertible Notes due 2025 </t>
  </si>
  <si>
    <t>$800MM 2.250% Sr. Unsecured Convertible Notes due 2032</t>
  </si>
  <si>
    <t>$1.010Bn 0.625% Sr. Unsecured Convertible Notes due 2028</t>
  </si>
  <si>
    <t>Total product licenses and subscription services</t>
  </si>
  <si>
    <t>4Q24</t>
  </si>
  <si>
    <t>Gain (Loss) on debt extinguishment</t>
  </si>
  <si>
    <t>Loss (Gain) on debt extinguishment</t>
  </si>
  <si>
    <t>Advance deposits on purchases of property and equipment</t>
  </si>
  <si>
    <t>Debt Financing - Convertible Notes</t>
  </si>
  <si>
    <t>Equity Financing &amp; Other Equity Activities</t>
  </si>
  <si>
    <t>Issuance / (Repayment) from convertible senior notes, net</t>
  </si>
  <si>
    <t>Issuance / (Repayment) from senior secured notes, net</t>
  </si>
  <si>
    <t xml:space="preserve">Issuance / (Repayment) from secured term loan, net </t>
  </si>
  <si>
    <t>Issuance / (Repayment) of other long-term secured debt, net</t>
  </si>
  <si>
    <t>(+/-) Issuance / (Repayment) from convertible senior notes, net</t>
  </si>
  <si>
    <t>(+/-) Issuance / (Repayment) from senior secured notes, net</t>
  </si>
  <si>
    <t xml:space="preserve">(+/-) Issuance / (Repayment) from secured term loan, net </t>
  </si>
  <si>
    <t>(+/-) Issuance / (Repayment) of other long-term secured debt, net</t>
  </si>
  <si>
    <t>Total Leverage</t>
  </si>
  <si>
    <t xml:space="preserve">Interest Coverage </t>
  </si>
  <si>
    <t>Debt Service Coverage</t>
  </si>
  <si>
    <t>Fixed Charge Coverage</t>
  </si>
  <si>
    <t>Debt-to-Book Capitalization</t>
  </si>
  <si>
    <t>Net Leverage (C&amp;CE)</t>
  </si>
  <si>
    <t>Net Leverage (C&amp;CE + BTC Holdings)</t>
  </si>
  <si>
    <t>Y/Y Growth (%)</t>
  </si>
  <si>
    <t>Q/Q Growth (%)</t>
  </si>
  <si>
    <t>Gross Margin (%)</t>
  </si>
  <si>
    <t>EBITDA Margin (%)</t>
  </si>
  <si>
    <t>Operating Margin (%)</t>
  </si>
  <si>
    <t>Adj. EBITDA Margin (%)</t>
  </si>
  <si>
    <t>N/A</t>
  </si>
  <si>
    <t>1Q25</t>
  </si>
  <si>
    <t>2Q25</t>
  </si>
  <si>
    <t xml:space="preserve">Preferred Stock </t>
  </si>
  <si>
    <t>Class A Common Stock</t>
  </si>
  <si>
    <t>Class B Convertible Common Stock</t>
  </si>
  <si>
    <t>Proceeds from sale of preferred stock under public offerings</t>
  </si>
  <si>
    <t>Dividends paid on preferred stock</t>
  </si>
  <si>
    <t>(+/-) Dividends paid on preferred stock</t>
  </si>
  <si>
    <t>8.00% Series A Perpetual Strike Preferred Stock</t>
  </si>
  <si>
    <t>10.00% Series A Perpetual Strife Preferred Stock</t>
  </si>
  <si>
    <t>10.00% Series A Perpetual Stride Preferred Stock</t>
  </si>
  <si>
    <t>Unrealized loss (gain) on digital assets</t>
  </si>
  <si>
    <t>Proceeds from sale of common stock under public offerings, net</t>
  </si>
  <si>
    <t>Unrealized gain on digital assets</t>
  </si>
  <si>
    <t>(-) Unrealized gain on digital assets</t>
  </si>
  <si>
    <t>(+/-) Unrealized Loss (Gain) on digital assets</t>
  </si>
  <si>
    <t>(+/-) Digital asset impairment Losses (Gains), net</t>
  </si>
  <si>
    <t>$3.0Bn 0.000% Sr. Unsecured Convertible Notes due 2029</t>
  </si>
  <si>
    <t xml:space="preserve">$800MM 0.000% Sr. Unsecured Convertible Notes due 2030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</si>
</sst>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_(&quot;$ &quot;#,##0_);_(&quot;$ &quot;\(#,##0\)"/>
    <numFmt numFmtId="165" formatCode="_(* #,##0_);_(* \(#,##0\);_(* &quot;-&quot;??_);_(@_)"/>
    <numFmt numFmtId="166" formatCode="#,##0.0%;\(#,##0.0%\)"/>
    <numFmt numFmtId="167" formatCode="_(* #,##0.0&quot;x&quot;_);_(* \(#,##0.0&quot;x&quot;\);_(* &quot;-&quot;_);_(@_)"/>
    <numFmt numFmtId="168" formatCode="#,##0.0&quot;bps&quot;_);\(#,##0.0&quot;bps&quot;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b/>
      <i/>
      <sz val="9"/>
      <color theme="0"/>
      <name val="Calibri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i/>
      <sz val="9"/>
      <name val="Calibri"/>
      <family val="2"/>
    </font>
    <font>
      <sz val="9"/>
      <color rgb="FF0000E1"/>
      <name val="Calibri"/>
      <family val="2"/>
    </font>
    <font>
      <b/>
      <sz val="9"/>
      <color indexed="8"/>
      <name val="Calibri"/>
      <family val="2"/>
    </font>
    <font>
      <b/>
      <sz val="9"/>
      <color rgb="FF0000FF"/>
      <name val="Calibri"/>
      <family val="2"/>
    </font>
    <font>
      <i/>
      <sz val="8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rgb="FF0000E1"/>
      <name val="Calibri"/>
      <family val="2"/>
    </font>
    <font>
      <b/>
      <i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lightGray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5" fillId="0" borderId="0" xfId="2" applyNumberFormat="1" applyFont="1" applyFill="1" applyAlignment="1">
      <alignment horizont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37" fontId="8" fillId="0" borderId="0" xfId="0" applyNumberFormat="1" applyFont="1" applyAlignment="1">
      <alignment horizontal="right" vertical="top" wrapText="1"/>
    </xf>
    <xf numFmtId="37" fontId="6" fillId="0" borderId="0" xfId="0" applyNumberFormat="1" applyFont="1" applyAlignment="1">
      <alignment wrapText="1"/>
    </xf>
    <xf numFmtId="37" fontId="6" fillId="0" borderId="0" xfId="0" applyNumberFormat="1" applyFont="1"/>
    <xf numFmtId="37" fontId="9" fillId="0" borderId="0" xfId="0" applyNumberFormat="1" applyFont="1" applyAlignment="1">
      <alignment wrapText="1"/>
    </xf>
    <xf numFmtId="164" fontId="6" fillId="0" borderId="0" xfId="0" applyNumberFormat="1" applyFont="1" applyAlignment="1">
      <alignment wrapText="1"/>
    </xf>
    <xf numFmtId="164" fontId="9" fillId="0" borderId="0" xfId="0" applyNumberFormat="1" applyFont="1" applyAlignment="1">
      <alignment wrapText="1"/>
    </xf>
    <xf numFmtId="0" fontId="12" fillId="0" borderId="0" xfId="0" applyFont="1" applyAlignment="1">
      <alignment horizontal="right" vertical="center" wrapText="1"/>
    </xf>
    <xf numFmtId="9" fontId="8" fillId="0" borderId="0" xfId="2" applyFont="1" applyBorder="1" applyAlignment="1">
      <alignment horizontal="right" vertical="center" wrapText="1"/>
    </xf>
    <xf numFmtId="39" fontId="8" fillId="0" borderId="0" xfId="0" applyNumberFormat="1" applyFont="1" applyAlignment="1">
      <alignment horizontal="right" vertical="center" wrapText="1"/>
    </xf>
    <xf numFmtId="9" fontId="8" fillId="0" borderId="0" xfId="2" applyFont="1" applyFill="1" applyBorder="1" applyAlignment="1">
      <alignment horizontal="right" vertical="center" wrapText="1"/>
    </xf>
    <xf numFmtId="37" fontId="8" fillId="0" borderId="0" xfId="2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left" vertical="top" wrapText="1"/>
    </xf>
    <xf numFmtId="0" fontId="9" fillId="0" borderId="1" xfId="0" applyFont="1" applyBorder="1"/>
    <xf numFmtId="0" fontId="9" fillId="0" borderId="0" xfId="0" applyFont="1"/>
    <xf numFmtId="0" fontId="6" fillId="2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37" fontId="7" fillId="0" borderId="0" xfId="0" applyNumberFormat="1" applyFont="1" applyAlignment="1">
      <alignment horizontal="right" vertical="top" wrapText="1"/>
    </xf>
    <xf numFmtId="37" fontId="7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14" fillId="0" borderId="0" xfId="0" applyFont="1" applyAlignment="1">
      <alignment wrapText="1"/>
    </xf>
    <xf numFmtId="165" fontId="6" fillId="0" borderId="0" xfId="1" applyNumberFormat="1" applyFont="1" applyBorder="1" applyAlignment="1">
      <alignment wrapText="1"/>
    </xf>
    <xf numFmtId="0" fontId="6" fillId="0" borderId="0" xfId="0" applyFont="1" applyAlignment="1">
      <alignment horizontal="left" wrapText="1" indent="1"/>
    </xf>
    <xf numFmtId="37" fontId="11" fillId="0" borderId="0" xfId="1" applyNumberFormat="1" applyFont="1" applyBorder="1" applyAlignment="1">
      <alignment wrapText="1"/>
    </xf>
    <xf numFmtId="37" fontId="10" fillId="0" borderId="0" xfId="1" applyNumberFormat="1" applyFont="1" applyBorder="1" applyAlignment="1">
      <alignment wrapText="1"/>
    </xf>
    <xf numFmtId="37" fontId="8" fillId="0" borderId="0" xfId="1" applyNumberFormat="1" applyFont="1" applyBorder="1" applyAlignment="1">
      <alignment wrapText="1"/>
    </xf>
    <xf numFmtId="37" fontId="10" fillId="0" borderId="0" xfId="1" applyNumberFormat="1" applyFont="1" applyFill="1" applyBorder="1" applyAlignment="1">
      <alignment wrapText="1"/>
    </xf>
    <xf numFmtId="0" fontId="6" fillId="0" borderId="0" xfId="0" applyFont="1" applyAlignment="1">
      <alignment horizontal="left" indent="1"/>
    </xf>
    <xf numFmtId="0" fontId="6" fillId="0" borderId="0" xfId="0" applyFont="1"/>
    <xf numFmtId="37" fontId="7" fillId="0" borderId="0" xfId="1" applyNumberFormat="1" applyFont="1" applyBorder="1" applyAlignment="1">
      <alignment wrapText="1"/>
    </xf>
    <xf numFmtId="37" fontId="9" fillId="0" borderId="0" xfId="1" applyNumberFormat="1" applyFont="1" applyBorder="1" applyAlignment="1">
      <alignment wrapText="1"/>
    </xf>
    <xf numFmtId="37" fontId="15" fillId="0" borderId="0" xfId="1" applyNumberFormat="1" applyFont="1" applyBorder="1" applyAlignment="1">
      <alignment wrapText="1"/>
    </xf>
    <xf numFmtId="37" fontId="9" fillId="0" borderId="0" xfId="1" applyNumberFormat="1" applyFont="1" applyFill="1" applyBorder="1" applyAlignment="1">
      <alignment wrapText="1"/>
    </xf>
    <xf numFmtId="37" fontId="13" fillId="0" borderId="0" xfId="1" applyNumberFormat="1" applyFont="1" applyFill="1" applyBorder="1" applyAlignment="1">
      <alignment wrapText="1"/>
    </xf>
    <xf numFmtId="37" fontId="11" fillId="0" borderId="0" xfId="1" applyNumberFormat="1" applyFont="1" applyFill="1" applyBorder="1" applyAlignment="1">
      <alignment wrapText="1"/>
    </xf>
    <xf numFmtId="0" fontId="14" fillId="0" borderId="0" xfId="0" applyFont="1"/>
    <xf numFmtId="37" fontId="8" fillId="0" borderId="0" xfId="1" applyNumberFormat="1" applyFont="1" applyFill="1" applyBorder="1" applyAlignment="1">
      <alignment wrapText="1"/>
    </xf>
    <xf numFmtId="165" fontId="9" fillId="0" borderId="0" xfId="1" applyNumberFormat="1" applyFont="1" applyBorder="1" applyAlignment="1">
      <alignment wrapText="1"/>
    </xf>
    <xf numFmtId="0" fontId="7" fillId="3" borderId="5" xfId="0" applyFont="1" applyFill="1" applyBorder="1" applyAlignment="1">
      <alignment vertical="top" wrapText="1"/>
    </xf>
    <xf numFmtId="5" fontId="7" fillId="3" borderId="1" xfId="0" applyNumberFormat="1" applyFont="1" applyFill="1" applyBorder="1" applyAlignment="1">
      <alignment horizontal="right" vertical="top" wrapText="1"/>
    </xf>
    <xf numFmtId="9" fontId="6" fillId="0" borderId="0" xfId="2" applyFont="1" applyAlignment="1">
      <alignment wrapText="1"/>
    </xf>
    <xf numFmtId="9" fontId="8" fillId="0" borderId="0" xfId="2" applyFont="1" applyAlignment="1">
      <alignment horizontal="left" vertical="top" wrapText="1" indent="1"/>
    </xf>
    <xf numFmtId="9" fontId="10" fillId="0" borderId="0" xfId="2" applyFont="1" applyAlignment="1">
      <alignment horizontal="right" vertical="top" wrapText="1"/>
    </xf>
    <xf numFmtId="9" fontId="11" fillId="0" borderId="0" xfId="2" applyFont="1" applyAlignment="1">
      <alignment horizontal="right" vertical="top" wrapText="1"/>
    </xf>
    <xf numFmtId="9" fontId="6" fillId="0" borderId="0" xfId="2" applyFont="1"/>
    <xf numFmtId="0" fontId="12" fillId="0" borderId="0" xfId="0" applyFont="1" applyAlignment="1">
      <alignment horizontal="left" vertical="center" wrapText="1" indent="1"/>
    </xf>
    <xf numFmtId="166" fontId="12" fillId="0" borderId="0" xfId="2" applyNumberFormat="1" applyFont="1" applyBorder="1" applyAlignment="1">
      <alignment horizontal="right" vertical="center" wrapText="1"/>
    </xf>
    <xf numFmtId="5" fontId="7" fillId="0" borderId="1" xfId="0" applyNumberFormat="1" applyFont="1" applyBorder="1" applyAlignment="1">
      <alignment horizontal="right" vertical="top" wrapText="1"/>
    </xf>
    <xf numFmtId="0" fontId="16" fillId="0" borderId="0" xfId="0" applyFont="1" applyAlignment="1">
      <alignment horizontal="left" vertical="center" wrapText="1" indent="1"/>
    </xf>
    <xf numFmtId="166" fontId="16" fillId="0" borderId="0" xfId="2" applyNumberFormat="1" applyFont="1" applyBorder="1" applyAlignment="1">
      <alignment horizontal="right" vertical="center" wrapText="1"/>
    </xf>
    <xf numFmtId="9" fontId="17" fillId="0" borderId="0" xfId="2" applyFont="1" applyBorder="1" applyAlignment="1">
      <alignment horizontal="right" vertical="center" wrapText="1"/>
    </xf>
    <xf numFmtId="0" fontId="18" fillId="0" borderId="0" xfId="0" applyFont="1" applyAlignment="1">
      <alignment wrapText="1"/>
    </xf>
    <xf numFmtId="37" fontId="9" fillId="0" borderId="0" xfId="0" applyNumberFormat="1" applyFont="1"/>
    <xf numFmtId="41" fontId="8" fillId="0" borderId="0" xfId="0" applyNumberFormat="1" applyFont="1" applyAlignment="1">
      <alignment horizontal="right" vertical="top" wrapText="1"/>
    </xf>
    <xf numFmtId="5" fontId="7" fillId="0" borderId="0" xfId="0" applyNumberFormat="1" applyFont="1" applyAlignment="1">
      <alignment horizontal="right" vertical="top" wrapText="1"/>
    </xf>
    <xf numFmtId="0" fontId="6" fillId="3" borderId="0" xfId="0" applyFont="1" applyFill="1" applyAlignment="1">
      <alignment wrapText="1"/>
    </xf>
    <xf numFmtId="0" fontId="8" fillId="0" borderId="0" xfId="0" quotePrefix="1" applyFont="1" applyAlignment="1">
      <alignment vertical="top" wrapText="1"/>
    </xf>
    <xf numFmtId="41" fontId="6" fillId="0" borderId="0" xfId="0" applyNumberFormat="1" applyFont="1"/>
    <xf numFmtId="0" fontId="6" fillId="0" borderId="0" xfId="0" quotePrefix="1" applyFont="1"/>
    <xf numFmtId="0" fontId="9" fillId="0" borderId="3" xfId="0" applyFont="1" applyBorder="1"/>
    <xf numFmtId="0" fontId="6" fillId="0" borderId="0" xfId="0" quotePrefix="1" applyFont="1" applyAlignment="1">
      <alignment wrapText="1"/>
    </xf>
    <xf numFmtId="41" fontId="7" fillId="3" borderId="1" xfId="0" applyNumberFormat="1" applyFont="1" applyFill="1" applyBorder="1" applyAlignment="1">
      <alignment horizontal="right" vertical="top" wrapText="1"/>
    </xf>
    <xf numFmtId="0" fontId="19" fillId="0" borderId="0" xfId="0" applyFont="1" applyAlignment="1">
      <alignment wrapText="1"/>
    </xf>
    <xf numFmtId="0" fontId="6" fillId="0" borderId="2" xfId="0" applyFont="1" applyBorder="1"/>
    <xf numFmtId="167" fontId="6" fillId="0" borderId="0" xfId="0" applyNumberFormat="1" applyFont="1"/>
    <xf numFmtId="0" fontId="6" fillId="4" borderId="0" xfId="0" applyFont="1" applyFill="1"/>
    <xf numFmtId="5" fontId="7" fillId="4" borderId="0" xfId="0" applyNumberFormat="1" applyFont="1" applyFill="1" applyAlignment="1">
      <alignment horizontal="right" vertical="top" wrapText="1"/>
    </xf>
    <xf numFmtId="0" fontId="6" fillId="3" borderId="0" xfId="0" applyFont="1" applyFill="1"/>
    <xf numFmtId="167" fontId="9" fillId="0" borderId="0" xfId="0" applyNumberFormat="1" applyFont="1"/>
    <xf numFmtId="0" fontId="9" fillId="4" borderId="0" xfId="0" applyFont="1" applyFill="1"/>
    <xf numFmtId="167" fontId="9" fillId="0" borderId="3" xfId="0" applyNumberFormat="1" applyFont="1" applyBorder="1"/>
    <xf numFmtId="0" fontId="9" fillId="4" borderId="3" xfId="0" applyFont="1" applyFill="1" applyBorder="1"/>
    <xf numFmtId="167" fontId="9" fillId="0" borderId="1" xfId="0" applyNumberFormat="1" applyFont="1" applyBorder="1"/>
    <xf numFmtId="0" fontId="9" fillId="4" borderId="1" xfId="0" applyFont="1" applyFill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167" fontId="9" fillId="0" borderId="9" xfId="0" applyNumberFormat="1" applyFont="1" applyBorder="1"/>
    <xf numFmtId="167" fontId="9" fillId="0" borderId="10" xfId="0" applyNumberFormat="1" applyFont="1" applyBorder="1"/>
    <xf numFmtId="167" fontId="9" fillId="0" borderId="11" xfId="0" applyNumberFormat="1" applyFont="1" applyBorder="1"/>
    <xf numFmtId="166" fontId="12" fillId="3" borderId="0" xfId="2" applyNumberFormat="1" applyFont="1" applyFill="1" applyBorder="1" applyAlignment="1">
      <alignment horizontal="right" vertical="center" wrapText="1"/>
    </xf>
    <xf numFmtId="166" fontId="20" fillId="3" borderId="0" xfId="2" applyNumberFormat="1" applyFont="1" applyFill="1" applyBorder="1" applyAlignment="1">
      <alignment horizontal="right" vertical="center" wrapText="1"/>
    </xf>
    <xf numFmtId="168" fontId="12" fillId="3" borderId="0" xfId="2" applyNumberFormat="1" applyFont="1" applyFill="1" applyBorder="1" applyAlignment="1">
      <alignment horizontal="right" vertical="center" wrapText="1"/>
    </xf>
    <xf numFmtId="168" fontId="20" fillId="3" borderId="0" xfId="2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19A9-859E-45EB-AC60-BF3EE31E83E5}">
  <dimension ref="A2:Z145"/>
  <sheetViews>
    <sheetView showGridLines="0" topLeftCell="A110" zoomScale="115" zoomScaleNormal="115" workbookViewId="0">
      <selection activeCell="B125" sqref="B125"/>
    </sheetView>
  </sheetViews>
  <sheetFormatPr defaultRowHeight="12.75" customHeight="1" outlineLevelRow="1" outlineLevelCol="1" x14ac:dyDescent="0.2"/>
  <cols>
    <col min="1" max="1" width="1.85546875" style="9" bestFit="1" customWidth="1"/>
    <col min="2" max="2" width="49.42578125" style="9" bestFit="1" customWidth="1"/>
    <col min="3" max="3" width="9.85546875" style="9" customWidth="1" outlineLevel="1"/>
    <col min="4" max="5" width="9.85546875" style="9" bestFit="1" customWidth="1"/>
    <col min="6" max="6" width="10.7109375" style="9" bestFit="1" customWidth="1"/>
    <col min="7" max="7" width="1.7109375" style="9" customWidth="1"/>
    <col min="8" max="8" width="9.140625" style="9" hidden="1" customWidth="1" outlineLevel="1"/>
    <col min="9" max="9" width="9.85546875" style="9" hidden="1" customWidth="1" outlineLevel="1"/>
    <col min="10" max="10" width="9.42578125" style="9" hidden="1" customWidth="1" outlineLevel="1"/>
    <col min="11" max="11" width="9.85546875" style="9" hidden="1" customWidth="1" outlineLevel="1"/>
    <col min="12" max="13" width="9.140625" style="9" hidden="1" customWidth="1" outlineLevel="1"/>
    <col min="14" max="14" width="9.42578125" style="9" hidden="1" customWidth="1" outlineLevel="1"/>
    <col min="15" max="16" width="9.85546875" style="9" hidden="1" customWidth="1" outlineLevel="1"/>
    <col min="17" max="17" width="9.42578125" style="9" bestFit="1" customWidth="1" collapsed="1"/>
    <col min="18" max="18" width="9.85546875" style="9" bestFit="1" customWidth="1"/>
    <col min="19" max="21" width="10.7109375" style="9" bestFit="1" customWidth="1"/>
    <col min="22" max="22" width="1.7109375" style="9" customWidth="1"/>
    <col min="23" max="24" width="10.140625" style="9" bestFit="1" customWidth="1"/>
    <col min="25" max="25" width="1.42578125" style="9" customWidth="1"/>
    <col min="26" max="26" width="7.28515625" style="9" bestFit="1" customWidth="1"/>
    <col min="27" max="27" width="1.5703125" style="9" customWidth="1"/>
    <col min="28" max="16384" width="9.140625" style="9"/>
  </cols>
  <sheetData>
    <row r="2" spans="1:26" ht="12.75" customHeight="1" x14ac:dyDescent="0.2">
      <c r="B2" s="2" t="s">
        <v>92</v>
      </c>
      <c r="C2" s="4" t="s">
        <v>7</v>
      </c>
      <c r="D2" s="4" t="s">
        <v>7</v>
      </c>
      <c r="E2" s="4"/>
      <c r="F2" s="4"/>
      <c r="G2" s="5"/>
      <c r="H2" s="4" t="s">
        <v>8</v>
      </c>
      <c r="I2" s="4"/>
      <c r="J2" s="4"/>
      <c r="K2" s="4"/>
      <c r="L2" s="4"/>
      <c r="M2" s="4"/>
      <c r="N2" s="4" t="s">
        <v>8</v>
      </c>
      <c r="O2" s="4"/>
      <c r="P2" s="4"/>
      <c r="Q2" s="4" t="s">
        <v>8</v>
      </c>
      <c r="R2" s="4"/>
      <c r="S2" s="4"/>
      <c r="T2" s="4"/>
      <c r="U2" s="4"/>
      <c r="V2" s="5"/>
      <c r="W2" s="4" t="s">
        <v>9</v>
      </c>
      <c r="X2" s="4"/>
      <c r="Y2" s="5"/>
      <c r="Z2" s="100" t="s">
        <v>95</v>
      </c>
    </row>
    <row r="3" spans="1:26" ht="12.75" customHeight="1" x14ac:dyDescent="0.2">
      <c r="B3" s="3" t="s">
        <v>93</v>
      </c>
      <c r="C3" s="6">
        <v>2021</v>
      </c>
      <c r="D3" s="6">
        <v>2022</v>
      </c>
      <c r="E3" s="6">
        <v>2023</v>
      </c>
      <c r="F3" s="6">
        <v>2024</v>
      </c>
      <c r="G3" s="5"/>
      <c r="H3" s="7" t="s">
        <v>47</v>
      </c>
      <c r="I3" s="7" t="s">
        <v>48</v>
      </c>
      <c r="J3" s="7" t="s">
        <v>49</v>
      </c>
      <c r="K3" s="7" t="s">
        <v>50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55</v>
      </c>
      <c r="Q3" s="7" t="s">
        <v>56</v>
      </c>
      <c r="R3" s="7" t="s">
        <v>57</v>
      </c>
      <c r="S3" s="7" t="s">
        <v>150</v>
      </c>
      <c r="T3" s="7" t="s">
        <v>178</v>
      </c>
      <c r="U3" s="7" t="s">
        <v>179</v>
      </c>
      <c r="V3" s="5"/>
      <c r="W3" s="7" t="s">
        <v>57</v>
      </c>
      <c r="X3" s="7" t="s">
        <v>57</v>
      </c>
      <c r="Y3" s="5"/>
      <c r="Z3" s="100"/>
    </row>
    <row r="4" spans="1:26" ht="12.75" customHeight="1" x14ac:dyDescent="0.2">
      <c r="B4" s="3" t="s">
        <v>94</v>
      </c>
      <c r="C4" s="5">
        <v>44561</v>
      </c>
      <c r="D4" s="5">
        <v>44926</v>
      </c>
      <c r="E4" s="5">
        <v>45291</v>
      </c>
      <c r="F4" s="5">
        <v>45657</v>
      </c>
      <c r="G4" s="5"/>
      <c r="H4" s="5">
        <v>44651</v>
      </c>
      <c r="I4" s="5">
        <v>44742</v>
      </c>
      <c r="J4" s="5">
        <v>44834</v>
      </c>
      <c r="K4" s="5">
        <v>44926</v>
      </c>
      <c r="L4" s="5">
        <v>45016</v>
      </c>
      <c r="M4" s="5">
        <v>45107</v>
      </c>
      <c r="N4" s="5">
        <v>45199</v>
      </c>
      <c r="O4" s="5">
        <v>45291</v>
      </c>
      <c r="P4" s="5">
        <v>45382</v>
      </c>
      <c r="Q4" s="5">
        <v>45473</v>
      </c>
      <c r="R4" s="5">
        <v>45565</v>
      </c>
      <c r="S4" s="5">
        <v>45657</v>
      </c>
      <c r="T4" s="5">
        <v>45747</v>
      </c>
      <c r="U4" s="5">
        <v>45838</v>
      </c>
      <c r="V4" s="5"/>
      <c r="W4" s="5">
        <v>45565</v>
      </c>
      <c r="X4" s="5">
        <v>45565</v>
      </c>
      <c r="Y4" s="5"/>
      <c r="Z4" s="100"/>
    </row>
    <row r="5" spans="1:26" ht="12" x14ac:dyDescent="0.2"/>
    <row r="6" spans="1:26" ht="12.75" customHeight="1" x14ac:dyDescent="0.2">
      <c r="A6" s="9" t="s">
        <v>23</v>
      </c>
      <c r="B6" s="1" t="s">
        <v>24</v>
      </c>
      <c r="C6" s="7"/>
      <c r="D6" s="7"/>
      <c r="E6" s="7"/>
      <c r="F6" s="7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5.0999999999999996" customHeight="1" x14ac:dyDescent="0.2">
      <c r="Z7" s="71"/>
    </row>
    <row r="8" spans="1:26" ht="12.75" customHeight="1" outlineLevel="1" x14ac:dyDescent="0.2">
      <c r="B8" s="33" t="s">
        <v>43</v>
      </c>
      <c r="C8" s="11">
        <v>101804</v>
      </c>
      <c r="D8" s="11">
        <v>86498</v>
      </c>
      <c r="E8" s="11">
        <v>75351</v>
      </c>
      <c r="F8" s="11">
        <v>48567</v>
      </c>
      <c r="G8" s="12"/>
      <c r="H8" s="11">
        <v>16513</v>
      </c>
      <c r="I8" s="11">
        <v>20129</v>
      </c>
      <c r="J8" s="11">
        <v>22286</v>
      </c>
      <c r="K8" s="11">
        <f t="shared" ref="K8:K19" si="0">SUM(D8-SUM(H8:J8))</f>
        <v>27570</v>
      </c>
      <c r="L8" s="11">
        <v>17412</v>
      </c>
      <c r="M8" s="11">
        <v>15522</v>
      </c>
      <c r="N8" s="11">
        <v>24045</v>
      </c>
      <c r="O8" s="11">
        <f t="shared" ref="O8:O19" si="1">SUM(E8-SUM(L8:N8))</f>
        <v>18372</v>
      </c>
      <c r="P8" s="11">
        <v>12938</v>
      </c>
      <c r="Q8" s="11">
        <v>9286</v>
      </c>
      <c r="R8" s="11">
        <v>11087</v>
      </c>
      <c r="S8" s="69">
        <f>SUM(F8-SUM(P8:R8))</f>
        <v>15256</v>
      </c>
      <c r="T8" s="69">
        <v>7270</v>
      </c>
      <c r="U8" s="69">
        <v>7177</v>
      </c>
      <c r="W8" s="12">
        <f t="shared" ref="W8:W19" si="2">SUM(K8:N8)</f>
        <v>84549</v>
      </c>
      <c r="X8" s="12">
        <f t="shared" ref="X8:X19" si="3">SUM(O8:R8)</f>
        <v>51683</v>
      </c>
      <c r="Y8" s="15"/>
      <c r="Z8" s="71"/>
    </row>
    <row r="9" spans="1:26" ht="12.75" customHeight="1" outlineLevel="1" x14ac:dyDescent="0.2">
      <c r="B9" s="33" t="s">
        <v>44</v>
      </c>
      <c r="C9" s="11">
        <v>43069</v>
      </c>
      <c r="D9" s="11">
        <v>60746</v>
      </c>
      <c r="E9" s="11">
        <v>81179</v>
      </c>
      <c r="F9" s="11">
        <v>106776</v>
      </c>
      <c r="G9" s="12"/>
      <c r="H9" s="11">
        <v>12845</v>
      </c>
      <c r="I9" s="11">
        <v>14017</v>
      </c>
      <c r="J9" s="11">
        <v>16414</v>
      </c>
      <c r="K9" s="11">
        <f t="shared" si="0"/>
        <v>17470</v>
      </c>
      <c r="L9" s="11">
        <v>18810</v>
      </c>
      <c r="M9" s="11">
        <v>19878</v>
      </c>
      <c r="N9" s="11">
        <v>20974</v>
      </c>
      <c r="O9" s="11">
        <f t="shared" si="1"/>
        <v>21517</v>
      </c>
      <c r="P9" s="11">
        <v>22966</v>
      </c>
      <c r="Q9" s="11">
        <v>24080</v>
      </c>
      <c r="R9" s="11">
        <v>27800</v>
      </c>
      <c r="S9" s="69">
        <f t="shared" ref="S9:S12" si="4">SUM(F9-SUM(P9:R9))</f>
        <v>31930</v>
      </c>
      <c r="T9" s="69">
        <v>37103</v>
      </c>
      <c r="U9" s="69">
        <v>40824</v>
      </c>
      <c r="W9" s="12">
        <f t="shared" si="2"/>
        <v>77132</v>
      </c>
      <c r="X9" s="12">
        <f t="shared" si="3"/>
        <v>96363</v>
      </c>
      <c r="Y9" s="15"/>
      <c r="Z9" s="71"/>
    </row>
    <row r="10" spans="1:26" ht="12.75" customHeight="1" x14ac:dyDescent="0.2">
      <c r="B10" s="10" t="s">
        <v>149</v>
      </c>
      <c r="C10" s="28">
        <f>SUM(C8:C9)</f>
        <v>144873</v>
      </c>
      <c r="D10" s="28">
        <f t="shared" ref="D10:F10" si="5">SUM(D8:D9)</f>
        <v>147244</v>
      </c>
      <c r="E10" s="28">
        <f t="shared" si="5"/>
        <v>156530</v>
      </c>
      <c r="F10" s="28">
        <f t="shared" si="5"/>
        <v>155343</v>
      </c>
      <c r="G10" s="12"/>
      <c r="H10" s="28">
        <f t="shared" ref="H10" si="6">SUM(H8:H9)</f>
        <v>29358</v>
      </c>
      <c r="I10" s="28">
        <f t="shared" ref="I10" si="7">SUM(I8:I9)</f>
        <v>34146</v>
      </c>
      <c r="J10" s="28">
        <f t="shared" ref="J10" si="8">SUM(J8:J9)</f>
        <v>38700</v>
      </c>
      <c r="K10" s="28">
        <f t="shared" ref="K10" si="9">SUM(K8:K9)</f>
        <v>45040</v>
      </c>
      <c r="L10" s="28">
        <f t="shared" ref="L10" si="10">SUM(L8:L9)</f>
        <v>36222</v>
      </c>
      <c r="M10" s="28">
        <f t="shared" ref="M10" si="11">SUM(M8:M9)</f>
        <v>35400</v>
      </c>
      <c r="N10" s="28">
        <f t="shared" ref="N10" si="12">SUM(N8:N9)</f>
        <v>45019</v>
      </c>
      <c r="O10" s="28">
        <f t="shared" ref="O10" si="13">SUM(O8:O9)</f>
        <v>39889</v>
      </c>
      <c r="P10" s="28">
        <f t="shared" ref="P10" si="14">SUM(P8:P9)</f>
        <v>35904</v>
      </c>
      <c r="Q10" s="28">
        <f t="shared" ref="Q10" si="15">SUM(Q8:Q9)</f>
        <v>33366</v>
      </c>
      <c r="R10" s="28">
        <f t="shared" ref="R10:U10" si="16">SUM(R8:R9)</f>
        <v>38887</v>
      </c>
      <c r="S10" s="28">
        <f t="shared" si="16"/>
        <v>47186</v>
      </c>
      <c r="T10" s="28">
        <f t="shared" si="16"/>
        <v>44373</v>
      </c>
      <c r="U10" s="28">
        <f t="shared" si="16"/>
        <v>48001</v>
      </c>
      <c r="W10" s="28">
        <f t="shared" ref="W10" si="17">SUM(W8:W9)</f>
        <v>161681</v>
      </c>
      <c r="X10" s="28">
        <f t="shared" ref="X10" si="18">SUM(X8:X9)</f>
        <v>148046</v>
      </c>
      <c r="Y10" s="15"/>
      <c r="Z10" s="71"/>
    </row>
    <row r="11" spans="1:26" ht="12.75" customHeight="1" x14ac:dyDescent="0.2">
      <c r="B11" s="33" t="s">
        <v>45</v>
      </c>
      <c r="C11" s="11">
        <v>281209</v>
      </c>
      <c r="D11" s="11">
        <v>266521</v>
      </c>
      <c r="E11" s="11">
        <v>263888</v>
      </c>
      <c r="F11" s="11">
        <v>243805</v>
      </c>
      <c r="G11" s="12"/>
      <c r="H11" s="11">
        <v>67151</v>
      </c>
      <c r="I11" s="11">
        <v>66521</v>
      </c>
      <c r="J11" s="11">
        <v>66010</v>
      </c>
      <c r="K11" s="11">
        <f t="shared" si="0"/>
        <v>66839</v>
      </c>
      <c r="L11" s="11">
        <v>65481</v>
      </c>
      <c r="M11" s="11">
        <v>66081</v>
      </c>
      <c r="N11" s="11">
        <v>66860</v>
      </c>
      <c r="O11" s="11">
        <f t="shared" si="1"/>
        <v>65466</v>
      </c>
      <c r="P11" s="11">
        <v>62685</v>
      </c>
      <c r="Q11" s="11">
        <v>61740</v>
      </c>
      <c r="R11" s="11">
        <v>61015</v>
      </c>
      <c r="S11" s="69">
        <f t="shared" si="4"/>
        <v>58365</v>
      </c>
      <c r="T11" s="69">
        <v>52529</v>
      </c>
      <c r="U11" s="69">
        <v>52081</v>
      </c>
      <c r="W11" s="12">
        <f t="shared" si="2"/>
        <v>265261</v>
      </c>
      <c r="X11" s="12">
        <f t="shared" si="3"/>
        <v>250906</v>
      </c>
      <c r="Y11" s="15"/>
      <c r="Z11" s="71"/>
    </row>
    <row r="12" spans="1:26" ht="12.75" customHeight="1" x14ac:dyDescent="0.2">
      <c r="B12" s="33" t="s">
        <v>46</v>
      </c>
      <c r="C12" s="11">
        <v>84680</v>
      </c>
      <c r="D12" s="11">
        <v>85499</v>
      </c>
      <c r="E12" s="11">
        <v>75843</v>
      </c>
      <c r="F12" s="11">
        <v>64308</v>
      </c>
      <c r="G12" s="12"/>
      <c r="H12" s="11">
        <v>22768</v>
      </c>
      <c r="I12" s="11">
        <v>21406</v>
      </c>
      <c r="J12" s="11">
        <v>20650</v>
      </c>
      <c r="K12" s="11">
        <f t="shared" si="0"/>
        <v>20675</v>
      </c>
      <c r="L12" s="11">
        <v>20212</v>
      </c>
      <c r="M12" s="11">
        <v>18919</v>
      </c>
      <c r="N12" s="11">
        <v>17583</v>
      </c>
      <c r="O12" s="11">
        <f t="shared" si="1"/>
        <v>19129</v>
      </c>
      <c r="P12" s="11">
        <v>16657</v>
      </c>
      <c r="Q12" s="11">
        <v>16336</v>
      </c>
      <c r="R12" s="11">
        <v>16169</v>
      </c>
      <c r="S12" s="69">
        <f t="shared" si="4"/>
        <v>15146</v>
      </c>
      <c r="T12" s="69">
        <v>14164</v>
      </c>
      <c r="U12" s="69">
        <v>14406</v>
      </c>
      <c r="W12" s="12">
        <f t="shared" si="2"/>
        <v>77389</v>
      </c>
      <c r="X12" s="12">
        <f t="shared" si="3"/>
        <v>68291</v>
      </c>
      <c r="Y12" s="15"/>
      <c r="Z12" s="71"/>
    </row>
    <row r="13" spans="1:26" ht="12.75" customHeight="1" x14ac:dyDescent="0.2">
      <c r="B13" s="54" t="s">
        <v>96</v>
      </c>
      <c r="C13" s="55">
        <f>+C10+SUM(C11:C12)</f>
        <v>510762</v>
      </c>
      <c r="D13" s="55">
        <f t="shared" ref="D13:F13" si="19">+D10+SUM(D11:D12)</f>
        <v>499264</v>
      </c>
      <c r="E13" s="55">
        <f t="shared" si="19"/>
        <v>496261</v>
      </c>
      <c r="F13" s="55">
        <f t="shared" si="19"/>
        <v>463456</v>
      </c>
      <c r="G13" s="12"/>
      <c r="H13" s="55">
        <f t="shared" ref="H13" si="20">+H10+SUM(H11:H12)</f>
        <v>119277</v>
      </c>
      <c r="I13" s="55">
        <f t="shared" ref="I13" si="21">+I10+SUM(I11:I12)</f>
        <v>122073</v>
      </c>
      <c r="J13" s="55">
        <f t="shared" ref="J13" si="22">+J10+SUM(J11:J12)</f>
        <v>125360</v>
      </c>
      <c r="K13" s="55">
        <f t="shared" ref="K13" si="23">+K10+SUM(K11:K12)</f>
        <v>132554</v>
      </c>
      <c r="L13" s="55">
        <f t="shared" ref="L13" si="24">+L10+SUM(L11:L12)</f>
        <v>121915</v>
      </c>
      <c r="M13" s="55">
        <f t="shared" ref="M13" si="25">+M10+SUM(M11:M12)</f>
        <v>120400</v>
      </c>
      <c r="N13" s="55">
        <f t="shared" ref="N13" si="26">+N10+SUM(N11:N12)</f>
        <v>129462</v>
      </c>
      <c r="O13" s="55">
        <f t="shared" ref="O13" si="27">+O10+SUM(O11:O12)</f>
        <v>124484</v>
      </c>
      <c r="P13" s="55">
        <f t="shared" ref="P13" si="28">+P10+SUM(P11:P12)</f>
        <v>115246</v>
      </c>
      <c r="Q13" s="55">
        <f t="shared" ref="Q13" si="29">+Q10+SUM(Q11:Q12)</f>
        <v>111442</v>
      </c>
      <c r="R13" s="55">
        <f t="shared" ref="R13:U13" si="30">+R10+SUM(R11:R12)</f>
        <v>116071</v>
      </c>
      <c r="S13" s="55">
        <f t="shared" si="30"/>
        <v>120697</v>
      </c>
      <c r="T13" s="55">
        <f t="shared" si="30"/>
        <v>111066</v>
      </c>
      <c r="U13" s="55">
        <f t="shared" si="30"/>
        <v>114488</v>
      </c>
      <c r="W13" s="55">
        <f t="shared" ref="W13" si="31">+W10+SUM(W11:W12)</f>
        <v>504331</v>
      </c>
      <c r="X13" s="55">
        <f t="shared" ref="X13" si="32">+X10+SUM(X11:X12)</f>
        <v>467243</v>
      </c>
      <c r="Y13" s="15"/>
      <c r="Z13" s="71"/>
    </row>
    <row r="14" spans="1:26" s="56" customFormat="1" ht="5.0999999999999996" customHeight="1" x14ac:dyDescent="0.2">
      <c r="B14" s="57"/>
      <c r="C14" s="58"/>
      <c r="D14" s="58"/>
      <c r="E14" s="58"/>
      <c r="F14" s="58"/>
      <c r="H14" s="59"/>
      <c r="I14" s="59"/>
      <c r="J14" s="59"/>
      <c r="K14" s="60"/>
      <c r="L14" s="59"/>
      <c r="M14" s="59"/>
      <c r="N14" s="59"/>
      <c r="O14" s="60"/>
      <c r="P14" s="59"/>
      <c r="Q14" s="59"/>
      <c r="R14" s="59"/>
      <c r="S14" s="59"/>
      <c r="T14" s="59"/>
      <c r="U14" s="59"/>
      <c r="Z14" s="71"/>
    </row>
    <row r="15" spans="1:26" ht="12.75" customHeight="1" outlineLevel="1" x14ac:dyDescent="0.2">
      <c r="B15" s="33" t="s">
        <v>43</v>
      </c>
      <c r="C15" s="11">
        <v>-1721</v>
      </c>
      <c r="D15" s="11">
        <v>-1672</v>
      </c>
      <c r="E15" s="11">
        <v>-1929</v>
      </c>
      <c r="F15" s="11">
        <v>-3060</v>
      </c>
      <c r="G15" s="11"/>
      <c r="H15" s="11">
        <v>-477</v>
      </c>
      <c r="I15" s="11">
        <v>-431</v>
      </c>
      <c r="J15" s="11">
        <v>-406</v>
      </c>
      <c r="K15" s="11">
        <f t="shared" si="0"/>
        <v>-358</v>
      </c>
      <c r="L15" s="11">
        <v>-534</v>
      </c>
      <c r="M15" s="11">
        <v>-444</v>
      </c>
      <c r="N15" s="11">
        <v>-342</v>
      </c>
      <c r="O15" s="11">
        <f t="shared" si="1"/>
        <v>-609</v>
      </c>
      <c r="P15" s="11">
        <v>-567</v>
      </c>
      <c r="Q15" s="11">
        <v>-794</v>
      </c>
      <c r="R15" s="11">
        <v>-769</v>
      </c>
      <c r="S15" s="69">
        <f t="shared" ref="S15:S19" si="33">SUM(F15-SUM(P15:R15))</f>
        <v>-930</v>
      </c>
      <c r="T15" s="69">
        <v>-964</v>
      </c>
      <c r="U15" s="69">
        <v>-1169</v>
      </c>
      <c r="W15" s="12">
        <f t="shared" si="2"/>
        <v>-1678</v>
      </c>
      <c r="X15" s="12">
        <f t="shared" si="3"/>
        <v>-2739</v>
      </c>
      <c r="Y15" s="12"/>
      <c r="Z15" s="71"/>
    </row>
    <row r="16" spans="1:26" ht="12.75" customHeight="1" outlineLevel="1" x14ac:dyDescent="0.2">
      <c r="B16" s="33" t="s">
        <v>44</v>
      </c>
      <c r="C16" s="11">
        <v>-16901</v>
      </c>
      <c r="D16" s="11">
        <v>-24770</v>
      </c>
      <c r="E16" s="11">
        <v>-31776</v>
      </c>
      <c r="F16" s="11">
        <v>-42440</v>
      </c>
      <c r="G16" s="11"/>
      <c r="H16" s="11">
        <v>-5410</v>
      </c>
      <c r="I16" s="11">
        <v>-5498</v>
      </c>
      <c r="J16" s="11">
        <v>-6395</v>
      </c>
      <c r="K16" s="11">
        <f t="shared" si="0"/>
        <v>-7467</v>
      </c>
      <c r="L16" s="11">
        <v>-7856</v>
      </c>
      <c r="M16" s="11">
        <v>-7216</v>
      </c>
      <c r="N16" s="11">
        <v>-8028</v>
      </c>
      <c r="O16" s="11">
        <f t="shared" si="1"/>
        <v>-8676</v>
      </c>
      <c r="P16" s="11">
        <v>-8604</v>
      </c>
      <c r="Q16" s="11">
        <v>-9560</v>
      </c>
      <c r="R16" s="11">
        <v>-11454</v>
      </c>
      <c r="S16" s="69">
        <f t="shared" si="33"/>
        <v>-12822</v>
      </c>
      <c r="T16" s="69">
        <v>-14429</v>
      </c>
      <c r="U16" s="69">
        <v>-15906</v>
      </c>
      <c r="W16" s="12">
        <f t="shared" si="2"/>
        <v>-30567</v>
      </c>
      <c r="X16" s="12">
        <f t="shared" si="3"/>
        <v>-38294</v>
      </c>
      <c r="Y16" s="12"/>
      <c r="Z16" s="71"/>
    </row>
    <row r="17" spans="2:26" ht="12.75" customHeight="1" x14ac:dyDescent="0.2">
      <c r="B17" s="10" t="s">
        <v>149</v>
      </c>
      <c r="C17" s="28">
        <f>SUM(C15:C16)</f>
        <v>-18622</v>
      </c>
      <c r="D17" s="28">
        <f t="shared" ref="D17" si="34">SUM(D15:D16)</f>
        <v>-26442</v>
      </c>
      <c r="E17" s="28">
        <f t="shared" ref="E17" si="35">SUM(E15:E16)</f>
        <v>-33705</v>
      </c>
      <c r="F17" s="28">
        <f t="shared" ref="F17" si="36">SUM(F15:F16)</f>
        <v>-45500</v>
      </c>
      <c r="G17" s="12"/>
      <c r="H17" s="28">
        <f t="shared" ref="H17" si="37">SUM(H15:H16)</f>
        <v>-5887</v>
      </c>
      <c r="I17" s="28">
        <f t="shared" ref="I17" si="38">SUM(I15:I16)</f>
        <v>-5929</v>
      </c>
      <c r="J17" s="28">
        <f t="shared" ref="J17" si="39">SUM(J15:J16)</f>
        <v>-6801</v>
      </c>
      <c r="K17" s="28">
        <f t="shared" ref="K17" si="40">SUM(K15:K16)</f>
        <v>-7825</v>
      </c>
      <c r="L17" s="28">
        <f t="shared" ref="L17" si="41">SUM(L15:L16)</f>
        <v>-8390</v>
      </c>
      <c r="M17" s="28">
        <f t="shared" ref="M17" si="42">SUM(M15:M16)</f>
        <v>-7660</v>
      </c>
      <c r="N17" s="28">
        <f t="shared" ref="N17" si="43">SUM(N15:N16)</f>
        <v>-8370</v>
      </c>
      <c r="O17" s="28">
        <f t="shared" ref="O17" si="44">SUM(O15:O16)</f>
        <v>-9285</v>
      </c>
      <c r="P17" s="28">
        <f t="shared" ref="P17" si="45">SUM(P15:P16)</f>
        <v>-9171</v>
      </c>
      <c r="Q17" s="28">
        <f t="shared" ref="Q17" si="46">SUM(Q15:Q16)</f>
        <v>-10354</v>
      </c>
      <c r="R17" s="28">
        <f t="shared" ref="R17" si="47">SUM(R15:R16)</f>
        <v>-12223</v>
      </c>
      <c r="S17" s="28">
        <f t="shared" ref="S17:U17" si="48">SUM(S15:S16)</f>
        <v>-13752</v>
      </c>
      <c r="T17" s="28">
        <f t="shared" si="48"/>
        <v>-15393</v>
      </c>
      <c r="U17" s="28">
        <f t="shared" si="48"/>
        <v>-17075</v>
      </c>
      <c r="W17" s="28">
        <f t="shared" ref="W17" si="49">SUM(W15:W16)</f>
        <v>-32245</v>
      </c>
      <c r="X17" s="28">
        <f t="shared" ref="X17" si="50">SUM(X15:X16)</f>
        <v>-41033</v>
      </c>
      <c r="Y17" s="12"/>
      <c r="Z17" s="71"/>
    </row>
    <row r="18" spans="2:26" ht="12.75" customHeight="1" x14ac:dyDescent="0.2">
      <c r="B18" s="33" t="s">
        <v>45</v>
      </c>
      <c r="C18" s="11">
        <v>-19254</v>
      </c>
      <c r="D18" s="11">
        <v>-21264</v>
      </c>
      <c r="E18" s="11">
        <v>-22434</v>
      </c>
      <c r="F18" s="11">
        <v>-33289</v>
      </c>
      <c r="G18" s="11"/>
      <c r="H18" s="11">
        <v>-5191</v>
      </c>
      <c r="I18" s="11">
        <v>-5127</v>
      </c>
      <c r="J18" s="11">
        <v>-5224</v>
      </c>
      <c r="K18" s="11">
        <f t="shared" si="0"/>
        <v>-5722</v>
      </c>
      <c r="L18" s="11">
        <v>-5768</v>
      </c>
      <c r="M18" s="11">
        <v>-5816</v>
      </c>
      <c r="N18" s="11">
        <v>-5531</v>
      </c>
      <c r="O18" s="11">
        <f t="shared" si="1"/>
        <v>-5319</v>
      </c>
      <c r="P18" s="11">
        <v>-8547</v>
      </c>
      <c r="Q18" s="11">
        <v>-8193</v>
      </c>
      <c r="R18" s="11">
        <v>-8572</v>
      </c>
      <c r="S18" s="69">
        <f t="shared" si="33"/>
        <v>-7977</v>
      </c>
      <c r="T18" s="69">
        <v>-7354</v>
      </c>
      <c r="U18" s="69">
        <v>-7291</v>
      </c>
      <c r="W18" s="12">
        <f t="shared" si="2"/>
        <v>-22837</v>
      </c>
      <c r="X18" s="12">
        <f t="shared" si="3"/>
        <v>-30631</v>
      </c>
      <c r="Y18" s="12"/>
      <c r="Z18" s="71"/>
    </row>
    <row r="19" spans="2:26" ht="12.75" customHeight="1" x14ac:dyDescent="0.2">
      <c r="B19" s="33" t="s">
        <v>46</v>
      </c>
      <c r="C19" s="11">
        <v>-54033</v>
      </c>
      <c r="D19" s="11">
        <v>-55283</v>
      </c>
      <c r="E19" s="11">
        <v>-53805</v>
      </c>
      <c r="F19" s="11">
        <v>-50679</v>
      </c>
      <c r="G19" s="11"/>
      <c r="H19" s="11">
        <v>-14599</v>
      </c>
      <c r="I19" s="11">
        <v>-14148</v>
      </c>
      <c r="J19" s="11">
        <v>-13360</v>
      </c>
      <c r="K19" s="11">
        <f t="shared" si="0"/>
        <v>-13176</v>
      </c>
      <c r="L19" s="11">
        <v>-13783</v>
      </c>
      <c r="M19" s="11">
        <v>-13645</v>
      </c>
      <c r="N19" s="11">
        <v>-12760</v>
      </c>
      <c r="O19" s="11">
        <f t="shared" si="1"/>
        <v>-13617</v>
      </c>
      <c r="P19" s="11">
        <v>-12297</v>
      </c>
      <c r="Q19" s="11">
        <v>-12388</v>
      </c>
      <c r="R19" s="11">
        <v>-13554</v>
      </c>
      <c r="S19" s="69">
        <f t="shared" si="33"/>
        <v>-12440</v>
      </c>
      <c r="T19" s="69">
        <v>-11224</v>
      </c>
      <c r="U19" s="69">
        <v>-11384</v>
      </c>
      <c r="W19" s="12">
        <f t="shared" si="2"/>
        <v>-53364</v>
      </c>
      <c r="X19" s="12">
        <f t="shared" si="3"/>
        <v>-51856</v>
      </c>
      <c r="Y19" s="12"/>
      <c r="Z19" s="71"/>
    </row>
    <row r="20" spans="2:26" ht="12.75" customHeight="1" x14ac:dyDescent="0.2">
      <c r="B20" s="10" t="s">
        <v>25</v>
      </c>
      <c r="C20" s="63">
        <f t="shared" ref="C20" si="51">+SUM(C13+SUM(C17:C19))</f>
        <v>418853</v>
      </c>
      <c r="D20" s="63">
        <f>+SUM(D13+SUM(D17:D19))</f>
        <v>396275</v>
      </c>
      <c r="E20" s="63">
        <f t="shared" ref="E20:F20" si="52">+SUM(E13+SUM(E17:E19))</f>
        <v>386317</v>
      </c>
      <c r="F20" s="63">
        <f t="shared" si="52"/>
        <v>333988</v>
      </c>
      <c r="H20" s="63">
        <f t="shared" ref="H20" si="53">+SUM(H13+SUM(H17:H19))</f>
        <v>93600</v>
      </c>
      <c r="I20" s="63">
        <f t="shared" ref="I20" si="54">+SUM(I13+SUM(I17:I19))</f>
        <v>96869</v>
      </c>
      <c r="J20" s="63">
        <f t="shared" ref="J20" si="55">+SUM(J13+SUM(J17:J19))</f>
        <v>99975</v>
      </c>
      <c r="K20" s="63">
        <f t="shared" ref="K20" si="56">+SUM(K13+SUM(K17:K19))</f>
        <v>105831</v>
      </c>
      <c r="L20" s="63">
        <f t="shared" ref="L20" si="57">+SUM(L13+SUM(L17:L19))</f>
        <v>93974</v>
      </c>
      <c r="M20" s="63">
        <f t="shared" ref="M20" si="58">+SUM(M13+SUM(M17:M19))</f>
        <v>93279</v>
      </c>
      <c r="N20" s="63">
        <f t="shared" ref="N20" si="59">+SUM(N13+SUM(N17:N19))</f>
        <v>102801</v>
      </c>
      <c r="O20" s="63">
        <f t="shared" ref="O20" si="60">+SUM(O13+SUM(O17:O19))</f>
        <v>96263</v>
      </c>
      <c r="P20" s="63">
        <f t="shared" ref="P20" si="61">+SUM(P13+SUM(P17:P19))</f>
        <v>85231</v>
      </c>
      <c r="Q20" s="63">
        <f t="shared" ref="Q20" si="62">+SUM(Q13+SUM(Q17:Q19))</f>
        <v>80507</v>
      </c>
      <c r="R20" s="63">
        <f t="shared" ref="R20" si="63">+SUM(R13+SUM(R17:R19))</f>
        <v>81722</v>
      </c>
      <c r="S20" s="63">
        <f t="shared" ref="S20:U20" si="64">+SUM(S13+SUM(S17:S19))</f>
        <v>86528</v>
      </c>
      <c r="T20" s="63">
        <f t="shared" si="64"/>
        <v>77095</v>
      </c>
      <c r="U20" s="63">
        <f t="shared" si="64"/>
        <v>78738</v>
      </c>
      <c r="W20" s="63">
        <f t="shared" ref="W20" si="65">+SUM(W13+SUM(W17:W19))</f>
        <v>395885</v>
      </c>
      <c r="X20" s="63">
        <f t="shared" ref="X20" si="66">+SUM(X13+SUM(X17:X19))</f>
        <v>343723</v>
      </c>
      <c r="Y20" s="16"/>
      <c r="Z20" s="71"/>
    </row>
    <row r="21" spans="2:26" ht="12.75" customHeight="1" x14ac:dyDescent="0.2">
      <c r="B21" s="64" t="s">
        <v>26</v>
      </c>
      <c r="C21" s="65">
        <f>C20/C13</f>
        <v>0.82005513331062219</v>
      </c>
      <c r="D21" s="65">
        <f t="shared" ref="D21:F21" si="67">D20/D13</f>
        <v>0.79371835341622865</v>
      </c>
      <c r="E21" s="65">
        <f t="shared" si="67"/>
        <v>0.77845528864851354</v>
      </c>
      <c r="F21" s="65">
        <f t="shared" si="67"/>
        <v>0.72064662017537806</v>
      </c>
      <c r="G21" s="66"/>
      <c r="H21" s="65">
        <f t="shared" ref="H21" si="68">H20/H13</f>
        <v>0.78472798611635097</v>
      </c>
      <c r="I21" s="65">
        <f t="shared" ref="I21" si="69">I20/I13</f>
        <v>0.79353337756915943</v>
      </c>
      <c r="J21" s="65">
        <f t="shared" ref="J21" si="70">J20/J13</f>
        <v>0.79750319081046583</v>
      </c>
      <c r="K21" s="65">
        <f t="shared" ref="K21" si="71">K20/K13</f>
        <v>0.79839914299078107</v>
      </c>
      <c r="L21" s="65">
        <f t="shared" ref="L21" si="72">L20/L13</f>
        <v>0.7708157322724849</v>
      </c>
      <c r="M21" s="65">
        <f t="shared" ref="M21" si="73">M20/M13</f>
        <v>0.77474252491694351</v>
      </c>
      <c r="N21" s="65">
        <f t="shared" ref="N21" si="74">N20/N13</f>
        <v>0.79406312276961577</v>
      </c>
      <c r="O21" s="65">
        <f t="shared" ref="O21" si="75">O20/O13</f>
        <v>0.77329616657562417</v>
      </c>
      <c r="P21" s="65">
        <f t="shared" ref="P21" si="76">P20/P13</f>
        <v>0.73955712128837447</v>
      </c>
      <c r="Q21" s="65">
        <f t="shared" ref="Q21" si="77">Q20/Q13</f>
        <v>0.72241165808223107</v>
      </c>
      <c r="R21" s="65">
        <f t="shared" ref="R21:U21" si="78">R20/R13</f>
        <v>0.704069061178072</v>
      </c>
      <c r="S21" s="65">
        <f t="shared" si="78"/>
        <v>0.71690265706686995</v>
      </c>
      <c r="T21" s="65">
        <f t="shared" si="78"/>
        <v>0.69413681954873674</v>
      </c>
      <c r="U21" s="65">
        <f t="shared" si="78"/>
        <v>0.6877401998462721</v>
      </c>
      <c r="V21" s="67"/>
      <c r="W21" s="65">
        <f t="shared" ref="W21" si="79">W20/W13</f>
        <v>0.78497058479450998</v>
      </c>
      <c r="X21" s="65">
        <f t="shared" ref="X21" si="80">X20/X13</f>
        <v>0.73564076936412104</v>
      </c>
      <c r="Y21" s="16"/>
      <c r="Z21" s="71"/>
    </row>
    <row r="22" spans="2:26" ht="5.0999999999999996" customHeight="1" x14ac:dyDescent="0.2">
      <c r="B22" s="61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W22" s="18"/>
      <c r="X22" s="18"/>
      <c r="Y22" s="16"/>
      <c r="Z22" s="71"/>
    </row>
    <row r="23" spans="2:26" ht="12.75" customHeight="1" x14ac:dyDescent="0.2">
      <c r="B23" s="33" t="s">
        <v>10</v>
      </c>
      <c r="C23" s="69">
        <v>-160141</v>
      </c>
      <c r="D23" s="69">
        <v>-146882</v>
      </c>
      <c r="E23" s="69">
        <v>-149671</v>
      </c>
      <c r="F23" s="69">
        <v>-138081</v>
      </c>
      <c r="G23" s="69"/>
      <c r="H23" s="69">
        <v>-33240</v>
      </c>
      <c r="I23" s="69">
        <v>-36862</v>
      </c>
      <c r="J23" s="69">
        <v>-35409</v>
      </c>
      <c r="K23" s="69">
        <f>SUM(D23-SUM(H23:J23))</f>
        <v>-41371</v>
      </c>
      <c r="L23" s="69">
        <v>-36106</v>
      </c>
      <c r="M23" s="69">
        <v>-37660</v>
      </c>
      <c r="N23" s="69">
        <v>-35606</v>
      </c>
      <c r="O23" s="69">
        <f t="shared" ref="O23:O27" si="81">SUM(E23-SUM(L23:N23))</f>
        <v>-40299</v>
      </c>
      <c r="P23" s="69">
        <v>-33451</v>
      </c>
      <c r="Q23" s="69">
        <v>-34251</v>
      </c>
      <c r="R23" s="69">
        <v>-35414</v>
      </c>
      <c r="S23" s="69">
        <f t="shared" ref="S23:S27" si="82">SUM(F23-SUM(P23:R23))</f>
        <v>-34965</v>
      </c>
      <c r="T23" s="69">
        <v>-27532</v>
      </c>
      <c r="U23" s="69">
        <v>-33691</v>
      </c>
      <c r="W23" s="12">
        <f t="shared" ref="W23:W27" si="83">SUM(K23:N23)</f>
        <v>-150743</v>
      </c>
      <c r="X23" s="12">
        <f t="shared" ref="X23:X27" si="84">SUM(O23:R23)</f>
        <v>-143415</v>
      </c>
      <c r="Y23" s="12"/>
      <c r="Z23" s="71"/>
    </row>
    <row r="24" spans="2:26" ht="12.75" customHeight="1" x14ac:dyDescent="0.2">
      <c r="B24" s="33" t="s">
        <v>12</v>
      </c>
      <c r="C24" s="69">
        <v>-117117</v>
      </c>
      <c r="D24" s="69">
        <v>-127428</v>
      </c>
      <c r="E24" s="69">
        <v>-120530</v>
      </c>
      <c r="F24" s="69">
        <v>-118486</v>
      </c>
      <c r="G24" s="69"/>
      <c r="H24" s="69">
        <v>-33523</v>
      </c>
      <c r="I24" s="69">
        <v>-31790</v>
      </c>
      <c r="J24" s="69">
        <v>-30498</v>
      </c>
      <c r="K24" s="69">
        <f>SUM(D24-SUM(H24:J24))</f>
        <v>-31617</v>
      </c>
      <c r="L24" s="69">
        <v>-31358</v>
      </c>
      <c r="M24" s="69">
        <v>-29354</v>
      </c>
      <c r="N24" s="69">
        <v>-29660</v>
      </c>
      <c r="O24" s="69">
        <f t="shared" si="81"/>
        <v>-30158</v>
      </c>
      <c r="P24" s="69">
        <v>-29183</v>
      </c>
      <c r="Q24" s="69">
        <v>-30311</v>
      </c>
      <c r="R24" s="69">
        <v>-33301</v>
      </c>
      <c r="S24" s="69">
        <f t="shared" si="82"/>
        <v>-25691</v>
      </c>
      <c r="T24" s="69">
        <v>-24423</v>
      </c>
      <c r="U24" s="69">
        <f>-24071</f>
        <v>-24071</v>
      </c>
      <c r="W24" s="12">
        <f t="shared" si="83"/>
        <v>-121989</v>
      </c>
      <c r="X24" s="12">
        <f t="shared" si="84"/>
        <v>-122953</v>
      </c>
      <c r="Y24" s="12"/>
      <c r="Z24" s="71"/>
    </row>
    <row r="25" spans="2:26" ht="12.75" customHeight="1" x14ac:dyDescent="0.2">
      <c r="B25" s="33" t="s">
        <v>11</v>
      </c>
      <c r="C25" s="69">
        <v>-95501</v>
      </c>
      <c r="D25" s="69">
        <v>-111421</v>
      </c>
      <c r="E25" s="69">
        <v>-115312</v>
      </c>
      <c r="F25" s="69">
        <v>-140537</v>
      </c>
      <c r="G25" s="69"/>
      <c r="H25" s="69">
        <v>-26706</v>
      </c>
      <c r="I25" s="69">
        <v>-28502</v>
      </c>
      <c r="J25" s="69">
        <v>-27283</v>
      </c>
      <c r="K25" s="69">
        <f>SUM(D25-SUM(H25:J25))</f>
        <v>-28930</v>
      </c>
      <c r="L25" s="69">
        <v>-27906</v>
      </c>
      <c r="M25" s="69">
        <v>-28830</v>
      </c>
      <c r="N25" s="69">
        <v>-29223</v>
      </c>
      <c r="O25" s="69">
        <f t="shared" si="81"/>
        <v>-29353</v>
      </c>
      <c r="P25" s="69">
        <v>-34666</v>
      </c>
      <c r="Q25" s="69">
        <v>-36129</v>
      </c>
      <c r="R25" s="69">
        <v>-33505</v>
      </c>
      <c r="S25" s="69">
        <f t="shared" si="82"/>
        <v>-36237</v>
      </c>
      <c r="T25" s="69">
        <v>-40547</v>
      </c>
      <c r="U25" s="69">
        <v>-36500</v>
      </c>
      <c r="W25" s="12">
        <f t="shared" si="83"/>
        <v>-114889</v>
      </c>
      <c r="X25" s="12">
        <f t="shared" si="84"/>
        <v>-133653</v>
      </c>
      <c r="Y25" s="12"/>
      <c r="Z25" s="71"/>
    </row>
    <row r="26" spans="2:26" ht="12.75" customHeight="1" x14ac:dyDescent="0.2">
      <c r="B26" s="33" t="s">
        <v>191</v>
      </c>
      <c r="C26" s="69">
        <v>0</v>
      </c>
      <c r="D26" s="69">
        <v>0</v>
      </c>
      <c r="E26" s="69">
        <v>0</v>
      </c>
      <c r="F26" s="69">
        <v>0</v>
      </c>
      <c r="G26" s="69"/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f>-5906005</f>
        <v>-5906005</v>
      </c>
      <c r="U26" s="69">
        <v>14047514</v>
      </c>
      <c r="W26" s="12"/>
      <c r="X26" s="12"/>
      <c r="Y26" s="12"/>
      <c r="Z26" s="71"/>
    </row>
    <row r="27" spans="2:26" ht="12.75" customHeight="1" x14ac:dyDescent="0.2">
      <c r="B27" s="33" t="s">
        <v>58</v>
      </c>
      <c r="C27" s="69">
        <v>-830621</v>
      </c>
      <c r="D27" s="69">
        <v>-1286286</v>
      </c>
      <c r="E27" s="69">
        <v>-115851</v>
      </c>
      <c r="F27" s="69">
        <v>-1789862</v>
      </c>
      <c r="G27" s="69"/>
      <c r="H27" s="69">
        <v>-170091</v>
      </c>
      <c r="I27" s="69">
        <v>-917838</v>
      </c>
      <c r="J27" s="69">
        <v>-727</v>
      </c>
      <c r="K27" s="69">
        <f>SUM(D27-SUM(H27:J27))</f>
        <v>-197630</v>
      </c>
      <c r="L27" s="69">
        <v>-18911</v>
      </c>
      <c r="M27" s="69">
        <v>-24143</v>
      </c>
      <c r="N27" s="69">
        <v>-33559</v>
      </c>
      <c r="O27" s="69">
        <f t="shared" si="81"/>
        <v>-39238</v>
      </c>
      <c r="P27" s="69">
        <v>-191633</v>
      </c>
      <c r="Q27" s="69">
        <v>-180090</v>
      </c>
      <c r="R27" s="69">
        <v>-412084</v>
      </c>
      <c r="S27" s="69">
        <f t="shared" si="82"/>
        <v>-1006055</v>
      </c>
      <c r="T27" s="69">
        <v>0</v>
      </c>
      <c r="U27" s="69">
        <v>0</v>
      </c>
      <c r="W27" s="12">
        <f t="shared" si="83"/>
        <v>-274243</v>
      </c>
      <c r="X27" s="12">
        <f t="shared" si="84"/>
        <v>-823045</v>
      </c>
      <c r="Y27" s="12"/>
      <c r="Z27" s="71"/>
    </row>
    <row r="28" spans="2:26" ht="12.75" customHeight="1" x14ac:dyDescent="0.2">
      <c r="B28" s="10" t="s">
        <v>27</v>
      </c>
      <c r="C28" s="63">
        <f>SUM(C20+SUM(C23:C27))</f>
        <v>-784527</v>
      </c>
      <c r="D28" s="63">
        <f t="shared" ref="D28:F28" si="85">SUM(D20+SUM(D23:D27))</f>
        <v>-1275742</v>
      </c>
      <c r="E28" s="63">
        <f t="shared" si="85"/>
        <v>-115047</v>
      </c>
      <c r="F28" s="63">
        <f t="shared" si="85"/>
        <v>-1852978</v>
      </c>
      <c r="H28" s="63">
        <f t="shared" ref="H28" si="86">SUM(H20+SUM(H23:H27))</f>
        <v>-169960</v>
      </c>
      <c r="I28" s="63">
        <f t="shared" ref="I28" si="87">SUM(I20+SUM(I23:I27))</f>
        <v>-918123</v>
      </c>
      <c r="J28" s="63">
        <f t="shared" ref="J28" si="88">SUM(J20+SUM(J23:J27))</f>
        <v>6058</v>
      </c>
      <c r="K28" s="63">
        <f t="shared" ref="K28" si="89">SUM(K20+SUM(K23:K27))</f>
        <v>-193717</v>
      </c>
      <c r="L28" s="63">
        <f t="shared" ref="L28" si="90">SUM(L20+SUM(L23:L27))</f>
        <v>-20307</v>
      </c>
      <c r="M28" s="63">
        <f t="shared" ref="M28" si="91">SUM(M20+SUM(M23:M27))</f>
        <v>-26708</v>
      </c>
      <c r="N28" s="63">
        <f t="shared" ref="N28" si="92">SUM(N20+SUM(N23:N27))</f>
        <v>-25247</v>
      </c>
      <c r="O28" s="63">
        <f t="shared" ref="O28" si="93">SUM(O20+SUM(O23:O27))</f>
        <v>-42785</v>
      </c>
      <c r="P28" s="63">
        <f t="shared" ref="P28" si="94">SUM(P20+SUM(P23:P27))</f>
        <v>-203702</v>
      </c>
      <c r="Q28" s="63">
        <f t="shared" ref="Q28" si="95">SUM(Q20+SUM(Q23:Q27))</f>
        <v>-200274</v>
      </c>
      <c r="R28" s="63">
        <f t="shared" ref="R28:U28" si="96">SUM(R20+SUM(R23:R27))</f>
        <v>-432582</v>
      </c>
      <c r="S28" s="63">
        <f t="shared" si="96"/>
        <v>-1016420</v>
      </c>
      <c r="T28" s="63">
        <f t="shared" si="96"/>
        <v>-5921412</v>
      </c>
      <c r="U28" s="63">
        <f t="shared" si="96"/>
        <v>14031990</v>
      </c>
      <c r="W28" s="63">
        <f t="shared" ref="W28" si="97">SUM(W20+SUM(W23:W27))</f>
        <v>-265979</v>
      </c>
      <c r="X28" s="63">
        <f t="shared" ref="X28" si="98">SUM(X20+SUM(X23:X27))</f>
        <v>-879343</v>
      </c>
      <c r="Y28" s="16"/>
      <c r="Z28" s="71"/>
    </row>
    <row r="29" spans="2:26" ht="12.75" customHeight="1" x14ac:dyDescent="0.2">
      <c r="B29" s="64" t="s">
        <v>28</v>
      </c>
      <c r="C29" s="65">
        <f>C28/C13</f>
        <v>-1.5359932806277679</v>
      </c>
      <c r="D29" s="65">
        <f t="shared" ref="D29:F29" si="99">D28/D13</f>
        <v>-2.555245321112678</v>
      </c>
      <c r="E29" s="65">
        <f t="shared" si="99"/>
        <v>-0.23182760684397927</v>
      </c>
      <c r="F29" s="65">
        <f t="shared" si="99"/>
        <v>-3.9981745839950285</v>
      </c>
      <c r="G29" s="66"/>
      <c r="H29" s="65">
        <f t="shared" ref="H29" si="100">H28/H13</f>
        <v>-1.4249184670975963</v>
      </c>
      <c r="I29" s="65">
        <f t="shared" ref="I29" si="101">I28/I13</f>
        <v>-7.5210980315057387</v>
      </c>
      <c r="J29" s="65">
        <f t="shared" ref="J29" si="102">J28/J13</f>
        <v>4.8324824505424378E-2</v>
      </c>
      <c r="K29" s="65">
        <f t="shared" ref="K29" si="103">K28/K13</f>
        <v>-1.4614194969597296</v>
      </c>
      <c r="L29" s="65">
        <f t="shared" ref="L29" si="104">L28/L13</f>
        <v>-0.16656687036049705</v>
      </c>
      <c r="M29" s="65">
        <f t="shared" ref="M29" si="105">M28/M13</f>
        <v>-0.22182724252491695</v>
      </c>
      <c r="N29" s="65">
        <f t="shared" ref="N29" si="106">N28/N13</f>
        <v>-0.19501475336392146</v>
      </c>
      <c r="O29" s="65">
        <f t="shared" ref="O29" si="107">O28/O13</f>
        <v>-0.34369878859933806</v>
      </c>
      <c r="P29" s="65">
        <f t="shared" ref="P29" si="108">P28/P13</f>
        <v>-1.7675407389410478</v>
      </c>
      <c r="Q29" s="65">
        <f t="shared" ref="Q29" si="109">Q28/Q13</f>
        <v>-1.7971141939304751</v>
      </c>
      <c r="R29" s="65">
        <f t="shared" ref="R29:U29" si="110">R28/R13</f>
        <v>-3.7268740684580988</v>
      </c>
      <c r="S29" s="65">
        <f t="shared" si="110"/>
        <v>-8.4212532208754158</v>
      </c>
      <c r="T29" s="65">
        <f t="shared" si="110"/>
        <v>-53.314353627572793</v>
      </c>
      <c r="U29" s="65">
        <f t="shared" si="110"/>
        <v>122.56297603242261</v>
      </c>
      <c r="V29" s="67"/>
      <c r="W29" s="65">
        <f t="shared" ref="W29" si="111">W28/W13</f>
        <v>-0.52738974998562449</v>
      </c>
      <c r="X29" s="65">
        <f t="shared" ref="X29" si="112">X28/X13</f>
        <v>-1.8819821805784143</v>
      </c>
      <c r="Y29" s="20"/>
      <c r="Z29" s="71"/>
    </row>
    <row r="30" spans="2:26" ht="5.0999999999999996" customHeight="1" x14ac:dyDescent="0.2">
      <c r="B30" s="61"/>
      <c r="C30" s="62"/>
      <c r="D30" s="62"/>
      <c r="E30" s="62"/>
      <c r="F30" s="62"/>
      <c r="G30" s="18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W30" s="62"/>
      <c r="X30" s="62"/>
      <c r="Y30" s="20"/>
      <c r="Z30" s="71"/>
    </row>
    <row r="31" spans="2:26" ht="12.75" customHeight="1" x14ac:dyDescent="0.2">
      <c r="B31" s="33" t="s">
        <v>59</v>
      </c>
      <c r="C31" s="69">
        <v>-29149</v>
      </c>
      <c r="D31" s="69">
        <v>-53136</v>
      </c>
      <c r="E31" s="69">
        <v>-48960</v>
      </c>
      <c r="F31" s="69">
        <v>-61941</v>
      </c>
      <c r="G31" s="11"/>
      <c r="H31" s="69">
        <v>-11039</v>
      </c>
      <c r="I31" s="69">
        <v>-13187</v>
      </c>
      <c r="J31" s="69">
        <v>-14073</v>
      </c>
      <c r="K31" s="69">
        <f t="shared" ref="K31:K33" si="113">SUM(D31-SUM(H31:J31))</f>
        <v>-14837</v>
      </c>
      <c r="L31" s="69">
        <v>-14930</v>
      </c>
      <c r="M31" s="69">
        <v>-11095</v>
      </c>
      <c r="N31" s="69">
        <v>-11006</v>
      </c>
      <c r="O31" s="69">
        <f t="shared" ref="O31:O33" si="114">SUM(E31-SUM(L31:N31))</f>
        <v>-11929</v>
      </c>
      <c r="P31" s="69">
        <v>-11881</v>
      </c>
      <c r="Q31" s="69">
        <v>-15466</v>
      </c>
      <c r="R31" s="69">
        <v>-18129</v>
      </c>
      <c r="S31" s="69">
        <f t="shared" ref="S31:S33" si="115">SUM(F31-SUM(P31:R31))</f>
        <v>-16465</v>
      </c>
      <c r="T31" s="69">
        <v>-17106</v>
      </c>
      <c r="U31" s="69">
        <v>-17897</v>
      </c>
      <c r="W31" s="12">
        <f t="shared" ref="W31:W33" si="116">SUM(K31:N31)</f>
        <v>-51868</v>
      </c>
      <c r="X31" s="12">
        <f t="shared" ref="X31:X33" si="117">SUM(L31:O31)</f>
        <v>-48960</v>
      </c>
      <c r="Y31" s="20"/>
      <c r="Z31" s="71"/>
    </row>
    <row r="32" spans="2:26" ht="12.75" customHeight="1" x14ac:dyDescent="0.2">
      <c r="B32" s="33" t="s">
        <v>151</v>
      </c>
      <c r="C32" s="69">
        <v>0</v>
      </c>
      <c r="D32" s="69">
        <v>0</v>
      </c>
      <c r="E32" s="69">
        <v>44686</v>
      </c>
      <c r="F32" s="69">
        <v>-22933</v>
      </c>
      <c r="G32" s="11"/>
      <c r="H32" s="69">
        <v>0</v>
      </c>
      <c r="I32" s="69">
        <v>0</v>
      </c>
      <c r="J32" s="69">
        <v>0</v>
      </c>
      <c r="K32" s="69">
        <f t="shared" si="113"/>
        <v>0</v>
      </c>
      <c r="L32" s="69">
        <v>44686</v>
      </c>
      <c r="M32" s="69">
        <v>0</v>
      </c>
      <c r="N32" s="69">
        <v>0</v>
      </c>
      <c r="O32" s="69">
        <f t="shared" si="114"/>
        <v>0</v>
      </c>
      <c r="P32" s="69">
        <v>0</v>
      </c>
      <c r="Q32" s="69">
        <v>0</v>
      </c>
      <c r="R32" s="69">
        <v>-22933</v>
      </c>
      <c r="S32" s="69">
        <f t="shared" si="115"/>
        <v>0</v>
      </c>
      <c r="T32" s="69">
        <v>0</v>
      </c>
      <c r="U32" s="69">
        <v>0</v>
      </c>
      <c r="W32" s="12">
        <f t="shared" si="116"/>
        <v>44686</v>
      </c>
      <c r="X32" s="12">
        <f t="shared" si="117"/>
        <v>44686</v>
      </c>
      <c r="Y32" s="20"/>
      <c r="Z32" s="71"/>
    </row>
    <row r="33" spans="1:26" ht="12.75" customHeight="1" x14ac:dyDescent="0.2">
      <c r="B33" s="33" t="s">
        <v>13</v>
      </c>
      <c r="C33" s="69">
        <v>2287</v>
      </c>
      <c r="D33" s="69">
        <v>6413</v>
      </c>
      <c r="E33" s="69">
        <v>-5204</v>
      </c>
      <c r="F33" s="69">
        <v>3506</v>
      </c>
      <c r="G33" s="11"/>
      <c r="H33" s="69">
        <v>2225</v>
      </c>
      <c r="I33" s="69">
        <v>5120</v>
      </c>
      <c r="J33" s="69">
        <v>4897</v>
      </c>
      <c r="K33" s="69">
        <f t="shared" si="113"/>
        <v>-5829</v>
      </c>
      <c r="L33" s="69">
        <v>-1443</v>
      </c>
      <c r="M33" s="69">
        <v>-250</v>
      </c>
      <c r="N33" s="69">
        <v>2419</v>
      </c>
      <c r="O33" s="69">
        <f t="shared" si="114"/>
        <v>-5930</v>
      </c>
      <c r="P33" s="69">
        <v>1696</v>
      </c>
      <c r="Q33" s="69">
        <v>694</v>
      </c>
      <c r="R33" s="69">
        <v>-5034</v>
      </c>
      <c r="S33" s="69">
        <f t="shared" si="115"/>
        <v>6150</v>
      </c>
      <c r="T33" s="69">
        <v>-3936</v>
      </c>
      <c r="U33" s="69">
        <v>-8271</v>
      </c>
      <c r="W33" s="12">
        <f t="shared" si="116"/>
        <v>-5103</v>
      </c>
      <c r="X33" s="12">
        <f t="shared" si="117"/>
        <v>-5204</v>
      </c>
      <c r="Y33" s="20"/>
      <c r="Z33" s="71"/>
    </row>
    <row r="34" spans="1:26" ht="12.75" customHeight="1" x14ac:dyDescent="0.2">
      <c r="B34" s="10" t="s">
        <v>29</v>
      </c>
      <c r="C34" s="63">
        <f>SUM(C31:C33)+C28</f>
        <v>-811389</v>
      </c>
      <c r="D34" s="63">
        <f>SUM(D31:D33)+D28</f>
        <v>-1322465</v>
      </c>
      <c r="E34" s="63">
        <f>SUM(E31:E33)+E28</f>
        <v>-124525</v>
      </c>
      <c r="F34" s="63">
        <f>SUM(F31:F33)+F28</f>
        <v>-1934346</v>
      </c>
      <c r="H34" s="63">
        <f t="shared" ref="H34:U34" si="118">SUM(H31:H33)+H28</f>
        <v>-178774</v>
      </c>
      <c r="I34" s="63">
        <f t="shared" si="118"/>
        <v>-926190</v>
      </c>
      <c r="J34" s="63">
        <f t="shared" si="118"/>
        <v>-3118</v>
      </c>
      <c r="K34" s="63">
        <f t="shared" si="118"/>
        <v>-214383</v>
      </c>
      <c r="L34" s="63">
        <f t="shared" si="118"/>
        <v>8006</v>
      </c>
      <c r="M34" s="63">
        <f t="shared" si="118"/>
        <v>-38053</v>
      </c>
      <c r="N34" s="63">
        <f t="shared" si="118"/>
        <v>-33834</v>
      </c>
      <c r="O34" s="63">
        <f t="shared" si="118"/>
        <v>-60644</v>
      </c>
      <c r="P34" s="63">
        <f t="shared" si="118"/>
        <v>-213887</v>
      </c>
      <c r="Q34" s="63">
        <f t="shared" si="118"/>
        <v>-215046</v>
      </c>
      <c r="R34" s="63">
        <f t="shared" si="118"/>
        <v>-478678</v>
      </c>
      <c r="S34" s="63">
        <f t="shared" si="118"/>
        <v>-1026735</v>
      </c>
      <c r="T34" s="63">
        <f t="shared" si="118"/>
        <v>-5942454</v>
      </c>
      <c r="U34" s="63">
        <f t="shared" si="118"/>
        <v>14005822</v>
      </c>
      <c r="W34" s="63">
        <f>SUM(W31:W33)+W28</f>
        <v>-278264</v>
      </c>
      <c r="X34" s="63">
        <f>SUM(X31:X33)+X28</f>
        <v>-888821</v>
      </c>
      <c r="Y34" s="20"/>
      <c r="Z34" s="71"/>
    </row>
    <row r="35" spans="1:26" ht="5.0999999999999996" customHeight="1" x14ac:dyDescent="0.2">
      <c r="B35" s="10"/>
      <c r="C35" s="68"/>
      <c r="D35" s="68"/>
      <c r="E35" s="68"/>
      <c r="F35" s="68"/>
      <c r="G35" s="21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W35" s="68"/>
      <c r="X35" s="68"/>
      <c r="Y35" s="20"/>
      <c r="Z35" s="71"/>
    </row>
    <row r="36" spans="1:26" ht="12.75" customHeight="1" x14ac:dyDescent="0.2">
      <c r="B36" s="22" t="s">
        <v>60</v>
      </c>
      <c r="C36" s="69">
        <v>275909</v>
      </c>
      <c r="D36" s="69">
        <v>-147332</v>
      </c>
      <c r="E36" s="69">
        <v>553646</v>
      </c>
      <c r="F36" s="69">
        <v>767685</v>
      </c>
      <c r="G36" s="69"/>
      <c r="H36" s="69">
        <v>48023</v>
      </c>
      <c r="I36" s="69">
        <v>-136108</v>
      </c>
      <c r="J36" s="69">
        <v>-23961</v>
      </c>
      <c r="K36" s="69">
        <v>-35286</v>
      </c>
      <c r="L36" s="69">
        <v>453187</v>
      </c>
      <c r="M36" s="69">
        <v>60296</v>
      </c>
      <c r="N36" s="69">
        <v>-109607</v>
      </c>
      <c r="O36" s="69">
        <f>SUM(E36-SUM(L36:N36))</f>
        <v>149770</v>
      </c>
      <c r="P36" s="69">
        <v>160769</v>
      </c>
      <c r="Q36" s="69">
        <v>112487</v>
      </c>
      <c r="R36" s="69">
        <v>138504</v>
      </c>
      <c r="S36" s="69">
        <f t="shared" ref="S36" si="119">SUM(F36-SUM(P36:R36))</f>
        <v>355925</v>
      </c>
      <c r="T36" s="69">
        <v>1725084</v>
      </c>
      <c r="U36" s="69">
        <v>-3984976</v>
      </c>
      <c r="V36" s="69"/>
      <c r="W36" s="69">
        <f t="shared" ref="W36" si="120">SUM(K36:N36)</f>
        <v>368590</v>
      </c>
      <c r="X36" s="69">
        <f t="shared" ref="X36" si="121">SUM(L36:O36)</f>
        <v>553646</v>
      </c>
      <c r="Y36" s="20"/>
      <c r="Z36" s="71"/>
    </row>
    <row r="37" spans="1:26" ht="12.75" customHeight="1" x14ac:dyDescent="0.2">
      <c r="B37" s="54" t="s">
        <v>30</v>
      </c>
      <c r="C37" s="55">
        <f>SUM(C34+C36)</f>
        <v>-535480</v>
      </c>
      <c r="D37" s="55">
        <f t="shared" ref="D37:E37" si="122">SUM(D34+D36)</f>
        <v>-1469797</v>
      </c>
      <c r="E37" s="55">
        <f t="shared" si="122"/>
        <v>429121</v>
      </c>
      <c r="F37" s="55">
        <f t="shared" ref="F37" si="123">SUM(F34+F36)</f>
        <v>-1166661</v>
      </c>
      <c r="G37" s="12"/>
      <c r="H37" s="55">
        <f t="shared" ref="H37:Q37" si="124">SUM(H34+H36)</f>
        <v>-130751</v>
      </c>
      <c r="I37" s="55">
        <f t="shared" si="124"/>
        <v>-1062298</v>
      </c>
      <c r="J37" s="55">
        <f t="shared" si="124"/>
        <v>-27079</v>
      </c>
      <c r="K37" s="55">
        <f t="shared" si="124"/>
        <v>-249669</v>
      </c>
      <c r="L37" s="55">
        <f t="shared" si="124"/>
        <v>461193</v>
      </c>
      <c r="M37" s="55">
        <f t="shared" si="124"/>
        <v>22243</v>
      </c>
      <c r="N37" s="55">
        <f t="shared" si="124"/>
        <v>-143441</v>
      </c>
      <c r="O37" s="55">
        <f t="shared" si="124"/>
        <v>89126</v>
      </c>
      <c r="P37" s="55">
        <f t="shared" si="124"/>
        <v>-53118</v>
      </c>
      <c r="Q37" s="55">
        <f t="shared" si="124"/>
        <v>-102559</v>
      </c>
      <c r="R37" s="55">
        <f t="shared" ref="R37:X37" si="125">SUM(R34+R36)</f>
        <v>-340174</v>
      </c>
      <c r="S37" s="55">
        <f t="shared" ref="S37:T37" si="126">SUM(S34+S36)</f>
        <v>-670810</v>
      </c>
      <c r="T37" s="55">
        <f t="shared" si="126"/>
        <v>-4217370</v>
      </c>
      <c r="U37" s="55">
        <f t="shared" ref="U37" si="127">SUM(U34+U36)</f>
        <v>10020846</v>
      </c>
      <c r="W37" s="55">
        <f t="shared" si="125"/>
        <v>90326</v>
      </c>
      <c r="X37" s="55">
        <f t="shared" si="125"/>
        <v>-335175</v>
      </c>
      <c r="Y37" s="23"/>
      <c r="Z37" s="71"/>
    </row>
    <row r="38" spans="1:26" ht="12.75" customHeight="1" x14ac:dyDescent="0.2">
      <c r="B38" s="64" t="s">
        <v>31</v>
      </c>
      <c r="C38" s="65">
        <f>C37/C13</f>
        <v>-1.0483943597996719</v>
      </c>
      <c r="D38" s="65">
        <f t="shared" ref="D38:F38" si="128">D37/D13</f>
        <v>-2.9439274612229203</v>
      </c>
      <c r="E38" s="65">
        <f t="shared" si="128"/>
        <v>0.86470828858201632</v>
      </c>
      <c r="F38" s="65">
        <f t="shared" si="128"/>
        <v>-2.5173069288130914</v>
      </c>
      <c r="G38" s="66"/>
      <c r="H38" s="65">
        <f t="shared" ref="H38" si="129">H37/H13</f>
        <v>-1.0961962490672972</v>
      </c>
      <c r="I38" s="65">
        <f t="shared" ref="I38" si="130">I37/I13</f>
        <v>-8.7021536293856947</v>
      </c>
      <c r="J38" s="65">
        <f t="shared" ref="J38" si="131">J37/J13</f>
        <v>-0.21600989151244415</v>
      </c>
      <c r="K38" s="65">
        <f t="shared" ref="K38" si="132">K37/K13</f>
        <v>-1.883526713641233</v>
      </c>
      <c r="L38" s="65">
        <f t="shared" ref="L38" si="133">L37/L13</f>
        <v>3.7829061231185661</v>
      </c>
      <c r="M38" s="65">
        <f t="shared" ref="M38" si="134">M37/M13</f>
        <v>0.18474252491694351</v>
      </c>
      <c r="N38" s="65">
        <f t="shared" ref="N38" si="135">N37/N13</f>
        <v>-1.1079776305016145</v>
      </c>
      <c r="O38" s="65">
        <f t="shared" ref="O38" si="136">O37/O13</f>
        <v>0.71596349731692421</v>
      </c>
      <c r="P38" s="65">
        <f t="shared" ref="P38" si="137">P37/P13</f>
        <v>-0.46090970619370736</v>
      </c>
      <c r="Q38" s="65">
        <f t="shared" ref="Q38" si="138">Q37/Q13</f>
        <v>-0.92029037526246837</v>
      </c>
      <c r="R38" s="65">
        <f t="shared" ref="R38:U38" si="139">R37/R13</f>
        <v>-2.9307406673501566</v>
      </c>
      <c r="S38" s="65">
        <f t="shared" si="139"/>
        <v>-5.557801768063829</v>
      </c>
      <c r="T38" s="65">
        <f t="shared" si="139"/>
        <v>-37.971746529090808</v>
      </c>
      <c r="U38" s="65">
        <f t="shared" si="139"/>
        <v>87.527478862413531</v>
      </c>
      <c r="V38" s="67"/>
      <c r="W38" s="65">
        <f t="shared" ref="W38" si="140">W37/W13</f>
        <v>0.17910063033999496</v>
      </c>
      <c r="X38" s="65">
        <f t="shared" ref="X38" si="141">X37/X13</f>
        <v>-0.71734622027510309</v>
      </c>
      <c r="Y38" s="20"/>
      <c r="Z38" s="71"/>
    </row>
    <row r="39" spans="1:26" ht="12.75" customHeight="1" x14ac:dyDescent="0.2">
      <c r="B39" s="17"/>
      <c r="C39" s="1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X39" s="18"/>
      <c r="Y39" s="20"/>
      <c r="Z39" s="8"/>
    </row>
    <row r="40" spans="1:26" ht="12.75" customHeight="1" x14ac:dyDescent="0.2">
      <c r="A40" s="9" t="s">
        <v>23</v>
      </c>
      <c r="B40" s="1" t="s">
        <v>32</v>
      </c>
      <c r="C40" s="7"/>
      <c r="D40" s="7"/>
      <c r="E40" s="7"/>
      <c r="F40" s="7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5.0999999999999996" customHeight="1" x14ac:dyDescent="0.2">
      <c r="B41" s="26"/>
      <c r="C41" s="27"/>
      <c r="D41" s="27"/>
      <c r="E41" s="27"/>
      <c r="F41" s="27"/>
      <c r="Z41" s="71"/>
    </row>
    <row r="42" spans="1:26" ht="12.75" customHeight="1" x14ac:dyDescent="0.2">
      <c r="B42" s="33" t="s">
        <v>0</v>
      </c>
      <c r="C42" s="69">
        <v>63356</v>
      </c>
      <c r="D42" s="69">
        <v>43835</v>
      </c>
      <c r="E42" s="69">
        <v>46817</v>
      </c>
      <c r="F42" s="69">
        <v>38117</v>
      </c>
      <c r="H42" s="69">
        <v>92677</v>
      </c>
      <c r="I42" s="69">
        <v>69386</v>
      </c>
      <c r="J42" s="69">
        <v>60390</v>
      </c>
      <c r="K42" s="69">
        <f>D42</f>
        <v>43835</v>
      </c>
      <c r="L42" s="69">
        <v>94311</v>
      </c>
      <c r="M42" s="69">
        <v>65968</v>
      </c>
      <c r="N42" s="69">
        <v>45009</v>
      </c>
      <c r="O42" s="69">
        <f>E42</f>
        <v>46817</v>
      </c>
      <c r="P42" s="69">
        <v>81326</v>
      </c>
      <c r="Q42" s="69">
        <v>66923</v>
      </c>
      <c r="R42" s="69">
        <v>46343</v>
      </c>
      <c r="S42" s="69">
        <f>F42</f>
        <v>38117</v>
      </c>
      <c r="T42" s="69">
        <v>60298</v>
      </c>
      <c r="U42" s="69">
        <v>50095</v>
      </c>
      <c r="W42" s="12">
        <f t="shared" ref="W42:W45" si="142">SUM(K42:N42)</f>
        <v>249123</v>
      </c>
      <c r="X42" s="12">
        <f t="shared" ref="X42:X45" si="143">SUM(O42:R42)</f>
        <v>241409</v>
      </c>
      <c r="Y42" s="12"/>
      <c r="Z42" s="71"/>
    </row>
    <row r="43" spans="1:26" ht="12.75" customHeight="1" x14ac:dyDescent="0.2">
      <c r="B43" s="33" t="s">
        <v>1</v>
      </c>
      <c r="C43" s="69">
        <v>1078</v>
      </c>
      <c r="D43" s="69">
        <v>7033</v>
      </c>
      <c r="E43" s="69">
        <v>1856</v>
      </c>
      <c r="F43" s="69">
        <v>1780</v>
      </c>
      <c r="H43" s="69">
        <v>6265</v>
      </c>
      <c r="I43" s="69">
        <v>6155</v>
      </c>
      <c r="J43" s="69">
        <v>6578</v>
      </c>
      <c r="K43" s="69">
        <f t="shared" ref="K43:K45" si="144">D43</f>
        <v>7033</v>
      </c>
      <c r="L43" s="69">
        <v>2153</v>
      </c>
      <c r="M43" s="69">
        <v>2085</v>
      </c>
      <c r="N43" s="69">
        <v>1865</v>
      </c>
      <c r="O43" s="69">
        <f t="shared" ref="O43:O45" si="145">E43</f>
        <v>1856</v>
      </c>
      <c r="P43" s="69">
        <v>2402</v>
      </c>
      <c r="Q43" s="69">
        <v>1878</v>
      </c>
      <c r="R43" s="69">
        <v>1862</v>
      </c>
      <c r="S43" s="69">
        <f t="shared" ref="S43:S45" si="146">F43</f>
        <v>1780</v>
      </c>
      <c r="T43" s="69">
        <v>1960</v>
      </c>
      <c r="U43" s="69">
        <v>2037</v>
      </c>
      <c r="W43" s="12">
        <f t="shared" si="142"/>
        <v>13136</v>
      </c>
      <c r="X43" s="12">
        <f t="shared" si="143"/>
        <v>7998</v>
      </c>
      <c r="Y43" s="12"/>
      <c r="Z43" s="71"/>
    </row>
    <row r="44" spans="1:26" ht="12.75" customHeight="1" x14ac:dyDescent="0.2">
      <c r="B44" s="33" t="s">
        <v>61</v>
      </c>
      <c r="C44" s="69">
        <v>189280</v>
      </c>
      <c r="D44" s="69">
        <v>189280</v>
      </c>
      <c r="E44" s="69">
        <v>183815</v>
      </c>
      <c r="F44" s="69">
        <v>181203</v>
      </c>
      <c r="H44" s="69">
        <v>126930</v>
      </c>
      <c r="I44" s="69">
        <v>118645</v>
      </c>
      <c r="J44" s="69">
        <v>109926</v>
      </c>
      <c r="K44" s="69">
        <f t="shared" si="144"/>
        <v>189280</v>
      </c>
      <c r="L44" s="69">
        <v>139178</v>
      </c>
      <c r="M44" s="69">
        <v>121901</v>
      </c>
      <c r="N44" s="69">
        <v>128650</v>
      </c>
      <c r="O44" s="69">
        <f t="shared" si="145"/>
        <v>183815</v>
      </c>
      <c r="P44" s="69">
        <v>115150</v>
      </c>
      <c r="Q44" s="69">
        <v>112234</v>
      </c>
      <c r="R44" s="69">
        <v>107169</v>
      </c>
      <c r="S44" s="69">
        <f t="shared" si="146"/>
        <v>181203</v>
      </c>
      <c r="T44" s="69">
        <v>104585</v>
      </c>
      <c r="U44" s="69">
        <v>117870</v>
      </c>
      <c r="W44" s="12">
        <f t="shared" si="142"/>
        <v>579009</v>
      </c>
      <c r="X44" s="12">
        <f t="shared" si="143"/>
        <v>518368</v>
      </c>
      <c r="Y44" s="12"/>
      <c r="Z44" s="71"/>
    </row>
    <row r="45" spans="1:26" ht="12.75" customHeight="1" x14ac:dyDescent="0.2">
      <c r="B45" s="33" t="s">
        <v>62</v>
      </c>
      <c r="C45" s="69">
        <v>14251</v>
      </c>
      <c r="D45" s="69">
        <v>24418</v>
      </c>
      <c r="E45" s="69">
        <v>35407</v>
      </c>
      <c r="F45" s="69">
        <v>31224</v>
      </c>
      <c r="H45" s="69">
        <v>21116</v>
      </c>
      <c r="I45" s="69">
        <v>25496</v>
      </c>
      <c r="J45" s="69">
        <v>25399</v>
      </c>
      <c r="K45" s="69">
        <f t="shared" si="144"/>
        <v>24418</v>
      </c>
      <c r="L45" s="69">
        <v>24034</v>
      </c>
      <c r="M45" s="69">
        <v>19680</v>
      </c>
      <c r="N45" s="69">
        <v>24041</v>
      </c>
      <c r="O45" s="69">
        <f t="shared" si="145"/>
        <v>35407</v>
      </c>
      <c r="P45" s="69">
        <v>42714</v>
      </c>
      <c r="Q45" s="69">
        <v>27234</v>
      </c>
      <c r="R45" s="69">
        <v>30668</v>
      </c>
      <c r="S45" s="69">
        <f t="shared" si="146"/>
        <v>31224</v>
      </c>
      <c r="T45" s="69">
        <v>36769</v>
      </c>
      <c r="U45" s="69">
        <v>43459</v>
      </c>
      <c r="W45" s="12">
        <f t="shared" si="142"/>
        <v>92173</v>
      </c>
      <c r="X45" s="12">
        <f t="shared" si="143"/>
        <v>136023</v>
      </c>
      <c r="Y45" s="12"/>
      <c r="Z45" s="71"/>
    </row>
    <row r="46" spans="1:26" ht="12.75" customHeight="1" x14ac:dyDescent="0.2">
      <c r="B46" s="10" t="s">
        <v>97</v>
      </c>
      <c r="C46" s="63">
        <f>SUM(C42:C45)</f>
        <v>267965</v>
      </c>
      <c r="D46" s="63">
        <f>SUM(D42:D45)</f>
        <v>264566</v>
      </c>
      <c r="E46" s="63">
        <f>SUM(E42:E45)</f>
        <v>267895</v>
      </c>
      <c r="F46" s="63">
        <f>SUM(F42:F45)</f>
        <v>252324</v>
      </c>
      <c r="G46" s="70"/>
      <c r="H46" s="63">
        <f t="shared" ref="H46:R46" si="147">SUM(H42:H45)</f>
        <v>246988</v>
      </c>
      <c r="I46" s="63">
        <f t="shared" si="147"/>
        <v>219682</v>
      </c>
      <c r="J46" s="63">
        <f t="shared" si="147"/>
        <v>202293</v>
      </c>
      <c r="K46" s="63">
        <f t="shared" si="147"/>
        <v>264566</v>
      </c>
      <c r="L46" s="63">
        <f t="shared" si="147"/>
        <v>259676</v>
      </c>
      <c r="M46" s="63">
        <f t="shared" si="147"/>
        <v>209634</v>
      </c>
      <c r="N46" s="63">
        <f t="shared" si="147"/>
        <v>199565</v>
      </c>
      <c r="O46" s="63">
        <f t="shared" si="147"/>
        <v>267895</v>
      </c>
      <c r="P46" s="63">
        <f t="shared" si="147"/>
        <v>241592</v>
      </c>
      <c r="Q46" s="63">
        <f t="shared" si="147"/>
        <v>208269</v>
      </c>
      <c r="R46" s="63">
        <f t="shared" si="147"/>
        <v>186042</v>
      </c>
      <c r="S46" s="63">
        <f t="shared" ref="S46:T46" si="148">SUM(S42:S45)</f>
        <v>252324</v>
      </c>
      <c r="T46" s="63">
        <f t="shared" si="148"/>
        <v>203612</v>
      </c>
      <c r="U46" s="63">
        <f t="shared" ref="U46" si="149">SUM(U42:U45)</f>
        <v>213461</v>
      </c>
      <c r="V46" s="70"/>
      <c r="W46" s="63">
        <f>SUM(W42:W45)</f>
        <v>933441</v>
      </c>
      <c r="X46" s="63">
        <f>SUM(X42:X45)</f>
        <v>903798</v>
      </c>
      <c r="Y46" s="16"/>
      <c r="Z46" s="71"/>
    </row>
    <row r="47" spans="1:26" ht="5.0999999999999996" customHeight="1" x14ac:dyDescent="0.2">
      <c r="B47" s="10"/>
      <c r="C47" s="14"/>
      <c r="D47" s="14"/>
      <c r="E47" s="28"/>
      <c r="F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W47" s="16"/>
      <c r="X47" s="16"/>
      <c r="Y47" s="16"/>
      <c r="Z47" s="71"/>
    </row>
    <row r="48" spans="1:26" ht="12.75" customHeight="1" x14ac:dyDescent="0.2">
      <c r="B48" s="33" t="s">
        <v>63</v>
      </c>
      <c r="C48" s="69">
        <v>2850210</v>
      </c>
      <c r="D48" s="69">
        <v>1840028</v>
      </c>
      <c r="E48" s="69">
        <v>3626476</v>
      </c>
      <c r="F48" s="69">
        <v>23909373</v>
      </c>
      <c r="H48" s="69">
        <v>2895619</v>
      </c>
      <c r="I48" s="69">
        <v>1987781</v>
      </c>
      <c r="J48" s="69">
        <v>1993032</v>
      </c>
      <c r="K48" s="69">
        <f t="shared" ref="K48:K52" si="150">D48</f>
        <v>1840028</v>
      </c>
      <c r="L48" s="69">
        <v>2000392</v>
      </c>
      <c r="M48" s="69">
        <v>2323252</v>
      </c>
      <c r="N48" s="69">
        <v>2451374</v>
      </c>
      <c r="O48" s="69">
        <f t="shared" ref="O48:O52" si="151">E48</f>
        <v>3626476</v>
      </c>
      <c r="P48" s="69">
        <v>5074152</v>
      </c>
      <c r="Q48" s="69">
        <v>5687890</v>
      </c>
      <c r="R48" s="69">
        <v>6850879</v>
      </c>
      <c r="S48" s="69">
        <f t="shared" ref="S48:S52" si="152">F48</f>
        <v>23909373</v>
      </c>
      <c r="T48" s="69">
        <v>43546079</v>
      </c>
      <c r="U48" s="69">
        <v>64362798</v>
      </c>
      <c r="W48" s="12">
        <f t="shared" ref="W48:W52" si="153">SUM(K48:N48)</f>
        <v>8615046</v>
      </c>
      <c r="X48" s="12">
        <f t="shared" ref="X48:X52" si="154">SUM(O48:R48)</f>
        <v>21239397</v>
      </c>
      <c r="Y48" s="12"/>
      <c r="Z48" s="71"/>
    </row>
    <row r="49" spans="2:26" ht="12.75" customHeight="1" x14ac:dyDescent="0.2">
      <c r="B49" s="33" t="s">
        <v>2</v>
      </c>
      <c r="C49" s="69">
        <v>36587</v>
      </c>
      <c r="D49" s="69">
        <v>32311</v>
      </c>
      <c r="E49" s="69">
        <v>28941</v>
      </c>
      <c r="F49" s="69">
        <v>26327</v>
      </c>
      <c r="H49" s="69">
        <v>35680</v>
      </c>
      <c r="I49" s="69">
        <v>34580</v>
      </c>
      <c r="J49" s="69">
        <v>33033</v>
      </c>
      <c r="K49" s="69">
        <f t="shared" si="150"/>
        <v>32311</v>
      </c>
      <c r="L49" s="69">
        <v>31338</v>
      </c>
      <c r="M49" s="69">
        <v>30507</v>
      </c>
      <c r="N49" s="69">
        <v>30192</v>
      </c>
      <c r="O49" s="69">
        <f t="shared" si="151"/>
        <v>28941</v>
      </c>
      <c r="P49" s="69">
        <v>29108</v>
      </c>
      <c r="Q49" s="69">
        <v>28332</v>
      </c>
      <c r="R49" s="69">
        <v>27517</v>
      </c>
      <c r="S49" s="69">
        <f t="shared" si="152"/>
        <v>26327</v>
      </c>
      <c r="T49" s="69">
        <v>28335</v>
      </c>
      <c r="U49" s="69">
        <v>30203</v>
      </c>
      <c r="W49" s="12">
        <f t="shared" si="153"/>
        <v>124348</v>
      </c>
      <c r="X49" s="12">
        <f t="shared" si="154"/>
        <v>113898</v>
      </c>
      <c r="Y49" s="12"/>
      <c r="Z49" s="71"/>
    </row>
    <row r="50" spans="2:26" ht="12.75" customHeight="1" x14ac:dyDescent="0.2">
      <c r="B50" s="33" t="s">
        <v>64</v>
      </c>
      <c r="C50" s="69">
        <v>66760</v>
      </c>
      <c r="D50" s="69">
        <v>61299</v>
      </c>
      <c r="E50" s="69">
        <v>57343</v>
      </c>
      <c r="F50" s="69">
        <v>54560</v>
      </c>
      <c r="H50" s="69">
        <v>64637</v>
      </c>
      <c r="I50" s="69">
        <v>65169</v>
      </c>
      <c r="J50" s="69">
        <v>62902</v>
      </c>
      <c r="K50" s="69">
        <f t="shared" si="150"/>
        <v>61299</v>
      </c>
      <c r="L50" s="69">
        <v>59655</v>
      </c>
      <c r="M50" s="69">
        <v>58264</v>
      </c>
      <c r="N50" s="69">
        <v>54542</v>
      </c>
      <c r="O50" s="69">
        <f t="shared" si="151"/>
        <v>57343</v>
      </c>
      <c r="P50" s="69">
        <v>55093</v>
      </c>
      <c r="Q50" s="69">
        <v>53591</v>
      </c>
      <c r="R50" s="69">
        <v>55308</v>
      </c>
      <c r="S50" s="69">
        <f t="shared" si="152"/>
        <v>54560</v>
      </c>
      <c r="T50" s="69">
        <v>53070</v>
      </c>
      <c r="U50" s="69">
        <v>51573</v>
      </c>
      <c r="W50" s="12">
        <f t="shared" si="153"/>
        <v>233760</v>
      </c>
      <c r="X50" s="12">
        <f t="shared" si="154"/>
        <v>221335</v>
      </c>
      <c r="Y50" s="12"/>
      <c r="Z50" s="71"/>
    </row>
    <row r="51" spans="2:26" ht="12.75" customHeight="1" x14ac:dyDescent="0.2">
      <c r="B51" s="33" t="s">
        <v>65</v>
      </c>
      <c r="C51" s="69">
        <v>15820</v>
      </c>
      <c r="D51" s="69">
        <v>23916</v>
      </c>
      <c r="E51" s="69">
        <v>24300</v>
      </c>
      <c r="F51" s="69">
        <v>75794</v>
      </c>
      <c r="H51" s="69">
        <v>18181</v>
      </c>
      <c r="I51" s="69">
        <v>17786</v>
      </c>
      <c r="J51" s="69">
        <v>20992</v>
      </c>
      <c r="K51" s="69">
        <f t="shared" si="150"/>
        <v>23916</v>
      </c>
      <c r="L51" s="69">
        <v>23825</v>
      </c>
      <c r="M51" s="69">
        <v>22421</v>
      </c>
      <c r="N51" s="69">
        <v>24156</v>
      </c>
      <c r="O51" s="69">
        <f t="shared" si="151"/>
        <v>24300</v>
      </c>
      <c r="P51" s="69">
        <v>31757</v>
      </c>
      <c r="Q51" s="69">
        <v>43449</v>
      </c>
      <c r="R51" s="69">
        <v>51109</v>
      </c>
      <c r="S51" s="69">
        <f t="shared" si="152"/>
        <v>75794</v>
      </c>
      <c r="T51" s="69">
        <v>83261</v>
      </c>
      <c r="U51" s="69">
        <v>109664</v>
      </c>
      <c r="W51" s="12">
        <f t="shared" si="153"/>
        <v>94318</v>
      </c>
      <c r="X51" s="12">
        <f t="shared" si="154"/>
        <v>150615</v>
      </c>
      <c r="Y51" s="12"/>
      <c r="Z51" s="71"/>
    </row>
    <row r="52" spans="2:26" ht="12.75" customHeight="1" x14ac:dyDescent="0.2">
      <c r="B52" s="33" t="s">
        <v>66</v>
      </c>
      <c r="C52" s="69">
        <v>319782</v>
      </c>
      <c r="D52" s="69">
        <v>188152</v>
      </c>
      <c r="E52" s="69">
        <v>757573</v>
      </c>
      <c r="F52" s="69">
        <v>1525307</v>
      </c>
      <c r="H52" s="69">
        <v>377282</v>
      </c>
      <c r="I52" s="69">
        <v>243367</v>
      </c>
      <c r="J52" s="69">
        <v>233034</v>
      </c>
      <c r="K52" s="69">
        <f t="shared" si="150"/>
        <v>188152</v>
      </c>
      <c r="L52" s="69">
        <v>651516</v>
      </c>
      <c r="M52" s="69">
        <v>719026</v>
      </c>
      <c r="N52" s="69">
        <v>614112</v>
      </c>
      <c r="O52" s="69">
        <f t="shared" si="151"/>
        <v>757573</v>
      </c>
      <c r="P52" s="69">
        <v>919837</v>
      </c>
      <c r="Q52" s="69">
        <v>1031542</v>
      </c>
      <c r="R52" s="69">
        <v>1172726</v>
      </c>
      <c r="S52" s="69">
        <f t="shared" si="152"/>
        <v>1525307</v>
      </c>
      <c r="T52" s="69">
        <v>5403</v>
      </c>
      <c r="U52" s="69">
        <v>5716</v>
      </c>
      <c r="W52" s="12">
        <f t="shared" si="153"/>
        <v>2172806</v>
      </c>
      <c r="X52" s="12">
        <f t="shared" si="154"/>
        <v>3881678</v>
      </c>
      <c r="Y52" s="12"/>
      <c r="Z52" s="71"/>
    </row>
    <row r="53" spans="2:26" ht="12.75" customHeight="1" x14ac:dyDescent="0.2">
      <c r="B53" s="54" t="s">
        <v>98</v>
      </c>
      <c r="C53" s="55">
        <f>SUM(C48:C52)+C46</f>
        <v>3557124</v>
      </c>
      <c r="D53" s="55">
        <f>SUM(D48:D52)+D46</f>
        <v>2410272</v>
      </c>
      <c r="E53" s="55">
        <f>SUM(E48:E52)+E46</f>
        <v>4762528</v>
      </c>
      <c r="F53" s="55">
        <f>SUM(F48:F52)+F46</f>
        <v>25843685</v>
      </c>
      <c r="H53" s="55">
        <f t="shared" ref="H53:U53" si="155">SUM(H48:H52)+H46</f>
        <v>3638387</v>
      </c>
      <c r="I53" s="55">
        <f t="shared" si="155"/>
        <v>2568365</v>
      </c>
      <c r="J53" s="55">
        <f t="shared" si="155"/>
        <v>2545286</v>
      </c>
      <c r="K53" s="55">
        <f t="shared" si="155"/>
        <v>2410272</v>
      </c>
      <c r="L53" s="55">
        <f t="shared" si="155"/>
        <v>3026402</v>
      </c>
      <c r="M53" s="55">
        <f t="shared" si="155"/>
        <v>3363104</v>
      </c>
      <c r="N53" s="55">
        <f t="shared" si="155"/>
        <v>3373941</v>
      </c>
      <c r="O53" s="55">
        <f t="shared" si="155"/>
        <v>4762528</v>
      </c>
      <c r="P53" s="55">
        <f t="shared" si="155"/>
        <v>6351539</v>
      </c>
      <c r="Q53" s="55">
        <f t="shared" si="155"/>
        <v>7053073</v>
      </c>
      <c r="R53" s="55">
        <f t="shared" si="155"/>
        <v>8343581</v>
      </c>
      <c r="S53" s="55">
        <f t="shared" si="155"/>
        <v>25843685</v>
      </c>
      <c r="T53" s="55">
        <f t="shared" si="155"/>
        <v>43919760</v>
      </c>
      <c r="U53" s="55">
        <f t="shared" si="155"/>
        <v>64773415</v>
      </c>
      <c r="W53" s="55">
        <f t="shared" ref="W53" si="156">SUM(W48:W52)+W46</f>
        <v>12173719</v>
      </c>
      <c r="X53" s="55">
        <f t="shared" ref="X53" si="157">SUM(X48:X52)+X46</f>
        <v>26510721</v>
      </c>
      <c r="Y53" s="16"/>
      <c r="Z53" s="71"/>
    </row>
    <row r="54" spans="2:26" ht="12.75" customHeight="1" x14ac:dyDescent="0.2">
      <c r="B54" s="10"/>
      <c r="C54" s="29"/>
      <c r="D54" s="29"/>
      <c r="E54" s="28"/>
      <c r="F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W54" s="16"/>
      <c r="X54" s="16"/>
      <c r="Y54" s="16"/>
      <c r="Z54" s="71"/>
    </row>
    <row r="55" spans="2:26" ht="12.75" customHeight="1" x14ac:dyDescent="0.2">
      <c r="B55" s="33" t="s">
        <v>67</v>
      </c>
      <c r="C55" s="69">
        <v>46084</v>
      </c>
      <c r="D55" s="69">
        <v>42976</v>
      </c>
      <c r="E55" s="69">
        <v>43090</v>
      </c>
      <c r="F55" s="69">
        <v>52982</v>
      </c>
      <c r="H55" s="69">
        <v>44388</v>
      </c>
      <c r="I55" s="69">
        <v>35960</v>
      </c>
      <c r="J55" s="69">
        <v>36846</v>
      </c>
      <c r="K55" s="69">
        <f t="shared" ref="K55:K59" si="158">D55</f>
        <v>42976</v>
      </c>
      <c r="L55" s="69">
        <v>50604</v>
      </c>
      <c r="M55" s="69">
        <v>33660</v>
      </c>
      <c r="N55" s="69">
        <v>34306</v>
      </c>
      <c r="O55" s="69">
        <f t="shared" ref="O55" si="159">I55</f>
        <v>35960</v>
      </c>
      <c r="P55" s="69">
        <v>41866</v>
      </c>
      <c r="Q55" s="69">
        <v>44188</v>
      </c>
      <c r="R55" s="69">
        <v>45714</v>
      </c>
      <c r="S55" s="69">
        <f t="shared" ref="S55:S59" si="160">F55</f>
        <v>52982</v>
      </c>
      <c r="T55" s="69">
        <v>53716</v>
      </c>
      <c r="U55" s="69">
        <v>44220</v>
      </c>
      <c r="W55" s="12">
        <f t="shared" ref="W55:W58" si="161">SUM(K55:N55)</f>
        <v>161546</v>
      </c>
      <c r="X55" s="12">
        <f t="shared" ref="X55:X58" si="162">SUM(O55:R55)</f>
        <v>167728</v>
      </c>
      <c r="Y55" s="12"/>
      <c r="Z55" s="71"/>
    </row>
    <row r="56" spans="2:26" ht="12.75" customHeight="1" x14ac:dyDescent="0.2">
      <c r="B56" s="33" t="s">
        <v>68</v>
      </c>
      <c r="C56" s="69">
        <v>54548</v>
      </c>
      <c r="D56" s="69">
        <v>53716</v>
      </c>
      <c r="E56" s="69">
        <v>50045</v>
      </c>
      <c r="F56" s="69">
        <v>58362</v>
      </c>
      <c r="H56" s="69">
        <v>43726</v>
      </c>
      <c r="I56" s="69">
        <v>47773</v>
      </c>
      <c r="J56" s="69">
        <v>46346</v>
      </c>
      <c r="K56" s="69">
        <f t="shared" si="158"/>
        <v>53716</v>
      </c>
      <c r="L56" s="69">
        <v>39199</v>
      </c>
      <c r="M56" s="69">
        <v>41492</v>
      </c>
      <c r="N56" s="69">
        <v>43405</v>
      </c>
      <c r="O56" s="69">
        <f t="shared" ref="O56:O59" si="163">E56</f>
        <v>50045</v>
      </c>
      <c r="P56" s="69">
        <v>40617</v>
      </c>
      <c r="Q56" s="69">
        <v>46853</v>
      </c>
      <c r="R56" s="69">
        <v>51686</v>
      </c>
      <c r="S56" s="69">
        <f t="shared" si="160"/>
        <v>58362</v>
      </c>
      <c r="T56" s="69">
        <v>32785</v>
      </c>
      <c r="U56" s="69">
        <v>50132</v>
      </c>
      <c r="W56" s="12">
        <f t="shared" si="161"/>
        <v>177812</v>
      </c>
      <c r="X56" s="12">
        <f t="shared" si="162"/>
        <v>189201</v>
      </c>
      <c r="Y56" s="12"/>
      <c r="Z56" s="71"/>
    </row>
    <row r="57" spans="2:26" ht="12.75" customHeight="1" x14ac:dyDescent="0.2">
      <c r="B57" s="33" t="s">
        <v>69</v>
      </c>
      <c r="C57" s="69">
        <v>1493</v>
      </c>
      <c r="D57" s="69">
        <v>2829</v>
      </c>
      <c r="E57" s="69">
        <v>1493</v>
      </c>
      <c r="F57" s="69">
        <v>5549</v>
      </c>
      <c r="H57" s="69">
        <v>10544</v>
      </c>
      <c r="I57" s="69">
        <v>2269</v>
      </c>
      <c r="J57" s="69">
        <v>11394</v>
      </c>
      <c r="K57" s="69">
        <f t="shared" si="158"/>
        <v>2829</v>
      </c>
      <c r="L57" s="69">
        <v>10368</v>
      </c>
      <c r="M57" s="69">
        <v>1493</v>
      </c>
      <c r="N57" s="69">
        <v>10368</v>
      </c>
      <c r="O57" s="69">
        <f t="shared" si="163"/>
        <v>1493</v>
      </c>
      <c r="P57" s="69">
        <v>10878</v>
      </c>
      <c r="Q57" s="69">
        <v>5066</v>
      </c>
      <c r="R57" s="69">
        <v>5800</v>
      </c>
      <c r="S57" s="69">
        <f t="shared" si="160"/>
        <v>5549</v>
      </c>
      <c r="T57" s="69">
        <v>5970</v>
      </c>
      <c r="U57" s="69">
        <v>5620</v>
      </c>
      <c r="W57" s="12">
        <f t="shared" si="161"/>
        <v>25058</v>
      </c>
      <c r="X57" s="12">
        <f t="shared" si="162"/>
        <v>23237</v>
      </c>
      <c r="Y57" s="12"/>
      <c r="Z57" s="71"/>
    </row>
    <row r="58" spans="2:26" ht="12.75" customHeight="1" x14ac:dyDescent="0.2">
      <c r="B58" s="33" t="s">
        <v>70</v>
      </c>
      <c r="C58" s="69">
        <v>0</v>
      </c>
      <c r="D58" s="69">
        <v>454</v>
      </c>
      <c r="E58" s="69">
        <v>483</v>
      </c>
      <c r="F58" s="69">
        <v>517</v>
      </c>
      <c r="H58" s="69">
        <v>0</v>
      </c>
      <c r="I58" s="69">
        <v>0</v>
      </c>
      <c r="J58" s="69">
        <v>0</v>
      </c>
      <c r="K58" s="69">
        <f t="shared" si="158"/>
        <v>454</v>
      </c>
      <c r="L58" s="69">
        <v>460</v>
      </c>
      <c r="M58" s="69">
        <v>468</v>
      </c>
      <c r="N58" s="69">
        <v>475</v>
      </c>
      <c r="O58" s="69">
        <f t="shared" si="163"/>
        <v>483</v>
      </c>
      <c r="P58" s="69">
        <v>492</v>
      </c>
      <c r="Q58" s="69">
        <v>145119</v>
      </c>
      <c r="R58" s="69">
        <v>509</v>
      </c>
      <c r="S58" s="69">
        <f t="shared" si="160"/>
        <v>517</v>
      </c>
      <c r="T58" s="69">
        <v>525</v>
      </c>
      <c r="U58" s="69">
        <v>349</v>
      </c>
      <c r="W58" s="12">
        <f t="shared" si="161"/>
        <v>1857</v>
      </c>
      <c r="X58" s="12">
        <f t="shared" si="162"/>
        <v>146603</v>
      </c>
      <c r="Y58" s="12"/>
      <c r="Z58" s="71"/>
    </row>
    <row r="59" spans="2:26" ht="12.75" customHeight="1" x14ac:dyDescent="0.2">
      <c r="B59" s="33" t="s">
        <v>71</v>
      </c>
      <c r="C59" s="69">
        <v>209860</v>
      </c>
      <c r="D59" s="69">
        <v>217428</v>
      </c>
      <c r="E59" s="69">
        <v>228162</v>
      </c>
      <c r="F59" s="69">
        <v>237974</v>
      </c>
      <c r="H59" s="69">
        <v>206217</v>
      </c>
      <c r="I59" s="69">
        <v>188098</v>
      </c>
      <c r="J59" s="69">
        <v>165934</v>
      </c>
      <c r="K59" s="69">
        <f t="shared" si="158"/>
        <v>217428</v>
      </c>
      <c r="L59" s="69">
        <v>211768</v>
      </c>
      <c r="M59" s="69">
        <v>195817</v>
      </c>
      <c r="N59" s="69">
        <v>179167</v>
      </c>
      <c r="O59" s="69">
        <f t="shared" si="163"/>
        <v>228162</v>
      </c>
      <c r="P59" s="69">
        <v>215955</v>
      </c>
      <c r="Q59" s="69">
        <v>204837</v>
      </c>
      <c r="R59" s="69">
        <v>184402</v>
      </c>
      <c r="S59" s="69">
        <f t="shared" si="160"/>
        <v>237974</v>
      </c>
      <c r="T59" s="69">
        <v>215693</v>
      </c>
      <c r="U59" s="69">
        <v>214251</v>
      </c>
      <c r="W59" s="12">
        <f>SUM(K59:N59)</f>
        <v>804180</v>
      </c>
      <c r="X59" s="12">
        <f>SUM(O59:R59)</f>
        <v>833356</v>
      </c>
      <c r="Y59" s="12"/>
      <c r="Z59" s="71"/>
    </row>
    <row r="60" spans="2:26" ht="12.75" customHeight="1" x14ac:dyDescent="0.2">
      <c r="B60" s="10" t="s">
        <v>99</v>
      </c>
      <c r="C60" s="63">
        <f>SUM(C55:C59)</f>
        <v>311985</v>
      </c>
      <c r="D60" s="63">
        <f>SUM(D55:D59)</f>
        <v>317403</v>
      </c>
      <c r="E60" s="63">
        <f>SUM(E55:E59)</f>
        <v>323273</v>
      </c>
      <c r="F60" s="63">
        <f>SUM(F55:F59)</f>
        <v>355384</v>
      </c>
      <c r="H60" s="63">
        <f t="shared" ref="H60:R60" si="164">SUM(H55:H59)</f>
        <v>304875</v>
      </c>
      <c r="I60" s="63">
        <f t="shared" si="164"/>
        <v>274100</v>
      </c>
      <c r="J60" s="63">
        <f t="shared" si="164"/>
        <v>260520</v>
      </c>
      <c r="K60" s="63">
        <f t="shared" si="164"/>
        <v>317403</v>
      </c>
      <c r="L60" s="63">
        <f t="shared" si="164"/>
        <v>312399</v>
      </c>
      <c r="M60" s="63">
        <f t="shared" si="164"/>
        <v>272930</v>
      </c>
      <c r="N60" s="63">
        <f t="shared" si="164"/>
        <v>267721</v>
      </c>
      <c r="O60" s="63">
        <f t="shared" si="164"/>
        <v>316143</v>
      </c>
      <c r="P60" s="63">
        <f t="shared" si="164"/>
        <v>309808</v>
      </c>
      <c r="Q60" s="63">
        <f t="shared" si="164"/>
        <v>446063</v>
      </c>
      <c r="R60" s="63">
        <f t="shared" si="164"/>
        <v>288111</v>
      </c>
      <c r="S60" s="63">
        <f t="shared" ref="S60:T60" si="165">SUM(S55:S59)</f>
        <v>355384</v>
      </c>
      <c r="T60" s="63">
        <f t="shared" si="165"/>
        <v>308689</v>
      </c>
      <c r="U60" s="63">
        <f t="shared" ref="U60" si="166">SUM(U55:U59)</f>
        <v>314572</v>
      </c>
      <c r="V60" s="70"/>
      <c r="W60" s="63">
        <f>SUM(W55:W59)</f>
        <v>1170453</v>
      </c>
      <c r="X60" s="63">
        <f>SUM(X55:X59)</f>
        <v>1360125</v>
      </c>
      <c r="Y60" s="16"/>
      <c r="Z60" s="71"/>
    </row>
    <row r="61" spans="2:26" ht="5.0999999999999996" customHeight="1" x14ac:dyDescent="0.2">
      <c r="B61" s="10"/>
      <c r="C61" s="29"/>
      <c r="D61" s="29"/>
      <c r="E61" s="28"/>
      <c r="F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W61" s="16"/>
      <c r="X61" s="16"/>
      <c r="Y61" s="16"/>
      <c r="Z61" s="71"/>
    </row>
    <row r="62" spans="2:26" ht="12.75" customHeight="1" x14ac:dyDescent="0.2">
      <c r="B62" s="33" t="s">
        <v>72</v>
      </c>
      <c r="C62" s="69">
        <v>2155151</v>
      </c>
      <c r="D62" s="69">
        <v>2378560</v>
      </c>
      <c r="E62" s="69">
        <v>2182108</v>
      </c>
      <c r="F62" s="69">
        <v>7191158</v>
      </c>
      <c r="G62" s="31"/>
      <c r="H62" s="69">
        <v>2361865</v>
      </c>
      <c r="I62" s="69">
        <v>2374863</v>
      </c>
      <c r="J62" s="69">
        <v>2376935</v>
      </c>
      <c r="K62" s="69">
        <f t="shared" ref="K62:K66" si="167">D62</f>
        <v>2378560</v>
      </c>
      <c r="L62" s="69">
        <v>2175918</v>
      </c>
      <c r="M62" s="69">
        <v>2177974</v>
      </c>
      <c r="N62" s="69">
        <v>2180038</v>
      </c>
      <c r="O62" s="69">
        <f t="shared" ref="O62:O66" si="168">I62</f>
        <v>2374863</v>
      </c>
      <c r="P62" s="69">
        <v>3558801</v>
      </c>
      <c r="Q62" s="69">
        <v>3703381</v>
      </c>
      <c r="R62" s="69">
        <v>4211949</v>
      </c>
      <c r="S62" s="69">
        <f t="shared" ref="S62:S66" si="169">F62</f>
        <v>7191158</v>
      </c>
      <c r="T62" s="69">
        <v>8140156</v>
      </c>
      <c r="U62" s="69">
        <v>8162281</v>
      </c>
      <c r="W62" s="12">
        <f t="shared" ref="W62:W66" si="170">SUM(K62:N62)</f>
        <v>8912490</v>
      </c>
      <c r="X62" s="12">
        <f t="shared" ref="X62:X66" si="171">SUM(O62:R62)</f>
        <v>13848994</v>
      </c>
      <c r="Y62" s="16"/>
      <c r="Z62" s="71"/>
    </row>
    <row r="63" spans="2:26" ht="12.75" customHeight="1" x14ac:dyDescent="0.2">
      <c r="B63" s="33" t="s">
        <v>71</v>
      </c>
      <c r="C63" s="69">
        <v>8089</v>
      </c>
      <c r="D63" s="69">
        <v>12763</v>
      </c>
      <c r="E63" s="69">
        <v>8524</v>
      </c>
      <c r="F63" s="69">
        <v>4970</v>
      </c>
      <c r="G63" s="31"/>
      <c r="H63" s="69">
        <v>8236</v>
      </c>
      <c r="I63" s="69">
        <v>8497</v>
      </c>
      <c r="J63" s="69">
        <v>8754</v>
      </c>
      <c r="K63" s="69">
        <f t="shared" si="167"/>
        <v>12763</v>
      </c>
      <c r="L63" s="69">
        <v>11646</v>
      </c>
      <c r="M63" s="69">
        <v>11244</v>
      </c>
      <c r="N63" s="69">
        <v>7638</v>
      </c>
      <c r="O63" s="69">
        <f t="shared" si="168"/>
        <v>8497</v>
      </c>
      <c r="P63" s="69">
        <v>6486</v>
      </c>
      <c r="Q63" s="69">
        <v>5964</v>
      </c>
      <c r="R63" s="69">
        <v>6344</v>
      </c>
      <c r="S63" s="69">
        <f t="shared" si="169"/>
        <v>4970</v>
      </c>
      <c r="T63" s="69">
        <v>3981</v>
      </c>
      <c r="U63" s="69">
        <v>4197</v>
      </c>
      <c r="W63" s="12">
        <f t="shared" si="170"/>
        <v>43291</v>
      </c>
      <c r="X63" s="12">
        <f t="shared" si="171"/>
        <v>27291</v>
      </c>
      <c r="Y63" s="16"/>
      <c r="Z63" s="71"/>
    </row>
    <row r="64" spans="2:26" ht="12.75" customHeight="1" x14ac:dyDescent="0.2">
      <c r="B64" s="33" t="s">
        <v>3</v>
      </c>
      <c r="C64" s="69">
        <v>76608</v>
      </c>
      <c r="D64" s="69">
        <v>67344</v>
      </c>
      <c r="E64" s="69">
        <v>61086</v>
      </c>
      <c r="F64" s="69">
        <v>56403</v>
      </c>
      <c r="G64" s="31"/>
      <c r="H64" s="69">
        <v>73956</v>
      </c>
      <c r="I64" s="69">
        <v>72162</v>
      </c>
      <c r="J64" s="69">
        <v>69278</v>
      </c>
      <c r="K64" s="69">
        <f t="shared" si="167"/>
        <v>67344</v>
      </c>
      <c r="L64" s="69">
        <v>65355</v>
      </c>
      <c r="M64" s="69">
        <v>63814</v>
      </c>
      <c r="N64" s="69">
        <v>59720</v>
      </c>
      <c r="O64" s="69">
        <f t="shared" si="168"/>
        <v>72162</v>
      </c>
      <c r="P64" s="69">
        <v>58430</v>
      </c>
      <c r="Q64" s="69">
        <v>56544</v>
      </c>
      <c r="R64" s="69">
        <v>57495</v>
      </c>
      <c r="S64" s="69">
        <f t="shared" si="169"/>
        <v>56403</v>
      </c>
      <c r="T64" s="69">
        <v>53691</v>
      </c>
      <c r="U64" s="69">
        <v>51218</v>
      </c>
      <c r="W64" s="12">
        <f t="shared" si="170"/>
        <v>256233</v>
      </c>
      <c r="X64" s="12">
        <f t="shared" si="171"/>
        <v>244631</v>
      </c>
      <c r="Y64" s="12"/>
      <c r="Z64" s="71"/>
    </row>
    <row r="65" spans="2:26" ht="12.75" customHeight="1" x14ac:dyDescent="0.2">
      <c r="B65" s="33" t="s">
        <v>4</v>
      </c>
      <c r="C65" s="69">
        <v>26224</v>
      </c>
      <c r="D65" s="69">
        <v>17124</v>
      </c>
      <c r="E65" s="69">
        <v>22208</v>
      </c>
      <c r="F65" s="69">
        <v>5379</v>
      </c>
      <c r="G65" s="31"/>
      <c r="H65" s="69">
        <v>26347</v>
      </c>
      <c r="I65" s="69">
        <v>25706</v>
      </c>
      <c r="J65" s="69">
        <v>30088</v>
      </c>
      <c r="K65" s="69">
        <f t="shared" si="167"/>
        <v>17124</v>
      </c>
      <c r="L65" s="69">
        <v>17675</v>
      </c>
      <c r="M65" s="69">
        <v>17826</v>
      </c>
      <c r="N65" s="69">
        <v>18231</v>
      </c>
      <c r="O65" s="69">
        <f t="shared" si="168"/>
        <v>25706</v>
      </c>
      <c r="P65" s="69">
        <v>17552</v>
      </c>
      <c r="Q65" s="69">
        <v>5965</v>
      </c>
      <c r="R65" s="69">
        <v>5676</v>
      </c>
      <c r="S65" s="69">
        <f t="shared" si="169"/>
        <v>5379</v>
      </c>
      <c r="T65" s="69">
        <v>4439</v>
      </c>
      <c r="U65" s="69">
        <v>4672</v>
      </c>
      <c r="W65" s="12">
        <f t="shared" si="170"/>
        <v>70856</v>
      </c>
      <c r="X65" s="12">
        <f t="shared" si="171"/>
        <v>54899</v>
      </c>
      <c r="Y65" s="12"/>
      <c r="Z65" s="71"/>
    </row>
    <row r="66" spans="2:26" ht="12.75" customHeight="1" x14ac:dyDescent="0.2">
      <c r="B66" s="33" t="s">
        <v>73</v>
      </c>
      <c r="C66" s="69">
        <v>109</v>
      </c>
      <c r="D66" s="69">
        <v>198</v>
      </c>
      <c r="E66" s="69">
        <v>357</v>
      </c>
      <c r="F66" s="69">
        <v>407</v>
      </c>
      <c r="G66" s="31"/>
      <c r="H66" s="69">
        <v>109</v>
      </c>
      <c r="I66" s="69">
        <v>105</v>
      </c>
      <c r="J66" s="69">
        <v>0</v>
      </c>
      <c r="K66" s="69">
        <f t="shared" si="167"/>
        <v>198</v>
      </c>
      <c r="L66" s="69">
        <v>198</v>
      </c>
      <c r="M66" s="69">
        <v>198</v>
      </c>
      <c r="N66" s="69">
        <v>198</v>
      </c>
      <c r="O66" s="69">
        <f t="shared" si="168"/>
        <v>105</v>
      </c>
      <c r="P66" s="69">
        <v>357</v>
      </c>
      <c r="Q66" s="69">
        <v>357</v>
      </c>
      <c r="R66" s="69">
        <v>357</v>
      </c>
      <c r="S66" s="69">
        <f t="shared" si="169"/>
        <v>407</v>
      </c>
      <c r="T66" s="69">
        <v>1883071</v>
      </c>
      <c r="U66" s="69">
        <v>5865510</v>
      </c>
      <c r="W66" s="12">
        <f t="shared" si="170"/>
        <v>792</v>
      </c>
      <c r="X66" s="12">
        <f t="shared" si="171"/>
        <v>1176</v>
      </c>
      <c r="Y66" s="12"/>
      <c r="Z66" s="71"/>
    </row>
    <row r="67" spans="2:26" ht="12.75" customHeight="1" x14ac:dyDescent="0.2">
      <c r="B67" s="54" t="s">
        <v>34</v>
      </c>
      <c r="C67" s="55">
        <f>SUM(C62:C66)+C60</f>
        <v>2578166</v>
      </c>
      <c r="D67" s="55">
        <f>SUM(D62:D66)+D60</f>
        <v>2793392</v>
      </c>
      <c r="E67" s="55">
        <f>SUM(E62:E66)+E60</f>
        <v>2597556</v>
      </c>
      <c r="F67" s="55">
        <f>SUM(F62:F66)+F60</f>
        <v>7613701</v>
      </c>
      <c r="H67" s="55">
        <f t="shared" ref="H67:U67" si="172">SUM(H62:H66)+H60</f>
        <v>2775388</v>
      </c>
      <c r="I67" s="55">
        <f t="shared" si="172"/>
        <v>2755433</v>
      </c>
      <c r="J67" s="55">
        <f t="shared" si="172"/>
        <v>2745575</v>
      </c>
      <c r="K67" s="55">
        <f t="shared" si="172"/>
        <v>2793392</v>
      </c>
      <c r="L67" s="55">
        <f t="shared" si="172"/>
        <v>2583191</v>
      </c>
      <c r="M67" s="55">
        <f t="shared" si="172"/>
        <v>2543986</v>
      </c>
      <c r="N67" s="55">
        <f t="shared" si="172"/>
        <v>2533546</v>
      </c>
      <c r="O67" s="55">
        <f t="shared" si="172"/>
        <v>2797476</v>
      </c>
      <c r="P67" s="55">
        <f t="shared" si="172"/>
        <v>3951434</v>
      </c>
      <c r="Q67" s="55">
        <f t="shared" si="172"/>
        <v>4218274</v>
      </c>
      <c r="R67" s="55">
        <f t="shared" si="172"/>
        <v>4569932</v>
      </c>
      <c r="S67" s="55">
        <f t="shared" si="172"/>
        <v>7613701</v>
      </c>
      <c r="T67" s="55">
        <f t="shared" si="172"/>
        <v>10394027</v>
      </c>
      <c r="U67" s="55">
        <f t="shared" si="172"/>
        <v>14402450</v>
      </c>
      <c r="W67" s="55">
        <f t="shared" ref="W67" si="173">SUM(W62:W66)+W60</f>
        <v>10454115</v>
      </c>
      <c r="X67" s="55">
        <f t="shared" ref="X67" si="174">SUM(X62:X66)+X60</f>
        <v>15537116</v>
      </c>
      <c r="Y67" s="16"/>
      <c r="Z67" s="71"/>
    </row>
    <row r="68" spans="2:26" ht="5.0999999999999996" customHeight="1" x14ac:dyDescent="0.2">
      <c r="B68" s="10"/>
      <c r="C68" s="14"/>
      <c r="D68" s="14"/>
      <c r="E68" s="28"/>
      <c r="F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W68" s="16"/>
      <c r="X68" s="16"/>
      <c r="Y68" s="16"/>
      <c r="Z68" s="71"/>
    </row>
    <row r="69" spans="2:26" ht="12" x14ac:dyDescent="0.2">
      <c r="B69" s="33" t="s">
        <v>186</v>
      </c>
      <c r="C69" s="69">
        <v>0</v>
      </c>
      <c r="D69" s="69">
        <v>0</v>
      </c>
      <c r="E69" s="69">
        <v>0</v>
      </c>
      <c r="F69" s="69">
        <v>0</v>
      </c>
      <c r="G69" s="69"/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593624</v>
      </c>
      <c r="U69" s="69">
        <v>1040394</v>
      </c>
      <c r="W69" s="16"/>
      <c r="X69" s="16"/>
      <c r="Y69" s="16"/>
      <c r="Z69" s="71"/>
    </row>
    <row r="70" spans="2:26" ht="12" x14ac:dyDescent="0.2">
      <c r="B70" s="33" t="s">
        <v>187</v>
      </c>
      <c r="C70" s="69">
        <v>0</v>
      </c>
      <c r="D70" s="69">
        <v>0</v>
      </c>
      <c r="E70" s="69">
        <v>0</v>
      </c>
      <c r="F70" s="69">
        <v>0</v>
      </c>
      <c r="G70" s="69"/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710873</v>
      </c>
      <c r="U70" s="69">
        <v>874041</v>
      </c>
      <c r="W70" s="16"/>
      <c r="X70" s="16"/>
      <c r="Y70" s="16"/>
      <c r="Z70" s="71"/>
    </row>
    <row r="71" spans="2:26" ht="12" x14ac:dyDescent="0.2">
      <c r="B71" s="33" t="s">
        <v>188</v>
      </c>
      <c r="C71" s="69">
        <v>0</v>
      </c>
      <c r="D71" s="69">
        <v>0</v>
      </c>
      <c r="E71" s="69">
        <v>0</v>
      </c>
      <c r="F71" s="69">
        <v>0</v>
      </c>
      <c r="G71" s="69"/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>
        <v>0</v>
      </c>
      <c r="O71" s="69">
        <v>0</v>
      </c>
      <c r="P71" s="69">
        <v>0</v>
      </c>
      <c r="Q71" s="69">
        <v>0</v>
      </c>
      <c r="R71" s="69">
        <v>0</v>
      </c>
      <c r="S71" s="69">
        <v>0</v>
      </c>
      <c r="T71" s="69">
        <v>0</v>
      </c>
      <c r="U71" s="69">
        <v>979486</v>
      </c>
      <c r="W71" s="16"/>
      <c r="X71" s="16"/>
      <c r="Y71" s="16"/>
      <c r="Z71" s="71"/>
    </row>
    <row r="72" spans="2:26" ht="12.75" customHeight="1" x14ac:dyDescent="0.2">
      <c r="B72" s="33" t="s">
        <v>180</v>
      </c>
      <c r="C72" s="69">
        <v>0</v>
      </c>
      <c r="D72" s="69">
        <v>0</v>
      </c>
      <c r="E72" s="69">
        <v>0</v>
      </c>
      <c r="F72" s="69">
        <v>0</v>
      </c>
      <c r="G72" s="69"/>
      <c r="H72" s="69">
        <v>0</v>
      </c>
      <c r="I72" s="69">
        <v>0</v>
      </c>
      <c r="J72" s="69">
        <v>0</v>
      </c>
      <c r="K72" s="69">
        <f t="shared" ref="K72:K78" si="175">D72</f>
        <v>0</v>
      </c>
      <c r="L72" s="69">
        <v>0</v>
      </c>
      <c r="M72" s="69">
        <v>0</v>
      </c>
      <c r="N72" s="69">
        <v>0</v>
      </c>
      <c r="O72" s="69">
        <f t="shared" ref="O72:O78" si="176">I72</f>
        <v>0</v>
      </c>
      <c r="P72" s="69">
        <v>0</v>
      </c>
      <c r="Q72" s="69">
        <v>0</v>
      </c>
      <c r="R72" s="69">
        <v>0</v>
      </c>
      <c r="S72" s="69">
        <f t="shared" ref="S72:S78" si="177">F72</f>
        <v>0</v>
      </c>
      <c r="T72" s="69">
        <v>0</v>
      </c>
      <c r="U72" s="69">
        <v>0</v>
      </c>
      <c r="W72" s="12">
        <f t="shared" ref="W72:W78" si="178">SUM(K72:N72)</f>
        <v>0</v>
      </c>
      <c r="X72" s="12">
        <f t="shared" ref="X72:X78" si="179">SUM(O72:R72)</f>
        <v>0</v>
      </c>
      <c r="Y72" s="12"/>
      <c r="Z72" s="71"/>
    </row>
    <row r="73" spans="2:26" ht="12.75" customHeight="1" x14ac:dyDescent="0.2">
      <c r="B73" s="33" t="s">
        <v>181</v>
      </c>
      <c r="C73" s="69">
        <v>18</v>
      </c>
      <c r="D73" s="69">
        <v>18</v>
      </c>
      <c r="E73" s="69">
        <v>24</v>
      </c>
      <c r="F73" s="69">
        <v>226</v>
      </c>
      <c r="G73" s="69"/>
      <c r="H73" s="69">
        <v>18</v>
      </c>
      <c r="I73" s="69">
        <v>18</v>
      </c>
      <c r="J73" s="69">
        <v>18</v>
      </c>
      <c r="K73" s="69">
        <f t="shared" si="175"/>
        <v>18</v>
      </c>
      <c r="L73" s="69">
        <v>20</v>
      </c>
      <c r="M73" s="69">
        <v>21</v>
      </c>
      <c r="N73" s="69">
        <v>21</v>
      </c>
      <c r="O73" s="69">
        <f t="shared" si="176"/>
        <v>18</v>
      </c>
      <c r="P73" s="69">
        <v>24</v>
      </c>
      <c r="Q73" s="69">
        <v>26</v>
      </c>
      <c r="R73" s="69">
        <v>192</v>
      </c>
      <c r="S73" s="69">
        <f t="shared" si="177"/>
        <v>226</v>
      </c>
      <c r="T73" s="69">
        <v>247</v>
      </c>
      <c r="U73" s="69">
        <v>261</v>
      </c>
      <c r="W73" s="12">
        <f t="shared" si="178"/>
        <v>80</v>
      </c>
      <c r="X73" s="12">
        <f t="shared" si="179"/>
        <v>260</v>
      </c>
      <c r="Y73" s="12"/>
      <c r="Z73" s="71"/>
    </row>
    <row r="74" spans="2:26" ht="12.75" customHeight="1" x14ac:dyDescent="0.2">
      <c r="B74" s="33" t="s">
        <v>182</v>
      </c>
      <c r="C74" s="69">
        <v>2</v>
      </c>
      <c r="D74" s="69">
        <v>2</v>
      </c>
      <c r="E74" s="69">
        <v>2</v>
      </c>
      <c r="F74" s="69">
        <v>20</v>
      </c>
      <c r="G74" s="69"/>
      <c r="H74" s="69">
        <v>2</v>
      </c>
      <c r="I74" s="69">
        <v>2</v>
      </c>
      <c r="J74" s="69">
        <v>2</v>
      </c>
      <c r="K74" s="69">
        <f t="shared" si="175"/>
        <v>2</v>
      </c>
      <c r="L74" s="69">
        <v>2</v>
      </c>
      <c r="M74" s="69">
        <v>2</v>
      </c>
      <c r="N74" s="69">
        <v>2</v>
      </c>
      <c r="O74" s="69">
        <f t="shared" si="176"/>
        <v>2</v>
      </c>
      <c r="P74" s="69">
        <v>2</v>
      </c>
      <c r="Q74" s="69">
        <v>2</v>
      </c>
      <c r="R74" s="69">
        <v>20</v>
      </c>
      <c r="S74" s="69">
        <f t="shared" si="177"/>
        <v>20</v>
      </c>
      <c r="T74" s="69">
        <v>20</v>
      </c>
      <c r="U74" s="69">
        <v>20</v>
      </c>
      <c r="W74" s="12">
        <f t="shared" si="178"/>
        <v>8</v>
      </c>
      <c r="X74" s="12">
        <f t="shared" si="179"/>
        <v>26</v>
      </c>
      <c r="Y74" s="12"/>
      <c r="Z74" s="71"/>
    </row>
    <row r="75" spans="2:26" ht="12.75" customHeight="1" x14ac:dyDescent="0.2">
      <c r="B75" s="33" t="s">
        <v>5</v>
      </c>
      <c r="C75" s="69">
        <v>1727143</v>
      </c>
      <c r="D75" s="69">
        <v>1841120</v>
      </c>
      <c r="E75" s="69">
        <v>3957728</v>
      </c>
      <c r="F75" s="69">
        <v>20411998</v>
      </c>
      <c r="G75" s="69"/>
      <c r="H75" s="69">
        <v>1743944</v>
      </c>
      <c r="I75" s="69">
        <v>1760288</v>
      </c>
      <c r="J75" s="69">
        <v>1778660</v>
      </c>
      <c r="K75" s="69">
        <f t="shared" si="175"/>
        <v>1841120</v>
      </c>
      <c r="L75" s="69">
        <v>2205518</v>
      </c>
      <c r="M75" s="69">
        <v>2559268</v>
      </c>
      <c r="N75" s="69">
        <v>2726191</v>
      </c>
      <c r="O75" s="69">
        <f t="shared" si="176"/>
        <v>1760288</v>
      </c>
      <c r="P75" s="69">
        <v>4247704</v>
      </c>
      <c r="Q75" s="69">
        <v>4785336</v>
      </c>
      <c r="R75" s="69">
        <v>6060206</v>
      </c>
      <c r="S75" s="69">
        <f t="shared" si="177"/>
        <v>20411998</v>
      </c>
      <c r="T75" s="69">
        <v>25881089</v>
      </c>
      <c r="U75" s="69">
        <v>31158044</v>
      </c>
      <c r="W75" s="12">
        <f t="shared" si="178"/>
        <v>9332097</v>
      </c>
      <c r="X75" s="12">
        <f t="shared" si="179"/>
        <v>16853534</v>
      </c>
      <c r="Y75" s="12"/>
      <c r="Z75" s="71"/>
    </row>
    <row r="76" spans="2:26" ht="12.75" customHeight="1" x14ac:dyDescent="0.2">
      <c r="B76" s="33" t="s">
        <v>74</v>
      </c>
      <c r="C76" s="69">
        <v>-782104</v>
      </c>
      <c r="D76" s="69">
        <v>-782104</v>
      </c>
      <c r="E76" s="69">
        <v>-782104</v>
      </c>
      <c r="F76" s="69">
        <v>0</v>
      </c>
      <c r="G76" s="69"/>
      <c r="H76" s="69">
        <v>-782104</v>
      </c>
      <c r="I76" s="69">
        <v>-782104</v>
      </c>
      <c r="J76" s="69">
        <v>-782104</v>
      </c>
      <c r="K76" s="69">
        <f t="shared" si="175"/>
        <v>-782104</v>
      </c>
      <c r="L76" s="69">
        <v>-782104</v>
      </c>
      <c r="M76" s="69">
        <v>-782104</v>
      </c>
      <c r="N76" s="69">
        <v>-782104</v>
      </c>
      <c r="O76" s="69">
        <f t="shared" si="176"/>
        <v>-782104</v>
      </c>
      <c r="P76" s="69">
        <v>-782104</v>
      </c>
      <c r="Q76" s="69">
        <v>-782104</v>
      </c>
      <c r="R76" s="69">
        <v>-782104</v>
      </c>
      <c r="S76" s="69">
        <f t="shared" si="177"/>
        <v>0</v>
      </c>
      <c r="T76" s="69">
        <v>0</v>
      </c>
      <c r="U76" s="69">
        <v>0</v>
      </c>
      <c r="W76" s="12">
        <f t="shared" si="178"/>
        <v>-3128416</v>
      </c>
      <c r="X76" s="12">
        <f t="shared" si="179"/>
        <v>-3128416</v>
      </c>
      <c r="Y76" s="12"/>
      <c r="Z76" s="71"/>
    </row>
    <row r="77" spans="2:26" ht="12.75" customHeight="1" x14ac:dyDescent="0.2">
      <c r="B77" s="33" t="s">
        <v>6</v>
      </c>
      <c r="C77" s="69">
        <v>-7543</v>
      </c>
      <c r="D77" s="69">
        <v>-13801</v>
      </c>
      <c r="E77" s="69">
        <v>-11444</v>
      </c>
      <c r="F77" s="69">
        <v>-15384</v>
      </c>
      <c r="G77" s="69"/>
      <c r="H77" s="69">
        <v>-9552</v>
      </c>
      <c r="I77" s="69">
        <v>-13665</v>
      </c>
      <c r="J77" s="69">
        <v>-18179</v>
      </c>
      <c r="K77" s="69">
        <f t="shared" si="175"/>
        <v>-13801</v>
      </c>
      <c r="L77" s="69">
        <v>-13063</v>
      </c>
      <c r="M77" s="69">
        <v>-13150</v>
      </c>
      <c r="N77" s="69">
        <v>-15355</v>
      </c>
      <c r="O77" s="69">
        <f t="shared" si="176"/>
        <v>-13665</v>
      </c>
      <c r="P77" s="69">
        <v>-13169</v>
      </c>
      <c r="Q77" s="69">
        <v>-13550</v>
      </c>
      <c r="R77" s="69">
        <v>-9580</v>
      </c>
      <c r="S77" s="69">
        <f t="shared" si="177"/>
        <v>-15384</v>
      </c>
      <c r="T77" s="69">
        <v>-11967</v>
      </c>
      <c r="U77" s="69">
        <v>-5020</v>
      </c>
      <c r="W77" s="12">
        <f t="shared" si="178"/>
        <v>-55369</v>
      </c>
      <c r="X77" s="12">
        <f t="shared" si="179"/>
        <v>-49964</v>
      </c>
      <c r="Y77" s="12"/>
      <c r="Z77" s="71"/>
    </row>
    <row r="78" spans="2:26" ht="12.75" customHeight="1" x14ac:dyDescent="0.2">
      <c r="B78" s="33" t="s">
        <v>75</v>
      </c>
      <c r="C78" s="69">
        <v>41442</v>
      </c>
      <c r="D78" s="69">
        <v>-1428355</v>
      </c>
      <c r="E78" s="69">
        <v>-999234</v>
      </c>
      <c r="F78" s="69">
        <v>-2166876</v>
      </c>
      <c r="G78" s="69"/>
      <c r="H78" s="69">
        <v>-89309</v>
      </c>
      <c r="I78" s="69">
        <v>-1151607</v>
      </c>
      <c r="J78" s="69">
        <v>-1178686</v>
      </c>
      <c r="K78" s="69">
        <f t="shared" si="175"/>
        <v>-1428355</v>
      </c>
      <c r="L78" s="69">
        <v>-967162</v>
      </c>
      <c r="M78" s="69">
        <v>-944919</v>
      </c>
      <c r="N78" s="69">
        <v>-1088360</v>
      </c>
      <c r="O78" s="69">
        <f t="shared" si="176"/>
        <v>-1151607</v>
      </c>
      <c r="P78" s="69">
        <v>-1052352</v>
      </c>
      <c r="Q78" s="69">
        <v>-1154911</v>
      </c>
      <c r="R78" s="69">
        <v>-1495085</v>
      </c>
      <c r="S78" s="69">
        <f t="shared" si="177"/>
        <v>-2166876</v>
      </c>
      <c r="T78" s="69">
        <v>6351847</v>
      </c>
      <c r="U78" s="69">
        <v>16323739</v>
      </c>
      <c r="W78" s="12">
        <f t="shared" si="178"/>
        <v>-4428796</v>
      </c>
      <c r="X78" s="12">
        <f t="shared" si="179"/>
        <v>-4853955</v>
      </c>
      <c r="Y78" s="12"/>
      <c r="Z78" s="71"/>
    </row>
    <row r="79" spans="2:26" ht="12.75" customHeight="1" x14ac:dyDescent="0.2">
      <c r="B79" s="54" t="s">
        <v>35</v>
      </c>
      <c r="C79" s="55">
        <f>SUM(C72:C78)</f>
        <v>978958</v>
      </c>
      <c r="D79" s="55">
        <f t="shared" ref="D79:F79" si="180">SUM(D72:D78)</f>
        <v>-383120</v>
      </c>
      <c r="E79" s="55">
        <f t="shared" si="180"/>
        <v>2164972</v>
      </c>
      <c r="F79" s="55">
        <f t="shared" si="180"/>
        <v>18229984</v>
      </c>
      <c r="G79" s="32"/>
      <c r="H79" s="55">
        <f t="shared" ref="H79" si="181">SUM(H72:H78)</f>
        <v>862999</v>
      </c>
      <c r="I79" s="55">
        <f t="shared" ref="I79" si="182">SUM(I72:I78)</f>
        <v>-187068</v>
      </c>
      <c r="J79" s="55">
        <f t="shared" ref="J79" si="183">SUM(J72:J78)</f>
        <v>-200289</v>
      </c>
      <c r="K79" s="55">
        <f t="shared" ref="K79" si="184">SUM(K72:K78)</f>
        <v>-383120</v>
      </c>
      <c r="L79" s="55">
        <f t="shared" ref="L79" si="185">SUM(L72:L78)</f>
        <v>443211</v>
      </c>
      <c r="M79" s="55">
        <f t="shared" ref="M79" si="186">SUM(M72:M78)</f>
        <v>819118</v>
      </c>
      <c r="N79" s="55">
        <f t="shared" ref="N79" si="187">SUM(N72:N78)</f>
        <v>840395</v>
      </c>
      <c r="O79" s="55">
        <f t="shared" ref="O79" si="188">SUM(O72:O78)</f>
        <v>-187068</v>
      </c>
      <c r="P79" s="55">
        <f t="shared" ref="P79" si="189">SUM(P72:P78)</f>
        <v>2400105</v>
      </c>
      <c r="Q79" s="55">
        <f t="shared" ref="Q79" si="190">SUM(Q72:Q78)</f>
        <v>2834799</v>
      </c>
      <c r="R79" s="55">
        <f t="shared" ref="R79:S79" si="191">SUM(R72:R78)</f>
        <v>3773649</v>
      </c>
      <c r="S79" s="55">
        <f t="shared" si="191"/>
        <v>18229984</v>
      </c>
      <c r="T79" s="77">
        <f>SUM(T69:T78)</f>
        <v>33525733</v>
      </c>
      <c r="U79" s="77">
        <f t="shared" ref="U79" si="192">SUM(U69:U78)</f>
        <v>50370965</v>
      </c>
      <c r="W79" s="55">
        <f t="shared" ref="W79" si="193">SUM(W72:W78)</f>
        <v>1719604</v>
      </c>
      <c r="X79" s="55">
        <f t="shared" ref="X79" si="194">SUM(X72:X78)</f>
        <v>8821485</v>
      </c>
      <c r="Y79" s="16"/>
      <c r="Z79" s="71"/>
    </row>
    <row r="80" spans="2:26" ht="12.75" customHeight="1" x14ac:dyDescent="0.2">
      <c r="B80" s="10" t="s">
        <v>36</v>
      </c>
      <c r="C80" s="29">
        <f>SUM(C79+C67)</f>
        <v>3557124</v>
      </c>
      <c r="D80" s="29">
        <f>SUM(D79+D67)</f>
        <v>2410272</v>
      </c>
      <c r="E80" s="29">
        <f>SUM(E79+E67)</f>
        <v>4762528</v>
      </c>
      <c r="F80" s="29">
        <f>SUM(F79+F67)</f>
        <v>25843685</v>
      </c>
      <c r="G80" s="78"/>
      <c r="H80" s="29">
        <f t="shared" ref="H80:U80" si="195">SUM(H79+H67)</f>
        <v>3638387</v>
      </c>
      <c r="I80" s="29">
        <f t="shared" si="195"/>
        <v>2568365</v>
      </c>
      <c r="J80" s="29">
        <f t="shared" si="195"/>
        <v>2545286</v>
      </c>
      <c r="K80" s="29">
        <f t="shared" si="195"/>
        <v>2410272</v>
      </c>
      <c r="L80" s="29">
        <f t="shared" si="195"/>
        <v>3026402</v>
      </c>
      <c r="M80" s="29">
        <f t="shared" si="195"/>
        <v>3363104</v>
      </c>
      <c r="N80" s="29">
        <f t="shared" si="195"/>
        <v>3373941</v>
      </c>
      <c r="O80" s="29">
        <f t="shared" si="195"/>
        <v>2610408</v>
      </c>
      <c r="P80" s="29">
        <f t="shared" si="195"/>
        <v>6351539</v>
      </c>
      <c r="Q80" s="29">
        <f t="shared" si="195"/>
        <v>7053073</v>
      </c>
      <c r="R80" s="29">
        <f t="shared" si="195"/>
        <v>8343581</v>
      </c>
      <c r="S80" s="29">
        <f t="shared" si="195"/>
        <v>25843685</v>
      </c>
      <c r="T80" s="29">
        <f t="shared" si="195"/>
        <v>43919760</v>
      </c>
      <c r="U80" s="29">
        <f t="shared" si="195"/>
        <v>64773415</v>
      </c>
      <c r="V80" s="30"/>
      <c r="W80" s="29">
        <f>SUM(W79+W67)</f>
        <v>12173719</v>
      </c>
      <c r="X80" s="29">
        <f>SUM(X79+X67)</f>
        <v>24358601</v>
      </c>
      <c r="Y80" s="12"/>
      <c r="Z80" s="71"/>
    </row>
    <row r="81" spans="1:26" ht="12.75" customHeight="1" x14ac:dyDescent="0.2">
      <c r="B81" s="10"/>
      <c r="C81" s="30"/>
      <c r="D81" s="11"/>
      <c r="E81" s="11"/>
      <c r="F81" s="11"/>
      <c r="G81" s="30"/>
    </row>
    <row r="82" spans="1:26" ht="12.75" customHeight="1" x14ac:dyDescent="0.2">
      <c r="A82" s="9" t="s">
        <v>23</v>
      </c>
      <c r="B82" s="1" t="s">
        <v>38</v>
      </c>
      <c r="C82" s="34"/>
      <c r="D82" s="34"/>
      <c r="E82" s="34"/>
      <c r="F82" s="34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5.0999999999999996" customHeight="1" x14ac:dyDescent="0.2">
      <c r="B83" s="35"/>
      <c r="C83" s="27"/>
      <c r="D83" s="27"/>
      <c r="E83" s="27"/>
      <c r="F83" s="27"/>
      <c r="Z83" s="71"/>
    </row>
    <row r="84" spans="1:26" ht="12.75" customHeight="1" x14ac:dyDescent="0.2">
      <c r="B84" s="36" t="s">
        <v>100</v>
      </c>
      <c r="C84" s="37"/>
      <c r="D84" s="37"/>
      <c r="E84" s="37"/>
      <c r="F84" s="37"/>
      <c r="Z84" s="71"/>
    </row>
    <row r="85" spans="1:26" ht="12.75" customHeight="1" x14ac:dyDescent="0.2">
      <c r="B85" s="38" t="s">
        <v>14</v>
      </c>
      <c r="C85" s="69">
        <v>-535480</v>
      </c>
      <c r="D85" s="69">
        <v>-1469797</v>
      </c>
      <c r="E85" s="69">
        <v>429121</v>
      </c>
      <c r="F85" s="69">
        <v>-1166661</v>
      </c>
      <c r="G85" s="69"/>
      <c r="H85" s="69">
        <v>-130751</v>
      </c>
      <c r="I85" s="69">
        <f>-1193049-H85</f>
        <v>-1062298</v>
      </c>
      <c r="J85" s="69">
        <f>-1220128-I85-H85</f>
        <v>-27079</v>
      </c>
      <c r="K85" s="69">
        <f>SUM(D85-SUM(H85:J85))</f>
        <v>-249669</v>
      </c>
      <c r="L85" s="69">
        <v>461193</v>
      </c>
      <c r="M85" s="69">
        <f>483436-L85</f>
        <v>22243</v>
      </c>
      <c r="N85" s="69">
        <f>339995-M85-L85</f>
        <v>-143441</v>
      </c>
      <c r="O85" s="69">
        <f>SUM(E85-SUM(L85:N85))</f>
        <v>89126</v>
      </c>
      <c r="P85" s="69">
        <v>-53118</v>
      </c>
      <c r="Q85" s="69">
        <f>-155677-P85</f>
        <v>-102559</v>
      </c>
      <c r="R85" s="69">
        <f>-495851-Q85-P85</f>
        <v>-340174</v>
      </c>
      <c r="S85" s="69">
        <f>SUM(F85-SUM(P85:R85))</f>
        <v>-670810</v>
      </c>
      <c r="T85" s="69">
        <v>-4217370</v>
      </c>
      <c r="U85" s="69">
        <f>5803476-T85</f>
        <v>10020846</v>
      </c>
      <c r="W85" s="12">
        <f t="shared" ref="W85" si="196">SUM(K85:N85)</f>
        <v>90326</v>
      </c>
      <c r="X85" s="12">
        <f t="shared" ref="X85" si="197">SUM(O85:R85)</f>
        <v>-406725</v>
      </c>
      <c r="Y85" s="12"/>
      <c r="Z85" s="71"/>
    </row>
    <row r="86" spans="1:26" ht="5.0999999999999996" customHeight="1" x14ac:dyDescent="0.2"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W86" s="12"/>
      <c r="X86" s="12"/>
      <c r="Y86" s="12"/>
      <c r="Z86" s="71"/>
    </row>
    <row r="87" spans="1:26" ht="12.75" customHeight="1" x14ac:dyDescent="0.2">
      <c r="B87" s="24" t="s">
        <v>15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W87" s="40"/>
      <c r="X87" s="40"/>
      <c r="Y87" s="42"/>
      <c r="Z87" s="71"/>
    </row>
    <row r="88" spans="1:26" ht="12.75" customHeight="1" x14ac:dyDescent="0.2">
      <c r="B88" s="43" t="s">
        <v>16</v>
      </c>
      <c r="C88" s="69">
        <v>11358</v>
      </c>
      <c r="D88" s="69">
        <v>10874</v>
      </c>
      <c r="E88" s="69">
        <v>14527</v>
      </c>
      <c r="F88" s="69">
        <v>17808</v>
      </c>
      <c r="G88" s="69"/>
      <c r="H88" s="69">
        <v>2691</v>
      </c>
      <c r="I88" s="69">
        <f>4767-H88</f>
        <v>2076</v>
      </c>
      <c r="J88" s="69">
        <f>6917-I88-H88</f>
        <v>2150</v>
      </c>
      <c r="K88" s="69">
        <f t="shared" ref="K88:K97" si="198">SUM(D88-SUM(H88:J88))</f>
        <v>3957</v>
      </c>
      <c r="L88" s="69">
        <v>3431</v>
      </c>
      <c r="M88" s="69">
        <f>6661-L88</f>
        <v>3230</v>
      </c>
      <c r="N88" s="69">
        <f>9405-M88-L88</f>
        <v>2744</v>
      </c>
      <c r="O88" s="69">
        <f t="shared" ref="O88:O97" si="199">SUM(E88-SUM(L88:N88))</f>
        <v>5122</v>
      </c>
      <c r="P88" s="69">
        <v>3050</v>
      </c>
      <c r="Q88" s="69">
        <f>6701-P88</f>
        <v>3651</v>
      </c>
      <c r="R88" s="69">
        <f>12679-Q88-P88</f>
        <v>5978</v>
      </c>
      <c r="S88" s="69">
        <f t="shared" ref="S88:S97" si="200">SUM(F88-SUM(P88:R88))</f>
        <v>5129</v>
      </c>
      <c r="T88" s="69">
        <v>6575</v>
      </c>
      <c r="U88" s="69">
        <f>15693-T88</f>
        <v>9118</v>
      </c>
      <c r="W88" s="12">
        <f t="shared" ref="W88:W97" si="201">SUM(K88:N88)</f>
        <v>13362</v>
      </c>
      <c r="X88" s="12">
        <f t="shared" ref="X88:X97" si="202">SUM(O88:R88)</f>
        <v>17801</v>
      </c>
      <c r="Y88" s="12"/>
      <c r="Z88" s="71"/>
    </row>
    <row r="89" spans="1:26" ht="12.75" customHeight="1" x14ac:dyDescent="0.2">
      <c r="B89" s="43" t="s">
        <v>76</v>
      </c>
      <c r="C89" s="69">
        <v>8189</v>
      </c>
      <c r="D89" s="69">
        <v>8072</v>
      </c>
      <c r="E89" s="69">
        <v>8643</v>
      </c>
      <c r="F89" s="69">
        <v>8475</v>
      </c>
      <c r="G89" s="69"/>
      <c r="H89" s="69">
        <v>1994</v>
      </c>
      <c r="I89" s="69">
        <f>3990-H89</f>
        <v>1996</v>
      </c>
      <c r="J89" s="69">
        <f>6020-I89-H89</f>
        <v>2030</v>
      </c>
      <c r="K89" s="69">
        <f t="shared" si="198"/>
        <v>2052</v>
      </c>
      <c r="L89" s="69">
        <v>2124</v>
      </c>
      <c r="M89" s="69">
        <f>4320-L89</f>
        <v>2196</v>
      </c>
      <c r="N89" s="69">
        <f>6438-M89-L89</f>
        <v>2118</v>
      </c>
      <c r="O89" s="69">
        <f t="shared" si="199"/>
        <v>2205</v>
      </c>
      <c r="P89" s="69">
        <v>2110</v>
      </c>
      <c r="Q89" s="69">
        <f>4126-P89</f>
        <v>2016</v>
      </c>
      <c r="R89" s="69">
        <f>6228-Q89-P89</f>
        <v>2102</v>
      </c>
      <c r="S89" s="69">
        <f t="shared" si="200"/>
        <v>2247</v>
      </c>
      <c r="T89" s="69">
        <v>2240</v>
      </c>
      <c r="U89" s="69">
        <f>4526-T89</f>
        <v>2286</v>
      </c>
      <c r="W89" s="12">
        <f t="shared" si="201"/>
        <v>8490</v>
      </c>
      <c r="X89" s="12">
        <f t="shared" si="202"/>
        <v>8433</v>
      </c>
      <c r="Y89" s="12"/>
      <c r="Z89" s="71"/>
    </row>
    <row r="90" spans="1:26" ht="12.75" customHeight="1" x14ac:dyDescent="0.2">
      <c r="B90" s="43" t="s">
        <v>77</v>
      </c>
      <c r="C90" s="69">
        <v>1509</v>
      </c>
      <c r="D90" s="69">
        <v>939</v>
      </c>
      <c r="E90" s="69">
        <v>1387</v>
      </c>
      <c r="F90" s="69">
        <v>649</v>
      </c>
      <c r="G90" s="69"/>
      <c r="H90" s="69">
        <v>272</v>
      </c>
      <c r="I90" s="69">
        <f>606-H90</f>
        <v>334</v>
      </c>
      <c r="J90" s="69">
        <f>1189-I90-H90</f>
        <v>583</v>
      </c>
      <c r="K90" s="69">
        <f t="shared" si="198"/>
        <v>-250</v>
      </c>
      <c r="L90" s="69">
        <v>21</v>
      </c>
      <c r="M90" s="69">
        <f>438-L90</f>
        <v>417</v>
      </c>
      <c r="N90" s="69">
        <f>752-M90-L90</f>
        <v>314</v>
      </c>
      <c r="O90" s="69">
        <f t="shared" si="199"/>
        <v>635</v>
      </c>
      <c r="P90" s="69">
        <v>24</v>
      </c>
      <c r="Q90" s="69">
        <f>-44-P90</f>
        <v>-68</v>
      </c>
      <c r="R90" s="69">
        <f>262-Q90-P90</f>
        <v>306</v>
      </c>
      <c r="S90" s="69">
        <f t="shared" si="200"/>
        <v>387</v>
      </c>
      <c r="T90" s="69">
        <v>0</v>
      </c>
      <c r="U90" s="69">
        <v>0</v>
      </c>
      <c r="W90" s="12">
        <f t="shared" si="201"/>
        <v>502</v>
      </c>
      <c r="X90" s="12">
        <f t="shared" si="202"/>
        <v>897</v>
      </c>
      <c r="Y90" s="12"/>
      <c r="Z90" s="71"/>
    </row>
    <row r="91" spans="1:26" ht="12.75" customHeight="1" x14ac:dyDescent="0.2">
      <c r="B91" s="43" t="s">
        <v>78</v>
      </c>
      <c r="C91" s="69">
        <v>-284221</v>
      </c>
      <c r="D91" s="69">
        <v>131493</v>
      </c>
      <c r="E91" s="69">
        <v>-568949</v>
      </c>
      <c r="F91" s="69">
        <v>-774586</v>
      </c>
      <c r="G91" s="69"/>
      <c r="H91" s="69">
        <v>-57445</v>
      </c>
      <c r="I91" s="69">
        <f>76109-H91</f>
        <v>133554</v>
      </c>
      <c r="J91" s="69">
        <f>90166-I91-H91</f>
        <v>14057</v>
      </c>
      <c r="K91" s="69">
        <f t="shared" si="198"/>
        <v>41327</v>
      </c>
      <c r="L91" s="69">
        <v>-460061</v>
      </c>
      <c r="M91" s="69">
        <f>-530628-L91</f>
        <v>-70567</v>
      </c>
      <c r="N91" s="69">
        <f>-425986-M91-L91</f>
        <v>104642</v>
      </c>
      <c r="O91" s="69">
        <f t="shared" si="199"/>
        <v>-142963</v>
      </c>
      <c r="P91" s="69">
        <v>-161097</v>
      </c>
      <c r="Q91" s="69">
        <f>-278067-P91</f>
        <v>-116970</v>
      </c>
      <c r="R91" s="69">
        <f>-419965-Q91-P91</f>
        <v>-141898</v>
      </c>
      <c r="S91" s="69">
        <f t="shared" si="200"/>
        <v>-354621</v>
      </c>
      <c r="T91" s="69">
        <v>-1728363</v>
      </c>
      <c r="U91" s="69">
        <f>2254166-T91</f>
        <v>3982529</v>
      </c>
      <c r="W91" s="12">
        <f t="shared" si="201"/>
        <v>-384659</v>
      </c>
      <c r="X91" s="12">
        <f t="shared" si="202"/>
        <v>-562928</v>
      </c>
      <c r="Y91" s="12"/>
      <c r="Z91" s="71"/>
    </row>
    <row r="92" spans="1:26" ht="12.75" customHeight="1" x14ac:dyDescent="0.2">
      <c r="B92" s="43" t="s">
        <v>79</v>
      </c>
      <c r="C92" s="69">
        <v>-561</v>
      </c>
      <c r="D92" s="69">
        <v>-360</v>
      </c>
      <c r="E92" s="69">
        <v>-506</v>
      </c>
      <c r="F92" s="69">
        <v>-1265</v>
      </c>
      <c r="G92" s="69"/>
      <c r="H92" s="69">
        <v>0</v>
      </c>
      <c r="I92" s="69">
        <v>0</v>
      </c>
      <c r="J92" s="69">
        <v>0</v>
      </c>
      <c r="K92" s="69">
        <f t="shared" si="198"/>
        <v>-360</v>
      </c>
      <c r="L92" s="69">
        <v>-102</v>
      </c>
      <c r="M92" s="69">
        <f>-102-L92</f>
        <v>0</v>
      </c>
      <c r="N92" s="69">
        <f>-162-M92-L92</f>
        <v>-60</v>
      </c>
      <c r="O92" s="69">
        <f t="shared" si="199"/>
        <v>-344</v>
      </c>
      <c r="P92" s="69">
        <v>-73</v>
      </c>
      <c r="Q92" s="69">
        <f>-73-P92</f>
        <v>0</v>
      </c>
      <c r="R92" s="69">
        <f>-73-Q92-P92</f>
        <v>0</v>
      </c>
      <c r="S92" s="69">
        <f t="shared" si="200"/>
        <v>-1192</v>
      </c>
      <c r="T92" s="69">
        <v>0</v>
      </c>
      <c r="U92" s="69">
        <v>0</v>
      </c>
      <c r="W92" s="12">
        <f t="shared" si="201"/>
        <v>-522</v>
      </c>
      <c r="X92" s="12">
        <f t="shared" si="202"/>
        <v>-417</v>
      </c>
      <c r="Y92" s="12"/>
      <c r="Z92" s="71"/>
    </row>
    <row r="93" spans="1:26" ht="12.75" customHeight="1" x14ac:dyDescent="0.2">
      <c r="B93" s="43" t="s">
        <v>80</v>
      </c>
      <c r="C93" s="69">
        <v>44126</v>
      </c>
      <c r="D93" s="69">
        <v>63619</v>
      </c>
      <c r="E93" s="69">
        <v>69571</v>
      </c>
      <c r="F93" s="69">
        <v>77124</v>
      </c>
      <c r="G93" s="69"/>
      <c r="H93" s="69">
        <v>14394</v>
      </c>
      <c r="I93" s="69">
        <f>29688-H93</f>
        <v>15294</v>
      </c>
      <c r="J93" s="69">
        <f>46587-I93-H93</f>
        <v>16899</v>
      </c>
      <c r="K93" s="69">
        <f t="shared" si="198"/>
        <v>17032</v>
      </c>
      <c r="L93" s="69">
        <v>17555</v>
      </c>
      <c r="M93" s="69">
        <f>33049-L93</f>
        <v>15494</v>
      </c>
      <c r="N93" s="69">
        <f>49855-M93-L93</f>
        <v>16806</v>
      </c>
      <c r="O93" s="69">
        <f t="shared" si="199"/>
        <v>19716</v>
      </c>
      <c r="P93" s="69">
        <v>17791</v>
      </c>
      <c r="Q93" s="69">
        <f>38412-P93</f>
        <v>20621</v>
      </c>
      <c r="R93" s="69">
        <f>57789-Q93-P1065</f>
        <v>37168</v>
      </c>
      <c r="S93" s="69">
        <f t="shared" si="200"/>
        <v>1544</v>
      </c>
      <c r="T93" s="69">
        <v>11819</v>
      </c>
      <c r="U93" s="69">
        <f>27561-T93</f>
        <v>15742</v>
      </c>
      <c r="W93" s="12">
        <f t="shared" si="201"/>
        <v>66887</v>
      </c>
      <c r="X93" s="12">
        <f t="shared" si="202"/>
        <v>95296</v>
      </c>
      <c r="Y93" s="12"/>
      <c r="Z93" s="71"/>
    </row>
    <row r="94" spans="1:26" ht="12.75" customHeight="1" x14ac:dyDescent="0.2">
      <c r="B94" s="38" t="s">
        <v>189</v>
      </c>
      <c r="C94" s="69">
        <v>0</v>
      </c>
      <c r="D94" s="69">
        <v>0</v>
      </c>
      <c r="E94" s="69">
        <v>0</v>
      </c>
      <c r="F94" s="69">
        <v>0</v>
      </c>
      <c r="G94" s="69"/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0</v>
      </c>
      <c r="O94" s="69">
        <v>0</v>
      </c>
      <c r="P94" s="69">
        <v>0</v>
      </c>
      <c r="Q94" s="69">
        <v>0</v>
      </c>
      <c r="R94" s="69">
        <v>0</v>
      </c>
      <c r="S94" s="69">
        <v>0</v>
      </c>
      <c r="T94" s="69">
        <v>5906005</v>
      </c>
      <c r="U94" s="69">
        <f>-8141509-T94</f>
        <v>-14047514</v>
      </c>
      <c r="W94" s="12"/>
      <c r="X94" s="12"/>
      <c r="Y94" s="12"/>
      <c r="Z94" s="71"/>
    </row>
    <row r="95" spans="1:26" ht="12.75" customHeight="1" x14ac:dyDescent="0.2">
      <c r="B95" s="43" t="s">
        <v>81</v>
      </c>
      <c r="C95" s="69">
        <v>830621</v>
      </c>
      <c r="D95" s="69">
        <v>1286286</v>
      </c>
      <c r="E95" s="69">
        <v>115851</v>
      </c>
      <c r="F95" s="69">
        <v>1789862</v>
      </c>
      <c r="G95" s="69"/>
      <c r="H95" s="69">
        <v>170091</v>
      </c>
      <c r="I95" s="69">
        <f>1087929-H95</f>
        <v>917838</v>
      </c>
      <c r="J95" s="69">
        <f>1088656-I95-H95</f>
        <v>727</v>
      </c>
      <c r="K95" s="69">
        <f t="shared" si="198"/>
        <v>197630</v>
      </c>
      <c r="L95" s="69">
        <v>18911</v>
      </c>
      <c r="M95" s="69">
        <f>43054-L95</f>
        <v>24143</v>
      </c>
      <c r="N95" s="69">
        <f>76613-M95-L95</f>
        <v>33559</v>
      </c>
      <c r="O95" s="69">
        <f t="shared" si="199"/>
        <v>39238</v>
      </c>
      <c r="P95" s="69">
        <v>191633</v>
      </c>
      <c r="Q95" s="69">
        <f>371723-P95</f>
        <v>180090</v>
      </c>
      <c r="R95" s="69">
        <f>783807-Q95-P95</f>
        <v>412084</v>
      </c>
      <c r="S95" s="69">
        <f t="shared" si="200"/>
        <v>1006055</v>
      </c>
      <c r="T95" s="69">
        <v>0</v>
      </c>
      <c r="U95" s="69">
        <v>0</v>
      </c>
      <c r="W95" s="12">
        <f t="shared" si="201"/>
        <v>274243</v>
      </c>
      <c r="X95" s="12">
        <f t="shared" si="202"/>
        <v>823045</v>
      </c>
      <c r="Y95" s="12"/>
      <c r="Z95" s="71"/>
    </row>
    <row r="96" spans="1:26" ht="12.75" customHeight="1" x14ac:dyDescent="0.2">
      <c r="B96" s="43" t="s">
        <v>82</v>
      </c>
      <c r="C96" s="69">
        <v>7201</v>
      </c>
      <c r="D96" s="69">
        <v>8694</v>
      </c>
      <c r="E96" s="69">
        <v>8808</v>
      </c>
      <c r="F96" s="69">
        <v>15336</v>
      </c>
      <c r="G96" s="69"/>
      <c r="H96" s="69">
        <v>2129</v>
      </c>
      <c r="I96" s="69">
        <f>4297-H96</f>
        <v>2168</v>
      </c>
      <c r="J96" s="69">
        <f>6490-I96-H96</f>
        <v>2193</v>
      </c>
      <c r="K96" s="69">
        <f t="shared" si="198"/>
        <v>2204</v>
      </c>
      <c r="L96" s="69">
        <v>2210</v>
      </c>
      <c r="M96" s="69">
        <f>4400-L96</f>
        <v>2190</v>
      </c>
      <c r="N96" s="69">
        <f>6599-M96-L96</f>
        <v>2199</v>
      </c>
      <c r="O96" s="69">
        <f t="shared" si="199"/>
        <v>2209</v>
      </c>
      <c r="P96" s="69">
        <v>2557</v>
      </c>
      <c r="Q96" s="69">
        <f>6399-P96</f>
        <v>3842</v>
      </c>
      <c r="R96" s="69">
        <f>10231-Q96-P96</f>
        <v>3832</v>
      </c>
      <c r="S96" s="69">
        <f t="shared" si="200"/>
        <v>5105</v>
      </c>
      <c r="T96" s="69">
        <v>6048</v>
      </c>
      <c r="U96" s="69">
        <f>12445-T96</f>
        <v>6397</v>
      </c>
      <c r="W96" s="12">
        <f t="shared" si="201"/>
        <v>8803</v>
      </c>
      <c r="X96" s="12">
        <f t="shared" si="202"/>
        <v>12440</v>
      </c>
      <c r="Y96" s="12"/>
      <c r="Z96" s="71"/>
    </row>
    <row r="97" spans="2:26" ht="12.75" customHeight="1" x14ac:dyDescent="0.2">
      <c r="B97" s="43" t="s">
        <v>152</v>
      </c>
      <c r="C97" s="69">
        <v>0</v>
      </c>
      <c r="D97" s="69">
        <v>0</v>
      </c>
      <c r="E97" s="69">
        <v>-44686</v>
      </c>
      <c r="F97" s="69">
        <v>22933</v>
      </c>
      <c r="G97" s="69"/>
      <c r="H97" s="69">
        <v>0</v>
      </c>
      <c r="I97" s="69">
        <v>0</v>
      </c>
      <c r="J97" s="69">
        <v>0</v>
      </c>
      <c r="K97" s="69">
        <f t="shared" si="198"/>
        <v>0</v>
      </c>
      <c r="L97" s="69">
        <v>-44686</v>
      </c>
      <c r="M97" s="69">
        <f>-44686-L97</f>
        <v>0</v>
      </c>
      <c r="N97" s="69">
        <f>-44686-M97-L97</f>
        <v>0</v>
      </c>
      <c r="O97" s="69">
        <f t="shared" si="199"/>
        <v>0</v>
      </c>
      <c r="P97" s="69">
        <v>0</v>
      </c>
      <c r="Q97" s="69">
        <f>0-P97</f>
        <v>0</v>
      </c>
      <c r="R97" s="69">
        <f>22933-Q97-P97</f>
        <v>22933</v>
      </c>
      <c r="S97" s="69">
        <f t="shared" si="200"/>
        <v>0</v>
      </c>
      <c r="T97" s="69">
        <v>0</v>
      </c>
      <c r="U97" s="69">
        <v>0</v>
      </c>
      <c r="W97" s="12">
        <f t="shared" si="201"/>
        <v>-44686</v>
      </c>
      <c r="X97" s="12">
        <f t="shared" si="202"/>
        <v>22933</v>
      </c>
      <c r="Y97" s="12"/>
      <c r="Z97" s="71"/>
    </row>
    <row r="98" spans="2:26" ht="5.0999999999999996" customHeight="1" x14ac:dyDescent="0.2">
      <c r="B98" s="44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W98" s="12"/>
      <c r="X98" s="12"/>
      <c r="Y98" s="12"/>
      <c r="Z98" s="71"/>
    </row>
    <row r="99" spans="2:26" ht="12.75" customHeight="1" x14ac:dyDescent="0.2">
      <c r="B99" s="24" t="s">
        <v>17</v>
      </c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W99" s="40"/>
      <c r="X99" s="40"/>
      <c r="Y99" s="42"/>
      <c r="Z99" s="71"/>
    </row>
    <row r="100" spans="2:26" ht="12.75" customHeight="1" x14ac:dyDescent="0.2">
      <c r="B100" s="43" t="s">
        <v>18</v>
      </c>
      <c r="C100" s="69">
        <v>2618</v>
      </c>
      <c r="D100" s="69">
        <v>-5292</v>
      </c>
      <c r="E100" s="69">
        <v>10307</v>
      </c>
      <c r="F100" s="69">
        <v>5688</v>
      </c>
      <c r="G100" s="69"/>
      <c r="H100" s="69">
        <v>8183</v>
      </c>
      <c r="I100" s="69">
        <f>9281-H100</f>
        <v>1098</v>
      </c>
      <c r="J100" s="69">
        <f>5586-I100-H100</f>
        <v>-3695</v>
      </c>
      <c r="K100" s="69">
        <f t="shared" ref="K100:K108" si="203">SUM(D100-SUM(H100:J100))</f>
        <v>-10878</v>
      </c>
      <c r="L100" s="69">
        <v>10241</v>
      </c>
      <c r="M100" s="69">
        <f>17737-L100</f>
        <v>7496</v>
      </c>
      <c r="N100" s="69">
        <f>6627-M100-L100</f>
        <v>-11110</v>
      </c>
      <c r="O100" s="69">
        <f t="shared" ref="O100:O108" si="204">SUM(E100-SUM(L100:N100))</f>
        <v>3680</v>
      </c>
      <c r="P100" s="69">
        <v>12166</v>
      </c>
      <c r="Q100" s="69">
        <f>20119-P100</f>
        <v>7953</v>
      </c>
      <c r="R100" s="69">
        <f>27374-Q100-P100</f>
        <v>7255</v>
      </c>
      <c r="S100" s="69">
        <f t="shared" ref="S100:S108" si="205">SUM(F100-SUM(P100:R100))</f>
        <v>-21686</v>
      </c>
      <c r="T100" s="69">
        <v>10542</v>
      </c>
      <c r="U100" s="69">
        <f>14962-T100</f>
        <v>4420</v>
      </c>
      <c r="W100" s="12">
        <f t="shared" ref="W100:W108" si="206">SUM(K100:N100)</f>
        <v>-4251</v>
      </c>
      <c r="X100" s="12">
        <f t="shared" ref="X100:X108" si="207">SUM(O100:R100)</f>
        <v>31054</v>
      </c>
      <c r="Y100" s="42"/>
      <c r="Z100" s="71"/>
    </row>
    <row r="101" spans="2:26" ht="12.75" customHeight="1" x14ac:dyDescent="0.2">
      <c r="B101" s="43" t="s">
        <v>62</v>
      </c>
      <c r="C101" s="69">
        <v>-25</v>
      </c>
      <c r="D101" s="69">
        <v>-6342</v>
      </c>
      <c r="E101" s="69">
        <v>-11358</v>
      </c>
      <c r="F101" s="69">
        <v>3804</v>
      </c>
      <c r="G101" s="69"/>
      <c r="H101" s="69">
        <v>-2838</v>
      </c>
      <c r="I101" s="69">
        <f>-7077-H101</f>
        <v>-4239</v>
      </c>
      <c r="J101" s="69">
        <f>-7837-I101-H101</f>
        <v>-760</v>
      </c>
      <c r="K101" s="69">
        <f t="shared" si="203"/>
        <v>1495</v>
      </c>
      <c r="L101" s="69">
        <v>423</v>
      </c>
      <c r="M101" s="69">
        <f>4861-L101</f>
        <v>4438</v>
      </c>
      <c r="N101" s="69">
        <f>-99-M101-L101</f>
        <v>-4960</v>
      </c>
      <c r="O101" s="69">
        <f t="shared" si="204"/>
        <v>-11259</v>
      </c>
      <c r="P101" s="69">
        <v>-6260</v>
      </c>
      <c r="Q101" s="69">
        <f>7914-P101</f>
        <v>14174</v>
      </c>
      <c r="R101" s="69">
        <f>4868-Q101-P101</f>
        <v>-3046</v>
      </c>
      <c r="S101" s="69">
        <f t="shared" si="205"/>
        <v>-1064</v>
      </c>
      <c r="T101" s="69">
        <f>-7835</f>
        <v>-7835</v>
      </c>
      <c r="U101" s="69">
        <f>-16029-T101</f>
        <v>-8194</v>
      </c>
      <c r="W101" s="12">
        <f t="shared" si="206"/>
        <v>1396</v>
      </c>
      <c r="X101" s="12">
        <f t="shared" si="207"/>
        <v>-6391</v>
      </c>
      <c r="Y101" s="42"/>
      <c r="Z101" s="71"/>
    </row>
    <row r="102" spans="2:26" ht="12.75" customHeight="1" x14ac:dyDescent="0.2">
      <c r="B102" s="43" t="s">
        <v>65</v>
      </c>
      <c r="C102" s="69">
        <v>-1713</v>
      </c>
      <c r="D102" s="69">
        <v>-7455</v>
      </c>
      <c r="E102" s="69">
        <v>-632</v>
      </c>
      <c r="F102" s="69">
        <v>-10668</v>
      </c>
      <c r="G102" s="69"/>
      <c r="H102" s="69">
        <v>-5801</v>
      </c>
      <c r="I102" s="69">
        <f>-6578-H102</f>
        <v>-777</v>
      </c>
      <c r="J102" s="69">
        <f>-8314-I102-H102</f>
        <v>-1736</v>
      </c>
      <c r="K102" s="69">
        <f t="shared" si="203"/>
        <v>859</v>
      </c>
      <c r="L102" s="69">
        <v>-6</v>
      </c>
      <c r="M102" s="69">
        <f>1189-L102</f>
        <v>1195</v>
      </c>
      <c r="N102" s="69">
        <f>-321-M102-L102</f>
        <v>-1510</v>
      </c>
      <c r="O102" s="69">
        <f t="shared" si="204"/>
        <v>-311</v>
      </c>
      <c r="P102" s="69">
        <v>-5339</v>
      </c>
      <c r="Q102" s="69">
        <f>-8163-P102</f>
        <v>-2824</v>
      </c>
      <c r="R102" s="69">
        <f>-6748-Q102-P102</f>
        <v>1415</v>
      </c>
      <c r="S102" s="69">
        <f t="shared" si="205"/>
        <v>-3920</v>
      </c>
      <c r="T102" s="69">
        <v>-1519</v>
      </c>
      <c r="U102" s="69">
        <f>-2429-T102</f>
        <v>-910</v>
      </c>
      <c r="W102" s="12">
        <f t="shared" si="206"/>
        <v>538</v>
      </c>
      <c r="X102" s="12">
        <f t="shared" si="207"/>
        <v>-7059</v>
      </c>
      <c r="Y102" s="42"/>
      <c r="Z102" s="71"/>
    </row>
    <row r="103" spans="2:26" ht="12.75" customHeight="1" x14ac:dyDescent="0.2">
      <c r="B103" s="43" t="s">
        <v>83</v>
      </c>
      <c r="C103" s="69">
        <v>3749</v>
      </c>
      <c r="D103" s="69">
        <v>-3521</v>
      </c>
      <c r="E103" s="69">
        <v>-634</v>
      </c>
      <c r="F103" s="69">
        <v>1141</v>
      </c>
      <c r="G103" s="69"/>
      <c r="H103" s="69">
        <v>-2041</v>
      </c>
      <c r="I103" s="69">
        <f>-10216-H103</f>
        <v>-8175</v>
      </c>
      <c r="J103" s="69">
        <f>-8880-I103-H103</f>
        <v>1336</v>
      </c>
      <c r="K103" s="69">
        <f t="shared" si="203"/>
        <v>5359</v>
      </c>
      <c r="L103" s="69">
        <v>4230</v>
      </c>
      <c r="M103" s="69">
        <f>-9400-L103</f>
        <v>-13630</v>
      </c>
      <c r="N103" s="69">
        <f>-8005-M103-L103</f>
        <v>1395</v>
      </c>
      <c r="O103" s="69">
        <f t="shared" si="204"/>
        <v>7371</v>
      </c>
      <c r="P103" s="69">
        <v>-2005</v>
      </c>
      <c r="Q103" s="69">
        <f>-8164-P103</f>
        <v>-6159</v>
      </c>
      <c r="R103" s="69">
        <f>-8318-Q103-P103</f>
        <v>-154</v>
      </c>
      <c r="S103" s="69">
        <f t="shared" si="205"/>
        <v>9459</v>
      </c>
      <c r="T103" s="69">
        <v>-1431</v>
      </c>
      <c r="U103" s="69">
        <f>-3250-T103</f>
        <v>-1819</v>
      </c>
      <c r="W103" s="12">
        <f t="shared" si="206"/>
        <v>-2646</v>
      </c>
      <c r="X103" s="12">
        <f t="shared" si="207"/>
        <v>-947</v>
      </c>
      <c r="Y103" s="42"/>
      <c r="Z103" s="71"/>
    </row>
    <row r="104" spans="2:26" ht="12.75" customHeight="1" x14ac:dyDescent="0.2">
      <c r="B104" s="43" t="s">
        <v>68</v>
      </c>
      <c r="C104" s="69">
        <v>2374</v>
      </c>
      <c r="D104" s="69">
        <v>-12344</v>
      </c>
      <c r="E104" s="69">
        <v>-12000</v>
      </c>
      <c r="F104" s="69">
        <v>-34563</v>
      </c>
      <c r="G104" s="69"/>
      <c r="H104" s="69">
        <v>-12735</v>
      </c>
      <c r="I104" s="69">
        <f>-9802-H104</f>
        <v>2933</v>
      </c>
      <c r="J104" s="69">
        <f>-13105-I104-H104</f>
        <v>-3303</v>
      </c>
      <c r="K104" s="69">
        <f t="shared" si="203"/>
        <v>761</v>
      </c>
      <c r="L104" s="69">
        <v>-16327</v>
      </c>
      <c r="M104" s="69">
        <f>-15559-L104</f>
        <v>768</v>
      </c>
      <c r="N104" s="69">
        <f>-15186-M104-L104</f>
        <v>373</v>
      </c>
      <c r="O104" s="69">
        <f t="shared" si="204"/>
        <v>3186</v>
      </c>
      <c r="P104" s="69">
        <v>-13279</v>
      </c>
      <c r="Q104" s="69">
        <f>-18059-P104</f>
        <v>-4780</v>
      </c>
      <c r="R104" s="69">
        <f>-26383-Q104-P104</f>
        <v>-8324</v>
      </c>
      <c r="S104" s="69">
        <f t="shared" si="205"/>
        <v>-8180</v>
      </c>
      <c r="T104" s="69">
        <v>-30385</v>
      </c>
      <c r="U104" s="69">
        <f>-28187-T104</f>
        <v>2198</v>
      </c>
      <c r="W104" s="12">
        <f t="shared" si="206"/>
        <v>-14425</v>
      </c>
      <c r="X104" s="12">
        <f t="shared" si="207"/>
        <v>-23197</v>
      </c>
      <c r="Y104" s="42"/>
      <c r="Z104" s="71"/>
    </row>
    <row r="105" spans="2:26" ht="12.75" customHeight="1" x14ac:dyDescent="0.2">
      <c r="B105" s="43" t="s">
        <v>69</v>
      </c>
      <c r="C105" s="69">
        <v>1222</v>
      </c>
      <c r="D105" s="69">
        <v>1336</v>
      </c>
      <c r="E105" s="69">
        <v>-1336</v>
      </c>
      <c r="F105" s="69">
        <v>4193</v>
      </c>
      <c r="G105" s="69"/>
      <c r="H105" s="69">
        <v>9051</v>
      </c>
      <c r="I105" s="69">
        <f>776-H105</f>
        <v>-8275</v>
      </c>
      <c r="J105" s="69">
        <f>9901-I105-H105</f>
        <v>9125</v>
      </c>
      <c r="K105" s="69">
        <f t="shared" si="203"/>
        <v>-8565</v>
      </c>
      <c r="L105" s="69">
        <v>7539</v>
      </c>
      <c r="M105" s="69">
        <f>-1336-L105</f>
        <v>-8875</v>
      </c>
      <c r="N105" s="69">
        <f>7539-M105-L105</f>
        <v>8875</v>
      </c>
      <c r="O105" s="69">
        <f t="shared" si="204"/>
        <v>-8875</v>
      </c>
      <c r="P105" s="69">
        <v>9385</v>
      </c>
      <c r="Q105" s="69">
        <f>3641-P105</f>
        <v>-5744</v>
      </c>
      <c r="R105" s="69">
        <f>4444-Q105-P105</f>
        <v>803</v>
      </c>
      <c r="S105" s="69">
        <f t="shared" si="205"/>
        <v>-251</v>
      </c>
      <c r="T105" s="69">
        <v>421</v>
      </c>
      <c r="U105" s="69">
        <f>71-T105</f>
        <v>-350</v>
      </c>
      <c r="W105" s="12">
        <f t="shared" si="206"/>
        <v>-1026</v>
      </c>
      <c r="X105" s="12">
        <f t="shared" si="207"/>
        <v>-4431</v>
      </c>
      <c r="Y105" s="42"/>
      <c r="Z105" s="71"/>
    </row>
    <row r="106" spans="2:26" ht="12.75" customHeight="1" x14ac:dyDescent="0.2">
      <c r="B106" s="43" t="s">
        <v>71</v>
      </c>
      <c r="C106" s="69">
        <v>14710</v>
      </c>
      <c r="D106" s="69">
        <v>14839</v>
      </c>
      <c r="E106" s="69">
        <v>2362</v>
      </c>
      <c r="F106" s="69">
        <v>1049</v>
      </c>
      <c r="G106" s="69"/>
      <c r="H106" s="69">
        <v>48895</v>
      </c>
      <c r="I106" s="69">
        <f>36945-H106</f>
        <v>-11950</v>
      </c>
      <c r="J106" s="69">
        <f>25401-I106-H106</f>
        <v>-11544</v>
      </c>
      <c r="K106" s="69">
        <f t="shared" si="203"/>
        <v>-10562</v>
      </c>
      <c r="L106" s="69">
        <v>33352</v>
      </c>
      <c r="M106" s="69">
        <f>26952-L106</f>
        <v>-6400</v>
      </c>
      <c r="N106" s="69">
        <f>9901-M106-L106</f>
        <v>-17051</v>
      </c>
      <c r="O106" s="69">
        <f t="shared" si="204"/>
        <v>-7539</v>
      </c>
      <c r="P106" s="69">
        <v>41560</v>
      </c>
      <c r="Q106" s="69">
        <f>24994-P106</f>
        <v>-16566</v>
      </c>
      <c r="R106" s="69">
        <f>3484-Q106-P106</f>
        <v>-21510</v>
      </c>
      <c r="S106" s="69">
        <f t="shared" si="205"/>
        <v>-2435</v>
      </c>
      <c r="T106" s="69">
        <v>43289</v>
      </c>
      <c r="U106" s="69">
        <f>26095-T106</f>
        <v>-17194</v>
      </c>
      <c r="W106" s="12">
        <f t="shared" si="206"/>
        <v>-661</v>
      </c>
      <c r="X106" s="12">
        <f t="shared" si="207"/>
        <v>-4055</v>
      </c>
      <c r="Y106" s="42"/>
      <c r="Z106" s="71"/>
    </row>
    <row r="107" spans="2:26" ht="12.75" customHeight="1" x14ac:dyDescent="0.2">
      <c r="B107" s="43" t="s">
        <v>3</v>
      </c>
      <c r="C107" s="69">
        <v>-10222</v>
      </c>
      <c r="D107" s="69">
        <v>-9634</v>
      </c>
      <c r="E107" s="69">
        <v>-10218</v>
      </c>
      <c r="F107" s="69">
        <v>-10510</v>
      </c>
      <c r="G107" s="69"/>
      <c r="H107" s="69">
        <v>-2382</v>
      </c>
      <c r="I107" s="69">
        <f>-4835-H107</f>
        <v>-2453</v>
      </c>
      <c r="J107" s="69">
        <f>-7390-I107-H107</f>
        <v>-2555</v>
      </c>
      <c r="K107" s="69">
        <f t="shared" si="203"/>
        <v>-2244</v>
      </c>
      <c r="L107" s="69">
        <v>-2594</v>
      </c>
      <c r="M107" s="69">
        <f>-5233-L107</f>
        <v>-2639</v>
      </c>
      <c r="N107" s="69">
        <f>-7954-M107-L107</f>
        <v>-2721</v>
      </c>
      <c r="O107" s="69">
        <f t="shared" si="204"/>
        <v>-2264</v>
      </c>
      <c r="P107" s="69">
        <v>-2896</v>
      </c>
      <c r="Q107" s="69">
        <f>-5467-P107</f>
        <v>-2571</v>
      </c>
      <c r="R107" s="69">
        <f>-7832-Q107-P107</f>
        <v>-2365</v>
      </c>
      <c r="S107" s="69">
        <f t="shared" si="205"/>
        <v>-2678</v>
      </c>
      <c r="T107" s="69">
        <v>-2618</v>
      </c>
      <c r="U107" s="69">
        <f>5308-T107</f>
        <v>7926</v>
      </c>
      <c r="W107" s="12">
        <f t="shared" si="206"/>
        <v>-10198</v>
      </c>
      <c r="X107" s="12">
        <f t="shared" si="207"/>
        <v>-10096</v>
      </c>
      <c r="Y107" s="12"/>
      <c r="Z107" s="71"/>
    </row>
    <row r="108" spans="2:26" ht="12.75" customHeight="1" x14ac:dyDescent="0.2">
      <c r="B108" s="43" t="s">
        <v>4</v>
      </c>
      <c r="C108" s="69">
        <v>-1622</v>
      </c>
      <c r="D108" s="69">
        <v>-8196</v>
      </c>
      <c r="E108" s="69">
        <v>2454</v>
      </c>
      <c r="F108" s="69">
        <v>-2841</v>
      </c>
      <c r="G108" s="69"/>
      <c r="H108" s="69">
        <v>-25</v>
      </c>
      <c r="I108" s="69">
        <f>32-H108</f>
        <v>57</v>
      </c>
      <c r="J108" s="69">
        <f>150-I108-H108</f>
        <v>118</v>
      </c>
      <c r="K108" s="69">
        <f t="shared" si="203"/>
        <v>-8346</v>
      </c>
      <c r="L108" s="69">
        <v>-57</v>
      </c>
      <c r="M108" s="69">
        <f>-228-L108</f>
        <v>-171</v>
      </c>
      <c r="N108" s="69">
        <f>203-M108-L108</f>
        <v>431</v>
      </c>
      <c r="O108" s="69">
        <f t="shared" si="204"/>
        <v>2251</v>
      </c>
      <c r="P108" s="69">
        <v>-7622</v>
      </c>
      <c r="Q108" s="69">
        <f>-5057-P108</f>
        <v>2565</v>
      </c>
      <c r="R108" s="69">
        <f>-4637-Q108-P108</f>
        <v>420</v>
      </c>
      <c r="S108" s="69">
        <f t="shared" si="205"/>
        <v>1796</v>
      </c>
      <c r="T108" s="69">
        <v>193</v>
      </c>
      <c r="U108" s="69">
        <f>415-T108</f>
        <v>222</v>
      </c>
      <c r="W108" s="12">
        <f t="shared" si="206"/>
        <v>-8143</v>
      </c>
      <c r="X108" s="12">
        <f t="shared" si="207"/>
        <v>-2386</v>
      </c>
      <c r="Y108" s="42"/>
      <c r="Z108" s="71"/>
    </row>
    <row r="109" spans="2:26" ht="12.75" customHeight="1" x14ac:dyDescent="0.2">
      <c r="B109" s="54" t="s">
        <v>19</v>
      </c>
      <c r="C109" s="55">
        <f>SUM(C85:C108)</f>
        <v>93833</v>
      </c>
      <c r="D109" s="55">
        <f>SUM(D85:D108)</f>
        <v>3211</v>
      </c>
      <c r="E109" s="55">
        <f>SUM(E85:E108)</f>
        <v>12712</v>
      </c>
      <c r="F109" s="55">
        <f>SUM(F85:F108)</f>
        <v>-53032</v>
      </c>
      <c r="H109" s="55">
        <f t="shared" ref="H109:U109" si="208">SUM(H85:H108)</f>
        <v>43682</v>
      </c>
      <c r="I109" s="55">
        <f t="shared" si="208"/>
        <v>-20819</v>
      </c>
      <c r="J109" s="55">
        <f t="shared" si="208"/>
        <v>-1454</v>
      </c>
      <c r="K109" s="55">
        <f t="shared" si="208"/>
        <v>-18198</v>
      </c>
      <c r="L109" s="55">
        <f t="shared" si="208"/>
        <v>37397</v>
      </c>
      <c r="M109" s="55">
        <f t="shared" si="208"/>
        <v>-18472</v>
      </c>
      <c r="N109" s="55">
        <f t="shared" si="208"/>
        <v>-7397</v>
      </c>
      <c r="O109" s="55">
        <f t="shared" si="208"/>
        <v>1184</v>
      </c>
      <c r="P109" s="55">
        <f t="shared" si="208"/>
        <v>28587</v>
      </c>
      <c r="Q109" s="55">
        <f t="shared" si="208"/>
        <v>-23329</v>
      </c>
      <c r="R109" s="55">
        <f t="shared" si="208"/>
        <v>-23175</v>
      </c>
      <c r="S109" s="55">
        <f t="shared" si="208"/>
        <v>-35115</v>
      </c>
      <c r="T109" s="55">
        <f t="shared" si="208"/>
        <v>-2389</v>
      </c>
      <c r="U109" s="55">
        <f t="shared" si="208"/>
        <v>-24297</v>
      </c>
      <c r="W109" s="55">
        <f>SUM(W85:W108)</f>
        <v>-6670</v>
      </c>
      <c r="X109" s="55">
        <f>SUM(X85:X108)</f>
        <v>-16733</v>
      </c>
      <c r="Y109" s="16"/>
      <c r="Z109" s="71"/>
    </row>
    <row r="110" spans="2:26" ht="12.75" customHeight="1" x14ac:dyDescent="0.2">
      <c r="B110" s="30"/>
      <c r="C110" s="45"/>
      <c r="D110" s="45"/>
      <c r="E110" s="45"/>
      <c r="F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W110" s="16"/>
      <c r="X110" s="16"/>
      <c r="Y110" s="16"/>
      <c r="Z110" s="71"/>
    </row>
    <row r="111" spans="2:26" ht="12.75" customHeight="1" x14ac:dyDescent="0.2">
      <c r="B111" s="30" t="s">
        <v>39</v>
      </c>
      <c r="C111" s="40"/>
      <c r="D111" s="40"/>
      <c r="E111" s="40"/>
      <c r="F111" s="40"/>
      <c r="H111" s="40"/>
      <c r="I111" s="40"/>
      <c r="J111" s="41"/>
      <c r="K111" s="40"/>
      <c r="L111" s="40"/>
      <c r="M111" s="40"/>
      <c r="N111" s="41"/>
      <c r="O111" s="40"/>
      <c r="P111" s="40"/>
      <c r="Q111" s="40"/>
      <c r="R111" s="40"/>
      <c r="S111" s="40"/>
      <c r="T111" s="40"/>
      <c r="U111" s="40"/>
      <c r="W111" s="40"/>
      <c r="X111" s="40"/>
      <c r="Y111" s="42"/>
      <c r="Z111" s="71"/>
    </row>
    <row r="112" spans="2:26" ht="12.75" customHeight="1" x14ac:dyDescent="0.2">
      <c r="B112" s="43" t="s">
        <v>84</v>
      </c>
      <c r="C112" s="69">
        <v>-2626529</v>
      </c>
      <c r="D112" s="69">
        <v>-287921</v>
      </c>
      <c r="E112" s="69">
        <v>-1902299</v>
      </c>
      <c r="F112" s="69">
        <v>-22072759</v>
      </c>
      <c r="G112" s="69"/>
      <c r="H112" s="69">
        <v>-215500</v>
      </c>
      <c r="I112" s="69">
        <f>-225500-H112</f>
        <v>-10000</v>
      </c>
      <c r="J112" s="69">
        <f>-231478-I112-H112</f>
        <v>-5978</v>
      </c>
      <c r="K112" s="69">
        <f t="shared" ref="K112:K115" si="209">SUM(D112-SUM(H112:J112))</f>
        <v>-56443</v>
      </c>
      <c r="L112" s="69">
        <v>-179275</v>
      </c>
      <c r="M112" s="69">
        <f>-526278-L112</f>
        <v>-347003</v>
      </c>
      <c r="N112" s="69">
        <f>-687959-M112-L112</f>
        <v>-161681</v>
      </c>
      <c r="O112" s="69">
        <f t="shared" ref="O112:O115" si="210">SUM(E112-SUM(L112:N112))</f>
        <v>-1214340</v>
      </c>
      <c r="P112" s="69">
        <v>-1639309</v>
      </c>
      <c r="Q112" s="69">
        <f>-2433137-P112</f>
        <v>-793828</v>
      </c>
      <c r="R112" s="69">
        <f>-4008210-Q112-P112</f>
        <v>-1575073</v>
      </c>
      <c r="S112" s="69">
        <f t="shared" ref="S112:S115" si="211">SUM(F112-SUM(P112:R112))</f>
        <v>-18064549</v>
      </c>
      <c r="T112" s="69">
        <v>-7661663</v>
      </c>
      <c r="U112" s="69">
        <f>-14430868-T112</f>
        <v>-6769205</v>
      </c>
      <c r="V112" s="69"/>
      <c r="W112" s="69">
        <f t="shared" ref="W112:W115" si="212">SUM(K112:N112)</f>
        <v>-744402</v>
      </c>
      <c r="X112" s="69">
        <f t="shared" ref="X112:X115" si="213">SUM(O112:R112)</f>
        <v>-5222550</v>
      </c>
      <c r="Y112" s="42"/>
      <c r="Z112" s="71"/>
    </row>
    <row r="113" spans="2:26" ht="12.75" customHeight="1" x14ac:dyDescent="0.2">
      <c r="B113" s="43" t="s">
        <v>153</v>
      </c>
      <c r="C113" s="69">
        <v>0</v>
      </c>
      <c r="D113" s="69">
        <v>0</v>
      </c>
      <c r="E113" s="69">
        <v>0</v>
      </c>
      <c r="F113" s="69">
        <v>-10500</v>
      </c>
      <c r="G113" s="69"/>
      <c r="H113" s="69">
        <v>0</v>
      </c>
      <c r="I113" s="69">
        <v>0</v>
      </c>
      <c r="J113" s="69">
        <v>0</v>
      </c>
      <c r="K113" s="69">
        <v>0</v>
      </c>
      <c r="L113" s="69">
        <v>0</v>
      </c>
      <c r="M113" s="69">
        <v>0</v>
      </c>
      <c r="N113" s="69">
        <v>0</v>
      </c>
      <c r="O113" s="69">
        <v>0</v>
      </c>
      <c r="P113" s="69">
        <v>0</v>
      </c>
      <c r="Q113" s="69">
        <v>0</v>
      </c>
      <c r="R113" s="69">
        <v>0</v>
      </c>
      <c r="S113" s="69">
        <f t="shared" si="211"/>
        <v>-10500</v>
      </c>
      <c r="T113" s="69">
        <v>-6000</v>
      </c>
      <c r="U113" s="69">
        <f>-22000-T113</f>
        <v>-16000</v>
      </c>
      <c r="V113" s="69"/>
      <c r="W113" s="69"/>
      <c r="X113" s="69"/>
      <c r="Y113" s="42"/>
      <c r="Z113" s="71"/>
    </row>
    <row r="114" spans="2:26" ht="12.75" customHeight="1" x14ac:dyDescent="0.2">
      <c r="B114" s="43" t="s">
        <v>20</v>
      </c>
      <c r="C114" s="69">
        <v>-2706</v>
      </c>
      <c r="D114" s="69">
        <v>-2486</v>
      </c>
      <c r="E114" s="69">
        <v>-2938</v>
      </c>
      <c r="F114" s="69">
        <v>-2978</v>
      </c>
      <c r="G114" s="69"/>
      <c r="H114" s="69">
        <v>-641</v>
      </c>
      <c r="I114" s="69">
        <f>-1519-H114</f>
        <v>-878</v>
      </c>
      <c r="J114" s="69">
        <f>-1851-I114-H114</f>
        <v>-332</v>
      </c>
      <c r="K114" s="69">
        <f t="shared" si="209"/>
        <v>-635</v>
      </c>
      <c r="L114" s="69">
        <v>-499</v>
      </c>
      <c r="M114" s="69">
        <f>-1138-L114</f>
        <v>-639</v>
      </c>
      <c r="N114" s="69">
        <f>-2591-M114-L114</f>
        <v>-1453</v>
      </c>
      <c r="O114" s="69">
        <f t="shared" si="210"/>
        <v>-347</v>
      </c>
      <c r="P114" s="69">
        <v>-1545</v>
      </c>
      <c r="Q114" s="69">
        <f>-2268-P114</f>
        <v>-723</v>
      </c>
      <c r="R114" s="69">
        <f>-2694-Q114-P114</f>
        <v>-426</v>
      </c>
      <c r="S114" s="69">
        <f t="shared" si="211"/>
        <v>-284</v>
      </c>
      <c r="T114" s="69">
        <v>-2737</v>
      </c>
      <c r="U114" s="69">
        <f>-4831-T114</f>
        <v>-2094</v>
      </c>
      <c r="V114" s="69"/>
      <c r="W114" s="69">
        <f t="shared" si="212"/>
        <v>-3226</v>
      </c>
      <c r="X114" s="69">
        <f t="shared" si="213"/>
        <v>-3041</v>
      </c>
      <c r="Y114" s="42"/>
      <c r="Z114" s="71"/>
    </row>
    <row r="115" spans="2:26" ht="12.75" customHeight="1" x14ac:dyDescent="0.2">
      <c r="B115" s="43" t="s">
        <v>85</v>
      </c>
      <c r="C115" s="69">
        <v>0</v>
      </c>
      <c r="D115" s="69">
        <v>11817</v>
      </c>
      <c r="E115" s="69">
        <v>0</v>
      </c>
      <c r="F115" s="69">
        <v>0</v>
      </c>
      <c r="G115" s="69"/>
      <c r="H115" s="69">
        <v>0</v>
      </c>
      <c r="I115" s="69">
        <v>0</v>
      </c>
      <c r="J115" s="69">
        <v>0</v>
      </c>
      <c r="K115" s="69">
        <f t="shared" si="209"/>
        <v>11817</v>
      </c>
      <c r="L115" s="69">
        <v>0</v>
      </c>
      <c r="M115" s="69">
        <v>0</v>
      </c>
      <c r="N115" s="69">
        <v>0</v>
      </c>
      <c r="O115" s="69">
        <f t="shared" si="210"/>
        <v>0</v>
      </c>
      <c r="P115" s="69">
        <v>0</v>
      </c>
      <c r="Q115" s="69">
        <v>0</v>
      </c>
      <c r="R115" s="69">
        <v>0</v>
      </c>
      <c r="S115" s="69">
        <f t="shared" si="211"/>
        <v>0</v>
      </c>
      <c r="T115" s="69">
        <v>0</v>
      </c>
      <c r="U115" s="69">
        <v>0</v>
      </c>
      <c r="V115" s="69"/>
      <c r="W115" s="69">
        <f t="shared" si="212"/>
        <v>11817</v>
      </c>
      <c r="X115" s="69">
        <f t="shared" si="213"/>
        <v>0</v>
      </c>
      <c r="Y115" s="42"/>
      <c r="Z115" s="71"/>
    </row>
    <row r="116" spans="2:26" ht="12.75" customHeight="1" x14ac:dyDescent="0.2">
      <c r="B116" s="54" t="s">
        <v>21</v>
      </c>
      <c r="C116" s="55">
        <f>SUM(C112:C115)</f>
        <v>-2629235</v>
      </c>
      <c r="D116" s="55">
        <f>SUM(D112:D115)</f>
        <v>-278590</v>
      </c>
      <c r="E116" s="55">
        <f>SUM(E112:E115)</f>
        <v>-1905237</v>
      </c>
      <c r="F116" s="55">
        <f>SUM(F112:F115)</f>
        <v>-22086237</v>
      </c>
      <c r="H116" s="55">
        <f t="shared" ref="H116:X116" si="214">SUM(H112:H115)</f>
        <v>-216141</v>
      </c>
      <c r="I116" s="55">
        <f t="shared" si="214"/>
        <v>-10878</v>
      </c>
      <c r="J116" s="55">
        <f t="shared" si="214"/>
        <v>-6310</v>
      </c>
      <c r="K116" s="55">
        <f t="shared" si="214"/>
        <v>-45261</v>
      </c>
      <c r="L116" s="55">
        <f t="shared" si="214"/>
        <v>-179774</v>
      </c>
      <c r="M116" s="55">
        <f t="shared" si="214"/>
        <v>-347642</v>
      </c>
      <c r="N116" s="55">
        <f t="shared" si="214"/>
        <v>-163134</v>
      </c>
      <c r="O116" s="55">
        <f t="shared" si="214"/>
        <v>-1214687</v>
      </c>
      <c r="P116" s="55">
        <f t="shared" si="214"/>
        <v>-1640854</v>
      </c>
      <c r="Q116" s="55">
        <f t="shared" si="214"/>
        <v>-794551</v>
      </c>
      <c r="R116" s="55">
        <f t="shared" si="214"/>
        <v>-1575499</v>
      </c>
      <c r="S116" s="55">
        <f t="shared" ref="S116:T116" si="215">SUM(S112:S115)</f>
        <v>-18075333</v>
      </c>
      <c r="T116" s="55">
        <f t="shared" si="215"/>
        <v>-7670400</v>
      </c>
      <c r="U116" s="55">
        <f t="shared" ref="U116" si="216">SUM(U112:U115)</f>
        <v>-6787299</v>
      </c>
      <c r="W116" s="55">
        <f t="shared" si="214"/>
        <v>-735811</v>
      </c>
      <c r="X116" s="55">
        <f t="shared" si="214"/>
        <v>-5225591</v>
      </c>
      <c r="Y116" s="16"/>
      <c r="Z116" s="71"/>
    </row>
    <row r="117" spans="2:26" ht="12.75" customHeight="1" x14ac:dyDescent="0.2">
      <c r="B117" s="32"/>
      <c r="C117" s="45"/>
      <c r="D117" s="45"/>
      <c r="E117" s="45"/>
      <c r="F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W117" s="16"/>
      <c r="X117" s="16"/>
      <c r="Y117" s="16"/>
      <c r="Z117" s="71"/>
    </row>
    <row r="118" spans="2:26" ht="12.75" customHeight="1" x14ac:dyDescent="0.2">
      <c r="B118" s="30" t="s">
        <v>40</v>
      </c>
      <c r="C118" s="46"/>
      <c r="D118" s="46"/>
      <c r="E118" s="46"/>
      <c r="F118" s="46"/>
      <c r="H118" s="46"/>
      <c r="I118" s="46"/>
      <c r="J118" s="46"/>
      <c r="K118" s="46"/>
      <c r="L118" s="46"/>
      <c r="M118" s="46"/>
      <c r="N118" s="46"/>
      <c r="O118" s="47"/>
      <c r="P118" s="46"/>
      <c r="Q118" s="46"/>
      <c r="R118" s="46"/>
      <c r="S118" s="46"/>
      <c r="T118" s="46"/>
      <c r="U118" s="46"/>
      <c r="W118" s="46"/>
      <c r="X118" s="46"/>
      <c r="Y118" s="48"/>
      <c r="Z118" s="71"/>
    </row>
    <row r="119" spans="2:26" ht="12.75" customHeight="1" x14ac:dyDescent="0.2">
      <c r="B119" s="30" t="s">
        <v>154</v>
      </c>
      <c r="C119" s="46"/>
      <c r="D119" s="46"/>
      <c r="E119" s="46"/>
      <c r="F119" s="46"/>
      <c r="H119" s="46"/>
      <c r="I119" s="46"/>
      <c r="J119" s="46"/>
      <c r="K119" s="46"/>
      <c r="L119" s="46"/>
      <c r="M119" s="46"/>
      <c r="N119" s="46"/>
      <c r="O119" s="47"/>
      <c r="P119" s="46"/>
      <c r="Q119" s="46"/>
      <c r="R119" s="46"/>
      <c r="S119" s="46"/>
      <c r="T119" s="46"/>
      <c r="U119" s="46"/>
      <c r="W119" s="46"/>
      <c r="X119" s="46"/>
      <c r="Y119" s="48"/>
      <c r="Z119" s="71"/>
    </row>
    <row r="120" spans="2:26" ht="12.75" customHeight="1" x14ac:dyDescent="0.2">
      <c r="B120" s="43" t="s">
        <v>156</v>
      </c>
      <c r="C120" s="69">
        <f>1050000-24796</f>
        <v>1025204</v>
      </c>
      <c r="D120" s="69">
        <v>0</v>
      </c>
      <c r="E120" s="69">
        <v>0</v>
      </c>
      <c r="F120" s="69">
        <f>6213750-81033-398</f>
        <v>6132319</v>
      </c>
      <c r="G120" s="13"/>
      <c r="H120" s="69">
        <v>0</v>
      </c>
      <c r="I120" s="69">
        <v>0</v>
      </c>
      <c r="J120" s="69">
        <v>0</v>
      </c>
      <c r="K120" s="69">
        <f t="shared" ref="K120:K129" si="217">SUM(D120-SUM(H120:J120))</f>
        <v>0</v>
      </c>
      <c r="L120" s="69">
        <v>0</v>
      </c>
      <c r="M120" s="69">
        <v>0</v>
      </c>
      <c r="N120" s="69">
        <v>0</v>
      </c>
      <c r="O120" s="69">
        <f t="shared" ref="O120:O129" si="218">SUM(E120-SUM(L120:N120))</f>
        <v>0</v>
      </c>
      <c r="P120" s="69">
        <f>1403750-28071</f>
        <v>1375679</v>
      </c>
      <c r="Q120" s="69">
        <f>2203750-42008-44-P120</f>
        <v>786019</v>
      </c>
      <c r="R120" s="69">
        <f>3213750-53524-398-Q120-P120</f>
        <v>998130</v>
      </c>
      <c r="S120" s="69">
        <f t="shared" ref="S120:S129" si="219">SUM(F120-SUM(P120:R120))</f>
        <v>2972491</v>
      </c>
      <c r="T120" s="69">
        <f>2000000-14133-143</f>
        <v>1985724</v>
      </c>
      <c r="U120" s="69">
        <f>2000000-14779-143-T120</f>
        <v>-646</v>
      </c>
      <c r="W120" s="69">
        <f t="shared" ref="W120:W124" si="220">SUM(K120:N120)</f>
        <v>0</v>
      </c>
      <c r="X120" s="69">
        <f t="shared" ref="X120:X124" si="221">SUM(O120:R120)</f>
        <v>3159828</v>
      </c>
      <c r="Y120" s="12"/>
      <c r="Z120" s="71"/>
    </row>
    <row r="121" spans="2:26" ht="12.75" customHeight="1" x14ac:dyDescent="0.2">
      <c r="B121" s="43" t="s">
        <v>157</v>
      </c>
      <c r="C121" s="69">
        <f>500000-12792</f>
        <v>487208</v>
      </c>
      <c r="D121" s="69">
        <v>0</v>
      </c>
      <c r="E121" s="69">
        <v>0</v>
      </c>
      <c r="F121" s="69">
        <v>0</v>
      </c>
      <c r="G121" s="13"/>
      <c r="H121" s="69">
        <v>0</v>
      </c>
      <c r="I121" s="69">
        <v>0</v>
      </c>
      <c r="J121" s="69">
        <v>0</v>
      </c>
      <c r="K121" s="69">
        <f t="shared" si="217"/>
        <v>0</v>
      </c>
      <c r="L121" s="69">
        <v>0</v>
      </c>
      <c r="M121" s="69">
        <v>0</v>
      </c>
      <c r="N121" s="69">
        <v>0</v>
      </c>
      <c r="O121" s="69">
        <f t="shared" si="218"/>
        <v>0</v>
      </c>
      <c r="P121" s="69">
        <v>0</v>
      </c>
      <c r="Q121" s="69">
        <v>0</v>
      </c>
      <c r="R121" s="69">
        <v>0</v>
      </c>
      <c r="S121" s="69">
        <f t="shared" si="219"/>
        <v>0</v>
      </c>
      <c r="T121" s="69">
        <v>0</v>
      </c>
      <c r="U121" s="69"/>
      <c r="W121" s="69">
        <f t="shared" si="220"/>
        <v>0</v>
      </c>
      <c r="X121" s="69">
        <f t="shared" si="221"/>
        <v>0</v>
      </c>
      <c r="Y121" s="12"/>
      <c r="Z121" s="71"/>
    </row>
    <row r="122" spans="2:26" ht="12.75" customHeight="1" x14ac:dyDescent="0.2">
      <c r="B122" s="43" t="s">
        <v>158</v>
      </c>
      <c r="C122" s="69">
        <v>0</v>
      </c>
      <c r="D122" s="69">
        <f>204693-107</f>
        <v>204586</v>
      </c>
      <c r="E122" s="69">
        <v>-160033</v>
      </c>
      <c r="F122" s="69">
        <v>-515414</v>
      </c>
      <c r="G122" s="13"/>
      <c r="H122" s="69">
        <v>204693</v>
      </c>
      <c r="I122" s="69">
        <f>204693-107-H122</f>
        <v>-107</v>
      </c>
      <c r="J122" s="69">
        <f>204693-107-I122-H122</f>
        <v>0</v>
      </c>
      <c r="K122" s="69">
        <f t="shared" si="217"/>
        <v>0</v>
      </c>
      <c r="L122" s="69">
        <v>-159900</v>
      </c>
      <c r="M122" s="69">
        <f>-160033-L122</f>
        <v>-133</v>
      </c>
      <c r="N122" s="69">
        <f>-160033-M122-L122</f>
        <v>0</v>
      </c>
      <c r="O122" s="69">
        <f t="shared" si="218"/>
        <v>0</v>
      </c>
      <c r="P122" s="69">
        <v>0</v>
      </c>
      <c r="Q122" s="69">
        <v>0</v>
      </c>
      <c r="R122" s="69">
        <f>-515325-Q122</f>
        <v>-515325</v>
      </c>
      <c r="S122" s="69">
        <f t="shared" si="219"/>
        <v>-89</v>
      </c>
      <c r="T122" s="69">
        <v>0</v>
      </c>
      <c r="U122" s="69"/>
      <c r="W122" s="69">
        <f t="shared" si="220"/>
        <v>-160033</v>
      </c>
      <c r="X122" s="69">
        <f t="shared" si="221"/>
        <v>-515325</v>
      </c>
      <c r="Y122" s="12"/>
      <c r="Z122" s="71"/>
    </row>
    <row r="123" spans="2:26" ht="12.75" customHeight="1" x14ac:dyDescent="0.2">
      <c r="B123" s="43" t="s">
        <v>159</v>
      </c>
      <c r="C123" s="69">
        <v>0</v>
      </c>
      <c r="D123" s="69">
        <f>11100-270-246</f>
        <v>10584</v>
      </c>
      <c r="E123" s="69">
        <v>-513</v>
      </c>
      <c r="F123" s="69">
        <v>-539</v>
      </c>
      <c r="G123" s="13"/>
      <c r="H123" s="69">
        <v>0</v>
      </c>
      <c r="I123" s="69">
        <f>11100-174-H123</f>
        <v>10926</v>
      </c>
      <c r="J123" s="69">
        <f>11100-214--121-I123-H123</f>
        <v>81</v>
      </c>
      <c r="K123" s="69">
        <f t="shared" si="217"/>
        <v>-423</v>
      </c>
      <c r="L123" s="69">
        <v>-128</v>
      </c>
      <c r="M123" s="69">
        <f>-254-L123</f>
        <v>-126</v>
      </c>
      <c r="N123" s="69">
        <f>-382-M123-L123</f>
        <v>-128</v>
      </c>
      <c r="O123" s="69">
        <f t="shared" si="218"/>
        <v>-131</v>
      </c>
      <c r="P123" s="69">
        <v>-133</v>
      </c>
      <c r="Q123" s="69">
        <f>-266-P123</f>
        <v>-133</v>
      </c>
      <c r="R123" s="69">
        <f>-401-Q123</f>
        <v>-268</v>
      </c>
      <c r="S123" s="69">
        <f t="shared" si="219"/>
        <v>-5</v>
      </c>
      <c r="T123" s="69">
        <v>-141</v>
      </c>
      <c r="U123" s="69">
        <f>16000-282-T123</f>
        <v>15859</v>
      </c>
      <c r="W123" s="69">
        <f t="shared" si="220"/>
        <v>-805</v>
      </c>
      <c r="X123" s="69">
        <f t="shared" si="221"/>
        <v>-665</v>
      </c>
      <c r="Y123" s="12"/>
      <c r="Z123" s="71"/>
    </row>
    <row r="124" spans="2:26" ht="12.75" customHeight="1" x14ac:dyDescent="0.2">
      <c r="B124" s="30" t="s">
        <v>155</v>
      </c>
      <c r="C124" s="69"/>
      <c r="D124" s="69"/>
      <c r="E124" s="69"/>
      <c r="F124" s="69"/>
      <c r="G124" s="13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W124" s="69">
        <f t="shared" si="220"/>
        <v>0</v>
      </c>
      <c r="X124" s="69">
        <f t="shared" si="221"/>
        <v>0</v>
      </c>
      <c r="Y124" s="12"/>
      <c r="Z124" s="71"/>
    </row>
    <row r="125" spans="2:26" ht="12.75" customHeight="1" outlineLevel="1" x14ac:dyDescent="0.2">
      <c r="B125" s="43" t="s">
        <v>190</v>
      </c>
      <c r="C125" s="69">
        <f>1000000-9537</f>
        <v>990463</v>
      </c>
      <c r="D125" s="69">
        <f>46592-358</f>
        <v>46234</v>
      </c>
      <c r="E125" s="69">
        <f>2029214-9141</f>
        <v>2020073</v>
      </c>
      <c r="F125" s="69">
        <f>16363023-33166</f>
        <v>16329857</v>
      </c>
      <c r="G125" s="13"/>
      <c r="H125" s="69">
        <v>0</v>
      </c>
      <c r="I125" s="69">
        <v>0</v>
      </c>
      <c r="J125" s="69">
        <v>0</v>
      </c>
      <c r="K125" s="69">
        <f t="shared" si="217"/>
        <v>46234</v>
      </c>
      <c r="L125" s="69">
        <f>341062-2045</f>
        <v>339017</v>
      </c>
      <c r="M125" s="69">
        <f>676068-3628-L125</f>
        <v>333423</v>
      </c>
      <c r="N125" s="69">
        <f>823945-4286-M125-L125</f>
        <v>147219</v>
      </c>
      <c r="O125" s="69">
        <f t="shared" si="218"/>
        <v>1200414</v>
      </c>
      <c r="P125" s="69">
        <f>137765-613</f>
        <v>137152</v>
      </c>
      <c r="Q125" s="69">
        <f>137765-613-P125</f>
        <v>0</v>
      </c>
      <c r="R125" s="69">
        <f>1246478-4185-Q125-P125</f>
        <v>1105141</v>
      </c>
      <c r="S125" s="69">
        <f t="shared" si="219"/>
        <v>15087564</v>
      </c>
      <c r="T125" s="69">
        <f>4407093-7129</f>
        <v>4399964</v>
      </c>
      <c r="U125" s="69">
        <f>9663697-17775-T125</f>
        <v>5245958</v>
      </c>
      <c r="W125" s="69">
        <f t="shared" ref="W125:W129" si="222">SUM(K125:N125)</f>
        <v>865893</v>
      </c>
      <c r="X125" s="69">
        <f t="shared" ref="X125:X129" si="223">SUM(O125:R125)</f>
        <v>2442707</v>
      </c>
      <c r="Y125" s="12"/>
      <c r="Z125" s="71"/>
    </row>
    <row r="126" spans="2:26" ht="12.75" customHeight="1" outlineLevel="1" x14ac:dyDescent="0.2">
      <c r="B126" s="43" t="s">
        <v>183</v>
      </c>
      <c r="C126" s="69">
        <v>0</v>
      </c>
      <c r="D126" s="69">
        <v>0</v>
      </c>
      <c r="E126" s="69">
        <v>0</v>
      </c>
      <c r="F126" s="69">
        <v>0</v>
      </c>
      <c r="G126" s="69"/>
      <c r="H126" s="69">
        <v>0</v>
      </c>
      <c r="I126" s="69">
        <v>0</v>
      </c>
      <c r="J126" s="69">
        <v>0</v>
      </c>
      <c r="K126" s="69">
        <v>0</v>
      </c>
      <c r="L126" s="69">
        <v>0</v>
      </c>
      <c r="M126" s="69">
        <v>0</v>
      </c>
      <c r="N126" s="69">
        <v>0</v>
      </c>
      <c r="O126" s="69">
        <v>0</v>
      </c>
      <c r="P126" s="69">
        <v>0</v>
      </c>
      <c r="Q126" s="69">
        <v>0</v>
      </c>
      <c r="R126" s="69">
        <v>0</v>
      </c>
      <c r="S126" s="69">
        <v>0</v>
      </c>
      <c r="T126" s="69">
        <f>1336938-31113</f>
        <v>1305825</v>
      </c>
      <c r="U126" s="69">
        <f>2947684-56372-T126</f>
        <v>1585487</v>
      </c>
      <c r="W126" s="69">
        <f t="shared" ref="W126" si="224">SUM(K126:N126)</f>
        <v>0</v>
      </c>
      <c r="X126" s="69">
        <f t="shared" ref="X126" si="225">SUM(O126:R126)</f>
        <v>0</v>
      </c>
      <c r="Y126" s="12"/>
      <c r="Z126" s="71"/>
    </row>
    <row r="127" spans="2:26" ht="12.75" customHeight="1" outlineLevel="1" x14ac:dyDescent="0.2">
      <c r="B127" s="43" t="s">
        <v>86</v>
      </c>
      <c r="C127" s="69">
        <v>40651</v>
      </c>
      <c r="D127" s="69">
        <v>1393</v>
      </c>
      <c r="E127" s="69">
        <v>30518</v>
      </c>
      <c r="F127" s="69">
        <v>184287</v>
      </c>
      <c r="G127" s="13"/>
      <c r="H127" s="69">
        <v>288</v>
      </c>
      <c r="I127" s="69">
        <f>711-H127</f>
        <v>423</v>
      </c>
      <c r="J127" s="69">
        <f>1332-I127-H127</f>
        <v>621</v>
      </c>
      <c r="K127" s="69">
        <f t="shared" si="217"/>
        <v>61</v>
      </c>
      <c r="L127" s="69">
        <v>6750</v>
      </c>
      <c r="M127" s="69">
        <f>12104-L127</f>
        <v>5354</v>
      </c>
      <c r="N127" s="69">
        <f>14217-M127-L127</f>
        <v>2113</v>
      </c>
      <c r="O127" s="69">
        <f t="shared" si="218"/>
        <v>16301</v>
      </c>
      <c r="P127" s="69">
        <v>134874</v>
      </c>
      <c r="Q127" s="69">
        <f>153349-P127</f>
        <v>18475</v>
      </c>
      <c r="R127" s="69">
        <f>157541-Q127-P127</f>
        <v>4192</v>
      </c>
      <c r="S127" s="69">
        <f t="shared" si="219"/>
        <v>26746</v>
      </c>
      <c r="T127" s="69">
        <v>9418</v>
      </c>
      <c r="U127" s="69">
        <f>21869-T127</f>
        <v>12451</v>
      </c>
      <c r="W127" s="69">
        <f t="shared" si="222"/>
        <v>14278</v>
      </c>
      <c r="X127" s="69">
        <f t="shared" si="223"/>
        <v>173842</v>
      </c>
      <c r="Y127" s="12"/>
      <c r="Z127" s="71"/>
    </row>
    <row r="128" spans="2:26" ht="12.75" customHeight="1" outlineLevel="1" x14ac:dyDescent="0.2">
      <c r="B128" s="43" t="s">
        <v>87</v>
      </c>
      <c r="C128" s="69">
        <v>2854</v>
      </c>
      <c r="D128" s="69">
        <v>4473</v>
      </c>
      <c r="E128" s="69">
        <v>3955</v>
      </c>
      <c r="F128" s="69">
        <v>4304</v>
      </c>
      <c r="G128" s="13"/>
      <c r="H128" s="69">
        <v>2805</v>
      </c>
      <c r="I128" s="69">
        <f>2805-H128</f>
        <v>0</v>
      </c>
      <c r="J128" s="69">
        <f>4473-I128-H128</f>
        <v>1668</v>
      </c>
      <c r="K128" s="69">
        <f t="shared" si="217"/>
        <v>0</v>
      </c>
      <c r="L128" s="69">
        <v>2380</v>
      </c>
      <c r="M128" s="69">
        <f>2380-L128</f>
        <v>0</v>
      </c>
      <c r="N128" s="69">
        <f>3955-M128-L128</f>
        <v>1575</v>
      </c>
      <c r="O128" s="69">
        <f t="shared" si="218"/>
        <v>0</v>
      </c>
      <c r="P128" s="69">
        <v>2071</v>
      </c>
      <c r="Q128" s="69">
        <f>2071-P128</f>
        <v>0</v>
      </c>
      <c r="R128" s="69">
        <f>4304-Q128-P128</f>
        <v>2233</v>
      </c>
      <c r="S128" s="69">
        <f t="shared" si="219"/>
        <v>0</v>
      </c>
      <c r="T128" s="69">
        <v>2703</v>
      </c>
      <c r="U128" s="69">
        <f>2703-T128</f>
        <v>0</v>
      </c>
      <c r="W128" s="69">
        <f t="shared" si="222"/>
        <v>3955</v>
      </c>
      <c r="X128" s="69">
        <f t="shared" si="223"/>
        <v>4304</v>
      </c>
      <c r="Y128" s="12"/>
      <c r="Z128" s="71"/>
    </row>
    <row r="129" spans="2:26" ht="12.75" customHeight="1" outlineLevel="1" x14ac:dyDescent="0.2">
      <c r="B129" s="43" t="s">
        <v>88</v>
      </c>
      <c r="C129" s="69">
        <v>-4695</v>
      </c>
      <c r="D129" s="69">
        <v>-2082</v>
      </c>
      <c r="E129" s="69">
        <v>-4114</v>
      </c>
      <c r="F129" s="69">
        <v>-2173</v>
      </c>
      <c r="G129" s="13"/>
      <c r="H129" s="69">
        <v>-495</v>
      </c>
      <c r="I129" s="69">
        <f>-541-H129</f>
        <v>-46</v>
      </c>
      <c r="J129" s="69">
        <f>-1105-I129-H129</f>
        <v>-564</v>
      </c>
      <c r="K129" s="69">
        <f t="shared" si="217"/>
        <v>-977</v>
      </c>
      <c r="L129" s="69">
        <v>-497</v>
      </c>
      <c r="M129" s="69">
        <f>-726-L129</f>
        <v>-229</v>
      </c>
      <c r="N129" s="69">
        <f>-1391-M129-L129</f>
        <v>-665</v>
      </c>
      <c r="O129" s="69">
        <f t="shared" si="218"/>
        <v>-2723</v>
      </c>
      <c r="P129" s="69">
        <v>-1243</v>
      </c>
      <c r="Q129" s="69">
        <f>-2173-P129</f>
        <v>-930</v>
      </c>
      <c r="R129" s="69">
        <f>-2173-Q129-P129</f>
        <v>0</v>
      </c>
      <c r="S129" s="69">
        <f t="shared" si="219"/>
        <v>0</v>
      </c>
      <c r="T129" s="69">
        <v>0</v>
      </c>
      <c r="U129" s="69">
        <v>0</v>
      </c>
      <c r="W129" s="69">
        <f t="shared" si="222"/>
        <v>-2368</v>
      </c>
      <c r="X129" s="69">
        <f t="shared" si="223"/>
        <v>-4896</v>
      </c>
      <c r="Y129" s="12"/>
      <c r="Z129" s="71"/>
    </row>
    <row r="130" spans="2:26" ht="12.75" customHeight="1" outlineLevel="1" x14ac:dyDescent="0.2">
      <c r="B130" s="38" t="s">
        <v>184</v>
      </c>
      <c r="C130" s="69">
        <v>0</v>
      </c>
      <c r="D130" s="69">
        <v>0</v>
      </c>
      <c r="E130" s="69">
        <v>0</v>
      </c>
      <c r="F130" s="69">
        <v>0</v>
      </c>
      <c r="G130" s="69"/>
      <c r="H130" s="69">
        <v>0</v>
      </c>
      <c r="I130" s="69">
        <v>0</v>
      </c>
      <c r="J130" s="69">
        <v>0</v>
      </c>
      <c r="K130" s="69">
        <v>0</v>
      </c>
      <c r="L130" s="69">
        <v>0</v>
      </c>
      <c r="M130" s="69">
        <v>0</v>
      </c>
      <c r="N130" s="69">
        <v>0</v>
      </c>
      <c r="O130" s="69">
        <v>0</v>
      </c>
      <c r="P130" s="69">
        <v>0</v>
      </c>
      <c r="Q130" s="69">
        <v>0</v>
      </c>
      <c r="R130" s="69">
        <v>0</v>
      </c>
      <c r="S130" s="69">
        <v>0</v>
      </c>
      <c r="T130" s="69">
        <v>-9188</v>
      </c>
      <c r="U130" s="69">
        <f>-58142-T130</f>
        <v>-48954</v>
      </c>
      <c r="W130" s="69">
        <f t="shared" ref="W130" si="226">SUM(K130:N130)</f>
        <v>0</v>
      </c>
      <c r="X130" s="69">
        <f t="shared" ref="X130" si="227">SUM(O130:R130)</f>
        <v>0</v>
      </c>
      <c r="Y130" s="12"/>
      <c r="Z130" s="71"/>
    </row>
    <row r="131" spans="2:26" ht="12.75" customHeight="1" x14ac:dyDescent="0.2">
      <c r="B131" s="54" t="s">
        <v>22</v>
      </c>
      <c r="C131" s="55">
        <f>SUM(C120:C130)</f>
        <v>2541685</v>
      </c>
      <c r="D131" s="55">
        <f>SUM(D120:D130)</f>
        <v>265188</v>
      </c>
      <c r="E131" s="55">
        <f>SUM(E120:E130)</f>
        <v>1889886</v>
      </c>
      <c r="F131" s="55">
        <f>SUM(F120:F130)</f>
        <v>22132641</v>
      </c>
      <c r="G131" s="69"/>
      <c r="H131" s="55">
        <f t="shared" ref="H131:U131" si="228">SUM(H120:H130)</f>
        <v>207291</v>
      </c>
      <c r="I131" s="55">
        <f t="shared" si="228"/>
        <v>11196</v>
      </c>
      <c r="J131" s="55">
        <f t="shared" si="228"/>
        <v>1806</v>
      </c>
      <c r="K131" s="55">
        <f t="shared" si="228"/>
        <v>44895</v>
      </c>
      <c r="L131" s="55">
        <f t="shared" si="228"/>
        <v>187622</v>
      </c>
      <c r="M131" s="55">
        <f t="shared" si="228"/>
        <v>338289</v>
      </c>
      <c r="N131" s="55">
        <f t="shared" si="228"/>
        <v>150114</v>
      </c>
      <c r="O131" s="55">
        <f t="shared" si="228"/>
        <v>1213861</v>
      </c>
      <c r="P131" s="55">
        <f t="shared" si="228"/>
        <v>1648400</v>
      </c>
      <c r="Q131" s="55">
        <f t="shared" si="228"/>
        <v>803431</v>
      </c>
      <c r="R131" s="55">
        <f t="shared" si="228"/>
        <v>1594103</v>
      </c>
      <c r="S131" s="55">
        <f t="shared" si="228"/>
        <v>18086707</v>
      </c>
      <c r="T131" s="55">
        <f t="shared" si="228"/>
        <v>7694305</v>
      </c>
      <c r="U131" s="55">
        <f t="shared" si="228"/>
        <v>6810155</v>
      </c>
      <c r="W131" s="55">
        <f>SUM(W120:W130)</f>
        <v>720920</v>
      </c>
      <c r="X131" s="55">
        <f>SUM(X120:X130)</f>
        <v>5259795</v>
      </c>
      <c r="Y131" s="16"/>
      <c r="Z131" s="71"/>
    </row>
    <row r="132" spans="2:26" ht="5.0999999999999996" customHeight="1" x14ac:dyDescent="0.2">
      <c r="B132" s="44"/>
      <c r="C132" s="49"/>
      <c r="D132" s="49"/>
      <c r="E132" s="49"/>
      <c r="F132" s="49"/>
      <c r="G132" s="69"/>
      <c r="H132" s="49"/>
      <c r="I132" s="49"/>
      <c r="J132" s="49"/>
      <c r="K132" s="49"/>
      <c r="L132" s="49"/>
      <c r="M132" s="49"/>
      <c r="N132" s="49"/>
      <c r="O132" s="49"/>
      <c r="P132" s="50"/>
      <c r="Q132" s="49"/>
      <c r="R132" s="49"/>
      <c r="S132" s="49"/>
      <c r="T132" s="49"/>
      <c r="U132" s="49"/>
      <c r="W132" s="12"/>
      <c r="X132" s="12"/>
      <c r="Y132" s="12"/>
      <c r="Z132" s="8"/>
    </row>
    <row r="133" spans="2:26" ht="12.75" customHeight="1" x14ac:dyDescent="0.2">
      <c r="B133" s="51" t="s">
        <v>89</v>
      </c>
      <c r="C133" s="41"/>
      <c r="D133" s="41"/>
      <c r="E133" s="41"/>
      <c r="F133" s="41"/>
      <c r="G133" s="12"/>
      <c r="H133" s="41"/>
      <c r="I133" s="41"/>
      <c r="J133" s="41"/>
      <c r="K133" s="41"/>
      <c r="L133" s="41"/>
      <c r="M133" s="41"/>
      <c r="N133" s="41"/>
      <c r="O133" s="41"/>
      <c r="P133" s="39"/>
      <c r="Q133" s="41"/>
      <c r="R133" s="41"/>
      <c r="S133" s="41"/>
      <c r="T133" s="41"/>
      <c r="U133" s="41"/>
      <c r="W133" s="41"/>
      <c r="X133" s="41"/>
      <c r="Y133" s="52"/>
      <c r="Z133" s="8"/>
    </row>
    <row r="134" spans="2:26" ht="12.75" customHeight="1" x14ac:dyDescent="0.2">
      <c r="B134" s="44" t="s">
        <v>90</v>
      </c>
      <c r="C134" s="69">
        <v>20416</v>
      </c>
      <c r="D134" s="69">
        <v>43448</v>
      </c>
      <c r="E134" s="69">
        <v>41229</v>
      </c>
      <c r="F134" s="69">
        <v>44571</v>
      </c>
      <c r="G134" s="69"/>
      <c r="H134" s="69">
        <v>0</v>
      </c>
      <c r="I134" s="69">
        <v>0</v>
      </c>
      <c r="J134" s="69">
        <v>0</v>
      </c>
      <c r="K134" s="69">
        <v>43448</v>
      </c>
      <c r="L134" s="69">
        <v>0</v>
      </c>
      <c r="M134" s="69">
        <v>0</v>
      </c>
      <c r="N134" s="69">
        <v>0</v>
      </c>
      <c r="O134" s="69">
        <v>41229</v>
      </c>
      <c r="P134" s="69">
        <v>0</v>
      </c>
      <c r="Q134" s="69">
        <v>0</v>
      </c>
      <c r="R134" s="69">
        <v>0</v>
      </c>
      <c r="S134" s="69">
        <f t="shared" ref="S134:S135" si="229">SUM(F134-SUM(P134:R134))</f>
        <v>44571</v>
      </c>
      <c r="T134" s="69"/>
      <c r="U134" s="69"/>
      <c r="V134" s="69"/>
      <c r="W134" s="69">
        <f t="shared" ref="W134" si="230">SUM(J134:M134)</f>
        <v>43448</v>
      </c>
      <c r="X134" s="69">
        <f t="shared" ref="X134" si="231">SUM(N134:Q134)</f>
        <v>41229</v>
      </c>
      <c r="Y134" s="12"/>
      <c r="Z134" s="8"/>
    </row>
    <row r="135" spans="2:26" ht="12.75" customHeight="1" x14ac:dyDescent="0.2">
      <c r="B135" s="9" t="s">
        <v>91</v>
      </c>
      <c r="C135" s="69">
        <v>7010</v>
      </c>
      <c r="D135" s="69">
        <v>21973</v>
      </c>
      <c r="E135" s="69">
        <v>30318</v>
      </c>
      <c r="F135" s="69">
        <v>1059</v>
      </c>
      <c r="G135" s="69"/>
      <c r="H135" s="69">
        <v>0</v>
      </c>
      <c r="I135" s="69">
        <v>0</v>
      </c>
      <c r="J135" s="69">
        <v>0</v>
      </c>
      <c r="K135" s="69">
        <v>21973</v>
      </c>
      <c r="L135" s="69">
        <v>0</v>
      </c>
      <c r="M135" s="69">
        <v>0</v>
      </c>
      <c r="N135" s="69">
        <v>0</v>
      </c>
      <c r="O135" s="69">
        <v>30318</v>
      </c>
      <c r="P135" s="69">
        <v>0</v>
      </c>
      <c r="Q135" s="69">
        <v>0</v>
      </c>
      <c r="R135" s="69">
        <v>0</v>
      </c>
      <c r="S135" s="69">
        <f t="shared" si="229"/>
        <v>1059</v>
      </c>
      <c r="T135" s="69"/>
      <c r="U135" s="69"/>
      <c r="V135" s="69"/>
      <c r="W135" s="69">
        <v>0</v>
      </c>
      <c r="X135" s="69">
        <v>0</v>
      </c>
      <c r="Z135" s="8"/>
    </row>
    <row r="136" spans="2:26" ht="12.75" customHeight="1" x14ac:dyDescent="0.2">
      <c r="C136" s="37"/>
      <c r="D136" s="37"/>
      <c r="E136" s="37"/>
      <c r="F136" s="37"/>
      <c r="Z136" s="8"/>
    </row>
    <row r="137" spans="2:26" ht="12.75" customHeight="1" x14ac:dyDescent="0.2">
      <c r="B137" s="30"/>
      <c r="C137" s="53"/>
      <c r="D137" s="53"/>
      <c r="E137" s="53"/>
      <c r="F137" s="53"/>
      <c r="Z137" s="8"/>
    </row>
    <row r="138" spans="2:26" ht="12.75" customHeight="1" x14ac:dyDescent="0.2">
      <c r="B138" s="30"/>
      <c r="C138" s="53"/>
      <c r="D138" s="53"/>
      <c r="E138" s="53"/>
      <c r="F138" s="53"/>
    </row>
    <row r="139" spans="2:26" ht="12.75" customHeight="1" x14ac:dyDescent="0.2">
      <c r="C139" s="37"/>
      <c r="D139" s="37"/>
      <c r="E139" s="37"/>
      <c r="F139" s="37"/>
    </row>
    <row r="140" spans="2:26" ht="12.75" customHeight="1" x14ac:dyDescent="0.2">
      <c r="C140" s="37"/>
      <c r="D140" s="37"/>
      <c r="E140" s="37"/>
      <c r="F140" s="37"/>
    </row>
    <row r="141" spans="2:26" ht="12.75" customHeight="1" x14ac:dyDescent="0.2">
      <c r="C141" s="37"/>
      <c r="D141" s="37"/>
      <c r="E141" s="37"/>
      <c r="F141" s="37"/>
    </row>
    <row r="142" spans="2:26" ht="12.75" customHeight="1" x14ac:dyDescent="0.2">
      <c r="C142" s="37"/>
      <c r="D142" s="37"/>
      <c r="E142" s="37"/>
      <c r="F142" s="37"/>
    </row>
    <row r="143" spans="2:26" ht="12.75" customHeight="1" x14ac:dyDescent="0.2">
      <c r="C143" s="37"/>
      <c r="D143" s="37"/>
      <c r="E143" s="37"/>
      <c r="F143" s="37"/>
    </row>
    <row r="144" spans="2:26" ht="12.75" customHeight="1" x14ac:dyDescent="0.2">
      <c r="C144" s="37"/>
      <c r="D144" s="37"/>
      <c r="E144" s="37"/>
      <c r="F144" s="37"/>
    </row>
    <row r="145" spans="3:6" ht="12.75" customHeight="1" x14ac:dyDescent="0.2">
      <c r="C145" s="37"/>
      <c r="D145" s="37"/>
      <c r="E145" s="37"/>
      <c r="F145" s="37"/>
    </row>
  </sheetData>
  <mergeCells count="1">
    <mergeCell ref="Z2:Z4"/>
  </mergeCells>
  <pageMargins left="0.7" right="0.7" top="0.75" bottom="0.75" header="0.3" footer="0.3"/>
  <ignoredErrors>
    <ignoredError sqref="O34:O36 W36 C67:U68 S113 B134:X135 C66:T66 V130:X130 V128:V129 W128:X129 W126:X127" formulaRange="1"/>
    <ignoredError sqref="V10:X17 K10:S17" formula="1"/>
    <ignoredError sqref="C72:T78 C69:T70 C79:S79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5572-73E5-4C1B-A98F-8905A110945B}">
  <dimension ref="A2:AI103"/>
  <sheetViews>
    <sheetView showGridLines="0" tabSelected="1" topLeftCell="A30" zoomScale="115" zoomScaleNormal="115" workbookViewId="0">
      <selection activeCell="U49" sqref="U49"/>
    </sheetView>
  </sheetViews>
  <sheetFormatPr defaultRowHeight="12.75" customHeight="1" outlineLevelRow="1" outlineLevelCol="1" x14ac:dyDescent="0.2"/>
  <cols>
    <col min="1" max="1" width="1.7109375" style="44" customWidth="1"/>
    <col min="2" max="2" width="53.140625" style="44" bestFit="1" customWidth="1"/>
    <col min="3" max="3" width="9.42578125" style="44" customWidth="1" outlineLevel="1"/>
    <col min="4" max="4" width="9.85546875" style="44" bestFit="1" customWidth="1"/>
    <col min="5" max="5" width="9.42578125" style="44" bestFit="1" customWidth="1"/>
    <col min="6" max="6" width="10.28515625" style="44" bestFit="1" customWidth="1"/>
    <col min="7" max="7" width="1.7109375" style="44" customWidth="1"/>
    <col min="8" max="10" width="9" style="44" hidden="1" customWidth="1" outlineLevel="1"/>
    <col min="11" max="11" width="10" style="44" hidden="1" customWidth="1" outlineLevel="1"/>
    <col min="12" max="14" width="9.140625" style="44" hidden="1" customWidth="1" outlineLevel="1"/>
    <col min="15" max="15" width="10" style="44" hidden="1" customWidth="1" outlineLevel="1"/>
    <col min="16" max="16" width="9.7109375" style="44" hidden="1" customWidth="1" outlineLevel="1"/>
    <col min="17" max="17" width="9.42578125" style="44" bestFit="1" customWidth="1" collapsed="1"/>
    <col min="18" max="18" width="9.7109375" style="44" bestFit="1" customWidth="1"/>
    <col min="19" max="21" width="10.42578125" style="44" bestFit="1" customWidth="1"/>
    <col min="22" max="22" width="1.7109375" style="44" customWidth="1"/>
    <col min="23" max="28" width="10" style="44" hidden="1" customWidth="1" outlineLevel="1"/>
    <col min="29" max="29" width="10" style="44" bestFit="1" customWidth="1" collapsed="1"/>
    <col min="30" max="32" width="10" style="44" hidden="1" customWidth="1" outlineLevel="1"/>
    <col min="33" max="33" width="10" style="44" bestFit="1" customWidth="1" collapsed="1"/>
    <col min="34" max="34" width="1.7109375" style="44" customWidth="1"/>
    <col min="35" max="35" width="11.28515625" style="44" bestFit="1" customWidth="1"/>
    <col min="36" max="16384" width="9.140625" style="44"/>
  </cols>
  <sheetData>
    <row r="2" spans="2:35" s="9" customFormat="1" ht="12.75" customHeight="1" x14ac:dyDescent="0.2">
      <c r="B2" s="2" t="s">
        <v>92</v>
      </c>
      <c r="C2" s="4" t="s">
        <v>7</v>
      </c>
      <c r="D2" s="4" t="s">
        <v>7</v>
      </c>
      <c r="E2" s="4"/>
      <c r="F2" s="4"/>
      <c r="G2" s="5"/>
      <c r="H2" s="4" t="s">
        <v>8</v>
      </c>
      <c r="I2" s="4"/>
      <c r="J2" s="4"/>
      <c r="K2" s="4"/>
      <c r="L2" s="4"/>
      <c r="M2" s="4"/>
      <c r="N2" s="4"/>
      <c r="O2" s="4"/>
      <c r="P2" s="4" t="s">
        <v>8</v>
      </c>
      <c r="Q2" s="4" t="s">
        <v>8</v>
      </c>
      <c r="R2" s="4"/>
      <c r="S2" s="4"/>
      <c r="T2" s="4"/>
      <c r="U2" s="4"/>
      <c r="V2" s="5"/>
      <c r="W2" s="4" t="s">
        <v>9</v>
      </c>
      <c r="X2" s="4"/>
      <c r="Y2" s="4"/>
      <c r="Z2" s="4"/>
      <c r="AA2" s="4" t="s">
        <v>9</v>
      </c>
      <c r="AB2" s="4"/>
      <c r="AC2" s="4"/>
      <c r="AD2" s="4"/>
      <c r="AE2" s="4"/>
      <c r="AF2" s="4"/>
      <c r="AG2" s="4"/>
      <c r="AH2" s="5"/>
      <c r="AI2" s="100" t="s">
        <v>95</v>
      </c>
    </row>
    <row r="3" spans="2:35" s="9" customFormat="1" ht="12.75" customHeight="1" x14ac:dyDescent="0.2">
      <c r="B3" s="3" t="s">
        <v>41</v>
      </c>
      <c r="C3" s="6">
        <v>2021</v>
      </c>
      <c r="D3" s="6">
        <v>2022</v>
      </c>
      <c r="E3" s="6">
        <v>2023</v>
      </c>
      <c r="F3" s="6">
        <v>2024</v>
      </c>
      <c r="G3" s="5"/>
      <c r="H3" s="7" t="s">
        <v>47</v>
      </c>
      <c r="I3" s="7" t="s">
        <v>48</v>
      </c>
      <c r="J3" s="7" t="s">
        <v>49</v>
      </c>
      <c r="K3" s="7" t="s">
        <v>50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55</v>
      </c>
      <c r="Q3" s="7" t="s">
        <v>56</v>
      </c>
      <c r="R3" s="7" t="s">
        <v>57</v>
      </c>
      <c r="S3" s="7" t="s">
        <v>150</v>
      </c>
      <c r="T3" s="7" t="s">
        <v>178</v>
      </c>
      <c r="U3" s="7" t="s">
        <v>179</v>
      </c>
      <c r="V3" s="5"/>
      <c r="W3" s="7" t="str">
        <f t="shared" ref="W3:W4" si="0">K3</f>
        <v>4Q22</v>
      </c>
      <c r="X3" s="7" t="str">
        <f t="shared" ref="X3:X4" si="1">L3</f>
        <v>1Q23</v>
      </c>
      <c r="Y3" s="7" t="str">
        <f t="shared" ref="Y3:Y4" si="2">M3</f>
        <v>2Q23</v>
      </c>
      <c r="Z3" s="7" t="str">
        <f t="shared" ref="Z3:Z4" si="3">N3</f>
        <v>3Q23</v>
      </c>
      <c r="AA3" s="7" t="str">
        <f t="shared" ref="AA3:AD4" si="4">O3</f>
        <v>4Q23</v>
      </c>
      <c r="AB3" s="7" t="str">
        <f t="shared" si="4"/>
        <v>1Q24</v>
      </c>
      <c r="AC3" s="7" t="str">
        <f t="shared" si="4"/>
        <v>2Q24</v>
      </c>
      <c r="AD3" s="7" t="str">
        <f t="shared" si="4"/>
        <v>3Q24</v>
      </c>
      <c r="AE3" s="7" t="str">
        <f>S3</f>
        <v>4Q24</v>
      </c>
      <c r="AF3" s="7" t="str">
        <f t="shared" ref="AF3:AG4" si="5">T3</f>
        <v>1Q25</v>
      </c>
      <c r="AG3" s="7" t="str">
        <f t="shared" si="5"/>
        <v>2Q25</v>
      </c>
      <c r="AH3" s="5"/>
      <c r="AI3" s="100"/>
    </row>
    <row r="4" spans="2:35" s="9" customFormat="1" ht="12.75" customHeight="1" x14ac:dyDescent="0.2">
      <c r="B4" s="3" t="s">
        <v>94</v>
      </c>
      <c r="C4" s="5">
        <v>44561</v>
      </c>
      <c r="D4" s="5">
        <v>44926</v>
      </c>
      <c r="E4" s="5">
        <v>45291</v>
      </c>
      <c r="F4" s="5">
        <v>45657</v>
      </c>
      <c r="G4" s="5"/>
      <c r="H4" s="5">
        <v>44651</v>
      </c>
      <c r="I4" s="5">
        <v>44742</v>
      </c>
      <c r="J4" s="5">
        <v>44834</v>
      </c>
      <c r="K4" s="5">
        <v>44926</v>
      </c>
      <c r="L4" s="5">
        <v>45016</v>
      </c>
      <c r="M4" s="5">
        <v>45107</v>
      </c>
      <c r="N4" s="5">
        <v>45199</v>
      </c>
      <c r="O4" s="5">
        <v>45291</v>
      </c>
      <c r="P4" s="5">
        <v>45382</v>
      </c>
      <c r="Q4" s="5">
        <v>45473</v>
      </c>
      <c r="R4" s="5">
        <v>45565</v>
      </c>
      <c r="S4" s="5">
        <v>45657</v>
      </c>
      <c r="T4" s="5">
        <v>45747</v>
      </c>
      <c r="U4" s="5">
        <v>45838</v>
      </c>
      <c r="V4" s="5"/>
      <c r="W4" s="5">
        <f t="shared" si="0"/>
        <v>44926</v>
      </c>
      <c r="X4" s="5">
        <f t="shared" si="1"/>
        <v>45016</v>
      </c>
      <c r="Y4" s="5">
        <f t="shared" si="2"/>
        <v>45107</v>
      </c>
      <c r="Z4" s="5">
        <f t="shared" si="3"/>
        <v>45199</v>
      </c>
      <c r="AA4" s="5">
        <f t="shared" si="4"/>
        <v>45291</v>
      </c>
      <c r="AB4" s="5">
        <f t="shared" si="4"/>
        <v>45382</v>
      </c>
      <c r="AC4" s="5">
        <f t="shared" si="4"/>
        <v>45473</v>
      </c>
      <c r="AD4" s="5">
        <f t="shared" si="4"/>
        <v>45565</v>
      </c>
      <c r="AE4" s="5">
        <f>S4</f>
        <v>45657</v>
      </c>
      <c r="AF4" s="5">
        <f t="shared" si="5"/>
        <v>45747</v>
      </c>
      <c r="AG4" s="5">
        <f t="shared" si="5"/>
        <v>45838</v>
      </c>
      <c r="AH4" s="5"/>
      <c r="AI4" s="100"/>
    </row>
    <row r="5" spans="2:35" ht="5.0999999999999996" customHeight="1" x14ac:dyDescent="0.2">
      <c r="AI5" s="83"/>
    </row>
    <row r="6" spans="2:35" ht="12.75" customHeight="1" x14ac:dyDescent="0.2">
      <c r="B6" s="33" t="s">
        <v>43</v>
      </c>
      <c r="C6" s="73">
        <f>'3-Statement Model'!C8</f>
        <v>101804</v>
      </c>
      <c r="D6" s="73">
        <f>'3-Statement Model'!D8</f>
        <v>86498</v>
      </c>
      <c r="E6" s="73">
        <f>'3-Statement Model'!E8</f>
        <v>75351</v>
      </c>
      <c r="F6" s="73">
        <f>'3-Statement Model'!F8</f>
        <v>48567</v>
      </c>
      <c r="G6" s="73"/>
      <c r="H6" s="73">
        <f>'3-Statement Model'!H8</f>
        <v>16513</v>
      </c>
      <c r="I6" s="73">
        <f>'3-Statement Model'!I8</f>
        <v>20129</v>
      </c>
      <c r="J6" s="73">
        <f>'3-Statement Model'!J8</f>
        <v>22286</v>
      </c>
      <c r="K6" s="73">
        <f>'3-Statement Model'!K8</f>
        <v>27570</v>
      </c>
      <c r="L6" s="73">
        <f>'3-Statement Model'!L8</f>
        <v>17412</v>
      </c>
      <c r="M6" s="73">
        <f>'3-Statement Model'!M8</f>
        <v>15522</v>
      </c>
      <c r="N6" s="73">
        <f>'3-Statement Model'!N8</f>
        <v>24045</v>
      </c>
      <c r="O6" s="73">
        <f>'3-Statement Model'!O8</f>
        <v>18372</v>
      </c>
      <c r="P6" s="73">
        <f>'3-Statement Model'!P8</f>
        <v>12938</v>
      </c>
      <c r="Q6" s="73">
        <f>'3-Statement Model'!Q8</f>
        <v>9286</v>
      </c>
      <c r="R6" s="73">
        <f>'3-Statement Model'!R8</f>
        <v>11087</v>
      </c>
      <c r="S6" s="73">
        <f>'3-Statement Model'!S8</f>
        <v>15256</v>
      </c>
      <c r="T6" s="73">
        <f>'3-Statement Model'!T8</f>
        <v>7270</v>
      </c>
      <c r="U6" s="73">
        <f>'3-Statement Model'!U8</f>
        <v>7177</v>
      </c>
      <c r="V6" s="9"/>
      <c r="W6" s="12">
        <f t="shared" ref="W6:AE6" si="6">SUM(H6:K6)</f>
        <v>86498</v>
      </c>
      <c r="X6" s="12">
        <f t="shared" si="6"/>
        <v>87397</v>
      </c>
      <c r="Y6" s="12">
        <f t="shared" si="6"/>
        <v>82790</v>
      </c>
      <c r="Z6" s="12">
        <f t="shared" si="6"/>
        <v>84549</v>
      </c>
      <c r="AA6" s="12">
        <f t="shared" si="6"/>
        <v>75351</v>
      </c>
      <c r="AB6" s="12">
        <f t="shared" si="6"/>
        <v>70877</v>
      </c>
      <c r="AC6" s="12">
        <f t="shared" si="6"/>
        <v>64641</v>
      </c>
      <c r="AD6" s="12">
        <f t="shared" si="6"/>
        <v>51683</v>
      </c>
      <c r="AE6" s="12">
        <f t="shared" si="6"/>
        <v>48567</v>
      </c>
      <c r="AF6" s="12">
        <f t="shared" ref="AF6:AG9" si="7">SUM(Q6:T6)</f>
        <v>42899</v>
      </c>
      <c r="AG6" s="12">
        <f t="shared" si="7"/>
        <v>40790</v>
      </c>
      <c r="AI6" s="96">
        <f>SUM(AG6/AC6)-1</f>
        <v>-0.36897634628177167</v>
      </c>
    </row>
    <row r="7" spans="2:35" ht="12.75" customHeight="1" x14ac:dyDescent="0.2">
      <c r="B7" s="33" t="s">
        <v>44</v>
      </c>
      <c r="C7" s="73">
        <f>'3-Statement Model'!C9</f>
        <v>43069</v>
      </c>
      <c r="D7" s="73">
        <f>'3-Statement Model'!D9</f>
        <v>60746</v>
      </c>
      <c r="E7" s="73">
        <f>'3-Statement Model'!E9</f>
        <v>81179</v>
      </c>
      <c r="F7" s="73">
        <f>'3-Statement Model'!F9</f>
        <v>106776</v>
      </c>
      <c r="G7" s="73"/>
      <c r="H7" s="73">
        <f>'3-Statement Model'!H9</f>
        <v>12845</v>
      </c>
      <c r="I7" s="73">
        <f>'3-Statement Model'!I9</f>
        <v>14017</v>
      </c>
      <c r="J7" s="73">
        <f>'3-Statement Model'!J9</f>
        <v>16414</v>
      </c>
      <c r="K7" s="73">
        <f>'3-Statement Model'!K9</f>
        <v>17470</v>
      </c>
      <c r="L7" s="73">
        <f>'3-Statement Model'!L9</f>
        <v>18810</v>
      </c>
      <c r="M7" s="73">
        <f>'3-Statement Model'!M9</f>
        <v>19878</v>
      </c>
      <c r="N7" s="73">
        <f>'3-Statement Model'!N9</f>
        <v>20974</v>
      </c>
      <c r="O7" s="73">
        <f>'3-Statement Model'!O9</f>
        <v>21517</v>
      </c>
      <c r="P7" s="73">
        <f>'3-Statement Model'!P9</f>
        <v>22966</v>
      </c>
      <c r="Q7" s="73">
        <f>'3-Statement Model'!Q9</f>
        <v>24080</v>
      </c>
      <c r="R7" s="73">
        <f>'3-Statement Model'!R9</f>
        <v>27800</v>
      </c>
      <c r="S7" s="73">
        <f>'3-Statement Model'!S9</f>
        <v>31930</v>
      </c>
      <c r="T7" s="73">
        <f>'3-Statement Model'!T9</f>
        <v>37103</v>
      </c>
      <c r="U7" s="73">
        <f>'3-Statement Model'!U9</f>
        <v>40824</v>
      </c>
      <c r="V7" s="9"/>
      <c r="W7" s="12">
        <f t="shared" ref="W7:AD9" si="8">SUM(H7:K7)</f>
        <v>60746</v>
      </c>
      <c r="X7" s="12">
        <f t="shared" si="8"/>
        <v>66711</v>
      </c>
      <c r="Y7" s="12">
        <f t="shared" si="8"/>
        <v>72572</v>
      </c>
      <c r="Z7" s="12">
        <f t="shared" si="8"/>
        <v>77132</v>
      </c>
      <c r="AA7" s="12">
        <f t="shared" si="8"/>
        <v>81179</v>
      </c>
      <c r="AB7" s="12">
        <f t="shared" si="8"/>
        <v>85335</v>
      </c>
      <c r="AC7" s="12">
        <f t="shared" si="8"/>
        <v>89537</v>
      </c>
      <c r="AD7" s="12">
        <f t="shared" si="8"/>
        <v>96363</v>
      </c>
      <c r="AE7" s="12">
        <f t="shared" ref="AE7:AE9" si="9">SUM(P7:S7)</f>
        <v>106776</v>
      </c>
      <c r="AF7" s="12">
        <f t="shared" si="7"/>
        <v>120913</v>
      </c>
      <c r="AG7" s="12">
        <f t="shared" si="7"/>
        <v>137657</v>
      </c>
      <c r="AI7" s="96">
        <f t="shared" ref="AI7:AI10" si="10">SUM(AG7/AC7)-1</f>
        <v>0.53743145291890504</v>
      </c>
    </row>
    <row r="8" spans="2:35" ht="12.75" customHeight="1" x14ac:dyDescent="0.2">
      <c r="B8" s="33" t="s">
        <v>45</v>
      </c>
      <c r="C8" s="73">
        <f>'3-Statement Model'!C11</f>
        <v>281209</v>
      </c>
      <c r="D8" s="73">
        <f>'3-Statement Model'!D11</f>
        <v>266521</v>
      </c>
      <c r="E8" s="73">
        <f>'3-Statement Model'!E11</f>
        <v>263888</v>
      </c>
      <c r="F8" s="73">
        <f>'3-Statement Model'!F11</f>
        <v>243805</v>
      </c>
      <c r="G8" s="73"/>
      <c r="H8" s="73">
        <f>'3-Statement Model'!H11</f>
        <v>67151</v>
      </c>
      <c r="I8" s="73">
        <f>'3-Statement Model'!I11</f>
        <v>66521</v>
      </c>
      <c r="J8" s="73">
        <f>'3-Statement Model'!J11</f>
        <v>66010</v>
      </c>
      <c r="K8" s="73">
        <f>'3-Statement Model'!K11</f>
        <v>66839</v>
      </c>
      <c r="L8" s="73">
        <f>'3-Statement Model'!L11</f>
        <v>65481</v>
      </c>
      <c r="M8" s="73">
        <f>'3-Statement Model'!M11</f>
        <v>66081</v>
      </c>
      <c r="N8" s="73">
        <f>'3-Statement Model'!N11</f>
        <v>66860</v>
      </c>
      <c r="O8" s="73">
        <f>'3-Statement Model'!O11</f>
        <v>65466</v>
      </c>
      <c r="P8" s="73">
        <f>'3-Statement Model'!P11</f>
        <v>62685</v>
      </c>
      <c r="Q8" s="73">
        <f>'3-Statement Model'!Q11</f>
        <v>61740</v>
      </c>
      <c r="R8" s="73">
        <f>'3-Statement Model'!R11</f>
        <v>61015</v>
      </c>
      <c r="S8" s="73">
        <f>'3-Statement Model'!S11</f>
        <v>58365</v>
      </c>
      <c r="T8" s="73">
        <f>'3-Statement Model'!T11</f>
        <v>52529</v>
      </c>
      <c r="U8" s="73">
        <f>'3-Statement Model'!U11</f>
        <v>52081</v>
      </c>
      <c r="V8" s="9"/>
      <c r="W8" s="12">
        <f t="shared" si="8"/>
        <v>266521</v>
      </c>
      <c r="X8" s="12">
        <f t="shared" si="8"/>
        <v>264851</v>
      </c>
      <c r="Y8" s="12">
        <f t="shared" si="8"/>
        <v>264411</v>
      </c>
      <c r="Z8" s="12">
        <f t="shared" si="8"/>
        <v>265261</v>
      </c>
      <c r="AA8" s="12">
        <f t="shared" si="8"/>
        <v>263888</v>
      </c>
      <c r="AB8" s="12">
        <f t="shared" si="8"/>
        <v>261092</v>
      </c>
      <c r="AC8" s="12">
        <f t="shared" si="8"/>
        <v>256751</v>
      </c>
      <c r="AD8" s="12">
        <f t="shared" si="8"/>
        <v>250906</v>
      </c>
      <c r="AE8" s="12">
        <f t="shared" si="9"/>
        <v>243805</v>
      </c>
      <c r="AF8" s="12">
        <f t="shared" si="7"/>
        <v>233649</v>
      </c>
      <c r="AG8" s="12">
        <f t="shared" si="7"/>
        <v>223990</v>
      </c>
      <c r="AI8" s="96">
        <f t="shared" si="10"/>
        <v>-0.1275983345731857</v>
      </c>
    </row>
    <row r="9" spans="2:35" ht="12.75" customHeight="1" x14ac:dyDescent="0.2">
      <c r="B9" s="33" t="s">
        <v>46</v>
      </c>
      <c r="C9" s="73">
        <f>'3-Statement Model'!C12</f>
        <v>84680</v>
      </c>
      <c r="D9" s="73">
        <f>'3-Statement Model'!D12</f>
        <v>85499</v>
      </c>
      <c r="E9" s="73">
        <f>'3-Statement Model'!E12</f>
        <v>75843</v>
      </c>
      <c r="F9" s="73">
        <f>'3-Statement Model'!F12</f>
        <v>64308</v>
      </c>
      <c r="G9" s="73"/>
      <c r="H9" s="73">
        <f>'3-Statement Model'!H12</f>
        <v>22768</v>
      </c>
      <c r="I9" s="73">
        <f>'3-Statement Model'!I12</f>
        <v>21406</v>
      </c>
      <c r="J9" s="73">
        <f>'3-Statement Model'!J12</f>
        <v>20650</v>
      </c>
      <c r="K9" s="73">
        <f>'3-Statement Model'!K12</f>
        <v>20675</v>
      </c>
      <c r="L9" s="73">
        <f>'3-Statement Model'!L12</f>
        <v>20212</v>
      </c>
      <c r="M9" s="73">
        <f>'3-Statement Model'!M12</f>
        <v>18919</v>
      </c>
      <c r="N9" s="73">
        <f>'3-Statement Model'!N12</f>
        <v>17583</v>
      </c>
      <c r="O9" s="73">
        <f>'3-Statement Model'!O12</f>
        <v>19129</v>
      </c>
      <c r="P9" s="73">
        <f>'3-Statement Model'!P12</f>
        <v>16657</v>
      </c>
      <c r="Q9" s="73">
        <f>'3-Statement Model'!Q12</f>
        <v>16336</v>
      </c>
      <c r="R9" s="73">
        <f>'3-Statement Model'!R12</f>
        <v>16169</v>
      </c>
      <c r="S9" s="73">
        <f>'3-Statement Model'!S12</f>
        <v>15146</v>
      </c>
      <c r="T9" s="73">
        <f>'3-Statement Model'!T12</f>
        <v>14164</v>
      </c>
      <c r="U9" s="73">
        <f>'3-Statement Model'!U12</f>
        <v>14406</v>
      </c>
      <c r="V9" s="9"/>
      <c r="W9" s="12">
        <f t="shared" si="8"/>
        <v>85499</v>
      </c>
      <c r="X9" s="12">
        <f t="shared" si="8"/>
        <v>82943</v>
      </c>
      <c r="Y9" s="12">
        <f t="shared" si="8"/>
        <v>80456</v>
      </c>
      <c r="Z9" s="12">
        <f t="shared" si="8"/>
        <v>77389</v>
      </c>
      <c r="AA9" s="12">
        <f t="shared" si="8"/>
        <v>75843</v>
      </c>
      <c r="AB9" s="12">
        <f t="shared" si="8"/>
        <v>72288</v>
      </c>
      <c r="AC9" s="12">
        <f t="shared" si="8"/>
        <v>69705</v>
      </c>
      <c r="AD9" s="12">
        <f t="shared" si="8"/>
        <v>68291</v>
      </c>
      <c r="AE9" s="12">
        <f t="shared" si="9"/>
        <v>64308</v>
      </c>
      <c r="AF9" s="12">
        <f t="shared" si="7"/>
        <v>61815</v>
      </c>
      <c r="AG9" s="12">
        <f t="shared" si="7"/>
        <v>59885</v>
      </c>
      <c r="AI9" s="96">
        <f t="shared" si="10"/>
        <v>-0.14087942041460444</v>
      </c>
    </row>
    <row r="10" spans="2:35" ht="12.75" customHeight="1" x14ac:dyDescent="0.2">
      <c r="B10" s="54" t="s">
        <v>96</v>
      </c>
      <c r="C10" s="55">
        <f>SUM(C6:C9)</f>
        <v>510762</v>
      </c>
      <c r="D10" s="55">
        <f t="shared" ref="D10:Q10" si="11">SUM(D6:D9)</f>
        <v>499264</v>
      </c>
      <c r="E10" s="55">
        <f t="shared" si="11"/>
        <v>496261</v>
      </c>
      <c r="F10" s="55">
        <f t="shared" si="11"/>
        <v>463456</v>
      </c>
      <c r="G10" s="12"/>
      <c r="H10" s="55">
        <f t="shared" si="11"/>
        <v>119277</v>
      </c>
      <c r="I10" s="55">
        <f t="shared" si="11"/>
        <v>122073</v>
      </c>
      <c r="J10" s="55">
        <f t="shared" si="11"/>
        <v>125360</v>
      </c>
      <c r="K10" s="55">
        <f t="shared" si="11"/>
        <v>132554</v>
      </c>
      <c r="L10" s="55">
        <f t="shared" si="11"/>
        <v>121915</v>
      </c>
      <c r="M10" s="55">
        <f t="shared" si="11"/>
        <v>120400</v>
      </c>
      <c r="N10" s="55">
        <f t="shared" si="11"/>
        <v>129462</v>
      </c>
      <c r="O10" s="55">
        <f t="shared" si="11"/>
        <v>124484</v>
      </c>
      <c r="P10" s="55">
        <f t="shared" si="11"/>
        <v>115246</v>
      </c>
      <c r="Q10" s="55">
        <f t="shared" si="11"/>
        <v>111442</v>
      </c>
      <c r="R10" s="55">
        <f>SUM(R6:R9)</f>
        <v>116071</v>
      </c>
      <c r="S10" s="55">
        <f>SUM(S6:S9)</f>
        <v>120697</v>
      </c>
      <c r="T10" s="55">
        <f t="shared" ref="T10:U10" si="12">SUM(T6:T9)</f>
        <v>111066</v>
      </c>
      <c r="U10" s="55">
        <f t="shared" si="12"/>
        <v>114488</v>
      </c>
      <c r="V10" s="9"/>
      <c r="W10" s="55">
        <f t="shared" ref="W10" si="13">SUM(W6:W9)</f>
        <v>499264</v>
      </c>
      <c r="X10" s="55">
        <f t="shared" ref="X10" si="14">SUM(X6:X9)</f>
        <v>501902</v>
      </c>
      <c r="Y10" s="55">
        <f t="shared" ref="Y10" si="15">SUM(Y6:Y9)</f>
        <v>500229</v>
      </c>
      <c r="Z10" s="55">
        <f t="shared" ref="Z10" si="16">SUM(Z6:Z9)</f>
        <v>504331</v>
      </c>
      <c r="AA10" s="55">
        <f t="shared" ref="AA10" si="17">SUM(AA6:AA9)</f>
        <v>496261</v>
      </c>
      <c r="AB10" s="55">
        <f t="shared" ref="AB10" si="18">SUM(AB6:AB9)</f>
        <v>489592</v>
      </c>
      <c r="AC10" s="55">
        <f t="shared" ref="AC10" si="19">SUM(AC6:AC9)</f>
        <v>480634</v>
      </c>
      <c r="AD10" s="55">
        <f t="shared" ref="AD10" si="20">SUM(AD6:AD9)</f>
        <v>467243</v>
      </c>
      <c r="AE10" s="55">
        <f t="shared" ref="AE10" si="21">SUM(AE6:AE9)</f>
        <v>463456</v>
      </c>
      <c r="AF10" s="55">
        <f t="shared" ref="AF10" si="22">SUM(AF6:AF9)</f>
        <v>459276</v>
      </c>
      <c r="AG10" s="55">
        <f t="shared" ref="AG10" si="23">SUM(AG6:AG9)</f>
        <v>462322</v>
      </c>
      <c r="AI10" s="97">
        <f t="shared" si="10"/>
        <v>-3.8099676677055716E-2</v>
      </c>
    </row>
    <row r="11" spans="2:35" ht="12.75" customHeight="1" x14ac:dyDescent="0.2">
      <c r="B11" s="64" t="s">
        <v>171</v>
      </c>
      <c r="C11" s="82"/>
      <c r="D11" s="65">
        <f>SUM(D10/C10)-1</f>
        <v>-2.2511463264690779E-2</v>
      </c>
      <c r="E11" s="65">
        <f t="shared" ref="E11:F11" si="24">SUM(E10/D10)-1</f>
        <v>-6.0148538648890915E-3</v>
      </c>
      <c r="F11" s="65">
        <f t="shared" si="24"/>
        <v>-6.6104328166025517E-2</v>
      </c>
      <c r="G11" s="12"/>
      <c r="H11" s="82"/>
      <c r="I11" s="82"/>
      <c r="J11" s="82"/>
      <c r="K11" s="82"/>
      <c r="L11" s="65">
        <f>SUM(L10/H10)-1</f>
        <v>2.211658576255271E-2</v>
      </c>
      <c r="M11" s="65">
        <f t="shared" ref="M11:S11" si="25">SUM(M10/I10)-1</f>
        <v>-1.3704914272607338E-2</v>
      </c>
      <c r="N11" s="65">
        <f t="shared" si="25"/>
        <v>3.2721761327377141E-2</v>
      </c>
      <c r="O11" s="65">
        <f t="shared" si="25"/>
        <v>-6.0880848559832224E-2</v>
      </c>
      <c r="P11" s="65">
        <f t="shared" si="25"/>
        <v>-5.4702046507812851E-2</v>
      </c>
      <c r="Q11" s="65">
        <f t="shared" si="25"/>
        <v>-7.4401993355481699E-2</v>
      </c>
      <c r="R11" s="65">
        <f t="shared" si="25"/>
        <v>-0.10343575721061005</v>
      </c>
      <c r="S11" s="65">
        <f t="shared" si="25"/>
        <v>-3.042158028340991E-2</v>
      </c>
      <c r="T11" s="65">
        <f t="shared" ref="T11" si="26">SUM(T10/P10)-1</f>
        <v>-3.6270239314162733E-2</v>
      </c>
      <c r="U11" s="65">
        <f t="shared" ref="U11" si="27">SUM(U10/Q10)-1</f>
        <v>2.7332603506756925E-2</v>
      </c>
      <c r="V11" s="9"/>
      <c r="W11" s="82"/>
      <c r="X11" s="82"/>
      <c r="Y11" s="82"/>
      <c r="Z11" s="82"/>
      <c r="AA11" s="65">
        <f t="shared" ref="AA11:AD11" si="28">SUM(AA10/W10)-1</f>
        <v>-6.0148538648890915E-3</v>
      </c>
      <c r="AB11" s="65">
        <f t="shared" si="28"/>
        <v>-2.4526700431558357E-2</v>
      </c>
      <c r="AC11" s="65">
        <f t="shared" si="28"/>
        <v>-3.9172059196887821E-2</v>
      </c>
      <c r="AD11" s="65">
        <f t="shared" si="28"/>
        <v>-7.3539005137499003E-2</v>
      </c>
      <c r="AE11" s="65">
        <f>SUM(AE10/AA10)-1</f>
        <v>-6.6104328166025517E-2</v>
      </c>
      <c r="AF11" s="65">
        <f t="shared" ref="AF11:AG11" si="29">SUM(AF10/AB10)-1</f>
        <v>-6.1920946420693124E-2</v>
      </c>
      <c r="AG11" s="65">
        <f t="shared" si="29"/>
        <v>-3.8099676677055716E-2</v>
      </c>
      <c r="AI11" s="99">
        <f>SUM(AG11-AC11)*10000</f>
        <v>10.723825198321046</v>
      </c>
    </row>
    <row r="12" spans="2:35" ht="12.75" customHeight="1" x14ac:dyDescent="0.2">
      <c r="B12" s="64" t="s">
        <v>172</v>
      </c>
      <c r="C12" s="65" t="s">
        <v>177</v>
      </c>
      <c r="D12" s="65" t="s">
        <v>177</v>
      </c>
      <c r="E12" s="65" t="s">
        <v>177</v>
      </c>
      <c r="F12" s="65" t="s">
        <v>177</v>
      </c>
      <c r="G12" s="12"/>
      <c r="H12" s="82"/>
      <c r="I12" s="65">
        <f>SUM(I10/H10)-1</f>
        <v>2.3441233431424235E-2</v>
      </c>
      <c r="J12" s="65">
        <f t="shared" ref="J12:K12" si="30">SUM(J10/I10)-1</f>
        <v>2.6926511185929813E-2</v>
      </c>
      <c r="K12" s="65">
        <f t="shared" si="30"/>
        <v>5.7386726228461971E-2</v>
      </c>
      <c r="L12" s="65">
        <f t="shared" ref="L12:S12" si="31">SUM(L10/K10)-1</f>
        <v>-8.0261629222807329E-2</v>
      </c>
      <c r="M12" s="65">
        <f t="shared" si="31"/>
        <v>-1.2426690727145973E-2</v>
      </c>
      <c r="N12" s="65">
        <f t="shared" si="31"/>
        <v>7.5265780730896958E-2</v>
      </c>
      <c r="O12" s="65">
        <f t="shared" si="31"/>
        <v>-3.8451437487448059E-2</v>
      </c>
      <c r="P12" s="65">
        <f t="shared" si="31"/>
        <v>-7.4210340284695198E-2</v>
      </c>
      <c r="Q12" s="65">
        <f t="shared" si="31"/>
        <v>-3.300765319403709E-2</v>
      </c>
      <c r="R12" s="65">
        <f t="shared" si="31"/>
        <v>4.1537301914897462E-2</v>
      </c>
      <c r="S12" s="65">
        <f t="shared" si="31"/>
        <v>3.9854916387383588E-2</v>
      </c>
      <c r="T12" s="65">
        <f t="shared" ref="T12:U12" si="32">SUM(T10/S10)-1</f>
        <v>-7.9794858198629637E-2</v>
      </c>
      <c r="U12" s="65">
        <f t="shared" si="32"/>
        <v>3.0810509066681036E-2</v>
      </c>
      <c r="V12" s="9"/>
      <c r="W12" s="65" t="s">
        <v>177</v>
      </c>
      <c r="X12" s="65" t="s">
        <v>177</v>
      </c>
      <c r="Y12" s="65" t="s">
        <v>177</v>
      </c>
      <c r="Z12" s="65" t="s">
        <v>177</v>
      </c>
      <c r="AA12" s="65" t="s">
        <v>177</v>
      </c>
      <c r="AB12" s="65" t="s">
        <v>177</v>
      </c>
      <c r="AC12" s="65" t="s">
        <v>177</v>
      </c>
      <c r="AD12" s="65" t="s">
        <v>177</v>
      </c>
      <c r="AE12" s="65" t="s">
        <v>177</v>
      </c>
      <c r="AF12" s="65" t="s">
        <v>177</v>
      </c>
      <c r="AG12" s="65" t="s">
        <v>177</v>
      </c>
      <c r="AI12" s="83"/>
    </row>
    <row r="13" spans="2:35" ht="5.0999999999999996" customHeight="1" x14ac:dyDescent="0.2">
      <c r="B13" s="57"/>
      <c r="C13" s="58"/>
      <c r="D13" s="58"/>
      <c r="E13" s="58"/>
      <c r="F13" s="58"/>
      <c r="G13" s="56"/>
      <c r="H13" s="59"/>
      <c r="I13" s="59"/>
      <c r="J13" s="59"/>
      <c r="K13" s="60"/>
      <c r="L13" s="59"/>
      <c r="M13" s="59"/>
      <c r="N13" s="59"/>
      <c r="O13" s="60"/>
      <c r="P13" s="59"/>
      <c r="Q13" s="59"/>
      <c r="R13" s="59"/>
      <c r="S13" s="59"/>
      <c r="T13" s="59"/>
      <c r="U13" s="59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I13" s="83"/>
    </row>
    <row r="14" spans="2:35" ht="12.75" customHeight="1" outlineLevel="1" x14ac:dyDescent="0.2">
      <c r="B14" s="72" t="s">
        <v>102</v>
      </c>
      <c r="C14" s="11">
        <f>'3-Statement Model'!C15</f>
        <v>-1721</v>
      </c>
      <c r="D14" s="11">
        <f>'3-Statement Model'!D15</f>
        <v>-1672</v>
      </c>
      <c r="E14" s="11">
        <f>'3-Statement Model'!E15</f>
        <v>-1929</v>
      </c>
      <c r="F14" s="11">
        <f>'3-Statement Model'!F15</f>
        <v>-3060</v>
      </c>
      <c r="G14" s="11"/>
      <c r="H14" s="11">
        <f>'3-Statement Model'!H15</f>
        <v>-477</v>
      </c>
      <c r="I14" s="11">
        <f>'3-Statement Model'!I15</f>
        <v>-431</v>
      </c>
      <c r="J14" s="11">
        <f>'3-Statement Model'!J15</f>
        <v>-406</v>
      </c>
      <c r="K14" s="11">
        <f>'3-Statement Model'!K15</f>
        <v>-358</v>
      </c>
      <c r="L14" s="11">
        <f>'3-Statement Model'!L15</f>
        <v>-534</v>
      </c>
      <c r="M14" s="11">
        <f>'3-Statement Model'!M15</f>
        <v>-444</v>
      </c>
      <c r="N14" s="11">
        <f>'3-Statement Model'!N15</f>
        <v>-342</v>
      </c>
      <c r="O14" s="11">
        <f>'3-Statement Model'!O15</f>
        <v>-609</v>
      </c>
      <c r="P14" s="11">
        <f>'3-Statement Model'!P15</f>
        <v>-567</v>
      </c>
      <c r="Q14" s="11">
        <f>'3-Statement Model'!Q15</f>
        <v>-794</v>
      </c>
      <c r="R14" s="11">
        <f>'3-Statement Model'!R15</f>
        <v>-769</v>
      </c>
      <c r="S14" s="11">
        <f>'3-Statement Model'!S15</f>
        <v>-930</v>
      </c>
      <c r="T14" s="11">
        <f>'3-Statement Model'!T15</f>
        <v>-964</v>
      </c>
      <c r="U14" s="11">
        <f>'3-Statement Model'!U15</f>
        <v>-1169</v>
      </c>
      <c r="V14" s="9"/>
      <c r="W14" s="12">
        <f t="shared" ref="W14:W18" si="33">SUM(H14:K14)</f>
        <v>-1672</v>
      </c>
      <c r="X14" s="12">
        <f t="shared" ref="X14:X18" si="34">SUM(I14:L14)</f>
        <v>-1729</v>
      </c>
      <c r="Y14" s="12">
        <f t="shared" ref="Y14:Y18" si="35">SUM(J14:M14)</f>
        <v>-1742</v>
      </c>
      <c r="Z14" s="12">
        <f t="shared" ref="Z14:Z18" si="36">SUM(K14:N14)</f>
        <v>-1678</v>
      </c>
      <c r="AA14" s="12">
        <f t="shared" ref="AA14:AA18" si="37">SUM(L14:O14)</f>
        <v>-1929</v>
      </c>
      <c r="AB14" s="12">
        <f t="shared" ref="AB14:AB18" si="38">SUM(M14:P14)</f>
        <v>-1962</v>
      </c>
      <c r="AC14" s="12">
        <f t="shared" ref="AC14:AC18" si="39">SUM(N14:Q14)</f>
        <v>-2312</v>
      </c>
      <c r="AD14" s="12">
        <f t="shared" ref="AD14:AD18" si="40">SUM(O14:R14)</f>
        <v>-2739</v>
      </c>
      <c r="AE14" s="12">
        <f t="shared" ref="AE14:AE18" si="41">SUM(P14:S14)</f>
        <v>-3060</v>
      </c>
      <c r="AF14" s="12">
        <f t="shared" ref="AF14:AF18" si="42">SUM(Q14:T14)</f>
        <v>-3457</v>
      </c>
      <c r="AG14" s="12">
        <f t="shared" ref="AG14:AG18" si="43">SUM(R14:U14)</f>
        <v>-3832</v>
      </c>
      <c r="AI14" s="96">
        <f t="shared" ref="AI14:AI27" si="44">SUM(AG14/AC14)-1</f>
        <v>0.65743944636678209</v>
      </c>
    </row>
    <row r="15" spans="2:35" ht="12.75" customHeight="1" outlineLevel="1" x14ac:dyDescent="0.2">
      <c r="B15" s="72" t="s">
        <v>103</v>
      </c>
      <c r="C15" s="11">
        <f>'3-Statement Model'!C16</f>
        <v>-16901</v>
      </c>
      <c r="D15" s="11">
        <f>'3-Statement Model'!D16</f>
        <v>-24770</v>
      </c>
      <c r="E15" s="11">
        <f>'3-Statement Model'!E16</f>
        <v>-31776</v>
      </c>
      <c r="F15" s="11">
        <f>'3-Statement Model'!F16</f>
        <v>-42440</v>
      </c>
      <c r="G15" s="11"/>
      <c r="H15" s="11">
        <f>'3-Statement Model'!H16</f>
        <v>-5410</v>
      </c>
      <c r="I15" s="11">
        <f>'3-Statement Model'!I16</f>
        <v>-5498</v>
      </c>
      <c r="J15" s="11">
        <f>'3-Statement Model'!J16</f>
        <v>-6395</v>
      </c>
      <c r="K15" s="11">
        <f>'3-Statement Model'!K16</f>
        <v>-7467</v>
      </c>
      <c r="L15" s="11">
        <f>'3-Statement Model'!L16</f>
        <v>-7856</v>
      </c>
      <c r="M15" s="11">
        <f>'3-Statement Model'!M16</f>
        <v>-7216</v>
      </c>
      <c r="N15" s="11">
        <f>'3-Statement Model'!N16</f>
        <v>-8028</v>
      </c>
      <c r="O15" s="11">
        <f>'3-Statement Model'!O16</f>
        <v>-8676</v>
      </c>
      <c r="P15" s="11">
        <f>'3-Statement Model'!P16</f>
        <v>-8604</v>
      </c>
      <c r="Q15" s="11">
        <f>'3-Statement Model'!Q16</f>
        <v>-9560</v>
      </c>
      <c r="R15" s="11">
        <f>'3-Statement Model'!R16</f>
        <v>-11454</v>
      </c>
      <c r="S15" s="11">
        <f>'3-Statement Model'!S16</f>
        <v>-12822</v>
      </c>
      <c r="T15" s="11">
        <f>'3-Statement Model'!T16</f>
        <v>-14429</v>
      </c>
      <c r="U15" s="11">
        <f>'3-Statement Model'!U16</f>
        <v>-15906</v>
      </c>
      <c r="V15" s="9"/>
      <c r="W15" s="12">
        <f t="shared" si="33"/>
        <v>-24770</v>
      </c>
      <c r="X15" s="12">
        <f t="shared" si="34"/>
        <v>-27216</v>
      </c>
      <c r="Y15" s="12">
        <f t="shared" si="35"/>
        <v>-28934</v>
      </c>
      <c r="Z15" s="12">
        <f t="shared" si="36"/>
        <v>-30567</v>
      </c>
      <c r="AA15" s="12">
        <f t="shared" si="37"/>
        <v>-31776</v>
      </c>
      <c r="AB15" s="12">
        <f t="shared" si="38"/>
        <v>-32524</v>
      </c>
      <c r="AC15" s="12">
        <f t="shared" si="39"/>
        <v>-34868</v>
      </c>
      <c r="AD15" s="12">
        <f t="shared" si="40"/>
        <v>-38294</v>
      </c>
      <c r="AE15" s="12">
        <f t="shared" si="41"/>
        <v>-42440</v>
      </c>
      <c r="AF15" s="12">
        <f t="shared" si="42"/>
        <v>-48265</v>
      </c>
      <c r="AG15" s="12">
        <f t="shared" si="43"/>
        <v>-54611</v>
      </c>
      <c r="AI15" s="96">
        <f t="shared" si="44"/>
        <v>0.56622117701043928</v>
      </c>
    </row>
    <row r="16" spans="2:35" ht="12.75" customHeight="1" outlineLevel="1" x14ac:dyDescent="0.2">
      <c r="B16" s="72" t="s">
        <v>104</v>
      </c>
      <c r="C16" s="11">
        <f>'3-Statement Model'!C18</f>
        <v>-19254</v>
      </c>
      <c r="D16" s="11">
        <f>'3-Statement Model'!D18</f>
        <v>-21264</v>
      </c>
      <c r="E16" s="11">
        <f>'3-Statement Model'!E18</f>
        <v>-22434</v>
      </c>
      <c r="F16" s="11">
        <f>'3-Statement Model'!F18</f>
        <v>-33289</v>
      </c>
      <c r="G16" s="11"/>
      <c r="H16" s="11">
        <f>'3-Statement Model'!H18</f>
        <v>-5191</v>
      </c>
      <c r="I16" s="11">
        <f>'3-Statement Model'!I18</f>
        <v>-5127</v>
      </c>
      <c r="J16" s="11">
        <f>'3-Statement Model'!J18</f>
        <v>-5224</v>
      </c>
      <c r="K16" s="11">
        <f>'3-Statement Model'!K18</f>
        <v>-5722</v>
      </c>
      <c r="L16" s="11">
        <f>'3-Statement Model'!L18</f>
        <v>-5768</v>
      </c>
      <c r="M16" s="11">
        <f>'3-Statement Model'!M18</f>
        <v>-5816</v>
      </c>
      <c r="N16" s="11">
        <f>'3-Statement Model'!N18</f>
        <v>-5531</v>
      </c>
      <c r="O16" s="11">
        <f>'3-Statement Model'!O18</f>
        <v>-5319</v>
      </c>
      <c r="P16" s="11">
        <f>'3-Statement Model'!P18</f>
        <v>-8547</v>
      </c>
      <c r="Q16" s="11">
        <f>'3-Statement Model'!Q18</f>
        <v>-8193</v>
      </c>
      <c r="R16" s="11">
        <f>'3-Statement Model'!R18</f>
        <v>-8572</v>
      </c>
      <c r="S16" s="11">
        <f>'3-Statement Model'!S18</f>
        <v>-7977</v>
      </c>
      <c r="T16" s="11">
        <f>'3-Statement Model'!T18</f>
        <v>-7354</v>
      </c>
      <c r="U16" s="11">
        <f>'3-Statement Model'!U18</f>
        <v>-7291</v>
      </c>
      <c r="V16" s="9"/>
      <c r="W16" s="12">
        <f t="shared" si="33"/>
        <v>-21264</v>
      </c>
      <c r="X16" s="12">
        <f t="shared" si="34"/>
        <v>-21841</v>
      </c>
      <c r="Y16" s="12">
        <f t="shared" si="35"/>
        <v>-22530</v>
      </c>
      <c r="Z16" s="12">
        <f t="shared" si="36"/>
        <v>-22837</v>
      </c>
      <c r="AA16" s="12">
        <f t="shared" si="37"/>
        <v>-22434</v>
      </c>
      <c r="AB16" s="12">
        <f t="shared" si="38"/>
        <v>-25213</v>
      </c>
      <c r="AC16" s="12">
        <f t="shared" si="39"/>
        <v>-27590</v>
      </c>
      <c r="AD16" s="12">
        <f t="shared" si="40"/>
        <v>-30631</v>
      </c>
      <c r="AE16" s="12">
        <f t="shared" si="41"/>
        <v>-33289</v>
      </c>
      <c r="AF16" s="12">
        <f t="shared" si="42"/>
        <v>-32096</v>
      </c>
      <c r="AG16" s="12">
        <f t="shared" si="43"/>
        <v>-31194</v>
      </c>
      <c r="AI16" s="96">
        <f t="shared" si="44"/>
        <v>0.13062703878216753</v>
      </c>
    </row>
    <row r="17" spans="2:35" ht="12.75" customHeight="1" outlineLevel="1" x14ac:dyDescent="0.2">
      <c r="B17" s="72" t="s">
        <v>105</v>
      </c>
      <c r="C17" s="11">
        <f>'3-Statement Model'!C19</f>
        <v>-54033</v>
      </c>
      <c r="D17" s="11">
        <f>'3-Statement Model'!D19</f>
        <v>-55283</v>
      </c>
      <c r="E17" s="11">
        <f>'3-Statement Model'!E19</f>
        <v>-53805</v>
      </c>
      <c r="F17" s="11">
        <f>'3-Statement Model'!F19</f>
        <v>-50679</v>
      </c>
      <c r="G17" s="11"/>
      <c r="H17" s="11">
        <f>'3-Statement Model'!H19</f>
        <v>-14599</v>
      </c>
      <c r="I17" s="11">
        <f>'3-Statement Model'!I19</f>
        <v>-14148</v>
      </c>
      <c r="J17" s="11">
        <f>'3-Statement Model'!J19</f>
        <v>-13360</v>
      </c>
      <c r="K17" s="11">
        <f>'3-Statement Model'!K19</f>
        <v>-13176</v>
      </c>
      <c r="L17" s="11">
        <f>'3-Statement Model'!L19</f>
        <v>-13783</v>
      </c>
      <c r="M17" s="11">
        <f>'3-Statement Model'!M19</f>
        <v>-13645</v>
      </c>
      <c r="N17" s="11">
        <f>'3-Statement Model'!N19</f>
        <v>-12760</v>
      </c>
      <c r="O17" s="11">
        <f>'3-Statement Model'!O19</f>
        <v>-13617</v>
      </c>
      <c r="P17" s="11">
        <f>'3-Statement Model'!P19</f>
        <v>-12297</v>
      </c>
      <c r="Q17" s="11">
        <f>'3-Statement Model'!Q19</f>
        <v>-12388</v>
      </c>
      <c r="R17" s="11">
        <f>'3-Statement Model'!R19</f>
        <v>-13554</v>
      </c>
      <c r="S17" s="11">
        <f>'3-Statement Model'!S19</f>
        <v>-12440</v>
      </c>
      <c r="T17" s="11">
        <f>'3-Statement Model'!T19</f>
        <v>-11224</v>
      </c>
      <c r="U17" s="11">
        <f>'3-Statement Model'!U19</f>
        <v>-11384</v>
      </c>
      <c r="V17" s="9"/>
      <c r="W17" s="12">
        <f t="shared" si="33"/>
        <v>-55283</v>
      </c>
      <c r="X17" s="12">
        <f t="shared" si="34"/>
        <v>-54467</v>
      </c>
      <c r="Y17" s="12">
        <f t="shared" si="35"/>
        <v>-53964</v>
      </c>
      <c r="Z17" s="12">
        <f t="shared" si="36"/>
        <v>-53364</v>
      </c>
      <c r="AA17" s="12">
        <f t="shared" si="37"/>
        <v>-53805</v>
      </c>
      <c r="AB17" s="12">
        <f t="shared" si="38"/>
        <v>-52319</v>
      </c>
      <c r="AC17" s="12">
        <f t="shared" si="39"/>
        <v>-51062</v>
      </c>
      <c r="AD17" s="12">
        <f t="shared" si="40"/>
        <v>-51856</v>
      </c>
      <c r="AE17" s="12">
        <f t="shared" si="41"/>
        <v>-50679</v>
      </c>
      <c r="AF17" s="12">
        <f t="shared" si="42"/>
        <v>-49606</v>
      </c>
      <c r="AG17" s="12">
        <f t="shared" si="43"/>
        <v>-48602</v>
      </c>
      <c r="AI17" s="96">
        <f t="shared" si="44"/>
        <v>-4.8176726332693542E-2</v>
      </c>
    </row>
    <row r="18" spans="2:35" ht="12.75" customHeight="1" x14ac:dyDescent="0.2">
      <c r="B18" s="72" t="s">
        <v>142</v>
      </c>
      <c r="C18" s="73">
        <f>SUM(C14:C17)</f>
        <v>-91909</v>
      </c>
      <c r="D18" s="73">
        <f t="shared" ref="D18:F18" si="45">SUM(D14:D17)</f>
        <v>-102989</v>
      </c>
      <c r="E18" s="73">
        <f t="shared" si="45"/>
        <v>-109944</v>
      </c>
      <c r="F18" s="73">
        <f t="shared" si="45"/>
        <v>-129468</v>
      </c>
      <c r="G18" s="73"/>
      <c r="H18" s="73">
        <f t="shared" ref="H18" si="46">SUM(H14:H17)</f>
        <v>-25677</v>
      </c>
      <c r="I18" s="73">
        <f t="shared" ref="I18" si="47">SUM(I14:I17)</f>
        <v>-25204</v>
      </c>
      <c r="J18" s="73">
        <f t="shared" ref="J18" si="48">SUM(J14:J17)</f>
        <v>-25385</v>
      </c>
      <c r="K18" s="73">
        <f t="shared" ref="K18" si="49">SUM(K14:K17)</f>
        <v>-26723</v>
      </c>
      <c r="L18" s="73">
        <f t="shared" ref="L18" si="50">SUM(L14:L17)</f>
        <v>-27941</v>
      </c>
      <c r="M18" s="73">
        <f t="shared" ref="M18" si="51">SUM(M14:M17)</f>
        <v>-27121</v>
      </c>
      <c r="N18" s="73">
        <f t="shared" ref="N18" si="52">SUM(N14:N17)</f>
        <v>-26661</v>
      </c>
      <c r="O18" s="73">
        <f t="shared" ref="O18" si="53">SUM(O14:O17)</f>
        <v>-28221</v>
      </c>
      <c r="P18" s="73">
        <f t="shared" ref="P18" si="54">SUM(P14:P17)</f>
        <v>-30015</v>
      </c>
      <c r="Q18" s="73">
        <f t="shared" ref="Q18" si="55">SUM(Q14:Q17)</f>
        <v>-30935</v>
      </c>
      <c r="R18" s="73">
        <f>SUM(R14:R17)</f>
        <v>-34349</v>
      </c>
      <c r="S18" s="73">
        <f>SUM(S14:S17)</f>
        <v>-34169</v>
      </c>
      <c r="T18" s="73">
        <f t="shared" ref="T18:U18" si="56">SUM(T14:T17)</f>
        <v>-33971</v>
      </c>
      <c r="U18" s="73">
        <f t="shared" si="56"/>
        <v>-35750</v>
      </c>
      <c r="V18" s="9"/>
      <c r="W18" s="12">
        <f t="shared" si="33"/>
        <v>-102989</v>
      </c>
      <c r="X18" s="12">
        <f t="shared" si="34"/>
        <v>-105253</v>
      </c>
      <c r="Y18" s="12">
        <f t="shared" si="35"/>
        <v>-107170</v>
      </c>
      <c r="Z18" s="12">
        <f t="shared" si="36"/>
        <v>-108446</v>
      </c>
      <c r="AA18" s="12">
        <f t="shared" si="37"/>
        <v>-109944</v>
      </c>
      <c r="AB18" s="12">
        <f t="shared" si="38"/>
        <v>-112018</v>
      </c>
      <c r="AC18" s="12">
        <f t="shared" si="39"/>
        <v>-115832</v>
      </c>
      <c r="AD18" s="12">
        <f t="shared" si="40"/>
        <v>-123520</v>
      </c>
      <c r="AE18" s="12">
        <f t="shared" si="41"/>
        <v>-129468</v>
      </c>
      <c r="AF18" s="12">
        <f t="shared" si="42"/>
        <v>-133424</v>
      </c>
      <c r="AG18" s="12">
        <f t="shared" si="43"/>
        <v>-138239</v>
      </c>
      <c r="AI18" s="96">
        <f t="shared" si="44"/>
        <v>0.19344395331169273</v>
      </c>
    </row>
    <row r="19" spans="2:35" ht="12.75" customHeight="1" x14ac:dyDescent="0.2">
      <c r="B19" s="10" t="s">
        <v>25</v>
      </c>
      <c r="C19" s="63">
        <f>+C10+C18</f>
        <v>418853</v>
      </c>
      <c r="D19" s="63">
        <f t="shared" ref="D19:F19" si="57">+D10+D18</f>
        <v>396275</v>
      </c>
      <c r="E19" s="63">
        <f t="shared" si="57"/>
        <v>386317</v>
      </c>
      <c r="F19" s="63">
        <f t="shared" si="57"/>
        <v>333988</v>
      </c>
      <c r="G19" s="9"/>
      <c r="H19" s="63">
        <f t="shared" ref="H19" si="58">+H10+H18</f>
        <v>93600</v>
      </c>
      <c r="I19" s="63">
        <f t="shared" ref="I19" si="59">+I10+I18</f>
        <v>96869</v>
      </c>
      <c r="J19" s="63">
        <f t="shared" ref="J19" si="60">+J10+J18</f>
        <v>99975</v>
      </c>
      <c r="K19" s="63">
        <f t="shared" ref="K19" si="61">+K10+K18</f>
        <v>105831</v>
      </c>
      <c r="L19" s="63">
        <f t="shared" ref="L19" si="62">+L10+L18</f>
        <v>93974</v>
      </c>
      <c r="M19" s="63">
        <f t="shared" ref="M19" si="63">+M10+M18</f>
        <v>93279</v>
      </c>
      <c r="N19" s="63">
        <f t="shared" ref="N19" si="64">+N10+N18</f>
        <v>102801</v>
      </c>
      <c r="O19" s="63">
        <f t="shared" ref="O19" si="65">+O10+O18</f>
        <v>96263</v>
      </c>
      <c r="P19" s="63">
        <f t="shared" ref="P19" si="66">+P10+P18</f>
        <v>85231</v>
      </c>
      <c r="Q19" s="63">
        <f t="shared" ref="Q19" si="67">+Q10+Q18</f>
        <v>80507</v>
      </c>
      <c r="R19" s="63">
        <f t="shared" ref="R19:S19" si="68">+R10+R18</f>
        <v>81722</v>
      </c>
      <c r="S19" s="63">
        <f t="shared" si="68"/>
        <v>86528</v>
      </c>
      <c r="T19" s="63">
        <f t="shared" ref="T19" si="69">+T10+T18</f>
        <v>77095</v>
      </c>
      <c r="U19" s="63">
        <f t="shared" ref="U19" si="70">+U10+U18</f>
        <v>78738</v>
      </c>
      <c r="V19" s="9"/>
      <c r="W19" s="63">
        <f t="shared" ref="W19" si="71">+W10+W18</f>
        <v>396275</v>
      </c>
      <c r="X19" s="63">
        <f t="shared" ref="X19" si="72">+X10+X18</f>
        <v>396649</v>
      </c>
      <c r="Y19" s="63">
        <f t="shared" ref="Y19" si="73">+Y10+Y18</f>
        <v>393059</v>
      </c>
      <c r="Z19" s="63">
        <f t="shared" ref="Z19" si="74">+Z10+Z18</f>
        <v>395885</v>
      </c>
      <c r="AA19" s="63">
        <f t="shared" ref="AA19" si="75">+AA10+AA18</f>
        <v>386317</v>
      </c>
      <c r="AB19" s="63">
        <f t="shared" ref="AB19" si="76">+AB10+AB18</f>
        <v>377574</v>
      </c>
      <c r="AC19" s="63">
        <f t="shared" ref="AC19" si="77">+AC10+AC18</f>
        <v>364802</v>
      </c>
      <c r="AD19" s="63">
        <f t="shared" ref="AD19" si="78">+AD10+AD18</f>
        <v>343723</v>
      </c>
      <c r="AE19" s="63">
        <f t="shared" ref="AE19" si="79">+AE10+AE18</f>
        <v>333988</v>
      </c>
      <c r="AF19" s="63">
        <f t="shared" ref="AF19" si="80">+AF10+AF18</f>
        <v>325852</v>
      </c>
      <c r="AG19" s="63">
        <f t="shared" ref="AG19" si="81">+AG10+AG18</f>
        <v>324083</v>
      </c>
      <c r="AI19" s="97">
        <f t="shared" si="44"/>
        <v>-0.11161945384071359</v>
      </c>
    </row>
    <row r="20" spans="2:35" ht="12.75" customHeight="1" x14ac:dyDescent="0.2">
      <c r="B20" s="64" t="s">
        <v>173</v>
      </c>
      <c r="C20" s="65">
        <f>C19/C10</f>
        <v>0.82005513331062219</v>
      </c>
      <c r="D20" s="65">
        <f t="shared" ref="D20:F20" si="82">D19/D10</f>
        <v>0.79371835341622865</v>
      </c>
      <c r="E20" s="65">
        <f t="shared" si="82"/>
        <v>0.77845528864851354</v>
      </c>
      <c r="F20" s="65">
        <f t="shared" si="82"/>
        <v>0.72064662017537806</v>
      </c>
      <c r="G20" s="66"/>
      <c r="H20" s="65">
        <f t="shared" ref="H20:Q20" si="83">H19/H10</f>
        <v>0.78472798611635097</v>
      </c>
      <c r="I20" s="65">
        <f t="shared" si="83"/>
        <v>0.79353337756915943</v>
      </c>
      <c r="J20" s="65">
        <f t="shared" si="83"/>
        <v>0.79750319081046583</v>
      </c>
      <c r="K20" s="65">
        <f t="shared" si="83"/>
        <v>0.79839914299078107</v>
      </c>
      <c r="L20" s="65">
        <f t="shared" si="83"/>
        <v>0.7708157322724849</v>
      </c>
      <c r="M20" s="65">
        <f t="shared" si="83"/>
        <v>0.77474252491694351</v>
      </c>
      <c r="N20" s="65">
        <f t="shared" si="83"/>
        <v>0.79406312276961577</v>
      </c>
      <c r="O20" s="65">
        <f t="shared" si="83"/>
        <v>0.77329616657562417</v>
      </c>
      <c r="P20" s="65">
        <f t="shared" si="83"/>
        <v>0.73955712128837447</v>
      </c>
      <c r="Q20" s="65">
        <f t="shared" si="83"/>
        <v>0.72241165808223107</v>
      </c>
      <c r="R20" s="65">
        <f>R19/R10</f>
        <v>0.704069061178072</v>
      </c>
      <c r="S20" s="65">
        <f>S19/S10</f>
        <v>0.71690265706686995</v>
      </c>
      <c r="T20" s="65">
        <f t="shared" ref="T20:U20" si="84">T19/T10</f>
        <v>0.69413681954873674</v>
      </c>
      <c r="U20" s="65">
        <f t="shared" si="84"/>
        <v>0.6877401998462721</v>
      </c>
      <c r="V20" s="67"/>
      <c r="W20" s="65">
        <f t="shared" ref="W20" si="85">W19/W10</f>
        <v>0.79371835341622865</v>
      </c>
      <c r="X20" s="65">
        <f t="shared" ref="X20" si="86">X19/X10</f>
        <v>0.79029173025809818</v>
      </c>
      <c r="Y20" s="65">
        <f t="shared" ref="Y20" si="87">Y19/Y10</f>
        <v>0.78575812277976687</v>
      </c>
      <c r="Z20" s="65">
        <f t="shared" ref="Z20" si="88">Z19/Z10</f>
        <v>0.78497058479450998</v>
      </c>
      <c r="AA20" s="65">
        <f t="shared" ref="AA20" si="89">AA19/AA10</f>
        <v>0.77845528864851354</v>
      </c>
      <c r="AB20" s="65">
        <f t="shared" ref="AB20" si="90">AB19/AB10</f>
        <v>0.77120132681906572</v>
      </c>
      <c r="AC20" s="65">
        <f t="shared" ref="AC20" si="91">AC19/AC10</f>
        <v>0.75900165198467029</v>
      </c>
      <c r="AD20" s="65">
        <f t="shared" ref="AD20" si="92">AD19/AD10</f>
        <v>0.73564076936412104</v>
      </c>
      <c r="AE20" s="65">
        <f t="shared" ref="AE20" si="93">AE19/AE10</f>
        <v>0.72064662017537806</v>
      </c>
      <c r="AF20" s="65">
        <f t="shared" ref="AF20" si="94">AF19/AF10</f>
        <v>0.70949058953657496</v>
      </c>
      <c r="AG20" s="65">
        <f t="shared" ref="AG20" si="95">AG19/AG10</f>
        <v>0.70098978633939113</v>
      </c>
      <c r="AI20" s="99">
        <f>SUM(AG20-AC20)*10000</f>
        <v>-580.11865645279158</v>
      </c>
    </row>
    <row r="21" spans="2:35" ht="5.0999999999999996" customHeight="1" x14ac:dyDescent="0.2">
      <c r="B21" s="61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9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I21" s="83"/>
    </row>
    <row r="22" spans="2:35" ht="12.75" customHeight="1" x14ac:dyDescent="0.2">
      <c r="B22" s="72" t="s">
        <v>110</v>
      </c>
      <c r="C22" s="73">
        <f>'3-Statement Model'!C23</f>
        <v>-160141</v>
      </c>
      <c r="D22" s="73">
        <f>'3-Statement Model'!D23</f>
        <v>-146882</v>
      </c>
      <c r="E22" s="73">
        <f>'3-Statement Model'!E23</f>
        <v>-149671</v>
      </c>
      <c r="F22" s="73">
        <f>'3-Statement Model'!F23</f>
        <v>-138081</v>
      </c>
      <c r="G22" s="73">
        <f>'3-Statement Model'!G23</f>
        <v>0</v>
      </c>
      <c r="H22" s="73">
        <f>'3-Statement Model'!H23</f>
        <v>-33240</v>
      </c>
      <c r="I22" s="73">
        <f>'3-Statement Model'!I23</f>
        <v>-36862</v>
      </c>
      <c r="J22" s="73">
        <f>'3-Statement Model'!J23</f>
        <v>-35409</v>
      </c>
      <c r="K22" s="73">
        <f>'3-Statement Model'!K23</f>
        <v>-41371</v>
      </c>
      <c r="L22" s="73">
        <f>'3-Statement Model'!L23</f>
        <v>-36106</v>
      </c>
      <c r="M22" s="73">
        <f>'3-Statement Model'!M23</f>
        <v>-37660</v>
      </c>
      <c r="N22" s="73">
        <f>'3-Statement Model'!N23</f>
        <v>-35606</v>
      </c>
      <c r="O22" s="73">
        <f>'3-Statement Model'!O23</f>
        <v>-40299</v>
      </c>
      <c r="P22" s="73">
        <f>'3-Statement Model'!P23</f>
        <v>-33451</v>
      </c>
      <c r="Q22" s="73">
        <f>'3-Statement Model'!Q23</f>
        <v>-34251</v>
      </c>
      <c r="R22" s="73">
        <f>'3-Statement Model'!R23</f>
        <v>-35414</v>
      </c>
      <c r="S22" s="73">
        <f>'3-Statement Model'!S23</f>
        <v>-34965</v>
      </c>
      <c r="T22" s="73">
        <f>'3-Statement Model'!T23</f>
        <v>-27532</v>
      </c>
      <c r="U22" s="73">
        <f>'3-Statement Model'!U23</f>
        <v>-33691</v>
      </c>
      <c r="V22" s="9"/>
      <c r="W22" s="12">
        <f t="shared" ref="W22:W26" si="96">SUM(H22:K22)</f>
        <v>-146882</v>
      </c>
      <c r="X22" s="12">
        <f t="shared" ref="X22:X26" si="97">SUM(I22:L22)</f>
        <v>-149748</v>
      </c>
      <c r="Y22" s="12">
        <f t="shared" ref="Y22:Y26" si="98">SUM(J22:M22)</f>
        <v>-150546</v>
      </c>
      <c r="Z22" s="12">
        <f t="shared" ref="Z22:Z26" si="99">SUM(K22:N22)</f>
        <v>-150743</v>
      </c>
      <c r="AA22" s="12">
        <f t="shared" ref="AA22:AA26" si="100">SUM(L22:O22)</f>
        <v>-149671</v>
      </c>
      <c r="AB22" s="12">
        <f t="shared" ref="AB22:AB26" si="101">SUM(M22:P22)</f>
        <v>-147016</v>
      </c>
      <c r="AC22" s="73">
        <f t="shared" ref="AC22:AC26" si="102">SUM(N22:Q22)</f>
        <v>-143607</v>
      </c>
      <c r="AD22" s="73">
        <f t="shared" ref="AD22:AD26" si="103">SUM(O22:R22)</f>
        <v>-143415</v>
      </c>
      <c r="AE22" s="73">
        <f t="shared" ref="AE22:AE26" si="104">SUM(P22:S22)</f>
        <v>-138081</v>
      </c>
      <c r="AF22" s="73">
        <f t="shared" ref="AF22:AF26" si="105">SUM(Q22:T22)</f>
        <v>-132162</v>
      </c>
      <c r="AG22" s="73">
        <f t="shared" ref="AG22:AG26" si="106">SUM(R22:U22)</f>
        <v>-131602</v>
      </c>
      <c r="AI22" s="96">
        <f t="shared" si="44"/>
        <v>-8.3596203527683155E-2</v>
      </c>
    </row>
    <row r="23" spans="2:35" ht="12.75" customHeight="1" x14ac:dyDescent="0.2">
      <c r="B23" s="72" t="s">
        <v>111</v>
      </c>
      <c r="C23" s="73">
        <f>'3-Statement Model'!C24</f>
        <v>-117117</v>
      </c>
      <c r="D23" s="73">
        <f>'3-Statement Model'!D24</f>
        <v>-127428</v>
      </c>
      <c r="E23" s="73">
        <f>'3-Statement Model'!E24</f>
        <v>-120530</v>
      </c>
      <c r="F23" s="73">
        <f>'3-Statement Model'!F24</f>
        <v>-118486</v>
      </c>
      <c r="G23" s="73">
        <f>'3-Statement Model'!G24</f>
        <v>0</v>
      </c>
      <c r="H23" s="73">
        <f>'3-Statement Model'!H24</f>
        <v>-33523</v>
      </c>
      <c r="I23" s="73">
        <f>'3-Statement Model'!I24</f>
        <v>-31790</v>
      </c>
      <c r="J23" s="73">
        <f>'3-Statement Model'!J24</f>
        <v>-30498</v>
      </c>
      <c r="K23" s="73">
        <f>'3-Statement Model'!K24</f>
        <v>-31617</v>
      </c>
      <c r="L23" s="73">
        <f>'3-Statement Model'!L24</f>
        <v>-31358</v>
      </c>
      <c r="M23" s="73">
        <f>'3-Statement Model'!M24</f>
        <v>-29354</v>
      </c>
      <c r="N23" s="73">
        <f>'3-Statement Model'!N24</f>
        <v>-29660</v>
      </c>
      <c r="O23" s="73">
        <f>'3-Statement Model'!O24</f>
        <v>-30158</v>
      </c>
      <c r="P23" s="73">
        <f>'3-Statement Model'!P24</f>
        <v>-29183</v>
      </c>
      <c r="Q23" s="73">
        <f>'3-Statement Model'!Q24</f>
        <v>-30311</v>
      </c>
      <c r="R23" s="73">
        <f>'3-Statement Model'!R24</f>
        <v>-33301</v>
      </c>
      <c r="S23" s="73">
        <f>'3-Statement Model'!S24</f>
        <v>-25691</v>
      </c>
      <c r="T23" s="73">
        <f>'3-Statement Model'!T24</f>
        <v>-24423</v>
      </c>
      <c r="U23" s="73">
        <f>'3-Statement Model'!U24</f>
        <v>-24071</v>
      </c>
      <c r="V23" s="9"/>
      <c r="W23" s="12">
        <f t="shared" si="96"/>
        <v>-127428</v>
      </c>
      <c r="X23" s="12">
        <f t="shared" si="97"/>
        <v>-125263</v>
      </c>
      <c r="Y23" s="12">
        <f t="shared" si="98"/>
        <v>-122827</v>
      </c>
      <c r="Z23" s="12">
        <f t="shared" si="99"/>
        <v>-121989</v>
      </c>
      <c r="AA23" s="12">
        <f t="shared" si="100"/>
        <v>-120530</v>
      </c>
      <c r="AB23" s="12">
        <f t="shared" si="101"/>
        <v>-118355</v>
      </c>
      <c r="AC23" s="73">
        <f t="shared" ref="AC23:AC25" si="107">SUM(N23:Q23)</f>
        <v>-119312</v>
      </c>
      <c r="AD23" s="73">
        <f t="shared" ref="AD23:AD25" si="108">SUM(O23:R23)</f>
        <v>-122953</v>
      </c>
      <c r="AE23" s="73">
        <f t="shared" ref="AE23:AE25" si="109">SUM(P23:S23)</f>
        <v>-118486</v>
      </c>
      <c r="AF23" s="73">
        <f t="shared" ref="AF23:AF25" si="110">SUM(Q23:T23)</f>
        <v>-113726</v>
      </c>
      <c r="AG23" s="73">
        <f t="shared" ref="AG23:AG25" si="111">SUM(R23:U23)</f>
        <v>-107486</v>
      </c>
      <c r="AI23" s="96">
        <f t="shared" si="44"/>
        <v>-9.9118278127933501E-2</v>
      </c>
    </row>
    <row r="24" spans="2:35" ht="12.75" customHeight="1" x14ac:dyDescent="0.2">
      <c r="B24" s="72" t="s">
        <v>112</v>
      </c>
      <c r="C24" s="73">
        <f>'3-Statement Model'!C25</f>
        <v>-95501</v>
      </c>
      <c r="D24" s="73">
        <f>'3-Statement Model'!D25</f>
        <v>-111421</v>
      </c>
      <c r="E24" s="73">
        <f>'3-Statement Model'!E25</f>
        <v>-115312</v>
      </c>
      <c r="F24" s="73">
        <f>'3-Statement Model'!F25</f>
        <v>-140537</v>
      </c>
      <c r="G24" s="73">
        <f>'3-Statement Model'!G25</f>
        <v>0</v>
      </c>
      <c r="H24" s="73">
        <f>'3-Statement Model'!H25</f>
        <v>-26706</v>
      </c>
      <c r="I24" s="73">
        <f>'3-Statement Model'!I25</f>
        <v>-28502</v>
      </c>
      <c r="J24" s="73">
        <f>'3-Statement Model'!J25</f>
        <v>-27283</v>
      </c>
      <c r="K24" s="73">
        <f>'3-Statement Model'!K25</f>
        <v>-28930</v>
      </c>
      <c r="L24" s="73">
        <f>'3-Statement Model'!L25</f>
        <v>-27906</v>
      </c>
      <c r="M24" s="73">
        <f>'3-Statement Model'!M25</f>
        <v>-28830</v>
      </c>
      <c r="N24" s="73">
        <f>'3-Statement Model'!N25</f>
        <v>-29223</v>
      </c>
      <c r="O24" s="73">
        <f>'3-Statement Model'!O25</f>
        <v>-29353</v>
      </c>
      <c r="P24" s="73">
        <f>'3-Statement Model'!P25</f>
        <v>-34666</v>
      </c>
      <c r="Q24" s="73">
        <f>'3-Statement Model'!Q25</f>
        <v>-36129</v>
      </c>
      <c r="R24" s="73">
        <f>'3-Statement Model'!R25</f>
        <v>-33505</v>
      </c>
      <c r="S24" s="73">
        <f>'3-Statement Model'!S25</f>
        <v>-36237</v>
      </c>
      <c r="T24" s="73">
        <f>'3-Statement Model'!T25</f>
        <v>-40547</v>
      </c>
      <c r="U24" s="73">
        <f>'3-Statement Model'!U25</f>
        <v>-36500</v>
      </c>
      <c r="V24" s="9"/>
      <c r="W24" s="12">
        <f t="shared" si="96"/>
        <v>-111421</v>
      </c>
      <c r="X24" s="12">
        <f t="shared" si="97"/>
        <v>-112621</v>
      </c>
      <c r="Y24" s="12">
        <f t="shared" si="98"/>
        <v>-112949</v>
      </c>
      <c r="Z24" s="12">
        <f t="shared" si="99"/>
        <v>-114889</v>
      </c>
      <c r="AA24" s="12">
        <f t="shared" si="100"/>
        <v>-115312</v>
      </c>
      <c r="AB24" s="12">
        <f t="shared" si="101"/>
        <v>-122072</v>
      </c>
      <c r="AC24" s="73">
        <f t="shared" si="107"/>
        <v>-129371</v>
      </c>
      <c r="AD24" s="73">
        <f t="shared" si="108"/>
        <v>-133653</v>
      </c>
      <c r="AE24" s="73">
        <f t="shared" si="109"/>
        <v>-140537</v>
      </c>
      <c r="AF24" s="73">
        <f t="shared" si="110"/>
        <v>-146418</v>
      </c>
      <c r="AG24" s="73">
        <f t="shared" si="111"/>
        <v>-146789</v>
      </c>
      <c r="AI24" s="96">
        <f t="shared" si="44"/>
        <v>0.13463604671835272</v>
      </c>
    </row>
    <row r="25" spans="2:35" ht="12.75" customHeight="1" x14ac:dyDescent="0.2">
      <c r="B25" s="72" t="s">
        <v>192</v>
      </c>
      <c r="C25" s="73">
        <f>'3-Statement Model'!C26</f>
        <v>0</v>
      </c>
      <c r="D25" s="73">
        <f>'3-Statement Model'!D26</f>
        <v>0</v>
      </c>
      <c r="E25" s="73">
        <f>'3-Statement Model'!E26</f>
        <v>0</v>
      </c>
      <c r="F25" s="73">
        <f>'3-Statement Model'!F26</f>
        <v>0</v>
      </c>
      <c r="G25" s="73">
        <f>'3-Statement Model'!G26</f>
        <v>0</v>
      </c>
      <c r="H25" s="73">
        <f>'3-Statement Model'!H26</f>
        <v>0</v>
      </c>
      <c r="I25" s="73">
        <f>'3-Statement Model'!I26</f>
        <v>0</v>
      </c>
      <c r="J25" s="73">
        <f>'3-Statement Model'!J26</f>
        <v>0</v>
      </c>
      <c r="K25" s="73">
        <f>'3-Statement Model'!K26</f>
        <v>0</v>
      </c>
      <c r="L25" s="73">
        <f>'3-Statement Model'!L26</f>
        <v>0</v>
      </c>
      <c r="M25" s="73">
        <f>'3-Statement Model'!M26</f>
        <v>0</v>
      </c>
      <c r="N25" s="73">
        <f>'3-Statement Model'!N26</f>
        <v>0</v>
      </c>
      <c r="O25" s="73">
        <f>'3-Statement Model'!O26</f>
        <v>0</v>
      </c>
      <c r="P25" s="73">
        <f>'3-Statement Model'!P26</f>
        <v>0</v>
      </c>
      <c r="Q25" s="73">
        <f>'3-Statement Model'!Q26</f>
        <v>0</v>
      </c>
      <c r="R25" s="73">
        <f>'3-Statement Model'!R26</f>
        <v>0</v>
      </c>
      <c r="S25" s="73">
        <f>'3-Statement Model'!S26</f>
        <v>0</v>
      </c>
      <c r="T25" s="73">
        <f>'3-Statement Model'!T26</f>
        <v>-5906005</v>
      </c>
      <c r="U25" s="73">
        <f>'3-Statement Model'!U26</f>
        <v>14047514</v>
      </c>
      <c r="V25" s="9"/>
      <c r="W25" s="12"/>
      <c r="X25" s="12"/>
      <c r="Y25" s="12"/>
      <c r="Z25" s="12"/>
      <c r="AA25" s="12"/>
      <c r="AB25" s="12"/>
      <c r="AC25" s="73">
        <f t="shared" si="107"/>
        <v>0</v>
      </c>
      <c r="AD25" s="73">
        <f t="shared" si="108"/>
        <v>0</v>
      </c>
      <c r="AE25" s="73">
        <f t="shared" si="109"/>
        <v>0</v>
      </c>
      <c r="AF25" s="73">
        <f t="shared" si="110"/>
        <v>-5906005</v>
      </c>
      <c r="AG25" s="73">
        <f t="shared" si="111"/>
        <v>8141509</v>
      </c>
      <c r="AI25" s="96" t="e">
        <f t="shared" si="44"/>
        <v>#DIV/0!</v>
      </c>
    </row>
    <row r="26" spans="2:35" ht="12.75" customHeight="1" x14ac:dyDescent="0.2">
      <c r="B26" s="72" t="s">
        <v>106</v>
      </c>
      <c r="C26" s="73">
        <f>'3-Statement Model'!C27</f>
        <v>-830621</v>
      </c>
      <c r="D26" s="73">
        <f>'3-Statement Model'!D27</f>
        <v>-1286286</v>
      </c>
      <c r="E26" s="73">
        <f>'3-Statement Model'!E27</f>
        <v>-115851</v>
      </c>
      <c r="F26" s="73">
        <f>'3-Statement Model'!F27</f>
        <v>-1789862</v>
      </c>
      <c r="G26" s="73">
        <f>'3-Statement Model'!G27</f>
        <v>0</v>
      </c>
      <c r="H26" s="73">
        <f>'3-Statement Model'!H27</f>
        <v>-170091</v>
      </c>
      <c r="I26" s="73">
        <f>'3-Statement Model'!I27</f>
        <v>-917838</v>
      </c>
      <c r="J26" s="73">
        <f>'3-Statement Model'!J27</f>
        <v>-727</v>
      </c>
      <c r="K26" s="73">
        <f>'3-Statement Model'!K27</f>
        <v>-197630</v>
      </c>
      <c r="L26" s="73">
        <f>'3-Statement Model'!L27</f>
        <v>-18911</v>
      </c>
      <c r="M26" s="73">
        <f>'3-Statement Model'!M27</f>
        <v>-24143</v>
      </c>
      <c r="N26" s="73">
        <f>'3-Statement Model'!N27</f>
        <v>-33559</v>
      </c>
      <c r="O26" s="73">
        <f>'3-Statement Model'!O27</f>
        <v>-39238</v>
      </c>
      <c r="P26" s="73">
        <f>'3-Statement Model'!P27</f>
        <v>-191633</v>
      </c>
      <c r="Q26" s="73">
        <f>'3-Statement Model'!Q27</f>
        <v>-180090</v>
      </c>
      <c r="R26" s="73">
        <f>'3-Statement Model'!R27</f>
        <v>-412084</v>
      </c>
      <c r="S26" s="73">
        <f>'3-Statement Model'!S27</f>
        <v>-1006055</v>
      </c>
      <c r="T26" s="73">
        <f>'3-Statement Model'!T27</f>
        <v>0</v>
      </c>
      <c r="U26" s="73">
        <f>'3-Statement Model'!U27</f>
        <v>0</v>
      </c>
      <c r="V26" s="9"/>
      <c r="W26" s="12">
        <f t="shared" si="96"/>
        <v>-1286286</v>
      </c>
      <c r="X26" s="12">
        <f t="shared" si="97"/>
        <v>-1135106</v>
      </c>
      <c r="Y26" s="12">
        <f t="shared" si="98"/>
        <v>-241411</v>
      </c>
      <c r="Z26" s="12">
        <f t="shared" si="99"/>
        <v>-274243</v>
      </c>
      <c r="AA26" s="12">
        <f t="shared" si="100"/>
        <v>-115851</v>
      </c>
      <c r="AB26" s="12">
        <f t="shared" si="101"/>
        <v>-288573</v>
      </c>
      <c r="AC26" s="73">
        <f t="shared" si="102"/>
        <v>-444520</v>
      </c>
      <c r="AD26" s="73">
        <f t="shared" si="103"/>
        <v>-823045</v>
      </c>
      <c r="AE26" s="73">
        <f t="shared" si="104"/>
        <v>-1789862</v>
      </c>
      <c r="AF26" s="73">
        <f t="shared" si="105"/>
        <v>-1598229</v>
      </c>
      <c r="AG26" s="73">
        <f t="shared" si="106"/>
        <v>-1418139</v>
      </c>
      <c r="AI26" s="96">
        <f t="shared" si="44"/>
        <v>2.1902704040313146</v>
      </c>
    </row>
    <row r="27" spans="2:35" ht="12.75" customHeight="1" x14ac:dyDescent="0.2">
      <c r="B27" s="54" t="s">
        <v>101</v>
      </c>
      <c r="C27" s="55">
        <f>SUM(C19+SUM(C22:C26))</f>
        <v>-784527</v>
      </c>
      <c r="D27" s="55">
        <f>SUM(D19+SUM(D22:D26))</f>
        <v>-1275742</v>
      </c>
      <c r="E27" s="55">
        <f>SUM(E19+SUM(E22:E26))</f>
        <v>-115047</v>
      </c>
      <c r="F27" s="55">
        <f>SUM(F19+SUM(F22:F26))</f>
        <v>-1852978</v>
      </c>
      <c r="G27" s="12"/>
      <c r="H27" s="55">
        <f t="shared" ref="H27:S27" si="112">SUM(H19+SUM(H22:H26))</f>
        <v>-169960</v>
      </c>
      <c r="I27" s="55">
        <f t="shared" si="112"/>
        <v>-918123</v>
      </c>
      <c r="J27" s="55">
        <f t="shared" si="112"/>
        <v>6058</v>
      </c>
      <c r="K27" s="55">
        <f t="shared" si="112"/>
        <v>-193717</v>
      </c>
      <c r="L27" s="55">
        <f t="shared" si="112"/>
        <v>-20307</v>
      </c>
      <c r="M27" s="55">
        <f t="shared" si="112"/>
        <v>-26708</v>
      </c>
      <c r="N27" s="55">
        <f t="shared" si="112"/>
        <v>-25247</v>
      </c>
      <c r="O27" s="55">
        <f t="shared" si="112"/>
        <v>-42785</v>
      </c>
      <c r="P27" s="55">
        <f t="shared" si="112"/>
        <v>-203702</v>
      </c>
      <c r="Q27" s="55">
        <f t="shared" si="112"/>
        <v>-200274</v>
      </c>
      <c r="R27" s="55">
        <f t="shared" si="112"/>
        <v>-432582</v>
      </c>
      <c r="S27" s="55">
        <f t="shared" si="112"/>
        <v>-1016420</v>
      </c>
      <c r="T27" s="55">
        <f t="shared" ref="T27:U27" si="113">SUM(T19+SUM(T22:T26))</f>
        <v>-5921412</v>
      </c>
      <c r="U27" s="55">
        <f t="shared" si="113"/>
        <v>14031990</v>
      </c>
      <c r="V27" s="9"/>
      <c r="W27" s="55">
        <f t="shared" ref="W27" si="114">SUM(W19+SUM(W22:W26))</f>
        <v>-1275742</v>
      </c>
      <c r="X27" s="55">
        <f t="shared" ref="X27" si="115">SUM(X19+SUM(X22:X26))</f>
        <v>-1126089</v>
      </c>
      <c r="Y27" s="55">
        <f t="shared" ref="Y27" si="116">SUM(Y19+SUM(Y22:Y26))</f>
        <v>-234674</v>
      </c>
      <c r="Z27" s="55">
        <f t="shared" ref="Z27" si="117">SUM(Z19+SUM(Z22:Z26))</f>
        <v>-265979</v>
      </c>
      <c r="AA27" s="55">
        <f t="shared" ref="AA27:AD27" si="118">SUM(AA19+SUM(AA22:AA26))</f>
        <v>-115047</v>
      </c>
      <c r="AB27" s="55">
        <f t="shared" si="118"/>
        <v>-298442</v>
      </c>
      <c r="AC27" s="55">
        <f t="shared" si="118"/>
        <v>-472008</v>
      </c>
      <c r="AD27" s="55">
        <f t="shared" si="118"/>
        <v>-879343</v>
      </c>
      <c r="AE27" s="55">
        <f>SUM(AE19+SUM(AE22:AE26))</f>
        <v>-1852978</v>
      </c>
      <c r="AF27" s="55">
        <f t="shared" ref="AF27:AG27" si="119">SUM(AF19+SUM(AF22:AF26))</f>
        <v>-7570688</v>
      </c>
      <c r="AG27" s="55">
        <f t="shared" si="119"/>
        <v>6661576</v>
      </c>
      <c r="AI27" s="97">
        <f t="shared" si="44"/>
        <v>-15.1132692666226</v>
      </c>
    </row>
    <row r="28" spans="2:35" ht="12.75" customHeight="1" x14ac:dyDescent="0.2">
      <c r="B28" s="64" t="s">
        <v>175</v>
      </c>
      <c r="C28" s="65">
        <f>C27/C10</f>
        <v>-1.5359932806277679</v>
      </c>
      <c r="D28" s="65">
        <f>D27/D10</f>
        <v>-2.555245321112678</v>
      </c>
      <c r="E28" s="65">
        <f>E27/E10</f>
        <v>-0.23182760684397927</v>
      </c>
      <c r="F28" s="65">
        <f>F27/F10</f>
        <v>-3.9981745839950285</v>
      </c>
      <c r="G28" s="66"/>
      <c r="H28" s="65">
        <f t="shared" ref="H28:S28" si="120">H27/H10</f>
        <v>-1.4249184670975963</v>
      </c>
      <c r="I28" s="65">
        <f t="shared" si="120"/>
        <v>-7.5210980315057387</v>
      </c>
      <c r="J28" s="65">
        <f t="shared" si="120"/>
        <v>4.8324824505424378E-2</v>
      </c>
      <c r="K28" s="65">
        <f t="shared" si="120"/>
        <v>-1.4614194969597296</v>
      </c>
      <c r="L28" s="65">
        <f t="shared" si="120"/>
        <v>-0.16656687036049705</v>
      </c>
      <c r="M28" s="65">
        <f t="shared" si="120"/>
        <v>-0.22182724252491695</v>
      </c>
      <c r="N28" s="65">
        <f t="shared" si="120"/>
        <v>-0.19501475336392146</v>
      </c>
      <c r="O28" s="65">
        <f t="shared" si="120"/>
        <v>-0.34369878859933806</v>
      </c>
      <c r="P28" s="65">
        <f t="shared" si="120"/>
        <v>-1.7675407389410478</v>
      </c>
      <c r="Q28" s="65">
        <f t="shared" si="120"/>
        <v>-1.7971141939304751</v>
      </c>
      <c r="R28" s="65">
        <f t="shared" si="120"/>
        <v>-3.7268740684580988</v>
      </c>
      <c r="S28" s="65">
        <f t="shared" si="120"/>
        <v>-8.4212532208754158</v>
      </c>
      <c r="T28" s="65">
        <f t="shared" ref="T28:U28" si="121">T27/T10</f>
        <v>-53.314353627572793</v>
      </c>
      <c r="U28" s="65">
        <f t="shared" si="121"/>
        <v>122.56297603242261</v>
      </c>
      <c r="V28" s="67"/>
      <c r="W28" s="65">
        <f t="shared" ref="W28" si="122">W27/W10</f>
        <v>-2.555245321112678</v>
      </c>
      <c r="X28" s="65">
        <f t="shared" ref="X28" si="123">X27/X10</f>
        <v>-2.2436431813381894</v>
      </c>
      <c r="Y28" s="65">
        <f t="shared" ref="Y28" si="124">Y27/Y10</f>
        <v>-0.46913313702324333</v>
      </c>
      <c r="Z28" s="65">
        <f t="shared" ref="Z28" si="125">Z27/Z10</f>
        <v>-0.52738974998562449</v>
      </c>
      <c r="AA28" s="65">
        <f t="shared" ref="AA28:AD28" si="126">AA27/AA10</f>
        <v>-0.23182760684397927</v>
      </c>
      <c r="AB28" s="65">
        <f t="shared" si="126"/>
        <v>-0.6095728688377261</v>
      </c>
      <c r="AC28" s="65">
        <f t="shared" si="126"/>
        <v>-0.9820528718317888</v>
      </c>
      <c r="AD28" s="65">
        <f t="shared" si="126"/>
        <v>-1.8819821805784143</v>
      </c>
      <c r="AE28" s="65">
        <f>AE27/AE10</f>
        <v>-3.9981745839950285</v>
      </c>
      <c r="AF28" s="65">
        <f t="shared" ref="AF28:AG28" si="127">AF27/AF10</f>
        <v>-16.483961713653663</v>
      </c>
      <c r="AG28" s="65">
        <f t="shared" si="127"/>
        <v>14.408953067342674</v>
      </c>
      <c r="AI28" s="99">
        <f>SUM(AG28-AC28)*10000</f>
        <v>153910.05939174464</v>
      </c>
    </row>
    <row r="29" spans="2:35" ht="5.0999999999999996" customHeight="1" x14ac:dyDescent="0.2">
      <c r="AI29" s="83"/>
    </row>
    <row r="30" spans="2:35" ht="12.75" customHeight="1" x14ac:dyDescent="0.2">
      <c r="B30" s="74" t="s">
        <v>109</v>
      </c>
      <c r="C30" s="73">
        <f>'3-Statement Model'!C88</f>
        <v>11358</v>
      </c>
      <c r="D30" s="73">
        <f>'3-Statement Model'!D88</f>
        <v>10874</v>
      </c>
      <c r="E30" s="73">
        <f>'3-Statement Model'!E88</f>
        <v>14527</v>
      </c>
      <c r="F30" s="73">
        <f>'3-Statement Model'!F88</f>
        <v>17808</v>
      </c>
      <c r="H30" s="73">
        <f>'3-Statement Model'!H88</f>
        <v>2691</v>
      </c>
      <c r="I30" s="73">
        <f>'3-Statement Model'!I88</f>
        <v>2076</v>
      </c>
      <c r="J30" s="73">
        <f>'3-Statement Model'!J88</f>
        <v>2150</v>
      </c>
      <c r="K30" s="73">
        <f>'3-Statement Model'!K88</f>
        <v>3957</v>
      </c>
      <c r="L30" s="73">
        <f>'3-Statement Model'!L88</f>
        <v>3431</v>
      </c>
      <c r="M30" s="73">
        <f>'3-Statement Model'!M88</f>
        <v>3230</v>
      </c>
      <c r="N30" s="73">
        <f>'3-Statement Model'!N88</f>
        <v>2744</v>
      </c>
      <c r="O30" s="73">
        <f>'3-Statement Model'!O88</f>
        <v>5122</v>
      </c>
      <c r="P30" s="73">
        <f>'3-Statement Model'!P88</f>
        <v>3050</v>
      </c>
      <c r="Q30" s="73">
        <f>'3-Statement Model'!Q88</f>
        <v>3651</v>
      </c>
      <c r="R30" s="73">
        <f>'3-Statement Model'!R88</f>
        <v>5978</v>
      </c>
      <c r="S30" s="73">
        <f>'3-Statement Model'!S88</f>
        <v>5129</v>
      </c>
      <c r="T30" s="73">
        <f>'3-Statement Model'!T88</f>
        <v>6575</v>
      </c>
      <c r="U30" s="73">
        <f>'3-Statement Model'!U88</f>
        <v>9118</v>
      </c>
      <c r="W30" s="12">
        <f t="shared" ref="W30:AE30" si="128">SUM(H30:K30)</f>
        <v>10874</v>
      </c>
      <c r="X30" s="12">
        <f t="shared" si="128"/>
        <v>11614</v>
      </c>
      <c r="Y30" s="12">
        <f t="shared" si="128"/>
        <v>12768</v>
      </c>
      <c r="Z30" s="12">
        <f t="shared" si="128"/>
        <v>13362</v>
      </c>
      <c r="AA30" s="12">
        <f t="shared" si="128"/>
        <v>14527</v>
      </c>
      <c r="AB30" s="12">
        <f t="shared" si="128"/>
        <v>14146</v>
      </c>
      <c r="AC30" s="12">
        <f t="shared" si="128"/>
        <v>14567</v>
      </c>
      <c r="AD30" s="12">
        <f t="shared" si="128"/>
        <v>17801</v>
      </c>
      <c r="AE30" s="12">
        <f t="shared" si="128"/>
        <v>17808</v>
      </c>
      <c r="AF30" s="12">
        <f t="shared" ref="AF30:AG30" si="129">SUM(Q30:T30)</f>
        <v>21333</v>
      </c>
      <c r="AG30" s="12">
        <f t="shared" si="129"/>
        <v>26800</v>
      </c>
      <c r="AI30" s="96">
        <f t="shared" ref="AI30:AI37" si="130">SUM(AG30/AC30)-1</f>
        <v>0.83977483352783699</v>
      </c>
    </row>
    <row r="31" spans="2:35" ht="12.75" customHeight="1" x14ac:dyDescent="0.2">
      <c r="B31" s="10" t="s">
        <v>42</v>
      </c>
      <c r="C31" s="63">
        <f t="shared" ref="C31:D31" si="131">SUM(C27+C30)</f>
        <v>-773169</v>
      </c>
      <c r="D31" s="63">
        <f t="shared" si="131"/>
        <v>-1264868</v>
      </c>
      <c r="E31" s="63">
        <f>SUM(E27+E30)</f>
        <v>-100520</v>
      </c>
      <c r="F31" s="63">
        <f>SUM(F27+F30)</f>
        <v>-1835170</v>
      </c>
      <c r="H31" s="63">
        <f t="shared" ref="H31:AE31" si="132">SUM(H27+H30)</f>
        <v>-167269</v>
      </c>
      <c r="I31" s="63">
        <f t="shared" si="132"/>
        <v>-916047</v>
      </c>
      <c r="J31" s="63">
        <f t="shared" si="132"/>
        <v>8208</v>
      </c>
      <c r="K31" s="63">
        <f t="shared" si="132"/>
        <v>-189760</v>
      </c>
      <c r="L31" s="63">
        <f t="shared" si="132"/>
        <v>-16876</v>
      </c>
      <c r="M31" s="63">
        <f t="shared" si="132"/>
        <v>-23478</v>
      </c>
      <c r="N31" s="63">
        <f t="shared" si="132"/>
        <v>-22503</v>
      </c>
      <c r="O31" s="63">
        <f t="shared" si="132"/>
        <v>-37663</v>
      </c>
      <c r="P31" s="63">
        <f t="shared" si="132"/>
        <v>-200652</v>
      </c>
      <c r="Q31" s="63">
        <f t="shared" si="132"/>
        <v>-196623</v>
      </c>
      <c r="R31" s="63">
        <f>SUM(R27+R30)</f>
        <v>-426604</v>
      </c>
      <c r="S31" s="63">
        <f>SUM(S27+S30)</f>
        <v>-1011291</v>
      </c>
      <c r="T31" s="63">
        <f t="shared" ref="T31:U31" si="133">SUM(T27+T30)</f>
        <v>-5914837</v>
      </c>
      <c r="U31" s="63">
        <f t="shared" si="133"/>
        <v>14041108</v>
      </c>
      <c r="W31" s="63">
        <f t="shared" ref="W31" si="134">SUM(W27+W30)</f>
        <v>-1264868</v>
      </c>
      <c r="X31" s="63">
        <f t="shared" ref="X31" si="135">SUM(X27+X30)</f>
        <v>-1114475</v>
      </c>
      <c r="Y31" s="63">
        <f t="shared" ref="Y31" si="136">SUM(Y27+Y30)</f>
        <v>-221906</v>
      </c>
      <c r="Z31" s="63">
        <f t="shared" ref="Z31" si="137">SUM(Z27+Z30)</f>
        <v>-252617</v>
      </c>
      <c r="AA31" s="63">
        <f t="shared" ref="AA31" si="138">SUM(AA27+AA30)</f>
        <v>-100520</v>
      </c>
      <c r="AB31" s="63">
        <f t="shared" ref="AB31" si="139">SUM(AB27+AB30)</f>
        <v>-284296</v>
      </c>
      <c r="AC31" s="63">
        <f t="shared" ref="AC31" si="140">SUM(AC27+AC30)</f>
        <v>-457441</v>
      </c>
      <c r="AD31" s="63">
        <f t="shared" ref="AD31" si="141">SUM(AD27+AD30)</f>
        <v>-861542</v>
      </c>
      <c r="AE31" s="63">
        <f t="shared" si="132"/>
        <v>-1835170</v>
      </c>
      <c r="AF31" s="63">
        <f t="shared" ref="AF31" si="142">SUM(AF27+AF30)</f>
        <v>-7549355</v>
      </c>
      <c r="AG31" s="63">
        <f t="shared" ref="AG31" si="143">SUM(AG27+AG30)</f>
        <v>6688376</v>
      </c>
      <c r="AI31" s="97">
        <f t="shared" si="130"/>
        <v>-15.621286679593652</v>
      </c>
    </row>
    <row r="32" spans="2:35" ht="12.75" customHeight="1" x14ac:dyDescent="0.2">
      <c r="B32" s="64" t="s">
        <v>174</v>
      </c>
      <c r="C32" s="65">
        <f>C31/C10</f>
        <v>-1.5137559176289543</v>
      </c>
      <c r="D32" s="65">
        <f>D31/D10</f>
        <v>-2.5334652608639918</v>
      </c>
      <c r="E32" s="65">
        <f>E31/E10</f>
        <v>-0.20255470407708848</v>
      </c>
      <c r="F32" s="65">
        <f>F31/F10</f>
        <v>-3.9597502244010219</v>
      </c>
      <c r="H32" s="65">
        <f t="shared" ref="H32:S32" si="144">H31/H10</f>
        <v>-1.4023575374967512</v>
      </c>
      <c r="I32" s="65">
        <f t="shared" si="144"/>
        <v>-7.5040918139146244</v>
      </c>
      <c r="J32" s="65">
        <f t="shared" si="144"/>
        <v>6.5475430759412895E-2</v>
      </c>
      <c r="K32" s="65">
        <f t="shared" si="144"/>
        <v>-1.4315675121082729</v>
      </c>
      <c r="L32" s="65">
        <f t="shared" si="144"/>
        <v>-0.13842431202067013</v>
      </c>
      <c r="M32" s="65">
        <f t="shared" si="144"/>
        <v>-0.19500000000000001</v>
      </c>
      <c r="N32" s="65">
        <f t="shared" si="144"/>
        <v>-0.17381934467256802</v>
      </c>
      <c r="O32" s="65">
        <f t="shared" si="144"/>
        <v>-0.30255293853025289</v>
      </c>
      <c r="P32" s="65">
        <f t="shared" si="144"/>
        <v>-1.7410756121687521</v>
      </c>
      <c r="Q32" s="65">
        <f t="shared" si="144"/>
        <v>-1.7643527574882001</v>
      </c>
      <c r="R32" s="65">
        <f t="shared" si="144"/>
        <v>-3.6753711090625565</v>
      </c>
      <c r="S32" s="65">
        <f t="shared" si="144"/>
        <v>-8.3787583784186843</v>
      </c>
      <c r="T32" s="65">
        <f t="shared" ref="T32:U32" si="145">T31/T10</f>
        <v>-53.255154592764661</v>
      </c>
      <c r="U32" s="65">
        <f t="shared" si="145"/>
        <v>122.64261756690658</v>
      </c>
      <c r="W32" s="65">
        <f t="shared" ref="W32" si="146">W31/W10</f>
        <v>-2.5334652608639918</v>
      </c>
      <c r="X32" s="65">
        <f t="shared" ref="X32" si="147">X31/X10</f>
        <v>-2.2205032058051173</v>
      </c>
      <c r="Y32" s="65">
        <f t="shared" ref="Y32" si="148">Y31/Y10</f>
        <v>-0.44360882715716204</v>
      </c>
      <c r="Z32" s="65">
        <f t="shared" ref="Z32" si="149">Z31/Z10</f>
        <v>-0.5008952453844796</v>
      </c>
      <c r="AA32" s="65">
        <f t="shared" ref="AA32:AD32" si="150">AA31/AA10</f>
        <v>-0.20255470407708848</v>
      </c>
      <c r="AB32" s="65">
        <f t="shared" si="150"/>
        <v>-0.58067942286638674</v>
      </c>
      <c r="AC32" s="65">
        <f t="shared" si="150"/>
        <v>-0.9517449868298955</v>
      </c>
      <c r="AD32" s="65">
        <f t="shared" si="150"/>
        <v>-1.84388423154547</v>
      </c>
      <c r="AE32" s="65">
        <f>AE31/AE10</f>
        <v>-3.9597502244010219</v>
      </c>
      <c r="AF32" s="65">
        <f t="shared" ref="AF32:AG32" si="151">AF31/AF10</f>
        <v>-16.437512519704928</v>
      </c>
      <c r="AG32" s="65">
        <f t="shared" si="151"/>
        <v>14.46692132323359</v>
      </c>
      <c r="AI32" s="99">
        <f>SUM(AG32-AC32)*10000</f>
        <v>154186.66310063485</v>
      </c>
    </row>
    <row r="33" spans="2:35" ht="5.0999999999999996" customHeight="1" x14ac:dyDescent="0.2">
      <c r="AI33" s="83"/>
    </row>
    <row r="34" spans="2:35" ht="12.75" customHeight="1" x14ac:dyDescent="0.2">
      <c r="B34" s="74" t="s">
        <v>108</v>
      </c>
      <c r="C34" s="73">
        <f>'3-Statement Model'!C96</f>
        <v>7201</v>
      </c>
      <c r="D34" s="73">
        <f>'3-Statement Model'!D96</f>
        <v>8694</v>
      </c>
      <c r="E34" s="73">
        <f>'3-Statement Model'!E96</f>
        <v>8808</v>
      </c>
      <c r="F34" s="73">
        <f>'3-Statement Model'!F96</f>
        <v>15336</v>
      </c>
      <c r="H34" s="73">
        <f>'3-Statement Model'!H96</f>
        <v>2129</v>
      </c>
      <c r="I34" s="73">
        <f>'3-Statement Model'!I96</f>
        <v>2168</v>
      </c>
      <c r="J34" s="73">
        <f>'3-Statement Model'!J96</f>
        <v>2193</v>
      </c>
      <c r="K34" s="73">
        <f>'3-Statement Model'!K96</f>
        <v>2204</v>
      </c>
      <c r="L34" s="73">
        <f>'3-Statement Model'!L96</f>
        <v>2210</v>
      </c>
      <c r="M34" s="73">
        <f>'3-Statement Model'!M96</f>
        <v>2190</v>
      </c>
      <c r="N34" s="73">
        <f>'3-Statement Model'!N96</f>
        <v>2199</v>
      </c>
      <c r="O34" s="73">
        <f>'3-Statement Model'!O96</f>
        <v>2209</v>
      </c>
      <c r="P34" s="73">
        <f>'3-Statement Model'!P96</f>
        <v>2557</v>
      </c>
      <c r="Q34" s="73">
        <f>'3-Statement Model'!Q96</f>
        <v>3842</v>
      </c>
      <c r="R34" s="73">
        <f>'3-Statement Model'!R96</f>
        <v>3832</v>
      </c>
      <c r="S34" s="73">
        <f>'3-Statement Model'!S96</f>
        <v>5105</v>
      </c>
      <c r="T34" s="73">
        <f>'3-Statement Model'!T96</f>
        <v>6048</v>
      </c>
      <c r="U34" s="73">
        <f>'3-Statement Model'!U96</f>
        <v>6397</v>
      </c>
      <c r="W34" s="69">
        <f t="shared" ref="W34:W35" si="152">SUM(H34:K34)</f>
        <v>8694</v>
      </c>
      <c r="X34" s="69">
        <f t="shared" ref="X34:X35" si="153">SUM(I34:L34)</f>
        <v>8775</v>
      </c>
      <c r="Y34" s="69">
        <f t="shared" ref="Y34:Y35" si="154">SUM(J34:M34)</f>
        <v>8797</v>
      </c>
      <c r="Z34" s="69">
        <f t="shared" ref="Z34:Z35" si="155">SUM(K34:N34)</f>
        <v>8803</v>
      </c>
      <c r="AA34" s="69">
        <f t="shared" ref="AA34:AA35" si="156">SUM(L34:O34)</f>
        <v>8808</v>
      </c>
      <c r="AB34" s="69">
        <f t="shared" ref="AB34:AB35" si="157">SUM(M34:P34)</f>
        <v>9155</v>
      </c>
      <c r="AC34" s="69">
        <f t="shared" ref="AC34" si="158">SUM(N34:Q34)</f>
        <v>10807</v>
      </c>
      <c r="AD34" s="69">
        <f t="shared" ref="AD34" si="159">SUM(O34:R34)</f>
        <v>12440</v>
      </c>
      <c r="AE34" s="69">
        <f t="shared" ref="AE34" si="160">SUM(P34:S34)</f>
        <v>15336</v>
      </c>
      <c r="AF34" s="69">
        <f t="shared" ref="AF34" si="161">SUM(Q34:T34)</f>
        <v>18827</v>
      </c>
      <c r="AG34" s="69">
        <f t="shared" ref="AG34" si="162">SUM(R34:U34)</f>
        <v>21382</v>
      </c>
      <c r="AI34" s="96">
        <f t="shared" si="130"/>
        <v>0.97853243268252066</v>
      </c>
    </row>
    <row r="35" spans="2:35" ht="12.75" customHeight="1" x14ac:dyDescent="0.2">
      <c r="B35" s="72" t="s">
        <v>194</v>
      </c>
      <c r="C35" s="73">
        <f>-C26</f>
        <v>830621</v>
      </c>
      <c r="D35" s="73">
        <f>-D26</f>
        <v>1286286</v>
      </c>
      <c r="E35" s="73">
        <f>-E26</f>
        <v>115851</v>
      </c>
      <c r="F35" s="73">
        <f>-F26</f>
        <v>1789862</v>
      </c>
      <c r="H35" s="73">
        <f t="shared" ref="H35:U35" si="163">-H26</f>
        <v>170091</v>
      </c>
      <c r="I35" s="73">
        <f t="shared" si="163"/>
        <v>917838</v>
      </c>
      <c r="J35" s="73">
        <f t="shared" si="163"/>
        <v>727</v>
      </c>
      <c r="K35" s="73">
        <f t="shared" si="163"/>
        <v>197630</v>
      </c>
      <c r="L35" s="73">
        <f t="shared" si="163"/>
        <v>18911</v>
      </c>
      <c r="M35" s="73">
        <f t="shared" si="163"/>
        <v>24143</v>
      </c>
      <c r="N35" s="73">
        <f t="shared" si="163"/>
        <v>33559</v>
      </c>
      <c r="O35" s="73">
        <f t="shared" si="163"/>
        <v>39238</v>
      </c>
      <c r="P35" s="73">
        <f t="shared" si="163"/>
        <v>191633</v>
      </c>
      <c r="Q35" s="73">
        <f t="shared" si="163"/>
        <v>180090</v>
      </c>
      <c r="R35" s="73">
        <f t="shared" si="163"/>
        <v>412084</v>
      </c>
      <c r="S35" s="73">
        <f t="shared" si="163"/>
        <v>1006055</v>
      </c>
      <c r="T35" s="73">
        <f t="shared" si="163"/>
        <v>0</v>
      </c>
      <c r="U35" s="73">
        <f t="shared" si="163"/>
        <v>0</v>
      </c>
      <c r="W35" s="69">
        <f t="shared" si="152"/>
        <v>1286286</v>
      </c>
      <c r="X35" s="69">
        <f t="shared" si="153"/>
        <v>1135106</v>
      </c>
      <c r="Y35" s="69">
        <f t="shared" si="154"/>
        <v>241411</v>
      </c>
      <c r="Z35" s="69">
        <f t="shared" si="155"/>
        <v>274243</v>
      </c>
      <c r="AA35" s="69">
        <f t="shared" si="156"/>
        <v>115851</v>
      </c>
      <c r="AB35" s="69">
        <f t="shared" si="157"/>
        <v>288573</v>
      </c>
      <c r="AC35" s="69">
        <f t="shared" ref="AC35:AC36" si="164">SUM(N35:Q35)</f>
        <v>444520</v>
      </c>
      <c r="AD35" s="69">
        <f t="shared" ref="AD35:AD36" si="165">SUM(O35:R35)</f>
        <v>823045</v>
      </c>
      <c r="AE35" s="69">
        <f t="shared" ref="AE35:AE36" si="166">SUM(P35:S35)</f>
        <v>1789862</v>
      </c>
      <c r="AF35" s="69">
        <f t="shared" ref="AF35:AF36" si="167">SUM(Q35:T35)</f>
        <v>1598229</v>
      </c>
      <c r="AG35" s="69">
        <f t="shared" ref="AG35:AG36" si="168">SUM(R35:U35)</f>
        <v>1418139</v>
      </c>
      <c r="AI35" s="96">
        <f t="shared" si="130"/>
        <v>2.1902704040313146</v>
      </c>
    </row>
    <row r="36" spans="2:35" ht="12.75" customHeight="1" x14ac:dyDescent="0.2">
      <c r="B36" s="72" t="s">
        <v>193</v>
      </c>
      <c r="C36" s="73">
        <f>-C25</f>
        <v>0</v>
      </c>
      <c r="D36" s="73">
        <f t="shared" ref="D36:G36" si="169">-D25</f>
        <v>0</v>
      </c>
      <c r="E36" s="73">
        <f t="shared" si="169"/>
        <v>0</v>
      </c>
      <c r="F36" s="73">
        <f t="shared" si="169"/>
        <v>0</v>
      </c>
      <c r="G36" s="73">
        <f t="shared" si="169"/>
        <v>0</v>
      </c>
      <c r="H36" s="73">
        <f t="shared" ref="H36:U36" si="170">-H25</f>
        <v>0</v>
      </c>
      <c r="I36" s="73">
        <f t="shared" si="170"/>
        <v>0</v>
      </c>
      <c r="J36" s="73">
        <f t="shared" si="170"/>
        <v>0</v>
      </c>
      <c r="K36" s="73">
        <f t="shared" si="170"/>
        <v>0</v>
      </c>
      <c r="L36" s="73">
        <f t="shared" si="170"/>
        <v>0</v>
      </c>
      <c r="M36" s="73">
        <f t="shared" si="170"/>
        <v>0</v>
      </c>
      <c r="N36" s="73">
        <f t="shared" si="170"/>
        <v>0</v>
      </c>
      <c r="O36" s="73">
        <f t="shared" si="170"/>
        <v>0</v>
      </c>
      <c r="P36" s="73">
        <f t="shared" si="170"/>
        <v>0</v>
      </c>
      <c r="Q36" s="73">
        <f t="shared" si="170"/>
        <v>0</v>
      </c>
      <c r="R36" s="73">
        <f t="shared" si="170"/>
        <v>0</v>
      </c>
      <c r="S36" s="73">
        <f t="shared" si="170"/>
        <v>0</v>
      </c>
      <c r="T36" s="73">
        <f t="shared" si="170"/>
        <v>5906005</v>
      </c>
      <c r="U36" s="73">
        <f t="shared" si="170"/>
        <v>-14047514</v>
      </c>
      <c r="W36" s="69"/>
      <c r="X36" s="69"/>
      <c r="Y36" s="69"/>
      <c r="Z36" s="69"/>
      <c r="AA36" s="69"/>
      <c r="AB36" s="69"/>
      <c r="AC36" s="69">
        <f t="shared" si="164"/>
        <v>0</v>
      </c>
      <c r="AD36" s="69">
        <f t="shared" si="165"/>
        <v>0</v>
      </c>
      <c r="AE36" s="69">
        <f t="shared" si="166"/>
        <v>0</v>
      </c>
      <c r="AF36" s="69">
        <f t="shared" si="167"/>
        <v>5906005</v>
      </c>
      <c r="AG36" s="69">
        <f t="shared" si="168"/>
        <v>-8141509</v>
      </c>
      <c r="AI36" s="96" t="e">
        <f t="shared" si="130"/>
        <v>#DIV/0!</v>
      </c>
    </row>
    <row r="37" spans="2:35" ht="12.75" customHeight="1" x14ac:dyDescent="0.2">
      <c r="B37" s="54" t="s">
        <v>107</v>
      </c>
      <c r="C37" s="55">
        <f>+SUM(C31+SUM(C34:C36))</f>
        <v>64653</v>
      </c>
      <c r="D37" s="55">
        <f t="shared" ref="D37:F37" si="171">+SUM(D31+SUM(D34:D36))</f>
        <v>30112</v>
      </c>
      <c r="E37" s="55">
        <f t="shared" si="171"/>
        <v>24139</v>
      </c>
      <c r="F37" s="55">
        <f t="shared" si="171"/>
        <v>-29972</v>
      </c>
      <c r="G37" s="12"/>
      <c r="H37" s="55">
        <f t="shared" ref="H37" si="172">+SUM(H31+SUM(H34:H36))</f>
        <v>4951</v>
      </c>
      <c r="I37" s="55">
        <f t="shared" ref="I37" si="173">+SUM(I31+SUM(I34:I36))</f>
        <v>3959</v>
      </c>
      <c r="J37" s="55">
        <f t="shared" ref="J37" si="174">+SUM(J31+SUM(J34:J36))</f>
        <v>11128</v>
      </c>
      <c r="K37" s="55">
        <f t="shared" ref="K37" si="175">+SUM(K31+SUM(K34:K36))</f>
        <v>10074</v>
      </c>
      <c r="L37" s="55">
        <f t="shared" ref="L37" si="176">+SUM(L31+SUM(L34:L36))</f>
        <v>4245</v>
      </c>
      <c r="M37" s="55">
        <f t="shared" ref="M37" si="177">+SUM(M31+SUM(M34:M36))</f>
        <v>2855</v>
      </c>
      <c r="N37" s="55">
        <f t="shared" ref="N37" si="178">+SUM(N31+SUM(N34:N36))</f>
        <v>13255</v>
      </c>
      <c r="O37" s="55">
        <f t="shared" ref="O37" si="179">+SUM(O31+SUM(O34:O36))</f>
        <v>3784</v>
      </c>
      <c r="P37" s="55">
        <f t="shared" ref="P37" si="180">+SUM(P31+SUM(P34:P36))</f>
        <v>-6462</v>
      </c>
      <c r="Q37" s="55">
        <f t="shared" ref="Q37" si="181">+SUM(Q31+SUM(Q34:Q36))</f>
        <v>-12691</v>
      </c>
      <c r="R37" s="55">
        <f t="shared" ref="R37" si="182">+SUM(R31+SUM(R34:R36))</f>
        <v>-10688</v>
      </c>
      <c r="S37" s="55">
        <f t="shared" ref="S37" si="183">+SUM(S31+SUM(S34:S36))</f>
        <v>-131</v>
      </c>
      <c r="T37" s="55">
        <f t="shared" ref="T37" si="184">+SUM(T31+SUM(T34:T36))</f>
        <v>-2784</v>
      </c>
      <c r="U37" s="55">
        <f t="shared" ref="U37" si="185">+SUM(U31+SUM(U34:U36))</f>
        <v>-9</v>
      </c>
      <c r="V37" s="9"/>
      <c r="W37" s="55">
        <f t="shared" ref="W37" si="186">+SUM(W31+SUM(W34:W35))</f>
        <v>30112</v>
      </c>
      <c r="X37" s="55">
        <f t="shared" ref="X37" si="187">+SUM(X31+SUM(X34:X35))</f>
        <v>29406</v>
      </c>
      <c r="Y37" s="55">
        <f t="shared" ref="Y37" si="188">+SUM(Y31+SUM(Y34:Y35))</f>
        <v>28302</v>
      </c>
      <c r="Z37" s="55">
        <f t="shared" ref="Z37" si="189">+SUM(Z31+SUM(Z34:Z35))</f>
        <v>30429</v>
      </c>
      <c r="AA37" s="55">
        <f t="shared" ref="AA37" si="190">+SUM(AA31+SUM(AA34:AA35))</f>
        <v>24139</v>
      </c>
      <c r="AB37" s="55">
        <f t="shared" ref="AB37" si="191">+SUM(AB31+SUM(AB34:AB35))</f>
        <v>13432</v>
      </c>
      <c r="AC37" s="55">
        <f t="shared" ref="AC37" si="192">+SUM(AC31+SUM(AC34:AC36))</f>
        <v>-2114</v>
      </c>
      <c r="AD37" s="55">
        <f t="shared" ref="AD37" si="193">+SUM(AD31+SUM(AD34:AD36))</f>
        <v>-26057</v>
      </c>
      <c r="AE37" s="55">
        <f t="shared" ref="AE37" si="194">+SUM(AE31+SUM(AE34:AE36))</f>
        <v>-29972</v>
      </c>
      <c r="AF37" s="55">
        <f t="shared" ref="AF37" si="195">+SUM(AF31+SUM(AF34:AF36))</f>
        <v>-26294</v>
      </c>
      <c r="AG37" s="55">
        <f t="shared" ref="AG37" si="196">+SUM(AG31+SUM(AG34:AG36))</f>
        <v>-13612</v>
      </c>
      <c r="AI37" s="96">
        <f t="shared" si="130"/>
        <v>5.4389782403027436</v>
      </c>
    </row>
    <row r="38" spans="2:35" ht="12.75" customHeight="1" x14ac:dyDescent="0.2">
      <c r="B38" s="64" t="s">
        <v>176</v>
      </c>
      <c r="C38" s="65">
        <f>C37/C10</f>
        <v>0.12658146064115969</v>
      </c>
      <c r="D38" s="65">
        <f>D37/D10</f>
        <v>6.0312780412767594E-2</v>
      </c>
      <c r="E38" s="65">
        <f>E37/E10</f>
        <v>4.8641742953808582E-2</v>
      </c>
      <c r="F38" s="65">
        <f>F37/F10</f>
        <v>-6.4670648346337081E-2</v>
      </c>
      <c r="H38" s="65">
        <f t="shared" ref="H38:S38" si="197">H37/H10</f>
        <v>4.150842157331254E-2</v>
      </c>
      <c r="I38" s="65">
        <f t="shared" si="197"/>
        <v>3.2431413989989596E-2</v>
      </c>
      <c r="J38" s="65">
        <f t="shared" si="197"/>
        <v>8.8768347160178687E-2</v>
      </c>
      <c r="K38" s="65">
        <f t="shared" si="197"/>
        <v>7.5999215414095392E-2</v>
      </c>
      <c r="L38" s="65">
        <f t="shared" si="197"/>
        <v>3.4819341344379279E-2</v>
      </c>
      <c r="M38" s="65">
        <f t="shared" si="197"/>
        <v>2.3712624584717609E-2</v>
      </c>
      <c r="N38" s="65">
        <f t="shared" si="197"/>
        <v>0.10238525590520771</v>
      </c>
      <c r="O38" s="65">
        <f t="shared" si="197"/>
        <v>3.0397480800745478E-2</v>
      </c>
      <c r="P38" s="65">
        <f t="shared" si="197"/>
        <v>-5.6071360394287006E-2</v>
      </c>
      <c r="Q38" s="65">
        <f t="shared" si="197"/>
        <v>-0.11387986575976741</v>
      </c>
      <c r="R38" s="65">
        <f t="shared" si="197"/>
        <v>-9.2081570762722817E-2</v>
      </c>
      <c r="S38" s="65">
        <f t="shared" si="197"/>
        <v>-1.0853625193666784E-3</v>
      </c>
      <c r="T38" s="65">
        <f t="shared" ref="T38:U38" si="198">T37/T10</f>
        <v>-2.5066176867808331E-2</v>
      </c>
      <c r="U38" s="65">
        <f t="shared" si="198"/>
        <v>-7.8610858779959466E-5</v>
      </c>
      <c r="W38" s="65">
        <f t="shared" ref="W38" si="199">W37/W10</f>
        <v>6.0312780412767594E-2</v>
      </c>
      <c r="X38" s="65">
        <f t="shared" ref="X38" si="200">X37/X10</f>
        <v>5.8589126961040204E-2</v>
      </c>
      <c r="Y38" s="65">
        <f t="shared" ref="Y38" si="201">Y37/Y10</f>
        <v>5.657808723604589E-2</v>
      </c>
      <c r="Z38" s="65">
        <f t="shared" ref="Z38" si="202">Z37/Z10</f>
        <v>6.0335374981906727E-2</v>
      </c>
      <c r="AA38" s="65">
        <f t="shared" ref="AA38:AD38" si="203">AA37/AA10</f>
        <v>4.8641742953808582E-2</v>
      </c>
      <c r="AB38" s="65">
        <f t="shared" si="203"/>
        <v>2.7435088808640665E-2</v>
      </c>
      <c r="AC38" s="65">
        <f t="shared" si="203"/>
        <v>-4.3983571699047512E-3</v>
      </c>
      <c r="AD38" s="65">
        <f t="shared" si="203"/>
        <v>-5.5767555640212907E-2</v>
      </c>
      <c r="AE38" s="65">
        <f>AE37/AE10</f>
        <v>-6.4670648346337081E-2</v>
      </c>
      <c r="AF38" s="65">
        <f t="shared" ref="AF38:AG38" si="204">AF37/AF10</f>
        <v>-5.7250977625654294E-2</v>
      </c>
      <c r="AG38" s="65">
        <f t="shared" si="204"/>
        <v>-2.9442682805490547E-2</v>
      </c>
      <c r="AI38" s="98">
        <f>SUM(AG38-AC38)*10000</f>
        <v>-250.44325635585795</v>
      </c>
    </row>
    <row r="39" spans="2:35" ht="5.0999999999999996" customHeight="1" x14ac:dyDescent="0.2">
      <c r="AI39" s="83"/>
    </row>
    <row r="40" spans="2:35" ht="12.75" customHeight="1" x14ac:dyDescent="0.2">
      <c r="B40" s="72" t="s">
        <v>114</v>
      </c>
      <c r="C40" s="69">
        <f>'3-Statement Model'!C114</f>
        <v>-2706</v>
      </c>
      <c r="D40" s="69">
        <f>'3-Statement Model'!D114</f>
        <v>-2486</v>
      </c>
      <c r="E40" s="69">
        <f>'3-Statement Model'!E114</f>
        <v>-2938</v>
      </c>
      <c r="F40" s="69">
        <f>'3-Statement Model'!F114</f>
        <v>-2978</v>
      </c>
      <c r="H40" s="69">
        <f>'3-Statement Model'!H114</f>
        <v>-641</v>
      </c>
      <c r="I40" s="69">
        <f>'3-Statement Model'!I114</f>
        <v>-878</v>
      </c>
      <c r="J40" s="69">
        <f>'3-Statement Model'!J114</f>
        <v>-332</v>
      </c>
      <c r="K40" s="69">
        <f>'3-Statement Model'!K114</f>
        <v>-635</v>
      </c>
      <c r="L40" s="69">
        <f>'3-Statement Model'!L114</f>
        <v>-499</v>
      </c>
      <c r="M40" s="69">
        <f>'3-Statement Model'!M114</f>
        <v>-639</v>
      </c>
      <c r="N40" s="69">
        <f>'3-Statement Model'!N114</f>
        <v>-1453</v>
      </c>
      <c r="O40" s="69">
        <f>'3-Statement Model'!O114</f>
        <v>-347</v>
      </c>
      <c r="P40" s="69">
        <f>'3-Statement Model'!P114</f>
        <v>-1545</v>
      </c>
      <c r="Q40" s="69">
        <f>'3-Statement Model'!Q114</f>
        <v>-723</v>
      </c>
      <c r="R40" s="69">
        <f>'3-Statement Model'!R114</f>
        <v>-426</v>
      </c>
      <c r="S40" s="69">
        <f>'3-Statement Model'!S114</f>
        <v>-284</v>
      </c>
      <c r="T40" s="69">
        <f>'3-Statement Model'!T114</f>
        <v>-2737</v>
      </c>
      <c r="U40" s="69">
        <f>'3-Statement Model'!U114</f>
        <v>-2094</v>
      </c>
      <c r="W40" s="69">
        <f t="shared" ref="W40:W44" si="205">SUM(H40:K40)</f>
        <v>-2486</v>
      </c>
      <c r="X40" s="69">
        <f t="shared" ref="X40:X44" si="206">SUM(I40:L40)</f>
        <v>-2344</v>
      </c>
      <c r="Y40" s="69">
        <f t="shared" ref="Y40:Y44" si="207">SUM(J40:M40)</f>
        <v>-2105</v>
      </c>
      <c r="Z40" s="69">
        <f t="shared" ref="Z40:Z44" si="208">SUM(K40:N40)</f>
        <v>-3226</v>
      </c>
      <c r="AA40" s="69">
        <f t="shared" ref="AA40:AA44" si="209">SUM(L40:O40)</f>
        <v>-2938</v>
      </c>
      <c r="AB40" s="69">
        <f t="shared" ref="AB40:AB44" si="210">SUM(M40:P40)</f>
        <v>-3984</v>
      </c>
      <c r="AC40" s="69">
        <f t="shared" ref="AC40:AC44" si="211">SUM(N40:Q40)</f>
        <v>-4068</v>
      </c>
      <c r="AD40" s="69">
        <f t="shared" ref="AD40:AD44" si="212">SUM(O40:R40)</f>
        <v>-3041</v>
      </c>
      <c r="AE40" s="69">
        <f t="shared" ref="AE40:AE44" si="213">SUM(P40:S40)</f>
        <v>-2978</v>
      </c>
      <c r="AF40" s="69">
        <f t="shared" ref="AF40:AF44" si="214">SUM(Q40:T40)</f>
        <v>-4170</v>
      </c>
      <c r="AG40" s="69">
        <f t="shared" ref="AG40:AG44" si="215">SUM(R40:U40)</f>
        <v>-5541</v>
      </c>
      <c r="AI40" s="96">
        <f t="shared" ref="AI40:AI45" si="216">SUM(AG40/AC40)-1</f>
        <v>0.36209439528023601</v>
      </c>
    </row>
    <row r="41" spans="2:35" ht="12.75" customHeight="1" x14ac:dyDescent="0.2">
      <c r="B41" s="72" t="s">
        <v>115</v>
      </c>
      <c r="C41" s="69">
        <f>-'3-Statement Model'!C134</f>
        <v>-20416</v>
      </c>
      <c r="D41" s="69">
        <f>-'3-Statement Model'!D134</f>
        <v>-43448</v>
      </c>
      <c r="E41" s="69">
        <f>-'3-Statement Model'!E134</f>
        <v>-41229</v>
      </c>
      <c r="F41" s="69">
        <f>-'3-Statement Model'!F134</f>
        <v>-44571</v>
      </c>
      <c r="H41" s="69">
        <f>SUM($D$41/4)</f>
        <v>-10862</v>
      </c>
      <c r="I41" s="69">
        <f t="shared" ref="I41:K41" si="217">SUM($D$41/4)</f>
        <v>-10862</v>
      </c>
      <c r="J41" s="69">
        <f t="shared" si="217"/>
        <v>-10862</v>
      </c>
      <c r="K41" s="69">
        <f t="shared" si="217"/>
        <v>-10862</v>
      </c>
      <c r="L41" s="69">
        <f>SUM($E$41/4)</f>
        <v>-10307.25</v>
      </c>
      <c r="M41" s="69">
        <f t="shared" ref="M41:O41" si="218">SUM($E$41/4)</f>
        <v>-10307.25</v>
      </c>
      <c r="N41" s="69">
        <f t="shared" si="218"/>
        <v>-10307.25</v>
      </c>
      <c r="O41" s="69">
        <f t="shared" si="218"/>
        <v>-10307.25</v>
      </c>
      <c r="P41" s="69">
        <f>SUM($F$41/4)</f>
        <v>-11142.75</v>
      </c>
      <c r="Q41" s="69">
        <f t="shared" ref="Q41:S41" si="219">SUM($F$41/4)</f>
        <v>-11142.75</v>
      </c>
      <c r="R41" s="69">
        <f t="shared" si="219"/>
        <v>-11142.75</v>
      </c>
      <c r="S41" s="69">
        <f t="shared" si="219"/>
        <v>-11142.75</v>
      </c>
      <c r="T41" s="69">
        <f>S41</f>
        <v>-11142.75</v>
      </c>
      <c r="U41" s="69">
        <f>T41</f>
        <v>-11142.75</v>
      </c>
      <c r="W41" s="69">
        <f t="shared" si="205"/>
        <v>-43448</v>
      </c>
      <c r="X41" s="69">
        <f t="shared" si="206"/>
        <v>-42893.25</v>
      </c>
      <c r="Y41" s="69">
        <f t="shared" si="207"/>
        <v>-42338.5</v>
      </c>
      <c r="Z41" s="69">
        <f t="shared" si="208"/>
        <v>-41783.75</v>
      </c>
      <c r="AA41" s="69">
        <f t="shared" si="209"/>
        <v>-41229</v>
      </c>
      <c r="AB41" s="69">
        <f t="shared" si="210"/>
        <v>-42064.5</v>
      </c>
      <c r="AC41" s="69">
        <f t="shared" si="211"/>
        <v>-42900</v>
      </c>
      <c r="AD41" s="69">
        <f t="shared" si="212"/>
        <v>-43735.5</v>
      </c>
      <c r="AE41" s="69">
        <f t="shared" si="213"/>
        <v>-44571</v>
      </c>
      <c r="AF41" s="69">
        <f t="shared" si="214"/>
        <v>-44571</v>
      </c>
      <c r="AG41" s="69">
        <f t="shared" si="215"/>
        <v>-44571</v>
      </c>
      <c r="AI41" s="96">
        <f t="shared" si="216"/>
        <v>3.895104895104895E-2</v>
      </c>
    </row>
    <row r="42" spans="2:35" ht="12.75" customHeight="1" x14ac:dyDescent="0.2">
      <c r="B42" s="72" t="s">
        <v>116</v>
      </c>
      <c r="C42" s="69">
        <f>-'3-Statement Model'!C135</f>
        <v>-7010</v>
      </c>
      <c r="D42" s="69">
        <f>-'3-Statement Model'!D135</f>
        <v>-21973</v>
      </c>
      <c r="E42" s="69">
        <f>-'3-Statement Model'!E135</f>
        <v>-30318</v>
      </c>
      <c r="F42" s="69">
        <f>-'3-Statement Model'!F135</f>
        <v>-1059</v>
      </c>
      <c r="H42" s="69">
        <f>SUM($D$42/4)</f>
        <v>-5493.25</v>
      </c>
      <c r="I42" s="69">
        <f t="shared" ref="I42:K42" si="220">SUM($D$42/4)</f>
        <v>-5493.25</v>
      </c>
      <c r="J42" s="69">
        <f t="shared" si="220"/>
        <v>-5493.25</v>
      </c>
      <c r="K42" s="69">
        <f t="shared" si="220"/>
        <v>-5493.25</v>
      </c>
      <c r="L42" s="69">
        <f>SUM($E$42/4)</f>
        <v>-7579.5</v>
      </c>
      <c r="M42" s="69">
        <f t="shared" ref="M42:O42" si="221">SUM($E$42/4)</f>
        <v>-7579.5</v>
      </c>
      <c r="N42" s="69">
        <f t="shared" si="221"/>
        <v>-7579.5</v>
      </c>
      <c r="O42" s="69">
        <f t="shared" si="221"/>
        <v>-7579.5</v>
      </c>
      <c r="P42" s="69">
        <f>SUM($F$42/4)</f>
        <v>-264.75</v>
      </c>
      <c r="Q42" s="69">
        <f t="shared" ref="Q42:S42" si="222">SUM($F$42/4)</f>
        <v>-264.75</v>
      </c>
      <c r="R42" s="69">
        <f t="shared" si="222"/>
        <v>-264.75</v>
      </c>
      <c r="S42" s="69">
        <f t="shared" si="222"/>
        <v>-264.75</v>
      </c>
      <c r="T42" s="69">
        <f>S42</f>
        <v>-264.75</v>
      </c>
      <c r="U42" s="69">
        <f t="shared" ref="U42" si="223">T42</f>
        <v>-264.75</v>
      </c>
      <c r="W42" s="69">
        <f t="shared" si="205"/>
        <v>-21973</v>
      </c>
      <c r="X42" s="69">
        <f t="shared" si="206"/>
        <v>-24059.25</v>
      </c>
      <c r="Y42" s="69">
        <f t="shared" si="207"/>
        <v>-26145.5</v>
      </c>
      <c r="Z42" s="69">
        <f t="shared" si="208"/>
        <v>-28231.75</v>
      </c>
      <c r="AA42" s="69">
        <f t="shared" si="209"/>
        <v>-30318</v>
      </c>
      <c r="AB42" s="69">
        <f t="shared" si="210"/>
        <v>-23003.25</v>
      </c>
      <c r="AC42" s="69">
        <f t="shared" si="211"/>
        <v>-15688.5</v>
      </c>
      <c r="AD42" s="69">
        <f t="shared" si="212"/>
        <v>-8373.75</v>
      </c>
      <c r="AE42" s="69">
        <f t="shared" si="213"/>
        <v>-1059</v>
      </c>
      <c r="AF42" s="69">
        <f t="shared" si="214"/>
        <v>-1059</v>
      </c>
      <c r="AG42" s="69">
        <f t="shared" si="215"/>
        <v>-1059</v>
      </c>
      <c r="AI42" s="96">
        <f t="shared" si="216"/>
        <v>-0.93249832679988531</v>
      </c>
    </row>
    <row r="43" spans="2:35" ht="12.75" customHeight="1" x14ac:dyDescent="0.2">
      <c r="B43" s="72" t="s">
        <v>117</v>
      </c>
      <c r="C43" s="69">
        <v>0</v>
      </c>
      <c r="D43" s="69">
        <v>0</v>
      </c>
      <c r="E43" s="69">
        <v>0</v>
      </c>
      <c r="F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W43" s="69">
        <f t="shared" si="205"/>
        <v>0</v>
      </c>
      <c r="X43" s="69">
        <f t="shared" si="206"/>
        <v>0</v>
      </c>
      <c r="Y43" s="69">
        <f t="shared" si="207"/>
        <v>0</v>
      </c>
      <c r="Z43" s="69">
        <f t="shared" si="208"/>
        <v>0</v>
      </c>
      <c r="AA43" s="69">
        <f t="shared" si="209"/>
        <v>0</v>
      </c>
      <c r="AB43" s="69">
        <f t="shared" si="210"/>
        <v>0</v>
      </c>
      <c r="AC43" s="69">
        <f t="shared" si="211"/>
        <v>0</v>
      </c>
      <c r="AD43" s="69">
        <f t="shared" si="212"/>
        <v>0</v>
      </c>
      <c r="AE43" s="69">
        <f t="shared" si="213"/>
        <v>0</v>
      </c>
      <c r="AF43" s="69">
        <f t="shared" si="214"/>
        <v>0</v>
      </c>
      <c r="AG43" s="69">
        <f t="shared" si="215"/>
        <v>0</v>
      </c>
      <c r="AI43" s="96" t="e">
        <f t="shared" si="216"/>
        <v>#DIV/0!</v>
      </c>
    </row>
    <row r="44" spans="2:35" ht="12.75" customHeight="1" x14ac:dyDescent="0.2">
      <c r="B44" s="72" t="s">
        <v>119</v>
      </c>
      <c r="C44" s="69">
        <f>SUM('3-Statement Model'!C100:C108)</f>
        <v>11091</v>
      </c>
      <c r="D44" s="69">
        <f>SUM('3-Statement Model'!D100:D108)</f>
        <v>-36609</v>
      </c>
      <c r="E44" s="69">
        <f>SUM('3-Statement Model'!E100:E108)</f>
        <v>-21055</v>
      </c>
      <c r="F44" s="69">
        <f>SUM('3-Statement Model'!F100:F108)</f>
        <v>-42707</v>
      </c>
      <c r="H44" s="69">
        <f>SUM('3-Statement Model'!H100:H108)</f>
        <v>40307</v>
      </c>
      <c r="I44" s="69">
        <f>SUM('3-Statement Model'!I100:I108)</f>
        <v>-31781</v>
      </c>
      <c r="J44" s="69">
        <f>SUM('3-Statement Model'!J100:J108)</f>
        <v>-13014</v>
      </c>
      <c r="K44" s="69">
        <f>SUM('3-Statement Model'!K100:K108)</f>
        <v>-32121</v>
      </c>
      <c r="L44" s="69">
        <f>SUM('3-Statement Model'!L100:L108)</f>
        <v>36801</v>
      </c>
      <c r="M44" s="69">
        <f>SUM('3-Statement Model'!M100:M108)</f>
        <v>-17818</v>
      </c>
      <c r="N44" s="69">
        <f>SUM('3-Statement Model'!N100:N108)</f>
        <v>-26278</v>
      </c>
      <c r="O44" s="69">
        <f>SUM('3-Statement Model'!O100:O108)</f>
        <v>-13760</v>
      </c>
      <c r="P44" s="69">
        <f>SUM('3-Statement Model'!P100:P108)</f>
        <v>25710</v>
      </c>
      <c r="Q44" s="69">
        <f>SUM('3-Statement Model'!Q100:Q108)</f>
        <v>-13952</v>
      </c>
      <c r="R44" s="69">
        <f>SUM('3-Statement Model'!R100:R108)</f>
        <v>-25506</v>
      </c>
      <c r="S44" s="69">
        <f>SUM('3-Statement Model'!S100:S108)</f>
        <v>-28959</v>
      </c>
      <c r="T44" s="69">
        <f>SUM('3-Statement Model'!T100:T108)</f>
        <v>10657</v>
      </c>
      <c r="U44" s="69">
        <f>SUM('3-Statement Model'!U100:U108)</f>
        <v>-13701</v>
      </c>
      <c r="W44" s="69">
        <f t="shared" si="205"/>
        <v>-36609</v>
      </c>
      <c r="X44" s="69">
        <f t="shared" si="206"/>
        <v>-40115</v>
      </c>
      <c r="Y44" s="69">
        <f t="shared" si="207"/>
        <v>-26152</v>
      </c>
      <c r="Z44" s="69">
        <f t="shared" si="208"/>
        <v>-39416</v>
      </c>
      <c r="AA44" s="69">
        <f t="shared" si="209"/>
        <v>-21055</v>
      </c>
      <c r="AB44" s="69">
        <f t="shared" si="210"/>
        <v>-32146</v>
      </c>
      <c r="AC44" s="69">
        <f t="shared" si="211"/>
        <v>-28280</v>
      </c>
      <c r="AD44" s="69">
        <f t="shared" si="212"/>
        <v>-27508</v>
      </c>
      <c r="AE44" s="69">
        <f t="shared" si="213"/>
        <v>-42707</v>
      </c>
      <c r="AF44" s="69">
        <f t="shared" si="214"/>
        <v>-57760</v>
      </c>
      <c r="AG44" s="69">
        <f t="shared" si="215"/>
        <v>-57509</v>
      </c>
      <c r="AI44" s="96">
        <f t="shared" si="216"/>
        <v>1.0335572842998584</v>
      </c>
    </row>
    <row r="45" spans="2:35" ht="12.75" customHeight="1" x14ac:dyDescent="0.2">
      <c r="B45" s="54" t="s">
        <v>113</v>
      </c>
      <c r="C45" s="55">
        <f>SUM(C37+SUM(C40:C44))</f>
        <v>45612</v>
      </c>
      <c r="D45" s="55">
        <f t="shared" ref="D45:F45" si="224">SUM(D37+SUM(D40:D44))</f>
        <v>-74404</v>
      </c>
      <c r="E45" s="55">
        <f t="shared" si="224"/>
        <v>-71401</v>
      </c>
      <c r="F45" s="55">
        <f t="shared" si="224"/>
        <v>-121287</v>
      </c>
      <c r="H45" s="55">
        <f t="shared" ref="H45" si="225">SUM(H37+SUM(H40:H44))</f>
        <v>28261.75</v>
      </c>
      <c r="I45" s="55">
        <f t="shared" ref="I45" si="226">SUM(I37+SUM(I40:I44))</f>
        <v>-45055.25</v>
      </c>
      <c r="J45" s="55">
        <f t="shared" ref="J45" si="227">SUM(J37+SUM(J40:J44))</f>
        <v>-18573.25</v>
      </c>
      <c r="K45" s="55">
        <f t="shared" ref="K45" si="228">SUM(K37+SUM(K40:K44))</f>
        <v>-39037.25</v>
      </c>
      <c r="L45" s="55">
        <f t="shared" ref="L45" si="229">SUM(L37+SUM(L40:L44))</f>
        <v>22660.25</v>
      </c>
      <c r="M45" s="55">
        <f t="shared" ref="M45" si="230">SUM(M37+SUM(M40:M44))</f>
        <v>-33488.75</v>
      </c>
      <c r="N45" s="55">
        <f t="shared" ref="N45" si="231">SUM(N37+SUM(N40:N44))</f>
        <v>-32362.75</v>
      </c>
      <c r="O45" s="55">
        <f t="shared" ref="O45" si="232">SUM(O37+SUM(O40:O44))</f>
        <v>-28209.75</v>
      </c>
      <c r="P45" s="55">
        <f t="shared" ref="P45" si="233">SUM(P37+SUM(P40:P44))</f>
        <v>6295.5</v>
      </c>
      <c r="Q45" s="55">
        <f t="shared" ref="Q45" si="234">SUM(Q37+SUM(Q40:Q44))</f>
        <v>-38773.5</v>
      </c>
      <c r="R45" s="55">
        <f>SUM(R37+SUM(R40:R44))</f>
        <v>-48027.5</v>
      </c>
      <c r="S45" s="55">
        <f>SUM(S37+SUM(S40:S44))</f>
        <v>-40781.5</v>
      </c>
      <c r="T45" s="55">
        <f t="shared" ref="T45:U45" si="235">SUM(T37+SUM(T40:T44))</f>
        <v>-6271.5</v>
      </c>
      <c r="U45" s="55">
        <f t="shared" si="235"/>
        <v>-27211.5</v>
      </c>
      <c r="W45" s="55">
        <f t="shared" ref="W45" si="236">SUM(W37+SUM(W40:W44))</f>
        <v>-74404</v>
      </c>
      <c r="X45" s="55">
        <f t="shared" ref="X45" si="237">SUM(X37+SUM(X40:X44))</f>
        <v>-80005.5</v>
      </c>
      <c r="Y45" s="55">
        <f t="shared" ref="Y45" si="238">SUM(Y37+SUM(Y40:Y44))</f>
        <v>-68439</v>
      </c>
      <c r="Z45" s="55">
        <f t="shared" ref="Z45" si="239">SUM(Z37+SUM(Z40:Z44))</f>
        <v>-82228.5</v>
      </c>
      <c r="AA45" s="55">
        <f t="shared" ref="AA45" si="240">SUM(AA37+SUM(AA40:AA44))</f>
        <v>-71401</v>
      </c>
      <c r="AB45" s="55">
        <f t="shared" ref="AB45" si="241">SUM(AB37+SUM(AB40:AB44))</f>
        <v>-87765.75</v>
      </c>
      <c r="AC45" s="55">
        <f t="shared" ref="AC45" si="242">SUM(AC37+SUM(AC40:AC44))</f>
        <v>-93050.5</v>
      </c>
      <c r="AD45" s="55">
        <f t="shared" ref="AD45" si="243">SUM(AD37+SUM(AD40:AD44))</f>
        <v>-108715.25</v>
      </c>
      <c r="AE45" s="55">
        <f t="shared" ref="AE45" si="244">SUM(AE37+SUM(AE40:AE44))</f>
        <v>-121287</v>
      </c>
      <c r="AF45" s="55">
        <f t="shared" ref="AF45" si="245">SUM(AF37+SUM(AF40:AF44))</f>
        <v>-133854</v>
      </c>
      <c r="AG45" s="55">
        <f t="shared" ref="AG45" si="246">SUM(AG37+SUM(AG40:AG44))</f>
        <v>-122292</v>
      </c>
      <c r="AI45" s="97">
        <f t="shared" si="216"/>
        <v>0.31425408783402564</v>
      </c>
    </row>
    <row r="46" spans="2:35" ht="5.0999999999999996" customHeight="1" x14ac:dyDescent="0.2"/>
    <row r="47" spans="2:35" ht="12.75" customHeight="1" x14ac:dyDescent="0.2">
      <c r="B47" s="74" t="s">
        <v>160</v>
      </c>
      <c r="C47" s="69">
        <f>'3-Statement Model'!C120</f>
        <v>1025204</v>
      </c>
      <c r="D47" s="69">
        <f>'3-Statement Model'!D120</f>
        <v>0</v>
      </c>
      <c r="E47" s="69">
        <f>'3-Statement Model'!E120</f>
        <v>0</v>
      </c>
      <c r="F47" s="69">
        <f>'3-Statement Model'!F120</f>
        <v>6132319</v>
      </c>
      <c r="G47" s="69"/>
      <c r="H47" s="69">
        <f>'3-Statement Model'!H120</f>
        <v>0</v>
      </c>
      <c r="I47" s="69">
        <f>'3-Statement Model'!I120</f>
        <v>0</v>
      </c>
      <c r="J47" s="69">
        <f>'3-Statement Model'!J120</f>
        <v>0</v>
      </c>
      <c r="K47" s="69">
        <f>'3-Statement Model'!K120</f>
        <v>0</v>
      </c>
      <c r="L47" s="69">
        <f>'3-Statement Model'!L120</f>
        <v>0</v>
      </c>
      <c r="M47" s="69">
        <f>'3-Statement Model'!M120</f>
        <v>0</v>
      </c>
      <c r="N47" s="69">
        <f>'3-Statement Model'!N120</f>
        <v>0</v>
      </c>
      <c r="O47" s="69">
        <f>'3-Statement Model'!O120</f>
        <v>0</v>
      </c>
      <c r="P47" s="69">
        <f>'3-Statement Model'!P120</f>
        <v>1375679</v>
      </c>
      <c r="Q47" s="69">
        <f>'3-Statement Model'!Q120</f>
        <v>786019</v>
      </c>
      <c r="R47" s="69">
        <f>'3-Statement Model'!R120</f>
        <v>998130</v>
      </c>
      <c r="S47" s="69">
        <f>'3-Statement Model'!S120</f>
        <v>2972491</v>
      </c>
      <c r="T47" s="69">
        <f>'3-Statement Model'!T120</f>
        <v>1985724</v>
      </c>
      <c r="U47" s="69">
        <f>'3-Statement Model'!U120</f>
        <v>-646</v>
      </c>
      <c r="W47" s="69">
        <f t="shared" ref="W47:W54" si="247">SUM(H47:K47)</f>
        <v>0</v>
      </c>
      <c r="X47" s="69">
        <f t="shared" ref="X47:X54" si="248">SUM(I47:L47)</f>
        <v>0</v>
      </c>
      <c r="Y47" s="69">
        <f t="shared" ref="Y47:Y54" si="249">SUM(J47:M47)</f>
        <v>0</v>
      </c>
      <c r="Z47" s="69">
        <f t="shared" ref="Z47:Z54" si="250">SUM(K47:N47)</f>
        <v>0</v>
      </c>
      <c r="AA47" s="69">
        <f t="shared" ref="AA47:AA54" si="251">SUM(L47:O47)</f>
        <v>0</v>
      </c>
      <c r="AB47" s="69">
        <f t="shared" ref="AB47:AB54" si="252">SUM(M47:P47)</f>
        <v>1375679</v>
      </c>
      <c r="AC47" s="69">
        <f t="shared" ref="AC47:AC54" si="253">SUM(N47:Q47)</f>
        <v>2161698</v>
      </c>
      <c r="AD47" s="69">
        <f t="shared" ref="AD47:AD54" si="254">SUM(O47:R47)</f>
        <v>3159828</v>
      </c>
      <c r="AE47" s="69">
        <f t="shared" ref="AE47:AE54" si="255">SUM(P47:S47)</f>
        <v>6132319</v>
      </c>
      <c r="AF47" s="69">
        <f t="shared" ref="AF47:AF54" si="256">SUM(Q47:T47)</f>
        <v>6742364</v>
      </c>
      <c r="AG47" s="69">
        <f t="shared" ref="AG47:AG54" si="257">SUM(R47:U47)</f>
        <v>5955699</v>
      </c>
    </row>
    <row r="48" spans="2:35" ht="12.75" customHeight="1" x14ac:dyDescent="0.2">
      <c r="B48" s="74" t="s">
        <v>161</v>
      </c>
      <c r="C48" s="69">
        <f>'3-Statement Model'!C121</f>
        <v>487208</v>
      </c>
      <c r="D48" s="69">
        <f>'3-Statement Model'!D121</f>
        <v>0</v>
      </c>
      <c r="E48" s="69">
        <f>'3-Statement Model'!E121</f>
        <v>0</v>
      </c>
      <c r="F48" s="69">
        <f>'3-Statement Model'!F121</f>
        <v>0</v>
      </c>
      <c r="G48" s="69"/>
      <c r="H48" s="69">
        <f>'3-Statement Model'!H121</f>
        <v>0</v>
      </c>
      <c r="I48" s="69">
        <f>'3-Statement Model'!I121</f>
        <v>0</v>
      </c>
      <c r="J48" s="69">
        <f>'3-Statement Model'!J121</f>
        <v>0</v>
      </c>
      <c r="K48" s="69">
        <f>'3-Statement Model'!K121</f>
        <v>0</v>
      </c>
      <c r="L48" s="69">
        <f>'3-Statement Model'!L121</f>
        <v>0</v>
      </c>
      <c r="M48" s="69">
        <f>'3-Statement Model'!M121</f>
        <v>0</v>
      </c>
      <c r="N48" s="69">
        <f>'3-Statement Model'!N121</f>
        <v>0</v>
      </c>
      <c r="O48" s="69">
        <f>'3-Statement Model'!O121</f>
        <v>0</v>
      </c>
      <c r="P48" s="69">
        <f>'3-Statement Model'!P121</f>
        <v>0</v>
      </c>
      <c r="Q48" s="69">
        <f>'3-Statement Model'!Q121</f>
        <v>0</v>
      </c>
      <c r="R48" s="69">
        <f>'3-Statement Model'!R121</f>
        <v>0</v>
      </c>
      <c r="S48" s="69">
        <f>'3-Statement Model'!S121</f>
        <v>0</v>
      </c>
      <c r="T48" s="69">
        <f>'3-Statement Model'!T121</f>
        <v>0</v>
      </c>
      <c r="U48" s="69">
        <f>'3-Statement Model'!U121</f>
        <v>0</v>
      </c>
      <c r="W48" s="69">
        <f t="shared" si="247"/>
        <v>0</v>
      </c>
      <c r="X48" s="69">
        <f t="shared" si="248"/>
        <v>0</v>
      </c>
      <c r="Y48" s="69">
        <f t="shared" si="249"/>
        <v>0</v>
      </c>
      <c r="Z48" s="69">
        <f t="shared" si="250"/>
        <v>0</v>
      </c>
      <c r="AA48" s="69">
        <f t="shared" si="251"/>
        <v>0</v>
      </c>
      <c r="AB48" s="69">
        <f t="shared" si="252"/>
        <v>0</v>
      </c>
      <c r="AC48" s="69">
        <f t="shared" ref="AC48:AC53" si="258">SUM(N48:Q48)</f>
        <v>0</v>
      </c>
      <c r="AD48" s="69">
        <f t="shared" ref="AD48:AD53" si="259">SUM(O48:R48)</f>
        <v>0</v>
      </c>
      <c r="AE48" s="69">
        <f t="shared" ref="AE48:AE53" si="260">SUM(P48:S48)</f>
        <v>0</v>
      </c>
      <c r="AF48" s="69">
        <f t="shared" ref="AF48:AF53" si="261">SUM(Q48:T48)</f>
        <v>0</v>
      </c>
      <c r="AG48" s="69">
        <f t="shared" ref="AG48:AG53" si="262">SUM(R48:U48)</f>
        <v>0</v>
      </c>
    </row>
    <row r="49" spans="1:33" ht="12.75" customHeight="1" x14ac:dyDescent="0.2">
      <c r="B49" s="74" t="s">
        <v>162</v>
      </c>
      <c r="C49" s="69">
        <f>'3-Statement Model'!C122</f>
        <v>0</v>
      </c>
      <c r="D49" s="69">
        <f>'3-Statement Model'!D122</f>
        <v>204586</v>
      </c>
      <c r="E49" s="69">
        <f>'3-Statement Model'!E122</f>
        <v>-160033</v>
      </c>
      <c r="F49" s="69">
        <f>'3-Statement Model'!F122</f>
        <v>-515414</v>
      </c>
      <c r="G49" s="69"/>
      <c r="H49" s="69">
        <f>'3-Statement Model'!H122</f>
        <v>204693</v>
      </c>
      <c r="I49" s="69">
        <f>'3-Statement Model'!I122</f>
        <v>-107</v>
      </c>
      <c r="J49" s="69">
        <f>'3-Statement Model'!J122</f>
        <v>0</v>
      </c>
      <c r="K49" s="69">
        <f>'3-Statement Model'!K122</f>
        <v>0</v>
      </c>
      <c r="L49" s="69">
        <f>'3-Statement Model'!L122</f>
        <v>-159900</v>
      </c>
      <c r="M49" s="69">
        <f>'3-Statement Model'!M122</f>
        <v>-133</v>
      </c>
      <c r="N49" s="69">
        <f>'3-Statement Model'!N122</f>
        <v>0</v>
      </c>
      <c r="O49" s="69">
        <f>'3-Statement Model'!O122</f>
        <v>0</v>
      </c>
      <c r="P49" s="69">
        <f>'3-Statement Model'!P122</f>
        <v>0</v>
      </c>
      <c r="Q49" s="69">
        <f>'3-Statement Model'!Q122</f>
        <v>0</v>
      </c>
      <c r="R49" s="69">
        <f>'3-Statement Model'!R122</f>
        <v>-515325</v>
      </c>
      <c r="S49" s="69">
        <f>'3-Statement Model'!S122</f>
        <v>-89</v>
      </c>
      <c r="T49" s="69">
        <f>'3-Statement Model'!T122</f>
        <v>0</v>
      </c>
      <c r="U49" s="69">
        <f>'3-Statement Model'!U122</f>
        <v>0</v>
      </c>
      <c r="W49" s="69">
        <f t="shared" si="247"/>
        <v>204586</v>
      </c>
      <c r="X49" s="69">
        <f t="shared" si="248"/>
        <v>-160007</v>
      </c>
      <c r="Y49" s="69">
        <f t="shared" si="249"/>
        <v>-160033</v>
      </c>
      <c r="Z49" s="69">
        <f t="shared" si="250"/>
        <v>-160033</v>
      </c>
      <c r="AA49" s="69">
        <f t="shared" si="251"/>
        <v>-160033</v>
      </c>
      <c r="AB49" s="69">
        <f t="shared" si="252"/>
        <v>-133</v>
      </c>
      <c r="AC49" s="69">
        <f t="shared" si="258"/>
        <v>0</v>
      </c>
      <c r="AD49" s="69">
        <f t="shared" si="259"/>
        <v>-515325</v>
      </c>
      <c r="AE49" s="69">
        <f t="shared" si="260"/>
        <v>-515414</v>
      </c>
      <c r="AF49" s="69">
        <f t="shared" si="261"/>
        <v>-515414</v>
      </c>
      <c r="AG49" s="69">
        <f t="shared" si="262"/>
        <v>-515414</v>
      </c>
    </row>
    <row r="50" spans="1:33" ht="12.75" customHeight="1" x14ac:dyDescent="0.2">
      <c r="B50" s="74" t="s">
        <v>163</v>
      </c>
      <c r="C50" s="69">
        <f>'3-Statement Model'!C123</f>
        <v>0</v>
      </c>
      <c r="D50" s="69">
        <f>'3-Statement Model'!D123</f>
        <v>10584</v>
      </c>
      <c r="E50" s="69">
        <f>'3-Statement Model'!E123</f>
        <v>-513</v>
      </c>
      <c r="F50" s="69">
        <f>'3-Statement Model'!F123</f>
        <v>-539</v>
      </c>
      <c r="G50" s="69"/>
      <c r="H50" s="69">
        <f>'3-Statement Model'!H123</f>
        <v>0</v>
      </c>
      <c r="I50" s="69">
        <f>'3-Statement Model'!I123</f>
        <v>10926</v>
      </c>
      <c r="J50" s="69">
        <f>'3-Statement Model'!J123</f>
        <v>81</v>
      </c>
      <c r="K50" s="69">
        <f>'3-Statement Model'!K123</f>
        <v>-423</v>
      </c>
      <c r="L50" s="69">
        <f>'3-Statement Model'!L123</f>
        <v>-128</v>
      </c>
      <c r="M50" s="69">
        <f>'3-Statement Model'!M123</f>
        <v>-126</v>
      </c>
      <c r="N50" s="69">
        <f>'3-Statement Model'!N123</f>
        <v>-128</v>
      </c>
      <c r="O50" s="69">
        <f>'3-Statement Model'!O123</f>
        <v>-131</v>
      </c>
      <c r="P50" s="69">
        <f>'3-Statement Model'!P123</f>
        <v>-133</v>
      </c>
      <c r="Q50" s="69">
        <f>'3-Statement Model'!Q123</f>
        <v>-133</v>
      </c>
      <c r="R50" s="69">
        <f>'3-Statement Model'!R123</f>
        <v>-268</v>
      </c>
      <c r="S50" s="69">
        <f>'3-Statement Model'!S123</f>
        <v>-5</v>
      </c>
      <c r="T50" s="69">
        <f>'3-Statement Model'!T123</f>
        <v>-141</v>
      </c>
      <c r="U50" s="69">
        <f>'3-Statement Model'!U123</f>
        <v>15859</v>
      </c>
      <c r="W50" s="69">
        <f t="shared" si="247"/>
        <v>10584</v>
      </c>
      <c r="X50" s="69">
        <f t="shared" si="248"/>
        <v>10456</v>
      </c>
      <c r="Y50" s="69">
        <f t="shared" si="249"/>
        <v>-596</v>
      </c>
      <c r="Z50" s="69">
        <f t="shared" si="250"/>
        <v>-805</v>
      </c>
      <c r="AA50" s="69">
        <f t="shared" si="251"/>
        <v>-513</v>
      </c>
      <c r="AB50" s="69">
        <f t="shared" si="252"/>
        <v>-518</v>
      </c>
      <c r="AC50" s="69">
        <f t="shared" si="258"/>
        <v>-525</v>
      </c>
      <c r="AD50" s="69">
        <f t="shared" si="259"/>
        <v>-665</v>
      </c>
      <c r="AE50" s="69">
        <f t="shared" si="260"/>
        <v>-539</v>
      </c>
      <c r="AF50" s="69">
        <f t="shared" si="261"/>
        <v>-547</v>
      </c>
      <c r="AG50" s="69">
        <f t="shared" si="262"/>
        <v>15445</v>
      </c>
    </row>
    <row r="51" spans="1:33" ht="12.75" customHeight="1" x14ac:dyDescent="0.2">
      <c r="B51" s="74" t="s">
        <v>120</v>
      </c>
      <c r="C51" s="69">
        <f>SUM('3-Statement Model'!C125:C129)</f>
        <v>1029273</v>
      </c>
      <c r="D51" s="69">
        <f>SUM('3-Statement Model'!D125:D129)</f>
        <v>50018</v>
      </c>
      <c r="E51" s="69">
        <f>SUM('3-Statement Model'!E125:E129)</f>
        <v>2050432</v>
      </c>
      <c r="F51" s="69">
        <f>SUM('3-Statement Model'!F125:F129)</f>
        <v>16516275</v>
      </c>
      <c r="G51" s="69"/>
      <c r="H51" s="69">
        <f>SUM('3-Statement Model'!H125:H129)</f>
        <v>2598</v>
      </c>
      <c r="I51" s="69">
        <f>SUM('3-Statement Model'!I125:I129)</f>
        <v>377</v>
      </c>
      <c r="J51" s="69">
        <f>SUM('3-Statement Model'!J125:J129)</f>
        <v>1725</v>
      </c>
      <c r="K51" s="69">
        <f>SUM('3-Statement Model'!K125:K129)</f>
        <v>45318</v>
      </c>
      <c r="L51" s="69">
        <f>SUM('3-Statement Model'!L125:L129)</f>
        <v>347650</v>
      </c>
      <c r="M51" s="69">
        <f>SUM('3-Statement Model'!M125:M129)</f>
        <v>338548</v>
      </c>
      <c r="N51" s="69">
        <f>SUM('3-Statement Model'!N125:N129)</f>
        <v>150242</v>
      </c>
      <c r="O51" s="69">
        <f>SUM('3-Statement Model'!O125:O129)</f>
        <v>1213992</v>
      </c>
      <c r="P51" s="69">
        <f>SUM('3-Statement Model'!P125:P129)</f>
        <v>272854</v>
      </c>
      <c r="Q51" s="69">
        <f>SUM('3-Statement Model'!Q125:Q129)</f>
        <v>17545</v>
      </c>
      <c r="R51" s="69">
        <f>SUM('3-Statement Model'!R125:R129)</f>
        <v>1111566</v>
      </c>
      <c r="S51" s="69">
        <f>SUM('3-Statement Model'!S125:S129)</f>
        <v>15114310</v>
      </c>
      <c r="T51" s="69">
        <f>SUM('3-Statement Model'!T125:T129)</f>
        <v>5717910</v>
      </c>
      <c r="U51" s="69">
        <f>SUM('3-Statement Model'!U125:U129)</f>
        <v>6843896</v>
      </c>
      <c r="W51" s="69">
        <f t="shared" si="247"/>
        <v>50018</v>
      </c>
      <c r="X51" s="69">
        <f t="shared" si="248"/>
        <v>395070</v>
      </c>
      <c r="Y51" s="69">
        <f t="shared" si="249"/>
        <v>733241</v>
      </c>
      <c r="Z51" s="69">
        <f t="shared" si="250"/>
        <v>881758</v>
      </c>
      <c r="AA51" s="69">
        <f t="shared" si="251"/>
        <v>2050432</v>
      </c>
      <c r="AB51" s="69">
        <f t="shared" si="252"/>
        <v>1975636</v>
      </c>
      <c r="AC51" s="69">
        <f t="shared" si="258"/>
        <v>1654633</v>
      </c>
      <c r="AD51" s="69">
        <f t="shared" si="259"/>
        <v>2615957</v>
      </c>
      <c r="AE51" s="69">
        <f t="shared" si="260"/>
        <v>16516275</v>
      </c>
      <c r="AF51" s="69">
        <f t="shared" si="261"/>
        <v>21961331</v>
      </c>
      <c r="AG51" s="69">
        <f t="shared" si="262"/>
        <v>28787682</v>
      </c>
    </row>
    <row r="52" spans="1:33" ht="12.75" customHeight="1" x14ac:dyDescent="0.2">
      <c r="B52" s="74" t="s">
        <v>121</v>
      </c>
      <c r="C52" s="69">
        <f>'3-Statement Model'!C112+'3-Statement Model'!C115</f>
        <v>-2626529</v>
      </c>
      <c r="D52" s="69">
        <f>'3-Statement Model'!D112+'3-Statement Model'!D115</f>
        <v>-276104</v>
      </c>
      <c r="E52" s="69">
        <f>'3-Statement Model'!E112+'3-Statement Model'!E115</f>
        <v>-1902299</v>
      </c>
      <c r="F52" s="69">
        <f>'3-Statement Model'!F112+'3-Statement Model'!F115</f>
        <v>-22072759</v>
      </c>
      <c r="G52" s="69"/>
      <c r="H52" s="69">
        <f>'3-Statement Model'!H112+'3-Statement Model'!H115</f>
        <v>-215500</v>
      </c>
      <c r="I52" s="69">
        <f>'3-Statement Model'!I112+'3-Statement Model'!I115</f>
        <v>-10000</v>
      </c>
      <c r="J52" s="69">
        <f>'3-Statement Model'!J112+'3-Statement Model'!J115</f>
        <v>-5978</v>
      </c>
      <c r="K52" s="69">
        <f>'3-Statement Model'!K112+'3-Statement Model'!K115</f>
        <v>-44626</v>
      </c>
      <c r="L52" s="69">
        <f>'3-Statement Model'!L112+'3-Statement Model'!L115</f>
        <v>-179275</v>
      </c>
      <c r="M52" s="69">
        <f>'3-Statement Model'!M112+'3-Statement Model'!M115</f>
        <v>-347003</v>
      </c>
      <c r="N52" s="69">
        <f>'3-Statement Model'!N112+'3-Statement Model'!N115</f>
        <v>-161681</v>
      </c>
      <c r="O52" s="69">
        <f>'3-Statement Model'!O112+'3-Statement Model'!O115</f>
        <v>-1214340</v>
      </c>
      <c r="P52" s="69">
        <f>'3-Statement Model'!P112+'3-Statement Model'!P115</f>
        <v>-1639309</v>
      </c>
      <c r="Q52" s="69">
        <f>'3-Statement Model'!Q112+'3-Statement Model'!Q115</f>
        <v>-793828</v>
      </c>
      <c r="R52" s="69">
        <f>'3-Statement Model'!R112+'3-Statement Model'!R115</f>
        <v>-1575073</v>
      </c>
      <c r="S52" s="69">
        <f>'3-Statement Model'!S112+'3-Statement Model'!S115</f>
        <v>-18064549</v>
      </c>
      <c r="T52" s="69">
        <f>'3-Statement Model'!T112+'3-Statement Model'!T115</f>
        <v>-7661663</v>
      </c>
      <c r="U52" s="69">
        <f>'3-Statement Model'!U112+'3-Statement Model'!U115</f>
        <v>-6769205</v>
      </c>
      <c r="W52" s="69">
        <f t="shared" si="247"/>
        <v>-276104</v>
      </c>
      <c r="X52" s="69">
        <f t="shared" si="248"/>
        <v>-239879</v>
      </c>
      <c r="Y52" s="69">
        <f t="shared" si="249"/>
        <v>-576882</v>
      </c>
      <c r="Z52" s="69">
        <f t="shared" si="250"/>
        <v>-732585</v>
      </c>
      <c r="AA52" s="69">
        <f t="shared" si="251"/>
        <v>-1902299</v>
      </c>
      <c r="AB52" s="69">
        <f t="shared" si="252"/>
        <v>-3362333</v>
      </c>
      <c r="AC52" s="69">
        <f t="shared" si="258"/>
        <v>-3809158</v>
      </c>
      <c r="AD52" s="69">
        <f t="shared" si="259"/>
        <v>-5222550</v>
      </c>
      <c r="AE52" s="69">
        <f t="shared" si="260"/>
        <v>-22072759</v>
      </c>
      <c r="AF52" s="69">
        <f t="shared" si="261"/>
        <v>-28095113</v>
      </c>
      <c r="AG52" s="69">
        <f t="shared" si="262"/>
        <v>-34070490</v>
      </c>
    </row>
    <row r="53" spans="1:33" ht="12.75" customHeight="1" x14ac:dyDescent="0.2">
      <c r="B53" s="74" t="s">
        <v>185</v>
      </c>
      <c r="C53" s="69">
        <f>'3-Statement Model'!C130</f>
        <v>0</v>
      </c>
      <c r="D53" s="69">
        <f>'3-Statement Model'!D130</f>
        <v>0</v>
      </c>
      <c r="E53" s="69">
        <f>'3-Statement Model'!E130</f>
        <v>0</v>
      </c>
      <c r="F53" s="69">
        <f>'3-Statement Model'!F130</f>
        <v>0</v>
      </c>
      <c r="G53" s="69"/>
      <c r="H53" s="69">
        <f>'3-Statement Model'!H130</f>
        <v>0</v>
      </c>
      <c r="I53" s="69">
        <f>'3-Statement Model'!I130</f>
        <v>0</v>
      </c>
      <c r="J53" s="69">
        <f>'3-Statement Model'!J130</f>
        <v>0</v>
      </c>
      <c r="K53" s="69">
        <f>'3-Statement Model'!K130</f>
        <v>0</v>
      </c>
      <c r="L53" s="69">
        <f>'3-Statement Model'!L130</f>
        <v>0</v>
      </c>
      <c r="M53" s="69">
        <f>'3-Statement Model'!M130</f>
        <v>0</v>
      </c>
      <c r="N53" s="69">
        <f>'3-Statement Model'!N130</f>
        <v>0</v>
      </c>
      <c r="O53" s="69">
        <f>'3-Statement Model'!O130</f>
        <v>0</v>
      </c>
      <c r="P53" s="69">
        <f>'3-Statement Model'!P130</f>
        <v>0</v>
      </c>
      <c r="Q53" s="69">
        <f>'3-Statement Model'!Q130</f>
        <v>0</v>
      </c>
      <c r="R53" s="69">
        <f>'3-Statement Model'!R130</f>
        <v>0</v>
      </c>
      <c r="S53" s="69">
        <f>'3-Statement Model'!S130</f>
        <v>0</v>
      </c>
      <c r="T53" s="69">
        <f>'3-Statement Model'!T130</f>
        <v>-9188</v>
      </c>
      <c r="U53" s="69">
        <f>'3-Statement Model'!U130</f>
        <v>-48954</v>
      </c>
      <c r="W53" s="69"/>
      <c r="X53" s="69"/>
      <c r="Y53" s="69"/>
      <c r="Z53" s="69"/>
      <c r="AA53" s="69"/>
      <c r="AB53" s="69"/>
      <c r="AC53" s="69">
        <f t="shared" si="258"/>
        <v>0</v>
      </c>
      <c r="AD53" s="69">
        <f t="shared" si="259"/>
        <v>0</v>
      </c>
      <c r="AE53" s="69">
        <f t="shared" si="260"/>
        <v>0</v>
      </c>
      <c r="AF53" s="69">
        <f t="shared" si="261"/>
        <v>-9188</v>
      </c>
      <c r="AG53" s="69">
        <f t="shared" si="262"/>
        <v>-58142</v>
      </c>
    </row>
    <row r="54" spans="1:33" ht="12.75" customHeight="1" x14ac:dyDescent="0.2">
      <c r="B54" s="74" t="s">
        <v>122</v>
      </c>
      <c r="C54" s="69"/>
      <c r="D54" s="69" cm="1">
        <f t="array" ref="D54">SUM(D59:D60-C59:C60)-SUM(D45:D52)</f>
        <v>71754</v>
      </c>
      <c r="E54" s="69" cm="1">
        <f t="array" ref="E54">SUM(E59:E60-D59:D60)-SUM(E45:E52)</f>
        <v>81619</v>
      </c>
      <c r="F54" s="69" cm="1">
        <f t="array" ref="F54">SUM(F59:F60-E59:E60)-SUM(F45:F52)</f>
        <v>52629</v>
      </c>
      <c r="G54" s="69"/>
      <c r="H54" s="69"/>
      <c r="I54" s="69" cm="1">
        <f t="array" ref="I54">SUM(I59:I60-H59:H60)-SUM(I45:I52)</f>
        <v>20458.25</v>
      </c>
      <c r="J54" s="69" cm="1">
        <f t="array" ref="J54">SUM(J59:J60-I59:I60)-SUM(J45:J52)</f>
        <v>14172.25</v>
      </c>
      <c r="K54" s="69" cm="1">
        <f t="array" ref="K54">SUM(K59:K60-J59:J60)-SUM(K45:K52)</f>
        <v>22668.25</v>
      </c>
      <c r="L54" s="69" cm="1">
        <f t="array" ref="L54">SUM(L59:L60-K59:K60)-SUM(L45:L52)</f>
        <v>14588.75</v>
      </c>
      <c r="M54" s="69" cm="1">
        <f t="array" ref="M54">SUM(M59:M60-L59:L60)-SUM(M45:M52)</f>
        <v>13791.75</v>
      </c>
      <c r="N54" s="69" cm="1">
        <f t="array" ref="N54">SUM(N59:N60-M59:M60)-SUM(N45:N52)</f>
        <v>22750.75</v>
      </c>
      <c r="O54" s="69" cm="1">
        <f t="array" ref="O54">SUM(O59:O60-N59:N60)-SUM(O45:O52)</f>
        <v>30487.75</v>
      </c>
      <c r="P54" s="69" cm="1">
        <f t="array" ref="P54">SUM(P59:P60-O59:O60)-SUM(P45:P52)</f>
        <v>19668.5</v>
      </c>
      <c r="Q54" s="69" cm="1">
        <f t="array" ref="Q54">SUM(Q59:Q60-P59:P60)-SUM(Q45:Q52)</f>
        <v>14243.5</v>
      </c>
      <c r="R54" s="69" cm="1">
        <f t="array" ref="R54">SUM(R59:R60-Q59:Q60)-SUM(R45:R52)</f>
        <v>8401.5</v>
      </c>
      <c r="S54" s="69" cm="1">
        <f t="array" ref="S54">SUM(S59:S60-R59:R60)-SUM(S45:S52)</f>
        <v>10315.5</v>
      </c>
      <c r="T54" s="69" cm="1">
        <f t="array" ref="T54">SUM(T59:T60-S59:S60)-SUM(T45:T52)</f>
        <v>-13197.5</v>
      </c>
      <c r="U54" s="69" cm="1">
        <f t="array" ref="U54">SUM(U59:U60-T59:T60)-SUM(U45:U52)</f>
        <v>-72818.5</v>
      </c>
      <c r="W54" s="69">
        <f t="shared" si="247"/>
        <v>57298.75</v>
      </c>
      <c r="X54" s="69">
        <f t="shared" si="248"/>
        <v>71887.5</v>
      </c>
      <c r="Y54" s="69">
        <f t="shared" si="249"/>
        <v>65221</v>
      </c>
      <c r="Z54" s="69">
        <f t="shared" si="250"/>
        <v>73799.5</v>
      </c>
      <c r="AA54" s="69">
        <f t="shared" si="251"/>
        <v>81619</v>
      </c>
      <c r="AB54" s="69">
        <f t="shared" si="252"/>
        <v>86698.75</v>
      </c>
      <c r="AC54" s="69">
        <f t="shared" si="253"/>
        <v>87150.5</v>
      </c>
      <c r="AD54" s="69">
        <f t="shared" si="254"/>
        <v>72801.25</v>
      </c>
      <c r="AE54" s="69">
        <f t="shared" si="255"/>
        <v>52629</v>
      </c>
      <c r="AF54" s="69">
        <f t="shared" si="256"/>
        <v>19763</v>
      </c>
      <c r="AG54" s="69">
        <f t="shared" si="257"/>
        <v>-67299</v>
      </c>
    </row>
    <row r="55" spans="1:33" ht="12.75" customHeight="1" x14ac:dyDescent="0.2">
      <c r="B55" s="54" t="s">
        <v>118</v>
      </c>
      <c r="C55" s="55">
        <f>SUM(C45+SUM(C47:C54))</f>
        <v>-39232</v>
      </c>
      <c r="D55" s="55">
        <f>SUM(D45+SUM(D47:D54))</f>
        <v>-13566</v>
      </c>
      <c r="E55" s="55">
        <f>SUM(E45+SUM(E47:E54))</f>
        <v>-2195</v>
      </c>
      <c r="F55" s="55">
        <f>SUM(F45+SUM(F47:F54))</f>
        <v>-8776</v>
      </c>
      <c r="H55" s="55">
        <f t="shared" ref="H55:S55" si="263">SUM(H45+SUM(H47:H54))</f>
        <v>20052.75</v>
      </c>
      <c r="I55" s="55">
        <f t="shared" si="263"/>
        <v>-23401</v>
      </c>
      <c r="J55" s="55">
        <f t="shared" si="263"/>
        <v>-8573</v>
      </c>
      <c r="K55" s="55">
        <f t="shared" si="263"/>
        <v>-16100</v>
      </c>
      <c r="L55" s="55">
        <f t="shared" si="263"/>
        <v>45596</v>
      </c>
      <c r="M55" s="55">
        <f t="shared" si="263"/>
        <v>-28411</v>
      </c>
      <c r="N55" s="55">
        <f t="shared" si="263"/>
        <v>-21179</v>
      </c>
      <c r="O55" s="55">
        <f t="shared" si="263"/>
        <v>1799</v>
      </c>
      <c r="P55" s="55">
        <f t="shared" si="263"/>
        <v>35055</v>
      </c>
      <c r="Q55" s="55">
        <f t="shared" si="263"/>
        <v>-14927</v>
      </c>
      <c r="R55" s="55">
        <f t="shared" si="263"/>
        <v>-20596</v>
      </c>
      <c r="S55" s="55">
        <f t="shared" si="263"/>
        <v>-8308</v>
      </c>
      <c r="T55" s="55">
        <f t="shared" ref="T55:U55" si="264">SUM(T45+SUM(T47:T54))</f>
        <v>13173</v>
      </c>
      <c r="U55" s="55">
        <f t="shared" si="264"/>
        <v>-59080</v>
      </c>
      <c r="W55" s="55">
        <f t="shared" ref="W55" si="265">SUM(W45+SUM(W47:W54))</f>
        <v>-28021.25</v>
      </c>
      <c r="X55" s="55">
        <f t="shared" ref="X55" si="266">SUM(X45+SUM(X47:X54))</f>
        <v>-2478</v>
      </c>
      <c r="Y55" s="55">
        <f t="shared" ref="Y55" si="267">SUM(Y45+SUM(Y47:Y54))</f>
        <v>-7488</v>
      </c>
      <c r="Z55" s="55">
        <f t="shared" ref="Z55" si="268">SUM(Z45+SUM(Z47:Z54))</f>
        <v>-20094</v>
      </c>
      <c r="AA55" s="55">
        <f t="shared" ref="AA55:AD55" si="269">SUM(AA45+SUM(AA47:AA54))</f>
        <v>-2195</v>
      </c>
      <c r="AB55" s="55">
        <f t="shared" si="269"/>
        <v>-12736</v>
      </c>
      <c r="AC55" s="55">
        <f t="shared" si="269"/>
        <v>748</v>
      </c>
      <c r="AD55" s="55">
        <f t="shared" si="269"/>
        <v>1331</v>
      </c>
      <c r="AE55" s="55">
        <f>SUM(AE45+SUM(AE47:AE54))</f>
        <v>-8776</v>
      </c>
      <c r="AF55" s="55">
        <f t="shared" ref="AF55:AG55" si="270">SUM(AF45+SUM(AF47:AF54))</f>
        <v>-30658</v>
      </c>
      <c r="AG55" s="55">
        <f t="shared" si="270"/>
        <v>-74811</v>
      </c>
    </row>
    <row r="56" spans="1:33" ht="5.0999999999999996" customHeight="1" x14ac:dyDescent="0.2"/>
    <row r="57" spans="1:33" ht="12.75" customHeight="1" x14ac:dyDescent="0.2">
      <c r="A57" s="9"/>
      <c r="B57" s="1" t="s">
        <v>123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5.0999999999999996" customHeight="1" x14ac:dyDescent="0.2"/>
    <row r="59" spans="1:33" ht="12.75" customHeight="1" x14ac:dyDescent="0.2">
      <c r="B59" s="44" t="s">
        <v>124</v>
      </c>
      <c r="C59" s="69">
        <f>'3-Statement Model'!C42</f>
        <v>63356</v>
      </c>
      <c r="D59" s="69">
        <f>'3-Statement Model'!D42</f>
        <v>43835</v>
      </c>
      <c r="E59" s="69">
        <f>'3-Statement Model'!E42</f>
        <v>46817</v>
      </c>
      <c r="F59" s="69">
        <f>'3-Statement Model'!F42</f>
        <v>38117</v>
      </c>
      <c r="G59" s="69"/>
      <c r="H59" s="69">
        <f>'3-Statement Model'!H42</f>
        <v>92677</v>
      </c>
      <c r="I59" s="69">
        <f>'3-Statement Model'!I42</f>
        <v>69386</v>
      </c>
      <c r="J59" s="69">
        <f>'3-Statement Model'!J42</f>
        <v>60390</v>
      </c>
      <c r="K59" s="69">
        <f>'3-Statement Model'!K42</f>
        <v>43835</v>
      </c>
      <c r="L59" s="69">
        <f>'3-Statement Model'!L42</f>
        <v>94311</v>
      </c>
      <c r="M59" s="69">
        <f>'3-Statement Model'!M42</f>
        <v>65968</v>
      </c>
      <c r="N59" s="69">
        <f>'3-Statement Model'!N42</f>
        <v>45009</v>
      </c>
      <c r="O59" s="69">
        <f>'3-Statement Model'!O42</f>
        <v>46817</v>
      </c>
      <c r="P59" s="69">
        <f>'3-Statement Model'!P42</f>
        <v>81326</v>
      </c>
      <c r="Q59" s="69">
        <f>'3-Statement Model'!Q42</f>
        <v>66923</v>
      </c>
      <c r="R59" s="69">
        <f>'3-Statement Model'!R42</f>
        <v>46343</v>
      </c>
      <c r="S59" s="69">
        <f>'3-Statement Model'!S42</f>
        <v>38117</v>
      </c>
      <c r="T59" s="69">
        <f>'3-Statement Model'!T42</f>
        <v>60298</v>
      </c>
      <c r="U59" s="69">
        <f>'3-Statement Model'!U42</f>
        <v>50095</v>
      </c>
      <c r="W59" s="73">
        <f t="shared" ref="W59:W60" si="271">K59</f>
        <v>43835</v>
      </c>
      <c r="X59" s="73">
        <f t="shared" ref="X59:X60" si="272">L59</f>
        <v>94311</v>
      </c>
      <c r="Y59" s="73">
        <f t="shared" ref="Y59:Y60" si="273">M59</f>
        <v>65968</v>
      </c>
      <c r="Z59" s="73">
        <f t="shared" ref="Z59:Z60" si="274">N59</f>
        <v>45009</v>
      </c>
      <c r="AA59" s="73">
        <f t="shared" ref="AA59:AA60" si="275">O59</f>
        <v>46817</v>
      </c>
      <c r="AB59" s="73">
        <f t="shared" ref="AB59:AB60" si="276">P59</f>
        <v>81326</v>
      </c>
      <c r="AC59" s="73">
        <f t="shared" ref="AC59:AC60" si="277">Q59</f>
        <v>66923</v>
      </c>
      <c r="AD59" s="73">
        <f t="shared" ref="AD59:AD60" si="278">R59</f>
        <v>46343</v>
      </c>
      <c r="AE59" s="73">
        <f t="shared" ref="AE59:AE60" si="279">S59</f>
        <v>38117</v>
      </c>
      <c r="AF59" s="73">
        <f t="shared" ref="AF59:AF60" si="280">T59</f>
        <v>60298</v>
      </c>
      <c r="AG59" s="73">
        <f t="shared" ref="AG59:AG60" si="281">U59</f>
        <v>50095</v>
      </c>
    </row>
    <row r="60" spans="1:33" ht="12.75" customHeight="1" x14ac:dyDescent="0.2">
      <c r="B60" s="44" t="s">
        <v>125</v>
      </c>
      <c r="C60" s="69">
        <f>'3-Statement Model'!C43</f>
        <v>1078</v>
      </c>
      <c r="D60" s="69">
        <f>'3-Statement Model'!D43</f>
        <v>7033</v>
      </c>
      <c r="E60" s="69">
        <f>'3-Statement Model'!E43</f>
        <v>1856</v>
      </c>
      <c r="F60" s="69">
        <f>'3-Statement Model'!F43</f>
        <v>1780</v>
      </c>
      <c r="G60" s="69"/>
      <c r="H60" s="69">
        <f>'3-Statement Model'!H43</f>
        <v>6265</v>
      </c>
      <c r="I60" s="69">
        <f>'3-Statement Model'!I43</f>
        <v>6155</v>
      </c>
      <c r="J60" s="69">
        <f>'3-Statement Model'!J43</f>
        <v>6578</v>
      </c>
      <c r="K60" s="69">
        <f>'3-Statement Model'!K43</f>
        <v>7033</v>
      </c>
      <c r="L60" s="69">
        <f>'3-Statement Model'!L43</f>
        <v>2153</v>
      </c>
      <c r="M60" s="69">
        <f>'3-Statement Model'!M43</f>
        <v>2085</v>
      </c>
      <c r="N60" s="69">
        <f>'3-Statement Model'!N43</f>
        <v>1865</v>
      </c>
      <c r="O60" s="69">
        <f>'3-Statement Model'!O43</f>
        <v>1856</v>
      </c>
      <c r="P60" s="69">
        <f>'3-Statement Model'!P43</f>
        <v>2402</v>
      </c>
      <c r="Q60" s="69">
        <f>'3-Statement Model'!Q43</f>
        <v>1878</v>
      </c>
      <c r="R60" s="69">
        <f>'3-Statement Model'!R43</f>
        <v>1862</v>
      </c>
      <c r="S60" s="69">
        <f>'3-Statement Model'!S43</f>
        <v>1780</v>
      </c>
      <c r="T60" s="69">
        <f>'3-Statement Model'!T43</f>
        <v>1960</v>
      </c>
      <c r="U60" s="69">
        <f>'3-Statement Model'!U43</f>
        <v>2037</v>
      </c>
      <c r="W60" s="73">
        <f t="shared" si="271"/>
        <v>7033</v>
      </c>
      <c r="X60" s="73">
        <f t="shared" si="272"/>
        <v>2153</v>
      </c>
      <c r="Y60" s="73">
        <f t="shared" si="273"/>
        <v>2085</v>
      </c>
      <c r="Z60" s="73">
        <f t="shared" si="274"/>
        <v>1865</v>
      </c>
      <c r="AA60" s="73">
        <f t="shared" si="275"/>
        <v>1856</v>
      </c>
      <c r="AB60" s="73">
        <f t="shared" si="276"/>
        <v>2402</v>
      </c>
      <c r="AC60" s="73">
        <f t="shared" si="277"/>
        <v>1878</v>
      </c>
      <c r="AD60" s="73">
        <f t="shared" si="278"/>
        <v>1862</v>
      </c>
      <c r="AE60" s="73">
        <f t="shared" si="279"/>
        <v>1780</v>
      </c>
      <c r="AF60" s="73">
        <f t="shared" si="280"/>
        <v>1960</v>
      </c>
      <c r="AG60" s="73">
        <f t="shared" si="281"/>
        <v>2037</v>
      </c>
    </row>
    <row r="61" spans="1:33" ht="12.75" customHeight="1" x14ac:dyDescent="0.2">
      <c r="B61" s="54" t="s">
        <v>126</v>
      </c>
      <c r="C61" s="55">
        <f>SUM(C59:C60)</f>
        <v>64434</v>
      </c>
      <c r="D61" s="55">
        <f>SUM(D59:D60)</f>
        <v>50868</v>
      </c>
      <c r="E61" s="55">
        <f>SUM(E59:E60)</f>
        <v>48673</v>
      </c>
      <c r="F61" s="55">
        <f>SUM(F59:F60)</f>
        <v>39897</v>
      </c>
      <c r="H61" s="55">
        <f t="shared" ref="H61:S61" si="282">SUM(H59:H60)</f>
        <v>98942</v>
      </c>
      <c r="I61" s="55">
        <f t="shared" si="282"/>
        <v>75541</v>
      </c>
      <c r="J61" s="55">
        <f t="shared" si="282"/>
        <v>66968</v>
      </c>
      <c r="K61" s="55">
        <f t="shared" si="282"/>
        <v>50868</v>
      </c>
      <c r="L61" s="55">
        <f t="shared" si="282"/>
        <v>96464</v>
      </c>
      <c r="M61" s="55">
        <f t="shared" si="282"/>
        <v>68053</v>
      </c>
      <c r="N61" s="55">
        <f t="shared" si="282"/>
        <v>46874</v>
      </c>
      <c r="O61" s="55">
        <f t="shared" si="282"/>
        <v>48673</v>
      </c>
      <c r="P61" s="55">
        <f t="shared" si="282"/>
        <v>83728</v>
      </c>
      <c r="Q61" s="55">
        <f t="shared" si="282"/>
        <v>68801</v>
      </c>
      <c r="R61" s="55">
        <f t="shared" si="282"/>
        <v>48205</v>
      </c>
      <c r="S61" s="55">
        <f t="shared" si="282"/>
        <v>39897</v>
      </c>
      <c r="T61" s="55">
        <f t="shared" ref="T61:U61" si="283">SUM(T59:T60)</f>
        <v>62258</v>
      </c>
      <c r="U61" s="55">
        <f t="shared" si="283"/>
        <v>52132</v>
      </c>
      <c r="W61" s="55">
        <f t="shared" ref="W61" si="284">SUM(W59:W60)</f>
        <v>50868</v>
      </c>
      <c r="X61" s="55">
        <f t="shared" ref="X61" si="285">SUM(X59:X60)</f>
        <v>96464</v>
      </c>
      <c r="Y61" s="55">
        <f t="shared" ref="Y61" si="286">SUM(Y59:Y60)</f>
        <v>68053</v>
      </c>
      <c r="Z61" s="55">
        <f t="shared" ref="Z61" si="287">SUM(Z59:Z60)</f>
        <v>46874</v>
      </c>
      <c r="AA61" s="55">
        <f t="shared" ref="AA61:AD61" si="288">SUM(AA59:AA60)</f>
        <v>48673</v>
      </c>
      <c r="AB61" s="55">
        <f t="shared" si="288"/>
        <v>83728</v>
      </c>
      <c r="AC61" s="55">
        <f t="shared" si="288"/>
        <v>68801</v>
      </c>
      <c r="AD61" s="55">
        <f t="shared" si="288"/>
        <v>48205</v>
      </c>
      <c r="AE61" s="55">
        <f>SUM(AE59:AE60)</f>
        <v>39897</v>
      </c>
      <c r="AF61" s="55">
        <f t="shared" ref="AF61:AG61" si="289">SUM(AF59:AF60)</f>
        <v>62258</v>
      </c>
      <c r="AG61" s="55">
        <f t="shared" si="289"/>
        <v>52132</v>
      </c>
    </row>
    <row r="62" spans="1:33" ht="5.0999999999999996" customHeight="1" x14ac:dyDescent="0.2"/>
    <row r="63" spans="1:33" ht="12.75" customHeight="1" x14ac:dyDescent="0.2">
      <c r="B63" s="44" t="s">
        <v>138</v>
      </c>
      <c r="C63" s="73">
        <f>'3-Statement Model'!C48</f>
        <v>2850210</v>
      </c>
      <c r="D63" s="73">
        <f>'3-Statement Model'!D48</f>
        <v>1840028</v>
      </c>
      <c r="E63" s="73">
        <f>'3-Statement Model'!E48</f>
        <v>3626476</v>
      </c>
      <c r="F63" s="73">
        <f>'3-Statement Model'!F48</f>
        <v>23909373</v>
      </c>
      <c r="H63" s="73">
        <f>'3-Statement Model'!H48</f>
        <v>2895619</v>
      </c>
      <c r="I63" s="73">
        <f>'3-Statement Model'!I48</f>
        <v>1987781</v>
      </c>
      <c r="J63" s="73">
        <f>'3-Statement Model'!J48</f>
        <v>1993032</v>
      </c>
      <c r="K63" s="73">
        <f>'3-Statement Model'!K48</f>
        <v>1840028</v>
      </c>
      <c r="L63" s="73">
        <f>'3-Statement Model'!L48</f>
        <v>2000392</v>
      </c>
      <c r="M63" s="73">
        <f>'3-Statement Model'!M48</f>
        <v>2323252</v>
      </c>
      <c r="N63" s="73">
        <f>'3-Statement Model'!N48</f>
        <v>2451374</v>
      </c>
      <c r="O63" s="73">
        <f>'3-Statement Model'!O48</f>
        <v>3626476</v>
      </c>
      <c r="P63" s="73">
        <f>'3-Statement Model'!P48</f>
        <v>5074152</v>
      </c>
      <c r="Q63" s="73">
        <f>'3-Statement Model'!Q48</f>
        <v>5687890</v>
      </c>
      <c r="R63" s="73">
        <f>'3-Statement Model'!R48</f>
        <v>6850879</v>
      </c>
      <c r="S63" s="73">
        <f>'3-Statement Model'!S48</f>
        <v>23909373</v>
      </c>
      <c r="T63" s="73">
        <f>'3-Statement Model'!T48</f>
        <v>43546079</v>
      </c>
      <c r="U63" s="73">
        <f>'3-Statement Model'!U48</f>
        <v>64362798</v>
      </c>
      <c r="W63" s="73">
        <f t="shared" ref="W63" si="290">K63</f>
        <v>1840028</v>
      </c>
      <c r="X63" s="73">
        <f t="shared" ref="X63" si="291">L63</f>
        <v>2000392</v>
      </c>
      <c r="Y63" s="73">
        <f t="shared" ref="Y63" si="292">M63</f>
        <v>2323252</v>
      </c>
      <c r="Z63" s="73">
        <f t="shared" ref="Z63" si="293">N63</f>
        <v>2451374</v>
      </c>
      <c r="AA63" s="73">
        <f t="shared" ref="AA63" si="294">O63</f>
        <v>3626476</v>
      </c>
      <c r="AB63" s="73">
        <f t="shared" ref="AB63" si="295">P63</f>
        <v>5074152</v>
      </c>
      <c r="AC63" s="73">
        <f t="shared" ref="AC63" si="296">Q63</f>
        <v>5687890</v>
      </c>
      <c r="AD63" s="73">
        <f t="shared" ref="AD63" si="297">R63</f>
        <v>6850879</v>
      </c>
      <c r="AE63" s="73">
        <f t="shared" ref="AE63" si="298">S63</f>
        <v>23909373</v>
      </c>
      <c r="AF63" s="73">
        <f t="shared" ref="AF63" si="299">T63</f>
        <v>43546079</v>
      </c>
      <c r="AG63" s="73">
        <f t="shared" ref="AG63" si="300">U63</f>
        <v>64362798</v>
      </c>
    </row>
    <row r="64" spans="1:33" ht="12.75" customHeight="1" x14ac:dyDescent="0.2">
      <c r="B64" s="54" t="s">
        <v>137</v>
      </c>
      <c r="C64" s="77">
        <f>SUM(C63:C63)+C61</f>
        <v>2914644</v>
      </c>
      <c r="D64" s="77">
        <f t="shared" ref="D64:F64" si="301">SUM(D63:D63)+D61</f>
        <v>1890896</v>
      </c>
      <c r="E64" s="77">
        <f t="shared" si="301"/>
        <v>3675149</v>
      </c>
      <c r="F64" s="77">
        <f t="shared" si="301"/>
        <v>23949270</v>
      </c>
      <c r="H64" s="77">
        <f t="shared" ref="H64" si="302">SUM(H63:H63)+H61</f>
        <v>2994561</v>
      </c>
      <c r="I64" s="77">
        <f t="shared" ref="I64" si="303">SUM(I63:I63)+I61</f>
        <v>2063322</v>
      </c>
      <c r="J64" s="77">
        <f t="shared" ref="J64" si="304">SUM(J63:J63)+J61</f>
        <v>2060000</v>
      </c>
      <c r="K64" s="77">
        <f t="shared" ref="K64" si="305">SUM(K63:K63)+K61</f>
        <v>1890896</v>
      </c>
      <c r="L64" s="77">
        <f t="shared" ref="L64" si="306">SUM(L63:L63)+L61</f>
        <v>2096856</v>
      </c>
      <c r="M64" s="77">
        <f t="shared" ref="M64" si="307">SUM(M63:M63)+M61</f>
        <v>2391305</v>
      </c>
      <c r="N64" s="77">
        <f t="shared" ref="N64" si="308">SUM(N63:N63)+N61</f>
        <v>2498248</v>
      </c>
      <c r="O64" s="77">
        <f t="shared" ref="O64" si="309">SUM(O63:O63)+O61</f>
        <v>3675149</v>
      </c>
      <c r="P64" s="77">
        <f t="shared" ref="P64" si="310">SUM(P63:P63)+P61</f>
        <v>5157880</v>
      </c>
      <c r="Q64" s="77">
        <f t="shared" ref="Q64" si="311">SUM(Q63:Q63)+Q61</f>
        <v>5756691</v>
      </c>
      <c r="R64" s="77">
        <f>SUM(R63:R63)+R61</f>
        <v>6899084</v>
      </c>
      <c r="S64" s="77">
        <f>SUM(S63:S63)+S61</f>
        <v>23949270</v>
      </c>
      <c r="T64" s="77">
        <f t="shared" ref="T64:U64" si="312">SUM(T63:T63)+T61</f>
        <v>43608337</v>
      </c>
      <c r="U64" s="77">
        <f t="shared" si="312"/>
        <v>64414930</v>
      </c>
      <c r="W64" s="55">
        <f t="shared" ref="W64" si="313">SUM(W63:W63)</f>
        <v>1840028</v>
      </c>
      <c r="X64" s="55">
        <f t="shared" ref="X64" si="314">SUM(X63:X63)</f>
        <v>2000392</v>
      </c>
      <c r="Y64" s="55">
        <f t="shared" ref="Y64" si="315">SUM(Y63:Y63)</f>
        <v>2323252</v>
      </c>
      <c r="Z64" s="55">
        <f t="shared" ref="Z64" si="316">SUM(Z63:Z63)</f>
        <v>2451374</v>
      </c>
      <c r="AA64" s="55">
        <f t="shared" ref="AA64" si="317">SUM(AA63:AA63)</f>
        <v>3626476</v>
      </c>
      <c r="AB64" s="55">
        <f t="shared" ref="AB64" si="318">SUM(AB63:AB63)</f>
        <v>5074152</v>
      </c>
      <c r="AC64" s="55">
        <f t="shared" ref="AC64" si="319">SUM(AC63:AC63)</f>
        <v>5687890</v>
      </c>
      <c r="AD64" s="55">
        <f t="shared" ref="AD64" si="320">SUM(AD63:AD63)</f>
        <v>6850879</v>
      </c>
      <c r="AE64" s="55">
        <f t="shared" ref="AE64" si="321">SUM(AE63:AE63)</f>
        <v>23909373</v>
      </c>
      <c r="AF64" s="55">
        <f t="shared" ref="AF64" si="322">SUM(AF63:AF63)</f>
        <v>43546079</v>
      </c>
      <c r="AG64" s="55">
        <f t="shared" ref="AG64" si="323">SUM(AG63:AG63)</f>
        <v>64362798</v>
      </c>
    </row>
    <row r="65" spans="2:33" ht="5.0999999999999996" customHeight="1" x14ac:dyDescent="0.2"/>
    <row r="66" spans="2:33" ht="12.75" customHeight="1" x14ac:dyDescent="0.2">
      <c r="B66" s="75" t="s">
        <v>127</v>
      </c>
    </row>
    <row r="67" spans="2:33" ht="12.75" customHeight="1" x14ac:dyDescent="0.2">
      <c r="B67" s="44" t="s">
        <v>128</v>
      </c>
      <c r="C67" s="73">
        <f>'3-Statement Model'!C44</f>
        <v>189280</v>
      </c>
      <c r="D67" s="73">
        <f>'3-Statement Model'!D44</f>
        <v>189280</v>
      </c>
      <c r="E67" s="73">
        <f>'3-Statement Model'!E44</f>
        <v>183815</v>
      </c>
      <c r="F67" s="73">
        <f>'3-Statement Model'!F44</f>
        <v>181203</v>
      </c>
      <c r="H67" s="73">
        <f>'3-Statement Model'!H44</f>
        <v>126930</v>
      </c>
      <c r="I67" s="73">
        <f>'3-Statement Model'!I44</f>
        <v>118645</v>
      </c>
      <c r="J67" s="73">
        <f>'3-Statement Model'!J44</f>
        <v>109926</v>
      </c>
      <c r="K67" s="73">
        <f>'3-Statement Model'!K44</f>
        <v>189280</v>
      </c>
      <c r="L67" s="73">
        <f>'3-Statement Model'!L44</f>
        <v>139178</v>
      </c>
      <c r="M67" s="73">
        <f>'3-Statement Model'!M44</f>
        <v>121901</v>
      </c>
      <c r="N67" s="73">
        <f>'3-Statement Model'!N44</f>
        <v>128650</v>
      </c>
      <c r="O67" s="73">
        <f>'3-Statement Model'!O44</f>
        <v>183815</v>
      </c>
      <c r="P67" s="73">
        <f>'3-Statement Model'!P44</f>
        <v>115150</v>
      </c>
      <c r="Q67" s="73">
        <f>'3-Statement Model'!Q44</f>
        <v>112234</v>
      </c>
      <c r="R67" s="73">
        <f>'3-Statement Model'!R44</f>
        <v>107169</v>
      </c>
      <c r="S67" s="73">
        <f>'3-Statement Model'!S44</f>
        <v>181203</v>
      </c>
      <c r="T67" s="73">
        <f>'3-Statement Model'!T44</f>
        <v>104585</v>
      </c>
      <c r="U67" s="73">
        <f>'3-Statement Model'!U44</f>
        <v>117870</v>
      </c>
      <c r="V67" s="73"/>
      <c r="W67" s="73">
        <f t="shared" ref="W67:W71" si="324">K67</f>
        <v>189280</v>
      </c>
      <c r="X67" s="73">
        <f t="shared" ref="X67:X71" si="325">L67</f>
        <v>139178</v>
      </c>
      <c r="Y67" s="73">
        <f t="shared" ref="Y67:Y71" si="326">M67</f>
        <v>121901</v>
      </c>
      <c r="Z67" s="73">
        <f t="shared" ref="Z67:Z71" si="327">N67</f>
        <v>128650</v>
      </c>
      <c r="AA67" s="73">
        <f t="shared" ref="AA67:AA71" si="328">O67</f>
        <v>183815</v>
      </c>
      <c r="AB67" s="73">
        <f t="shared" ref="AB67:AB71" si="329">P67</f>
        <v>115150</v>
      </c>
      <c r="AC67" s="73">
        <f t="shared" ref="AC67:AC71" si="330">Q67</f>
        <v>112234</v>
      </c>
      <c r="AD67" s="73">
        <f t="shared" ref="AD67:AD71" si="331">R67</f>
        <v>107169</v>
      </c>
      <c r="AE67" s="73">
        <f t="shared" ref="AE67:AE71" si="332">S67</f>
        <v>181203</v>
      </c>
      <c r="AF67" s="73">
        <f t="shared" ref="AF67:AF71" si="333">T67</f>
        <v>104585</v>
      </c>
      <c r="AG67" s="73">
        <f t="shared" ref="AG67:AG71" si="334">U67</f>
        <v>117870</v>
      </c>
    </row>
    <row r="68" spans="2:33" ht="12.75" customHeight="1" x14ac:dyDescent="0.2">
      <c r="B68" s="44" t="s">
        <v>129</v>
      </c>
      <c r="C68" s="73">
        <f>'3-Statement Model'!C55</f>
        <v>46084</v>
      </c>
      <c r="D68" s="73">
        <f>'3-Statement Model'!D55</f>
        <v>42976</v>
      </c>
      <c r="E68" s="73">
        <f>'3-Statement Model'!E55</f>
        <v>43090</v>
      </c>
      <c r="F68" s="73">
        <f>'3-Statement Model'!F55</f>
        <v>52982</v>
      </c>
      <c r="H68" s="73">
        <f>'3-Statement Model'!H55</f>
        <v>44388</v>
      </c>
      <c r="I68" s="73">
        <f>'3-Statement Model'!I55</f>
        <v>35960</v>
      </c>
      <c r="J68" s="73">
        <f>'3-Statement Model'!J55</f>
        <v>36846</v>
      </c>
      <c r="K68" s="73">
        <f>'3-Statement Model'!K55</f>
        <v>42976</v>
      </c>
      <c r="L68" s="73">
        <f>'3-Statement Model'!L55</f>
        <v>50604</v>
      </c>
      <c r="M68" s="73">
        <f>'3-Statement Model'!M55</f>
        <v>33660</v>
      </c>
      <c r="N68" s="73">
        <f>'3-Statement Model'!N55</f>
        <v>34306</v>
      </c>
      <c r="O68" s="73">
        <f>'3-Statement Model'!O55</f>
        <v>35960</v>
      </c>
      <c r="P68" s="73">
        <f>'3-Statement Model'!P55</f>
        <v>41866</v>
      </c>
      <c r="Q68" s="73">
        <f>'3-Statement Model'!Q55</f>
        <v>44188</v>
      </c>
      <c r="R68" s="73">
        <f>'3-Statement Model'!R55</f>
        <v>45714</v>
      </c>
      <c r="S68" s="73">
        <f>'3-Statement Model'!S55</f>
        <v>52982</v>
      </c>
      <c r="T68" s="73">
        <f>'3-Statement Model'!T55</f>
        <v>53716</v>
      </c>
      <c r="U68" s="73">
        <f>'3-Statement Model'!U55</f>
        <v>44220</v>
      </c>
      <c r="W68" s="73">
        <f t="shared" si="324"/>
        <v>42976</v>
      </c>
      <c r="X68" s="73">
        <f t="shared" si="325"/>
        <v>50604</v>
      </c>
      <c r="Y68" s="73">
        <f t="shared" si="326"/>
        <v>33660</v>
      </c>
      <c r="Z68" s="73">
        <f t="shared" si="327"/>
        <v>34306</v>
      </c>
      <c r="AA68" s="73">
        <f t="shared" si="328"/>
        <v>35960</v>
      </c>
      <c r="AB68" s="73">
        <f t="shared" si="329"/>
        <v>41866</v>
      </c>
      <c r="AC68" s="73">
        <f t="shared" si="330"/>
        <v>44188</v>
      </c>
      <c r="AD68" s="73">
        <f t="shared" si="331"/>
        <v>45714</v>
      </c>
      <c r="AE68" s="73">
        <f t="shared" si="332"/>
        <v>52982</v>
      </c>
      <c r="AF68" s="73">
        <f t="shared" si="333"/>
        <v>53716</v>
      </c>
      <c r="AG68" s="73">
        <f t="shared" si="334"/>
        <v>44220</v>
      </c>
    </row>
    <row r="69" spans="2:33" ht="12.75" customHeight="1" x14ac:dyDescent="0.2">
      <c r="B69" s="44" t="s">
        <v>130</v>
      </c>
      <c r="C69" s="73">
        <f>'3-Statement Model'!C49</f>
        <v>36587</v>
      </c>
      <c r="D69" s="73">
        <f>'3-Statement Model'!D49</f>
        <v>32311</v>
      </c>
      <c r="E69" s="73">
        <f>'3-Statement Model'!E49</f>
        <v>28941</v>
      </c>
      <c r="F69" s="73">
        <f>'3-Statement Model'!F49</f>
        <v>26327</v>
      </c>
      <c r="H69" s="73">
        <f>'3-Statement Model'!H49</f>
        <v>35680</v>
      </c>
      <c r="I69" s="73">
        <f>'3-Statement Model'!I49</f>
        <v>34580</v>
      </c>
      <c r="J69" s="73">
        <f>'3-Statement Model'!J49</f>
        <v>33033</v>
      </c>
      <c r="K69" s="73">
        <f>'3-Statement Model'!K49</f>
        <v>32311</v>
      </c>
      <c r="L69" s="73">
        <f>'3-Statement Model'!L49</f>
        <v>31338</v>
      </c>
      <c r="M69" s="73">
        <f>'3-Statement Model'!M49</f>
        <v>30507</v>
      </c>
      <c r="N69" s="73">
        <f>'3-Statement Model'!N49</f>
        <v>30192</v>
      </c>
      <c r="O69" s="73">
        <f>'3-Statement Model'!O49</f>
        <v>28941</v>
      </c>
      <c r="P69" s="73">
        <f>'3-Statement Model'!P49</f>
        <v>29108</v>
      </c>
      <c r="Q69" s="73">
        <f>'3-Statement Model'!Q49</f>
        <v>28332</v>
      </c>
      <c r="R69" s="73">
        <f>'3-Statement Model'!R49</f>
        <v>27517</v>
      </c>
      <c r="S69" s="73">
        <f>'3-Statement Model'!S49</f>
        <v>26327</v>
      </c>
      <c r="T69" s="73">
        <f>'3-Statement Model'!T49</f>
        <v>28335</v>
      </c>
      <c r="U69" s="73">
        <f>'3-Statement Model'!U49</f>
        <v>30203</v>
      </c>
      <c r="W69" s="73">
        <f t="shared" si="324"/>
        <v>32311</v>
      </c>
      <c r="X69" s="73">
        <f t="shared" si="325"/>
        <v>31338</v>
      </c>
      <c r="Y69" s="73">
        <f t="shared" si="326"/>
        <v>30507</v>
      </c>
      <c r="Z69" s="73">
        <f t="shared" si="327"/>
        <v>30192</v>
      </c>
      <c r="AA69" s="73">
        <f t="shared" si="328"/>
        <v>28941</v>
      </c>
      <c r="AB69" s="73">
        <f t="shared" si="329"/>
        <v>29108</v>
      </c>
      <c r="AC69" s="73">
        <f t="shared" si="330"/>
        <v>28332</v>
      </c>
      <c r="AD69" s="73">
        <f t="shared" si="331"/>
        <v>27517</v>
      </c>
      <c r="AE69" s="73">
        <f t="shared" si="332"/>
        <v>26327</v>
      </c>
      <c r="AF69" s="73">
        <f t="shared" si="333"/>
        <v>28335</v>
      </c>
      <c r="AG69" s="73">
        <f t="shared" si="334"/>
        <v>30203</v>
      </c>
    </row>
    <row r="70" spans="2:33" ht="12.75" customHeight="1" x14ac:dyDescent="0.2">
      <c r="B70" s="44" t="s">
        <v>33</v>
      </c>
      <c r="C70" s="73">
        <f>'3-Statement Model'!C60</f>
        <v>311985</v>
      </c>
      <c r="D70" s="73">
        <f>'3-Statement Model'!D60</f>
        <v>317403</v>
      </c>
      <c r="E70" s="73">
        <f>'3-Statement Model'!E60</f>
        <v>323273</v>
      </c>
      <c r="F70" s="73">
        <f>'3-Statement Model'!F60</f>
        <v>355384</v>
      </c>
      <c r="H70" s="73">
        <f>'3-Statement Model'!H60</f>
        <v>304875</v>
      </c>
      <c r="I70" s="73">
        <f>'3-Statement Model'!I60</f>
        <v>274100</v>
      </c>
      <c r="J70" s="73">
        <f>'3-Statement Model'!J60</f>
        <v>260520</v>
      </c>
      <c r="K70" s="73">
        <f>'3-Statement Model'!K60</f>
        <v>317403</v>
      </c>
      <c r="L70" s="73">
        <f>'3-Statement Model'!L60</f>
        <v>312399</v>
      </c>
      <c r="M70" s="73">
        <f>'3-Statement Model'!M60</f>
        <v>272930</v>
      </c>
      <c r="N70" s="73">
        <f>'3-Statement Model'!N60</f>
        <v>267721</v>
      </c>
      <c r="O70" s="73">
        <f>'3-Statement Model'!O60</f>
        <v>316143</v>
      </c>
      <c r="P70" s="73">
        <f>'3-Statement Model'!P60</f>
        <v>309808</v>
      </c>
      <c r="Q70" s="73">
        <f>'3-Statement Model'!Q60</f>
        <v>446063</v>
      </c>
      <c r="R70" s="73">
        <f>'3-Statement Model'!R60</f>
        <v>288111</v>
      </c>
      <c r="S70" s="73">
        <f>'3-Statement Model'!S60</f>
        <v>355384</v>
      </c>
      <c r="T70" s="73">
        <f>'3-Statement Model'!T60</f>
        <v>308689</v>
      </c>
      <c r="U70" s="73">
        <f>'3-Statement Model'!U60</f>
        <v>314572</v>
      </c>
      <c r="W70" s="73">
        <f t="shared" si="324"/>
        <v>317403</v>
      </c>
      <c r="X70" s="73">
        <f t="shared" si="325"/>
        <v>312399</v>
      </c>
      <c r="Y70" s="73">
        <f t="shared" si="326"/>
        <v>272930</v>
      </c>
      <c r="Z70" s="73">
        <f t="shared" si="327"/>
        <v>267721</v>
      </c>
      <c r="AA70" s="73">
        <f t="shared" si="328"/>
        <v>316143</v>
      </c>
      <c r="AB70" s="73">
        <f t="shared" si="329"/>
        <v>309808</v>
      </c>
      <c r="AC70" s="73">
        <f t="shared" si="330"/>
        <v>446063</v>
      </c>
      <c r="AD70" s="73">
        <f t="shared" si="331"/>
        <v>288111</v>
      </c>
      <c r="AE70" s="73">
        <f t="shared" si="332"/>
        <v>355384</v>
      </c>
      <c r="AF70" s="73">
        <f t="shared" si="333"/>
        <v>308689</v>
      </c>
      <c r="AG70" s="73">
        <f t="shared" si="334"/>
        <v>314572</v>
      </c>
    </row>
    <row r="71" spans="2:33" ht="12.75" customHeight="1" x14ac:dyDescent="0.2">
      <c r="B71" s="44" t="s">
        <v>34</v>
      </c>
      <c r="C71" s="73">
        <f>'3-Statement Model'!C67</f>
        <v>2578166</v>
      </c>
      <c r="D71" s="73">
        <f>'3-Statement Model'!D67</f>
        <v>2793392</v>
      </c>
      <c r="E71" s="73">
        <f>'3-Statement Model'!E67</f>
        <v>2597556</v>
      </c>
      <c r="F71" s="73">
        <f>'3-Statement Model'!F67</f>
        <v>7613701</v>
      </c>
      <c r="G71" s="73"/>
      <c r="H71" s="73">
        <f>'3-Statement Model'!H67</f>
        <v>2775388</v>
      </c>
      <c r="I71" s="73">
        <f>'3-Statement Model'!I67</f>
        <v>2755433</v>
      </c>
      <c r="J71" s="73">
        <f>'3-Statement Model'!J67</f>
        <v>2745575</v>
      </c>
      <c r="K71" s="73">
        <f>'3-Statement Model'!K67</f>
        <v>2793392</v>
      </c>
      <c r="L71" s="73">
        <f>'3-Statement Model'!L67</f>
        <v>2583191</v>
      </c>
      <c r="M71" s="73">
        <f>'3-Statement Model'!M67</f>
        <v>2543986</v>
      </c>
      <c r="N71" s="73">
        <f>'3-Statement Model'!N67</f>
        <v>2533546</v>
      </c>
      <c r="O71" s="73">
        <f>'3-Statement Model'!O67</f>
        <v>2797476</v>
      </c>
      <c r="P71" s="73">
        <f>'3-Statement Model'!P67</f>
        <v>3951434</v>
      </c>
      <c r="Q71" s="73">
        <f>'3-Statement Model'!Q67</f>
        <v>4218274</v>
      </c>
      <c r="R71" s="73">
        <f>'3-Statement Model'!R67</f>
        <v>4569932</v>
      </c>
      <c r="S71" s="73">
        <f>'3-Statement Model'!S67</f>
        <v>7613701</v>
      </c>
      <c r="T71" s="73">
        <f>'3-Statement Model'!T67</f>
        <v>10394027</v>
      </c>
      <c r="U71" s="73">
        <f>'3-Statement Model'!U67</f>
        <v>14402450</v>
      </c>
      <c r="W71" s="73">
        <f t="shared" si="324"/>
        <v>2793392</v>
      </c>
      <c r="X71" s="73">
        <f t="shared" si="325"/>
        <v>2583191</v>
      </c>
      <c r="Y71" s="73">
        <f t="shared" si="326"/>
        <v>2543986</v>
      </c>
      <c r="Z71" s="73">
        <f t="shared" si="327"/>
        <v>2533546</v>
      </c>
      <c r="AA71" s="73">
        <f t="shared" si="328"/>
        <v>2797476</v>
      </c>
      <c r="AB71" s="73">
        <f t="shared" si="329"/>
        <v>3951434</v>
      </c>
      <c r="AC71" s="73">
        <f t="shared" si="330"/>
        <v>4218274</v>
      </c>
      <c r="AD71" s="73">
        <f t="shared" si="331"/>
        <v>4569932</v>
      </c>
      <c r="AE71" s="73">
        <f t="shared" si="332"/>
        <v>7613701</v>
      </c>
      <c r="AF71" s="73">
        <f t="shared" si="333"/>
        <v>10394027</v>
      </c>
      <c r="AG71" s="73">
        <f t="shared" si="334"/>
        <v>14402450</v>
      </c>
    </row>
    <row r="72" spans="2:33" ht="5.0999999999999996" customHeight="1" x14ac:dyDescent="0.2"/>
    <row r="73" spans="2:33" ht="12.75" customHeight="1" x14ac:dyDescent="0.2">
      <c r="B73" s="75" t="s">
        <v>139</v>
      </c>
    </row>
    <row r="74" spans="2:33" ht="12.75" customHeight="1" x14ac:dyDescent="0.2">
      <c r="B74" s="44" t="s">
        <v>140</v>
      </c>
      <c r="C74" s="73">
        <f>'3-Statement Model'!C58</f>
        <v>0</v>
      </c>
      <c r="D74" s="73">
        <f>'3-Statement Model'!D58</f>
        <v>454</v>
      </c>
      <c r="E74" s="73">
        <f>'3-Statement Model'!E58</f>
        <v>483</v>
      </c>
      <c r="F74" s="73">
        <f>'3-Statement Model'!F58</f>
        <v>517</v>
      </c>
      <c r="H74" s="73">
        <f>'3-Statement Model'!H58</f>
        <v>0</v>
      </c>
      <c r="I74" s="73">
        <f>'3-Statement Model'!I58</f>
        <v>0</v>
      </c>
      <c r="J74" s="73">
        <f>'3-Statement Model'!J58</f>
        <v>0</v>
      </c>
      <c r="K74" s="73">
        <f>'3-Statement Model'!K58</f>
        <v>454</v>
      </c>
      <c r="L74" s="73">
        <f>'3-Statement Model'!L58</f>
        <v>460</v>
      </c>
      <c r="M74" s="73">
        <f>'3-Statement Model'!M58</f>
        <v>468</v>
      </c>
      <c r="N74" s="73">
        <f>'3-Statement Model'!N58</f>
        <v>475</v>
      </c>
      <c r="O74" s="73">
        <f>'3-Statement Model'!O58</f>
        <v>483</v>
      </c>
      <c r="P74" s="73">
        <f>'3-Statement Model'!P58</f>
        <v>492</v>
      </c>
      <c r="Q74" s="73">
        <f>'3-Statement Model'!Q58</f>
        <v>145119</v>
      </c>
      <c r="R74" s="73">
        <f>'3-Statement Model'!R58</f>
        <v>509</v>
      </c>
      <c r="S74" s="73">
        <f>'3-Statement Model'!S58</f>
        <v>517</v>
      </c>
      <c r="T74" s="73">
        <f>'3-Statement Model'!T58</f>
        <v>525</v>
      </c>
      <c r="U74" s="73">
        <f>'3-Statement Model'!U58</f>
        <v>349</v>
      </c>
      <c r="W74" s="73">
        <f t="shared" ref="W74:W75" si="335">K74</f>
        <v>454</v>
      </c>
      <c r="X74" s="73">
        <f t="shared" ref="X74:X75" si="336">L74</f>
        <v>460</v>
      </c>
      <c r="Y74" s="73">
        <f t="shared" ref="Y74:Y75" si="337">M74</f>
        <v>468</v>
      </c>
      <c r="Z74" s="73">
        <f t="shared" ref="Z74:Z75" si="338">N74</f>
        <v>475</v>
      </c>
      <c r="AA74" s="73">
        <f t="shared" ref="AA74:AA75" si="339">O74</f>
        <v>483</v>
      </c>
      <c r="AB74" s="73">
        <f t="shared" ref="AB74:AB75" si="340">P74</f>
        <v>492</v>
      </c>
      <c r="AC74" s="73">
        <f t="shared" ref="AC74:AC75" si="341">Q74</f>
        <v>145119</v>
      </c>
      <c r="AD74" s="73">
        <f t="shared" ref="AD74:AD75" si="342">R74</f>
        <v>509</v>
      </c>
      <c r="AE74" s="73">
        <f t="shared" ref="AE74:AE75" si="343">S74</f>
        <v>517</v>
      </c>
      <c r="AF74" s="73">
        <f t="shared" ref="AF74:AF75" si="344">T74</f>
        <v>525</v>
      </c>
      <c r="AG74" s="73">
        <f t="shared" ref="AG74:AG75" si="345">U74</f>
        <v>349</v>
      </c>
    </row>
    <row r="75" spans="2:33" ht="12.75" customHeight="1" x14ac:dyDescent="0.2">
      <c r="B75" s="44" t="s">
        <v>141</v>
      </c>
      <c r="C75" s="73">
        <f>'3-Statement Model'!C62</f>
        <v>2155151</v>
      </c>
      <c r="D75" s="73">
        <f>'3-Statement Model'!D62</f>
        <v>2378560</v>
      </c>
      <c r="E75" s="73">
        <f>'3-Statement Model'!E62</f>
        <v>2182108</v>
      </c>
      <c r="F75" s="73">
        <f>'3-Statement Model'!F62</f>
        <v>7191158</v>
      </c>
      <c r="H75" s="73">
        <f>'3-Statement Model'!H62</f>
        <v>2361865</v>
      </c>
      <c r="I75" s="73">
        <f>'3-Statement Model'!I62</f>
        <v>2374863</v>
      </c>
      <c r="J75" s="73">
        <f>'3-Statement Model'!J62</f>
        <v>2376935</v>
      </c>
      <c r="K75" s="73">
        <f>'3-Statement Model'!K62</f>
        <v>2378560</v>
      </c>
      <c r="L75" s="73">
        <f>'3-Statement Model'!L62</f>
        <v>2175918</v>
      </c>
      <c r="M75" s="73">
        <f>'3-Statement Model'!M62</f>
        <v>2177974</v>
      </c>
      <c r="N75" s="73">
        <f>'3-Statement Model'!N62</f>
        <v>2180038</v>
      </c>
      <c r="O75" s="73">
        <f>'3-Statement Model'!O62</f>
        <v>2374863</v>
      </c>
      <c r="P75" s="73">
        <f>'3-Statement Model'!P62</f>
        <v>3558801</v>
      </c>
      <c r="Q75" s="73">
        <f>'3-Statement Model'!Q62</f>
        <v>3703381</v>
      </c>
      <c r="R75" s="73">
        <f>'3-Statement Model'!R62</f>
        <v>4211949</v>
      </c>
      <c r="S75" s="73">
        <f>'3-Statement Model'!S62</f>
        <v>7191158</v>
      </c>
      <c r="T75" s="73">
        <f>'3-Statement Model'!T62</f>
        <v>8140156</v>
      </c>
      <c r="U75" s="73">
        <f>'3-Statement Model'!U62</f>
        <v>8162281</v>
      </c>
      <c r="W75" s="73">
        <f t="shared" si="335"/>
        <v>2378560</v>
      </c>
      <c r="X75" s="73">
        <f t="shared" si="336"/>
        <v>2175918</v>
      </c>
      <c r="Y75" s="73">
        <f t="shared" si="337"/>
        <v>2177974</v>
      </c>
      <c r="Z75" s="73">
        <f t="shared" si="338"/>
        <v>2180038</v>
      </c>
      <c r="AA75" s="73">
        <f t="shared" si="339"/>
        <v>2374863</v>
      </c>
      <c r="AB75" s="73">
        <f t="shared" si="340"/>
        <v>3558801</v>
      </c>
      <c r="AC75" s="73">
        <f t="shared" si="341"/>
        <v>3703381</v>
      </c>
      <c r="AD75" s="73">
        <f t="shared" si="342"/>
        <v>4211949</v>
      </c>
      <c r="AE75" s="73">
        <f t="shared" si="343"/>
        <v>7191158</v>
      </c>
      <c r="AF75" s="73">
        <f t="shared" si="344"/>
        <v>8140156</v>
      </c>
      <c r="AG75" s="73">
        <f t="shared" si="345"/>
        <v>8162281</v>
      </c>
    </row>
    <row r="77" spans="2:33" ht="12.75" customHeight="1" x14ac:dyDescent="0.2">
      <c r="B77" s="76" t="s">
        <v>146</v>
      </c>
      <c r="C77" s="69">
        <v>637882</v>
      </c>
      <c r="D77" s="69">
        <v>640888</v>
      </c>
      <c r="E77" s="69">
        <v>643931</v>
      </c>
      <c r="F77" s="69">
        <v>1041352</v>
      </c>
      <c r="H77" s="69">
        <v>638630</v>
      </c>
      <c r="I77" s="69">
        <v>639380</v>
      </c>
      <c r="J77" s="69">
        <v>640133</v>
      </c>
      <c r="K77" s="69">
        <f t="shared" ref="K77:K86" si="346">D77</f>
        <v>640888</v>
      </c>
      <c r="L77" s="69">
        <v>641645</v>
      </c>
      <c r="M77" s="69">
        <v>642405</v>
      </c>
      <c r="N77" s="69">
        <v>643167</v>
      </c>
      <c r="O77" s="69">
        <f>E77</f>
        <v>643931</v>
      </c>
      <c r="P77" s="69">
        <v>644698</v>
      </c>
      <c r="Q77" s="69">
        <v>144618</v>
      </c>
      <c r="R77" s="69">
        <v>0</v>
      </c>
      <c r="S77" s="69">
        <f t="shared" ref="S77:S87" si="347">F77</f>
        <v>1041352</v>
      </c>
      <c r="T77" s="69">
        <v>0</v>
      </c>
      <c r="U77" s="69">
        <v>0</v>
      </c>
      <c r="W77" s="73">
        <f t="shared" ref="W77:W87" si="348">K77</f>
        <v>640888</v>
      </c>
      <c r="X77" s="73">
        <f t="shared" ref="X77:X87" si="349">L77</f>
        <v>641645</v>
      </c>
      <c r="Y77" s="73">
        <f t="shared" ref="Y77:Y87" si="350">M77</f>
        <v>642405</v>
      </c>
      <c r="Z77" s="73">
        <f t="shared" ref="Z77:Z87" si="351">N77</f>
        <v>643167</v>
      </c>
      <c r="AA77" s="73">
        <f t="shared" ref="AA77:AA87" si="352">O77</f>
        <v>643931</v>
      </c>
      <c r="AB77" s="73">
        <f t="shared" ref="AB77:AB87" si="353">P77</f>
        <v>644698</v>
      </c>
      <c r="AC77" s="73">
        <f t="shared" ref="AC77:AC87" si="354">Q77</f>
        <v>144618</v>
      </c>
      <c r="AD77" s="73">
        <f t="shared" ref="AD77:AD87" si="355">R77</f>
        <v>0</v>
      </c>
      <c r="AE77" s="73">
        <f t="shared" ref="AE77:AE87" si="356">S77</f>
        <v>1041352</v>
      </c>
      <c r="AF77" s="73">
        <f t="shared" ref="AF77:AF87" si="357">T77</f>
        <v>0</v>
      </c>
      <c r="AG77" s="73">
        <f t="shared" ref="AG77:AG87" si="358">U77</f>
        <v>0</v>
      </c>
    </row>
    <row r="78" spans="2:33" ht="12.75" customHeight="1" x14ac:dyDescent="0.2">
      <c r="B78" s="74" t="s">
        <v>145</v>
      </c>
      <c r="C78" s="69">
        <v>1029263</v>
      </c>
      <c r="D78" s="69">
        <v>1033277</v>
      </c>
      <c r="E78" s="69">
        <v>1037306</v>
      </c>
      <c r="F78" s="69">
        <v>998543</v>
      </c>
      <c r="H78" s="69">
        <v>1030265</v>
      </c>
      <c r="I78" s="69">
        <v>1031268</v>
      </c>
      <c r="J78" s="69">
        <v>1032272</v>
      </c>
      <c r="K78" s="69">
        <f t="shared" si="346"/>
        <v>1033277</v>
      </c>
      <c r="L78" s="69">
        <v>1034283</v>
      </c>
      <c r="M78" s="69">
        <v>1035290</v>
      </c>
      <c r="N78" s="69">
        <v>1036298</v>
      </c>
      <c r="O78" s="69">
        <f>E78</f>
        <v>1037306</v>
      </c>
      <c r="P78" s="69">
        <v>1038316</v>
      </c>
      <c r="Q78" s="69">
        <v>1039327</v>
      </c>
      <c r="R78" s="69">
        <v>1040339</v>
      </c>
      <c r="S78" s="69">
        <f t="shared" si="347"/>
        <v>998543</v>
      </c>
      <c r="T78" s="69">
        <v>0</v>
      </c>
      <c r="U78" s="69">
        <v>0</v>
      </c>
      <c r="W78" s="73">
        <f t="shared" si="348"/>
        <v>1033277</v>
      </c>
      <c r="X78" s="73">
        <f t="shared" si="349"/>
        <v>1034283</v>
      </c>
      <c r="Y78" s="73">
        <f t="shared" si="350"/>
        <v>1035290</v>
      </c>
      <c r="Z78" s="73">
        <f t="shared" si="351"/>
        <v>1036298</v>
      </c>
      <c r="AA78" s="73">
        <f t="shared" si="352"/>
        <v>1037306</v>
      </c>
      <c r="AB78" s="73">
        <f t="shared" si="353"/>
        <v>1038316</v>
      </c>
      <c r="AC78" s="73">
        <f t="shared" si="354"/>
        <v>1039327</v>
      </c>
      <c r="AD78" s="73">
        <f t="shared" si="355"/>
        <v>1040339</v>
      </c>
      <c r="AE78" s="73">
        <f t="shared" si="356"/>
        <v>998543</v>
      </c>
      <c r="AF78" s="73">
        <f t="shared" si="357"/>
        <v>0</v>
      </c>
      <c r="AG78" s="73">
        <f t="shared" si="358"/>
        <v>0</v>
      </c>
    </row>
    <row r="79" spans="2:33" ht="12.75" customHeight="1" x14ac:dyDescent="0.2">
      <c r="B79" s="74" t="s">
        <v>148</v>
      </c>
      <c r="C79" s="69">
        <v>0</v>
      </c>
      <c r="D79" s="69">
        <v>0</v>
      </c>
      <c r="E79" s="69">
        <v>0</v>
      </c>
      <c r="F79" s="69">
        <v>2975037</v>
      </c>
      <c r="H79" s="69">
        <v>0</v>
      </c>
      <c r="I79" s="69">
        <v>0</v>
      </c>
      <c r="J79" s="69">
        <v>0</v>
      </c>
      <c r="K79" s="69">
        <f t="shared" si="346"/>
        <v>0</v>
      </c>
      <c r="L79" s="69">
        <v>0</v>
      </c>
      <c r="M79" s="69">
        <v>0</v>
      </c>
      <c r="N79" s="69">
        <v>0</v>
      </c>
      <c r="O79" s="69">
        <f>E79</f>
        <v>0</v>
      </c>
      <c r="P79" s="69">
        <v>0</v>
      </c>
      <c r="Q79" s="69">
        <v>0</v>
      </c>
      <c r="R79" s="69">
        <v>997502</v>
      </c>
      <c r="S79" s="69">
        <f t="shared" si="347"/>
        <v>2975037</v>
      </c>
      <c r="T79" s="69">
        <v>999587</v>
      </c>
      <c r="U79" s="69">
        <v>1000634</v>
      </c>
      <c r="W79" s="73">
        <f t="shared" si="348"/>
        <v>0</v>
      </c>
      <c r="X79" s="73">
        <f t="shared" si="349"/>
        <v>0</v>
      </c>
      <c r="Y79" s="73">
        <f t="shared" si="350"/>
        <v>0</v>
      </c>
      <c r="Z79" s="73">
        <f t="shared" si="351"/>
        <v>0</v>
      </c>
      <c r="AA79" s="73">
        <f t="shared" si="352"/>
        <v>0</v>
      </c>
      <c r="AB79" s="73">
        <f t="shared" si="353"/>
        <v>0</v>
      </c>
      <c r="AC79" s="73">
        <f t="shared" si="354"/>
        <v>0</v>
      </c>
      <c r="AD79" s="73">
        <f t="shared" si="355"/>
        <v>997502</v>
      </c>
      <c r="AE79" s="73">
        <f t="shared" si="356"/>
        <v>2975037</v>
      </c>
      <c r="AF79" s="73">
        <f t="shared" si="357"/>
        <v>999587</v>
      </c>
      <c r="AG79" s="73">
        <f t="shared" si="358"/>
        <v>1000634</v>
      </c>
    </row>
    <row r="80" spans="2:33" ht="12.75" customHeight="1" x14ac:dyDescent="0.2">
      <c r="B80" s="74" t="s">
        <v>195</v>
      </c>
      <c r="C80" s="69">
        <v>0</v>
      </c>
      <c r="D80" s="69">
        <v>0</v>
      </c>
      <c r="E80" s="69">
        <v>0</v>
      </c>
      <c r="F80" s="69">
        <v>0</v>
      </c>
      <c r="G80" s="69"/>
      <c r="H80" s="69">
        <v>0</v>
      </c>
      <c r="I80" s="69">
        <v>0</v>
      </c>
      <c r="J80" s="69">
        <v>0</v>
      </c>
      <c r="K80" s="69">
        <v>0</v>
      </c>
      <c r="L80" s="69">
        <v>0</v>
      </c>
      <c r="M80" s="69">
        <v>0</v>
      </c>
      <c r="N80" s="69">
        <v>0</v>
      </c>
      <c r="O80" s="69">
        <v>0</v>
      </c>
      <c r="P80" s="69">
        <v>0</v>
      </c>
      <c r="Q80" s="69">
        <v>0</v>
      </c>
      <c r="R80" s="69">
        <v>0</v>
      </c>
      <c r="S80" s="69">
        <v>0</v>
      </c>
      <c r="T80" s="69">
        <v>2976855</v>
      </c>
      <c r="U80" s="69">
        <v>2978675</v>
      </c>
      <c r="W80" s="73"/>
      <c r="X80" s="73"/>
      <c r="Y80" s="73"/>
      <c r="Z80" s="73"/>
      <c r="AA80" s="73"/>
      <c r="AB80" s="73"/>
      <c r="AC80" s="73"/>
      <c r="AD80" s="73"/>
      <c r="AE80" s="73"/>
      <c r="AF80" s="73">
        <f t="shared" si="357"/>
        <v>2976855</v>
      </c>
      <c r="AG80" s="73">
        <f t="shared" si="358"/>
        <v>2978675</v>
      </c>
    </row>
    <row r="81" spans="1:33" ht="12.75" customHeight="1" x14ac:dyDescent="0.2">
      <c r="B81" s="74" t="s">
        <v>144</v>
      </c>
      <c r="C81" s="69">
        <v>0</v>
      </c>
      <c r="D81" s="69">
        <v>0</v>
      </c>
      <c r="E81" s="69">
        <v>0</v>
      </c>
      <c r="F81" s="69">
        <v>785172</v>
      </c>
      <c r="H81" s="69">
        <v>0</v>
      </c>
      <c r="I81" s="69">
        <v>0</v>
      </c>
      <c r="J81" s="69">
        <v>0</v>
      </c>
      <c r="K81" s="69">
        <f t="shared" si="346"/>
        <v>0</v>
      </c>
      <c r="L81" s="69">
        <v>0</v>
      </c>
      <c r="M81" s="69">
        <v>0</v>
      </c>
      <c r="N81" s="69">
        <v>0</v>
      </c>
      <c r="O81" s="69">
        <f>E81</f>
        <v>0</v>
      </c>
      <c r="P81" s="69">
        <v>782248</v>
      </c>
      <c r="Q81" s="69">
        <v>783220</v>
      </c>
      <c r="R81" s="69">
        <v>784194</v>
      </c>
      <c r="S81" s="69">
        <f t="shared" si="347"/>
        <v>785172</v>
      </c>
      <c r="T81" s="69">
        <v>786152</v>
      </c>
      <c r="U81" s="69">
        <v>787135</v>
      </c>
      <c r="W81" s="73">
        <f t="shared" si="348"/>
        <v>0</v>
      </c>
      <c r="X81" s="73">
        <f t="shared" si="349"/>
        <v>0</v>
      </c>
      <c r="Y81" s="73">
        <f t="shared" si="350"/>
        <v>0</v>
      </c>
      <c r="Z81" s="73">
        <f t="shared" si="351"/>
        <v>0</v>
      </c>
      <c r="AA81" s="73">
        <f t="shared" si="352"/>
        <v>0</v>
      </c>
      <c r="AB81" s="73">
        <f t="shared" si="353"/>
        <v>782248</v>
      </c>
      <c r="AC81" s="73">
        <f t="shared" si="354"/>
        <v>783220</v>
      </c>
      <c r="AD81" s="73">
        <f t="shared" si="355"/>
        <v>784194</v>
      </c>
      <c r="AE81" s="73">
        <f t="shared" si="356"/>
        <v>785172</v>
      </c>
      <c r="AF81" s="73">
        <f t="shared" si="357"/>
        <v>786152</v>
      </c>
      <c r="AG81" s="73">
        <f t="shared" si="358"/>
        <v>787135</v>
      </c>
    </row>
    <row r="82" spans="1:33" ht="12.75" customHeight="1" x14ac:dyDescent="0.2">
      <c r="B82" s="74" t="s">
        <v>196</v>
      </c>
      <c r="C82" s="69"/>
      <c r="D82" s="69"/>
      <c r="E82" s="69"/>
      <c r="F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>
        <v>1985365</v>
      </c>
      <c r="U82" s="69">
        <v>1986614</v>
      </c>
      <c r="W82" s="73"/>
      <c r="X82" s="73"/>
      <c r="Y82" s="73"/>
      <c r="Z82" s="73"/>
      <c r="AA82" s="73"/>
      <c r="AB82" s="73"/>
      <c r="AC82" s="73"/>
      <c r="AD82" s="73"/>
      <c r="AE82" s="73"/>
      <c r="AF82" s="73">
        <f t="shared" si="357"/>
        <v>1985365</v>
      </c>
      <c r="AG82" s="73">
        <f t="shared" si="358"/>
        <v>1986614</v>
      </c>
    </row>
    <row r="83" spans="1:33" ht="12.75" customHeight="1" x14ac:dyDescent="0.2">
      <c r="B83" s="74" t="s">
        <v>143</v>
      </c>
      <c r="C83" s="69">
        <v>0</v>
      </c>
      <c r="D83" s="69">
        <v>0</v>
      </c>
      <c r="E83" s="69">
        <v>0</v>
      </c>
      <c r="F83" s="69">
        <v>594476</v>
      </c>
      <c r="H83" s="69">
        <v>0</v>
      </c>
      <c r="I83" s="69">
        <v>0</v>
      </c>
      <c r="J83" s="69">
        <v>0</v>
      </c>
      <c r="K83" s="69">
        <f t="shared" si="346"/>
        <v>0</v>
      </c>
      <c r="L83" s="69">
        <v>0</v>
      </c>
      <c r="M83" s="69">
        <v>0</v>
      </c>
      <c r="N83" s="69">
        <v>0</v>
      </c>
      <c r="O83" s="69">
        <f>E83</f>
        <v>0</v>
      </c>
      <c r="P83" s="69">
        <v>592368</v>
      </c>
      <c r="Q83" s="69">
        <v>593259</v>
      </c>
      <c r="R83" s="69">
        <v>593867</v>
      </c>
      <c r="S83" s="69">
        <f t="shared" si="347"/>
        <v>594476</v>
      </c>
      <c r="T83" s="69">
        <v>595087</v>
      </c>
      <c r="U83" s="69">
        <v>595613</v>
      </c>
      <c r="W83" s="73">
        <f t="shared" si="348"/>
        <v>0</v>
      </c>
      <c r="X83" s="73">
        <f t="shared" si="349"/>
        <v>0</v>
      </c>
      <c r="Y83" s="73">
        <f t="shared" si="350"/>
        <v>0</v>
      </c>
      <c r="Z83" s="73">
        <f t="shared" si="351"/>
        <v>0</v>
      </c>
      <c r="AA83" s="73">
        <f t="shared" si="352"/>
        <v>0</v>
      </c>
      <c r="AB83" s="73">
        <f t="shared" si="353"/>
        <v>592368</v>
      </c>
      <c r="AC83" s="73">
        <f t="shared" si="354"/>
        <v>593259</v>
      </c>
      <c r="AD83" s="73">
        <f t="shared" si="355"/>
        <v>593867</v>
      </c>
      <c r="AE83" s="73">
        <f t="shared" si="356"/>
        <v>594476</v>
      </c>
      <c r="AF83" s="73">
        <f t="shared" si="357"/>
        <v>595087</v>
      </c>
      <c r="AG83" s="73">
        <f t="shared" si="358"/>
        <v>595613</v>
      </c>
    </row>
    <row r="84" spans="1:33" ht="12.75" customHeight="1" x14ac:dyDescent="0.2">
      <c r="B84" s="74" t="s">
        <v>147</v>
      </c>
      <c r="C84" s="69">
        <v>0</v>
      </c>
      <c r="D84" s="69">
        <v>0</v>
      </c>
      <c r="E84" s="69">
        <v>0</v>
      </c>
      <c r="F84" s="69">
        <v>787417</v>
      </c>
      <c r="H84" s="69">
        <v>0</v>
      </c>
      <c r="I84" s="69">
        <v>0</v>
      </c>
      <c r="J84" s="69">
        <v>0</v>
      </c>
      <c r="K84" s="69">
        <f t="shared" si="346"/>
        <v>0</v>
      </c>
      <c r="L84" s="69">
        <v>0</v>
      </c>
      <c r="M84" s="69">
        <v>0</v>
      </c>
      <c r="N84" s="69">
        <v>0</v>
      </c>
      <c r="O84" s="69">
        <f>E84</f>
        <v>0</v>
      </c>
      <c r="P84" s="69">
        <v>0</v>
      </c>
      <c r="Q84" s="69">
        <v>786095</v>
      </c>
      <c r="R84" s="69">
        <v>786754</v>
      </c>
      <c r="S84" s="69">
        <f t="shared" si="347"/>
        <v>787417</v>
      </c>
      <c r="T84" s="69">
        <v>788084</v>
      </c>
      <c r="U84" s="69">
        <v>788756</v>
      </c>
      <c r="W84" s="73">
        <f t="shared" si="348"/>
        <v>0</v>
      </c>
      <c r="X84" s="73">
        <f t="shared" si="349"/>
        <v>0</v>
      </c>
      <c r="Y84" s="73">
        <f t="shared" si="350"/>
        <v>0</v>
      </c>
      <c r="Z84" s="73">
        <f t="shared" si="351"/>
        <v>0</v>
      </c>
      <c r="AA84" s="73">
        <f t="shared" si="352"/>
        <v>0</v>
      </c>
      <c r="AB84" s="73">
        <f t="shared" si="353"/>
        <v>0</v>
      </c>
      <c r="AC84" s="73">
        <f t="shared" si="354"/>
        <v>786095</v>
      </c>
      <c r="AD84" s="73">
        <f t="shared" si="355"/>
        <v>786754</v>
      </c>
      <c r="AE84" s="73">
        <f t="shared" si="356"/>
        <v>787417</v>
      </c>
      <c r="AF84" s="73">
        <f t="shared" si="357"/>
        <v>788084</v>
      </c>
      <c r="AG84" s="73">
        <f t="shared" si="358"/>
        <v>788756</v>
      </c>
    </row>
    <row r="85" spans="1:33" ht="12.75" customHeight="1" x14ac:dyDescent="0.2">
      <c r="B85" s="74" t="s">
        <v>135</v>
      </c>
      <c r="C85" s="69">
        <v>488006</v>
      </c>
      <c r="D85" s="69">
        <v>489547</v>
      </c>
      <c r="E85" s="69">
        <v>491193</v>
      </c>
      <c r="F85" s="69">
        <v>0</v>
      </c>
      <c r="H85" s="69">
        <v>488382</v>
      </c>
      <c r="I85" s="69">
        <v>488764</v>
      </c>
      <c r="J85" s="69">
        <v>489152</v>
      </c>
      <c r="K85" s="69">
        <f t="shared" si="346"/>
        <v>489547</v>
      </c>
      <c r="L85" s="69">
        <v>489948</v>
      </c>
      <c r="M85" s="69">
        <v>490356</v>
      </c>
      <c r="N85" s="69">
        <v>490771</v>
      </c>
      <c r="O85" s="69">
        <f>E85</f>
        <v>491193</v>
      </c>
      <c r="P85" s="69">
        <v>491622</v>
      </c>
      <c r="Q85" s="69">
        <v>492057</v>
      </c>
      <c r="R85" s="69">
        <v>0</v>
      </c>
      <c r="S85" s="69">
        <f t="shared" si="347"/>
        <v>0</v>
      </c>
      <c r="T85" s="69">
        <v>0</v>
      </c>
      <c r="U85" s="69">
        <v>0</v>
      </c>
      <c r="W85" s="73">
        <f t="shared" si="348"/>
        <v>489547</v>
      </c>
      <c r="X85" s="73">
        <f t="shared" si="349"/>
        <v>489948</v>
      </c>
      <c r="Y85" s="73">
        <f t="shared" si="350"/>
        <v>490356</v>
      </c>
      <c r="Z85" s="73">
        <f t="shared" si="351"/>
        <v>490771</v>
      </c>
      <c r="AA85" s="73">
        <f t="shared" si="352"/>
        <v>491193</v>
      </c>
      <c r="AB85" s="73">
        <f t="shared" si="353"/>
        <v>491622</v>
      </c>
      <c r="AC85" s="73">
        <f t="shared" si="354"/>
        <v>492057</v>
      </c>
      <c r="AD85" s="73">
        <f t="shared" si="355"/>
        <v>0</v>
      </c>
      <c r="AE85" s="73">
        <f t="shared" si="356"/>
        <v>0</v>
      </c>
      <c r="AF85" s="73">
        <f t="shared" si="357"/>
        <v>0</v>
      </c>
      <c r="AG85" s="73">
        <f t="shared" si="358"/>
        <v>0</v>
      </c>
    </row>
    <row r="86" spans="1:33" ht="12.75" customHeight="1" x14ac:dyDescent="0.2">
      <c r="B86" s="74" t="s">
        <v>136</v>
      </c>
      <c r="C86" s="69">
        <v>0</v>
      </c>
      <c r="D86" s="69">
        <v>204688</v>
      </c>
      <c r="E86" s="69">
        <v>0</v>
      </c>
      <c r="F86" s="69">
        <v>0</v>
      </c>
      <c r="H86" s="69">
        <v>204588</v>
      </c>
      <c r="I86" s="69">
        <v>204621</v>
      </c>
      <c r="J86" s="69">
        <v>204654</v>
      </c>
      <c r="K86" s="69">
        <f t="shared" si="346"/>
        <v>204688</v>
      </c>
      <c r="L86" s="69">
        <v>0</v>
      </c>
      <c r="M86" s="69">
        <v>0</v>
      </c>
      <c r="N86" s="69">
        <v>0</v>
      </c>
      <c r="O86" s="69">
        <f>E86</f>
        <v>0</v>
      </c>
      <c r="P86" s="69">
        <v>0</v>
      </c>
      <c r="Q86" s="69">
        <v>0</v>
      </c>
      <c r="R86" s="69">
        <v>0</v>
      </c>
      <c r="S86" s="69">
        <f t="shared" si="347"/>
        <v>0</v>
      </c>
      <c r="T86" s="69">
        <v>0</v>
      </c>
      <c r="U86" s="69">
        <v>0</v>
      </c>
      <c r="W86" s="73">
        <f t="shared" si="348"/>
        <v>204688</v>
      </c>
      <c r="X86" s="73">
        <f t="shared" si="349"/>
        <v>0</v>
      </c>
      <c r="Y86" s="73">
        <f t="shared" si="350"/>
        <v>0</v>
      </c>
      <c r="Z86" s="73">
        <f t="shared" si="351"/>
        <v>0</v>
      </c>
      <c r="AA86" s="73">
        <f t="shared" si="352"/>
        <v>0</v>
      </c>
      <c r="AB86" s="73">
        <f t="shared" si="353"/>
        <v>0</v>
      </c>
      <c r="AC86" s="73">
        <f t="shared" si="354"/>
        <v>0</v>
      </c>
      <c r="AD86" s="73">
        <f t="shared" si="355"/>
        <v>0</v>
      </c>
      <c r="AE86" s="73">
        <f t="shared" si="356"/>
        <v>0</v>
      </c>
      <c r="AF86" s="73">
        <f t="shared" si="357"/>
        <v>0</v>
      </c>
      <c r="AG86" s="73">
        <f t="shared" si="358"/>
        <v>0</v>
      </c>
    </row>
    <row r="87" spans="1:33" ht="12.75" customHeight="1" x14ac:dyDescent="0.2">
      <c r="B87" s="44" t="s">
        <v>134</v>
      </c>
      <c r="C87" s="69">
        <v>0</v>
      </c>
      <c r="D87" s="69">
        <v>10160</v>
      </c>
      <c r="E87" s="69">
        <v>9678</v>
      </c>
      <c r="F87" s="69">
        <v>9678</v>
      </c>
      <c r="H87" s="69">
        <v>0</v>
      </c>
      <c r="I87" s="69">
        <v>10830</v>
      </c>
      <c r="J87" s="69">
        <v>10724</v>
      </c>
      <c r="K87" s="69">
        <f>D87</f>
        <v>10160</v>
      </c>
      <c r="L87" s="69">
        <v>10042</v>
      </c>
      <c r="M87" s="69">
        <v>9923</v>
      </c>
      <c r="N87" s="69">
        <v>9802</v>
      </c>
      <c r="O87" s="69">
        <f>E87</f>
        <v>9678</v>
      </c>
      <c r="P87" s="69">
        <v>9549</v>
      </c>
      <c r="Q87" s="69">
        <v>9924</v>
      </c>
      <c r="R87" s="69">
        <v>9802</v>
      </c>
      <c r="S87" s="69">
        <f t="shared" si="347"/>
        <v>9678</v>
      </c>
      <c r="T87" s="69">
        <v>9551</v>
      </c>
      <c r="U87" s="69">
        <v>25203</v>
      </c>
      <c r="W87" s="73">
        <f t="shared" si="348"/>
        <v>10160</v>
      </c>
      <c r="X87" s="73">
        <f t="shared" si="349"/>
        <v>10042</v>
      </c>
      <c r="Y87" s="73">
        <f t="shared" si="350"/>
        <v>9923</v>
      </c>
      <c r="Z87" s="73">
        <f t="shared" si="351"/>
        <v>9802</v>
      </c>
      <c r="AA87" s="73">
        <f t="shared" si="352"/>
        <v>9678</v>
      </c>
      <c r="AB87" s="73">
        <f t="shared" si="353"/>
        <v>9549</v>
      </c>
      <c r="AC87" s="73">
        <f t="shared" si="354"/>
        <v>9924</v>
      </c>
      <c r="AD87" s="73">
        <f t="shared" si="355"/>
        <v>9802</v>
      </c>
      <c r="AE87" s="73">
        <f t="shared" si="356"/>
        <v>9678</v>
      </c>
      <c r="AF87" s="73">
        <f t="shared" si="357"/>
        <v>9551</v>
      </c>
      <c r="AG87" s="73">
        <f t="shared" si="358"/>
        <v>25203</v>
      </c>
    </row>
    <row r="88" spans="1:33" ht="12.75" customHeight="1" x14ac:dyDescent="0.2">
      <c r="B88" s="54" t="s">
        <v>131</v>
      </c>
      <c r="C88" s="55">
        <f>SUM(C77:C85)</f>
        <v>2155151</v>
      </c>
      <c r="D88" s="55">
        <f>SUM(D77:D85)</f>
        <v>2163712</v>
      </c>
      <c r="E88" s="55">
        <f>SUM(E77:E87)</f>
        <v>2182108</v>
      </c>
      <c r="F88" s="55">
        <f>SUM(F77:F87)</f>
        <v>7191675</v>
      </c>
      <c r="H88" s="55">
        <f t="shared" ref="H88:S88" si="359">SUM(H77:H87)</f>
        <v>2361865</v>
      </c>
      <c r="I88" s="55">
        <f t="shared" si="359"/>
        <v>2374863</v>
      </c>
      <c r="J88" s="55">
        <f t="shared" si="359"/>
        <v>2376935</v>
      </c>
      <c r="K88" s="55">
        <f t="shared" si="359"/>
        <v>2378560</v>
      </c>
      <c r="L88" s="55">
        <f t="shared" si="359"/>
        <v>2175918</v>
      </c>
      <c r="M88" s="55">
        <f t="shared" si="359"/>
        <v>2177974</v>
      </c>
      <c r="N88" s="55">
        <f t="shared" si="359"/>
        <v>2180038</v>
      </c>
      <c r="O88" s="55">
        <f t="shared" si="359"/>
        <v>2182108</v>
      </c>
      <c r="P88" s="55">
        <f t="shared" si="359"/>
        <v>3558801</v>
      </c>
      <c r="Q88" s="55">
        <f t="shared" si="359"/>
        <v>3848500</v>
      </c>
      <c r="R88" s="55">
        <f t="shared" si="359"/>
        <v>4212458</v>
      </c>
      <c r="S88" s="55">
        <f t="shared" si="359"/>
        <v>7191675</v>
      </c>
      <c r="T88" s="55">
        <f t="shared" ref="T88:U88" si="360">SUM(T77:T87)</f>
        <v>8140681</v>
      </c>
      <c r="U88" s="55">
        <f t="shared" si="360"/>
        <v>8162630</v>
      </c>
      <c r="W88" s="55">
        <f t="shared" ref="W88" si="361">SUM(W77:W87)</f>
        <v>2378560</v>
      </c>
      <c r="X88" s="55">
        <f t="shared" ref="X88" si="362">SUM(X77:X87)</f>
        <v>2175918</v>
      </c>
      <c r="Y88" s="55">
        <f t="shared" ref="Y88" si="363">SUM(Y77:Y87)</f>
        <v>2177974</v>
      </c>
      <c r="Z88" s="55">
        <f t="shared" ref="Z88" si="364">SUM(Z77:Z87)</f>
        <v>2180038</v>
      </c>
      <c r="AA88" s="55">
        <f t="shared" ref="AA88" si="365">SUM(AA77:AA87)</f>
        <v>2182108</v>
      </c>
      <c r="AB88" s="55">
        <f t="shared" ref="AB88" si="366">SUM(AB77:AB87)</f>
        <v>3558801</v>
      </c>
      <c r="AC88" s="55">
        <f t="shared" ref="AC88" si="367">SUM(AC77:AC87)</f>
        <v>3848500</v>
      </c>
      <c r="AD88" s="55">
        <f t="shared" ref="AD88" si="368">SUM(AD77:AD87)</f>
        <v>4212458</v>
      </c>
      <c r="AE88" s="55">
        <f t="shared" ref="AE88" si="369">SUM(AE77:AE87)</f>
        <v>7191675</v>
      </c>
      <c r="AF88" s="55">
        <f t="shared" ref="AF88" si="370">SUM(AF77:AF87)</f>
        <v>8140681</v>
      </c>
      <c r="AG88" s="55">
        <f t="shared" ref="AG88" si="371">SUM(AG77:AG87)</f>
        <v>8162630</v>
      </c>
    </row>
    <row r="89" spans="1:33" ht="5.0999999999999996" customHeight="1" x14ac:dyDescent="0.2"/>
    <row r="90" spans="1:33" ht="12.75" customHeight="1" x14ac:dyDescent="0.2">
      <c r="B90" s="44" t="s">
        <v>132</v>
      </c>
      <c r="C90" s="69">
        <f>'3-Statement Model'!C79</f>
        <v>978958</v>
      </c>
      <c r="D90" s="69">
        <f>'3-Statement Model'!D79</f>
        <v>-383120</v>
      </c>
      <c r="E90" s="69">
        <f>'3-Statement Model'!E79</f>
        <v>2164972</v>
      </c>
      <c r="F90" s="69">
        <f>'3-Statement Model'!F79</f>
        <v>18229984</v>
      </c>
      <c r="H90" s="69">
        <f>'3-Statement Model'!H79</f>
        <v>862999</v>
      </c>
      <c r="I90" s="69">
        <f>'3-Statement Model'!I79</f>
        <v>-187068</v>
      </c>
      <c r="J90" s="69">
        <f>'3-Statement Model'!J79</f>
        <v>-200289</v>
      </c>
      <c r="K90" s="69">
        <f>'3-Statement Model'!K79</f>
        <v>-383120</v>
      </c>
      <c r="L90" s="69">
        <f>'3-Statement Model'!L79</f>
        <v>443211</v>
      </c>
      <c r="M90" s="69">
        <f>'3-Statement Model'!M79</f>
        <v>819118</v>
      </c>
      <c r="N90" s="69">
        <f>'3-Statement Model'!N79</f>
        <v>840395</v>
      </c>
      <c r="O90" s="69">
        <f>'3-Statement Model'!O79</f>
        <v>-187068</v>
      </c>
      <c r="P90" s="69">
        <f>'3-Statement Model'!P79</f>
        <v>2400105</v>
      </c>
      <c r="Q90" s="69">
        <f>'3-Statement Model'!Q79</f>
        <v>2834799</v>
      </c>
      <c r="R90" s="69">
        <f>'3-Statement Model'!R79</f>
        <v>3773649</v>
      </c>
      <c r="S90" s="69">
        <f>'3-Statement Model'!S79</f>
        <v>18229984</v>
      </c>
      <c r="T90" s="69">
        <f>'3-Statement Model'!T79</f>
        <v>33525733</v>
      </c>
      <c r="U90" s="69">
        <f>'3-Statement Model'!U79</f>
        <v>50370965</v>
      </c>
      <c r="W90" s="73">
        <f t="shared" ref="W90" si="372">K90</f>
        <v>-383120</v>
      </c>
      <c r="X90" s="73">
        <f t="shared" ref="X90" si="373">L90</f>
        <v>443211</v>
      </c>
      <c r="Y90" s="73">
        <f t="shared" ref="Y90" si="374">M90</f>
        <v>819118</v>
      </c>
      <c r="Z90" s="73">
        <f t="shared" ref="Z90" si="375">N90</f>
        <v>840395</v>
      </c>
      <c r="AA90" s="73">
        <f t="shared" ref="AA90" si="376">O90</f>
        <v>-187068</v>
      </c>
      <c r="AB90" s="73">
        <f t="shared" ref="AB90" si="377">P90</f>
        <v>2400105</v>
      </c>
      <c r="AC90" s="73">
        <f t="shared" ref="AC90" si="378">Q90</f>
        <v>2834799</v>
      </c>
      <c r="AD90" s="73">
        <f t="shared" ref="AD90" si="379">R90</f>
        <v>3773649</v>
      </c>
      <c r="AE90" s="73">
        <f t="shared" ref="AE90" si="380">S90</f>
        <v>18229984</v>
      </c>
      <c r="AF90" s="73">
        <f t="shared" ref="AF90" si="381">T90</f>
        <v>33525733</v>
      </c>
      <c r="AG90" s="73">
        <f t="shared" ref="AG90" si="382">U90</f>
        <v>50370965</v>
      </c>
    </row>
    <row r="91" spans="1:33" ht="12.75" customHeight="1" x14ac:dyDescent="0.2">
      <c r="B91" s="54" t="s">
        <v>133</v>
      </c>
      <c r="C91" s="55">
        <f>SUM(C88:C90)</f>
        <v>3134109</v>
      </c>
      <c r="D91" s="55">
        <f t="shared" ref="D91" si="383">SUM(D88:D90)</f>
        <v>1780592</v>
      </c>
      <c r="E91" s="55">
        <f t="shared" ref="E91:F91" si="384">SUM(E88:E90)</f>
        <v>4347080</v>
      </c>
      <c r="F91" s="55">
        <f t="shared" si="384"/>
        <v>25421659</v>
      </c>
      <c r="H91" s="55">
        <f t="shared" ref="H91" si="385">SUM(H88:H90)</f>
        <v>3224864</v>
      </c>
      <c r="I91" s="55">
        <f t="shared" ref="I91" si="386">SUM(I88:I90)</f>
        <v>2187795</v>
      </c>
      <c r="J91" s="55">
        <f t="shared" ref="J91" si="387">SUM(J88:J90)</f>
        <v>2176646</v>
      </c>
      <c r="K91" s="55">
        <f t="shared" ref="K91" si="388">SUM(K88:K90)</f>
        <v>1995440</v>
      </c>
      <c r="L91" s="55">
        <f t="shared" ref="L91" si="389">SUM(L88:L90)</f>
        <v>2619129</v>
      </c>
      <c r="M91" s="55">
        <f t="shared" ref="M91" si="390">SUM(M88:M90)</f>
        <v>2997092</v>
      </c>
      <c r="N91" s="55">
        <f t="shared" ref="N91" si="391">SUM(N88:N90)</f>
        <v>3020433</v>
      </c>
      <c r="O91" s="55">
        <f t="shared" ref="O91" si="392">SUM(O88:O90)</f>
        <v>1995040</v>
      </c>
      <c r="P91" s="55">
        <f t="shared" ref="P91" si="393">SUM(P88:P90)</f>
        <v>5958906</v>
      </c>
      <c r="Q91" s="55">
        <f t="shared" ref="Q91" si="394">SUM(Q88:Q90)</f>
        <v>6683299</v>
      </c>
      <c r="R91" s="55">
        <f>SUM(R88:R90)</f>
        <v>7986107</v>
      </c>
      <c r="S91" s="55">
        <f>SUM(S88:S90)</f>
        <v>25421659</v>
      </c>
      <c r="T91" s="55">
        <f t="shared" ref="T91:U91" si="395">SUM(T88:T90)</f>
        <v>41666414</v>
      </c>
      <c r="U91" s="55">
        <f t="shared" si="395"/>
        <v>58533595</v>
      </c>
      <c r="W91" s="55">
        <f t="shared" ref="W91" si="396">SUM(W88:W90)</f>
        <v>1995440</v>
      </c>
      <c r="X91" s="55">
        <f t="shared" ref="X91" si="397">SUM(X88:X90)</f>
        <v>2619129</v>
      </c>
      <c r="Y91" s="55">
        <f t="shared" ref="Y91" si="398">SUM(Y88:Y90)</f>
        <v>2997092</v>
      </c>
      <c r="Z91" s="55">
        <f t="shared" ref="Z91" si="399">SUM(Z88:Z90)</f>
        <v>3020433</v>
      </c>
      <c r="AA91" s="55">
        <f t="shared" ref="AA91:AD91" si="400">SUM(AA88:AA90)</f>
        <v>1995040</v>
      </c>
      <c r="AB91" s="55">
        <f t="shared" si="400"/>
        <v>5958906</v>
      </c>
      <c r="AC91" s="55">
        <f t="shared" si="400"/>
        <v>6683299</v>
      </c>
      <c r="AD91" s="55">
        <f t="shared" si="400"/>
        <v>7986107</v>
      </c>
      <c r="AE91" s="55">
        <f>SUM(AE88:AE90)</f>
        <v>25421659</v>
      </c>
      <c r="AF91" s="55">
        <f t="shared" ref="AF91:AG91" si="401">SUM(AF88:AF90)</f>
        <v>41666414</v>
      </c>
      <c r="AG91" s="55">
        <f t="shared" si="401"/>
        <v>58533595</v>
      </c>
    </row>
    <row r="92" spans="1:33" ht="5.0999999999999996" customHeight="1" x14ac:dyDescent="0.2"/>
    <row r="93" spans="1:33" ht="12.75" customHeight="1" x14ac:dyDescent="0.2">
      <c r="A93" s="9"/>
      <c r="B93" s="1" t="s">
        <v>37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5.0999999999999996" customHeight="1" x14ac:dyDescent="0.2"/>
    <row r="95" spans="1:33" ht="12.75" customHeight="1" x14ac:dyDescent="0.2">
      <c r="B95" s="90" t="s">
        <v>164</v>
      </c>
      <c r="C95" s="88">
        <f>C88/C37</f>
        <v>33.334122159837904</v>
      </c>
      <c r="D95" s="88">
        <f>D88/D37</f>
        <v>71.855472901168966</v>
      </c>
      <c r="E95" s="88">
        <f>E88/E37</f>
        <v>90.397613819959403</v>
      </c>
      <c r="F95" s="88">
        <f>F88/F37</f>
        <v>-239.94645002001869</v>
      </c>
      <c r="G95" s="23"/>
      <c r="H95" s="89"/>
      <c r="I95" s="89"/>
      <c r="J95" s="89"/>
      <c r="K95" s="88">
        <f t="shared" ref="K95:S95" si="402">SUM(K88/SUM(H37:K37))</f>
        <v>78.99043570669501</v>
      </c>
      <c r="L95" s="88">
        <f t="shared" si="402"/>
        <v>73.9957151601714</v>
      </c>
      <c r="M95" s="88">
        <f t="shared" si="402"/>
        <v>76.954773514239278</v>
      </c>
      <c r="N95" s="88">
        <f t="shared" si="402"/>
        <v>71.643432252127909</v>
      </c>
      <c r="O95" s="88">
        <f t="shared" si="402"/>
        <v>90.397613819959403</v>
      </c>
      <c r="P95" s="88">
        <f t="shared" si="402"/>
        <v>264.94944907683146</v>
      </c>
      <c r="Q95" s="88">
        <f t="shared" si="402"/>
        <v>-1820.4824976348154</v>
      </c>
      <c r="R95" s="88">
        <f t="shared" si="402"/>
        <v>-161.66319990789424</v>
      </c>
      <c r="S95" s="88">
        <f t="shared" si="402"/>
        <v>-239.94645002001869</v>
      </c>
      <c r="T95" s="88">
        <f t="shared" ref="T95:U95" si="403">SUM(T88/SUM(Q37:T37))</f>
        <v>-309.60222864531835</v>
      </c>
      <c r="U95" s="88">
        <f t="shared" si="403"/>
        <v>-599.66426682339113</v>
      </c>
      <c r="V95" s="23"/>
      <c r="W95" s="88">
        <f t="shared" ref="W95:Z95" si="404">W88/W37</f>
        <v>78.99043570669501</v>
      </c>
      <c r="X95" s="88">
        <f t="shared" si="404"/>
        <v>73.9957151601714</v>
      </c>
      <c r="Y95" s="88">
        <f t="shared" si="404"/>
        <v>76.954773514239278</v>
      </c>
      <c r="Z95" s="88">
        <f t="shared" si="404"/>
        <v>71.643432252127909</v>
      </c>
      <c r="AA95" s="88">
        <f t="shared" ref="AA95:AD95" si="405">AA88/AA37</f>
        <v>90.397613819959403</v>
      </c>
      <c r="AB95" s="88">
        <f t="shared" si="405"/>
        <v>264.94944907683146</v>
      </c>
      <c r="AC95" s="88">
        <f t="shared" si="405"/>
        <v>-1820.4824976348154</v>
      </c>
      <c r="AD95" s="88">
        <f t="shared" si="405"/>
        <v>-161.66319990789424</v>
      </c>
      <c r="AE95" s="88">
        <f>AE88/AE37</f>
        <v>-239.94645002001869</v>
      </c>
      <c r="AF95" s="88">
        <f t="shared" ref="AF95:AG95" si="406">AF88/AF37</f>
        <v>-309.60222864531835</v>
      </c>
      <c r="AG95" s="93">
        <f t="shared" si="406"/>
        <v>-599.66426682339113</v>
      </c>
    </row>
    <row r="96" spans="1:33" ht="12.75" customHeight="1" x14ac:dyDescent="0.2">
      <c r="B96" s="91" t="s">
        <v>169</v>
      </c>
      <c r="C96" s="84">
        <f>SUM(C88-C59)/C37</f>
        <v>32.354183100552177</v>
      </c>
      <c r="D96" s="84">
        <f>SUM(D88-D59)/D37</f>
        <v>70.399740967056317</v>
      </c>
      <c r="E96" s="84">
        <f>SUM(E88-E59)/E37</f>
        <v>88.458138282447493</v>
      </c>
      <c r="F96" s="84">
        <f>SUM(F88-F59)/F37</f>
        <v>-238.67469638329106</v>
      </c>
      <c r="G96" s="24"/>
      <c r="H96" s="85"/>
      <c r="I96" s="85"/>
      <c r="J96" s="85"/>
      <c r="K96" s="84">
        <f t="shared" ref="K96:T96" si="407">SUM(K88-K59)/SUM(H37:K37)</f>
        <v>77.534703772582361</v>
      </c>
      <c r="L96" s="84">
        <f t="shared" si="407"/>
        <v>70.788512548459494</v>
      </c>
      <c r="M96" s="84">
        <f t="shared" si="407"/>
        <v>74.623913504345978</v>
      </c>
      <c r="N96" s="84">
        <f t="shared" si="407"/>
        <v>70.16428407111637</v>
      </c>
      <c r="O96" s="84">
        <f t="shared" si="407"/>
        <v>88.458138282447493</v>
      </c>
      <c r="P96" s="84">
        <f t="shared" si="407"/>
        <v>258.89480345443718</v>
      </c>
      <c r="Q96" s="84">
        <f t="shared" si="407"/>
        <v>-1788.825449385052</v>
      </c>
      <c r="R96" s="84">
        <f t="shared" si="407"/>
        <v>-159.88467590282841</v>
      </c>
      <c r="S96" s="84">
        <f t="shared" si="407"/>
        <v>-238.67469638329106</v>
      </c>
      <c r="T96" s="84">
        <f t="shared" si="407"/>
        <v>-307.30900585684947</v>
      </c>
      <c r="U96" s="84">
        <f t="shared" ref="U96" si="408">SUM(U88-U59)/SUM(R37:U37)</f>
        <v>-595.98405818395531</v>
      </c>
      <c r="V96" s="24"/>
      <c r="W96" s="84">
        <f t="shared" ref="W96:Z96" si="409">SUM(W88-W59)/W37</f>
        <v>77.534703772582361</v>
      </c>
      <c r="X96" s="84">
        <f t="shared" si="409"/>
        <v>70.788512548459494</v>
      </c>
      <c r="Y96" s="84">
        <f t="shared" si="409"/>
        <v>74.623913504345978</v>
      </c>
      <c r="Z96" s="84">
        <f t="shared" si="409"/>
        <v>70.16428407111637</v>
      </c>
      <c r="AA96" s="84">
        <f t="shared" ref="AA96:AD96" si="410">SUM(AA88-AA59)/AA37</f>
        <v>88.458138282447493</v>
      </c>
      <c r="AB96" s="84">
        <f t="shared" si="410"/>
        <v>258.89480345443718</v>
      </c>
      <c r="AC96" s="84">
        <f t="shared" si="410"/>
        <v>-1788.825449385052</v>
      </c>
      <c r="AD96" s="84">
        <f t="shared" si="410"/>
        <v>-159.88467590282841</v>
      </c>
      <c r="AE96" s="84">
        <f>SUM(AE88-AE59)/AE37</f>
        <v>-238.67469638329106</v>
      </c>
      <c r="AF96" s="84">
        <f t="shared" ref="AF96:AG96" si="411">SUM(AF88-AF59)/AF37</f>
        <v>-307.30900585684947</v>
      </c>
      <c r="AG96" s="94">
        <f t="shared" si="411"/>
        <v>-595.98405818395531</v>
      </c>
    </row>
    <row r="97" spans="2:33" ht="12.75" customHeight="1" x14ac:dyDescent="0.2">
      <c r="B97" s="92" t="s">
        <v>170</v>
      </c>
      <c r="C97" s="86">
        <f>SUM(C88-C59-C63)/C37</f>
        <v>-11.730546146350518</v>
      </c>
      <c r="D97" s="86">
        <f>SUM(D88-D59-D63)/D37</f>
        <v>9.2936038788522843</v>
      </c>
      <c r="E97" s="86">
        <f>SUM(E88-E59-E63)/E37</f>
        <v>-61.774928538878996</v>
      </c>
      <c r="F97" s="86">
        <f>SUM(F88-F59-F63)/F37</f>
        <v>559.04894568263717</v>
      </c>
      <c r="G97" s="75"/>
      <c r="H97" s="87"/>
      <c r="I97" s="87"/>
      <c r="J97" s="87"/>
      <c r="K97" s="86">
        <f t="shared" ref="K97:S97" si="412">SUM(K88-K59-K63)/SUM(H37:K37)</f>
        <v>16.428566684378321</v>
      </c>
      <c r="L97" s="86">
        <f t="shared" si="412"/>
        <v>2.7618513228592803</v>
      </c>
      <c r="M97" s="86">
        <f t="shared" si="412"/>
        <v>-7.4639954773514239</v>
      </c>
      <c r="N97" s="86">
        <f t="shared" si="412"/>
        <v>-10.396168129087384</v>
      </c>
      <c r="O97" s="86">
        <f t="shared" si="412"/>
        <v>-61.774928538878996</v>
      </c>
      <c r="P97" s="86">
        <f t="shared" si="412"/>
        <v>-118.87112864800477</v>
      </c>
      <c r="Q97" s="86">
        <f t="shared" si="412"/>
        <v>901.75638599810782</v>
      </c>
      <c r="R97" s="86">
        <f t="shared" si="412"/>
        <v>103.03427102122271</v>
      </c>
      <c r="S97" s="86">
        <f t="shared" si="412"/>
        <v>559.04894568263717</v>
      </c>
      <c r="T97" s="86">
        <f t="shared" ref="T97:U97" si="413">SUM(T88-T59-T63)/SUM(Q37:T37)</f>
        <v>1348.8132653837376</v>
      </c>
      <c r="U97" s="86">
        <f t="shared" si="413"/>
        <v>4132.4025124889804</v>
      </c>
      <c r="V97" s="75"/>
      <c r="W97" s="86">
        <f t="shared" ref="W97:Z97" si="414">SUM(W88-W59-W63)/W37</f>
        <v>16.428566684378321</v>
      </c>
      <c r="X97" s="86">
        <f t="shared" si="414"/>
        <v>2.7618513228592803</v>
      </c>
      <c r="Y97" s="86">
        <f t="shared" si="414"/>
        <v>-7.4639954773514239</v>
      </c>
      <c r="Z97" s="86">
        <f t="shared" si="414"/>
        <v>-10.396168129087384</v>
      </c>
      <c r="AA97" s="86">
        <f t="shared" ref="AA97:AD97" si="415">SUM(AA88-AA59-AA63)/AA37</f>
        <v>-61.774928538878996</v>
      </c>
      <c r="AB97" s="86">
        <f t="shared" si="415"/>
        <v>-118.87112864800477</v>
      </c>
      <c r="AC97" s="86">
        <f t="shared" si="415"/>
        <v>901.75638599810782</v>
      </c>
      <c r="AD97" s="86">
        <f t="shared" si="415"/>
        <v>103.03427102122271</v>
      </c>
      <c r="AE97" s="86">
        <f>SUM(AE88-AE59-AE63)/AE37</f>
        <v>559.04894568263717</v>
      </c>
      <c r="AF97" s="86">
        <f t="shared" ref="AF97:AG97" si="416">SUM(AF88-AF59-AF63)/AF37</f>
        <v>1348.8132653837376</v>
      </c>
      <c r="AG97" s="95">
        <f t="shared" si="416"/>
        <v>4132.4025124889804</v>
      </c>
    </row>
    <row r="98" spans="2:33" ht="5.0999999999999996" customHeight="1" x14ac:dyDescent="0.2">
      <c r="C98" s="80"/>
      <c r="D98" s="80"/>
      <c r="E98" s="80"/>
      <c r="F98" s="80"/>
      <c r="H98" s="81"/>
      <c r="I98" s="81"/>
      <c r="J98" s="81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2:33" ht="12.75" customHeight="1" x14ac:dyDescent="0.2">
      <c r="B99" s="44" t="s">
        <v>165</v>
      </c>
      <c r="C99" s="80">
        <f>C37/-C41</f>
        <v>3.1667809561128526</v>
      </c>
      <c r="D99" s="80">
        <f>D37/-D41</f>
        <v>0.69305836862456272</v>
      </c>
      <c r="E99" s="80">
        <f>E37/-E41</f>
        <v>0.5854859443595527</v>
      </c>
      <c r="F99" s="80">
        <f>F37/-F41</f>
        <v>-0.67245518386394743</v>
      </c>
      <c r="H99" s="81"/>
      <c r="I99" s="81"/>
      <c r="J99" s="81"/>
      <c r="K99" s="80" cm="1">
        <f t="array" ref="K99">SUM(H37:K37)/SUM(-H41:K41)</f>
        <v>0.69305836862456272</v>
      </c>
      <c r="L99" s="80" cm="1">
        <f t="array" ref="L99">SUM(I37:L37)/SUM(-I41:L41)</f>
        <v>0.68556241366648596</v>
      </c>
      <c r="M99" s="80" cm="1">
        <f t="array" ref="M99">SUM(J37:M37)/SUM(-J41:M41)</f>
        <v>0.66846959623038138</v>
      </c>
      <c r="N99" s="80" cm="1">
        <f t="array" ref="N99">SUM(K37:N37)/SUM(-K41:N41)</f>
        <v>0.72824961857181325</v>
      </c>
      <c r="O99" s="80" cm="1">
        <f t="array" ref="O99">SUM(L37:O37)/SUM(-L41:O41)</f>
        <v>0.5854859443595527</v>
      </c>
      <c r="P99" s="80" cm="1">
        <f t="array" ref="P99">SUM(M37:P37)/SUM(-M41:P41)</f>
        <v>0.31931914084322888</v>
      </c>
      <c r="Q99" s="80" cm="1">
        <f t="array" ref="Q99">SUM(N37:Q37)/SUM(-N41:Q41)</f>
        <v>-4.9277389277389276E-2</v>
      </c>
      <c r="R99" s="80" cm="1">
        <f t="array" ref="R99">SUM(O37:R37)/SUM(-O41:R41)</f>
        <v>-0.59578603194201507</v>
      </c>
      <c r="S99" s="80" cm="1">
        <f t="array" ref="S99">SUM(P37:S37)/SUM(-P41:S41)</f>
        <v>-0.67245518386394743</v>
      </c>
      <c r="T99" s="80" cm="1">
        <f t="array" ref="T99">SUM(Q37:T37)/SUM(-Q41:T41)</f>
        <v>-0.58993515963294518</v>
      </c>
      <c r="U99" s="80" cm="1">
        <f t="array" ref="U99">SUM(R37:U37)/SUM(-R41:U41)</f>
        <v>-0.3054003724394786</v>
      </c>
      <c r="W99" s="80">
        <f t="shared" ref="W99:Z99" si="417">W37/-W41</f>
        <v>0.69305836862456272</v>
      </c>
      <c r="X99" s="80">
        <f t="shared" si="417"/>
        <v>0.68556241366648596</v>
      </c>
      <c r="Y99" s="80">
        <f t="shared" si="417"/>
        <v>0.66846959623038138</v>
      </c>
      <c r="Z99" s="80">
        <f t="shared" si="417"/>
        <v>0.72824961857181325</v>
      </c>
      <c r="AA99" s="80">
        <f t="shared" ref="AA99:AD99" si="418">AA37/-AA41</f>
        <v>0.5854859443595527</v>
      </c>
      <c r="AB99" s="80">
        <f t="shared" si="418"/>
        <v>0.31931914084322888</v>
      </c>
      <c r="AC99" s="80">
        <f t="shared" si="418"/>
        <v>-4.9277389277389276E-2</v>
      </c>
      <c r="AD99" s="80">
        <f t="shared" si="418"/>
        <v>-0.59578603194201507</v>
      </c>
      <c r="AE99" s="80">
        <f>AE37/-AE41</f>
        <v>-0.67245518386394743</v>
      </c>
      <c r="AF99" s="80">
        <f t="shared" ref="AF99:AG99" si="419">AF37/-AF41</f>
        <v>-0.58993515963294518</v>
      </c>
      <c r="AG99" s="80">
        <f t="shared" si="419"/>
        <v>-0.3054003724394786</v>
      </c>
    </row>
    <row r="100" spans="2:33" ht="12.75" customHeight="1" x14ac:dyDescent="0.2">
      <c r="B100" s="44" t="s">
        <v>166</v>
      </c>
      <c r="C100" s="80" cm="1">
        <f t="array" ref="C100">SUM(C37+C40)/SUM(-C41:C43)</f>
        <v>2.2586961277619775</v>
      </c>
      <c r="D100" s="80" cm="1">
        <f t="array" ref="D100">SUM(D37+D40)/SUM(-D41:D43)</f>
        <v>0.42228030754650647</v>
      </c>
      <c r="E100" s="80" cm="1">
        <f t="array" ref="E100">SUM(E37+E40)/SUM(-E41:E43)</f>
        <v>0.29632269696842634</v>
      </c>
      <c r="F100" s="80" cm="1">
        <f t="array" ref="F100">SUM(F37+F40)/SUM(-F41:F43)</f>
        <v>-0.7221126451895683</v>
      </c>
      <c r="H100" s="81"/>
      <c r="I100" s="81"/>
      <c r="J100" s="81"/>
      <c r="K100" s="80" cm="1">
        <f t="array" ref="K100">SUM(H37:K37+H40:K40)/SUM(-H41:K43)</f>
        <v>0.42228030754650647</v>
      </c>
      <c r="L100" s="80" cm="1">
        <f t="array" ref="L100">SUM(I37:L37+I40:L40)/SUM(-I41:L43)</f>
        <v>0.40419700533960645</v>
      </c>
      <c r="M100" s="80" cm="1">
        <f t="array" ref="M100">SUM(J37:M37+J40:M40)/SUM(-J41:M43)</f>
        <v>0.38252730564803455</v>
      </c>
      <c r="N100" s="80" cm="1">
        <f t="array" ref="N100">SUM(K37:N37+K40:N40)/SUM(-K41:N43)</f>
        <v>0.38852825445794148</v>
      </c>
      <c r="O100" s="80" cm="1">
        <f t="array" ref="O100">SUM(L37:O37+L40:O40)/SUM(-L41:O43)</f>
        <v>0.29632269696842634</v>
      </c>
      <c r="P100" s="80" cm="1">
        <f t="array" ref="P100">SUM(M37:P37+M40:P40)/SUM(-M41:P43)</f>
        <v>0.14520250047066327</v>
      </c>
      <c r="Q100" s="80" cm="1">
        <f t="array" ref="Q100">SUM(N37:Q37+N40:Q40)/SUM(-N41:Q43)</f>
        <v>-0.10551558752997602</v>
      </c>
      <c r="R100" s="80" cm="1">
        <f t="array" ref="R100">SUM(O37:R37+O40:R40)/SUM(-O41:R43)</f>
        <v>-0.55840373829982204</v>
      </c>
      <c r="S100" s="80" cm="1">
        <f t="array" ref="S100">SUM(P37:S37+P40:S40)/SUM(-P41:S43)</f>
        <v>-0.7221126451895683</v>
      </c>
      <c r="T100" s="80" cm="1">
        <f t="array" ref="T100">SUM(Q37:T37+Q40:T40)/SUM(-Q41:T43)</f>
        <v>-0.6676309445540215</v>
      </c>
      <c r="U100" s="80" cm="1">
        <f t="array" ref="U100">SUM(R37:U37+R40:U40)/SUM(-R41:U43)</f>
        <v>-0.41974578128424284</v>
      </c>
      <c r="W100" s="80" cm="1">
        <f t="array" ref="W100">SUM(W37+W40)/SUM(-W41:W43)</f>
        <v>0.42228030754650647</v>
      </c>
      <c r="X100" s="80" cm="1">
        <f t="array" ref="X100">SUM(X37+X40)/SUM(-X41:X43)</f>
        <v>0.40419700533960645</v>
      </c>
      <c r="Y100" s="80" cm="1">
        <f t="array" ref="Y100">SUM(Y37+Y40)/SUM(-Y41:Y43)</f>
        <v>0.38252730564803455</v>
      </c>
      <c r="Z100" s="80" cm="1">
        <f t="array" ref="Z100">SUM(Z37+Z40)/SUM(-Z41:Z43)</f>
        <v>0.38852825445794148</v>
      </c>
      <c r="AA100" s="80" cm="1">
        <f t="array" ref="AA100">SUM(AA37+AA40)/SUM(-AA41:AA43)</f>
        <v>0.29632269696842634</v>
      </c>
      <c r="AB100" s="80" cm="1">
        <f t="array" ref="AB100">SUM(AB37+AB40)/SUM(-AB41:AB43)</f>
        <v>0.14520250047066327</v>
      </c>
      <c r="AC100" s="80" cm="1">
        <f t="array" ref="AC100">SUM(AC37+AC40)/SUM(-AC41:AC43)</f>
        <v>-0.10551558752997602</v>
      </c>
      <c r="AD100" s="80" cm="1">
        <f t="array" ref="AD100">SUM(AD37+AD40)/SUM(-AD41:AD43)</f>
        <v>-0.55840373829982204</v>
      </c>
      <c r="AE100" s="80" cm="1">
        <f t="array" ref="AE100">SUM(AE37+AE40)/SUM(-AE41:AE43)</f>
        <v>-0.7221126451895683</v>
      </c>
      <c r="AF100" s="80" cm="1">
        <f t="array" ref="AF100">SUM(AF37+AF40)/SUM(-AF41:AF43)</f>
        <v>-0.6676309445540215</v>
      </c>
      <c r="AG100" s="80" cm="1">
        <f t="array" ref="AG100">SUM(AG37+AG40)/SUM(-AG41:AG43)</f>
        <v>-0.41974578128424284</v>
      </c>
    </row>
    <row r="101" spans="2:33" ht="12.75" customHeight="1" x14ac:dyDescent="0.2">
      <c r="B101" s="44" t="s">
        <v>167</v>
      </c>
      <c r="C101" s="80" cm="1">
        <f t="array" ref="C101">SUM(C37)/SUM(-C40:C43)</f>
        <v>2.145659099960175</v>
      </c>
      <c r="D101" s="80" cm="1">
        <f t="array" ref="D101">SUM(D37)/SUM(-D40:D43)</f>
        <v>0.44342998512671744</v>
      </c>
      <c r="E101" s="80" cm="1">
        <f t="array" ref="E101">SUM(E37)/SUM(-E40:E43)</f>
        <v>0.32407867355843456</v>
      </c>
      <c r="F101" s="80" cm="1">
        <f t="array" ref="F101">SUM(F37)/SUM(-F40:F43)</f>
        <v>-0.61660631994733373</v>
      </c>
      <c r="H101" s="81"/>
      <c r="I101" s="81"/>
      <c r="J101" s="81"/>
      <c r="K101" s="80" cm="1">
        <f t="array" ref="K101">SUM(H37:K37)/SUM(-H40:K43)</f>
        <v>0.44342998512671744</v>
      </c>
      <c r="L101" s="80" cm="1">
        <f t="array" ref="L101">SUM(I37:L37)/SUM(-I40:L43)</f>
        <v>0.42435043616921492</v>
      </c>
      <c r="M101" s="80" cm="1">
        <f t="array" ref="M101">SUM(J37:M37)/SUM(-J40:M43)</f>
        <v>0.40094065647622151</v>
      </c>
      <c r="N101" s="80" cm="1">
        <f t="array" ref="N101">SUM(K37:N37)/SUM(-K40:N43)</f>
        <v>0.4154611797956077</v>
      </c>
      <c r="O101" s="80" cm="1">
        <f t="array" ref="O101">SUM(L37:O37)/SUM(-L40:O43)</f>
        <v>0.32407867355843456</v>
      </c>
      <c r="P101" s="80" cm="1">
        <f t="array" ref="P101">SUM(M37:P37)/SUM(-M40:P43)</f>
        <v>0.19452077608460322</v>
      </c>
      <c r="Q101" s="80" cm="1">
        <f t="array" ref="Q101">SUM(N37:Q37)/SUM(-N40:Q43)</f>
        <v>-3.373951625130673E-2</v>
      </c>
      <c r="R101" s="80" cm="1">
        <f t="array" ref="R101">SUM(O37:R37)/SUM(-O40:R43)</f>
        <v>-0.47247292623333531</v>
      </c>
      <c r="S101" s="80" cm="1">
        <f t="array" ref="S101">SUM(P37:S37)/SUM(-P40:S43)</f>
        <v>-0.61660631994733373</v>
      </c>
      <c r="T101" s="80" cm="1">
        <f t="array" ref="T101">SUM(Q37:T37)/SUM(-Q40:T43)</f>
        <v>-0.52799196787148595</v>
      </c>
      <c r="U101" s="80" cm="1">
        <f t="array" ref="U101">SUM(R37:U37)/SUM(-R40:U43)</f>
        <v>-0.26601004475191026</v>
      </c>
      <c r="W101" s="80" cm="1">
        <f t="array" ref="W101">SUM(W37)/SUM(-W40:W43)</f>
        <v>0.44342998512671744</v>
      </c>
      <c r="X101" s="80" cm="1">
        <f t="array" ref="X101">SUM(X37)/SUM(-X40:X43)</f>
        <v>0.42435043616921492</v>
      </c>
      <c r="Y101" s="80" cm="1">
        <f t="array" ref="Y101">SUM(Y37)/SUM(-Y40:Y43)</f>
        <v>0.40094065647622151</v>
      </c>
      <c r="Z101" s="80" cm="1">
        <f t="array" ref="Z101">SUM(Z37)/SUM(-Z40:Z43)</f>
        <v>0.4154611797956077</v>
      </c>
      <c r="AA101" s="80" cm="1">
        <f t="array" ref="AA101">SUM(AA37)/SUM(-AA40:AA43)</f>
        <v>0.32407867355843456</v>
      </c>
      <c r="AB101" s="80" cm="1">
        <f t="array" ref="AB101">SUM(AB37)/SUM(-AB40:AB43)</f>
        <v>0.19452077608460322</v>
      </c>
      <c r="AC101" s="80" cm="1">
        <f t="array" ref="AC101">SUM(AC37)/SUM(-AC40:AC43)</f>
        <v>-3.373951625130673E-2</v>
      </c>
      <c r="AD101" s="80" cm="1">
        <f t="array" ref="AD101">SUM(AD37)/SUM(-AD40:AD43)</f>
        <v>-0.47247292623333531</v>
      </c>
      <c r="AE101" s="80" cm="1">
        <f t="array" ref="AE101">SUM(AE37)/SUM(-AE40:AE43)</f>
        <v>-0.61660631994733373</v>
      </c>
      <c r="AF101" s="80" cm="1">
        <f t="array" ref="AF101">SUM(AF37)/SUM(-AF40:AF43)</f>
        <v>-0.52799196787148595</v>
      </c>
      <c r="AG101" s="80" cm="1">
        <f t="array" ref="AG101">SUM(AG37)/SUM(-AG40:AG43)</f>
        <v>-0.26601004475191026</v>
      </c>
    </row>
    <row r="102" spans="2:33" ht="12.75" customHeight="1" x14ac:dyDescent="0.2">
      <c r="B102" s="44" t="s">
        <v>168</v>
      </c>
      <c r="C102" s="80">
        <f>C91/C88</f>
        <v>1.4542410253388278</v>
      </c>
      <c r="D102" s="80">
        <f t="shared" ref="D102:F102" si="420">D91/D88</f>
        <v>0.82293392096545193</v>
      </c>
      <c r="E102" s="80">
        <f t="shared" si="420"/>
        <v>1.992147043134437</v>
      </c>
      <c r="F102" s="80">
        <f t="shared" si="420"/>
        <v>3.5348731693242534</v>
      </c>
      <c r="H102" s="81"/>
      <c r="I102" s="81"/>
      <c r="J102" s="81"/>
      <c r="K102" s="80">
        <f t="shared" ref="K102:S102" si="421">K91/K88</f>
        <v>0.83892775460782998</v>
      </c>
      <c r="L102" s="80">
        <f t="shared" si="421"/>
        <v>1.2036892015232192</v>
      </c>
      <c r="M102" s="80">
        <f t="shared" si="421"/>
        <v>1.3760917256128862</v>
      </c>
      <c r="N102" s="80">
        <f t="shared" si="421"/>
        <v>1.3854955739303627</v>
      </c>
      <c r="O102" s="80">
        <f t="shared" si="421"/>
        <v>0.91427188755093702</v>
      </c>
      <c r="P102" s="80">
        <f t="shared" si="421"/>
        <v>1.6744139388518773</v>
      </c>
      <c r="Q102" s="80">
        <f t="shared" si="421"/>
        <v>1.7365984149668703</v>
      </c>
      <c r="R102" s="80">
        <f t="shared" si="421"/>
        <v>1.8958306527922653</v>
      </c>
      <c r="S102" s="80">
        <f t="shared" si="421"/>
        <v>3.5348731693242534</v>
      </c>
      <c r="T102" s="80">
        <f t="shared" ref="T102:U102" si="422">T91/T88</f>
        <v>5.1182958772122378</v>
      </c>
      <c r="U102" s="80">
        <f t="shared" si="422"/>
        <v>7.1709234646186335</v>
      </c>
      <c r="W102" s="80">
        <f t="shared" ref="W102:Z102" si="423">W91/W88</f>
        <v>0.83892775460782998</v>
      </c>
      <c r="X102" s="80">
        <f t="shared" si="423"/>
        <v>1.2036892015232192</v>
      </c>
      <c r="Y102" s="80">
        <f t="shared" si="423"/>
        <v>1.3760917256128862</v>
      </c>
      <c r="Z102" s="80">
        <f t="shared" si="423"/>
        <v>1.3854955739303627</v>
      </c>
      <c r="AA102" s="80">
        <f t="shared" ref="AA102:AD102" si="424">AA91/AA88</f>
        <v>0.91427188755093702</v>
      </c>
      <c r="AB102" s="80">
        <f t="shared" si="424"/>
        <v>1.6744139388518773</v>
      </c>
      <c r="AC102" s="80">
        <f t="shared" si="424"/>
        <v>1.7365984149668703</v>
      </c>
      <c r="AD102" s="80">
        <f t="shared" si="424"/>
        <v>1.8958306527922653</v>
      </c>
      <c r="AE102" s="80">
        <f t="shared" ref="AE102:AG102" si="425">AE91/AE88</f>
        <v>3.5348731693242534</v>
      </c>
      <c r="AF102" s="80">
        <f t="shared" si="425"/>
        <v>5.1182958772122378</v>
      </c>
      <c r="AG102" s="80">
        <f t="shared" si="425"/>
        <v>7.1709234646186335</v>
      </c>
    </row>
    <row r="103" spans="2:33" ht="5.0999999999999996" customHeight="1" thickBot="1" x14ac:dyDescent="0.25"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</row>
  </sheetData>
  <mergeCells count="1">
    <mergeCell ref="AI2:AI4"/>
  </mergeCells>
  <pageMargins left="0.7" right="0.7" top="0.75" bottom="0.75" header="0.3" footer="0.3"/>
  <ignoredErrors>
    <ignoredError sqref="C88:E88 R47:AG50 S43:U46 W43:AG46 R56:AG67 R54:U55 W54:AG55 R53:AG53 R51:U52 W51:AG52" formulaRange="1"/>
    <ignoredError sqref="C54 G54:H54 G55 V51:V52 V54:V55 V43:V46 R43:R46" evalError="1" formulaRange="1"/>
    <ignoredError sqref="C38:E46 G20:R21 G43:Q46 G41:O42 G38:R40 V37:V42 V20:V24 C20:E21 V26:V35 G27:R33 C27:E35 G34:G35 G37 AI25:AI4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3-Statement Model</vt:lpstr>
      <vt:lpstr>FCF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2024-12-28T10:46:35Z</dcterms:created>
  <dcterms:modified xsi:type="dcterms:W3CDTF">2025-11-02T04:33:10Z</dcterms:modified>
</cp:coreProperties>
</file>