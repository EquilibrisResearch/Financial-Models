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B17D41AB-607D-4554-A3B6-FDD1528C08C1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1" l="1"/>
  <c r="D45" i="11"/>
  <c r="E45" i="11"/>
  <c r="F45" i="11"/>
  <c r="H45" i="11"/>
  <c r="I45" i="11"/>
  <c r="J45" i="11"/>
  <c r="Y45" i="11" s="1"/>
  <c r="K45" i="11"/>
  <c r="X45" i="11" s="1"/>
  <c r="L45" i="11"/>
  <c r="M45" i="11"/>
  <c r="N45" i="11"/>
  <c r="AD45" i="11" s="1"/>
  <c r="O45" i="11"/>
  <c r="P45" i="11"/>
  <c r="Q45" i="11"/>
  <c r="R45" i="11"/>
  <c r="S45" i="11"/>
  <c r="AF45" i="11" s="1"/>
  <c r="T45" i="11"/>
  <c r="U45" i="11"/>
  <c r="V45" i="11"/>
  <c r="AB45" i="11"/>
  <c r="AC45" i="11"/>
  <c r="AE45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21" i="11"/>
  <c r="H20" i="11"/>
  <c r="H19" i="11"/>
  <c r="H18" i="11"/>
  <c r="H17" i="11"/>
  <c r="F21" i="11"/>
  <c r="E21" i="11"/>
  <c r="D21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C21" i="11"/>
  <c r="C20" i="11"/>
  <c r="C19" i="11"/>
  <c r="C18" i="11"/>
  <c r="C17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F46" i="11"/>
  <c r="E46" i="11"/>
  <c r="D46" i="11"/>
  <c r="C46" i="11"/>
  <c r="AI81" i="11"/>
  <c r="AH81" i="11"/>
  <c r="AG81" i="11"/>
  <c r="AE81" i="11"/>
  <c r="AD81" i="11"/>
  <c r="AC81" i="11"/>
  <c r="AA81" i="11"/>
  <c r="Z81" i="11"/>
  <c r="Y81" i="11"/>
  <c r="AI80" i="11"/>
  <c r="AH80" i="11"/>
  <c r="AG80" i="11"/>
  <c r="AE80" i="11"/>
  <c r="AD80" i="11"/>
  <c r="AC80" i="11"/>
  <c r="AA80" i="11"/>
  <c r="Z80" i="11"/>
  <c r="Y80" i="11"/>
  <c r="AI79" i="11"/>
  <c r="AH79" i="11"/>
  <c r="AG79" i="11"/>
  <c r="AE79" i="11"/>
  <c r="AD79" i="11"/>
  <c r="AC79" i="11"/>
  <c r="AA79" i="11"/>
  <c r="Z79" i="11"/>
  <c r="Y79" i="11"/>
  <c r="AI78" i="11"/>
  <c r="AH78" i="11"/>
  <c r="AG78" i="11"/>
  <c r="AE78" i="11"/>
  <c r="AD78" i="11"/>
  <c r="AC78" i="11"/>
  <c r="AA78" i="11"/>
  <c r="Z78" i="11"/>
  <c r="Y78" i="11"/>
  <c r="AI77" i="11"/>
  <c r="AH77" i="11"/>
  <c r="AG77" i="11"/>
  <c r="AE77" i="11"/>
  <c r="AD77" i="11"/>
  <c r="AC77" i="11"/>
  <c r="AA77" i="11"/>
  <c r="Z77" i="11"/>
  <c r="Y77" i="11"/>
  <c r="AI76" i="11"/>
  <c r="AH76" i="11"/>
  <c r="AG76" i="11"/>
  <c r="AE76" i="11"/>
  <c r="AD76" i="11"/>
  <c r="AC76" i="11"/>
  <c r="AA76" i="11"/>
  <c r="Z76" i="11"/>
  <c r="Y76" i="11"/>
  <c r="AI75" i="11"/>
  <c r="AH75" i="11"/>
  <c r="AG75" i="11"/>
  <c r="AE75" i="11"/>
  <c r="AD75" i="11"/>
  <c r="AC75" i="11"/>
  <c r="AA75" i="11"/>
  <c r="Z75" i="11"/>
  <c r="Y75" i="11"/>
  <c r="AI74" i="11"/>
  <c r="AH74" i="11"/>
  <c r="AG74" i="11"/>
  <c r="AE74" i="11"/>
  <c r="AD74" i="11"/>
  <c r="AC74" i="11"/>
  <c r="AA74" i="11"/>
  <c r="Z74" i="11"/>
  <c r="Y74" i="11"/>
  <c r="AI73" i="11"/>
  <c r="AH73" i="11"/>
  <c r="AG73" i="11"/>
  <c r="AE73" i="11"/>
  <c r="AD73" i="11"/>
  <c r="AC73" i="11"/>
  <c r="AA73" i="11"/>
  <c r="Z73" i="11"/>
  <c r="Y73" i="11"/>
  <c r="AI72" i="11"/>
  <c r="AH72" i="11"/>
  <c r="AG72" i="11"/>
  <c r="AE72" i="11"/>
  <c r="AD72" i="11"/>
  <c r="AC72" i="11"/>
  <c r="AA72" i="11"/>
  <c r="Z72" i="11"/>
  <c r="Y72" i="11"/>
  <c r="S81" i="11"/>
  <c r="AF81" i="11" s="1"/>
  <c r="S80" i="11"/>
  <c r="AF80" i="11" s="1"/>
  <c r="S79" i="11"/>
  <c r="AF79" i="11" s="1"/>
  <c r="S78" i="11"/>
  <c r="AF78" i="11" s="1"/>
  <c r="S77" i="11"/>
  <c r="AF77" i="11" s="1"/>
  <c r="S76" i="11"/>
  <c r="AF76" i="11" s="1"/>
  <c r="S75" i="11"/>
  <c r="AF75" i="11" s="1"/>
  <c r="S74" i="11"/>
  <c r="AF74" i="11" s="1"/>
  <c r="S73" i="11"/>
  <c r="AF73" i="11" s="1"/>
  <c r="S72" i="11"/>
  <c r="AF72" i="11" s="1"/>
  <c r="S71" i="11"/>
  <c r="AF71" i="11" s="1"/>
  <c r="O81" i="11"/>
  <c r="AB81" i="11" s="1"/>
  <c r="O80" i="11"/>
  <c r="AB80" i="11" s="1"/>
  <c r="O79" i="11"/>
  <c r="AB79" i="11" s="1"/>
  <c r="O78" i="11"/>
  <c r="AB78" i="11" s="1"/>
  <c r="O77" i="11"/>
  <c r="AB77" i="11" s="1"/>
  <c r="O76" i="11"/>
  <c r="AB76" i="11" s="1"/>
  <c r="O75" i="11"/>
  <c r="AB75" i="11" s="1"/>
  <c r="O74" i="11"/>
  <c r="AB74" i="11" s="1"/>
  <c r="O73" i="11"/>
  <c r="AB73" i="11" s="1"/>
  <c r="O72" i="11"/>
  <c r="AB72" i="11" s="1"/>
  <c r="O71" i="11"/>
  <c r="AB71" i="11" s="1"/>
  <c r="K81" i="11"/>
  <c r="X81" i="11" s="1"/>
  <c r="K80" i="11"/>
  <c r="X80" i="11" s="1"/>
  <c r="K79" i="11"/>
  <c r="X79" i="11" s="1"/>
  <c r="K78" i="11"/>
  <c r="X78" i="11" s="1"/>
  <c r="K77" i="11"/>
  <c r="X77" i="11" s="1"/>
  <c r="K76" i="11"/>
  <c r="X76" i="11" s="1"/>
  <c r="K75" i="11"/>
  <c r="X75" i="11" s="1"/>
  <c r="K74" i="11"/>
  <c r="X74" i="11" s="1"/>
  <c r="K73" i="11"/>
  <c r="X73" i="11" s="1"/>
  <c r="K72" i="11"/>
  <c r="X72" i="11" s="1"/>
  <c r="K71" i="11"/>
  <c r="V84" i="11"/>
  <c r="AI84" i="11" s="1"/>
  <c r="U84" i="11"/>
  <c r="AH84" i="11" s="1"/>
  <c r="T84" i="11"/>
  <c r="AG84" i="11" s="1"/>
  <c r="S84" i="11"/>
  <c r="AF84" i="11" s="1"/>
  <c r="R84" i="11"/>
  <c r="AE84" i="11" s="1"/>
  <c r="Q84" i="11"/>
  <c r="AD84" i="11" s="1"/>
  <c r="P84" i="11"/>
  <c r="AC84" i="11" s="1"/>
  <c r="O84" i="11"/>
  <c r="AB84" i="11" s="1"/>
  <c r="N84" i="11"/>
  <c r="AA84" i="11" s="1"/>
  <c r="M84" i="11"/>
  <c r="Z84" i="11" s="1"/>
  <c r="L84" i="11"/>
  <c r="Y84" i="11" s="1"/>
  <c r="K84" i="11"/>
  <c r="X84" i="11" s="1"/>
  <c r="J84" i="11"/>
  <c r="I84" i="11"/>
  <c r="H84" i="11"/>
  <c r="F84" i="11"/>
  <c r="E84" i="11"/>
  <c r="D84" i="11"/>
  <c r="C84" i="11"/>
  <c r="V69" i="11"/>
  <c r="AI69" i="11" s="1"/>
  <c r="U69" i="11"/>
  <c r="T69" i="11"/>
  <c r="AG69" i="11" s="1"/>
  <c r="S69" i="11"/>
  <c r="AF69" i="11" s="1"/>
  <c r="R69" i="11"/>
  <c r="AE69" i="11" s="1"/>
  <c r="Q69" i="11"/>
  <c r="AD69" i="11" s="1"/>
  <c r="P69" i="11"/>
  <c r="AC69" i="11" s="1"/>
  <c r="O69" i="11"/>
  <c r="AB69" i="11" s="1"/>
  <c r="N69" i="11"/>
  <c r="AA69" i="11" s="1"/>
  <c r="M69" i="11"/>
  <c r="L69" i="11"/>
  <c r="Y69" i="11" s="1"/>
  <c r="K69" i="11"/>
  <c r="X69" i="11" s="1"/>
  <c r="J69" i="11"/>
  <c r="I69" i="11"/>
  <c r="V68" i="11"/>
  <c r="AI68" i="11" s="1"/>
  <c r="U68" i="11"/>
  <c r="AH68" i="11" s="1"/>
  <c r="T68" i="11"/>
  <c r="AG68" i="11" s="1"/>
  <c r="S68" i="11"/>
  <c r="R68" i="11"/>
  <c r="AE68" i="11" s="1"/>
  <c r="Q68" i="11"/>
  <c r="AD68" i="11" s="1"/>
  <c r="P68" i="11"/>
  <c r="AC68" i="11" s="1"/>
  <c r="O68" i="11"/>
  <c r="N68" i="11"/>
  <c r="AA68" i="11" s="1"/>
  <c r="M68" i="11"/>
  <c r="Z68" i="11" s="1"/>
  <c r="L68" i="11"/>
  <c r="Y68" i="11" s="1"/>
  <c r="K68" i="11"/>
  <c r="J68" i="11"/>
  <c r="I68" i="11"/>
  <c r="H69" i="11"/>
  <c r="H68" i="11"/>
  <c r="F69" i="11"/>
  <c r="E69" i="11"/>
  <c r="D69" i="11"/>
  <c r="F68" i="11"/>
  <c r="E68" i="11"/>
  <c r="D68" i="11"/>
  <c r="C69" i="11"/>
  <c r="C68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V63" i="11"/>
  <c r="AI63" i="11" s="1"/>
  <c r="U63" i="11"/>
  <c r="AH63" i="11" s="1"/>
  <c r="T63" i="11"/>
  <c r="AG63" i="11" s="1"/>
  <c r="S63" i="11"/>
  <c r="R63" i="11"/>
  <c r="AE63" i="11" s="1"/>
  <c r="Q63" i="11"/>
  <c r="AD63" i="11" s="1"/>
  <c r="P63" i="11"/>
  <c r="AC63" i="11" s="1"/>
  <c r="O63" i="11"/>
  <c r="N63" i="11"/>
  <c r="AA63" i="11" s="1"/>
  <c r="M63" i="11"/>
  <c r="Z63" i="11" s="1"/>
  <c r="L63" i="11"/>
  <c r="Y63" i="11" s="1"/>
  <c r="K63" i="11"/>
  <c r="J63" i="11"/>
  <c r="I63" i="11"/>
  <c r="V62" i="11"/>
  <c r="AI62" i="11" s="1"/>
  <c r="U62" i="11"/>
  <c r="AH62" i="11" s="1"/>
  <c r="T62" i="11"/>
  <c r="AG62" i="11" s="1"/>
  <c r="S62" i="11"/>
  <c r="R62" i="11"/>
  <c r="AE62" i="11" s="1"/>
  <c r="Q62" i="11"/>
  <c r="AD62" i="11" s="1"/>
  <c r="P62" i="11"/>
  <c r="AC62" i="11" s="1"/>
  <c r="O62" i="11"/>
  <c r="N62" i="11"/>
  <c r="AA62" i="11" s="1"/>
  <c r="M62" i="11"/>
  <c r="Z62" i="11" s="1"/>
  <c r="L62" i="11"/>
  <c r="Y62" i="11" s="1"/>
  <c r="K62" i="11"/>
  <c r="J62" i="11"/>
  <c r="I62" i="11"/>
  <c r="V61" i="11"/>
  <c r="AI61" i="11" s="1"/>
  <c r="U61" i="11"/>
  <c r="AH61" i="11" s="1"/>
  <c r="T61" i="11"/>
  <c r="AG61" i="11" s="1"/>
  <c r="S61" i="11"/>
  <c r="R61" i="11"/>
  <c r="AE61" i="11" s="1"/>
  <c r="Q61" i="11"/>
  <c r="AD61" i="11" s="1"/>
  <c r="P61" i="11"/>
  <c r="AC61" i="11" s="1"/>
  <c r="O61" i="11"/>
  <c r="N61" i="11"/>
  <c r="AA61" i="11" s="1"/>
  <c r="M61" i="11"/>
  <c r="Z61" i="11" s="1"/>
  <c r="L61" i="11"/>
  <c r="Y61" i="11" s="1"/>
  <c r="K61" i="11"/>
  <c r="J61" i="11"/>
  <c r="I61" i="11"/>
  <c r="V60" i="11"/>
  <c r="AI60" i="11" s="1"/>
  <c r="U60" i="11"/>
  <c r="T60" i="11"/>
  <c r="AG60" i="11" s="1"/>
  <c r="S60" i="11"/>
  <c r="R60" i="11"/>
  <c r="AE60" i="11" s="1"/>
  <c r="Q60" i="11"/>
  <c r="AD60" i="11" s="1"/>
  <c r="P60" i="11"/>
  <c r="AC60" i="11" s="1"/>
  <c r="O60" i="11"/>
  <c r="N60" i="11"/>
  <c r="AA60" i="11" s="1"/>
  <c r="M60" i="11"/>
  <c r="Z60" i="11" s="1"/>
  <c r="L60" i="11"/>
  <c r="Y60" i="11" s="1"/>
  <c r="K60" i="11"/>
  <c r="J60" i="11"/>
  <c r="I60" i="11"/>
  <c r="H65" i="11"/>
  <c r="H64" i="11"/>
  <c r="H63" i="11"/>
  <c r="H62" i="11"/>
  <c r="H61" i="11"/>
  <c r="H60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C65" i="11"/>
  <c r="C64" i="11"/>
  <c r="C63" i="11"/>
  <c r="C62" i="11"/>
  <c r="C61" i="11"/>
  <c r="C60" i="11"/>
  <c r="V56" i="11"/>
  <c r="V57" i="11" s="1"/>
  <c r="U56" i="11"/>
  <c r="AH56" i="11" s="1"/>
  <c r="AH57" i="11" s="1"/>
  <c r="T56" i="11"/>
  <c r="T57" i="11" s="1"/>
  <c r="S56" i="11"/>
  <c r="AF56" i="11" s="1"/>
  <c r="AF57" i="11" s="1"/>
  <c r="R56" i="11"/>
  <c r="R57" i="11" s="1"/>
  <c r="Q56" i="11"/>
  <c r="AD56" i="11" s="1"/>
  <c r="AD57" i="11" s="1"/>
  <c r="P56" i="11"/>
  <c r="P57" i="11" s="1"/>
  <c r="O56" i="11"/>
  <c r="O57" i="11" s="1"/>
  <c r="N56" i="11"/>
  <c r="N57" i="11" s="1"/>
  <c r="M56" i="11"/>
  <c r="Z56" i="11" s="1"/>
  <c r="Z57" i="11" s="1"/>
  <c r="L56" i="11"/>
  <c r="L57" i="11" s="1"/>
  <c r="K56" i="11"/>
  <c r="X56" i="11" s="1"/>
  <c r="X57" i="11" s="1"/>
  <c r="J56" i="11"/>
  <c r="J57" i="11" s="1"/>
  <c r="I56" i="11"/>
  <c r="H56" i="11"/>
  <c r="H57" i="11" s="1"/>
  <c r="F56" i="11"/>
  <c r="F57" i="11" s="1"/>
  <c r="E56" i="11"/>
  <c r="E57" i="11" s="1"/>
  <c r="D56" i="11"/>
  <c r="D57" i="11" s="1"/>
  <c r="C56" i="11"/>
  <c r="C57" i="11" s="1"/>
  <c r="I57" i="11"/>
  <c r="V53" i="11"/>
  <c r="AI53" i="11" s="1"/>
  <c r="U53" i="11"/>
  <c r="AH53" i="11" s="1"/>
  <c r="T53" i="11"/>
  <c r="AG53" i="11" s="1"/>
  <c r="S53" i="11"/>
  <c r="AF53" i="11" s="1"/>
  <c r="R53" i="11"/>
  <c r="AE53" i="11" s="1"/>
  <c r="Q53" i="11"/>
  <c r="AD53" i="11" s="1"/>
  <c r="P53" i="11"/>
  <c r="AC53" i="11" s="1"/>
  <c r="O53" i="11"/>
  <c r="AB53" i="11" s="1"/>
  <c r="N53" i="11"/>
  <c r="AA53" i="11" s="1"/>
  <c r="M53" i="11"/>
  <c r="Z53" i="11" s="1"/>
  <c r="L53" i="11"/>
  <c r="Y53" i="11" s="1"/>
  <c r="K53" i="11"/>
  <c r="X53" i="11" s="1"/>
  <c r="J53" i="11"/>
  <c r="I53" i="11"/>
  <c r="V52" i="11"/>
  <c r="U52" i="11"/>
  <c r="T52" i="11"/>
  <c r="S52" i="11"/>
  <c r="R52" i="11"/>
  <c r="AE52" i="11" s="1"/>
  <c r="Q52" i="11"/>
  <c r="P52" i="11"/>
  <c r="AC52" i="11" s="1"/>
  <c r="O52" i="11"/>
  <c r="N52" i="11"/>
  <c r="AA52" i="11" s="1"/>
  <c r="M52" i="11"/>
  <c r="Z52" i="11" s="1"/>
  <c r="L52" i="11"/>
  <c r="Y52" i="11" s="1"/>
  <c r="K52" i="11"/>
  <c r="J52" i="11"/>
  <c r="I52" i="11"/>
  <c r="H53" i="11"/>
  <c r="H52" i="11"/>
  <c r="F53" i="11"/>
  <c r="E53" i="11"/>
  <c r="D53" i="11"/>
  <c r="F52" i="11"/>
  <c r="E52" i="11"/>
  <c r="D52" i="11"/>
  <c r="C53" i="11"/>
  <c r="C52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4" i="11"/>
  <c r="H43" i="11"/>
  <c r="H42" i="11"/>
  <c r="H41" i="11"/>
  <c r="H40" i="11"/>
  <c r="F44" i="11"/>
  <c r="E44" i="11"/>
  <c r="D44" i="11"/>
  <c r="F43" i="11"/>
  <c r="E43" i="11"/>
  <c r="D43" i="11"/>
  <c r="F42" i="11"/>
  <c r="E42" i="11"/>
  <c r="D42" i="11"/>
  <c r="F41" i="11"/>
  <c r="E41" i="11"/>
  <c r="D41" i="11"/>
  <c r="F40" i="11"/>
  <c r="E40" i="11"/>
  <c r="D40" i="11"/>
  <c r="C44" i="11"/>
  <c r="C43" i="11"/>
  <c r="C42" i="11"/>
  <c r="C41" i="11"/>
  <c r="C40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F36" i="11"/>
  <c r="E36" i="11"/>
  <c r="D36" i="11"/>
  <c r="C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5" i="11"/>
  <c r="H34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7" i="11"/>
  <c r="H33" i="11"/>
  <c r="F37" i="11"/>
  <c r="E37" i="11"/>
  <c r="D37" i="11"/>
  <c r="F35" i="11"/>
  <c r="E35" i="11"/>
  <c r="D35" i="11"/>
  <c r="F34" i="11"/>
  <c r="E34" i="11"/>
  <c r="D34" i="11"/>
  <c r="F33" i="11"/>
  <c r="E33" i="11"/>
  <c r="D33" i="11"/>
  <c r="C37" i="11"/>
  <c r="C35" i="11"/>
  <c r="C34" i="11"/>
  <c r="C33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F25" i="11"/>
  <c r="E25" i="11"/>
  <c r="D25" i="11"/>
  <c r="C25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F29" i="11"/>
  <c r="E29" i="11"/>
  <c r="D29" i="11"/>
  <c r="C29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F13" i="11"/>
  <c r="E13" i="11"/>
  <c r="D13" i="11"/>
  <c r="C13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8" i="11"/>
  <c r="H7" i="11"/>
  <c r="H6" i="11"/>
  <c r="F8" i="11"/>
  <c r="E8" i="11"/>
  <c r="D8" i="11"/>
  <c r="F7" i="11"/>
  <c r="E7" i="11"/>
  <c r="D7" i="11"/>
  <c r="F6" i="11"/>
  <c r="E6" i="11"/>
  <c r="D6" i="11"/>
  <c r="C8" i="11"/>
  <c r="C7" i="11"/>
  <c r="C6" i="11"/>
  <c r="B2" i="10"/>
  <c r="AI134" i="8"/>
  <c r="AH134" i="8"/>
  <c r="AG134" i="8"/>
  <c r="AF134" i="8"/>
  <c r="AE134" i="8"/>
  <c r="AD134" i="8"/>
  <c r="AC134" i="8"/>
  <c r="AB134" i="8"/>
  <c r="AA134" i="8"/>
  <c r="Z134" i="8"/>
  <c r="Y134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AK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AI99" i="8"/>
  <c r="AH99" i="8"/>
  <c r="AG99" i="8"/>
  <c r="AF99" i="8"/>
  <c r="AE99" i="8"/>
  <c r="AD99" i="8"/>
  <c r="AK99" i="8" s="1"/>
  <c r="AC99" i="8"/>
  <c r="AB99" i="8"/>
  <c r="AA99" i="8"/>
  <c r="Z99" i="8"/>
  <c r="Y99" i="8"/>
  <c r="X99" i="8"/>
  <c r="AI98" i="8"/>
  <c r="AH98" i="8"/>
  <c r="AG98" i="8"/>
  <c r="AF98" i="8"/>
  <c r="AE98" i="8"/>
  <c r="AD98" i="8"/>
  <c r="AC98" i="8"/>
  <c r="AB98" i="8"/>
  <c r="AA98" i="8"/>
  <c r="Z98" i="8"/>
  <c r="Y98" i="8"/>
  <c r="X98" i="8"/>
  <c r="AI97" i="8"/>
  <c r="AH97" i="8"/>
  <c r="AG97" i="8"/>
  <c r="AF97" i="8"/>
  <c r="AE97" i="8"/>
  <c r="AD97" i="8"/>
  <c r="AK97" i="8" s="1"/>
  <c r="AC97" i="8"/>
  <c r="AB97" i="8"/>
  <c r="AA97" i="8"/>
  <c r="Z97" i="8"/>
  <c r="Y97" i="8"/>
  <c r="X97" i="8"/>
  <c r="AK101" i="8"/>
  <c r="AK100" i="8"/>
  <c r="AK98" i="8"/>
  <c r="AK82" i="8"/>
  <c r="AK81" i="8"/>
  <c r="AK80" i="8"/>
  <c r="AK79" i="8"/>
  <c r="AK78" i="8"/>
  <c r="AK76" i="8"/>
  <c r="AK72" i="8"/>
  <c r="AK71" i="8"/>
  <c r="AK70" i="8"/>
  <c r="AK69" i="8"/>
  <c r="AK27" i="8"/>
  <c r="AK26" i="8"/>
  <c r="AK19" i="8"/>
  <c r="AK18" i="8"/>
  <c r="V22" i="8"/>
  <c r="V138" i="8"/>
  <c r="V137" i="8"/>
  <c r="V129" i="8"/>
  <c r="V127" i="8"/>
  <c r="AI127" i="8" s="1"/>
  <c r="V126" i="8"/>
  <c r="V125" i="8"/>
  <c r="V124" i="8"/>
  <c r="V120" i="8"/>
  <c r="AI120" i="8" s="1"/>
  <c r="V119" i="8"/>
  <c r="AI119" i="8" s="1"/>
  <c r="V118" i="8"/>
  <c r="V114" i="8"/>
  <c r="V113" i="8"/>
  <c r="V112" i="8"/>
  <c r="V111" i="8"/>
  <c r="V110" i="8"/>
  <c r="V109" i="8"/>
  <c r="V108" i="8"/>
  <c r="V107" i="8"/>
  <c r="V106" i="8"/>
  <c r="V103" i="8"/>
  <c r="V102" i="8"/>
  <c r="V100" i="8"/>
  <c r="V99" i="8"/>
  <c r="V98" i="8"/>
  <c r="V97" i="8"/>
  <c r="AI21" i="8"/>
  <c r="AH21" i="8"/>
  <c r="AG21" i="8"/>
  <c r="AF21" i="8"/>
  <c r="AE21" i="8"/>
  <c r="AD21" i="8"/>
  <c r="AC21" i="8"/>
  <c r="AB21" i="8"/>
  <c r="AA21" i="8"/>
  <c r="Z21" i="8"/>
  <c r="Y21" i="8"/>
  <c r="X21" i="8"/>
  <c r="AI20" i="8"/>
  <c r="AH20" i="8"/>
  <c r="AG20" i="8"/>
  <c r="AF20" i="8"/>
  <c r="AE20" i="8"/>
  <c r="AD20" i="8"/>
  <c r="AC20" i="8"/>
  <c r="AB20" i="8"/>
  <c r="AA20" i="8"/>
  <c r="Z20" i="8"/>
  <c r="Y20" i="8"/>
  <c r="X20" i="8"/>
  <c r="AI19" i="8"/>
  <c r="AH19" i="8"/>
  <c r="AG19" i="8"/>
  <c r="AF19" i="8"/>
  <c r="AE19" i="8"/>
  <c r="AD19" i="8"/>
  <c r="AC19" i="8"/>
  <c r="AB19" i="8"/>
  <c r="AA19" i="8"/>
  <c r="Z19" i="8"/>
  <c r="Y19" i="8"/>
  <c r="X19" i="8"/>
  <c r="AI18" i="8"/>
  <c r="AH18" i="8"/>
  <c r="AG18" i="8"/>
  <c r="AF18" i="8"/>
  <c r="AE18" i="8"/>
  <c r="AD18" i="8"/>
  <c r="AC18" i="8"/>
  <c r="AB18" i="8"/>
  <c r="AA18" i="8"/>
  <c r="Z18" i="8"/>
  <c r="Y18" i="8"/>
  <c r="X18" i="8"/>
  <c r="AK128" i="8"/>
  <c r="AK127" i="8"/>
  <c r="AK126" i="8"/>
  <c r="AK125" i="8"/>
  <c r="AK124" i="8"/>
  <c r="AK120" i="8"/>
  <c r="AK119" i="8"/>
  <c r="AH120" i="8"/>
  <c r="AG120" i="8"/>
  <c r="AF120" i="8"/>
  <c r="AE120" i="8"/>
  <c r="AD120" i="8"/>
  <c r="AC120" i="8"/>
  <c r="AB120" i="8"/>
  <c r="AA120" i="8"/>
  <c r="Z120" i="8"/>
  <c r="Y120" i="8"/>
  <c r="X120" i="8"/>
  <c r="AH119" i="8"/>
  <c r="AG119" i="8"/>
  <c r="AF119" i="8"/>
  <c r="AE119" i="8"/>
  <c r="AD119" i="8"/>
  <c r="AC119" i="8"/>
  <c r="AB119" i="8"/>
  <c r="AA119" i="8"/>
  <c r="Z119" i="8"/>
  <c r="Y119" i="8"/>
  <c r="X119" i="8"/>
  <c r="AH127" i="8"/>
  <c r="AG127" i="8"/>
  <c r="AF127" i="8"/>
  <c r="AE127" i="8"/>
  <c r="AD127" i="8"/>
  <c r="AC127" i="8"/>
  <c r="AB127" i="8"/>
  <c r="AA127" i="8"/>
  <c r="Z127" i="8"/>
  <c r="Y127" i="8"/>
  <c r="X127" i="8"/>
  <c r="AI126" i="8"/>
  <c r="AH126" i="8"/>
  <c r="AG126" i="8"/>
  <c r="AF126" i="8"/>
  <c r="AE126" i="8"/>
  <c r="AD126" i="8"/>
  <c r="AC126" i="8"/>
  <c r="AB126" i="8"/>
  <c r="AA126" i="8"/>
  <c r="Z126" i="8"/>
  <c r="Y126" i="8"/>
  <c r="X126" i="8"/>
  <c r="AI125" i="8"/>
  <c r="AH125" i="8"/>
  <c r="AG125" i="8"/>
  <c r="AF125" i="8"/>
  <c r="AE125" i="8"/>
  <c r="AD125" i="8"/>
  <c r="AC125" i="8"/>
  <c r="AB125" i="8"/>
  <c r="AA125" i="8"/>
  <c r="Z125" i="8"/>
  <c r="Y125" i="8"/>
  <c r="X125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U126" i="8"/>
  <c r="U127" i="8"/>
  <c r="U129" i="8"/>
  <c r="U124" i="8"/>
  <c r="U125" i="8"/>
  <c r="U118" i="8"/>
  <c r="U106" i="8"/>
  <c r="U107" i="8"/>
  <c r="U108" i="8"/>
  <c r="U109" i="8"/>
  <c r="U110" i="8"/>
  <c r="U111" i="8"/>
  <c r="U112" i="8"/>
  <c r="U113" i="8"/>
  <c r="U114" i="8"/>
  <c r="U97" i="8"/>
  <c r="U98" i="8"/>
  <c r="U99" i="8"/>
  <c r="U100" i="8"/>
  <c r="U103" i="8"/>
  <c r="U102" i="8"/>
  <c r="T125" i="8"/>
  <c r="P125" i="8"/>
  <c r="L125" i="8"/>
  <c r="M125" i="8" s="1"/>
  <c r="N125" i="8" s="1"/>
  <c r="O125" i="8" s="1"/>
  <c r="K125" i="8"/>
  <c r="T124" i="8"/>
  <c r="P124" i="8"/>
  <c r="Q124" i="8" s="1"/>
  <c r="R124" i="8" s="1"/>
  <c r="L124" i="8"/>
  <c r="M124" i="8" s="1"/>
  <c r="N124" i="8" s="1"/>
  <c r="I124" i="8"/>
  <c r="J124" i="8" s="1"/>
  <c r="F124" i="8"/>
  <c r="E124" i="8"/>
  <c r="D124" i="8"/>
  <c r="C124" i="8"/>
  <c r="S120" i="8"/>
  <c r="O120" i="8"/>
  <c r="K120" i="8"/>
  <c r="U120" i="8"/>
  <c r="U119" i="8"/>
  <c r="Q119" i="8"/>
  <c r="R119" i="8" s="1"/>
  <c r="S119" i="8" s="1"/>
  <c r="M119" i="8"/>
  <c r="N119" i="8" s="1"/>
  <c r="I119" i="8"/>
  <c r="J119" i="8" s="1"/>
  <c r="K119" i="8" s="1"/>
  <c r="P103" i="8"/>
  <c r="Q103" i="8" s="1"/>
  <c r="R103" i="8" s="1"/>
  <c r="L103" i="8"/>
  <c r="M103" i="8" s="1"/>
  <c r="N103" i="8" s="1"/>
  <c r="F103" i="8"/>
  <c r="E103" i="8"/>
  <c r="D103" i="8"/>
  <c r="C103" i="8"/>
  <c r="I103" i="8"/>
  <c r="J103" i="8" s="1"/>
  <c r="Q102" i="8"/>
  <c r="R102" i="8" s="1"/>
  <c r="M102" i="8"/>
  <c r="I102" i="8"/>
  <c r="J102" i="8" s="1"/>
  <c r="Q100" i="8"/>
  <c r="R100" i="8" s="1"/>
  <c r="S100" i="8" s="1"/>
  <c r="M100" i="8"/>
  <c r="N100" i="8" s="1"/>
  <c r="O100" i="8" s="1"/>
  <c r="I100" i="8"/>
  <c r="J100" i="8" s="1"/>
  <c r="Q99" i="8"/>
  <c r="R99" i="8" s="1"/>
  <c r="S99" i="8" s="1"/>
  <c r="M99" i="8"/>
  <c r="N99" i="8" s="1"/>
  <c r="O99" i="8" s="1"/>
  <c r="I99" i="8"/>
  <c r="J99" i="8" s="1"/>
  <c r="K99" i="8" s="1"/>
  <c r="U137" i="8"/>
  <c r="M137" i="8"/>
  <c r="N137" i="8" s="1"/>
  <c r="Q137" i="8"/>
  <c r="R137" i="8" s="1"/>
  <c r="S38" i="8"/>
  <c r="O38" i="8"/>
  <c r="K38" i="8"/>
  <c r="I137" i="8"/>
  <c r="J137" i="8" s="1"/>
  <c r="U138" i="8"/>
  <c r="V134" i="8" s="1"/>
  <c r="T138" i="8"/>
  <c r="U134" i="8" s="1"/>
  <c r="R138" i="8"/>
  <c r="S134" i="8" s="1"/>
  <c r="Q138" i="8"/>
  <c r="R134" i="8" s="1"/>
  <c r="P138" i="8"/>
  <c r="Q134" i="8" s="1"/>
  <c r="N138" i="8"/>
  <c r="O134" i="8" s="1"/>
  <c r="M138" i="8"/>
  <c r="N134" i="8" s="1"/>
  <c r="L138" i="8"/>
  <c r="M134" i="8" s="1"/>
  <c r="J138" i="8"/>
  <c r="K134" i="8" s="1"/>
  <c r="I138" i="8"/>
  <c r="J134" i="8" s="1"/>
  <c r="H138" i="8"/>
  <c r="I134" i="8" s="1"/>
  <c r="F138" i="8"/>
  <c r="E138" i="8"/>
  <c r="D138" i="8"/>
  <c r="C138" i="8"/>
  <c r="Q128" i="8"/>
  <c r="R128" i="8" s="1"/>
  <c r="S128" i="8" s="1"/>
  <c r="M128" i="8"/>
  <c r="N128" i="8" s="1"/>
  <c r="O128" i="8" s="1"/>
  <c r="I128" i="8"/>
  <c r="J128" i="8" s="1"/>
  <c r="K128" i="8" s="1"/>
  <c r="Q127" i="8"/>
  <c r="M127" i="8"/>
  <c r="N127" i="8" s="1"/>
  <c r="I127" i="8"/>
  <c r="J127" i="8" s="1"/>
  <c r="K127" i="8" s="1"/>
  <c r="Q126" i="8"/>
  <c r="M126" i="8"/>
  <c r="N126" i="8" s="1"/>
  <c r="O126" i="8" s="1"/>
  <c r="I126" i="8"/>
  <c r="Q118" i="8"/>
  <c r="R118" i="8" s="1"/>
  <c r="S118" i="8" s="1"/>
  <c r="M118" i="8"/>
  <c r="N118" i="8" s="1"/>
  <c r="O118" i="8" s="1"/>
  <c r="I118" i="8"/>
  <c r="Q101" i="8"/>
  <c r="R101" i="8" s="1"/>
  <c r="M101" i="8"/>
  <c r="N101" i="8" s="1"/>
  <c r="O101" i="8" s="1"/>
  <c r="I101" i="8"/>
  <c r="J101" i="8" s="1"/>
  <c r="K101" i="8" s="1"/>
  <c r="Q98" i="8"/>
  <c r="M98" i="8"/>
  <c r="N98" i="8" s="1"/>
  <c r="O98" i="8" s="1"/>
  <c r="I98" i="8"/>
  <c r="Q97" i="8"/>
  <c r="R97" i="8" s="1"/>
  <c r="S97" i="8" s="1"/>
  <c r="M97" i="8"/>
  <c r="I97" i="8"/>
  <c r="Q114" i="8"/>
  <c r="M114" i="8"/>
  <c r="I114" i="8"/>
  <c r="J114" i="8" s="1"/>
  <c r="K114" i="8" s="1"/>
  <c r="Q113" i="8"/>
  <c r="R113" i="8" s="1"/>
  <c r="S113" i="8" s="1"/>
  <c r="M113" i="8"/>
  <c r="N113" i="8" s="1"/>
  <c r="O113" i="8" s="1"/>
  <c r="I113" i="8"/>
  <c r="Q112" i="8"/>
  <c r="M112" i="8"/>
  <c r="N112" i="8" s="1"/>
  <c r="O112" i="8" s="1"/>
  <c r="I112" i="8"/>
  <c r="J112" i="8" s="1"/>
  <c r="K112" i="8" s="1"/>
  <c r="Q111" i="8"/>
  <c r="R111" i="8" s="1"/>
  <c r="S111" i="8" s="1"/>
  <c r="M111" i="8"/>
  <c r="I111" i="8"/>
  <c r="J111" i="8" s="1"/>
  <c r="Q110" i="8"/>
  <c r="M110" i="8"/>
  <c r="I110" i="8"/>
  <c r="J110" i="8" s="1"/>
  <c r="K110" i="8" s="1"/>
  <c r="Q109" i="8"/>
  <c r="R109" i="8" s="1"/>
  <c r="S109" i="8" s="1"/>
  <c r="M109" i="8"/>
  <c r="N109" i="8" s="1"/>
  <c r="O109" i="8" s="1"/>
  <c r="I109" i="8"/>
  <c r="Q108" i="8"/>
  <c r="R108" i="8" s="1"/>
  <c r="M108" i="8"/>
  <c r="N108" i="8" s="1"/>
  <c r="O108" i="8" s="1"/>
  <c r="I108" i="8"/>
  <c r="J108" i="8" s="1"/>
  <c r="K108" i="8" s="1"/>
  <c r="T107" i="8"/>
  <c r="Q107" i="8"/>
  <c r="M107" i="8"/>
  <c r="N107" i="8" s="1"/>
  <c r="O107" i="8" s="1"/>
  <c r="I107" i="8"/>
  <c r="J107" i="8" s="1"/>
  <c r="K107" i="8" s="1"/>
  <c r="Q106" i="8"/>
  <c r="M106" i="8"/>
  <c r="N106" i="8" s="1"/>
  <c r="I106" i="8"/>
  <c r="AI72" i="8"/>
  <c r="AH72" i="8"/>
  <c r="AG72" i="8"/>
  <c r="AE72" i="8"/>
  <c r="AD72" i="8"/>
  <c r="AC72" i="8"/>
  <c r="AA72" i="8"/>
  <c r="Z72" i="8"/>
  <c r="Y72" i="8"/>
  <c r="AI71" i="8"/>
  <c r="AH71" i="8"/>
  <c r="AG71" i="8"/>
  <c r="AE71" i="8"/>
  <c r="AD71" i="8"/>
  <c r="AC71" i="8"/>
  <c r="AA71" i="8"/>
  <c r="Z71" i="8"/>
  <c r="Y71" i="8"/>
  <c r="AI70" i="8"/>
  <c r="AH70" i="8"/>
  <c r="AG70" i="8"/>
  <c r="AE70" i="8"/>
  <c r="AD70" i="8"/>
  <c r="AC70" i="8"/>
  <c r="AA70" i="8"/>
  <c r="Z70" i="8"/>
  <c r="Y70" i="8"/>
  <c r="AI69" i="8"/>
  <c r="AH69" i="8"/>
  <c r="AG69" i="8"/>
  <c r="AE69" i="8"/>
  <c r="AD69" i="8"/>
  <c r="AC69" i="8"/>
  <c r="AA69" i="8"/>
  <c r="Z69" i="8"/>
  <c r="Y69" i="8"/>
  <c r="AI81" i="8"/>
  <c r="AH81" i="8"/>
  <c r="AG81" i="8"/>
  <c r="AE81" i="8"/>
  <c r="AD81" i="8"/>
  <c r="AC81" i="8"/>
  <c r="AA81" i="8"/>
  <c r="Z81" i="8"/>
  <c r="Y81" i="8"/>
  <c r="AI80" i="8"/>
  <c r="AH80" i="8"/>
  <c r="AG80" i="8"/>
  <c r="AE80" i="8"/>
  <c r="AD80" i="8"/>
  <c r="AC80" i="8"/>
  <c r="AA80" i="8"/>
  <c r="Z80" i="8"/>
  <c r="Y80" i="8"/>
  <c r="AI79" i="8"/>
  <c r="AH79" i="8"/>
  <c r="AG79" i="8"/>
  <c r="AE79" i="8"/>
  <c r="AD79" i="8"/>
  <c r="AC79" i="8"/>
  <c r="AA79" i="8"/>
  <c r="Z79" i="8"/>
  <c r="Y79" i="8"/>
  <c r="AI78" i="8"/>
  <c r="AH78" i="8"/>
  <c r="AG78" i="8"/>
  <c r="AE78" i="8"/>
  <c r="AD78" i="8"/>
  <c r="AC78" i="8"/>
  <c r="AA78" i="8"/>
  <c r="Z78" i="8"/>
  <c r="Y78" i="8"/>
  <c r="AI77" i="8"/>
  <c r="AH77" i="8"/>
  <c r="AG77" i="8"/>
  <c r="AE77" i="8"/>
  <c r="AD77" i="8"/>
  <c r="AC77" i="8"/>
  <c r="AA77" i="8"/>
  <c r="Z77" i="8"/>
  <c r="Y77" i="8"/>
  <c r="AI76" i="8"/>
  <c r="AE76" i="8"/>
  <c r="AD76" i="8"/>
  <c r="AC76" i="8"/>
  <c r="AA76" i="8"/>
  <c r="Z76" i="8"/>
  <c r="Y76" i="8"/>
  <c r="U76" i="8"/>
  <c r="AH76" i="8" s="1"/>
  <c r="T76" i="8"/>
  <c r="AG76" i="8" s="1"/>
  <c r="S82" i="8"/>
  <c r="S81" i="8"/>
  <c r="AF81" i="8" s="1"/>
  <c r="S80" i="8"/>
  <c r="AF80" i="8" s="1"/>
  <c r="S79" i="8"/>
  <c r="AF79" i="8" s="1"/>
  <c r="S78" i="8"/>
  <c r="AF78" i="8" s="1"/>
  <c r="S77" i="8"/>
  <c r="AF77" i="8" s="1"/>
  <c r="S76" i="8"/>
  <c r="AF76" i="8" s="1"/>
  <c r="O82" i="8"/>
  <c r="O81" i="8"/>
  <c r="AB81" i="8" s="1"/>
  <c r="O80" i="8"/>
  <c r="AB80" i="8" s="1"/>
  <c r="O79" i="8"/>
  <c r="AB79" i="8" s="1"/>
  <c r="O78" i="8"/>
  <c r="AB78" i="8" s="1"/>
  <c r="O77" i="8"/>
  <c r="AB77" i="8" s="1"/>
  <c r="O76" i="8"/>
  <c r="AB76" i="8" s="1"/>
  <c r="K82" i="8"/>
  <c r="K81" i="8"/>
  <c r="X81" i="8" s="1"/>
  <c r="K80" i="8"/>
  <c r="X80" i="8" s="1"/>
  <c r="K79" i="8"/>
  <c r="X79" i="8" s="1"/>
  <c r="K78" i="8"/>
  <c r="X78" i="8" s="1"/>
  <c r="K77" i="8"/>
  <c r="X77" i="8" s="1"/>
  <c r="K76" i="8"/>
  <c r="X76" i="8" s="1"/>
  <c r="V83" i="8"/>
  <c r="R83" i="8"/>
  <c r="Q83" i="8"/>
  <c r="P83" i="8"/>
  <c r="N83" i="8"/>
  <c r="M83" i="8"/>
  <c r="L83" i="8"/>
  <c r="J83" i="8"/>
  <c r="I83" i="8"/>
  <c r="H83" i="8"/>
  <c r="F83" i="8"/>
  <c r="E83" i="8"/>
  <c r="D83" i="8"/>
  <c r="C83" i="8"/>
  <c r="S73" i="8"/>
  <c r="S72" i="8"/>
  <c r="AF72" i="8" s="1"/>
  <c r="S71" i="8"/>
  <c r="AF71" i="8" s="1"/>
  <c r="S70" i="8"/>
  <c r="AF70" i="8" s="1"/>
  <c r="S69" i="8"/>
  <c r="AF69" i="8" s="1"/>
  <c r="O73" i="8"/>
  <c r="O72" i="8"/>
  <c r="AB72" i="8" s="1"/>
  <c r="O71" i="8"/>
  <c r="AB71" i="8" s="1"/>
  <c r="O70" i="8"/>
  <c r="AB70" i="8" s="1"/>
  <c r="O69" i="8"/>
  <c r="AB69" i="8" s="1"/>
  <c r="K73" i="8"/>
  <c r="K72" i="8"/>
  <c r="X72" i="8" s="1"/>
  <c r="K71" i="8"/>
  <c r="X71" i="8" s="1"/>
  <c r="K70" i="8"/>
  <c r="X70" i="8" s="1"/>
  <c r="K69" i="8"/>
  <c r="X69" i="8" s="1"/>
  <c r="S65" i="8"/>
  <c r="S64" i="8"/>
  <c r="S63" i="8"/>
  <c r="S62" i="8"/>
  <c r="S61" i="8"/>
  <c r="O65" i="8"/>
  <c r="O64" i="8"/>
  <c r="O63" i="8"/>
  <c r="O62" i="8"/>
  <c r="O61" i="8"/>
  <c r="K65" i="8"/>
  <c r="K64" i="8"/>
  <c r="K63" i="8"/>
  <c r="K62" i="8"/>
  <c r="K61" i="8"/>
  <c r="S57" i="8"/>
  <c r="S56" i="8"/>
  <c r="S55" i="8"/>
  <c r="S54" i="8"/>
  <c r="S53" i="8"/>
  <c r="O57" i="8"/>
  <c r="O56" i="8"/>
  <c r="O55" i="8"/>
  <c r="O54" i="8"/>
  <c r="O53" i="8"/>
  <c r="K57" i="8"/>
  <c r="K56" i="8"/>
  <c r="K55" i="8"/>
  <c r="K54" i="8"/>
  <c r="K53" i="8"/>
  <c r="S49" i="8"/>
  <c r="S48" i="8"/>
  <c r="S47" i="8"/>
  <c r="S138" i="8" s="1"/>
  <c r="T134" i="8" s="1"/>
  <c r="S46" i="8"/>
  <c r="O49" i="8"/>
  <c r="O48" i="8"/>
  <c r="O47" i="8"/>
  <c r="O138" i="8" s="1"/>
  <c r="P134" i="8" s="1"/>
  <c r="O46" i="8"/>
  <c r="K49" i="8"/>
  <c r="K48" i="8"/>
  <c r="K47" i="8"/>
  <c r="K138" i="8" s="1"/>
  <c r="L134" i="8" s="1"/>
  <c r="K46" i="8"/>
  <c r="S31" i="8"/>
  <c r="O31" i="8"/>
  <c r="K31" i="8"/>
  <c r="S27" i="8"/>
  <c r="AG27" i="8" s="1"/>
  <c r="S26" i="8"/>
  <c r="AI26" i="8" s="1"/>
  <c r="S25" i="8"/>
  <c r="O27" i="8"/>
  <c r="AD27" i="8" s="1"/>
  <c r="O26" i="8"/>
  <c r="AE26" i="8" s="1"/>
  <c r="O25" i="8"/>
  <c r="K27" i="8"/>
  <c r="X27" i="8" s="1"/>
  <c r="K26" i="8"/>
  <c r="Y26" i="8" s="1"/>
  <c r="K25" i="8"/>
  <c r="S21" i="8"/>
  <c r="S20" i="8"/>
  <c r="S19" i="8"/>
  <c r="S18" i="8"/>
  <c r="S17" i="8"/>
  <c r="O21" i="8"/>
  <c r="O20" i="8"/>
  <c r="O19" i="8"/>
  <c r="O18" i="8"/>
  <c r="O17" i="8"/>
  <c r="K21" i="8"/>
  <c r="K20" i="8"/>
  <c r="K19" i="8"/>
  <c r="K18" i="8"/>
  <c r="K17" i="8"/>
  <c r="S13" i="8"/>
  <c r="O13" i="8"/>
  <c r="K13" i="8"/>
  <c r="S10" i="8"/>
  <c r="O10" i="8"/>
  <c r="K10" i="8"/>
  <c r="S11" i="10"/>
  <c r="S10" i="10"/>
  <c r="O11" i="10"/>
  <c r="O10" i="10"/>
  <c r="K11" i="10"/>
  <c r="K10" i="10"/>
  <c r="S9" i="10"/>
  <c r="O9" i="10"/>
  <c r="K9" i="10"/>
  <c r="S21" i="10"/>
  <c r="S20" i="10"/>
  <c r="O21" i="10"/>
  <c r="O20" i="10"/>
  <c r="K21" i="10"/>
  <c r="K20" i="10"/>
  <c r="B26" i="10"/>
  <c r="B25" i="10"/>
  <c r="V22" i="10"/>
  <c r="V25" i="10" s="1"/>
  <c r="AG25" i="10" s="1"/>
  <c r="U22" i="10"/>
  <c r="U23" i="10" s="1"/>
  <c r="T22" i="10"/>
  <c r="T23" i="10" s="1"/>
  <c r="R22" i="10"/>
  <c r="R23" i="10" s="1"/>
  <c r="Q22" i="10"/>
  <c r="Q23" i="10" s="1"/>
  <c r="P22" i="10"/>
  <c r="P23" i="10" s="1"/>
  <c r="N22" i="10"/>
  <c r="N23" i="10" s="1"/>
  <c r="M22" i="10"/>
  <c r="M23" i="10" s="1"/>
  <c r="L22" i="10"/>
  <c r="L23" i="10" s="1"/>
  <c r="J22" i="10"/>
  <c r="J23" i="10" s="1"/>
  <c r="I22" i="10"/>
  <c r="I25" i="10" s="1"/>
  <c r="H22" i="10"/>
  <c r="H23" i="10" s="1"/>
  <c r="F22" i="10"/>
  <c r="F23" i="10" s="1"/>
  <c r="E22" i="10"/>
  <c r="E26" i="10" s="1"/>
  <c r="D22" i="10"/>
  <c r="D25" i="10" s="1"/>
  <c r="C22" i="10"/>
  <c r="C26" i="10" s="1"/>
  <c r="S8" i="8"/>
  <c r="S4" i="11" s="1"/>
  <c r="AF4" i="11" s="1"/>
  <c r="O8" i="8"/>
  <c r="O4" i="11" s="1"/>
  <c r="AB4" i="11" s="1"/>
  <c r="K8" i="8"/>
  <c r="K4" i="11" s="1"/>
  <c r="X4" i="11" s="1"/>
  <c r="V82" i="11"/>
  <c r="U82" i="11"/>
  <c r="T82" i="11"/>
  <c r="R82" i="11"/>
  <c r="Q82" i="11"/>
  <c r="P82" i="11"/>
  <c r="N82" i="11"/>
  <c r="M82" i="11"/>
  <c r="L82" i="11"/>
  <c r="J82" i="11"/>
  <c r="I82" i="11"/>
  <c r="H82" i="11"/>
  <c r="F82" i="11"/>
  <c r="E82" i="11"/>
  <c r="D82" i="11"/>
  <c r="C82" i="11"/>
  <c r="AH60" i="11"/>
  <c r="AH71" i="11"/>
  <c r="AG71" i="11"/>
  <c r="AE71" i="11"/>
  <c r="AD71" i="11"/>
  <c r="AC71" i="11"/>
  <c r="AA71" i="11"/>
  <c r="Z71" i="11"/>
  <c r="Y71" i="11"/>
  <c r="B2" i="11"/>
  <c r="J4" i="11"/>
  <c r="I4" i="11"/>
  <c r="H4" i="11"/>
  <c r="K3" i="11"/>
  <c r="X3" i="11" s="1"/>
  <c r="J3" i="11"/>
  <c r="I3" i="11"/>
  <c r="H3" i="11"/>
  <c r="U4" i="11"/>
  <c r="AH4" i="11" s="1"/>
  <c r="T4" i="11"/>
  <c r="AG4" i="11" s="1"/>
  <c r="R4" i="11"/>
  <c r="AE4" i="11" s="1"/>
  <c r="Q4" i="11"/>
  <c r="AD4" i="11" s="1"/>
  <c r="P4" i="11"/>
  <c r="AC4" i="11" s="1"/>
  <c r="N4" i="11"/>
  <c r="AA4" i="11" s="1"/>
  <c r="M4" i="11"/>
  <c r="Z4" i="11" s="1"/>
  <c r="L4" i="11"/>
  <c r="Y4" i="11" s="1"/>
  <c r="U3" i="11"/>
  <c r="AH3" i="11" s="1"/>
  <c r="T3" i="11"/>
  <c r="AG3" i="11" s="1"/>
  <c r="S3" i="11"/>
  <c r="AF3" i="11" s="1"/>
  <c r="R3" i="11"/>
  <c r="AE3" i="11" s="1"/>
  <c r="Q3" i="11"/>
  <c r="AD3" i="11" s="1"/>
  <c r="P3" i="11"/>
  <c r="AC3" i="11" s="1"/>
  <c r="O3" i="11"/>
  <c r="AB3" i="11" s="1"/>
  <c r="N3" i="11"/>
  <c r="AA3" i="11" s="1"/>
  <c r="M3" i="11"/>
  <c r="Z3" i="11" s="1"/>
  <c r="L3" i="11"/>
  <c r="Y3" i="11" s="1"/>
  <c r="V4" i="11"/>
  <c r="AI4" i="11" s="1"/>
  <c r="V3" i="11"/>
  <c r="AI3" i="11" s="1"/>
  <c r="E4" i="11"/>
  <c r="D4" i="11"/>
  <c r="C4" i="11"/>
  <c r="E3" i="11"/>
  <c r="D3" i="11"/>
  <c r="C3" i="11"/>
  <c r="B6" i="11"/>
  <c r="F4" i="11"/>
  <c r="F3" i="11"/>
  <c r="AI71" i="11"/>
  <c r="AH69" i="11"/>
  <c r="Z69" i="11"/>
  <c r="B16" i="10"/>
  <c r="B15" i="10"/>
  <c r="B17" i="10"/>
  <c r="AA46" i="11" l="1"/>
  <c r="AI45" i="11"/>
  <c r="AA45" i="11"/>
  <c r="AH45" i="11"/>
  <c r="Z45" i="11"/>
  <c r="AG45" i="11"/>
  <c r="AH46" i="11"/>
  <c r="Z46" i="11"/>
  <c r="Y46" i="11"/>
  <c r="AI46" i="11"/>
  <c r="AE46" i="11"/>
  <c r="AG46" i="11"/>
  <c r="AB46" i="11"/>
  <c r="AC46" i="11"/>
  <c r="AD46" i="11"/>
  <c r="X46" i="11"/>
  <c r="AF46" i="11"/>
  <c r="AG56" i="11"/>
  <c r="AG57" i="11" s="1"/>
  <c r="AI56" i="11"/>
  <c r="AI57" i="11" s="1"/>
  <c r="K57" i="11"/>
  <c r="Q57" i="11"/>
  <c r="Y56" i="11"/>
  <c r="Y57" i="11" s="1"/>
  <c r="S57" i="11"/>
  <c r="AA56" i="11"/>
  <c r="AA57" i="11" s="1"/>
  <c r="AB56" i="11"/>
  <c r="AB57" i="11" s="1"/>
  <c r="AC56" i="11"/>
  <c r="AC57" i="11" s="1"/>
  <c r="M57" i="11"/>
  <c r="U57" i="11"/>
  <c r="AE56" i="11"/>
  <c r="AE57" i="11" s="1"/>
  <c r="AH82" i="11"/>
  <c r="H54" i="11"/>
  <c r="AD36" i="11"/>
  <c r="Y82" i="11"/>
  <c r="X36" i="11"/>
  <c r="AF36" i="11"/>
  <c r="X7" i="11"/>
  <c r="AD17" i="11"/>
  <c r="AF18" i="11"/>
  <c r="Z19" i="11"/>
  <c r="AH19" i="11"/>
  <c r="AB20" i="11"/>
  <c r="AG36" i="11"/>
  <c r="Z7" i="11"/>
  <c r="AH7" i="11"/>
  <c r="X18" i="11"/>
  <c r="AC7" i="11"/>
  <c r="AG18" i="11"/>
  <c r="AI36" i="11"/>
  <c r="AA17" i="11"/>
  <c r="AG20" i="11"/>
  <c r="AB36" i="11"/>
  <c r="AC36" i="11"/>
  <c r="AF7" i="11"/>
  <c r="AC17" i="11"/>
  <c r="AE18" i="11"/>
  <c r="Y19" i="11"/>
  <c r="AG19" i="11"/>
  <c r="Z36" i="11"/>
  <c r="AA36" i="11"/>
  <c r="Y36" i="11"/>
  <c r="AH36" i="11"/>
  <c r="AE36" i="11"/>
  <c r="X17" i="11"/>
  <c r="AI20" i="11"/>
  <c r="AI7" i="11"/>
  <c r="AA19" i="11"/>
  <c r="AI19" i="11"/>
  <c r="AC20" i="11"/>
  <c r="AB7" i="11"/>
  <c r="Z18" i="11"/>
  <c r="AH18" i="11"/>
  <c r="AB19" i="11"/>
  <c r="AD20" i="11"/>
  <c r="X20" i="11"/>
  <c r="Y17" i="11"/>
  <c r="AG17" i="11"/>
  <c r="AE20" i="11"/>
  <c r="AD7" i="11"/>
  <c r="Z17" i="11"/>
  <c r="AH17" i="11"/>
  <c r="AB18" i="11"/>
  <c r="AC19" i="11"/>
  <c r="AF20" i="11"/>
  <c r="AI17" i="11"/>
  <c r="AC18" i="11"/>
  <c r="AB17" i="11"/>
  <c r="AD18" i="11"/>
  <c r="AF19" i="11"/>
  <c r="Y20" i="11"/>
  <c r="AH20" i="11"/>
  <c r="Z82" i="11"/>
  <c r="T54" i="11"/>
  <c r="AD19" i="11"/>
  <c r="Z20" i="11"/>
  <c r="AE7" i="11"/>
  <c r="Y18" i="11"/>
  <c r="Y7" i="11"/>
  <c r="AG7" i="11"/>
  <c r="AE17" i="11"/>
  <c r="AA18" i="11"/>
  <c r="AI18" i="11"/>
  <c r="AE19" i="11"/>
  <c r="AA20" i="11"/>
  <c r="AF17" i="11"/>
  <c r="X19" i="11"/>
  <c r="AA7" i="11"/>
  <c r="F54" i="11"/>
  <c r="Q54" i="11"/>
  <c r="AC82" i="11"/>
  <c r="K82" i="11"/>
  <c r="AA82" i="11"/>
  <c r="I54" i="11"/>
  <c r="X71" i="11"/>
  <c r="X82" i="11" s="1"/>
  <c r="AD82" i="11"/>
  <c r="AI82" i="11"/>
  <c r="V54" i="11"/>
  <c r="C54" i="11"/>
  <c r="AG82" i="11"/>
  <c r="E54" i="11"/>
  <c r="AC54" i="11"/>
  <c r="AF82" i="11"/>
  <c r="AE82" i="11"/>
  <c r="AB82" i="11"/>
  <c r="D54" i="11"/>
  <c r="AA54" i="11"/>
  <c r="O82" i="11"/>
  <c r="J54" i="11"/>
  <c r="S82" i="11"/>
  <c r="Q125" i="8"/>
  <c r="R125" i="8" s="1"/>
  <c r="O124" i="8"/>
  <c r="K124" i="8"/>
  <c r="S124" i="8"/>
  <c r="S121" i="8"/>
  <c r="O119" i="8"/>
  <c r="S103" i="8"/>
  <c r="O103" i="8"/>
  <c r="K103" i="8"/>
  <c r="S102" i="8"/>
  <c r="AI102" i="8" s="1"/>
  <c r="K102" i="8"/>
  <c r="N102" i="8"/>
  <c r="O102" i="8" s="1"/>
  <c r="AE102" i="8" s="1"/>
  <c r="T83" i="8"/>
  <c r="U83" i="8"/>
  <c r="K100" i="8"/>
  <c r="O127" i="8"/>
  <c r="R126" i="8"/>
  <c r="S126" i="8" s="1"/>
  <c r="J126" i="8"/>
  <c r="K126" i="8" s="1"/>
  <c r="R127" i="8"/>
  <c r="S127" i="8" s="1"/>
  <c r="J118" i="8"/>
  <c r="K118" i="8" s="1"/>
  <c r="J98" i="8"/>
  <c r="K98" i="8" s="1"/>
  <c r="S101" i="8"/>
  <c r="N97" i="8"/>
  <c r="O97" i="8" s="1"/>
  <c r="J97" i="8"/>
  <c r="K97" i="8" s="1"/>
  <c r="R98" i="8"/>
  <c r="S98" i="8" s="1"/>
  <c r="R106" i="8"/>
  <c r="S106" i="8" s="1"/>
  <c r="N111" i="8"/>
  <c r="O111" i="8" s="1"/>
  <c r="R112" i="8"/>
  <c r="S112" i="8" s="1"/>
  <c r="O106" i="8"/>
  <c r="S108" i="8"/>
  <c r="N110" i="8"/>
  <c r="O110" i="8" s="1"/>
  <c r="K111" i="8"/>
  <c r="N114" i="8"/>
  <c r="O114" i="8" s="1"/>
  <c r="J109" i="8"/>
  <c r="K109" i="8" s="1"/>
  <c r="R110" i="8"/>
  <c r="S110" i="8" s="1"/>
  <c r="J113" i="8"/>
  <c r="K113" i="8" s="1"/>
  <c r="R114" i="8"/>
  <c r="S114" i="8" s="1"/>
  <c r="J106" i="8"/>
  <c r="K106" i="8" s="1"/>
  <c r="R107" i="8"/>
  <c r="S107" i="8" s="1"/>
  <c r="Z26" i="8"/>
  <c r="Z27" i="8"/>
  <c r="K83" i="8"/>
  <c r="O83" i="8"/>
  <c r="S83" i="8"/>
  <c r="Y27" i="8"/>
  <c r="AE27" i="8"/>
  <c r="AI27" i="8"/>
  <c r="AB26" i="8"/>
  <c r="AC26" i="8"/>
  <c r="AD26" i="8"/>
  <c r="AA26" i="8"/>
  <c r="X26" i="8"/>
  <c r="AA27" i="8"/>
  <c r="AB27" i="8"/>
  <c r="AC27" i="8"/>
  <c r="AH27" i="8"/>
  <c r="AG26" i="8"/>
  <c r="AH26" i="8"/>
  <c r="AF26" i="8"/>
  <c r="AF27" i="8"/>
  <c r="E23" i="10"/>
  <c r="I23" i="10"/>
  <c r="E25" i="10"/>
  <c r="F25" i="10"/>
  <c r="D26" i="10"/>
  <c r="I26" i="10"/>
  <c r="T26" i="10"/>
  <c r="AE26" i="10" s="1"/>
  <c r="V26" i="10"/>
  <c r="AG26" i="10" s="1"/>
  <c r="F26" i="10"/>
  <c r="C23" i="10"/>
  <c r="C25" i="10"/>
  <c r="H25" i="10"/>
  <c r="D23" i="10"/>
  <c r="H26" i="10"/>
  <c r="V23" i="10"/>
  <c r="U26" i="10"/>
  <c r="AF26" i="10" s="1"/>
  <c r="J25" i="10"/>
  <c r="T25" i="10"/>
  <c r="AE25" i="10" s="1"/>
  <c r="U25" i="10"/>
  <c r="AF25" i="10" s="1"/>
  <c r="J26" i="10"/>
  <c r="Q26" i="10"/>
  <c r="AB26" i="10" s="1"/>
  <c r="R26" i="10"/>
  <c r="AC26" i="10" s="1"/>
  <c r="M25" i="10"/>
  <c r="X25" i="10" s="1"/>
  <c r="P25" i="10"/>
  <c r="AA25" i="10" s="1"/>
  <c r="L26" i="10"/>
  <c r="Q25" i="10"/>
  <c r="AB25" i="10" s="1"/>
  <c r="M26" i="10"/>
  <c r="X26" i="10" s="1"/>
  <c r="R25" i="10"/>
  <c r="AC25" i="10" s="1"/>
  <c r="P26" i="10"/>
  <c r="AA26" i="10" s="1"/>
  <c r="N26" i="10"/>
  <c r="Y26" i="10" s="1"/>
  <c r="L25" i="10"/>
  <c r="N25" i="10"/>
  <c r="Y25" i="10" s="1"/>
  <c r="R54" i="11"/>
  <c r="I12" i="10"/>
  <c r="I9" i="11"/>
  <c r="C12" i="10"/>
  <c r="C9" i="11"/>
  <c r="C14" i="11" s="1"/>
  <c r="Q9" i="11"/>
  <c r="L9" i="11"/>
  <c r="M9" i="11"/>
  <c r="N54" i="11"/>
  <c r="Z54" i="11"/>
  <c r="P54" i="11"/>
  <c r="AE54" i="11"/>
  <c r="L54" i="11"/>
  <c r="U54" i="11"/>
  <c r="M54" i="11"/>
  <c r="Y54" i="11"/>
  <c r="AD52" i="11"/>
  <c r="AD54" i="11" s="1"/>
  <c r="AG52" i="11"/>
  <c r="AG54" i="11" s="1"/>
  <c r="AH52" i="11"/>
  <c r="H9" i="11"/>
  <c r="H14" i="11" s="1"/>
  <c r="H15" i="11" s="1"/>
  <c r="E9" i="11"/>
  <c r="D9" i="11"/>
  <c r="D14" i="11" s="1"/>
  <c r="U9" i="11"/>
  <c r="U14" i="11" s="1"/>
  <c r="V9" i="11"/>
  <c r="V14" i="11" s="1"/>
  <c r="F9" i="11"/>
  <c r="F14" i="11" s="1"/>
  <c r="T9" i="11"/>
  <c r="AI52" i="11"/>
  <c r="AI54" i="11" s="1"/>
  <c r="L12" i="10"/>
  <c r="D12" i="10"/>
  <c r="J12" i="10"/>
  <c r="F12" i="10"/>
  <c r="H12" i="10"/>
  <c r="P12" i="10"/>
  <c r="T12" i="10"/>
  <c r="V12" i="10"/>
  <c r="U12" i="10"/>
  <c r="R12" i="10"/>
  <c r="Q12" i="10"/>
  <c r="N12" i="10"/>
  <c r="M12" i="10"/>
  <c r="E12" i="10"/>
  <c r="AK18" i="11" l="1"/>
  <c r="AK17" i="11"/>
  <c r="AK7" i="11"/>
  <c r="AK20" i="11"/>
  <c r="AK36" i="11"/>
  <c r="AK19" i="11"/>
  <c r="S125" i="8"/>
  <c r="AF102" i="8"/>
  <c r="AA102" i="8"/>
  <c r="X102" i="8"/>
  <c r="AH102" i="8"/>
  <c r="AG102" i="8"/>
  <c r="AD102" i="8"/>
  <c r="AC102" i="8"/>
  <c r="AB102" i="8"/>
  <c r="Y102" i="8"/>
  <c r="Z102" i="8"/>
  <c r="N17" i="10"/>
  <c r="Y17" i="10" s="1"/>
  <c r="N15" i="10"/>
  <c r="Y15" i="10" s="1"/>
  <c r="N16" i="10"/>
  <c r="Y16" i="10" s="1"/>
  <c r="J15" i="10"/>
  <c r="J16" i="10"/>
  <c r="J17" i="10"/>
  <c r="I15" i="10"/>
  <c r="I16" i="10"/>
  <c r="I17" i="10"/>
  <c r="M16" i="10"/>
  <c r="X16" i="10" s="1"/>
  <c r="M15" i="10"/>
  <c r="X15" i="10" s="1"/>
  <c r="M17" i="10"/>
  <c r="X17" i="10" s="1"/>
  <c r="H15" i="10"/>
  <c r="H16" i="10"/>
  <c r="H17" i="10"/>
  <c r="Q15" i="10"/>
  <c r="AB15" i="10" s="1"/>
  <c r="Q16" i="10"/>
  <c r="AB16" i="10" s="1"/>
  <c r="Q17" i="10"/>
  <c r="AB17" i="10" s="1"/>
  <c r="R15" i="10"/>
  <c r="AC15" i="10" s="1"/>
  <c r="R16" i="10"/>
  <c r="AC16" i="10" s="1"/>
  <c r="R17" i="10"/>
  <c r="AC17" i="10" s="1"/>
  <c r="U16" i="10"/>
  <c r="AF16" i="10" s="1"/>
  <c r="U15" i="10"/>
  <c r="AF15" i="10" s="1"/>
  <c r="U17" i="10"/>
  <c r="AF17" i="10" s="1"/>
  <c r="L17" i="10"/>
  <c r="L15" i="10"/>
  <c r="L16" i="10"/>
  <c r="V15" i="10"/>
  <c r="AG15" i="10" s="1"/>
  <c r="V16" i="10"/>
  <c r="AG16" i="10" s="1"/>
  <c r="V17" i="10"/>
  <c r="AG17" i="10" s="1"/>
  <c r="T17" i="10"/>
  <c r="AE17" i="10" s="1"/>
  <c r="T15" i="10"/>
  <c r="AE15" i="10" s="1"/>
  <c r="T16" i="10"/>
  <c r="AE16" i="10" s="1"/>
  <c r="P15" i="10"/>
  <c r="AA15" i="10" s="1"/>
  <c r="P16" i="10"/>
  <c r="AA16" i="10" s="1"/>
  <c r="P17" i="10"/>
  <c r="AA17" i="10" s="1"/>
  <c r="D15" i="10"/>
  <c r="D17" i="10"/>
  <c r="D16" i="10"/>
  <c r="C17" i="10"/>
  <c r="C15" i="10"/>
  <c r="C16" i="10"/>
  <c r="E17" i="10"/>
  <c r="E16" i="10"/>
  <c r="E15" i="10"/>
  <c r="F17" i="10"/>
  <c r="F16" i="10"/>
  <c r="F15" i="10"/>
  <c r="P9" i="11"/>
  <c r="P14" i="11" s="1"/>
  <c r="P15" i="11" s="1"/>
  <c r="N9" i="11"/>
  <c r="N11" i="11" s="1"/>
  <c r="R9" i="11"/>
  <c r="AH54" i="11"/>
  <c r="J9" i="11"/>
  <c r="J14" i="11" s="1"/>
  <c r="J15" i="11" s="1"/>
  <c r="D10" i="11"/>
  <c r="E10" i="11"/>
  <c r="M10" i="11"/>
  <c r="I14" i="11"/>
  <c r="I11" i="11"/>
  <c r="L14" i="11"/>
  <c r="L22" i="11" s="1"/>
  <c r="L26" i="11" s="1"/>
  <c r="L30" i="11" s="1"/>
  <c r="L10" i="11"/>
  <c r="E14" i="11"/>
  <c r="E22" i="11" s="1"/>
  <c r="H22" i="11"/>
  <c r="H26" i="11" s="1"/>
  <c r="H30" i="11" s="1"/>
  <c r="D15" i="11"/>
  <c r="D22" i="11"/>
  <c r="C15" i="11"/>
  <c r="C22" i="11"/>
  <c r="V11" i="11"/>
  <c r="U10" i="11"/>
  <c r="T14" i="11"/>
  <c r="T22" i="11" s="1"/>
  <c r="F10" i="11"/>
  <c r="U11" i="11"/>
  <c r="M14" i="11"/>
  <c r="M11" i="11"/>
  <c r="V22" i="11"/>
  <c r="V15" i="11"/>
  <c r="U22" i="11"/>
  <c r="U15" i="11"/>
  <c r="F22" i="11"/>
  <c r="F15" i="11"/>
  <c r="Q10" i="11"/>
  <c r="Q14" i="11"/>
  <c r="P10" i="11" l="1"/>
  <c r="AK102" i="8"/>
  <c r="R10" i="11"/>
  <c r="Q11" i="11"/>
  <c r="T10" i="11"/>
  <c r="P22" i="11"/>
  <c r="P23" i="11" s="1"/>
  <c r="N14" i="11"/>
  <c r="N22" i="11" s="1"/>
  <c r="R14" i="11"/>
  <c r="R15" i="11" s="1"/>
  <c r="V10" i="11"/>
  <c r="R11" i="11"/>
  <c r="N10" i="11"/>
  <c r="J11" i="11"/>
  <c r="J22" i="11"/>
  <c r="J23" i="11" s="1"/>
  <c r="E15" i="11"/>
  <c r="H23" i="11"/>
  <c r="L23" i="11"/>
  <c r="L15" i="11"/>
  <c r="I15" i="11"/>
  <c r="I22" i="11"/>
  <c r="H27" i="11"/>
  <c r="C23" i="11"/>
  <c r="C26" i="11"/>
  <c r="C30" i="11" s="1"/>
  <c r="E23" i="11"/>
  <c r="E26" i="11"/>
  <c r="E30" i="11" s="1"/>
  <c r="D23" i="11"/>
  <c r="D26" i="11"/>
  <c r="D30" i="11" s="1"/>
  <c r="T15" i="11"/>
  <c r="Q15" i="11"/>
  <c r="Q22" i="11"/>
  <c r="F23" i="11"/>
  <c r="F26" i="11"/>
  <c r="F30" i="11" s="1"/>
  <c r="V23" i="11"/>
  <c r="T23" i="11"/>
  <c r="T26" i="11"/>
  <c r="T30" i="11" s="1"/>
  <c r="L27" i="11"/>
  <c r="M22" i="11"/>
  <c r="M15" i="11"/>
  <c r="U23" i="11"/>
  <c r="P26" i="11" l="1"/>
  <c r="N15" i="11"/>
  <c r="R22" i="11"/>
  <c r="R23" i="11" s="1"/>
  <c r="I23" i="11"/>
  <c r="H38" i="11"/>
  <c r="H47" i="11" s="1"/>
  <c r="H31" i="11"/>
  <c r="E27" i="11"/>
  <c r="D27" i="11"/>
  <c r="C27" i="11"/>
  <c r="M23" i="11"/>
  <c r="L38" i="11"/>
  <c r="L47" i="11" s="1"/>
  <c r="L31" i="11"/>
  <c r="Q23" i="11"/>
  <c r="T27" i="11"/>
  <c r="F27" i="11"/>
  <c r="N23" i="11"/>
  <c r="P27" i="11" l="1"/>
  <c r="P30" i="11"/>
  <c r="H48" i="11"/>
  <c r="C93" i="11" a="1"/>
  <c r="C93" i="11" s="1"/>
  <c r="C92" i="11" a="1"/>
  <c r="C92" i="11" s="1"/>
  <c r="C31" i="11"/>
  <c r="C91" i="11"/>
  <c r="C38" i="11"/>
  <c r="C89" i="11"/>
  <c r="C90" i="11"/>
  <c r="D31" i="11"/>
  <c r="D93" i="11" a="1"/>
  <c r="D93" i="11" s="1"/>
  <c r="D91" i="11"/>
  <c r="D38" i="11"/>
  <c r="D47" i="11" s="1"/>
  <c r="D92" i="11" a="1"/>
  <c r="D92" i="11" s="1"/>
  <c r="D89" i="11"/>
  <c r="D90" i="11"/>
  <c r="E90" i="11"/>
  <c r="E31" i="11"/>
  <c r="E91" i="11"/>
  <c r="E38" i="11"/>
  <c r="E47" i="11" s="1"/>
  <c r="E93" i="11" a="1"/>
  <c r="E93" i="11" s="1"/>
  <c r="E92" i="11" a="1"/>
  <c r="E92" i="11" s="1"/>
  <c r="E89" i="11"/>
  <c r="F93" i="11" a="1"/>
  <c r="F93" i="11" s="1"/>
  <c r="F89" i="11"/>
  <c r="F92" i="11" a="1"/>
  <c r="F92" i="11" s="1"/>
  <c r="F38" i="11"/>
  <c r="F47" i="11" s="1"/>
  <c r="F31" i="11"/>
  <c r="F91" i="11"/>
  <c r="F90" i="11"/>
  <c r="T38" i="11"/>
  <c r="T47" i="11" s="1"/>
  <c r="T31" i="11"/>
  <c r="P31" i="11" l="1"/>
  <c r="P38" i="11"/>
  <c r="P47" i="11" s="1"/>
  <c r="C48" i="11"/>
  <c r="D48" i="11"/>
  <c r="V4" i="10" l="1"/>
  <c r="AG4" i="10" s="1"/>
  <c r="V3" i="10"/>
  <c r="AG3" i="10" s="1"/>
  <c r="V50" i="8"/>
  <c r="V58" i="8" s="1"/>
  <c r="AI138" i="8"/>
  <c r="AI82" i="8"/>
  <c r="AI73" i="8"/>
  <c r="AI65" i="8"/>
  <c r="AI64" i="8"/>
  <c r="AI63" i="8"/>
  <c r="AI62" i="8"/>
  <c r="AI61" i="8"/>
  <c r="AI57" i="8"/>
  <c r="AI56" i="8"/>
  <c r="AI55" i="8"/>
  <c r="AI54" i="8"/>
  <c r="AI53" i="8"/>
  <c r="AI48" i="8"/>
  <c r="AI47" i="8"/>
  <c r="AI46" i="8"/>
  <c r="AI38" i="8"/>
  <c r="AI35" i="8"/>
  <c r="AI8" i="8"/>
  <c r="AI91" i="8" s="1"/>
  <c r="AI7" i="8"/>
  <c r="AI90" i="8" s="1"/>
  <c r="V91" i="8"/>
  <c r="V90" i="8"/>
  <c r="V66" i="8"/>
  <c r="V43" i="8"/>
  <c r="V42" i="8"/>
  <c r="V11" i="8"/>
  <c r="V14" i="8" s="1"/>
  <c r="AG64" i="8"/>
  <c r="AC64" i="8"/>
  <c r="Y64" i="8"/>
  <c r="AF64" i="8"/>
  <c r="AB64" i="8"/>
  <c r="AH64" i="8"/>
  <c r="AE64" i="8"/>
  <c r="AD64" i="8"/>
  <c r="AA64" i="8"/>
  <c r="Z64" i="8"/>
  <c r="X64" i="8"/>
  <c r="AE49" i="8"/>
  <c r="AD49" i="8"/>
  <c r="AA49" i="8"/>
  <c r="Z49" i="8"/>
  <c r="X49" i="8"/>
  <c r="F48" i="11"/>
  <c r="E48" i="11"/>
  <c r="AG138" i="8"/>
  <c r="AE138" i="8"/>
  <c r="AD138" i="8"/>
  <c r="AC138" i="8"/>
  <c r="AA138" i="8"/>
  <c r="Z138" i="8"/>
  <c r="Y138" i="8"/>
  <c r="AH138" i="8"/>
  <c r="X134" i="8"/>
  <c r="AG82" i="8"/>
  <c r="AE82" i="8"/>
  <c r="AD82" i="8"/>
  <c r="AC82" i="8"/>
  <c r="AA82" i="8"/>
  <c r="Z82" i="8"/>
  <c r="Y82" i="8"/>
  <c r="AG73" i="8"/>
  <c r="AE73" i="8"/>
  <c r="AD73" i="8"/>
  <c r="AC73" i="8"/>
  <c r="AA73" i="8"/>
  <c r="Z73" i="8"/>
  <c r="Y73" i="8"/>
  <c r="AG65" i="8"/>
  <c r="AE65" i="8"/>
  <c r="AD65" i="8"/>
  <c r="AC65" i="8"/>
  <c r="AA65" i="8"/>
  <c r="Z65" i="8"/>
  <c r="Y65" i="8"/>
  <c r="AG63" i="8"/>
  <c r="AE63" i="8"/>
  <c r="AD63" i="8"/>
  <c r="AC63" i="8"/>
  <c r="AA63" i="8"/>
  <c r="Z63" i="8"/>
  <c r="Y63" i="8"/>
  <c r="AG62" i="8"/>
  <c r="AE62" i="8"/>
  <c r="AD62" i="8"/>
  <c r="AC62" i="8"/>
  <c r="AA62" i="8"/>
  <c r="Z62" i="8"/>
  <c r="Y62" i="8"/>
  <c r="AG61" i="8"/>
  <c r="AE61" i="8"/>
  <c r="AD61" i="8"/>
  <c r="AC61" i="8"/>
  <c r="AA61" i="8"/>
  <c r="Z61" i="8"/>
  <c r="Y61" i="8"/>
  <c r="AG57" i="8"/>
  <c r="AE57" i="8"/>
  <c r="AD57" i="8"/>
  <c r="AC57" i="8"/>
  <c r="AA57" i="8"/>
  <c r="Z57" i="8"/>
  <c r="Y57" i="8"/>
  <c r="AG56" i="8"/>
  <c r="AE56" i="8"/>
  <c r="AD56" i="8"/>
  <c r="AC56" i="8"/>
  <c r="AA56" i="8"/>
  <c r="Z56" i="8"/>
  <c r="Y56" i="8"/>
  <c r="AG55" i="8"/>
  <c r="AE55" i="8"/>
  <c r="AD55" i="8"/>
  <c r="AC55" i="8"/>
  <c r="AA55" i="8"/>
  <c r="Z55" i="8"/>
  <c r="Y55" i="8"/>
  <c r="AG54" i="8"/>
  <c r="AE54" i="8"/>
  <c r="AD54" i="8"/>
  <c r="AC54" i="8"/>
  <c r="AA54" i="8"/>
  <c r="Z54" i="8"/>
  <c r="Y54" i="8"/>
  <c r="AG53" i="8"/>
  <c r="AE53" i="8"/>
  <c r="AD53" i="8"/>
  <c r="AC53" i="8"/>
  <c r="AA53" i="8"/>
  <c r="Z53" i="8"/>
  <c r="Y53" i="8"/>
  <c r="AG49" i="8"/>
  <c r="AC49" i="8"/>
  <c r="Y49" i="8"/>
  <c r="AG48" i="8"/>
  <c r="AE48" i="8"/>
  <c r="AD48" i="8"/>
  <c r="AC48" i="8"/>
  <c r="AA48" i="8"/>
  <c r="Z48" i="8"/>
  <c r="Y48" i="8"/>
  <c r="AG47" i="8"/>
  <c r="AE47" i="8"/>
  <c r="AD47" i="8"/>
  <c r="AC47" i="8"/>
  <c r="AA47" i="8"/>
  <c r="Z47" i="8"/>
  <c r="Y47" i="8"/>
  <c r="AG46" i="8"/>
  <c r="AE46" i="8"/>
  <c r="AD46" i="8"/>
  <c r="AC46" i="8"/>
  <c r="AA46" i="8"/>
  <c r="Z46" i="8"/>
  <c r="Y46" i="8"/>
  <c r="S137" i="8"/>
  <c r="O137" i="8"/>
  <c r="AB129" i="8"/>
  <c r="K137" i="8"/>
  <c r="X82" i="8"/>
  <c r="X73" i="8"/>
  <c r="X63" i="8"/>
  <c r="X57" i="8"/>
  <c r="X56" i="8"/>
  <c r="X55" i="8"/>
  <c r="X54" i="8"/>
  <c r="AA129" i="8"/>
  <c r="F134" i="8"/>
  <c r="E134" i="8"/>
  <c r="D134" i="8"/>
  <c r="AH82" i="8"/>
  <c r="AF82" i="8"/>
  <c r="AB82" i="8"/>
  <c r="X83" i="8" l="1"/>
  <c r="AA83" i="8"/>
  <c r="AC83" i="8"/>
  <c r="AD83" i="8"/>
  <c r="AE83" i="8"/>
  <c r="AG83" i="8"/>
  <c r="Y83" i="8"/>
  <c r="AI83" i="8"/>
  <c r="Z83" i="8"/>
  <c r="AE31" i="8"/>
  <c r="Z31" i="8"/>
  <c r="AH31" i="8"/>
  <c r="AI49" i="8"/>
  <c r="AI50" i="8" s="1"/>
  <c r="AI58" i="8" s="1"/>
  <c r="AI31" i="8"/>
  <c r="X62" i="8"/>
  <c r="X63" i="11"/>
  <c r="X65" i="8"/>
  <c r="X68" i="11"/>
  <c r="V74" i="8"/>
  <c r="AI65" i="11" s="1"/>
  <c r="AI64" i="11"/>
  <c r="AI85" i="11"/>
  <c r="AI94" i="11" s="1"/>
  <c r="V85" i="11"/>
  <c r="V94" i="11" s="1"/>
  <c r="X53" i="8"/>
  <c r="X61" i="11"/>
  <c r="X47" i="8"/>
  <c r="X60" i="11"/>
  <c r="X46" i="8"/>
  <c r="X48" i="8"/>
  <c r="X61" i="8"/>
  <c r="X62" i="11"/>
  <c r="V13" i="10"/>
  <c r="AI66" i="8"/>
  <c r="AI74" i="8" s="1"/>
  <c r="AI42" i="8"/>
  <c r="AI43" i="8"/>
  <c r="V28" i="8"/>
  <c r="V15" i="8"/>
  <c r="AK64" i="8"/>
  <c r="Z129" i="8"/>
  <c r="Y129" i="8"/>
  <c r="X129" i="8"/>
  <c r="AC129" i="8"/>
  <c r="AG31" i="8"/>
  <c r="AA31" i="8"/>
  <c r="Y31" i="8"/>
  <c r="AB31" i="8"/>
  <c r="AC31" i="8"/>
  <c r="AD31" i="8"/>
  <c r="X31" i="8"/>
  <c r="AF31" i="8"/>
  <c r="V84" i="8" l="1"/>
  <c r="V86" i="8" s="1"/>
  <c r="Z41" i="11"/>
  <c r="X41" i="11"/>
  <c r="AA41" i="11"/>
  <c r="Y41" i="11"/>
  <c r="AA128" i="8"/>
  <c r="K54" i="11"/>
  <c r="X52" i="11"/>
  <c r="AI84" i="8"/>
  <c r="AI86" i="8" s="1"/>
  <c r="V23" i="8"/>
  <c r="V32" i="8"/>
  <c r="AK31" i="8"/>
  <c r="AI41" i="11" l="1"/>
  <c r="AH41" i="11"/>
  <c r="AF41" i="11"/>
  <c r="AG41" i="11"/>
  <c r="X54" i="11"/>
  <c r="L48" i="11"/>
  <c r="Y128" i="8"/>
  <c r="AA42" i="11"/>
  <c r="AG128" i="8"/>
  <c r="AI128" i="8"/>
  <c r="AF128" i="8"/>
  <c r="AH128" i="8"/>
  <c r="X128" i="8"/>
  <c r="AE41" i="11"/>
  <c r="AB41" i="11"/>
  <c r="AC41" i="11"/>
  <c r="AD41" i="11"/>
  <c r="AE128" i="8"/>
  <c r="Z128" i="8"/>
  <c r="V29" i="8"/>
  <c r="AC128" i="8"/>
  <c r="AB128" i="8"/>
  <c r="AD128" i="8"/>
  <c r="Y42" i="11" l="1"/>
  <c r="AI42" i="11"/>
  <c r="AG42" i="11"/>
  <c r="AF42" i="11"/>
  <c r="X42" i="11"/>
  <c r="AE42" i="11"/>
  <c r="AD42" i="11"/>
  <c r="AC42" i="11"/>
  <c r="AB42" i="11"/>
  <c r="AH42" i="11"/>
  <c r="Z42" i="11"/>
  <c r="V39" i="8"/>
  <c r="V36" i="8"/>
  <c r="V94" i="8"/>
  <c r="V115" i="8" s="1"/>
  <c r="V33" i="8"/>
  <c r="S145" i="8" l="1"/>
  <c r="O145" i="8"/>
  <c r="AF73" i="8"/>
  <c r="AB73" i="8"/>
  <c r="AF63" i="8"/>
  <c r="AB63" i="8"/>
  <c r="AH47" i="8"/>
  <c r="AK47" i="8" s="1"/>
  <c r="AF49" i="8"/>
  <c r="AB49" i="8"/>
  <c r="AF57" i="8"/>
  <c r="AB57" i="8"/>
  <c r="AF56" i="8"/>
  <c r="AB56" i="8"/>
  <c r="AF55" i="8"/>
  <c r="AB55" i="8"/>
  <c r="AF54" i="8"/>
  <c r="AB54" i="8"/>
  <c r="E4" i="10"/>
  <c r="D4" i="10"/>
  <c r="C4" i="10"/>
  <c r="E3" i="10"/>
  <c r="D3" i="10"/>
  <c r="C3" i="10"/>
  <c r="C130" i="8"/>
  <c r="C121" i="8"/>
  <c r="C91" i="8"/>
  <c r="C90" i="8"/>
  <c r="C85" i="11"/>
  <c r="C94" i="11" s="1"/>
  <c r="C66" i="8"/>
  <c r="C50" i="8"/>
  <c r="C58" i="8" s="1"/>
  <c r="C43" i="8"/>
  <c r="C42" i="8"/>
  <c r="C11" i="8"/>
  <c r="AH73" i="8"/>
  <c r="AH65" i="8"/>
  <c r="AH63" i="8"/>
  <c r="AH62" i="8"/>
  <c r="AH61" i="8"/>
  <c r="AH57" i="8"/>
  <c r="AH56" i="8"/>
  <c r="AH55" i="8"/>
  <c r="AH54" i="8"/>
  <c r="AH53" i="8"/>
  <c r="AH49" i="8"/>
  <c r="AH48" i="8"/>
  <c r="AH46" i="8"/>
  <c r="AH38" i="8"/>
  <c r="AG38" i="8"/>
  <c r="AE38" i="8"/>
  <c r="AD38" i="8"/>
  <c r="AG35" i="8"/>
  <c r="AE35" i="8"/>
  <c r="AD35" i="8"/>
  <c r="AC35" i="8"/>
  <c r="AA35" i="8"/>
  <c r="Z35" i="8"/>
  <c r="Y35" i="8"/>
  <c r="AH35" i="8"/>
  <c r="AG8" i="8"/>
  <c r="AF8" i="8"/>
  <c r="AE8" i="8"/>
  <c r="AD8" i="8"/>
  <c r="AC8" i="8"/>
  <c r="AB8" i="8"/>
  <c r="AA8" i="8"/>
  <c r="Z8" i="8"/>
  <c r="Y8" i="8"/>
  <c r="X8" i="8"/>
  <c r="AG7" i="8"/>
  <c r="AF7" i="8"/>
  <c r="AE7" i="8"/>
  <c r="AD7" i="8"/>
  <c r="AC7" i="8"/>
  <c r="AB7" i="8"/>
  <c r="AA7" i="8"/>
  <c r="Z7" i="8"/>
  <c r="Y7" i="8"/>
  <c r="X7" i="8"/>
  <c r="AH8" i="8"/>
  <c r="AH7" i="8"/>
  <c r="F130" i="8"/>
  <c r="T130" i="8"/>
  <c r="D130" i="8"/>
  <c r="AF83" i="8" l="1"/>
  <c r="AH83" i="8"/>
  <c r="AB83" i="8"/>
  <c r="AE25" i="8"/>
  <c r="AB62" i="8"/>
  <c r="AB63" i="11"/>
  <c r="AI13" i="8"/>
  <c r="AF53" i="8"/>
  <c r="AF61" i="11"/>
  <c r="AF47" i="8"/>
  <c r="AF60" i="11"/>
  <c r="AB35" i="11"/>
  <c r="AC35" i="11"/>
  <c r="AD35" i="11"/>
  <c r="AE35" i="11"/>
  <c r="AI145" i="8"/>
  <c r="Y21" i="11"/>
  <c r="X21" i="11"/>
  <c r="AA21" i="11"/>
  <c r="Z21" i="11"/>
  <c r="AF48" i="8"/>
  <c r="AB65" i="8"/>
  <c r="AB68" i="11"/>
  <c r="I26" i="11"/>
  <c r="I30" i="11" s="1"/>
  <c r="AF46" i="8"/>
  <c r="AF62" i="8"/>
  <c r="AF63" i="11"/>
  <c r="AB46" i="8"/>
  <c r="AF65" i="8"/>
  <c r="AF68" i="11"/>
  <c r="M26" i="11"/>
  <c r="M30" i="11" s="1"/>
  <c r="AB13" i="11"/>
  <c r="AC13" i="11"/>
  <c r="AE13" i="11"/>
  <c r="AD13" i="11"/>
  <c r="AB53" i="8"/>
  <c r="AB61" i="11"/>
  <c r="AI17" i="8"/>
  <c r="AI10" i="8"/>
  <c r="AI11" i="8" s="1"/>
  <c r="AB47" i="8"/>
  <c r="AB60" i="11"/>
  <c r="AB61" i="8"/>
  <c r="AB62" i="11"/>
  <c r="Q26" i="11"/>
  <c r="Q30" i="11" s="1"/>
  <c r="C14" i="8"/>
  <c r="C22" i="8" s="1"/>
  <c r="C13" i="10"/>
  <c r="C74" i="8"/>
  <c r="AA13" i="11"/>
  <c r="Y13" i="11"/>
  <c r="X13" i="11"/>
  <c r="Z13" i="11"/>
  <c r="AD21" i="11"/>
  <c r="AE21" i="11"/>
  <c r="AC21" i="11"/>
  <c r="AB21" i="11"/>
  <c r="AF25" i="8"/>
  <c r="AI25" i="8"/>
  <c r="AB48" i="8"/>
  <c r="AF61" i="8"/>
  <c r="AF62" i="11"/>
  <c r="U26" i="11"/>
  <c r="U30" i="11" s="1"/>
  <c r="K145" i="8"/>
  <c r="AE145" i="8"/>
  <c r="AD145" i="8"/>
  <c r="AC145" i="8"/>
  <c r="AB145" i="8"/>
  <c r="AH145" i="8"/>
  <c r="AG145" i="8"/>
  <c r="AF145" i="8"/>
  <c r="AD129" i="8"/>
  <c r="AK46" i="8"/>
  <c r="AI109" i="8"/>
  <c r="AI113" i="8"/>
  <c r="AI110" i="8"/>
  <c r="AI112" i="8"/>
  <c r="AI107" i="8"/>
  <c r="AI111" i="8"/>
  <c r="AI114" i="8"/>
  <c r="AK77" i="8"/>
  <c r="AK48" i="8"/>
  <c r="AK53" i="8"/>
  <c r="AK49" i="8"/>
  <c r="AK65" i="8"/>
  <c r="AK62" i="8"/>
  <c r="AK54" i="8"/>
  <c r="AK56" i="8"/>
  <c r="AK63" i="8"/>
  <c r="AK55" i="8"/>
  <c r="AK57" i="8"/>
  <c r="AK73" i="8"/>
  <c r="U130" i="8"/>
  <c r="AG25" i="8"/>
  <c r="AH25" i="8"/>
  <c r="AD25" i="8"/>
  <c r="E130" i="8"/>
  <c r="L130" i="8"/>
  <c r="M130" i="8"/>
  <c r="H130" i="8"/>
  <c r="P130" i="8"/>
  <c r="I130" i="8"/>
  <c r="Q130" i="8"/>
  <c r="C23" i="8" l="1"/>
  <c r="C28" i="8"/>
  <c r="C32" i="8" s="1"/>
  <c r="C84" i="8"/>
  <c r="C86" i="8" s="1"/>
  <c r="K12" i="10"/>
  <c r="C15" i="8"/>
  <c r="AA145" i="8"/>
  <c r="Y10" i="10"/>
  <c r="X10" i="10"/>
  <c r="V121" i="8"/>
  <c r="AG11" i="10"/>
  <c r="AD11" i="10"/>
  <c r="AF11" i="10"/>
  <c r="AE11" i="10"/>
  <c r="AC9" i="10"/>
  <c r="AB9" i="10"/>
  <c r="AA9" i="10"/>
  <c r="Z9" i="10"/>
  <c r="V130" i="8"/>
  <c r="N26" i="11"/>
  <c r="N30" i="11" s="1"/>
  <c r="Y11" i="10"/>
  <c r="X11" i="10"/>
  <c r="AH35" i="11"/>
  <c r="AG35" i="11"/>
  <c r="AF35" i="11"/>
  <c r="AI35" i="11"/>
  <c r="AK35" i="11" s="1"/>
  <c r="Q27" i="11"/>
  <c r="AG10" i="10"/>
  <c r="AF10" i="10"/>
  <c r="AD10" i="10"/>
  <c r="AE10" i="10"/>
  <c r="M27" i="11"/>
  <c r="AI21" i="11"/>
  <c r="AK21" i="11" s="1"/>
  <c r="AF21" i="11"/>
  <c r="AG21" i="11"/>
  <c r="AH21" i="11"/>
  <c r="S54" i="11"/>
  <c r="AF52" i="11"/>
  <c r="T48" i="11"/>
  <c r="AG13" i="11"/>
  <c r="AI13" i="11"/>
  <c r="AK13" i="11" s="1"/>
  <c r="AF13" i="11"/>
  <c r="AH13" i="11"/>
  <c r="AF9" i="10"/>
  <c r="AD9" i="10"/>
  <c r="AE9" i="10"/>
  <c r="AG9" i="10"/>
  <c r="S12" i="10"/>
  <c r="I27" i="11"/>
  <c r="O12" i="10"/>
  <c r="V26" i="11"/>
  <c r="V30" i="11" s="1"/>
  <c r="AC10" i="10"/>
  <c r="AB10" i="10"/>
  <c r="AA10" i="10"/>
  <c r="Z10" i="10"/>
  <c r="J26" i="11"/>
  <c r="J30" i="11" s="1"/>
  <c r="AF106" i="8"/>
  <c r="AG118" i="8"/>
  <c r="U27" i="11"/>
  <c r="Y9" i="10"/>
  <c r="X9" i="10"/>
  <c r="AI14" i="8"/>
  <c r="AB52" i="11"/>
  <c r="O54" i="11"/>
  <c r="AC11" i="10"/>
  <c r="Z11" i="10"/>
  <c r="AB11" i="10"/>
  <c r="AA11" i="10"/>
  <c r="AG110" i="8"/>
  <c r="K146" i="8"/>
  <c r="AG111" i="8"/>
  <c r="AG112" i="8"/>
  <c r="AE107" i="8"/>
  <c r="AE110" i="8"/>
  <c r="AG107" i="8"/>
  <c r="AD113" i="8"/>
  <c r="AE112" i="8"/>
  <c r="AC114" i="8"/>
  <c r="S146" i="8"/>
  <c r="AG114" i="8"/>
  <c r="X145" i="8"/>
  <c r="AG113" i="8"/>
  <c r="AA108" i="8"/>
  <c r="AF109" i="8"/>
  <c r="Z113" i="8"/>
  <c r="AD109" i="8"/>
  <c r="Z111" i="8"/>
  <c r="O146" i="8"/>
  <c r="AF114" i="8"/>
  <c r="Y145" i="8"/>
  <c r="AF113" i="8"/>
  <c r="AA110" i="8"/>
  <c r="AA107" i="8"/>
  <c r="AF107" i="8"/>
  <c r="Z109" i="8"/>
  <c r="AD108" i="8"/>
  <c r="AF112" i="8"/>
  <c r="AE129" i="8"/>
  <c r="Z145" i="8"/>
  <c r="AF111" i="8"/>
  <c r="AA114" i="8"/>
  <c r="AE111" i="8"/>
  <c r="AA112" i="8"/>
  <c r="AF110" i="8"/>
  <c r="AG109" i="8"/>
  <c r="AH110" i="8"/>
  <c r="AH109" i="8"/>
  <c r="AI108" i="8"/>
  <c r="R130" i="8"/>
  <c r="N130" i="8"/>
  <c r="AK25" i="8"/>
  <c r="J130" i="8"/>
  <c r="S16" i="10" l="1"/>
  <c r="AD16" i="10" s="1"/>
  <c r="S17" i="10"/>
  <c r="AD17" i="10" s="1"/>
  <c r="S15" i="10"/>
  <c r="AD15" i="10" s="1"/>
  <c r="V139" i="8"/>
  <c r="AI139" i="8" s="1"/>
  <c r="O15" i="10"/>
  <c r="Z15" i="10" s="1"/>
  <c r="O16" i="10"/>
  <c r="Z16" i="10" s="1"/>
  <c r="O17" i="10"/>
  <c r="Z17" i="10" s="1"/>
  <c r="K16" i="10"/>
  <c r="K17" i="10"/>
  <c r="K15" i="10"/>
  <c r="AK109" i="8"/>
  <c r="AG106" i="8"/>
  <c r="AC112" i="8"/>
  <c r="AH118" i="8"/>
  <c r="AF12" i="10"/>
  <c r="C29" i="8"/>
  <c r="AD12" i="10"/>
  <c r="AC12" i="10"/>
  <c r="P48" i="11"/>
  <c r="AI22" i="8"/>
  <c r="AI28" i="8" s="1"/>
  <c r="AI15" i="8"/>
  <c r="AI33" i="11"/>
  <c r="AI118" i="8"/>
  <c r="AH129" i="8"/>
  <c r="AK129" i="8" s="1"/>
  <c r="AI129" i="8"/>
  <c r="Z118" i="8"/>
  <c r="Z106" i="8"/>
  <c r="AA37" i="11"/>
  <c r="AI6" i="11"/>
  <c r="S9" i="11"/>
  <c r="AF6" i="11"/>
  <c r="AG6" i="11"/>
  <c r="AH6" i="11"/>
  <c r="AI40" i="11"/>
  <c r="AC118" i="8"/>
  <c r="U31" i="11"/>
  <c r="U38" i="11"/>
  <c r="U47" i="11" s="1"/>
  <c r="AE12" i="10"/>
  <c r="M31" i="11"/>
  <c r="M38" i="11"/>
  <c r="M47" i="11" s="1"/>
  <c r="AE106" i="8"/>
  <c r="AE37" i="11"/>
  <c r="AB54" i="11"/>
  <c r="X12" i="10"/>
  <c r="AI29" i="11"/>
  <c r="AF54" i="11"/>
  <c r="R26" i="11"/>
  <c r="R30" i="11" s="1"/>
  <c r="J27" i="11"/>
  <c r="AA6" i="11"/>
  <c r="Z6" i="11"/>
  <c r="K9" i="11"/>
  <c r="X6" i="11"/>
  <c r="Y6" i="11"/>
  <c r="AI44" i="11"/>
  <c r="I31" i="11"/>
  <c r="I38" i="11"/>
  <c r="I47" i="11" s="1"/>
  <c r="AI8" i="11"/>
  <c r="AG8" i="11"/>
  <c r="AH8" i="11"/>
  <c r="AF8" i="11"/>
  <c r="Q38" i="11"/>
  <c r="Q47" i="11" s="1"/>
  <c r="Q31" i="11"/>
  <c r="Z12" i="10"/>
  <c r="AI25" i="11"/>
  <c r="AA35" i="11"/>
  <c r="Y35" i="11"/>
  <c r="X35" i="11"/>
  <c r="Z35" i="11"/>
  <c r="AH146" i="8"/>
  <c r="AI146" i="8"/>
  <c r="Y12" i="10"/>
  <c r="V27" i="11"/>
  <c r="AA12" i="10"/>
  <c r="X8" i="11"/>
  <c r="Y8" i="11"/>
  <c r="AA8" i="11"/>
  <c r="Z8" i="11"/>
  <c r="AD146" i="8"/>
  <c r="Z146" i="8"/>
  <c r="AE6" i="11"/>
  <c r="AB6" i="11"/>
  <c r="O9" i="11"/>
  <c r="AC6" i="11"/>
  <c r="AD6" i="11"/>
  <c r="AF118" i="8"/>
  <c r="AI37" i="11"/>
  <c r="AI106" i="8"/>
  <c r="AE8" i="11"/>
  <c r="AC8" i="11"/>
  <c r="AB8" i="11"/>
  <c r="AD8" i="11"/>
  <c r="AG12" i="10"/>
  <c r="AG13" i="10" s="1"/>
  <c r="N27" i="11"/>
  <c r="AB12" i="10"/>
  <c r="AB112" i="8"/>
  <c r="Y106" i="8"/>
  <c r="AC106" i="8"/>
  <c r="AD118" i="8"/>
  <c r="Y107" i="8"/>
  <c r="AB107" i="8"/>
  <c r="AA146" i="8"/>
  <c r="X146" i="8"/>
  <c r="X111" i="8"/>
  <c r="AB110" i="8"/>
  <c r="AD106" i="8"/>
  <c r="AC110" i="8"/>
  <c r="X118" i="8"/>
  <c r="AD114" i="8"/>
  <c r="K130" i="8"/>
  <c r="AD110" i="8"/>
  <c r="AK110" i="8" s="1"/>
  <c r="Y146" i="8"/>
  <c r="AF129" i="8"/>
  <c r="Z107" i="8"/>
  <c r="Y110" i="8"/>
  <c r="X107" i="8"/>
  <c r="AE113" i="8"/>
  <c r="AC113" i="8"/>
  <c r="AB113" i="8"/>
  <c r="Y112" i="8"/>
  <c r="Y113" i="8"/>
  <c r="AE118" i="8"/>
  <c r="AB118" i="8"/>
  <c r="AB111" i="8"/>
  <c r="AE109" i="8"/>
  <c r="AC109" i="8"/>
  <c r="AE114" i="8"/>
  <c r="AB114" i="8"/>
  <c r="AG108" i="8"/>
  <c r="AF108" i="8"/>
  <c r="AD111" i="8"/>
  <c r="X110" i="8"/>
  <c r="AA109" i="8"/>
  <c r="Y109" i="8"/>
  <c r="X109" i="8"/>
  <c r="Z110" i="8"/>
  <c r="AC111" i="8"/>
  <c r="AA106" i="8"/>
  <c r="X106" i="8"/>
  <c r="AD107" i="8"/>
  <c r="AB109" i="8"/>
  <c r="AA111" i="8"/>
  <c r="Y111" i="8"/>
  <c r="Y114" i="8"/>
  <c r="AG129" i="8"/>
  <c r="X112" i="8"/>
  <c r="X108" i="8"/>
  <c r="AA113" i="8"/>
  <c r="X113" i="8"/>
  <c r="Y108" i="8"/>
  <c r="S130" i="8"/>
  <c r="AC107" i="8"/>
  <c r="Z114" i="8"/>
  <c r="AD112" i="8"/>
  <c r="AB106" i="8"/>
  <c r="AE108" i="8"/>
  <c r="AC108" i="8"/>
  <c r="AB108" i="8"/>
  <c r="C33" i="8"/>
  <c r="C39" i="8"/>
  <c r="C36" i="8"/>
  <c r="C94" i="8"/>
  <c r="C115" i="8" s="1"/>
  <c r="C139" i="8" s="1"/>
  <c r="Z112" i="8"/>
  <c r="AE146" i="8"/>
  <c r="AB146" i="8"/>
  <c r="AC146" i="8"/>
  <c r="AA118" i="8"/>
  <c r="Y118" i="8"/>
  <c r="Z108" i="8"/>
  <c r="AG146" i="8"/>
  <c r="AF146" i="8"/>
  <c r="X114" i="8"/>
  <c r="AH108" i="8"/>
  <c r="AK108" i="8" s="1"/>
  <c r="O130" i="8"/>
  <c r="AG29" i="11" l="1"/>
  <c r="AG37" i="11"/>
  <c r="AF37" i="11"/>
  <c r="AF33" i="11"/>
  <c r="AH37" i="11"/>
  <c r="AH33" i="11"/>
  <c r="AE130" i="8"/>
  <c r="AH130" i="8"/>
  <c r="AG33" i="11"/>
  <c r="AC37" i="11"/>
  <c r="AB37" i="11"/>
  <c r="AD37" i="11"/>
  <c r="Y37" i="11"/>
  <c r="AK37" i="11"/>
  <c r="X130" i="8"/>
  <c r="AG40" i="11"/>
  <c r="Z37" i="11"/>
  <c r="AK8" i="11"/>
  <c r="X37" i="11"/>
  <c r="AF44" i="11"/>
  <c r="AG44" i="11"/>
  <c r="AH44" i="11"/>
  <c r="AA9" i="11"/>
  <c r="AA10" i="11" s="1"/>
  <c r="AE44" i="11"/>
  <c r="AD44" i="11"/>
  <c r="AB44" i="11"/>
  <c r="AC44" i="11"/>
  <c r="AF9" i="11"/>
  <c r="AF29" i="11"/>
  <c r="AE29" i="11"/>
  <c r="AK29" i="11" s="1"/>
  <c r="AD29" i="11"/>
  <c r="AB29" i="11"/>
  <c r="AC29" i="11"/>
  <c r="AH40" i="11"/>
  <c r="AF25" i="11"/>
  <c r="S14" i="11"/>
  <c r="S11" i="11"/>
  <c r="S10" i="11"/>
  <c r="T11" i="11"/>
  <c r="AH29" i="11"/>
  <c r="AE40" i="11"/>
  <c r="AD40" i="11"/>
  <c r="AC40" i="11"/>
  <c r="AB40" i="11"/>
  <c r="Q48" i="11"/>
  <c r="AG25" i="11"/>
  <c r="AA44" i="11"/>
  <c r="Y44" i="11"/>
  <c r="Z44" i="11"/>
  <c r="X44" i="11"/>
  <c r="AK6" i="11"/>
  <c r="AI9" i="11"/>
  <c r="AA43" i="11"/>
  <c r="X43" i="11"/>
  <c r="Y43" i="11"/>
  <c r="Z43" i="11"/>
  <c r="AI121" i="8"/>
  <c r="AD9" i="11"/>
  <c r="AA40" i="11"/>
  <c r="Z40" i="11"/>
  <c r="Y40" i="11"/>
  <c r="X40" i="11"/>
  <c r="Y9" i="11"/>
  <c r="R27" i="11"/>
  <c r="AA29" i="11"/>
  <c r="Y29" i="11"/>
  <c r="Z29" i="11"/>
  <c r="X29" i="11"/>
  <c r="AC9" i="11"/>
  <c r="AA34" i="11"/>
  <c r="Z34" i="11"/>
  <c r="Y34" i="11"/>
  <c r="X34" i="11"/>
  <c r="X9" i="11"/>
  <c r="AH25" i="11"/>
  <c r="U48" i="11"/>
  <c r="AA25" i="11"/>
  <c r="X25" i="11"/>
  <c r="Z25" i="11"/>
  <c r="Y25" i="11"/>
  <c r="AI130" i="8"/>
  <c r="P11" i="11"/>
  <c r="O11" i="11"/>
  <c r="O14" i="11"/>
  <c r="O10" i="11"/>
  <c r="AE25" i="11"/>
  <c r="AK25" i="11" s="1"/>
  <c r="AC25" i="11"/>
  <c r="AD25" i="11"/>
  <c r="AB25" i="11"/>
  <c r="AI34" i="11"/>
  <c r="AH34" i="11"/>
  <c r="AG34" i="11"/>
  <c r="AF34" i="11"/>
  <c r="K14" i="11"/>
  <c r="L11" i="11"/>
  <c r="K11" i="11"/>
  <c r="AI32" i="8"/>
  <c r="AI23" i="8"/>
  <c r="N38" i="11"/>
  <c r="N47" i="11" s="1"/>
  <c r="N31" i="11"/>
  <c r="AE9" i="11"/>
  <c r="AE43" i="11"/>
  <c r="AD43" i="11"/>
  <c r="AB43" i="11"/>
  <c r="AC43" i="11"/>
  <c r="J38" i="11"/>
  <c r="J47" i="11" s="1"/>
  <c r="J31" i="11"/>
  <c r="AG9" i="11"/>
  <c r="AI43" i="11"/>
  <c r="AH43" i="11"/>
  <c r="AF43" i="11"/>
  <c r="AG43" i="11"/>
  <c r="AB9" i="11"/>
  <c r="AE34" i="11"/>
  <c r="AC34" i="11"/>
  <c r="AB34" i="11"/>
  <c r="AD34" i="11"/>
  <c r="V38" i="11"/>
  <c r="V47" i="11" s="1"/>
  <c r="V31" i="11"/>
  <c r="I48" i="11"/>
  <c r="Z9" i="11"/>
  <c r="M48" i="11"/>
  <c r="AE33" i="11"/>
  <c r="AK33" i="11" s="1"/>
  <c r="AB33" i="11"/>
  <c r="AD33" i="11"/>
  <c r="AC33" i="11"/>
  <c r="AH9" i="11"/>
  <c r="AA33" i="11"/>
  <c r="Z33" i="11"/>
  <c r="Y33" i="11"/>
  <c r="X33" i="11"/>
  <c r="AF40" i="11"/>
  <c r="Z130" i="8"/>
  <c r="AG130" i="8"/>
  <c r="AF130" i="8"/>
  <c r="AB130" i="8"/>
  <c r="AC130" i="8"/>
  <c r="AA130" i="8"/>
  <c r="Y130" i="8"/>
  <c r="AD130" i="8"/>
  <c r="AF138" i="8"/>
  <c r="AB138" i="8"/>
  <c r="H4" i="10"/>
  <c r="I4" i="10"/>
  <c r="J4" i="10"/>
  <c r="K4" i="10"/>
  <c r="L4" i="10"/>
  <c r="M4" i="10"/>
  <c r="X4" i="10" s="1"/>
  <c r="N4" i="10"/>
  <c r="Y4" i="10" s="1"/>
  <c r="O4" i="10"/>
  <c r="Z4" i="10" s="1"/>
  <c r="J85" i="11"/>
  <c r="I85" i="11"/>
  <c r="H85" i="11"/>
  <c r="F85" i="11"/>
  <c r="F94" i="11" s="1"/>
  <c r="E85" i="11"/>
  <c r="E94" i="11" s="1"/>
  <c r="D85" i="11"/>
  <c r="D94" i="11" s="1"/>
  <c r="U4" i="10"/>
  <c r="AF4" i="10" s="1"/>
  <c r="T4" i="10"/>
  <c r="AE4" i="10" s="1"/>
  <c r="S4" i="10"/>
  <c r="AD4" i="10" s="1"/>
  <c r="R4" i="10"/>
  <c r="AC4" i="10" s="1"/>
  <c r="Q4" i="10"/>
  <c r="AB4" i="10" s="1"/>
  <c r="P4" i="10"/>
  <c r="AA4" i="10" s="1"/>
  <c r="U3" i="10"/>
  <c r="AF3" i="10" s="1"/>
  <c r="T3" i="10"/>
  <c r="AE3" i="10" s="1"/>
  <c r="S3" i="10"/>
  <c r="AD3" i="10" s="1"/>
  <c r="R3" i="10"/>
  <c r="AC3" i="10" s="1"/>
  <c r="Q3" i="10"/>
  <c r="AB3" i="10" s="1"/>
  <c r="P3" i="10"/>
  <c r="AA3" i="10" s="1"/>
  <c r="O3" i="10"/>
  <c r="Z3" i="10" s="1"/>
  <c r="N3" i="10"/>
  <c r="Y3" i="10" s="1"/>
  <c r="M3" i="10"/>
  <c r="X3" i="10" s="1"/>
  <c r="L3" i="10"/>
  <c r="K3" i="10"/>
  <c r="J3" i="10"/>
  <c r="I3" i="10"/>
  <c r="H3" i="10"/>
  <c r="AC38" i="8"/>
  <c r="AB38" i="8"/>
  <c r="Z38" i="8"/>
  <c r="Y38" i="8"/>
  <c r="X38" i="8"/>
  <c r="AF38" i="8"/>
  <c r="S35" i="8"/>
  <c r="AF35" i="8" s="1"/>
  <c r="X13" i="8"/>
  <c r="K35" i="8"/>
  <c r="X35" i="8" s="1"/>
  <c r="Y25" i="8"/>
  <c r="Z17" i="8"/>
  <c r="V48" i="11" l="1"/>
  <c r="AA14" i="11"/>
  <c r="AA15" i="11" s="1"/>
  <c r="Z85" i="11"/>
  <c r="Z94" i="11" s="1"/>
  <c r="M85" i="11"/>
  <c r="M94" i="11" s="1"/>
  <c r="AC14" i="11"/>
  <c r="AC10" i="11"/>
  <c r="AD85" i="11"/>
  <c r="AD94" i="11" s="1"/>
  <c r="Q85" i="11"/>
  <c r="Q94" i="11" s="1"/>
  <c r="N48" i="11"/>
  <c r="K15" i="11"/>
  <c r="K22" i="11"/>
  <c r="X14" i="11"/>
  <c r="X10" i="11"/>
  <c r="AI14" i="11"/>
  <c r="AK9" i="11"/>
  <c r="AI10" i="11"/>
  <c r="AE85" i="11"/>
  <c r="AE94" i="11" s="1"/>
  <c r="R85" i="11"/>
  <c r="R94" i="11" s="1"/>
  <c r="AE14" i="11"/>
  <c r="AE10" i="11"/>
  <c r="AA85" i="11"/>
  <c r="AA94" i="11" s="1"/>
  <c r="N85" i="11"/>
  <c r="N94" i="11" s="1"/>
  <c r="AG85" i="11"/>
  <c r="AG94" i="11" s="1"/>
  <c r="T85" i="11"/>
  <c r="T94" i="11" s="1"/>
  <c r="O22" i="11"/>
  <c r="O15" i="11"/>
  <c r="R31" i="11"/>
  <c r="R38" i="11"/>
  <c r="R47" i="11" s="1"/>
  <c r="AD14" i="11"/>
  <c r="AD10" i="11"/>
  <c r="AF14" i="11"/>
  <c r="AF10" i="11"/>
  <c r="Z14" i="11"/>
  <c r="Z10" i="11"/>
  <c r="AB14" i="11"/>
  <c r="AB10" i="11"/>
  <c r="AH85" i="11"/>
  <c r="AH94" i="11" s="1"/>
  <c r="U85" i="11"/>
  <c r="U94" i="11" s="1"/>
  <c r="AI29" i="8"/>
  <c r="Y14" i="11"/>
  <c r="Y10" i="11"/>
  <c r="S22" i="11"/>
  <c r="S15" i="11"/>
  <c r="AC85" i="11"/>
  <c r="AC94" i="11" s="1"/>
  <c r="P85" i="11"/>
  <c r="P94" i="11" s="1"/>
  <c r="Y85" i="11"/>
  <c r="Y94" i="11" s="1"/>
  <c r="L85" i="11"/>
  <c r="L94" i="11" s="1"/>
  <c r="AH14" i="11"/>
  <c r="AH10" i="11"/>
  <c r="AG10" i="11"/>
  <c r="AG14" i="11"/>
  <c r="J48" i="11"/>
  <c r="AK34" i="11"/>
  <c r="AF10" i="8"/>
  <c r="AH10" i="8"/>
  <c r="AG10" i="8"/>
  <c r="AA13" i="8"/>
  <c r="AE13" i="8"/>
  <c r="AD13" i="8"/>
  <c r="AH13" i="8"/>
  <c r="AG13" i="8"/>
  <c r="AF13" i="8"/>
  <c r="AE17" i="8"/>
  <c r="AD17" i="8"/>
  <c r="X10" i="8"/>
  <c r="AA10" i="8"/>
  <c r="Z10" i="8"/>
  <c r="Y10" i="8"/>
  <c r="AE10" i="8"/>
  <c r="AB10" i="8"/>
  <c r="AD10" i="8"/>
  <c r="AC10" i="8"/>
  <c r="AH17" i="8"/>
  <c r="AG17" i="8"/>
  <c r="AF17" i="8"/>
  <c r="AK61" i="8"/>
  <c r="X138" i="8"/>
  <c r="AK35" i="8"/>
  <c r="AK38" i="8"/>
  <c r="Y13" i="8"/>
  <c r="X17" i="8"/>
  <c r="X25" i="8"/>
  <c r="Z25" i="8"/>
  <c r="AC13" i="8"/>
  <c r="AB13" i="8"/>
  <c r="AC25" i="8"/>
  <c r="AA25" i="8"/>
  <c r="AB25" i="8"/>
  <c r="AB17" i="8"/>
  <c r="AC17" i="8"/>
  <c r="AA17" i="8"/>
  <c r="Z13" i="8"/>
  <c r="Y17" i="8"/>
  <c r="AA22" i="11" l="1"/>
  <c r="AA26" i="11" s="1"/>
  <c r="AA30" i="11" s="1"/>
  <c r="AH22" i="11"/>
  <c r="AH15" i="11"/>
  <c r="AB22" i="11"/>
  <c r="AB15" i="11"/>
  <c r="AD22" i="11"/>
  <c r="AD15" i="11"/>
  <c r="AB85" i="11"/>
  <c r="AB94" i="11" s="1"/>
  <c r="O85" i="11"/>
  <c r="O94" i="11" s="1"/>
  <c r="Z22" i="11"/>
  <c r="Z15" i="11"/>
  <c r="Y22" i="11"/>
  <c r="Y15" i="11"/>
  <c r="O23" i="11"/>
  <c r="O26" i="11"/>
  <c r="O30" i="11" s="1"/>
  <c r="X85" i="11"/>
  <c r="X94" i="11" s="1"/>
  <c r="K85" i="11"/>
  <c r="K94" i="11" s="1"/>
  <c r="K26" i="11"/>
  <c r="K30" i="11" s="1"/>
  <c r="K23" i="11"/>
  <c r="AF15" i="11"/>
  <c r="AF22" i="11"/>
  <c r="AK10" i="11"/>
  <c r="AC15" i="11"/>
  <c r="AC22" i="11"/>
  <c r="AG22" i="11"/>
  <c r="AG15" i="11"/>
  <c r="X22" i="11"/>
  <c r="X15" i="11"/>
  <c r="AI39" i="8"/>
  <c r="AI36" i="8"/>
  <c r="AI33" i="8"/>
  <c r="AE15" i="11"/>
  <c r="AE22" i="11"/>
  <c r="AF85" i="11"/>
  <c r="AF94" i="11" s="1"/>
  <c r="S85" i="11"/>
  <c r="S94" i="11" s="1"/>
  <c r="S23" i="11"/>
  <c r="S26" i="11"/>
  <c r="S30" i="11" s="1"/>
  <c r="AI22" i="11"/>
  <c r="AK14" i="11"/>
  <c r="AI15" i="11"/>
  <c r="C135" i="8"/>
  <c r="C140" i="8" s="1"/>
  <c r="C142" i="8" s="1"/>
  <c r="AH107" i="8"/>
  <c r="AK107" i="8" s="1"/>
  <c r="AH113" i="8"/>
  <c r="AK113" i="8" s="1"/>
  <c r="AH112" i="8"/>
  <c r="AK112" i="8" s="1"/>
  <c r="AK21" i="8"/>
  <c r="AK20" i="8"/>
  <c r="AA23" i="11" l="1"/>
  <c r="AK15" i="11"/>
  <c r="S27" i="11"/>
  <c r="O27" i="11"/>
  <c r="X26" i="11"/>
  <c r="X30" i="11" s="1"/>
  <c r="X23" i="11"/>
  <c r="AE26" i="11"/>
  <c r="AE30" i="11" s="1"/>
  <c r="AE23" i="11"/>
  <c r="Y26" i="11"/>
  <c r="Y30" i="11" s="1"/>
  <c r="Y23" i="11"/>
  <c r="AB26" i="11"/>
  <c r="AB30" i="11" s="1"/>
  <c r="AB23" i="11"/>
  <c r="AA27" i="11"/>
  <c r="AF26" i="11"/>
  <c r="AF30" i="11" s="1"/>
  <c r="AF23" i="11"/>
  <c r="AG26" i="11"/>
  <c r="AG30" i="11" s="1"/>
  <c r="AG23" i="11"/>
  <c r="AI23" i="11"/>
  <c r="AI26" i="11"/>
  <c r="AI30" i="11" s="1"/>
  <c r="AK22" i="11"/>
  <c r="AD26" i="11"/>
  <c r="AD30" i="11" s="1"/>
  <c r="AD23" i="11"/>
  <c r="R48" i="11"/>
  <c r="AC23" i="11"/>
  <c r="AC26" i="11"/>
  <c r="AC30" i="11" s="1"/>
  <c r="K27" i="11"/>
  <c r="Z26" i="11"/>
  <c r="Z30" i="11" s="1"/>
  <c r="Z23" i="11"/>
  <c r="AH26" i="11"/>
  <c r="AH30" i="11" s="1"/>
  <c r="AH23" i="11"/>
  <c r="D133" i="8"/>
  <c r="AH106" i="8"/>
  <c r="AK106" i="8" s="1"/>
  <c r="AH111" i="8"/>
  <c r="AK111" i="8" s="1"/>
  <c r="AH114" i="8"/>
  <c r="AK114" i="8" s="1"/>
  <c r="AK118" i="8"/>
  <c r="N91" i="11" l="1" a="1"/>
  <c r="N91" i="11" s="1"/>
  <c r="N93" i="11" a="1"/>
  <c r="N93" i="11" s="1"/>
  <c r="N92" i="11" a="1"/>
  <c r="N92" i="11" s="1"/>
  <c r="N90" i="11"/>
  <c r="N89" i="11"/>
  <c r="L92" i="11" a="1"/>
  <c r="L92" i="11" s="1"/>
  <c r="K93" i="11" a="1"/>
  <c r="K93" i="11" s="1"/>
  <c r="L93" i="11" a="1"/>
  <c r="L93" i="11" s="1"/>
  <c r="K89" i="11"/>
  <c r="L91" i="11" a="1"/>
  <c r="L91" i="11" s="1"/>
  <c r="K90" i="11"/>
  <c r="M92" i="11" a="1"/>
  <c r="M92" i="11" s="1"/>
  <c r="L89" i="11"/>
  <c r="M91" i="11" a="1"/>
  <c r="M91" i="11" s="1"/>
  <c r="K92" i="11" a="1"/>
  <c r="K92" i="11" s="1"/>
  <c r="K91" i="11" a="1"/>
  <c r="K91" i="11" s="1"/>
  <c r="M93" i="11" a="1"/>
  <c r="M93" i="11" s="1"/>
  <c r="L90" i="11"/>
  <c r="M90" i="11"/>
  <c r="M89" i="11"/>
  <c r="U92" i="11" a="1"/>
  <c r="U92" i="11" s="1"/>
  <c r="T92" i="11" a="1"/>
  <c r="T92" i="11" s="1"/>
  <c r="S90" i="11"/>
  <c r="U93" i="11" a="1"/>
  <c r="U93" i="11" s="1"/>
  <c r="T89" i="11"/>
  <c r="U91" i="11" a="1"/>
  <c r="U91" i="11" s="1"/>
  <c r="S91" i="11" a="1"/>
  <c r="S91" i="11" s="1"/>
  <c r="S93" i="11" a="1"/>
  <c r="S93" i="11" s="1"/>
  <c r="U90" i="11"/>
  <c r="T90" i="11"/>
  <c r="T91" i="11" a="1"/>
  <c r="T91" i="11" s="1"/>
  <c r="U89" i="11"/>
  <c r="S89" i="11"/>
  <c r="S92" i="11" a="1"/>
  <c r="S92" i="11" s="1"/>
  <c r="T93" i="11" a="1"/>
  <c r="T93" i="11" s="1"/>
  <c r="R92" i="11" a="1"/>
  <c r="R92" i="11" s="1"/>
  <c r="R93" i="11" a="1"/>
  <c r="R93" i="11" s="1"/>
  <c r="R91" i="11" a="1"/>
  <c r="R91" i="11" s="1"/>
  <c r="R90" i="11"/>
  <c r="R89" i="11"/>
  <c r="O89" i="11"/>
  <c r="P91" i="11" a="1"/>
  <c r="P91" i="11" s="1"/>
  <c r="P89" i="11"/>
  <c r="O93" i="11" a="1"/>
  <c r="O93" i="11" s="1"/>
  <c r="Q90" i="11"/>
  <c r="O92" i="11" a="1"/>
  <c r="O92" i="11" s="1"/>
  <c r="O91" i="11" a="1"/>
  <c r="O91" i="11" s="1"/>
  <c r="Q89" i="11"/>
  <c r="Q91" i="11" a="1"/>
  <c r="Q91" i="11" s="1"/>
  <c r="P90" i="11"/>
  <c r="P92" i="11" a="1"/>
  <c r="P92" i="11" s="1"/>
  <c r="O90" i="11"/>
  <c r="Q93" i="11" a="1"/>
  <c r="Q93" i="11" s="1"/>
  <c r="P93" i="11" a="1"/>
  <c r="P93" i="11" s="1"/>
  <c r="Q92" i="11" a="1"/>
  <c r="Q92" i="11" s="1"/>
  <c r="AK23" i="11"/>
  <c r="Z27" i="11"/>
  <c r="AF27" i="11"/>
  <c r="AE27" i="11"/>
  <c r="K38" i="11"/>
  <c r="K47" i="11" s="1"/>
  <c r="K31" i="11"/>
  <c r="AA91" i="11"/>
  <c r="AA38" i="11"/>
  <c r="AA31" i="11"/>
  <c r="AA92" i="11" a="1"/>
  <c r="AA92" i="11" s="1"/>
  <c r="AA89" i="11"/>
  <c r="AA90" i="11"/>
  <c r="AA93" i="11" a="1"/>
  <c r="AA93" i="11" s="1"/>
  <c r="AI27" i="11"/>
  <c r="AK26" i="11"/>
  <c r="O31" i="11"/>
  <c r="O38" i="11"/>
  <c r="O47" i="11" s="1"/>
  <c r="AH27" i="11"/>
  <c r="AC27" i="11"/>
  <c r="X27" i="11"/>
  <c r="AB27" i="11"/>
  <c r="AD27" i="11"/>
  <c r="AG27" i="11"/>
  <c r="Y27" i="11"/>
  <c r="V92" i="11" a="1"/>
  <c r="V92" i="11" s="1"/>
  <c r="V91" i="11" a="1"/>
  <c r="V91" i="11" s="1"/>
  <c r="V93" i="11" a="1"/>
  <c r="V93" i="11" s="1"/>
  <c r="S38" i="11"/>
  <c r="S47" i="11" s="1"/>
  <c r="V89" i="11"/>
  <c r="V90" i="11"/>
  <c r="S31" i="11"/>
  <c r="AK27" i="11" l="1"/>
  <c r="AG91" i="11"/>
  <c r="AG38" i="11"/>
  <c r="AG93" i="11" a="1"/>
  <c r="AG93" i="11" s="1"/>
  <c r="AG90" i="11"/>
  <c r="AG89" i="11"/>
  <c r="AG31" i="11"/>
  <c r="AG92" i="11" a="1"/>
  <c r="AG92" i="11" s="1"/>
  <c r="AC90" i="11"/>
  <c r="AC91" i="11"/>
  <c r="AC38" i="11"/>
  <c r="AC92" i="11" a="1"/>
  <c r="AC92" i="11" s="1"/>
  <c r="AC93" i="11" a="1"/>
  <c r="AC93" i="11" s="1"/>
  <c r="AC31" i="11"/>
  <c r="AC89" i="11"/>
  <c r="K48" i="11"/>
  <c r="AA47" i="11"/>
  <c r="AA48" i="11" s="1"/>
  <c r="Z47" i="11"/>
  <c r="Y47" i="11"/>
  <c r="X47" i="11"/>
  <c r="AI38" i="11"/>
  <c r="AI93" i="11" a="1"/>
  <c r="AI93" i="11" s="1"/>
  <c r="AI92" i="11" a="1"/>
  <c r="AI92" i="11" s="1"/>
  <c r="AI31" i="11"/>
  <c r="AK30" i="11"/>
  <c r="AI89" i="11"/>
  <c r="AI90" i="11"/>
  <c r="AI91" i="11"/>
  <c r="AF91" i="11"/>
  <c r="AF38" i="11"/>
  <c r="AF89" i="11"/>
  <c r="AF93" i="11" a="1"/>
  <c r="AF93" i="11" s="1"/>
  <c r="AF92" i="11" a="1"/>
  <c r="AF92" i="11" s="1"/>
  <c r="AF31" i="11"/>
  <c r="AF90" i="11"/>
  <c r="AD38" i="11"/>
  <c r="AD31" i="11"/>
  <c r="AD93" i="11" a="1"/>
  <c r="AD93" i="11" s="1"/>
  <c r="AD92" i="11" a="1"/>
  <c r="AD92" i="11" s="1"/>
  <c r="AD90" i="11"/>
  <c r="AD89" i="11"/>
  <c r="AD91" i="11"/>
  <c r="AB93" i="11" a="1"/>
  <c r="AB93" i="11" s="1"/>
  <c r="AB92" i="11" a="1"/>
  <c r="AB92" i="11" s="1"/>
  <c r="AB91" i="11"/>
  <c r="AB38" i="11"/>
  <c r="AB31" i="11"/>
  <c r="AB89" i="11"/>
  <c r="AB90" i="11"/>
  <c r="Y90" i="11"/>
  <c r="Y89" i="11"/>
  <c r="Y92" i="11" a="1"/>
  <c r="Y92" i="11" s="1"/>
  <c r="Y31" i="11"/>
  <c r="Y93" i="11" a="1"/>
  <c r="Y93" i="11" s="1"/>
  <c r="Y91" i="11"/>
  <c r="Y38" i="11"/>
  <c r="Z31" i="11"/>
  <c r="Z91" i="11"/>
  <c r="Z38" i="11"/>
  <c r="Z93" i="11" a="1"/>
  <c r="Z93" i="11" s="1"/>
  <c r="Z92" i="11" a="1"/>
  <c r="Z92" i="11" s="1"/>
  <c r="Z89" i="11"/>
  <c r="Z90" i="11"/>
  <c r="S48" i="11"/>
  <c r="AE92" i="11" a="1"/>
  <c r="AE92" i="11" s="1"/>
  <c r="AE31" i="11"/>
  <c r="AE89" i="11"/>
  <c r="AE90" i="11"/>
  <c r="AE38" i="11"/>
  <c r="AE91" i="11"/>
  <c r="AE93" i="11" a="1"/>
  <c r="AE93" i="11" s="1"/>
  <c r="AH92" i="11" a="1"/>
  <c r="AH92" i="11" s="1"/>
  <c r="AH90" i="11"/>
  <c r="AH89" i="11"/>
  <c r="AH31" i="11"/>
  <c r="AH91" i="11"/>
  <c r="AH38" i="11"/>
  <c r="AH93" i="11" a="1"/>
  <c r="AH93" i="11" s="1"/>
  <c r="O48" i="11"/>
  <c r="X31" i="11"/>
  <c r="X91" i="11"/>
  <c r="X38" i="11"/>
  <c r="X89" i="11"/>
  <c r="X93" i="11" a="1"/>
  <c r="X93" i="11" s="1"/>
  <c r="X92" i="11" a="1"/>
  <c r="X92" i="11" s="1"/>
  <c r="X90" i="11"/>
  <c r="T66" i="8"/>
  <c r="AG64" i="11" s="1"/>
  <c r="R66" i="8"/>
  <c r="AE64" i="11" s="1"/>
  <c r="T121" i="8"/>
  <c r="P121" i="8"/>
  <c r="L121" i="8"/>
  <c r="S11" i="8"/>
  <c r="S13" i="10" s="1"/>
  <c r="O11" i="8"/>
  <c r="AA38" i="8"/>
  <c r="O35" i="8"/>
  <c r="AB35" i="8" s="1"/>
  <c r="K11" i="8"/>
  <c r="Q50" i="8"/>
  <c r="Q58" i="8" s="1"/>
  <c r="P50" i="8"/>
  <c r="P58" i="8" s="1"/>
  <c r="L50" i="8"/>
  <c r="L58" i="8" s="1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J66" i="8"/>
  <c r="I66" i="8"/>
  <c r="H50" i="8"/>
  <c r="H58" i="8" s="1"/>
  <c r="I50" i="8"/>
  <c r="I58" i="8" s="1"/>
  <c r="J50" i="8"/>
  <c r="J58" i="8" s="1"/>
  <c r="M50" i="8"/>
  <c r="M58" i="8" s="1"/>
  <c r="N50" i="8"/>
  <c r="N58" i="8" s="1"/>
  <c r="R50" i="8"/>
  <c r="R58" i="8" s="1"/>
  <c r="T50" i="8"/>
  <c r="T58" i="8" s="1"/>
  <c r="U50" i="8"/>
  <c r="U58" i="8" s="1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3" i="8"/>
  <c r="H42" i="8"/>
  <c r="F43" i="8"/>
  <c r="E43" i="8"/>
  <c r="D43" i="8"/>
  <c r="F42" i="8"/>
  <c r="E42" i="8"/>
  <c r="D42" i="8"/>
  <c r="U11" i="8"/>
  <c r="T11" i="8"/>
  <c r="R11" i="8"/>
  <c r="Q11" i="8"/>
  <c r="P11" i="8"/>
  <c r="N11" i="8"/>
  <c r="N13" i="10" s="1"/>
  <c r="M11" i="8"/>
  <c r="M13" i="10" s="1"/>
  <c r="L11" i="8"/>
  <c r="L13" i="10" s="1"/>
  <c r="J11" i="8"/>
  <c r="J13" i="10" s="1"/>
  <c r="I11" i="8"/>
  <c r="I13" i="10" s="1"/>
  <c r="H11" i="8"/>
  <c r="H13" i="10" s="1"/>
  <c r="F4" i="10"/>
  <c r="F3" i="10"/>
  <c r="AK31" i="11" l="1"/>
  <c r="AK38" i="11"/>
  <c r="AE47" i="11"/>
  <c r="AE48" i="11" s="1"/>
  <c r="AC47" i="11"/>
  <c r="AC48" i="11" s="1"/>
  <c r="AB47" i="11"/>
  <c r="AB48" i="11" s="1"/>
  <c r="AD47" i="11"/>
  <c r="AD48" i="11" s="1"/>
  <c r="X48" i="11"/>
  <c r="Y48" i="11"/>
  <c r="AI47" i="11"/>
  <c r="AI48" i="11" s="1"/>
  <c r="AH47" i="11"/>
  <c r="AH48" i="11" s="1"/>
  <c r="AG47" i="11"/>
  <c r="AG48" i="11" s="1"/>
  <c r="AF47" i="11"/>
  <c r="AF48" i="11" s="1"/>
  <c r="Z48" i="11"/>
  <c r="P14" i="8"/>
  <c r="P22" i="8" s="1"/>
  <c r="P13" i="10"/>
  <c r="K13" i="10"/>
  <c r="O13" i="10"/>
  <c r="R14" i="8"/>
  <c r="R15" i="8" s="1"/>
  <c r="R13" i="10"/>
  <c r="T14" i="8"/>
  <c r="T22" i="8" s="1"/>
  <c r="T28" i="8" s="1"/>
  <c r="T13" i="10"/>
  <c r="U14" i="8"/>
  <c r="U15" i="8" s="1"/>
  <c r="U13" i="10"/>
  <c r="Q14" i="8"/>
  <c r="Q15" i="8" s="1"/>
  <c r="Q13" i="10"/>
  <c r="H14" i="8"/>
  <c r="H15" i="8" s="1"/>
  <c r="R74" i="8"/>
  <c r="AE65" i="11" s="1"/>
  <c r="I14" i="8"/>
  <c r="I15" i="8" s="1"/>
  <c r="L14" i="8"/>
  <c r="L22" i="8" s="1"/>
  <c r="L28" i="8" s="1"/>
  <c r="I74" i="8"/>
  <c r="M14" i="8"/>
  <c r="M15" i="8" s="1"/>
  <c r="J74" i="8"/>
  <c r="N14" i="8"/>
  <c r="N15" i="8" s="1"/>
  <c r="J14" i="8"/>
  <c r="J22" i="8" s="1"/>
  <c r="P66" i="8"/>
  <c r="AC64" i="11" s="1"/>
  <c r="U66" i="8"/>
  <c r="AH64" i="11" s="1"/>
  <c r="M66" i="8"/>
  <c r="Z64" i="11" s="1"/>
  <c r="L66" i="8"/>
  <c r="Y64" i="11" s="1"/>
  <c r="Q66" i="8"/>
  <c r="AD64" i="11" s="1"/>
  <c r="F66" i="8"/>
  <c r="N66" i="8"/>
  <c r="AA64" i="11" s="1"/>
  <c r="U121" i="8"/>
  <c r="I121" i="8"/>
  <c r="K121" i="8"/>
  <c r="M121" i="8"/>
  <c r="Q121" i="8"/>
  <c r="R121" i="8"/>
  <c r="K14" i="8"/>
  <c r="K15" i="8" s="1"/>
  <c r="S14" i="8"/>
  <c r="S15" i="8" s="1"/>
  <c r="O14" i="8"/>
  <c r="O15" i="8" s="1"/>
  <c r="S66" i="8"/>
  <c r="AF64" i="11" s="1"/>
  <c r="S50" i="8"/>
  <c r="S58" i="8" s="1"/>
  <c r="O50" i="8"/>
  <c r="O58" i="8" s="1"/>
  <c r="O66" i="8"/>
  <c r="AB64" i="11" s="1"/>
  <c r="K50" i="8"/>
  <c r="K58" i="8" s="1"/>
  <c r="K66" i="8"/>
  <c r="X64" i="11" s="1"/>
  <c r="P28" i="8" l="1"/>
  <c r="P32" i="8" s="1"/>
  <c r="J28" i="8"/>
  <c r="J32" i="8" s="1"/>
  <c r="T29" i="8"/>
  <c r="T32" i="8"/>
  <c r="L29" i="8"/>
  <c r="L32" i="8"/>
  <c r="P15" i="8"/>
  <c r="Q22" i="8"/>
  <c r="R22" i="8"/>
  <c r="T23" i="8"/>
  <c r="T15" i="8"/>
  <c r="U22" i="8"/>
  <c r="H22" i="8"/>
  <c r="H28" i="8" s="1"/>
  <c r="M22" i="8"/>
  <c r="J84" i="8"/>
  <c r="J86" i="8" s="1"/>
  <c r="R84" i="8"/>
  <c r="R86" i="8" s="1"/>
  <c r="I84" i="8"/>
  <c r="I86" i="8" s="1"/>
  <c r="L23" i="8"/>
  <c r="L15" i="8"/>
  <c r="N22" i="8"/>
  <c r="I22" i="8"/>
  <c r="J15" i="8"/>
  <c r="S74" i="8"/>
  <c r="AF65" i="11" s="1"/>
  <c r="P74" i="8"/>
  <c r="AC65" i="11" s="1"/>
  <c r="N74" i="8"/>
  <c r="AA65" i="11" s="1"/>
  <c r="F74" i="8"/>
  <c r="M74" i="8"/>
  <c r="Z65" i="11" s="1"/>
  <c r="O74" i="8"/>
  <c r="AB65" i="11" s="1"/>
  <c r="U74" i="8"/>
  <c r="AH65" i="11" s="1"/>
  <c r="K74" i="8"/>
  <c r="X65" i="11" s="1"/>
  <c r="L74" i="8"/>
  <c r="Y65" i="11" s="1"/>
  <c r="Q74" i="8"/>
  <c r="AD65" i="11" s="1"/>
  <c r="T74" i="8"/>
  <c r="AG65" i="11" s="1"/>
  <c r="N121" i="8"/>
  <c r="J121" i="8"/>
  <c r="O121" i="8"/>
  <c r="K22" i="8"/>
  <c r="K28" i="8" s="1"/>
  <c r="S22" i="8"/>
  <c r="S28" i="8" s="1"/>
  <c r="O22" i="8"/>
  <c r="O28" i="8" s="1"/>
  <c r="P23" i="8"/>
  <c r="J23" i="8"/>
  <c r="N28" i="8" l="1"/>
  <c r="N32" i="8" s="1"/>
  <c r="U23" i="8"/>
  <c r="U28" i="8"/>
  <c r="U32" i="8" s="1"/>
  <c r="R28" i="8"/>
  <c r="R29" i="8" s="1"/>
  <c r="I28" i="8"/>
  <c r="I32" i="8" s="1"/>
  <c r="Q28" i="8"/>
  <c r="Q29" i="8" s="1"/>
  <c r="M28" i="8"/>
  <c r="M32" i="8" s="1"/>
  <c r="Q23" i="8"/>
  <c r="H29" i="8"/>
  <c r="H32" i="8"/>
  <c r="R23" i="8"/>
  <c r="T33" i="8"/>
  <c r="T39" i="8"/>
  <c r="T94" i="8"/>
  <c r="T115" i="8" s="1"/>
  <c r="T139" i="8" s="1"/>
  <c r="AG139" i="8" s="1"/>
  <c r="T36" i="8"/>
  <c r="H23" i="8"/>
  <c r="P84" i="8"/>
  <c r="P86" i="8" s="1"/>
  <c r="M23" i="8"/>
  <c r="N23" i="8"/>
  <c r="O84" i="8"/>
  <c r="O86" i="8" s="1"/>
  <c r="S84" i="8"/>
  <c r="S86" i="8" s="1"/>
  <c r="N84" i="8"/>
  <c r="N86" i="8" s="1"/>
  <c r="M84" i="8"/>
  <c r="M86" i="8" s="1"/>
  <c r="K84" i="8"/>
  <c r="K86" i="8" s="1"/>
  <c r="I23" i="8"/>
  <c r="U84" i="8"/>
  <c r="U86" i="8" s="1"/>
  <c r="T84" i="8"/>
  <c r="T86" i="8" s="1"/>
  <c r="Q84" i="8"/>
  <c r="Q86" i="8" s="1"/>
  <c r="L84" i="8"/>
  <c r="L86" i="8" s="1"/>
  <c r="O23" i="8"/>
  <c r="O32" i="8"/>
  <c r="K32" i="8"/>
  <c r="K23" i="8"/>
  <c r="S23" i="8"/>
  <c r="J29" i="8"/>
  <c r="P29" i="8"/>
  <c r="N29" i="8" l="1"/>
  <c r="Q32" i="8"/>
  <c r="M29" i="8"/>
  <c r="R32" i="8"/>
  <c r="I29" i="8"/>
  <c r="S29" i="8"/>
  <c r="S32" i="8"/>
  <c r="U29" i="8"/>
  <c r="O33" i="8"/>
  <c r="O94" i="8"/>
  <c r="O36" i="8"/>
  <c r="O39" i="8"/>
  <c r="K33" i="8"/>
  <c r="K94" i="8"/>
  <c r="K36" i="8"/>
  <c r="K39" i="8"/>
  <c r="I33" i="8"/>
  <c r="I94" i="8"/>
  <c r="I36" i="8"/>
  <c r="I39" i="8"/>
  <c r="M33" i="8"/>
  <c r="M39" i="8"/>
  <c r="M94" i="8"/>
  <c r="M36" i="8"/>
  <c r="L33" i="8"/>
  <c r="L39" i="8"/>
  <c r="L94" i="8"/>
  <c r="L115" i="8" s="1"/>
  <c r="L139" i="8" s="1"/>
  <c r="Y139" i="8" s="1"/>
  <c r="L36" i="8"/>
  <c r="U33" i="8"/>
  <c r="U36" i="8"/>
  <c r="U39" i="8"/>
  <c r="U94" i="8"/>
  <c r="K29" i="8"/>
  <c r="O29" i="8"/>
  <c r="U115" i="8" l="1"/>
  <c r="U139" i="8" s="1"/>
  <c r="AH139" i="8" s="1"/>
  <c r="N33" i="8"/>
  <c r="N39" i="8"/>
  <c r="N94" i="8"/>
  <c r="N115" i="8" s="1"/>
  <c r="N139" i="8" s="1"/>
  <c r="AA139" i="8" s="1"/>
  <c r="N36" i="8"/>
  <c r="R33" i="8"/>
  <c r="R94" i="8"/>
  <c r="R115" i="8" s="1"/>
  <c r="R139" i="8" s="1"/>
  <c r="AE139" i="8" s="1"/>
  <c r="R36" i="8"/>
  <c r="R39" i="8"/>
  <c r="S33" i="8"/>
  <c r="S94" i="8"/>
  <c r="AI94" i="8" s="1"/>
  <c r="AI115" i="8" s="1"/>
  <c r="S36" i="8"/>
  <c r="S39" i="8"/>
  <c r="P33" i="8"/>
  <c r="P94" i="8"/>
  <c r="P115" i="8" s="1"/>
  <c r="P139" i="8" s="1"/>
  <c r="AC139" i="8" s="1"/>
  <c r="P36" i="8"/>
  <c r="P39" i="8"/>
  <c r="J33" i="8"/>
  <c r="J94" i="8"/>
  <c r="J115" i="8" s="1"/>
  <c r="J139" i="8" s="1"/>
  <c r="J36" i="8"/>
  <c r="J39" i="8"/>
  <c r="Q33" i="8"/>
  <c r="Q94" i="8"/>
  <c r="Q115" i="8" s="1"/>
  <c r="Q139" i="8" s="1"/>
  <c r="AD139" i="8" s="1"/>
  <c r="Q36" i="8"/>
  <c r="Q39" i="8"/>
  <c r="I115" i="8"/>
  <c r="I139" i="8" s="1"/>
  <c r="K115" i="8"/>
  <c r="K139" i="8" s="1"/>
  <c r="X139" i="8" s="1"/>
  <c r="Z94" i="8"/>
  <c r="M115" i="8"/>
  <c r="M139" i="8" s="1"/>
  <c r="Z139" i="8" s="1"/>
  <c r="Y94" i="8" l="1"/>
  <c r="X94" i="8"/>
  <c r="B91" i="8" l="1"/>
  <c r="B90" i="8"/>
  <c r="H91" i="8"/>
  <c r="H90" i="8"/>
  <c r="F91" i="8"/>
  <c r="E91" i="8"/>
  <c r="D91" i="8"/>
  <c r="F90" i="8"/>
  <c r="E90" i="8"/>
  <c r="D90" i="8"/>
  <c r="B43" i="8"/>
  <c r="B42" i="8"/>
  <c r="AH43" i="8"/>
  <c r="AG43" i="8"/>
  <c r="AF43" i="8"/>
  <c r="AD43" i="8"/>
  <c r="AC43" i="8"/>
  <c r="AB43" i="8"/>
  <c r="Z43" i="8"/>
  <c r="Y43" i="8"/>
  <c r="X43" i="8"/>
  <c r="AE43" i="8"/>
  <c r="AA43" i="8"/>
  <c r="AH42" i="8"/>
  <c r="AG42" i="8"/>
  <c r="AF42" i="8"/>
  <c r="AE42" i="8"/>
  <c r="AD42" i="8"/>
  <c r="AC42" i="8"/>
  <c r="AB42" i="8"/>
  <c r="AA42" i="8"/>
  <c r="Z42" i="8"/>
  <c r="Y42" i="8"/>
  <c r="X42" i="8"/>
  <c r="X90" i="8" l="1"/>
  <c r="AA90" i="8"/>
  <c r="AB90" i="8"/>
  <c r="AB91" i="8"/>
  <c r="AE90" i="8"/>
  <c r="AF90" i="8"/>
  <c r="AA91" i="8"/>
  <c r="AF91" i="8"/>
  <c r="AG91" i="8"/>
  <c r="AD90" i="8"/>
  <c r="Y90" i="8"/>
  <c r="AG90" i="8"/>
  <c r="AD91" i="8"/>
  <c r="AC91" i="8"/>
  <c r="Z90" i="8"/>
  <c r="AH90" i="8"/>
  <c r="AE91" i="8"/>
  <c r="X91" i="8"/>
  <c r="Y91" i="8"/>
  <c r="AC90" i="8"/>
  <c r="Z91" i="8"/>
  <c r="AH91" i="8"/>
  <c r="AC11" i="8" l="1"/>
  <c r="AA13" i="10" s="1"/>
  <c r="E50" i="8"/>
  <c r="E58" i="8" s="1"/>
  <c r="D50" i="8"/>
  <c r="D58" i="8" s="1"/>
  <c r="F50" i="8"/>
  <c r="F58" i="8" s="1"/>
  <c r="X66" i="8" l="1"/>
  <c r="X74" i="8" s="1"/>
  <c r="X50" i="8"/>
  <c r="X58" i="8" s="1"/>
  <c r="AD11" i="8"/>
  <c r="AB13" i="10" s="1"/>
  <c r="AC14" i="8"/>
  <c r="AC22" i="8" s="1"/>
  <c r="AD50" i="8"/>
  <c r="AD58" i="8" s="1"/>
  <c r="AB50" i="8"/>
  <c r="AB58" i="8" s="1"/>
  <c r="AD66" i="8"/>
  <c r="AD74" i="8" s="1"/>
  <c r="AC66" i="8"/>
  <c r="AC74" i="8" s="1"/>
  <c r="Y66" i="8"/>
  <c r="Y74" i="8" s="1"/>
  <c r="AA11" i="8"/>
  <c r="Y13" i="10" s="1"/>
  <c r="Y50" i="8"/>
  <c r="Y58" i="8" s="1"/>
  <c r="AC50" i="8"/>
  <c r="AC58" i="8" s="1"/>
  <c r="AB11" i="8"/>
  <c r="Z13" i="10" s="1"/>
  <c r="Z50" i="8"/>
  <c r="Z58" i="8" s="1"/>
  <c r="Z66" i="8"/>
  <c r="Z74" i="8" s="1"/>
  <c r="AB66" i="8"/>
  <c r="AB74" i="8" s="1"/>
  <c r="AF50" i="8"/>
  <c r="AF58" i="8" s="1"/>
  <c r="AF11" i="8"/>
  <c r="AD13" i="10" s="1"/>
  <c r="AF66" i="8"/>
  <c r="AF74" i="8" s="1"/>
  <c r="AG66" i="8"/>
  <c r="AG74" i="8" s="1"/>
  <c r="AE11" i="8"/>
  <c r="AC13" i="10" s="1"/>
  <c r="AG11" i="8"/>
  <c r="AE13" i="10" s="1"/>
  <c r="AG50" i="8"/>
  <c r="AG58" i="8" s="1"/>
  <c r="AC28" i="8" l="1"/>
  <c r="AC32" i="8" s="1"/>
  <c r="AC23" i="8"/>
  <c r="AB14" i="8"/>
  <c r="AB22" i="8" s="1"/>
  <c r="X84" i="8"/>
  <c r="X86" i="8" s="1"/>
  <c r="AF14" i="8"/>
  <c r="AF22" i="8" s="1"/>
  <c r="AK10" i="8"/>
  <c r="AD84" i="8"/>
  <c r="AD86" i="8" s="1"/>
  <c r="AB84" i="8"/>
  <c r="AB86" i="8" s="1"/>
  <c r="Z84" i="8"/>
  <c r="Z86" i="8" s="1"/>
  <c r="AK17" i="8"/>
  <c r="AC84" i="8"/>
  <c r="AC86" i="8" s="1"/>
  <c r="AD14" i="8"/>
  <c r="AD22" i="8" s="1"/>
  <c r="Y84" i="8"/>
  <c r="Y86" i="8" s="1"/>
  <c r="AA14" i="8"/>
  <c r="AA22" i="8" s="1"/>
  <c r="AC15" i="8"/>
  <c r="AK13" i="8"/>
  <c r="AF84" i="8"/>
  <c r="AF86" i="8" s="1"/>
  <c r="AG14" i="8"/>
  <c r="AG22" i="8" s="1"/>
  <c r="AE14" i="8"/>
  <c r="AE22" i="8" s="1"/>
  <c r="AG84" i="8"/>
  <c r="AG86" i="8" s="1"/>
  <c r="AA28" i="8" l="1"/>
  <c r="AA32" i="8" s="1"/>
  <c r="AD28" i="8"/>
  <c r="AD32" i="8" s="1"/>
  <c r="AE28" i="8"/>
  <c r="AE32" i="8" s="1"/>
  <c r="AB28" i="8"/>
  <c r="AB32" i="8" s="1"/>
  <c r="AF28" i="8"/>
  <c r="AF32" i="8" s="1"/>
  <c r="AG28" i="8"/>
  <c r="AG32" i="8" s="1"/>
  <c r="AC33" i="8"/>
  <c r="AC39" i="8"/>
  <c r="AC36" i="8"/>
  <c r="AB23" i="8"/>
  <c r="AA23" i="8"/>
  <c r="AD23" i="8"/>
  <c r="AF23" i="8"/>
  <c r="AE23" i="8"/>
  <c r="AG23" i="8"/>
  <c r="AF15" i="8"/>
  <c r="AE15" i="8"/>
  <c r="AB15" i="8"/>
  <c r="AG15" i="8"/>
  <c r="AD15" i="8"/>
  <c r="AC29" i="8"/>
  <c r="AA15" i="8"/>
  <c r="AD33" i="8" l="1"/>
  <c r="AD39" i="8"/>
  <c r="AD36" i="8"/>
  <c r="AG33" i="8"/>
  <c r="AG36" i="8"/>
  <c r="AG39" i="8"/>
  <c r="AE33" i="8"/>
  <c r="AE36" i="8"/>
  <c r="AE39" i="8"/>
  <c r="AB33" i="8"/>
  <c r="AB39" i="8"/>
  <c r="AB36" i="8"/>
  <c r="AF33" i="8"/>
  <c r="AF36" i="8"/>
  <c r="AF39" i="8"/>
  <c r="AA33" i="8"/>
  <c r="AA36" i="8"/>
  <c r="AA39" i="8"/>
  <c r="AB29" i="8"/>
  <c r="AA29" i="8"/>
  <c r="AF29" i="8"/>
  <c r="AG29" i="8"/>
  <c r="AD29" i="8"/>
  <c r="AE29" i="8"/>
  <c r="AA66" i="8" l="1"/>
  <c r="AE66" i="8"/>
  <c r="AE74" i="8" s="1"/>
  <c r="AA74" i="8" l="1"/>
  <c r="AA84" i="8" s="1"/>
  <c r="Y121" i="8"/>
  <c r="Z121" i="8"/>
  <c r="X121" i="8"/>
  <c r="AD121" i="8"/>
  <c r="AA121" i="8"/>
  <c r="AB121" i="8"/>
  <c r="AC121" i="8"/>
  <c r="AE121" i="8"/>
  <c r="AG121" i="8"/>
  <c r="AF121" i="8"/>
  <c r="F11" i="8" l="1"/>
  <c r="F13" i="10" s="1"/>
  <c r="E11" i="8"/>
  <c r="E13" i="10" s="1"/>
  <c r="D11" i="8"/>
  <c r="D13" i="10" s="1"/>
  <c r="H121" i="8"/>
  <c r="F121" i="8"/>
  <c r="E121" i="8"/>
  <c r="D121" i="8"/>
  <c r="H66" i="8"/>
  <c r="E66" i="8"/>
  <c r="D66" i="8"/>
  <c r="AH11" i="8"/>
  <c r="AF13" i="10" s="1"/>
  <c r="H74" i="8" l="1"/>
  <c r="E74" i="8"/>
  <c r="D74" i="8"/>
  <c r="AK11" i="8"/>
  <c r="AE84" i="8"/>
  <c r="E14" i="8"/>
  <c r="E22" i="8" s="1"/>
  <c r="D14" i="8"/>
  <c r="D22" i="8" s="1"/>
  <c r="F14" i="8"/>
  <c r="F22" i="8" s="1"/>
  <c r="AH66" i="8"/>
  <c r="AH74" i="8" s="1"/>
  <c r="AK83" i="8"/>
  <c r="F28" i="8" l="1"/>
  <c r="F32" i="8" s="1"/>
  <c r="E28" i="8"/>
  <c r="E32" i="8" s="1"/>
  <c r="D28" i="8"/>
  <c r="D32" i="8" s="1"/>
  <c r="D84" i="8"/>
  <c r="D86" i="8" s="1"/>
  <c r="D23" i="8"/>
  <c r="E23" i="8"/>
  <c r="F23" i="8"/>
  <c r="AE50" i="8"/>
  <c r="H84" i="8"/>
  <c r="H86" i="8" s="1"/>
  <c r="AA50" i="8"/>
  <c r="E84" i="8"/>
  <c r="E86" i="8" s="1"/>
  <c r="F84" i="8"/>
  <c r="F86" i="8" s="1"/>
  <c r="AK74" i="8"/>
  <c r="AK66" i="8"/>
  <c r="AH50" i="8"/>
  <c r="AH58" i="8" s="1"/>
  <c r="E15" i="8"/>
  <c r="F15" i="8"/>
  <c r="D15" i="8"/>
  <c r="AH14" i="8"/>
  <c r="AH22" i="8" s="1"/>
  <c r="AH28" i="8" s="1"/>
  <c r="H33" i="8" l="1"/>
  <c r="H94" i="8"/>
  <c r="H36" i="8"/>
  <c r="H39" i="8"/>
  <c r="AD94" i="8"/>
  <c r="AF94" i="8"/>
  <c r="AH94" i="8"/>
  <c r="AG94" i="8"/>
  <c r="AE94" i="8"/>
  <c r="AA58" i="8"/>
  <c r="AA86" i="8" s="1"/>
  <c r="AE58" i="8"/>
  <c r="AE86" i="8" s="1"/>
  <c r="AK22" i="8"/>
  <c r="AH32" i="8"/>
  <c r="D29" i="8"/>
  <c r="AH23" i="8"/>
  <c r="AK23" i="8" s="1"/>
  <c r="F29" i="8"/>
  <c r="E29" i="8"/>
  <c r="AK130" i="8"/>
  <c r="AH84" i="8"/>
  <c r="AK84" i="8" s="1"/>
  <c r="AK58" i="8"/>
  <c r="AK50" i="8"/>
  <c r="AK14" i="8"/>
  <c r="AH121" i="8"/>
  <c r="AK121" i="8" s="1"/>
  <c r="AH15" i="8"/>
  <c r="AK15" i="8" s="1"/>
  <c r="E33" i="8" l="1"/>
  <c r="E39" i="8"/>
  <c r="E94" i="8"/>
  <c r="E115" i="8" s="1"/>
  <c r="E139" i="8" s="1"/>
  <c r="E36" i="8"/>
  <c r="F33" i="8"/>
  <c r="F94" i="8"/>
  <c r="F115" i="8" s="1"/>
  <c r="F139" i="8" s="1"/>
  <c r="F36" i="8"/>
  <c r="F39" i="8"/>
  <c r="O115" i="8"/>
  <c r="O139" i="8" s="1"/>
  <c r="AB139" i="8" s="1"/>
  <c r="AA94" i="8"/>
  <c r="AB94" i="8"/>
  <c r="AC94" i="8"/>
  <c r="AK28" i="8"/>
  <c r="S115" i="8"/>
  <c r="S139" i="8" s="1"/>
  <c r="AF139" i="8" s="1"/>
  <c r="H115" i="8"/>
  <c r="H139" i="8" s="1"/>
  <c r="AH86" i="8"/>
  <c r="AH29" i="8"/>
  <c r="AK29" i="8" s="1"/>
  <c r="D33" i="8" l="1"/>
  <c r="D39" i="8"/>
  <c r="D94" i="8"/>
  <c r="D115" i="8" s="1"/>
  <c r="D139" i="8" s="1"/>
  <c r="D36" i="8"/>
  <c r="AH33" i="8"/>
  <c r="AK33" i="8" s="1"/>
  <c r="AH36" i="8"/>
  <c r="AH39" i="8"/>
  <c r="AK32" i="8"/>
  <c r="AD115" i="8"/>
  <c r="AE115" i="8"/>
  <c r="AA115" i="8" l="1"/>
  <c r="AB115" i="8"/>
  <c r="AC115" i="8"/>
  <c r="AK36" i="8" l="1"/>
  <c r="AK39" i="8"/>
  <c r="D135" i="8" l="1"/>
  <c r="D140" i="8" l="1"/>
  <c r="D142" i="8" s="1"/>
  <c r="H133" i="8"/>
  <c r="H135" i="8" s="1"/>
  <c r="H140" i="8" s="1"/>
  <c r="H142" i="8" s="1"/>
  <c r="E133" i="8" l="1"/>
  <c r="E135" i="8" s="1"/>
  <c r="E140" i="8" s="1"/>
  <c r="E142" i="8" s="1"/>
  <c r="I133" i="8"/>
  <c r="I135" i="8" s="1"/>
  <c r="I140" i="8" s="1"/>
  <c r="I142" i="8" s="1"/>
  <c r="F133" i="8" l="1"/>
  <c r="F135" i="8" s="1"/>
  <c r="F140" i="8" s="1"/>
  <c r="F142" i="8" s="1"/>
  <c r="J133" i="8"/>
  <c r="J135" i="8" s="1"/>
  <c r="J140" i="8" s="1"/>
  <c r="J142" i="8" s="1"/>
  <c r="K133" i="8" l="1"/>
  <c r="K135" i="8" s="1"/>
  <c r="K140" i="8" l="1"/>
  <c r="K142" i="8" s="1"/>
  <c r="X133" i="8"/>
  <c r="L133" i="8" l="1"/>
  <c r="L135" i="8" s="1"/>
  <c r="L140" i="8" s="1"/>
  <c r="L142" i="8" s="1"/>
  <c r="M133" i="8" l="1"/>
  <c r="M135" i="8" s="1"/>
  <c r="M140" i="8" s="1"/>
  <c r="M142" i="8" s="1"/>
  <c r="N133" i="8" l="1"/>
  <c r="N135" i="8" s="1"/>
  <c r="N140" i="8" s="1"/>
  <c r="N142" i="8" s="1"/>
  <c r="O133" i="8" l="1"/>
  <c r="O135" i="8" s="1"/>
  <c r="O140" i="8" s="1"/>
  <c r="O142" i="8" s="1"/>
  <c r="P133" i="8" l="1"/>
  <c r="P135" i="8" s="1"/>
  <c r="P140" i="8" s="1"/>
  <c r="P142" i="8" s="1"/>
  <c r="Q133" i="8" l="1"/>
  <c r="Q135" i="8" s="1"/>
  <c r="Q140" i="8" s="1"/>
  <c r="Q142" i="8" s="1"/>
  <c r="R133" i="8" l="1"/>
  <c r="R135" i="8" s="1"/>
  <c r="R140" i="8" s="1"/>
  <c r="R142" i="8" s="1"/>
  <c r="S133" i="8" l="1"/>
  <c r="S135" i="8" s="1"/>
  <c r="S140" i="8" s="1"/>
  <c r="S142" i="8" s="1"/>
  <c r="T133" i="8" l="1"/>
  <c r="T135" i="8" s="1"/>
  <c r="T140" i="8" s="1"/>
  <c r="T142" i="8" s="1"/>
  <c r="X135" i="8"/>
  <c r="U133" i="8" l="1"/>
  <c r="U135" i="8" s="1"/>
  <c r="U140" i="8" s="1"/>
  <c r="U142" i="8" s="1"/>
  <c r="Z115" i="8"/>
  <c r="X11" i="8"/>
  <c r="Z11" i="8"/>
  <c r="X13" i="10" s="1"/>
  <c r="Y11" i="8"/>
  <c r="Y14" i="8" s="1"/>
  <c r="V133" i="8" l="1"/>
  <c r="V135" i="8" s="1"/>
  <c r="V140" i="8" s="1"/>
  <c r="V142" i="8" s="1"/>
  <c r="Y22" i="8"/>
  <c r="Y15" i="8"/>
  <c r="Z14" i="8"/>
  <c r="X14" i="8"/>
  <c r="Y28" i="8" l="1"/>
  <c r="Y32" i="8" s="1"/>
  <c r="Z22" i="8"/>
  <c r="Z15" i="8"/>
  <c r="X15" i="8"/>
  <c r="X22" i="8"/>
  <c r="Y23" i="8"/>
  <c r="X28" i="8" l="1"/>
  <c r="X32" i="8" s="1"/>
  <c r="Z28" i="8"/>
  <c r="Z32" i="8" s="1"/>
  <c r="Y29" i="8"/>
  <c r="X23" i="8"/>
  <c r="Z23" i="8"/>
  <c r="Y33" i="8" l="1"/>
  <c r="Y36" i="8"/>
  <c r="Y39" i="8"/>
  <c r="Z29" i="8"/>
  <c r="X29" i="8"/>
  <c r="X33" i="8" l="1"/>
  <c r="X36" i="8"/>
  <c r="X39" i="8"/>
  <c r="Z33" i="8"/>
  <c r="Z39" i="8"/>
  <c r="Z36" i="8"/>
  <c r="AF115" i="8"/>
  <c r="AG115" i="8"/>
  <c r="Y115" i="8"/>
  <c r="X115" i="8"/>
  <c r="X140" i="8" l="1"/>
  <c r="AH115" i="8"/>
  <c r="AK94" i="8"/>
  <c r="X142" i="8" l="1"/>
  <c r="Y133" i="8"/>
  <c r="Y135" i="8" s="1"/>
  <c r="Y140" i="8" s="1"/>
  <c r="AK115" i="8"/>
  <c r="Y142" i="8" l="1"/>
  <c r="Z133" i="8"/>
  <c r="Z135" i="8" s="1"/>
  <c r="Z140" i="8" s="1"/>
  <c r="Z142" i="8" l="1"/>
  <c r="AA133" i="8"/>
  <c r="AA135" i="8" s="1"/>
  <c r="AA140" i="8" s="1"/>
  <c r="AA142" i="8" l="1"/>
  <c r="AB133" i="8"/>
  <c r="AB135" i="8" s="1"/>
  <c r="AB140" i="8" s="1"/>
  <c r="AB142" i="8" l="1"/>
  <c r="AC133" i="8"/>
  <c r="AC135" i="8" s="1"/>
  <c r="AC140" i="8" s="1"/>
  <c r="AC142" i="8" l="1"/>
  <c r="AD133" i="8"/>
  <c r="AD135" i="8" s="1"/>
  <c r="AD140" i="8" s="1"/>
  <c r="AD142" i="8" l="1"/>
  <c r="AE133" i="8"/>
  <c r="AE135" i="8" s="1"/>
  <c r="AE140" i="8" s="1"/>
  <c r="AE142" i="8" l="1"/>
  <c r="AF133" i="8"/>
  <c r="AF135" i="8" s="1"/>
  <c r="AF140" i="8" s="1"/>
  <c r="AF142" i="8" l="1"/>
  <c r="AG133" i="8"/>
  <c r="AG135" i="8" s="1"/>
  <c r="AG140" i="8" s="1"/>
  <c r="AG142" i="8" l="1"/>
  <c r="AH133" i="8"/>
  <c r="AH135" i="8" s="1"/>
  <c r="AH140" i="8" s="1"/>
  <c r="AH142" i="8" l="1"/>
  <c r="AI133" i="8"/>
  <c r="AI135" i="8" s="1"/>
  <c r="AI140" i="8" s="1"/>
  <c r="AI142" i="8" s="1"/>
  <c r="X20" i="10" l="1"/>
  <c r="X22" i="10" s="1"/>
  <c r="X23" i="10" s="1"/>
  <c r="Y20" i="10"/>
  <c r="Z20" i="10"/>
  <c r="AA20" i="10"/>
  <c r="AB20" i="10"/>
  <c r="AC20" i="10"/>
  <c r="X21" i="10"/>
  <c r="Y21" i="10"/>
  <c r="Z21" i="10"/>
  <c r="Z22" i="10" s="1"/>
  <c r="Z23" i="10" s="1"/>
  <c r="AA21" i="10"/>
  <c r="AA22" i="10" s="1"/>
  <c r="AA23" i="10" s="1"/>
  <c r="AB21" i="10"/>
  <c r="AC21" i="10"/>
  <c r="K22" i="10"/>
  <c r="K23" i="10" s="1"/>
  <c r="O22" i="10"/>
  <c r="O23" i="10" s="1"/>
  <c r="AD20" i="10"/>
  <c r="AE20" i="10"/>
  <c r="AF20" i="10"/>
  <c r="AG20" i="10"/>
  <c r="AD21" i="10"/>
  <c r="AE21" i="10"/>
  <c r="AE22" i="10" s="1"/>
  <c r="AE23" i="10" s="1"/>
  <c r="AF21" i="10"/>
  <c r="AF22" i="10" s="1"/>
  <c r="AF23" i="10" s="1"/>
  <c r="AG21" i="10"/>
  <c r="S22" i="10"/>
  <c r="S23" i="10" s="1"/>
  <c r="O26" i="10" l="1"/>
  <c r="Z26" i="10" s="1"/>
  <c r="O25" i="10"/>
  <c r="Z25" i="10" s="1"/>
  <c r="K25" i="10"/>
  <c r="AG22" i="10"/>
  <c r="AG23" i="10" s="1"/>
  <c r="AC22" i="10"/>
  <c r="AC23" i="10" s="1"/>
  <c r="AB22" i="10"/>
  <c r="AB23" i="10" s="1"/>
  <c r="S26" i="10"/>
  <c r="AD26" i="10" s="1"/>
  <c r="S25" i="10"/>
  <c r="AD25" i="10" s="1"/>
  <c r="AD22" i="10"/>
  <c r="AD23" i="10" s="1"/>
  <c r="Y22" i="10"/>
  <c r="Y23" i="10" s="1"/>
  <c r="K26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<sst xmlns="http://schemas.openxmlformats.org/spreadsheetml/2006/main" count="267" uniqueCount="203">
  <si>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</si>
  <si>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</si>
  <si>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</si>
  <si>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</si>
  <si>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</si>
  <si>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</si>
  <si>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</si>
  <si>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</si>
  <si>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</si>
  <si>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</si>
  <si>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</si>
  <si>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</si>
  <si>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</si>
  <si>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</si>
  <si>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</si>
  <si>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</si>
  <si>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</si>
  <si>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</si>
  <si>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</si>
  <si>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</si>
  <si>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</si>
  <si>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</si>
  <si>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</si>
  <si>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</si>
  <si>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</si>
  <si>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</si>
  <si>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</si>
  <si>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</si>
  <si>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</si>
  <si>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</si>
  <si>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</si>
  <si>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</si>
  <si>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</si>
  <si>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</si>
  <si>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</si>
  <si>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</si>
  <si>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</si>
  <si>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</si>
  <si>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</si>
  <si>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</si>
  <si>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</si>
  <si>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</si>
  <si>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</si>
  <si>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</si>
  <si>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</si>
  <si>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</si>
  <si>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</si>
  <si>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Balance Sheet Metrics:</t>
  </si>
  <si>
    <t>Accounts Payable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</si>
  <si>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</si>
  <si>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</si>
  <si>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</si>
  <si>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</si>
  <si>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</si>
  <si>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</si>
  <si>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</si>
  <si>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</si>
  <si>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</si>
  <si>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</si>
  <si>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</si>
  <si>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</si>
  <si>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</si>
  <si>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</si>
  <si>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</si>
  <si>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</si>
  <si>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</si>
  <si>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</si>
  <si>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</si>
  <si>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</si>
  <si>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</si>
  <si>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</si>
  <si>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</si>
  <si>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</si>
  <si>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</si>
  <si>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Cash paid for interest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</si>
  <si>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</si>
  <si>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</si>
  <si>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</si>
  <si>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</si>
  <si>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</si>
  <si>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</si>
  <si>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</si>
  <si>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</si>
  <si>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</si>
  <si>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</si>
  <si>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</si>
  <si>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</si>
  <si>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</si>
  <si>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Non-Current Liabilities</t>
  </si>
  <si>
    <t>Cash and cash equivalents</t>
  </si>
  <si>
    <t>Property and equipment, net</t>
  </si>
  <si>
    <t>Additional paid-in capital</t>
  </si>
  <si>
    <t>$ in thousands except per share</t>
  </si>
  <si>
    <t>Supplemental disclosures of other cash flow information:</t>
  </si>
  <si>
    <t>Revenue Segment Anaysis</t>
  </si>
  <si>
    <t>Prepaid expenses and other current assets</t>
  </si>
  <si>
    <t>Other long-term liabilities</t>
  </si>
  <si>
    <t>Operating lease liabilities</t>
  </si>
  <si>
    <t>Income taxes paid</t>
  </si>
  <si>
    <t>BOP Restricted Cash Adjustment</t>
  </si>
  <si>
    <t>EOP FX Adjustment</t>
  </si>
  <si>
    <t>EOP Restricted Cash Adjustment</t>
  </si>
  <si>
    <t>Unrestricted Cash BOP</t>
  </si>
  <si>
    <t>($ In Thousands)</t>
  </si>
  <si>
    <t>Margin (%)</t>
  </si>
  <si>
    <t>Net Income</t>
  </si>
  <si>
    <t>Proceeds from Debt Issuances / (Repayment)</t>
  </si>
  <si>
    <t>3Q25</t>
  </si>
  <si>
    <t>($ In Millions)</t>
  </si>
  <si>
    <t>(-) Cost of Revenues</t>
  </si>
  <si>
    <t>(+) Share-Based Compensation (SBC)</t>
  </si>
  <si>
    <t>Accounts Receivables</t>
  </si>
  <si>
    <t>Property and Equipment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</si>
  <si>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</si>
  <si>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</si>
  <si>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</si>
  <si>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</si>
  <si>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</si>
  <si>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</si>
  <si>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</si>
  <si>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</si>
  <si>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Deferred Revenue</t>
  </si>
  <si>
    <t>Microstrategy, Inc. (NASDAQ: MSTR)</t>
  </si>
  <si>
    <t>Offerings Drivers</t>
  </si>
  <si>
    <t>Product Licenses and Subscription Services</t>
  </si>
  <si>
    <t>Product licenses</t>
  </si>
  <si>
    <t>Subscription services</t>
  </si>
  <si>
    <t>Product support</t>
  </si>
  <si>
    <t>Other services</t>
  </si>
  <si>
    <t>Cost of Revenue</t>
  </si>
  <si>
    <t>Sales and marketing</t>
  </si>
  <si>
    <t>Research and development</t>
  </si>
  <si>
    <t>General and administrative</t>
  </si>
  <si>
    <t>Unrealized gain on digital assets</t>
  </si>
  <si>
    <t>Digital asset impairment gains (losses on sale), net</t>
  </si>
  <si>
    <t>Interest expense, net</t>
  </si>
  <si>
    <t>Gain (Loss) on debt extinguishment</t>
  </si>
  <si>
    <t>Other income (expense), net</t>
  </si>
  <si>
    <t>Provision for income taxes</t>
  </si>
  <si>
    <t>Restricted cash</t>
  </si>
  <si>
    <t>Accounts receivable, net</t>
  </si>
  <si>
    <t>Digital assets</t>
  </si>
  <si>
    <t>Right-of-use assets</t>
  </si>
  <si>
    <t>Deposits and other assets</t>
  </si>
  <si>
    <t>Deferred tax assets, net</t>
  </si>
  <si>
    <t>Accounts payable, accrued expenses, and operating lease liabilities</t>
  </si>
  <si>
    <t>Accrued compensation and employee benefits</t>
  </si>
  <si>
    <t>Accrued interest</t>
  </si>
  <si>
    <t>Current portion of long-term debt, net</t>
  </si>
  <si>
    <t>Deferred revenue and advance payments</t>
  </si>
  <si>
    <t>Long-term debt, net</t>
  </si>
  <si>
    <t>Deferred tax liabilities</t>
  </si>
  <si>
    <t>Preferred Stock</t>
  </si>
  <si>
    <t>Class A Common Stock</t>
  </si>
  <si>
    <t>Class B Convertible Common Stock</t>
  </si>
  <si>
    <t>Accumulated other comprehensive loss</t>
  </si>
  <si>
    <t>(Accumulated deficit) retained earnings</t>
  </si>
  <si>
    <t>Treasury stock</t>
  </si>
  <si>
    <t>Reduction in carrying amount of right-of-use assets</t>
  </si>
  <si>
    <t>Credit losses and sales allowances</t>
  </si>
  <si>
    <t>Deferred taxes</t>
  </si>
  <si>
    <t>Share-based compensation expense</t>
  </si>
  <si>
    <t>Amortization of issuance costs on long-term debt</t>
  </si>
  <si>
    <t>Accounts receivable</t>
  </si>
  <si>
    <t>Accounts payable and accrued expenses</t>
  </si>
  <si>
    <t>Changes in assets and liabilities, net of effect of acquisitions:</t>
  </si>
  <si>
    <t>Purchases of digital assets</t>
  </si>
  <si>
    <t>Purchases of property and equipment</t>
  </si>
  <si>
    <t>Proceeds from exercise of stock options</t>
  </si>
  <si>
    <t>Proceeds from sales under employee stock purchase plan</t>
  </si>
  <si>
    <t>Payment of withholding tax on vesting of restricted stock units</t>
  </si>
  <si>
    <t>Dividends paid on preferred stock</t>
  </si>
  <si>
    <t>Other Operating Activities</t>
  </si>
  <si>
    <t>Other Investing Activities</t>
  </si>
  <si>
    <t>Proceeds from Equity Issuances / (Repurchases)</t>
  </si>
  <si>
    <t>(-) Sales and marketing</t>
  </si>
  <si>
    <t>(-) Research and development</t>
  </si>
  <si>
    <t>(-) General and administrative</t>
  </si>
  <si>
    <t>(-) Unrealized gain on digital assets</t>
  </si>
  <si>
    <t>(-) Digital asset impairment gains (losses on sale), net</t>
  </si>
  <si>
    <t xml:space="preserve">(-) Preferred Dividends </t>
  </si>
  <si>
    <t>(+/-) Proceeds from Debt Issuances / (Repayment)</t>
  </si>
  <si>
    <t>(+/-) Proceeds from Equity Issuances / (Repurchases)</t>
  </si>
  <si>
    <t>(+/-) Proceeds from exercise of stock options</t>
  </si>
  <si>
    <t>(+/-) Proceeds from sales under employee stock purchase plan</t>
  </si>
  <si>
    <t>(+/-) Payment of withholding tax on vesting of RSUs</t>
  </si>
  <si>
    <t>Restricted Cash</t>
  </si>
  <si>
    <t>Total FIAT Liquidity</t>
  </si>
  <si>
    <t>Total Adj. Liquidity</t>
  </si>
  <si>
    <t>Digital Assets (Bitcoin Holdings)</t>
  </si>
  <si>
    <t xml:space="preserve">$650MM 0.750% Sr. Unsecured Convertible Notes due 2025 </t>
  </si>
  <si>
    <t xml:space="preserve">$1.050Bn 0.000% Sr. Unsecured Convertible Notes due 2027 </t>
  </si>
  <si>
    <t>$1.010Bn 0.625% Sr. Unsecured Convertible Notes due 2028</t>
  </si>
  <si>
    <t>$3.0Bn 0.000% Sr. Unsecured Convertible Notes due 2029</t>
  </si>
  <si>
    <t>$800MM 0.625% Sr. Unsecured Convertible Notes due 2030</t>
  </si>
  <si>
    <t xml:space="preserve">$800MM 0.000% Sr. Unsecured Convertible Notes due 2030 </t>
  </si>
  <si>
    <t xml:space="preserve">$603.8MM 0.875% Sr. Unsecured Convertible Notes due 2031 </t>
  </si>
  <si>
    <t>$800MM 2.250% Sr. Unsecured Convertible Notes due 2032</t>
  </si>
  <si>
    <t>$500MM 6.580% 2028 Sr. Secured Notes due 2028</t>
  </si>
  <si>
    <t>$205MM 3.870% 2025 Secured Term Loan</t>
  </si>
  <si>
    <t>Other long-term secured debt</t>
  </si>
  <si>
    <t>(+/-) Other Operating Activities</t>
  </si>
  <si>
    <t>(+/-) Other 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</si>
</sst>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8"/>
      <color rgb="FF0000CC"/>
      <name val="Calibri"/>
      <family val="2"/>
    </font>
    <font>
      <i/>
      <sz val="7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6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37" fontId="4" fillId="0" borderId="6" xfId="0" applyNumberFormat="1" applyFont="1" applyBorder="1" applyAlignment="1">
      <alignment wrapText="1"/>
    </xf>
    <xf numFmtId="41" fontId="6" fillId="0" borderId="6" xfId="0" applyNumberFormat="1" applyFont="1" applyBorder="1" applyAlignment="1">
      <alignment horizontal="right" vertical="top" wrapText="1"/>
    </xf>
    <xf numFmtId="43" fontId="21" fillId="0" borderId="7" xfId="0" applyNumberFormat="1" applyFont="1" applyBorder="1" applyAlignment="1">
      <alignment wrapText="1"/>
    </xf>
    <xf numFmtId="41" fontId="6" fillId="0" borderId="7" xfId="0" applyNumberFormat="1" applyFont="1" applyBorder="1" applyAlignment="1">
      <alignment horizontal="right" vertical="top" wrapText="1"/>
    </xf>
    <xf numFmtId="0" fontId="8" fillId="5" borderId="8" xfId="0" applyFont="1" applyFill="1" applyBorder="1" applyAlignment="1">
      <alignment horizontal="right" vertical="center" wrapText="1"/>
    </xf>
    <xf numFmtId="41" fontId="8" fillId="0" borderId="8" xfId="0" applyNumberFormat="1" applyFont="1" applyBorder="1" applyAlignment="1">
      <alignment horizontal="right" vertical="top" wrapText="1"/>
    </xf>
    <xf numFmtId="0" fontId="4" fillId="0" borderId="8" xfId="0" applyFont="1" applyBorder="1"/>
    <xf numFmtId="0" fontId="21" fillId="0" borderId="9" xfId="0" applyFont="1" applyBorder="1" applyAlignment="1">
      <alignment horizontal="right" vertical="top" wrapText="1"/>
    </xf>
    <xf numFmtId="0" fontId="15" fillId="0" borderId="5" xfId="0" applyFont="1" applyBorder="1" applyAlignment="1">
      <alignment wrapText="1"/>
    </xf>
    <xf numFmtId="41" fontId="11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vertical="center" wrapText="1"/>
    </xf>
    <xf numFmtId="5" fontId="8" fillId="5" borderId="2" xfId="0" applyNumberFormat="1" applyFont="1" applyFill="1" applyBorder="1" applyAlignment="1">
      <alignment horizontal="right" vertical="top" wrapText="1"/>
    </xf>
    <xf numFmtId="5" fontId="8" fillId="5" borderId="6" xfId="0" applyNumberFormat="1" applyFont="1" applyFill="1" applyBorder="1" applyAlignment="1">
      <alignment horizontal="right" vertical="top" wrapText="1"/>
    </xf>
    <xf numFmtId="5" fontId="6" fillId="0" borderId="0" xfId="0" applyNumberFormat="1" applyFont="1" applyAlignment="1">
      <alignment horizontal="right" vertical="top" wrapText="1"/>
    </xf>
    <xf numFmtId="5" fontId="8" fillId="5" borderId="0" xfId="0" applyNumberFormat="1" applyFont="1" applyFill="1" applyAlignment="1">
      <alignment horizontal="right" vertical="top" wrapText="1"/>
    </xf>
    <xf numFmtId="41" fontId="11" fillId="0" borderId="10" xfId="0" applyNumberFormat="1" applyFont="1" applyBorder="1" applyAlignment="1">
      <alignment horizontal="right" vertical="top" wrapText="1"/>
    </xf>
    <xf numFmtId="41" fontId="6" fillId="0" borderId="10" xfId="0" applyNumberFormat="1" applyFont="1" applyBorder="1" applyAlignment="1">
      <alignment horizontal="right" vertical="top" wrapText="1"/>
    </xf>
    <xf numFmtId="0" fontId="23" fillId="9" borderId="11" xfId="0" applyFont="1" applyFill="1" applyBorder="1"/>
    <xf numFmtId="9" fontId="29" fillId="0" borderId="2" xfId="1" applyFont="1" applyBorder="1"/>
    <xf numFmtId="0" fontId="23" fillId="9" borderId="12" xfId="0" applyFont="1" applyFill="1" applyBorder="1"/>
    <xf numFmtId="9" fontId="29" fillId="0" borderId="0" xfId="1" applyFont="1" applyBorder="1"/>
    <xf numFmtId="0" fontId="23" fillId="9" borderId="13" xfId="0" applyFont="1" applyFill="1" applyBorder="1"/>
    <xf numFmtId="9" fontId="29" fillId="0" borderId="5" xfId="1" applyFont="1" applyBorder="1"/>
    <xf numFmtId="9" fontId="10" fillId="0" borderId="2" xfId="1" applyFont="1" applyBorder="1"/>
    <xf numFmtId="9" fontId="10" fillId="0" borderId="0" xfId="1" applyFont="1" applyBorder="1"/>
    <xf numFmtId="9" fontId="10" fillId="0" borderId="5" xfId="1" applyFont="1" applyBorder="1"/>
    <xf numFmtId="0" fontId="30" fillId="0" borderId="0" xfId="0" applyFont="1" applyAlignment="1">
      <alignment horizontal="right" vertical="center" wrapText="1"/>
    </xf>
    <xf numFmtId="9" fontId="10" fillId="0" borderId="14" xfId="1" applyFont="1" applyBorder="1"/>
    <xf numFmtId="9" fontId="10" fillId="0" borderId="15" xfId="1" applyFont="1" applyBorder="1"/>
    <xf numFmtId="9" fontId="10" fillId="0" borderId="16" xfId="1" applyFont="1" applyBorder="1"/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169" fontId="4" fillId="0" borderId="0" xfId="0" applyNumberFormat="1" applyFont="1"/>
    <xf numFmtId="169" fontId="4" fillId="8" borderId="0" xfId="0" applyNumberFormat="1" applyFont="1" applyFill="1"/>
    <xf numFmtId="41" fontId="6" fillId="0" borderId="17" xfId="0" applyNumberFormat="1" applyFont="1" applyBorder="1" applyAlignment="1">
      <alignment horizontal="right" vertical="top" wrapText="1"/>
    </xf>
    <xf numFmtId="43" fontId="21" fillId="0" borderId="18" xfId="0" applyNumberFormat="1" applyFont="1" applyBorder="1" applyAlignment="1">
      <alignment wrapText="1"/>
    </xf>
    <xf numFmtId="41" fontId="8" fillId="0" borderId="19" xfId="0" applyNumberFormat="1" applyFont="1" applyBorder="1" applyAlignment="1">
      <alignment horizontal="right" vertical="top" wrapText="1"/>
    </xf>
    <xf numFmtId="41" fontId="7" fillId="0" borderId="8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15" fillId="0" borderId="0" xfId="0" applyFont="1" applyFill="1"/>
    <xf numFmtId="0" fontId="2" fillId="0" borderId="0" xfId="0" applyFont="1" applyFill="1" applyAlignment="1">
      <alignment vertical="center" wrapText="1"/>
    </xf>
    <xf numFmtId="0" fontId="4" fillId="0" borderId="0" xfId="0" applyFont="1" applyFill="1"/>
    <xf numFmtId="9" fontId="10" fillId="0" borderId="2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41" fontId="4" fillId="0" borderId="0" xfId="0" applyNumberFormat="1" applyFont="1" applyAlignment="1">
      <alignment wrapText="1"/>
    </xf>
    <xf numFmtId="5" fontId="8" fillId="0" borderId="2" xfId="0" applyNumberFormat="1" applyFont="1" applyFill="1" applyBorder="1" applyAlignment="1">
      <alignment horizontal="right" vertical="center" wrapText="1"/>
    </xf>
    <xf numFmtId="5" fontId="8" fillId="0" borderId="0" xfId="0" applyNumberFormat="1" applyFont="1" applyFill="1" applyBorder="1" applyAlignment="1">
      <alignment horizontal="right" vertical="center" wrapText="1"/>
    </xf>
    <xf numFmtId="0" fontId="8" fillId="0" borderId="4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 inden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M159"/>
  <sheetViews>
    <sheetView showGridLines="0" tabSelected="1" zoomScale="130" zoomScaleNormal="13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3.75" style="5" bestFit="1" customWidth="1"/>
    <col min="3" max="3" width="9.75" style="5" customWidth="1" outlineLevel="1"/>
    <col min="4" max="6" width="8.875" style="5" bestFit="1" customWidth="1"/>
    <col min="7" max="7" width="1.5" style="5" customWidth="1"/>
    <col min="8" max="17" width="8.625" style="5" customWidth="1" outlineLevel="1"/>
    <col min="18" max="18" width="8.625" style="5" bestFit="1" customWidth="1"/>
    <col min="19" max="19" width="9" style="5" bestFit="1" customWidth="1"/>
    <col min="20" max="20" width="8.625" style="5" bestFit="1" customWidth="1"/>
    <col min="21" max="22" width="9" style="5" bestFit="1" customWidth="1"/>
    <col min="23" max="23" width="1.5" style="5" customWidth="1"/>
    <col min="24" max="29" width="9.75" style="5" hidden="1" customWidth="1" outlineLevel="1"/>
    <col min="30" max="30" width="8.875" style="5" hidden="1" customWidth="1" outlineLevel="1"/>
    <col min="31" max="31" width="8.875" style="5" customWidth="1" collapsed="1"/>
    <col min="32" max="34" width="8.875" style="5" hidden="1" customWidth="1" outlineLevel="1"/>
    <col min="35" max="35" width="8.875" style="5" bestFit="1" customWidth="1" collapsed="1"/>
    <col min="36" max="36" width="1.25" style="5" customWidth="1"/>
    <col min="37" max="37" width="9.875" style="5" bestFit="1" customWidth="1"/>
    <col min="38" max="38" width="1.375" style="5" customWidth="1"/>
    <col min="39" max="16384" width="9" style="5"/>
  </cols>
  <sheetData>
    <row r="2" spans="1:37" ht="12.75" customHeight="1">
      <c r="B2" s="1" t="s">
        <v>122</v>
      </c>
      <c r="C2" s="88"/>
      <c r="D2" s="88"/>
      <c r="E2" s="88"/>
      <c r="F2" s="88"/>
      <c r="G2" s="3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3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3"/>
      <c r="AK2" s="1"/>
    </row>
    <row r="3" spans="1:37" ht="12.75" customHeight="1">
      <c r="B3" s="6" t="s">
        <v>80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3"/>
      <c r="AK3" s="1"/>
    </row>
    <row r="4" spans="1:37" ht="12.75" customHeight="1">
      <c r="B4" s="6" t="s">
        <v>92</v>
      </c>
      <c r="C4" s="3"/>
      <c r="D4" s="3"/>
      <c r="E4" s="8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</row>
    <row r="6" spans="1:37" ht="12.75" customHeight="1">
      <c r="A6" s="5" t="s">
        <v>16</v>
      </c>
      <c r="B6" s="1" t="s">
        <v>78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/>
      <c r="O6" s="2"/>
      <c r="P6" s="2"/>
      <c r="Q6" s="2"/>
      <c r="R6" s="2" t="s">
        <v>1</v>
      </c>
      <c r="S6" s="2"/>
      <c r="T6" s="2"/>
      <c r="U6" s="2"/>
      <c r="V6" s="2"/>
      <c r="W6" s="3"/>
      <c r="X6" s="2"/>
      <c r="Y6" s="2"/>
      <c r="Z6" s="2"/>
      <c r="AA6" s="2"/>
      <c r="AB6" s="2"/>
      <c r="AC6" s="2"/>
      <c r="AD6" s="2" t="s">
        <v>10</v>
      </c>
      <c r="AE6" s="2" t="s">
        <v>10</v>
      </c>
      <c r="AF6" s="2"/>
      <c r="AG6" s="2"/>
      <c r="AH6" s="2"/>
      <c r="AI6" s="2"/>
      <c r="AJ6" s="36"/>
      <c r="AK6" s="152" t="s">
        <v>22</v>
      </c>
    </row>
    <row r="7" spans="1:37" ht="12.75" customHeight="1">
      <c r="B7" s="6" t="s">
        <v>81</v>
      </c>
      <c r="C7" s="7">
        <v>2021</v>
      </c>
      <c r="D7" s="7">
        <v>2022</v>
      </c>
      <c r="E7" s="7">
        <v>2023</v>
      </c>
      <c r="F7" s="7">
        <v>2024</v>
      </c>
      <c r="G7" s="3"/>
      <c r="H7" s="4" t="s">
        <v>24</v>
      </c>
      <c r="I7" s="4" t="s">
        <v>25</v>
      </c>
      <c r="J7" s="4" t="s">
        <v>26</v>
      </c>
      <c r="K7" s="4" t="s">
        <v>27</v>
      </c>
      <c r="L7" s="4" t="s">
        <v>6</v>
      </c>
      <c r="M7" s="4" t="s">
        <v>7</v>
      </c>
      <c r="N7" s="4" t="s">
        <v>8</v>
      </c>
      <c r="O7" s="4" t="s">
        <v>9</v>
      </c>
      <c r="P7" s="4" t="s">
        <v>2</v>
      </c>
      <c r="Q7" s="4" t="s">
        <v>3</v>
      </c>
      <c r="R7" s="4" t="s">
        <v>4</v>
      </c>
      <c r="S7" s="4" t="s">
        <v>5</v>
      </c>
      <c r="T7" s="4" t="s">
        <v>28</v>
      </c>
      <c r="U7" s="4" t="s">
        <v>29</v>
      </c>
      <c r="V7" s="4" t="s">
        <v>107</v>
      </c>
      <c r="W7" s="4"/>
      <c r="X7" s="4" t="str">
        <f t="shared" ref="X7:AI8" si="0">K7</f>
        <v>4Q22</v>
      </c>
      <c r="Y7" s="4" t="str">
        <f t="shared" si="0"/>
        <v>1Q23</v>
      </c>
      <c r="Z7" s="4" t="str">
        <f t="shared" si="0"/>
        <v>2Q23</v>
      </c>
      <c r="AA7" s="4" t="str">
        <f t="shared" si="0"/>
        <v>3Q23</v>
      </c>
      <c r="AB7" s="4" t="str">
        <f t="shared" si="0"/>
        <v>4Q23</v>
      </c>
      <c r="AC7" s="4" t="str">
        <f t="shared" si="0"/>
        <v>1Q24</v>
      </c>
      <c r="AD7" s="4" t="str">
        <f t="shared" si="0"/>
        <v>2Q24</v>
      </c>
      <c r="AE7" s="4" t="str">
        <f t="shared" si="0"/>
        <v>3Q24</v>
      </c>
      <c r="AF7" s="4" t="str">
        <f t="shared" si="0"/>
        <v>4Q24</v>
      </c>
      <c r="AG7" s="4" t="str">
        <f t="shared" si="0"/>
        <v>1Q25</v>
      </c>
      <c r="AH7" s="4" t="str">
        <f t="shared" si="0"/>
        <v>2Q25</v>
      </c>
      <c r="AI7" s="4" t="str">
        <f t="shared" si="0"/>
        <v>3Q25</v>
      </c>
      <c r="AJ7" s="36"/>
      <c r="AK7" s="152"/>
    </row>
    <row r="8" spans="1:37" ht="12.75" customHeight="1">
      <c r="B8" s="6" t="s">
        <v>82</v>
      </c>
      <c r="C8" s="3">
        <v>44561</v>
      </c>
      <c r="D8" s="3">
        <v>44926</v>
      </c>
      <c r="E8" s="80">
        <v>45291</v>
      </c>
      <c r="F8" s="3">
        <v>45657</v>
      </c>
      <c r="G8" s="3"/>
      <c r="H8" s="3">
        <v>44651</v>
      </c>
      <c r="I8" s="3">
        <v>44742</v>
      </c>
      <c r="J8" s="3">
        <v>44834</v>
      </c>
      <c r="K8" s="3">
        <f>D8</f>
        <v>44926</v>
      </c>
      <c r="L8" s="3">
        <v>45016</v>
      </c>
      <c r="M8" s="3">
        <v>45107</v>
      </c>
      <c r="N8" s="3">
        <v>45199</v>
      </c>
      <c r="O8" s="3">
        <f>E8</f>
        <v>45291</v>
      </c>
      <c r="P8" s="3">
        <v>45382</v>
      </c>
      <c r="Q8" s="3">
        <v>45473</v>
      </c>
      <c r="R8" s="3">
        <v>45565</v>
      </c>
      <c r="S8" s="3">
        <f>F8</f>
        <v>45657</v>
      </c>
      <c r="T8" s="3">
        <v>45747</v>
      </c>
      <c r="U8" s="3">
        <v>45838</v>
      </c>
      <c r="V8" s="3">
        <v>45930</v>
      </c>
      <c r="W8" s="3"/>
      <c r="X8" s="3">
        <f t="shared" si="0"/>
        <v>44926</v>
      </c>
      <c r="Y8" s="3">
        <f t="shared" si="0"/>
        <v>45016</v>
      </c>
      <c r="Z8" s="3">
        <f t="shared" si="0"/>
        <v>45107</v>
      </c>
      <c r="AA8" s="3">
        <f t="shared" si="0"/>
        <v>45199</v>
      </c>
      <c r="AB8" s="3">
        <f t="shared" si="0"/>
        <v>45291</v>
      </c>
      <c r="AC8" s="3">
        <f t="shared" si="0"/>
        <v>45382</v>
      </c>
      <c r="AD8" s="3">
        <f t="shared" si="0"/>
        <v>45473</v>
      </c>
      <c r="AE8" s="3">
        <f t="shared" si="0"/>
        <v>45565</v>
      </c>
      <c r="AF8" s="3">
        <f t="shared" si="0"/>
        <v>45657</v>
      </c>
      <c r="AG8" s="3">
        <f t="shared" si="0"/>
        <v>45747</v>
      </c>
      <c r="AH8" s="3">
        <f t="shared" si="0"/>
        <v>45838</v>
      </c>
      <c r="AI8" s="3">
        <f t="shared" si="0"/>
        <v>45930</v>
      </c>
      <c r="AJ8" s="36"/>
      <c r="AK8" s="152"/>
    </row>
    <row r="9" spans="1:37" ht="5.0999999999999996" customHeight="1">
      <c r="AK9" s="87"/>
    </row>
    <row r="10" spans="1:37" ht="12.75" customHeight="1">
      <c r="B10" s="9" t="s">
        <v>62</v>
      </c>
      <c r="C10" s="83">
        <v>510762</v>
      </c>
      <c r="D10" s="83">
        <v>499264</v>
      </c>
      <c r="E10" s="83">
        <v>496261</v>
      </c>
      <c r="F10" s="83">
        <v>463456</v>
      </c>
      <c r="G10" s="11"/>
      <c r="H10" s="83">
        <v>119277</v>
      </c>
      <c r="I10" s="83">
        <v>122073</v>
      </c>
      <c r="J10" s="83">
        <v>125360</v>
      </c>
      <c r="K10" s="30">
        <f>SUM(D10-SUM(H10:J10))</f>
        <v>132554</v>
      </c>
      <c r="L10" s="83">
        <v>121915</v>
      </c>
      <c r="M10" s="83">
        <v>120400</v>
      </c>
      <c r="N10" s="83">
        <v>129462</v>
      </c>
      <c r="O10" s="30">
        <f>SUM(E10-SUM(L10:N10))</f>
        <v>124484</v>
      </c>
      <c r="P10" s="83">
        <v>115246</v>
      </c>
      <c r="Q10" s="83">
        <v>111442</v>
      </c>
      <c r="R10" s="83">
        <v>116071</v>
      </c>
      <c r="S10" s="30">
        <f>SUM(F10-SUM(P10:R10))</f>
        <v>120697</v>
      </c>
      <c r="T10" s="83">
        <v>111066</v>
      </c>
      <c r="U10" s="83">
        <v>114488</v>
      </c>
      <c r="V10" s="83">
        <v>128691</v>
      </c>
      <c r="W10" s="30"/>
      <c r="X10" s="30">
        <f t="shared" ref="X10:AI10" si="1">SUM(H10:K10)</f>
        <v>499264</v>
      </c>
      <c r="Y10" s="30">
        <f t="shared" si="1"/>
        <v>501902</v>
      </c>
      <c r="Z10" s="30">
        <f t="shared" si="1"/>
        <v>500229</v>
      </c>
      <c r="AA10" s="30">
        <f t="shared" si="1"/>
        <v>504331</v>
      </c>
      <c r="AB10" s="30">
        <f t="shared" si="1"/>
        <v>496261</v>
      </c>
      <c r="AC10" s="30">
        <f t="shared" si="1"/>
        <v>489592</v>
      </c>
      <c r="AD10" s="30">
        <f t="shared" si="1"/>
        <v>480634</v>
      </c>
      <c r="AE10" s="30">
        <f t="shared" si="1"/>
        <v>467243</v>
      </c>
      <c r="AF10" s="30">
        <f t="shared" si="1"/>
        <v>463456</v>
      </c>
      <c r="AG10" s="30">
        <f t="shared" si="1"/>
        <v>459276</v>
      </c>
      <c r="AH10" s="30">
        <f t="shared" si="1"/>
        <v>462322</v>
      </c>
      <c r="AI10" s="30">
        <f t="shared" si="1"/>
        <v>474942</v>
      </c>
      <c r="AJ10" s="38"/>
      <c r="AK10" s="70">
        <f>SUM(AH10/AD10)-1</f>
        <v>-3.8099676677055716E-2</v>
      </c>
    </row>
    <row r="11" spans="1:37" ht="12.75" customHeight="1">
      <c r="B11" s="12" t="s">
        <v>12</v>
      </c>
      <c r="C11" s="13">
        <f t="shared" ref="C11" si="2">+SUM(C10:C10)</f>
        <v>510762</v>
      </c>
      <c r="D11" s="13">
        <f t="shared" ref="D11:F11" si="3">+SUM(D10:D10)</f>
        <v>499264</v>
      </c>
      <c r="E11" s="13">
        <f t="shared" si="3"/>
        <v>496261</v>
      </c>
      <c r="F11" s="13">
        <f t="shared" si="3"/>
        <v>463456</v>
      </c>
      <c r="G11" s="11"/>
      <c r="H11" s="13">
        <f t="shared" ref="H11:U11" si="4">+SUM(H10:H10)</f>
        <v>119277</v>
      </c>
      <c r="I11" s="13">
        <f t="shared" si="4"/>
        <v>122073</v>
      </c>
      <c r="J11" s="13">
        <f t="shared" si="4"/>
        <v>125360</v>
      </c>
      <c r="K11" s="13">
        <f t="shared" si="4"/>
        <v>132554</v>
      </c>
      <c r="L11" s="13">
        <f t="shared" si="4"/>
        <v>121915</v>
      </c>
      <c r="M11" s="13">
        <f t="shared" si="4"/>
        <v>120400</v>
      </c>
      <c r="N11" s="13">
        <f t="shared" si="4"/>
        <v>129462</v>
      </c>
      <c r="O11" s="13">
        <f t="shared" si="4"/>
        <v>124484</v>
      </c>
      <c r="P11" s="13">
        <f t="shared" si="4"/>
        <v>115246</v>
      </c>
      <c r="Q11" s="13">
        <f t="shared" si="4"/>
        <v>111442</v>
      </c>
      <c r="R11" s="13">
        <f t="shared" si="4"/>
        <v>116071</v>
      </c>
      <c r="S11" s="13">
        <f t="shared" si="4"/>
        <v>120697</v>
      </c>
      <c r="T11" s="13">
        <f t="shared" si="4"/>
        <v>111066</v>
      </c>
      <c r="U11" s="13">
        <f t="shared" si="4"/>
        <v>114488</v>
      </c>
      <c r="V11" s="13">
        <f t="shared" ref="V11" si="5">+SUM(V10:V10)</f>
        <v>128691</v>
      </c>
      <c r="X11" s="13">
        <f t="shared" ref="X11:AH11" si="6">+SUM(X10:X10)</f>
        <v>499264</v>
      </c>
      <c r="Y11" s="13">
        <f t="shared" si="6"/>
        <v>501902</v>
      </c>
      <c r="Z11" s="13">
        <f t="shared" si="6"/>
        <v>500229</v>
      </c>
      <c r="AA11" s="13">
        <f t="shared" si="6"/>
        <v>504331</v>
      </c>
      <c r="AB11" s="13">
        <f t="shared" si="6"/>
        <v>496261</v>
      </c>
      <c r="AC11" s="13">
        <f t="shared" si="6"/>
        <v>489592</v>
      </c>
      <c r="AD11" s="13">
        <f t="shared" si="6"/>
        <v>480634</v>
      </c>
      <c r="AE11" s="13">
        <f t="shared" si="6"/>
        <v>467243</v>
      </c>
      <c r="AF11" s="13">
        <f t="shared" si="6"/>
        <v>463456</v>
      </c>
      <c r="AG11" s="13">
        <f t="shared" si="6"/>
        <v>459276</v>
      </c>
      <c r="AH11" s="13">
        <f t="shared" si="6"/>
        <v>462322</v>
      </c>
      <c r="AI11" s="13">
        <f t="shared" ref="AI11" si="7">+SUM(AI10:AI10)</f>
        <v>474942</v>
      </c>
      <c r="AJ11" s="38"/>
      <c r="AK11" s="71">
        <f t="shared" ref="AK11:AK28" si="8">SUM(AH11/AD11)-1</f>
        <v>-3.8099676677055716E-2</v>
      </c>
    </row>
    <row r="12" spans="1:37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AK12" s="70"/>
    </row>
    <row r="13" spans="1:37" ht="12.75" customHeight="1">
      <c r="B13" s="9" t="s">
        <v>129</v>
      </c>
      <c r="C13" s="78">
        <v>-91909</v>
      </c>
      <c r="D13" s="78">
        <v>-102989</v>
      </c>
      <c r="E13" s="78">
        <v>-109944</v>
      </c>
      <c r="F13" s="78">
        <v>-129468</v>
      </c>
      <c r="G13" s="22"/>
      <c r="H13" s="78">
        <v>-25677</v>
      </c>
      <c r="I13" s="78">
        <v>-25204</v>
      </c>
      <c r="J13" s="78">
        <v>-25385</v>
      </c>
      <c r="K13" s="30">
        <f>SUM(D13-SUM(H13:J13))</f>
        <v>-26723</v>
      </c>
      <c r="L13" s="83">
        <v>-27941</v>
      </c>
      <c r="M13" s="83">
        <v>-27121</v>
      </c>
      <c r="N13" s="83">
        <v>-26661</v>
      </c>
      <c r="O13" s="30">
        <f>SUM(E13-SUM(L13:N13))</f>
        <v>-28221</v>
      </c>
      <c r="P13" s="78">
        <v>-30015</v>
      </c>
      <c r="Q13" s="78">
        <v>-30935</v>
      </c>
      <c r="R13" s="78">
        <v>-34349</v>
      </c>
      <c r="S13" s="30">
        <f>SUM(F13-SUM(P13:R13))</f>
        <v>-34169</v>
      </c>
      <c r="T13" s="78">
        <v>-33971</v>
      </c>
      <c r="U13" s="78">
        <v>-35750</v>
      </c>
      <c r="V13" s="78">
        <v>-38013</v>
      </c>
      <c r="X13" s="30">
        <f t="shared" ref="X13:AC13" si="9">SUM(I13:L13)</f>
        <v>-105253</v>
      </c>
      <c r="Y13" s="30">
        <f t="shared" si="9"/>
        <v>-107170</v>
      </c>
      <c r="Z13" s="30">
        <f t="shared" si="9"/>
        <v>-108446</v>
      </c>
      <c r="AA13" s="30">
        <f t="shared" si="9"/>
        <v>-109944</v>
      </c>
      <c r="AB13" s="30">
        <f t="shared" si="9"/>
        <v>-112018</v>
      </c>
      <c r="AC13" s="30">
        <f t="shared" si="9"/>
        <v>-115832</v>
      </c>
      <c r="AD13" s="30">
        <f t="shared" ref="AD13" si="10">SUM(N13:Q13)</f>
        <v>-115832</v>
      </c>
      <c r="AE13" s="30">
        <f t="shared" ref="AE13" si="11">SUM(O13:R13)</f>
        <v>-123520</v>
      </c>
      <c r="AF13" s="30">
        <f t="shared" ref="AF13" si="12">SUM(P13:S13)</f>
        <v>-129468</v>
      </c>
      <c r="AG13" s="30">
        <f t="shared" ref="AG13" si="13">SUM(Q13:T13)</f>
        <v>-133424</v>
      </c>
      <c r="AH13" s="30">
        <f>SUM(R13:U13)</f>
        <v>-138239</v>
      </c>
      <c r="AI13" s="30">
        <f>SUM(S13:V13)</f>
        <v>-141903</v>
      </c>
      <c r="AJ13" s="11"/>
      <c r="AK13" s="70">
        <f t="shared" si="8"/>
        <v>0.19344395331169273</v>
      </c>
    </row>
    <row r="14" spans="1:37" ht="12.75" customHeight="1">
      <c r="B14" s="23" t="s">
        <v>20</v>
      </c>
      <c r="C14" s="24">
        <f t="shared" ref="C14" si="14">+SUM(C11+SUM(C13:C13))</f>
        <v>418853</v>
      </c>
      <c r="D14" s="24">
        <f t="shared" ref="D14:F14" si="15">+SUM(D11+SUM(D13:D13))</f>
        <v>396275</v>
      </c>
      <c r="E14" s="24">
        <f t="shared" si="15"/>
        <v>386317</v>
      </c>
      <c r="F14" s="24">
        <f t="shared" si="15"/>
        <v>333988</v>
      </c>
      <c r="H14" s="24">
        <f t="shared" ref="H14:U14" si="16">+SUM(H11+SUM(H13:H13))</f>
        <v>93600</v>
      </c>
      <c r="I14" s="24">
        <f t="shared" si="16"/>
        <v>96869</v>
      </c>
      <c r="J14" s="24">
        <f t="shared" si="16"/>
        <v>99975</v>
      </c>
      <c r="K14" s="24">
        <f t="shared" si="16"/>
        <v>105831</v>
      </c>
      <c r="L14" s="24">
        <f t="shared" si="16"/>
        <v>93974</v>
      </c>
      <c r="M14" s="24">
        <f t="shared" si="16"/>
        <v>93279</v>
      </c>
      <c r="N14" s="24">
        <f t="shared" si="16"/>
        <v>102801</v>
      </c>
      <c r="O14" s="24">
        <f t="shared" si="16"/>
        <v>96263</v>
      </c>
      <c r="P14" s="24">
        <f t="shared" si="16"/>
        <v>85231</v>
      </c>
      <c r="Q14" s="24">
        <f t="shared" si="16"/>
        <v>80507</v>
      </c>
      <c r="R14" s="24">
        <f t="shared" si="16"/>
        <v>81722</v>
      </c>
      <c r="S14" s="24">
        <f t="shared" si="16"/>
        <v>86528</v>
      </c>
      <c r="T14" s="24">
        <f t="shared" si="16"/>
        <v>77095</v>
      </c>
      <c r="U14" s="24">
        <f t="shared" si="16"/>
        <v>78738</v>
      </c>
      <c r="V14" s="24">
        <f t="shared" ref="V14" si="17">+SUM(V11+SUM(V13:V13))</f>
        <v>90678</v>
      </c>
      <c r="X14" s="24">
        <f t="shared" ref="X14:AH14" si="18">+SUM(X11+SUM(X13:X13))</f>
        <v>394011</v>
      </c>
      <c r="Y14" s="24">
        <f t="shared" si="18"/>
        <v>394732</v>
      </c>
      <c r="Z14" s="24">
        <f t="shared" si="18"/>
        <v>391783</v>
      </c>
      <c r="AA14" s="24">
        <f t="shared" si="18"/>
        <v>394387</v>
      </c>
      <c r="AB14" s="24">
        <f t="shared" si="18"/>
        <v>384243</v>
      </c>
      <c r="AC14" s="24">
        <f t="shared" si="18"/>
        <v>373760</v>
      </c>
      <c r="AD14" s="24">
        <f t="shared" si="18"/>
        <v>364802</v>
      </c>
      <c r="AE14" s="24">
        <f t="shared" si="18"/>
        <v>343723</v>
      </c>
      <c r="AF14" s="24">
        <f t="shared" si="18"/>
        <v>333988</v>
      </c>
      <c r="AG14" s="24">
        <f t="shared" si="18"/>
        <v>325852</v>
      </c>
      <c r="AH14" s="24">
        <f t="shared" si="18"/>
        <v>324083</v>
      </c>
      <c r="AI14" s="24">
        <f t="shared" ref="AI14" si="19">+SUM(AI11+SUM(AI13:AI13))</f>
        <v>333039</v>
      </c>
      <c r="AJ14" s="40"/>
      <c r="AK14" s="71">
        <f t="shared" si="8"/>
        <v>-0.11161945384071359</v>
      </c>
    </row>
    <row r="15" spans="1:37" ht="12.75" customHeight="1">
      <c r="B15" s="14" t="s">
        <v>33</v>
      </c>
      <c r="C15" s="15">
        <f t="shared" ref="C15" si="20">C14/C11</f>
        <v>0.82005513331062219</v>
      </c>
      <c r="D15" s="15">
        <f t="shared" ref="D15:F15" si="21">D14/D11</f>
        <v>0.79371835341622865</v>
      </c>
      <c r="E15" s="15">
        <f t="shared" si="21"/>
        <v>0.77845528864851354</v>
      </c>
      <c r="F15" s="15">
        <f t="shared" si="21"/>
        <v>0.72064662017537806</v>
      </c>
      <c r="G15" s="25"/>
      <c r="H15" s="15">
        <f t="shared" ref="H15:U15" si="22">H14/H11</f>
        <v>0.78472798611635097</v>
      </c>
      <c r="I15" s="15">
        <f t="shared" si="22"/>
        <v>0.79353337756915943</v>
      </c>
      <c r="J15" s="15">
        <f t="shared" si="22"/>
        <v>0.79750319081046583</v>
      </c>
      <c r="K15" s="15">
        <f t="shared" si="22"/>
        <v>0.79839914299078107</v>
      </c>
      <c r="L15" s="15">
        <f t="shared" si="22"/>
        <v>0.7708157322724849</v>
      </c>
      <c r="M15" s="15">
        <f t="shared" si="22"/>
        <v>0.77474252491694351</v>
      </c>
      <c r="N15" s="15">
        <f t="shared" si="22"/>
        <v>0.79406312276961577</v>
      </c>
      <c r="O15" s="15">
        <f t="shared" si="22"/>
        <v>0.77329616657562417</v>
      </c>
      <c r="P15" s="15">
        <f t="shared" si="22"/>
        <v>0.73955712128837447</v>
      </c>
      <c r="Q15" s="15">
        <f t="shared" si="22"/>
        <v>0.72241165808223107</v>
      </c>
      <c r="R15" s="15">
        <f t="shared" si="22"/>
        <v>0.704069061178072</v>
      </c>
      <c r="S15" s="15">
        <f t="shared" si="22"/>
        <v>0.71690265706686995</v>
      </c>
      <c r="T15" s="15">
        <f t="shared" si="22"/>
        <v>0.69413681954873674</v>
      </c>
      <c r="U15" s="15">
        <f t="shared" si="22"/>
        <v>0.6877401998462721</v>
      </c>
      <c r="V15" s="15">
        <f t="shared" ref="V15" si="23">V14/V11</f>
        <v>0.70461803855747485</v>
      </c>
      <c r="W15" s="26"/>
      <c r="X15" s="15">
        <f t="shared" ref="X15:AH15" si="24">X14/X11</f>
        <v>0.78918367837456738</v>
      </c>
      <c r="Y15" s="15">
        <f t="shared" si="24"/>
        <v>0.78647225952476774</v>
      </c>
      <c r="Z15" s="15">
        <f t="shared" si="24"/>
        <v>0.7832072910606942</v>
      </c>
      <c r="AA15" s="15">
        <f t="shared" si="24"/>
        <v>0.78200031328631392</v>
      </c>
      <c r="AB15" s="15">
        <f t="shared" si="24"/>
        <v>0.77427603619869378</v>
      </c>
      <c r="AC15" s="15">
        <f t="shared" si="24"/>
        <v>0.76341116684913157</v>
      </c>
      <c r="AD15" s="15">
        <f t="shared" si="24"/>
        <v>0.75900165198467029</v>
      </c>
      <c r="AE15" s="15">
        <f t="shared" si="24"/>
        <v>0.73564076936412104</v>
      </c>
      <c r="AF15" s="15">
        <f t="shared" si="24"/>
        <v>0.72064662017537806</v>
      </c>
      <c r="AG15" s="15">
        <f t="shared" si="24"/>
        <v>0.70949058953657496</v>
      </c>
      <c r="AH15" s="15">
        <f t="shared" si="24"/>
        <v>0.70098978633939113</v>
      </c>
      <c r="AI15" s="15">
        <f t="shared" ref="AI15" si="25">AI14/AI11</f>
        <v>0.70122035953863837</v>
      </c>
      <c r="AJ15" s="40"/>
      <c r="AK15" s="72">
        <f>SUM(AH15-AD15)*1000</f>
        <v>-58.011865645279158</v>
      </c>
    </row>
    <row r="16" spans="1:37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40"/>
      <c r="AK16" s="70"/>
    </row>
    <row r="17" spans="2:39" ht="12.75" customHeight="1">
      <c r="B17" s="9" t="s">
        <v>130</v>
      </c>
      <c r="C17" s="78">
        <v>-160141</v>
      </c>
      <c r="D17" s="78">
        <v>-146882</v>
      </c>
      <c r="E17" s="78">
        <v>-149671</v>
      </c>
      <c r="F17" s="78">
        <v>-138081</v>
      </c>
      <c r="G17" s="30"/>
      <c r="H17" s="78">
        <v>-33240</v>
      </c>
      <c r="I17" s="78">
        <v>-36862</v>
      </c>
      <c r="J17" s="78">
        <v>-35409</v>
      </c>
      <c r="K17" s="30">
        <f t="shared" ref="K17:K21" si="26">SUM(D17-SUM(H17:J17))</f>
        <v>-41371</v>
      </c>
      <c r="L17" s="78">
        <v>-36106</v>
      </c>
      <c r="M17" s="78">
        <v>-37660</v>
      </c>
      <c r="N17" s="78">
        <v>-35606</v>
      </c>
      <c r="O17" s="30">
        <f t="shared" ref="O17:O21" si="27">SUM(E17-SUM(L17:N17))</f>
        <v>-40299</v>
      </c>
      <c r="P17" s="78">
        <v>-33451</v>
      </c>
      <c r="Q17" s="78">
        <v>-34251</v>
      </c>
      <c r="R17" s="78">
        <v>-35414</v>
      </c>
      <c r="S17" s="30">
        <f t="shared" ref="S17:S21" si="28">SUM(F17-SUM(P17:R17))</f>
        <v>-34965</v>
      </c>
      <c r="T17" s="78">
        <v>-27532</v>
      </c>
      <c r="U17" s="78">
        <v>-33691</v>
      </c>
      <c r="V17" s="78">
        <v>-29908</v>
      </c>
      <c r="X17" s="30">
        <f t="shared" ref="X17:AC21" si="29">SUM(I17:L17)</f>
        <v>-149748</v>
      </c>
      <c r="Y17" s="30">
        <f t="shared" si="29"/>
        <v>-150546</v>
      </c>
      <c r="Z17" s="30">
        <f t="shared" si="29"/>
        <v>-150743</v>
      </c>
      <c r="AA17" s="30">
        <f t="shared" si="29"/>
        <v>-149671</v>
      </c>
      <c r="AB17" s="30">
        <f t="shared" si="29"/>
        <v>-147016</v>
      </c>
      <c r="AC17" s="30">
        <f t="shared" si="29"/>
        <v>-143607</v>
      </c>
      <c r="AD17" s="30">
        <f t="shared" ref="AD17:AD21" si="30">SUM(N17:Q17)</f>
        <v>-143607</v>
      </c>
      <c r="AE17" s="30">
        <f t="shared" ref="AE17:AE21" si="31">SUM(O17:R17)</f>
        <v>-143415</v>
      </c>
      <c r="AF17" s="30">
        <f t="shared" ref="AF17:AF21" si="32">SUM(P17:S17)</f>
        <v>-138081</v>
      </c>
      <c r="AG17" s="30">
        <f t="shared" ref="AG17:AG21" si="33">SUM(Q17:T17)</f>
        <v>-132162</v>
      </c>
      <c r="AH17" s="30">
        <f t="shared" ref="AH17:AI21" si="34">SUM(R17:U17)</f>
        <v>-131602</v>
      </c>
      <c r="AI17" s="30">
        <f t="shared" si="34"/>
        <v>-126096</v>
      </c>
      <c r="AJ17" s="11"/>
      <c r="AK17" s="70">
        <f t="shared" si="8"/>
        <v>-8.3596203527683155E-2</v>
      </c>
      <c r="AM17" s="162"/>
    </row>
    <row r="18" spans="2:39" ht="12.75" customHeight="1">
      <c r="B18" s="9" t="s">
        <v>131</v>
      </c>
      <c r="C18" s="78">
        <v>-117117</v>
      </c>
      <c r="D18" s="78">
        <v>-127428</v>
      </c>
      <c r="E18" s="78">
        <v>-120530</v>
      </c>
      <c r="F18" s="78">
        <v>-118486</v>
      </c>
      <c r="G18" s="30"/>
      <c r="H18" s="78">
        <v>-33523</v>
      </c>
      <c r="I18" s="78">
        <v>-31790</v>
      </c>
      <c r="J18" s="78">
        <v>-30498</v>
      </c>
      <c r="K18" s="30">
        <f t="shared" si="26"/>
        <v>-31617</v>
      </c>
      <c r="L18" s="78">
        <v>-31358</v>
      </c>
      <c r="M18" s="78">
        <v>-29354</v>
      </c>
      <c r="N18" s="78">
        <v>-29660</v>
      </c>
      <c r="O18" s="30">
        <f t="shared" si="27"/>
        <v>-30158</v>
      </c>
      <c r="P18" s="78">
        <v>-29183</v>
      </c>
      <c r="Q18" s="78">
        <v>-30311</v>
      </c>
      <c r="R18" s="78">
        <v>-33301</v>
      </c>
      <c r="S18" s="30">
        <f t="shared" si="28"/>
        <v>-25691</v>
      </c>
      <c r="T18" s="78">
        <v>-24423</v>
      </c>
      <c r="U18" s="78">
        <v>-24071</v>
      </c>
      <c r="V18" s="78">
        <v>-22602</v>
      </c>
      <c r="X18" s="30">
        <f t="shared" ref="X18:X21" si="35">SUM(I18:L18)</f>
        <v>-125263</v>
      </c>
      <c r="Y18" s="30">
        <f t="shared" ref="Y18:Y21" si="36">SUM(J18:M18)</f>
        <v>-122827</v>
      </c>
      <c r="Z18" s="30">
        <f t="shared" ref="Z18:Z21" si="37">SUM(K18:N18)</f>
        <v>-121989</v>
      </c>
      <c r="AA18" s="30">
        <f t="shared" ref="AA18:AA21" si="38">SUM(L18:O18)</f>
        <v>-120530</v>
      </c>
      <c r="AB18" s="30">
        <f t="shared" ref="AB18:AB21" si="39">SUM(M18:P18)</f>
        <v>-118355</v>
      </c>
      <c r="AC18" s="30">
        <f t="shared" ref="AC18:AC21" si="40">SUM(N18:Q18)</f>
        <v>-119312</v>
      </c>
      <c r="AD18" s="30">
        <f t="shared" ref="AD18:AD21" si="41">SUM(N18:Q18)</f>
        <v>-119312</v>
      </c>
      <c r="AE18" s="30">
        <f t="shared" ref="AE18:AE21" si="42">SUM(O18:R18)</f>
        <v>-122953</v>
      </c>
      <c r="AF18" s="30">
        <f t="shared" ref="AF18:AF21" si="43">SUM(P18:S18)</f>
        <v>-118486</v>
      </c>
      <c r="AG18" s="30">
        <f t="shared" ref="AG18:AG21" si="44">SUM(Q18:T18)</f>
        <v>-113726</v>
      </c>
      <c r="AH18" s="30">
        <f t="shared" ref="AH18:AH21" si="45">SUM(R18:U18)</f>
        <v>-107486</v>
      </c>
      <c r="AI18" s="30">
        <f t="shared" ref="AI18:AI21" si="46">SUM(S18:V18)</f>
        <v>-96787</v>
      </c>
      <c r="AJ18" s="11"/>
      <c r="AK18" s="70">
        <f t="shared" si="8"/>
        <v>-9.9118278127933501E-2</v>
      </c>
    </row>
    <row r="19" spans="2:39" ht="12.75" customHeight="1">
      <c r="B19" s="9" t="s">
        <v>132</v>
      </c>
      <c r="C19" s="78">
        <v>-95501</v>
      </c>
      <c r="D19" s="78">
        <v>-111421</v>
      </c>
      <c r="E19" s="78">
        <v>-115312</v>
      </c>
      <c r="F19" s="78">
        <v>-140537</v>
      </c>
      <c r="G19" s="30"/>
      <c r="H19" s="78">
        <v>-26706</v>
      </c>
      <c r="I19" s="78">
        <v>-28502</v>
      </c>
      <c r="J19" s="78">
        <v>-27283</v>
      </c>
      <c r="K19" s="30">
        <f t="shared" si="26"/>
        <v>-28930</v>
      </c>
      <c r="L19" s="78">
        <v>-27906</v>
      </c>
      <c r="M19" s="78">
        <v>-28830</v>
      </c>
      <c r="N19" s="78">
        <v>-29223</v>
      </c>
      <c r="O19" s="30">
        <f t="shared" si="27"/>
        <v>-29353</v>
      </c>
      <c r="P19" s="78">
        <v>-34666</v>
      </c>
      <c r="Q19" s="78">
        <v>-36129</v>
      </c>
      <c r="R19" s="78">
        <v>-33505</v>
      </c>
      <c r="S19" s="30">
        <f t="shared" si="28"/>
        <v>-36237</v>
      </c>
      <c r="T19" s="78">
        <v>-40547</v>
      </c>
      <c r="U19" s="78">
        <v>-36500</v>
      </c>
      <c r="V19" s="78">
        <v>-38173</v>
      </c>
      <c r="X19" s="30">
        <f t="shared" si="35"/>
        <v>-112621</v>
      </c>
      <c r="Y19" s="30">
        <f t="shared" si="36"/>
        <v>-112949</v>
      </c>
      <c r="Z19" s="30">
        <f t="shared" si="37"/>
        <v>-114889</v>
      </c>
      <c r="AA19" s="30">
        <f t="shared" si="38"/>
        <v>-115312</v>
      </c>
      <c r="AB19" s="30">
        <f t="shared" si="39"/>
        <v>-122072</v>
      </c>
      <c r="AC19" s="30">
        <f t="shared" si="40"/>
        <v>-129371</v>
      </c>
      <c r="AD19" s="30">
        <f t="shared" si="41"/>
        <v>-129371</v>
      </c>
      <c r="AE19" s="30">
        <f t="shared" si="42"/>
        <v>-133653</v>
      </c>
      <c r="AF19" s="30">
        <f t="shared" si="43"/>
        <v>-140537</v>
      </c>
      <c r="AG19" s="30">
        <f t="shared" si="44"/>
        <v>-146418</v>
      </c>
      <c r="AH19" s="30">
        <f t="shared" si="45"/>
        <v>-146789</v>
      </c>
      <c r="AI19" s="30">
        <f t="shared" si="46"/>
        <v>-151457</v>
      </c>
      <c r="AJ19" s="11"/>
      <c r="AK19" s="70">
        <f t="shared" si="8"/>
        <v>0.13463604671835272</v>
      </c>
    </row>
    <row r="20" spans="2:39" ht="12.75" customHeight="1">
      <c r="B20" s="9" t="s">
        <v>133</v>
      </c>
      <c r="C20" s="78">
        <v>0</v>
      </c>
      <c r="D20" s="78">
        <v>0</v>
      </c>
      <c r="E20" s="78">
        <v>0</v>
      </c>
      <c r="F20" s="78">
        <v>0</v>
      </c>
      <c r="G20" s="30"/>
      <c r="H20" s="78">
        <v>0</v>
      </c>
      <c r="I20" s="78">
        <v>0</v>
      </c>
      <c r="J20" s="78">
        <v>0</v>
      </c>
      <c r="K20" s="30">
        <f t="shared" si="26"/>
        <v>0</v>
      </c>
      <c r="L20" s="78">
        <v>0</v>
      </c>
      <c r="M20" s="78">
        <v>0</v>
      </c>
      <c r="N20" s="78">
        <v>0</v>
      </c>
      <c r="O20" s="30">
        <f t="shared" si="27"/>
        <v>0</v>
      </c>
      <c r="P20" s="78">
        <v>0</v>
      </c>
      <c r="Q20" s="78">
        <v>0</v>
      </c>
      <c r="R20" s="78">
        <v>0</v>
      </c>
      <c r="S20" s="30">
        <f t="shared" si="28"/>
        <v>0</v>
      </c>
      <c r="T20" s="78">
        <v>-5906005</v>
      </c>
      <c r="U20" s="78">
        <v>14047514</v>
      </c>
      <c r="V20" s="78">
        <v>3890847</v>
      </c>
      <c r="X20" s="30">
        <f t="shared" si="35"/>
        <v>0</v>
      </c>
      <c r="Y20" s="30">
        <f t="shared" si="36"/>
        <v>0</v>
      </c>
      <c r="Z20" s="30">
        <f t="shared" si="37"/>
        <v>0</v>
      </c>
      <c r="AA20" s="30">
        <f t="shared" si="38"/>
        <v>0</v>
      </c>
      <c r="AB20" s="30">
        <f t="shared" si="39"/>
        <v>0</v>
      </c>
      <c r="AC20" s="30">
        <f t="shared" si="40"/>
        <v>0</v>
      </c>
      <c r="AD20" s="30">
        <f t="shared" si="41"/>
        <v>0</v>
      </c>
      <c r="AE20" s="30">
        <f t="shared" si="42"/>
        <v>0</v>
      </c>
      <c r="AF20" s="30">
        <f t="shared" si="43"/>
        <v>0</v>
      </c>
      <c r="AG20" s="30">
        <f t="shared" si="44"/>
        <v>-5906005</v>
      </c>
      <c r="AH20" s="30">
        <f t="shared" si="45"/>
        <v>8141509</v>
      </c>
      <c r="AI20" s="30">
        <f t="shared" si="46"/>
        <v>12032356</v>
      </c>
      <c r="AJ20" s="11"/>
      <c r="AK20" s="70" t="e">
        <f t="shared" si="8"/>
        <v>#DIV/0!</v>
      </c>
    </row>
    <row r="21" spans="2:39" ht="12.75" customHeight="1">
      <c r="B21" s="9" t="s">
        <v>134</v>
      </c>
      <c r="C21" s="78">
        <v>-830621</v>
      </c>
      <c r="D21" s="78">
        <v>-1286286</v>
      </c>
      <c r="E21" s="78">
        <v>-115851</v>
      </c>
      <c r="F21" s="78">
        <v>-1789862</v>
      </c>
      <c r="G21" s="30"/>
      <c r="H21" s="78">
        <v>-170091</v>
      </c>
      <c r="I21" s="78">
        <v>-917838</v>
      </c>
      <c r="J21" s="78">
        <v>-727</v>
      </c>
      <c r="K21" s="30">
        <f t="shared" si="26"/>
        <v>-197630</v>
      </c>
      <c r="L21" s="78">
        <v>-18911</v>
      </c>
      <c r="M21" s="78">
        <v>-24143</v>
      </c>
      <c r="N21" s="78">
        <v>-33559</v>
      </c>
      <c r="O21" s="30">
        <f t="shared" si="27"/>
        <v>-39238</v>
      </c>
      <c r="P21" s="78">
        <v>-191633</v>
      </c>
      <c r="Q21" s="78">
        <v>-180090</v>
      </c>
      <c r="R21" s="78">
        <v>-412084</v>
      </c>
      <c r="S21" s="30">
        <f t="shared" si="28"/>
        <v>-1006055</v>
      </c>
      <c r="T21" s="78">
        <v>0</v>
      </c>
      <c r="U21" s="78">
        <v>0</v>
      </c>
      <c r="V21" s="78">
        <v>0</v>
      </c>
      <c r="X21" s="30">
        <f t="shared" si="35"/>
        <v>-1135106</v>
      </c>
      <c r="Y21" s="30">
        <f t="shared" si="36"/>
        <v>-241411</v>
      </c>
      <c r="Z21" s="30">
        <f t="shared" si="37"/>
        <v>-274243</v>
      </c>
      <c r="AA21" s="30">
        <f t="shared" si="38"/>
        <v>-115851</v>
      </c>
      <c r="AB21" s="30">
        <f t="shared" si="39"/>
        <v>-288573</v>
      </c>
      <c r="AC21" s="30">
        <f t="shared" si="40"/>
        <v>-444520</v>
      </c>
      <c r="AD21" s="30">
        <f t="shared" si="41"/>
        <v>-444520</v>
      </c>
      <c r="AE21" s="30">
        <f t="shared" si="42"/>
        <v>-823045</v>
      </c>
      <c r="AF21" s="30">
        <f t="shared" si="43"/>
        <v>-1789862</v>
      </c>
      <c r="AG21" s="30">
        <f t="shared" si="44"/>
        <v>-1598229</v>
      </c>
      <c r="AH21" s="30">
        <f t="shared" si="45"/>
        <v>-1418139</v>
      </c>
      <c r="AI21" s="30">
        <f t="shared" si="46"/>
        <v>-1006055</v>
      </c>
      <c r="AJ21" s="11"/>
      <c r="AK21" s="70">
        <f t="shared" si="8"/>
        <v>2.1902704040313146</v>
      </c>
    </row>
    <row r="22" spans="2:39" ht="12.75" customHeight="1">
      <c r="B22" s="23" t="s">
        <v>83</v>
      </c>
      <c r="C22" s="24">
        <f t="shared" ref="C22" si="47">+SUM(C14+SUM(C17:C21))</f>
        <v>-784527</v>
      </c>
      <c r="D22" s="24">
        <f>+SUM(D14+SUM(D17:D21))</f>
        <v>-1275742</v>
      </c>
      <c r="E22" s="24">
        <f>+SUM(E14+SUM(E17:E21))</f>
        <v>-115047</v>
      </c>
      <c r="F22" s="24">
        <f>+SUM(F14+SUM(F17:F21))</f>
        <v>-1852978</v>
      </c>
      <c r="G22" s="30"/>
      <c r="H22" s="24">
        <f t="shared" ref="H22:U22" si="48">+SUM(H14+SUM(H17:H21))</f>
        <v>-169960</v>
      </c>
      <c r="I22" s="24">
        <f t="shared" si="48"/>
        <v>-918123</v>
      </c>
      <c r="J22" s="24">
        <f t="shared" si="48"/>
        <v>6058</v>
      </c>
      <c r="K22" s="24">
        <f t="shared" si="48"/>
        <v>-193717</v>
      </c>
      <c r="L22" s="24">
        <f t="shared" si="48"/>
        <v>-20307</v>
      </c>
      <c r="M22" s="24">
        <f t="shared" si="48"/>
        <v>-26708</v>
      </c>
      <c r="N22" s="24">
        <f t="shared" si="48"/>
        <v>-25247</v>
      </c>
      <c r="O22" s="24">
        <f t="shared" si="48"/>
        <v>-42785</v>
      </c>
      <c r="P22" s="24">
        <f t="shared" si="48"/>
        <v>-203702</v>
      </c>
      <c r="Q22" s="24">
        <f t="shared" si="48"/>
        <v>-200274</v>
      </c>
      <c r="R22" s="24">
        <f t="shared" si="48"/>
        <v>-432582</v>
      </c>
      <c r="S22" s="24">
        <f t="shared" si="48"/>
        <v>-1016420</v>
      </c>
      <c r="T22" s="24">
        <f t="shared" si="48"/>
        <v>-5921412</v>
      </c>
      <c r="U22" s="24">
        <f t="shared" si="48"/>
        <v>14031990</v>
      </c>
      <c r="V22" s="24">
        <f>+SUM(V14+SUM(V17:V21))</f>
        <v>3890842</v>
      </c>
      <c r="X22" s="24">
        <f t="shared" ref="X22:AH22" si="49">+SUM(X14+SUM(X17:X21))</f>
        <v>-1128727</v>
      </c>
      <c r="Y22" s="24">
        <f t="shared" si="49"/>
        <v>-233001</v>
      </c>
      <c r="Z22" s="24">
        <f t="shared" si="49"/>
        <v>-270081</v>
      </c>
      <c r="AA22" s="24">
        <f t="shared" si="49"/>
        <v>-106977</v>
      </c>
      <c r="AB22" s="24">
        <f t="shared" si="49"/>
        <v>-291773</v>
      </c>
      <c r="AC22" s="24">
        <f t="shared" si="49"/>
        <v>-463050</v>
      </c>
      <c r="AD22" s="24">
        <f t="shared" si="49"/>
        <v>-472008</v>
      </c>
      <c r="AE22" s="24">
        <f t="shared" si="49"/>
        <v>-879343</v>
      </c>
      <c r="AF22" s="24">
        <f t="shared" si="49"/>
        <v>-1852978</v>
      </c>
      <c r="AG22" s="24">
        <f t="shared" si="49"/>
        <v>-7570688</v>
      </c>
      <c r="AH22" s="24">
        <f t="shared" si="49"/>
        <v>6661576</v>
      </c>
      <c r="AI22" s="24">
        <f t="shared" ref="AI22" si="50">+SUM(AI14+SUM(AI17:AI21))</f>
        <v>10985000</v>
      </c>
      <c r="AJ22" s="11"/>
      <c r="AK22" s="71">
        <f t="shared" si="8"/>
        <v>-15.1132692666226</v>
      </c>
    </row>
    <row r="23" spans="2:39" ht="12.75" customHeight="1">
      <c r="B23" s="14" t="s">
        <v>35</v>
      </c>
      <c r="C23" s="15">
        <f t="shared" ref="C23" si="51">C22/C11</f>
        <v>-1.5359932806277679</v>
      </c>
      <c r="D23" s="15">
        <f>D22/D11</f>
        <v>-2.555245321112678</v>
      </c>
      <c r="E23" s="15">
        <f>E22/E11</f>
        <v>-0.23182760684397927</v>
      </c>
      <c r="F23" s="15">
        <f>F22/F11</f>
        <v>-3.9981745839950285</v>
      </c>
      <c r="G23" s="30"/>
      <c r="H23" s="15">
        <f t="shared" ref="H23:U23" si="52">H22/H11</f>
        <v>-1.4249184670975963</v>
      </c>
      <c r="I23" s="15">
        <f t="shared" si="52"/>
        <v>-7.5210980315057387</v>
      </c>
      <c r="J23" s="15">
        <f t="shared" si="52"/>
        <v>4.8324824505424378E-2</v>
      </c>
      <c r="K23" s="15">
        <f t="shared" si="52"/>
        <v>-1.4614194969597296</v>
      </c>
      <c r="L23" s="15">
        <f t="shared" si="52"/>
        <v>-0.16656687036049705</v>
      </c>
      <c r="M23" s="15">
        <f t="shared" si="52"/>
        <v>-0.22182724252491695</v>
      </c>
      <c r="N23" s="15">
        <f t="shared" si="52"/>
        <v>-0.19501475336392146</v>
      </c>
      <c r="O23" s="15">
        <f t="shared" si="52"/>
        <v>-0.34369878859933806</v>
      </c>
      <c r="P23" s="15">
        <f t="shared" si="52"/>
        <v>-1.7675407389410478</v>
      </c>
      <c r="Q23" s="15">
        <f t="shared" si="52"/>
        <v>-1.7971141939304751</v>
      </c>
      <c r="R23" s="15">
        <f t="shared" si="52"/>
        <v>-3.7268740684580988</v>
      </c>
      <c r="S23" s="15">
        <f t="shared" si="52"/>
        <v>-8.4212532208754158</v>
      </c>
      <c r="T23" s="15">
        <f t="shared" si="52"/>
        <v>-53.314353627572793</v>
      </c>
      <c r="U23" s="15">
        <f t="shared" si="52"/>
        <v>122.56297603242261</v>
      </c>
      <c r="V23" s="15">
        <f t="shared" ref="V23" si="53">V22/V11</f>
        <v>30.233986836686327</v>
      </c>
      <c r="X23" s="15">
        <f t="shared" ref="X23:AH23" si="54">X22/X11</f>
        <v>-2.2607818709139855</v>
      </c>
      <c r="Y23" s="15">
        <f t="shared" si="54"/>
        <v>-0.46423604608070901</v>
      </c>
      <c r="Z23" s="15">
        <f t="shared" si="54"/>
        <v>-0.53991471905867117</v>
      </c>
      <c r="AA23" s="15">
        <f t="shared" si="54"/>
        <v>-0.212116645615677</v>
      </c>
      <c r="AB23" s="15">
        <f t="shared" si="54"/>
        <v>-0.58794263502471478</v>
      </c>
      <c r="AC23" s="15">
        <f t="shared" si="54"/>
        <v>-0.94578751286785734</v>
      </c>
      <c r="AD23" s="15">
        <f t="shared" si="54"/>
        <v>-0.9820528718317888</v>
      </c>
      <c r="AE23" s="15">
        <f t="shared" si="54"/>
        <v>-1.8819821805784143</v>
      </c>
      <c r="AF23" s="15">
        <f t="shared" si="54"/>
        <v>-3.9981745839950285</v>
      </c>
      <c r="AG23" s="15">
        <f t="shared" si="54"/>
        <v>-16.483961713653663</v>
      </c>
      <c r="AH23" s="15">
        <f t="shared" si="54"/>
        <v>14.408953067342674</v>
      </c>
      <c r="AI23" s="15">
        <f t="shared" ref="AI23" si="55">AI22/AI11</f>
        <v>23.129139979197461</v>
      </c>
      <c r="AJ23" s="11"/>
      <c r="AK23" s="72">
        <f>SUM(AH23-AD23)*1000</f>
        <v>15391.005939174462</v>
      </c>
    </row>
    <row r="24" spans="2:39" ht="5.0999999999999996" customHeight="1">
      <c r="B24" s="14"/>
      <c r="C24" s="15"/>
      <c r="D24" s="15"/>
      <c r="E24" s="15"/>
      <c r="F24" s="15"/>
      <c r="G24" s="30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11"/>
      <c r="AK24" s="70"/>
    </row>
    <row r="25" spans="2:39" ht="12.75" customHeight="1">
      <c r="B25" s="9" t="s">
        <v>135</v>
      </c>
      <c r="C25" s="78">
        <v>-29149</v>
      </c>
      <c r="D25" s="78">
        <v>-53136</v>
      </c>
      <c r="E25" s="78">
        <v>-48960</v>
      </c>
      <c r="F25" s="78">
        <v>-61941</v>
      </c>
      <c r="G25" s="30"/>
      <c r="H25" s="78">
        <v>-11039</v>
      </c>
      <c r="I25" s="78">
        <v>-13187</v>
      </c>
      <c r="J25" s="78">
        <v>-14073</v>
      </c>
      <c r="K25" s="30">
        <f t="shared" ref="K25:K27" si="56">SUM(D25-SUM(H25:J25))</f>
        <v>-14837</v>
      </c>
      <c r="L25" s="78">
        <v>-14930</v>
      </c>
      <c r="M25" s="78">
        <v>-11095</v>
      </c>
      <c r="N25" s="78">
        <v>-11006</v>
      </c>
      <c r="O25" s="30">
        <f t="shared" ref="O25:O27" si="57">SUM(E25-SUM(L25:N25))</f>
        <v>-11929</v>
      </c>
      <c r="P25" s="78">
        <v>-11881</v>
      </c>
      <c r="Q25" s="78">
        <v>-15466</v>
      </c>
      <c r="R25" s="78">
        <v>-18129</v>
      </c>
      <c r="S25" s="30">
        <f t="shared" ref="S25:S27" si="58">SUM(F25-SUM(P25:R25))</f>
        <v>-16465</v>
      </c>
      <c r="T25" s="78">
        <v>-17106</v>
      </c>
      <c r="U25" s="78">
        <v>-17897</v>
      </c>
      <c r="V25" s="78">
        <v>-18890</v>
      </c>
      <c r="X25" s="30">
        <f t="shared" ref="X25:AC25" si="59">SUM(I25:L25)</f>
        <v>-57027</v>
      </c>
      <c r="Y25" s="30">
        <f t="shared" si="59"/>
        <v>-54935</v>
      </c>
      <c r="Z25" s="30">
        <f t="shared" si="59"/>
        <v>-51868</v>
      </c>
      <c r="AA25" s="30">
        <f t="shared" si="59"/>
        <v>-48960</v>
      </c>
      <c r="AB25" s="30">
        <f t="shared" si="59"/>
        <v>-45911</v>
      </c>
      <c r="AC25" s="30">
        <f t="shared" si="59"/>
        <v>-50282</v>
      </c>
      <c r="AD25" s="30">
        <f t="shared" ref="AD25" si="60">SUM(N25:Q25)</f>
        <v>-50282</v>
      </c>
      <c r="AE25" s="30">
        <f t="shared" ref="AE25" si="61">SUM(O25:R25)</f>
        <v>-57405</v>
      </c>
      <c r="AF25" s="30">
        <f t="shared" ref="AF25" si="62">SUM(P25:S25)</f>
        <v>-61941</v>
      </c>
      <c r="AG25" s="30">
        <f t="shared" ref="AG25" si="63">SUM(Q25:T25)</f>
        <v>-67166</v>
      </c>
      <c r="AH25" s="30">
        <f t="shared" ref="AH25:AI25" si="64">SUM(R25:U25)</f>
        <v>-69597</v>
      </c>
      <c r="AI25" s="30">
        <f t="shared" si="64"/>
        <v>-70358</v>
      </c>
      <c r="AJ25" s="11"/>
      <c r="AK25" s="70">
        <f t="shared" si="8"/>
        <v>0.38413348713257234</v>
      </c>
    </row>
    <row r="26" spans="2:39" ht="12.75" customHeight="1">
      <c r="B26" s="9" t="s">
        <v>136</v>
      </c>
      <c r="C26" s="78">
        <v>0</v>
      </c>
      <c r="D26" s="78">
        <v>0</v>
      </c>
      <c r="E26" s="78">
        <v>44686</v>
      </c>
      <c r="F26" s="78">
        <v>-22933</v>
      </c>
      <c r="G26" s="30"/>
      <c r="H26" s="78">
        <v>0</v>
      </c>
      <c r="I26" s="78">
        <v>0</v>
      </c>
      <c r="J26" s="78">
        <v>0</v>
      </c>
      <c r="K26" s="30">
        <f t="shared" si="56"/>
        <v>0</v>
      </c>
      <c r="L26" s="78">
        <v>44686</v>
      </c>
      <c r="M26" s="78">
        <v>0</v>
      </c>
      <c r="N26" s="78">
        <v>0</v>
      </c>
      <c r="O26" s="30">
        <f t="shared" si="57"/>
        <v>0</v>
      </c>
      <c r="P26" s="78">
        <v>0</v>
      </c>
      <c r="Q26" s="78">
        <v>0</v>
      </c>
      <c r="R26" s="78">
        <v>-22933</v>
      </c>
      <c r="S26" s="30">
        <f t="shared" si="58"/>
        <v>0</v>
      </c>
      <c r="T26" s="78">
        <v>0</v>
      </c>
      <c r="U26" s="78">
        <v>0</v>
      </c>
      <c r="V26" s="78">
        <v>0</v>
      </c>
      <c r="X26" s="30">
        <f t="shared" ref="X26:X27" si="65">SUM(I26:L26)</f>
        <v>44686</v>
      </c>
      <c r="Y26" s="30">
        <f t="shared" ref="Y26:Y27" si="66">SUM(J26:M26)</f>
        <v>44686</v>
      </c>
      <c r="Z26" s="30">
        <f t="shared" ref="Z26:Z27" si="67">SUM(K26:N26)</f>
        <v>44686</v>
      </c>
      <c r="AA26" s="30">
        <f t="shared" ref="AA26:AA27" si="68">SUM(L26:O26)</f>
        <v>44686</v>
      </c>
      <c r="AB26" s="30">
        <f t="shared" ref="AB26:AB27" si="69">SUM(M26:P26)</f>
        <v>0</v>
      </c>
      <c r="AC26" s="30">
        <f t="shared" ref="AC26:AC27" si="70">SUM(N26:Q26)</f>
        <v>0</v>
      </c>
      <c r="AD26" s="30">
        <f t="shared" ref="AD26:AD27" si="71">SUM(N26:Q26)</f>
        <v>0</v>
      </c>
      <c r="AE26" s="30">
        <f t="shared" ref="AE26:AE27" si="72">SUM(O26:R26)</f>
        <v>-22933</v>
      </c>
      <c r="AF26" s="30">
        <f t="shared" ref="AF26:AF27" si="73">SUM(P26:S26)</f>
        <v>-22933</v>
      </c>
      <c r="AG26" s="30">
        <f t="shared" ref="AG26:AG27" si="74">SUM(Q26:T26)</f>
        <v>-22933</v>
      </c>
      <c r="AH26" s="30">
        <f t="shared" ref="AH26:AH27" si="75">SUM(R26:U26)</f>
        <v>-22933</v>
      </c>
      <c r="AI26" s="30">
        <f t="shared" ref="AI26:AI27" si="76">SUM(S26:V26)</f>
        <v>0</v>
      </c>
      <c r="AJ26" s="11"/>
      <c r="AK26" s="70" t="e">
        <f t="shared" si="8"/>
        <v>#DIV/0!</v>
      </c>
    </row>
    <row r="27" spans="2:39" ht="12.75" customHeight="1">
      <c r="B27" s="9" t="s">
        <v>137</v>
      </c>
      <c r="C27" s="78">
        <v>2287</v>
      </c>
      <c r="D27" s="78">
        <v>6413</v>
      </c>
      <c r="E27" s="78">
        <v>-5204</v>
      </c>
      <c r="F27" s="78">
        <v>3506</v>
      </c>
      <c r="G27" s="30"/>
      <c r="H27" s="78">
        <v>2225</v>
      </c>
      <c r="I27" s="78">
        <v>5120</v>
      </c>
      <c r="J27" s="78">
        <v>4897</v>
      </c>
      <c r="K27" s="30">
        <f t="shared" si="56"/>
        <v>-5829</v>
      </c>
      <c r="L27" s="78">
        <v>-1443</v>
      </c>
      <c r="M27" s="78">
        <v>-250</v>
      </c>
      <c r="N27" s="78">
        <v>2419</v>
      </c>
      <c r="O27" s="30">
        <f t="shared" si="57"/>
        <v>-5930</v>
      </c>
      <c r="P27" s="78">
        <v>1696</v>
      </c>
      <c r="Q27" s="78">
        <v>694</v>
      </c>
      <c r="R27" s="78">
        <v>-5034</v>
      </c>
      <c r="S27" s="30">
        <f t="shared" si="58"/>
        <v>6150</v>
      </c>
      <c r="T27" s="78">
        <v>-3936</v>
      </c>
      <c r="U27" s="78">
        <v>-8271</v>
      </c>
      <c r="V27" s="78">
        <v>-716</v>
      </c>
      <c r="X27" s="30">
        <f t="shared" si="65"/>
        <v>2745</v>
      </c>
      <c r="Y27" s="30">
        <f t="shared" si="66"/>
        <v>-2625</v>
      </c>
      <c r="Z27" s="30">
        <f t="shared" si="67"/>
        <v>-5103</v>
      </c>
      <c r="AA27" s="30">
        <f t="shared" si="68"/>
        <v>-5204</v>
      </c>
      <c r="AB27" s="30">
        <f t="shared" si="69"/>
        <v>-2065</v>
      </c>
      <c r="AC27" s="30">
        <f t="shared" si="70"/>
        <v>-1121</v>
      </c>
      <c r="AD27" s="30">
        <f t="shared" si="71"/>
        <v>-1121</v>
      </c>
      <c r="AE27" s="30">
        <f t="shared" si="72"/>
        <v>-8574</v>
      </c>
      <c r="AF27" s="30">
        <f t="shared" si="73"/>
        <v>3506</v>
      </c>
      <c r="AG27" s="30">
        <f t="shared" si="74"/>
        <v>-2126</v>
      </c>
      <c r="AH27" s="30">
        <f t="shared" si="75"/>
        <v>-11091</v>
      </c>
      <c r="AI27" s="30">
        <f t="shared" si="76"/>
        <v>-6773</v>
      </c>
      <c r="AJ27" s="11"/>
      <c r="AK27" s="70">
        <f t="shared" si="8"/>
        <v>8.8938447814451376</v>
      </c>
    </row>
    <row r="28" spans="2:39" ht="12.75" customHeight="1">
      <c r="B28" s="23" t="s">
        <v>84</v>
      </c>
      <c r="C28" s="24">
        <f>SUM(C22+SUM(C25:C27))</f>
        <v>-811389</v>
      </c>
      <c r="D28" s="24">
        <f t="shared" ref="D28:F28" si="77">SUM(D22+SUM(D25:D27))</f>
        <v>-1322465</v>
      </c>
      <c r="E28" s="24">
        <f t="shared" si="77"/>
        <v>-124525</v>
      </c>
      <c r="F28" s="24">
        <f t="shared" si="77"/>
        <v>-1934346</v>
      </c>
      <c r="H28" s="24">
        <f t="shared" ref="H28" si="78">SUM(H22+SUM(H25:H27))</f>
        <v>-178774</v>
      </c>
      <c r="I28" s="24">
        <f t="shared" ref="I28" si="79">SUM(I22+SUM(I25:I27))</f>
        <v>-926190</v>
      </c>
      <c r="J28" s="24">
        <f t="shared" ref="J28" si="80">SUM(J22+SUM(J25:J27))</f>
        <v>-3118</v>
      </c>
      <c r="K28" s="24">
        <f t="shared" ref="K28" si="81">SUM(K22+SUM(K25:K27))</f>
        <v>-214383</v>
      </c>
      <c r="L28" s="24">
        <f t="shared" ref="L28" si="82">SUM(L22+SUM(L25:L27))</f>
        <v>8006</v>
      </c>
      <c r="M28" s="24">
        <f t="shared" ref="M28" si="83">SUM(M22+SUM(M25:M27))</f>
        <v>-38053</v>
      </c>
      <c r="N28" s="24">
        <f t="shared" ref="N28" si="84">SUM(N22+SUM(N25:N27))</f>
        <v>-33834</v>
      </c>
      <c r="O28" s="24">
        <f t="shared" ref="O28" si="85">SUM(O22+SUM(O25:O27))</f>
        <v>-60644</v>
      </c>
      <c r="P28" s="24">
        <f t="shared" ref="P28" si="86">SUM(P22+SUM(P25:P27))</f>
        <v>-213887</v>
      </c>
      <c r="Q28" s="24">
        <f t="shared" ref="Q28" si="87">SUM(Q22+SUM(Q25:Q27))</f>
        <v>-215046</v>
      </c>
      <c r="R28" s="24">
        <f t="shared" ref="R28" si="88">SUM(R22+SUM(R25:R27))</f>
        <v>-478678</v>
      </c>
      <c r="S28" s="24">
        <f t="shared" ref="S28" si="89">SUM(S22+SUM(S25:S27))</f>
        <v>-1026735</v>
      </c>
      <c r="T28" s="24">
        <f t="shared" ref="T28" si="90">SUM(T22+SUM(T25:T27))</f>
        <v>-5942454</v>
      </c>
      <c r="U28" s="24">
        <f t="shared" ref="U28" si="91">SUM(U22+SUM(U25:U27))</f>
        <v>14005822</v>
      </c>
      <c r="V28" s="24">
        <f t="shared" ref="V28" si="92">SUM(V22+SUM(V25:V27))</f>
        <v>3871236</v>
      </c>
      <c r="X28" s="24">
        <f t="shared" ref="X28" si="93">SUM(X22+SUM(X25:X27))</f>
        <v>-1138323</v>
      </c>
      <c r="Y28" s="24">
        <f t="shared" ref="Y28" si="94">SUM(Y22+SUM(Y25:Y27))</f>
        <v>-245875</v>
      </c>
      <c r="Z28" s="24">
        <f t="shared" ref="Z28" si="95">SUM(Z22+SUM(Z25:Z27))</f>
        <v>-282366</v>
      </c>
      <c r="AA28" s="24">
        <f t="shared" ref="AA28" si="96">SUM(AA22+SUM(AA25:AA27))</f>
        <v>-116455</v>
      </c>
      <c r="AB28" s="24">
        <f t="shared" ref="AB28" si="97">SUM(AB22+SUM(AB25:AB27))</f>
        <v>-339749</v>
      </c>
      <c r="AC28" s="24">
        <f t="shared" ref="AC28" si="98">SUM(AC22+SUM(AC25:AC27))</f>
        <v>-514453</v>
      </c>
      <c r="AD28" s="24">
        <f t="shared" ref="AD28" si="99">SUM(AD22+SUM(AD25:AD27))</f>
        <v>-523411</v>
      </c>
      <c r="AE28" s="24">
        <f t="shared" ref="AE28" si="100">SUM(AE22+SUM(AE25:AE27))</f>
        <v>-968255</v>
      </c>
      <c r="AF28" s="24">
        <f t="shared" ref="AF28" si="101">SUM(AF22+SUM(AF25:AF27))</f>
        <v>-1934346</v>
      </c>
      <c r="AG28" s="24">
        <f t="shared" ref="AG28" si="102">SUM(AG22+SUM(AG25:AG27))</f>
        <v>-7662913</v>
      </c>
      <c r="AH28" s="24">
        <f t="shared" ref="AH28" si="103">SUM(AH22+SUM(AH25:AH27))</f>
        <v>6557955</v>
      </c>
      <c r="AI28" s="24">
        <f t="shared" ref="AI28" si="104">SUM(AI22+SUM(AI25:AI27))</f>
        <v>10907869</v>
      </c>
      <c r="AJ28" s="40"/>
      <c r="AK28" s="71">
        <f t="shared" si="8"/>
        <v>-13.529264765165424</v>
      </c>
    </row>
    <row r="29" spans="2:39" ht="12.75" customHeight="1">
      <c r="B29" s="14" t="s">
        <v>85</v>
      </c>
      <c r="C29" s="15">
        <f t="shared" ref="C29:F29" si="105">C28/C11</f>
        <v>-1.5885852902134459</v>
      </c>
      <c r="D29" s="15">
        <f t="shared" si="105"/>
        <v>-2.6488290764004616</v>
      </c>
      <c r="E29" s="15">
        <f t="shared" si="105"/>
        <v>-0.25092642782729252</v>
      </c>
      <c r="F29" s="15">
        <f t="shared" si="105"/>
        <v>-4.1737424911965757</v>
      </c>
      <c r="G29" s="25"/>
      <c r="H29" s="15">
        <f t="shared" ref="H29:V29" si="106">H28/H11</f>
        <v>-1.4988136857902195</v>
      </c>
      <c r="I29" s="15">
        <f t="shared" si="106"/>
        <v>-7.5871814406134037</v>
      </c>
      <c r="J29" s="15">
        <f t="shared" si="106"/>
        <v>-2.4872367581365667E-2</v>
      </c>
      <c r="K29" s="15">
        <f t="shared" si="106"/>
        <v>-1.6173257691205094</v>
      </c>
      <c r="L29" s="15">
        <f t="shared" si="106"/>
        <v>6.566870360497068E-2</v>
      </c>
      <c r="M29" s="15">
        <f t="shared" si="106"/>
        <v>-0.31605481727574752</v>
      </c>
      <c r="N29" s="15">
        <f t="shared" si="106"/>
        <v>-0.26134309681605411</v>
      </c>
      <c r="O29" s="15">
        <f t="shared" si="106"/>
        <v>-0.48716300890074227</v>
      </c>
      <c r="P29" s="15">
        <f t="shared" si="106"/>
        <v>-1.8559169081790257</v>
      </c>
      <c r="Q29" s="15">
        <f t="shared" si="106"/>
        <v>-1.9296674503329085</v>
      </c>
      <c r="R29" s="15">
        <f t="shared" si="106"/>
        <v>-4.1240103040380456</v>
      </c>
      <c r="S29" s="15">
        <f t="shared" si="106"/>
        <v>-8.5067151627629514</v>
      </c>
      <c r="T29" s="15">
        <f t="shared" si="106"/>
        <v>-53.503808546269788</v>
      </c>
      <c r="U29" s="15">
        <f t="shared" si="106"/>
        <v>122.33441059324994</v>
      </c>
      <c r="V29" s="15">
        <f t="shared" si="106"/>
        <v>30.081637410541529</v>
      </c>
      <c r="W29" s="26"/>
      <c r="X29" s="15">
        <f t="shared" ref="X29:AI29" si="107">X28/X11</f>
        <v>-2.2800021631842071</v>
      </c>
      <c r="Y29" s="15">
        <f t="shared" si="107"/>
        <v>-0.48988647186104062</v>
      </c>
      <c r="Z29" s="15">
        <f t="shared" si="107"/>
        <v>-0.56447347115021318</v>
      </c>
      <c r="AA29" s="15">
        <f t="shared" si="107"/>
        <v>-0.23090985880304798</v>
      </c>
      <c r="AB29" s="15">
        <f t="shared" si="107"/>
        <v>-0.6846175701898799</v>
      </c>
      <c r="AC29" s="15">
        <f t="shared" si="107"/>
        <v>-1.0507790159969934</v>
      </c>
      <c r="AD29" s="15">
        <f t="shared" si="107"/>
        <v>-1.0890011942559203</v>
      </c>
      <c r="AE29" s="15">
        <f t="shared" si="107"/>
        <v>-2.0722728858431267</v>
      </c>
      <c r="AF29" s="15">
        <f t="shared" si="107"/>
        <v>-4.1737424911965757</v>
      </c>
      <c r="AG29" s="15">
        <f t="shared" si="107"/>
        <v>-16.68476689398096</v>
      </c>
      <c r="AH29" s="15">
        <f t="shared" si="107"/>
        <v>14.184821401533997</v>
      </c>
      <c r="AI29" s="15">
        <f t="shared" si="107"/>
        <v>22.966739096563369</v>
      </c>
      <c r="AJ29" s="41"/>
      <c r="AK29" s="72">
        <f>SUM(AH29-AD29)*1000</f>
        <v>15273.822595789916</v>
      </c>
    </row>
    <row r="30" spans="2:39" ht="5.0999999999999996" customHeight="1">
      <c r="B30" s="27"/>
      <c r="C30" s="42"/>
      <c r="D30" s="42"/>
      <c r="E30" s="42"/>
      <c r="F30" s="42"/>
      <c r="G30" s="2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1"/>
      <c r="AK30" s="70"/>
    </row>
    <row r="31" spans="2:39" ht="12.75" customHeight="1">
      <c r="B31" s="43" t="s">
        <v>138</v>
      </c>
      <c r="C31" s="78">
        <v>275909</v>
      </c>
      <c r="D31" s="78">
        <v>-147332</v>
      </c>
      <c r="E31" s="78">
        <v>553646</v>
      </c>
      <c r="F31" s="78">
        <v>767685</v>
      </c>
      <c r="G31" s="30"/>
      <c r="H31" s="78">
        <v>48023</v>
      </c>
      <c r="I31" s="78">
        <v>-136108</v>
      </c>
      <c r="J31" s="78">
        <v>-23961</v>
      </c>
      <c r="K31" s="30">
        <f t="shared" ref="K31" si="108">SUM(D31-SUM(H31:J31))</f>
        <v>-35286</v>
      </c>
      <c r="L31" s="78">
        <v>453187</v>
      </c>
      <c r="M31" s="78">
        <v>60296</v>
      </c>
      <c r="N31" s="78">
        <v>-109607</v>
      </c>
      <c r="O31" s="30">
        <f t="shared" ref="O31" si="109">SUM(E31-SUM(L31:N31))</f>
        <v>149770</v>
      </c>
      <c r="P31" s="78">
        <v>160769</v>
      </c>
      <c r="Q31" s="78">
        <v>112487</v>
      </c>
      <c r="R31" s="78">
        <v>138504</v>
      </c>
      <c r="S31" s="30">
        <f t="shared" ref="S31" si="110">SUM(F31-SUM(P31:R31))</f>
        <v>355925</v>
      </c>
      <c r="T31" s="78">
        <v>1725084</v>
      </c>
      <c r="U31" s="78">
        <v>-3984976</v>
      </c>
      <c r="V31" s="78">
        <v>-1086212</v>
      </c>
      <c r="W31" s="30"/>
      <c r="X31" s="30">
        <f t="shared" ref="X31" si="111">SUM(I31:L31)</f>
        <v>257832</v>
      </c>
      <c r="Y31" s="30">
        <f t="shared" ref="Y31" si="112">SUM(J31:M31)</f>
        <v>454236</v>
      </c>
      <c r="Z31" s="30">
        <f t="shared" ref="Z31" si="113">SUM(K31:N31)</f>
        <v>368590</v>
      </c>
      <c r="AA31" s="30">
        <f t="shared" ref="AA31" si="114">SUM(L31:O31)</f>
        <v>553646</v>
      </c>
      <c r="AB31" s="30">
        <f t="shared" ref="AB31" si="115">SUM(M31:P31)</f>
        <v>261228</v>
      </c>
      <c r="AC31" s="30">
        <f t="shared" ref="AC31" si="116">SUM(N31:Q31)</f>
        <v>313419</v>
      </c>
      <c r="AD31" s="30">
        <f t="shared" ref="AD31" si="117">SUM(N31:Q31)</f>
        <v>313419</v>
      </c>
      <c r="AE31" s="30">
        <f t="shared" ref="AE31" si="118">SUM(O31:R31)</f>
        <v>561530</v>
      </c>
      <c r="AF31" s="30">
        <f t="shared" ref="AF31" si="119">SUM(P31:S31)</f>
        <v>767685</v>
      </c>
      <c r="AG31" s="30">
        <f t="shared" ref="AG31" si="120">SUM(Q31:T31)</f>
        <v>2332000</v>
      </c>
      <c r="AH31" s="30">
        <f>SUM(R31:U31)</f>
        <v>-1765463</v>
      </c>
      <c r="AI31" s="30">
        <f>SUM(S31:V31)</f>
        <v>-2990179</v>
      </c>
      <c r="AJ31" s="41"/>
      <c r="AK31" s="70">
        <f t="shared" ref="AK31:AK32" si="121">SUM(AH31/AD31)-1</f>
        <v>-6.6329163196870642</v>
      </c>
    </row>
    <row r="32" spans="2:39" ht="12.75" customHeight="1">
      <c r="B32" s="12" t="s">
        <v>105</v>
      </c>
      <c r="C32" s="13">
        <f>SUM(C31+C28)</f>
        <v>-535480</v>
      </c>
      <c r="D32" s="13">
        <f t="shared" ref="D32:F32" si="122">SUM(D31+D28)</f>
        <v>-1469797</v>
      </c>
      <c r="E32" s="13">
        <f t="shared" si="122"/>
        <v>429121</v>
      </c>
      <c r="F32" s="13">
        <f t="shared" si="122"/>
        <v>-1166661</v>
      </c>
      <c r="G32" s="11"/>
      <c r="H32" s="13">
        <f t="shared" ref="H32" si="123">SUM(H31+H28)</f>
        <v>-130751</v>
      </c>
      <c r="I32" s="13">
        <f t="shared" ref="I32" si="124">SUM(I31+I28)</f>
        <v>-1062298</v>
      </c>
      <c r="J32" s="13">
        <f t="shared" ref="J32" si="125">SUM(J31+J28)</f>
        <v>-27079</v>
      </c>
      <c r="K32" s="13">
        <f t="shared" ref="K32" si="126">SUM(K31+K28)</f>
        <v>-249669</v>
      </c>
      <c r="L32" s="13">
        <f t="shared" ref="L32" si="127">SUM(L31+L28)</f>
        <v>461193</v>
      </c>
      <c r="M32" s="13">
        <f t="shared" ref="M32" si="128">SUM(M31+M28)</f>
        <v>22243</v>
      </c>
      <c r="N32" s="13">
        <f t="shared" ref="N32" si="129">SUM(N31+N28)</f>
        <v>-143441</v>
      </c>
      <c r="O32" s="13">
        <f t="shared" ref="O32" si="130">SUM(O31+O28)</f>
        <v>89126</v>
      </c>
      <c r="P32" s="13">
        <f t="shared" ref="P32" si="131">SUM(P31+P28)</f>
        <v>-53118</v>
      </c>
      <c r="Q32" s="13">
        <f t="shared" ref="Q32" si="132">SUM(Q31+Q28)</f>
        <v>-102559</v>
      </c>
      <c r="R32" s="13">
        <f t="shared" ref="R32" si="133">SUM(R31+R28)</f>
        <v>-340174</v>
      </c>
      <c r="S32" s="13">
        <f t="shared" ref="S32" si="134">SUM(S31+S28)</f>
        <v>-670810</v>
      </c>
      <c r="T32" s="13">
        <f t="shared" ref="T32" si="135">SUM(T31+T28)</f>
        <v>-4217370</v>
      </c>
      <c r="U32" s="13">
        <f t="shared" ref="U32" si="136">SUM(U31+U28)</f>
        <v>10020846</v>
      </c>
      <c r="V32" s="13">
        <f t="shared" ref="V32" si="137">SUM(V31+V28)</f>
        <v>2785024</v>
      </c>
      <c r="W32" s="30"/>
      <c r="X32" s="13">
        <f t="shared" ref="X32" si="138">SUM(X31+X28)</f>
        <v>-880491</v>
      </c>
      <c r="Y32" s="13">
        <f t="shared" ref="Y32" si="139">SUM(Y31+Y28)</f>
        <v>208361</v>
      </c>
      <c r="Z32" s="13">
        <f t="shared" ref="Z32" si="140">SUM(Z31+Z28)</f>
        <v>86224</v>
      </c>
      <c r="AA32" s="13">
        <f t="shared" ref="AA32" si="141">SUM(AA31+AA28)</f>
        <v>437191</v>
      </c>
      <c r="AB32" s="13">
        <f t="shared" ref="AB32" si="142">SUM(AB31+AB28)</f>
        <v>-78521</v>
      </c>
      <c r="AC32" s="13">
        <f t="shared" ref="AC32" si="143">SUM(AC31+AC28)</f>
        <v>-201034</v>
      </c>
      <c r="AD32" s="13">
        <f t="shared" ref="AD32" si="144">SUM(AD31+AD28)</f>
        <v>-209992</v>
      </c>
      <c r="AE32" s="13">
        <f t="shared" ref="AE32" si="145">SUM(AE31+AE28)</f>
        <v>-406725</v>
      </c>
      <c r="AF32" s="13">
        <f t="shared" ref="AF32" si="146">SUM(AF31+AF28)</f>
        <v>-1166661</v>
      </c>
      <c r="AG32" s="13">
        <f t="shared" ref="AG32" si="147">SUM(AG31+AG28)</f>
        <v>-5330913</v>
      </c>
      <c r="AH32" s="13">
        <f t="shared" ref="AH32" si="148">SUM(AH31+AH28)</f>
        <v>4792492</v>
      </c>
      <c r="AI32" s="13">
        <f t="shared" ref="AI32" si="149">SUM(AI31+AI28)</f>
        <v>7917690</v>
      </c>
      <c r="AJ32" s="34"/>
      <c r="AK32" s="71">
        <f t="shared" si="121"/>
        <v>-23.822259895615073</v>
      </c>
    </row>
    <row r="33" spans="1:37" ht="12.75" customHeight="1">
      <c r="B33" s="14" t="s">
        <v>104</v>
      </c>
      <c r="C33" s="15">
        <f>C32/C11</f>
        <v>-1.0483943597996719</v>
      </c>
      <c r="D33" s="15">
        <f>D32/D11</f>
        <v>-2.9439274612229203</v>
      </c>
      <c r="E33" s="15">
        <f>E32/E11</f>
        <v>0.86470828858201632</v>
      </c>
      <c r="F33" s="15">
        <f>F32/F11</f>
        <v>-2.5173069288130914</v>
      </c>
      <c r="G33" s="25"/>
      <c r="H33" s="15">
        <f>H32/H11</f>
        <v>-1.0961962490672972</v>
      </c>
      <c r="I33" s="15">
        <f>I32/I11</f>
        <v>-8.7021536293856947</v>
      </c>
      <c r="J33" s="15">
        <f>J32/J11</f>
        <v>-0.21600989151244415</v>
      </c>
      <c r="K33" s="15">
        <f>K32/K11</f>
        <v>-1.883526713641233</v>
      </c>
      <c r="L33" s="15">
        <f>L32/L11</f>
        <v>3.7829061231185661</v>
      </c>
      <c r="M33" s="15">
        <f>M32/M11</f>
        <v>0.18474252491694351</v>
      </c>
      <c r="N33" s="15">
        <f>N32/N11</f>
        <v>-1.1079776305016145</v>
      </c>
      <c r="O33" s="15">
        <f>O32/O11</f>
        <v>0.71596349731692421</v>
      </c>
      <c r="P33" s="15">
        <f>P32/P11</f>
        <v>-0.46090970619370736</v>
      </c>
      <c r="Q33" s="15">
        <f>Q32/Q11</f>
        <v>-0.92029037526246837</v>
      </c>
      <c r="R33" s="15">
        <f>R32/R11</f>
        <v>-2.9307406673501566</v>
      </c>
      <c r="S33" s="15">
        <f>S32/S11</f>
        <v>-5.557801768063829</v>
      </c>
      <c r="T33" s="15">
        <f>T32/T11</f>
        <v>-37.971746529090808</v>
      </c>
      <c r="U33" s="15">
        <f>U32/U11</f>
        <v>87.527478862413531</v>
      </c>
      <c r="V33" s="15">
        <f>V32/V11</f>
        <v>21.641171488293665</v>
      </c>
      <c r="W33" s="30"/>
      <c r="X33" s="15">
        <f>X32/X11</f>
        <v>-1.7635779867965646</v>
      </c>
      <c r="Y33" s="15">
        <f>Y32/Y11</f>
        <v>0.4151427968009691</v>
      </c>
      <c r="Z33" s="15">
        <f>Z32/Z11</f>
        <v>0.17236905497282246</v>
      </c>
      <c r="AA33" s="15">
        <f>AA32/AA11</f>
        <v>0.86687314481957289</v>
      </c>
      <c r="AB33" s="15">
        <f>AB32/AB11</f>
        <v>-0.15822520810621829</v>
      </c>
      <c r="AC33" s="15">
        <f>AC32/AC11</f>
        <v>-0.41061536953218192</v>
      </c>
      <c r="AD33" s="15">
        <f>AD32/AD11</f>
        <v>-0.43690625299084124</v>
      </c>
      <c r="AE33" s="15">
        <f>AE32/AE11</f>
        <v>-0.87047853044347379</v>
      </c>
      <c r="AF33" s="15">
        <f>AF32/AF11</f>
        <v>-2.5173069288130914</v>
      </c>
      <c r="AG33" s="15">
        <f>AG32/AG11</f>
        <v>-11.607210043633893</v>
      </c>
      <c r="AH33" s="15">
        <f>AH32/AH11</f>
        <v>10.366134425789818</v>
      </c>
      <c r="AI33" s="15">
        <f>AI32/AI11</f>
        <v>16.670856651970134</v>
      </c>
      <c r="AJ33" s="41"/>
      <c r="AK33" s="72">
        <f>SUM(AH33-AD33)*1000</f>
        <v>10803.040678780659</v>
      </c>
    </row>
    <row r="34" spans="1:37" ht="5.0999999999999996" customHeight="1">
      <c r="B34" s="14"/>
      <c r="C34" s="15"/>
      <c r="D34" s="15"/>
      <c r="E34" s="15"/>
      <c r="F34" s="15"/>
      <c r="G34" s="2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26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41"/>
      <c r="AK34" s="72"/>
    </row>
    <row r="35" spans="1:37" ht="12.75" customHeight="1">
      <c r="B35" s="43" t="s">
        <v>66</v>
      </c>
      <c r="C35" s="78">
        <v>10020</v>
      </c>
      <c r="D35" s="78">
        <v>113209</v>
      </c>
      <c r="E35" s="78">
        <v>136706</v>
      </c>
      <c r="F35" s="78">
        <v>192549</v>
      </c>
      <c r="G35" s="25"/>
      <c r="H35" s="78">
        <v>11289</v>
      </c>
      <c r="I35" s="78">
        <v>11300</v>
      </c>
      <c r="J35" s="78">
        <v>11308</v>
      </c>
      <c r="K35" s="30">
        <f>D35</f>
        <v>113209</v>
      </c>
      <c r="L35" s="78">
        <v>11834</v>
      </c>
      <c r="M35" s="78">
        <v>13247</v>
      </c>
      <c r="N35" s="78">
        <v>142214</v>
      </c>
      <c r="O35" s="30">
        <f>E35</f>
        <v>136706</v>
      </c>
      <c r="P35" s="78">
        <v>171942</v>
      </c>
      <c r="Q35" s="78">
        <v>178607</v>
      </c>
      <c r="R35" s="78">
        <v>197273</v>
      </c>
      <c r="S35" s="30">
        <f>F35</f>
        <v>192549</v>
      </c>
      <c r="T35" s="78">
        <v>256473</v>
      </c>
      <c r="U35" s="78">
        <v>275244</v>
      </c>
      <c r="V35" s="78">
        <v>284376</v>
      </c>
      <c r="W35" s="30"/>
      <c r="X35" s="30">
        <f t="shared" ref="X35:AI35" si="150">K35</f>
        <v>113209</v>
      </c>
      <c r="Y35" s="30">
        <f t="shared" si="150"/>
        <v>11834</v>
      </c>
      <c r="Z35" s="30">
        <f t="shared" si="150"/>
        <v>13247</v>
      </c>
      <c r="AA35" s="30">
        <f t="shared" si="150"/>
        <v>142214</v>
      </c>
      <c r="AB35" s="30">
        <f t="shared" si="150"/>
        <v>136706</v>
      </c>
      <c r="AC35" s="30">
        <f t="shared" si="150"/>
        <v>171942</v>
      </c>
      <c r="AD35" s="30">
        <f t="shared" si="150"/>
        <v>178607</v>
      </c>
      <c r="AE35" s="30">
        <f t="shared" si="150"/>
        <v>197273</v>
      </c>
      <c r="AF35" s="30">
        <f t="shared" si="150"/>
        <v>192549</v>
      </c>
      <c r="AG35" s="30">
        <f t="shared" si="150"/>
        <v>256473</v>
      </c>
      <c r="AH35" s="30">
        <f t="shared" si="150"/>
        <v>275244</v>
      </c>
      <c r="AI35" s="30">
        <f t="shared" si="150"/>
        <v>284376</v>
      </c>
      <c r="AJ35" s="41"/>
      <c r="AK35" s="70">
        <f t="shared" ref="AK35" si="151">SUM(AH35/AD35)-1</f>
        <v>0.54105942096334414</v>
      </c>
    </row>
    <row r="36" spans="1:37" ht="12.75" customHeight="1">
      <c r="B36" s="12" t="s">
        <v>67</v>
      </c>
      <c r="C36" s="73">
        <f t="shared" ref="C36:F36" si="152">C32/C35</f>
        <v>-53.441117764471059</v>
      </c>
      <c r="D36" s="73">
        <f t="shared" si="152"/>
        <v>-12.98304021765054</v>
      </c>
      <c r="E36" s="73">
        <f t="shared" si="152"/>
        <v>3.1390063347621906</v>
      </c>
      <c r="F36" s="73">
        <f t="shared" si="152"/>
        <v>-6.0590343237305833</v>
      </c>
      <c r="G36" s="11"/>
      <c r="H36" s="73">
        <f t="shared" ref="H36" si="153">H32/H35</f>
        <v>-11.582159624413146</v>
      </c>
      <c r="I36" s="73">
        <f t="shared" ref="I36" si="154">I32/I35</f>
        <v>-94.008672566371686</v>
      </c>
      <c r="J36" s="73">
        <f t="shared" ref="J36" si="155">J32/J35</f>
        <v>-2.394676335337814</v>
      </c>
      <c r="K36" s="73">
        <f t="shared" ref="K36" si="156">K32/K35</f>
        <v>-2.2053811976079642</v>
      </c>
      <c r="L36" s="73">
        <f t="shared" ref="L36" si="157">L32/L35</f>
        <v>38.97186074023999</v>
      </c>
      <c r="M36" s="73">
        <f t="shared" ref="M36" si="158">M32/M35</f>
        <v>1.6790971540726203</v>
      </c>
      <c r="N36" s="73">
        <f t="shared" ref="N36" si="159">N32/N35</f>
        <v>-1.0086278425471473</v>
      </c>
      <c r="O36" s="73">
        <f t="shared" ref="O36" si="160">O32/O35</f>
        <v>0.65195382792269541</v>
      </c>
      <c r="P36" s="73">
        <f t="shared" ref="P36" si="161">P32/P35</f>
        <v>-0.30892975538262901</v>
      </c>
      <c r="Q36" s="73">
        <f t="shared" ref="Q36" si="162">Q32/Q35</f>
        <v>-0.57421601616957907</v>
      </c>
      <c r="R36" s="73">
        <f t="shared" ref="R36" si="163">R32/R35</f>
        <v>-1.7243819478590583</v>
      </c>
      <c r="S36" s="73">
        <f t="shared" ref="S36" si="164">S32/S35</f>
        <v>-3.4838404769694988</v>
      </c>
      <c r="T36" s="73">
        <f t="shared" ref="T36" si="165">T32/T35</f>
        <v>-16.443719221906399</v>
      </c>
      <c r="U36" s="73">
        <f t="shared" ref="U36:V36" si="166">U32/U35</f>
        <v>36.407136940314778</v>
      </c>
      <c r="V36" s="73">
        <f t="shared" si="166"/>
        <v>9.7934565504824604</v>
      </c>
      <c r="W36" s="30"/>
      <c r="X36" s="73">
        <f t="shared" ref="X36" si="167">X32/X35</f>
        <v>-7.7775706878428394</v>
      </c>
      <c r="Y36" s="73">
        <f t="shared" ref="Y36" si="168">Y32/Y35</f>
        <v>17.606979888456987</v>
      </c>
      <c r="Z36" s="73">
        <f t="shared" ref="Z36" si="169">Z32/Z35</f>
        <v>6.5089454216048921</v>
      </c>
      <c r="AA36" s="73">
        <f t="shared" ref="AA36" si="170">AA32/AA35</f>
        <v>3.0741769446046101</v>
      </c>
      <c r="AB36" s="73">
        <f t="shared" ref="AB36" si="171">AB32/AB35</f>
        <v>-0.5743785934779746</v>
      </c>
      <c r="AC36" s="73">
        <f t="shared" ref="AC36" si="172">AC32/AC35</f>
        <v>-1.1691965895476382</v>
      </c>
      <c r="AD36" s="73">
        <f t="shared" ref="AD36" si="173">AD32/AD35</f>
        <v>-1.1757209963775217</v>
      </c>
      <c r="AE36" s="73">
        <f t="shared" ref="AE36" si="174">AE32/AE35</f>
        <v>-2.0617367810090586</v>
      </c>
      <c r="AF36" s="73">
        <f t="shared" ref="AF36" si="175">AF32/AF35</f>
        <v>-6.0590343237305833</v>
      </c>
      <c r="AG36" s="73">
        <f t="shared" ref="AG36" si="176">AG32/AG35</f>
        <v>-20.785474494391224</v>
      </c>
      <c r="AH36" s="73">
        <f t="shared" ref="AH36:AI36" si="177">AH32/AH35</f>
        <v>17.411794625859237</v>
      </c>
      <c r="AI36" s="73">
        <f t="shared" si="177"/>
        <v>27.842328466537261</v>
      </c>
      <c r="AJ36" s="34"/>
      <c r="AK36" s="71">
        <f>SUM(AH36/AD36)-1</f>
        <v>-15.809461325864035</v>
      </c>
    </row>
    <row r="37" spans="1:37" ht="5.0999999999999996" customHeight="1">
      <c r="B37" s="14"/>
      <c r="C37" s="15"/>
      <c r="D37" s="15"/>
      <c r="E37" s="15"/>
      <c r="F37" s="15"/>
      <c r="G37" s="2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26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41"/>
      <c r="AK37" s="72"/>
    </row>
    <row r="38" spans="1:37" ht="12.75" customHeight="1">
      <c r="B38" s="43" t="s">
        <v>68</v>
      </c>
      <c r="C38" s="78">
        <v>10020</v>
      </c>
      <c r="D38" s="78">
        <v>113209</v>
      </c>
      <c r="E38" s="78">
        <v>165662</v>
      </c>
      <c r="F38" s="78">
        <v>192549</v>
      </c>
      <c r="G38" s="25"/>
      <c r="H38" s="78">
        <v>11289</v>
      </c>
      <c r="I38" s="78">
        <v>11300</v>
      </c>
      <c r="J38" s="78">
        <v>11308</v>
      </c>
      <c r="K38" s="30">
        <f>D38</f>
        <v>113209</v>
      </c>
      <c r="L38" s="78">
        <v>14575</v>
      </c>
      <c r="M38" s="78">
        <v>16095</v>
      </c>
      <c r="N38" s="78">
        <v>142214</v>
      </c>
      <c r="O38" s="30">
        <f>E38</f>
        <v>165662</v>
      </c>
      <c r="P38" s="78">
        <v>171942</v>
      </c>
      <c r="Q38" s="78">
        <v>178607</v>
      </c>
      <c r="R38" s="78">
        <v>197273</v>
      </c>
      <c r="S38" s="30">
        <f>F38</f>
        <v>192549</v>
      </c>
      <c r="T38" s="78">
        <v>256473</v>
      </c>
      <c r="U38" s="78">
        <v>306764</v>
      </c>
      <c r="V38" s="78">
        <v>315393</v>
      </c>
      <c r="W38" s="30"/>
      <c r="X38" s="30">
        <f t="shared" ref="X38:AC38" si="178">L38</f>
        <v>14575</v>
      </c>
      <c r="Y38" s="30">
        <f t="shared" si="178"/>
        <v>16095</v>
      </c>
      <c r="Z38" s="30">
        <f t="shared" si="178"/>
        <v>142214</v>
      </c>
      <c r="AA38" s="30">
        <f t="shared" si="178"/>
        <v>165662</v>
      </c>
      <c r="AB38" s="30">
        <f t="shared" si="178"/>
        <v>171942</v>
      </c>
      <c r="AC38" s="30">
        <f t="shared" si="178"/>
        <v>178607</v>
      </c>
      <c r="AD38" s="30">
        <f t="shared" ref="AD38" si="179">Q38</f>
        <v>178607</v>
      </c>
      <c r="AE38" s="30">
        <f t="shared" ref="AE38" si="180">R38</f>
        <v>197273</v>
      </c>
      <c r="AF38" s="30">
        <f t="shared" ref="AF38" si="181">S38</f>
        <v>192549</v>
      </c>
      <c r="AG38" s="30">
        <f t="shared" ref="AG38" si="182">T38</f>
        <v>256473</v>
      </c>
      <c r="AH38" s="30">
        <f>U38</f>
        <v>306764</v>
      </c>
      <c r="AI38" s="30">
        <f>V38</f>
        <v>315393</v>
      </c>
      <c r="AJ38" s="41"/>
      <c r="AK38" s="70">
        <f t="shared" ref="AK38" si="183">SUM(AH38/AD38)-1</f>
        <v>0.71753626677565818</v>
      </c>
    </row>
    <row r="39" spans="1:37" ht="12.75" customHeight="1">
      <c r="B39" s="12" t="s">
        <v>69</v>
      </c>
      <c r="C39" s="73">
        <f t="shared" ref="C39:F39" si="184">C32/C38</f>
        <v>-53.441117764471059</v>
      </c>
      <c r="D39" s="73">
        <f t="shared" si="184"/>
        <v>-12.98304021765054</v>
      </c>
      <c r="E39" s="73">
        <f t="shared" si="184"/>
        <v>2.5903405729738864</v>
      </c>
      <c r="F39" s="73">
        <f t="shared" si="184"/>
        <v>-6.0590343237305833</v>
      </c>
      <c r="G39" s="25"/>
      <c r="H39" s="73">
        <f t="shared" ref="H39" si="185">H32/H38</f>
        <v>-11.582159624413146</v>
      </c>
      <c r="I39" s="73">
        <f t="shared" ref="I39" si="186">I32/I38</f>
        <v>-94.008672566371686</v>
      </c>
      <c r="J39" s="73">
        <f t="shared" ref="J39" si="187">J32/J38</f>
        <v>-2.394676335337814</v>
      </c>
      <c r="K39" s="73">
        <f t="shared" ref="K39" si="188">K32/K38</f>
        <v>-2.2053811976079642</v>
      </c>
      <c r="L39" s="73">
        <f t="shared" ref="L39" si="189">L32/L38</f>
        <v>31.642744425385935</v>
      </c>
      <c r="M39" s="73">
        <f t="shared" ref="M39" si="190">M32/M38</f>
        <v>1.3819819819819821</v>
      </c>
      <c r="N39" s="73">
        <f t="shared" ref="N39" si="191">N32/N38</f>
        <v>-1.0086278425471473</v>
      </c>
      <c r="O39" s="73">
        <f t="shared" ref="O39" si="192">O32/O38</f>
        <v>0.53799905832357453</v>
      </c>
      <c r="P39" s="73">
        <f t="shared" ref="P39" si="193">P32/P38</f>
        <v>-0.30892975538262901</v>
      </c>
      <c r="Q39" s="73">
        <f t="shared" ref="Q39" si="194">Q32/Q38</f>
        <v>-0.57421601616957907</v>
      </c>
      <c r="R39" s="73">
        <f t="shared" ref="R39" si="195">R32/R38</f>
        <v>-1.7243819478590583</v>
      </c>
      <c r="S39" s="73">
        <f t="shared" ref="S39" si="196">S32/S38</f>
        <v>-3.4838404769694988</v>
      </c>
      <c r="T39" s="73">
        <f t="shared" ref="T39" si="197">T32/T38</f>
        <v>-16.443719221906399</v>
      </c>
      <c r="U39" s="73">
        <f t="shared" ref="U39:V39" si="198">U32/U38</f>
        <v>32.666303738378687</v>
      </c>
      <c r="V39" s="73">
        <f t="shared" si="198"/>
        <v>8.8303291449080987</v>
      </c>
      <c r="W39" s="30"/>
      <c r="X39" s="73">
        <f t="shared" ref="X39" si="199">X32/X38</f>
        <v>-60.411046312178385</v>
      </c>
      <c r="Y39" s="73">
        <f t="shared" ref="Y39" si="200">Y32/Y38</f>
        <v>12.94569742155949</v>
      </c>
      <c r="Z39" s="73">
        <f t="shared" ref="Z39" si="201">Z32/Z38</f>
        <v>0.60629755157720056</v>
      </c>
      <c r="AA39" s="73">
        <f t="shared" ref="AA39" si="202">AA32/AA38</f>
        <v>2.6390542188311139</v>
      </c>
      <c r="AB39" s="73">
        <f t="shared" ref="AB39" si="203">AB32/AB38</f>
        <v>-0.45667143571669516</v>
      </c>
      <c r="AC39" s="73">
        <f t="shared" ref="AC39" si="204">AC32/AC38</f>
        <v>-1.1255661872155067</v>
      </c>
      <c r="AD39" s="73">
        <f t="shared" ref="AD39" si="205">AD32/AD38</f>
        <v>-1.1757209963775217</v>
      </c>
      <c r="AE39" s="73">
        <f t="shared" ref="AE39" si="206">AE32/AE38</f>
        <v>-2.0617367810090586</v>
      </c>
      <c r="AF39" s="73">
        <f t="shared" ref="AF39" si="207">AF32/AF38</f>
        <v>-6.0590343237305833</v>
      </c>
      <c r="AG39" s="73">
        <f t="shared" ref="AG39" si="208">AG32/AG38</f>
        <v>-20.785474494391224</v>
      </c>
      <c r="AH39" s="73">
        <f t="shared" ref="AH39:AI39" si="209">AH32/AH38</f>
        <v>15.622732784811777</v>
      </c>
      <c r="AI39" s="73">
        <f t="shared" si="209"/>
        <v>25.104203327277396</v>
      </c>
      <c r="AJ39" s="34"/>
      <c r="AK39" s="71">
        <f>SUM(AH39/AD39)-1</f>
        <v>-14.287789222907906</v>
      </c>
    </row>
    <row r="40" spans="1:37">
      <c r="B40" s="14"/>
      <c r="C40" s="15"/>
      <c r="D40" s="15"/>
      <c r="E40" s="15"/>
      <c r="F40" s="78"/>
      <c r="G40" s="2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6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41"/>
    </row>
    <row r="41" spans="1:37" ht="12.75" customHeight="1">
      <c r="A41" s="5" t="s">
        <v>16</v>
      </c>
      <c r="B41" s="93" t="s">
        <v>79</v>
      </c>
      <c r="C41" s="94"/>
      <c r="D41" s="94" t="s">
        <v>0</v>
      </c>
      <c r="E41" s="94"/>
      <c r="F41" s="94"/>
      <c r="G41" s="95"/>
      <c r="H41" s="94" t="s">
        <v>1</v>
      </c>
      <c r="I41" s="94"/>
      <c r="J41" s="94"/>
      <c r="K41" s="94"/>
      <c r="L41" s="94"/>
      <c r="M41" s="94"/>
      <c r="N41" s="94"/>
      <c r="O41" s="94"/>
      <c r="P41" s="94"/>
      <c r="Q41" s="94"/>
      <c r="R41" s="94" t="s">
        <v>1</v>
      </c>
      <c r="S41" s="94"/>
      <c r="T41" s="94"/>
      <c r="U41" s="94"/>
      <c r="V41" s="94"/>
      <c r="W41" s="93"/>
      <c r="X41" s="94"/>
      <c r="Y41" s="94"/>
      <c r="Z41" s="94"/>
      <c r="AA41" s="94"/>
      <c r="AB41" s="94"/>
      <c r="AC41" s="94"/>
      <c r="AD41" s="94" t="s">
        <v>10</v>
      </c>
      <c r="AE41" s="94"/>
      <c r="AF41" s="94"/>
      <c r="AG41" s="94"/>
      <c r="AH41" s="94"/>
      <c r="AI41" s="94"/>
      <c r="AJ41" s="95"/>
      <c r="AK41" s="153" t="s">
        <v>22</v>
      </c>
    </row>
    <row r="42" spans="1:37" ht="12.75" customHeight="1">
      <c r="B42" s="97" t="str">
        <f>B7</f>
        <v>Fiscal Period</v>
      </c>
      <c r="C42" s="96">
        <f>C7</f>
        <v>2021</v>
      </c>
      <c r="D42" s="96">
        <f>D7</f>
        <v>2022</v>
      </c>
      <c r="E42" s="96">
        <f>E7</f>
        <v>2023</v>
      </c>
      <c r="F42" s="96">
        <f>F7</f>
        <v>2024</v>
      </c>
      <c r="G42" s="95"/>
      <c r="H42" s="96" t="str">
        <f>H7</f>
        <v>1Q22</v>
      </c>
      <c r="I42" s="96" t="str">
        <f>I7</f>
        <v>2Q22</v>
      </c>
      <c r="J42" s="96" t="str">
        <f>J7</f>
        <v>3Q22</v>
      </c>
      <c r="K42" s="96" t="str">
        <f>K7</f>
        <v>4Q22</v>
      </c>
      <c r="L42" s="96" t="str">
        <f>L7</f>
        <v>1Q23</v>
      </c>
      <c r="M42" s="96" t="str">
        <f>M7</f>
        <v>2Q23</v>
      </c>
      <c r="N42" s="96" t="str">
        <f>N7</f>
        <v>3Q23</v>
      </c>
      <c r="O42" s="96" t="str">
        <f>O7</f>
        <v>4Q23</v>
      </c>
      <c r="P42" s="96" t="str">
        <f>P7</f>
        <v>1Q24</v>
      </c>
      <c r="Q42" s="96" t="str">
        <f>Q7</f>
        <v>2Q24</v>
      </c>
      <c r="R42" s="96" t="str">
        <f>R7</f>
        <v>3Q24</v>
      </c>
      <c r="S42" s="96" t="str">
        <f>S7</f>
        <v>4Q24</v>
      </c>
      <c r="T42" s="96" t="str">
        <f>T7</f>
        <v>1Q25</v>
      </c>
      <c r="U42" s="96" t="str">
        <f>U7</f>
        <v>2Q25</v>
      </c>
      <c r="V42" s="96" t="str">
        <f>V7</f>
        <v>3Q25</v>
      </c>
      <c r="W42" s="98"/>
      <c r="X42" s="96" t="str">
        <f>X7</f>
        <v>4Q22</v>
      </c>
      <c r="Y42" s="96" t="str">
        <f>Y7</f>
        <v>1Q23</v>
      </c>
      <c r="Z42" s="96" t="str">
        <f>Z7</f>
        <v>2Q23</v>
      </c>
      <c r="AA42" s="96" t="str">
        <f>AA7</f>
        <v>3Q23</v>
      </c>
      <c r="AB42" s="96" t="str">
        <f>AB7</f>
        <v>4Q23</v>
      </c>
      <c r="AC42" s="96" t="str">
        <f>AC7</f>
        <v>1Q24</v>
      </c>
      <c r="AD42" s="96" t="str">
        <f>AD7</f>
        <v>2Q24</v>
      </c>
      <c r="AE42" s="96" t="str">
        <f>AE7</f>
        <v>3Q24</v>
      </c>
      <c r="AF42" s="96" t="str">
        <f>AF7</f>
        <v>4Q24</v>
      </c>
      <c r="AG42" s="96" t="str">
        <f>AG7</f>
        <v>1Q25</v>
      </c>
      <c r="AH42" s="96" t="str">
        <f>AH7</f>
        <v>2Q25</v>
      </c>
      <c r="AI42" s="96" t="str">
        <f>AI7</f>
        <v>3Q25</v>
      </c>
      <c r="AJ42" s="95"/>
      <c r="AK42" s="153"/>
    </row>
    <row r="43" spans="1:37" ht="12.75" customHeight="1">
      <c r="B43" s="97" t="str">
        <f>B8</f>
        <v>Fiscal Period End Date</v>
      </c>
      <c r="C43" s="99">
        <f>C8</f>
        <v>44561</v>
      </c>
      <c r="D43" s="99">
        <f>D8</f>
        <v>44926</v>
      </c>
      <c r="E43" s="99">
        <f>E8</f>
        <v>45291</v>
      </c>
      <c r="F43" s="99">
        <f>F8</f>
        <v>45657</v>
      </c>
      <c r="G43" s="95"/>
      <c r="H43" s="99">
        <f>H8</f>
        <v>44651</v>
      </c>
      <c r="I43" s="99">
        <f>I8</f>
        <v>44742</v>
      </c>
      <c r="J43" s="99">
        <f>J8</f>
        <v>44834</v>
      </c>
      <c r="K43" s="99">
        <f>K8</f>
        <v>44926</v>
      </c>
      <c r="L43" s="99">
        <f>L8</f>
        <v>45016</v>
      </c>
      <c r="M43" s="99">
        <f>M8</f>
        <v>45107</v>
      </c>
      <c r="N43" s="99">
        <f>N8</f>
        <v>45199</v>
      </c>
      <c r="O43" s="99">
        <f>O8</f>
        <v>45291</v>
      </c>
      <c r="P43" s="99">
        <f>P8</f>
        <v>45382</v>
      </c>
      <c r="Q43" s="99">
        <f>Q8</f>
        <v>45473</v>
      </c>
      <c r="R43" s="99">
        <f>R8</f>
        <v>45565</v>
      </c>
      <c r="S43" s="99">
        <f>S8</f>
        <v>45657</v>
      </c>
      <c r="T43" s="99">
        <f>T8</f>
        <v>45747</v>
      </c>
      <c r="U43" s="99">
        <f>U8</f>
        <v>45838</v>
      </c>
      <c r="V43" s="99">
        <f>V8</f>
        <v>45930</v>
      </c>
      <c r="W43" s="100"/>
      <c r="X43" s="99">
        <f>X8</f>
        <v>44926</v>
      </c>
      <c r="Y43" s="99">
        <f>Y8</f>
        <v>45016</v>
      </c>
      <c r="Z43" s="99">
        <f>Z8</f>
        <v>45107</v>
      </c>
      <c r="AA43" s="99">
        <f>AA8</f>
        <v>45199</v>
      </c>
      <c r="AB43" s="99">
        <f>AB8</f>
        <v>45291</v>
      </c>
      <c r="AC43" s="99">
        <f>AC8</f>
        <v>45382</v>
      </c>
      <c r="AD43" s="99">
        <f>AD8</f>
        <v>45473</v>
      </c>
      <c r="AE43" s="99">
        <f>AE8</f>
        <v>45565</v>
      </c>
      <c r="AF43" s="99">
        <f>AF8</f>
        <v>45657</v>
      </c>
      <c r="AG43" s="99">
        <f>AG8</f>
        <v>45747</v>
      </c>
      <c r="AH43" s="99">
        <f>AH8</f>
        <v>45838</v>
      </c>
      <c r="AI43" s="99">
        <f>AI8</f>
        <v>45930</v>
      </c>
      <c r="AJ43" s="95"/>
      <c r="AK43" s="153"/>
    </row>
    <row r="44" spans="1:37" ht="5.0999999999999996" customHeight="1">
      <c r="B44" s="45"/>
      <c r="C44" s="46"/>
      <c r="D44" s="46"/>
      <c r="E44" s="46"/>
      <c r="F44" s="46"/>
    </row>
    <row r="45" spans="1:37">
      <c r="B45" s="74" t="s">
        <v>86</v>
      </c>
      <c r="C45" s="46"/>
      <c r="D45" s="46"/>
      <c r="E45" s="46"/>
      <c r="F45" s="46"/>
    </row>
    <row r="46" spans="1:37" ht="12.75" customHeight="1">
      <c r="B46" s="106" t="s">
        <v>89</v>
      </c>
      <c r="C46" s="107">
        <v>63356</v>
      </c>
      <c r="D46" s="107">
        <v>43835</v>
      </c>
      <c r="E46" s="107">
        <v>46817</v>
      </c>
      <c r="F46" s="107">
        <v>38117</v>
      </c>
      <c r="H46" s="107">
        <v>92677</v>
      </c>
      <c r="I46" s="107">
        <v>69386</v>
      </c>
      <c r="J46" s="107">
        <v>60390</v>
      </c>
      <c r="K46" s="84">
        <f t="shared" ref="K46:K49" si="210">D46</f>
        <v>43835</v>
      </c>
      <c r="L46" s="107">
        <v>94311</v>
      </c>
      <c r="M46" s="107">
        <v>65968</v>
      </c>
      <c r="N46" s="107">
        <v>45009</v>
      </c>
      <c r="O46" s="84">
        <f t="shared" ref="O46:O49" si="211">E46</f>
        <v>46817</v>
      </c>
      <c r="P46" s="107">
        <v>81326</v>
      </c>
      <c r="Q46" s="107">
        <v>66923</v>
      </c>
      <c r="R46" s="107">
        <v>46343</v>
      </c>
      <c r="S46" s="84">
        <f t="shared" ref="S46:S49" si="212">F46</f>
        <v>38117</v>
      </c>
      <c r="T46" s="107">
        <v>60298</v>
      </c>
      <c r="U46" s="107">
        <v>50095</v>
      </c>
      <c r="V46" s="107">
        <v>54285</v>
      </c>
      <c r="W46" s="84"/>
      <c r="X46" s="84">
        <f t="shared" ref="X46:AI46" si="213">K46</f>
        <v>43835</v>
      </c>
      <c r="Y46" s="84">
        <f t="shared" si="213"/>
        <v>94311</v>
      </c>
      <c r="Z46" s="84">
        <f t="shared" si="213"/>
        <v>65968</v>
      </c>
      <c r="AA46" s="84">
        <f t="shared" si="213"/>
        <v>45009</v>
      </c>
      <c r="AB46" s="84">
        <f t="shared" si="213"/>
        <v>46817</v>
      </c>
      <c r="AC46" s="84">
        <f t="shared" si="213"/>
        <v>81326</v>
      </c>
      <c r="AD46" s="84">
        <f t="shared" si="213"/>
        <v>66923</v>
      </c>
      <c r="AE46" s="84">
        <f t="shared" si="213"/>
        <v>46343</v>
      </c>
      <c r="AF46" s="84">
        <f t="shared" si="213"/>
        <v>38117</v>
      </c>
      <c r="AG46" s="84">
        <f t="shared" si="213"/>
        <v>60298</v>
      </c>
      <c r="AH46" s="84">
        <f t="shared" si="213"/>
        <v>50095</v>
      </c>
      <c r="AI46" s="84">
        <f t="shared" si="213"/>
        <v>54285</v>
      </c>
      <c r="AJ46" s="11"/>
      <c r="AK46" s="70">
        <f>SUM(AH46/AD46)-1</f>
        <v>-0.25145316258984207</v>
      </c>
    </row>
    <row r="47" spans="1:37" ht="12.75" customHeight="1">
      <c r="B47" s="106" t="s">
        <v>139</v>
      </c>
      <c r="C47" s="107">
        <v>1078</v>
      </c>
      <c r="D47" s="107">
        <v>7033</v>
      </c>
      <c r="E47" s="107">
        <v>1856</v>
      </c>
      <c r="F47" s="107">
        <v>1780</v>
      </c>
      <c r="H47" s="107">
        <v>6265</v>
      </c>
      <c r="I47" s="107">
        <v>6155</v>
      </c>
      <c r="J47" s="107">
        <v>6578</v>
      </c>
      <c r="K47" s="84">
        <f t="shared" si="210"/>
        <v>7033</v>
      </c>
      <c r="L47" s="107">
        <v>2153</v>
      </c>
      <c r="M47" s="107">
        <v>2085</v>
      </c>
      <c r="N47" s="107">
        <v>1865</v>
      </c>
      <c r="O47" s="84">
        <f t="shared" si="211"/>
        <v>1856</v>
      </c>
      <c r="P47" s="107">
        <v>2402</v>
      </c>
      <c r="Q47" s="107">
        <v>1878</v>
      </c>
      <c r="R47" s="107">
        <v>1862</v>
      </c>
      <c r="S47" s="84">
        <f t="shared" si="212"/>
        <v>1780</v>
      </c>
      <c r="T47" s="107">
        <v>1960</v>
      </c>
      <c r="U47" s="107">
        <v>2037</v>
      </c>
      <c r="V47" s="107">
        <v>1915</v>
      </c>
      <c r="W47" s="84"/>
      <c r="X47" s="84">
        <f t="shared" ref="X47:AG49" si="214">K47</f>
        <v>7033</v>
      </c>
      <c r="Y47" s="84">
        <f t="shared" si="214"/>
        <v>2153</v>
      </c>
      <c r="Z47" s="84">
        <f t="shared" si="214"/>
        <v>2085</v>
      </c>
      <c r="AA47" s="84">
        <f t="shared" si="214"/>
        <v>1865</v>
      </c>
      <c r="AB47" s="84">
        <f t="shared" si="214"/>
        <v>1856</v>
      </c>
      <c r="AC47" s="84">
        <f t="shared" si="214"/>
        <v>2402</v>
      </c>
      <c r="AD47" s="84">
        <f t="shared" si="214"/>
        <v>1878</v>
      </c>
      <c r="AE47" s="84">
        <f t="shared" si="214"/>
        <v>1862</v>
      </c>
      <c r="AF47" s="84">
        <f t="shared" si="214"/>
        <v>1780</v>
      </c>
      <c r="AG47" s="84">
        <f t="shared" si="214"/>
        <v>1960</v>
      </c>
      <c r="AH47" s="84">
        <f t="shared" ref="AH47:AI47" si="215">U47</f>
        <v>2037</v>
      </c>
      <c r="AI47" s="84">
        <f t="shared" si="215"/>
        <v>1915</v>
      </c>
      <c r="AJ47" s="11"/>
      <c r="AK47" s="70">
        <f>SUM(AH47/AD47)-1</f>
        <v>8.4664536741213992E-2</v>
      </c>
    </row>
    <row r="48" spans="1:37" ht="12.75" customHeight="1">
      <c r="B48" s="106" t="s">
        <v>140</v>
      </c>
      <c r="C48" s="107">
        <v>189280</v>
      </c>
      <c r="D48" s="107">
        <v>189280</v>
      </c>
      <c r="E48" s="107">
        <v>183815</v>
      </c>
      <c r="F48" s="107">
        <v>181203</v>
      </c>
      <c r="H48" s="107">
        <v>126930</v>
      </c>
      <c r="I48" s="107">
        <v>118645</v>
      </c>
      <c r="J48" s="107">
        <v>109926</v>
      </c>
      <c r="K48" s="84">
        <f t="shared" si="210"/>
        <v>189280</v>
      </c>
      <c r="L48" s="107">
        <v>139178</v>
      </c>
      <c r="M48" s="107">
        <v>121901</v>
      </c>
      <c r="N48" s="107">
        <v>128650</v>
      </c>
      <c r="O48" s="84">
        <f t="shared" si="211"/>
        <v>183815</v>
      </c>
      <c r="P48" s="107">
        <v>115150</v>
      </c>
      <c r="Q48" s="107">
        <v>112234</v>
      </c>
      <c r="R48" s="107">
        <v>107169</v>
      </c>
      <c r="S48" s="84">
        <f t="shared" si="212"/>
        <v>181203</v>
      </c>
      <c r="T48" s="107">
        <v>104585</v>
      </c>
      <c r="U48" s="107">
        <v>117870</v>
      </c>
      <c r="V48" s="107">
        <v>113406</v>
      </c>
      <c r="W48" s="84"/>
      <c r="X48" s="84">
        <f t="shared" si="214"/>
        <v>189280</v>
      </c>
      <c r="Y48" s="84">
        <f t="shared" si="214"/>
        <v>139178</v>
      </c>
      <c r="Z48" s="84">
        <f t="shared" si="214"/>
        <v>121901</v>
      </c>
      <c r="AA48" s="84">
        <f t="shared" si="214"/>
        <v>128650</v>
      </c>
      <c r="AB48" s="84">
        <f t="shared" si="214"/>
        <v>183815</v>
      </c>
      <c r="AC48" s="84">
        <f t="shared" si="214"/>
        <v>115150</v>
      </c>
      <c r="AD48" s="84">
        <f t="shared" si="214"/>
        <v>112234</v>
      </c>
      <c r="AE48" s="84">
        <f t="shared" si="214"/>
        <v>107169</v>
      </c>
      <c r="AF48" s="84">
        <f t="shared" si="214"/>
        <v>181203</v>
      </c>
      <c r="AG48" s="84">
        <f t="shared" si="214"/>
        <v>104585</v>
      </c>
      <c r="AH48" s="84">
        <f>U48</f>
        <v>117870</v>
      </c>
      <c r="AI48" s="84">
        <f>V48</f>
        <v>113406</v>
      </c>
      <c r="AJ48" s="11"/>
      <c r="AK48" s="70">
        <f>SUM(AH48/AD48)-1</f>
        <v>5.0216511930430974E-2</v>
      </c>
    </row>
    <row r="49" spans="2:37" ht="12.75" customHeight="1">
      <c r="B49" s="106" t="s">
        <v>95</v>
      </c>
      <c r="C49" s="107">
        <v>14251</v>
      </c>
      <c r="D49" s="107">
        <v>24418</v>
      </c>
      <c r="E49" s="107">
        <v>35407</v>
      </c>
      <c r="F49" s="107">
        <v>31224</v>
      </c>
      <c r="H49" s="107">
        <v>21116</v>
      </c>
      <c r="I49" s="107">
        <v>25496</v>
      </c>
      <c r="J49" s="107">
        <v>25399</v>
      </c>
      <c r="K49" s="84">
        <f t="shared" si="210"/>
        <v>24418</v>
      </c>
      <c r="L49" s="107">
        <v>24034</v>
      </c>
      <c r="M49" s="107">
        <v>19680</v>
      </c>
      <c r="N49" s="107">
        <v>24041</v>
      </c>
      <c r="O49" s="84">
        <f t="shared" si="211"/>
        <v>35407</v>
      </c>
      <c r="P49" s="107">
        <v>42714</v>
      </c>
      <c r="Q49" s="107">
        <v>27234</v>
      </c>
      <c r="R49" s="107">
        <v>30668</v>
      </c>
      <c r="S49" s="84">
        <f t="shared" si="212"/>
        <v>31224</v>
      </c>
      <c r="T49" s="107">
        <v>36769</v>
      </c>
      <c r="U49" s="107">
        <v>43459</v>
      </c>
      <c r="V49" s="107">
        <v>44345</v>
      </c>
      <c r="W49" s="84"/>
      <c r="X49" s="84">
        <f t="shared" si="214"/>
        <v>24418</v>
      </c>
      <c r="Y49" s="84">
        <f t="shared" si="214"/>
        <v>24034</v>
      </c>
      <c r="Z49" s="84">
        <f t="shared" si="214"/>
        <v>19680</v>
      </c>
      <c r="AA49" s="84">
        <f t="shared" si="214"/>
        <v>24041</v>
      </c>
      <c r="AB49" s="84">
        <f t="shared" si="214"/>
        <v>35407</v>
      </c>
      <c r="AC49" s="84">
        <f t="shared" si="214"/>
        <v>42714</v>
      </c>
      <c r="AD49" s="84">
        <f t="shared" si="214"/>
        <v>27234</v>
      </c>
      <c r="AE49" s="84">
        <f t="shared" si="214"/>
        <v>30668</v>
      </c>
      <c r="AF49" s="84">
        <f t="shared" si="214"/>
        <v>31224</v>
      </c>
      <c r="AG49" s="84">
        <f t="shared" si="214"/>
        <v>36769</v>
      </c>
      <c r="AH49" s="84">
        <f>U49</f>
        <v>43459</v>
      </c>
      <c r="AI49" s="84">
        <f>V49</f>
        <v>44345</v>
      </c>
      <c r="AJ49" s="11"/>
      <c r="AK49" s="70">
        <f>SUM(AH49/AD49)-1</f>
        <v>0.59576264962913994</v>
      </c>
    </row>
    <row r="50" spans="2:37" ht="12.75" customHeight="1">
      <c r="B50" s="23" t="s">
        <v>18</v>
      </c>
      <c r="C50" s="24">
        <f t="shared" ref="C50:F50" si="216">SUM(C46:C49)</f>
        <v>267965</v>
      </c>
      <c r="D50" s="24">
        <f t="shared" si="216"/>
        <v>264566</v>
      </c>
      <c r="E50" s="24">
        <f t="shared" si="216"/>
        <v>267895</v>
      </c>
      <c r="F50" s="24">
        <f t="shared" si="216"/>
        <v>252324</v>
      </c>
      <c r="G50" s="47"/>
      <c r="H50" s="24">
        <f t="shared" ref="H50:V50" si="217">SUM(H46:H49)</f>
        <v>246988</v>
      </c>
      <c r="I50" s="24">
        <f t="shared" si="217"/>
        <v>219682</v>
      </c>
      <c r="J50" s="24">
        <f t="shared" si="217"/>
        <v>202293</v>
      </c>
      <c r="K50" s="24">
        <f t="shared" si="217"/>
        <v>264566</v>
      </c>
      <c r="L50" s="24">
        <f t="shared" si="217"/>
        <v>259676</v>
      </c>
      <c r="M50" s="24">
        <f t="shared" si="217"/>
        <v>209634</v>
      </c>
      <c r="N50" s="24">
        <f t="shared" si="217"/>
        <v>199565</v>
      </c>
      <c r="O50" s="24">
        <f t="shared" si="217"/>
        <v>267895</v>
      </c>
      <c r="P50" s="24">
        <f t="shared" si="217"/>
        <v>241592</v>
      </c>
      <c r="Q50" s="24">
        <f t="shared" si="217"/>
        <v>208269</v>
      </c>
      <c r="R50" s="24">
        <f t="shared" si="217"/>
        <v>186042</v>
      </c>
      <c r="S50" s="24">
        <f t="shared" si="217"/>
        <v>252324</v>
      </c>
      <c r="T50" s="24">
        <f t="shared" si="217"/>
        <v>203612</v>
      </c>
      <c r="U50" s="24">
        <f t="shared" si="217"/>
        <v>213461</v>
      </c>
      <c r="V50" s="24">
        <f t="shared" si="217"/>
        <v>213951</v>
      </c>
      <c r="W50" s="47"/>
      <c r="X50" s="24">
        <f t="shared" ref="X50:AI50" si="218">SUM(X46:X49)</f>
        <v>264566</v>
      </c>
      <c r="Y50" s="24">
        <f t="shared" si="218"/>
        <v>259676</v>
      </c>
      <c r="Z50" s="24">
        <f t="shared" si="218"/>
        <v>209634</v>
      </c>
      <c r="AA50" s="24">
        <f t="shared" si="218"/>
        <v>199565</v>
      </c>
      <c r="AB50" s="24">
        <f t="shared" si="218"/>
        <v>267895</v>
      </c>
      <c r="AC50" s="24">
        <f t="shared" si="218"/>
        <v>241592</v>
      </c>
      <c r="AD50" s="24">
        <f t="shared" si="218"/>
        <v>208269</v>
      </c>
      <c r="AE50" s="24">
        <f t="shared" si="218"/>
        <v>186042</v>
      </c>
      <c r="AF50" s="24">
        <f t="shared" si="218"/>
        <v>252324</v>
      </c>
      <c r="AG50" s="24">
        <f t="shared" si="218"/>
        <v>203612</v>
      </c>
      <c r="AH50" s="24">
        <f t="shared" si="218"/>
        <v>213461</v>
      </c>
      <c r="AI50" s="24">
        <f t="shared" si="218"/>
        <v>213951</v>
      </c>
      <c r="AJ50" s="40"/>
      <c r="AK50" s="71">
        <f>SUM(AH50/AD50)-1</f>
        <v>2.4929298167273961E-2</v>
      </c>
    </row>
    <row r="51" spans="2:37" ht="5.0999999999999996" customHeight="1">
      <c r="B51" s="23"/>
      <c r="C51" s="48"/>
      <c r="D51" s="48"/>
      <c r="E51" s="39"/>
      <c r="F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37"/>
    </row>
    <row r="52" spans="2:37" ht="12.75" customHeight="1">
      <c r="B52" s="74" t="s">
        <v>87</v>
      </c>
      <c r="C52" s="78"/>
      <c r="D52" s="78"/>
      <c r="E52" s="78"/>
      <c r="F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11"/>
      <c r="AK52" s="70"/>
    </row>
    <row r="53" spans="2:37" ht="12.75" customHeight="1">
      <c r="B53" s="9" t="s">
        <v>141</v>
      </c>
      <c r="C53" s="78">
        <v>2850210</v>
      </c>
      <c r="D53" s="78">
        <v>1840028</v>
      </c>
      <c r="E53" s="78">
        <v>3626476</v>
      </c>
      <c r="F53" s="78">
        <v>23909373</v>
      </c>
      <c r="H53" s="107">
        <v>2895619</v>
      </c>
      <c r="I53" s="107">
        <v>1987781</v>
      </c>
      <c r="J53" s="107">
        <v>1993032</v>
      </c>
      <c r="K53" s="84">
        <f t="shared" ref="K53:K57" si="219">D53</f>
        <v>1840028</v>
      </c>
      <c r="L53" s="107">
        <v>2000392</v>
      </c>
      <c r="M53" s="107">
        <v>2323252</v>
      </c>
      <c r="N53" s="107">
        <v>2451374</v>
      </c>
      <c r="O53" s="84">
        <f t="shared" ref="O53:O57" si="220">E53</f>
        <v>3626476</v>
      </c>
      <c r="P53" s="107">
        <v>5074152</v>
      </c>
      <c r="Q53" s="107">
        <v>5687890</v>
      </c>
      <c r="R53" s="107">
        <v>6850879</v>
      </c>
      <c r="S53" s="84">
        <f t="shared" ref="S53:S57" si="221">F53</f>
        <v>23909373</v>
      </c>
      <c r="T53" s="107">
        <v>43546079</v>
      </c>
      <c r="U53" s="107">
        <v>64362798</v>
      </c>
      <c r="V53" s="107">
        <v>73205725</v>
      </c>
      <c r="W53" s="84"/>
      <c r="X53" s="84">
        <f t="shared" ref="X53:AI53" si="222">K53</f>
        <v>1840028</v>
      </c>
      <c r="Y53" s="84">
        <f t="shared" si="222"/>
        <v>2000392</v>
      </c>
      <c r="Z53" s="84">
        <f t="shared" si="222"/>
        <v>2323252</v>
      </c>
      <c r="AA53" s="84">
        <f t="shared" si="222"/>
        <v>2451374</v>
      </c>
      <c r="AB53" s="84">
        <f t="shared" si="222"/>
        <v>3626476</v>
      </c>
      <c r="AC53" s="84">
        <f t="shared" si="222"/>
        <v>5074152</v>
      </c>
      <c r="AD53" s="84">
        <f t="shared" si="222"/>
        <v>5687890</v>
      </c>
      <c r="AE53" s="84">
        <f t="shared" si="222"/>
        <v>6850879</v>
      </c>
      <c r="AF53" s="84">
        <f t="shared" si="222"/>
        <v>23909373</v>
      </c>
      <c r="AG53" s="84">
        <f t="shared" si="222"/>
        <v>43546079</v>
      </c>
      <c r="AH53" s="84">
        <f t="shared" si="222"/>
        <v>64362798</v>
      </c>
      <c r="AI53" s="84">
        <f t="shared" si="222"/>
        <v>73205725</v>
      </c>
      <c r="AJ53" s="11"/>
      <c r="AK53" s="70">
        <f t="shared" ref="AK53:AK57" si="223">SUM(AH53/AD53)-1</f>
        <v>10.315759974261105</v>
      </c>
    </row>
    <row r="54" spans="2:37" ht="12.75" customHeight="1">
      <c r="B54" s="9" t="s">
        <v>90</v>
      </c>
      <c r="C54" s="78">
        <v>36587</v>
      </c>
      <c r="D54" s="78">
        <v>32311</v>
      </c>
      <c r="E54" s="78">
        <v>28941</v>
      </c>
      <c r="F54" s="78">
        <v>26327</v>
      </c>
      <c r="H54" s="107">
        <v>35680</v>
      </c>
      <c r="I54" s="107">
        <v>34580</v>
      </c>
      <c r="J54" s="107">
        <v>33033</v>
      </c>
      <c r="K54" s="84">
        <f t="shared" si="219"/>
        <v>32311</v>
      </c>
      <c r="L54" s="107">
        <v>31338</v>
      </c>
      <c r="M54" s="107">
        <v>30507</v>
      </c>
      <c r="N54" s="107">
        <v>30192</v>
      </c>
      <c r="O54" s="84">
        <f t="shared" si="220"/>
        <v>28941</v>
      </c>
      <c r="P54" s="107">
        <v>29108</v>
      </c>
      <c r="Q54" s="107">
        <v>28332</v>
      </c>
      <c r="R54" s="107">
        <v>27517</v>
      </c>
      <c r="S54" s="84">
        <f t="shared" si="221"/>
        <v>26327</v>
      </c>
      <c r="T54" s="107">
        <v>28335</v>
      </c>
      <c r="U54" s="107">
        <v>30203</v>
      </c>
      <c r="V54" s="107">
        <v>29949</v>
      </c>
      <c r="X54" s="84">
        <f t="shared" ref="X54:AG57" si="224">K54</f>
        <v>32311</v>
      </c>
      <c r="Y54" s="84">
        <f t="shared" si="224"/>
        <v>31338</v>
      </c>
      <c r="Z54" s="84">
        <f t="shared" si="224"/>
        <v>30507</v>
      </c>
      <c r="AA54" s="84">
        <f t="shared" si="224"/>
        <v>30192</v>
      </c>
      <c r="AB54" s="84">
        <f t="shared" si="224"/>
        <v>28941</v>
      </c>
      <c r="AC54" s="84">
        <f t="shared" si="224"/>
        <v>29108</v>
      </c>
      <c r="AD54" s="84">
        <f t="shared" si="224"/>
        <v>28332</v>
      </c>
      <c r="AE54" s="84">
        <f t="shared" si="224"/>
        <v>27517</v>
      </c>
      <c r="AF54" s="84">
        <f t="shared" si="224"/>
        <v>26327</v>
      </c>
      <c r="AG54" s="84">
        <f t="shared" si="224"/>
        <v>28335</v>
      </c>
      <c r="AH54" s="84">
        <f t="shared" ref="AH54:AI57" si="225">U54</f>
        <v>30203</v>
      </c>
      <c r="AI54" s="84">
        <f t="shared" si="225"/>
        <v>29949</v>
      </c>
      <c r="AJ54" s="11"/>
      <c r="AK54" s="70">
        <f t="shared" si="223"/>
        <v>6.6038401807143821E-2</v>
      </c>
    </row>
    <row r="55" spans="2:37" ht="12.75" customHeight="1">
      <c r="B55" s="9" t="s">
        <v>142</v>
      </c>
      <c r="C55" s="78">
        <v>66760</v>
      </c>
      <c r="D55" s="78">
        <v>61299</v>
      </c>
      <c r="E55" s="78">
        <v>57343</v>
      </c>
      <c r="F55" s="78">
        <v>54560</v>
      </c>
      <c r="H55" s="107">
        <v>64637</v>
      </c>
      <c r="I55" s="107">
        <v>65169</v>
      </c>
      <c r="J55" s="107">
        <v>62902</v>
      </c>
      <c r="K55" s="84">
        <f t="shared" si="219"/>
        <v>61299</v>
      </c>
      <c r="L55" s="107">
        <v>59655</v>
      </c>
      <c r="M55" s="107">
        <v>58264</v>
      </c>
      <c r="N55" s="107">
        <v>54542</v>
      </c>
      <c r="O55" s="84">
        <f t="shared" si="220"/>
        <v>57343</v>
      </c>
      <c r="P55" s="107">
        <v>55093</v>
      </c>
      <c r="Q55" s="107">
        <v>53591</v>
      </c>
      <c r="R55" s="107">
        <v>55308</v>
      </c>
      <c r="S55" s="84">
        <f t="shared" si="221"/>
        <v>54560</v>
      </c>
      <c r="T55" s="107">
        <v>53070</v>
      </c>
      <c r="U55" s="107">
        <v>51573</v>
      </c>
      <c r="V55" s="107">
        <v>49236</v>
      </c>
      <c r="X55" s="84">
        <f t="shared" si="224"/>
        <v>61299</v>
      </c>
      <c r="Y55" s="84">
        <f t="shared" si="224"/>
        <v>59655</v>
      </c>
      <c r="Z55" s="84">
        <f t="shared" si="224"/>
        <v>58264</v>
      </c>
      <c r="AA55" s="84">
        <f t="shared" si="224"/>
        <v>54542</v>
      </c>
      <c r="AB55" s="84">
        <f t="shared" si="224"/>
        <v>57343</v>
      </c>
      <c r="AC55" s="84">
        <f t="shared" si="224"/>
        <v>55093</v>
      </c>
      <c r="AD55" s="84">
        <f t="shared" si="224"/>
        <v>53591</v>
      </c>
      <c r="AE55" s="84">
        <f t="shared" si="224"/>
        <v>55308</v>
      </c>
      <c r="AF55" s="84">
        <f t="shared" si="224"/>
        <v>54560</v>
      </c>
      <c r="AG55" s="84">
        <f t="shared" si="224"/>
        <v>53070</v>
      </c>
      <c r="AH55" s="84">
        <f t="shared" si="225"/>
        <v>51573</v>
      </c>
      <c r="AI55" s="84">
        <f t="shared" si="225"/>
        <v>49236</v>
      </c>
      <c r="AJ55" s="11"/>
      <c r="AK55" s="70">
        <f t="shared" si="223"/>
        <v>-3.7655576496053444E-2</v>
      </c>
    </row>
    <row r="56" spans="2:37" ht="12.75" customHeight="1">
      <c r="B56" s="9" t="s">
        <v>143</v>
      </c>
      <c r="C56" s="78">
        <v>15820</v>
      </c>
      <c r="D56" s="78">
        <v>23916</v>
      </c>
      <c r="E56" s="78">
        <v>24300</v>
      </c>
      <c r="F56" s="78">
        <v>75794</v>
      </c>
      <c r="H56" s="107">
        <v>18181</v>
      </c>
      <c r="I56" s="107">
        <v>17786</v>
      </c>
      <c r="J56" s="107">
        <v>20992</v>
      </c>
      <c r="K56" s="84">
        <f t="shared" si="219"/>
        <v>23916</v>
      </c>
      <c r="L56" s="107">
        <v>23825</v>
      </c>
      <c r="M56" s="107">
        <v>22421</v>
      </c>
      <c r="N56" s="107">
        <v>24156</v>
      </c>
      <c r="O56" s="84">
        <f t="shared" si="220"/>
        <v>24300</v>
      </c>
      <c r="P56" s="107">
        <v>31757</v>
      </c>
      <c r="Q56" s="107">
        <v>43449</v>
      </c>
      <c r="R56" s="107">
        <v>51109</v>
      </c>
      <c r="S56" s="84">
        <f t="shared" si="221"/>
        <v>75794</v>
      </c>
      <c r="T56" s="107">
        <v>83261</v>
      </c>
      <c r="U56" s="107">
        <v>109664</v>
      </c>
      <c r="V56" s="107">
        <v>114342</v>
      </c>
      <c r="X56" s="84">
        <f t="shared" si="224"/>
        <v>23916</v>
      </c>
      <c r="Y56" s="84">
        <f t="shared" si="224"/>
        <v>23825</v>
      </c>
      <c r="Z56" s="84">
        <f t="shared" si="224"/>
        <v>22421</v>
      </c>
      <c r="AA56" s="84">
        <f t="shared" si="224"/>
        <v>24156</v>
      </c>
      <c r="AB56" s="84">
        <f t="shared" si="224"/>
        <v>24300</v>
      </c>
      <c r="AC56" s="84">
        <f t="shared" si="224"/>
        <v>31757</v>
      </c>
      <c r="AD56" s="84">
        <f t="shared" si="224"/>
        <v>43449</v>
      </c>
      <c r="AE56" s="84">
        <f t="shared" si="224"/>
        <v>51109</v>
      </c>
      <c r="AF56" s="84">
        <f t="shared" si="224"/>
        <v>75794</v>
      </c>
      <c r="AG56" s="84">
        <f t="shared" si="224"/>
        <v>83261</v>
      </c>
      <c r="AH56" s="84">
        <f t="shared" si="225"/>
        <v>109664</v>
      </c>
      <c r="AI56" s="84">
        <f t="shared" si="225"/>
        <v>114342</v>
      </c>
      <c r="AJ56" s="11"/>
      <c r="AK56" s="70">
        <f t="shared" si="223"/>
        <v>1.5239706322354944</v>
      </c>
    </row>
    <row r="57" spans="2:37" ht="12.75" customHeight="1">
      <c r="B57" s="9" t="s">
        <v>144</v>
      </c>
      <c r="C57" s="78">
        <v>319782</v>
      </c>
      <c r="D57" s="78">
        <v>188152</v>
      </c>
      <c r="E57" s="78">
        <v>757573</v>
      </c>
      <c r="F57" s="78">
        <v>1525307</v>
      </c>
      <c r="H57" s="107">
        <v>377282</v>
      </c>
      <c r="I57" s="107">
        <v>243367</v>
      </c>
      <c r="J57" s="107">
        <v>233034</v>
      </c>
      <c r="K57" s="84">
        <f t="shared" si="219"/>
        <v>188152</v>
      </c>
      <c r="L57" s="107">
        <v>651516</v>
      </c>
      <c r="M57" s="107">
        <v>719026</v>
      </c>
      <c r="N57" s="107">
        <v>614112</v>
      </c>
      <c r="O57" s="84">
        <f t="shared" si="220"/>
        <v>757573</v>
      </c>
      <c r="P57" s="107">
        <v>919837</v>
      </c>
      <c r="Q57" s="107">
        <v>1031542</v>
      </c>
      <c r="R57" s="107">
        <v>1172726</v>
      </c>
      <c r="S57" s="84">
        <f t="shared" si="221"/>
        <v>1525307</v>
      </c>
      <c r="T57" s="107">
        <v>5403</v>
      </c>
      <c r="U57" s="107">
        <v>5716</v>
      </c>
      <c r="V57" s="107">
        <v>5835</v>
      </c>
      <c r="X57" s="84">
        <f t="shared" si="224"/>
        <v>188152</v>
      </c>
      <c r="Y57" s="84">
        <f t="shared" si="224"/>
        <v>651516</v>
      </c>
      <c r="Z57" s="84">
        <f t="shared" si="224"/>
        <v>719026</v>
      </c>
      <c r="AA57" s="84">
        <f t="shared" si="224"/>
        <v>614112</v>
      </c>
      <c r="AB57" s="84">
        <f t="shared" si="224"/>
        <v>757573</v>
      </c>
      <c r="AC57" s="84">
        <f t="shared" si="224"/>
        <v>919837</v>
      </c>
      <c r="AD57" s="84">
        <f t="shared" si="224"/>
        <v>1031542</v>
      </c>
      <c r="AE57" s="84">
        <f t="shared" si="224"/>
        <v>1172726</v>
      </c>
      <c r="AF57" s="84">
        <f t="shared" si="224"/>
        <v>1525307</v>
      </c>
      <c r="AG57" s="84">
        <f t="shared" si="224"/>
        <v>5403</v>
      </c>
      <c r="AH57" s="84">
        <f t="shared" si="225"/>
        <v>5716</v>
      </c>
      <c r="AI57" s="84">
        <f t="shared" si="225"/>
        <v>5835</v>
      </c>
      <c r="AJ57" s="11"/>
      <c r="AK57" s="70">
        <f t="shared" si="223"/>
        <v>-0.99445878112573216</v>
      </c>
    </row>
    <row r="58" spans="2:37" ht="12.75" customHeight="1">
      <c r="B58" s="12" t="s">
        <v>19</v>
      </c>
      <c r="C58" s="13">
        <f>SUM(C53:C57)+C50</f>
        <v>3557124</v>
      </c>
      <c r="D58" s="13">
        <f>SUM(D53:D57)+D50</f>
        <v>2410272</v>
      </c>
      <c r="E58" s="13">
        <f>SUM(E53:E57)+E50</f>
        <v>4762528</v>
      </c>
      <c r="F58" s="13">
        <f>SUM(F53:F57)+F50</f>
        <v>25843685</v>
      </c>
      <c r="H58" s="13">
        <f>SUM(H53:H57)+H50</f>
        <v>3638387</v>
      </c>
      <c r="I58" s="13">
        <f>SUM(I53:I57)+I50</f>
        <v>2568365</v>
      </c>
      <c r="J58" s="13">
        <f>SUM(J53:J57)+J50</f>
        <v>2545286</v>
      </c>
      <c r="K58" s="13">
        <f>SUM(K53:K57)+K50</f>
        <v>2410272</v>
      </c>
      <c r="L58" s="13">
        <f>SUM(L53:L57)+L50</f>
        <v>3026402</v>
      </c>
      <c r="M58" s="13">
        <f>SUM(M53:M57)+M50</f>
        <v>3363104</v>
      </c>
      <c r="N58" s="13">
        <f>SUM(N53:N57)+N50</f>
        <v>3373941</v>
      </c>
      <c r="O58" s="13">
        <f>SUM(O53:O57)+O50</f>
        <v>4762528</v>
      </c>
      <c r="P58" s="13">
        <f>SUM(P53:P57)+P50</f>
        <v>6351539</v>
      </c>
      <c r="Q58" s="13">
        <f>SUM(Q53:Q57)+Q50</f>
        <v>7053073</v>
      </c>
      <c r="R58" s="13">
        <f>SUM(R53:R57)+R50</f>
        <v>8343581</v>
      </c>
      <c r="S58" s="13">
        <f>SUM(S53:S57)+S50</f>
        <v>25843685</v>
      </c>
      <c r="T58" s="13">
        <f>SUM(T53:T57)+T50</f>
        <v>43919760</v>
      </c>
      <c r="U58" s="13">
        <f>SUM(U53:U57)+U50</f>
        <v>64773415</v>
      </c>
      <c r="V58" s="13">
        <f>SUM(V53:V57)+V50</f>
        <v>73619038</v>
      </c>
      <c r="X58" s="13">
        <f>SUM(X53:X57)+X50</f>
        <v>2410272</v>
      </c>
      <c r="Y58" s="13">
        <f>SUM(Y53:Y57)+Y50</f>
        <v>3026402</v>
      </c>
      <c r="Z58" s="13">
        <f>SUM(Z53:Z57)+Z50</f>
        <v>3363104</v>
      </c>
      <c r="AA58" s="13">
        <f>SUM(AA53:AA57)+AA50</f>
        <v>3373941</v>
      </c>
      <c r="AB58" s="13">
        <f>SUM(AB53:AB57)+AB50</f>
        <v>4762528</v>
      </c>
      <c r="AC58" s="13">
        <f>SUM(AC53:AC57)+AC50</f>
        <v>6351539</v>
      </c>
      <c r="AD58" s="13">
        <f>SUM(AD53:AD57)+AD50</f>
        <v>7053073</v>
      </c>
      <c r="AE58" s="13">
        <f>SUM(AE53:AE57)+AE50</f>
        <v>8343581</v>
      </c>
      <c r="AF58" s="13">
        <f>SUM(AF53:AF57)+AF50</f>
        <v>25843685</v>
      </c>
      <c r="AG58" s="13">
        <f>SUM(AG53:AG57)+AG50</f>
        <v>43919760</v>
      </c>
      <c r="AH58" s="13">
        <f>SUM(AH53:AH57)+AH50</f>
        <v>64773415</v>
      </c>
      <c r="AI58" s="13">
        <f>SUM(AI53:AI57)+AI50</f>
        <v>73619038</v>
      </c>
      <c r="AJ58" s="40"/>
      <c r="AK58" s="71">
        <f>SUM(AH58/AD58)-1</f>
        <v>8.1837153819335207</v>
      </c>
    </row>
    <row r="59" spans="2:37" ht="12.75" customHeight="1">
      <c r="B59" s="23"/>
      <c r="C59" s="49"/>
      <c r="D59" s="49"/>
      <c r="E59" s="39"/>
      <c r="F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37"/>
    </row>
    <row r="60" spans="2:37" ht="12.75" customHeight="1">
      <c r="B60" s="74" t="s">
        <v>49</v>
      </c>
      <c r="C60" s="49"/>
      <c r="D60" s="49"/>
      <c r="E60" s="39"/>
      <c r="F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37"/>
    </row>
    <row r="61" spans="2:37" ht="12.75" customHeight="1">
      <c r="B61" s="106" t="s">
        <v>145</v>
      </c>
      <c r="C61" s="78">
        <v>46084</v>
      </c>
      <c r="D61" s="78">
        <v>42976</v>
      </c>
      <c r="E61" s="78">
        <v>43090</v>
      </c>
      <c r="F61" s="78">
        <v>52982</v>
      </c>
      <c r="H61" s="107">
        <v>44388</v>
      </c>
      <c r="I61" s="107">
        <v>35960</v>
      </c>
      <c r="J61" s="107">
        <v>36846</v>
      </c>
      <c r="K61" s="84">
        <f t="shared" ref="K61:K65" si="226">D61</f>
        <v>42976</v>
      </c>
      <c r="L61" s="107">
        <v>50604</v>
      </c>
      <c r="M61" s="107">
        <v>33660</v>
      </c>
      <c r="N61" s="107">
        <v>34306</v>
      </c>
      <c r="O61" s="84">
        <f t="shared" ref="O61:O65" si="227">E61</f>
        <v>43090</v>
      </c>
      <c r="P61" s="107">
        <v>41866</v>
      </c>
      <c r="Q61" s="107">
        <v>44188</v>
      </c>
      <c r="R61" s="107">
        <v>45714</v>
      </c>
      <c r="S61" s="84">
        <f t="shared" ref="S61:S65" si="228">F61</f>
        <v>52982</v>
      </c>
      <c r="T61" s="107">
        <v>53716</v>
      </c>
      <c r="U61" s="107">
        <v>44220</v>
      </c>
      <c r="V61" s="107">
        <v>48723</v>
      </c>
      <c r="X61" s="84">
        <f t="shared" ref="X61:AI63" si="229">K61</f>
        <v>42976</v>
      </c>
      <c r="Y61" s="84">
        <f t="shared" si="229"/>
        <v>50604</v>
      </c>
      <c r="Z61" s="84">
        <f t="shared" si="229"/>
        <v>33660</v>
      </c>
      <c r="AA61" s="84">
        <f t="shared" si="229"/>
        <v>34306</v>
      </c>
      <c r="AB61" s="84">
        <f t="shared" si="229"/>
        <v>43090</v>
      </c>
      <c r="AC61" s="84">
        <f t="shared" si="229"/>
        <v>41866</v>
      </c>
      <c r="AD61" s="84">
        <f t="shared" si="229"/>
        <v>44188</v>
      </c>
      <c r="AE61" s="84">
        <f t="shared" si="229"/>
        <v>45714</v>
      </c>
      <c r="AF61" s="84">
        <f t="shared" si="229"/>
        <v>52982</v>
      </c>
      <c r="AG61" s="84">
        <f t="shared" si="229"/>
        <v>53716</v>
      </c>
      <c r="AH61" s="84">
        <f t="shared" si="229"/>
        <v>44220</v>
      </c>
      <c r="AI61" s="84">
        <f t="shared" si="229"/>
        <v>48723</v>
      </c>
      <c r="AJ61" s="11"/>
      <c r="AK61" s="70">
        <f t="shared" ref="AK61" si="230">SUM(AH61/AD61)-1</f>
        <v>7.2417851000272648E-4</v>
      </c>
    </row>
    <row r="62" spans="2:37" ht="12.75" customHeight="1">
      <c r="B62" s="106" t="s">
        <v>146</v>
      </c>
      <c r="C62" s="78">
        <v>54548</v>
      </c>
      <c r="D62" s="78">
        <v>53716</v>
      </c>
      <c r="E62" s="78">
        <v>50045</v>
      </c>
      <c r="F62" s="78">
        <v>58362</v>
      </c>
      <c r="H62" s="107">
        <v>43726</v>
      </c>
      <c r="I62" s="107">
        <v>47773</v>
      </c>
      <c r="J62" s="107">
        <v>46346</v>
      </c>
      <c r="K62" s="84">
        <f t="shared" si="226"/>
        <v>53716</v>
      </c>
      <c r="L62" s="107">
        <v>39199</v>
      </c>
      <c r="M62" s="107">
        <v>41492</v>
      </c>
      <c r="N62" s="107">
        <v>43405</v>
      </c>
      <c r="O62" s="84">
        <f t="shared" si="227"/>
        <v>50045</v>
      </c>
      <c r="P62" s="107">
        <v>40617</v>
      </c>
      <c r="Q62" s="107">
        <v>46853</v>
      </c>
      <c r="R62" s="107">
        <v>51686</v>
      </c>
      <c r="S62" s="84">
        <f t="shared" si="228"/>
        <v>58362</v>
      </c>
      <c r="T62" s="107">
        <v>32785</v>
      </c>
      <c r="U62" s="107">
        <v>50132</v>
      </c>
      <c r="V62" s="107">
        <v>44514</v>
      </c>
      <c r="X62" s="84">
        <f t="shared" si="229"/>
        <v>53716</v>
      </c>
      <c r="Y62" s="84">
        <f t="shared" si="229"/>
        <v>39199</v>
      </c>
      <c r="Z62" s="84">
        <f t="shared" si="229"/>
        <v>41492</v>
      </c>
      <c r="AA62" s="84">
        <f t="shared" si="229"/>
        <v>43405</v>
      </c>
      <c r="AB62" s="84">
        <f t="shared" si="229"/>
        <v>50045</v>
      </c>
      <c r="AC62" s="84">
        <f t="shared" si="229"/>
        <v>40617</v>
      </c>
      <c r="AD62" s="84">
        <f t="shared" si="229"/>
        <v>46853</v>
      </c>
      <c r="AE62" s="84">
        <f t="shared" si="229"/>
        <v>51686</v>
      </c>
      <c r="AF62" s="84">
        <f t="shared" si="229"/>
        <v>58362</v>
      </c>
      <c r="AG62" s="84">
        <f t="shared" si="229"/>
        <v>32785</v>
      </c>
      <c r="AH62" s="84">
        <f t="shared" si="229"/>
        <v>50132</v>
      </c>
      <c r="AI62" s="84">
        <f t="shared" si="229"/>
        <v>44514</v>
      </c>
      <c r="AJ62" s="11"/>
      <c r="AK62" s="70">
        <f>SUM(AH62/AD62)-1</f>
        <v>6.9984846221159858E-2</v>
      </c>
    </row>
    <row r="63" spans="2:37" ht="12.75" customHeight="1">
      <c r="B63" s="106" t="s">
        <v>147</v>
      </c>
      <c r="C63" s="78">
        <v>1493</v>
      </c>
      <c r="D63" s="78">
        <v>2829</v>
      </c>
      <c r="E63" s="78">
        <v>1493</v>
      </c>
      <c r="F63" s="78">
        <v>5549</v>
      </c>
      <c r="H63" s="107">
        <v>10544</v>
      </c>
      <c r="I63" s="107">
        <v>2269</v>
      </c>
      <c r="J63" s="107">
        <v>11394</v>
      </c>
      <c r="K63" s="84">
        <f t="shared" si="226"/>
        <v>2829</v>
      </c>
      <c r="L63" s="107">
        <v>10368</v>
      </c>
      <c r="M63" s="107">
        <v>1493</v>
      </c>
      <c r="N63" s="107">
        <v>10368</v>
      </c>
      <c r="O63" s="84">
        <f t="shared" si="227"/>
        <v>1493</v>
      </c>
      <c r="P63" s="107">
        <v>10878</v>
      </c>
      <c r="Q63" s="107">
        <v>5066</v>
      </c>
      <c r="R63" s="107">
        <v>5800</v>
      </c>
      <c r="S63" s="84">
        <f t="shared" si="228"/>
        <v>5549</v>
      </c>
      <c r="T63" s="107">
        <v>5970</v>
      </c>
      <c r="U63" s="107">
        <v>5620</v>
      </c>
      <c r="V63" s="107">
        <v>29896</v>
      </c>
      <c r="X63" s="84">
        <f t="shared" si="229"/>
        <v>2829</v>
      </c>
      <c r="Y63" s="84">
        <f t="shared" si="229"/>
        <v>10368</v>
      </c>
      <c r="Z63" s="84">
        <f t="shared" si="229"/>
        <v>1493</v>
      </c>
      <c r="AA63" s="84">
        <f t="shared" si="229"/>
        <v>10368</v>
      </c>
      <c r="AB63" s="84">
        <f t="shared" si="229"/>
        <v>1493</v>
      </c>
      <c r="AC63" s="84">
        <f t="shared" si="229"/>
        <v>10878</v>
      </c>
      <c r="AD63" s="84">
        <f t="shared" si="229"/>
        <v>5066</v>
      </c>
      <c r="AE63" s="84">
        <f t="shared" si="229"/>
        <v>5800</v>
      </c>
      <c r="AF63" s="84">
        <f t="shared" si="229"/>
        <v>5549</v>
      </c>
      <c r="AG63" s="84">
        <f t="shared" si="229"/>
        <v>5970</v>
      </c>
      <c r="AH63" s="84">
        <f t="shared" si="229"/>
        <v>5620</v>
      </c>
      <c r="AI63" s="84">
        <f t="shared" si="229"/>
        <v>29896</v>
      </c>
      <c r="AJ63" s="11"/>
      <c r="AK63" s="70">
        <f>SUM(AH63/AD63)-1</f>
        <v>0.10935649427556249</v>
      </c>
    </row>
    <row r="64" spans="2:37" ht="12.75" customHeight="1">
      <c r="B64" s="106" t="s">
        <v>148</v>
      </c>
      <c r="C64" s="78">
        <v>0</v>
      </c>
      <c r="D64" s="78">
        <v>454</v>
      </c>
      <c r="E64" s="78">
        <v>483</v>
      </c>
      <c r="F64" s="78">
        <v>517</v>
      </c>
      <c r="H64" s="107">
        <v>0</v>
      </c>
      <c r="I64" s="107">
        <v>0</v>
      </c>
      <c r="J64" s="107">
        <v>0</v>
      </c>
      <c r="K64" s="84">
        <f t="shared" si="226"/>
        <v>454</v>
      </c>
      <c r="L64" s="107">
        <v>460</v>
      </c>
      <c r="M64" s="107">
        <v>468</v>
      </c>
      <c r="N64" s="107">
        <v>475</v>
      </c>
      <c r="O64" s="84">
        <f t="shared" si="227"/>
        <v>483</v>
      </c>
      <c r="P64" s="107">
        <v>492</v>
      </c>
      <c r="Q64" s="107">
        <v>145119</v>
      </c>
      <c r="R64" s="107">
        <v>509</v>
      </c>
      <c r="S64" s="84">
        <f t="shared" si="228"/>
        <v>517</v>
      </c>
      <c r="T64" s="107">
        <v>525</v>
      </c>
      <c r="U64" s="107">
        <v>349</v>
      </c>
      <c r="V64" s="107">
        <v>316</v>
      </c>
      <c r="X64" s="84">
        <f t="shared" ref="X64" si="231">K64</f>
        <v>454</v>
      </c>
      <c r="Y64" s="84">
        <f t="shared" ref="Y64" si="232">L64</f>
        <v>460</v>
      </c>
      <c r="Z64" s="84">
        <f t="shared" ref="Z64" si="233">M64</f>
        <v>468</v>
      </c>
      <c r="AA64" s="84">
        <f t="shared" ref="AA64" si="234">N64</f>
        <v>475</v>
      </c>
      <c r="AB64" s="84">
        <f t="shared" ref="AB64" si="235">O64</f>
        <v>483</v>
      </c>
      <c r="AC64" s="84">
        <f t="shared" ref="AC64" si="236">P64</f>
        <v>492</v>
      </c>
      <c r="AD64" s="84">
        <f t="shared" ref="AD64" si="237">Q64</f>
        <v>145119</v>
      </c>
      <c r="AE64" s="84">
        <f t="shared" ref="AE64" si="238">R64</f>
        <v>509</v>
      </c>
      <c r="AF64" s="84">
        <f t="shared" ref="AF64" si="239">S64</f>
        <v>517</v>
      </c>
      <c r="AG64" s="84">
        <f t="shared" ref="AG64" si="240">T64</f>
        <v>525</v>
      </c>
      <c r="AH64" s="84">
        <f t="shared" ref="AH64:AI64" si="241">U64</f>
        <v>349</v>
      </c>
      <c r="AI64" s="84">
        <f t="shared" si="241"/>
        <v>316</v>
      </c>
      <c r="AJ64" s="11"/>
      <c r="AK64" s="70">
        <f t="shared" ref="AK64" si="242">SUM(AH64/AD64)-1</f>
        <v>-0.99759507714358564</v>
      </c>
    </row>
    <row r="65" spans="2:37" ht="12.75" customHeight="1">
      <c r="B65" s="106" t="s">
        <v>149</v>
      </c>
      <c r="C65" s="78">
        <v>209860</v>
      </c>
      <c r="D65" s="78">
        <v>217428</v>
      </c>
      <c r="E65" s="78">
        <v>228162</v>
      </c>
      <c r="F65" s="78">
        <v>237974</v>
      </c>
      <c r="H65" s="107">
        <v>206217</v>
      </c>
      <c r="I65" s="107">
        <v>188098</v>
      </c>
      <c r="J65" s="107">
        <v>165934</v>
      </c>
      <c r="K65" s="84">
        <f t="shared" si="226"/>
        <v>217428</v>
      </c>
      <c r="L65" s="107">
        <v>211768</v>
      </c>
      <c r="M65" s="107">
        <v>195817</v>
      </c>
      <c r="N65" s="107">
        <v>179167</v>
      </c>
      <c r="O65" s="84">
        <f t="shared" si="227"/>
        <v>228162</v>
      </c>
      <c r="P65" s="107">
        <v>215955</v>
      </c>
      <c r="Q65" s="107">
        <v>204837</v>
      </c>
      <c r="R65" s="107">
        <v>184402</v>
      </c>
      <c r="S65" s="84">
        <f t="shared" si="228"/>
        <v>237974</v>
      </c>
      <c r="T65" s="107">
        <v>215693</v>
      </c>
      <c r="U65" s="107">
        <v>214251</v>
      </c>
      <c r="V65" s="107">
        <v>200641</v>
      </c>
      <c r="X65" s="84">
        <f t="shared" ref="X65:AI65" si="243">K65</f>
        <v>217428</v>
      </c>
      <c r="Y65" s="84">
        <f t="shared" si="243"/>
        <v>211768</v>
      </c>
      <c r="Z65" s="84">
        <f t="shared" si="243"/>
        <v>195817</v>
      </c>
      <c r="AA65" s="84">
        <f t="shared" si="243"/>
        <v>179167</v>
      </c>
      <c r="AB65" s="84">
        <f t="shared" si="243"/>
        <v>228162</v>
      </c>
      <c r="AC65" s="84">
        <f t="shared" si="243"/>
        <v>215955</v>
      </c>
      <c r="AD65" s="84">
        <f t="shared" si="243"/>
        <v>204837</v>
      </c>
      <c r="AE65" s="84">
        <f t="shared" si="243"/>
        <v>184402</v>
      </c>
      <c r="AF65" s="84">
        <f t="shared" si="243"/>
        <v>237974</v>
      </c>
      <c r="AG65" s="84">
        <f t="shared" si="243"/>
        <v>215693</v>
      </c>
      <c r="AH65" s="84">
        <f t="shared" si="243"/>
        <v>214251</v>
      </c>
      <c r="AI65" s="84">
        <f t="shared" si="243"/>
        <v>200641</v>
      </c>
      <c r="AJ65" s="11"/>
      <c r="AK65" s="70">
        <f>SUM(AH65/AD65)-1</f>
        <v>4.5958493826798952E-2</v>
      </c>
    </row>
    <row r="66" spans="2:37" ht="12.75" customHeight="1">
      <c r="B66" s="23" t="s">
        <v>17</v>
      </c>
      <c r="C66" s="24">
        <f t="shared" ref="C66:F66" si="244">SUM(C61:C65)</f>
        <v>311985</v>
      </c>
      <c r="D66" s="24">
        <f t="shared" si="244"/>
        <v>317403</v>
      </c>
      <c r="E66" s="24">
        <f t="shared" si="244"/>
        <v>323273</v>
      </c>
      <c r="F66" s="24">
        <f t="shared" si="244"/>
        <v>355384</v>
      </c>
      <c r="H66" s="24">
        <f t="shared" ref="H66:V66" si="245">SUM(H61:H65)</f>
        <v>304875</v>
      </c>
      <c r="I66" s="24">
        <f t="shared" si="245"/>
        <v>274100</v>
      </c>
      <c r="J66" s="24">
        <f t="shared" si="245"/>
        <v>260520</v>
      </c>
      <c r="K66" s="24">
        <f t="shared" si="245"/>
        <v>317403</v>
      </c>
      <c r="L66" s="24">
        <f t="shared" si="245"/>
        <v>312399</v>
      </c>
      <c r="M66" s="24">
        <f t="shared" si="245"/>
        <v>272930</v>
      </c>
      <c r="N66" s="24">
        <f t="shared" si="245"/>
        <v>267721</v>
      </c>
      <c r="O66" s="24">
        <f t="shared" si="245"/>
        <v>323273</v>
      </c>
      <c r="P66" s="24">
        <f t="shared" si="245"/>
        <v>309808</v>
      </c>
      <c r="Q66" s="24">
        <f t="shared" si="245"/>
        <v>446063</v>
      </c>
      <c r="R66" s="24">
        <f t="shared" si="245"/>
        <v>288111</v>
      </c>
      <c r="S66" s="24">
        <f t="shared" si="245"/>
        <v>355384</v>
      </c>
      <c r="T66" s="24">
        <f t="shared" si="245"/>
        <v>308689</v>
      </c>
      <c r="U66" s="24">
        <f t="shared" si="245"/>
        <v>314572</v>
      </c>
      <c r="V66" s="24">
        <f t="shared" si="245"/>
        <v>324090</v>
      </c>
      <c r="W66" s="47"/>
      <c r="X66" s="24">
        <f t="shared" ref="X66:AI66" si="246">SUM(X61:X65)</f>
        <v>317403</v>
      </c>
      <c r="Y66" s="24">
        <f t="shared" si="246"/>
        <v>312399</v>
      </c>
      <c r="Z66" s="24">
        <f t="shared" si="246"/>
        <v>272930</v>
      </c>
      <c r="AA66" s="24">
        <f t="shared" si="246"/>
        <v>267721</v>
      </c>
      <c r="AB66" s="24">
        <f t="shared" si="246"/>
        <v>323273</v>
      </c>
      <c r="AC66" s="24">
        <f t="shared" si="246"/>
        <v>309808</v>
      </c>
      <c r="AD66" s="24">
        <f t="shared" si="246"/>
        <v>446063</v>
      </c>
      <c r="AE66" s="24">
        <f t="shared" si="246"/>
        <v>288111</v>
      </c>
      <c r="AF66" s="24">
        <f t="shared" si="246"/>
        <v>355384</v>
      </c>
      <c r="AG66" s="24">
        <f t="shared" si="246"/>
        <v>308689</v>
      </c>
      <c r="AH66" s="24">
        <f t="shared" si="246"/>
        <v>314572</v>
      </c>
      <c r="AI66" s="24">
        <f t="shared" si="246"/>
        <v>324090</v>
      </c>
      <c r="AJ66" s="40"/>
      <c r="AK66" s="71">
        <f>SUM(AH66/AD66)-1</f>
        <v>-0.29478123045399418</v>
      </c>
    </row>
    <row r="67" spans="2:37" ht="5.0999999999999996" customHeight="1">
      <c r="B67" s="23"/>
      <c r="C67" s="49"/>
      <c r="D67" s="49"/>
      <c r="E67" s="39"/>
      <c r="F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37"/>
    </row>
    <row r="68" spans="2:37">
      <c r="B68" s="74" t="s">
        <v>88</v>
      </c>
      <c r="C68" s="49"/>
      <c r="D68" s="49"/>
      <c r="E68" s="39"/>
      <c r="F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37"/>
    </row>
    <row r="69" spans="2:37" ht="12.75" customHeight="1">
      <c r="B69" s="106" t="s">
        <v>150</v>
      </c>
      <c r="C69" s="78">
        <v>2155151</v>
      </c>
      <c r="D69" s="78">
        <v>2378560</v>
      </c>
      <c r="E69" s="78">
        <v>2182108</v>
      </c>
      <c r="F69" s="78">
        <v>7191158</v>
      </c>
      <c r="H69" s="107">
        <v>2361865</v>
      </c>
      <c r="I69" s="107">
        <v>2374863</v>
      </c>
      <c r="J69" s="107">
        <v>2376935</v>
      </c>
      <c r="K69" s="84">
        <f t="shared" ref="K69:K73" si="247">D69</f>
        <v>2378560</v>
      </c>
      <c r="L69" s="107">
        <v>2175918</v>
      </c>
      <c r="M69" s="107">
        <v>2177974</v>
      </c>
      <c r="N69" s="107">
        <v>2180038</v>
      </c>
      <c r="O69" s="84">
        <f t="shared" ref="O69:O73" si="248">E69</f>
        <v>2182108</v>
      </c>
      <c r="P69" s="107">
        <v>3558801</v>
      </c>
      <c r="Q69" s="107">
        <v>3703381</v>
      </c>
      <c r="R69" s="107">
        <v>4211949</v>
      </c>
      <c r="S69" s="84">
        <f t="shared" ref="S69:S73" si="249">F69</f>
        <v>7191158</v>
      </c>
      <c r="T69" s="107">
        <v>8140156</v>
      </c>
      <c r="U69" s="107">
        <v>8162281</v>
      </c>
      <c r="V69" s="107">
        <v>8173587</v>
      </c>
      <c r="X69" s="84">
        <f t="shared" ref="X69:X72" si="250">K69</f>
        <v>2378560</v>
      </c>
      <c r="Y69" s="84">
        <f t="shared" ref="Y69:Y72" si="251">L69</f>
        <v>2175918</v>
      </c>
      <c r="Z69" s="84">
        <f t="shared" ref="Z69:Z72" si="252">M69</f>
        <v>2177974</v>
      </c>
      <c r="AA69" s="84">
        <f t="shared" ref="AA69:AA72" si="253">N69</f>
        <v>2180038</v>
      </c>
      <c r="AB69" s="84">
        <f t="shared" ref="AB69:AB72" si="254">O69</f>
        <v>2182108</v>
      </c>
      <c r="AC69" s="84">
        <f t="shared" ref="AC69:AC72" si="255">P69</f>
        <v>3558801</v>
      </c>
      <c r="AD69" s="84">
        <f t="shared" ref="AD69:AD72" si="256">Q69</f>
        <v>3703381</v>
      </c>
      <c r="AE69" s="84">
        <f t="shared" ref="AE69:AE72" si="257">R69</f>
        <v>4211949</v>
      </c>
      <c r="AF69" s="84">
        <f t="shared" ref="AF69:AF72" si="258">S69</f>
        <v>7191158</v>
      </c>
      <c r="AG69" s="84">
        <f t="shared" ref="AG69:AG72" si="259">T69</f>
        <v>8140156</v>
      </c>
      <c r="AH69" s="84">
        <f t="shared" ref="AH69:AH72" si="260">U69</f>
        <v>8162281</v>
      </c>
      <c r="AI69" s="84">
        <f t="shared" ref="AI69:AI72" si="261">V69</f>
        <v>8173587</v>
      </c>
      <c r="AJ69" s="40"/>
      <c r="AK69" s="70">
        <f t="shared" ref="AK69:AK73" si="262">SUM(AH69/AD69)-1</f>
        <v>1.2040079052087806</v>
      </c>
    </row>
    <row r="70" spans="2:37" ht="12.75" customHeight="1">
      <c r="B70" s="106" t="s">
        <v>149</v>
      </c>
      <c r="C70" s="78">
        <v>8089</v>
      </c>
      <c r="D70" s="78">
        <v>12763</v>
      </c>
      <c r="E70" s="78">
        <v>8524</v>
      </c>
      <c r="F70" s="78">
        <v>4970</v>
      </c>
      <c r="H70" s="107">
        <v>8236</v>
      </c>
      <c r="I70" s="107">
        <v>8497</v>
      </c>
      <c r="J70" s="107">
        <v>8754</v>
      </c>
      <c r="K70" s="84">
        <f t="shared" si="247"/>
        <v>12763</v>
      </c>
      <c r="L70" s="107">
        <v>11646</v>
      </c>
      <c r="M70" s="107">
        <v>11244</v>
      </c>
      <c r="N70" s="107">
        <v>7638</v>
      </c>
      <c r="O70" s="84">
        <f t="shared" si="248"/>
        <v>8524</v>
      </c>
      <c r="P70" s="107">
        <v>6486</v>
      </c>
      <c r="Q70" s="107">
        <v>5964</v>
      </c>
      <c r="R70" s="107">
        <v>6344</v>
      </c>
      <c r="S70" s="84">
        <f t="shared" si="249"/>
        <v>4970</v>
      </c>
      <c r="T70" s="107">
        <v>3981</v>
      </c>
      <c r="U70" s="107">
        <v>4197</v>
      </c>
      <c r="V70" s="107">
        <v>3450</v>
      </c>
      <c r="X70" s="84">
        <f t="shared" si="250"/>
        <v>12763</v>
      </c>
      <c r="Y70" s="84">
        <f t="shared" si="251"/>
        <v>11646</v>
      </c>
      <c r="Z70" s="84">
        <f t="shared" si="252"/>
        <v>11244</v>
      </c>
      <c r="AA70" s="84">
        <f t="shared" si="253"/>
        <v>7638</v>
      </c>
      <c r="AB70" s="84">
        <f t="shared" si="254"/>
        <v>8524</v>
      </c>
      <c r="AC70" s="84">
        <f t="shared" si="255"/>
        <v>6486</v>
      </c>
      <c r="AD70" s="84">
        <f t="shared" si="256"/>
        <v>5964</v>
      </c>
      <c r="AE70" s="84">
        <f t="shared" si="257"/>
        <v>6344</v>
      </c>
      <c r="AF70" s="84">
        <f t="shared" si="258"/>
        <v>4970</v>
      </c>
      <c r="AG70" s="84">
        <f t="shared" si="259"/>
        <v>3981</v>
      </c>
      <c r="AH70" s="84">
        <f t="shared" si="260"/>
        <v>4197</v>
      </c>
      <c r="AI70" s="84">
        <f t="shared" si="261"/>
        <v>3450</v>
      </c>
      <c r="AJ70" s="40"/>
      <c r="AK70" s="70">
        <f t="shared" si="262"/>
        <v>-0.29627766599597583</v>
      </c>
    </row>
    <row r="71" spans="2:37" ht="12.75" customHeight="1">
      <c r="B71" s="106" t="s">
        <v>97</v>
      </c>
      <c r="C71" s="78">
        <v>76608</v>
      </c>
      <c r="D71" s="78">
        <v>67344</v>
      </c>
      <c r="E71" s="78">
        <v>61086</v>
      </c>
      <c r="F71" s="78">
        <v>56403</v>
      </c>
      <c r="H71" s="107">
        <v>73956</v>
      </c>
      <c r="I71" s="107">
        <v>72162</v>
      </c>
      <c r="J71" s="107">
        <v>69278</v>
      </c>
      <c r="K71" s="84">
        <f t="shared" si="247"/>
        <v>67344</v>
      </c>
      <c r="L71" s="107">
        <v>65355</v>
      </c>
      <c r="M71" s="107">
        <v>63814</v>
      </c>
      <c r="N71" s="107">
        <v>59720</v>
      </c>
      <c r="O71" s="84">
        <f t="shared" si="248"/>
        <v>61086</v>
      </c>
      <c r="P71" s="107">
        <v>58430</v>
      </c>
      <c r="Q71" s="107">
        <v>56544</v>
      </c>
      <c r="R71" s="107">
        <v>57495</v>
      </c>
      <c r="S71" s="84">
        <f t="shared" si="249"/>
        <v>56403</v>
      </c>
      <c r="T71" s="107">
        <v>53691</v>
      </c>
      <c r="U71" s="107">
        <v>51218</v>
      </c>
      <c r="V71" s="107">
        <v>48162</v>
      </c>
      <c r="X71" s="84">
        <f t="shared" si="250"/>
        <v>67344</v>
      </c>
      <c r="Y71" s="84">
        <f t="shared" si="251"/>
        <v>65355</v>
      </c>
      <c r="Z71" s="84">
        <f t="shared" si="252"/>
        <v>63814</v>
      </c>
      <c r="AA71" s="84">
        <f t="shared" si="253"/>
        <v>59720</v>
      </c>
      <c r="AB71" s="84">
        <f t="shared" si="254"/>
        <v>61086</v>
      </c>
      <c r="AC71" s="84">
        <f t="shared" si="255"/>
        <v>58430</v>
      </c>
      <c r="AD71" s="84">
        <f t="shared" si="256"/>
        <v>56544</v>
      </c>
      <c r="AE71" s="84">
        <f t="shared" si="257"/>
        <v>57495</v>
      </c>
      <c r="AF71" s="84">
        <f t="shared" si="258"/>
        <v>56403</v>
      </c>
      <c r="AG71" s="84">
        <f t="shared" si="259"/>
        <v>53691</v>
      </c>
      <c r="AH71" s="84">
        <f t="shared" si="260"/>
        <v>51218</v>
      </c>
      <c r="AI71" s="84">
        <f t="shared" si="261"/>
        <v>48162</v>
      </c>
      <c r="AJ71" s="40"/>
      <c r="AK71" s="70">
        <f t="shared" si="262"/>
        <v>-9.4192133559705682E-2</v>
      </c>
    </row>
    <row r="72" spans="2:37" ht="12.75" customHeight="1">
      <c r="B72" s="106" t="s">
        <v>96</v>
      </c>
      <c r="C72" s="78">
        <v>26224</v>
      </c>
      <c r="D72" s="78">
        <v>17124</v>
      </c>
      <c r="E72" s="78">
        <v>22208</v>
      </c>
      <c r="F72" s="78">
        <v>5379</v>
      </c>
      <c r="H72" s="107">
        <v>26347</v>
      </c>
      <c r="I72" s="107">
        <v>25706</v>
      </c>
      <c r="J72" s="107">
        <v>30088</v>
      </c>
      <c r="K72" s="84">
        <f t="shared" si="247"/>
        <v>17124</v>
      </c>
      <c r="L72" s="107">
        <v>17675</v>
      </c>
      <c r="M72" s="107">
        <v>17826</v>
      </c>
      <c r="N72" s="107">
        <v>18231</v>
      </c>
      <c r="O72" s="84">
        <f t="shared" si="248"/>
        <v>22208</v>
      </c>
      <c r="P72" s="107">
        <v>17552</v>
      </c>
      <c r="Q72" s="107">
        <v>5965</v>
      </c>
      <c r="R72" s="107">
        <v>5676</v>
      </c>
      <c r="S72" s="84">
        <f t="shared" si="249"/>
        <v>5379</v>
      </c>
      <c r="T72" s="107">
        <v>4439</v>
      </c>
      <c r="U72" s="107">
        <v>4672</v>
      </c>
      <c r="V72" s="107">
        <v>4790</v>
      </c>
      <c r="X72" s="84">
        <f t="shared" si="250"/>
        <v>17124</v>
      </c>
      <c r="Y72" s="84">
        <f t="shared" si="251"/>
        <v>17675</v>
      </c>
      <c r="Z72" s="84">
        <f t="shared" si="252"/>
        <v>17826</v>
      </c>
      <c r="AA72" s="84">
        <f t="shared" si="253"/>
        <v>18231</v>
      </c>
      <c r="AB72" s="84">
        <f t="shared" si="254"/>
        <v>22208</v>
      </c>
      <c r="AC72" s="84">
        <f t="shared" si="255"/>
        <v>17552</v>
      </c>
      <c r="AD72" s="84">
        <f t="shared" si="256"/>
        <v>5965</v>
      </c>
      <c r="AE72" s="84">
        <f t="shared" si="257"/>
        <v>5676</v>
      </c>
      <c r="AF72" s="84">
        <f t="shared" si="258"/>
        <v>5379</v>
      </c>
      <c r="AG72" s="84">
        <f t="shared" si="259"/>
        <v>4439</v>
      </c>
      <c r="AH72" s="84">
        <f t="shared" si="260"/>
        <v>4672</v>
      </c>
      <c r="AI72" s="84">
        <f t="shared" si="261"/>
        <v>4790</v>
      </c>
      <c r="AJ72" s="40"/>
      <c r="AK72" s="70">
        <f t="shared" si="262"/>
        <v>-0.21676445934618604</v>
      </c>
    </row>
    <row r="73" spans="2:37" ht="12.75" customHeight="1">
      <c r="B73" s="106" t="s">
        <v>151</v>
      </c>
      <c r="C73" s="78">
        <v>109</v>
      </c>
      <c r="D73" s="78">
        <v>198</v>
      </c>
      <c r="E73" s="78">
        <v>357</v>
      </c>
      <c r="F73" s="78">
        <v>407</v>
      </c>
      <c r="H73" s="107">
        <v>109</v>
      </c>
      <c r="I73" s="107">
        <v>105</v>
      </c>
      <c r="J73" s="107">
        <v>0</v>
      </c>
      <c r="K73" s="84">
        <f t="shared" si="247"/>
        <v>198</v>
      </c>
      <c r="L73" s="107">
        <v>198</v>
      </c>
      <c r="M73" s="107">
        <v>198</v>
      </c>
      <c r="N73" s="107">
        <v>198</v>
      </c>
      <c r="O73" s="84">
        <f t="shared" si="248"/>
        <v>357</v>
      </c>
      <c r="P73" s="107">
        <v>357</v>
      </c>
      <c r="Q73" s="107">
        <v>357</v>
      </c>
      <c r="R73" s="107">
        <v>357</v>
      </c>
      <c r="S73" s="84">
        <f t="shared" si="249"/>
        <v>407</v>
      </c>
      <c r="T73" s="107">
        <v>1883071</v>
      </c>
      <c r="U73" s="107">
        <v>5865510</v>
      </c>
      <c r="V73" s="107">
        <v>6947911</v>
      </c>
      <c r="X73" s="84">
        <f t="shared" ref="X73" si="263">K73</f>
        <v>198</v>
      </c>
      <c r="Y73" s="84">
        <f t="shared" ref="Y73" si="264">L73</f>
        <v>198</v>
      </c>
      <c r="Z73" s="84">
        <f t="shared" ref="Z73" si="265">M73</f>
        <v>198</v>
      </c>
      <c r="AA73" s="84">
        <f t="shared" ref="AA73" si="266">N73</f>
        <v>198</v>
      </c>
      <c r="AB73" s="84">
        <f t="shared" ref="AB73" si="267">O73</f>
        <v>357</v>
      </c>
      <c r="AC73" s="84">
        <f t="shared" ref="AC73" si="268">P73</f>
        <v>357</v>
      </c>
      <c r="AD73" s="84">
        <f t="shared" ref="AD73" si="269">Q73</f>
        <v>357</v>
      </c>
      <c r="AE73" s="84">
        <f t="shared" ref="AE73" si="270">R73</f>
        <v>357</v>
      </c>
      <c r="AF73" s="84">
        <f t="shared" ref="AF73" si="271">S73</f>
        <v>407</v>
      </c>
      <c r="AG73" s="84">
        <f t="shared" ref="AG73" si="272">T73</f>
        <v>1883071</v>
      </c>
      <c r="AH73" s="84">
        <f t="shared" ref="AH73:AI73" si="273">U73</f>
        <v>5865510</v>
      </c>
      <c r="AI73" s="84">
        <f t="shared" si="273"/>
        <v>6947911</v>
      </c>
      <c r="AJ73" s="40"/>
      <c r="AK73" s="70">
        <f t="shared" si="262"/>
        <v>16429</v>
      </c>
    </row>
    <row r="74" spans="2:37" ht="12.75" customHeight="1">
      <c r="B74" s="12" t="s">
        <v>15</v>
      </c>
      <c r="C74" s="13">
        <f>SUM(C69:C73)+C66</f>
        <v>2578166</v>
      </c>
      <c r="D74" s="13">
        <f>SUM(D69:D73)+D66</f>
        <v>2793392</v>
      </c>
      <c r="E74" s="13">
        <f>SUM(E69:E73)+E66</f>
        <v>2597556</v>
      </c>
      <c r="F74" s="13">
        <f>SUM(F69:F73)+F66</f>
        <v>7613701</v>
      </c>
      <c r="H74" s="13">
        <f>SUM(H69:H73)+H66</f>
        <v>2775388</v>
      </c>
      <c r="I74" s="13">
        <f>SUM(I69:I73)+I66</f>
        <v>2755433</v>
      </c>
      <c r="J74" s="13">
        <f>SUM(J69:J73)+J66</f>
        <v>2745575</v>
      </c>
      <c r="K74" s="13">
        <f>SUM(K69:K73)+K66</f>
        <v>2793392</v>
      </c>
      <c r="L74" s="13">
        <f>SUM(L69:L73)+L66</f>
        <v>2583191</v>
      </c>
      <c r="M74" s="13">
        <f>SUM(M69:M73)+M66</f>
        <v>2543986</v>
      </c>
      <c r="N74" s="13">
        <f>SUM(N69:N73)+N66</f>
        <v>2533546</v>
      </c>
      <c r="O74" s="13">
        <f>SUM(O69:O73)+O66</f>
        <v>2597556</v>
      </c>
      <c r="P74" s="13">
        <f>SUM(P69:P73)+P66</f>
        <v>3951434</v>
      </c>
      <c r="Q74" s="13">
        <f>SUM(Q69:Q73)+Q66</f>
        <v>4218274</v>
      </c>
      <c r="R74" s="13">
        <f>SUM(R69:R73)+R66</f>
        <v>4569932</v>
      </c>
      <c r="S74" s="13">
        <f>SUM(S69:S73)+S66</f>
        <v>7613701</v>
      </c>
      <c r="T74" s="13">
        <f>SUM(T69:T73)+T66</f>
        <v>10394027</v>
      </c>
      <c r="U74" s="13">
        <f>SUM(U69:U73)+U66</f>
        <v>14402450</v>
      </c>
      <c r="V74" s="13">
        <f>SUM(V69:V73)+V66</f>
        <v>15501990</v>
      </c>
      <c r="X74" s="13">
        <f>SUM(X69:X73)+X66</f>
        <v>2793392</v>
      </c>
      <c r="Y74" s="13">
        <f>SUM(Y69:Y73)+Y66</f>
        <v>2583191</v>
      </c>
      <c r="Z74" s="13">
        <f>SUM(Z69:Z73)+Z66</f>
        <v>2543986</v>
      </c>
      <c r="AA74" s="13">
        <f>SUM(AA69:AA73)+AA66</f>
        <v>2533546</v>
      </c>
      <c r="AB74" s="13">
        <f>SUM(AB69:AB73)+AB66</f>
        <v>2597556</v>
      </c>
      <c r="AC74" s="13">
        <f>SUM(AC69:AC73)+AC66</f>
        <v>3951434</v>
      </c>
      <c r="AD74" s="13">
        <f>SUM(AD69:AD73)+AD66</f>
        <v>4218274</v>
      </c>
      <c r="AE74" s="13">
        <f>SUM(AE69:AE73)+AE66</f>
        <v>4569932</v>
      </c>
      <c r="AF74" s="13">
        <f>SUM(AF69:AF73)+AF66</f>
        <v>7613701</v>
      </c>
      <c r="AG74" s="13">
        <f>SUM(AG69:AG73)+AG66</f>
        <v>10394027</v>
      </c>
      <c r="AH74" s="13">
        <f>SUM(AH69:AH73)+AH66</f>
        <v>14402450</v>
      </c>
      <c r="AI74" s="13">
        <f>SUM(AI69:AI73)+AI66</f>
        <v>15501990</v>
      </c>
      <c r="AJ74" s="40"/>
      <c r="AK74" s="71">
        <f>SUM(AH74/AD74)-1</f>
        <v>2.4142993082004631</v>
      </c>
    </row>
    <row r="75" spans="2:37" ht="5.0999999999999996" customHeight="1">
      <c r="B75" s="23"/>
      <c r="C75" s="48"/>
      <c r="D75" s="48"/>
      <c r="E75" s="39"/>
      <c r="F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37"/>
    </row>
    <row r="76" spans="2:37" ht="12.75" customHeight="1">
      <c r="B76" s="9" t="s">
        <v>152</v>
      </c>
      <c r="C76" s="78">
        <v>0</v>
      </c>
      <c r="D76" s="78">
        <v>0</v>
      </c>
      <c r="E76" s="78">
        <v>0</v>
      </c>
      <c r="F76" s="78">
        <v>0</v>
      </c>
      <c r="H76" s="107">
        <v>0</v>
      </c>
      <c r="I76" s="107">
        <v>0</v>
      </c>
      <c r="J76" s="107">
        <v>0</v>
      </c>
      <c r="K76" s="84">
        <f t="shared" ref="K76:K82" si="274">D76</f>
        <v>0</v>
      </c>
      <c r="L76" s="107">
        <v>0</v>
      </c>
      <c r="M76" s="107">
        <v>0</v>
      </c>
      <c r="N76" s="107">
        <v>0</v>
      </c>
      <c r="O76" s="84">
        <f t="shared" ref="O76:O82" si="275">E76</f>
        <v>0</v>
      </c>
      <c r="P76" s="107">
        <v>0</v>
      </c>
      <c r="Q76" s="107">
        <v>0</v>
      </c>
      <c r="R76" s="107">
        <v>0</v>
      </c>
      <c r="S76" s="84">
        <f t="shared" ref="S76:S82" si="276">F76</f>
        <v>0</v>
      </c>
      <c r="T76" s="107">
        <f>593624+710873</f>
        <v>1304497</v>
      </c>
      <c r="U76" s="107">
        <f>1040394+874041+979486</f>
        <v>2893921</v>
      </c>
      <c r="V76" s="107">
        <v>5786330</v>
      </c>
      <c r="X76" s="84">
        <f t="shared" ref="X76:X81" si="277">K76</f>
        <v>0</v>
      </c>
      <c r="Y76" s="84">
        <f t="shared" ref="Y76:Y81" si="278">L76</f>
        <v>0</v>
      </c>
      <c r="Z76" s="84">
        <f t="shared" ref="Z76:Z81" si="279">M76</f>
        <v>0</v>
      </c>
      <c r="AA76" s="84">
        <f t="shared" ref="AA76:AA81" si="280">N76</f>
        <v>0</v>
      </c>
      <c r="AB76" s="84">
        <f t="shared" ref="AB76:AB81" si="281">O76</f>
        <v>0</v>
      </c>
      <c r="AC76" s="84">
        <f t="shared" ref="AC76:AC81" si="282">P76</f>
        <v>0</v>
      </c>
      <c r="AD76" s="84">
        <f t="shared" ref="AD76:AD81" si="283">Q76</f>
        <v>0</v>
      </c>
      <c r="AE76" s="84">
        <f t="shared" ref="AE76:AE81" si="284">R76</f>
        <v>0</v>
      </c>
      <c r="AF76" s="84">
        <f t="shared" ref="AF76:AF81" si="285">S76</f>
        <v>0</v>
      </c>
      <c r="AG76" s="84">
        <f t="shared" ref="AG76:AG81" si="286">T76</f>
        <v>1304497</v>
      </c>
      <c r="AH76" s="84">
        <f t="shared" ref="AH76:AH81" si="287">U76</f>
        <v>2893921</v>
      </c>
      <c r="AI76" s="84">
        <f t="shared" ref="AI76:AI81" si="288">V76</f>
        <v>5786330</v>
      </c>
      <c r="AJ76" s="11"/>
      <c r="AK76" s="70" t="e">
        <f t="shared" ref="AK76:AK82" si="289">SUM(AH76/AD76)-1</f>
        <v>#DIV/0!</v>
      </c>
    </row>
    <row r="77" spans="2:37" ht="12.75" customHeight="1">
      <c r="B77" s="9" t="s">
        <v>153</v>
      </c>
      <c r="C77" s="78">
        <v>18</v>
      </c>
      <c r="D77" s="78">
        <v>18</v>
      </c>
      <c r="E77" s="78">
        <v>24</v>
      </c>
      <c r="F77" s="78">
        <v>226</v>
      </c>
      <c r="H77" s="107">
        <v>18</v>
      </c>
      <c r="I77" s="107">
        <v>18</v>
      </c>
      <c r="J77" s="107">
        <v>18</v>
      </c>
      <c r="K77" s="84">
        <f t="shared" si="274"/>
        <v>18</v>
      </c>
      <c r="L77" s="107">
        <v>20</v>
      </c>
      <c r="M77" s="107">
        <v>21</v>
      </c>
      <c r="N77" s="107">
        <v>21</v>
      </c>
      <c r="O77" s="84">
        <f t="shared" si="275"/>
        <v>24</v>
      </c>
      <c r="P77" s="107">
        <v>24</v>
      </c>
      <c r="Q77" s="107">
        <v>26</v>
      </c>
      <c r="R77" s="107">
        <v>192</v>
      </c>
      <c r="S77" s="84">
        <f t="shared" si="276"/>
        <v>226</v>
      </c>
      <c r="T77" s="107">
        <v>247</v>
      </c>
      <c r="U77" s="107">
        <v>261</v>
      </c>
      <c r="V77" s="107">
        <v>267</v>
      </c>
      <c r="X77" s="84">
        <f t="shared" si="277"/>
        <v>18</v>
      </c>
      <c r="Y77" s="84">
        <f t="shared" si="278"/>
        <v>20</v>
      </c>
      <c r="Z77" s="84">
        <f t="shared" si="279"/>
        <v>21</v>
      </c>
      <c r="AA77" s="84">
        <f t="shared" si="280"/>
        <v>21</v>
      </c>
      <c r="AB77" s="84">
        <f t="shared" si="281"/>
        <v>24</v>
      </c>
      <c r="AC77" s="84">
        <f t="shared" si="282"/>
        <v>24</v>
      </c>
      <c r="AD77" s="84">
        <f t="shared" si="283"/>
        <v>26</v>
      </c>
      <c r="AE77" s="84">
        <f t="shared" si="284"/>
        <v>192</v>
      </c>
      <c r="AF77" s="84">
        <f t="shared" si="285"/>
        <v>226</v>
      </c>
      <c r="AG77" s="84">
        <f t="shared" si="286"/>
        <v>247</v>
      </c>
      <c r="AH77" s="84">
        <f t="shared" si="287"/>
        <v>261</v>
      </c>
      <c r="AI77" s="84">
        <f t="shared" si="288"/>
        <v>267</v>
      </c>
      <c r="AJ77" s="11"/>
      <c r="AK77" s="70">
        <f t="shared" si="289"/>
        <v>9.0384615384615383</v>
      </c>
    </row>
    <row r="78" spans="2:37" ht="12.75" customHeight="1">
      <c r="B78" s="9" t="s">
        <v>154</v>
      </c>
      <c r="C78" s="78">
        <v>2</v>
      </c>
      <c r="D78" s="78">
        <v>2</v>
      </c>
      <c r="E78" s="78">
        <v>2</v>
      </c>
      <c r="F78" s="78">
        <v>20</v>
      </c>
      <c r="H78" s="107">
        <v>2</v>
      </c>
      <c r="I78" s="107">
        <v>2</v>
      </c>
      <c r="J78" s="107">
        <v>2</v>
      </c>
      <c r="K78" s="84">
        <f t="shared" si="274"/>
        <v>2</v>
      </c>
      <c r="L78" s="107">
        <v>2</v>
      </c>
      <c r="M78" s="107">
        <v>2</v>
      </c>
      <c r="N78" s="107">
        <v>2</v>
      </c>
      <c r="O78" s="84">
        <f t="shared" si="275"/>
        <v>2</v>
      </c>
      <c r="P78" s="107">
        <v>2</v>
      </c>
      <c r="Q78" s="107">
        <v>2</v>
      </c>
      <c r="R78" s="107">
        <v>20</v>
      </c>
      <c r="S78" s="84">
        <f t="shared" si="276"/>
        <v>20</v>
      </c>
      <c r="T78" s="107">
        <v>20</v>
      </c>
      <c r="U78" s="107">
        <v>20</v>
      </c>
      <c r="V78" s="107">
        <v>20</v>
      </c>
      <c r="X78" s="84">
        <f t="shared" si="277"/>
        <v>2</v>
      </c>
      <c r="Y78" s="84">
        <f t="shared" si="278"/>
        <v>2</v>
      </c>
      <c r="Z78" s="84">
        <f t="shared" si="279"/>
        <v>2</v>
      </c>
      <c r="AA78" s="84">
        <f t="shared" si="280"/>
        <v>2</v>
      </c>
      <c r="AB78" s="84">
        <f t="shared" si="281"/>
        <v>2</v>
      </c>
      <c r="AC78" s="84">
        <f t="shared" si="282"/>
        <v>2</v>
      </c>
      <c r="AD78" s="84">
        <f t="shared" si="283"/>
        <v>2</v>
      </c>
      <c r="AE78" s="84">
        <f t="shared" si="284"/>
        <v>20</v>
      </c>
      <c r="AF78" s="84">
        <f t="shared" si="285"/>
        <v>20</v>
      </c>
      <c r="AG78" s="84">
        <f t="shared" si="286"/>
        <v>20</v>
      </c>
      <c r="AH78" s="84">
        <f t="shared" si="287"/>
        <v>20</v>
      </c>
      <c r="AI78" s="84">
        <f t="shared" si="288"/>
        <v>20</v>
      </c>
      <c r="AJ78" s="11"/>
      <c r="AK78" s="70">
        <f t="shared" si="289"/>
        <v>9</v>
      </c>
    </row>
    <row r="79" spans="2:37" ht="12.75" customHeight="1">
      <c r="B79" s="9" t="s">
        <v>91</v>
      </c>
      <c r="C79" s="78">
        <v>1727143</v>
      </c>
      <c r="D79" s="78">
        <v>1841120</v>
      </c>
      <c r="E79" s="78">
        <v>3957728</v>
      </c>
      <c r="F79" s="78">
        <v>20411998</v>
      </c>
      <c r="H79" s="107">
        <v>1743944</v>
      </c>
      <c r="I79" s="107">
        <v>1760288</v>
      </c>
      <c r="J79" s="107">
        <v>1778660</v>
      </c>
      <c r="K79" s="84">
        <f t="shared" si="274"/>
        <v>1841120</v>
      </c>
      <c r="L79" s="107">
        <v>2205518</v>
      </c>
      <c r="M79" s="107">
        <v>2559268</v>
      </c>
      <c r="N79" s="107">
        <v>2726191</v>
      </c>
      <c r="O79" s="84">
        <f t="shared" si="275"/>
        <v>3957728</v>
      </c>
      <c r="P79" s="107">
        <v>4247704</v>
      </c>
      <c r="Q79" s="107">
        <v>4785336</v>
      </c>
      <c r="R79" s="107">
        <v>6060206</v>
      </c>
      <c r="S79" s="84">
        <f t="shared" si="276"/>
        <v>20411998</v>
      </c>
      <c r="T79" s="107">
        <v>25881089</v>
      </c>
      <c r="U79" s="107">
        <v>31158044</v>
      </c>
      <c r="V79" s="107">
        <v>33390487</v>
      </c>
      <c r="X79" s="84">
        <f t="shared" si="277"/>
        <v>1841120</v>
      </c>
      <c r="Y79" s="84">
        <f t="shared" si="278"/>
        <v>2205518</v>
      </c>
      <c r="Z79" s="84">
        <f t="shared" si="279"/>
        <v>2559268</v>
      </c>
      <c r="AA79" s="84">
        <f t="shared" si="280"/>
        <v>2726191</v>
      </c>
      <c r="AB79" s="84">
        <f t="shared" si="281"/>
        <v>3957728</v>
      </c>
      <c r="AC79" s="84">
        <f t="shared" si="282"/>
        <v>4247704</v>
      </c>
      <c r="AD79" s="84">
        <f t="shared" si="283"/>
        <v>4785336</v>
      </c>
      <c r="AE79" s="84">
        <f t="shared" si="284"/>
        <v>6060206</v>
      </c>
      <c r="AF79" s="84">
        <f t="shared" si="285"/>
        <v>20411998</v>
      </c>
      <c r="AG79" s="84">
        <f t="shared" si="286"/>
        <v>25881089</v>
      </c>
      <c r="AH79" s="84">
        <f t="shared" si="287"/>
        <v>31158044</v>
      </c>
      <c r="AI79" s="84">
        <f t="shared" si="288"/>
        <v>33390487</v>
      </c>
      <c r="AJ79" s="11"/>
      <c r="AK79" s="70">
        <f t="shared" si="289"/>
        <v>5.5111507321533955</v>
      </c>
    </row>
    <row r="80" spans="2:37" ht="12.75" customHeight="1">
      <c r="B80" s="9" t="s">
        <v>157</v>
      </c>
      <c r="C80" s="78">
        <v>-782104</v>
      </c>
      <c r="D80" s="78">
        <v>-782104</v>
      </c>
      <c r="E80" s="78">
        <v>-782104</v>
      </c>
      <c r="F80" s="78">
        <v>0</v>
      </c>
      <c r="H80" s="107">
        <v>-782104</v>
      </c>
      <c r="I80" s="107">
        <v>-782104</v>
      </c>
      <c r="J80" s="107">
        <v>-782104</v>
      </c>
      <c r="K80" s="84">
        <f t="shared" si="274"/>
        <v>-782104</v>
      </c>
      <c r="L80" s="107">
        <v>-782104</v>
      </c>
      <c r="M80" s="107">
        <v>-782104</v>
      </c>
      <c r="N80" s="107">
        <v>-782104</v>
      </c>
      <c r="O80" s="84">
        <f t="shared" si="275"/>
        <v>-782104</v>
      </c>
      <c r="P80" s="107">
        <v>-782104</v>
      </c>
      <c r="Q80" s="107">
        <v>-782104</v>
      </c>
      <c r="R80" s="107">
        <v>-782104</v>
      </c>
      <c r="S80" s="84">
        <f t="shared" si="276"/>
        <v>0</v>
      </c>
      <c r="T80" s="107">
        <v>0</v>
      </c>
      <c r="U80" s="107">
        <v>0</v>
      </c>
      <c r="V80" s="107">
        <v>0</v>
      </c>
      <c r="X80" s="84">
        <f t="shared" si="277"/>
        <v>-782104</v>
      </c>
      <c r="Y80" s="84">
        <f t="shared" si="278"/>
        <v>-782104</v>
      </c>
      <c r="Z80" s="84">
        <f t="shared" si="279"/>
        <v>-782104</v>
      </c>
      <c r="AA80" s="84">
        <f t="shared" si="280"/>
        <v>-782104</v>
      </c>
      <c r="AB80" s="84">
        <f t="shared" si="281"/>
        <v>-782104</v>
      </c>
      <c r="AC80" s="84">
        <f t="shared" si="282"/>
        <v>-782104</v>
      </c>
      <c r="AD80" s="84">
        <f t="shared" si="283"/>
        <v>-782104</v>
      </c>
      <c r="AE80" s="84">
        <f t="shared" si="284"/>
        <v>-782104</v>
      </c>
      <c r="AF80" s="84">
        <f t="shared" si="285"/>
        <v>0</v>
      </c>
      <c r="AG80" s="84">
        <f t="shared" si="286"/>
        <v>0</v>
      </c>
      <c r="AH80" s="84">
        <f t="shared" si="287"/>
        <v>0</v>
      </c>
      <c r="AI80" s="84">
        <f t="shared" si="288"/>
        <v>0</v>
      </c>
      <c r="AJ80" s="11"/>
      <c r="AK80" s="70">
        <f t="shared" si="289"/>
        <v>-1</v>
      </c>
    </row>
    <row r="81" spans="1:37" ht="12.75" customHeight="1">
      <c r="B81" s="9" t="s">
        <v>155</v>
      </c>
      <c r="C81" s="78">
        <v>-7543</v>
      </c>
      <c r="D81" s="78">
        <v>-13801</v>
      </c>
      <c r="E81" s="78">
        <v>-11444</v>
      </c>
      <c r="F81" s="78">
        <v>-15384</v>
      </c>
      <c r="H81" s="107">
        <v>-9552</v>
      </c>
      <c r="I81" s="107">
        <v>-13665</v>
      </c>
      <c r="J81" s="107">
        <v>-18179</v>
      </c>
      <c r="K81" s="84">
        <f t="shared" si="274"/>
        <v>-13801</v>
      </c>
      <c r="L81" s="107">
        <v>-13063</v>
      </c>
      <c r="M81" s="107">
        <v>-13150</v>
      </c>
      <c r="N81" s="107">
        <v>-15355</v>
      </c>
      <c r="O81" s="84">
        <f t="shared" si="275"/>
        <v>-11444</v>
      </c>
      <c r="P81" s="107">
        <v>-13169</v>
      </c>
      <c r="Q81" s="107">
        <v>-13550</v>
      </c>
      <c r="R81" s="107">
        <v>-9580</v>
      </c>
      <c r="S81" s="84">
        <f t="shared" si="276"/>
        <v>-15384</v>
      </c>
      <c r="T81" s="107">
        <v>-11967</v>
      </c>
      <c r="U81" s="107">
        <v>-5020</v>
      </c>
      <c r="V81" s="107">
        <v>-5113</v>
      </c>
      <c r="X81" s="84">
        <f t="shared" si="277"/>
        <v>-13801</v>
      </c>
      <c r="Y81" s="84">
        <f t="shared" si="278"/>
        <v>-13063</v>
      </c>
      <c r="Z81" s="84">
        <f t="shared" si="279"/>
        <v>-13150</v>
      </c>
      <c r="AA81" s="84">
        <f t="shared" si="280"/>
        <v>-15355</v>
      </c>
      <c r="AB81" s="84">
        <f t="shared" si="281"/>
        <v>-11444</v>
      </c>
      <c r="AC81" s="84">
        <f t="shared" si="282"/>
        <v>-13169</v>
      </c>
      <c r="AD81" s="84">
        <f t="shared" si="283"/>
        <v>-13550</v>
      </c>
      <c r="AE81" s="84">
        <f t="shared" si="284"/>
        <v>-9580</v>
      </c>
      <c r="AF81" s="84">
        <f t="shared" si="285"/>
        <v>-15384</v>
      </c>
      <c r="AG81" s="84">
        <f t="shared" si="286"/>
        <v>-11967</v>
      </c>
      <c r="AH81" s="84">
        <f t="shared" si="287"/>
        <v>-5020</v>
      </c>
      <c r="AI81" s="84">
        <f t="shared" si="288"/>
        <v>-5113</v>
      </c>
      <c r="AJ81" s="11"/>
      <c r="AK81" s="70">
        <f t="shared" si="289"/>
        <v>-0.62952029520295205</v>
      </c>
    </row>
    <row r="82" spans="1:37" ht="12.75" customHeight="1">
      <c r="B82" s="9" t="s">
        <v>156</v>
      </c>
      <c r="C82" s="78">
        <v>41442</v>
      </c>
      <c r="D82" s="78">
        <v>-1428355</v>
      </c>
      <c r="E82" s="78">
        <v>-999234</v>
      </c>
      <c r="F82" s="78">
        <v>-2166876</v>
      </c>
      <c r="H82" s="107">
        <v>-89309</v>
      </c>
      <c r="I82" s="107">
        <v>-1151607</v>
      </c>
      <c r="J82" s="107">
        <v>-1178686</v>
      </c>
      <c r="K82" s="84">
        <f t="shared" si="274"/>
        <v>-1428355</v>
      </c>
      <c r="L82" s="107">
        <v>-967162</v>
      </c>
      <c r="M82" s="107">
        <v>-944919</v>
      </c>
      <c r="N82" s="107">
        <v>-1088360</v>
      </c>
      <c r="O82" s="84">
        <f t="shared" si="275"/>
        <v>-999234</v>
      </c>
      <c r="P82" s="107">
        <v>-1052352</v>
      </c>
      <c r="Q82" s="107">
        <v>-1154911</v>
      </c>
      <c r="R82" s="107">
        <v>-1495085</v>
      </c>
      <c r="S82" s="84">
        <f t="shared" si="276"/>
        <v>-2166876</v>
      </c>
      <c r="T82" s="107">
        <v>6351847</v>
      </c>
      <c r="U82" s="107">
        <v>16323739</v>
      </c>
      <c r="V82" s="107">
        <v>18945057</v>
      </c>
      <c r="X82" s="84">
        <f t="shared" ref="X82" si="290">K82</f>
        <v>-1428355</v>
      </c>
      <c r="Y82" s="84">
        <f t="shared" ref="Y82" si="291">L82</f>
        <v>-967162</v>
      </c>
      <c r="Z82" s="84">
        <f t="shared" ref="Z82" si="292">M82</f>
        <v>-944919</v>
      </c>
      <c r="AA82" s="84">
        <f t="shared" ref="AA82" si="293">N82</f>
        <v>-1088360</v>
      </c>
      <c r="AB82" s="84">
        <f t="shared" ref="AB82" si="294">O82</f>
        <v>-999234</v>
      </c>
      <c r="AC82" s="84">
        <f t="shared" ref="AC82" si="295">P82</f>
        <v>-1052352</v>
      </c>
      <c r="AD82" s="84">
        <f t="shared" ref="AD82" si="296">Q82</f>
        <v>-1154911</v>
      </c>
      <c r="AE82" s="84">
        <f t="shared" ref="AE82" si="297">R82</f>
        <v>-1495085</v>
      </c>
      <c r="AF82" s="84">
        <f t="shared" ref="AF82" si="298">S82</f>
        <v>-2166876</v>
      </c>
      <c r="AG82" s="84">
        <f t="shared" ref="AG82" si="299">T82</f>
        <v>6351847</v>
      </c>
      <c r="AH82" s="84">
        <f t="shared" ref="AH82:AI82" si="300">U82</f>
        <v>16323739</v>
      </c>
      <c r="AI82" s="84">
        <f t="shared" si="300"/>
        <v>18945057</v>
      </c>
      <c r="AJ82" s="11"/>
      <c r="AK82" s="70">
        <f t="shared" si="289"/>
        <v>-15.134196487867897</v>
      </c>
    </row>
    <row r="83" spans="1:37" ht="12.75" customHeight="1">
      <c r="B83" s="12" t="s">
        <v>14</v>
      </c>
      <c r="C83" s="13">
        <f>SUM(C76:C82)</f>
        <v>978958</v>
      </c>
      <c r="D83" s="13">
        <f>SUM(D76:D82)</f>
        <v>-383120</v>
      </c>
      <c r="E83" s="13">
        <f>SUM(E76:E82)</f>
        <v>2164972</v>
      </c>
      <c r="F83" s="13">
        <f>SUM(F76:F82)</f>
        <v>18229984</v>
      </c>
      <c r="G83" s="50"/>
      <c r="H83" s="13">
        <f>SUM(H76:H82)</f>
        <v>862999</v>
      </c>
      <c r="I83" s="13">
        <f>SUM(I76:I82)</f>
        <v>-187068</v>
      </c>
      <c r="J83" s="13">
        <f>SUM(J76:J82)</f>
        <v>-200289</v>
      </c>
      <c r="K83" s="13">
        <f>SUM(K76:K82)</f>
        <v>-383120</v>
      </c>
      <c r="L83" s="13">
        <f>SUM(L76:L82)</f>
        <v>443211</v>
      </c>
      <c r="M83" s="13">
        <f>SUM(M76:M82)</f>
        <v>819118</v>
      </c>
      <c r="N83" s="13">
        <f>SUM(N76:N82)</f>
        <v>840395</v>
      </c>
      <c r="O83" s="13">
        <f>SUM(O76:O82)</f>
        <v>2164972</v>
      </c>
      <c r="P83" s="13">
        <f>SUM(P76:P82)</f>
        <v>2400105</v>
      </c>
      <c r="Q83" s="13">
        <f>SUM(Q76:Q82)</f>
        <v>2834799</v>
      </c>
      <c r="R83" s="13">
        <f>SUM(R76:R82)</f>
        <v>3773649</v>
      </c>
      <c r="S83" s="13">
        <f>SUM(S76:S82)</f>
        <v>18229984</v>
      </c>
      <c r="T83" s="13">
        <f>SUM(T76:T82)</f>
        <v>33525733</v>
      </c>
      <c r="U83" s="13">
        <f>SUM(U76:U82)</f>
        <v>50370965</v>
      </c>
      <c r="V83" s="13">
        <f>SUM(V76:V82)</f>
        <v>58117048</v>
      </c>
      <c r="X83" s="13">
        <f>SUM(X76:X82)</f>
        <v>-383120</v>
      </c>
      <c r="Y83" s="13">
        <f>SUM(Y76:Y82)</f>
        <v>443211</v>
      </c>
      <c r="Z83" s="13">
        <f>SUM(Z76:Z82)</f>
        <v>819118</v>
      </c>
      <c r="AA83" s="13">
        <f>SUM(AA76:AA82)</f>
        <v>840395</v>
      </c>
      <c r="AB83" s="13">
        <f>SUM(AB76:AB82)</f>
        <v>2164972</v>
      </c>
      <c r="AC83" s="13">
        <f>SUM(AC76:AC82)</f>
        <v>2400105</v>
      </c>
      <c r="AD83" s="13">
        <f>SUM(AD76:AD82)</f>
        <v>2834799</v>
      </c>
      <c r="AE83" s="13">
        <f>SUM(AE76:AE82)</f>
        <v>3773649</v>
      </c>
      <c r="AF83" s="13">
        <f>SUM(AF76:AF82)</f>
        <v>18229984</v>
      </c>
      <c r="AG83" s="13">
        <f>SUM(AG76:AG82)</f>
        <v>33525733</v>
      </c>
      <c r="AH83" s="13">
        <f>SUM(AH76:AH82)</f>
        <v>50370965</v>
      </c>
      <c r="AI83" s="13">
        <f>SUM(AI76:AI82)</f>
        <v>58117048</v>
      </c>
      <c r="AJ83" s="40"/>
      <c r="AK83" s="71">
        <f>SUM(AH83/AD83)-1</f>
        <v>16.768795953434442</v>
      </c>
    </row>
    <row r="84" spans="1:37" ht="12.75" customHeight="1">
      <c r="B84" s="23" t="s">
        <v>53</v>
      </c>
      <c r="C84" s="30">
        <f>SUM(C83+C74)</f>
        <v>3557124</v>
      </c>
      <c r="D84" s="30">
        <f>SUM(D83+D74)</f>
        <v>2410272</v>
      </c>
      <c r="E84" s="30">
        <f>SUM(E83+E74)</f>
        <v>4762528</v>
      </c>
      <c r="F84" s="30">
        <f>SUM(F83+F74)</f>
        <v>25843685</v>
      </c>
      <c r="G84" s="30"/>
      <c r="H84" s="30">
        <f>SUM(H83+H74)</f>
        <v>3638387</v>
      </c>
      <c r="I84" s="30">
        <f>SUM(I83+I74)</f>
        <v>2568365</v>
      </c>
      <c r="J84" s="30">
        <f>SUM(J83+J74)</f>
        <v>2545286</v>
      </c>
      <c r="K84" s="30">
        <f>SUM(K83+K74)</f>
        <v>2410272</v>
      </c>
      <c r="L84" s="30">
        <f>SUM(L83+L74)</f>
        <v>3026402</v>
      </c>
      <c r="M84" s="30">
        <f>SUM(M83+M74)</f>
        <v>3363104</v>
      </c>
      <c r="N84" s="30">
        <f>SUM(N83+N74)</f>
        <v>3373941</v>
      </c>
      <c r="O84" s="30">
        <f>SUM(O83+O74)</f>
        <v>4762528</v>
      </c>
      <c r="P84" s="30">
        <f>SUM(P83+P74)</f>
        <v>6351539</v>
      </c>
      <c r="Q84" s="30">
        <f>SUM(Q83+Q74)</f>
        <v>7053073</v>
      </c>
      <c r="R84" s="30">
        <f>SUM(R83+R74)</f>
        <v>8343581</v>
      </c>
      <c r="S84" s="30">
        <f>SUM(S83+S74)</f>
        <v>25843685</v>
      </c>
      <c r="T84" s="30">
        <f>SUM(T83+T74)</f>
        <v>43919760</v>
      </c>
      <c r="U84" s="30">
        <f>SUM(U83+U74)</f>
        <v>64773415</v>
      </c>
      <c r="V84" s="30">
        <f>SUM(V83+V74)</f>
        <v>73619038</v>
      </c>
      <c r="W84" s="30"/>
      <c r="X84" s="30">
        <f>SUM(X83+X74)</f>
        <v>2410272</v>
      </c>
      <c r="Y84" s="30">
        <f>SUM(Y83+Y74)</f>
        <v>3026402</v>
      </c>
      <c r="Z84" s="30">
        <f>SUM(Z83+Z74)</f>
        <v>3363104</v>
      </c>
      <c r="AA84" s="30">
        <f>SUM(AA83+AA74)</f>
        <v>3373941</v>
      </c>
      <c r="AB84" s="30">
        <f>SUM(AB83+AB74)</f>
        <v>4762528</v>
      </c>
      <c r="AC84" s="30">
        <f>SUM(AC83+AC74)</f>
        <v>6351539</v>
      </c>
      <c r="AD84" s="30">
        <f>SUM(AD83+AD74)</f>
        <v>7053073</v>
      </c>
      <c r="AE84" s="30">
        <f>SUM(AE83+AE74)</f>
        <v>8343581</v>
      </c>
      <c r="AF84" s="30">
        <f>SUM(AF83+AF74)</f>
        <v>25843685</v>
      </c>
      <c r="AG84" s="30">
        <f>SUM(AG83+AG74)</f>
        <v>43919760</v>
      </c>
      <c r="AH84" s="30">
        <f>SUM(AH83+AH74)</f>
        <v>64773415</v>
      </c>
      <c r="AI84" s="30">
        <f>SUM(AI83+AI74)</f>
        <v>73619038</v>
      </c>
      <c r="AJ84" s="11"/>
      <c r="AK84" s="71">
        <f>SUM(AH84/AD84)-1</f>
        <v>8.1837153819335207</v>
      </c>
    </row>
    <row r="85" spans="1:37" ht="5.0999999999999996" customHeight="1">
      <c r="B85" s="23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11"/>
    </row>
    <row r="86" spans="1:37" ht="12.75" customHeight="1">
      <c r="B86" s="64" t="s">
        <v>64</v>
      </c>
      <c r="C86" s="65">
        <f>C84-C58</f>
        <v>0</v>
      </c>
      <c r="D86" s="65">
        <f>D84-D58</f>
        <v>0</v>
      </c>
      <c r="E86" s="65">
        <f>E84-E58</f>
        <v>0</v>
      </c>
      <c r="F86" s="65">
        <f>F84-F58</f>
        <v>0</v>
      </c>
      <c r="G86" s="66"/>
      <c r="H86" s="65">
        <f>H84-H58</f>
        <v>0</v>
      </c>
      <c r="I86" s="65">
        <f>I84-I58</f>
        <v>0</v>
      </c>
      <c r="J86" s="65">
        <f>J84-J58</f>
        <v>0</v>
      </c>
      <c r="K86" s="65">
        <f>K84-K58</f>
        <v>0</v>
      </c>
      <c r="L86" s="65">
        <f>L84-L58</f>
        <v>0</v>
      </c>
      <c r="M86" s="65">
        <f>M84-M58</f>
        <v>0</v>
      </c>
      <c r="N86" s="65">
        <f>N84-N58</f>
        <v>0</v>
      </c>
      <c r="O86" s="65">
        <f>O84-O58</f>
        <v>0</v>
      </c>
      <c r="P86" s="65">
        <f>P84-P58</f>
        <v>0</v>
      </c>
      <c r="Q86" s="65">
        <f>Q84-Q58</f>
        <v>0</v>
      </c>
      <c r="R86" s="65">
        <f>R84-R58</f>
        <v>0</v>
      </c>
      <c r="S86" s="65">
        <f>S84-S58</f>
        <v>0</v>
      </c>
      <c r="T86" s="65">
        <f>T84-T58</f>
        <v>0</v>
      </c>
      <c r="U86" s="65">
        <f>U84-U58</f>
        <v>0</v>
      </c>
      <c r="V86" s="65">
        <f>V84-V58</f>
        <v>0</v>
      </c>
      <c r="W86" s="26"/>
      <c r="X86" s="65">
        <f>X84-X58</f>
        <v>0</v>
      </c>
      <c r="Y86" s="65">
        <f>Y84-Y58</f>
        <v>0</v>
      </c>
      <c r="Z86" s="65">
        <f>Z84-Z58</f>
        <v>0</v>
      </c>
      <c r="AA86" s="65">
        <f>AA84-AA58</f>
        <v>0</v>
      </c>
      <c r="AB86" s="65">
        <f>AB84-AB58</f>
        <v>0</v>
      </c>
      <c r="AC86" s="65">
        <f>AC84-AC58</f>
        <v>0</v>
      </c>
      <c r="AD86" s="65">
        <f>AD84-AD58</f>
        <v>0</v>
      </c>
      <c r="AE86" s="65">
        <f>AE84-AE58</f>
        <v>0</v>
      </c>
      <c r="AF86" s="65">
        <f>AF84-AF58</f>
        <v>0</v>
      </c>
      <c r="AG86" s="65">
        <f>AG84-AG58</f>
        <v>0</v>
      </c>
      <c r="AH86" s="65">
        <f>AH84-AH58</f>
        <v>0</v>
      </c>
      <c r="AI86" s="65">
        <f>AI84-AI58</f>
        <v>0</v>
      </c>
    </row>
    <row r="87" spans="1:37" ht="5.0999999999999996" customHeight="1" thickBot="1">
      <c r="B87" s="102"/>
      <c r="C87" s="103"/>
      <c r="D87" s="103"/>
      <c r="E87" s="103"/>
      <c r="F87" s="103"/>
      <c r="G87" s="104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5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68"/>
      <c r="AK87" s="68"/>
    </row>
    <row r="88" spans="1:37">
      <c r="B88" s="63"/>
      <c r="C88" s="22"/>
      <c r="D88" s="22"/>
      <c r="E88" s="22"/>
      <c r="F88" s="22"/>
      <c r="G88" s="51"/>
    </row>
    <row r="89" spans="1:37" ht="12.75" customHeight="1">
      <c r="A89" s="5" t="s">
        <v>16</v>
      </c>
      <c r="B89" s="85" t="s">
        <v>13</v>
      </c>
      <c r="C89" s="89"/>
      <c r="D89" s="89" t="s">
        <v>0</v>
      </c>
      <c r="E89" s="89"/>
      <c r="F89" s="89"/>
      <c r="G89" s="90"/>
      <c r="H89" s="89" t="s">
        <v>1</v>
      </c>
      <c r="I89" s="89"/>
      <c r="J89" s="89"/>
      <c r="K89" s="89"/>
      <c r="L89" s="89"/>
      <c r="M89" s="89"/>
      <c r="N89" s="89"/>
      <c r="O89" s="89"/>
      <c r="P89" s="89"/>
      <c r="Q89" s="89"/>
      <c r="R89" s="89" t="s">
        <v>1</v>
      </c>
      <c r="S89" s="89"/>
      <c r="T89" s="89"/>
      <c r="U89" s="89"/>
      <c r="V89" s="89"/>
      <c r="W89" s="85"/>
      <c r="X89" s="89"/>
      <c r="Y89" s="89"/>
      <c r="Z89" s="89"/>
      <c r="AA89" s="89"/>
      <c r="AB89" s="89"/>
      <c r="AC89" s="89"/>
      <c r="AD89" s="89" t="s">
        <v>10</v>
      </c>
      <c r="AE89" s="89"/>
      <c r="AF89" s="89"/>
      <c r="AG89" s="89"/>
      <c r="AH89" s="89"/>
      <c r="AI89" s="89"/>
      <c r="AJ89" s="90"/>
      <c r="AK89" s="154" t="s">
        <v>22</v>
      </c>
    </row>
    <row r="90" spans="1:37" ht="12.75" customHeight="1">
      <c r="B90" s="86" t="str">
        <f>B7</f>
        <v>Fiscal Period</v>
      </c>
      <c r="C90" s="91">
        <f>C7</f>
        <v>2021</v>
      </c>
      <c r="D90" s="91">
        <f>D7</f>
        <v>2022</v>
      </c>
      <c r="E90" s="91">
        <f>E7</f>
        <v>2023</v>
      </c>
      <c r="F90" s="91">
        <f>F7</f>
        <v>2024</v>
      </c>
      <c r="G90" s="90"/>
      <c r="H90" s="91" t="str">
        <f>H7</f>
        <v>1Q22</v>
      </c>
      <c r="I90" s="91" t="str">
        <f>I7</f>
        <v>2Q22</v>
      </c>
      <c r="J90" s="91" t="str">
        <f>J7</f>
        <v>3Q22</v>
      </c>
      <c r="K90" s="91" t="str">
        <f>K7</f>
        <v>4Q22</v>
      </c>
      <c r="L90" s="91" t="str">
        <f>L7</f>
        <v>1Q23</v>
      </c>
      <c r="M90" s="91" t="str">
        <f>M7</f>
        <v>2Q23</v>
      </c>
      <c r="N90" s="91" t="str">
        <f>N7</f>
        <v>3Q23</v>
      </c>
      <c r="O90" s="91" t="str">
        <f>O7</f>
        <v>4Q23</v>
      </c>
      <c r="P90" s="91" t="str">
        <f>P7</f>
        <v>1Q24</v>
      </c>
      <c r="Q90" s="91" t="str">
        <f>Q7</f>
        <v>2Q24</v>
      </c>
      <c r="R90" s="91" t="str">
        <f>R7</f>
        <v>3Q24</v>
      </c>
      <c r="S90" s="91" t="str">
        <f>S7</f>
        <v>4Q24</v>
      </c>
      <c r="T90" s="91" t="str">
        <f>T7</f>
        <v>1Q25</v>
      </c>
      <c r="U90" s="91" t="str">
        <f>U7</f>
        <v>2Q25</v>
      </c>
      <c r="V90" s="91" t="str">
        <f>V7</f>
        <v>3Q25</v>
      </c>
      <c r="W90" s="91"/>
      <c r="X90" s="91" t="str">
        <f>X7</f>
        <v>4Q22</v>
      </c>
      <c r="Y90" s="91" t="str">
        <f>Y7</f>
        <v>1Q23</v>
      </c>
      <c r="Z90" s="91" t="str">
        <f>Z7</f>
        <v>2Q23</v>
      </c>
      <c r="AA90" s="91" t="str">
        <f>AA7</f>
        <v>3Q23</v>
      </c>
      <c r="AB90" s="91" t="str">
        <f>AB7</f>
        <v>4Q23</v>
      </c>
      <c r="AC90" s="91" t="str">
        <f>AC7</f>
        <v>1Q24</v>
      </c>
      <c r="AD90" s="91" t="str">
        <f>AD7</f>
        <v>2Q24</v>
      </c>
      <c r="AE90" s="91" t="str">
        <f>AE7</f>
        <v>3Q24</v>
      </c>
      <c r="AF90" s="91" t="str">
        <f>AF7</f>
        <v>4Q24</v>
      </c>
      <c r="AG90" s="91" t="str">
        <f>AG7</f>
        <v>1Q25</v>
      </c>
      <c r="AH90" s="91" t="str">
        <f>AH7</f>
        <v>2Q25</v>
      </c>
      <c r="AI90" s="91" t="str">
        <f>AI7</f>
        <v>3Q25</v>
      </c>
      <c r="AJ90" s="90"/>
      <c r="AK90" s="154"/>
    </row>
    <row r="91" spans="1:37" ht="12.75" customHeight="1">
      <c r="B91" s="86" t="str">
        <f>B8</f>
        <v>Fiscal Period End Date</v>
      </c>
      <c r="C91" s="92">
        <f>C8</f>
        <v>44561</v>
      </c>
      <c r="D91" s="92">
        <f>D8</f>
        <v>44926</v>
      </c>
      <c r="E91" s="92">
        <f>E8</f>
        <v>45291</v>
      </c>
      <c r="F91" s="92">
        <f>F8</f>
        <v>45657</v>
      </c>
      <c r="G91" s="90"/>
      <c r="H91" s="92">
        <f>H8</f>
        <v>44651</v>
      </c>
      <c r="I91" s="92">
        <f>I8</f>
        <v>44742</v>
      </c>
      <c r="J91" s="92">
        <f>J8</f>
        <v>44834</v>
      </c>
      <c r="K91" s="92">
        <f>K8</f>
        <v>44926</v>
      </c>
      <c r="L91" s="92">
        <f>L8</f>
        <v>45016</v>
      </c>
      <c r="M91" s="92">
        <f>M8</f>
        <v>45107</v>
      </c>
      <c r="N91" s="92">
        <f>N8</f>
        <v>45199</v>
      </c>
      <c r="O91" s="92">
        <f>O8</f>
        <v>45291</v>
      </c>
      <c r="P91" s="92">
        <f>P8</f>
        <v>45382</v>
      </c>
      <c r="Q91" s="92">
        <f>Q8</f>
        <v>45473</v>
      </c>
      <c r="R91" s="92">
        <f>R8</f>
        <v>45565</v>
      </c>
      <c r="S91" s="92">
        <f>S8</f>
        <v>45657</v>
      </c>
      <c r="T91" s="92">
        <f>T8</f>
        <v>45747</v>
      </c>
      <c r="U91" s="92">
        <f>U8</f>
        <v>45838</v>
      </c>
      <c r="V91" s="92">
        <f>V8</f>
        <v>45930</v>
      </c>
      <c r="W91" s="92"/>
      <c r="X91" s="92">
        <f>X8</f>
        <v>44926</v>
      </c>
      <c r="Y91" s="92">
        <f>Y8</f>
        <v>45016</v>
      </c>
      <c r="Z91" s="92">
        <f>Z8</f>
        <v>45107</v>
      </c>
      <c r="AA91" s="92">
        <f>AA8</f>
        <v>45199</v>
      </c>
      <c r="AB91" s="92">
        <f>AB8</f>
        <v>45291</v>
      </c>
      <c r="AC91" s="92">
        <f>AC8</f>
        <v>45382</v>
      </c>
      <c r="AD91" s="92">
        <f>AD8</f>
        <v>45473</v>
      </c>
      <c r="AE91" s="92">
        <f>AE8</f>
        <v>45565</v>
      </c>
      <c r="AF91" s="92">
        <f>AF8</f>
        <v>45657</v>
      </c>
      <c r="AG91" s="92">
        <f>AG8</f>
        <v>45747</v>
      </c>
      <c r="AH91" s="92">
        <f>AH8</f>
        <v>45838</v>
      </c>
      <c r="AI91" s="92">
        <f>AI8</f>
        <v>45930</v>
      </c>
      <c r="AJ91" s="90"/>
      <c r="AK91" s="154"/>
    </row>
    <row r="92" spans="1:37" ht="5.0999999999999996" customHeight="1">
      <c r="B92" s="52"/>
      <c r="C92" s="46"/>
      <c r="D92" s="46"/>
      <c r="E92" s="46"/>
      <c r="F92" s="46"/>
    </row>
    <row r="93" spans="1:37" ht="12.75" customHeight="1">
      <c r="B93" s="53" t="s">
        <v>54</v>
      </c>
      <c r="C93" s="54"/>
      <c r="D93" s="54"/>
      <c r="E93" s="54"/>
      <c r="F93" s="54"/>
    </row>
    <row r="94" spans="1:37" ht="12.75" customHeight="1">
      <c r="B94" s="55" t="s">
        <v>55</v>
      </c>
      <c r="C94" s="30">
        <f t="shared" ref="C94:F94" si="301">C32</f>
        <v>-535480</v>
      </c>
      <c r="D94" s="30">
        <f t="shared" si="301"/>
        <v>-1469797</v>
      </c>
      <c r="E94" s="30">
        <f t="shared" si="301"/>
        <v>429121</v>
      </c>
      <c r="F94" s="30">
        <f t="shared" si="301"/>
        <v>-1166661</v>
      </c>
      <c r="G94" s="30"/>
      <c r="H94" s="30">
        <f t="shared" ref="H94:V94" si="302">H32</f>
        <v>-130751</v>
      </c>
      <c r="I94" s="30">
        <f t="shared" si="302"/>
        <v>-1062298</v>
      </c>
      <c r="J94" s="30">
        <f t="shared" si="302"/>
        <v>-27079</v>
      </c>
      <c r="K94" s="30">
        <f t="shared" si="302"/>
        <v>-249669</v>
      </c>
      <c r="L94" s="30">
        <f t="shared" si="302"/>
        <v>461193</v>
      </c>
      <c r="M94" s="30">
        <f t="shared" si="302"/>
        <v>22243</v>
      </c>
      <c r="N94" s="30">
        <f t="shared" si="302"/>
        <v>-143441</v>
      </c>
      <c r="O94" s="30">
        <f t="shared" si="302"/>
        <v>89126</v>
      </c>
      <c r="P94" s="30">
        <f t="shared" si="302"/>
        <v>-53118</v>
      </c>
      <c r="Q94" s="30">
        <f t="shared" si="302"/>
        <v>-102559</v>
      </c>
      <c r="R94" s="30">
        <f t="shared" si="302"/>
        <v>-340174</v>
      </c>
      <c r="S94" s="30">
        <f t="shared" si="302"/>
        <v>-670810</v>
      </c>
      <c r="T94" s="30">
        <f t="shared" si="302"/>
        <v>-4217370</v>
      </c>
      <c r="U94" s="30">
        <f t="shared" si="302"/>
        <v>10020846</v>
      </c>
      <c r="V94" s="30">
        <f t="shared" si="302"/>
        <v>2785024</v>
      </c>
      <c r="X94" s="30">
        <f t="shared" ref="X94:AC94" si="303">SUM(I94:L94)</f>
        <v>-877853</v>
      </c>
      <c r="Y94" s="30">
        <f t="shared" si="303"/>
        <v>206688</v>
      </c>
      <c r="Z94" s="30">
        <f t="shared" si="303"/>
        <v>90326</v>
      </c>
      <c r="AA94" s="30">
        <f t="shared" si="303"/>
        <v>429121</v>
      </c>
      <c r="AB94" s="30">
        <f t="shared" si="303"/>
        <v>-85190</v>
      </c>
      <c r="AC94" s="30">
        <f t="shared" si="303"/>
        <v>-209992</v>
      </c>
      <c r="AD94" s="30">
        <f t="shared" ref="AD94" si="304">SUM(N94:Q94)</f>
        <v>-209992</v>
      </c>
      <c r="AE94" s="30">
        <f t="shared" ref="AE94" si="305">SUM(O94:R94)</f>
        <v>-406725</v>
      </c>
      <c r="AF94" s="30">
        <f t="shared" ref="AF94" si="306">SUM(P94:S94)</f>
        <v>-1166661</v>
      </c>
      <c r="AG94" s="30">
        <f t="shared" ref="AG94" si="307">SUM(Q94:T94)</f>
        <v>-5330913</v>
      </c>
      <c r="AH94" s="30">
        <f>SUM(R94:U94)</f>
        <v>4792492</v>
      </c>
      <c r="AI94" s="30">
        <f>SUM(S94:V94)</f>
        <v>7917690</v>
      </c>
      <c r="AJ94" s="11"/>
      <c r="AK94" s="70">
        <f>SUM(AH94/AD94)-1</f>
        <v>-23.822259895615073</v>
      </c>
    </row>
    <row r="95" spans="1:37" ht="5.0999999999999996" customHeight="1"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11"/>
      <c r="AK95" s="70"/>
    </row>
    <row r="96" spans="1:37" ht="12.75" customHeight="1">
      <c r="B96" s="34" t="s">
        <v>63</v>
      </c>
      <c r="C96" s="30"/>
      <c r="D96" s="30"/>
      <c r="E96" s="30"/>
      <c r="F96" s="30"/>
      <c r="G96" s="30"/>
      <c r="H96" s="30"/>
      <c r="I96" s="30"/>
      <c r="J96" s="30"/>
      <c r="K96" s="30"/>
      <c r="L96" s="78"/>
      <c r="M96" s="78"/>
      <c r="N96" s="78"/>
      <c r="O96" s="30"/>
      <c r="P96" s="78"/>
      <c r="Q96" s="78"/>
      <c r="R96" s="78"/>
      <c r="S96" s="30"/>
      <c r="T96" s="78"/>
      <c r="U96" s="78"/>
      <c r="V96" s="78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57"/>
      <c r="AK96" s="70"/>
    </row>
    <row r="97" spans="2:37" ht="12.75" customHeight="1">
      <c r="B97" s="58" t="s">
        <v>56</v>
      </c>
      <c r="C97" s="78">
        <v>11358</v>
      </c>
      <c r="D97" s="78">
        <v>10874</v>
      </c>
      <c r="E97" s="78">
        <v>14527</v>
      </c>
      <c r="F97" s="78">
        <v>17808</v>
      </c>
      <c r="G97" s="30"/>
      <c r="H97" s="123">
        <v>2691</v>
      </c>
      <c r="I97" s="123">
        <f>4767-H97</f>
        <v>2076</v>
      </c>
      <c r="J97" s="123">
        <f>6917-I97-H97</f>
        <v>2150</v>
      </c>
      <c r="K97" s="124">
        <f t="shared" ref="K97:K102" si="308">SUM(D97-SUM(H97:J97))</f>
        <v>3957</v>
      </c>
      <c r="L97" s="123">
        <v>3431</v>
      </c>
      <c r="M97" s="123">
        <f>6661-L97</f>
        <v>3230</v>
      </c>
      <c r="N97" s="123">
        <f>9405-M97-L97</f>
        <v>2744</v>
      </c>
      <c r="O97" s="124">
        <f t="shared" ref="O97:O102" si="309">SUM(E97-SUM(L97:N97))</f>
        <v>5122</v>
      </c>
      <c r="P97" s="123">
        <v>3050</v>
      </c>
      <c r="Q97" s="123">
        <f>6701-P97</f>
        <v>3651</v>
      </c>
      <c r="R97" s="123">
        <f>12679-Q97-P97</f>
        <v>5978</v>
      </c>
      <c r="S97" s="124">
        <f t="shared" ref="S97:S102" si="310">SUM(F97-SUM(P97:R97))</f>
        <v>5129</v>
      </c>
      <c r="T97" s="123">
        <v>6575</v>
      </c>
      <c r="U97" s="123">
        <f>15693-T97</f>
        <v>9118</v>
      </c>
      <c r="V97" s="123">
        <f>19888-U97-T97</f>
        <v>4195</v>
      </c>
      <c r="X97" s="30">
        <f t="shared" ref="X97:X102" si="311">SUM(H97:K97)</f>
        <v>10874</v>
      </c>
      <c r="Y97" s="30">
        <f t="shared" ref="Y97:Y102" si="312">SUM(I97:L97)</f>
        <v>11614</v>
      </c>
      <c r="Z97" s="30">
        <f t="shared" ref="Z97:Z102" si="313">SUM(J97:M97)</f>
        <v>12768</v>
      </c>
      <c r="AA97" s="30">
        <f t="shared" ref="AA97:AA102" si="314">SUM(K97:N97)</f>
        <v>13362</v>
      </c>
      <c r="AB97" s="30">
        <f t="shared" ref="AB97:AB102" si="315">SUM(L97:O97)</f>
        <v>14527</v>
      </c>
      <c r="AC97" s="30">
        <f t="shared" ref="AC97:AC102" si="316">SUM(M97:P97)</f>
        <v>14146</v>
      </c>
      <c r="AD97" s="30">
        <f t="shared" ref="AD97:AD102" si="317">SUM(N97:Q97)</f>
        <v>14567</v>
      </c>
      <c r="AE97" s="30">
        <f t="shared" ref="AE97:AE102" si="318">SUM(O97:R97)</f>
        <v>17801</v>
      </c>
      <c r="AF97" s="30">
        <f t="shared" ref="AF97:AF102" si="319">SUM(P97:S97)</f>
        <v>17808</v>
      </c>
      <c r="AG97" s="30">
        <f t="shared" ref="AG97:AG102" si="320">SUM(Q97:T97)</f>
        <v>21333</v>
      </c>
      <c r="AH97" s="30">
        <f t="shared" ref="AH97:AH102" si="321">SUM(R97:U97)</f>
        <v>26800</v>
      </c>
      <c r="AI97" s="30">
        <f t="shared" ref="AI97:AI102" si="322">SUM(S97:V97)</f>
        <v>25017</v>
      </c>
      <c r="AJ97" s="11"/>
      <c r="AK97" s="70">
        <f t="shared" ref="AK97:AK106" si="323">SUM(AH97/AD97)-1</f>
        <v>0.83977483352783699</v>
      </c>
    </row>
    <row r="98" spans="2:37" ht="12.75" customHeight="1">
      <c r="B98" s="58" t="s">
        <v>158</v>
      </c>
      <c r="C98" s="78">
        <v>8189</v>
      </c>
      <c r="D98" s="78">
        <v>8072</v>
      </c>
      <c r="E98" s="78">
        <v>8643</v>
      </c>
      <c r="F98" s="78">
        <v>8475</v>
      </c>
      <c r="G98" s="30"/>
      <c r="H98" s="123">
        <v>1994</v>
      </c>
      <c r="I98" s="123">
        <f>3990-H98</f>
        <v>1996</v>
      </c>
      <c r="J98" s="123">
        <f>6020-I98-H98</f>
        <v>2030</v>
      </c>
      <c r="K98" s="124">
        <f t="shared" si="308"/>
        <v>2052</v>
      </c>
      <c r="L98" s="123">
        <v>2124</v>
      </c>
      <c r="M98" s="123">
        <f>4320-L98</f>
        <v>2196</v>
      </c>
      <c r="N98" s="123">
        <f>6438-M98-L98</f>
        <v>2118</v>
      </c>
      <c r="O98" s="124">
        <f t="shared" si="309"/>
        <v>2205</v>
      </c>
      <c r="P98" s="123">
        <v>2110</v>
      </c>
      <c r="Q98" s="123">
        <f>4126-P98</f>
        <v>2016</v>
      </c>
      <c r="R98" s="123">
        <f>6228-Q98-P98</f>
        <v>2102</v>
      </c>
      <c r="S98" s="124">
        <f t="shared" si="310"/>
        <v>2247</v>
      </c>
      <c r="T98" s="123">
        <v>2240</v>
      </c>
      <c r="U98" s="123">
        <f>4526-T98</f>
        <v>2286</v>
      </c>
      <c r="V98" s="123">
        <f>6796-U98-T98</f>
        <v>2270</v>
      </c>
      <c r="X98" s="30">
        <f t="shared" si="311"/>
        <v>8072</v>
      </c>
      <c r="Y98" s="30">
        <f t="shared" si="312"/>
        <v>8202</v>
      </c>
      <c r="Z98" s="30">
        <f t="shared" si="313"/>
        <v>8402</v>
      </c>
      <c r="AA98" s="30">
        <f t="shared" si="314"/>
        <v>8490</v>
      </c>
      <c r="AB98" s="30">
        <f t="shared" si="315"/>
        <v>8643</v>
      </c>
      <c r="AC98" s="30">
        <f t="shared" si="316"/>
        <v>8629</v>
      </c>
      <c r="AD98" s="30">
        <f t="shared" si="317"/>
        <v>8449</v>
      </c>
      <c r="AE98" s="30">
        <f t="shared" si="318"/>
        <v>8433</v>
      </c>
      <c r="AF98" s="30">
        <f t="shared" si="319"/>
        <v>8475</v>
      </c>
      <c r="AG98" s="30">
        <f t="shared" si="320"/>
        <v>8605</v>
      </c>
      <c r="AH98" s="30">
        <f t="shared" si="321"/>
        <v>8875</v>
      </c>
      <c r="AI98" s="30">
        <f t="shared" si="322"/>
        <v>9043</v>
      </c>
      <c r="AJ98" s="11"/>
      <c r="AK98" s="70">
        <f t="shared" si="323"/>
        <v>5.0420168067226934E-2</v>
      </c>
    </row>
    <row r="99" spans="2:37" ht="12.75" customHeight="1">
      <c r="B99" s="58" t="s">
        <v>160</v>
      </c>
      <c r="C99" s="78">
        <v>-284221</v>
      </c>
      <c r="D99" s="78">
        <v>131493</v>
      </c>
      <c r="E99" s="78">
        <v>-568949</v>
      </c>
      <c r="F99" s="78">
        <v>-774586</v>
      </c>
      <c r="G99" s="30"/>
      <c r="H99" s="123">
        <v>-57445</v>
      </c>
      <c r="I99" s="123">
        <f>76109-H99</f>
        <v>133554</v>
      </c>
      <c r="J99" s="123">
        <f>90166-I99-H99</f>
        <v>14057</v>
      </c>
      <c r="K99" s="124">
        <f t="shared" ref="K99:K100" si="324">SUM(D99-SUM(H99:J99))</f>
        <v>41327</v>
      </c>
      <c r="L99" s="123">
        <v>-460061</v>
      </c>
      <c r="M99" s="123">
        <f>-530628-L99</f>
        <v>-70567</v>
      </c>
      <c r="N99" s="123">
        <f>-425986-M99-L99</f>
        <v>104642</v>
      </c>
      <c r="O99" s="124">
        <f t="shared" ref="O99:O100" si="325">SUM(E99-SUM(L99:N99))</f>
        <v>-142963</v>
      </c>
      <c r="P99" s="123">
        <v>-161097</v>
      </c>
      <c r="Q99" s="123">
        <f>-278067-P99</f>
        <v>-116970</v>
      </c>
      <c r="R99" s="123">
        <f>-419965-Q99-P99</f>
        <v>-141898</v>
      </c>
      <c r="S99" s="124">
        <f t="shared" ref="S99:S100" si="326">SUM(F99-SUM(P99:R99))</f>
        <v>-354621</v>
      </c>
      <c r="T99" s="123">
        <v>-1728363</v>
      </c>
      <c r="U99" s="123">
        <f>2254166-T99</f>
        <v>3982529</v>
      </c>
      <c r="V99" s="123">
        <f>3336445-U99-T99</f>
        <v>1082279</v>
      </c>
      <c r="X99" s="30">
        <f t="shared" si="311"/>
        <v>131493</v>
      </c>
      <c r="Y99" s="30">
        <f t="shared" si="312"/>
        <v>-271123</v>
      </c>
      <c r="Z99" s="30">
        <f t="shared" si="313"/>
        <v>-475244</v>
      </c>
      <c r="AA99" s="30">
        <f t="shared" si="314"/>
        <v>-384659</v>
      </c>
      <c r="AB99" s="30">
        <f t="shared" si="315"/>
        <v>-568949</v>
      </c>
      <c r="AC99" s="30">
        <f t="shared" si="316"/>
        <v>-269985</v>
      </c>
      <c r="AD99" s="30">
        <f t="shared" si="317"/>
        <v>-316388</v>
      </c>
      <c r="AE99" s="30">
        <f t="shared" si="318"/>
        <v>-562928</v>
      </c>
      <c r="AF99" s="30">
        <f t="shared" si="319"/>
        <v>-774586</v>
      </c>
      <c r="AG99" s="30">
        <f t="shared" si="320"/>
        <v>-2341852</v>
      </c>
      <c r="AH99" s="30">
        <f t="shared" si="321"/>
        <v>1757647</v>
      </c>
      <c r="AI99" s="30">
        <f t="shared" si="322"/>
        <v>2981824</v>
      </c>
      <c r="AJ99" s="11"/>
      <c r="AK99" s="70">
        <f t="shared" si="323"/>
        <v>-6.5553529210968806</v>
      </c>
    </row>
    <row r="100" spans="2:37" ht="12.75" customHeight="1">
      <c r="B100" s="58" t="s">
        <v>161</v>
      </c>
      <c r="C100" s="78">
        <v>44126</v>
      </c>
      <c r="D100" s="78">
        <v>63619</v>
      </c>
      <c r="E100" s="78">
        <v>69571</v>
      </c>
      <c r="F100" s="78">
        <v>77124</v>
      </c>
      <c r="G100" s="30"/>
      <c r="H100" s="123">
        <v>14394</v>
      </c>
      <c r="I100" s="123">
        <f>29688-H100</f>
        <v>15294</v>
      </c>
      <c r="J100" s="123">
        <f>46587-I100-H100</f>
        <v>16899</v>
      </c>
      <c r="K100" s="124">
        <f t="shared" si="324"/>
        <v>17032</v>
      </c>
      <c r="L100" s="123">
        <v>17555</v>
      </c>
      <c r="M100" s="123">
        <f>33049-L100</f>
        <v>15494</v>
      </c>
      <c r="N100" s="123">
        <f>49855-M100-L100</f>
        <v>16806</v>
      </c>
      <c r="O100" s="124">
        <f t="shared" si="325"/>
        <v>19716</v>
      </c>
      <c r="P100" s="123">
        <v>17791</v>
      </c>
      <c r="Q100" s="123">
        <f>38412-P100</f>
        <v>20621</v>
      </c>
      <c r="R100" s="123">
        <f>57789-Q100-P100</f>
        <v>19377</v>
      </c>
      <c r="S100" s="124">
        <f t="shared" si="326"/>
        <v>19335</v>
      </c>
      <c r="T100" s="123">
        <v>11819</v>
      </c>
      <c r="U100" s="123">
        <f>27561-T100</f>
        <v>15742</v>
      </c>
      <c r="V100" s="123">
        <f>43044-U100-T100</f>
        <v>15483</v>
      </c>
      <c r="X100" s="30">
        <f t="shared" si="311"/>
        <v>63619</v>
      </c>
      <c r="Y100" s="30">
        <f t="shared" si="312"/>
        <v>66780</v>
      </c>
      <c r="Z100" s="30">
        <f t="shared" si="313"/>
        <v>66980</v>
      </c>
      <c r="AA100" s="30">
        <f t="shared" si="314"/>
        <v>66887</v>
      </c>
      <c r="AB100" s="30">
        <f t="shared" si="315"/>
        <v>69571</v>
      </c>
      <c r="AC100" s="30">
        <f t="shared" si="316"/>
        <v>69807</v>
      </c>
      <c r="AD100" s="30">
        <f t="shared" si="317"/>
        <v>74934</v>
      </c>
      <c r="AE100" s="30">
        <f t="shared" si="318"/>
        <v>77505</v>
      </c>
      <c r="AF100" s="30">
        <f t="shared" si="319"/>
        <v>77124</v>
      </c>
      <c r="AG100" s="30">
        <f t="shared" si="320"/>
        <v>71152</v>
      </c>
      <c r="AH100" s="30">
        <f t="shared" si="321"/>
        <v>66273</v>
      </c>
      <c r="AI100" s="30">
        <f t="shared" si="322"/>
        <v>62379</v>
      </c>
      <c r="AJ100" s="11"/>
      <c r="AK100" s="70">
        <f t="shared" si="323"/>
        <v>-0.1155817119064777</v>
      </c>
    </row>
    <row r="101" spans="2:37" ht="12.75" customHeight="1">
      <c r="B101" s="58" t="s">
        <v>159</v>
      </c>
      <c r="C101" s="78">
        <v>1509</v>
      </c>
      <c r="D101" s="78">
        <v>939</v>
      </c>
      <c r="E101" s="78">
        <v>1387</v>
      </c>
      <c r="F101" s="78">
        <v>649</v>
      </c>
      <c r="G101" s="30"/>
      <c r="H101" s="123">
        <v>272</v>
      </c>
      <c r="I101" s="123">
        <f>606-H101</f>
        <v>334</v>
      </c>
      <c r="J101" s="123">
        <f>1189-I101-H101</f>
        <v>583</v>
      </c>
      <c r="K101" s="124">
        <f t="shared" si="308"/>
        <v>-250</v>
      </c>
      <c r="L101" s="123">
        <v>21</v>
      </c>
      <c r="M101" s="123">
        <f>438-L101</f>
        <v>417</v>
      </c>
      <c r="N101" s="123">
        <f>752-M101-L101</f>
        <v>314</v>
      </c>
      <c r="O101" s="124">
        <f t="shared" si="309"/>
        <v>635</v>
      </c>
      <c r="P101" s="123">
        <v>24</v>
      </c>
      <c r="Q101" s="123">
        <f>-44-P101</f>
        <v>-68</v>
      </c>
      <c r="R101" s="123">
        <f>262-Q101-P101</f>
        <v>306</v>
      </c>
      <c r="S101" s="124">
        <f t="shared" si="310"/>
        <v>387</v>
      </c>
      <c r="T101" s="123">
        <v>0</v>
      </c>
      <c r="U101" s="123">
        <v>0</v>
      </c>
      <c r="V101" s="123">
        <v>0</v>
      </c>
      <c r="X101" s="30">
        <f t="shared" si="311"/>
        <v>939</v>
      </c>
      <c r="Y101" s="30">
        <f t="shared" si="312"/>
        <v>688</v>
      </c>
      <c r="Z101" s="30">
        <f t="shared" si="313"/>
        <v>771</v>
      </c>
      <c r="AA101" s="30">
        <f t="shared" si="314"/>
        <v>502</v>
      </c>
      <c r="AB101" s="30">
        <f t="shared" si="315"/>
        <v>1387</v>
      </c>
      <c r="AC101" s="30">
        <f t="shared" si="316"/>
        <v>1390</v>
      </c>
      <c r="AD101" s="30">
        <f t="shared" si="317"/>
        <v>905</v>
      </c>
      <c r="AE101" s="30">
        <f t="shared" si="318"/>
        <v>897</v>
      </c>
      <c r="AF101" s="30">
        <f t="shared" si="319"/>
        <v>649</v>
      </c>
      <c r="AG101" s="30">
        <f t="shared" si="320"/>
        <v>625</v>
      </c>
      <c r="AH101" s="30">
        <f t="shared" si="321"/>
        <v>693</v>
      </c>
      <c r="AI101" s="30">
        <f t="shared" si="322"/>
        <v>387</v>
      </c>
      <c r="AJ101" s="11"/>
      <c r="AK101" s="70">
        <f t="shared" si="323"/>
        <v>-0.23425414364640884</v>
      </c>
    </row>
    <row r="102" spans="2:37" ht="12.75" customHeight="1">
      <c r="B102" s="58" t="s">
        <v>162</v>
      </c>
      <c r="C102" s="78">
        <v>7201</v>
      </c>
      <c r="D102" s="78">
        <v>8694</v>
      </c>
      <c r="E102" s="78">
        <v>8808</v>
      </c>
      <c r="F102" s="78">
        <v>15336</v>
      </c>
      <c r="G102" s="30"/>
      <c r="H102" s="123">
        <v>2129</v>
      </c>
      <c r="I102" s="123">
        <f>4297-H102</f>
        <v>2168</v>
      </c>
      <c r="J102" s="123">
        <f>6490-I102-H102</f>
        <v>2193</v>
      </c>
      <c r="K102" s="124">
        <f t="shared" si="308"/>
        <v>2204</v>
      </c>
      <c r="L102" s="123">
        <v>2210</v>
      </c>
      <c r="M102" s="123">
        <f>4400-L102</f>
        <v>2190</v>
      </c>
      <c r="N102" s="123">
        <f>6599-M102-L102</f>
        <v>2199</v>
      </c>
      <c r="O102" s="124">
        <f t="shared" si="309"/>
        <v>2209</v>
      </c>
      <c r="P102" s="123">
        <v>2557</v>
      </c>
      <c r="Q102" s="123">
        <f>6399-P102</f>
        <v>3842</v>
      </c>
      <c r="R102" s="123">
        <f>10231-Q102-P102</f>
        <v>3832</v>
      </c>
      <c r="S102" s="124">
        <f t="shared" si="310"/>
        <v>5105</v>
      </c>
      <c r="T102" s="123">
        <v>6048</v>
      </c>
      <c r="U102" s="123">
        <f>12445-T102</f>
        <v>6397</v>
      </c>
      <c r="V102" s="123">
        <f>18911-U102-T102</f>
        <v>6466</v>
      </c>
      <c r="X102" s="30">
        <f t="shared" ref="X98:X102" si="327">SUM(H102:K102)</f>
        <v>8694</v>
      </c>
      <c r="Y102" s="30">
        <f t="shared" ref="Y98:Y102" si="328">SUM(I102:L102)</f>
        <v>8775</v>
      </c>
      <c r="Z102" s="30">
        <f t="shared" ref="Z98:Z102" si="329">SUM(J102:M102)</f>
        <v>8797</v>
      </c>
      <c r="AA102" s="30">
        <f t="shared" ref="AA98:AA102" si="330">SUM(K102:N102)</f>
        <v>8803</v>
      </c>
      <c r="AB102" s="30">
        <f t="shared" ref="AB98:AB102" si="331">SUM(L102:O102)</f>
        <v>8808</v>
      </c>
      <c r="AC102" s="30">
        <f t="shared" ref="AC98:AC102" si="332">SUM(M102:P102)</f>
        <v>9155</v>
      </c>
      <c r="AD102" s="30">
        <f t="shared" ref="AD98:AD102" si="333">SUM(N102:Q102)</f>
        <v>10807</v>
      </c>
      <c r="AE102" s="30">
        <f t="shared" ref="AE98:AE102" si="334">SUM(O102:R102)</f>
        <v>12440</v>
      </c>
      <c r="AF102" s="30">
        <f t="shared" ref="AF98:AF102" si="335">SUM(P102:S102)</f>
        <v>15336</v>
      </c>
      <c r="AG102" s="30">
        <f t="shared" ref="AG98:AG102" si="336">SUM(Q102:T102)</f>
        <v>18827</v>
      </c>
      <c r="AH102" s="30">
        <f t="shared" ref="AH98:AI102" si="337">SUM(R102:U102)</f>
        <v>21382</v>
      </c>
      <c r="AI102" s="30">
        <f t="shared" si="337"/>
        <v>24016</v>
      </c>
      <c r="AJ102" s="11"/>
      <c r="AK102" s="70">
        <f t="shared" si="323"/>
        <v>0.97853243268252066</v>
      </c>
    </row>
    <row r="103" spans="2:37" ht="12.75" customHeight="1">
      <c r="B103" s="58" t="s">
        <v>172</v>
      </c>
      <c r="C103" s="78">
        <f>830621-561</f>
        <v>830060</v>
      </c>
      <c r="D103" s="78">
        <f>1286286-360</f>
        <v>1285926</v>
      </c>
      <c r="E103" s="78">
        <f>115851-44686-506</f>
        <v>70659</v>
      </c>
      <c r="F103" s="78">
        <f>1789862+22933-1265</f>
        <v>1811530</v>
      </c>
      <c r="G103" s="30"/>
      <c r="H103" s="123">
        <v>170091</v>
      </c>
      <c r="I103" s="123">
        <f>1087929-H103</f>
        <v>917838</v>
      </c>
      <c r="J103" s="123">
        <f>1088656-I103-H103</f>
        <v>727</v>
      </c>
      <c r="K103" s="124">
        <f t="shared" ref="K103" si="338">SUM(D103-SUM(H103:J103))</f>
        <v>197270</v>
      </c>
      <c r="L103" s="123">
        <f>18911-44686-102</f>
        <v>-25877</v>
      </c>
      <c r="M103" s="123">
        <f>43054-44686-102-L103</f>
        <v>24143</v>
      </c>
      <c r="N103" s="123">
        <f>76613-44686-162-M103-L103</f>
        <v>33499</v>
      </c>
      <c r="O103" s="124">
        <f t="shared" ref="O103" si="339">SUM(E103-SUM(L103:N103))</f>
        <v>38894</v>
      </c>
      <c r="P103" s="123">
        <f>191633-73</f>
        <v>191560</v>
      </c>
      <c r="Q103" s="123">
        <f>371723-73-P103</f>
        <v>180090</v>
      </c>
      <c r="R103" s="123">
        <f>783807+22933-73-Q103-P103</f>
        <v>435017</v>
      </c>
      <c r="S103" s="124">
        <f t="shared" ref="S103" si="340">SUM(F103-SUM(P103:R103))</f>
        <v>1004863</v>
      </c>
      <c r="T103" s="123">
        <v>5906005</v>
      </c>
      <c r="U103" s="123">
        <f>-8141509-T103</f>
        <v>-14047514</v>
      </c>
      <c r="V103" s="123">
        <f>-12032356-U103-T103</f>
        <v>-3890847</v>
      </c>
      <c r="X103" s="30">
        <f t="shared" ref="X103" si="341">SUM(H103:K103)</f>
        <v>1285926</v>
      </c>
      <c r="Y103" s="30">
        <f t="shared" ref="Y103" si="342">SUM(I103:L103)</f>
        <v>1089958</v>
      </c>
      <c r="Z103" s="30">
        <f t="shared" ref="Z103" si="343">SUM(J103:M103)</f>
        <v>196263</v>
      </c>
      <c r="AA103" s="30">
        <f t="shared" ref="AA103" si="344">SUM(K103:N103)</f>
        <v>229035</v>
      </c>
      <c r="AB103" s="30">
        <f t="shared" ref="AB103" si="345">SUM(L103:O103)</f>
        <v>70659</v>
      </c>
      <c r="AC103" s="30">
        <f t="shared" ref="AC103" si="346">SUM(M103:P103)</f>
        <v>288096</v>
      </c>
      <c r="AD103" s="30">
        <f t="shared" ref="AD103" si="347">SUM(N103:Q103)</f>
        <v>444043</v>
      </c>
      <c r="AE103" s="30">
        <f t="shared" ref="AE103" si="348">SUM(O103:R103)</f>
        <v>845561</v>
      </c>
      <c r="AF103" s="30">
        <f t="shared" ref="AF103" si="349">SUM(P103:S103)</f>
        <v>1811530</v>
      </c>
      <c r="AG103" s="30">
        <f t="shared" ref="AG103" si="350">SUM(Q103:T103)</f>
        <v>7525975</v>
      </c>
      <c r="AH103" s="30">
        <f t="shared" ref="AH103" si="351">SUM(R103:U103)</f>
        <v>-6701629</v>
      </c>
      <c r="AI103" s="30">
        <f t="shared" ref="AI103" si="352">SUM(S103:V103)</f>
        <v>-11027493</v>
      </c>
      <c r="AJ103" s="11"/>
      <c r="AK103" s="70">
        <f t="shared" si="323"/>
        <v>-16.092297367597283</v>
      </c>
    </row>
    <row r="104" spans="2:37" ht="5.0999999999999996" customHeight="1">
      <c r="B104" s="8"/>
      <c r="C104" s="78"/>
      <c r="D104" s="78"/>
      <c r="E104" s="78"/>
      <c r="F104" s="78"/>
      <c r="G104" s="30"/>
      <c r="H104" s="78"/>
      <c r="I104" s="30"/>
      <c r="J104" s="30"/>
      <c r="K104" s="30"/>
      <c r="L104" s="78"/>
      <c r="M104" s="30"/>
      <c r="N104" s="30"/>
      <c r="O104" s="30"/>
      <c r="P104" s="78"/>
      <c r="Q104" s="30"/>
      <c r="R104" s="30"/>
      <c r="S104" s="30"/>
      <c r="T104" s="78"/>
      <c r="U104" s="30"/>
      <c r="V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11"/>
      <c r="AK104" s="70"/>
    </row>
    <row r="105" spans="2:37" ht="12.75" customHeight="1">
      <c r="B105" s="34" t="s">
        <v>165</v>
      </c>
      <c r="C105" s="78"/>
      <c r="D105" s="78"/>
      <c r="E105" s="78"/>
      <c r="F105" s="78"/>
      <c r="G105" s="30"/>
      <c r="H105" s="78"/>
      <c r="I105" s="30"/>
      <c r="J105" s="30"/>
      <c r="K105" s="30"/>
      <c r="L105" s="78"/>
      <c r="M105" s="30"/>
      <c r="N105" s="30"/>
      <c r="O105" s="30"/>
      <c r="P105" s="78"/>
      <c r="Q105" s="30"/>
      <c r="R105" s="30"/>
      <c r="S105" s="30"/>
      <c r="T105" s="78"/>
      <c r="U105" s="30"/>
      <c r="V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57"/>
      <c r="AK105" s="70"/>
    </row>
    <row r="106" spans="2:37" ht="12.75" customHeight="1">
      <c r="B106" s="58" t="s">
        <v>163</v>
      </c>
      <c r="C106" s="78">
        <v>2618</v>
      </c>
      <c r="D106" s="78">
        <v>-5292</v>
      </c>
      <c r="E106" s="78">
        <v>10307</v>
      </c>
      <c r="F106" s="78">
        <v>5688</v>
      </c>
      <c r="G106" s="30"/>
      <c r="H106" s="123">
        <v>8183</v>
      </c>
      <c r="I106" s="123">
        <f>9281-H106</f>
        <v>1098</v>
      </c>
      <c r="J106" s="123">
        <f>5586-I106-H106</f>
        <v>-3695</v>
      </c>
      <c r="K106" s="124">
        <f t="shared" ref="K106:K114" si="353">SUM(D106-SUM(H106:J106))</f>
        <v>-10878</v>
      </c>
      <c r="L106" s="123">
        <v>10241</v>
      </c>
      <c r="M106" s="123">
        <f>17737-L106</f>
        <v>7496</v>
      </c>
      <c r="N106" s="123">
        <f>6627-M106-L106</f>
        <v>-11110</v>
      </c>
      <c r="O106" s="124">
        <f t="shared" ref="O106:O114" si="354">SUM(E106-SUM(L106:N106))</f>
        <v>3680</v>
      </c>
      <c r="P106" s="123">
        <v>12166</v>
      </c>
      <c r="Q106" s="123">
        <f>20119-P106</f>
        <v>7953</v>
      </c>
      <c r="R106" s="123">
        <f>27374-Q106-P106</f>
        <v>7255</v>
      </c>
      <c r="S106" s="124">
        <f t="shared" ref="S106:S114" si="355">SUM(F106-SUM(P106:R106))</f>
        <v>-21686</v>
      </c>
      <c r="T106" s="123">
        <v>10542</v>
      </c>
      <c r="U106" s="123">
        <f>14962-T106</f>
        <v>4420</v>
      </c>
      <c r="V106" s="123">
        <f>24324-U106-T106</f>
        <v>9362</v>
      </c>
      <c r="X106" s="30">
        <f t="shared" ref="X106:X114" si="356">SUM(H106:K106)</f>
        <v>-5292</v>
      </c>
      <c r="Y106" s="30">
        <f t="shared" ref="Y106:Y114" si="357">SUM(I106:L106)</f>
        <v>-3234</v>
      </c>
      <c r="Z106" s="30">
        <f t="shared" ref="Z106:Z114" si="358">SUM(J106:M106)</f>
        <v>3164</v>
      </c>
      <c r="AA106" s="30">
        <f t="shared" ref="AA106:AA114" si="359">SUM(K106:N106)</f>
        <v>-4251</v>
      </c>
      <c r="AB106" s="30">
        <f t="shared" ref="AB106:AB114" si="360">SUM(L106:O106)</f>
        <v>10307</v>
      </c>
      <c r="AC106" s="30">
        <f t="shared" ref="AC106:AC114" si="361">SUM(M106:P106)</f>
        <v>12232</v>
      </c>
      <c r="AD106" s="30">
        <f t="shared" ref="AD106:AD114" si="362">SUM(N106:Q106)</f>
        <v>12689</v>
      </c>
      <c r="AE106" s="30">
        <f t="shared" ref="AE106:AE114" si="363">SUM(O106:R106)</f>
        <v>31054</v>
      </c>
      <c r="AF106" s="30">
        <f t="shared" ref="AF106:AF114" si="364">SUM(P106:S106)</f>
        <v>5688</v>
      </c>
      <c r="AG106" s="30">
        <f t="shared" ref="AG106:AG114" si="365">SUM(Q106:T106)</f>
        <v>4064</v>
      </c>
      <c r="AH106" s="30">
        <f t="shared" ref="AH106:AI114" si="366">SUM(R106:U106)</f>
        <v>531</v>
      </c>
      <c r="AI106" s="30">
        <f t="shared" si="366"/>
        <v>2638</v>
      </c>
      <c r="AJ106" s="57"/>
      <c r="AK106" s="70">
        <f t="shared" si="323"/>
        <v>-0.95815273071163998</v>
      </c>
    </row>
    <row r="107" spans="2:37" ht="12.75" customHeight="1">
      <c r="B107" s="58" t="s">
        <v>95</v>
      </c>
      <c r="C107" s="78">
        <v>-25</v>
      </c>
      <c r="D107" s="78">
        <v>-6342</v>
      </c>
      <c r="E107" s="78">
        <v>-11358</v>
      </c>
      <c r="F107" s="78">
        <v>3804</v>
      </c>
      <c r="G107" s="30"/>
      <c r="H107" s="123">
        <v>-2838</v>
      </c>
      <c r="I107" s="123">
        <f>-7077-H107</f>
        <v>-4239</v>
      </c>
      <c r="J107" s="123">
        <f>-7837-I107-H107</f>
        <v>-760</v>
      </c>
      <c r="K107" s="124">
        <f t="shared" si="353"/>
        <v>1495</v>
      </c>
      <c r="L107" s="123">
        <v>423</v>
      </c>
      <c r="M107" s="123">
        <f>4861-L107</f>
        <v>4438</v>
      </c>
      <c r="N107" s="123">
        <f>-99-M107-L107</f>
        <v>-4960</v>
      </c>
      <c r="O107" s="124">
        <f t="shared" si="354"/>
        <v>-11259</v>
      </c>
      <c r="P107" s="123">
        <v>-6260</v>
      </c>
      <c r="Q107" s="123">
        <f>7914-P107</f>
        <v>14174</v>
      </c>
      <c r="R107" s="123">
        <f>4868-Q107-P107</f>
        <v>-3046</v>
      </c>
      <c r="S107" s="124">
        <f t="shared" si="355"/>
        <v>-1064</v>
      </c>
      <c r="T107" s="123">
        <f>-7835</f>
        <v>-7835</v>
      </c>
      <c r="U107" s="123">
        <f>-16029-T107</f>
        <v>-8194</v>
      </c>
      <c r="V107" s="123">
        <f>-19129-U107-T107</f>
        <v>-3100</v>
      </c>
      <c r="X107" s="30">
        <f t="shared" si="356"/>
        <v>-6342</v>
      </c>
      <c r="Y107" s="30">
        <f t="shared" si="357"/>
        <v>-3081</v>
      </c>
      <c r="Z107" s="30">
        <f t="shared" si="358"/>
        <v>5596</v>
      </c>
      <c r="AA107" s="30">
        <f t="shared" si="359"/>
        <v>1396</v>
      </c>
      <c r="AB107" s="30">
        <f t="shared" si="360"/>
        <v>-11358</v>
      </c>
      <c r="AC107" s="30">
        <f t="shared" si="361"/>
        <v>-18041</v>
      </c>
      <c r="AD107" s="30">
        <f t="shared" si="362"/>
        <v>-8305</v>
      </c>
      <c r="AE107" s="30">
        <f t="shared" si="363"/>
        <v>-6391</v>
      </c>
      <c r="AF107" s="30">
        <f t="shared" si="364"/>
        <v>3804</v>
      </c>
      <c r="AG107" s="30">
        <f t="shared" si="365"/>
        <v>2229</v>
      </c>
      <c r="AH107" s="30">
        <f t="shared" si="366"/>
        <v>-20139</v>
      </c>
      <c r="AI107" s="30">
        <f t="shared" si="366"/>
        <v>-20193</v>
      </c>
      <c r="AJ107" s="57"/>
      <c r="AK107" s="70">
        <f t="shared" ref="AK107:AK114" si="367">SUM(AH107/AD107)-1</f>
        <v>1.4249247441300423</v>
      </c>
    </row>
    <row r="108" spans="2:37" ht="12.75" customHeight="1">
      <c r="B108" s="58" t="s">
        <v>143</v>
      </c>
      <c r="C108" s="78">
        <v>-1713</v>
      </c>
      <c r="D108" s="78">
        <v>-7455</v>
      </c>
      <c r="E108" s="78">
        <v>-632</v>
      </c>
      <c r="F108" s="78">
        <v>-10668</v>
      </c>
      <c r="G108" s="30"/>
      <c r="H108" s="123">
        <v>-5801</v>
      </c>
      <c r="I108" s="123">
        <f>-6578-H108</f>
        <v>-777</v>
      </c>
      <c r="J108" s="123">
        <f>-8314-I108-H108</f>
        <v>-1736</v>
      </c>
      <c r="K108" s="124">
        <f t="shared" si="353"/>
        <v>859</v>
      </c>
      <c r="L108" s="123">
        <v>-6</v>
      </c>
      <c r="M108" s="123">
        <f>1189-L108</f>
        <v>1195</v>
      </c>
      <c r="N108" s="123">
        <f>-321-M108-L108</f>
        <v>-1510</v>
      </c>
      <c r="O108" s="124">
        <f t="shared" si="354"/>
        <v>-311</v>
      </c>
      <c r="P108" s="123">
        <v>-5339</v>
      </c>
      <c r="Q108" s="123">
        <f>-8163-P108</f>
        <v>-2824</v>
      </c>
      <c r="R108" s="123">
        <f>-6748-Q108-P108</f>
        <v>1415</v>
      </c>
      <c r="S108" s="124">
        <f t="shared" si="355"/>
        <v>-3920</v>
      </c>
      <c r="T108" s="123">
        <v>-1519</v>
      </c>
      <c r="U108" s="123">
        <f>-2429-T108</f>
        <v>-910</v>
      </c>
      <c r="V108" s="123">
        <f>1720-U108-T108</f>
        <v>4149</v>
      </c>
      <c r="X108" s="30">
        <f t="shared" si="356"/>
        <v>-7455</v>
      </c>
      <c r="Y108" s="30">
        <f t="shared" si="357"/>
        <v>-1660</v>
      </c>
      <c r="Z108" s="30">
        <f t="shared" si="358"/>
        <v>312</v>
      </c>
      <c r="AA108" s="30">
        <f t="shared" si="359"/>
        <v>538</v>
      </c>
      <c r="AB108" s="30">
        <f t="shared" si="360"/>
        <v>-632</v>
      </c>
      <c r="AC108" s="30">
        <f t="shared" si="361"/>
        <v>-5965</v>
      </c>
      <c r="AD108" s="30">
        <f t="shared" si="362"/>
        <v>-9984</v>
      </c>
      <c r="AE108" s="30">
        <f t="shared" si="363"/>
        <v>-7059</v>
      </c>
      <c r="AF108" s="30">
        <f t="shared" si="364"/>
        <v>-10668</v>
      </c>
      <c r="AG108" s="30">
        <f t="shared" si="365"/>
        <v>-6848</v>
      </c>
      <c r="AH108" s="30">
        <f t="shared" ref="AH108:AI110" si="368">SUM(R108:U108)</f>
        <v>-4934</v>
      </c>
      <c r="AI108" s="30">
        <f t="shared" si="368"/>
        <v>-2200</v>
      </c>
      <c r="AJ108" s="57"/>
      <c r="AK108" s="70">
        <f t="shared" si="367"/>
        <v>-0.50580929487179493</v>
      </c>
    </row>
    <row r="109" spans="2:37" ht="12.75" customHeight="1">
      <c r="B109" s="58" t="s">
        <v>164</v>
      </c>
      <c r="C109" s="78">
        <v>3749</v>
      </c>
      <c r="D109" s="78">
        <v>-3521</v>
      </c>
      <c r="E109" s="78">
        <v>-634</v>
      </c>
      <c r="F109" s="78">
        <v>1141</v>
      </c>
      <c r="G109" s="30"/>
      <c r="H109" s="123">
        <v>-2041</v>
      </c>
      <c r="I109" s="123">
        <f>-10216-H109</f>
        <v>-8175</v>
      </c>
      <c r="J109" s="123">
        <f>-8880-I109-H109</f>
        <v>1336</v>
      </c>
      <c r="K109" s="124">
        <f t="shared" si="353"/>
        <v>5359</v>
      </c>
      <c r="L109" s="123">
        <v>4230</v>
      </c>
      <c r="M109" s="123">
        <f>-9400-L109</f>
        <v>-13630</v>
      </c>
      <c r="N109" s="123">
        <f>-8005-M109-L109</f>
        <v>1395</v>
      </c>
      <c r="O109" s="124">
        <f t="shared" si="354"/>
        <v>7371</v>
      </c>
      <c r="P109" s="123">
        <v>-2005</v>
      </c>
      <c r="Q109" s="123">
        <f>-8164-P109</f>
        <v>-6159</v>
      </c>
      <c r="R109" s="123">
        <f>-8318-Q109-P109</f>
        <v>-154</v>
      </c>
      <c r="S109" s="124">
        <f t="shared" si="355"/>
        <v>9459</v>
      </c>
      <c r="T109" s="123">
        <v>-1431</v>
      </c>
      <c r="U109" s="123">
        <f>-3250-T109</f>
        <v>-1819</v>
      </c>
      <c r="V109" s="123">
        <f>6709-U109-T109</f>
        <v>9959</v>
      </c>
      <c r="X109" s="30">
        <f t="shared" si="356"/>
        <v>-3521</v>
      </c>
      <c r="Y109" s="30">
        <f t="shared" si="357"/>
        <v>2750</v>
      </c>
      <c r="Z109" s="30">
        <f t="shared" si="358"/>
        <v>-2705</v>
      </c>
      <c r="AA109" s="30">
        <f t="shared" si="359"/>
        <v>-2646</v>
      </c>
      <c r="AB109" s="30">
        <f t="shared" si="360"/>
        <v>-634</v>
      </c>
      <c r="AC109" s="30">
        <f t="shared" si="361"/>
        <v>-6869</v>
      </c>
      <c r="AD109" s="30">
        <f t="shared" si="362"/>
        <v>602</v>
      </c>
      <c r="AE109" s="30">
        <f t="shared" si="363"/>
        <v>-947</v>
      </c>
      <c r="AF109" s="30">
        <f t="shared" si="364"/>
        <v>1141</v>
      </c>
      <c r="AG109" s="30">
        <f t="shared" si="365"/>
        <v>1715</v>
      </c>
      <c r="AH109" s="30">
        <f t="shared" si="368"/>
        <v>6055</v>
      </c>
      <c r="AI109" s="30">
        <f t="shared" si="368"/>
        <v>16168</v>
      </c>
      <c r="AJ109" s="57"/>
      <c r="AK109" s="70">
        <f t="shared" si="367"/>
        <v>9.0581395348837201</v>
      </c>
    </row>
    <row r="110" spans="2:37" ht="12.75" customHeight="1">
      <c r="B110" s="58" t="s">
        <v>146</v>
      </c>
      <c r="C110" s="78">
        <v>2374</v>
      </c>
      <c r="D110" s="78">
        <v>-12344</v>
      </c>
      <c r="E110" s="78">
        <v>-12000</v>
      </c>
      <c r="F110" s="78">
        <v>-34563</v>
      </c>
      <c r="G110" s="30"/>
      <c r="H110" s="123">
        <v>-12735</v>
      </c>
      <c r="I110" s="123">
        <f>-9802-H110</f>
        <v>2933</v>
      </c>
      <c r="J110" s="123">
        <f>-13105-I110-H110</f>
        <v>-3303</v>
      </c>
      <c r="K110" s="124">
        <f t="shared" si="353"/>
        <v>761</v>
      </c>
      <c r="L110" s="123">
        <v>-16327</v>
      </c>
      <c r="M110" s="123">
        <f>-15559-L110</f>
        <v>768</v>
      </c>
      <c r="N110" s="123">
        <f>-15186-M110-L110</f>
        <v>373</v>
      </c>
      <c r="O110" s="124">
        <f t="shared" si="354"/>
        <v>3186</v>
      </c>
      <c r="P110" s="123">
        <v>-13279</v>
      </c>
      <c r="Q110" s="123">
        <f>-18059-P110</f>
        <v>-4780</v>
      </c>
      <c r="R110" s="123">
        <f>-26383-Q110-P110</f>
        <v>-8324</v>
      </c>
      <c r="S110" s="124">
        <f t="shared" si="355"/>
        <v>-8180</v>
      </c>
      <c r="T110" s="123">
        <v>-30385</v>
      </c>
      <c r="U110" s="123">
        <f>-28187-T110</f>
        <v>2198</v>
      </c>
      <c r="V110" s="123">
        <f>-40399-U110-T110</f>
        <v>-12212</v>
      </c>
      <c r="X110" s="30">
        <f t="shared" si="356"/>
        <v>-12344</v>
      </c>
      <c r="Y110" s="30">
        <f t="shared" si="357"/>
        <v>-15936</v>
      </c>
      <c r="Z110" s="30">
        <f t="shared" si="358"/>
        <v>-18101</v>
      </c>
      <c r="AA110" s="30">
        <f t="shared" si="359"/>
        <v>-14425</v>
      </c>
      <c r="AB110" s="30">
        <f t="shared" si="360"/>
        <v>-12000</v>
      </c>
      <c r="AC110" s="30">
        <f t="shared" si="361"/>
        <v>-8952</v>
      </c>
      <c r="AD110" s="30">
        <f t="shared" si="362"/>
        <v>-14500</v>
      </c>
      <c r="AE110" s="30">
        <f t="shared" si="363"/>
        <v>-23197</v>
      </c>
      <c r="AF110" s="30">
        <f t="shared" si="364"/>
        <v>-34563</v>
      </c>
      <c r="AG110" s="30">
        <f t="shared" si="365"/>
        <v>-51669</v>
      </c>
      <c r="AH110" s="30">
        <f t="shared" si="368"/>
        <v>-44691</v>
      </c>
      <c r="AI110" s="30">
        <f t="shared" si="368"/>
        <v>-48579</v>
      </c>
      <c r="AJ110" s="57"/>
      <c r="AK110" s="70">
        <f t="shared" si="367"/>
        <v>2.0821379310344827</v>
      </c>
    </row>
    <row r="111" spans="2:37" ht="12.75" customHeight="1">
      <c r="B111" s="58" t="s">
        <v>147</v>
      </c>
      <c r="C111" s="78">
        <v>1222</v>
      </c>
      <c r="D111" s="78">
        <v>1336</v>
      </c>
      <c r="E111" s="78">
        <v>-1336</v>
      </c>
      <c r="F111" s="78">
        <v>4193</v>
      </c>
      <c r="G111" s="30"/>
      <c r="H111" s="123">
        <v>9051</v>
      </c>
      <c r="I111" s="123">
        <f>776-H111</f>
        <v>-8275</v>
      </c>
      <c r="J111" s="123">
        <f>9901-I111-H111</f>
        <v>9125</v>
      </c>
      <c r="K111" s="124">
        <f t="shared" si="353"/>
        <v>-8565</v>
      </c>
      <c r="L111" s="123">
        <v>7539</v>
      </c>
      <c r="M111" s="123">
        <f>-1336-L111</f>
        <v>-8875</v>
      </c>
      <c r="N111" s="123">
        <f>7539-M111-L111</f>
        <v>8875</v>
      </c>
      <c r="O111" s="124">
        <f t="shared" si="354"/>
        <v>-8875</v>
      </c>
      <c r="P111" s="123">
        <v>9385</v>
      </c>
      <c r="Q111" s="123">
        <f>3641-P111</f>
        <v>-5744</v>
      </c>
      <c r="R111" s="123">
        <f>4444-Q111-P111</f>
        <v>803</v>
      </c>
      <c r="S111" s="124">
        <f t="shared" si="355"/>
        <v>-251</v>
      </c>
      <c r="T111" s="123">
        <v>421</v>
      </c>
      <c r="U111" s="123">
        <f>71-T111</f>
        <v>-350</v>
      </c>
      <c r="V111" s="123">
        <f>421-U111-T111</f>
        <v>350</v>
      </c>
      <c r="X111" s="30">
        <f t="shared" si="356"/>
        <v>1336</v>
      </c>
      <c r="Y111" s="30">
        <f t="shared" si="357"/>
        <v>-176</v>
      </c>
      <c r="Z111" s="30">
        <f t="shared" si="358"/>
        <v>-776</v>
      </c>
      <c r="AA111" s="30">
        <f t="shared" si="359"/>
        <v>-1026</v>
      </c>
      <c r="AB111" s="30">
        <f t="shared" si="360"/>
        <v>-1336</v>
      </c>
      <c r="AC111" s="30">
        <f t="shared" si="361"/>
        <v>510</v>
      </c>
      <c r="AD111" s="30">
        <f t="shared" si="362"/>
        <v>3641</v>
      </c>
      <c r="AE111" s="30">
        <f t="shared" si="363"/>
        <v>-4431</v>
      </c>
      <c r="AF111" s="30">
        <f t="shared" si="364"/>
        <v>4193</v>
      </c>
      <c r="AG111" s="30">
        <f t="shared" si="365"/>
        <v>-4771</v>
      </c>
      <c r="AH111" s="30">
        <f t="shared" si="366"/>
        <v>623</v>
      </c>
      <c r="AI111" s="30">
        <f t="shared" si="366"/>
        <v>170</v>
      </c>
      <c r="AJ111" s="57"/>
      <c r="AK111" s="70">
        <f t="shared" si="367"/>
        <v>-0.82889316121944523</v>
      </c>
    </row>
    <row r="112" spans="2:37" ht="12.75" customHeight="1">
      <c r="B112" s="58" t="s">
        <v>149</v>
      </c>
      <c r="C112" s="78">
        <v>14710</v>
      </c>
      <c r="D112" s="78">
        <v>14839</v>
      </c>
      <c r="E112" s="78">
        <v>2362</v>
      </c>
      <c r="F112" s="78">
        <v>1049</v>
      </c>
      <c r="G112" s="30"/>
      <c r="H112" s="123">
        <v>48895</v>
      </c>
      <c r="I112" s="123">
        <f>36945-H112</f>
        <v>-11950</v>
      </c>
      <c r="J112" s="123">
        <f>25401-I112-H112</f>
        <v>-11544</v>
      </c>
      <c r="K112" s="124">
        <f t="shared" si="353"/>
        <v>-10562</v>
      </c>
      <c r="L112" s="123">
        <v>33352</v>
      </c>
      <c r="M112" s="123">
        <f>26952-L112</f>
        <v>-6400</v>
      </c>
      <c r="N112" s="123">
        <f>9901-M112-L112</f>
        <v>-17051</v>
      </c>
      <c r="O112" s="124">
        <f t="shared" si="354"/>
        <v>-7539</v>
      </c>
      <c r="P112" s="123">
        <v>41560</v>
      </c>
      <c r="Q112" s="123">
        <f>24994-P112</f>
        <v>-16566</v>
      </c>
      <c r="R112" s="123">
        <f>3484-Q112-P112</f>
        <v>-21510</v>
      </c>
      <c r="S112" s="124">
        <f t="shared" si="355"/>
        <v>-2435</v>
      </c>
      <c r="T112" s="123">
        <v>43289</v>
      </c>
      <c r="U112" s="123">
        <f>26095-T112</f>
        <v>-17194</v>
      </c>
      <c r="V112" s="123">
        <f>7027-U112-T112</f>
        <v>-19068</v>
      </c>
      <c r="X112" s="30">
        <f t="shared" si="356"/>
        <v>14839</v>
      </c>
      <c r="Y112" s="30">
        <f t="shared" si="357"/>
        <v>-704</v>
      </c>
      <c r="Z112" s="30">
        <f t="shared" si="358"/>
        <v>4846</v>
      </c>
      <c r="AA112" s="30">
        <f t="shared" si="359"/>
        <v>-661</v>
      </c>
      <c r="AB112" s="30">
        <f t="shared" si="360"/>
        <v>2362</v>
      </c>
      <c r="AC112" s="30">
        <f t="shared" si="361"/>
        <v>10570</v>
      </c>
      <c r="AD112" s="30">
        <f t="shared" si="362"/>
        <v>404</v>
      </c>
      <c r="AE112" s="30">
        <f t="shared" si="363"/>
        <v>-4055</v>
      </c>
      <c r="AF112" s="30">
        <f t="shared" si="364"/>
        <v>1049</v>
      </c>
      <c r="AG112" s="30">
        <f t="shared" si="365"/>
        <v>2778</v>
      </c>
      <c r="AH112" s="30">
        <f t="shared" si="366"/>
        <v>2150</v>
      </c>
      <c r="AI112" s="30">
        <f t="shared" si="366"/>
        <v>4592</v>
      </c>
      <c r="AJ112" s="57"/>
      <c r="AK112" s="70">
        <f t="shared" si="367"/>
        <v>4.3217821782178216</v>
      </c>
    </row>
    <row r="113" spans="2:37" ht="12.75" customHeight="1">
      <c r="B113" s="58" t="s">
        <v>97</v>
      </c>
      <c r="C113" s="78">
        <v>-10222</v>
      </c>
      <c r="D113" s="78">
        <v>-9634</v>
      </c>
      <c r="E113" s="78">
        <v>-10218</v>
      </c>
      <c r="F113" s="78">
        <v>-10510</v>
      </c>
      <c r="G113" s="30"/>
      <c r="H113" s="123">
        <v>-2382</v>
      </c>
      <c r="I113" s="123">
        <f>-4835-H113</f>
        <v>-2453</v>
      </c>
      <c r="J113" s="123">
        <f>-7390-I113-H113</f>
        <v>-2555</v>
      </c>
      <c r="K113" s="124">
        <f t="shared" si="353"/>
        <v>-2244</v>
      </c>
      <c r="L113" s="123">
        <v>-2594</v>
      </c>
      <c r="M113" s="123">
        <f>-5233-L113</f>
        <v>-2639</v>
      </c>
      <c r="N113" s="123">
        <f>-7954-M113-L113</f>
        <v>-2721</v>
      </c>
      <c r="O113" s="124">
        <f t="shared" si="354"/>
        <v>-2264</v>
      </c>
      <c r="P113" s="123">
        <v>-2896</v>
      </c>
      <c r="Q113" s="123">
        <f>-5467-P113</f>
        <v>-2571</v>
      </c>
      <c r="R113" s="123">
        <f>-7832-Q113-P113</f>
        <v>-2365</v>
      </c>
      <c r="S113" s="124">
        <f t="shared" si="355"/>
        <v>-2678</v>
      </c>
      <c r="T113" s="123">
        <v>-2618</v>
      </c>
      <c r="U113" s="123">
        <f>-5308-T113</f>
        <v>-2690</v>
      </c>
      <c r="V113" s="123">
        <f>-8001-U113-T113</f>
        <v>-2693</v>
      </c>
      <c r="X113" s="30">
        <f t="shared" si="356"/>
        <v>-9634</v>
      </c>
      <c r="Y113" s="30">
        <f t="shared" si="357"/>
        <v>-9846</v>
      </c>
      <c r="Z113" s="30">
        <f t="shared" si="358"/>
        <v>-10032</v>
      </c>
      <c r="AA113" s="30">
        <f t="shared" si="359"/>
        <v>-10198</v>
      </c>
      <c r="AB113" s="30">
        <f t="shared" si="360"/>
        <v>-10218</v>
      </c>
      <c r="AC113" s="30">
        <f t="shared" si="361"/>
        <v>-10520</v>
      </c>
      <c r="AD113" s="30">
        <f t="shared" si="362"/>
        <v>-10452</v>
      </c>
      <c r="AE113" s="30">
        <f t="shared" si="363"/>
        <v>-10096</v>
      </c>
      <c r="AF113" s="30">
        <f t="shared" si="364"/>
        <v>-10510</v>
      </c>
      <c r="AG113" s="30">
        <f t="shared" si="365"/>
        <v>-10232</v>
      </c>
      <c r="AH113" s="30">
        <f t="shared" si="366"/>
        <v>-10351</v>
      </c>
      <c r="AI113" s="30">
        <f t="shared" si="366"/>
        <v>-10679</v>
      </c>
      <c r="AJ113" s="57"/>
      <c r="AK113" s="70">
        <f t="shared" si="367"/>
        <v>-9.6632223497895575E-3</v>
      </c>
    </row>
    <row r="114" spans="2:37" ht="12.75" customHeight="1">
      <c r="B114" s="58" t="s">
        <v>96</v>
      </c>
      <c r="C114" s="78">
        <v>-1622</v>
      </c>
      <c r="D114" s="78">
        <v>-8196</v>
      </c>
      <c r="E114" s="78">
        <v>2454</v>
      </c>
      <c r="F114" s="78">
        <v>-2841</v>
      </c>
      <c r="G114" s="30"/>
      <c r="H114" s="123">
        <v>-25</v>
      </c>
      <c r="I114" s="123">
        <f>32-H114</f>
        <v>57</v>
      </c>
      <c r="J114" s="123">
        <f>150-I114-H114</f>
        <v>118</v>
      </c>
      <c r="K114" s="124">
        <f t="shared" si="353"/>
        <v>-8346</v>
      </c>
      <c r="L114" s="123">
        <v>-57</v>
      </c>
      <c r="M114" s="123">
        <f>-228-L114</f>
        <v>-171</v>
      </c>
      <c r="N114" s="123">
        <f>203-M114-L114</f>
        <v>431</v>
      </c>
      <c r="O114" s="124">
        <f t="shared" si="354"/>
        <v>2251</v>
      </c>
      <c r="P114" s="123">
        <v>-7622</v>
      </c>
      <c r="Q114" s="123">
        <f>-5057-P114</f>
        <v>2565</v>
      </c>
      <c r="R114" s="123">
        <f>-4637-Q114-P114</f>
        <v>420</v>
      </c>
      <c r="S114" s="124">
        <f t="shared" si="355"/>
        <v>1796</v>
      </c>
      <c r="T114" s="123">
        <v>193</v>
      </c>
      <c r="U114" s="123">
        <f>415-T114</f>
        <v>222</v>
      </c>
      <c r="V114" s="123">
        <f>488-U114-T114</f>
        <v>73</v>
      </c>
      <c r="X114" s="30">
        <f t="shared" si="356"/>
        <v>-8196</v>
      </c>
      <c r="Y114" s="30">
        <f t="shared" si="357"/>
        <v>-8228</v>
      </c>
      <c r="Z114" s="30">
        <f t="shared" si="358"/>
        <v>-8456</v>
      </c>
      <c r="AA114" s="30">
        <f t="shared" si="359"/>
        <v>-8143</v>
      </c>
      <c r="AB114" s="30">
        <f t="shared" si="360"/>
        <v>2454</v>
      </c>
      <c r="AC114" s="30">
        <f t="shared" si="361"/>
        <v>-5111</v>
      </c>
      <c r="AD114" s="30">
        <f t="shared" si="362"/>
        <v>-2375</v>
      </c>
      <c r="AE114" s="30">
        <f t="shared" si="363"/>
        <v>-2386</v>
      </c>
      <c r="AF114" s="30">
        <f t="shared" si="364"/>
        <v>-2841</v>
      </c>
      <c r="AG114" s="30">
        <f t="shared" si="365"/>
        <v>4974</v>
      </c>
      <c r="AH114" s="30">
        <f t="shared" si="366"/>
        <v>2631</v>
      </c>
      <c r="AI114" s="30">
        <f t="shared" si="366"/>
        <v>2284</v>
      </c>
      <c r="AJ114" s="57"/>
      <c r="AK114" s="70">
        <f t="shared" si="367"/>
        <v>-2.1077894736842104</v>
      </c>
    </row>
    <row r="115" spans="2:37" ht="12.75" customHeight="1">
      <c r="B115" s="12" t="s">
        <v>57</v>
      </c>
      <c r="C115" s="13">
        <f>SUM(C94:C114)</f>
        <v>93833</v>
      </c>
      <c r="D115" s="13">
        <f>SUM(D94:D114)</f>
        <v>3211</v>
      </c>
      <c r="E115" s="13">
        <f>SUM(E94:E114)</f>
        <v>12712</v>
      </c>
      <c r="F115" s="13">
        <f>SUM(F94:F114)</f>
        <v>-53032</v>
      </c>
      <c r="H115" s="13">
        <f>SUM(H94:H114)</f>
        <v>43682</v>
      </c>
      <c r="I115" s="13">
        <f>SUM(I94:I114)</f>
        <v>-20819</v>
      </c>
      <c r="J115" s="13">
        <f>SUM(J94:J114)</f>
        <v>-1454</v>
      </c>
      <c r="K115" s="13">
        <f>SUM(K94:K114)</f>
        <v>-18198</v>
      </c>
      <c r="L115" s="32">
        <f>SUM(L94:L114)</f>
        <v>37397</v>
      </c>
      <c r="M115" s="13">
        <f>SUM(M94:M114)</f>
        <v>-18472</v>
      </c>
      <c r="N115" s="13">
        <f>SUM(N94:N114)</f>
        <v>-7397</v>
      </c>
      <c r="O115" s="13">
        <f>SUM(O94:O114)</f>
        <v>1184</v>
      </c>
      <c r="P115" s="13">
        <f>SUM(P94:P114)</f>
        <v>28587</v>
      </c>
      <c r="Q115" s="13">
        <f>SUM(Q94:Q114)</f>
        <v>-23329</v>
      </c>
      <c r="R115" s="13">
        <f>SUM(R94:R114)</f>
        <v>-40966</v>
      </c>
      <c r="S115" s="13">
        <f>SUM(S94:S114)</f>
        <v>-17324</v>
      </c>
      <c r="T115" s="13">
        <f>SUM(T94:T114)</f>
        <v>-2389</v>
      </c>
      <c r="U115" s="13">
        <f>SUM(U94:U114)</f>
        <v>-34913</v>
      </c>
      <c r="V115" s="13">
        <f>SUM(V94:V114)</f>
        <v>-8310</v>
      </c>
      <c r="X115" s="13">
        <f>SUM(X94:X114)</f>
        <v>595155</v>
      </c>
      <c r="Y115" s="13">
        <f>SUM(Y94:Y114)</f>
        <v>1081467</v>
      </c>
      <c r="Z115" s="13">
        <f>SUM(Z94:Z114)</f>
        <v>-117089</v>
      </c>
      <c r="AA115" s="13">
        <f>SUM(AA94:AA114)</f>
        <v>332125</v>
      </c>
      <c r="AB115" s="13">
        <f>SUM(AB94:AB114)</f>
        <v>-501599</v>
      </c>
      <c r="AC115" s="13">
        <f>SUM(AC94:AC114)</f>
        <v>-120900</v>
      </c>
      <c r="AD115" s="13">
        <f>SUM(AD94:AD114)</f>
        <v>-955</v>
      </c>
      <c r="AE115" s="13">
        <f>SUM(AE94:AE114)</f>
        <v>-34524</v>
      </c>
      <c r="AF115" s="13">
        <f>SUM(AF94:AF114)</f>
        <v>-53032</v>
      </c>
      <c r="AG115" s="13">
        <f>SUM(AG94:AG114)</f>
        <v>-84008</v>
      </c>
      <c r="AH115" s="13">
        <f>SUM(AH94:AH114)</f>
        <v>-95592</v>
      </c>
      <c r="AI115" s="13">
        <f>SUM(AI94:AI114)</f>
        <v>-62936</v>
      </c>
      <c r="AJ115" s="40"/>
      <c r="AK115" s="71">
        <f>SUM(AH115/AD115)-1</f>
        <v>99.096335078534025</v>
      </c>
    </row>
    <row r="116" spans="2:37" ht="12.75" customHeight="1">
      <c r="B116" s="51"/>
      <c r="C116" s="59"/>
      <c r="D116" s="59"/>
      <c r="E116" s="59"/>
      <c r="F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37"/>
    </row>
    <row r="117" spans="2:37" ht="12.75" customHeight="1">
      <c r="B117" s="122" t="s">
        <v>58</v>
      </c>
      <c r="C117" s="56"/>
      <c r="D117" s="56"/>
      <c r="E117" s="56"/>
      <c r="F117" s="56"/>
      <c r="H117" s="56"/>
      <c r="I117" s="56"/>
      <c r="J117" s="56"/>
      <c r="K117" s="30"/>
      <c r="L117" s="78"/>
      <c r="M117" s="78"/>
      <c r="N117" s="78"/>
      <c r="O117" s="30"/>
      <c r="P117" s="78"/>
      <c r="Q117" s="78"/>
      <c r="R117" s="78"/>
      <c r="S117" s="30"/>
      <c r="T117" s="78"/>
      <c r="U117" s="78"/>
      <c r="V117" s="78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7"/>
      <c r="AK117" s="37"/>
    </row>
    <row r="118" spans="2:37" ht="12.75" customHeight="1">
      <c r="B118" s="58" t="s">
        <v>166</v>
      </c>
      <c r="C118" s="78">
        <v>-2626529</v>
      </c>
      <c r="D118" s="78">
        <v>-287921</v>
      </c>
      <c r="E118" s="78">
        <v>-1902299</v>
      </c>
      <c r="F118" s="78">
        <v>-22072759</v>
      </c>
      <c r="G118" s="30"/>
      <c r="H118" s="123">
        <v>-215500</v>
      </c>
      <c r="I118" s="123">
        <f>-225500-H118</f>
        <v>-10000</v>
      </c>
      <c r="J118" s="123">
        <f>-231478-I118-H118</f>
        <v>-5978</v>
      </c>
      <c r="K118" s="124">
        <f t="shared" ref="K118" si="369">SUM(D118-SUM(H118:J118))</f>
        <v>-56443</v>
      </c>
      <c r="L118" s="123">
        <v>-179275</v>
      </c>
      <c r="M118" s="123">
        <f>-526278-L118</f>
        <v>-347003</v>
      </c>
      <c r="N118" s="123">
        <f>-687959-M118-L118</f>
        <v>-161681</v>
      </c>
      <c r="O118" s="124">
        <f t="shared" ref="O118" si="370">SUM(E118-SUM(L118:N118))</f>
        <v>-1214340</v>
      </c>
      <c r="P118" s="123">
        <v>-1639309</v>
      </c>
      <c r="Q118" s="123">
        <f>-2433137-P118</f>
        <v>-793828</v>
      </c>
      <c r="R118" s="123">
        <f>-4008210-Q118-P118</f>
        <v>-1575073</v>
      </c>
      <c r="S118" s="124">
        <f t="shared" ref="S118" si="371">SUM(F118-SUM(P118:R118))</f>
        <v>-18064549</v>
      </c>
      <c r="T118" s="123">
        <v>-7661663</v>
      </c>
      <c r="U118" s="123">
        <f>-14430868-T118</f>
        <v>-6769205</v>
      </c>
      <c r="V118" s="123">
        <f>-19382948-U118-T118</f>
        <v>-4952080</v>
      </c>
      <c r="W118" s="30"/>
      <c r="X118" s="30">
        <f t="shared" ref="X118" si="372">SUM(H118:K118)</f>
        <v>-287921</v>
      </c>
      <c r="Y118" s="30">
        <f t="shared" ref="Y118" si="373">SUM(I118:L118)</f>
        <v>-251696</v>
      </c>
      <c r="Z118" s="30">
        <f t="shared" ref="Z118" si="374">SUM(J118:M118)</f>
        <v>-588699</v>
      </c>
      <c r="AA118" s="30">
        <f t="shared" ref="AA118" si="375">SUM(K118:N118)</f>
        <v>-744402</v>
      </c>
      <c r="AB118" s="30">
        <f t="shared" ref="AB118" si="376">SUM(L118:O118)</f>
        <v>-1902299</v>
      </c>
      <c r="AC118" s="30">
        <f t="shared" ref="AC118" si="377">SUM(M118:P118)</f>
        <v>-3362333</v>
      </c>
      <c r="AD118" s="30">
        <f t="shared" ref="AD118" si="378">SUM(N118:Q118)</f>
        <v>-3809158</v>
      </c>
      <c r="AE118" s="30">
        <f t="shared" ref="AE118" si="379">SUM(O118:R118)</f>
        <v>-5222550</v>
      </c>
      <c r="AF118" s="30">
        <f t="shared" ref="AF118" si="380">SUM(P118:S118)</f>
        <v>-22072759</v>
      </c>
      <c r="AG118" s="30">
        <f t="shared" ref="AG118" si="381">SUM(Q118:T118)</f>
        <v>-28095113</v>
      </c>
      <c r="AH118" s="30">
        <f t="shared" ref="AH118:AI118" si="382">SUM(R118:U118)</f>
        <v>-34070490</v>
      </c>
      <c r="AI118" s="30">
        <f t="shared" si="382"/>
        <v>-37447497</v>
      </c>
      <c r="AJ118" s="57"/>
      <c r="AK118" s="70">
        <f t="shared" ref="AK118:AK120" si="383">SUM(AH118/AD118)-1</f>
        <v>7.9443625074097746</v>
      </c>
    </row>
    <row r="119" spans="2:37" ht="12.75" customHeight="1">
      <c r="B119" s="58" t="s">
        <v>167</v>
      </c>
      <c r="C119" s="78">
        <v>-2706</v>
      </c>
      <c r="D119" s="78">
        <v>-2486</v>
      </c>
      <c r="E119" s="78">
        <v>-2938</v>
      </c>
      <c r="F119" s="78">
        <v>-2978</v>
      </c>
      <c r="G119" s="30"/>
      <c r="H119" s="123">
        <v>-641</v>
      </c>
      <c r="I119" s="123">
        <f>-1519-H119</f>
        <v>-878</v>
      </c>
      <c r="J119" s="123">
        <f>-1851-I119-H119</f>
        <v>-332</v>
      </c>
      <c r="K119" s="124">
        <f t="shared" ref="K119:K120" si="384">SUM(D119-SUM(H119:J119))</f>
        <v>-635</v>
      </c>
      <c r="L119" s="123">
        <v>-499</v>
      </c>
      <c r="M119" s="123">
        <f>-1138-L119</f>
        <v>-639</v>
      </c>
      <c r="N119" s="123">
        <f>-2591-M119-L119</f>
        <v>-1453</v>
      </c>
      <c r="O119" s="124">
        <f t="shared" ref="O119:O120" si="385">SUM(E119-SUM(L119:N119))</f>
        <v>-347</v>
      </c>
      <c r="P119" s="123">
        <v>-1545</v>
      </c>
      <c r="Q119" s="123">
        <f>-2268-P119</f>
        <v>-723</v>
      </c>
      <c r="R119" s="123">
        <f>-2694-Q119-P119</f>
        <v>-426</v>
      </c>
      <c r="S119" s="124">
        <f t="shared" ref="S119:S120" si="386">SUM(F119-SUM(P119:R119))</f>
        <v>-284</v>
      </c>
      <c r="T119" s="123">
        <v>-2737</v>
      </c>
      <c r="U119" s="123">
        <f>-4831-T119</f>
        <v>-2094</v>
      </c>
      <c r="V119" s="123">
        <f>-7628-U119-T119</f>
        <v>-2797</v>
      </c>
      <c r="W119" s="30"/>
      <c r="X119" s="30">
        <f t="shared" ref="X119:X120" si="387">SUM(H119:K119)</f>
        <v>-2486</v>
      </c>
      <c r="Y119" s="30">
        <f t="shared" ref="Y119:Y120" si="388">SUM(I119:L119)</f>
        <v>-2344</v>
      </c>
      <c r="Z119" s="30">
        <f t="shared" ref="Z119:Z120" si="389">SUM(J119:M119)</f>
        <v>-2105</v>
      </c>
      <c r="AA119" s="30">
        <f t="shared" ref="AA119:AA120" si="390">SUM(K119:N119)</f>
        <v>-3226</v>
      </c>
      <c r="AB119" s="30">
        <f t="shared" ref="AB119:AB120" si="391">SUM(L119:O119)</f>
        <v>-2938</v>
      </c>
      <c r="AC119" s="30">
        <f t="shared" ref="AC119:AC120" si="392">SUM(M119:P119)</f>
        <v>-3984</v>
      </c>
      <c r="AD119" s="30">
        <f t="shared" ref="AD119:AD120" si="393">SUM(N119:Q119)</f>
        <v>-4068</v>
      </c>
      <c r="AE119" s="30">
        <f t="shared" ref="AE119:AE120" si="394">SUM(O119:R119)</f>
        <v>-3041</v>
      </c>
      <c r="AF119" s="30">
        <f t="shared" ref="AF119:AF120" si="395">SUM(P119:S119)</f>
        <v>-2978</v>
      </c>
      <c r="AG119" s="30">
        <f t="shared" ref="AG119:AG120" si="396">SUM(Q119:T119)</f>
        <v>-4170</v>
      </c>
      <c r="AH119" s="30">
        <f t="shared" ref="AH119:AH120" si="397">SUM(R119:U119)</f>
        <v>-5541</v>
      </c>
      <c r="AI119" s="30">
        <f t="shared" ref="AI119:AI120" si="398">SUM(S119:V119)</f>
        <v>-7912</v>
      </c>
      <c r="AJ119" s="57"/>
      <c r="AK119" s="70">
        <f t="shared" si="383"/>
        <v>0.36209439528023601</v>
      </c>
    </row>
    <row r="120" spans="2:37" ht="12.75" customHeight="1">
      <c r="B120" s="58" t="s">
        <v>173</v>
      </c>
      <c r="C120" s="78">
        <v>0</v>
      </c>
      <c r="D120" s="78">
        <v>11817</v>
      </c>
      <c r="E120" s="78">
        <v>0</v>
      </c>
      <c r="F120" s="78">
        <v>-10500</v>
      </c>
      <c r="G120" s="30"/>
      <c r="H120" s="123">
        <v>0</v>
      </c>
      <c r="I120" s="123">
        <v>0</v>
      </c>
      <c r="J120" s="123">
        <v>0</v>
      </c>
      <c r="K120" s="124">
        <f t="shared" si="384"/>
        <v>11817</v>
      </c>
      <c r="L120" s="123">
        <v>0</v>
      </c>
      <c r="M120" s="123">
        <v>0</v>
      </c>
      <c r="N120" s="123">
        <v>0</v>
      </c>
      <c r="O120" s="124">
        <f t="shared" si="385"/>
        <v>0</v>
      </c>
      <c r="P120" s="123">
        <v>0</v>
      </c>
      <c r="Q120" s="123">
        <v>0</v>
      </c>
      <c r="R120" s="123">
        <v>0</v>
      </c>
      <c r="S120" s="124">
        <f t="shared" si="386"/>
        <v>-10500</v>
      </c>
      <c r="T120" s="123">
        <v>-6000</v>
      </c>
      <c r="U120" s="123">
        <f>-22000-T120</f>
        <v>-16000</v>
      </c>
      <c r="V120" s="123">
        <f>-27000-U120-T120</f>
        <v>-5000</v>
      </c>
      <c r="W120" s="30"/>
      <c r="X120" s="30">
        <f t="shared" si="387"/>
        <v>11817</v>
      </c>
      <c r="Y120" s="30">
        <f t="shared" si="388"/>
        <v>11817</v>
      </c>
      <c r="Z120" s="30">
        <f t="shared" si="389"/>
        <v>11817</v>
      </c>
      <c r="AA120" s="30">
        <f t="shared" si="390"/>
        <v>11817</v>
      </c>
      <c r="AB120" s="30">
        <f t="shared" si="391"/>
        <v>0</v>
      </c>
      <c r="AC120" s="30">
        <f t="shared" si="392"/>
        <v>0</v>
      </c>
      <c r="AD120" s="30">
        <f t="shared" si="393"/>
        <v>0</v>
      </c>
      <c r="AE120" s="30">
        <f t="shared" si="394"/>
        <v>0</v>
      </c>
      <c r="AF120" s="30">
        <f t="shared" si="395"/>
        <v>-10500</v>
      </c>
      <c r="AG120" s="30">
        <f t="shared" si="396"/>
        <v>-16500</v>
      </c>
      <c r="AH120" s="30">
        <f t="shared" si="397"/>
        <v>-32500</v>
      </c>
      <c r="AI120" s="30">
        <f t="shared" si="398"/>
        <v>-37500</v>
      </c>
      <c r="AJ120" s="57"/>
      <c r="AK120" s="70" t="e">
        <f t="shared" si="383"/>
        <v>#DIV/0!</v>
      </c>
    </row>
    <row r="121" spans="2:37" ht="12.75" customHeight="1">
      <c r="B121" s="12" t="s">
        <v>59</v>
      </c>
      <c r="C121" s="13">
        <f>SUM(C118:C120)</f>
        <v>-2629235</v>
      </c>
      <c r="D121" s="13">
        <f>SUM(D118:D120)</f>
        <v>-278590</v>
      </c>
      <c r="E121" s="13">
        <f>SUM(E118:E120)</f>
        <v>-1905237</v>
      </c>
      <c r="F121" s="13">
        <f>SUM(F118:F120)</f>
        <v>-22086237</v>
      </c>
      <c r="H121" s="13">
        <f>SUM(H118:H120)</f>
        <v>-216141</v>
      </c>
      <c r="I121" s="13">
        <f>SUM(I118:I120)</f>
        <v>-10878</v>
      </c>
      <c r="J121" s="13">
        <f>SUM(J118:J120)</f>
        <v>-6310</v>
      </c>
      <c r="K121" s="13">
        <f>SUM(K118:K120)</f>
        <v>-45261</v>
      </c>
      <c r="L121" s="13">
        <f>SUM(L118:L120)</f>
        <v>-179774</v>
      </c>
      <c r="M121" s="13">
        <f>SUM(M118:M120)</f>
        <v>-347642</v>
      </c>
      <c r="N121" s="13">
        <f>SUM(N118:N120)</f>
        <v>-163134</v>
      </c>
      <c r="O121" s="13">
        <f>SUM(O118:O120)</f>
        <v>-1214687</v>
      </c>
      <c r="P121" s="13">
        <f>SUM(P118:P120)</f>
        <v>-1640854</v>
      </c>
      <c r="Q121" s="13">
        <f>SUM(Q118:Q120)</f>
        <v>-794551</v>
      </c>
      <c r="R121" s="13">
        <f>SUM(R118:R120)</f>
        <v>-1575499</v>
      </c>
      <c r="S121" s="13">
        <f>SUM(S118:S120)</f>
        <v>-18075333</v>
      </c>
      <c r="T121" s="13">
        <f>SUM(T118:T120)</f>
        <v>-7670400</v>
      </c>
      <c r="U121" s="13">
        <f>SUM(U118:U120)</f>
        <v>-6787299</v>
      </c>
      <c r="V121" s="13">
        <f>SUM(V118:V120)</f>
        <v>-4959877</v>
      </c>
      <c r="X121" s="13">
        <f>SUM(X118:X120)</f>
        <v>-278590</v>
      </c>
      <c r="Y121" s="13">
        <f>SUM(Y118:Y120)</f>
        <v>-242223</v>
      </c>
      <c r="Z121" s="13">
        <f>SUM(Z118:Z120)</f>
        <v>-578987</v>
      </c>
      <c r="AA121" s="13">
        <f>SUM(AA118:AA120)</f>
        <v>-735811</v>
      </c>
      <c r="AB121" s="13">
        <f>SUM(AB118:AB120)</f>
        <v>-1905237</v>
      </c>
      <c r="AC121" s="13">
        <f>SUM(AC118:AC120)</f>
        <v>-3366317</v>
      </c>
      <c r="AD121" s="13">
        <f>SUM(AD118:AD120)</f>
        <v>-3813226</v>
      </c>
      <c r="AE121" s="13">
        <f>SUM(AE118:AE120)</f>
        <v>-5225591</v>
      </c>
      <c r="AF121" s="13">
        <f>SUM(AF118:AF120)</f>
        <v>-22086237</v>
      </c>
      <c r="AG121" s="13">
        <f>SUM(AG118:AG120)</f>
        <v>-28115783</v>
      </c>
      <c r="AH121" s="13">
        <f>SUM(AH118:AH120)</f>
        <v>-34108531</v>
      </c>
      <c r="AI121" s="13">
        <f>SUM(AI118:AI120)</f>
        <v>-37492909</v>
      </c>
      <c r="AJ121" s="40"/>
      <c r="AK121" s="71">
        <f>SUM(AH121/AD121)-1</f>
        <v>7.9447966105339685</v>
      </c>
    </row>
    <row r="122" spans="2:37" ht="5.0999999999999996" customHeight="1">
      <c r="B122" s="50"/>
      <c r="C122" s="59"/>
      <c r="D122" s="59"/>
      <c r="E122" s="59"/>
      <c r="F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37"/>
    </row>
    <row r="123" spans="2:37" ht="12.75" customHeight="1">
      <c r="B123" s="122" t="s">
        <v>60</v>
      </c>
      <c r="C123" s="60"/>
      <c r="D123" s="60"/>
      <c r="E123" s="60"/>
      <c r="F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61"/>
      <c r="AK123" s="37"/>
    </row>
    <row r="124" spans="2:37" ht="12.75" customHeight="1">
      <c r="B124" s="79" t="s">
        <v>106</v>
      </c>
      <c r="C124" s="78">
        <f>1025204+487208</f>
        <v>1512412</v>
      </c>
      <c r="D124" s="78">
        <f>204586+10584</f>
        <v>215170</v>
      </c>
      <c r="E124" s="78">
        <f>-160033-513</f>
        <v>-160546</v>
      </c>
      <c r="F124" s="78">
        <f>6132319-515414-539</f>
        <v>5616366</v>
      </c>
      <c r="H124" s="123">
        <v>204693</v>
      </c>
      <c r="I124" s="123">
        <f>204693-107+11100-174-H124</f>
        <v>10819</v>
      </c>
      <c r="J124" s="123">
        <f>204693-107+11100-214-121-I124-H124</f>
        <v>-161</v>
      </c>
      <c r="K124" s="124">
        <f t="shared" ref="K124:K125" si="399">SUM(D124-SUM(H124:J124))</f>
        <v>-181</v>
      </c>
      <c r="L124" s="123">
        <f>-159900-128</f>
        <v>-160028</v>
      </c>
      <c r="M124" s="123">
        <f>-160033-254-L124</f>
        <v>-259</v>
      </c>
      <c r="N124" s="123">
        <f>-160033-382-M124-L124</f>
        <v>-128</v>
      </c>
      <c r="O124" s="124">
        <f t="shared" ref="O124:O125" si="400">SUM(E124-SUM(L124:N124))</f>
        <v>-131</v>
      </c>
      <c r="P124" s="123">
        <f>1403750-28071-133</f>
        <v>1375546</v>
      </c>
      <c r="Q124" s="123">
        <f>2203750-42008-44-266-P124</f>
        <v>785886</v>
      </c>
      <c r="R124" s="123">
        <f>3213750-53524-398-515325-401-Q124-P124</f>
        <v>482670</v>
      </c>
      <c r="S124" s="124">
        <f t="shared" ref="S124:S125" si="401">SUM(F124-SUM(P124:R124))</f>
        <v>2972264</v>
      </c>
      <c r="T124" s="123">
        <f>2000000-14133-143-141</f>
        <v>1985583</v>
      </c>
      <c r="U124" s="123">
        <f>-282+16000-143-14779+2000000-T124</f>
        <v>15213</v>
      </c>
      <c r="V124" s="123">
        <f>-423+21000-143-15057+2000000-U124-T124</f>
        <v>4581</v>
      </c>
      <c r="W124" s="30"/>
      <c r="X124" s="30">
        <f t="shared" ref="X124:X128" si="402">SUM(H124:K124)</f>
        <v>215170</v>
      </c>
      <c r="Y124" s="30">
        <f t="shared" ref="Y124:Y128" si="403">SUM(I124:L124)</f>
        <v>-149551</v>
      </c>
      <c r="Z124" s="30">
        <f t="shared" ref="Z124:Z128" si="404">SUM(J124:M124)</f>
        <v>-160629</v>
      </c>
      <c r="AA124" s="30">
        <f t="shared" ref="AA124:AA128" si="405">SUM(K124:N124)</f>
        <v>-160596</v>
      </c>
      <c r="AB124" s="30">
        <f t="shared" ref="AB124:AB128" si="406">SUM(L124:O124)</f>
        <v>-160546</v>
      </c>
      <c r="AC124" s="30">
        <f t="shared" ref="AC124:AC128" si="407">SUM(M124:P124)</f>
        <v>1375028</v>
      </c>
      <c r="AD124" s="30">
        <f t="shared" ref="AD124:AD128" si="408">SUM(N124:Q124)</f>
        <v>2161173</v>
      </c>
      <c r="AE124" s="30">
        <f t="shared" ref="AE124:AE128" si="409">SUM(O124:R124)</f>
        <v>2643971</v>
      </c>
      <c r="AF124" s="30">
        <f t="shared" ref="AF124:AF128" si="410">SUM(P124:S124)</f>
        <v>5616366</v>
      </c>
      <c r="AG124" s="30">
        <f t="shared" ref="AG124:AG128" si="411">SUM(Q124:T124)</f>
        <v>6226403</v>
      </c>
      <c r="AH124" s="30">
        <f t="shared" ref="AH124:AH128" si="412">SUM(R124:U124)</f>
        <v>5455730</v>
      </c>
      <c r="AI124" s="30">
        <f t="shared" ref="AI124:AI128" si="413">SUM(S124:V124)</f>
        <v>4977641</v>
      </c>
      <c r="AJ124" s="61"/>
      <c r="AK124" s="70">
        <f t="shared" ref="AK124:AK128" si="414">SUM(AH124/AD124)-1</f>
        <v>1.5244300201788565</v>
      </c>
    </row>
    <row r="125" spans="2:37" ht="12.75" customHeight="1">
      <c r="B125" s="79" t="s">
        <v>174</v>
      </c>
      <c r="C125" s="78">
        <v>990463</v>
      </c>
      <c r="D125" s="78">
        <v>46234</v>
      </c>
      <c r="E125" s="78">
        <v>2020073</v>
      </c>
      <c r="F125" s="78">
        <v>16329857</v>
      </c>
      <c r="H125" s="123">
        <v>0</v>
      </c>
      <c r="I125" s="123">
        <v>0</v>
      </c>
      <c r="J125" s="123">
        <v>0</v>
      </c>
      <c r="K125" s="124">
        <f t="shared" si="399"/>
        <v>46234</v>
      </c>
      <c r="L125" s="123">
        <f>341062-2045</f>
        <v>339017</v>
      </c>
      <c r="M125" s="123">
        <f>676068-3628-L125</f>
        <v>333423</v>
      </c>
      <c r="N125" s="123">
        <f>823945-4286-M125-L125</f>
        <v>147219</v>
      </c>
      <c r="O125" s="124">
        <f t="shared" si="400"/>
        <v>1200414</v>
      </c>
      <c r="P125" s="123">
        <f>137765-613</f>
        <v>137152</v>
      </c>
      <c r="Q125" s="123">
        <f>137765-613-P125</f>
        <v>0</v>
      </c>
      <c r="R125" s="123">
        <f>1246478-4185-Q125-P125</f>
        <v>1105141</v>
      </c>
      <c r="S125" s="124">
        <f t="shared" si="401"/>
        <v>15087564</v>
      </c>
      <c r="T125" s="123">
        <f>4407093-7129+1336938-31113</f>
        <v>5705789</v>
      </c>
      <c r="U125" s="123">
        <f>-17775+9663697-56372+2947684-T125</f>
        <v>6831445</v>
      </c>
      <c r="V125" s="123">
        <f>-20323+11865945-106859+5888450-U125-T125</f>
        <v>5089979</v>
      </c>
      <c r="W125" s="30"/>
      <c r="X125" s="30">
        <f t="shared" si="402"/>
        <v>46234</v>
      </c>
      <c r="Y125" s="30">
        <f t="shared" si="403"/>
        <v>385251</v>
      </c>
      <c r="Z125" s="30">
        <f t="shared" si="404"/>
        <v>718674</v>
      </c>
      <c r="AA125" s="30">
        <f t="shared" si="405"/>
        <v>865893</v>
      </c>
      <c r="AB125" s="30">
        <f t="shared" si="406"/>
        <v>2020073</v>
      </c>
      <c r="AC125" s="30">
        <f t="shared" si="407"/>
        <v>1818208</v>
      </c>
      <c r="AD125" s="30">
        <f t="shared" si="408"/>
        <v>1484785</v>
      </c>
      <c r="AE125" s="30">
        <f t="shared" si="409"/>
        <v>2442707</v>
      </c>
      <c r="AF125" s="30">
        <f t="shared" si="410"/>
        <v>16329857</v>
      </c>
      <c r="AG125" s="30">
        <f t="shared" si="411"/>
        <v>21898494</v>
      </c>
      <c r="AH125" s="30">
        <f t="shared" si="412"/>
        <v>28729939</v>
      </c>
      <c r="AI125" s="30">
        <f t="shared" si="413"/>
        <v>32714777</v>
      </c>
      <c r="AJ125" s="61"/>
      <c r="AK125" s="70">
        <f t="shared" si="414"/>
        <v>18.349561721057256</v>
      </c>
    </row>
    <row r="126" spans="2:37" ht="12.75" customHeight="1">
      <c r="B126" s="79" t="s">
        <v>168</v>
      </c>
      <c r="C126" s="78">
        <v>40651</v>
      </c>
      <c r="D126" s="78">
        <v>1393</v>
      </c>
      <c r="E126" s="78">
        <v>30518</v>
      </c>
      <c r="F126" s="78">
        <v>184287</v>
      </c>
      <c r="H126" s="123">
        <v>288</v>
      </c>
      <c r="I126" s="123">
        <f>711-H126</f>
        <v>423</v>
      </c>
      <c r="J126" s="123">
        <f>1332-I126-H126</f>
        <v>621</v>
      </c>
      <c r="K126" s="124">
        <f t="shared" ref="K126:K128" si="415">SUM(D126-SUM(H126:J126))</f>
        <v>61</v>
      </c>
      <c r="L126" s="123">
        <v>6750</v>
      </c>
      <c r="M126" s="123">
        <f>12104-L126</f>
        <v>5354</v>
      </c>
      <c r="N126" s="123">
        <f>14217-M126-L126</f>
        <v>2113</v>
      </c>
      <c r="O126" s="124">
        <f t="shared" ref="O126:O128" si="416">SUM(E126-SUM(L126:N126))</f>
        <v>16301</v>
      </c>
      <c r="P126" s="123">
        <v>134874</v>
      </c>
      <c r="Q126" s="123">
        <f>153349-P126</f>
        <v>18475</v>
      </c>
      <c r="R126" s="123">
        <f>157541-Q126-P126</f>
        <v>4192</v>
      </c>
      <c r="S126" s="124">
        <f t="shared" ref="S126:S128" si="417">SUM(F126-SUM(P126:R126))</f>
        <v>26746</v>
      </c>
      <c r="T126" s="123">
        <v>9418</v>
      </c>
      <c r="U126" s="123">
        <f>21869-T126</f>
        <v>12451</v>
      </c>
      <c r="V126" s="123">
        <f>36739-U126-T126</f>
        <v>14870</v>
      </c>
      <c r="W126" s="30"/>
      <c r="X126" s="30">
        <f t="shared" si="402"/>
        <v>1393</v>
      </c>
      <c r="Y126" s="30">
        <f t="shared" si="403"/>
        <v>7855</v>
      </c>
      <c r="Z126" s="30">
        <f t="shared" si="404"/>
        <v>12786</v>
      </c>
      <c r="AA126" s="30">
        <f t="shared" si="405"/>
        <v>14278</v>
      </c>
      <c r="AB126" s="30">
        <f t="shared" si="406"/>
        <v>30518</v>
      </c>
      <c r="AC126" s="30">
        <f t="shared" si="407"/>
        <v>158642</v>
      </c>
      <c r="AD126" s="30">
        <f t="shared" si="408"/>
        <v>171763</v>
      </c>
      <c r="AE126" s="30">
        <f t="shared" si="409"/>
        <v>173842</v>
      </c>
      <c r="AF126" s="30">
        <f t="shared" si="410"/>
        <v>184287</v>
      </c>
      <c r="AG126" s="30">
        <f t="shared" si="411"/>
        <v>58831</v>
      </c>
      <c r="AH126" s="30">
        <f t="shared" si="412"/>
        <v>52807</v>
      </c>
      <c r="AI126" s="30">
        <f t="shared" si="413"/>
        <v>63485</v>
      </c>
      <c r="AJ126" s="61"/>
      <c r="AK126" s="70">
        <f t="shared" si="414"/>
        <v>-0.69255893294830662</v>
      </c>
    </row>
    <row r="127" spans="2:37" ht="12.75" customHeight="1">
      <c r="B127" s="79" t="s">
        <v>169</v>
      </c>
      <c r="C127" s="78">
        <v>2854</v>
      </c>
      <c r="D127" s="78">
        <v>4473</v>
      </c>
      <c r="E127" s="78">
        <v>3955</v>
      </c>
      <c r="F127" s="78">
        <v>4304</v>
      </c>
      <c r="H127" s="123">
        <v>2805</v>
      </c>
      <c r="I127" s="123">
        <f>2805-H127</f>
        <v>0</v>
      </c>
      <c r="J127" s="123">
        <f>4473-I127-H127</f>
        <v>1668</v>
      </c>
      <c r="K127" s="124">
        <f t="shared" si="415"/>
        <v>0</v>
      </c>
      <c r="L127" s="123">
        <v>2380</v>
      </c>
      <c r="M127" s="123">
        <f>2380-L127</f>
        <v>0</v>
      </c>
      <c r="N127" s="123">
        <f>3955-M127-L127</f>
        <v>1575</v>
      </c>
      <c r="O127" s="124">
        <f t="shared" si="416"/>
        <v>0</v>
      </c>
      <c r="P127" s="123">
        <v>2071</v>
      </c>
      <c r="Q127" s="123">
        <f>2071-P127</f>
        <v>0</v>
      </c>
      <c r="R127" s="123">
        <f>4304-Q127-P127</f>
        <v>2233</v>
      </c>
      <c r="S127" s="124">
        <f t="shared" si="417"/>
        <v>0</v>
      </c>
      <c r="T127" s="123">
        <v>2703</v>
      </c>
      <c r="U127" s="123">
        <f>2703-T127</f>
        <v>0</v>
      </c>
      <c r="V127" s="123">
        <f>5435-U127-T127</f>
        <v>2732</v>
      </c>
      <c r="W127" s="30"/>
      <c r="X127" s="30">
        <f t="shared" si="402"/>
        <v>4473</v>
      </c>
      <c r="Y127" s="30">
        <f t="shared" si="403"/>
        <v>4048</v>
      </c>
      <c r="Z127" s="30">
        <f t="shared" si="404"/>
        <v>4048</v>
      </c>
      <c r="AA127" s="30">
        <f t="shared" si="405"/>
        <v>3955</v>
      </c>
      <c r="AB127" s="30">
        <f t="shared" si="406"/>
        <v>3955</v>
      </c>
      <c r="AC127" s="30">
        <f t="shared" si="407"/>
        <v>3646</v>
      </c>
      <c r="AD127" s="30">
        <f t="shared" si="408"/>
        <v>3646</v>
      </c>
      <c r="AE127" s="30">
        <f t="shared" si="409"/>
        <v>4304</v>
      </c>
      <c r="AF127" s="30">
        <f t="shared" si="410"/>
        <v>4304</v>
      </c>
      <c r="AG127" s="30">
        <f t="shared" si="411"/>
        <v>4936</v>
      </c>
      <c r="AH127" s="30">
        <f t="shared" si="412"/>
        <v>4936</v>
      </c>
      <c r="AI127" s="30">
        <f t="shared" si="413"/>
        <v>5435</v>
      </c>
      <c r="AJ127" s="61"/>
      <c r="AK127" s="70">
        <f t="shared" si="414"/>
        <v>0.35381239714755908</v>
      </c>
    </row>
    <row r="128" spans="2:37" ht="12.75" customHeight="1">
      <c r="B128" s="79" t="s">
        <v>170</v>
      </c>
      <c r="C128" s="78">
        <v>-4695</v>
      </c>
      <c r="D128" s="78">
        <v>-2082</v>
      </c>
      <c r="E128" s="78">
        <v>-4114</v>
      </c>
      <c r="F128" s="78">
        <v>-2173</v>
      </c>
      <c r="H128" s="123">
        <v>-495</v>
      </c>
      <c r="I128" s="123">
        <f>-541-H128</f>
        <v>-46</v>
      </c>
      <c r="J128" s="123">
        <f>-1105-I128-H128</f>
        <v>-564</v>
      </c>
      <c r="K128" s="124">
        <f t="shared" si="415"/>
        <v>-977</v>
      </c>
      <c r="L128" s="123">
        <v>-497</v>
      </c>
      <c r="M128" s="123">
        <f>-726-L128</f>
        <v>-229</v>
      </c>
      <c r="N128" s="123">
        <f>-1391-M128-L128</f>
        <v>-665</v>
      </c>
      <c r="O128" s="124">
        <f t="shared" si="416"/>
        <v>-2723</v>
      </c>
      <c r="P128" s="123">
        <v>-1243</v>
      </c>
      <c r="Q128" s="123">
        <f>-2173-P128</f>
        <v>-930</v>
      </c>
      <c r="R128" s="123">
        <f>-2173-Q128-P128</f>
        <v>0</v>
      </c>
      <c r="S128" s="124">
        <f t="shared" si="417"/>
        <v>0</v>
      </c>
      <c r="T128" s="123">
        <v>0</v>
      </c>
      <c r="U128" s="123">
        <v>0</v>
      </c>
      <c r="V128" s="123">
        <v>0</v>
      </c>
      <c r="W128" s="30"/>
      <c r="X128" s="30">
        <f t="shared" ref="X128" si="418">SUM(H128:K128)</f>
        <v>-2082</v>
      </c>
      <c r="Y128" s="30">
        <f t="shared" ref="Y128" si="419">SUM(I128:L128)</f>
        <v>-2084</v>
      </c>
      <c r="Z128" s="30">
        <f t="shared" ref="Z128" si="420">SUM(J128:M128)</f>
        <v>-2267</v>
      </c>
      <c r="AA128" s="30">
        <f t="shared" ref="AA128" si="421">SUM(K128:N128)</f>
        <v>-2368</v>
      </c>
      <c r="AB128" s="30">
        <f t="shared" ref="AB128" si="422">SUM(L128:O128)</f>
        <v>-4114</v>
      </c>
      <c r="AC128" s="30">
        <f t="shared" ref="AC128" si="423">SUM(M128:P128)</f>
        <v>-4860</v>
      </c>
      <c r="AD128" s="30">
        <f t="shared" ref="AD128" si="424">SUM(N128:Q128)</f>
        <v>-5561</v>
      </c>
      <c r="AE128" s="30">
        <f t="shared" ref="AE128" si="425">SUM(O128:R128)</f>
        <v>-4896</v>
      </c>
      <c r="AF128" s="30">
        <f t="shared" ref="AF128" si="426">SUM(P128:S128)</f>
        <v>-2173</v>
      </c>
      <c r="AG128" s="30">
        <f t="shared" ref="AG128" si="427">SUM(Q128:T128)</f>
        <v>-930</v>
      </c>
      <c r="AH128" s="30">
        <f t="shared" ref="AH128:AI128" si="428">SUM(R128:U128)</f>
        <v>0</v>
      </c>
      <c r="AI128" s="30">
        <f t="shared" si="428"/>
        <v>0</v>
      </c>
      <c r="AJ128" s="61"/>
      <c r="AK128" s="70">
        <f t="shared" si="414"/>
        <v>-1</v>
      </c>
    </row>
    <row r="129" spans="2:37" ht="12.75" customHeight="1">
      <c r="B129" s="79" t="s">
        <v>171</v>
      </c>
      <c r="C129" s="78">
        <v>0</v>
      </c>
      <c r="D129" s="78">
        <v>0</v>
      </c>
      <c r="E129" s="78">
        <v>0</v>
      </c>
      <c r="F129" s="78">
        <v>0</v>
      </c>
      <c r="G129" s="30"/>
      <c r="H129" s="123">
        <v>0</v>
      </c>
      <c r="I129" s="123">
        <v>0</v>
      </c>
      <c r="J129" s="123">
        <v>0</v>
      </c>
      <c r="K129" s="124">
        <v>0</v>
      </c>
      <c r="L129" s="123">
        <v>0</v>
      </c>
      <c r="M129" s="123">
        <v>0</v>
      </c>
      <c r="N129" s="123">
        <v>0</v>
      </c>
      <c r="O129" s="124">
        <v>0</v>
      </c>
      <c r="P129" s="123">
        <v>0</v>
      </c>
      <c r="Q129" s="123">
        <v>0</v>
      </c>
      <c r="R129" s="123">
        <v>0</v>
      </c>
      <c r="S129" s="124">
        <v>0</v>
      </c>
      <c r="T129" s="123">
        <v>-9188</v>
      </c>
      <c r="U129" s="123">
        <f>-58142-T129</f>
        <v>-48954</v>
      </c>
      <c r="V129" s="123">
        <f>-197922-U129-T129</f>
        <v>-139780</v>
      </c>
      <c r="W129" s="30"/>
      <c r="X129" s="30">
        <f t="shared" ref="X129:AI129" si="429">SUM(H129:K129)</f>
        <v>0</v>
      </c>
      <c r="Y129" s="30">
        <f t="shared" si="429"/>
        <v>0</v>
      </c>
      <c r="Z129" s="30">
        <f t="shared" si="429"/>
        <v>0</v>
      </c>
      <c r="AA129" s="30">
        <f t="shared" si="429"/>
        <v>0</v>
      </c>
      <c r="AB129" s="30">
        <f t="shared" si="429"/>
        <v>0</v>
      </c>
      <c r="AC129" s="30">
        <f t="shared" si="429"/>
        <v>0</v>
      </c>
      <c r="AD129" s="30">
        <f t="shared" si="429"/>
        <v>0</v>
      </c>
      <c r="AE129" s="30">
        <f t="shared" si="429"/>
        <v>0</v>
      </c>
      <c r="AF129" s="30">
        <f t="shared" si="429"/>
        <v>0</v>
      </c>
      <c r="AG129" s="30">
        <f t="shared" si="429"/>
        <v>-9188</v>
      </c>
      <c r="AH129" s="30">
        <f t="shared" si="429"/>
        <v>-58142</v>
      </c>
      <c r="AI129" s="30">
        <f t="shared" si="429"/>
        <v>-197922</v>
      </c>
      <c r="AJ129" s="61"/>
      <c r="AK129" s="70" t="e">
        <f t="shared" ref="AK128:AK129" si="430">SUM(AH129/AD129)-1</f>
        <v>#DIV/0!</v>
      </c>
    </row>
    <row r="130" spans="2:37" ht="12.75" customHeight="1">
      <c r="B130" s="12" t="s">
        <v>61</v>
      </c>
      <c r="C130" s="13">
        <f>SUM(C124:C129)</f>
        <v>2541685</v>
      </c>
      <c r="D130" s="13">
        <f>SUM(D124:D129)</f>
        <v>265188</v>
      </c>
      <c r="E130" s="13">
        <f>SUM(E124:E129)</f>
        <v>1889886</v>
      </c>
      <c r="F130" s="13">
        <f>SUM(F124:F129)</f>
        <v>22132641</v>
      </c>
      <c r="H130" s="13">
        <f>SUM(H124:H129)</f>
        <v>207291</v>
      </c>
      <c r="I130" s="13">
        <f>SUM(I124:I129)</f>
        <v>11196</v>
      </c>
      <c r="J130" s="13">
        <f>SUM(J124:J129)</f>
        <v>1564</v>
      </c>
      <c r="K130" s="13">
        <f>SUM(K124:K129)</f>
        <v>45137</v>
      </c>
      <c r="L130" s="13">
        <f>SUM(L124:L129)</f>
        <v>187622</v>
      </c>
      <c r="M130" s="13">
        <f>SUM(M124:M129)</f>
        <v>338289</v>
      </c>
      <c r="N130" s="13">
        <f>SUM(N124:N129)</f>
        <v>150114</v>
      </c>
      <c r="O130" s="13">
        <f>SUM(O124:O129)</f>
        <v>1213861</v>
      </c>
      <c r="P130" s="13">
        <f>SUM(P124:P129)</f>
        <v>1648400</v>
      </c>
      <c r="Q130" s="13">
        <f>SUM(Q124:Q129)</f>
        <v>803431</v>
      </c>
      <c r="R130" s="13">
        <f>SUM(R124:R129)</f>
        <v>1594236</v>
      </c>
      <c r="S130" s="13">
        <f>SUM(S124:S129)</f>
        <v>18086574</v>
      </c>
      <c r="T130" s="13">
        <f>SUM(T124:T129)</f>
        <v>7694305</v>
      </c>
      <c r="U130" s="13">
        <f>SUM(U124:U129)</f>
        <v>6810155</v>
      </c>
      <c r="V130" s="13">
        <f>SUM(V124:V129)</f>
        <v>4972382</v>
      </c>
      <c r="X130" s="13">
        <f>SUM(X124:X129)</f>
        <v>265188</v>
      </c>
      <c r="Y130" s="13">
        <f>SUM(Y124:Y129)</f>
        <v>245519</v>
      </c>
      <c r="Z130" s="13">
        <f>SUM(Z124:Z129)</f>
        <v>572612</v>
      </c>
      <c r="AA130" s="13">
        <f>SUM(AA124:AA129)</f>
        <v>721162</v>
      </c>
      <c r="AB130" s="13">
        <f>SUM(AB124:AB129)</f>
        <v>1889886</v>
      </c>
      <c r="AC130" s="13">
        <f>SUM(AC124:AC129)</f>
        <v>3350664</v>
      </c>
      <c r="AD130" s="13">
        <f>SUM(AD124:AD129)</f>
        <v>3815806</v>
      </c>
      <c r="AE130" s="13">
        <f>SUM(AE124:AE129)</f>
        <v>5259928</v>
      </c>
      <c r="AF130" s="13">
        <f>SUM(AF124:AF129)</f>
        <v>22132641</v>
      </c>
      <c r="AG130" s="13">
        <f>SUM(AG124:AG129)</f>
        <v>28178546</v>
      </c>
      <c r="AH130" s="13">
        <f>SUM(AH124:AH129)</f>
        <v>34185270</v>
      </c>
      <c r="AI130" s="13">
        <f>SUM(AI124:AI129)</f>
        <v>37563416</v>
      </c>
      <c r="AJ130" s="40"/>
      <c r="AK130" s="71">
        <f>SUM(AH130/AD130)-1</f>
        <v>7.9588595436979759</v>
      </c>
    </row>
    <row r="131" spans="2:37" ht="5.0999999999999996" customHeight="1">
      <c r="B131" s="8"/>
      <c r="C131" s="62"/>
      <c r="D131" s="62"/>
      <c r="E131" s="62"/>
      <c r="F131" s="62"/>
      <c r="G131" s="30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44"/>
    </row>
    <row r="132" spans="2:37" ht="5.0999999999999996" customHeight="1">
      <c r="B132" s="67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11"/>
      <c r="AK132" s="44"/>
    </row>
    <row r="133" spans="2:37">
      <c r="B133" s="150" t="s">
        <v>102</v>
      </c>
      <c r="C133" s="129">
        <v>60759</v>
      </c>
      <c r="D133" s="130">
        <f t="shared" ref="D133:F133" si="431">C140</f>
        <v>63356</v>
      </c>
      <c r="E133" s="130">
        <f t="shared" si="431"/>
        <v>43835</v>
      </c>
      <c r="F133" s="130">
        <f t="shared" si="431"/>
        <v>46817</v>
      </c>
      <c r="G133" s="130"/>
      <c r="H133" s="130">
        <f>D135</f>
        <v>64434</v>
      </c>
      <c r="I133" s="130">
        <f>H140</f>
        <v>92677</v>
      </c>
      <c r="J133" s="130">
        <f t="shared" ref="J133:V133" si="432">I140</f>
        <v>69386</v>
      </c>
      <c r="K133" s="130">
        <f t="shared" si="432"/>
        <v>60390</v>
      </c>
      <c r="L133" s="130">
        <f t="shared" si="432"/>
        <v>43835</v>
      </c>
      <c r="M133" s="130">
        <f t="shared" si="432"/>
        <v>94311</v>
      </c>
      <c r="N133" s="130">
        <f t="shared" si="432"/>
        <v>65968</v>
      </c>
      <c r="O133" s="130">
        <f t="shared" si="432"/>
        <v>45009</v>
      </c>
      <c r="P133" s="130">
        <f t="shared" si="432"/>
        <v>46817</v>
      </c>
      <c r="Q133" s="130">
        <f t="shared" si="432"/>
        <v>81326</v>
      </c>
      <c r="R133" s="130">
        <f t="shared" si="432"/>
        <v>66923</v>
      </c>
      <c r="S133" s="130">
        <f t="shared" si="432"/>
        <v>46343</v>
      </c>
      <c r="T133" s="130">
        <f t="shared" si="432"/>
        <v>38117</v>
      </c>
      <c r="U133" s="130">
        <f t="shared" si="432"/>
        <v>60298</v>
      </c>
      <c r="V133" s="130">
        <f t="shared" si="432"/>
        <v>50095</v>
      </c>
      <c r="W133" s="130"/>
      <c r="X133" s="130">
        <f>K135</f>
        <v>66968</v>
      </c>
      <c r="Y133" s="130">
        <f>X140</f>
        <v>43835</v>
      </c>
      <c r="Z133" s="130">
        <f t="shared" ref="Z133:AH133" si="433">Y140</f>
        <v>94311</v>
      </c>
      <c r="AA133" s="130">
        <f t="shared" si="433"/>
        <v>65968</v>
      </c>
      <c r="AB133" s="130">
        <f t="shared" si="433"/>
        <v>45009</v>
      </c>
      <c r="AC133" s="130">
        <f t="shared" si="433"/>
        <v>46817</v>
      </c>
      <c r="AD133" s="130">
        <f t="shared" si="433"/>
        <v>81326</v>
      </c>
      <c r="AE133" s="130">
        <f t="shared" si="433"/>
        <v>66923</v>
      </c>
      <c r="AF133" s="130">
        <f t="shared" si="433"/>
        <v>46343</v>
      </c>
      <c r="AG133" s="130">
        <f t="shared" si="433"/>
        <v>38117</v>
      </c>
      <c r="AH133" s="130">
        <f t="shared" si="433"/>
        <v>60298</v>
      </c>
      <c r="AI133" s="148">
        <f t="shared" ref="AI133" si="434">AH140</f>
        <v>50095</v>
      </c>
      <c r="AJ133" s="11"/>
      <c r="AK133" s="44"/>
    </row>
    <row r="134" spans="2:37">
      <c r="B134" s="151" t="s">
        <v>99</v>
      </c>
      <c r="C134" s="30">
        <v>0</v>
      </c>
      <c r="D134" s="30">
        <f t="shared" ref="D134:F134" si="435">-C138</f>
        <v>1078</v>
      </c>
      <c r="E134" s="30">
        <f t="shared" si="435"/>
        <v>7033</v>
      </c>
      <c r="F134" s="30">
        <f t="shared" si="435"/>
        <v>1856</v>
      </c>
      <c r="G134" s="30"/>
      <c r="H134" s="30">
        <v>0</v>
      </c>
      <c r="I134" s="30">
        <f>-H138</f>
        <v>6265</v>
      </c>
      <c r="J134" s="30">
        <f t="shared" ref="J134:V134" si="436">-I138</f>
        <v>6155</v>
      </c>
      <c r="K134" s="30">
        <f t="shared" si="436"/>
        <v>6578</v>
      </c>
      <c r="L134" s="30">
        <f t="shared" si="436"/>
        <v>7033</v>
      </c>
      <c r="M134" s="30">
        <f t="shared" si="436"/>
        <v>2153</v>
      </c>
      <c r="N134" s="30">
        <f t="shared" si="436"/>
        <v>2085</v>
      </c>
      <c r="O134" s="30">
        <f t="shared" si="436"/>
        <v>1865</v>
      </c>
      <c r="P134" s="30">
        <f t="shared" si="436"/>
        <v>1856</v>
      </c>
      <c r="Q134" s="30">
        <f t="shared" si="436"/>
        <v>2402</v>
      </c>
      <c r="R134" s="30">
        <f t="shared" si="436"/>
        <v>1878</v>
      </c>
      <c r="S134" s="30">
        <f t="shared" si="436"/>
        <v>1862</v>
      </c>
      <c r="T134" s="30">
        <f t="shared" si="436"/>
        <v>1780</v>
      </c>
      <c r="U134" s="30">
        <f t="shared" si="436"/>
        <v>1960</v>
      </c>
      <c r="V134" s="30">
        <f t="shared" si="436"/>
        <v>2037</v>
      </c>
      <c r="W134" s="30"/>
      <c r="X134" s="30">
        <f>K136</f>
        <v>0</v>
      </c>
      <c r="Y134" s="30">
        <f>-X138</f>
        <v>7033</v>
      </c>
      <c r="Z134" s="30">
        <f t="shared" ref="Z134:AI134" si="437">-Y138</f>
        <v>2153</v>
      </c>
      <c r="AA134" s="30">
        <f t="shared" si="437"/>
        <v>2085</v>
      </c>
      <c r="AB134" s="30">
        <f t="shared" si="437"/>
        <v>1865</v>
      </c>
      <c r="AC134" s="30">
        <f t="shared" si="437"/>
        <v>1856</v>
      </c>
      <c r="AD134" s="30">
        <f t="shared" si="437"/>
        <v>2402</v>
      </c>
      <c r="AE134" s="30">
        <f t="shared" si="437"/>
        <v>1878</v>
      </c>
      <c r="AF134" s="30">
        <f t="shared" si="437"/>
        <v>1862</v>
      </c>
      <c r="AG134" s="30">
        <f t="shared" si="437"/>
        <v>1780</v>
      </c>
      <c r="AH134" s="30">
        <f t="shared" si="437"/>
        <v>1960</v>
      </c>
      <c r="AI134" s="115">
        <f t="shared" si="437"/>
        <v>2037</v>
      </c>
      <c r="AJ134" s="11"/>
      <c r="AK134" s="44"/>
    </row>
    <row r="135" spans="2:37">
      <c r="B135" s="118" t="s">
        <v>75</v>
      </c>
      <c r="C135" s="125">
        <f t="shared" ref="C135" si="438">SUM(C133:C134)</f>
        <v>60759</v>
      </c>
      <c r="D135" s="125">
        <f t="shared" ref="D135:F135" si="439">SUM(D133:D134)</f>
        <v>64434</v>
      </c>
      <c r="E135" s="125">
        <f t="shared" si="439"/>
        <v>50868</v>
      </c>
      <c r="F135" s="125">
        <f t="shared" si="439"/>
        <v>48673</v>
      </c>
      <c r="G135" s="30"/>
      <c r="H135" s="125">
        <f t="shared" ref="H135:U135" si="440">SUM(H133:H134)</f>
        <v>64434</v>
      </c>
      <c r="I135" s="125">
        <f t="shared" si="440"/>
        <v>98942</v>
      </c>
      <c r="J135" s="125">
        <f t="shared" si="440"/>
        <v>75541</v>
      </c>
      <c r="K135" s="125">
        <f t="shared" si="440"/>
        <v>66968</v>
      </c>
      <c r="L135" s="125">
        <f t="shared" si="440"/>
        <v>50868</v>
      </c>
      <c r="M135" s="125">
        <f t="shared" si="440"/>
        <v>96464</v>
      </c>
      <c r="N135" s="125">
        <f t="shared" si="440"/>
        <v>68053</v>
      </c>
      <c r="O135" s="125">
        <f t="shared" si="440"/>
        <v>46874</v>
      </c>
      <c r="P135" s="125">
        <f t="shared" si="440"/>
        <v>48673</v>
      </c>
      <c r="Q135" s="125">
        <f t="shared" si="440"/>
        <v>83728</v>
      </c>
      <c r="R135" s="125">
        <f t="shared" si="440"/>
        <v>68801</v>
      </c>
      <c r="S135" s="125">
        <f t="shared" si="440"/>
        <v>48205</v>
      </c>
      <c r="T135" s="125">
        <f t="shared" si="440"/>
        <v>39897</v>
      </c>
      <c r="U135" s="125">
        <f t="shared" si="440"/>
        <v>62258</v>
      </c>
      <c r="V135" s="125">
        <f t="shared" ref="V135" si="441">SUM(V133:V134)</f>
        <v>52132</v>
      </c>
      <c r="W135" s="127"/>
      <c r="X135" s="128">
        <f t="shared" ref="X135:AH135" si="442">SUM(X133:X134)</f>
        <v>66968</v>
      </c>
      <c r="Y135" s="128">
        <f t="shared" si="442"/>
        <v>50868</v>
      </c>
      <c r="Z135" s="128">
        <f t="shared" si="442"/>
        <v>96464</v>
      </c>
      <c r="AA135" s="128">
        <f t="shared" si="442"/>
        <v>68053</v>
      </c>
      <c r="AB135" s="128">
        <f t="shared" si="442"/>
        <v>46874</v>
      </c>
      <c r="AC135" s="128">
        <f t="shared" si="442"/>
        <v>48673</v>
      </c>
      <c r="AD135" s="128">
        <f t="shared" ref="AD135" si="443">SUM(AD133:AD134)</f>
        <v>83728</v>
      </c>
      <c r="AE135" s="128">
        <f t="shared" ref="AE135" si="444">SUM(AE133:AE134)</f>
        <v>68801</v>
      </c>
      <c r="AF135" s="128">
        <f t="shared" ref="AF135" si="445">SUM(AF133:AF134)</f>
        <v>48205</v>
      </c>
      <c r="AG135" s="128">
        <f t="shared" ref="AG135" si="446">SUM(AG133:AG134)</f>
        <v>39897</v>
      </c>
      <c r="AH135" s="128">
        <f t="shared" si="442"/>
        <v>62258</v>
      </c>
      <c r="AI135" s="126">
        <f t="shared" ref="AI135" si="447">SUM(AI133:AI134)</f>
        <v>52132</v>
      </c>
      <c r="AJ135" s="11"/>
      <c r="AK135" s="44"/>
    </row>
    <row r="136" spans="2:37" ht="5.0999999999999996" customHeight="1">
      <c r="B136" s="119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115"/>
      <c r="AJ136" s="11"/>
      <c r="AK136" s="44"/>
    </row>
    <row r="137" spans="2:37">
      <c r="B137" s="151" t="s">
        <v>100</v>
      </c>
      <c r="C137" s="78">
        <v>-2608</v>
      </c>
      <c r="D137" s="78">
        <v>-3375</v>
      </c>
      <c r="E137" s="78">
        <v>444</v>
      </c>
      <c r="F137" s="78">
        <v>-2148</v>
      </c>
      <c r="G137" s="30"/>
      <c r="H137" s="78">
        <v>-324</v>
      </c>
      <c r="I137" s="78">
        <f>-3224-H137</f>
        <v>-2900</v>
      </c>
      <c r="J137" s="78">
        <f>-5597-I137-H137</f>
        <v>-2373</v>
      </c>
      <c r="K137" s="124">
        <f t="shared" ref="K137" si="448">SUM(D137-SUM(H137:J137))</f>
        <v>2222</v>
      </c>
      <c r="L137" s="78">
        <v>351</v>
      </c>
      <c r="M137" s="78">
        <f>-235-L137</f>
        <v>-586</v>
      </c>
      <c r="N137" s="78">
        <f>-997-M137-L137</f>
        <v>-762</v>
      </c>
      <c r="O137" s="124">
        <f t="shared" ref="O137" si="449">SUM(E137-SUM(L137:N137))</f>
        <v>1441</v>
      </c>
      <c r="P137" s="78">
        <v>-1078</v>
      </c>
      <c r="Q137" s="78">
        <f>-1556-P137</f>
        <v>-478</v>
      </c>
      <c r="R137" s="78">
        <f>77-Q137-P137</f>
        <v>1633</v>
      </c>
      <c r="S137" s="124">
        <f t="shared" ref="S137" si="450">SUM(F137-SUM(P137:R137))</f>
        <v>-2225</v>
      </c>
      <c r="T137" s="78">
        <v>845</v>
      </c>
      <c r="U137" s="78">
        <f>2776-T137</f>
        <v>1931</v>
      </c>
      <c r="V137" s="78">
        <f>2649-U137-T137</f>
        <v>-127</v>
      </c>
      <c r="W137" s="30"/>
      <c r="X137" s="30">
        <f>K137</f>
        <v>2222</v>
      </c>
      <c r="Y137" s="30">
        <f t="shared" ref="Y137:AI137" si="451">L137</f>
        <v>351</v>
      </c>
      <c r="Z137" s="30">
        <f t="shared" si="451"/>
        <v>-586</v>
      </c>
      <c r="AA137" s="30">
        <f t="shared" si="451"/>
        <v>-762</v>
      </c>
      <c r="AB137" s="30">
        <f t="shared" si="451"/>
        <v>1441</v>
      </c>
      <c r="AC137" s="30">
        <f t="shared" si="451"/>
        <v>-1078</v>
      </c>
      <c r="AD137" s="30">
        <f t="shared" si="451"/>
        <v>-478</v>
      </c>
      <c r="AE137" s="30">
        <f t="shared" si="451"/>
        <v>1633</v>
      </c>
      <c r="AF137" s="30">
        <f t="shared" si="451"/>
        <v>-2225</v>
      </c>
      <c r="AG137" s="30">
        <f t="shared" si="451"/>
        <v>845</v>
      </c>
      <c r="AH137" s="30">
        <f t="shared" si="451"/>
        <v>1931</v>
      </c>
      <c r="AI137" s="115">
        <f t="shared" si="451"/>
        <v>-127</v>
      </c>
      <c r="AJ137" s="11"/>
      <c r="AK137" s="44"/>
    </row>
    <row r="138" spans="2:37">
      <c r="B138" s="151" t="s">
        <v>101</v>
      </c>
      <c r="C138" s="30">
        <f>-C47</f>
        <v>-1078</v>
      </c>
      <c r="D138" s="30">
        <f>-D47</f>
        <v>-7033</v>
      </c>
      <c r="E138" s="30">
        <f>-E47</f>
        <v>-1856</v>
      </c>
      <c r="F138" s="30">
        <f>-F47</f>
        <v>-1780</v>
      </c>
      <c r="G138" s="30"/>
      <c r="H138" s="30">
        <f>-H47</f>
        <v>-6265</v>
      </c>
      <c r="I138" s="30">
        <f>-I47</f>
        <v>-6155</v>
      </c>
      <c r="J138" s="30">
        <f>-J47</f>
        <v>-6578</v>
      </c>
      <c r="K138" s="30">
        <f>-K47</f>
        <v>-7033</v>
      </c>
      <c r="L138" s="30">
        <f>-L47</f>
        <v>-2153</v>
      </c>
      <c r="M138" s="30">
        <f>-M47</f>
        <v>-2085</v>
      </c>
      <c r="N138" s="30">
        <f>-N47</f>
        <v>-1865</v>
      </c>
      <c r="O138" s="30">
        <f>-O47</f>
        <v>-1856</v>
      </c>
      <c r="P138" s="30">
        <f>-P47</f>
        <v>-2402</v>
      </c>
      <c r="Q138" s="30">
        <f>-Q47</f>
        <v>-1878</v>
      </c>
      <c r="R138" s="30">
        <f>-R47</f>
        <v>-1862</v>
      </c>
      <c r="S138" s="30">
        <f>-S47</f>
        <v>-1780</v>
      </c>
      <c r="T138" s="30">
        <f>-T47</f>
        <v>-1960</v>
      </c>
      <c r="U138" s="30">
        <f>-U47</f>
        <v>-2037</v>
      </c>
      <c r="V138" s="30">
        <f>-V47</f>
        <v>-1915</v>
      </c>
      <c r="W138" s="30"/>
      <c r="X138" s="30">
        <f t="shared" ref="X138:AG138" si="452">K138</f>
        <v>-7033</v>
      </c>
      <c r="Y138" s="30">
        <f t="shared" si="452"/>
        <v>-2153</v>
      </c>
      <c r="Z138" s="30">
        <f t="shared" si="452"/>
        <v>-2085</v>
      </c>
      <c r="AA138" s="30">
        <f t="shared" si="452"/>
        <v>-1865</v>
      </c>
      <c r="AB138" s="30">
        <f t="shared" si="452"/>
        <v>-1856</v>
      </c>
      <c r="AC138" s="30">
        <f t="shared" si="452"/>
        <v>-2402</v>
      </c>
      <c r="AD138" s="30">
        <f t="shared" si="452"/>
        <v>-1878</v>
      </c>
      <c r="AE138" s="30">
        <f t="shared" si="452"/>
        <v>-1862</v>
      </c>
      <c r="AF138" s="30">
        <f t="shared" si="452"/>
        <v>-1780</v>
      </c>
      <c r="AG138" s="30">
        <f t="shared" si="452"/>
        <v>-1960</v>
      </c>
      <c r="AH138" s="30">
        <f>U138</f>
        <v>-2037</v>
      </c>
      <c r="AI138" s="115">
        <f>V138</f>
        <v>-1915</v>
      </c>
      <c r="AJ138" s="11"/>
      <c r="AK138" s="44"/>
    </row>
    <row r="139" spans="2:37">
      <c r="B139" s="151" t="s">
        <v>65</v>
      </c>
      <c r="C139" s="30">
        <f>+C130+C121+C115</f>
        <v>6283</v>
      </c>
      <c r="D139" s="30">
        <f>+D130+D121+D115</f>
        <v>-10191</v>
      </c>
      <c r="E139" s="30">
        <f>+E130+E121+E115</f>
        <v>-2639</v>
      </c>
      <c r="F139" s="30">
        <f>+F130+F121+F115</f>
        <v>-6628</v>
      </c>
      <c r="G139" s="30"/>
      <c r="H139" s="30">
        <f>+H130+H121+H115</f>
        <v>34832</v>
      </c>
      <c r="I139" s="30">
        <f>+I130+I121+I115</f>
        <v>-20501</v>
      </c>
      <c r="J139" s="30">
        <f>+J130+J121+J115</f>
        <v>-6200</v>
      </c>
      <c r="K139" s="30">
        <f>+K130+K121+K115</f>
        <v>-18322</v>
      </c>
      <c r="L139" s="30">
        <f>+L130+L121+L115</f>
        <v>45245</v>
      </c>
      <c r="M139" s="30">
        <f>+M130+M121+M115</f>
        <v>-27825</v>
      </c>
      <c r="N139" s="30">
        <f>+N130+N121+N115</f>
        <v>-20417</v>
      </c>
      <c r="O139" s="30">
        <f>+O130+O121+O115</f>
        <v>358</v>
      </c>
      <c r="P139" s="30">
        <f>+P130+P121+P115</f>
        <v>36133</v>
      </c>
      <c r="Q139" s="30">
        <f>+Q130+Q121+Q115</f>
        <v>-14449</v>
      </c>
      <c r="R139" s="30">
        <f>+R130+R121+R115</f>
        <v>-22229</v>
      </c>
      <c r="S139" s="30">
        <f>+S130+S121+S115</f>
        <v>-6083</v>
      </c>
      <c r="T139" s="30">
        <f>+T130+T121+T115</f>
        <v>21516</v>
      </c>
      <c r="U139" s="30">
        <f>+U130+U121+U115</f>
        <v>-12057</v>
      </c>
      <c r="V139" s="30">
        <f>+V130+V121+V115</f>
        <v>4195</v>
      </c>
      <c r="W139" s="30"/>
      <c r="X139" s="30">
        <f>K139</f>
        <v>-18322</v>
      </c>
      <c r="Y139" s="30">
        <f>L139</f>
        <v>45245</v>
      </c>
      <c r="Z139" s="30">
        <f>M139</f>
        <v>-27825</v>
      </c>
      <c r="AA139" s="30">
        <f>N139</f>
        <v>-20417</v>
      </c>
      <c r="AB139" s="30">
        <f>O139</f>
        <v>358</v>
      </c>
      <c r="AC139" s="30">
        <f t="shared" ref="AC139" si="453">P139</f>
        <v>36133</v>
      </c>
      <c r="AD139" s="30">
        <f t="shared" ref="AD139" si="454">Q139</f>
        <v>-14449</v>
      </c>
      <c r="AE139" s="30">
        <f t="shared" ref="AE139" si="455">R139</f>
        <v>-22229</v>
      </c>
      <c r="AF139" s="30">
        <f t="shared" ref="AF139" si="456">S139</f>
        <v>-6083</v>
      </c>
      <c r="AG139" s="30">
        <f t="shared" ref="AG139" si="457">T139</f>
        <v>21516</v>
      </c>
      <c r="AH139" s="30">
        <f t="shared" ref="AH139:AI139" si="458">U139</f>
        <v>-12057</v>
      </c>
      <c r="AI139" s="115">
        <f t="shared" si="458"/>
        <v>4195</v>
      </c>
      <c r="AJ139" s="11"/>
      <c r="AK139" s="44"/>
    </row>
    <row r="140" spans="2:37">
      <c r="B140" s="118" t="s">
        <v>76</v>
      </c>
      <c r="C140" s="128">
        <f t="shared" ref="C140" si="459">SUM(C135:C139)</f>
        <v>63356</v>
      </c>
      <c r="D140" s="128">
        <f t="shared" ref="D140:F140" si="460">SUM(D135:D139)</f>
        <v>43835</v>
      </c>
      <c r="E140" s="128">
        <f t="shared" si="460"/>
        <v>46817</v>
      </c>
      <c r="F140" s="128">
        <f t="shared" si="460"/>
        <v>38117</v>
      </c>
      <c r="G140" s="30"/>
      <c r="H140" s="128">
        <f t="shared" ref="H140:U140" si="461">SUM(H135:H139)</f>
        <v>92677</v>
      </c>
      <c r="I140" s="128">
        <f t="shared" si="461"/>
        <v>69386</v>
      </c>
      <c r="J140" s="128">
        <f t="shared" si="461"/>
        <v>60390</v>
      </c>
      <c r="K140" s="128">
        <f t="shared" si="461"/>
        <v>43835</v>
      </c>
      <c r="L140" s="128">
        <f t="shared" si="461"/>
        <v>94311</v>
      </c>
      <c r="M140" s="128">
        <f t="shared" si="461"/>
        <v>65968</v>
      </c>
      <c r="N140" s="128">
        <f t="shared" si="461"/>
        <v>45009</v>
      </c>
      <c r="O140" s="128">
        <f t="shared" si="461"/>
        <v>46817</v>
      </c>
      <c r="P140" s="128">
        <f t="shared" si="461"/>
        <v>81326</v>
      </c>
      <c r="Q140" s="128">
        <f t="shared" si="461"/>
        <v>66923</v>
      </c>
      <c r="R140" s="128">
        <f t="shared" si="461"/>
        <v>46343</v>
      </c>
      <c r="S140" s="128">
        <f t="shared" si="461"/>
        <v>38117</v>
      </c>
      <c r="T140" s="128">
        <f t="shared" si="461"/>
        <v>60298</v>
      </c>
      <c r="U140" s="128">
        <f t="shared" si="461"/>
        <v>50095</v>
      </c>
      <c r="V140" s="128">
        <f t="shared" ref="V140" si="462">SUM(V135:V139)</f>
        <v>54285</v>
      </c>
      <c r="W140" s="127"/>
      <c r="X140" s="128">
        <f t="shared" ref="X140:AH140" si="463">SUM(X135:X139)</f>
        <v>43835</v>
      </c>
      <c r="Y140" s="128">
        <f t="shared" si="463"/>
        <v>94311</v>
      </c>
      <c r="Z140" s="128">
        <f t="shared" si="463"/>
        <v>65968</v>
      </c>
      <c r="AA140" s="128">
        <f t="shared" si="463"/>
        <v>45009</v>
      </c>
      <c r="AB140" s="128">
        <f t="shared" si="463"/>
        <v>46817</v>
      </c>
      <c r="AC140" s="128">
        <f t="shared" si="463"/>
        <v>81326</v>
      </c>
      <c r="AD140" s="128">
        <f t="shared" si="463"/>
        <v>66923</v>
      </c>
      <c r="AE140" s="128">
        <f t="shared" si="463"/>
        <v>46343</v>
      </c>
      <c r="AF140" s="128">
        <f t="shared" si="463"/>
        <v>38117</v>
      </c>
      <c r="AG140" s="128">
        <f t="shared" si="463"/>
        <v>60298</v>
      </c>
      <c r="AH140" s="128">
        <f t="shared" si="463"/>
        <v>50095</v>
      </c>
      <c r="AI140" s="126">
        <f t="shared" ref="AI140" si="464">SUM(AI135:AI139)</f>
        <v>54285</v>
      </c>
      <c r="AJ140" s="11"/>
      <c r="AK140" s="44"/>
    </row>
    <row r="141" spans="2:37" ht="5.0999999999999996" customHeight="1">
      <c r="B141" s="120"/>
      <c r="C141" s="62"/>
      <c r="D141" s="62"/>
      <c r="E141" s="62"/>
      <c r="F141" s="62"/>
      <c r="G141" s="30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4"/>
      <c r="AJ141" s="11"/>
      <c r="AK141" s="44"/>
    </row>
    <row r="142" spans="2:37">
      <c r="B142" s="121" t="s">
        <v>64</v>
      </c>
      <c r="C142" s="116">
        <f>ROUND(C140-C46,1)</f>
        <v>0</v>
      </c>
      <c r="D142" s="116">
        <f>ROUND(D140-D46,1)</f>
        <v>0</v>
      </c>
      <c r="E142" s="116">
        <f>ROUND(E140-E46,1)</f>
        <v>0</v>
      </c>
      <c r="F142" s="116">
        <f>ROUND(F140-F46,1)</f>
        <v>0</v>
      </c>
      <c r="G142" s="117"/>
      <c r="H142" s="116">
        <f>ROUND(H140-H46,1)</f>
        <v>0</v>
      </c>
      <c r="I142" s="116">
        <f>ROUND(I140-I46,1)</f>
        <v>0</v>
      </c>
      <c r="J142" s="116">
        <f>ROUND(J140-J46,1)</f>
        <v>0</v>
      </c>
      <c r="K142" s="116">
        <f>ROUND(K140-K46,1)</f>
        <v>0</v>
      </c>
      <c r="L142" s="116">
        <f>ROUND(L140-L46,1)</f>
        <v>0</v>
      </c>
      <c r="M142" s="116">
        <f>ROUND(M140-M46,1)</f>
        <v>0</v>
      </c>
      <c r="N142" s="116">
        <f>ROUND(N140-N46,1)</f>
        <v>0</v>
      </c>
      <c r="O142" s="116">
        <f>ROUND(O140-O46,1)</f>
        <v>0</v>
      </c>
      <c r="P142" s="116">
        <f>ROUND(P140-P46,1)</f>
        <v>0</v>
      </c>
      <c r="Q142" s="116">
        <f>ROUND(Q140-Q46,1)</f>
        <v>0</v>
      </c>
      <c r="R142" s="116">
        <f>ROUND(R140-R46,1)</f>
        <v>0</v>
      </c>
      <c r="S142" s="116">
        <f>ROUND(S140-S46,1)</f>
        <v>0</v>
      </c>
      <c r="T142" s="116">
        <f>ROUND(T140-T46,1)</f>
        <v>0</v>
      </c>
      <c r="U142" s="116">
        <f>ROUND(U140-U46,1)</f>
        <v>0</v>
      </c>
      <c r="V142" s="116">
        <f>ROUND(V140-V46,1)</f>
        <v>0</v>
      </c>
      <c r="W142" s="116"/>
      <c r="X142" s="116">
        <f>ROUND(X140-X46,1)</f>
        <v>0</v>
      </c>
      <c r="Y142" s="116">
        <f>ROUND(Y140-Y46,1)</f>
        <v>0</v>
      </c>
      <c r="Z142" s="116">
        <f>ROUND(Z140-Z46,1)</f>
        <v>0</v>
      </c>
      <c r="AA142" s="116">
        <f>ROUND(AA140-AA46,1)</f>
        <v>0</v>
      </c>
      <c r="AB142" s="116">
        <f>ROUND(AB140-AB46,1)</f>
        <v>0</v>
      </c>
      <c r="AC142" s="116">
        <f>ROUND(AC140-AC46,1)</f>
        <v>0</v>
      </c>
      <c r="AD142" s="116">
        <f>ROUND(AD140-AD46,1)</f>
        <v>0</v>
      </c>
      <c r="AE142" s="116">
        <f>ROUND(AE140-AE46,1)</f>
        <v>0</v>
      </c>
      <c r="AF142" s="116">
        <f>ROUND(AF140-AF46,1)</f>
        <v>0</v>
      </c>
      <c r="AG142" s="116">
        <f>ROUND(AG140-AG46,1)</f>
        <v>0</v>
      </c>
      <c r="AH142" s="116">
        <f>ROUND(AH140-AH46,1)</f>
        <v>0</v>
      </c>
      <c r="AI142" s="149">
        <f>ROUND(AI140-AI46,1)</f>
        <v>0</v>
      </c>
      <c r="AJ142" s="11"/>
      <c r="AK142" s="44"/>
    </row>
    <row r="143" spans="2:37" ht="5.0999999999999996" customHeight="1">
      <c r="B143" s="8"/>
      <c r="C143" s="62"/>
      <c r="D143" s="62"/>
      <c r="E143" s="62"/>
      <c r="F143" s="62"/>
      <c r="G143" s="30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44"/>
    </row>
    <row r="144" spans="2:37">
      <c r="B144" s="122" t="s">
        <v>93</v>
      </c>
      <c r="C144" s="62"/>
      <c r="D144" s="62"/>
      <c r="E144" s="62"/>
      <c r="F144" s="62"/>
      <c r="G144" s="30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44"/>
    </row>
    <row r="145" spans="2:37">
      <c r="B145" s="79" t="s">
        <v>74</v>
      </c>
      <c r="C145" s="78">
        <v>20416</v>
      </c>
      <c r="D145" s="78">
        <v>43448</v>
      </c>
      <c r="E145" s="78">
        <v>41229</v>
      </c>
      <c r="F145" s="78">
        <v>44571</v>
      </c>
      <c r="G145" s="30"/>
      <c r="H145" s="123">
        <v>0</v>
      </c>
      <c r="I145" s="123">
        <v>0</v>
      </c>
      <c r="J145" s="123">
        <v>0</v>
      </c>
      <c r="K145" s="124">
        <f t="shared" ref="K145:K146" si="465">SUM(D145-SUM(H145:J145))</f>
        <v>43448</v>
      </c>
      <c r="L145" s="123">
        <v>0</v>
      </c>
      <c r="M145" s="123">
        <v>0</v>
      </c>
      <c r="N145" s="123">
        <v>0</v>
      </c>
      <c r="O145" s="124">
        <f>SUM(E145-SUM(L145:N145))</f>
        <v>41229</v>
      </c>
      <c r="P145" s="123">
        <v>0</v>
      </c>
      <c r="Q145" s="123">
        <v>0</v>
      </c>
      <c r="R145" s="123">
        <v>0</v>
      </c>
      <c r="S145" s="124">
        <f t="shared" ref="S145:S146" si="466">SUM(F145-SUM(P145:R145))</f>
        <v>44571</v>
      </c>
      <c r="T145" s="123">
        <v>0</v>
      </c>
      <c r="U145" s="123">
        <v>0</v>
      </c>
      <c r="V145" s="123">
        <v>0</v>
      </c>
      <c r="X145" s="30">
        <f t="shared" ref="X145:X146" si="467">SUM(H145:K145)</f>
        <v>43448</v>
      </c>
      <c r="Y145" s="30">
        <f t="shared" ref="Y145:Y146" si="468">SUM(I145:L145)</f>
        <v>43448</v>
      </c>
      <c r="Z145" s="30">
        <f t="shared" ref="Z145:Z146" si="469">SUM(J145:M145)</f>
        <v>43448</v>
      </c>
      <c r="AA145" s="30">
        <f t="shared" ref="AA145:AA146" si="470">SUM(K145:N145)</f>
        <v>43448</v>
      </c>
      <c r="AB145" s="30">
        <f t="shared" ref="AB145:AB146" si="471">SUM(L145:O145)</f>
        <v>41229</v>
      </c>
      <c r="AC145" s="30">
        <f t="shared" ref="AC145:AC146" si="472">SUM(M145:P145)</f>
        <v>41229</v>
      </c>
      <c r="AD145" s="30">
        <f t="shared" ref="AD145:AD146" si="473">SUM(N145:Q145)</f>
        <v>41229</v>
      </c>
      <c r="AE145" s="30">
        <f t="shared" ref="AE145:AE146" si="474">SUM(O145:R145)</f>
        <v>41229</v>
      </c>
      <c r="AF145" s="30">
        <f t="shared" ref="AF145:AF146" si="475">SUM(P145:S145)</f>
        <v>44571</v>
      </c>
      <c r="AG145" s="30">
        <f t="shared" ref="AG145:AG146" si="476">SUM(Q145:T145)</f>
        <v>44571</v>
      </c>
      <c r="AH145" s="30">
        <f t="shared" ref="AH145:AI146" si="477">SUM(R145:U145)</f>
        <v>44571</v>
      </c>
      <c r="AI145" s="30">
        <f t="shared" si="477"/>
        <v>44571</v>
      </c>
      <c r="AJ145" s="11"/>
      <c r="AK145" s="44"/>
    </row>
    <row r="146" spans="2:37">
      <c r="B146" s="79" t="s">
        <v>98</v>
      </c>
      <c r="C146" s="78">
        <v>7010</v>
      </c>
      <c r="D146" s="78">
        <v>21973</v>
      </c>
      <c r="E146" s="78">
        <v>30318</v>
      </c>
      <c r="F146" s="78">
        <v>1059</v>
      </c>
      <c r="G146" s="30"/>
      <c r="H146" s="123">
        <v>0</v>
      </c>
      <c r="I146" s="123">
        <v>0</v>
      </c>
      <c r="J146" s="123">
        <v>0</v>
      </c>
      <c r="K146" s="124">
        <f t="shared" si="465"/>
        <v>21973</v>
      </c>
      <c r="L146" s="123">
        <v>0</v>
      </c>
      <c r="M146" s="123">
        <v>0</v>
      </c>
      <c r="N146" s="123">
        <v>0</v>
      </c>
      <c r="O146" s="124">
        <f>SUM(E146-SUM(L146:N146))</f>
        <v>30318</v>
      </c>
      <c r="P146" s="123">
        <v>0</v>
      </c>
      <c r="Q146" s="123">
        <v>0</v>
      </c>
      <c r="R146" s="123">
        <v>0</v>
      </c>
      <c r="S146" s="124">
        <f t="shared" si="466"/>
        <v>1059</v>
      </c>
      <c r="T146" s="123">
        <v>0</v>
      </c>
      <c r="U146" s="123">
        <v>0</v>
      </c>
      <c r="V146" s="123">
        <v>0</v>
      </c>
      <c r="X146" s="30">
        <f t="shared" si="467"/>
        <v>21973</v>
      </c>
      <c r="Y146" s="30">
        <f t="shared" si="468"/>
        <v>21973</v>
      </c>
      <c r="Z146" s="30">
        <f t="shared" si="469"/>
        <v>21973</v>
      </c>
      <c r="AA146" s="30">
        <f t="shared" si="470"/>
        <v>21973</v>
      </c>
      <c r="AB146" s="30">
        <f t="shared" si="471"/>
        <v>30318</v>
      </c>
      <c r="AC146" s="30">
        <f t="shared" si="472"/>
        <v>30318</v>
      </c>
      <c r="AD146" s="30">
        <f t="shared" si="473"/>
        <v>30318</v>
      </c>
      <c r="AE146" s="30">
        <f t="shared" si="474"/>
        <v>30318</v>
      </c>
      <c r="AF146" s="30">
        <f t="shared" si="475"/>
        <v>1059</v>
      </c>
      <c r="AG146" s="30">
        <f t="shared" si="476"/>
        <v>1059</v>
      </c>
      <c r="AH146" s="30">
        <f t="shared" si="477"/>
        <v>1059</v>
      </c>
      <c r="AI146" s="30">
        <f t="shared" si="477"/>
        <v>1059</v>
      </c>
      <c r="AJ146" s="11"/>
      <c r="AK146" s="44"/>
    </row>
    <row r="147" spans="2:37" ht="5.0999999999999996" customHeight="1" thickBot="1">
      <c r="B147" s="68"/>
      <c r="C147" s="69"/>
      <c r="D147" s="69"/>
      <c r="E147" s="69"/>
      <c r="F147" s="69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K147" s="44"/>
    </row>
    <row r="148" spans="2:37" ht="12.75" customHeight="1">
      <c r="C148" s="54"/>
      <c r="D148" s="54"/>
      <c r="E148" s="54"/>
      <c r="F148" s="54"/>
    </row>
    <row r="149" spans="2:37" ht="12.75" customHeight="1">
      <c r="C149" s="54"/>
      <c r="D149" s="54"/>
      <c r="E149" s="54"/>
      <c r="F149" s="54"/>
    </row>
    <row r="150" spans="2:37" ht="12.75" customHeight="1">
      <c r="C150" s="54"/>
      <c r="D150" s="54"/>
      <c r="E150" s="54"/>
      <c r="F150" s="54"/>
    </row>
    <row r="151" spans="2:37" ht="12.75" customHeight="1">
      <c r="C151" s="54"/>
      <c r="D151" s="54"/>
      <c r="E151" s="54"/>
      <c r="F151" s="54"/>
    </row>
    <row r="152" spans="2:37" ht="12.75" customHeight="1">
      <c r="C152" s="54"/>
      <c r="D152" s="54"/>
      <c r="E152" s="54"/>
      <c r="F152" s="54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</row>
    <row r="153" spans="2:37" ht="12.75" customHeight="1">
      <c r="C153" s="54"/>
      <c r="D153" s="54"/>
      <c r="E153" s="54"/>
      <c r="F153" s="54"/>
    </row>
    <row r="154" spans="2:37" ht="12.75" customHeight="1">
      <c r="C154" s="54"/>
      <c r="D154" s="54"/>
      <c r="E154" s="54"/>
      <c r="F154" s="54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</row>
    <row r="155" spans="2:37"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</row>
    <row r="156" spans="2:37"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</row>
    <row r="158" spans="2:37"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</row>
    <row r="159" spans="2:37"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</row>
  </sheetData>
  <mergeCells count="3">
    <mergeCell ref="AK6:AK8"/>
    <mergeCell ref="AK41:AK43"/>
    <mergeCell ref="AK89:AK91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H14:AH16 G50 X133:AH133 X124:AI129" formulaRange="1"/>
    <ignoredError sqref="AK121:AK123 AK115:AK117 C37:F37 H37:U37 AD37:AH38 AK28:AK31 AK21:AK25" evalError="1"/>
    <ignoredError sqref="P95:U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H26"/>
  <sheetViews>
    <sheetView showGridLines="0" zoomScale="130" zoomScaleNormal="130" workbookViewId="0">
      <selection activeCell="B10" sqref="B10:B11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3" width="8.625" style="8" customWidth="1" outlineLevel="1"/>
    <col min="4" max="6" width="8.625" style="8" bestFit="1" customWidth="1"/>
    <col min="7" max="7" width="1.5" style="8" customWidth="1"/>
    <col min="8" max="9" width="7.875" style="8" hidden="1" customWidth="1" outlineLevel="1"/>
    <col min="10" max="11" width="8.75" style="8" hidden="1" customWidth="1" outlineLevel="1"/>
    <col min="12" max="13" width="8" style="8" hidden="1" customWidth="1" outlineLevel="1"/>
    <col min="14" max="15" width="8.75" style="8" hidden="1" customWidth="1" outlineLevel="1"/>
    <col min="16" max="16" width="8.5" style="8" hidden="1" customWidth="1" outlineLevel="1"/>
    <col min="17" max="17" width="8.25" style="8" hidden="1" customWidth="1" outlineLevel="1"/>
    <col min="18" max="18" width="8.5" style="8" bestFit="1" customWidth="1" collapsed="1"/>
    <col min="19" max="22" width="9.125" style="8" bestFit="1" customWidth="1"/>
    <col min="23" max="23" width="1.5" style="8" customWidth="1"/>
    <col min="24" max="28" width="8.75" style="8" hidden="1" customWidth="1" outlineLevel="1"/>
    <col min="29" max="29" width="8.75" style="8" customWidth="1" collapsed="1"/>
    <col min="30" max="32" width="8.75" style="8" hidden="1" customWidth="1" outlineLevel="1"/>
    <col min="33" max="33" width="8.75" style="8" customWidth="1" collapsed="1"/>
    <col min="34" max="16384" width="9" style="8"/>
  </cols>
  <sheetData>
    <row r="2" spans="1:33" s="5" customFormat="1" ht="12.75" customHeight="1">
      <c r="B2" s="1" t="str">
        <f>'Historical Financials'!B2</f>
        <v>Microstrategy, Inc. (NASDAQ: MSTR)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2"/>
      <c r="V2" s="2"/>
      <c r="W2" s="3"/>
      <c r="X2" s="2"/>
      <c r="Y2" s="2"/>
      <c r="Z2" s="2"/>
      <c r="AA2" s="2"/>
      <c r="AB2" s="2"/>
      <c r="AC2" s="2" t="s">
        <v>10</v>
      </c>
      <c r="AD2" s="2"/>
      <c r="AE2" s="2"/>
      <c r="AF2" s="2"/>
      <c r="AG2" s="2"/>
    </row>
    <row r="3" spans="1:33" s="5" customFormat="1" ht="12.75" customHeight="1">
      <c r="B3" s="6" t="s">
        <v>70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7" t="str">
        <f>'Historical Financials'!V7</f>
        <v>3Q25</v>
      </c>
      <c r="W3" s="4"/>
      <c r="X3" s="4" t="str">
        <f t="shared" ref="X3:AF4" si="0">M3</f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str">
        <f t="shared" si="0"/>
        <v>3Q24</v>
      </c>
      <c r="AD3" s="4" t="str">
        <f t="shared" si="0"/>
        <v>4Q24</v>
      </c>
      <c r="AE3" s="4" t="str">
        <f t="shared" si="0"/>
        <v>1Q25</v>
      </c>
      <c r="AF3" s="4" t="str">
        <f t="shared" si="0"/>
        <v>2Q25</v>
      </c>
      <c r="AG3" s="4" t="str">
        <f>V3</f>
        <v>3Q25</v>
      </c>
    </row>
    <row r="4" spans="1:33" s="5" customFormat="1" ht="12.75" customHeight="1">
      <c r="B4" s="6" t="s">
        <v>103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>
        <f>'Historical Financials'!V8</f>
        <v>45930</v>
      </c>
      <c r="W4" s="3"/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>
        <f t="shared" si="0"/>
        <v>45565</v>
      </c>
      <c r="AD4" s="3">
        <f t="shared" si="0"/>
        <v>45657</v>
      </c>
      <c r="AE4" s="3">
        <f t="shared" si="0"/>
        <v>45747</v>
      </c>
      <c r="AF4" s="3">
        <f t="shared" si="0"/>
        <v>45838</v>
      </c>
      <c r="AG4" s="3">
        <f>V4</f>
        <v>45930</v>
      </c>
    </row>
    <row r="5" spans="1:33" ht="5.0999999999999996" customHeight="1"/>
    <row r="6" spans="1:33">
      <c r="A6" s="34" t="s">
        <v>16</v>
      </c>
      <c r="B6" s="1" t="s">
        <v>123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s="158" customFormat="1" ht="5.0999999999999996" customHeight="1">
      <c r="A7" s="156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</row>
    <row r="8" spans="1:33" ht="12.75" customHeight="1">
      <c r="A8" s="76" t="s">
        <v>16</v>
      </c>
      <c r="B8" s="74" t="s">
        <v>94</v>
      </c>
      <c r="C8" s="10"/>
      <c r="D8" s="10"/>
      <c r="E8" s="10"/>
      <c r="F8" s="10"/>
      <c r="G8" s="10"/>
      <c r="H8" s="83"/>
      <c r="I8" s="83"/>
      <c r="J8" s="83"/>
      <c r="K8" s="30"/>
      <c r="L8" s="83"/>
      <c r="M8" s="83"/>
      <c r="N8" s="83"/>
      <c r="O8" s="30"/>
      <c r="P8" s="83"/>
      <c r="Q8" s="83"/>
      <c r="R8" s="83"/>
      <c r="S8" s="30"/>
      <c r="T8" s="83"/>
      <c r="U8" s="83"/>
      <c r="V8" s="83"/>
      <c r="W8" s="5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ht="12.75" customHeight="1">
      <c r="A9" s="76"/>
      <c r="B9" s="9" t="s">
        <v>124</v>
      </c>
      <c r="C9" s="77">
        <v>144873</v>
      </c>
      <c r="D9" s="77">
        <v>147244</v>
      </c>
      <c r="E9" s="77">
        <v>156530</v>
      </c>
      <c r="F9" s="77">
        <v>155343</v>
      </c>
      <c r="G9" s="10"/>
      <c r="H9" s="77">
        <v>29358</v>
      </c>
      <c r="I9" s="77">
        <v>34146</v>
      </c>
      <c r="J9" s="77">
        <v>38700</v>
      </c>
      <c r="K9" s="30">
        <f t="shared" ref="K9:K11" si="1">SUM(D9-SUM(H9:J9))</f>
        <v>45040</v>
      </c>
      <c r="L9" s="83">
        <v>36222</v>
      </c>
      <c r="M9" s="83">
        <v>35400</v>
      </c>
      <c r="N9" s="83">
        <v>45019</v>
      </c>
      <c r="O9" s="30">
        <f t="shared" ref="O9:O11" si="2">SUM(E9-SUM(L9:N9))</f>
        <v>39889</v>
      </c>
      <c r="P9" s="83">
        <v>35904</v>
      </c>
      <c r="Q9" s="83">
        <v>33366</v>
      </c>
      <c r="R9" s="83">
        <v>38887</v>
      </c>
      <c r="S9" s="30">
        <f t="shared" ref="S9:S11" si="3">SUM(F9-SUM(P9:R9))</f>
        <v>47186</v>
      </c>
      <c r="T9" s="77">
        <v>44373</v>
      </c>
      <c r="U9" s="77">
        <v>48001</v>
      </c>
      <c r="V9" s="77">
        <v>63345</v>
      </c>
      <c r="W9" s="5"/>
      <c r="X9" s="30">
        <f t="shared" ref="X9:X11" si="4">SUM(J9:M9)</f>
        <v>155362</v>
      </c>
      <c r="Y9" s="30">
        <f t="shared" ref="Y9:Y11" si="5">SUM(K9:N9)</f>
        <v>161681</v>
      </c>
      <c r="Z9" s="30">
        <f t="shared" ref="Z9:Z11" si="6">SUM(L9:O9)</f>
        <v>156530</v>
      </c>
      <c r="AA9" s="30">
        <f t="shared" ref="AA9:AA11" si="7">SUM(M9:P9)</f>
        <v>156212</v>
      </c>
      <c r="AB9" s="30">
        <f t="shared" ref="AB9:AB11" si="8">SUM(N9:Q9)</f>
        <v>154178</v>
      </c>
      <c r="AC9" s="30">
        <f t="shared" ref="AC9:AC11" si="9">SUM(O9:R9)</f>
        <v>148046</v>
      </c>
      <c r="AD9" s="30">
        <f t="shared" ref="AD9:AD11" si="10">SUM(P9:S9)</f>
        <v>155343</v>
      </c>
      <c r="AE9" s="30">
        <f t="shared" ref="AE9:AE11" si="11">SUM(Q9:T9)</f>
        <v>163812</v>
      </c>
      <c r="AF9" s="30">
        <f t="shared" ref="AF9:AF11" si="12">SUM(R9:U9)</f>
        <v>178447</v>
      </c>
      <c r="AG9" s="30">
        <f t="shared" ref="AG9:AG10" si="13">SUM(S9:V9)</f>
        <v>202905</v>
      </c>
    </row>
    <row r="10" spans="1:33" ht="12.75" customHeight="1">
      <c r="A10" s="76"/>
      <c r="B10" s="9" t="s">
        <v>127</v>
      </c>
      <c r="C10" s="77">
        <v>281209</v>
      </c>
      <c r="D10" s="77">
        <v>266521</v>
      </c>
      <c r="E10" s="77">
        <v>263888</v>
      </c>
      <c r="F10" s="77">
        <v>243805</v>
      </c>
      <c r="G10" s="10"/>
      <c r="H10" s="77">
        <v>67151</v>
      </c>
      <c r="I10" s="77">
        <v>66521</v>
      </c>
      <c r="J10" s="77">
        <v>66010</v>
      </c>
      <c r="K10" s="30">
        <f t="shared" si="1"/>
        <v>66839</v>
      </c>
      <c r="L10" s="83">
        <v>65481</v>
      </c>
      <c r="M10" s="83">
        <v>66081</v>
      </c>
      <c r="N10" s="83">
        <v>66860</v>
      </c>
      <c r="O10" s="30">
        <f t="shared" si="2"/>
        <v>65466</v>
      </c>
      <c r="P10" s="83">
        <v>62685</v>
      </c>
      <c r="Q10" s="83">
        <v>61740</v>
      </c>
      <c r="R10" s="83">
        <v>61015</v>
      </c>
      <c r="S10" s="30">
        <f t="shared" si="3"/>
        <v>58365</v>
      </c>
      <c r="T10" s="77">
        <v>52529</v>
      </c>
      <c r="U10" s="77">
        <v>52081</v>
      </c>
      <c r="V10" s="77">
        <v>51118</v>
      </c>
      <c r="W10" s="5"/>
      <c r="X10" s="30">
        <f t="shared" si="4"/>
        <v>264411</v>
      </c>
      <c r="Y10" s="30">
        <f t="shared" si="5"/>
        <v>265261</v>
      </c>
      <c r="Z10" s="30">
        <f t="shared" si="6"/>
        <v>263888</v>
      </c>
      <c r="AA10" s="30">
        <f t="shared" si="7"/>
        <v>261092</v>
      </c>
      <c r="AB10" s="30">
        <f t="shared" si="8"/>
        <v>256751</v>
      </c>
      <c r="AC10" s="30">
        <f t="shared" si="9"/>
        <v>250906</v>
      </c>
      <c r="AD10" s="30">
        <f t="shared" si="10"/>
        <v>243805</v>
      </c>
      <c r="AE10" s="30">
        <f t="shared" si="11"/>
        <v>233649</v>
      </c>
      <c r="AF10" s="30">
        <f t="shared" si="12"/>
        <v>223990</v>
      </c>
      <c r="AG10" s="30">
        <f t="shared" si="13"/>
        <v>214093</v>
      </c>
    </row>
    <row r="11" spans="1:33" ht="12.75" customHeight="1">
      <c r="B11" s="9" t="s">
        <v>128</v>
      </c>
      <c r="C11" s="77">
        <v>84680</v>
      </c>
      <c r="D11" s="77">
        <v>85499</v>
      </c>
      <c r="E11" s="77">
        <v>75843</v>
      </c>
      <c r="F11" s="77">
        <v>64308</v>
      </c>
      <c r="G11" s="77"/>
      <c r="H11" s="77">
        <v>22768</v>
      </c>
      <c r="I11" s="77">
        <v>21406</v>
      </c>
      <c r="J11" s="77">
        <v>20650</v>
      </c>
      <c r="K11" s="30">
        <f t="shared" si="1"/>
        <v>20675</v>
      </c>
      <c r="L11" s="83">
        <v>20212</v>
      </c>
      <c r="M11" s="83">
        <v>18919</v>
      </c>
      <c r="N11" s="83">
        <v>17583</v>
      </c>
      <c r="O11" s="30">
        <f t="shared" si="2"/>
        <v>19129</v>
      </c>
      <c r="P11" s="83">
        <v>16657</v>
      </c>
      <c r="Q11" s="83">
        <v>16336</v>
      </c>
      <c r="R11" s="83">
        <v>16169</v>
      </c>
      <c r="S11" s="30">
        <f t="shared" si="3"/>
        <v>15146</v>
      </c>
      <c r="T11" s="77">
        <v>14164</v>
      </c>
      <c r="U11" s="77">
        <v>14406</v>
      </c>
      <c r="V11" s="77">
        <v>14228</v>
      </c>
      <c r="W11" s="5"/>
      <c r="X11" s="30">
        <f t="shared" si="4"/>
        <v>80456</v>
      </c>
      <c r="Y11" s="30">
        <f t="shared" si="5"/>
        <v>77389</v>
      </c>
      <c r="Z11" s="30">
        <f t="shared" si="6"/>
        <v>75843</v>
      </c>
      <c r="AA11" s="30">
        <f t="shared" si="7"/>
        <v>72288</v>
      </c>
      <c r="AB11" s="30">
        <f t="shared" si="8"/>
        <v>69705</v>
      </c>
      <c r="AC11" s="30">
        <f t="shared" si="9"/>
        <v>68291</v>
      </c>
      <c r="AD11" s="30">
        <f t="shared" si="10"/>
        <v>64308</v>
      </c>
      <c r="AE11" s="30">
        <f t="shared" si="11"/>
        <v>61815</v>
      </c>
      <c r="AF11" s="30">
        <f t="shared" si="12"/>
        <v>59885</v>
      </c>
      <c r="AG11" s="30">
        <f>SUM(S11:V11)</f>
        <v>57944</v>
      </c>
    </row>
    <row r="12" spans="1:33" ht="12.75" customHeight="1">
      <c r="B12" s="12" t="s">
        <v>71</v>
      </c>
      <c r="C12" s="13">
        <f>SUM(C9:C11)</f>
        <v>510762</v>
      </c>
      <c r="D12" s="13">
        <f>SUM(D9:D11)</f>
        <v>499264</v>
      </c>
      <c r="E12" s="13">
        <f>SUM(E9:E11)</f>
        <v>496261</v>
      </c>
      <c r="F12" s="13">
        <f>SUM(F9:F11)</f>
        <v>463456</v>
      </c>
      <c r="G12" s="11"/>
      <c r="H12" s="13">
        <f>SUM(H9:H11)</f>
        <v>119277</v>
      </c>
      <c r="I12" s="13">
        <f>SUM(I9:I11)</f>
        <v>122073</v>
      </c>
      <c r="J12" s="13">
        <f>SUM(J9:J11)</f>
        <v>125360</v>
      </c>
      <c r="K12" s="13">
        <f>SUM(K9:K11)</f>
        <v>132554</v>
      </c>
      <c r="L12" s="13">
        <f>SUM(L9:L11)</f>
        <v>121915</v>
      </c>
      <c r="M12" s="13">
        <f>SUM(M9:M11)</f>
        <v>120400</v>
      </c>
      <c r="N12" s="13">
        <f>SUM(N9:N11)</f>
        <v>129462</v>
      </c>
      <c r="O12" s="13">
        <f>SUM(O9:O11)</f>
        <v>124484</v>
      </c>
      <c r="P12" s="13">
        <f>SUM(P9:P11)</f>
        <v>115246</v>
      </c>
      <c r="Q12" s="13">
        <f>SUM(Q9:Q11)</f>
        <v>111442</v>
      </c>
      <c r="R12" s="13">
        <f>SUM(R9:R11)</f>
        <v>116071</v>
      </c>
      <c r="S12" s="13">
        <f>SUM(S9:S11)</f>
        <v>120697</v>
      </c>
      <c r="T12" s="13">
        <f>SUM(T9:T11)</f>
        <v>111066</v>
      </c>
      <c r="U12" s="13">
        <f>SUM(U9:U11)</f>
        <v>114488</v>
      </c>
      <c r="V12" s="13">
        <f>SUM(V9:V11)</f>
        <v>128691</v>
      </c>
      <c r="W12" s="5"/>
      <c r="X12" s="13">
        <f>SUM(X9:X11)</f>
        <v>500229</v>
      </c>
      <c r="Y12" s="13">
        <f>SUM(Y9:Y11)</f>
        <v>504331</v>
      </c>
      <c r="Z12" s="13">
        <f>SUM(Z9:Z11)</f>
        <v>496261</v>
      </c>
      <c r="AA12" s="13">
        <f>SUM(AA9:AA11)</f>
        <v>489592</v>
      </c>
      <c r="AB12" s="13">
        <f>SUM(AB9:AB11)</f>
        <v>480634</v>
      </c>
      <c r="AC12" s="13">
        <f>SUM(AC9:AC11)</f>
        <v>467243</v>
      </c>
      <c r="AD12" s="13">
        <f>SUM(AD9:AD11)</f>
        <v>463456</v>
      </c>
      <c r="AE12" s="13">
        <f>SUM(AE9:AE11)</f>
        <v>459276</v>
      </c>
      <c r="AF12" s="13">
        <f>SUM(AF9:AF11)</f>
        <v>462322</v>
      </c>
      <c r="AG12" s="13">
        <f>SUM(AG9:AG11)</f>
        <v>474942</v>
      </c>
    </row>
    <row r="13" spans="1:33" outlineLevel="1">
      <c r="B13" s="140" t="s">
        <v>64</v>
      </c>
      <c r="C13" s="75">
        <f>C12-'Historical Financials'!C11</f>
        <v>0</v>
      </c>
      <c r="D13" s="75">
        <f>D12-'Historical Financials'!D11</f>
        <v>0</v>
      </c>
      <c r="E13" s="75">
        <f>E12-'Historical Financials'!E11</f>
        <v>0</v>
      </c>
      <c r="F13" s="75">
        <f>F12-'Historical Financials'!F11</f>
        <v>0</v>
      </c>
      <c r="G13" s="11"/>
      <c r="H13" s="75">
        <f>H12-'Historical Financials'!H11</f>
        <v>0</v>
      </c>
      <c r="I13" s="75">
        <f>I12-'Historical Financials'!I11</f>
        <v>0</v>
      </c>
      <c r="J13" s="75">
        <f>J12-'Historical Financials'!J11</f>
        <v>0</v>
      </c>
      <c r="K13" s="75">
        <f>K12-'Historical Financials'!K11</f>
        <v>0</v>
      </c>
      <c r="L13" s="75">
        <f>L12-'Historical Financials'!L11</f>
        <v>0</v>
      </c>
      <c r="M13" s="75">
        <f>M12-'Historical Financials'!M11</f>
        <v>0</v>
      </c>
      <c r="N13" s="75">
        <f>N12-'Historical Financials'!N11</f>
        <v>0</v>
      </c>
      <c r="O13" s="75">
        <f>O12-'Historical Financials'!O11</f>
        <v>0</v>
      </c>
      <c r="P13" s="75">
        <f>P12-'Historical Financials'!P11</f>
        <v>0</v>
      </c>
      <c r="Q13" s="75">
        <f>Q12-'Historical Financials'!Q11</f>
        <v>0</v>
      </c>
      <c r="R13" s="75">
        <f>R12-'Historical Financials'!R11</f>
        <v>0</v>
      </c>
      <c r="S13" s="75">
        <f>S12-'Historical Financials'!S11</f>
        <v>0</v>
      </c>
      <c r="T13" s="75">
        <f>T12-'Historical Financials'!T11</f>
        <v>0</v>
      </c>
      <c r="U13" s="75">
        <f>U12-'Historical Financials'!U11</f>
        <v>0</v>
      </c>
      <c r="V13" s="75">
        <f>V12-'Historical Financials'!V11</f>
        <v>0</v>
      </c>
      <c r="W13" s="75"/>
      <c r="X13" s="75">
        <f>X12-'Historical Financials'!Z11</f>
        <v>0</v>
      </c>
      <c r="Y13" s="75">
        <f>Y12-'Historical Financials'!AA11</f>
        <v>0</v>
      </c>
      <c r="Z13" s="75">
        <f>Z12-'Historical Financials'!AB11</f>
        <v>0</v>
      </c>
      <c r="AA13" s="75">
        <f>AA12-'Historical Financials'!AC11</f>
        <v>0</v>
      </c>
      <c r="AB13" s="75">
        <f>AB12-'Historical Financials'!AD11</f>
        <v>0</v>
      </c>
      <c r="AC13" s="75">
        <f>AC12-'Historical Financials'!AE11</f>
        <v>0</v>
      </c>
      <c r="AD13" s="75">
        <f>AD12-'Historical Financials'!AF11</f>
        <v>0</v>
      </c>
      <c r="AE13" s="75">
        <f>AE12-'Historical Financials'!AG11</f>
        <v>0</v>
      </c>
      <c r="AF13" s="75">
        <f>AF12-'Historical Financials'!AH11</f>
        <v>0</v>
      </c>
      <c r="AG13" s="75">
        <f>AG12-'Historical Financials'!AI11</f>
        <v>0</v>
      </c>
    </row>
    <row r="14" spans="1:33" ht="5.0999999999999996" customHeight="1">
      <c r="B14" s="16"/>
      <c r="C14" s="17"/>
      <c r="D14" s="17"/>
      <c r="E14" s="17"/>
      <c r="F14" s="17"/>
      <c r="G14" s="18"/>
      <c r="H14" s="19"/>
      <c r="I14" s="19"/>
      <c r="J14" s="19"/>
      <c r="K14" s="20"/>
      <c r="L14" s="19"/>
      <c r="M14" s="19"/>
      <c r="N14" s="19"/>
      <c r="O14" s="20"/>
      <c r="P14" s="19"/>
      <c r="Q14" s="19"/>
      <c r="R14" s="19"/>
      <c r="S14" s="19"/>
      <c r="T14" s="19"/>
      <c r="U14" s="19"/>
      <c r="V14" s="19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>
      <c r="B15" s="131" t="str">
        <f>B9&amp;"(%)"</f>
        <v>Product Licenses and Subscription Services(%)</v>
      </c>
      <c r="C15" s="159">
        <f>C9/C$12</f>
        <v>0.28364091298882843</v>
      </c>
      <c r="D15" s="159">
        <f t="shared" ref="D15:F15" si="14">D9/D$12</f>
        <v>0.29492212536854251</v>
      </c>
      <c r="E15" s="159">
        <f t="shared" si="14"/>
        <v>0.31541870104642517</v>
      </c>
      <c r="F15" s="159">
        <f t="shared" si="14"/>
        <v>0.33518392252986262</v>
      </c>
      <c r="G15" s="132"/>
      <c r="H15" s="159">
        <f t="shared" ref="H15:V15" si="15">H9/H$12</f>
        <v>0.24613295102995547</v>
      </c>
      <c r="I15" s="159">
        <f t="shared" si="15"/>
        <v>0.27971787373129192</v>
      </c>
      <c r="J15" s="159">
        <f t="shared" si="15"/>
        <v>0.30871091257179323</v>
      </c>
      <c r="K15" s="159">
        <f t="shared" si="15"/>
        <v>0.33978604945908836</v>
      </c>
      <c r="L15" s="159">
        <f t="shared" si="15"/>
        <v>0.29710864126645614</v>
      </c>
      <c r="M15" s="159">
        <f t="shared" si="15"/>
        <v>0.29401993355481726</v>
      </c>
      <c r="N15" s="159">
        <f t="shared" si="15"/>
        <v>0.34773910491109361</v>
      </c>
      <c r="O15" s="159">
        <f t="shared" si="15"/>
        <v>0.32043475466726645</v>
      </c>
      <c r="P15" s="159">
        <f t="shared" si="15"/>
        <v>0.31154226610901897</v>
      </c>
      <c r="Q15" s="159">
        <f t="shared" si="15"/>
        <v>0.29940237971321404</v>
      </c>
      <c r="R15" s="159">
        <f t="shared" si="15"/>
        <v>0.33502769856381009</v>
      </c>
      <c r="S15" s="159">
        <f t="shared" si="15"/>
        <v>0.39094592243386334</v>
      </c>
      <c r="T15" s="159">
        <f t="shared" si="15"/>
        <v>0.39951920479714764</v>
      </c>
      <c r="U15" s="159">
        <f t="shared" si="15"/>
        <v>0.41926664803298164</v>
      </c>
      <c r="V15" s="159">
        <f t="shared" si="15"/>
        <v>0.49222556355922326</v>
      </c>
      <c r="W15" s="132"/>
      <c r="X15" s="137">
        <f t="shared" ref="X15:AF17" si="16">M15</f>
        <v>0.29401993355481726</v>
      </c>
      <c r="Y15" s="137">
        <f t="shared" si="16"/>
        <v>0.34773910491109361</v>
      </c>
      <c r="Z15" s="137">
        <f t="shared" si="16"/>
        <v>0.32043475466726645</v>
      </c>
      <c r="AA15" s="137">
        <f t="shared" si="16"/>
        <v>0.31154226610901897</v>
      </c>
      <c r="AB15" s="137">
        <f t="shared" si="16"/>
        <v>0.29940237971321404</v>
      </c>
      <c r="AC15" s="137">
        <f t="shared" si="16"/>
        <v>0.33502769856381009</v>
      </c>
      <c r="AD15" s="137">
        <f t="shared" si="16"/>
        <v>0.39094592243386334</v>
      </c>
      <c r="AE15" s="137">
        <f t="shared" si="16"/>
        <v>0.39951920479714764</v>
      </c>
      <c r="AF15" s="137">
        <f t="shared" si="16"/>
        <v>0.41926664803298164</v>
      </c>
      <c r="AG15" s="141">
        <f>V15</f>
        <v>0.49222556355922326</v>
      </c>
    </row>
    <row r="16" spans="1:33">
      <c r="B16" s="133" t="str">
        <f>B10&amp;"(%)"</f>
        <v>Product support(%)</v>
      </c>
      <c r="C16" s="160">
        <f t="shared" ref="C16:F17" si="17">C10/C$12</f>
        <v>0.55056758333627009</v>
      </c>
      <c r="D16" s="160">
        <f t="shared" si="17"/>
        <v>0.53382779451352391</v>
      </c>
      <c r="E16" s="160">
        <f t="shared" si="17"/>
        <v>0.53175244478208039</v>
      </c>
      <c r="F16" s="160">
        <f t="shared" si="17"/>
        <v>0.52605856866671274</v>
      </c>
      <c r="G16" s="134"/>
      <c r="H16" s="160">
        <f t="shared" ref="H16:V16" si="18">H10/H$12</f>
        <v>0.56298364311644322</v>
      </c>
      <c r="I16" s="160">
        <f t="shared" si="18"/>
        <v>0.54492803486438446</v>
      </c>
      <c r="J16" s="160">
        <f t="shared" si="18"/>
        <v>0.52656349712827055</v>
      </c>
      <c r="K16" s="160">
        <f t="shared" si="18"/>
        <v>0.50423978152300197</v>
      </c>
      <c r="L16" s="160">
        <f t="shared" si="18"/>
        <v>0.537103719804782</v>
      </c>
      <c r="M16" s="160">
        <f t="shared" si="18"/>
        <v>0.54884551495016609</v>
      </c>
      <c r="N16" s="160">
        <f t="shared" si="18"/>
        <v>0.51644497999412953</v>
      </c>
      <c r="O16" s="160">
        <f t="shared" si="18"/>
        <v>0.52589891070338357</v>
      </c>
      <c r="P16" s="160">
        <f t="shared" si="18"/>
        <v>0.54392343335126603</v>
      </c>
      <c r="Q16" s="160">
        <f t="shared" si="18"/>
        <v>0.55401015775021989</v>
      </c>
      <c r="R16" s="160">
        <f t="shared" si="18"/>
        <v>0.52566963324172278</v>
      </c>
      <c r="S16" s="160">
        <f t="shared" si="18"/>
        <v>0.48356628582317707</v>
      </c>
      <c r="T16" s="160">
        <f t="shared" si="18"/>
        <v>0.47295301892568381</v>
      </c>
      <c r="U16" s="160">
        <f t="shared" si="18"/>
        <v>0.45490357067989656</v>
      </c>
      <c r="V16" s="160">
        <f t="shared" si="18"/>
        <v>0.39721503446239442</v>
      </c>
      <c r="W16" s="134"/>
      <c r="X16" s="138">
        <f t="shared" si="16"/>
        <v>0.54884551495016609</v>
      </c>
      <c r="Y16" s="138">
        <f t="shared" si="16"/>
        <v>0.51644497999412953</v>
      </c>
      <c r="Z16" s="138">
        <f t="shared" si="16"/>
        <v>0.52589891070338357</v>
      </c>
      <c r="AA16" s="138">
        <f t="shared" si="16"/>
        <v>0.54392343335126603</v>
      </c>
      <c r="AB16" s="138">
        <f t="shared" si="16"/>
        <v>0.55401015775021989</v>
      </c>
      <c r="AC16" s="138">
        <f t="shared" si="16"/>
        <v>0.52566963324172278</v>
      </c>
      <c r="AD16" s="138">
        <f t="shared" si="16"/>
        <v>0.48356628582317707</v>
      </c>
      <c r="AE16" s="138">
        <f t="shared" si="16"/>
        <v>0.47295301892568381</v>
      </c>
      <c r="AF16" s="138">
        <f t="shared" si="16"/>
        <v>0.45490357067989656</v>
      </c>
      <c r="AG16" s="142">
        <f t="shared" ref="AG16:AG17" si="19">V16</f>
        <v>0.39721503446239442</v>
      </c>
    </row>
    <row r="17" spans="1:33">
      <c r="B17" s="135" t="str">
        <f>B11&amp;"(%)"</f>
        <v>Other services(%)</v>
      </c>
      <c r="C17" s="161">
        <f t="shared" si="17"/>
        <v>0.16579150367490142</v>
      </c>
      <c r="D17" s="161">
        <f t="shared" si="17"/>
        <v>0.17125008011793361</v>
      </c>
      <c r="E17" s="161">
        <f t="shared" si="17"/>
        <v>0.15282885417149444</v>
      </c>
      <c r="F17" s="161">
        <f t="shared" si="17"/>
        <v>0.13875750880342472</v>
      </c>
      <c r="G17" s="136"/>
      <c r="H17" s="161">
        <f t="shared" ref="H17:V17" si="20">H11/H$12</f>
        <v>0.19088340585360128</v>
      </c>
      <c r="I17" s="161">
        <f t="shared" si="20"/>
        <v>0.17535409140432365</v>
      </c>
      <c r="J17" s="161">
        <f t="shared" si="20"/>
        <v>0.16472559029993619</v>
      </c>
      <c r="K17" s="161">
        <f t="shared" si="20"/>
        <v>0.15597416901790967</v>
      </c>
      <c r="L17" s="161">
        <f t="shared" si="20"/>
        <v>0.16578763892876183</v>
      </c>
      <c r="M17" s="161">
        <f t="shared" si="20"/>
        <v>0.15713455149501662</v>
      </c>
      <c r="N17" s="161">
        <f t="shared" si="20"/>
        <v>0.13581591509477683</v>
      </c>
      <c r="O17" s="161">
        <f t="shared" si="20"/>
        <v>0.15366633462934995</v>
      </c>
      <c r="P17" s="161">
        <f t="shared" si="20"/>
        <v>0.14453430053971505</v>
      </c>
      <c r="Q17" s="161">
        <f t="shared" si="20"/>
        <v>0.1465874625365661</v>
      </c>
      <c r="R17" s="161">
        <f t="shared" si="20"/>
        <v>0.13930266819446718</v>
      </c>
      <c r="S17" s="161">
        <f t="shared" si="20"/>
        <v>0.12548779174295965</v>
      </c>
      <c r="T17" s="161">
        <f t="shared" si="20"/>
        <v>0.12752777627716852</v>
      </c>
      <c r="U17" s="161">
        <f t="shared" si="20"/>
        <v>0.1258297812871218</v>
      </c>
      <c r="V17" s="161">
        <f t="shared" si="20"/>
        <v>0.11055940197838232</v>
      </c>
      <c r="W17" s="136"/>
      <c r="X17" s="139">
        <f t="shared" si="16"/>
        <v>0.15713455149501662</v>
      </c>
      <c r="Y17" s="139">
        <f t="shared" si="16"/>
        <v>0.13581591509477683</v>
      </c>
      <c r="Z17" s="139">
        <f t="shared" si="16"/>
        <v>0.15366633462934995</v>
      </c>
      <c r="AA17" s="139">
        <f t="shared" si="16"/>
        <v>0.14453430053971505</v>
      </c>
      <c r="AB17" s="139">
        <f t="shared" si="16"/>
        <v>0.1465874625365661</v>
      </c>
      <c r="AC17" s="139">
        <f t="shared" si="16"/>
        <v>0.13930266819446718</v>
      </c>
      <c r="AD17" s="139">
        <f t="shared" si="16"/>
        <v>0.12548779174295965</v>
      </c>
      <c r="AE17" s="139">
        <f t="shared" si="16"/>
        <v>0.12752777627716852</v>
      </c>
      <c r="AF17" s="139">
        <f t="shared" si="16"/>
        <v>0.1258297812871218</v>
      </c>
      <c r="AG17" s="143">
        <f t="shared" si="19"/>
        <v>0.11055940197838232</v>
      </c>
    </row>
    <row r="18" spans="1:33">
      <c r="B18" s="16"/>
      <c r="C18" s="17"/>
      <c r="D18" s="17"/>
      <c r="E18" s="17"/>
      <c r="F18" s="17"/>
      <c r="G18" s="18"/>
      <c r="H18" s="19"/>
      <c r="I18" s="19"/>
      <c r="J18" s="19"/>
      <c r="K18" s="20"/>
      <c r="L18" s="19"/>
      <c r="M18" s="19"/>
      <c r="N18" s="19"/>
      <c r="O18" s="20"/>
      <c r="P18" s="19"/>
      <c r="Q18" s="19"/>
      <c r="R18" s="19"/>
      <c r="S18" s="19"/>
      <c r="T18" s="19"/>
      <c r="U18" s="19"/>
      <c r="V18" s="19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 ht="12.75" customHeight="1">
      <c r="A19" s="76" t="s">
        <v>16</v>
      </c>
      <c r="B19" s="74" t="s">
        <v>124</v>
      </c>
      <c r="C19" s="10"/>
      <c r="D19" s="10"/>
      <c r="E19" s="10"/>
      <c r="F19" s="10"/>
      <c r="G19" s="10"/>
      <c r="H19" s="83"/>
      <c r="I19" s="83"/>
      <c r="J19" s="83"/>
      <c r="K19" s="30"/>
      <c r="L19" s="83"/>
      <c r="M19" s="83"/>
      <c r="N19" s="83"/>
      <c r="O19" s="30"/>
      <c r="P19" s="83"/>
      <c r="Q19" s="83"/>
      <c r="R19" s="83"/>
      <c r="S19" s="30"/>
      <c r="T19" s="83"/>
      <c r="U19" s="83"/>
      <c r="V19" s="83"/>
      <c r="W19" s="5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ht="12.75" customHeight="1">
      <c r="A20" s="76"/>
      <c r="B20" s="9" t="s">
        <v>125</v>
      </c>
      <c r="C20" s="77">
        <v>101804</v>
      </c>
      <c r="D20" s="77">
        <v>86498</v>
      </c>
      <c r="E20" s="77">
        <v>75351</v>
      </c>
      <c r="F20" s="77">
        <v>48567</v>
      </c>
      <c r="G20" s="10"/>
      <c r="H20" s="77">
        <v>16513</v>
      </c>
      <c r="I20" s="77">
        <v>20129</v>
      </c>
      <c r="J20" s="77">
        <v>22286</v>
      </c>
      <c r="K20" s="30">
        <f t="shared" ref="K20:K21" si="21">SUM(D20-SUM(H20:J20))</f>
        <v>27570</v>
      </c>
      <c r="L20" s="83">
        <v>17412</v>
      </c>
      <c r="M20" s="83">
        <v>15522</v>
      </c>
      <c r="N20" s="83">
        <v>24045</v>
      </c>
      <c r="O20" s="30">
        <f t="shared" ref="O20:O21" si="22">SUM(E20-SUM(L20:N20))</f>
        <v>18372</v>
      </c>
      <c r="P20" s="83">
        <v>12938</v>
      </c>
      <c r="Q20" s="83">
        <v>9286</v>
      </c>
      <c r="R20" s="83">
        <v>11087</v>
      </c>
      <c r="S20" s="30">
        <f t="shared" ref="S20:S21" si="23">SUM(F20-SUM(P20:R20))</f>
        <v>15256</v>
      </c>
      <c r="T20" s="77">
        <v>7270</v>
      </c>
      <c r="U20" s="77">
        <v>7177</v>
      </c>
      <c r="V20" s="77">
        <v>17373</v>
      </c>
      <c r="W20" s="5"/>
      <c r="X20" s="30">
        <f t="shared" ref="X20:X21" si="24">SUM(J20:M20)</f>
        <v>82790</v>
      </c>
      <c r="Y20" s="30">
        <f t="shared" ref="Y20:Y21" si="25">SUM(K20:N20)</f>
        <v>84549</v>
      </c>
      <c r="Z20" s="30">
        <f t="shared" ref="Z20:Z21" si="26">SUM(L20:O20)</f>
        <v>75351</v>
      </c>
      <c r="AA20" s="30">
        <f t="shared" ref="AA20:AA21" si="27">SUM(M20:P20)</f>
        <v>70877</v>
      </c>
      <c r="AB20" s="30">
        <f t="shared" ref="AB20:AB21" si="28">SUM(N20:Q20)</f>
        <v>64641</v>
      </c>
      <c r="AC20" s="30">
        <f t="shared" ref="AC20:AC21" si="29">SUM(O20:R20)</f>
        <v>51683</v>
      </c>
      <c r="AD20" s="30">
        <f t="shared" ref="AD20:AD21" si="30">SUM(P20:S20)</f>
        <v>48567</v>
      </c>
      <c r="AE20" s="30">
        <f t="shared" ref="AE20:AE21" si="31">SUM(Q20:T20)</f>
        <v>42899</v>
      </c>
      <c r="AF20" s="30">
        <f t="shared" ref="AF20:AF21" si="32">SUM(R20:U20)</f>
        <v>40790</v>
      </c>
      <c r="AG20" s="30">
        <f t="shared" ref="AG20" si="33">SUM(S20:V20)</f>
        <v>47076</v>
      </c>
    </row>
    <row r="21" spans="1:33" ht="12.75" customHeight="1">
      <c r="B21" s="9" t="s">
        <v>126</v>
      </c>
      <c r="C21" s="77">
        <v>43069</v>
      </c>
      <c r="D21" s="77">
        <v>60746</v>
      </c>
      <c r="E21" s="77">
        <v>81179</v>
      </c>
      <c r="F21" s="77">
        <v>106776</v>
      </c>
      <c r="G21" s="77"/>
      <c r="H21" s="77">
        <v>12845</v>
      </c>
      <c r="I21" s="77">
        <v>14017</v>
      </c>
      <c r="J21" s="77">
        <v>16414</v>
      </c>
      <c r="K21" s="30">
        <f t="shared" si="21"/>
        <v>17470</v>
      </c>
      <c r="L21" s="83">
        <v>18810</v>
      </c>
      <c r="M21" s="83">
        <v>19878</v>
      </c>
      <c r="N21" s="83">
        <v>20974</v>
      </c>
      <c r="O21" s="30">
        <f t="shared" si="22"/>
        <v>21517</v>
      </c>
      <c r="P21" s="83">
        <v>22966</v>
      </c>
      <c r="Q21" s="83">
        <v>24080</v>
      </c>
      <c r="R21" s="83">
        <v>27800</v>
      </c>
      <c r="S21" s="30">
        <f t="shared" si="23"/>
        <v>31930</v>
      </c>
      <c r="T21" s="77">
        <v>37103</v>
      </c>
      <c r="U21" s="77">
        <v>40824</v>
      </c>
      <c r="V21" s="77">
        <v>45972</v>
      </c>
      <c r="W21" s="5"/>
      <c r="X21" s="30">
        <f t="shared" si="24"/>
        <v>72572</v>
      </c>
      <c r="Y21" s="30">
        <f t="shared" si="25"/>
        <v>77132</v>
      </c>
      <c r="Z21" s="30">
        <f t="shared" si="26"/>
        <v>81179</v>
      </c>
      <c r="AA21" s="30">
        <f t="shared" si="27"/>
        <v>85335</v>
      </c>
      <c r="AB21" s="30">
        <f t="shared" si="28"/>
        <v>89537</v>
      </c>
      <c r="AC21" s="30">
        <f t="shared" si="29"/>
        <v>96363</v>
      </c>
      <c r="AD21" s="30">
        <f t="shared" si="30"/>
        <v>106776</v>
      </c>
      <c r="AE21" s="30">
        <f t="shared" si="31"/>
        <v>120913</v>
      </c>
      <c r="AF21" s="30">
        <f t="shared" si="32"/>
        <v>137657</v>
      </c>
      <c r="AG21" s="30">
        <f>SUM(S21:V21)</f>
        <v>155829</v>
      </c>
    </row>
    <row r="22" spans="1:33" ht="12.75" customHeight="1">
      <c r="B22" s="12" t="s">
        <v>71</v>
      </c>
      <c r="C22" s="13">
        <f>SUM(C20:C21)</f>
        <v>144873</v>
      </c>
      <c r="D22" s="13">
        <f>SUM(D20:D21)</f>
        <v>147244</v>
      </c>
      <c r="E22" s="13">
        <f>SUM(E20:E21)</f>
        <v>156530</v>
      </c>
      <c r="F22" s="13">
        <f>SUM(F20:F21)</f>
        <v>155343</v>
      </c>
      <c r="G22" s="11"/>
      <c r="H22" s="13">
        <f>SUM(H20:H21)</f>
        <v>29358</v>
      </c>
      <c r="I22" s="13">
        <f>SUM(I20:I21)</f>
        <v>34146</v>
      </c>
      <c r="J22" s="13">
        <f>SUM(J20:J21)</f>
        <v>38700</v>
      </c>
      <c r="K22" s="13">
        <f>SUM(K20:K21)</f>
        <v>45040</v>
      </c>
      <c r="L22" s="13">
        <f>SUM(L20:L21)</f>
        <v>36222</v>
      </c>
      <c r="M22" s="13">
        <f>SUM(M20:M21)</f>
        <v>35400</v>
      </c>
      <c r="N22" s="13">
        <f>SUM(N20:N21)</f>
        <v>45019</v>
      </c>
      <c r="O22" s="13">
        <f>SUM(O20:O21)</f>
        <v>39889</v>
      </c>
      <c r="P22" s="13">
        <f>SUM(P20:P21)</f>
        <v>35904</v>
      </c>
      <c r="Q22" s="13">
        <f>SUM(Q20:Q21)</f>
        <v>33366</v>
      </c>
      <c r="R22" s="13">
        <f>SUM(R20:R21)</f>
        <v>38887</v>
      </c>
      <c r="S22" s="13">
        <f>SUM(S20:S21)</f>
        <v>47186</v>
      </c>
      <c r="T22" s="13">
        <f>SUM(T20:T21)</f>
        <v>44373</v>
      </c>
      <c r="U22" s="13">
        <f>SUM(U20:U21)</f>
        <v>48001</v>
      </c>
      <c r="V22" s="13">
        <f>SUM(V20:V21)</f>
        <v>63345</v>
      </c>
      <c r="W22" s="5"/>
      <c r="X22" s="13">
        <f>SUM(X20:X21)</f>
        <v>155362</v>
      </c>
      <c r="Y22" s="13">
        <f>SUM(Y20:Y21)</f>
        <v>161681</v>
      </c>
      <c r="Z22" s="13">
        <f>SUM(Z20:Z21)</f>
        <v>156530</v>
      </c>
      <c r="AA22" s="13">
        <f>SUM(AA20:AA21)</f>
        <v>156212</v>
      </c>
      <c r="AB22" s="13">
        <f>SUM(AB20:AB21)</f>
        <v>154178</v>
      </c>
      <c r="AC22" s="13">
        <f>SUM(AC20:AC21)</f>
        <v>148046</v>
      </c>
      <c r="AD22" s="13">
        <f>SUM(AD20:AD21)</f>
        <v>155343</v>
      </c>
      <c r="AE22" s="13">
        <f>SUM(AE20:AE21)</f>
        <v>163812</v>
      </c>
      <c r="AF22" s="13">
        <f>SUM(AF20:AF21)</f>
        <v>178447</v>
      </c>
      <c r="AG22" s="13">
        <f>SUM(AG20:AG21)</f>
        <v>202905</v>
      </c>
    </row>
    <row r="23" spans="1:33" outlineLevel="1">
      <c r="B23" s="140" t="s">
        <v>64</v>
      </c>
      <c r="C23" s="75">
        <f>+C22-C9</f>
        <v>0</v>
      </c>
      <c r="D23" s="75">
        <f t="shared" ref="D23:F23" si="34">+D22-D9</f>
        <v>0</v>
      </c>
      <c r="E23" s="75">
        <f t="shared" si="34"/>
        <v>0</v>
      </c>
      <c r="F23" s="75">
        <f t="shared" si="34"/>
        <v>0</v>
      </c>
      <c r="G23" s="11"/>
      <c r="H23" s="75">
        <f t="shared" ref="H23" si="35">+H22-H9</f>
        <v>0</v>
      </c>
      <c r="I23" s="75">
        <f t="shared" ref="I23" si="36">+I22-I9</f>
        <v>0</v>
      </c>
      <c r="J23" s="75">
        <f t="shared" ref="J23" si="37">+J22-J9</f>
        <v>0</v>
      </c>
      <c r="K23" s="75">
        <f t="shared" ref="K23" si="38">+K22-K9</f>
        <v>0</v>
      </c>
      <c r="L23" s="75">
        <f t="shared" ref="L23" si="39">+L22-L9</f>
        <v>0</v>
      </c>
      <c r="M23" s="75">
        <f t="shared" ref="M23" si="40">+M22-M9</f>
        <v>0</v>
      </c>
      <c r="N23" s="75">
        <f t="shared" ref="N23" si="41">+N22-N9</f>
        <v>0</v>
      </c>
      <c r="O23" s="75">
        <f t="shared" ref="O23" si="42">+O22-O9</f>
        <v>0</v>
      </c>
      <c r="P23" s="75">
        <f t="shared" ref="P23" si="43">+P22-P9</f>
        <v>0</v>
      </c>
      <c r="Q23" s="75">
        <f t="shared" ref="Q23" si="44">+Q22-Q9</f>
        <v>0</v>
      </c>
      <c r="R23" s="75">
        <f t="shared" ref="R23" si="45">+R22-R9</f>
        <v>0</v>
      </c>
      <c r="S23" s="75">
        <f t="shared" ref="S23" si="46">+S22-S9</f>
        <v>0</v>
      </c>
      <c r="T23" s="75">
        <f t="shared" ref="T23" si="47">+T22-T9</f>
        <v>0</v>
      </c>
      <c r="U23" s="75">
        <f t="shared" ref="U23" si="48">+U22-U9</f>
        <v>0</v>
      </c>
      <c r="V23" s="75">
        <f t="shared" ref="V23" si="49">+V22-V9</f>
        <v>0</v>
      </c>
      <c r="W23" s="75"/>
      <c r="X23" s="75">
        <f t="shared" ref="X23" si="50">+X22-X9</f>
        <v>0</v>
      </c>
      <c r="Y23" s="75">
        <f t="shared" ref="Y23" si="51">+Y22-Y9</f>
        <v>0</v>
      </c>
      <c r="Z23" s="75">
        <f t="shared" ref="Z23" si="52">+Z22-Z9</f>
        <v>0</v>
      </c>
      <c r="AA23" s="75">
        <f t="shared" ref="AA23" si="53">+AA22-AA9</f>
        <v>0</v>
      </c>
      <c r="AB23" s="75">
        <f t="shared" ref="AB23" si="54">+AB22-AB9</f>
        <v>0</v>
      </c>
      <c r="AC23" s="75">
        <f t="shared" ref="AC23" si="55">+AC22-AC9</f>
        <v>0</v>
      </c>
      <c r="AD23" s="75">
        <f t="shared" ref="AD23" si="56">+AD22-AD9</f>
        <v>0</v>
      </c>
      <c r="AE23" s="75">
        <f t="shared" ref="AE23" si="57">+AE22-AE9</f>
        <v>0</v>
      </c>
      <c r="AF23" s="75">
        <f t="shared" ref="AF23" si="58">+AF22-AF9</f>
        <v>0</v>
      </c>
      <c r="AG23" s="75">
        <f t="shared" ref="AG23" si="59">+AG22-AG9</f>
        <v>0</v>
      </c>
    </row>
    <row r="24" spans="1:33" ht="5.0999999999999996" customHeight="1">
      <c r="B24" s="16"/>
      <c r="C24" s="17"/>
      <c r="D24" s="17"/>
      <c r="E24" s="17"/>
      <c r="F24" s="17"/>
      <c r="G24" s="18"/>
      <c r="H24" s="19"/>
      <c r="I24" s="19"/>
      <c r="J24" s="19"/>
      <c r="K24" s="20"/>
      <c r="L24" s="19"/>
      <c r="M24" s="19"/>
      <c r="N24" s="19"/>
      <c r="O24" s="20"/>
      <c r="P24" s="19"/>
      <c r="Q24" s="19"/>
      <c r="R24" s="19"/>
      <c r="S24" s="19"/>
      <c r="T24" s="19"/>
      <c r="U24" s="19"/>
      <c r="V24" s="19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1:33">
      <c r="B25" s="131" t="str">
        <f>B20&amp;"(%)"</f>
        <v>Product licenses(%)</v>
      </c>
      <c r="C25" s="137">
        <f>C20/C$22</f>
        <v>0.70271203053709108</v>
      </c>
      <c r="D25" s="137">
        <f t="shared" ref="D25:F25" si="60">D20/D$22</f>
        <v>0.58744668713156389</v>
      </c>
      <c r="E25" s="137">
        <f t="shared" si="60"/>
        <v>0.48138376030153962</v>
      </c>
      <c r="F25" s="137">
        <f t="shared" si="60"/>
        <v>0.3126436337652807</v>
      </c>
      <c r="G25" s="132"/>
      <c r="H25" s="159">
        <f t="shared" ref="H25:V25" si="61">H20/H$22</f>
        <v>0.56247019551740585</v>
      </c>
      <c r="I25" s="159">
        <f t="shared" si="61"/>
        <v>0.58949803783752119</v>
      </c>
      <c r="J25" s="159">
        <f t="shared" si="61"/>
        <v>0.57586563307493543</v>
      </c>
      <c r="K25" s="159">
        <f t="shared" si="61"/>
        <v>0.6121225577264654</v>
      </c>
      <c r="L25" s="159">
        <f t="shared" si="61"/>
        <v>0.48070233559715092</v>
      </c>
      <c r="M25" s="159">
        <f t="shared" si="61"/>
        <v>0.43847457627118647</v>
      </c>
      <c r="N25" s="159">
        <f t="shared" si="61"/>
        <v>0.53410782114218436</v>
      </c>
      <c r="O25" s="159">
        <f t="shared" si="61"/>
        <v>0.46057810423926393</v>
      </c>
      <c r="P25" s="159">
        <f t="shared" si="61"/>
        <v>0.36034982174688057</v>
      </c>
      <c r="Q25" s="159">
        <f t="shared" si="61"/>
        <v>0.27830725888629143</v>
      </c>
      <c r="R25" s="159">
        <f t="shared" si="61"/>
        <v>0.28510813382364286</v>
      </c>
      <c r="S25" s="159">
        <f t="shared" si="61"/>
        <v>0.32331623786716401</v>
      </c>
      <c r="T25" s="159">
        <f t="shared" si="61"/>
        <v>0.16383837018006445</v>
      </c>
      <c r="U25" s="159">
        <f t="shared" si="61"/>
        <v>0.14951771838086705</v>
      </c>
      <c r="V25" s="159">
        <f t="shared" si="61"/>
        <v>0.27426000473596968</v>
      </c>
      <c r="W25" s="132"/>
      <c r="X25" s="137">
        <f t="shared" ref="X25:X26" si="62">M25</f>
        <v>0.43847457627118647</v>
      </c>
      <c r="Y25" s="137">
        <f t="shared" ref="Y25:Y26" si="63">N25</f>
        <v>0.53410782114218436</v>
      </c>
      <c r="Z25" s="137">
        <f t="shared" ref="Z25:Z26" si="64">O25</f>
        <v>0.46057810423926393</v>
      </c>
      <c r="AA25" s="137">
        <f t="shared" ref="AA25:AA26" si="65">P25</f>
        <v>0.36034982174688057</v>
      </c>
      <c r="AB25" s="137">
        <f t="shared" ref="AB25:AB26" si="66">Q25</f>
        <v>0.27830725888629143</v>
      </c>
      <c r="AC25" s="137">
        <f t="shared" ref="AC25:AC26" si="67">R25</f>
        <v>0.28510813382364286</v>
      </c>
      <c r="AD25" s="137">
        <f t="shared" ref="AD25:AD26" si="68">S25</f>
        <v>0.32331623786716401</v>
      </c>
      <c r="AE25" s="137">
        <f t="shared" ref="AE25:AE26" si="69">T25</f>
        <v>0.16383837018006445</v>
      </c>
      <c r="AF25" s="137">
        <f t="shared" ref="AF25:AF26" si="70">U25</f>
        <v>0.14951771838086705</v>
      </c>
      <c r="AG25" s="141">
        <f>V25</f>
        <v>0.27426000473596968</v>
      </c>
    </row>
    <row r="26" spans="1:33">
      <c r="B26" s="135" t="str">
        <f>B21&amp;"(%)"</f>
        <v>Subscription services(%)</v>
      </c>
      <c r="C26" s="139">
        <f t="shared" ref="C26:F26" si="71">C21/C$22</f>
        <v>0.29728796946290892</v>
      </c>
      <c r="D26" s="139">
        <f t="shared" si="71"/>
        <v>0.41255331286843605</v>
      </c>
      <c r="E26" s="139">
        <f t="shared" si="71"/>
        <v>0.51861623969846038</v>
      </c>
      <c r="F26" s="139">
        <f t="shared" si="71"/>
        <v>0.6873563662347193</v>
      </c>
      <c r="G26" s="136"/>
      <c r="H26" s="161">
        <f t="shared" ref="H26:V26" si="72">H21/H$22</f>
        <v>0.43752980448259421</v>
      </c>
      <c r="I26" s="161">
        <f t="shared" si="72"/>
        <v>0.41050196216247875</v>
      </c>
      <c r="J26" s="161">
        <f t="shared" si="72"/>
        <v>0.42413436692506462</v>
      </c>
      <c r="K26" s="161">
        <f t="shared" si="72"/>
        <v>0.38787744227353466</v>
      </c>
      <c r="L26" s="161">
        <f t="shared" si="72"/>
        <v>0.51929766440284908</v>
      </c>
      <c r="M26" s="161">
        <f t="shared" si="72"/>
        <v>0.56152542372881353</v>
      </c>
      <c r="N26" s="161">
        <f t="shared" si="72"/>
        <v>0.46589217885781559</v>
      </c>
      <c r="O26" s="161">
        <f t="shared" si="72"/>
        <v>0.53942189576073607</v>
      </c>
      <c r="P26" s="161">
        <f t="shared" si="72"/>
        <v>0.63965017825311943</v>
      </c>
      <c r="Q26" s="161">
        <f t="shared" si="72"/>
        <v>0.72169274111370851</v>
      </c>
      <c r="R26" s="161">
        <f t="shared" si="72"/>
        <v>0.71489186617635714</v>
      </c>
      <c r="S26" s="161">
        <f t="shared" si="72"/>
        <v>0.67668376213283599</v>
      </c>
      <c r="T26" s="161">
        <f t="shared" si="72"/>
        <v>0.83616162981993558</v>
      </c>
      <c r="U26" s="161">
        <f t="shared" si="72"/>
        <v>0.85048228161913297</v>
      </c>
      <c r="V26" s="161">
        <f t="shared" si="72"/>
        <v>0.72573999526403032</v>
      </c>
      <c r="W26" s="136"/>
      <c r="X26" s="139">
        <f t="shared" si="62"/>
        <v>0.56152542372881353</v>
      </c>
      <c r="Y26" s="139">
        <f t="shared" si="63"/>
        <v>0.46589217885781559</v>
      </c>
      <c r="Z26" s="139">
        <f t="shared" si="64"/>
        <v>0.53942189576073607</v>
      </c>
      <c r="AA26" s="139">
        <f t="shared" si="65"/>
        <v>0.63965017825311943</v>
      </c>
      <c r="AB26" s="139">
        <f t="shared" si="66"/>
        <v>0.72169274111370851</v>
      </c>
      <c r="AC26" s="139">
        <f t="shared" si="67"/>
        <v>0.71489186617635714</v>
      </c>
      <c r="AD26" s="139">
        <f t="shared" si="68"/>
        <v>0.67668376213283599</v>
      </c>
      <c r="AE26" s="139">
        <f t="shared" si="69"/>
        <v>0.83616162981993558</v>
      </c>
      <c r="AF26" s="139">
        <f t="shared" si="70"/>
        <v>0.85048228161913297</v>
      </c>
      <c r="AG26" s="143">
        <f t="shared" ref="AG26" si="73">V26</f>
        <v>0.72573999526403032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7630-A68B-46E6-BC66-419F477B6C04}">
  <sheetPr>
    <tabColor theme="6" tint="-0.249977111117893"/>
  </sheetPr>
  <dimension ref="A2:AK95"/>
  <sheetViews>
    <sheetView showGridLines="0" topLeftCell="B1" zoomScale="115" zoomScaleNormal="115" workbookViewId="0">
      <selection activeCell="B2" sqref="B2"/>
    </sheetView>
  </sheetViews>
  <sheetFormatPr defaultRowHeight="12" outlineLevelCol="1"/>
  <cols>
    <col min="1" max="1" width="1.5" style="8" customWidth="1"/>
    <col min="2" max="2" width="44.375" style="8" bestFit="1" customWidth="1"/>
    <col min="3" max="3" width="8.625" style="8" hidden="1" customWidth="1" outlineLevel="1"/>
    <col min="4" max="4" width="8.625" style="8" bestFit="1" customWidth="1" collapsed="1"/>
    <col min="5" max="5" width="8.625" style="8" bestFit="1" customWidth="1"/>
    <col min="6" max="6" width="9.375" style="8" bestFit="1" customWidth="1"/>
    <col min="7" max="7" width="1.625" style="8" customWidth="1"/>
    <col min="8" max="8" width="7.875" style="8" hidden="1" customWidth="1" outlineLevel="1"/>
    <col min="9" max="9" width="8.625" style="8" hidden="1" customWidth="1" outlineLevel="1"/>
    <col min="10" max="10" width="7.875" style="8" hidden="1" customWidth="1" outlineLevel="1"/>
    <col min="11" max="11" width="8.625" style="8" hidden="1" customWidth="1" outlineLevel="1"/>
    <col min="12" max="14" width="7.875" style="8" hidden="1" customWidth="1" outlineLevel="1"/>
    <col min="15" max="16" width="8.625" style="8" hidden="1" customWidth="1" outlineLevel="1"/>
    <col min="17" max="17" width="7.875" style="8" hidden="1" customWidth="1" outlineLevel="1"/>
    <col min="18" max="18" width="8.625" style="8" bestFit="1" customWidth="1" collapsed="1"/>
    <col min="19" max="20" width="9.375" style="8" bestFit="1" customWidth="1"/>
    <col min="21" max="21" width="9.125" style="8" bestFit="1" customWidth="1"/>
    <col min="22" max="22" width="8.625" style="8" bestFit="1" customWidth="1"/>
    <col min="23" max="23" width="1.625" style="8" customWidth="1"/>
    <col min="24" max="25" width="8.625" style="8" hidden="1" customWidth="1" outlineLevel="1" collapsed="1"/>
    <col min="26" max="27" width="7.875" style="8" hidden="1" customWidth="1" outlineLevel="1" collapsed="1"/>
    <col min="28" max="30" width="8.625" style="8" hidden="1" customWidth="1" outlineLevel="1" collapsed="1"/>
    <col min="31" max="31" width="8.625" style="8" bestFit="1" customWidth="1" collapsed="1"/>
    <col min="32" max="34" width="9.375" style="8" hidden="1" customWidth="1" outlineLevel="1" collapsed="1"/>
    <col min="35" max="35" width="9.375" style="8" bestFit="1" customWidth="1" collapsed="1"/>
    <col min="36" max="36" width="1.5" style="8" customWidth="1"/>
    <col min="37" max="37" width="9.625" style="113" bestFit="1" customWidth="1"/>
    <col min="38" max="16384" width="9" style="8"/>
  </cols>
  <sheetData>
    <row r="2" spans="2:37" s="5" customFormat="1" ht="12.75" customHeight="1">
      <c r="B2" s="1" t="str">
        <f>'Historical Financials'!B2</f>
        <v>Microstrategy, Inc. (NASDAQ: MSTR)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 t="s">
        <v>1</v>
      </c>
      <c r="M2" s="2"/>
      <c r="N2" s="2"/>
      <c r="O2" s="2"/>
      <c r="P2" s="2"/>
      <c r="Q2" s="2"/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55" t="s">
        <v>22</v>
      </c>
    </row>
    <row r="3" spans="2:37" s="5" customFormat="1" ht="12.75" customHeight="1">
      <c r="B3" s="6" t="s">
        <v>23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7" t="str">
        <f>'Historical Financials'!V7</f>
        <v>3Q25</v>
      </c>
      <c r="W3" s="3"/>
      <c r="X3" s="4" t="str">
        <f t="shared" ref="X3:AI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str">
        <f t="shared" si="0"/>
        <v>3Q25</v>
      </c>
      <c r="AJ3" s="3"/>
      <c r="AK3" s="155"/>
    </row>
    <row r="4" spans="2:37" s="5" customFormat="1" ht="12.75" customHeight="1">
      <c r="B4" s="6" t="s">
        <v>108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>
        <f>'Historical Financials'!V8</f>
        <v>45930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>
        <f t="shared" si="0"/>
        <v>45930</v>
      </c>
      <c r="AJ4" s="3"/>
      <c r="AK4" s="155"/>
    </row>
    <row r="5" spans="2:37" ht="5.0999999999999996" customHeight="1">
      <c r="AK5" s="109"/>
    </row>
    <row r="6" spans="2:37" ht="12.75" customHeight="1">
      <c r="B6" s="9" t="str">
        <f>'Revenue Drivers'!B9</f>
        <v>Product Licenses and Subscription Services</v>
      </c>
      <c r="C6" s="82">
        <f>'Revenue Drivers'!C9</f>
        <v>144873</v>
      </c>
      <c r="D6" s="82">
        <f>'Revenue Drivers'!D9</f>
        <v>147244</v>
      </c>
      <c r="E6" s="82">
        <f>'Revenue Drivers'!E9</f>
        <v>156530</v>
      </c>
      <c r="F6" s="82">
        <f>'Revenue Drivers'!F9</f>
        <v>155343</v>
      </c>
      <c r="G6" s="10"/>
      <c r="H6" s="82">
        <f>'Revenue Drivers'!H9</f>
        <v>29358</v>
      </c>
      <c r="I6" s="82">
        <f>'Revenue Drivers'!I9</f>
        <v>34146</v>
      </c>
      <c r="J6" s="82">
        <f>'Revenue Drivers'!J9</f>
        <v>38700</v>
      </c>
      <c r="K6" s="82">
        <f>'Revenue Drivers'!K9</f>
        <v>45040</v>
      </c>
      <c r="L6" s="82">
        <f>'Revenue Drivers'!L9</f>
        <v>36222</v>
      </c>
      <c r="M6" s="82">
        <f>'Revenue Drivers'!M9</f>
        <v>35400</v>
      </c>
      <c r="N6" s="82">
        <f>'Revenue Drivers'!N9</f>
        <v>45019</v>
      </c>
      <c r="O6" s="82">
        <f>'Revenue Drivers'!O9</f>
        <v>39889</v>
      </c>
      <c r="P6" s="82">
        <f>'Revenue Drivers'!P9</f>
        <v>35904</v>
      </c>
      <c r="Q6" s="82">
        <f>'Revenue Drivers'!Q9</f>
        <v>33366</v>
      </c>
      <c r="R6" s="82">
        <f>'Revenue Drivers'!R9</f>
        <v>38887</v>
      </c>
      <c r="S6" s="82">
        <f>'Revenue Drivers'!S9</f>
        <v>47186</v>
      </c>
      <c r="T6" s="82">
        <f>'Revenue Drivers'!T9</f>
        <v>44373</v>
      </c>
      <c r="U6" s="82">
        <f>'Revenue Drivers'!U9</f>
        <v>48001</v>
      </c>
      <c r="V6" s="82">
        <f>'Revenue Drivers'!V9</f>
        <v>63345</v>
      </c>
      <c r="W6" s="10"/>
      <c r="X6" s="144">
        <f t="shared" ref="X6:AI8" si="1">SUM(H6:K6)</f>
        <v>147244</v>
      </c>
      <c r="Y6" s="144">
        <f t="shared" si="1"/>
        <v>154108</v>
      </c>
      <c r="Z6" s="144">
        <f t="shared" si="1"/>
        <v>155362</v>
      </c>
      <c r="AA6" s="144">
        <f t="shared" si="1"/>
        <v>161681</v>
      </c>
      <c r="AB6" s="144">
        <f t="shared" si="1"/>
        <v>156530</v>
      </c>
      <c r="AC6" s="144">
        <f t="shared" si="1"/>
        <v>156212</v>
      </c>
      <c r="AD6" s="144">
        <f t="shared" si="1"/>
        <v>154178</v>
      </c>
      <c r="AE6" s="144">
        <f t="shared" si="1"/>
        <v>148046</v>
      </c>
      <c r="AF6" s="144">
        <f t="shared" si="1"/>
        <v>155343</v>
      </c>
      <c r="AG6" s="144">
        <f t="shared" si="1"/>
        <v>163812</v>
      </c>
      <c r="AH6" s="144">
        <f t="shared" si="1"/>
        <v>178447</v>
      </c>
      <c r="AI6" s="144">
        <f t="shared" si="1"/>
        <v>202905</v>
      </c>
      <c r="AK6" s="110">
        <f t="shared" ref="AK6:AK9" si="2">SUM(AI6/AE6)-1</f>
        <v>0.37055374680842434</v>
      </c>
    </row>
    <row r="7" spans="2:37" ht="12.75" customHeight="1">
      <c r="B7" s="9" t="s">
        <v>127</v>
      </c>
      <c r="C7" s="82">
        <f>'Revenue Drivers'!C10</f>
        <v>281209</v>
      </c>
      <c r="D7" s="82">
        <f>'Revenue Drivers'!D10</f>
        <v>266521</v>
      </c>
      <c r="E7" s="82">
        <f>'Revenue Drivers'!E10</f>
        <v>263888</v>
      </c>
      <c r="F7" s="82">
        <f>'Revenue Drivers'!F10</f>
        <v>243805</v>
      </c>
      <c r="G7" s="10"/>
      <c r="H7" s="82">
        <f>'Revenue Drivers'!H10</f>
        <v>67151</v>
      </c>
      <c r="I7" s="82">
        <f>'Revenue Drivers'!I10</f>
        <v>66521</v>
      </c>
      <c r="J7" s="82">
        <f>'Revenue Drivers'!J10</f>
        <v>66010</v>
      </c>
      <c r="K7" s="82">
        <f>'Revenue Drivers'!K10</f>
        <v>66839</v>
      </c>
      <c r="L7" s="82">
        <f>'Revenue Drivers'!L10</f>
        <v>65481</v>
      </c>
      <c r="M7" s="82">
        <f>'Revenue Drivers'!M10</f>
        <v>66081</v>
      </c>
      <c r="N7" s="82">
        <f>'Revenue Drivers'!N10</f>
        <v>66860</v>
      </c>
      <c r="O7" s="82">
        <f>'Revenue Drivers'!O10</f>
        <v>65466</v>
      </c>
      <c r="P7" s="82">
        <f>'Revenue Drivers'!P10</f>
        <v>62685</v>
      </c>
      <c r="Q7" s="82">
        <f>'Revenue Drivers'!Q10</f>
        <v>61740</v>
      </c>
      <c r="R7" s="82">
        <f>'Revenue Drivers'!R10</f>
        <v>61015</v>
      </c>
      <c r="S7" s="82">
        <f>'Revenue Drivers'!S10</f>
        <v>58365</v>
      </c>
      <c r="T7" s="82">
        <f>'Revenue Drivers'!T10</f>
        <v>52529</v>
      </c>
      <c r="U7" s="82">
        <f>'Revenue Drivers'!U10</f>
        <v>52081</v>
      </c>
      <c r="V7" s="82">
        <f>'Revenue Drivers'!V10</f>
        <v>51118</v>
      </c>
      <c r="W7" s="10"/>
      <c r="X7" s="144">
        <f t="shared" ref="X7" si="3">SUM(H7:K7)</f>
        <v>266521</v>
      </c>
      <c r="Y7" s="144">
        <f t="shared" ref="Y7" si="4">SUM(I7:L7)</f>
        <v>264851</v>
      </c>
      <c r="Z7" s="144">
        <f t="shared" ref="Z7" si="5">SUM(J7:M7)</f>
        <v>264411</v>
      </c>
      <c r="AA7" s="144">
        <f t="shared" ref="AA7" si="6">SUM(K7:N7)</f>
        <v>265261</v>
      </c>
      <c r="AB7" s="144">
        <f t="shared" ref="AB7" si="7">SUM(L7:O7)</f>
        <v>263888</v>
      </c>
      <c r="AC7" s="144">
        <f t="shared" ref="AC7" si="8">SUM(M7:P7)</f>
        <v>261092</v>
      </c>
      <c r="AD7" s="144">
        <f t="shared" ref="AD7" si="9">SUM(N7:Q7)</f>
        <v>256751</v>
      </c>
      <c r="AE7" s="144">
        <f t="shared" ref="AE7" si="10">SUM(O7:R7)</f>
        <v>250906</v>
      </c>
      <c r="AF7" s="144">
        <f t="shared" ref="AF7" si="11">SUM(P7:S7)</f>
        <v>243805</v>
      </c>
      <c r="AG7" s="144">
        <f t="shared" ref="AG7" si="12">SUM(Q7:T7)</f>
        <v>233649</v>
      </c>
      <c r="AH7" s="144">
        <f t="shared" ref="AH7" si="13">SUM(R7:U7)</f>
        <v>223990</v>
      </c>
      <c r="AI7" s="144">
        <f t="shared" ref="AI7" si="14">SUM(S7:V7)</f>
        <v>214093</v>
      </c>
      <c r="AK7" s="110">
        <f t="shared" si="2"/>
        <v>-0.14672028568467876</v>
      </c>
    </row>
    <row r="8" spans="2:37" ht="12.75" customHeight="1">
      <c r="B8" s="9" t="s">
        <v>128</v>
      </c>
      <c r="C8" s="82">
        <f>'Revenue Drivers'!C11</f>
        <v>84680</v>
      </c>
      <c r="D8" s="82">
        <f>'Revenue Drivers'!D11</f>
        <v>85499</v>
      </c>
      <c r="E8" s="82">
        <f>'Revenue Drivers'!E11</f>
        <v>75843</v>
      </c>
      <c r="F8" s="82">
        <f>'Revenue Drivers'!F11</f>
        <v>64308</v>
      </c>
      <c r="G8" s="10"/>
      <c r="H8" s="82">
        <f>'Revenue Drivers'!H11</f>
        <v>22768</v>
      </c>
      <c r="I8" s="82">
        <f>'Revenue Drivers'!I11</f>
        <v>21406</v>
      </c>
      <c r="J8" s="82">
        <f>'Revenue Drivers'!J11</f>
        <v>20650</v>
      </c>
      <c r="K8" s="82">
        <f>'Revenue Drivers'!K11</f>
        <v>20675</v>
      </c>
      <c r="L8" s="82">
        <f>'Revenue Drivers'!L11</f>
        <v>20212</v>
      </c>
      <c r="M8" s="82">
        <f>'Revenue Drivers'!M11</f>
        <v>18919</v>
      </c>
      <c r="N8" s="82">
        <f>'Revenue Drivers'!N11</f>
        <v>17583</v>
      </c>
      <c r="O8" s="82">
        <f>'Revenue Drivers'!O11</f>
        <v>19129</v>
      </c>
      <c r="P8" s="82">
        <f>'Revenue Drivers'!P11</f>
        <v>16657</v>
      </c>
      <c r="Q8" s="82">
        <f>'Revenue Drivers'!Q11</f>
        <v>16336</v>
      </c>
      <c r="R8" s="82">
        <f>'Revenue Drivers'!R11</f>
        <v>16169</v>
      </c>
      <c r="S8" s="82">
        <f>'Revenue Drivers'!S11</f>
        <v>15146</v>
      </c>
      <c r="T8" s="82">
        <f>'Revenue Drivers'!T11</f>
        <v>14164</v>
      </c>
      <c r="U8" s="82">
        <f>'Revenue Drivers'!U11</f>
        <v>14406</v>
      </c>
      <c r="V8" s="82">
        <f>'Revenue Drivers'!V11</f>
        <v>14228</v>
      </c>
      <c r="W8" s="10"/>
      <c r="X8" s="144">
        <f t="shared" si="1"/>
        <v>85499</v>
      </c>
      <c r="Y8" s="144">
        <f t="shared" si="1"/>
        <v>82943</v>
      </c>
      <c r="Z8" s="144">
        <f t="shared" si="1"/>
        <v>80456</v>
      </c>
      <c r="AA8" s="144">
        <f t="shared" si="1"/>
        <v>77389</v>
      </c>
      <c r="AB8" s="144">
        <f t="shared" si="1"/>
        <v>75843</v>
      </c>
      <c r="AC8" s="144">
        <f t="shared" si="1"/>
        <v>72288</v>
      </c>
      <c r="AD8" s="144">
        <f t="shared" si="1"/>
        <v>69705</v>
      </c>
      <c r="AE8" s="144">
        <f t="shared" si="1"/>
        <v>68291</v>
      </c>
      <c r="AF8" s="144">
        <f t="shared" si="1"/>
        <v>64308</v>
      </c>
      <c r="AG8" s="144">
        <f t="shared" si="1"/>
        <v>61815</v>
      </c>
      <c r="AH8" s="144">
        <f t="shared" si="1"/>
        <v>59885</v>
      </c>
      <c r="AI8" s="144">
        <f t="shared" si="1"/>
        <v>57944</v>
      </c>
      <c r="AK8" s="110">
        <f t="shared" si="2"/>
        <v>-0.15151337657963715</v>
      </c>
    </row>
    <row r="9" spans="2:37" ht="12.75" customHeight="1">
      <c r="B9" s="12" t="s">
        <v>12</v>
      </c>
      <c r="C9" s="13">
        <f>SUM(C6:C8)</f>
        <v>510762</v>
      </c>
      <c r="D9" s="13">
        <f>SUM(D6:D8)</f>
        <v>499264</v>
      </c>
      <c r="E9" s="13">
        <f>SUM(E6:E8)</f>
        <v>496261</v>
      </c>
      <c r="F9" s="13">
        <f>SUM(F6:F8)</f>
        <v>463456</v>
      </c>
      <c r="G9" s="10"/>
      <c r="H9" s="13">
        <f>SUM(H6:H8)</f>
        <v>119277</v>
      </c>
      <c r="I9" s="13">
        <f>SUM(I6:I8)</f>
        <v>122073</v>
      </c>
      <c r="J9" s="13">
        <f>SUM(J6:J8)</f>
        <v>125360</v>
      </c>
      <c r="K9" s="13">
        <f>SUM(K6:K8)</f>
        <v>132554</v>
      </c>
      <c r="L9" s="13">
        <f>SUM(L6:L8)</f>
        <v>121915</v>
      </c>
      <c r="M9" s="13">
        <f>SUM(M6:M8)</f>
        <v>120400</v>
      </c>
      <c r="N9" s="13">
        <f>SUM(N6:N8)</f>
        <v>129462</v>
      </c>
      <c r="O9" s="13">
        <f>SUM(O6:O8)</f>
        <v>124484</v>
      </c>
      <c r="P9" s="13">
        <f>SUM(P6:P8)</f>
        <v>115246</v>
      </c>
      <c r="Q9" s="13">
        <f>SUM(Q6:Q8)</f>
        <v>111442</v>
      </c>
      <c r="R9" s="13">
        <f>SUM(R6:R8)</f>
        <v>116071</v>
      </c>
      <c r="S9" s="13">
        <f>SUM(S6:S8)</f>
        <v>120697</v>
      </c>
      <c r="T9" s="13">
        <f>SUM(T6:T8)</f>
        <v>111066</v>
      </c>
      <c r="U9" s="13">
        <f>SUM(U6:U8)</f>
        <v>114488</v>
      </c>
      <c r="V9" s="13">
        <f>SUM(V6:V8)</f>
        <v>128691</v>
      </c>
      <c r="W9" s="10"/>
      <c r="X9" s="13">
        <f>SUM(X6:X8)</f>
        <v>499264</v>
      </c>
      <c r="Y9" s="13">
        <f>SUM(Y6:Y8)</f>
        <v>501902</v>
      </c>
      <c r="Z9" s="13">
        <f>SUM(Z6:Z8)</f>
        <v>500229</v>
      </c>
      <c r="AA9" s="13">
        <f>SUM(AA6:AA8)</f>
        <v>504331</v>
      </c>
      <c r="AB9" s="13">
        <f>SUM(AB6:AB8)</f>
        <v>496261</v>
      </c>
      <c r="AC9" s="13">
        <f>SUM(AC6:AC8)</f>
        <v>489592</v>
      </c>
      <c r="AD9" s="13">
        <f>SUM(AD6:AD8)</f>
        <v>480634</v>
      </c>
      <c r="AE9" s="13">
        <f>SUM(AE6:AE8)</f>
        <v>467243</v>
      </c>
      <c r="AF9" s="13">
        <f>SUM(AF6:AF8)</f>
        <v>463456</v>
      </c>
      <c r="AG9" s="13">
        <f>SUM(AG6:AG8)</f>
        <v>459276</v>
      </c>
      <c r="AH9" s="13">
        <f>SUM(AH6:AH8)</f>
        <v>462322</v>
      </c>
      <c r="AI9" s="13">
        <f>SUM(AI6:AI8)</f>
        <v>474942</v>
      </c>
      <c r="AK9" s="111">
        <f t="shared" si="2"/>
        <v>1.6477507421192028E-2</v>
      </c>
    </row>
    <row r="10" spans="2:37" ht="12.75" customHeight="1">
      <c r="B10" s="14" t="s">
        <v>30</v>
      </c>
      <c r="C10" s="101"/>
      <c r="D10" s="15">
        <f t="shared" ref="D10:E10" si="15">SUM(D9/C9)-1</f>
        <v>-2.2511463264690779E-2</v>
      </c>
      <c r="E10" s="15">
        <f t="shared" si="15"/>
        <v>-6.0148538648890915E-3</v>
      </c>
      <c r="F10" s="15">
        <f>SUM(F9/E9)-1</f>
        <v>-6.6104328166025517E-2</v>
      </c>
      <c r="G10" s="11"/>
      <c r="H10" s="101"/>
      <c r="I10" s="101"/>
      <c r="J10" s="101"/>
      <c r="K10" s="101"/>
      <c r="L10" s="15">
        <f t="shared" ref="L10" si="16">SUM(L9/H9)-1</f>
        <v>2.211658576255271E-2</v>
      </c>
      <c r="M10" s="15">
        <f t="shared" ref="M10" si="17">SUM(M9/I9)-1</f>
        <v>-1.3704914272607338E-2</v>
      </c>
      <c r="N10" s="15">
        <f t="shared" ref="N10" si="18">SUM(N9/J9)-1</f>
        <v>3.2721761327377141E-2</v>
      </c>
      <c r="O10" s="15">
        <f t="shared" ref="O10" si="19">SUM(O9/K9)-1</f>
        <v>-6.0880848559832224E-2</v>
      </c>
      <c r="P10" s="15">
        <f t="shared" ref="P10:V10" si="20">SUM(P9/L9)-1</f>
        <v>-5.4702046507812851E-2</v>
      </c>
      <c r="Q10" s="15">
        <f t="shared" si="20"/>
        <v>-7.4401993355481699E-2</v>
      </c>
      <c r="R10" s="15">
        <f t="shared" si="20"/>
        <v>-0.10343575721061005</v>
      </c>
      <c r="S10" s="15">
        <f t="shared" si="20"/>
        <v>-3.042158028340991E-2</v>
      </c>
      <c r="T10" s="15">
        <f t="shared" si="20"/>
        <v>-3.6270239314162733E-2</v>
      </c>
      <c r="U10" s="15">
        <f t="shared" si="20"/>
        <v>2.7332603506756925E-2</v>
      </c>
      <c r="V10" s="15">
        <f t="shared" si="20"/>
        <v>0.10872655529805031</v>
      </c>
      <c r="W10" s="11"/>
      <c r="X10" s="15">
        <f>SUM(X9/U9)-1</f>
        <v>3.360841310879743</v>
      </c>
      <c r="Y10" s="15">
        <f>SUM(Y9/V9)-1</f>
        <v>2.9000551709132729</v>
      </c>
      <c r="Z10" s="15" t="e">
        <f>SUM(Z9/W9)-1</f>
        <v>#DIV/0!</v>
      </c>
      <c r="AA10" s="15" t="e">
        <f>SUM(AA9/#REF!)-1</f>
        <v>#REF!</v>
      </c>
      <c r="AB10" s="15">
        <f t="shared" ref="AB10" si="21">SUM(AB9/X9)-1</f>
        <v>-6.0148538648890915E-3</v>
      </c>
      <c r="AC10" s="15">
        <f t="shared" ref="AC10" si="22">SUM(AC9/Y9)-1</f>
        <v>-2.4526700431558357E-2</v>
      </c>
      <c r="AD10" s="15">
        <f t="shared" ref="AD10" si="23">SUM(AD9/Z9)-1</f>
        <v>-3.9172059196887821E-2</v>
      </c>
      <c r="AE10" s="15">
        <f t="shared" ref="AE10" si="24">SUM(AE9/AA9)-1</f>
        <v>-7.3539005137499003E-2</v>
      </c>
      <c r="AF10" s="15">
        <f t="shared" ref="AF10" si="25">SUM(AF9/AB9)-1</f>
        <v>-6.6104328166025517E-2</v>
      </c>
      <c r="AG10" s="15">
        <f t="shared" ref="AG10" si="26">SUM(AG9/AC9)-1</f>
        <v>-6.1920946420693124E-2</v>
      </c>
      <c r="AH10" s="15">
        <f t="shared" ref="AH10" si="27">SUM(AH9/AD9)-1</f>
        <v>-3.8099676677055716E-2</v>
      </c>
      <c r="AI10" s="15">
        <f t="shared" ref="AI10" si="28">SUM(AI9/AE9)-1</f>
        <v>1.6477507421192028E-2</v>
      </c>
      <c r="AK10" s="112">
        <f>SUM(AI10-AE10)*10000</f>
        <v>900.16512558691034</v>
      </c>
    </row>
    <row r="11" spans="2:37" ht="12.75" customHeight="1">
      <c r="B11" s="14" t="s">
        <v>31</v>
      </c>
      <c r="C11" s="15" t="s">
        <v>32</v>
      </c>
      <c r="D11" s="15" t="s">
        <v>32</v>
      </c>
      <c r="E11" s="15" t="s">
        <v>32</v>
      </c>
      <c r="F11" s="15" t="s">
        <v>32</v>
      </c>
      <c r="G11" s="11"/>
      <c r="H11" s="101"/>
      <c r="I11" s="15">
        <f t="shared" ref="I11" si="29">SUM(I9/H9)-1</f>
        <v>2.3441233431424235E-2</v>
      </c>
      <c r="J11" s="15">
        <f t="shared" ref="J11" si="30">SUM(J9/I9)-1</f>
        <v>2.6926511185929813E-2</v>
      </c>
      <c r="K11" s="15">
        <f t="shared" ref="K11" si="31">SUM(K9/J9)-1</f>
        <v>5.7386726228461971E-2</v>
      </c>
      <c r="L11" s="15">
        <f t="shared" ref="L11" si="32">SUM(L9/K9)-1</f>
        <v>-8.0261629222807329E-2</v>
      </c>
      <c r="M11" s="15">
        <f t="shared" ref="M11:V11" si="33">SUM(M9/L9)-1</f>
        <v>-1.2426690727145973E-2</v>
      </c>
      <c r="N11" s="15">
        <f t="shared" si="33"/>
        <v>7.5265780730896958E-2</v>
      </c>
      <c r="O11" s="15">
        <f t="shared" si="33"/>
        <v>-3.8451437487448059E-2</v>
      </c>
      <c r="P11" s="15">
        <f t="shared" si="33"/>
        <v>-7.4210340284695198E-2</v>
      </c>
      <c r="Q11" s="15">
        <f t="shared" si="33"/>
        <v>-3.300765319403709E-2</v>
      </c>
      <c r="R11" s="15">
        <f t="shared" si="33"/>
        <v>4.1537301914897462E-2</v>
      </c>
      <c r="S11" s="15">
        <f t="shared" si="33"/>
        <v>3.9854916387383588E-2</v>
      </c>
      <c r="T11" s="15">
        <f t="shared" si="33"/>
        <v>-7.9794858198629637E-2</v>
      </c>
      <c r="U11" s="15">
        <f t="shared" si="33"/>
        <v>3.0810509066681036E-2</v>
      </c>
      <c r="V11" s="15">
        <f t="shared" si="33"/>
        <v>0.12405666969464058</v>
      </c>
      <c r="W11" s="11"/>
      <c r="X11" s="15" t="s">
        <v>32</v>
      </c>
      <c r="Y11" s="15" t="s">
        <v>32</v>
      </c>
      <c r="Z11" s="15" t="s">
        <v>32</v>
      </c>
      <c r="AA11" s="15" t="s">
        <v>32</v>
      </c>
      <c r="AB11" s="15" t="s">
        <v>32</v>
      </c>
      <c r="AC11" s="15" t="s">
        <v>32</v>
      </c>
      <c r="AD11" s="15" t="s">
        <v>32</v>
      </c>
      <c r="AE11" s="15" t="s">
        <v>32</v>
      </c>
      <c r="AF11" s="15" t="s">
        <v>32</v>
      </c>
      <c r="AG11" s="15" t="s">
        <v>32</v>
      </c>
      <c r="AH11" s="15" t="s">
        <v>32</v>
      </c>
      <c r="AI11" s="15" t="s">
        <v>32</v>
      </c>
      <c r="AK11" s="109"/>
    </row>
    <row r="12" spans="2:37" ht="5.0999999999999996" customHeight="1">
      <c r="B12" s="16"/>
      <c r="C12" s="17"/>
      <c r="D12" s="17"/>
      <c r="E12" s="17"/>
      <c r="F12" s="17"/>
      <c r="G12" s="18"/>
      <c r="H12" s="19"/>
      <c r="I12" s="19"/>
      <c r="J12" s="19"/>
      <c r="K12" s="19"/>
      <c r="L12" s="19"/>
      <c r="M12" s="19"/>
      <c r="N12" s="19"/>
      <c r="O12" s="20"/>
      <c r="P12" s="19"/>
      <c r="Q12" s="19"/>
      <c r="R12" s="19"/>
      <c r="S12" s="19"/>
      <c r="T12" s="19"/>
      <c r="U12" s="19"/>
      <c r="V12" s="19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K12" s="109"/>
    </row>
    <row r="13" spans="2:37" ht="12.75" customHeight="1">
      <c r="B13" s="21" t="s">
        <v>109</v>
      </c>
      <c r="C13" s="82">
        <f>'Historical Financials'!C13</f>
        <v>-91909</v>
      </c>
      <c r="D13" s="82">
        <f>'Historical Financials'!D13</f>
        <v>-102989</v>
      </c>
      <c r="E13" s="82">
        <f>'Historical Financials'!E13</f>
        <v>-109944</v>
      </c>
      <c r="F13" s="82">
        <f>'Historical Financials'!F13</f>
        <v>-129468</v>
      </c>
      <c r="G13" s="10"/>
      <c r="H13" s="82">
        <f>'Historical Financials'!H13</f>
        <v>-25677</v>
      </c>
      <c r="I13" s="82">
        <f>'Historical Financials'!I13</f>
        <v>-25204</v>
      </c>
      <c r="J13" s="82">
        <f>'Historical Financials'!J13</f>
        <v>-25385</v>
      </c>
      <c r="K13" s="82">
        <f>'Historical Financials'!K13</f>
        <v>-26723</v>
      </c>
      <c r="L13" s="82">
        <f>'Historical Financials'!L13</f>
        <v>-27941</v>
      </c>
      <c r="M13" s="82">
        <f>'Historical Financials'!M13</f>
        <v>-27121</v>
      </c>
      <c r="N13" s="82">
        <f>'Historical Financials'!N13</f>
        <v>-26661</v>
      </c>
      <c r="O13" s="82">
        <f>'Historical Financials'!O13</f>
        <v>-28221</v>
      </c>
      <c r="P13" s="82">
        <f>'Historical Financials'!P13</f>
        <v>-30015</v>
      </c>
      <c r="Q13" s="82">
        <f>'Historical Financials'!Q13</f>
        <v>-30935</v>
      </c>
      <c r="R13" s="82">
        <f>'Historical Financials'!R13</f>
        <v>-34349</v>
      </c>
      <c r="S13" s="82">
        <f>'Historical Financials'!S13</f>
        <v>-34169</v>
      </c>
      <c r="T13" s="82">
        <f>'Historical Financials'!T13</f>
        <v>-33971</v>
      </c>
      <c r="U13" s="82">
        <f>'Historical Financials'!U13</f>
        <v>-35750</v>
      </c>
      <c r="V13" s="82">
        <f>'Historical Financials'!V13</f>
        <v>-38013</v>
      </c>
      <c r="W13" s="10"/>
      <c r="X13" s="144">
        <f t="shared" ref="X13:AI13" si="34">SUM(H13:K13)</f>
        <v>-102989</v>
      </c>
      <c r="Y13" s="144">
        <f t="shared" si="34"/>
        <v>-105253</v>
      </c>
      <c r="Z13" s="144">
        <f t="shared" si="34"/>
        <v>-107170</v>
      </c>
      <c r="AA13" s="144">
        <f t="shared" si="34"/>
        <v>-108446</v>
      </c>
      <c r="AB13" s="144">
        <f t="shared" si="34"/>
        <v>-109944</v>
      </c>
      <c r="AC13" s="144">
        <f t="shared" si="34"/>
        <v>-112018</v>
      </c>
      <c r="AD13" s="144">
        <f t="shared" si="34"/>
        <v>-115832</v>
      </c>
      <c r="AE13" s="144">
        <f t="shared" si="34"/>
        <v>-123520</v>
      </c>
      <c r="AF13" s="144">
        <f t="shared" si="34"/>
        <v>-129468</v>
      </c>
      <c r="AG13" s="144">
        <f t="shared" si="34"/>
        <v>-133424</v>
      </c>
      <c r="AH13" s="144">
        <f t="shared" si="34"/>
        <v>-138239</v>
      </c>
      <c r="AI13" s="144">
        <f t="shared" si="34"/>
        <v>-141903</v>
      </c>
      <c r="AK13" s="110">
        <f t="shared" ref="AK13" si="35">SUM(AI13/AE13)-1</f>
        <v>0.14882610103626948</v>
      </c>
    </row>
    <row r="14" spans="2:37" ht="12.75" customHeight="1">
      <c r="B14" s="23" t="s">
        <v>20</v>
      </c>
      <c r="C14" s="24">
        <f t="shared" ref="C14:E14" si="36">SUM(C9+SUM(C13:C13))</f>
        <v>418853</v>
      </c>
      <c r="D14" s="24">
        <f t="shared" si="36"/>
        <v>396275</v>
      </c>
      <c r="E14" s="24">
        <f t="shared" si="36"/>
        <v>386317</v>
      </c>
      <c r="F14" s="24">
        <f>SUM(F9+SUM(F13:F13))</f>
        <v>333988</v>
      </c>
      <c r="G14" s="5"/>
      <c r="H14" s="24">
        <f t="shared" ref="H14:K14" si="37">SUM(H9+SUM(H13:H13))</f>
        <v>93600</v>
      </c>
      <c r="I14" s="24">
        <f t="shared" si="37"/>
        <v>96869</v>
      </c>
      <c r="J14" s="24">
        <f t="shared" si="37"/>
        <v>99975</v>
      </c>
      <c r="K14" s="24">
        <f t="shared" si="37"/>
        <v>105831</v>
      </c>
      <c r="L14" s="24">
        <f t="shared" ref="L14:V14" si="38">SUM(L9+SUM(L13:L13))</f>
        <v>93974</v>
      </c>
      <c r="M14" s="24">
        <f t="shared" si="38"/>
        <v>93279</v>
      </c>
      <c r="N14" s="24">
        <f t="shared" si="38"/>
        <v>102801</v>
      </c>
      <c r="O14" s="24">
        <f t="shared" si="38"/>
        <v>96263</v>
      </c>
      <c r="P14" s="24">
        <f t="shared" si="38"/>
        <v>85231</v>
      </c>
      <c r="Q14" s="24">
        <f t="shared" si="38"/>
        <v>80507</v>
      </c>
      <c r="R14" s="24">
        <f t="shared" si="38"/>
        <v>81722</v>
      </c>
      <c r="S14" s="24">
        <f t="shared" si="38"/>
        <v>86528</v>
      </c>
      <c r="T14" s="24">
        <f t="shared" si="38"/>
        <v>77095</v>
      </c>
      <c r="U14" s="24">
        <f t="shared" si="38"/>
        <v>78738</v>
      </c>
      <c r="V14" s="24">
        <f t="shared" si="38"/>
        <v>90678</v>
      </c>
      <c r="W14" s="5"/>
      <c r="X14" s="24">
        <f t="shared" ref="X14:AH14" si="39">SUM(X9+SUM(X13:X13))</f>
        <v>396275</v>
      </c>
      <c r="Y14" s="24">
        <f t="shared" si="39"/>
        <v>396649</v>
      </c>
      <c r="Z14" s="24">
        <f t="shared" si="39"/>
        <v>393059</v>
      </c>
      <c r="AA14" s="24">
        <f t="shared" si="39"/>
        <v>395885</v>
      </c>
      <c r="AB14" s="24">
        <f t="shared" si="39"/>
        <v>386317</v>
      </c>
      <c r="AC14" s="24">
        <f t="shared" si="39"/>
        <v>377574</v>
      </c>
      <c r="AD14" s="24">
        <f t="shared" si="39"/>
        <v>364802</v>
      </c>
      <c r="AE14" s="24">
        <f t="shared" si="39"/>
        <v>343723</v>
      </c>
      <c r="AF14" s="24">
        <f t="shared" si="39"/>
        <v>333988</v>
      </c>
      <c r="AG14" s="24">
        <f t="shared" si="39"/>
        <v>325852</v>
      </c>
      <c r="AH14" s="24">
        <f t="shared" si="39"/>
        <v>324083</v>
      </c>
      <c r="AI14" s="24">
        <f t="shared" ref="AI14" si="40">SUM(AI9+SUM(AI13:AI13))</f>
        <v>333039</v>
      </c>
      <c r="AK14" s="111">
        <f>SUM(AI14/AE14)-1</f>
        <v>-3.108316871434269E-2</v>
      </c>
    </row>
    <row r="15" spans="2:37" ht="12.75" customHeight="1">
      <c r="B15" s="14" t="s">
        <v>33</v>
      </c>
      <c r="C15" s="15">
        <f t="shared" ref="C15:E15" si="41">C14/C9</f>
        <v>0.82005513331062219</v>
      </c>
      <c r="D15" s="15">
        <f t="shared" si="41"/>
        <v>0.79371835341622865</v>
      </c>
      <c r="E15" s="15">
        <f t="shared" si="41"/>
        <v>0.77845528864851354</v>
      </c>
      <c r="F15" s="15">
        <f>F14/F9</f>
        <v>0.72064662017537806</v>
      </c>
      <c r="G15" s="25"/>
      <c r="H15" s="15">
        <f t="shared" ref="H15:K15" si="42">H14/H9</f>
        <v>0.78472798611635097</v>
      </c>
      <c r="I15" s="15">
        <f t="shared" si="42"/>
        <v>0.79353337756915943</v>
      </c>
      <c r="J15" s="15">
        <f t="shared" si="42"/>
        <v>0.79750319081046583</v>
      </c>
      <c r="K15" s="15">
        <f t="shared" si="42"/>
        <v>0.79839914299078107</v>
      </c>
      <c r="L15" s="15">
        <f t="shared" ref="L15:V15" si="43">L14/L9</f>
        <v>0.7708157322724849</v>
      </c>
      <c r="M15" s="15">
        <f t="shared" si="43"/>
        <v>0.77474252491694351</v>
      </c>
      <c r="N15" s="15">
        <f t="shared" si="43"/>
        <v>0.79406312276961577</v>
      </c>
      <c r="O15" s="15">
        <f t="shared" si="43"/>
        <v>0.77329616657562417</v>
      </c>
      <c r="P15" s="15">
        <f t="shared" si="43"/>
        <v>0.73955712128837447</v>
      </c>
      <c r="Q15" s="15">
        <f t="shared" si="43"/>
        <v>0.72241165808223107</v>
      </c>
      <c r="R15" s="15">
        <f t="shared" si="43"/>
        <v>0.704069061178072</v>
      </c>
      <c r="S15" s="15">
        <f t="shared" si="43"/>
        <v>0.71690265706686995</v>
      </c>
      <c r="T15" s="15">
        <f t="shared" si="43"/>
        <v>0.69413681954873674</v>
      </c>
      <c r="U15" s="15">
        <f t="shared" si="43"/>
        <v>0.6877401998462721</v>
      </c>
      <c r="V15" s="15">
        <f t="shared" si="43"/>
        <v>0.70461803855747485</v>
      </c>
      <c r="W15" s="25"/>
      <c r="X15" s="15">
        <f t="shared" ref="X15:AH15" si="44">X14/X9</f>
        <v>0.79371835341622865</v>
      </c>
      <c r="Y15" s="15">
        <f t="shared" si="44"/>
        <v>0.79029173025809818</v>
      </c>
      <c r="Z15" s="15">
        <f t="shared" si="44"/>
        <v>0.78575812277976687</v>
      </c>
      <c r="AA15" s="15">
        <f t="shared" si="44"/>
        <v>0.78497058479450998</v>
      </c>
      <c r="AB15" s="15">
        <f t="shared" si="44"/>
        <v>0.77845528864851354</v>
      </c>
      <c r="AC15" s="15">
        <f t="shared" si="44"/>
        <v>0.77120132681906572</v>
      </c>
      <c r="AD15" s="15">
        <f t="shared" si="44"/>
        <v>0.75900165198467029</v>
      </c>
      <c r="AE15" s="15">
        <f t="shared" si="44"/>
        <v>0.73564076936412104</v>
      </c>
      <c r="AF15" s="15">
        <f t="shared" si="44"/>
        <v>0.72064662017537806</v>
      </c>
      <c r="AG15" s="15">
        <f t="shared" si="44"/>
        <v>0.70949058953657496</v>
      </c>
      <c r="AH15" s="15">
        <f t="shared" si="44"/>
        <v>0.70098978633939113</v>
      </c>
      <c r="AI15" s="15">
        <f t="shared" ref="AI15" si="45">AI14/AI9</f>
        <v>0.70122035953863837</v>
      </c>
      <c r="AK15" s="112">
        <f>SUM(AI15-AE15)*10000</f>
        <v>-344.20409825482665</v>
      </c>
    </row>
    <row r="16" spans="2:37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K16" s="109"/>
    </row>
    <row r="17" spans="2:37" ht="12.75" customHeight="1">
      <c r="B17" s="21" t="s">
        <v>175</v>
      </c>
      <c r="C17" s="145">
        <f>'Historical Financials'!C17</f>
        <v>-160141</v>
      </c>
      <c r="D17" s="145">
        <f>'Historical Financials'!D17</f>
        <v>-146882</v>
      </c>
      <c r="E17" s="145">
        <f>'Historical Financials'!E17</f>
        <v>-149671</v>
      </c>
      <c r="F17" s="145">
        <f>'Historical Financials'!F17</f>
        <v>-138081</v>
      </c>
      <c r="G17" s="82"/>
      <c r="H17" s="145">
        <f>'Historical Financials'!H17</f>
        <v>-33240</v>
      </c>
      <c r="I17" s="145">
        <f>'Historical Financials'!I17</f>
        <v>-36862</v>
      </c>
      <c r="J17" s="145">
        <f>'Historical Financials'!J17</f>
        <v>-35409</v>
      </c>
      <c r="K17" s="145">
        <f>'Historical Financials'!K17</f>
        <v>-41371</v>
      </c>
      <c r="L17" s="145">
        <f>'Historical Financials'!L17</f>
        <v>-36106</v>
      </c>
      <c r="M17" s="145">
        <f>'Historical Financials'!M17</f>
        <v>-37660</v>
      </c>
      <c r="N17" s="145">
        <f>'Historical Financials'!N17</f>
        <v>-35606</v>
      </c>
      <c r="O17" s="145">
        <f>'Historical Financials'!O17</f>
        <v>-40299</v>
      </c>
      <c r="P17" s="145">
        <f>'Historical Financials'!P17</f>
        <v>-33451</v>
      </c>
      <c r="Q17" s="145">
        <f>'Historical Financials'!Q17</f>
        <v>-34251</v>
      </c>
      <c r="R17" s="145">
        <f>'Historical Financials'!R17</f>
        <v>-35414</v>
      </c>
      <c r="S17" s="145">
        <f>'Historical Financials'!S17</f>
        <v>-34965</v>
      </c>
      <c r="T17" s="145">
        <f>'Historical Financials'!T17</f>
        <v>-27532</v>
      </c>
      <c r="U17" s="145">
        <f>'Historical Financials'!U17</f>
        <v>-33691</v>
      </c>
      <c r="V17" s="145">
        <f>'Historical Financials'!V17</f>
        <v>-29908</v>
      </c>
      <c r="W17" s="82"/>
      <c r="X17" s="144">
        <f t="shared" ref="X17:X20" si="46">SUM(H17:K17)</f>
        <v>-146882</v>
      </c>
      <c r="Y17" s="144">
        <f t="shared" ref="Y17:Y20" si="47">SUM(I17:L17)</f>
        <v>-149748</v>
      </c>
      <c r="Z17" s="144">
        <f t="shared" ref="Z17:Z20" si="48">SUM(J17:M17)</f>
        <v>-150546</v>
      </c>
      <c r="AA17" s="144">
        <f t="shared" ref="AA17:AA20" si="49">SUM(K17:N17)</f>
        <v>-150743</v>
      </c>
      <c r="AB17" s="144">
        <f t="shared" ref="AB17:AB20" si="50">SUM(L17:O17)</f>
        <v>-149671</v>
      </c>
      <c r="AC17" s="144">
        <f t="shared" ref="AC17:AC20" si="51">SUM(M17:P17)</f>
        <v>-147016</v>
      </c>
      <c r="AD17" s="144">
        <f t="shared" ref="AD17:AD20" si="52">SUM(N17:Q17)</f>
        <v>-143607</v>
      </c>
      <c r="AE17" s="144">
        <f t="shared" ref="AE17:AE20" si="53">SUM(O17:R17)</f>
        <v>-143415</v>
      </c>
      <c r="AF17" s="144">
        <f t="shared" ref="AF17:AF20" si="54">SUM(P17:S17)</f>
        <v>-138081</v>
      </c>
      <c r="AG17" s="144">
        <f t="shared" ref="AG17:AG20" si="55">SUM(Q17:T17)</f>
        <v>-132162</v>
      </c>
      <c r="AH17" s="144">
        <f t="shared" ref="AH17:AH20" si="56">SUM(R17:U17)</f>
        <v>-131602</v>
      </c>
      <c r="AI17" s="144">
        <f t="shared" ref="AI17:AI20" si="57">SUM(S17:V17)</f>
        <v>-126096</v>
      </c>
      <c r="AK17" s="110">
        <f t="shared" ref="AK17:AK21" si="58">SUM(AI17/AE17)-1</f>
        <v>-0.12076142662901368</v>
      </c>
    </row>
    <row r="18" spans="2:37" ht="12.75" customHeight="1">
      <c r="B18" s="21" t="s">
        <v>176</v>
      </c>
      <c r="C18" s="145">
        <f>'Historical Financials'!C18</f>
        <v>-117117</v>
      </c>
      <c r="D18" s="145">
        <f>'Historical Financials'!D18</f>
        <v>-127428</v>
      </c>
      <c r="E18" s="145">
        <f>'Historical Financials'!E18</f>
        <v>-120530</v>
      </c>
      <c r="F18" s="145">
        <f>'Historical Financials'!F18</f>
        <v>-118486</v>
      </c>
      <c r="G18" s="82"/>
      <c r="H18" s="145">
        <f>'Historical Financials'!H18</f>
        <v>-33523</v>
      </c>
      <c r="I18" s="145">
        <f>'Historical Financials'!I18</f>
        <v>-31790</v>
      </c>
      <c r="J18" s="145">
        <f>'Historical Financials'!J18</f>
        <v>-30498</v>
      </c>
      <c r="K18" s="145">
        <f>'Historical Financials'!K18</f>
        <v>-31617</v>
      </c>
      <c r="L18" s="145">
        <f>'Historical Financials'!L18</f>
        <v>-31358</v>
      </c>
      <c r="M18" s="145">
        <f>'Historical Financials'!M18</f>
        <v>-29354</v>
      </c>
      <c r="N18" s="145">
        <f>'Historical Financials'!N18</f>
        <v>-29660</v>
      </c>
      <c r="O18" s="145">
        <f>'Historical Financials'!O18</f>
        <v>-30158</v>
      </c>
      <c r="P18" s="145">
        <f>'Historical Financials'!P18</f>
        <v>-29183</v>
      </c>
      <c r="Q18" s="145">
        <f>'Historical Financials'!Q18</f>
        <v>-30311</v>
      </c>
      <c r="R18" s="145">
        <f>'Historical Financials'!R18</f>
        <v>-33301</v>
      </c>
      <c r="S18" s="145">
        <f>'Historical Financials'!S18</f>
        <v>-25691</v>
      </c>
      <c r="T18" s="145">
        <f>'Historical Financials'!T18</f>
        <v>-24423</v>
      </c>
      <c r="U18" s="145">
        <f>'Historical Financials'!U18</f>
        <v>-24071</v>
      </c>
      <c r="V18" s="145">
        <f>'Historical Financials'!V18</f>
        <v>-22602</v>
      </c>
      <c r="W18" s="82"/>
      <c r="X18" s="144">
        <f t="shared" si="46"/>
        <v>-127428</v>
      </c>
      <c r="Y18" s="144">
        <f t="shared" si="47"/>
        <v>-125263</v>
      </c>
      <c r="Z18" s="144">
        <f t="shared" si="48"/>
        <v>-122827</v>
      </c>
      <c r="AA18" s="144">
        <f t="shared" si="49"/>
        <v>-121989</v>
      </c>
      <c r="AB18" s="144">
        <f t="shared" si="50"/>
        <v>-120530</v>
      </c>
      <c r="AC18" s="144">
        <f t="shared" si="51"/>
        <v>-118355</v>
      </c>
      <c r="AD18" s="144">
        <f t="shared" si="52"/>
        <v>-119312</v>
      </c>
      <c r="AE18" s="144">
        <f t="shared" si="53"/>
        <v>-122953</v>
      </c>
      <c r="AF18" s="144">
        <f t="shared" si="54"/>
        <v>-118486</v>
      </c>
      <c r="AG18" s="144">
        <f t="shared" si="55"/>
        <v>-113726</v>
      </c>
      <c r="AH18" s="144">
        <f t="shared" si="56"/>
        <v>-107486</v>
      </c>
      <c r="AI18" s="144">
        <f t="shared" si="57"/>
        <v>-96787</v>
      </c>
      <c r="AK18" s="110">
        <f t="shared" si="58"/>
        <v>-0.21281302611567021</v>
      </c>
    </row>
    <row r="19" spans="2:37" ht="12.75" customHeight="1">
      <c r="B19" s="21" t="s">
        <v>177</v>
      </c>
      <c r="C19" s="145">
        <f>'Historical Financials'!C19</f>
        <v>-95501</v>
      </c>
      <c r="D19" s="145">
        <f>'Historical Financials'!D19</f>
        <v>-111421</v>
      </c>
      <c r="E19" s="145">
        <f>'Historical Financials'!E19</f>
        <v>-115312</v>
      </c>
      <c r="F19" s="145">
        <f>'Historical Financials'!F19</f>
        <v>-140537</v>
      </c>
      <c r="G19" s="82"/>
      <c r="H19" s="145">
        <f>'Historical Financials'!H19</f>
        <v>-26706</v>
      </c>
      <c r="I19" s="145">
        <f>'Historical Financials'!I19</f>
        <v>-28502</v>
      </c>
      <c r="J19" s="145">
        <f>'Historical Financials'!J19</f>
        <v>-27283</v>
      </c>
      <c r="K19" s="145">
        <f>'Historical Financials'!K19</f>
        <v>-28930</v>
      </c>
      <c r="L19" s="145">
        <f>'Historical Financials'!L19</f>
        <v>-27906</v>
      </c>
      <c r="M19" s="145">
        <f>'Historical Financials'!M19</f>
        <v>-28830</v>
      </c>
      <c r="N19" s="145">
        <f>'Historical Financials'!N19</f>
        <v>-29223</v>
      </c>
      <c r="O19" s="145">
        <f>'Historical Financials'!O19</f>
        <v>-29353</v>
      </c>
      <c r="P19" s="145">
        <f>'Historical Financials'!P19</f>
        <v>-34666</v>
      </c>
      <c r="Q19" s="145">
        <f>'Historical Financials'!Q19</f>
        <v>-36129</v>
      </c>
      <c r="R19" s="145">
        <f>'Historical Financials'!R19</f>
        <v>-33505</v>
      </c>
      <c r="S19" s="145">
        <f>'Historical Financials'!S19</f>
        <v>-36237</v>
      </c>
      <c r="T19" s="145">
        <f>'Historical Financials'!T19</f>
        <v>-40547</v>
      </c>
      <c r="U19" s="145">
        <f>'Historical Financials'!U19</f>
        <v>-36500</v>
      </c>
      <c r="V19" s="145">
        <f>'Historical Financials'!V19</f>
        <v>-38173</v>
      </c>
      <c r="W19" s="82"/>
      <c r="X19" s="144">
        <f t="shared" si="46"/>
        <v>-111421</v>
      </c>
      <c r="Y19" s="144">
        <f t="shared" si="47"/>
        <v>-112621</v>
      </c>
      <c r="Z19" s="144">
        <f t="shared" si="48"/>
        <v>-112949</v>
      </c>
      <c r="AA19" s="144">
        <f t="shared" si="49"/>
        <v>-114889</v>
      </c>
      <c r="AB19" s="144">
        <f t="shared" si="50"/>
        <v>-115312</v>
      </c>
      <c r="AC19" s="144">
        <f t="shared" si="51"/>
        <v>-122072</v>
      </c>
      <c r="AD19" s="144">
        <f t="shared" si="52"/>
        <v>-129371</v>
      </c>
      <c r="AE19" s="144">
        <f t="shared" si="53"/>
        <v>-133653</v>
      </c>
      <c r="AF19" s="144">
        <f t="shared" si="54"/>
        <v>-140537</v>
      </c>
      <c r="AG19" s="144">
        <f t="shared" si="55"/>
        <v>-146418</v>
      </c>
      <c r="AH19" s="144">
        <f t="shared" si="56"/>
        <v>-146789</v>
      </c>
      <c r="AI19" s="144">
        <f t="shared" si="57"/>
        <v>-151457</v>
      </c>
      <c r="AK19" s="110">
        <f t="shared" si="58"/>
        <v>0.1332106275205196</v>
      </c>
    </row>
    <row r="20" spans="2:37" ht="12.75" customHeight="1">
      <c r="B20" s="21" t="s">
        <v>178</v>
      </c>
      <c r="C20" s="145">
        <f>'Historical Financials'!C20</f>
        <v>0</v>
      </c>
      <c r="D20" s="145">
        <f>'Historical Financials'!D20</f>
        <v>0</v>
      </c>
      <c r="E20" s="145">
        <f>'Historical Financials'!E20</f>
        <v>0</v>
      </c>
      <c r="F20" s="145">
        <f>'Historical Financials'!F20</f>
        <v>0</v>
      </c>
      <c r="G20" s="82"/>
      <c r="H20" s="145">
        <f>'Historical Financials'!H20</f>
        <v>0</v>
      </c>
      <c r="I20" s="145">
        <f>'Historical Financials'!I20</f>
        <v>0</v>
      </c>
      <c r="J20" s="145">
        <f>'Historical Financials'!J20</f>
        <v>0</v>
      </c>
      <c r="K20" s="145">
        <f>'Historical Financials'!K20</f>
        <v>0</v>
      </c>
      <c r="L20" s="145">
        <f>'Historical Financials'!L20</f>
        <v>0</v>
      </c>
      <c r="M20" s="145">
        <f>'Historical Financials'!M20</f>
        <v>0</v>
      </c>
      <c r="N20" s="145">
        <f>'Historical Financials'!N20</f>
        <v>0</v>
      </c>
      <c r="O20" s="145">
        <f>'Historical Financials'!O20</f>
        <v>0</v>
      </c>
      <c r="P20" s="145">
        <f>'Historical Financials'!P20</f>
        <v>0</v>
      </c>
      <c r="Q20" s="145">
        <f>'Historical Financials'!Q20</f>
        <v>0</v>
      </c>
      <c r="R20" s="145">
        <f>'Historical Financials'!R20</f>
        <v>0</v>
      </c>
      <c r="S20" s="145">
        <f>'Historical Financials'!S20</f>
        <v>0</v>
      </c>
      <c r="T20" s="145">
        <f>'Historical Financials'!T20</f>
        <v>-5906005</v>
      </c>
      <c r="U20" s="145">
        <f>'Historical Financials'!U20</f>
        <v>14047514</v>
      </c>
      <c r="V20" s="145">
        <f>'Historical Financials'!V20</f>
        <v>3890847</v>
      </c>
      <c r="W20" s="82"/>
      <c r="X20" s="144">
        <f t="shared" si="46"/>
        <v>0</v>
      </c>
      <c r="Y20" s="144">
        <f t="shared" si="47"/>
        <v>0</v>
      </c>
      <c r="Z20" s="144">
        <f t="shared" si="48"/>
        <v>0</v>
      </c>
      <c r="AA20" s="144">
        <f t="shared" si="49"/>
        <v>0</v>
      </c>
      <c r="AB20" s="144">
        <f t="shared" si="50"/>
        <v>0</v>
      </c>
      <c r="AC20" s="144">
        <f t="shared" si="51"/>
        <v>0</v>
      </c>
      <c r="AD20" s="144">
        <f t="shared" si="52"/>
        <v>0</v>
      </c>
      <c r="AE20" s="144">
        <f t="shared" si="53"/>
        <v>0</v>
      </c>
      <c r="AF20" s="144">
        <f t="shared" si="54"/>
        <v>0</v>
      </c>
      <c r="AG20" s="144">
        <f t="shared" si="55"/>
        <v>-5906005</v>
      </c>
      <c r="AH20" s="144">
        <f t="shared" si="56"/>
        <v>8141509</v>
      </c>
      <c r="AI20" s="144">
        <f t="shared" si="57"/>
        <v>12032356</v>
      </c>
      <c r="AK20" s="110" t="e">
        <f t="shared" si="58"/>
        <v>#DIV/0!</v>
      </c>
    </row>
    <row r="21" spans="2:37" ht="12.75" customHeight="1">
      <c r="B21" s="21" t="s">
        <v>179</v>
      </c>
      <c r="C21" s="145">
        <f>'Historical Financials'!C21</f>
        <v>-830621</v>
      </c>
      <c r="D21" s="145">
        <f>'Historical Financials'!D21</f>
        <v>-1286286</v>
      </c>
      <c r="E21" s="145">
        <f>'Historical Financials'!E21</f>
        <v>-115851</v>
      </c>
      <c r="F21" s="145">
        <f>'Historical Financials'!F21</f>
        <v>-1789862</v>
      </c>
      <c r="G21" s="82"/>
      <c r="H21" s="145">
        <f>'Historical Financials'!H21</f>
        <v>-170091</v>
      </c>
      <c r="I21" s="145">
        <f>'Historical Financials'!I21</f>
        <v>-917838</v>
      </c>
      <c r="J21" s="145">
        <f>'Historical Financials'!J21</f>
        <v>-727</v>
      </c>
      <c r="K21" s="145">
        <f>'Historical Financials'!K21</f>
        <v>-197630</v>
      </c>
      <c r="L21" s="145">
        <f>'Historical Financials'!L21</f>
        <v>-18911</v>
      </c>
      <c r="M21" s="145">
        <f>'Historical Financials'!M21</f>
        <v>-24143</v>
      </c>
      <c r="N21" s="145">
        <f>'Historical Financials'!N21</f>
        <v>-33559</v>
      </c>
      <c r="O21" s="145">
        <f>'Historical Financials'!O21</f>
        <v>-39238</v>
      </c>
      <c r="P21" s="145">
        <f>'Historical Financials'!P21</f>
        <v>-191633</v>
      </c>
      <c r="Q21" s="145">
        <f>'Historical Financials'!Q21</f>
        <v>-180090</v>
      </c>
      <c r="R21" s="145">
        <f>'Historical Financials'!R21</f>
        <v>-412084</v>
      </c>
      <c r="S21" s="145">
        <f>'Historical Financials'!S21</f>
        <v>-1006055</v>
      </c>
      <c r="T21" s="145">
        <f>'Historical Financials'!T21</f>
        <v>0</v>
      </c>
      <c r="U21" s="145">
        <f>'Historical Financials'!U21</f>
        <v>0</v>
      </c>
      <c r="V21" s="145">
        <f>'Historical Financials'!V21</f>
        <v>0</v>
      </c>
      <c r="W21" s="82"/>
      <c r="X21" s="144">
        <f t="shared" ref="X21:AI21" si="59">SUM(H21:K21)</f>
        <v>-1286286</v>
      </c>
      <c r="Y21" s="144">
        <f t="shared" si="59"/>
        <v>-1135106</v>
      </c>
      <c r="Z21" s="144">
        <f t="shared" si="59"/>
        <v>-241411</v>
      </c>
      <c r="AA21" s="144">
        <f t="shared" si="59"/>
        <v>-274243</v>
      </c>
      <c r="AB21" s="144">
        <f t="shared" si="59"/>
        <v>-115851</v>
      </c>
      <c r="AC21" s="144">
        <f t="shared" si="59"/>
        <v>-288573</v>
      </c>
      <c r="AD21" s="144">
        <f t="shared" si="59"/>
        <v>-444520</v>
      </c>
      <c r="AE21" s="144">
        <f t="shared" si="59"/>
        <v>-823045</v>
      </c>
      <c r="AF21" s="144">
        <f t="shared" si="59"/>
        <v>-1789862</v>
      </c>
      <c r="AG21" s="144">
        <f t="shared" si="59"/>
        <v>-1598229</v>
      </c>
      <c r="AH21" s="144">
        <f t="shared" si="59"/>
        <v>-1418139</v>
      </c>
      <c r="AI21" s="144">
        <f t="shared" si="59"/>
        <v>-1006055</v>
      </c>
      <c r="AK21" s="110">
        <f t="shared" si="58"/>
        <v>0.22235722226609722</v>
      </c>
    </row>
    <row r="22" spans="2:37" ht="12.75" customHeight="1">
      <c r="B22" s="12" t="s">
        <v>34</v>
      </c>
      <c r="C22" s="13">
        <f>SUM(C14+SUM(C17:C21))</f>
        <v>-784527</v>
      </c>
      <c r="D22" s="13">
        <f>SUM(D14+SUM(D17:D21))</f>
        <v>-1275742</v>
      </c>
      <c r="E22" s="13">
        <f>SUM(E14+SUM(E17:E21))</f>
        <v>-115047</v>
      </c>
      <c r="F22" s="13">
        <f>SUM(F14+SUM(F17:F21))</f>
        <v>-1852978</v>
      </c>
      <c r="G22" s="11"/>
      <c r="H22" s="13">
        <f>SUM(H14+SUM(H17:H21))</f>
        <v>-169960</v>
      </c>
      <c r="I22" s="13">
        <f>SUM(I14+SUM(I17:I21))</f>
        <v>-918123</v>
      </c>
      <c r="J22" s="13">
        <f>SUM(J14+SUM(J17:J21))</f>
        <v>6058</v>
      </c>
      <c r="K22" s="13">
        <f>SUM(K14+SUM(K17:K21))</f>
        <v>-193717</v>
      </c>
      <c r="L22" s="13">
        <f>SUM(L14+SUM(L17:L21))</f>
        <v>-20307</v>
      </c>
      <c r="M22" s="13">
        <f>SUM(M14+SUM(M17:M21))</f>
        <v>-26708</v>
      </c>
      <c r="N22" s="13">
        <f>SUM(N14+SUM(N17:N21))</f>
        <v>-25247</v>
      </c>
      <c r="O22" s="13">
        <f>SUM(O14+SUM(O17:O21))</f>
        <v>-42785</v>
      </c>
      <c r="P22" s="13">
        <f>SUM(P14+SUM(P17:P21))</f>
        <v>-203702</v>
      </c>
      <c r="Q22" s="13">
        <f>SUM(Q14+SUM(Q17:Q21))</f>
        <v>-200274</v>
      </c>
      <c r="R22" s="13">
        <f>SUM(R14+SUM(R17:R21))</f>
        <v>-432582</v>
      </c>
      <c r="S22" s="13">
        <f>SUM(S14+SUM(S17:S21))</f>
        <v>-1016420</v>
      </c>
      <c r="T22" s="13">
        <f>SUM(T14+SUM(T17:T21))</f>
        <v>-5921412</v>
      </c>
      <c r="U22" s="13">
        <f>SUM(U14+SUM(U17:U21))</f>
        <v>14031990</v>
      </c>
      <c r="V22" s="13">
        <f>SUM(V14+SUM(V17:V21))</f>
        <v>3890842</v>
      </c>
      <c r="W22" s="11"/>
      <c r="X22" s="13">
        <f>SUM(X14+SUM(X17:X21))</f>
        <v>-1275742</v>
      </c>
      <c r="Y22" s="13">
        <f>SUM(Y14+SUM(Y17:Y21))</f>
        <v>-1126089</v>
      </c>
      <c r="Z22" s="13">
        <f>SUM(Z14+SUM(Z17:Z21))</f>
        <v>-234674</v>
      </c>
      <c r="AA22" s="13">
        <f>SUM(AA14+SUM(AA17:AA21))</f>
        <v>-265979</v>
      </c>
      <c r="AB22" s="13">
        <f>SUM(AB14+SUM(AB17:AB21))</f>
        <v>-115047</v>
      </c>
      <c r="AC22" s="13">
        <f>SUM(AC14+SUM(AC17:AC21))</f>
        <v>-298442</v>
      </c>
      <c r="AD22" s="13">
        <f>SUM(AD14+SUM(AD17:AD21))</f>
        <v>-472008</v>
      </c>
      <c r="AE22" s="13">
        <f>SUM(AE14+SUM(AE17:AE21))</f>
        <v>-879343</v>
      </c>
      <c r="AF22" s="13">
        <f>SUM(AF14+SUM(AF17:AF21))</f>
        <v>-1852978</v>
      </c>
      <c r="AG22" s="13">
        <f>SUM(AG14+SUM(AG17:AG21))</f>
        <v>-7570688</v>
      </c>
      <c r="AH22" s="13">
        <f>SUM(AH14+SUM(AH17:AH21))</f>
        <v>6661576</v>
      </c>
      <c r="AI22" s="13">
        <f>SUM(AI14+SUM(AI17:AI21))</f>
        <v>10985000</v>
      </c>
      <c r="AK22" s="111">
        <f>SUM(AI22/AE22)-1</f>
        <v>-13.492281169009136</v>
      </c>
    </row>
    <row r="23" spans="2:37" ht="12.75" customHeight="1">
      <c r="B23" s="14" t="s">
        <v>35</v>
      </c>
      <c r="C23" s="15">
        <f>C22/C9</f>
        <v>-1.5359932806277679</v>
      </c>
      <c r="D23" s="15">
        <f>D22/D9</f>
        <v>-2.555245321112678</v>
      </c>
      <c r="E23" s="15">
        <f>E22/E9</f>
        <v>-0.23182760684397927</v>
      </c>
      <c r="F23" s="15">
        <f>F22/F9</f>
        <v>-3.9981745839950285</v>
      </c>
      <c r="G23" s="25"/>
      <c r="H23" s="15">
        <f>H22/H9</f>
        <v>-1.4249184670975963</v>
      </c>
      <c r="I23" s="15">
        <f>I22/I9</f>
        <v>-7.5210980315057387</v>
      </c>
      <c r="J23" s="15">
        <f>J22/J9</f>
        <v>4.8324824505424378E-2</v>
      </c>
      <c r="K23" s="15">
        <f>K22/K9</f>
        <v>-1.4614194969597296</v>
      </c>
      <c r="L23" s="15">
        <f>L22/L9</f>
        <v>-0.16656687036049705</v>
      </c>
      <c r="M23" s="15">
        <f>M22/M9</f>
        <v>-0.22182724252491695</v>
      </c>
      <c r="N23" s="15">
        <f>N22/N9</f>
        <v>-0.19501475336392146</v>
      </c>
      <c r="O23" s="15">
        <f>O22/O9</f>
        <v>-0.34369878859933806</v>
      </c>
      <c r="P23" s="15">
        <f>P22/P9</f>
        <v>-1.7675407389410478</v>
      </c>
      <c r="Q23" s="15">
        <f>Q22/Q9</f>
        <v>-1.7971141939304751</v>
      </c>
      <c r="R23" s="15">
        <f>R22/R9</f>
        <v>-3.7268740684580988</v>
      </c>
      <c r="S23" s="15">
        <f>S22/S9</f>
        <v>-8.4212532208754158</v>
      </c>
      <c r="T23" s="15">
        <f>T22/T9</f>
        <v>-53.314353627572793</v>
      </c>
      <c r="U23" s="15">
        <f>U22/U9</f>
        <v>122.56297603242261</v>
      </c>
      <c r="V23" s="15">
        <f>V22/V9</f>
        <v>30.233986836686327</v>
      </c>
      <c r="W23" s="25"/>
      <c r="X23" s="15">
        <f>X22/X9</f>
        <v>-2.555245321112678</v>
      </c>
      <c r="Y23" s="15">
        <f>Y22/Y9</f>
        <v>-2.2436431813381894</v>
      </c>
      <c r="Z23" s="15">
        <f>Z22/Z9</f>
        <v>-0.46913313702324333</v>
      </c>
      <c r="AA23" s="15">
        <f>AA22/AA9</f>
        <v>-0.52738974998562449</v>
      </c>
      <c r="AB23" s="15">
        <f>AB22/AB9</f>
        <v>-0.23182760684397927</v>
      </c>
      <c r="AC23" s="15">
        <f>AC22/AC9</f>
        <v>-0.6095728688377261</v>
      </c>
      <c r="AD23" s="15">
        <f>AD22/AD9</f>
        <v>-0.9820528718317888</v>
      </c>
      <c r="AE23" s="15">
        <f>AE22/AE9</f>
        <v>-1.8819821805784143</v>
      </c>
      <c r="AF23" s="15">
        <f>AF22/AF9</f>
        <v>-3.9981745839950285</v>
      </c>
      <c r="AG23" s="15">
        <f>AG22/AG9</f>
        <v>-16.483961713653663</v>
      </c>
      <c r="AH23" s="15">
        <f>AH22/AH9</f>
        <v>14.408953067342674</v>
      </c>
      <c r="AI23" s="15">
        <f>AI22/AI9</f>
        <v>23.129139979197461</v>
      </c>
      <c r="AK23" s="112">
        <f>SUM(AI23-AE23)*10000</f>
        <v>250111.22159775876</v>
      </c>
    </row>
    <row r="24" spans="2:37" ht="5.0999999999999996" customHeight="1">
      <c r="AK24" s="109"/>
    </row>
    <row r="25" spans="2:37" ht="12.75" customHeight="1">
      <c r="B25" s="29" t="s">
        <v>36</v>
      </c>
      <c r="C25" s="145">
        <f>'Historical Financials'!C97</f>
        <v>11358</v>
      </c>
      <c r="D25" s="145">
        <f>'Historical Financials'!D97</f>
        <v>10874</v>
      </c>
      <c r="E25" s="145">
        <f>'Historical Financials'!E97</f>
        <v>14527</v>
      </c>
      <c r="F25" s="145">
        <f>'Historical Financials'!F97</f>
        <v>17808</v>
      </c>
      <c r="H25" s="145">
        <f>'Historical Financials'!H97</f>
        <v>2691</v>
      </c>
      <c r="I25" s="145">
        <f>'Historical Financials'!I97</f>
        <v>2076</v>
      </c>
      <c r="J25" s="145">
        <f>'Historical Financials'!J97</f>
        <v>2150</v>
      </c>
      <c r="K25" s="145">
        <f>'Historical Financials'!K97</f>
        <v>3957</v>
      </c>
      <c r="L25" s="145">
        <f>'Historical Financials'!L97</f>
        <v>3431</v>
      </c>
      <c r="M25" s="145">
        <f>'Historical Financials'!M97</f>
        <v>3230</v>
      </c>
      <c r="N25" s="145">
        <f>'Historical Financials'!N97</f>
        <v>2744</v>
      </c>
      <c r="O25" s="145">
        <f>'Historical Financials'!O97</f>
        <v>5122</v>
      </c>
      <c r="P25" s="145">
        <f>'Historical Financials'!P97</f>
        <v>3050</v>
      </c>
      <c r="Q25" s="145">
        <f>'Historical Financials'!Q97</f>
        <v>3651</v>
      </c>
      <c r="R25" s="145">
        <f>'Historical Financials'!R97</f>
        <v>5978</v>
      </c>
      <c r="S25" s="145">
        <f>'Historical Financials'!S97</f>
        <v>5129</v>
      </c>
      <c r="T25" s="145">
        <f>'Historical Financials'!T97</f>
        <v>6575</v>
      </c>
      <c r="U25" s="145">
        <f>'Historical Financials'!U97</f>
        <v>9118</v>
      </c>
      <c r="V25" s="145">
        <f>'Historical Financials'!V97</f>
        <v>4195</v>
      </c>
      <c r="X25" s="10">
        <f t="shared" ref="X25:AI25" si="60">SUM(H25:K25)</f>
        <v>10874</v>
      </c>
      <c r="Y25" s="10">
        <f t="shared" si="60"/>
        <v>11614</v>
      </c>
      <c r="Z25" s="10">
        <f t="shared" si="60"/>
        <v>12768</v>
      </c>
      <c r="AA25" s="10">
        <f t="shared" si="60"/>
        <v>13362</v>
      </c>
      <c r="AB25" s="10">
        <f t="shared" si="60"/>
        <v>14527</v>
      </c>
      <c r="AC25" s="10">
        <f t="shared" si="60"/>
        <v>14146</v>
      </c>
      <c r="AD25" s="10">
        <f t="shared" si="60"/>
        <v>14567</v>
      </c>
      <c r="AE25" s="10">
        <f t="shared" si="60"/>
        <v>17801</v>
      </c>
      <c r="AF25" s="10">
        <f t="shared" si="60"/>
        <v>17808</v>
      </c>
      <c r="AG25" s="10">
        <f t="shared" si="60"/>
        <v>21333</v>
      </c>
      <c r="AH25" s="10">
        <f t="shared" si="60"/>
        <v>26800</v>
      </c>
      <c r="AI25" s="10">
        <f t="shared" si="60"/>
        <v>25017</v>
      </c>
      <c r="AK25" s="110">
        <f>SUM(AI25/AE25)-1</f>
        <v>0.40537048480422455</v>
      </c>
    </row>
    <row r="26" spans="2:37" ht="12.75" customHeight="1">
      <c r="B26" s="23" t="s">
        <v>11</v>
      </c>
      <c r="C26" s="24">
        <f t="shared" ref="C26:E26" si="61">SUM(C22+SUM(C25:C25))</f>
        <v>-773169</v>
      </c>
      <c r="D26" s="24">
        <f t="shared" si="61"/>
        <v>-1264868</v>
      </c>
      <c r="E26" s="24">
        <f t="shared" si="61"/>
        <v>-100520</v>
      </c>
      <c r="F26" s="24">
        <f>SUM(F22+SUM(F25:F25))</f>
        <v>-1835170</v>
      </c>
      <c r="H26" s="24">
        <f t="shared" ref="H26:K26" si="62">SUM(H22+SUM(H25:H25))</f>
        <v>-167269</v>
      </c>
      <c r="I26" s="24">
        <f t="shared" si="62"/>
        <v>-916047</v>
      </c>
      <c r="J26" s="24">
        <f t="shared" si="62"/>
        <v>8208</v>
      </c>
      <c r="K26" s="24">
        <f t="shared" si="62"/>
        <v>-189760</v>
      </c>
      <c r="L26" s="24">
        <f t="shared" ref="L26:V26" si="63">SUM(L22+SUM(L25:L25))</f>
        <v>-16876</v>
      </c>
      <c r="M26" s="24">
        <f t="shared" si="63"/>
        <v>-23478</v>
      </c>
      <c r="N26" s="24">
        <f t="shared" si="63"/>
        <v>-22503</v>
      </c>
      <c r="O26" s="24">
        <f t="shared" si="63"/>
        <v>-37663</v>
      </c>
      <c r="P26" s="24">
        <f t="shared" si="63"/>
        <v>-200652</v>
      </c>
      <c r="Q26" s="24">
        <f t="shared" si="63"/>
        <v>-196623</v>
      </c>
      <c r="R26" s="24">
        <f t="shared" si="63"/>
        <v>-426604</v>
      </c>
      <c r="S26" s="24">
        <f t="shared" si="63"/>
        <v>-1011291</v>
      </c>
      <c r="T26" s="24">
        <f t="shared" si="63"/>
        <v>-5914837</v>
      </c>
      <c r="U26" s="24">
        <f t="shared" si="63"/>
        <v>14041108</v>
      </c>
      <c r="V26" s="24">
        <f t="shared" si="63"/>
        <v>3895037</v>
      </c>
      <c r="X26" s="24">
        <f t="shared" ref="X26:AH26" si="64">SUM(X22+SUM(X25:X25))</f>
        <v>-1264868</v>
      </c>
      <c r="Y26" s="24">
        <f t="shared" si="64"/>
        <v>-1114475</v>
      </c>
      <c r="Z26" s="24">
        <f t="shared" si="64"/>
        <v>-221906</v>
      </c>
      <c r="AA26" s="24">
        <f t="shared" si="64"/>
        <v>-252617</v>
      </c>
      <c r="AB26" s="24">
        <f t="shared" si="64"/>
        <v>-100520</v>
      </c>
      <c r="AC26" s="24">
        <f t="shared" si="64"/>
        <v>-284296</v>
      </c>
      <c r="AD26" s="24">
        <f t="shared" si="64"/>
        <v>-457441</v>
      </c>
      <c r="AE26" s="24">
        <f t="shared" si="64"/>
        <v>-861542</v>
      </c>
      <c r="AF26" s="24">
        <f t="shared" si="64"/>
        <v>-1835170</v>
      </c>
      <c r="AG26" s="24">
        <f t="shared" si="64"/>
        <v>-7549355</v>
      </c>
      <c r="AH26" s="24">
        <f t="shared" si="64"/>
        <v>6688376</v>
      </c>
      <c r="AI26" s="24">
        <f t="shared" ref="AI26" si="65">SUM(AI22+SUM(AI25:AI25))</f>
        <v>11010017</v>
      </c>
      <c r="AK26" s="111">
        <f>SUM(AI26/AE26)-1</f>
        <v>-13.779431530906212</v>
      </c>
    </row>
    <row r="27" spans="2:37" ht="12.75" customHeight="1">
      <c r="B27" s="14" t="s">
        <v>37</v>
      </c>
      <c r="C27" s="15">
        <f>C26/C9</f>
        <v>-1.5137559176289543</v>
      </c>
      <c r="D27" s="15">
        <f>D26/D9</f>
        <v>-2.5334652608639918</v>
      </c>
      <c r="E27" s="15">
        <f>E26/E9</f>
        <v>-0.20255470407708848</v>
      </c>
      <c r="F27" s="15">
        <f>F26/F9</f>
        <v>-3.9597502244010219</v>
      </c>
      <c r="H27" s="15">
        <f>H26/H9</f>
        <v>-1.4023575374967512</v>
      </c>
      <c r="I27" s="15">
        <f>I26/I9</f>
        <v>-7.5040918139146244</v>
      </c>
      <c r="J27" s="15">
        <f>J26/J9</f>
        <v>6.5475430759412895E-2</v>
      </c>
      <c r="K27" s="15">
        <f>K26/K9</f>
        <v>-1.4315675121082729</v>
      </c>
      <c r="L27" s="15">
        <f>L26/L9</f>
        <v>-0.13842431202067013</v>
      </c>
      <c r="M27" s="15">
        <f>M26/M9</f>
        <v>-0.19500000000000001</v>
      </c>
      <c r="N27" s="15">
        <f>N26/N9</f>
        <v>-0.17381934467256802</v>
      </c>
      <c r="O27" s="15">
        <f>O26/O9</f>
        <v>-0.30255293853025289</v>
      </c>
      <c r="P27" s="15">
        <f>P26/P9</f>
        <v>-1.7410756121687521</v>
      </c>
      <c r="Q27" s="15">
        <f>Q26/Q9</f>
        <v>-1.7643527574882001</v>
      </c>
      <c r="R27" s="15">
        <f>R26/R9</f>
        <v>-3.6753711090625565</v>
      </c>
      <c r="S27" s="15">
        <f>S26/S9</f>
        <v>-8.3787583784186843</v>
      </c>
      <c r="T27" s="15">
        <f>T26/T9</f>
        <v>-53.255154592764661</v>
      </c>
      <c r="U27" s="15">
        <f>U26/U9</f>
        <v>122.64261756690658</v>
      </c>
      <c r="V27" s="15">
        <f>V26/V9</f>
        <v>30.266584298824316</v>
      </c>
      <c r="X27" s="15">
        <f>X26/X9</f>
        <v>-2.5334652608639918</v>
      </c>
      <c r="Y27" s="15">
        <f>Y26/Y9</f>
        <v>-2.2205032058051173</v>
      </c>
      <c r="Z27" s="15">
        <f>Z26/Z9</f>
        <v>-0.44360882715716204</v>
      </c>
      <c r="AA27" s="15">
        <f>AA26/AA9</f>
        <v>-0.5008952453844796</v>
      </c>
      <c r="AB27" s="15">
        <f>AB26/AB9</f>
        <v>-0.20255470407708848</v>
      </c>
      <c r="AC27" s="15">
        <f>AC26/AC9</f>
        <v>-0.58067942286638674</v>
      </c>
      <c r="AD27" s="15">
        <f>AD26/AD9</f>
        <v>-0.9517449868298955</v>
      </c>
      <c r="AE27" s="15">
        <f>AE26/AE9</f>
        <v>-1.84388423154547</v>
      </c>
      <c r="AF27" s="15">
        <f>AF26/AF9</f>
        <v>-3.9597502244010219</v>
      </c>
      <c r="AG27" s="15">
        <f>AG26/AG9</f>
        <v>-16.437512519704928</v>
      </c>
      <c r="AH27" s="15">
        <f>AH26/AH9</f>
        <v>14.46692132323359</v>
      </c>
      <c r="AI27" s="15">
        <f>AI26/AI9</f>
        <v>23.181813779366745</v>
      </c>
      <c r="AK27" s="112">
        <f>SUM(AI27-AE27)*10000</f>
        <v>250256.98010912215</v>
      </c>
    </row>
    <row r="28" spans="2:37" ht="5.0999999999999996" customHeight="1">
      <c r="AK28" s="109"/>
    </row>
    <row r="29" spans="2:37" ht="12.75" customHeight="1">
      <c r="B29" s="29" t="s">
        <v>110</v>
      </c>
      <c r="C29" s="145">
        <f>'Historical Financials'!C100</f>
        <v>44126</v>
      </c>
      <c r="D29" s="145">
        <f>'Historical Financials'!D100</f>
        <v>63619</v>
      </c>
      <c r="E29" s="145">
        <f>'Historical Financials'!E100</f>
        <v>69571</v>
      </c>
      <c r="F29" s="145">
        <f>'Historical Financials'!F100</f>
        <v>77124</v>
      </c>
      <c r="H29" s="145">
        <f>'Historical Financials'!H100</f>
        <v>14394</v>
      </c>
      <c r="I29" s="145">
        <f>'Historical Financials'!I100</f>
        <v>15294</v>
      </c>
      <c r="J29" s="145">
        <f>'Historical Financials'!J100</f>
        <v>16899</v>
      </c>
      <c r="K29" s="145">
        <f>'Historical Financials'!K100</f>
        <v>17032</v>
      </c>
      <c r="L29" s="145">
        <f>'Historical Financials'!L100</f>
        <v>17555</v>
      </c>
      <c r="M29" s="145">
        <f>'Historical Financials'!M100</f>
        <v>15494</v>
      </c>
      <c r="N29" s="145">
        <f>'Historical Financials'!N100</f>
        <v>16806</v>
      </c>
      <c r="O29" s="145">
        <f>'Historical Financials'!O100</f>
        <v>19716</v>
      </c>
      <c r="P29" s="145">
        <f>'Historical Financials'!P100</f>
        <v>17791</v>
      </c>
      <c r="Q29" s="145">
        <f>'Historical Financials'!Q100</f>
        <v>20621</v>
      </c>
      <c r="R29" s="145">
        <f>'Historical Financials'!R100</f>
        <v>19377</v>
      </c>
      <c r="S29" s="145">
        <f>'Historical Financials'!S100</f>
        <v>19335</v>
      </c>
      <c r="T29" s="145">
        <f>'Historical Financials'!T100</f>
        <v>11819</v>
      </c>
      <c r="U29" s="145">
        <f>'Historical Financials'!U100</f>
        <v>15742</v>
      </c>
      <c r="V29" s="145">
        <f>'Historical Financials'!V100</f>
        <v>15483</v>
      </c>
      <c r="X29" s="144">
        <f t="shared" ref="X29:AI29" si="66">SUM(H29:K29)</f>
        <v>63619</v>
      </c>
      <c r="Y29" s="144">
        <f t="shared" si="66"/>
        <v>66780</v>
      </c>
      <c r="Z29" s="144">
        <f t="shared" si="66"/>
        <v>66980</v>
      </c>
      <c r="AA29" s="144">
        <f t="shared" si="66"/>
        <v>66887</v>
      </c>
      <c r="AB29" s="144">
        <f t="shared" si="66"/>
        <v>69571</v>
      </c>
      <c r="AC29" s="144">
        <f t="shared" si="66"/>
        <v>69807</v>
      </c>
      <c r="AD29" s="144">
        <f t="shared" si="66"/>
        <v>74934</v>
      </c>
      <c r="AE29" s="144">
        <f t="shared" si="66"/>
        <v>77505</v>
      </c>
      <c r="AF29" s="144">
        <f t="shared" si="66"/>
        <v>77124</v>
      </c>
      <c r="AG29" s="144">
        <f t="shared" si="66"/>
        <v>71152</v>
      </c>
      <c r="AH29" s="144">
        <f t="shared" si="66"/>
        <v>66273</v>
      </c>
      <c r="AI29" s="144">
        <f t="shared" si="66"/>
        <v>62379</v>
      </c>
      <c r="AK29" s="110">
        <f>SUM(AI29/AE29)-1</f>
        <v>-0.19516160247725955</v>
      </c>
    </row>
    <row r="30" spans="2:37" ht="12.75" customHeight="1">
      <c r="B30" s="12" t="s">
        <v>38</v>
      </c>
      <c r="C30" s="13">
        <f>SUM(C26+SUM(C29:C29))</f>
        <v>-729043</v>
      </c>
      <c r="D30" s="13">
        <f>SUM(D26+SUM(D29:D29))</f>
        <v>-1201249</v>
      </c>
      <c r="E30" s="13">
        <f>SUM(E26+SUM(E29:E29))</f>
        <v>-30949</v>
      </c>
      <c r="F30" s="13">
        <f>SUM(F26+SUM(F29:F29))</f>
        <v>-1758046</v>
      </c>
      <c r="G30" s="11"/>
      <c r="H30" s="13">
        <f>SUM(H26+SUM(H29:H29))</f>
        <v>-152875</v>
      </c>
      <c r="I30" s="13">
        <f>SUM(I26+SUM(I29:I29))</f>
        <v>-900753</v>
      </c>
      <c r="J30" s="13">
        <f>SUM(J26+SUM(J29:J29))</f>
        <v>25107</v>
      </c>
      <c r="K30" s="13">
        <f>SUM(K26+SUM(K29:K29))</f>
        <v>-172728</v>
      </c>
      <c r="L30" s="13">
        <f>SUM(L26+SUM(L29:L29))</f>
        <v>679</v>
      </c>
      <c r="M30" s="13">
        <f>SUM(M26+SUM(M29:M29))</f>
        <v>-7984</v>
      </c>
      <c r="N30" s="13">
        <f>SUM(N26+SUM(N29:N29))</f>
        <v>-5697</v>
      </c>
      <c r="O30" s="13">
        <f>SUM(O26+SUM(O29:O29))</f>
        <v>-17947</v>
      </c>
      <c r="P30" s="13">
        <f>SUM(P26+SUM(P29:P29))</f>
        <v>-182861</v>
      </c>
      <c r="Q30" s="13">
        <f>SUM(Q26+SUM(Q29:Q29))</f>
        <v>-176002</v>
      </c>
      <c r="R30" s="13">
        <f>SUM(R26+SUM(R29:R29))</f>
        <v>-407227</v>
      </c>
      <c r="S30" s="13">
        <f>SUM(S26+SUM(S29:S29))</f>
        <v>-991956</v>
      </c>
      <c r="T30" s="13">
        <f>SUM(T26+SUM(T29:T29))</f>
        <v>-5903018</v>
      </c>
      <c r="U30" s="13">
        <f>SUM(U26+SUM(U29:U29))</f>
        <v>14056850</v>
      </c>
      <c r="V30" s="13">
        <f>SUM(V26+SUM(V29:V29))</f>
        <v>3910520</v>
      </c>
      <c r="W30" s="11"/>
      <c r="X30" s="13">
        <f>SUM(X26+SUM(X29:X29))</f>
        <v>-1201249</v>
      </c>
      <c r="Y30" s="13">
        <f>SUM(Y26+SUM(Y29:Y29))</f>
        <v>-1047695</v>
      </c>
      <c r="Z30" s="13">
        <f>SUM(Z26+SUM(Z29:Z29))</f>
        <v>-154926</v>
      </c>
      <c r="AA30" s="13">
        <f>SUM(AA26+SUM(AA29:AA29))</f>
        <v>-185730</v>
      </c>
      <c r="AB30" s="13">
        <f>SUM(AB26+SUM(AB29:AB29))</f>
        <v>-30949</v>
      </c>
      <c r="AC30" s="13">
        <f>SUM(AC26+SUM(AC29:AC29))</f>
        <v>-214489</v>
      </c>
      <c r="AD30" s="13">
        <f>SUM(AD26+SUM(AD29:AD29))</f>
        <v>-382507</v>
      </c>
      <c r="AE30" s="13">
        <f>SUM(AE26+SUM(AE29:AE29))</f>
        <v>-784037</v>
      </c>
      <c r="AF30" s="13">
        <f>SUM(AF26+SUM(AF29:AF29))</f>
        <v>-1758046</v>
      </c>
      <c r="AG30" s="13">
        <f>SUM(AG26+SUM(AG29:AG29))</f>
        <v>-7478203</v>
      </c>
      <c r="AH30" s="13">
        <f>SUM(AH26+SUM(AH29:AH29))</f>
        <v>6754649</v>
      </c>
      <c r="AI30" s="13">
        <f>SUM(AI26+SUM(AI29:AI29))</f>
        <v>11072396</v>
      </c>
      <c r="AK30" s="111">
        <f>SUM(AI30/AE30)-1</f>
        <v>-15.122287596121101</v>
      </c>
    </row>
    <row r="31" spans="2:37" ht="12.75" customHeight="1">
      <c r="B31" s="14" t="s">
        <v>39</v>
      </c>
      <c r="C31" s="15">
        <f>C30/C9</f>
        <v>-1.4273634295425266</v>
      </c>
      <c r="D31" s="15">
        <f>D30/D9</f>
        <v>-2.4060396904243047</v>
      </c>
      <c r="E31" s="15">
        <f>E30/E9</f>
        <v>-6.2364360689234094E-2</v>
      </c>
      <c r="F31" s="15">
        <f>F30/F9</f>
        <v>-3.7933396050542014</v>
      </c>
      <c r="H31" s="15">
        <f>H30/H9</f>
        <v>-1.2816804580933456</v>
      </c>
      <c r="I31" s="15">
        <f>I30/I9</f>
        <v>-7.3788061242043694</v>
      </c>
      <c r="J31" s="15">
        <f>J30/J9</f>
        <v>0.2002791959157626</v>
      </c>
      <c r="K31" s="15">
        <f>K30/K9</f>
        <v>-1.3030764820375091</v>
      </c>
      <c r="L31" s="15">
        <f>L30/L9</f>
        <v>5.5694541278759795E-3</v>
      </c>
      <c r="M31" s="15">
        <f>M30/M9</f>
        <v>-6.6312292358803981E-2</v>
      </c>
      <c r="N31" s="15">
        <f>N30/N9</f>
        <v>-4.4005190712332574E-2</v>
      </c>
      <c r="O31" s="15">
        <f>O30/O9</f>
        <v>-0.14417113845956106</v>
      </c>
      <c r="P31" s="15">
        <f>P30/P9</f>
        <v>-1.5867014907241901</v>
      </c>
      <c r="Q31" s="15">
        <f>Q30/Q9</f>
        <v>-1.5793148005240394</v>
      </c>
      <c r="R31" s="15">
        <f>R30/R9</f>
        <v>-3.5084301849729909</v>
      </c>
      <c r="S31" s="15">
        <f>S30/S9</f>
        <v>-8.2185638416862066</v>
      </c>
      <c r="T31" s="15">
        <f>T30/T9</f>
        <v>-53.148740388597773</v>
      </c>
      <c r="U31" s="15">
        <f>U30/U9</f>
        <v>122.78011669345258</v>
      </c>
      <c r="V31" s="15">
        <f>V30/V9</f>
        <v>30.386895742515016</v>
      </c>
      <c r="X31" s="15">
        <f>X30/X9</f>
        <v>-2.4060396904243047</v>
      </c>
      <c r="Y31" s="15">
        <f>Y30/Y9</f>
        <v>-2.087449342700368</v>
      </c>
      <c r="Z31" s="15">
        <f>Z30/Z9</f>
        <v>-0.30971015275004049</v>
      </c>
      <c r="AA31" s="15">
        <f>AA30/AA9</f>
        <v>-0.36827004487132459</v>
      </c>
      <c r="AB31" s="15">
        <f>AB30/AB9</f>
        <v>-6.2364360689234094E-2</v>
      </c>
      <c r="AC31" s="15">
        <f>AC30/AC9</f>
        <v>-0.43809743623261815</v>
      </c>
      <c r="AD31" s="15">
        <f>AD30/AD9</f>
        <v>-0.79583841342892925</v>
      </c>
      <c r="AE31" s="15">
        <f>AE30/AE9</f>
        <v>-1.6780069471345744</v>
      </c>
      <c r="AF31" s="15">
        <f>AF30/AF9</f>
        <v>-3.7933396050542014</v>
      </c>
      <c r="AG31" s="15">
        <f>AG30/AG9</f>
        <v>-16.282590424929673</v>
      </c>
      <c r="AH31" s="15">
        <f>AH30/AH9</f>
        <v>14.610269465870108</v>
      </c>
      <c r="AI31" s="15">
        <f>AI30/AI9</f>
        <v>23.313154027228588</v>
      </c>
      <c r="AK31" s="112">
        <f>SUM(AI31-AE31)*10000</f>
        <v>249911.60974363162</v>
      </c>
    </row>
    <row r="32" spans="2:37" ht="5.0999999999999996" customHeight="1">
      <c r="AK32" s="109"/>
    </row>
    <row r="33" spans="2:37" ht="12.75" customHeight="1">
      <c r="B33" s="21" t="s">
        <v>40</v>
      </c>
      <c r="C33" s="145">
        <f>SUM('Historical Financials'!C118,'Historical Financials'!C119)</f>
        <v>-2629235</v>
      </c>
      <c r="D33" s="145">
        <f>SUM('Historical Financials'!D118,'Historical Financials'!D119)</f>
        <v>-290407</v>
      </c>
      <c r="E33" s="145">
        <f>SUM('Historical Financials'!E118,'Historical Financials'!E119)</f>
        <v>-1905237</v>
      </c>
      <c r="F33" s="145">
        <f>SUM('Historical Financials'!F118,'Historical Financials'!F119)</f>
        <v>-22075737</v>
      </c>
      <c r="H33" s="145">
        <f>SUM('Historical Financials'!H118,'Historical Financials'!H119)</f>
        <v>-216141</v>
      </c>
      <c r="I33" s="145">
        <f>SUM('Historical Financials'!I118,'Historical Financials'!I119)</f>
        <v>-10878</v>
      </c>
      <c r="J33" s="145">
        <f>SUM('Historical Financials'!J118,'Historical Financials'!J119)</f>
        <v>-6310</v>
      </c>
      <c r="K33" s="145">
        <f>SUM('Historical Financials'!K118,'Historical Financials'!K119)</f>
        <v>-57078</v>
      </c>
      <c r="L33" s="145">
        <f>SUM('Historical Financials'!L118,'Historical Financials'!L119)</f>
        <v>-179774</v>
      </c>
      <c r="M33" s="145">
        <f>SUM('Historical Financials'!M118,'Historical Financials'!M119)</f>
        <v>-347642</v>
      </c>
      <c r="N33" s="145">
        <f>SUM('Historical Financials'!N118,'Historical Financials'!N119)</f>
        <v>-163134</v>
      </c>
      <c r="O33" s="145">
        <f>SUM('Historical Financials'!O118,'Historical Financials'!O119)</f>
        <v>-1214687</v>
      </c>
      <c r="P33" s="145">
        <f>SUM('Historical Financials'!P118,'Historical Financials'!P119)</f>
        <v>-1640854</v>
      </c>
      <c r="Q33" s="145">
        <f>SUM('Historical Financials'!Q118,'Historical Financials'!Q119)</f>
        <v>-794551</v>
      </c>
      <c r="R33" s="145">
        <f>SUM('Historical Financials'!R118,'Historical Financials'!R119)</f>
        <v>-1575499</v>
      </c>
      <c r="S33" s="145">
        <f>SUM('Historical Financials'!S118,'Historical Financials'!S119)</f>
        <v>-18064833</v>
      </c>
      <c r="T33" s="145">
        <f>SUM('Historical Financials'!T118,'Historical Financials'!T119)</f>
        <v>-7664400</v>
      </c>
      <c r="U33" s="145">
        <f>SUM('Historical Financials'!U118,'Historical Financials'!U119)</f>
        <v>-6771299</v>
      </c>
      <c r="V33" s="145">
        <f>SUM('Historical Financials'!V118,'Historical Financials'!V119)</f>
        <v>-4954877</v>
      </c>
      <c r="X33" s="144">
        <f t="shared" ref="X33:AI37" si="67">SUM(H33:K33)</f>
        <v>-290407</v>
      </c>
      <c r="Y33" s="144">
        <f t="shared" si="67"/>
        <v>-254040</v>
      </c>
      <c r="Z33" s="144">
        <f t="shared" si="67"/>
        <v>-590804</v>
      </c>
      <c r="AA33" s="144">
        <f t="shared" si="67"/>
        <v>-747628</v>
      </c>
      <c r="AB33" s="144">
        <f t="shared" si="67"/>
        <v>-1905237</v>
      </c>
      <c r="AC33" s="144">
        <f t="shared" si="67"/>
        <v>-3366317</v>
      </c>
      <c r="AD33" s="144">
        <f t="shared" si="67"/>
        <v>-3813226</v>
      </c>
      <c r="AE33" s="144">
        <f t="shared" si="67"/>
        <v>-5225591</v>
      </c>
      <c r="AF33" s="144">
        <f t="shared" si="67"/>
        <v>-22075737</v>
      </c>
      <c r="AG33" s="144">
        <f t="shared" si="67"/>
        <v>-28099283</v>
      </c>
      <c r="AH33" s="144">
        <f t="shared" si="67"/>
        <v>-34076031</v>
      </c>
      <c r="AI33" s="144">
        <f t="shared" si="67"/>
        <v>-37455409</v>
      </c>
      <c r="AK33" s="110">
        <f>SUM(AI33/AE33)-1</f>
        <v>6.167688592543886</v>
      </c>
    </row>
    <row r="34" spans="2:37" ht="12.75" customHeight="1">
      <c r="B34" s="21" t="s">
        <v>41</v>
      </c>
      <c r="C34" s="145">
        <f>-'Historical Financials'!C146</f>
        <v>-7010</v>
      </c>
      <c r="D34" s="145">
        <f>-'Historical Financials'!D146</f>
        <v>-21973</v>
      </c>
      <c r="E34" s="145">
        <f>-'Historical Financials'!E146</f>
        <v>-30318</v>
      </c>
      <c r="F34" s="145">
        <f>-'Historical Financials'!F146</f>
        <v>-1059</v>
      </c>
      <c r="H34" s="145">
        <f>'Historical Financials'!H31</f>
        <v>48023</v>
      </c>
      <c r="I34" s="145">
        <f>'Historical Financials'!I31</f>
        <v>-136108</v>
      </c>
      <c r="J34" s="145">
        <f>'Historical Financials'!J31</f>
        <v>-23961</v>
      </c>
      <c r="K34" s="145">
        <f>'Historical Financials'!K31</f>
        <v>-35286</v>
      </c>
      <c r="L34" s="145">
        <f>'Historical Financials'!L31</f>
        <v>453187</v>
      </c>
      <c r="M34" s="145">
        <f>'Historical Financials'!M31</f>
        <v>60296</v>
      </c>
      <c r="N34" s="145">
        <f>'Historical Financials'!N31</f>
        <v>-109607</v>
      </c>
      <c r="O34" s="145">
        <f>'Historical Financials'!O31</f>
        <v>149770</v>
      </c>
      <c r="P34" s="145">
        <f>'Historical Financials'!P31</f>
        <v>160769</v>
      </c>
      <c r="Q34" s="145">
        <f>'Historical Financials'!Q31</f>
        <v>112487</v>
      </c>
      <c r="R34" s="145">
        <f>'Historical Financials'!R31</f>
        <v>138504</v>
      </c>
      <c r="S34" s="145">
        <f>'Historical Financials'!S31</f>
        <v>355925</v>
      </c>
      <c r="T34" s="145">
        <f>'Historical Financials'!T31</f>
        <v>1725084</v>
      </c>
      <c r="U34" s="145">
        <f>'Historical Financials'!U31</f>
        <v>-3984976</v>
      </c>
      <c r="V34" s="145">
        <f>'Historical Financials'!V31</f>
        <v>-1086212</v>
      </c>
      <c r="X34" s="144">
        <f t="shared" si="67"/>
        <v>-147332</v>
      </c>
      <c r="Y34" s="144">
        <f t="shared" si="67"/>
        <v>257832</v>
      </c>
      <c r="Z34" s="144">
        <f t="shared" si="67"/>
        <v>454236</v>
      </c>
      <c r="AA34" s="144">
        <f t="shared" si="67"/>
        <v>368590</v>
      </c>
      <c r="AB34" s="144">
        <f t="shared" si="67"/>
        <v>553646</v>
      </c>
      <c r="AC34" s="144">
        <f t="shared" si="67"/>
        <v>261228</v>
      </c>
      <c r="AD34" s="144">
        <f t="shared" si="67"/>
        <v>313419</v>
      </c>
      <c r="AE34" s="144">
        <f t="shared" si="67"/>
        <v>561530</v>
      </c>
      <c r="AF34" s="144">
        <f t="shared" si="67"/>
        <v>767685</v>
      </c>
      <c r="AG34" s="144">
        <f t="shared" si="67"/>
        <v>2332000</v>
      </c>
      <c r="AH34" s="144">
        <f t="shared" si="67"/>
        <v>-1765463</v>
      </c>
      <c r="AI34" s="144">
        <f t="shared" si="67"/>
        <v>-2990179</v>
      </c>
      <c r="AK34" s="110">
        <f>SUM(AI34/AE34)-1</f>
        <v>-6.3250565419478928</v>
      </c>
    </row>
    <row r="35" spans="2:37" ht="12.75" customHeight="1">
      <c r="B35" s="21" t="s">
        <v>77</v>
      </c>
      <c r="C35" s="145">
        <f>-'Historical Financials'!C145</f>
        <v>-20416</v>
      </c>
      <c r="D35" s="145">
        <f>-'Historical Financials'!D145</f>
        <v>-43448</v>
      </c>
      <c r="E35" s="145">
        <f>-'Historical Financials'!E145</f>
        <v>-41229</v>
      </c>
      <c r="F35" s="145">
        <f>-'Historical Financials'!F145</f>
        <v>-44571</v>
      </c>
      <c r="H35" s="145">
        <f>'Historical Financials'!H25</f>
        <v>-11039</v>
      </c>
      <c r="I35" s="145">
        <f>'Historical Financials'!I25</f>
        <v>-13187</v>
      </c>
      <c r="J35" s="145">
        <f>'Historical Financials'!J25</f>
        <v>-14073</v>
      </c>
      <c r="K35" s="145">
        <f>'Historical Financials'!K25</f>
        <v>-14837</v>
      </c>
      <c r="L35" s="145">
        <f>'Historical Financials'!L25</f>
        <v>-14930</v>
      </c>
      <c r="M35" s="145">
        <f>'Historical Financials'!M25</f>
        <v>-11095</v>
      </c>
      <c r="N35" s="145">
        <f>'Historical Financials'!N25</f>
        <v>-11006</v>
      </c>
      <c r="O35" s="145">
        <f>'Historical Financials'!O25</f>
        <v>-11929</v>
      </c>
      <c r="P35" s="145">
        <f>'Historical Financials'!P25</f>
        <v>-11881</v>
      </c>
      <c r="Q35" s="145">
        <f>'Historical Financials'!Q25</f>
        <v>-15466</v>
      </c>
      <c r="R35" s="145">
        <f>'Historical Financials'!R25</f>
        <v>-18129</v>
      </c>
      <c r="S35" s="145">
        <f>'Historical Financials'!S25</f>
        <v>-16465</v>
      </c>
      <c r="T35" s="145">
        <f>'Historical Financials'!T25</f>
        <v>-17106</v>
      </c>
      <c r="U35" s="145">
        <f>'Historical Financials'!U25</f>
        <v>-17897</v>
      </c>
      <c r="V35" s="145">
        <f>'Historical Financials'!V25</f>
        <v>-18890</v>
      </c>
      <c r="X35" s="144">
        <f t="shared" si="67"/>
        <v>-53136</v>
      </c>
      <c r="Y35" s="144">
        <f t="shared" si="67"/>
        <v>-57027</v>
      </c>
      <c r="Z35" s="144">
        <f t="shared" si="67"/>
        <v>-54935</v>
      </c>
      <c r="AA35" s="144">
        <f t="shared" si="67"/>
        <v>-51868</v>
      </c>
      <c r="AB35" s="144">
        <f t="shared" si="67"/>
        <v>-48960</v>
      </c>
      <c r="AC35" s="144">
        <f t="shared" si="67"/>
        <v>-45911</v>
      </c>
      <c r="AD35" s="144">
        <f t="shared" si="67"/>
        <v>-50282</v>
      </c>
      <c r="AE35" s="144">
        <f t="shared" si="67"/>
        <v>-57405</v>
      </c>
      <c r="AF35" s="144">
        <f t="shared" si="67"/>
        <v>-61941</v>
      </c>
      <c r="AG35" s="144">
        <f t="shared" si="67"/>
        <v>-67166</v>
      </c>
      <c r="AH35" s="144">
        <f t="shared" si="67"/>
        <v>-69597</v>
      </c>
      <c r="AI35" s="144">
        <f t="shared" si="67"/>
        <v>-70358</v>
      </c>
      <c r="AK35" s="110">
        <f>SUM(AI35/AE35)-1</f>
        <v>0.22564236564759166</v>
      </c>
    </row>
    <row r="36" spans="2:37" ht="12.75" customHeight="1">
      <c r="B36" s="21" t="s">
        <v>180</v>
      </c>
      <c r="C36" s="145">
        <f>'Historical Financials'!C129</f>
        <v>0</v>
      </c>
      <c r="D36" s="145">
        <f>'Historical Financials'!D129</f>
        <v>0</v>
      </c>
      <c r="E36" s="145">
        <f>'Historical Financials'!E129</f>
        <v>0</v>
      </c>
      <c r="F36" s="145">
        <f>'Historical Financials'!F129</f>
        <v>0</v>
      </c>
      <c r="H36" s="145">
        <f>'Historical Financials'!H129</f>
        <v>0</v>
      </c>
      <c r="I36" s="145">
        <f>'Historical Financials'!I129</f>
        <v>0</v>
      </c>
      <c r="J36" s="145">
        <f>'Historical Financials'!J129</f>
        <v>0</v>
      </c>
      <c r="K36" s="145">
        <f>'Historical Financials'!K129</f>
        <v>0</v>
      </c>
      <c r="L36" s="145">
        <f>'Historical Financials'!L129</f>
        <v>0</v>
      </c>
      <c r="M36" s="145">
        <f>'Historical Financials'!M129</f>
        <v>0</v>
      </c>
      <c r="N36" s="145">
        <f>'Historical Financials'!N129</f>
        <v>0</v>
      </c>
      <c r="O36" s="145">
        <f>'Historical Financials'!O129</f>
        <v>0</v>
      </c>
      <c r="P36" s="145">
        <f>'Historical Financials'!P129</f>
        <v>0</v>
      </c>
      <c r="Q36" s="145">
        <f>'Historical Financials'!Q129</f>
        <v>0</v>
      </c>
      <c r="R36" s="145">
        <f>'Historical Financials'!R129</f>
        <v>0</v>
      </c>
      <c r="S36" s="145">
        <f>'Historical Financials'!S129</f>
        <v>0</v>
      </c>
      <c r="T36" s="145">
        <f>'Historical Financials'!T129</f>
        <v>-9188</v>
      </c>
      <c r="U36" s="145">
        <f>'Historical Financials'!U129</f>
        <v>-48954</v>
      </c>
      <c r="V36" s="145">
        <f>'Historical Financials'!V129</f>
        <v>-139780</v>
      </c>
      <c r="X36" s="144">
        <f t="shared" ref="X36" si="68">SUM(H36:K36)</f>
        <v>0</v>
      </c>
      <c r="Y36" s="144">
        <f t="shared" ref="Y36" si="69">SUM(I36:L36)</f>
        <v>0</v>
      </c>
      <c r="Z36" s="144">
        <f t="shared" ref="Z36" si="70">SUM(J36:M36)</f>
        <v>0</v>
      </c>
      <c r="AA36" s="144">
        <f t="shared" ref="AA36" si="71">SUM(K36:N36)</f>
        <v>0</v>
      </c>
      <c r="AB36" s="144">
        <f t="shared" ref="AB36" si="72">SUM(L36:O36)</f>
        <v>0</v>
      </c>
      <c r="AC36" s="144">
        <f t="shared" ref="AC36" si="73">SUM(M36:P36)</f>
        <v>0</v>
      </c>
      <c r="AD36" s="144">
        <f t="shared" ref="AD36" si="74">SUM(N36:Q36)</f>
        <v>0</v>
      </c>
      <c r="AE36" s="144">
        <f t="shared" ref="AE36" si="75">SUM(O36:R36)</f>
        <v>0</v>
      </c>
      <c r="AF36" s="144">
        <f t="shared" ref="AF36" si="76">SUM(P36:S36)</f>
        <v>0</v>
      </c>
      <c r="AG36" s="144">
        <f t="shared" ref="AG36" si="77">SUM(Q36:T36)</f>
        <v>-9188</v>
      </c>
      <c r="AH36" s="144">
        <f t="shared" ref="AH36" si="78">SUM(R36:U36)</f>
        <v>-58142</v>
      </c>
      <c r="AI36" s="144">
        <f t="shared" ref="AI36" si="79">SUM(S36:V36)</f>
        <v>-197922</v>
      </c>
      <c r="AK36" s="110" t="e">
        <f>SUM(AI36/AE36)-1</f>
        <v>#DIV/0!</v>
      </c>
    </row>
    <row r="37" spans="2:37" ht="12.75" customHeight="1">
      <c r="B37" s="21" t="s">
        <v>42</v>
      </c>
      <c r="C37" s="145">
        <f>SUM('Historical Financials'!C106:C114)</f>
        <v>11091</v>
      </c>
      <c r="D37" s="145">
        <f>SUM('Historical Financials'!D106:D114)</f>
        <v>-36609</v>
      </c>
      <c r="E37" s="145">
        <f>SUM('Historical Financials'!E106:E114)</f>
        <v>-21055</v>
      </c>
      <c r="F37" s="145">
        <f>SUM('Historical Financials'!F106:F114)</f>
        <v>-42707</v>
      </c>
      <c r="H37" s="145">
        <f>SUM('Historical Financials'!H106:H114)</f>
        <v>40307</v>
      </c>
      <c r="I37" s="145">
        <f>SUM('Historical Financials'!I106:I114)</f>
        <v>-31781</v>
      </c>
      <c r="J37" s="145">
        <f>SUM('Historical Financials'!J106:J114)</f>
        <v>-13014</v>
      </c>
      <c r="K37" s="145">
        <f>SUM('Historical Financials'!K106:K114)</f>
        <v>-32121</v>
      </c>
      <c r="L37" s="145">
        <f>SUM('Historical Financials'!L106:L114)</f>
        <v>36801</v>
      </c>
      <c r="M37" s="145">
        <f>SUM('Historical Financials'!M106:M114)</f>
        <v>-17818</v>
      </c>
      <c r="N37" s="145">
        <f>SUM('Historical Financials'!N106:N114)</f>
        <v>-26278</v>
      </c>
      <c r="O37" s="145">
        <f>SUM('Historical Financials'!O106:O114)</f>
        <v>-13760</v>
      </c>
      <c r="P37" s="145">
        <f>SUM('Historical Financials'!P106:P114)</f>
        <v>25710</v>
      </c>
      <c r="Q37" s="145">
        <f>SUM('Historical Financials'!Q106:Q114)</f>
        <v>-13952</v>
      </c>
      <c r="R37" s="145">
        <f>SUM('Historical Financials'!R106:R114)</f>
        <v>-25506</v>
      </c>
      <c r="S37" s="145">
        <f>SUM('Historical Financials'!S106:S114)</f>
        <v>-28959</v>
      </c>
      <c r="T37" s="145">
        <f>SUM('Historical Financials'!T106:T114)</f>
        <v>10657</v>
      </c>
      <c r="U37" s="145">
        <f>SUM('Historical Financials'!U106:U114)</f>
        <v>-24317</v>
      </c>
      <c r="V37" s="145">
        <f>SUM('Historical Financials'!V106:V114)</f>
        <v>-13180</v>
      </c>
      <c r="X37" s="144">
        <f t="shared" si="67"/>
        <v>-36609</v>
      </c>
      <c r="Y37" s="144">
        <f t="shared" si="67"/>
        <v>-40115</v>
      </c>
      <c r="Z37" s="144">
        <f t="shared" si="67"/>
        <v>-26152</v>
      </c>
      <c r="AA37" s="144">
        <f t="shared" si="67"/>
        <v>-39416</v>
      </c>
      <c r="AB37" s="144">
        <f t="shared" si="67"/>
        <v>-21055</v>
      </c>
      <c r="AC37" s="144">
        <f t="shared" si="67"/>
        <v>-32146</v>
      </c>
      <c r="AD37" s="144">
        <f t="shared" si="67"/>
        <v>-28280</v>
      </c>
      <c r="AE37" s="144">
        <f t="shared" si="67"/>
        <v>-27508</v>
      </c>
      <c r="AF37" s="144">
        <f t="shared" si="67"/>
        <v>-42707</v>
      </c>
      <c r="AG37" s="144">
        <f t="shared" si="67"/>
        <v>-57760</v>
      </c>
      <c r="AH37" s="144">
        <f t="shared" si="67"/>
        <v>-68125</v>
      </c>
      <c r="AI37" s="144">
        <f t="shared" si="67"/>
        <v>-55799</v>
      </c>
      <c r="AK37" s="110">
        <f>SUM(AI37/AE37)-1</f>
        <v>1.0284644467064128</v>
      </c>
    </row>
    <row r="38" spans="2:37" ht="12.75" customHeight="1">
      <c r="B38" s="12" t="s">
        <v>43</v>
      </c>
      <c r="C38" s="13">
        <f>SUM(C30+SUM(C33:C37))</f>
        <v>-3374613</v>
      </c>
      <c r="D38" s="13">
        <f>SUM(D30+SUM(D33:D37))</f>
        <v>-1593686</v>
      </c>
      <c r="E38" s="13">
        <f>SUM(E30+SUM(E33:E37))</f>
        <v>-2028788</v>
      </c>
      <c r="F38" s="13">
        <f>SUM(F30+SUM(F33:F37))</f>
        <v>-23922120</v>
      </c>
      <c r="H38" s="13">
        <f t="shared" ref="H38:K38" si="80">SUM(H30+SUM(H33:H37))</f>
        <v>-291725</v>
      </c>
      <c r="I38" s="13">
        <f t="shared" si="80"/>
        <v>-1092707</v>
      </c>
      <c r="J38" s="13">
        <f t="shared" si="80"/>
        <v>-32251</v>
      </c>
      <c r="K38" s="13">
        <f t="shared" si="80"/>
        <v>-312050</v>
      </c>
      <c r="L38" s="13">
        <f t="shared" ref="L38:U38" si="81">SUM(L30+SUM(L33:L37))</f>
        <v>295963</v>
      </c>
      <c r="M38" s="13">
        <f t="shared" si="81"/>
        <v>-324243</v>
      </c>
      <c r="N38" s="13">
        <f t="shared" si="81"/>
        <v>-315722</v>
      </c>
      <c r="O38" s="13">
        <f t="shared" si="81"/>
        <v>-1108553</v>
      </c>
      <c r="P38" s="13">
        <f t="shared" si="81"/>
        <v>-1649117</v>
      </c>
      <c r="Q38" s="13">
        <f t="shared" si="81"/>
        <v>-887484</v>
      </c>
      <c r="R38" s="13">
        <f t="shared" si="81"/>
        <v>-1887857</v>
      </c>
      <c r="S38" s="13">
        <f t="shared" si="81"/>
        <v>-18746288</v>
      </c>
      <c r="T38" s="13">
        <f t="shared" si="81"/>
        <v>-11857971</v>
      </c>
      <c r="U38" s="13">
        <f t="shared" si="81"/>
        <v>3209407</v>
      </c>
      <c r="V38" s="13">
        <f>SUM(V30+SUM(V33:V37))</f>
        <v>-2302419</v>
      </c>
      <c r="X38" s="13">
        <f t="shared" ref="X38:AH38" si="82">SUM(X30+SUM(X33:X37))</f>
        <v>-1728733</v>
      </c>
      <c r="Y38" s="13">
        <f t="shared" si="82"/>
        <v>-1141045</v>
      </c>
      <c r="Z38" s="13">
        <f t="shared" si="82"/>
        <v>-372581</v>
      </c>
      <c r="AA38" s="13">
        <f t="shared" si="82"/>
        <v>-656052</v>
      </c>
      <c r="AB38" s="13">
        <f t="shared" si="82"/>
        <v>-1452555</v>
      </c>
      <c r="AC38" s="13">
        <f t="shared" si="82"/>
        <v>-3397635</v>
      </c>
      <c r="AD38" s="13">
        <f t="shared" si="82"/>
        <v>-3960876</v>
      </c>
      <c r="AE38" s="13">
        <f t="shared" si="82"/>
        <v>-5533011</v>
      </c>
      <c r="AF38" s="13">
        <f t="shared" si="82"/>
        <v>-23170746</v>
      </c>
      <c r="AG38" s="13">
        <f t="shared" si="82"/>
        <v>-33379600</v>
      </c>
      <c r="AH38" s="13">
        <f t="shared" si="82"/>
        <v>-29282709</v>
      </c>
      <c r="AI38" s="13">
        <f>SUM(AI30+SUM(AI33:AI37))</f>
        <v>-29697271</v>
      </c>
      <c r="AK38" s="111">
        <f>SUM(AI38/AE38)-1</f>
        <v>4.3672893475180148</v>
      </c>
    </row>
    <row r="39" spans="2:37" ht="5.0999999999999996" customHeight="1"/>
    <row r="40" spans="2:37" ht="12.75" customHeight="1">
      <c r="B40" s="29" t="s">
        <v>181</v>
      </c>
      <c r="C40" s="145">
        <f>'Historical Financials'!C124</f>
        <v>1512412</v>
      </c>
      <c r="D40" s="145">
        <f>'Historical Financials'!D124</f>
        <v>215170</v>
      </c>
      <c r="E40" s="145">
        <f>'Historical Financials'!E124</f>
        <v>-160546</v>
      </c>
      <c r="F40" s="145">
        <f>'Historical Financials'!F124</f>
        <v>5616366</v>
      </c>
      <c r="G40" s="30"/>
      <c r="H40" s="145">
        <f>'Historical Financials'!H124</f>
        <v>204693</v>
      </c>
      <c r="I40" s="145">
        <f>'Historical Financials'!I124</f>
        <v>10819</v>
      </c>
      <c r="J40" s="145">
        <f>'Historical Financials'!J124</f>
        <v>-161</v>
      </c>
      <c r="K40" s="145">
        <f>'Historical Financials'!K124</f>
        <v>-181</v>
      </c>
      <c r="L40" s="145">
        <f>'Historical Financials'!L124</f>
        <v>-160028</v>
      </c>
      <c r="M40" s="145">
        <f>'Historical Financials'!M124</f>
        <v>-259</v>
      </c>
      <c r="N40" s="145">
        <f>'Historical Financials'!N124</f>
        <v>-128</v>
      </c>
      <c r="O40" s="145">
        <f>'Historical Financials'!O124</f>
        <v>-131</v>
      </c>
      <c r="P40" s="145">
        <f>'Historical Financials'!P124</f>
        <v>1375546</v>
      </c>
      <c r="Q40" s="145">
        <f>'Historical Financials'!Q124</f>
        <v>785886</v>
      </c>
      <c r="R40" s="145">
        <f>'Historical Financials'!R124</f>
        <v>482670</v>
      </c>
      <c r="S40" s="145">
        <f>'Historical Financials'!S124</f>
        <v>2972264</v>
      </c>
      <c r="T40" s="145">
        <f>'Historical Financials'!T124</f>
        <v>1985583</v>
      </c>
      <c r="U40" s="145">
        <f>'Historical Financials'!U124</f>
        <v>15213</v>
      </c>
      <c r="V40" s="145">
        <f>'Historical Financials'!V124</f>
        <v>4581</v>
      </c>
      <c r="W40" s="30"/>
      <c r="X40" s="144">
        <f t="shared" ref="X40:AI47" si="83">SUM(H40:K40)</f>
        <v>215170</v>
      </c>
      <c r="Y40" s="144">
        <f t="shared" si="83"/>
        <v>-149551</v>
      </c>
      <c r="Z40" s="144">
        <f t="shared" si="83"/>
        <v>-160629</v>
      </c>
      <c r="AA40" s="144">
        <f t="shared" si="83"/>
        <v>-160596</v>
      </c>
      <c r="AB40" s="144">
        <f t="shared" si="83"/>
        <v>-160546</v>
      </c>
      <c r="AC40" s="144">
        <f t="shared" si="83"/>
        <v>1375028</v>
      </c>
      <c r="AD40" s="144">
        <f t="shared" si="83"/>
        <v>2161173</v>
      </c>
      <c r="AE40" s="144">
        <f t="shared" si="83"/>
        <v>2643971</v>
      </c>
      <c r="AF40" s="144">
        <f t="shared" si="83"/>
        <v>5616366</v>
      </c>
      <c r="AG40" s="144">
        <f t="shared" si="83"/>
        <v>6226403</v>
      </c>
      <c r="AH40" s="144">
        <f t="shared" si="83"/>
        <v>5455730</v>
      </c>
      <c r="AI40" s="144">
        <f t="shared" si="83"/>
        <v>4977641</v>
      </c>
    </row>
    <row r="41" spans="2:37" ht="12.75" customHeight="1">
      <c r="B41" s="29" t="s">
        <v>182</v>
      </c>
      <c r="C41" s="145">
        <f>'Historical Financials'!C125</f>
        <v>990463</v>
      </c>
      <c r="D41" s="145">
        <f>'Historical Financials'!D125</f>
        <v>46234</v>
      </c>
      <c r="E41" s="145">
        <f>'Historical Financials'!E125</f>
        <v>2020073</v>
      </c>
      <c r="F41" s="145">
        <f>'Historical Financials'!F125</f>
        <v>16329857</v>
      </c>
      <c r="G41" s="30"/>
      <c r="H41" s="145">
        <f>'Historical Financials'!H125</f>
        <v>0</v>
      </c>
      <c r="I41" s="145">
        <f>'Historical Financials'!I125</f>
        <v>0</v>
      </c>
      <c r="J41" s="145">
        <f>'Historical Financials'!J125</f>
        <v>0</v>
      </c>
      <c r="K41" s="145">
        <f>'Historical Financials'!K125</f>
        <v>46234</v>
      </c>
      <c r="L41" s="145">
        <f>'Historical Financials'!L125</f>
        <v>339017</v>
      </c>
      <c r="M41" s="145">
        <f>'Historical Financials'!M125</f>
        <v>333423</v>
      </c>
      <c r="N41" s="145">
        <f>'Historical Financials'!N125</f>
        <v>147219</v>
      </c>
      <c r="O41" s="145">
        <f>'Historical Financials'!O125</f>
        <v>1200414</v>
      </c>
      <c r="P41" s="145">
        <f>'Historical Financials'!P125</f>
        <v>137152</v>
      </c>
      <c r="Q41" s="145">
        <f>'Historical Financials'!Q125</f>
        <v>0</v>
      </c>
      <c r="R41" s="145">
        <f>'Historical Financials'!R125</f>
        <v>1105141</v>
      </c>
      <c r="S41" s="145">
        <f>'Historical Financials'!S125</f>
        <v>15087564</v>
      </c>
      <c r="T41" s="145">
        <f>'Historical Financials'!T125</f>
        <v>5705789</v>
      </c>
      <c r="U41" s="145">
        <f>'Historical Financials'!U125</f>
        <v>6831445</v>
      </c>
      <c r="V41" s="145">
        <f>'Historical Financials'!V125</f>
        <v>5089979</v>
      </c>
      <c r="W41" s="30"/>
      <c r="X41" s="144">
        <f t="shared" si="83"/>
        <v>46234</v>
      </c>
      <c r="Y41" s="144">
        <f t="shared" si="83"/>
        <v>385251</v>
      </c>
      <c r="Z41" s="144">
        <f t="shared" si="83"/>
        <v>718674</v>
      </c>
      <c r="AA41" s="144">
        <f t="shared" si="83"/>
        <v>865893</v>
      </c>
      <c r="AB41" s="144">
        <f t="shared" si="83"/>
        <v>2020073</v>
      </c>
      <c r="AC41" s="144">
        <f t="shared" si="83"/>
        <v>1818208</v>
      </c>
      <c r="AD41" s="144">
        <f t="shared" si="83"/>
        <v>1484785</v>
      </c>
      <c r="AE41" s="144">
        <f t="shared" si="83"/>
        <v>2442707</v>
      </c>
      <c r="AF41" s="144">
        <f t="shared" si="83"/>
        <v>16329857</v>
      </c>
      <c r="AG41" s="144">
        <f t="shared" si="83"/>
        <v>21898494</v>
      </c>
      <c r="AH41" s="144">
        <f t="shared" si="83"/>
        <v>28729939</v>
      </c>
      <c r="AI41" s="144">
        <f t="shared" si="83"/>
        <v>32714777</v>
      </c>
    </row>
    <row r="42" spans="2:37" ht="12.75" customHeight="1">
      <c r="B42" s="29" t="s">
        <v>183</v>
      </c>
      <c r="C42" s="145">
        <f>'Historical Financials'!C126</f>
        <v>40651</v>
      </c>
      <c r="D42" s="145">
        <f>'Historical Financials'!D126</f>
        <v>1393</v>
      </c>
      <c r="E42" s="145">
        <f>'Historical Financials'!E126</f>
        <v>30518</v>
      </c>
      <c r="F42" s="145">
        <f>'Historical Financials'!F126</f>
        <v>184287</v>
      </c>
      <c r="G42" s="30"/>
      <c r="H42" s="145">
        <f>'Historical Financials'!H126</f>
        <v>288</v>
      </c>
      <c r="I42" s="145">
        <f>'Historical Financials'!I126</f>
        <v>423</v>
      </c>
      <c r="J42" s="145">
        <f>'Historical Financials'!J126</f>
        <v>621</v>
      </c>
      <c r="K42" s="145">
        <f>'Historical Financials'!K126</f>
        <v>61</v>
      </c>
      <c r="L42" s="145">
        <f>'Historical Financials'!L126</f>
        <v>6750</v>
      </c>
      <c r="M42" s="145">
        <f>'Historical Financials'!M126</f>
        <v>5354</v>
      </c>
      <c r="N42" s="145">
        <f>'Historical Financials'!N126</f>
        <v>2113</v>
      </c>
      <c r="O42" s="145">
        <f>'Historical Financials'!O126</f>
        <v>16301</v>
      </c>
      <c r="P42" s="145">
        <f>'Historical Financials'!P126</f>
        <v>134874</v>
      </c>
      <c r="Q42" s="145">
        <f>'Historical Financials'!Q126</f>
        <v>18475</v>
      </c>
      <c r="R42" s="145">
        <f>'Historical Financials'!R126</f>
        <v>4192</v>
      </c>
      <c r="S42" s="145">
        <f>'Historical Financials'!S126</f>
        <v>26746</v>
      </c>
      <c r="T42" s="145">
        <f>'Historical Financials'!T126</f>
        <v>9418</v>
      </c>
      <c r="U42" s="145">
        <f>'Historical Financials'!U126</f>
        <v>12451</v>
      </c>
      <c r="V42" s="145">
        <f>'Historical Financials'!V126</f>
        <v>14870</v>
      </c>
      <c r="W42" s="30"/>
      <c r="X42" s="144">
        <f t="shared" si="83"/>
        <v>1393</v>
      </c>
      <c r="Y42" s="144">
        <f t="shared" si="83"/>
        <v>7855</v>
      </c>
      <c r="Z42" s="144">
        <f t="shared" si="83"/>
        <v>12786</v>
      </c>
      <c r="AA42" s="144">
        <f t="shared" si="83"/>
        <v>14278</v>
      </c>
      <c r="AB42" s="144">
        <f t="shared" si="83"/>
        <v>30518</v>
      </c>
      <c r="AC42" s="144">
        <f t="shared" si="83"/>
        <v>158642</v>
      </c>
      <c r="AD42" s="144">
        <f t="shared" si="83"/>
        <v>171763</v>
      </c>
      <c r="AE42" s="144">
        <f t="shared" si="83"/>
        <v>173842</v>
      </c>
      <c r="AF42" s="144">
        <f t="shared" si="83"/>
        <v>184287</v>
      </c>
      <c r="AG42" s="144">
        <f t="shared" si="83"/>
        <v>58831</v>
      </c>
      <c r="AH42" s="144">
        <f t="shared" si="83"/>
        <v>52807</v>
      </c>
      <c r="AI42" s="144">
        <f t="shared" si="83"/>
        <v>63485</v>
      </c>
    </row>
    <row r="43" spans="2:37" ht="12.75" customHeight="1">
      <c r="B43" s="29" t="s">
        <v>184</v>
      </c>
      <c r="C43" s="145">
        <f>'Historical Financials'!C127</f>
        <v>2854</v>
      </c>
      <c r="D43" s="145">
        <f>'Historical Financials'!D127</f>
        <v>4473</v>
      </c>
      <c r="E43" s="145">
        <f>'Historical Financials'!E127</f>
        <v>3955</v>
      </c>
      <c r="F43" s="145">
        <f>'Historical Financials'!F127</f>
        <v>4304</v>
      </c>
      <c r="G43" s="30"/>
      <c r="H43" s="145">
        <f>'Historical Financials'!H127</f>
        <v>2805</v>
      </c>
      <c r="I43" s="145">
        <f>'Historical Financials'!I127</f>
        <v>0</v>
      </c>
      <c r="J43" s="145">
        <f>'Historical Financials'!J127</f>
        <v>1668</v>
      </c>
      <c r="K43" s="145">
        <f>'Historical Financials'!K127</f>
        <v>0</v>
      </c>
      <c r="L43" s="145">
        <f>'Historical Financials'!L127</f>
        <v>2380</v>
      </c>
      <c r="M43" s="145">
        <f>'Historical Financials'!M127</f>
        <v>0</v>
      </c>
      <c r="N43" s="145">
        <f>'Historical Financials'!N127</f>
        <v>1575</v>
      </c>
      <c r="O43" s="145">
        <f>'Historical Financials'!O127</f>
        <v>0</v>
      </c>
      <c r="P43" s="145">
        <f>'Historical Financials'!P127</f>
        <v>2071</v>
      </c>
      <c r="Q43" s="145">
        <f>'Historical Financials'!Q127</f>
        <v>0</v>
      </c>
      <c r="R43" s="145">
        <f>'Historical Financials'!R127</f>
        <v>2233</v>
      </c>
      <c r="S43" s="145">
        <f>'Historical Financials'!S127</f>
        <v>0</v>
      </c>
      <c r="T43" s="145">
        <f>'Historical Financials'!T127</f>
        <v>2703</v>
      </c>
      <c r="U43" s="145">
        <f>'Historical Financials'!U127</f>
        <v>0</v>
      </c>
      <c r="V43" s="145">
        <f>'Historical Financials'!V127</f>
        <v>2732</v>
      </c>
      <c r="W43" s="30"/>
      <c r="X43" s="144">
        <f t="shared" si="83"/>
        <v>4473</v>
      </c>
      <c r="Y43" s="144">
        <f t="shared" si="83"/>
        <v>4048</v>
      </c>
      <c r="Z43" s="144">
        <f t="shared" si="83"/>
        <v>4048</v>
      </c>
      <c r="AA43" s="144">
        <f t="shared" si="83"/>
        <v>3955</v>
      </c>
      <c r="AB43" s="144">
        <f t="shared" si="83"/>
        <v>3955</v>
      </c>
      <c r="AC43" s="144">
        <f t="shared" si="83"/>
        <v>3646</v>
      </c>
      <c r="AD43" s="144">
        <f t="shared" si="83"/>
        <v>3646</v>
      </c>
      <c r="AE43" s="144">
        <f t="shared" si="83"/>
        <v>4304</v>
      </c>
      <c r="AF43" s="144">
        <f t="shared" si="83"/>
        <v>4304</v>
      </c>
      <c r="AG43" s="144">
        <f t="shared" si="83"/>
        <v>4936</v>
      </c>
      <c r="AH43" s="144">
        <f t="shared" si="83"/>
        <v>4936</v>
      </c>
      <c r="AI43" s="144">
        <f t="shared" si="83"/>
        <v>5435</v>
      </c>
    </row>
    <row r="44" spans="2:37" ht="12.75" customHeight="1">
      <c r="B44" s="29" t="s">
        <v>185</v>
      </c>
      <c r="C44" s="145">
        <f>'Historical Financials'!C128</f>
        <v>-4695</v>
      </c>
      <c r="D44" s="145">
        <f>'Historical Financials'!D128</f>
        <v>-2082</v>
      </c>
      <c r="E44" s="145">
        <f>'Historical Financials'!E128</f>
        <v>-4114</v>
      </c>
      <c r="F44" s="145">
        <f>'Historical Financials'!F128</f>
        <v>-2173</v>
      </c>
      <c r="G44" s="30"/>
      <c r="H44" s="145">
        <f>'Historical Financials'!H128</f>
        <v>-495</v>
      </c>
      <c r="I44" s="145">
        <f>'Historical Financials'!I128</f>
        <v>-46</v>
      </c>
      <c r="J44" s="145">
        <f>'Historical Financials'!J128</f>
        <v>-564</v>
      </c>
      <c r="K44" s="145">
        <f>'Historical Financials'!K128</f>
        <v>-977</v>
      </c>
      <c r="L44" s="145">
        <f>'Historical Financials'!L128</f>
        <v>-497</v>
      </c>
      <c r="M44" s="145">
        <f>'Historical Financials'!M128</f>
        <v>-229</v>
      </c>
      <c r="N44" s="145">
        <f>'Historical Financials'!N128</f>
        <v>-665</v>
      </c>
      <c r="O44" s="145">
        <f>'Historical Financials'!O128</f>
        <v>-2723</v>
      </c>
      <c r="P44" s="145">
        <f>'Historical Financials'!P128</f>
        <v>-1243</v>
      </c>
      <c r="Q44" s="145">
        <f>'Historical Financials'!Q128</f>
        <v>-930</v>
      </c>
      <c r="R44" s="145">
        <f>'Historical Financials'!R128</f>
        <v>0</v>
      </c>
      <c r="S44" s="145">
        <f>'Historical Financials'!S128</f>
        <v>0</v>
      </c>
      <c r="T44" s="145">
        <f>'Historical Financials'!T128</f>
        <v>0</v>
      </c>
      <c r="U44" s="145">
        <f>'Historical Financials'!U128</f>
        <v>0</v>
      </c>
      <c r="V44" s="145">
        <f>'Historical Financials'!V128</f>
        <v>0</v>
      </c>
      <c r="W44" s="30"/>
      <c r="X44" s="144">
        <f t="shared" si="83"/>
        <v>-2082</v>
      </c>
      <c r="Y44" s="144">
        <f t="shared" si="83"/>
        <v>-2084</v>
      </c>
      <c r="Z44" s="144">
        <f t="shared" si="83"/>
        <v>-2267</v>
      </c>
      <c r="AA44" s="144">
        <f t="shared" si="83"/>
        <v>-2368</v>
      </c>
      <c r="AB44" s="144">
        <f t="shared" si="83"/>
        <v>-4114</v>
      </c>
      <c r="AC44" s="144">
        <f t="shared" si="83"/>
        <v>-4860</v>
      </c>
      <c r="AD44" s="144">
        <f t="shared" si="83"/>
        <v>-5561</v>
      </c>
      <c r="AE44" s="144">
        <f t="shared" si="83"/>
        <v>-4896</v>
      </c>
      <c r="AF44" s="144">
        <f t="shared" si="83"/>
        <v>-2173</v>
      </c>
      <c r="AG44" s="144">
        <f t="shared" si="83"/>
        <v>-930</v>
      </c>
      <c r="AH44" s="144">
        <f t="shared" si="83"/>
        <v>0</v>
      </c>
      <c r="AI44" s="144">
        <f t="shared" si="83"/>
        <v>0</v>
      </c>
    </row>
    <row r="45" spans="2:37" ht="12.75" customHeight="1">
      <c r="B45" s="29" t="s">
        <v>201</v>
      </c>
      <c r="C45" s="145">
        <f>'Historical Financials'!C103</f>
        <v>830060</v>
      </c>
      <c r="D45" s="145">
        <f>'Historical Financials'!D103</f>
        <v>1285926</v>
      </c>
      <c r="E45" s="145">
        <f>'Historical Financials'!E103</f>
        <v>70659</v>
      </c>
      <c r="F45" s="145">
        <f>'Historical Financials'!F103</f>
        <v>1811530</v>
      </c>
      <c r="G45" s="30"/>
      <c r="H45" s="145">
        <f>'Historical Financials'!H103</f>
        <v>170091</v>
      </c>
      <c r="I45" s="145">
        <f>'Historical Financials'!I103</f>
        <v>917838</v>
      </c>
      <c r="J45" s="145">
        <f>'Historical Financials'!J103</f>
        <v>727</v>
      </c>
      <c r="K45" s="145">
        <f>'Historical Financials'!K103</f>
        <v>197270</v>
      </c>
      <c r="L45" s="145">
        <f>'Historical Financials'!L103</f>
        <v>-25877</v>
      </c>
      <c r="M45" s="145">
        <f>'Historical Financials'!M103</f>
        <v>24143</v>
      </c>
      <c r="N45" s="145">
        <f>'Historical Financials'!N103</f>
        <v>33499</v>
      </c>
      <c r="O45" s="145">
        <f>'Historical Financials'!O103</f>
        <v>38894</v>
      </c>
      <c r="P45" s="145">
        <f>'Historical Financials'!P103</f>
        <v>191560</v>
      </c>
      <c r="Q45" s="145">
        <f>'Historical Financials'!Q103</f>
        <v>180090</v>
      </c>
      <c r="R45" s="145">
        <f>'Historical Financials'!R103</f>
        <v>435017</v>
      </c>
      <c r="S45" s="145">
        <f>'Historical Financials'!S103</f>
        <v>1004863</v>
      </c>
      <c r="T45" s="145">
        <f>'Historical Financials'!T103</f>
        <v>5906005</v>
      </c>
      <c r="U45" s="145">
        <f>'Historical Financials'!U103</f>
        <v>-14047514</v>
      </c>
      <c r="V45" s="145">
        <f>'Historical Financials'!V103</f>
        <v>-3890847</v>
      </c>
      <c r="W45" s="30"/>
      <c r="X45" s="144">
        <f t="shared" ref="X45:X46" si="84">SUM(H45:K45)</f>
        <v>1285926</v>
      </c>
      <c r="Y45" s="144">
        <f t="shared" ref="Y45:Y46" si="85">SUM(I45:L45)</f>
        <v>1089958</v>
      </c>
      <c r="Z45" s="144">
        <f t="shared" ref="Z45:Z46" si="86">SUM(J45:M45)</f>
        <v>196263</v>
      </c>
      <c r="AA45" s="144">
        <f t="shared" ref="AA45:AA46" si="87">SUM(K45:N45)</f>
        <v>229035</v>
      </c>
      <c r="AB45" s="144">
        <f t="shared" ref="AB45:AB46" si="88">SUM(L45:O45)</f>
        <v>70659</v>
      </c>
      <c r="AC45" s="144">
        <f t="shared" ref="AC45:AC46" si="89">SUM(M45:P45)</f>
        <v>288096</v>
      </c>
      <c r="AD45" s="144">
        <f t="shared" ref="AD45:AD46" si="90">SUM(N45:Q45)</f>
        <v>444043</v>
      </c>
      <c r="AE45" s="144">
        <f t="shared" ref="AE45:AE46" si="91">SUM(O45:R45)</f>
        <v>845561</v>
      </c>
      <c r="AF45" s="144">
        <f t="shared" ref="AF45:AF46" si="92">SUM(P45:S45)</f>
        <v>1811530</v>
      </c>
      <c r="AG45" s="144">
        <f t="shared" ref="AG45:AG46" si="93">SUM(Q45:T45)</f>
        <v>7525975</v>
      </c>
      <c r="AH45" s="144">
        <f t="shared" ref="AH45:AH46" si="94">SUM(R45:U45)</f>
        <v>-6701629</v>
      </c>
      <c r="AI45" s="144">
        <f t="shared" ref="AI45:AI46" si="95">SUM(S45:V45)</f>
        <v>-11027493</v>
      </c>
    </row>
    <row r="46" spans="2:37" ht="12.75" customHeight="1">
      <c r="B46" s="29" t="s">
        <v>202</v>
      </c>
      <c r="C46" s="145">
        <f>'Historical Financials'!C120</f>
        <v>0</v>
      </c>
      <c r="D46" s="145">
        <f>'Historical Financials'!D120</f>
        <v>11817</v>
      </c>
      <c r="E46" s="145">
        <f>'Historical Financials'!E120</f>
        <v>0</v>
      </c>
      <c r="F46" s="145">
        <f>'Historical Financials'!F120</f>
        <v>-10500</v>
      </c>
      <c r="G46" s="30"/>
      <c r="H46" s="145">
        <f>'Historical Financials'!H120</f>
        <v>0</v>
      </c>
      <c r="I46" s="145">
        <f>'Historical Financials'!I120</f>
        <v>0</v>
      </c>
      <c r="J46" s="145">
        <f>'Historical Financials'!J120</f>
        <v>0</v>
      </c>
      <c r="K46" s="145">
        <f>'Historical Financials'!K120</f>
        <v>11817</v>
      </c>
      <c r="L46" s="145">
        <f>'Historical Financials'!L120</f>
        <v>0</v>
      </c>
      <c r="M46" s="145">
        <f>'Historical Financials'!M120</f>
        <v>0</v>
      </c>
      <c r="N46" s="145">
        <f>'Historical Financials'!N120</f>
        <v>0</v>
      </c>
      <c r="O46" s="145">
        <f>'Historical Financials'!O120</f>
        <v>0</v>
      </c>
      <c r="P46" s="145">
        <f>'Historical Financials'!P120</f>
        <v>0</v>
      </c>
      <c r="Q46" s="145">
        <f>'Historical Financials'!Q120</f>
        <v>0</v>
      </c>
      <c r="R46" s="145">
        <f>'Historical Financials'!R120</f>
        <v>0</v>
      </c>
      <c r="S46" s="145">
        <f>'Historical Financials'!S120</f>
        <v>-10500</v>
      </c>
      <c r="T46" s="145">
        <f>'Historical Financials'!T120</f>
        <v>-6000</v>
      </c>
      <c r="U46" s="145">
        <f>'Historical Financials'!U120</f>
        <v>-16000</v>
      </c>
      <c r="V46" s="145">
        <f>'Historical Financials'!V120</f>
        <v>-5000</v>
      </c>
      <c r="W46" s="30"/>
      <c r="X46" s="144">
        <f t="shared" si="84"/>
        <v>11817</v>
      </c>
      <c r="Y46" s="144">
        <f t="shared" si="85"/>
        <v>11817</v>
      </c>
      <c r="Z46" s="144">
        <f t="shared" si="86"/>
        <v>11817</v>
      </c>
      <c r="AA46" s="144">
        <f t="shared" si="87"/>
        <v>11817</v>
      </c>
      <c r="AB46" s="144">
        <f t="shared" si="88"/>
        <v>0</v>
      </c>
      <c r="AC46" s="144">
        <f t="shared" si="89"/>
        <v>0</v>
      </c>
      <c r="AD46" s="144">
        <f t="shared" si="90"/>
        <v>0</v>
      </c>
      <c r="AE46" s="144">
        <f t="shared" si="91"/>
        <v>0</v>
      </c>
      <c r="AF46" s="144">
        <f t="shared" si="92"/>
        <v>-10500</v>
      </c>
      <c r="AG46" s="144">
        <f t="shared" si="93"/>
        <v>-16500</v>
      </c>
      <c r="AH46" s="144">
        <f t="shared" si="94"/>
        <v>-32500</v>
      </c>
      <c r="AI46" s="144">
        <f t="shared" si="95"/>
        <v>-37500</v>
      </c>
    </row>
    <row r="47" spans="2:37" ht="12.75" customHeight="1">
      <c r="B47" s="29" t="s">
        <v>72</v>
      </c>
      <c r="C47" s="124"/>
      <c r="D47" s="124">
        <f>SUM(D52:D53)-SUM(C52:C53)-SUM(D38:D46)</f>
        <v>17189</v>
      </c>
      <c r="E47" s="124">
        <f>SUM(E52:E53)-SUM(D52:D53)-SUM(E38:E46)</f>
        <v>66048</v>
      </c>
      <c r="F47" s="124">
        <f>SUM(F52:F53)-SUM(E52:E53)-SUM(F38:F46)</f>
        <v>-20327</v>
      </c>
      <c r="G47" s="30"/>
      <c r="H47" s="124">
        <f>SUM(H52:H53)-SUM(C52:C53)-SUM(H38:H46)</f>
        <v>-51149</v>
      </c>
      <c r="I47" s="124">
        <f>SUM(I52:I53)-SUM(H52:H53)-SUM(I38:I46)</f>
        <v>140272</v>
      </c>
      <c r="J47" s="124">
        <f>SUM(J52:J53)-SUM(I52:I53)-SUM(J38:J46)</f>
        <v>21387</v>
      </c>
      <c r="K47" s="124">
        <f>SUM(K52:K53)-SUM(J52:J53)-SUM(K38:K46)</f>
        <v>41726</v>
      </c>
      <c r="L47" s="124">
        <f>SUM(L52:L53)-SUM(K52:K53)-SUM(L38:L46)</f>
        <v>-412112</v>
      </c>
      <c r="M47" s="124">
        <f>SUM(M52:M53)-SUM(L52:L53)-SUM(M38:M46)</f>
        <v>-66600</v>
      </c>
      <c r="N47" s="124">
        <f>SUM(N52:N53)-SUM(M52:M53)-SUM(N38:N46)</f>
        <v>110930</v>
      </c>
      <c r="O47" s="124">
        <f>SUM(O52:O53)-SUM(N52:N53)-SUM(O38:O46)</f>
        <v>-142403</v>
      </c>
      <c r="P47" s="124">
        <f>SUM(P52:P53)-SUM(O52:O53)-SUM(P38:P46)</f>
        <v>-155788</v>
      </c>
      <c r="Q47" s="124">
        <f>SUM(Q52:Q53)-SUM(P52:P53)-SUM(Q38:Q46)</f>
        <v>-110964</v>
      </c>
      <c r="R47" s="124">
        <f>SUM(R52:R53)-SUM(Q52:Q53)-SUM(R38:R46)</f>
        <v>-161992</v>
      </c>
      <c r="S47" s="124">
        <f>SUM(S52:S53)-SUM(R52:R53)-SUM(S38:S46)</f>
        <v>-342957</v>
      </c>
      <c r="T47" s="124">
        <f>SUM(T52:T53)-SUM(S52:S53)-SUM(T38:T46)</f>
        <v>-1723166</v>
      </c>
      <c r="U47" s="124">
        <f>SUM(U52:U53)-SUM(T52:T53)-SUM(U38:U46)</f>
        <v>3984872</v>
      </c>
      <c r="V47" s="124">
        <f>SUM(V52:V53)-SUM(U52:U53)-SUM(V38:V46)</f>
        <v>1090172</v>
      </c>
      <c r="W47" s="30"/>
      <c r="X47" s="144">
        <f t="shared" si="83"/>
        <v>152236</v>
      </c>
      <c r="Y47" s="144">
        <f t="shared" si="83"/>
        <v>-208727</v>
      </c>
      <c r="Z47" s="144">
        <f t="shared" si="83"/>
        <v>-415599</v>
      </c>
      <c r="AA47" s="144">
        <f t="shared" si="83"/>
        <v>-326056</v>
      </c>
      <c r="AB47" s="144">
        <f t="shared" si="83"/>
        <v>-510185</v>
      </c>
      <c r="AC47" s="144">
        <f t="shared" si="83"/>
        <v>-253861</v>
      </c>
      <c r="AD47" s="144">
        <f t="shared" si="83"/>
        <v>-298225</v>
      </c>
      <c r="AE47" s="144">
        <f t="shared" si="83"/>
        <v>-571147</v>
      </c>
      <c r="AF47" s="144">
        <f t="shared" si="83"/>
        <v>-771701</v>
      </c>
      <c r="AG47" s="144">
        <f t="shared" si="83"/>
        <v>-2339079</v>
      </c>
      <c r="AH47" s="144">
        <f t="shared" si="83"/>
        <v>1756757</v>
      </c>
      <c r="AI47" s="144">
        <f t="shared" si="83"/>
        <v>3008921</v>
      </c>
    </row>
    <row r="48" spans="2:37" ht="12.75" customHeight="1">
      <c r="B48" s="12" t="s">
        <v>44</v>
      </c>
      <c r="C48" s="13">
        <f>SUM(C38+SUM(C40:C47))</f>
        <v>-2868</v>
      </c>
      <c r="D48" s="13">
        <f>SUM(D38+SUM(D40:D47))</f>
        <v>-13566</v>
      </c>
      <c r="E48" s="13">
        <f>SUM(E38+SUM(E40:E47))</f>
        <v>-2195</v>
      </c>
      <c r="F48" s="13">
        <f>SUM(F38+SUM(F40:F47))</f>
        <v>-8776</v>
      </c>
      <c r="H48" s="13">
        <f>SUM(H38+SUM(H40:H47))</f>
        <v>34508</v>
      </c>
      <c r="I48" s="13">
        <f>SUM(I38+SUM(I40:I47))</f>
        <v>-23401</v>
      </c>
      <c r="J48" s="13">
        <f>SUM(J38+SUM(J40:J47))</f>
        <v>-8573</v>
      </c>
      <c r="K48" s="13">
        <f>SUM(K38+SUM(K40:K47))</f>
        <v>-16100</v>
      </c>
      <c r="L48" s="13">
        <f>SUM(L38+SUM(L40:L47))</f>
        <v>45596</v>
      </c>
      <c r="M48" s="13">
        <f>SUM(M38+SUM(M40:M47))</f>
        <v>-28411</v>
      </c>
      <c r="N48" s="13">
        <f>SUM(N38+SUM(N40:N47))</f>
        <v>-21179</v>
      </c>
      <c r="O48" s="13">
        <f>SUM(O38+SUM(O40:O47))</f>
        <v>1799</v>
      </c>
      <c r="P48" s="13">
        <f>SUM(P38+SUM(P40:P47))</f>
        <v>35055</v>
      </c>
      <c r="Q48" s="13">
        <f>SUM(Q38+SUM(Q40:Q47))</f>
        <v>-14927</v>
      </c>
      <c r="R48" s="13">
        <f>SUM(R38+SUM(R40:R47))</f>
        <v>-20596</v>
      </c>
      <c r="S48" s="13">
        <f>SUM(S38+SUM(S40:S47))</f>
        <v>-8308</v>
      </c>
      <c r="T48" s="13">
        <f>SUM(T38+SUM(T40:T47))</f>
        <v>22361</v>
      </c>
      <c r="U48" s="13">
        <f>SUM(U38+SUM(U40:U47))</f>
        <v>-10126</v>
      </c>
      <c r="V48" s="13">
        <f>SUM(V38+SUM(V40:V47))</f>
        <v>4068</v>
      </c>
      <c r="X48" s="13">
        <f>SUM(X38+SUM(X40:X47))</f>
        <v>-13566</v>
      </c>
      <c r="Y48" s="13">
        <f>SUM(Y38+SUM(Y40:Y47))</f>
        <v>-2478</v>
      </c>
      <c r="Z48" s="13">
        <f>SUM(Z38+SUM(Z40:Z47))</f>
        <v>-7488</v>
      </c>
      <c r="AA48" s="13">
        <f>SUM(AA38+SUM(AA40:AA47))</f>
        <v>-20094</v>
      </c>
      <c r="AB48" s="13">
        <f>SUM(AB38+SUM(AB40:AB47))</f>
        <v>-2195</v>
      </c>
      <c r="AC48" s="13">
        <f>SUM(AC38+SUM(AC40:AC47))</f>
        <v>-12736</v>
      </c>
      <c r="AD48" s="13">
        <f>SUM(AD38+SUM(AD40:AD47))</f>
        <v>748</v>
      </c>
      <c r="AE48" s="13">
        <f>SUM(AE38+SUM(AE40:AE47))</f>
        <v>1331</v>
      </c>
      <c r="AF48" s="13">
        <f>SUM(AF38+SUM(AF40:AF47))</f>
        <v>-8776</v>
      </c>
      <c r="AG48" s="13">
        <f>SUM(AG38+SUM(AG40:AG47))</f>
        <v>-21470</v>
      </c>
      <c r="AH48" s="13">
        <f>SUM(AH38+SUM(AH40:AH47))</f>
        <v>-16669</v>
      </c>
      <c r="AI48" s="13">
        <f>SUM(AI38+SUM(AI40:AI47))</f>
        <v>7995</v>
      </c>
    </row>
    <row r="49" spans="1:35" ht="5.0999999999999996" customHeight="1"/>
    <row r="50" spans="1:35" ht="12.75" customHeight="1">
      <c r="A50" s="5"/>
      <c r="B50" s="31" t="s">
        <v>45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</row>
    <row r="51" spans="1:35" ht="5.0999999999999996" customHeight="1"/>
    <row r="52" spans="1:35" ht="12.75" customHeight="1">
      <c r="B52" s="8" t="s">
        <v>46</v>
      </c>
      <c r="C52" s="82">
        <f>'Historical Financials'!C46</f>
        <v>63356</v>
      </c>
      <c r="D52" s="82">
        <f>'Historical Financials'!D46</f>
        <v>43835</v>
      </c>
      <c r="E52" s="82">
        <f>'Historical Financials'!E46</f>
        <v>46817</v>
      </c>
      <c r="F52" s="82">
        <f>'Historical Financials'!F46</f>
        <v>38117</v>
      </c>
      <c r="G52" s="30"/>
      <c r="H52" s="82">
        <f>'Historical Financials'!H46</f>
        <v>92677</v>
      </c>
      <c r="I52" s="82">
        <f>'Historical Financials'!I46</f>
        <v>69386</v>
      </c>
      <c r="J52" s="82">
        <f>'Historical Financials'!J46</f>
        <v>60390</v>
      </c>
      <c r="K52" s="82">
        <f>'Historical Financials'!K46</f>
        <v>43835</v>
      </c>
      <c r="L52" s="82">
        <f>'Historical Financials'!L46</f>
        <v>94311</v>
      </c>
      <c r="M52" s="82">
        <f>'Historical Financials'!M46</f>
        <v>65968</v>
      </c>
      <c r="N52" s="82">
        <f>'Historical Financials'!N46</f>
        <v>45009</v>
      </c>
      <c r="O52" s="82">
        <f>'Historical Financials'!O46</f>
        <v>46817</v>
      </c>
      <c r="P52" s="82">
        <f>'Historical Financials'!P46</f>
        <v>81326</v>
      </c>
      <c r="Q52" s="82">
        <f>'Historical Financials'!Q46</f>
        <v>66923</v>
      </c>
      <c r="R52" s="82">
        <f>'Historical Financials'!R46</f>
        <v>46343</v>
      </c>
      <c r="S52" s="82">
        <f>'Historical Financials'!S46</f>
        <v>38117</v>
      </c>
      <c r="T52" s="82">
        <f>'Historical Financials'!T46</f>
        <v>60298</v>
      </c>
      <c r="U52" s="82">
        <f>'Historical Financials'!U46</f>
        <v>50095</v>
      </c>
      <c r="V52" s="82">
        <f>'Historical Financials'!V46</f>
        <v>54285</v>
      </c>
      <c r="W52" s="30"/>
      <c r="X52" s="10">
        <f t="shared" ref="X52:AI52" si="96">K52</f>
        <v>43835</v>
      </c>
      <c r="Y52" s="10">
        <f t="shared" si="96"/>
        <v>94311</v>
      </c>
      <c r="Z52" s="10">
        <f t="shared" si="96"/>
        <v>65968</v>
      </c>
      <c r="AA52" s="10">
        <f t="shared" si="96"/>
        <v>45009</v>
      </c>
      <c r="AB52" s="10">
        <f t="shared" si="96"/>
        <v>46817</v>
      </c>
      <c r="AC52" s="10">
        <f t="shared" si="96"/>
        <v>81326</v>
      </c>
      <c r="AD52" s="10">
        <f t="shared" si="96"/>
        <v>66923</v>
      </c>
      <c r="AE52" s="10">
        <f t="shared" si="96"/>
        <v>46343</v>
      </c>
      <c r="AF52" s="10">
        <f t="shared" si="96"/>
        <v>38117</v>
      </c>
      <c r="AG52" s="10">
        <f t="shared" si="96"/>
        <v>60298</v>
      </c>
      <c r="AH52" s="10">
        <f t="shared" si="96"/>
        <v>50095</v>
      </c>
      <c r="AI52" s="10">
        <f t="shared" si="96"/>
        <v>54285</v>
      </c>
    </row>
    <row r="53" spans="1:35" ht="12.75" customHeight="1">
      <c r="B53" s="8" t="s">
        <v>186</v>
      </c>
      <c r="C53" s="82">
        <f>'Historical Financials'!C47</f>
        <v>1078</v>
      </c>
      <c r="D53" s="82">
        <f>'Historical Financials'!D47</f>
        <v>7033</v>
      </c>
      <c r="E53" s="82">
        <f>'Historical Financials'!E47</f>
        <v>1856</v>
      </c>
      <c r="F53" s="82">
        <f>'Historical Financials'!F47</f>
        <v>1780</v>
      </c>
      <c r="G53" s="30"/>
      <c r="H53" s="82">
        <f>'Historical Financials'!H47</f>
        <v>6265</v>
      </c>
      <c r="I53" s="82">
        <f>'Historical Financials'!I47</f>
        <v>6155</v>
      </c>
      <c r="J53" s="82">
        <f>'Historical Financials'!J47</f>
        <v>6578</v>
      </c>
      <c r="K53" s="82">
        <f>'Historical Financials'!K47</f>
        <v>7033</v>
      </c>
      <c r="L53" s="82">
        <f>'Historical Financials'!L47</f>
        <v>2153</v>
      </c>
      <c r="M53" s="82">
        <f>'Historical Financials'!M47</f>
        <v>2085</v>
      </c>
      <c r="N53" s="82">
        <f>'Historical Financials'!N47</f>
        <v>1865</v>
      </c>
      <c r="O53" s="82">
        <f>'Historical Financials'!O47</f>
        <v>1856</v>
      </c>
      <c r="P53" s="82">
        <f>'Historical Financials'!P47</f>
        <v>2402</v>
      </c>
      <c r="Q53" s="82">
        <f>'Historical Financials'!Q47</f>
        <v>1878</v>
      </c>
      <c r="R53" s="82">
        <f>'Historical Financials'!R47</f>
        <v>1862</v>
      </c>
      <c r="S53" s="82">
        <f>'Historical Financials'!S47</f>
        <v>1780</v>
      </c>
      <c r="T53" s="82">
        <f>'Historical Financials'!T47</f>
        <v>1960</v>
      </c>
      <c r="U53" s="82">
        <f>'Historical Financials'!U47</f>
        <v>2037</v>
      </c>
      <c r="V53" s="82">
        <f>'Historical Financials'!V47</f>
        <v>1915</v>
      </c>
      <c r="W53" s="30"/>
      <c r="X53" s="10">
        <f t="shared" ref="X53" si="97">K53</f>
        <v>7033</v>
      </c>
      <c r="Y53" s="10">
        <f t="shared" ref="Y53" si="98">L53</f>
        <v>2153</v>
      </c>
      <c r="Z53" s="10">
        <f t="shared" ref="Z53" si="99">M53</f>
        <v>2085</v>
      </c>
      <c r="AA53" s="10">
        <f t="shared" ref="AA53" si="100">N53</f>
        <v>1865</v>
      </c>
      <c r="AB53" s="10">
        <f t="shared" ref="AB53" si="101">O53</f>
        <v>1856</v>
      </c>
      <c r="AC53" s="10">
        <f t="shared" ref="AC53" si="102">P53</f>
        <v>2402</v>
      </c>
      <c r="AD53" s="10">
        <f t="shared" ref="AD53" si="103">Q53</f>
        <v>1878</v>
      </c>
      <c r="AE53" s="10">
        <f t="shared" ref="AE53" si="104">R53</f>
        <v>1862</v>
      </c>
      <c r="AF53" s="10">
        <f t="shared" ref="AF53" si="105">S53</f>
        <v>1780</v>
      </c>
      <c r="AG53" s="10">
        <f t="shared" ref="AG53" si="106">T53</f>
        <v>1960</v>
      </c>
      <c r="AH53" s="10">
        <f t="shared" ref="AH53" si="107">U53</f>
        <v>2037</v>
      </c>
      <c r="AI53" s="10">
        <f t="shared" ref="AI53" si="108">V53</f>
        <v>1915</v>
      </c>
    </row>
    <row r="54" spans="1:35" ht="12.75" customHeight="1">
      <c r="B54" s="165" t="s">
        <v>187</v>
      </c>
      <c r="C54" s="163">
        <f>SUM(C52:C53)</f>
        <v>64434</v>
      </c>
      <c r="D54" s="163">
        <f>SUM(D52:D53)</f>
        <v>50868</v>
      </c>
      <c r="E54" s="163">
        <f>SUM(E52:E53)</f>
        <v>48673</v>
      </c>
      <c r="F54" s="163">
        <f>SUM(F52:F53)</f>
        <v>39897</v>
      </c>
      <c r="G54" s="30"/>
      <c r="H54" s="163">
        <f>SUM(H52:H53)</f>
        <v>98942</v>
      </c>
      <c r="I54" s="163">
        <f>SUM(I52:I53)</f>
        <v>75541</v>
      </c>
      <c r="J54" s="163">
        <f>SUM(J52:J53)</f>
        <v>66968</v>
      </c>
      <c r="K54" s="163">
        <f>SUM(K52:K53)</f>
        <v>50868</v>
      </c>
      <c r="L54" s="163">
        <f>SUM(L52:L53)</f>
        <v>96464</v>
      </c>
      <c r="M54" s="163">
        <f>SUM(M52:M53)</f>
        <v>68053</v>
      </c>
      <c r="N54" s="163">
        <f>SUM(N52:N53)</f>
        <v>46874</v>
      </c>
      <c r="O54" s="163">
        <f>SUM(O52:O53)</f>
        <v>48673</v>
      </c>
      <c r="P54" s="163">
        <f>SUM(P52:P53)</f>
        <v>83728</v>
      </c>
      <c r="Q54" s="163">
        <f>SUM(Q52:Q53)</f>
        <v>68801</v>
      </c>
      <c r="R54" s="163">
        <f>SUM(R52:R53)</f>
        <v>48205</v>
      </c>
      <c r="S54" s="163">
        <f>SUM(S52:S53)</f>
        <v>39897</v>
      </c>
      <c r="T54" s="163">
        <f>SUM(T52:T53)</f>
        <v>62258</v>
      </c>
      <c r="U54" s="163">
        <f>SUM(U52:U53)</f>
        <v>52132</v>
      </c>
      <c r="V54" s="163">
        <f>SUM(V52:V53)</f>
        <v>56200</v>
      </c>
      <c r="W54" s="30"/>
      <c r="X54" s="163">
        <f>SUM(X52:X53)</f>
        <v>50868</v>
      </c>
      <c r="Y54" s="163">
        <f>SUM(Y52:Y53)</f>
        <v>96464</v>
      </c>
      <c r="Z54" s="163">
        <f>SUM(Z52:Z53)</f>
        <v>68053</v>
      </c>
      <c r="AA54" s="163">
        <f>SUM(AA52:AA53)</f>
        <v>46874</v>
      </c>
      <c r="AB54" s="163">
        <f>SUM(AB52:AB53)</f>
        <v>48673</v>
      </c>
      <c r="AC54" s="163">
        <f>SUM(AC52:AC53)</f>
        <v>83728</v>
      </c>
      <c r="AD54" s="163">
        <f>SUM(AD52:AD53)</f>
        <v>68801</v>
      </c>
      <c r="AE54" s="163">
        <f>SUM(AE52:AE53)</f>
        <v>48205</v>
      </c>
      <c r="AF54" s="163">
        <f>SUM(AF52:AF53)</f>
        <v>39897</v>
      </c>
      <c r="AG54" s="163">
        <f>SUM(AG52:AG53)</f>
        <v>62258</v>
      </c>
      <c r="AH54" s="163">
        <f>SUM(AH52:AH53)</f>
        <v>52132</v>
      </c>
      <c r="AI54" s="163">
        <f>SUM(AI52:AI53)</f>
        <v>56200</v>
      </c>
    </row>
    <row r="55" spans="1:35" ht="5.0999999999999996" customHeight="1">
      <c r="B55" s="166"/>
      <c r="C55" s="164"/>
      <c r="D55" s="164"/>
      <c r="E55" s="164"/>
      <c r="F55" s="164"/>
      <c r="G55" s="30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30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</row>
    <row r="56" spans="1:35" ht="12.75" customHeight="1">
      <c r="B56" s="8" t="s">
        <v>189</v>
      </c>
      <c r="C56" s="82">
        <f>'Historical Financials'!C53</f>
        <v>2850210</v>
      </c>
      <c r="D56" s="82">
        <f>'Historical Financials'!D53</f>
        <v>1840028</v>
      </c>
      <c r="E56" s="82">
        <f>'Historical Financials'!E53</f>
        <v>3626476</v>
      </c>
      <c r="F56" s="82">
        <f>'Historical Financials'!F53</f>
        <v>23909373</v>
      </c>
      <c r="G56" s="30"/>
      <c r="H56" s="82">
        <f>'Historical Financials'!H53</f>
        <v>2895619</v>
      </c>
      <c r="I56" s="82">
        <f>'Historical Financials'!I53</f>
        <v>1987781</v>
      </c>
      <c r="J56" s="82">
        <f>'Historical Financials'!J53</f>
        <v>1993032</v>
      </c>
      <c r="K56" s="82">
        <f>'Historical Financials'!K53</f>
        <v>1840028</v>
      </c>
      <c r="L56" s="82">
        <f>'Historical Financials'!L53</f>
        <v>2000392</v>
      </c>
      <c r="M56" s="82">
        <f>'Historical Financials'!M53</f>
        <v>2323252</v>
      </c>
      <c r="N56" s="82">
        <f>'Historical Financials'!N53</f>
        <v>2451374</v>
      </c>
      <c r="O56" s="82">
        <f>'Historical Financials'!O53</f>
        <v>3626476</v>
      </c>
      <c r="P56" s="82">
        <f>'Historical Financials'!P53</f>
        <v>5074152</v>
      </c>
      <c r="Q56" s="82">
        <f>'Historical Financials'!Q53</f>
        <v>5687890</v>
      </c>
      <c r="R56" s="82">
        <f>'Historical Financials'!R53</f>
        <v>6850879</v>
      </c>
      <c r="S56" s="82">
        <f>'Historical Financials'!S53</f>
        <v>23909373</v>
      </c>
      <c r="T56" s="82">
        <f>'Historical Financials'!T53</f>
        <v>43546079</v>
      </c>
      <c r="U56" s="82">
        <f>'Historical Financials'!U53</f>
        <v>64362798</v>
      </c>
      <c r="V56" s="82">
        <f>'Historical Financials'!V53</f>
        <v>73205725</v>
      </c>
      <c r="W56" s="30"/>
      <c r="X56" s="10">
        <f t="shared" ref="X56" si="109">K56</f>
        <v>1840028</v>
      </c>
      <c r="Y56" s="10">
        <f t="shared" ref="Y56" si="110">L56</f>
        <v>2000392</v>
      </c>
      <c r="Z56" s="10">
        <f t="shared" ref="Z56" si="111">M56</f>
        <v>2323252</v>
      </c>
      <c r="AA56" s="10">
        <f t="shared" ref="AA56" si="112">N56</f>
        <v>2451374</v>
      </c>
      <c r="AB56" s="10">
        <f t="shared" ref="AB56" si="113">O56</f>
        <v>3626476</v>
      </c>
      <c r="AC56" s="10">
        <f t="shared" ref="AC56" si="114">P56</f>
        <v>5074152</v>
      </c>
      <c r="AD56" s="10">
        <f t="shared" ref="AD56" si="115">Q56</f>
        <v>5687890</v>
      </c>
      <c r="AE56" s="10">
        <f t="shared" ref="AE56" si="116">R56</f>
        <v>6850879</v>
      </c>
      <c r="AF56" s="10">
        <f t="shared" ref="AF56" si="117">S56</f>
        <v>23909373</v>
      </c>
      <c r="AG56" s="10">
        <f t="shared" ref="AG56" si="118">T56</f>
        <v>43546079</v>
      </c>
      <c r="AH56" s="10">
        <f t="shared" ref="AH56" si="119">U56</f>
        <v>64362798</v>
      </c>
      <c r="AI56" s="10">
        <f t="shared" ref="AI56" si="120">V56</f>
        <v>73205725</v>
      </c>
    </row>
    <row r="57" spans="1:35" ht="12.75" customHeight="1">
      <c r="B57" s="165" t="s">
        <v>188</v>
      </c>
      <c r="C57" s="163">
        <f>SUM(C55:C56)</f>
        <v>2850210</v>
      </c>
      <c r="D57" s="163">
        <f>SUM(D55:D56)</f>
        <v>1840028</v>
      </c>
      <c r="E57" s="163">
        <f>SUM(E55:E56)</f>
        <v>3626476</v>
      </c>
      <c r="F57" s="163">
        <f>SUM(F55:F56)</f>
        <v>23909373</v>
      </c>
      <c r="G57" s="30"/>
      <c r="H57" s="163">
        <f>SUM(H55:H56)</f>
        <v>2895619</v>
      </c>
      <c r="I57" s="163">
        <f>SUM(I55:I56)</f>
        <v>1987781</v>
      </c>
      <c r="J57" s="163">
        <f>SUM(J55:J56)</f>
        <v>1993032</v>
      </c>
      <c r="K57" s="163">
        <f>SUM(K55:K56)</f>
        <v>1840028</v>
      </c>
      <c r="L57" s="163">
        <f>SUM(L55:L56)</f>
        <v>2000392</v>
      </c>
      <c r="M57" s="163">
        <f>SUM(M55:M56)</f>
        <v>2323252</v>
      </c>
      <c r="N57" s="163">
        <f>SUM(N55:N56)</f>
        <v>2451374</v>
      </c>
      <c r="O57" s="163">
        <f>SUM(O55:O56)</f>
        <v>3626476</v>
      </c>
      <c r="P57" s="163">
        <f>SUM(P55:P56)</f>
        <v>5074152</v>
      </c>
      <c r="Q57" s="163">
        <f>SUM(Q55:Q56)</f>
        <v>5687890</v>
      </c>
      <c r="R57" s="163">
        <f>SUM(R55:R56)</f>
        <v>6850879</v>
      </c>
      <c r="S57" s="163">
        <f>SUM(S55:S56)</f>
        <v>23909373</v>
      </c>
      <c r="T57" s="163">
        <f>SUM(T55:T56)</f>
        <v>43546079</v>
      </c>
      <c r="U57" s="163">
        <f>SUM(U55:U56)</f>
        <v>64362798</v>
      </c>
      <c r="V57" s="163">
        <f>SUM(V55:V56)</f>
        <v>73205725</v>
      </c>
      <c r="W57" s="30"/>
      <c r="X57" s="163">
        <f>SUM(X55:X56)</f>
        <v>1840028</v>
      </c>
      <c r="Y57" s="163">
        <f>SUM(Y55:Y56)</f>
        <v>2000392</v>
      </c>
      <c r="Z57" s="163">
        <f>SUM(Z55:Z56)</f>
        <v>2323252</v>
      </c>
      <c r="AA57" s="163">
        <f>SUM(AA55:AA56)</f>
        <v>2451374</v>
      </c>
      <c r="AB57" s="163">
        <f>SUM(AB55:AB56)</f>
        <v>3626476</v>
      </c>
      <c r="AC57" s="163">
        <f>SUM(AC55:AC56)</f>
        <v>5074152</v>
      </c>
      <c r="AD57" s="163">
        <f>SUM(AD55:AD56)</f>
        <v>5687890</v>
      </c>
      <c r="AE57" s="163">
        <f>SUM(AE55:AE56)</f>
        <v>6850879</v>
      </c>
      <c r="AF57" s="163">
        <f>SUM(AF55:AF56)</f>
        <v>23909373</v>
      </c>
      <c r="AG57" s="163">
        <f>SUM(AG55:AG56)</f>
        <v>43546079</v>
      </c>
      <c r="AH57" s="163">
        <f>SUM(AH55:AH56)</f>
        <v>64362798</v>
      </c>
      <c r="AI57" s="163">
        <f>SUM(AI55:AI56)</f>
        <v>73205725</v>
      </c>
    </row>
    <row r="58" spans="1:35" ht="5.0999999999999996" customHeight="1">
      <c r="K58" s="108"/>
    </row>
    <row r="59" spans="1:35" ht="12.75" customHeight="1">
      <c r="B59" s="33" t="s">
        <v>47</v>
      </c>
    </row>
    <row r="60" spans="1:35" ht="12.75" customHeight="1">
      <c r="B60" s="8" t="s">
        <v>111</v>
      </c>
      <c r="C60" s="82">
        <f>'Historical Financials'!C48</f>
        <v>189280</v>
      </c>
      <c r="D60" s="82">
        <f>'Historical Financials'!D48</f>
        <v>189280</v>
      </c>
      <c r="E60" s="82">
        <f>'Historical Financials'!E48</f>
        <v>183815</v>
      </c>
      <c r="F60" s="82">
        <f>'Historical Financials'!F48</f>
        <v>181203</v>
      </c>
      <c r="G60" s="82"/>
      <c r="H60" s="82">
        <f>'Historical Financials'!H48</f>
        <v>126930</v>
      </c>
      <c r="I60" s="82">
        <f>'Historical Financials'!I48</f>
        <v>118645</v>
      </c>
      <c r="J60" s="82">
        <f>'Historical Financials'!J48</f>
        <v>109926</v>
      </c>
      <c r="K60" s="82">
        <f>'Historical Financials'!K48</f>
        <v>189280</v>
      </c>
      <c r="L60" s="82">
        <f>'Historical Financials'!L48</f>
        <v>139178</v>
      </c>
      <c r="M60" s="82">
        <f>'Historical Financials'!M48</f>
        <v>121901</v>
      </c>
      <c r="N60" s="82">
        <f>'Historical Financials'!N48</f>
        <v>128650</v>
      </c>
      <c r="O60" s="82">
        <f>'Historical Financials'!O48</f>
        <v>183815</v>
      </c>
      <c r="P60" s="82">
        <f>'Historical Financials'!P48</f>
        <v>115150</v>
      </c>
      <c r="Q60" s="82">
        <f>'Historical Financials'!Q48</f>
        <v>112234</v>
      </c>
      <c r="R60" s="82">
        <f>'Historical Financials'!R48</f>
        <v>107169</v>
      </c>
      <c r="S60" s="82">
        <f>'Historical Financials'!S48</f>
        <v>181203</v>
      </c>
      <c r="T60" s="82">
        <f>'Historical Financials'!T48</f>
        <v>104585</v>
      </c>
      <c r="U60" s="82">
        <f>'Historical Financials'!U48</f>
        <v>117870</v>
      </c>
      <c r="V60" s="82">
        <f>'Historical Financials'!V48</f>
        <v>113406</v>
      </c>
      <c r="W60" s="82"/>
      <c r="X60" s="10">
        <f t="shared" ref="X60:AI60" si="121">K60</f>
        <v>189280</v>
      </c>
      <c r="Y60" s="10">
        <f t="shared" si="121"/>
        <v>139178</v>
      </c>
      <c r="Z60" s="10">
        <f t="shared" si="121"/>
        <v>121901</v>
      </c>
      <c r="AA60" s="10">
        <f t="shared" si="121"/>
        <v>128650</v>
      </c>
      <c r="AB60" s="10">
        <f t="shared" si="121"/>
        <v>183815</v>
      </c>
      <c r="AC60" s="10">
        <f t="shared" si="121"/>
        <v>115150</v>
      </c>
      <c r="AD60" s="10">
        <f t="shared" si="121"/>
        <v>112234</v>
      </c>
      <c r="AE60" s="10">
        <f t="shared" si="121"/>
        <v>107169</v>
      </c>
      <c r="AF60" s="10">
        <f t="shared" si="121"/>
        <v>181203</v>
      </c>
      <c r="AG60" s="10">
        <f t="shared" si="121"/>
        <v>104585</v>
      </c>
      <c r="AH60" s="10">
        <f t="shared" si="121"/>
        <v>117870</v>
      </c>
      <c r="AI60" s="10">
        <f t="shared" si="121"/>
        <v>113406</v>
      </c>
    </row>
    <row r="61" spans="1:35" ht="12.75" customHeight="1">
      <c r="B61" s="8" t="s">
        <v>112</v>
      </c>
      <c r="C61" s="82">
        <f>'Historical Financials'!C54</f>
        <v>36587</v>
      </c>
      <c r="D61" s="82">
        <f>'Historical Financials'!D54</f>
        <v>32311</v>
      </c>
      <c r="E61" s="82">
        <f>'Historical Financials'!E54</f>
        <v>28941</v>
      </c>
      <c r="F61" s="82">
        <f>'Historical Financials'!F54</f>
        <v>26327</v>
      </c>
      <c r="G61" s="82"/>
      <c r="H61" s="82">
        <f>'Historical Financials'!H54</f>
        <v>35680</v>
      </c>
      <c r="I61" s="82">
        <f>'Historical Financials'!I54</f>
        <v>34580</v>
      </c>
      <c r="J61" s="82">
        <f>'Historical Financials'!J54</f>
        <v>33033</v>
      </c>
      <c r="K61" s="82">
        <f>'Historical Financials'!K54</f>
        <v>32311</v>
      </c>
      <c r="L61" s="82">
        <f>'Historical Financials'!L54</f>
        <v>31338</v>
      </c>
      <c r="M61" s="82">
        <f>'Historical Financials'!M54</f>
        <v>30507</v>
      </c>
      <c r="N61" s="82">
        <f>'Historical Financials'!N54</f>
        <v>30192</v>
      </c>
      <c r="O61" s="82">
        <f>'Historical Financials'!O54</f>
        <v>28941</v>
      </c>
      <c r="P61" s="82">
        <f>'Historical Financials'!P54</f>
        <v>29108</v>
      </c>
      <c r="Q61" s="82">
        <f>'Historical Financials'!Q54</f>
        <v>28332</v>
      </c>
      <c r="R61" s="82">
        <f>'Historical Financials'!R54</f>
        <v>27517</v>
      </c>
      <c r="S61" s="82">
        <f>'Historical Financials'!S54</f>
        <v>26327</v>
      </c>
      <c r="T61" s="82">
        <f>'Historical Financials'!T54</f>
        <v>28335</v>
      </c>
      <c r="U61" s="82">
        <f>'Historical Financials'!U54</f>
        <v>30203</v>
      </c>
      <c r="V61" s="82">
        <f>'Historical Financials'!V54</f>
        <v>29949</v>
      </c>
      <c r="W61" s="82"/>
      <c r="X61" s="10">
        <f t="shared" ref="X61:X65" si="122">K61</f>
        <v>32311</v>
      </c>
      <c r="Y61" s="10">
        <f t="shared" ref="Y61:Y65" si="123">L61</f>
        <v>31338</v>
      </c>
      <c r="Z61" s="10">
        <f t="shared" ref="Z61:Z65" si="124">M61</f>
        <v>30507</v>
      </c>
      <c r="AA61" s="10">
        <f t="shared" ref="AA61:AA65" si="125">N61</f>
        <v>30192</v>
      </c>
      <c r="AB61" s="10">
        <f t="shared" ref="AB61:AB65" si="126">O61</f>
        <v>28941</v>
      </c>
      <c r="AC61" s="10">
        <f t="shared" ref="AC61:AC65" si="127">P61</f>
        <v>29108</v>
      </c>
      <c r="AD61" s="10">
        <f t="shared" ref="AD61:AD65" si="128">Q61</f>
        <v>28332</v>
      </c>
      <c r="AE61" s="10">
        <f t="shared" ref="AE61:AE65" si="129">R61</f>
        <v>27517</v>
      </c>
      <c r="AF61" s="10">
        <f t="shared" ref="AF61:AF65" si="130">S61</f>
        <v>26327</v>
      </c>
      <c r="AG61" s="10">
        <f t="shared" ref="AG61:AG65" si="131">T61</f>
        <v>28335</v>
      </c>
      <c r="AH61" s="10">
        <f t="shared" ref="AH61:AH65" si="132">U61</f>
        <v>30203</v>
      </c>
      <c r="AI61" s="10">
        <f t="shared" ref="AI61:AI65" si="133">V61</f>
        <v>29949</v>
      </c>
    </row>
    <row r="62" spans="1:35" ht="12.75" customHeight="1">
      <c r="B62" s="8" t="s">
        <v>48</v>
      </c>
      <c r="C62" s="82">
        <f>'Historical Financials'!C61</f>
        <v>46084</v>
      </c>
      <c r="D62" s="82">
        <f>'Historical Financials'!D61</f>
        <v>42976</v>
      </c>
      <c r="E62" s="82">
        <f>'Historical Financials'!E61</f>
        <v>43090</v>
      </c>
      <c r="F62" s="82">
        <f>'Historical Financials'!F61</f>
        <v>52982</v>
      </c>
      <c r="G62" s="82"/>
      <c r="H62" s="82">
        <f>'Historical Financials'!H61</f>
        <v>44388</v>
      </c>
      <c r="I62" s="82">
        <f>'Historical Financials'!I61</f>
        <v>35960</v>
      </c>
      <c r="J62" s="82">
        <f>'Historical Financials'!J61</f>
        <v>36846</v>
      </c>
      <c r="K62" s="82">
        <f>'Historical Financials'!K61</f>
        <v>42976</v>
      </c>
      <c r="L62" s="82">
        <f>'Historical Financials'!L61</f>
        <v>50604</v>
      </c>
      <c r="M62" s="82">
        <f>'Historical Financials'!M61</f>
        <v>33660</v>
      </c>
      <c r="N62" s="82">
        <f>'Historical Financials'!N61</f>
        <v>34306</v>
      </c>
      <c r="O62" s="82">
        <f>'Historical Financials'!O61</f>
        <v>43090</v>
      </c>
      <c r="P62" s="82">
        <f>'Historical Financials'!P61</f>
        <v>41866</v>
      </c>
      <c r="Q62" s="82">
        <f>'Historical Financials'!Q61</f>
        <v>44188</v>
      </c>
      <c r="R62" s="82">
        <f>'Historical Financials'!R61</f>
        <v>45714</v>
      </c>
      <c r="S62" s="82">
        <f>'Historical Financials'!S61</f>
        <v>52982</v>
      </c>
      <c r="T62" s="82">
        <f>'Historical Financials'!T61</f>
        <v>53716</v>
      </c>
      <c r="U62" s="82">
        <f>'Historical Financials'!U61</f>
        <v>44220</v>
      </c>
      <c r="V62" s="82">
        <f>'Historical Financials'!V61</f>
        <v>48723</v>
      </c>
      <c r="W62" s="82"/>
      <c r="X62" s="10">
        <f t="shared" si="122"/>
        <v>42976</v>
      </c>
      <c r="Y62" s="10">
        <f t="shared" si="123"/>
        <v>50604</v>
      </c>
      <c r="Z62" s="10">
        <f t="shared" si="124"/>
        <v>33660</v>
      </c>
      <c r="AA62" s="10">
        <f t="shared" si="125"/>
        <v>34306</v>
      </c>
      <c r="AB62" s="10">
        <f t="shared" si="126"/>
        <v>43090</v>
      </c>
      <c r="AC62" s="10">
        <f t="shared" si="127"/>
        <v>41866</v>
      </c>
      <c r="AD62" s="10">
        <f t="shared" si="128"/>
        <v>44188</v>
      </c>
      <c r="AE62" s="10">
        <f t="shared" si="129"/>
        <v>45714</v>
      </c>
      <c r="AF62" s="10">
        <f t="shared" si="130"/>
        <v>52982</v>
      </c>
      <c r="AG62" s="10">
        <f t="shared" si="131"/>
        <v>53716</v>
      </c>
      <c r="AH62" s="10">
        <f t="shared" si="132"/>
        <v>44220</v>
      </c>
      <c r="AI62" s="10">
        <f t="shared" si="133"/>
        <v>48723</v>
      </c>
    </row>
    <row r="63" spans="1:35" ht="12.75" customHeight="1">
      <c r="B63" s="8" t="s">
        <v>121</v>
      </c>
      <c r="C63" s="82">
        <f>'Historical Financials'!C65</f>
        <v>209860</v>
      </c>
      <c r="D63" s="82">
        <f>'Historical Financials'!D65</f>
        <v>217428</v>
      </c>
      <c r="E63" s="82">
        <f>'Historical Financials'!E65</f>
        <v>228162</v>
      </c>
      <c r="F63" s="82">
        <f>'Historical Financials'!F65</f>
        <v>237974</v>
      </c>
      <c r="G63" s="82"/>
      <c r="H63" s="82">
        <f>'Historical Financials'!H65</f>
        <v>206217</v>
      </c>
      <c r="I63" s="82">
        <f>'Historical Financials'!I65</f>
        <v>188098</v>
      </c>
      <c r="J63" s="82">
        <f>'Historical Financials'!J65</f>
        <v>165934</v>
      </c>
      <c r="K63" s="82">
        <f>'Historical Financials'!K65</f>
        <v>217428</v>
      </c>
      <c r="L63" s="82">
        <f>'Historical Financials'!L65</f>
        <v>211768</v>
      </c>
      <c r="M63" s="82">
        <f>'Historical Financials'!M65</f>
        <v>195817</v>
      </c>
      <c r="N63" s="82">
        <f>'Historical Financials'!N65</f>
        <v>179167</v>
      </c>
      <c r="O63" s="82">
        <f>'Historical Financials'!O65</f>
        <v>228162</v>
      </c>
      <c r="P63" s="82">
        <f>'Historical Financials'!P65</f>
        <v>215955</v>
      </c>
      <c r="Q63" s="82">
        <f>'Historical Financials'!Q65</f>
        <v>204837</v>
      </c>
      <c r="R63" s="82">
        <f>'Historical Financials'!R65</f>
        <v>184402</v>
      </c>
      <c r="S63" s="82">
        <f>'Historical Financials'!S65</f>
        <v>237974</v>
      </c>
      <c r="T63" s="82">
        <f>'Historical Financials'!T65</f>
        <v>215693</v>
      </c>
      <c r="U63" s="82">
        <f>'Historical Financials'!U65</f>
        <v>214251</v>
      </c>
      <c r="V63" s="82">
        <f>'Historical Financials'!V65</f>
        <v>200641</v>
      </c>
      <c r="W63" s="82"/>
      <c r="X63" s="10">
        <f t="shared" si="122"/>
        <v>217428</v>
      </c>
      <c r="Y63" s="10">
        <f t="shared" si="123"/>
        <v>211768</v>
      </c>
      <c r="Z63" s="10">
        <f t="shared" si="124"/>
        <v>195817</v>
      </c>
      <c r="AA63" s="10">
        <f t="shared" si="125"/>
        <v>179167</v>
      </c>
      <c r="AB63" s="10">
        <f t="shared" si="126"/>
        <v>228162</v>
      </c>
      <c r="AC63" s="10">
        <f t="shared" si="127"/>
        <v>215955</v>
      </c>
      <c r="AD63" s="10">
        <f t="shared" si="128"/>
        <v>204837</v>
      </c>
      <c r="AE63" s="10">
        <f t="shared" si="129"/>
        <v>184402</v>
      </c>
      <c r="AF63" s="10">
        <f t="shared" si="130"/>
        <v>237974</v>
      </c>
      <c r="AG63" s="10">
        <f t="shared" si="131"/>
        <v>215693</v>
      </c>
      <c r="AH63" s="10">
        <f t="shared" si="132"/>
        <v>214251</v>
      </c>
      <c r="AI63" s="10">
        <f t="shared" si="133"/>
        <v>200641</v>
      </c>
    </row>
    <row r="64" spans="1:35" ht="12.75" customHeight="1">
      <c r="B64" s="8" t="s">
        <v>49</v>
      </c>
      <c r="C64" s="82">
        <f>'Historical Financials'!C66</f>
        <v>311985</v>
      </c>
      <c r="D64" s="82">
        <f>'Historical Financials'!D66</f>
        <v>317403</v>
      </c>
      <c r="E64" s="82">
        <f>'Historical Financials'!E66</f>
        <v>323273</v>
      </c>
      <c r="F64" s="82">
        <f>'Historical Financials'!F66</f>
        <v>355384</v>
      </c>
      <c r="G64" s="82"/>
      <c r="H64" s="82">
        <f>'Historical Financials'!H66</f>
        <v>304875</v>
      </c>
      <c r="I64" s="82">
        <f>'Historical Financials'!I66</f>
        <v>274100</v>
      </c>
      <c r="J64" s="82">
        <f>'Historical Financials'!J66</f>
        <v>260520</v>
      </c>
      <c r="K64" s="82">
        <f>'Historical Financials'!K66</f>
        <v>317403</v>
      </c>
      <c r="L64" s="82">
        <f>'Historical Financials'!L66</f>
        <v>312399</v>
      </c>
      <c r="M64" s="82">
        <f>'Historical Financials'!M66</f>
        <v>272930</v>
      </c>
      <c r="N64" s="82">
        <f>'Historical Financials'!N66</f>
        <v>267721</v>
      </c>
      <c r="O64" s="82">
        <f>'Historical Financials'!O66</f>
        <v>323273</v>
      </c>
      <c r="P64" s="82">
        <f>'Historical Financials'!P66</f>
        <v>309808</v>
      </c>
      <c r="Q64" s="82">
        <f>'Historical Financials'!Q66</f>
        <v>446063</v>
      </c>
      <c r="R64" s="82">
        <f>'Historical Financials'!R66</f>
        <v>288111</v>
      </c>
      <c r="S64" s="82">
        <f>'Historical Financials'!S66</f>
        <v>355384</v>
      </c>
      <c r="T64" s="82">
        <f>'Historical Financials'!T66</f>
        <v>308689</v>
      </c>
      <c r="U64" s="82">
        <f>'Historical Financials'!U66</f>
        <v>314572</v>
      </c>
      <c r="V64" s="82">
        <f>'Historical Financials'!V66</f>
        <v>324090</v>
      </c>
      <c r="W64" s="82"/>
      <c r="X64" s="10">
        <f t="shared" si="122"/>
        <v>317403</v>
      </c>
      <c r="Y64" s="10">
        <f t="shared" si="123"/>
        <v>312399</v>
      </c>
      <c r="Z64" s="10">
        <f t="shared" si="124"/>
        <v>272930</v>
      </c>
      <c r="AA64" s="10">
        <f t="shared" si="125"/>
        <v>267721</v>
      </c>
      <c r="AB64" s="10">
        <f t="shared" si="126"/>
        <v>323273</v>
      </c>
      <c r="AC64" s="10">
        <f t="shared" si="127"/>
        <v>309808</v>
      </c>
      <c r="AD64" s="10">
        <f t="shared" si="128"/>
        <v>446063</v>
      </c>
      <c r="AE64" s="10">
        <f t="shared" si="129"/>
        <v>288111</v>
      </c>
      <c r="AF64" s="10">
        <f t="shared" si="130"/>
        <v>355384</v>
      </c>
      <c r="AG64" s="10">
        <f t="shared" si="131"/>
        <v>308689</v>
      </c>
      <c r="AH64" s="10">
        <f t="shared" si="132"/>
        <v>314572</v>
      </c>
      <c r="AI64" s="10">
        <f t="shared" si="133"/>
        <v>324090</v>
      </c>
    </row>
    <row r="65" spans="2:35" ht="12.75" customHeight="1">
      <c r="B65" s="8" t="s">
        <v>15</v>
      </c>
      <c r="C65" s="82">
        <f>'Historical Financials'!C83</f>
        <v>978958</v>
      </c>
      <c r="D65" s="82">
        <f>'Historical Financials'!D83</f>
        <v>-383120</v>
      </c>
      <c r="E65" s="82">
        <f>'Historical Financials'!E83</f>
        <v>2164972</v>
      </c>
      <c r="F65" s="82">
        <f>'Historical Financials'!F83</f>
        <v>18229984</v>
      </c>
      <c r="G65" s="82"/>
      <c r="H65" s="82">
        <f>'Historical Financials'!H83</f>
        <v>862999</v>
      </c>
      <c r="I65" s="82">
        <f>'Historical Financials'!I83</f>
        <v>-187068</v>
      </c>
      <c r="J65" s="82">
        <f>'Historical Financials'!J83</f>
        <v>-200289</v>
      </c>
      <c r="K65" s="82">
        <f>'Historical Financials'!K83</f>
        <v>-383120</v>
      </c>
      <c r="L65" s="82">
        <f>'Historical Financials'!L83</f>
        <v>443211</v>
      </c>
      <c r="M65" s="82">
        <f>'Historical Financials'!M83</f>
        <v>819118</v>
      </c>
      <c r="N65" s="82">
        <f>'Historical Financials'!N83</f>
        <v>840395</v>
      </c>
      <c r="O65" s="82">
        <f>'Historical Financials'!O83</f>
        <v>2164972</v>
      </c>
      <c r="P65" s="82">
        <f>'Historical Financials'!P83</f>
        <v>2400105</v>
      </c>
      <c r="Q65" s="82">
        <f>'Historical Financials'!Q83</f>
        <v>2834799</v>
      </c>
      <c r="R65" s="82">
        <f>'Historical Financials'!R83</f>
        <v>3773649</v>
      </c>
      <c r="S65" s="82">
        <f>'Historical Financials'!S83</f>
        <v>18229984</v>
      </c>
      <c r="T65" s="82">
        <f>'Historical Financials'!T83</f>
        <v>33525733</v>
      </c>
      <c r="U65" s="82">
        <f>'Historical Financials'!U83</f>
        <v>50370965</v>
      </c>
      <c r="V65" s="82">
        <f>'Historical Financials'!V83</f>
        <v>58117048</v>
      </c>
      <c r="W65" s="82"/>
      <c r="X65" s="10">
        <f t="shared" si="122"/>
        <v>-383120</v>
      </c>
      <c r="Y65" s="10">
        <f t="shared" si="123"/>
        <v>443211</v>
      </c>
      <c r="Z65" s="10">
        <f t="shared" si="124"/>
        <v>819118</v>
      </c>
      <c r="AA65" s="10">
        <f t="shared" si="125"/>
        <v>840395</v>
      </c>
      <c r="AB65" s="10">
        <f t="shared" si="126"/>
        <v>2164972</v>
      </c>
      <c r="AC65" s="10">
        <f t="shared" si="127"/>
        <v>2400105</v>
      </c>
      <c r="AD65" s="10">
        <f t="shared" si="128"/>
        <v>2834799</v>
      </c>
      <c r="AE65" s="10">
        <f t="shared" si="129"/>
        <v>3773649</v>
      </c>
      <c r="AF65" s="10">
        <f t="shared" si="130"/>
        <v>18229984</v>
      </c>
      <c r="AG65" s="10">
        <f t="shared" si="131"/>
        <v>33525733</v>
      </c>
      <c r="AH65" s="10">
        <f t="shared" si="132"/>
        <v>50370965</v>
      </c>
      <c r="AI65" s="10">
        <f t="shared" si="133"/>
        <v>58117048</v>
      </c>
    </row>
    <row r="66" spans="2:35" ht="5.0999999999999996" customHeight="1">
      <c r="C66" s="10"/>
      <c r="D66" s="10"/>
      <c r="E66" s="10"/>
      <c r="F66" s="10"/>
    </row>
    <row r="67" spans="2:35">
      <c r="B67" s="33" t="s">
        <v>113</v>
      </c>
      <c r="C67" s="10"/>
      <c r="D67" s="10"/>
      <c r="E67" s="10"/>
      <c r="F67" s="10"/>
    </row>
    <row r="68" spans="2:35">
      <c r="B68" s="8" t="s">
        <v>114</v>
      </c>
      <c r="C68" s="82">
        <f>'Historical Financials'!C64</f>
        <v>0</v>
      </c>
      <c r="D68" s="82">
        <f>'Historical Financials'!D64</f>
        <v>454</v>
      </c>
      <c r="E68" s="82">
        <f>'Historical Financials'!E64</f>
        <v>483</v>
      </c>
      <c r="F68" s="82">
        <f>'Historical Financials'!F64</f>
        <v>517</v>
      </c>
      <c r="H68" s="82">
        <f>'Historical Financials'!H64</f>
        <v>0</v>
      </c>
      <c r="I68" s="82">
        <f>'Historical Financials'!I64</f>
        <v>0</v>
      </c>
      <c r="J68" s="82">
        <f>'Historical Financials'!J64</f>
        <v>0</v>
      </c>
      <c r="K68" s="82">
        <f>'Historical Financials'!K64</f>
        <v>454</v>
      </c>
      <c r="L68" s="82">
        <f>'Historical Financials'!L64</f>
        <v>460</v>
      </c>
      <c r="M68" s="82">
        <f>'Historical Financials'!M64</f>
        <v>468</v>
      </c>
      <c r="N68" s="82">
        <f>'Historical Financials'!N64</f>
        <v>475</v>
      </c>
      <c r="O68" s="82">
        <f>'Historical Financials'!O64</f>
        <v>483</v>
      </c>
      <c r="P68" s="82">
        <f>'Historical Financials'!P64</f>
        <v>492</v>
      </c>
      <c r="Q68" s="82">
        <f>'Historical Financials'!Q64</f>
        <v>145119</v>
      </c>
      <c r="R68" s="82">
        <f>'Historical Financials'!R64</f>
        <v>509</v>
      </c>
      <c r="S68" s="82">
        <f>'Historical Financials'!S64</f>
        <v>517</v>
      </c>
      <c r="T68" s="82">
        <f>'Historical Financials'!T64</f>
        <v>525</v>
      </c>
      <c r="U68" s="82">
        <f>'Historical Financials'!U64</f>
        <v>349</v>
      </c>
      <c r="V68" s="82">
        <f>'Historical Financials'!V64</f>
        <v>316</v>
      </c>
      <c r="X68" s="10">
        <f t="shared" ref="X68:AI69" si="134">K68</f>
        <v>454</v>
      </c>
      <c r="Y68" s="10">
        <f t="shared" si="134"/>
        <v>460</v>
      </c>
      <c r="Z68" s="10">
        <f t="shared" si="134"/>
        <v>468</v>
      </c>
      <c r="AA68" s="10">
        <f t="shared" si="134"/>
        <v>475</v>
      </c>
      <c r="AB68" s="10">
        <f t="shared" si="134"/>
        <v>483</v>
      </c>
      <c r="AC68" s="10">
        <f t="shared" si="134"/>
        <v>492</v>
      </c>
      <c r="AD68" s="10">
        <f t="shared" si="134"/>
        <v>145119</v>
      </c>
      <c r="AE68" s="10">
        <f t="shared" si="134"/>
        <v>509</v>
      </c>
      <c r="AF68" s="10">
        <f t="shared" si="134"/>
        <v>517</v>
      </c>
      <c r="AG68" s="10">
        <f t="shared" si="134"/>
        <v>525</v>
      </c>
      <c r="AH68" s="10">
        <f t="shared" si="134"/>
        <v>349</v>
      </c>
      <c r="AI68" s="10">
        <f t="shared" si="134"/>
        <v>316</v>
      </c>
    </row>
    <row r="69" spans="2:35">
      <c r="B69" s="8" t="s">
        <v>115</v>
      </c>
      <c r="C69" s="82">
        <f>'Historical Financials'!C69</f>
        <v>2155151</v>
      </c>
      <c r="D69" s="82">
        <f>'Historical Financials'!D69</f>
        <v>2378560</v>
      </c>
      <c r="E69" s="82">
        <f>'Historical Financials'!E69</f>
        <v>2182108</v>
      </c>
      <c r="F69" s="82">
        <f>'Historical Financials'!F69</f>
        <v>7191158</v>
      </c>
      <c r="H69" s="82">
        <f>'Historical Financials'!H69</f>
        <v>2361865</v>
      </c>
      <c r="I69" s="82">
        <f>'Historical Financials'!I69</f>
        <v>2374863</v>
      </c>
      <c r="J69" s="82">
        <f>'Historical Financials'!J69</f>
        <v>2376935</v>
      </c>
      <c r="K69" s="82">
        <f>'Historical Financials'!K69</f>
        <v>2378560</v>
      </c>
      <c r="L69" s="82">
        <f>'Historical Financials'!L69</f>
        <v>2175918</v>
      </c>
      <c r="M69" s="82">
        <f>'Historical Financials'!M69</f>
        <v>2177974</v>
      </c>
      <c r="N69" s="82">
        <f>'Historical Financials'!N69</f>
        <v>2180038</v>
      </c>
      <c r="O69" s="82">
        <f>'Historical Financials'!O69</f>
        <v>2182108</v>
      </c>
      <c r="P69" s="82">
        <f>'Historical Financials'!P69</f>
        <v>3558801</v>
      </c>
      <c r="Q69" s="82">
        <f>'Historical Financials'!Q69</f>
        <v>3703381</v>
      </c>
      <c r="R69" s="82">
        <f>'Historical Financials'!R69</f>
        <v>4211949</v>
      </c>
      <c r="S69" s="82">
        <f>'Historical Financials'!S69</f>
        <v>7191158</v>
      </c>
      <c r="T69" s="82">
        <f>'Historical Financials'!T69</f>
        <v>8140156</v>
      </c>
      <c r="U69" s="82">
        <f>'Historical Financials'!U69</f>
        <v>8162281</v>
      </c>
      <c r="V69" s="82">
        <f>'Historical Financials'!V69</f>
        <v>8173587</v>
      </c>
      <c r="X69" s="10">
        <f t="shared" si="134"/>
        <v>2378560</v>
      </c>
      <c r="Y69" s="10">
        <f t="shared" si="134"/>
        <v>2175918</v>
      </c>
      <c r="Z69" s="10">
        <f t="shared" si="134"/>
        <v>2177974</v>
      </c>
      <c r="AA69" s="10">
        <f t="shared" si="134"/>
        <v>2180038</v>
      </c>
      <c r="AB69" s="10">
        <f t="shared" si="134"/>
        <v>2182108</v>
      </c>
      <c r="AC69" s="10">
        <f t="shared" si="134"/>
        <v>3558801</v>
      </c>
      <c r="AD69" s="10">
        <f t="shared" si="134"/>
        <v>3703381</v>
      </c>
      <c r="AE69" s="10">
        <f t="shared" si="134"/>
        <v>4211949</v>
      </c>
      <c r="AF69" s="10">
        <f t="shared" si="134"/>
        <v>7191158</v>
      </c>
      <c r="AG69" s="10">
        <f t="shared" si="134"/>
        <v>8140156</v>
      </c>
      <c r="AH69" s="10">
        <f t="shared" si="134"/>
        <v>8162281</v>
      </c>
      <c r="AI69" s="10">
        <f t="shared" si="134"/>
        <v>8173587</v>
      </c>
    </row>
    <row r="70" spans="2:35">
      <c r="C70" s="10"/>
      <c r="D70" s="10"/>
      <c r="E70" s="10"/>
      <c r="F70" s="10"/>
    </row>
    <row r="71" spans="2:35">
      <c r="B71" s="29" t="s">
        <v>190</v>
      </c>
      <c r="C71" s="77">
        <v>637882</v>
      </c>
      <c r="D71" s="77">
        <v>640888</v>
      </c>
      <c r="E71" s="77">
        <v>643931</v>
      </c>
      <c r="F71" s="77">
        <v>1041352</v>
      </c>
      <c r="H71" s="77">
        <v>638630</v>
      </c>
      <c r="I71" s="77">
        <v>639380</v>
      </c>
      <c r="J71" s="77">
        <v>640133</v>
      </c>
      <c r="K71" s="108">
        <f>D71</f>
        <v>640888</v>
      </c>
      <c r="L71" s="77">
        <v>641645</v>
      </c>
      <c r="M71" s="77">
        <v>642405</v>
      </c>
      <c r="N71" s="77">
        <v>643167</v>
      </c>
      <c r="O71" s="108">
        <f>E71</f>
        <v>643931</v>
      </c>
      <c r="P71" s="77">
        <v>644698</v>
      </c>
      <c r="Q71" s="77">
        <v>144618</v>
      </c>
      <c r="R71" s="77">
        <v>0</v>
      </c>
      <c r="S71" s="10">
        <f>F71</f>
        <v>1041352</v>
      </c>
      <c r="T71" s="77">
        <v>0</v>
      </c>
      <c r="U71" s="77">
        <v>0</v>
      </c>
      <c r="V71" s="77">
        <v>0</v>
      </c>
      <c r="X71" s="10">
        <f t="shared" ref="X71:AI71" si="135">K71</f>
        <v>640888</v>
      </c>
      <c r="Y71" s="10">
        <f t="shared" si="135"/>
        <v>641645</v>
      </c>
      <c r="Z71" s="10">
        <f t="shared" si="135"/>
        <v>642405</v>
      </c>
      <c r="AA71" s="10">
        <f t="shared" si="135"/>
        <v>643167</v>
      </c>
      <c r="AB71" s="10">
        <f t="shared" si="135"/>
        <v>643931</v>
      </c>
      <c r="AC71" s="10">
        <f t="shared" si="135"/>
        <v>644698</v>
      </c>
      <c r="AD71" s="10">
        <f t="shared" si="135"/>
        <v>144618</v>
      </c>
      <c r="AE71" s="10">
        <f t="shared" si="135"/>
        <v>0</v>
      </c>
      <c r="AF71" s="10">
        <f t="shared" si="135"/>
        <v>1041352</v>
      </c>
      <c r="AG71" s="10">
        <f t="shared" si="135"/>
        <v>0</v>
      </c>
      <c r="AH71" s="10">
        <f t="shared" si="135"/>
        <v>0</v>
      </c>
      <c r="AI71" s="10">
        <f t="shared" si="135"/>
        <v>0</v>
      </c>
    </row>
    <row r="72" spans="2:35">
      <c r="B72" s="29" t="s">
        <v>191</v>
      </c>
      <c r="C72" s="77">
        <v>1029263</v>
      </c>
      <c r="D72" s="77">
        <v>1033277</v>
      </c>
      <c r="E72" s="77">
        <v>1037306</v>
      </c>
      <c r="F72" s="77">
        <v>998543</v>
      </c>
      <c r="H72" s="77">
        <v>1030265</v>
      </c>
      <c r="I72" s="77">
        <v>1031268</v>
      </c>
      <c r="J72" s="77">
        <v>1032272</v>
      </c>
      <c r="K72" s="108">
        <f t="shared" ref="K72:K81" si="136">D72</f>
        <v>1033277</v>
      </c>
      <c r="L72" s="77">
        <v>1034283</v>
      </c>
      <c r="M72" s="77">
        <v>1035290</v>
      </c>
      <c r="N72" s="77">
        <v>1036298</v>
      </c>
      <c r="O72" s="108">
        <f t="shared" ref="O72:O81" si="137">E72</f>
        <v>1037306</v>
      </c>
      <c r="P72" s="77">
        <v>1038316</v>
      </c>
      <c r="Q72" s="77">
        <v>1039327</v>
      </c>
      <c r="R72" s="77">
        <v>1040339</v>
      </c>
      <c r="S72" s="10">
        <f t="shared" ref="S72:S81" si="138">F72</f>
        <v>998543</v>
      </c>
      <c r="T72" s="77">
        <v>0</v>
      </c>
      <c r="U72" s="77">
        <v>0</v>
      </c>
      <c r="V72" s="77">
        <v>0</v>
      </c>
      <c r="X72" s="10">
        <f t="shared" ref="X72:X81" si="139">K72</f>
        <v>1033277</v>
      </c>
      <c r="Y72" s="10">
        <f t="shared" ref="Y72:Y81" si="140">L72</f>
        <v>1034283</v>
      </c>
      <c r="Z72" s="10">
        <f t="shared" ref="Z72:Z81" si="141">M72</f>
        <v>1035290</v>
      </c>
      <c r="AA72" s="10">
        <f t="shared" ref="AA72:AA81" si="142">N72</f>
        <v>1036298</v>
      </c>
      <c r="AB72" s="10">
        <f t="shared" ref="AB72:AB81" si="143">O72</f>
        <v>1037306</v>
      </c>
      <c r="AC72" s="10">
        <f t="shared" ref="AC72:AC81" si="144">P72</f>
        <v>1038316</v>
      </c>
      <c r="AD72" s="10">
        <f t="shared" ref="AD72:AD81" si="145">Q72</f>
        <v>1039327</v>
      </c>
      <c r="AE72" s="10">
        <f t="shared" ref="AE72:AE81" si="146">R72</f>
        <v>1040339</v>
      </c>
      <c r="AF72" s="10">
        <f t="shared" ref="AF72:AF81" si="147">S72</f>
        <v>998543</v>
      </c>
      <c r="AG72" s="10">
        <f t="shared" ref="AG72:AG81" si="148">T72</f>
        <v>0</v>
      </c>
      <c r="AH72" s="10">
        <f t="shared" ref="AH72:AH81" si="149">U72</f>
        <v>0</v>
      </c>
      <c r="AI72" s="10">
        <f t="shared" ref="AI72:AI81" si="150">V72</f>
        <v>0</v>
      </c>
    </row>
    <row r="73" spans="2:35">
      <c r="B73" s="29" t="s">
        <v>192</v>
      </c>
      <c r="C73" s="77">
        <v>0</v>
      </c>
      <c r="D73" s="77">
        <v>0</v>
      </c>
      <c r="E73" s="77">
        <v>0</v>
      </c>
      <c r="F73" s="77">
        <v>2975037</v>
      </c>
      <c r="H73" s="77">
        <v>0</v>
      </c>
      <c r="I73" s="77">
        <v>0</v>
      </c>
      <c r="J73" s="77">
        <v>0</v>
      </c>
      <c r="K73" s="108">
        <f t="shared" si="136"/>
        <v>0</v>
      </c>
      <c r="L73" s="77">
        <v>0</v>
      </c>
      <c r="M73" s="77">
        <v>0</v>
      </c>
      <c r="N73" s="77">
        <v>0</v>
      </c>
      <c r="O73" s="108">
        <f t="shared" si="137"/>
        <v>0</v>
      </c>
      <c r="P73" s="77">
        <v>0</v>
      </c>
      <c r="Q73" s="77">
        <v>0</v>
      </c>
      <c r="R73" s="77">
        <v>997502</v>
      </c>
      <c r="S73" s="10">
        <f t="shared" si="138"/>
        <v>2975037</v>
      </c>
      <c r="T73" s="77">
        <v>999587</v>
      </c>
      <c r="U73" s="77">
        <v>1000634</v>
      </c>
      <c r="V73" s="77">
        <v>1001683</v>
      </c>
      <c r="X73" s="10">
        <f t="shared" si="139"/>
        <v>0</v>
      </c>
      <c r="Y73" s="10">
        <f t="shared" si="140"/>
        <v>0</v>
      </c>
      <c r="Z73" s="10">
        <f t="shared" si="141"/>
        <v>0</v>
      </c>
      <c r="AA73" s="10">
        <f t="shared" si="142"/>
        <v>0</v>
      </c>
      <c r="AB73" s="10">
        <f t="shared" si="143"/>
        <v>0</v>
      </c>
      <c r="AC73" s="10">
        <f t="shared" si="144"/>
        <v>0</v>
      </c>
      <c r="AD73" s="10">
        <f t="shared" si="145"/>
        <v>0</v>
      </c>
      <c r="AE73" s="10">
        <f t="shared" si="146"/>
        <v>997502</v>
      </c>
      <c r="AF73" s="10">
        <f t="shared" si="147"/>
        <v>2975037</v>
      </c>
      <c r="AG73" s="10">
        <f t="shared" si="148"/>
        <v>999587</v>
      </c>
      <c r="AH73" s="10">
        <f t="shared" si="149"/>
        <v>1000634</v>
      </c>
      <c r="AI73" s="10">
        <f t="shared" si="150"/>
        <v>1001683</v>
      </c>
    </row>
    <row r="74" spans="2:35">
      <c r="B74" s="29" t="s">
        <v>193</v>
      </c>
      <c r="C74" s="77">
        <v>0</v>
      </c>
      <c r="D74" s="77">
        <v>0</v>
      </c>
      <c r="E74" s="77">
        <v>0</v>
      </c>
      <c r="F74" s="77">
        <v>0</v>
      </c>
      <c r="H74" s="77">
        <v>0</v>
      </c>
      <c r="I74" s="77">
        <v>0</v>
      </c>
      <c r="J74" s="77">
        <v>0</v>
      </c>
      <c r="K74" s="108">
        <f t="shared" si="136"/>
        <v>0</v>
      </c>
      <c r="L74" s="77">
        <v>0</v>
      </c>
      <c r="M74" s="77">
        <v>0</v>
      </c>
      <c r="N74" s="77">
        <v>0</v>
      </c>
      <c r="O74" s="108">
        <f t="shared" si="137"/>
        <v>0</v>
      </c>
      <c r="P74" s="77">
        <v>0</v>
      </c>
      <c r="Q74" s="77">
        <v>0</v>
      </c>
      <c r="R74" s="77">
        <v>0</v>
      </c>
      <c r="S74" s="10">
        <f t="shared" si="138"/>
        <v>0</v>
      </c>
      <c r="T74" s="77">
        <v>2976855</v>
      </c>
      <c r="U74" s="77">
        <v>2978675</v>
      </c>
      <c r="V74" s="77">
        <v>2980495</v>
      </c>
      <c r="X74" s="10">
        <f t="shared" si="139"/>
        <v>0</v>
      </c>
      <c r="Y74" s="10">
        <f t="shared" si="140"/>
        <v>0</v>
      </c>
      <c r="Z74" s="10">
        <f t="shared" si="141"/>
        <v>0</v>
      </c>
      <c r="AA74" s="10">
        <f t="shared" si="142"/>
        <v>0</v>
      </c>
      <c r="AB74" s="10">
        <f t="shared" si="143"/>
        <v>0</v>
      </c>
      <c r="AC74" s="10">
        <f t="shared" si="144"/>
        <v>0</v>
      </c>
      <c r="AD74" s="10">
        <f t="shared" si="145"/>
        <v>0</v>
      </c>
      <c r="AE74" s="10">
        <f t="shared" si="146"/>
        <v>0</v>
      </c>
      <c r="AF74" s="10">
        <f t="shared" si="147"/>
        <v>0</v>
      </c>
      <c r="AG74" s="10">
        <f t="shared" si="148"/>
        <v>2976855</v>
      </c>
      <c r="AH74" s="10">
        <f t="shared" si="149"/>
        <v>2978675</v>
      </c>
      <c r="AI74" s="10">
        <f t="shared" si="150"/>
        <v>2980495</v>
      </c>
    </row>
    <row r="75" spans="2:35">
      <c r="B75" s="29" t="s">
        <v>194</v>
      </c>
      <c r="C75" s="77">
        <v>0</v>
      </c>
      <c r="D75" s="77">
        <v>0</v>
      </c>
      <c r="E75" s="77">
        <v>0</v>
      </c>
      <c r="F75" s="77">
        <v>785172</v>
      </c>
      <c r="H75" s="77">
        <v>0</v>
      </c>
      <c r="I75" s="77">
        <v>0</v>
      </c>
      <c r="J75" s="77">
        <v>0</v>
      </c>
      <c r="K75" s="108">
        <f t="shared" si="136"/>
        <v>0</v>
      </c>
      <c r="L75" s="77">
        <v>0</v>
      </c>
      <c r="M75" s="77">
        <v>0</v>
      </c>
      <c r="N75" s="77">
        <v>0</v>
      </c>
      <c r="O75" s="108">
        <f t="shared" si="137"/>
        <v>0</v>
      </c>
      <c r="P75" s="77">
        <v>782248</v>
      </c>
      <c r="Q75" s="77">
        <v>783220</v>
      </c>
      <c r="R75" s="77">
        <v>784194</v>
      </c>
      <c r="S75" s="10">
        <f t="shared" si="138"/>
        <v>785172</v>
      </c>
      <c r="T75" s="77">
        <v>786152</v>
      </c>
      <c r="U75" s="77">
        <v>787135</v>
      </c>
      <c r="V75" s="77">
        <v>788121</v>
      </c>
      <c r="X75" s="10">
        <f t="shared" si="139"/>
        <v>0</v>
      </c>
      <c r="Y75" s="10">
        <f t="shared" si="140"/>
        <v>0</v>
      </c>
      <c r="Z75" s="10">
        <f t="shared" si="141"/>
        <v>0</v>
      </c>
      <c r="AA75" s="10">
        <f t="shared" si="142"/>
        <v>0</v>
      </c>
      <c r="AB75" s="10">
        <f t="shared" si="143"/>
        <v>0</v>
      </c>
      <c r="AC75" s="10">
        <f t="shared" si="144"/>
        <v>782248</v>
      </c>
      <c r="AD75" s="10">
        <f t="shared" si="145"/>
        <v>783220</v>
      </c>
      <c r="AE75" s="10">
        <f t="shared" si="146"/>
        <v>784194</v>
      </c>
      <c r="AF75" s="10">
        <f t="shared" si="147"/>
        <v>785172</v>
      </c>
      <c r="AG75" s="10">
        <f t="shared" si="148"/>
        <v>786152</v>
      </c>
      <c r="AH75" s="10">
        <f t="shared" si="149"/>
        <v>787135</v>
      </c>
      <c r="AI75" s="10">
        <f t="shared" si="150"/>
        <v>788121</v>
      </c>
    </row>
    <row r="76" spans="2:35">
      <c r="B76" s="29" t="s">
        <v>195</v>
      </c>
      <c r="C76" s="77">
        <v>0</v>
      </c>
      <c r="D76" s="77">
        <v>0</v>
      </c>
      <c r="E76" s="77">
        <v>0</v>
      </c>
      <c r="F76" s="77">
        <v>0</v>
      </c>
      <c r="H76" s="77">
        <v>0</v>
      </c>
      <c r="I76" s="77">
        <v>0</v>
      </c>
      <c r="J76" s="77">
        <v>0</v>
      </c>
      <c r="K76" s="108">
        <f t="shared" si="136"/>
        <v>0</v>
      </c>
      <c r="L76" s="77">
        <v>0</v>
      </c>
      <c r="M76" s="77">
        <v>0</v>
      </c>
      <c r="N76" s="77">
        <v>0</v>
      </c>
      <c r="O76" s="108">
        <f t="shared" si="137"/>
        <v>0</v>
      </c>
      <c r="P76" s="77">
        <v>0</v>
      </c>
      <c r="Q76" s="77">
        <v>0</v>
      </c>
      <c r="R76" s="77">
        <v>0</v>
      </c>
      <c r="S76" s="10">
        <f t="shared" si="138"/>
        <v>0</v>
      </c>
      <c r="T76" s="77">
        <v>1985365</v>
      </c>
      <c r="U76" s="77">
        <v>1986614</v>
      </c>
      <c r="V76" s="77">
        <v>1987864</v>
      </c>
      <c r="X76" s="10">
        <f t="shared" si="139"/>
        <v>0</v>
      </c>
      <c r="Y76" s="10">
        <f t="shared" si="140"/>
        <v>0</v>
      </c>
      <c r="Z76" s="10">
        <f t="shared" si="141"/>
        <v>0</v>
      </c>
      <c r="AA76" s="10">
        <f t="shared" si="142"/>
        <v>0</v>
      </c>
      <c r="AB76" s="10">
        <f t="shared" si="143"/>
        <v>0</v>
      </c>
      <c r="AC76" s="10">
        <f t="shared" si="144"/>
        <v>0</v>
      </c>
      <c r="AD76" s="10">
        <f t="shared" si="145"/>
        <v>0</v>
      </c>
      <c r="AE76" s="10">
        <f t="shared" si="146"/>
        <v>0</v>
      </c>
      <c r="AF76" s="10">
        <f t="shared" si="147"/>
        <v>0</v>
      </c>
      <c r="AG76" s="10">
        <f t="shared" si="148"/>
        <v>1985365</v>
      </c>
      <c r="AH76" s="10">
        <f t="shared" si="149"/>
        <v>1986614</v>
      </c>
      <c r="AI76" s="10">
        <f t="shared" si="150"/>
        <v>1987864</v>
      </c>
    </row>
    <row r="77" spans="2:35">
      <c r="B77" s="29" t="s">
        <v>196</v>
      </c>
      <c r="C77" s="77">
        <v>0</v>
      </c>
      <c r="D77" s="77">
        <v>0</v>
      </c>
      <c r="E77" s="77">
        <v>0</v>
      </c>
      <c r="F77" s="77">
        <v>594476</v>
      </c>
      <c r="H77" s="77">
        <v>0</v>
      </c>
      <c r="I77" s="77">
        <v>0</v>
      </c>
      <c r="J77" s="77">
        <v>0</v>
      </c>
      <c r="K77" s="108">
        <f t="shared" si="136"/>
        <v>0</v>
      </c>
      <c r="L77" s="77">
        <v>0</v>
      </c>
      <c r="M77" s="77">
        <v>0</v>
      </c>
      <c r="N77" s="77">
        <v>0</v>
      </c>
      <c r="O77" s="108">
        <f t="shared" si="137"/>
        <v>0</v>
      </c>
      <c r="P77" s="77">
        <v>592368</v>
      </c>
      <c r="Q77" s="77">
        <v>593259</v>
      </c>
      <c r="R77" s="77">
        <v>593867</v>
      </c>
      <c r="S77" s="10">
        <f t="shared" si="138"/>
        <v>594476</v>
      </c>
      <c r="T77" s="77">
        <v>595087</v>
      </c>
      <c r="U77" s="77">
        <v>595613</v>
      </c>
      <c r="V77" s="77">
        <v>596228</v>
      </c>
      <c r="X77" s="10">
        <f t="shared" si="139"/>
        <v>0</v>
      </c>
      <c r="Y77" s="10">
        <f t="shared" si="140"/>
        <v>0</v>
      </c>
      <c r="Z77" s="10">
        <f t="shared" si="141"/>
        <v>0</v>
      </c>
      <c r="AA77" s="10">
        <f t="shared" si="142"/>
        <v>0</v>
      </c>
      <c r="AB77" s="10">
        <f t="shared" si="143"/>
        <v>0</v>
      </c>
      <c r="AC77" s="10">
        <f t="shared" si="144"/>
        <v>592368</v>
      </c>
      <c r="AD77" s="10">
        <f t="shared" si="145"/>
        <v>593259</v>
      </c>
      <c r="AE77" s="10">
        <f t="shared" si="146"/>
        <v>593867</v>
      </c>
      <c r="AF77" s="10">
        <f t="shared" si="147"/>
        <v>594476</v>
      </c>
      <c r="AG77" s="10">
        <f t="shared" si="148"/>
        <v>595087</v>
      </c>
      <c r="AH77" s="10">
        <f t="shared" si="149"/>
        <v>595613</v>
      </c>
      <c r="AI77" s="10">
        <f t="shared" si="150"/>
        <v>596228</v>
      </c>
    </row>
    <row r="78" spans="2:35">
      <c r="B78" s="29" t="s">
        <v>197</v>
      </c>
      <c r="C78" s="77">
        <v>0</v>
      </c>
      <c r="D78" s="77">
        <v>0</v>
      </c>
      <c r="E78" s="77">
        <v>0</v>
      </c>
      <c r="F78" s="77">
        <v>787417</v>
      </c>
      <c r="H78" s="77">
        <v>0</v>
      </c>
      <c r="I78" s="77">
        <v>0</v>
      </c>
      <c r="J78" s="77">
        <v>0</v>
      </c>
      <c r="K78" s="108">
        <f t="shared" si="136"/>
        <v>0</v>
      </c>
      <c r="L78" s="77">
        <v>0</v>
      </c>
      <c r="M78" s="77">
        <v>0</v>
      </c>
      <c r="N78" s="77">
        <v>0</v>
      </c>
      <c r="O78" s="108">
        <f t="shared" si="137"/>
        <v>0</v>
      </c>
      <c r="P78" s="77">
        <v>0</v>
      </c>
      <c r="Q78" s="77">
        <v>786095</v>
      </c>
      <c r="R78" s="77">
        <v>786754</v>
      </c>
      <c r="S78" s="10">
        <f t="shared" si="138"/>
        <v>787417</v>
      </c>
      <c r="T78" s="77">
        <v>788084</v>
      </c>
      <c r="U78" s="77">
        <v>788756</v>
      </c>
      <c r="V78" s="77">
        <v>789433</v>
      </c>
      <c r="X78" s="10">
        <f t="shared" si="139"/>
        <v>0</v>
      </c>
      <c r="Y78" s="10">
        <f t="shared" si="140"/>
        <v>0</v>
      </c>
      <c r="Z78" s="10">
        <f t="shared" si="141"/>
        <v>0</v>
      </c>
      <c r="AA78" s="10">
        <f t="shared" si="142"/>
        <v>0</v>
      </c>
      <c r="AB78" s="10">
        <f t="shared" si="143"/>
        <v>0</v>
      </c>
      <c r="AC78" s="10">
        <f t="shared" si="144"/>
        <v>0</v>
      </c>
      <c r="AD78" s="10">
        <f t="shared" si="145"/>
        <v>786095</v>
      </c>
      <c r="AE78" s="10">
        <f t="shared" si="146"/>
        <v>786754</v>
      </c>
      <c r="AF78" s="10">
        <f t="shared" si="147"/>
        <v>787417</v>
      </c>
      <c r="AG78" s="10">
        <f t="shared" si="148"/>
        <v>788084</v>
      </c>
      <c r="AH78" s="10">
        <f t="shared" si="149"/>
        <v>788756</v>
      </c>
      <c r="AI78" s="10">
        <f t="shared" si="150"/>
        <v>789433</v>
      </c>
    </row>
    <row r="79" spans="2:35">
      <c r="B79" s="29" t="s">
        <v>198</v>
      </c>
      <c r="C79" s="77">
        <v>488006</v>
      </c>
      <c r="D79" s="77">
        <v>489547</v>
      </c>
      <c r="E79" s="77">
        <v>491193</v>
      </c>
      <c r="F79" s="77">
        <v>0</v>
      </c>
      <c r="H79" s="77">
        <v>488382</v>
      </c>
      <c r="I79" s="77">
        <v>488764</v>
      </c>
      <c r="J79" s="77">
        <v>489152</v>
      </c>
      <c r="K79" s="108">
        <f t="shared" si="136"/>
        <v>489547</v>
      </c>
      <c r="L79" s="77">
        <v>489948</v>
      </c>
      <c r="M79" s="77">
        <v>490356</v>
      </c>
      <c r="N79" s="77">
        <v>490771</v>
      </c>
      <c r="O79" s="108">
        <f t="shared" si="137"/>
        <v>491193</v>
      </c>
      <c r="P79" s="77">
        <v>491622</v>
      </c>
      <c r="Q79" s="77">
        <v>492057</v>
      </c>
      <c r="R79" s="77">
        <v>0</v>
      </c>
      <c r="S79" s="10">
        <f t="shared" si="138"/>
        <v>0</v>
      </c>
      <c r="T79" s="77">
        <v>0</v>
      </c>
      <c r="U79" s="77">
        <v>0</v>
      </c>
      <c r="V79" s="77">
        <v>0</v>
      </c>
      <c r="X79" s="10">
        <f t="shared" si="139"/>
        <v>489547</v>
      </c>
      <c r="Y79" s="10">
        <f t="shared" si="140"/>
        <v>489948</v>
      </c>
      <c r="Z79" s="10">
        <f t="shared" si="141"/>
        <v>490356</v>
      </c>
      <c r="AA79" s="10">
        <f t="shared" si="142"/>
        <v>490771</v>
      </c>
      <c r="AB79" s="10">
        <f t="shared" si="143"/>
        <v>491193</v>
      </c>
      <c r="AC79" s="10">
        <f t="shared" si="144"/>
        <v>491622</v>
      </c>
      <c r="AD79" s="10">
        <f t="shared" si="145"/>
        <v>492057</v>
      </c>
      <c r="AE79" s="10">
        <f t="shared" si="146"/>
        <v>0</v>
      </c>
      <c r="AF79" s="10">
        <f t="shared" si="147"/>
        <v>0</v>
      </c>
      <c r="AG79" s="10">
        <f t="shared" si="148"/>
        <v>0</v>
      </c>
      <c r="AH79" s="10">
        <f t="shared" si="149"/>
        <v>0</v>
      </c>
      <c r="AI79" s="10">
        <f t="shared" si="150"/>
        <v>0</v>
      </c>
    </row>
    <row r="80" spans="2:35">
      <c r="B80" s="29" t="s">
        <v>199</v>
      </c>
      <c r="C80" s="77">
        <v>0</v>
      </c>
      <c r="D80" s="77">
        <v>204688</v>
      </c>
      <c r="E80" s="77">
        <v>0</v>
      </c>
      <c r="F80" s="77">
        <v>0</v>
      </c>
      <c r="H80" s="77">
        <v>204588</v>
      </c>
      <c r="I80" s="77">
        <v>204621</v>
      </c>
      <c r="J80" s="77">
        <v>204654</v>
      </c>
      <c r="K80" s="108">
        <f t="shared" si="136"/>
        <v>204688</v>
      </c>
      <c r="L80" s="77">
        <v>0</v>
      </c>
      <c r="M80" s="77">
        <v>0</v>
      </c>
      <c r="N80" s="77">
        <v>0</v>
      </c>
      <c r="O80" s="108">
        <f t="shared" si="137"/>
        <v>0</v>
      </c>
      <c r="P80" s="77">
        <v>0</v>
      </c>
      <c r="Q80" s="77">
        <v>0</v>
      </c>
      <c r="R80" s="77">
        <v>0</v>
      </c>
      <c r="S80" s="10">
        <f t="shared" si="138"/>
        <v>0</v>
      </c>
      <c r="T80" s="77">
        <v>0</v>
      </c>
      <c r="U80" s="77">
        <v>0</v>
      </c>
      <c r="V80" s="77">
        <v>0</v>
      </c>
      <c r="X80" s="10">
        <f t="shared" si="139"/>
        <v>204688</v>
      </c>
      <c r="Y80" s="10">
        <f t="shared" si="140"/>
        <v>0</v>
      </c>
      <c r="Z80" s="10">
        <f t="shared" si="141"/>
        <v>0</v>
      </c>
      <c r="AA80" s="10">
        <f t="shared" si="142"/>
        <v>0</v>
      </c>
      <c r="AB80" s="10">
        <f t="shared" si="143"/>
        <v>0</v>
      </c>
      <c r="AC80" s="10">
        <f t="shared" si="144"/>
        <v>0</v>
      </c>
      <c r="AD80" s="10">
        <f t="shared" si="145"/>
        <v>0</v>
      </c>
      <c r="AE80" s="10">
        <f t="shared" si="146"/>
        <v>0</v>
      </c>
      <c r="AF80" s="10">
        <f t="shared" si="147"/>
        <v>0</v>
      </c>
      <c r="AG80" s="10">
        <f t="shared" si="148"/>
        <v>0</v>
      </c>
      <c r="AH80" s="10">
        <f t="shared" si="149"/>
        <v>0</v>
      </c>
      <c r="AI80" s="10">
        <f t="shared" si="150"/>
        <v>0</v>
      </c>
    </row>
    <row r="81" spans="1:35">
      <c r="B81" s="29" t="s">
        <v>200</v>
      </c>
      <c r="C81" s="77">
        <v>0</v>
      </c>
      <c r="D81" s="77">
        <v>10160</v>
      </c>
      <c r="E81" s="77">
        <v>9678</v>
      </c>
      <c r="F81" s="77">
        <v>9678</v>
      </c>
      <c r="H81" s="77">
        <v>0</v>
      </c>
      <c r="I81" s="77">
        <v>10830</v>
      </c>
      <c r="J81" s="77">
        <v>10724</v>
      </c>
      <c r="K81" s="108">
        <f t="shared" si="136"/>
        <v>10160</v>
      </c>
      <c r="L81" s="77">
        <v>10042</v>
      </c>
      <c r="M81" s="77">
        <v>9923</v>
      </c>
      <c r="N81" s="77">
        <v>9802</v>
      </c>
      <c r="O81" s="108">
        <f t="shared" si="137"/>
        <v>9678</v>
      </c>
      <c r="P81" s="77">
        <v>9549</v>
      </c>
      <c r="Q81" s="77">
        <v>9924</v>
      </c>
      <c r="R81" s="77">
        <v>9802</v>
      </c>
      <c r="S81" s="10">
        <f t="shared" si="138"/>
        <v>9678</v>
      </c>
      <c r="T81" s="77">
        <v>9551</v>
      </c>
      <c r="U81" s="77">
        <v>25203</v>
      </c>
      <c r="V81" s="77">
        <v>30079</v>
      </c>
      <c r="X81" s="10">
        <f t="shared" si="139"/>
        <v>10160</v>
      </c>
      <c r="Y81" s="10">
        <f t="shared" si="140"/>
        <v>10042</v>
      </c>
      <c r="Z81" s="10">
        <f t="shared" si="141"/>
        <v>9923</v>
      </c>
      <c r="AA81" s="10">
        <f t="shared" si="142"/>
        <v>9802</v>
      </c>
      <c r="AB81" s="10">
        <f t="shared" si="143"/>
        <v>9678</v>
      </c>
      <c r="AC81" s="10">
        <f t="shared" si="144"/>
        <v>9549</v>
      </c>
      <c r="AD81" s="10">
        <f t="shared" si="145"/>
        <v>9924</v>
      </c>
      <c r="AE81" s="10">
        <f t="shared" si="146"/>
        <v>9802</v>
      </c>
      <c r="AF81" s="10">
        <f t="shared" si="147"/>
        <v>9678</v>
      </c>
      <c r="AG81" s="10">
        <f t="shared" si="148"/>
        <v>9551</v>
      </c>
      <c r="AH81" s="10">
        <f t="shared" si="149"/>
        <v>25203</v>
      </c>
      <c r="AI81" s="10">
        <f t="shared" si="150"/>
        <v>30079</v>
      </c>
    </row>
    <row r="82" spans="1:35" ht="12.75" customHeight="1">
      <c r="B82" s="12" t="s">
        <v>21</v>
      </c>
      <c r="C82" s="13">
        <f t="shared" ref="C82:F82" si="151">SUM(C71:C81)</f>
        <v>2155151</v>
      </c>
      <c r="D82" s="13">
        <f t="shared" si="151"/>
        <v>2378560</v>
      </c>
      <c r="E82" s="13">
        <f t="shared" si="151"/>
        <v>2182108</v>
      </c>
      <c r="F82" s="13">
        <f t="shared" si="151"/>
        <v>7191675</v>
      </c>
      <c r="H82" s="13">
        <f t="shared" ref="H82" si="152">SUM(H71:H81)</f>
        <v>2361865</v>
      </c>
      <c r="I82" s="13">
        <f t="shared" ref="I82" si="153">SUM(I71:I81)</f>
        <v>2374863</v>
      </c>
      <c r="J82" s="13">
        <f t="shared" ref="J82" si="154">SUM(J71:J81)</f>
        <v>2376935</v>
      </c>
      <c r="K82" s="13">
        <f t="shared" ref="K82" si="155">SUM(K71:K81)</f>
        <v>2378560</v>
      </c>
      <c r="L82" s="13">
        <f t="shared" ref="L82" si="156">SUM(L71:L81)</f>
        <v>2175918</v>
      </c>
      <c r="M82" s="13">
        <f t="shared" ref="M82" si="157">SUM(M71:M81)</f>
        <v>2177974</v>
      </c>
      <c r="N82" s="13">
        <f t="shared" ref="N82" si="158">SUM(N71:N81)</f>
        <v>2180038</v>
      </c>
      <c r="O82" s="13">
        <f t="shared" ref="O82" si="159">SUM(O71:O81)</f>
        <v>2182108</v>
      </c>
      <c r="P82" s="13">
        <f t="shared" ref="P82" si="160">SUM(P71:P81)</f>
        <v>3558801</v>
      </c>
      <c r="Q82" s="13">
        <f t="shared" ref="Q82" si="161">SUM(Q71:Q81)</f>
        <v>3848500</v>
      </c>
      <c r="R82" s="13">
        <f t="shared" ref="R82" si="162">SUM(R71:R81)</f>
        <v>4212458</v>
      </c>
      <c r="S82" s="13">
        <f t="shared" ref="S82" si="163">SUM(S71:S81)</f>
        <v>7191675</v>
      </c>
      <c r="T82" s="13">
        <f t="shared" ref="T82" si="164">SUM(T71:T81)</f>
        <v>8140681</v>
      </c>
      <c r="U82" s="13">
        <f t="shared" ref="U82" si="165">SUM(U71:U81)</f>
        <v>8162630</v>
      </c>
      <c r="V82" s="13">
        <f t="shared" ref="V82" si="166">SUM(V71:V81)</f>
        <v>8173903</v>
      </c>
      <c r="X82" s="13">
        <f t="shared" ref="X82" si="167">SUM(X71:X81)</f>
        <v>2378560</v>
      </c>
      <c r="Y82" s="13">
        <f t="shared" ref="Y82" si="168">SUM(Y71:Y81)</f>
        <v>2175918</v>
      </c>
      <c r="Z82" s="13">
        <f t="shared" ref="Z82" si="169">SUM(Z71:Z81)</f>
        <v>2177974</v>
      </c>
      <c r="AA82" s="13">
        <f t="shared" ref="AA82" si="170">SUM(AA71:AA81)</f>
        <v>2180038</v>
      </c>
      <c r="AB82" s="13">
        <f t="shared" ref="AB82" si="171">SUM(AB71:AB81)</f>
        <v>2182108</v>
      </c>
      <c r="AC82" s="13">
        <f t="shared" ref="AC82" si="172">SUM(AC71:AC81)</f>
        <v>3558801</v>
      </c>
      <c r="AD82" s="13">
        <f t="shared" ref="AD82" si="173">SUM(AD71:AD81)</f>
        <v>3848500</v>
      </c>
      <c r="AE82" s="13">
        <f t="shared" ref="AE82" si="174">SUM(AE71:AE81)</f>
        <v>4212458</v>
      </c>
      <c r="AF82" s="13">
        <f t="shared" ref="AF82" si="175">SUM(AF71:AF81)</f>
        <v>7191675</v>
      </c>
      <c r="AG82" s="13">
        <f t="shared" ref="AG82" si="176">SUM(AG71:AG81)</f>
        <v>8140681</v>
      </c>
      <c r="AH82" s="13">
        <f t="shared" ref="AH82" si="177">SUM(AH71:AH81)</f>
        <v>8162630</v>
      </c>
      <c r="AI82" s="13">
        <f t="shared" ref="AI82" si="178">SUM(AI71:AI81)</f>
        <v>8173903</v>
      </c>
    </row>
    <row r="83" spans="1:35" ht="5.0999999999999996" customHeight="1"/>
    <row r="84" spans="1:35" ht="12.75" customHeight="1">
      <c r="B84" s="8" t="s">
        <v>50</v>
      </c>
      <c r="C84" s="82">
        <f>'Historical Financials'!C83</f>
        <v>978958</v>
      </c>
      <c r="D84" s="82">
        <f>'Historical Financials'!D83</f>
        <v>-383120</v>
      </c>
      <c r="E84" s="82">
        <f>'Historical Financials'!E83</f>
        <v>2164972</v>
      </c>
      <c r="F84" s="82">
        <f>'Historical Financials'!F83</f>
        <v>18229984</v>
      </c>
      <c r="G84" s="82"/>
      <c r="H84" s="82">
        <f>'Historical Financials'!H83</f>
        <v>862999</v>
      </c>
      <c r="I84" s="82">
        <f>'Historical Financials'!I83</f>
        <v>-187068</v>
      </c>
      <c r="J84" s="82">
        <f>'Historical Financials'!J83</f>
        <v>-200289</v>
      </c>
      <c r="K84" s="82">
        <f>'Historical Financials'!K83</f>
        <v>-383120</v>
      </c>
      <c r="L84" s="82">
        <f>'Historical Financials'!L83</f>
        <v>443211</v>
      </c>
      <c r="M84" s="82">
        <f>'Historical Financials'!M83</f>
        <v>819118</v>
      </c>
      <c r="N84" s="82">
        <f>'Historical Financials'!N83</f>
        <v>840395</v>
      </c>
      <c r="O84" s="82">
        <f>'Historical Financials'!O83</f>
        <v>2164972</v>
      </c>
      <c r="P84" s="82">
        <f>'Historical Financials'!P83</f>
        <v>2400105</v>
      </c>
      <c r="Q84" s="82">
        <f>'Historical Financials'!Q83</f>
        <v>2834799</v>
      </c>
      <c r="R84" s="82">
        <f>'Historical Financials'!R83</f>
        <v>3773649</v>
      </c>
      <c r="S84" s="82">
        <f>'Historical Financials'!S83</f>
        <v>18229984</v>
      </c>
      <c r="T84" s="82">
        <f>'Historical Financials'!T83</f>
        <v>33525733</v>
      </c>
      <c r="U84" s="82">
        <f>'Historical Financials'!U83</f>
        <v>50370965</v>
      </c>
      <c r="V84" s="82">
        <f>'Historical Financials'!V83</f>
        <v>58117048</v>
      </c>
      <c r="W84" s="82"/>
      <c r="X84" s="144">
        <f t="shared" ref="X84:AI84" si="179">K84</f>
        <v>-383120</v>
      </c>
      <c r="Y84" s="144">
        <f t="shared" si="179"/>
        <v>443211</v>
      </c>
      <c r="Z84" s="144">
        <f t="shared" si="179"/>
        <v>819118</v>
      </c>
      <c r="AA84" s="144">
        <f t="shared" si="179"/>
        <v>840395</v>
      </c>
      <c r="AB84" s="144">
        <f t="shared" si="179"/>
        <v>2164972</v>
      </c>
      <c r="AC84" s="144">
        <f t="shared" si="179"/>
        <v>2400105</v>
      </c>
      <c r="AD84" s="144">
        <f t="shared" si="179"/>
        <v>2834799</v>
      </c>
      <c r="AE84" s="144">
        <f t="shared" si="179"/>
        <v>3773649</v>
      </c>
      <c r="AF84" s="144">
        <f t="shared" si="179"/>
        <v>18229984</v>
      </c>
      <c r="AG84" s="144">
        <f t="shared" si="179"/>
        <v>33525733</v>
      </c>
      <c r="AH84" s="144">
        <f t="shared" si="179"/>
        <v>50370965</v>
      </c>
      <c r="AI84" s="144">
        <f t="shared" si="179"/>
        <v>58117048</v>
      </c>
    </row>
    <row r="85" spans="1:35" ht="12.75" customHeight="1">
      <c r="B85" s="12" t="s">
        <v>51</v>
      </c>
      <c r="C85" s="13">
        <f t="shared" ref="C85:E85" si="180">SUM(C82:C84)</f>
        <v>3134109</v>
      </c>
      <c r="D85" s="13">
        <f t="shared" si="180"/>
        <v>1995440</v>
      </c>
      <c r="E85" s="13">
        <f t="shared" si="180"/>
        <v>4347080</v>
      </c>
      <c r="F85" s="13">
        <f>SUM(F82:F84)</f>
        <v>25421659</v>
      </c>
      <c r="H85" s="13">
        <f t="shared" ref="H85:K85" si="181">SUM(H82:H84)</f>
        <v>3224864</v>
      </c>
      <c r="I85" s="13">
        <f t="shared" si="181"/>
        <v>2187795</v>
      </c>
      <c r="J85" s="13">
        <f t="shared" si="181"/>
        <v>2176646</v>
      </c>
      <c r="K85" s="13">
        <f t="shared" si="181"/>
        <v>1995440</v>
      </c>
      <c r="L85" s="13">
        <f t="shared" ref="L85:Q85" si="182">SUM(L82:L84)</f>
        <v>2619129</v>
      </c>
      <c r="M85" s="13">
        <f t="shared" si="182"/>
        <v>2997092</v>
      </c>
      <c r="N85" s="13">
        <f t="shared" si="182"/>
        <v>3020433</v>
      </c>
      <c r="O85" s="13">
        <f t="shared" si="182"/>
        <v>4347080</v>
      </c>
      <c r="P85" s="13">
        <f t="shared" si="182"/>
        <v>5958906</v>
      </c>
      <c r="Q85" s="13">
        <f t="shared" si="182"/>
        <v>6683299</v>
      </c>
      <c r="R85" s="13">
        <f>SUM(R82:R84)</f>
        <v>7986107</v>
      </c>
      <c r="S85" s="13">
        <f>SUM(S82:S84)</f>
        <v>25421659</v>
      </c>
      <c r="T85" s="13">
        <f>SUM(T82:T84)</f>
        <v>41666414</v>
      </c>
      <c r="U85" s="13">
        <f>SUM(U82:U84)</f>
        <v>58533595</v>
      </c>
      <c r="V85" s="13">
        <f>SUM(V82:V84)</f>
        <v>66290951</v>
      </c>
      <c r="X85" s="13">
        <f t="shared" ref="X85:AH85" si="183">SUM(X82:X84)</f>
        <v>1995440</v>
      </c>
      <c r="Y85" s="13">
        <f t="shared" si="183"/>
        <v>2619129</v>
      </c>
      <c r="Z85" s="13">
        <f t="shared" si="183"/>
        <v>2997092</v>
      </c>
      <c r="AA85" s="13">
        <f t="shared" si="183"/>
        <v>3020433</v>
      </c>
      <c r="AB85" s="13">
        <f t="shared" si="183"/>
        <v>4347080</v>
      </c>
      <c r="AC85" s="13">
        <f t="shared" si="183"/>
        <v>5958906</v>
      </c>
      <c r="AD85" s="13">
        <f t="shared" si="183"/>
        <v>6683299</v>
      </c>
      <c r="AE85" s="13">
        <f t="shared" si="183"/>
        <v>7986107</v>
      </c>
      <c r="AF85" s="13">
        <f t="shared" si="183"/>
        <v>25421659</v>
      </c>
      <c r="AG85" s="13">
        <f t="shared" si="183"/>
        <v>41666414</v>
      </c>
      <c r="AH85" s="13">
        <f t="shared" si="183"/>
        <v>58533595</v>
      </c>
      <c r="AI85" s="13">
        <f>SUM(AI82:AI84)</f>
        <v>66290951</v>
      </c>
    </row>
    <row r="86" spans="1:35" ht="5.0999999999999996" customHeight="1"/>
    <row r="87" spans="1:35" ht="12.75" customHeight="1">
      <c r="A87" s="5"/>
      <c r="B87" s="31" t="s">
        <v>73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</row>
    <row r="88" spans="1:35" ht="5.0999999999999996" customHeight="1"/>
    <row r="89" spans="1:35" ht="12.75" customHeight="1">
      <c r="B89" s="29" t="s">
        <v>116</v>
      </c>
      <c r="C89" s="146">
        <f>C82/C30</f>
        <v>-2.9561370179811068</v>
      </c>
      <c r="D89" s="146">
        <f>D82/D30</f>
        <v>-1.980072407968706</v>
      </c>
      <c r="E89" s="146">
        <f>E82/E30</f>
        <v>-70.50657533361337</v>
      </c>
      <c r="F89" s="146">
        <f>F82/F30</f>
        <v>-4.0907206068555659</v>
      </c>
      <c r="H89" s="147"/>
      <c r="I89" s="147"/>
      <c r="J89" s="147"/>
      <c r="K89" s="146">
        <f>SUM(K82/SUM(H30:K30))</f>
        <v>-1.980072407968706</v>
      </c>
      <c r="L89" s="146">
        <f>SUM(L82/SUM(I30:L30))</f>
        <v>-2.0768620638640063</v>
      </c>
      <c r="M89" s="146">
        <f>SUM(M82/SUM(J30:M30))</f>
        <v>-14.058156797438777</v>
      </c>
      <c r="N89" s="146">
        <f>SUM(N82/SUM(K30:N30))</f>
        <v>-11.737672966133635</v>
      </c>
      <c r="O89" s="146">
        <f>SUM(O82/SUM(L30:O30))</f>
        <v>-70.50657533361337</v>
      </c>
      <c r="P89" s="146">
        <f>SUM(P82/SUM(M30:P30))</f>
        <v>-16.591997724825049</v>
      </c>
      <c r="Q89" s="146">
        <f>SUM(Q82/SUM(N30:Q30))</f>
        <v>-10.061253780976557</v>
      </c>
      <c r="R89" s="146">
        <f>SUM(R82/SUM(O30:R30))</f>
        <v>-5.3727796009627093</v>
      </c>
      <c r="S89" s="146">
        <f>SUM(S82/SUM(P30:S30))</f>
        <v>-4.0907206068555659</v>
      </c>
      <c r="T89" s="146">
        <f>SUM(T82/SUM(Q30:T30))</f>
        <v>-1.0885878599444279</v>
      </c>
      <c r="U89" s="146">
        <f>SUM(U82/SUM(R30:U30))</f>
        <v>1.2084462123790591</v>
      </c>
      <c r="V89" s="146">
        <f>SUM(V82/SUM(S30:V30))</f>
        <v>0.73822350645695833</v>
      </c>
      <c r="X89" s="146">
        <f>X82/X30</f>
        <v>-1.980072407968706</v>
      </c>
      <c r="Y89" s="146">
        <f>Y82/Y30</f>
        <v>-2.0768620638640063</v>
      </c>
      <c r="Z89" s="146">
        <f>Z82/Z30</f>
        <v>-14.058156797438777</v>
      </c>
      <c r="AA89" s="146">
        <f>AA82/AA30</f>
        <v>-11.737672966133635</v>
      </c>
      <c r="AB89" s="146">
        <f>AB82/AB30</f>
        <v>-70.50657533361337</v>
      </c>
      <c r="AC89" s="146">
        <f>AC82/AC30</f>
        <v>-16.591997724825049</v>
      </c>
      <c r="AD89" s="146">
        <f>AD82/AD30</f>
        <v>-10.061253780976557</v>
      </c>
      <c r="AE89" s="146">
        <f>AE82/AE30</f>
        <v>-5.3727796009627093</v>
      </c>
      <c r="AF89" s="146">
        <f>AF82/AF30</f>
        <v>-4.0907206068555659</v>
      </c>
      <c r="AG89" s="146">
        <f>AG82/AG30</f>
        <v>-1.0885878599444279</v>
      </c>
      <c r="AH89" s="146">
        <f>AH82/AH30</f>
        <v>1.2084462123790591</v>
      </c>
      <c r="AI89" s="146">
        <f>AI82/AI30</f>
        <v>0.73822350645695833</v>
      </c>
    </row>
    <row r="90" spans="1:35" ht="12.75" customHeight="1">
      <c r="B90" s="29" t="s">
        <v>117</v>
      </c>
      <c r="C90" s="146">
        <f>SUM(C82-C52)/C30</f>
        <v>-2.8692340506664218</v>
      </c>
      <c r="D90" s="146">
        <f>SUM(D82-D52)/D30</f>
        <v>-1.943581222544202</v>
      </c>
      <c r="E90" s="146">
        <f>SUM(E82-E52)/E30</f>
        <v>-68.99386086787942</v>
      </c>
      <c r="F90" s="146">
        <f>SUM(F82-F52)/F30</f>
        <v>-4.0690391491462679</v>
      </c>
      <c r="H90" s="147"/>
      <c r="I90" s="147"/>
      <c r="J90" s="147"/>
      <c r="K90" s="146">
        <f>SUM(K82-K52)/SUM(H30:K30)</f>
        <v>-1.943581222544202</v>
      </c>
      <c r="L90" s="146">
        <f>SUM(L82-L52)/SUM(I30:L30)</f>
        <v>-1.9868444537771011</v>
      </c>
      <c r="M90" s="146">
        <f>SUM(M82-M52)/SUM(J30:M30)</f>
        <v>-13.632353510708338</v>
      </c>
      <c r="N90" s="146">
        <f>SUM(N82-N52)/SUM(K30:N30)</f>
        <v>-11.495337317611586</v>
      </c>
      <c r="O90" s="146">
        <f>SUM(O82-O52)/SUM(L30:O30)</f>
        <v>-68.99386086787942</v>
      </c>
      <c r="P90" s="146">
        <f>SUM(P82-P52)/SUM(M30:P30)</f>
        <v>-16.212836089496431</v>
      </c>
      <c r="Q90" s="146">
        <f>SUM(Q82-Q52)/SUM(N30:Q30)</f>
        <v>-9.8862948913353215</v>
      </c>
      <c r="R90" s="146">
        <f>SUM(R82-R52)/SUM(O30:R30)</f>
        <v>-5.3136714211191567</v>
      </c>
      <c r="S90" s="146">
        <f>SUM(S82-S52)/SUM(P30:S30)</f>
        <v>-4.0690391491462679</v>
      </c>
      <c r="T90" s="146">
        <f>SUM(T82-T52)/SUM(Q30:T30)</f>
        <v>-1.0805246928974781</v>
      </c>
      <c r="U90" s="146">
        <f>SUM(U82-U52)/SUM(R30:U30)</f>
        <v>1.2010298388561715</v>
      </c>
      <c r="V90" s="146">
        <f>SUM(V82-V52)/SUM(S30:V30)</f>
        <v>0.73332077357059844</v>
      </c>
      <c r="X90" s="146">
        <f>SUM(X82-X52)/X30</f>
        <v>-1.943581222544202</v>
      </c>
      <c r="Y90" s="146">
        <f>SUM(Y82-Y52)/Y30</f>
        <v>-1.9868444537771011</v>
      </c>
      <c r="Z90" s="146">
        <f>SUM(Z82-Z52)/Z30</f>
        <v>-13.632353510708338</v>
      </c>
      <c r="AA90" s="146">
        <f>SUM(AA82-AA52)/AA30</f>
        <v>-11.495337317611586</v>
      </c>
      <c r="AB90" s="146">
        <f>SUM(AB82-AB52)/AB30</f>
        <v>-68.99386086787942</v>
      </c>
      <c r="AC90" s="146">
        <f>SUM(AC82-AC52)/AC30</f>
        <v>-16.212836089496431</v>
      </c>
      <c r="AD90" s="146">
        <f>SUM(AD82-AD52)/AD30</f>
        <v>-9.8862948913353215</v>
      </c>
      <c r="AE90" s="146">
        <f>SUM(AE82-AE52)/AE30</f>
        <v>-5.3136714211191567</v>
      </c>
      <c r="AF90" s="146">
        <f>SUM(AF82-AF52)/AF30</f>
        <v>-4.0690391491462679</v>
      </c>
      <c r="AG90" s="146">
        <f>SUM(AG82-AG52)/AG30</f>
        <v>-1.0805246928974781</v>
      </c>
      <c r="AH90" s="146">
        <f>SUM(AH82-AH52)/AH30</f>
        <v>1.2010298388561715</v>
      </c>
      <c r="AI90" s="146">
        <f>SUM(AI82-AI52)/AI30</f>
        <v>0.73332077357059844</v>
      </c>
    </row>
    <row r="91" spans="1:35" ht="12.75" customHeight="1">
      <c r="B91" s="29" t="s">
        <v>118</v>
      </c>
      <c r="C91" s="146">
        <f>C30/-C35</f>
        <v>-35.709394592476492</v>
      </c>
      <c r="D91" s="146">
        <f>D30/-D35</f>
        <v>-27.647969987111029</v>
      </c>
      <c r="E91" s="146">
        <f>E30/-E35</f>
        <v>-0.7506609425404448</v>
      </c>
      <c r="F91" s="146">
        <f>F30/-F35</f>
        <v>-39.443719010118684</v>
      </c>
      <c r="H91" s="147"/>
      <c r="I91" s="147"/>
      <c r="J91" s="147"/>
      <c r="K91" s="146" cm="1">
        <f t="array" ref="K91">SUM(H30:K30)/SUM(-H35:K35)</f>
        <v>-22.607064890093344</v>
      </c>
      <c r="L91" s="146" cm="1">
        <f t="array" ref="L91">SUM(I30:L30)/SUM(-I35:L35)</f>
        <v>-18.37191155066898</v>
      </c>
      <c r="M91" s="146" cm="1">
        <f t="array" ref="M91">SUM(J30:M30)/SUM(-J35:M35)</f>
        <v>-2.8201692909802496</v>
      </c>
      <c r="N91" s="146" cm="1">
        <f t="array" ref="N91">SUM(K30:N30)/SUM(-K35:N35)</f>
        <v>-3.5808205444590113</v>
      </c>
      <c r="O91" s="146" cm="1">
        <f t="array" ref="O91">SUM(L30:O30)/SUM(-L35:O35)</f>
        <v>-0.63212826797385624</v>
      </c>
      <c r="P91" s="146" cm="1">
        <f t="array" ref="P91">SUM(M30:P30)/SUM(-M35:P35)</f>
        <v>-4.6718433490884541</v>
      </c>
      <c r="Q91" s="146" cm="1">
        <f t="array" ref="Q91">SUM(N30:Q30)/SUM(-N35:Q35)</f>
        <v>-7.6072351935086111</v>
      </c>
      <c r="R91" s="146" cm="1">
        <f t="array" ref="R91">SUM(O30:R30)/SUM(-O35:R35)</f>
        <v>-13.657991464158174</v>
      </c>
      <c r="S91" s="146" cm="1">
        <f t="array" ref="S91">SUM(P30:S30)/SUM(-P35:S35)</f>
        <v>-28.382589883921796</v>
      </c>
      <c r="T91" s="146" cm="1">
        <f t="array" ref="T91">SUM(Q30:T30)/SUM(-Q35:T35)</f>
        <v>-111.33911502843701</v>
      </c>
      <c r="U91" s="146" cm="1">
        <f t="array" ref="U91">SUM(R30:U30)/SUM(-R35:U35)</f>
        <v>97.05373794847479</v>
      </c>
      <c r="V91" s="146" cm="1">
        <f t="array" ref="V91">SUM(S30:V30)/SUM(-S35:V35)</f>
        <v>157.3722391199295</v>
      </c>
      <c r="X91" s="146">
        <f>X30/-X35</f>
        <v>-22.607064890093344</v>
      </c>
      <c r="Y91" s="146">
        <f>Y30/-Y35</f>
        <v>-18.37191155066898</v>
      </c>
      <c r="Z91" s="146">
        <f>Z30/-Z35</f>
        <v>-2.8201692909802496</v>
      </c>
      <c r="AA91" s="146">
        <f>AA30/-AA35</f>
        <v>-3.5808205444590113</v>
      </c>
      <c r="AB91" s="146">
        <f>AB30/-AB35</f>
        <v>-0.63212826797385624</v>
      </c>
      <c r="AC91" s="146">
        <f>AC30/-AC35</f>
        <v>-4.6718433490884541</v>
      </c>
      <c r="AD91" s="146">
        <f>AD30/-AD35</f>
        <v>-7.6072351935086111</v>
      </c>
      <c r="AE91" s="146">
        <f>AE30/-AE35</f>
        <v>-13.657991464158174</v>
      </c>
      <c r="AF91" s="146">
        <f>AF30/-AF35</f>
        <v>-28.382589883921796</v>
      </c>
      <c r="AG91" s="146">
        <f>AG30/-AG35</f>
        <v>-111.33911502843701</v>
      </c>
      <c r="AH91" s="146">
        <f>AH30/-AH35</f>
        <v>97.05373794847479</v>
      </c>
      <c r="AI91" s="146">
        <f>AI30/-AI35</f>
        <v>157.3722391199295</v>
      </c>
    </row>
    <row r="92" spans="1:35" ht="12.75" customHeight="1">
      <c r="B92" s="29" t="s">
        <v>119</v>
      </c>
      <c r="C92" s="146" cm="1">
        <f t="array" ref="C92">SUM(C30+C33)/SUM(-C34:C35)</f>
        <v>-122.44869831546707</v>
      </c>
      <c r="D92" s="146" cm="1">
        <f t="array" ref="D92">SUM(D30+D33)/SUM(-D34:D35)</f>
        <v>-22.800874336986595</v>
      </c>
      <c r="E92" s="146" cm="1">
        <f t="array" ref="E92">SUM(E30+E33)/SUM(-E34:E35)</f>
        <v>-27.061735642305059</v>
      </c>
      <c r="F92" s="146" cm="1">
        <f t="array" ref="F92">SUM(F30+F33)/SUM(-F34:F35)</f>
        <v>-522.32704361165895</v>
      </c>
      <c r="H92" s="147"/>
      <c r="I92" s="147"/>
      <c r="J92" s="147"/>
      <c r="K92" s="146" cm="1">
        <f t="array" ref="K92">SUM(H30:K30+H33:K33)/SUM(-H34:K35)</f>
        <v>-7.4408683680188359</v>
      </c>
      <c r="L92" s="146" cm="1">
        <f t="array" ref="L92">SUM(I30:L30+I33:L33)/SUM(-I34:L35)</f>
        <v>6.482582605014815</v>
      </c>
      <c r="M92" s="146" cm="1">
        <f t="array" ref="M92">SUM(J30:M30+J33:M33)/SUM(-J34:M35)</f>
        <v>1.8675886110978936</v>
      </c>
      <c r="N92" s="146" cm="1">
        <f t="array" ref="N92">SUM(K30:N30+K33:N33)/SUM(-K34:N35)</f>
        <v>2.9469313783065276</v>
      </c>
      <c r="O92" s="146" cm="1">
        <f t="array" ref="O92">SUM(L30:O30+L33:O33)/SUM(-L34:O35)</f>
        <v>3.8364170989486532</v>
      </c>
      <c r="P92" s="146" cm="1">
        <f t="array" ref="P92">SUM(M30:P30+M33:P33)/SUM(-M34:P35)</f>
        <v>16.630391469321978</v>
      </c>
      <c r="Q92" s="146" cm="1">
        <f t="array" ref="Q92">SUM(N30:Q30+N33:Q33)/SUM(-N34:Q35)</f>
        <v>15.945051437084105</v>
      </c>
      <c r="R92" s="146" cm="1">
        <f t="array" ref="R92">SUM(O30:R30+O33:R33)/SUM(-O34:R35)</f>
        <v>11.92090850483511</v>
      </c>
      <c r="S92" s="146" cm="1">
        <f t="array" ref="S92">SUM(P30:S30+P33:S33)/SUM(-P34:S35)</f>
        <v>33.771145061098643</v>
      </c>
      <c r="T92" s="146" cm="1">
        <f t="array" ref="T92">SUM(Q30:T30+Q33:T33)/SUM(-Q34:T35)</f>
        <v>15.708650611921227</v>
      </c>
      <c r="U92" s="146" cm="1">
        <f t="array" ref="U92">SUM(R30:U30+R33:U33)/SUM(-R34:U35)</f>
        <v>-14.888549693198042</v>
      </c>
      <c r="V92" s="146" cm="1">
        <f t="array" ref="V92">SUM(S30:V30+S33:V33)/SUM(-S34:V35)</f>
        <v>-8.6203868798188026</v>
      </c>
      <c r="X92" s="146" cm="1">
        <f t="array" ref="X92">SUM(X30+X33)/SUM(-X34:X35)</f>
        <v>-7.4408683680188359</v>
      </c>
      <c r="Y92" s="146" cm="1">
        <f t="array" ref="Y92">SUM(Y30+Y33)/SUM(-Y34:Y35)</f>
        <v>6.482582605014815</v>
      </c>
      <c r="Z92" s="146" cm="1">
        <f t="array" ref="Z92">SUM(Z30+Z33)/SUM(-Z34:Z35)</f>
        <v>1.8675886110978936</v>
      </c>
      <c r="AA92" s="146" cm="1">
        <f t="array" ref="AA92">SUM(AA30+AA33)/SUM(-AA34:AA35)</f>
        <v>2.9469313783065276</v>
      </c>
      <c r="AB92" s="146" cm="1">
        <f t="array" ref="AB92">SUM(AB30+AB33)/SUM(-AB34:AB35)</f>
        <v>3.8364170989486532</v>
      </c>
      <c r="AC92" s="146" cm="1">
        <f t="array" ref="AC92">SUM(AC30+AC33)/SUM(-AC34:AC35)</f>
        <v>16.630391469321978</v>
      </c>
      <c r="AD92" s="146" cm="1">
        <f t="array" ref="AD92">SUM(AD30+AD33)/SUM(-AD34:AD35)</f>
        <v>15.945051437084105</v>
      </c>
      <c r="AE92" s="146" cm="1">
        <f t="array" ref="AE92">SUM(AE30+AE33)/SUM(-AE34:AE35)</f>
        <v>11.92090850483511</v>
      </c>
      <c r="AF92" s="146" cm="1">
        <f t="array" ref="AF92">SUM(AF30+AF33)/SUM(-AF34:AF35)</f>
        <v>33.771145061098643</v>
      </c>
      <c r="AG92" s="146" cm="1">
        <f t="array" ref="AG92">SUM(AG30+AG33)/SUM(-AG34:AG35)</f>
        <v>15.708650611921227</v>
      </c>
      <c r="AH92" s="146" cm="1">
        <f t="array" ref="AH92">SUM(AH30+AH33)/SUM(-AH34:AH35)</f>
        <v>-14.888549693198042</v>
      </c>
      <c r="AI92" s="146" cm="1">
        <f t="array" ref="AI92">SUM(AI30+AI33)/SUM(-AI34:AI35)</f>
        <v>-8.6203868798188026</v>
      </c>
    </row>
    <row r="93" spans="1:35" ht="12.75" customHeight="1">
      <c r="B93" s="29" t="s">
        <v>120</v>
      </c>
      <c r="C93" s="146" cm="1">
        <f t="array" ref="C93">SUM(C30)/SUM(-C33:C35)</f>
        <v>-0.27442078609201548</v>
      </c>
      <c r="D93" s="146" cm="1">
        <f t="array" ref="D93">SUM(D30)/SUM(-D33:D35)</f>
        <v>-3.3759260091954539</v>
      </c>
      <c r="E93" s="146" cm="1">
        <f t="array" ref="E93">SUM(E30)/SUM(-E33:E35)</f>
        <v>-1.5656237606131981E-2</v>
      </c>
      <c r="F93" s="146" cm="1">
        <f t="array" ref="F93">SUM(F30)/SUM(-F33:F35)</f>
        <v>-7.9472755910608955E-2</v>
      </c>
      <c r="H93" s="147"/>
      <c r="I93" s="147"/>
      <c r="J93" s="147"/>
      <c r="K93" s="146" cm="1">
        <f t="array" ref="K93">SUM(H30:K30)/SUM(-H33:K35)</f>
        <v>-2.4471586452762923</v>
      </c>
      <c r="L93" s="146" cm="1">
        <f t="array" ref="L93">SUM(I30:L30)/SUM(-I33:L35)</f>
        <v>-19.68056729595191</v>
      </c>
      <c r="M93" s="146" cm="1">
        <f t="array" ref="M93">SUM(J30:M30)/SUM(-J33:M35)</f>
        <v>-0.80900038119507267</v>
      </c>
      <c r="N93" s="146" cm="1">
        <f t="array" ref="N93">SUM(K30:N30)/SUM(-K33:N35)</f>
        <v>-0.43102207906132661</v>
      </c>
      <c r="O93" s="146" cm="1">
        <f t="array" ref="O93">SUM(L30:O30)/SUM(-L33:O35)</f>
        <v>-2.2097731535659894E-2</v>
      </c>
      <c r="P93" s="146" cm="1">
        <f t="array" ref="P93">SUM(M30:P30)/SUM(-M33:P35)</f>
        <v>-6.8070136464614406E-2</v>
      </c>
      <c r="Q93" s="146" cm="1">
        <f t="array" ref="Q93">SUM(N30:Q30)/SUM(-N33:Q35)</f>
        <v>-0.10774574947275969</v>
      </c>
      <c r="R93" s="146" cm="1">
        <f t="array" ref="R93">SUM(O30:R30)/SUM(-O33:R35)</f>
        <v>-0.16605795742254631</v>
      </c>
      <c r="S93" s="146" cm="1">
        <f t="array" ref="S93">SUM(P30:S30)/SUM(-P33:S35)</f>
        <v>-8.2267036774415409E-2</v>
      </c>
      <c r="T93" s="146" cm="1">
        <f t="array" ref="T93">SUM(Q30:T30)/SUM(-Q33:T35)</f>
        <v>-0.28946632459627841</v>
      </c>
      <c r="U93" s="146" cm="1">
        <f t="array" ref="U93">SUM(R30:U30)/SUM(-R33:U35)</f>
        <v>0.18809367278760761</v>
      </c>
      <c r="V93" s="146" cm="1">
        <f t="array" ref="V93">SUM(S30:V30)/SUM(-S33:V35)</f>
        <v>0.2732848938045282</v>
      </c>
      <c r="X93" s="146" cm="1">
        <f t="array" ref="X93">SUM(X30)/SUM(-X33:X35)</f>
        <v>-2.4471586452762923</v>
      </c>
      <c r="Y93" s="146" cm="1">
        <f t="array" ref="Y93">SUM(Y30)/SUM(-Y33:Y35)</f>
        <v>-19.68056729595191</v>
      </c>
      <c r="Z93" s="146" cm="1">
        <f t="array" ref="Z93">SUM(Z30)/SUM(-Z33:Z35)</f>
        <v>-0.80900038119507267</v>
      </c>
      <c r="AA93" s="146" cm="1">
        <f t="array" ref="AA93">SUM(AA30)/SUM(-AA33:AA35)</f>
        <v>-0.43102207906132661</v>
      </c>
      <c r="AB93" s="146" cm="1">
        <f t="array" ref="AB93">SUM(AB30)/SUM(-AB33:AB35)</f>
        <v>-2.2097731535659894E-2</v>
      </c>
      <c r="AC93" s="146" cm="1">
        <f t="array" ref="AC93">SUM(AC30)/SUM(-AC33:AC35)</f>
        <v>-6.8070136464614406E-2</v>
      </c>
      <c r="AD93" s="146" cm="1">
        <f t="array" ref="AD93">SUM(AD30)/SUM(-AD33:AD35)</f>
        <v>-0.10774574947275969</v>
      </c>
      <c r="AE93" s="146" cm="1">
        <f t="array" ref="AE93">SUM(AE30)/SUM(-AE33:AE35)</f>
        <v>-0.16605795742254631</v>
      </c>
      <c r="AF93" s="146" cm="1">
        <f t="array" ref="AF93">SUM(AF30)/SUM(-AF33:AF35)</f>
        <v>-8.2267036774415409E-2</v>
      </c>
      <c r="AG93" s="146" cm="1">
        <f t="array" ref="AG93">SUM(AG30)/SUM(-AG33:AG35)</f>
        <v>-0.28946632459627841</v>
      </c>
      <c r="AH93" s="146" cm="1">
        <f t="array" ref="AH93">SUM(AH30)/SUM(-AH33:AH35)</f>
        <v>0.18809367278760761</v>
      </c>
      <c r="AI93" s="146" cm="1">
        <f t="array" ref="AI93">SUM(AI30)/SUM(-AI33:AI35)</f>
        <v>0.2732848938045282</v>
      </c>
    </row>
    <row r="94" spans="1:35" ht="12.75" customHeight="1">
      <c r="B94" s="8" t="s">
        <v>52</v>
      </c>
      <c r="C94" s="146">
        <f t="shared" ref="C94:E94" si="184">C85/C82</f>
        <v>1.4542410253388278</v>
      </c>
      <c r="D94" s="146">
        <f t="shared" si="184"/>
        <v>0.83892775460782998</v>
      </c>
      <c r="E94" s="146">
        <f t="shared" si="184"/>
        <v>1.992147043134437</v>
      </c>
      <c r="F94" s="146">
        <f>F85/F82</f>
        <v>3.5348731693242534</v>
      </c>
      <c r="H94" s="147"/>
      <c r="I94" s="147"/>
      <c r="J94" s="147"/>
      <c r="K94" s="146">
        <f t="shared" ref="K94:V94" si="185">K85/K82</f>
        <v>0.83892775460782998</v>
      </c>
      <c r="L94" s="146">
        <f t="shared" si="185"/>
        <v>1.2036892015232192</v>
      </c>
      <c r="M94" s="146">
        <f t="shared" si="185"/>
        <v>1.3760917256128862</v>
      </c>
      <c r="N94" s="146">
        <f t="shared" si="185"/>
        <v>1.3854955739303627</v>
      </c>
      <c r="O94" s="146">
        <f t="shared" si="185"/>
        <v>1.992147043134437</v>
      </c>
      <c r="P94" s="146">
        <f t="shared" si="185"/>
        <v>1.6744139388518773</v>
      </c>
      <c r="Q94" s="146">
        <f t="shared" si="185"/>
        <v>1.7365984149668703</v>
      </c>
      <c r="R94" s="146">
        <f t="shared" si="185"/>
        <v>1.8958306527922653</v>
      </c>
      <c r="S94" s="146">
        <f t="shared" si="185"/>
        <v>3.5348731693242534</v>
      </c>
      <c r="T94" s="146">
        <f t="shared" si="185"/>
        <v>5.1182958772122378</v>
      </c>
      <c r="U94" s="146">
        <f t="shared" si="185"/>
        <v>7.1709234646186335</v>
      </c>
      <c r="V94" s="146">
        <f>V85/V82</f>
        <v>8.1100731192919717</v>
      </c>
      <c r="X94" s="146">
        <f t="shared" ref="X94:AH94" si="186">X85/X82</f>
        <v>0.83892775460782998</v>
      </c>
      <c r="Y94" s="146">
        <f t="shared" si="186"/>
        <v>1.2036892015232192</v>
      </c>
      <c r="Z94" s="146">
        <f t="shared" si="186"/>
        <v>1.3760917256128862</v>
      </c>
      <c r="AA94" s="146">
        <f t="shared" si="186"/>
        <v>1.3854955739303627</v>
      </c>
      <c r="AB94" s="146">
        <f t="shared" si="186"/>
        <v>1.992147043134437</v>
      </c>
      <c r="AC94" s="146">
        <f t="shared" si="186"/>
        <v>1.6744139388518773</v>
      </c>
      <c r="AD94" s="146">
        <f t="shared" si="186"/>
        <v>1.7365984149668703</v>
      </c>
      <c r="AE94" s="146">
        <f t="shared" si="186"/>
        <v>1.8958306527922653</v>
      </c>
      <c r="AF94" s="146">
        <f t="shared" si="186"/>
        <v>3.5348731693242534</v>
      </c>
      <c r="AG94" s="146">
        <f t="shared" si="186"/>
        <v>5.1182958772122378</v>
      </c>
      <c r="AH94" s="146">
        <f t="shared" si="186"/>
        <v>7.1709234646186335</v>
      </c>
      <c r="AI94" s="146">
        <f>AI85/AI82</f>
        <v>8.1100731192919717</v>
      </c>
    </row>
    <row r="95" spans="1:35" ht="5.0999999999999996" customHeight="1" thickBot="1"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</sheetData>
  <mergeCells count="1">
    <mergeCell ref="AK2:AK4"/>
  </mergeCells>
  <pageMargins left="0.7" right="0.7" top="0.75" bottom="0.75" header="0.3" footer="0.3"/>
  <ignoredErrors>
    <ignoredError sqref="G40 X40:AE40" formulaRange="1"/>
    <ignoredError sqref="X52:AI52 I54:V54 X54:AI54" formula="1"/>
    <ignoredError sqref="C89:F9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2025-12-24T20:56:28Z</dcterms:modified>
</cp:coreProperties>
</file>