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18D9FDD9-1BBD-44BB-8BD2-000D5A4998A2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93" i="8" l="1"/>
  <c r="AN93" i="8"/>
  <c r="AM93" i="8"/>
  <c r="AL93" i="8"/>
  <c r="AK93" i="8"/>
  <c r="AJ93" i="8"/>
  <c r="AI93" i="8"/>
  <c r="AH93" i="8"/>
  <c r="AF93" i="8"/>
  <c r="AE93" i="8"/>
  <c r="AD93" i="8"/>
  <c r="AC93" i="8"/>
  <c r="AB93" i="8"/>
  <c r="AA93" i="8"/>
  <c r="Z93" i="8"/>
  <c r="Y93" i="8"/>
  <c r="X93" i="8"/>
  <c r="W93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H93" i="8"/>
  <c r="G93" i="8"/>
  <c r="F93" i="8"/>
  <c r="E93" i="8"/>
  <c r="D93" i="8"/>
  <c r="C93" i="8"/>
  <c r="C102" i="8" s="1"/>
  <c r="C123" i="8" s="1"/>
  <c r="AO73" i="8"/>
  <c r="AQ73" i="8" s="1"/>
  <c r="AN73" i="8"/>
  <c r="AM73" i="8"/>
  <c r="AL73" i="8"/>
  <c r="AK73" i="8"/>
  <c r="AJ73" i="8"/>
  <c r="AI73" i="8"/>
  <c r="AH73" i="8"/>
  <c r="AO72" i="8"/>
  <c r="AQ72" i="8" s="1"/>
  <c r="AN72" i="8"/>
  <c r="AM72" i="8"/>
  <c r="AL72" i="8"/>
  <c r="AK72" i="8"/>
  <c r="AJ72" i="8"/>
  <c r="AI72" i="8"/>
  <c r="AH72" i="8"/>
  <c r="AO64" i="8"/>
  <c r="AN64" i="8"/>
  <c r="AM64" i="8"/>
  <c r="AL64" i="8"/>
  <c r="AK64" i="8"/>
  <c r="AJ64" i="8"/>
  <c r="AI64" i="8"/>
  <c r="AH64" i="8"/>
  <c r="AO56" i="8"/>
  <c r="AN56" i="8"/>
  <c r="AM56" i="8"/>
  <c r="AL56" i="8"/>
  <c r="AK56" i="8"/>
  <c r="AJ56" i="8"/>
  <c r="AI56" i="8"/>
  <c r="AH56" i="8"/>
  <c r="AO26" i="8"/>
  <c r="AN26" i="8"/>
  <c r="AM26" i="8"/>
  <c r="AL26" i="8"/>
  <c r="AK26" i="8"/>
  <c r="AJ26" i="8"/>
  <c r="AI26" i="8"/>
  <c r="AH26" i="8"/>
  <c r="AO25" i="8"/>
  <c r="AN25" i="8"/>
  <c r="AM25" i="8"/>
  <c r="AL25" i="8"/>
  <c r="AK25" i="8"/>
  <c r="AJ25" i="8"/>
  <c r="AI25" i="8"/>
  <c r="AH25" i="8"/>
  <c r="AO14" i="8"/>
  <c r="AN14" i="8"/>
  <c r="AM14" i="8"/>
  <c r="AL14" i="8"/>
  <c r="AK14" i="8"/>
  <c r="AJ14" i="8"/>
  <c r="AI14" i="8"/>
  <c r="AH14" i="8"/>
  <c r="B27" i="10"/>
  <c r="B26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H24" i="10"/>
  <c r="G24" i="10"/>
  <c r="F24" i="10"/>
  <c r="E24" i="10"/>
  <c r="D24" i="10"/>
  <c r="C24" i="10"/>
  <c r="AO23" i="10"/>
  <c r="AN23" i="10"/>
  <c r="AM23" i="10"/>
  <c r="AL23" i="10"/>
  <c r="AK23" i="10"/>
  <c r="AJ23" i="10"/>
  <c r="AI23" i="10"/>
  <c r="AH23" i="10"/>
  <c r="AO22" i="10"/>
  <c r="AO24" i="10" s="1"/>
  <c r="AN22" i="10"/>
  <c r="AM22" i="10"/>
  <c r="AM24" i="10" s="1"/>
  <c r="AL22" i="10"/>
  <c r="AL24" i="10" s="1"/>
  <c r="AK22" i="10"/>
  <c r="AK24" i="10" s="1"/>
  <c r="AJ22" i="10"/>
  <c r="AJ24" i="10" s="1"/>
  <c r="AI22" i="10"/>
  <c r="AI24" i="10" s="1"/>
  <c r="AH22" i="10"/>
  <c r="AH24" i="10" s="1"/>
  <c r="C34" i="10"/>
  <c r="C13" i="10"/>
  <c r="C36" i="10" s="1"/>
  <c r="C4" i="10"/>
  <c r="C3" i="10"/>
  <c r="C119" i="8"/>
  <c r="C115" i="8"/>
  <c r="C109" i="8"/>
  <c r="C90" i="8"/>
  <c r="C89" i="8"/>
  <c r="C82" i="8"/>
  <c r="C68" i="8"/>
  <c r="C76" i="8" s="1"/>
  <c r="C51" i="8"/>
  <c r="C60" i="8" s="1"/>
  <c r="C42" i="8"/>
  <c r="C41" i="8"/>
  <c r="C11" i="8"/>
  <c r="C15" i="8" s="1"/>
  <c r="B19" i="10"/>
  <c r="B18" i="10"/>
  <c r="B17" i="10"/>
  <c r="AO11" i="10"/>
  <c r="AN11" i="10"/>
  <c r="AM11" i="10"/>
  <c r="AL11" i="10"/>
  <c r="AK11" i="10"/>
  <c r="AJ11" i="10"/>
  <c r="AI11" i="10"/>
  <c r="AH11" i="10"/>
  <c r="AO10" i="10"/>
  <c r="AN10" i="10"/>
  <c r="AM10" i="10"/>
  <c r="AL10" i="10"/>
  <c r="AK10" i="10"/>
  <c r="AJ10" i="10"/>
  <c r="AI10" i="10"/>
  <c r="AH10" i="10"/>
  <c r="AO9" i="10"/>
  <c r="AN9" i="10"/>
  <c r="AM9" i="10"/>
  <c r="AL9" i="10"/>
  <c r="AK9" i="10"/>
  <c r="AJ9" i="10"/>
  <c r="AI9" i="10"/>
  <c r="AH9" i="10"/>
  <c r="J34" i="10"/>
  <c r="J4" i="10"/>
  <c r="J3" i="10"/>
  <c r="M34" i="10"/>
  <c r="L34" i="10"/>
  <c r="K34" i="10"/>
  <c r="K13" i="10"/>
  <c r="K17" i="10" s="1"/>
  <c r="M4" i="10"/>
  <c r="L4" i="10"/>
  <c r="K4" i="10"/>
  <c r="M3" i="10"/>
  <c r="L3" i="10"/>
  <c r="K3" i="10"/>
  <c r="L119" i="8"/>
  <c r="K119" i="8"/>
  <c r="J119" i="8"/>
  <c r="L115" i="8"/>
  <c r="K115" i="8"/>
  <c r="J115" i="8"/>
  <c r="L109" i="8"/>
  <c r="K109" i="8"/>
  <c r="J109" i="8"/>
  <c r="L90" i="8"/>
  <c r="K90" i="8"/>
  <c r="J90" i="8"/>
  <c r="L89" i="8"/>
  <c r="K89" i="8"/>
  <c r="J89" i="8"/>
  <c r="L82" i="8"/>
  <c r="K82" i="8"/>
  <c r="J82" i="8"/>
  <c r="L68" i="8"/>
  <c r="L76" i="8" s="1"/>
  <c r="K68" i="8"/>
  <c r="K76" i="8" s="1"/>
  <c r="J68" i="8"/>
  <c r="J76" i="8" s="1"/>
  <c r="L51" i="8"/>
  <c r="L60" i="8" s="1"/>
  <c r="K51" i="8"/>
  <c r="K60" i="8" s="1"/>
  <c r="J51" i="8"/>
  <c r="J60" i="8" s="1"/>
  <c r="L42" i="8"/>
  <c r="K42" i="8"/>
  <c r="J42" i="8"/>
  <c r="L41" i="8"/>
  <c r="K41" i="8"/>
  <c r="J41" i="8"/>
  <c r="L11" i="8"/>
  <c r="L15" i="8" s="1"/>
  <c r="K11" i="8"/>
  <c r="K15" i="8" s="1"/>
  <c r="J11" i="8"/>
  <c r="J15" i="8" s="1"/>
  <c r="M119" i="8"/>
  <c r="M115" i="8"/>
  <c r="M109" i="8"/>
  <c r="M90" i="8"/>
  <c r="M89" i="8"/>
  <c r="M82" i="8"/>
  <c r="M68" i="8"/>
  <c r="M76" i="8" s="1"/>
  <c r="M51" i="8"/>
  <c r="M60" i="8" s="1"/>
  <c r="M42" i="8"/>
  <c r="M41" i="8"/>
  <c r="M11" i="8"/>
  <c r="M15" i="8" s="1"/>
  <c r="AQ64" i="8" l="1"/>
  <c r="AQ56" i="8"/>
  <c r="AQ26" i="8"/>
  <c r="AQ25" i="8"/>
  <c r="C83" i="8"/>
  <c r="C85" i="8" s="1"/>
  <c r="L21" i="8"/>
  <c r="J21" i="8"/>
  <c r="J22" i="8" s="1"/>
  <c r="AN24" i="10"/>
  <c r="K26" i="10"/>
  <c r="C26" i="10"/>
  <c r="K27" i="10"/>
  <c r="C27" i="10"/>
  <c r="C37" i="10"/>
  <c r="C14" i="10"/>
  <c r="C16" i="10"/>
  <c r="C17" i="10"/>
  <c r="C18" i="10"/>
  <c r="C19" i="10"/>
  <c r="C124" i="8"/>
  <c r="C126" i="8" s="1"/>
  <c r="C21" i="8"/>
  <c r="C16" i="8"/>
  <c r="K19" i="10"/>
  <c r="K18" i="10"/>
  <c r="K16" i="10"/>
  <c r="K37" i="10"/>
  <c r="M13" i="10"/>
  <c r="J13" i="10"/>
  <c r="L13" i="10"/>
  <c r="K14" i="10"/>
  <c r="K36" i="10"/>
  <c r="L83" i="8"/>
  <c r="L85" i="8" s="1"/>
  <c r="M83" i="8"/>
  <c r="M85" i="8" s="1"/>
  <c r="J83" i="8"/>
  <c r="J85" i="8" s="1"/>
  <c r="K83" i="8"/>
  <c r="K85" i="8" s="1"/>
  <c r="K21" i="8"/>
  <c r="K16" i="8"/>
  <c r="L27" i="8"/>
  <c r="L31" i="8" s="1"/>
  <c r="L22" i="8"/>
  <c r="L16" i="8"/>
  <c r="J16" i="8"/>
  <c r="M21" i="8"/>
  <c r="M16" i="8"/>
  <c r="J27" i="8" l="1"/>
  <c r="J31" i="8" s="1"/>
  <c r="L27" i="10"/>
  <c r="L26" i="10"/>
  <c r="M27" i="10"/>
  <c r="M26" i="10"/>
  <c r="J26" i="10"/>
  <c r="J27" i="10"/>
  <c r="C27" i="8"/>
  <c r="C22" i="8"/>
  <c r="M18" i="10"/>
  <c r="M19" i="10"/>
  <c r="M17" i="10"/>
  <c r="J19" i="10"/>
  <c r="J17" i="10"/>
  <c r="J18" i="10"/>
  <c r="L17" i="10"/>
  <c r="L18" i="10"/>
  <c r="L19" i="10"/>
  <c r="M14" i="10"/>
  <c r="M36" i="10"/>
  <c r="M16" i="10"/>
  <c r="M37" i="10"/>
  <c r="J36" i="10"/>
  <c r="J37" i="10"/>
  <c r="J14" i="10"/>
  <c r="J16" i="10"/>
  <c r="L37" i="10"/>
  <c r="L14" i="10"/>
  <c r="L36" i="10"/>
  <c r="L16" i="10"/>
  <c r="L28" i="8"/>
  <c r="K27" i="8"/>
  <c r="K31" i="8" s="1"/>
  <c r="K22" i="8"/>
  <c r="M27" i="8"/>
  <c r="M31" i="8" s="1"/>
  <c r="M22" i="8"/>
  <c r="J28" i="8" l="1"/>
  <c r="C31" i="8"/>
  <c r="C28" i="8"/>
  <c r="K28" i="8"/>
  <c r="L102" i="8"/>
  <c r="L123" i="8" s="1"/>
  <c r="L124" i="8" s="1"/>
  <c r="L126" i="8" s="1"/>
  <c r="J102" i="8"/>
  <c r="J123" i="8" s="1"/>
  <c r="J124" i="8" s="1"/>
  <c r="J126" i="8" s="1"/>
  <c r="M28" i="8"/>
  <c r="C35" i="8" l="1"/>
  <c r="C32" i="8"/>
  <c r="C38" i="8"/>
  <c r="J32" i="8"/>
  <c r="J38" i="8"/>
  <c r="J35" i="8"/>
  <c r="L38" i="8"/>
  <c r="L32" i="8"/>
  <c r="L35" i="8"/>
  <c r="K102" i="8"/>
  <c r="K123" i="8" s="1"/>
  <c r="K124" i="8" s="1"/>
  <c r="K126" i="8" s="1"/>
  <c r="M102" i="8"/>
  <c r="M123" i="8" s="1"/>
  <c r="M124" i="8" s="1"/>
  <c r="M126" i="8" s="1"/>
  <c r="K32" i="8" l="1"/>
  <c r="K38" i="8"/>
  <c r="K35" i="8"/>
  <c r="M35" i="8"/>
  <c r="M38" i="8"/>
  <c r="M32" i="8"/>
  <c r="AO75" i="8" l="1"/>
  <c r="AQ75" i="8" s="1"/>
  <c r="AN75" i="8"/>
  <c r="AM75" i="8"/>
  <c r="AL75" i="8"/>
  <c r="AK75" i="8"/>
  <c r="AJ75" i="8"/>
  <c r="AI75" i="8"/>
  <c r="AH75" i="8"/>
  <c r="AO74" i="8"/>
  <c r="AN74" i="8"/>
  <c r="AM74" i="8"/>
  <c r="AK74" i="8"/>
  <c r="AJ74" i="8"/>
  <c r="AI74" i="8"/>
  <c r="AL74" i="8"/>
  <c r="AH74" i="8"/>
  <c r="AO46" i="8"/>
  <c r="AN46" i="8"/>
  <c r="AM46" i="8"/>
  <c r="AK46" i="8"/>
  <c r="AJ46" i="8"/>
  <c r="AI46" i="8"/>
  <c r="AL46" i="8"/>
  <c r="AH46" i="8"/>
  <c r="AO30" i="8"/>
  <c r="AN30" i="8"/>
  <c r="AM30" i="8"/>
  <c r="AL30" i="8"/>
  <c r="AK30" i="8"/>
  <c r="AJ30" i="8"/>
  <c r="AI30" i="8"/>
  <c r="AH30" i="8"/>
  <c r="AO20" i="8"/>
  <c r="AN20" i="8"/>
  <c r="AM20" i="8"/>
  <c r="AL20" i="8"/>
  <c r="AK20" i="8"/>
  <c r="AJ20" i="8"/>
  <c r="AI20" i="8"/>
  <c r="AH20" i="8"/>
  <c r="AO19" i="8"/>
  <c r="AN19" i="8"/>
  <c r="AM19" i="8"/>
  <c r="AL19" i="8"/>
  <c r="AK19" i="8"/>
  <c r="AJ19" i="8"/>
  <c r="AI19" i="8"/>
  <c r="AH19" i="8"/>
  <c r="AO18" i="8"/>
  <c r="AN18" i="8"/>
  <c r="AM18" i="8"/>
  <c r="AL18" i="8"/>
  <c r="AK18" i="8"/>
  <c r="AJ18" i="8"/>
  <c r="AI18" i="8"/>
  <c r="AH18" i="8"/>
  <c r="AN13" i="8"/>
  <c r="AM13" i="8"/>
  <c r="AL13" i="8"/>
  <c r="AK13" i="8"/>
  <c r="AJ13" i="8"/>
  <c r="AI13" i="8"/>
  <c r="AH13" i="8"/>
  <c r="AN10" i="8"/>
  <c r="AM10" i="8"/>
  <c r="AL10" i="8"/>
  <c r="AK10" i="8"/>
  <c r="AJ10" i="8"/>
  <c r="AI10" i="8"/>
  <c r="AH10" i="8"/>
  <c r="AO33" i="10"/>
  <c r="AN33" i="10"/>
  <c r="AM33" i="10"/>
  <c r="AL33" i="10"/>
  <c r="AK33" i="10"/>
  <c r="AJ33" i="10"/>
  <c r="AI33" i="10"/>
  <c r="AH33" i="10"/>
  <c r="AO32" i="10"/>
  <c r="AN32" i="10"/>
  <c r="AM32" i="10"/>
  <c r="AL32" i="10"/>
  <c r="AK32" i="10"/>
  <c r="AJ32" i="10"/>
  <c r="AI32" i="10"/>
  <c r="AH32" i="10"/>
  <c r="AN12" i="10"/>
  <c r="AM12" i="10"/>
  <c r="AL12" i="10"/>
  <c r="AK12" i="10"/>
  <c r="AJ12" i="10"/>
  <c r="AI12" i="10"/>
  <c r="AH12" i="10"/>
  <c r="O34" i="10"/>
  <c r="N34" i="10"/>
  <c r="O4" i="10"/>
  <c r="N4" i="10"/>
  <c r="O3" i="10"/>
  <c r="N3" i="10"/>
  <c r="U34" i="10"/>
  <c r="T34" i="10"/>
  <c r="S34" i="10"/>
  <c r="R34" i="10"/>
  <c r="Q34" i="10"/>
  <c r="P34" i="10"/>
  <c r="U4" i="10"/>
  <c r="T4" i="10"/>
  <c r="S4" i="10"/>
  <c r="R4" i="10"/>
  <c r="Q4" i="10"/>
  <c r="P4" i="10"/>
  <c r="U3" i="10"/>
  <c r="T3" i="10"/>
  <c r="S3" i="10"/>
  <c r="R3" i="10"/>
  <c r="Q3" i="10"/>
  <c r="P3" i="10"/>
  <c r="Q119" i="8"/>
  <c r="P119" i="8"/>
  <c r="O119" i="8"/>
  <c r="Q115" i="8"/>
  <c r="P115" i="8"/>
  <c r="O115" i="8"/>
  <c r="Q109" i="8"/>
  <c r="P109" i="8"/>
  <c r="O109" i="8"/>
  <c r="Q90" i="8"/>
  <c r="P90" i="8"/>
  <c r="O90" i="8"/>
  <c r="Q89" i="8"/>
  <c r="P89" i="8"/>
  <c r="O89" i="8"/>
  <c r="Q82" i="8"/>
  <c r="P82" i="8"/>
  <c r="O82" i="8"/>
  <c r="Q68" i="8"/>
  <c r="Q76" i="8" s="1"/>
  <c r="P68" i="8"/>
  <c r="P76" i="8" s="1"/>
  <c r="O68" i="8"/>
  <c r="O76" i="8" s="1"/>
  <c r="Q51" i="8"/>
  <c r="Q60" i="8" s="1"/>
  <c r="P51" i="8"/>
  <c r="P60" i="8" s="1"/>
  <c r="O51" i="8"/>
  <c r="O60" i="8" s="1"/>
  <c r="Q42" i="8"/>
  <c r="P42" i="8"/>
  <c r="O42" i="8"/>
  <c r="Q41" i="8"/>
  <c r="P41" i="8"/>
  <c r="O41" i="8"/>
  <c r="Q11" i="8"/>
  <c r="Q15" i="8" s="1"/>
  <c r="P11" i="8"/>
  <c r="P15" i="8" s="1"/>
  <c r="O11" i="8"/>
  <c r="T119" i="8"/>
  <c r="S119" i="8"/>
  <c r="R119" i="8"/>
  <c r="N119" i="8"/>
  <c r="T115" i="8"/>
  <c r="S115" i="8"/>
  <c r="R115" i="8"/>
  <c r="N115" i="8"/>
  <c r="T109" i="8"/>
  <c r="S109" i="8"/>
  <c r="R109" i="8"/>
  <c r="N109" i="8"/>
  <c r="T90" i="8"/>
  <c r="S90" i="8"/>
  <c r="R90" i="8"/>
  <c r="N90" i="8"/>
  <c r="T89" i="8"/>
  <c r="S89" i="8"/>
  <c r="R89" i="8"/>
  <c r="N89" i="8"/>
  <c r="T82" i="8"/>
  <c r="S82" i="8"/>
  <c r="R82" i="8"/>
  <c r="N82" i="8"/>
  <c r="T68" i="8"/>
  <c r="T76" i="8" s="1"/>
  <c r="S68" i="8"/>
  <c r="S76" i="8" s="1"/>
  <c r="R68" i="8"/>
  <c r="R76" i="8" s="1"/>
  <c r="N68" i="8"/>
  <c r="N76" i="8" s="1"/>
  <c r="T51" i="8"/>
  <c r="T60" i="8" s="1"/>
  <c r="S51" i="8"/>
  <c r="S60" i="8" s="1"/>
  <c r="R51" i="8"/>
  <c r="R60" i="8" s="1"/>
  <c r="N51" i="8"/>
  <c r="N60" i="8" s="1"/>
  <c r="T42" i="8"/>
  <c r="S42" i="8"/>
  <c r="R42" i="8"/>
  <c r="N42" i="8"/>
  <c r="T41" i="8"/>
  <c r="S41" i="8"/>
  <c r="R41" i="8"/>
  <c r="N41" i="8"/>
  <c r="T11" i="8"/>
  <c r="T15" i="8" s="1"/>
  <c r="S11" i="8"/>
  <c r="R11" i="8"/>
  <c r="R15" i="8" s="1"/>
  <c r="N11" i="8"/>
  <c r="U119" i="8"/>
  <c r="U115" i="8"/>
  <c r="U109" i="8"/>
  <c r="U90" i="8"/>
  <c r="U89" i="8"/>
  <c r="U82" i="8"/>
  <c r="U68" i="8"/>
  <c r="U76" i="8" s="1"/>
  <c r="U51" i="8"/>
  <c r="U60" i="8" s="1"/>
  <c r="U42" i="8"/>
  <c r="U41" i="8"/>
  <c r="U11" i="8"/>
  <c r="U15" i="8" s="1"/>
  <c r="AH24" i="8"/>
  <c r="AI24" i="8"/>
  <c r="AJ24" i="8"/>
  <c r="AK24" i="8"/>
  <c r="AL24" i="8"/>
  <c r="AM24" i="8"/>
  <c r="AN24" i="8"/>
  <c r="E34" i="10"/>
  <c r="D34" i="10"/>
  <c r="E4" i="10"/>
  <c r="D4" i="10"/>
  <c r="E3" i="10"/>
  <c r="D3" i="10"/>
  <c r="E119" i="8"/>
  <c r="D119" i="8"/>
  <c r="E115" i="8"/>
  <c r="D115" i="8"/>
  <c r="E109" i="8"/>
  <c r="D109" i="8"/>
  <c r="E90" i="8"/>
  <c r="D90" i="8"/>
  <c r="E89" i="8"/>
  <c r="D89" i="8"/>
  <c r="E82" i="8"/>
  <c r="D82" i="8"/>
  <c r="E68" i="8"/>
  <c r="E76" i="8" s="1"/>
  <c r="D68" i="8"/>
  <c r="D76" i="8" s="1"/>
  <c r="E51" i="8"/>
  <c r="E60" i="8" s="1"/>
  <c r="D51" i="8"/>
  <c r="D60" i="8" s="1"/>
  <c r="E42" i="8"/>
  <c r="D42" i="8"/>
  <c r="E41" i="8"/>
  <c r="D41" i="8"/>
  <c r="E11" i="8"/>
  <c r="D11" i="8"/>
  <c r="D15" i="8" s="1"/>
  <c r="B37" i="10"/>
  <c r="S15" i="8" l="1"/>
  <c r="S21" i="8" s="1"/>
  <c r="E15" i="8"/>
  <c r="E16" i="8" s="1"/>
  <c r="O15" i="8"/>
  <c r="O21" i="8" s="1"/>
  <c r="O27" i="8" s="1"/>
  <c r="O31" i="8" s="1"/>
  <c r="N15" i="8"/>
  <c r="N16" i="8" s="1"/>
  <c r="AQ74" i="8"/>
  <c r="AQ46" i="8"/>
  <c r="AQ30" i="8"/>
  <c r="Q83" i="8"/>
  <c r="Q85" i="8" s="1"/>
  <c r="T83" i="8"/>
  <c r="T85" i="8" s="1"/>
  <c r="AQ20" i="8"/>
  <c r="N83" i="8"/>
  <c r="N85" i="8" s="1"/>
  <c r="P16" i="8"/>
  <c r="P21" i="8"/>
  <c r="P27" i="8" s="1"/>
  <c r="P31" i="8" s="1"/>
  <c r="N13" i="10"/>
  <c r="O13" i="10"/>
  <c r="Q13" i="10"/>
  <c r="S13" i="10"/>
  <c r="P13" i="10"/>
  <c r="R13" i="10"/>
  <c r="T13" i="10"/>
  <c r="U13" i="10"/>
  <c r="Q16" i="8"/>
  <c r="Q21" i="8"/>
  <c r="O83" i="8"/>
  <c r="O85" i="8" s="1"/>
  <c r="P83" i="8"/>
  <c r="P85" i="8" s="1"/>
  <c r="R83" i="8"/>
  <c r="R85" i="8" s="1"/>
  <c r="T21" i="8"/>
  <c r="T16" i="8"/>
  <c r="S83" i="8"/>
  <c r="S85" i="8" s="1"/>
  <c r="R21" i="8"/>
  <c r="R16" i="8"/>
  <c r="U83" i="8"/>
  <c r="U85" i="8" s="1"/>
  <c r="U16" i="8"/>
  <c r="U21" i="8"/>
  <c r="E83" i="8"/>
  <c r="E85" i="8" s="1"/>
  <c r="AQ19" i="8"/>
  <c r="D83" i="8"/>
  <c r="D85" i="8" s="1"/>
  <c r="E13" i="10"/>
  <c r="D13" i="10"/>
  <c r="D16" i="8"/>
  <c r="D21" i="8"/>
  <c r="O16" i="8" l="1"/>
  <c r="N21" i="8"/>
  <c r="N27" i="8" s="1"/>
  <c r="N31" i="8" s="1"/>
  <c r="S16" i="8"/>
  <c r="S27" i="8"/>
  <c r="S31" i="8" s="1"/>
  <c r="S22" i="8"/>
  <c r="E21" i="8"/>
  <c r="O22" i="8"/>
  <c r="T27" i="10"/>
  <c r="T26" i="10"/>
  <c r="P27" i="10"/>
  <c r="P26" i="10"/>
  <c r="S26" i="10"/>
  <c r="S27" i="10"/>
  <c r="R26" i="10"/>
  <c r="R27" i="10"/>
  <c r="D27" i="10"/>
  <c r="D26" i="10"/>
  <c r="Q26" i="10"/>
  <c r="Q27" i="10"/>
  <c r="E27" i="10"/>
  <c r="E26" i="10"/>
  <c r="O27" i="10"/>
  <c r="O26" i="10"/>
  <c r="N27" i="10"/>
  <c r="N26" i="10"/>
  <c r="U27" i="10"/>
  <c r="U26" i="10"/>
  <c r="R16" i="10"/>
  <c r="R19" i="10"/>
  <c r="R17" i="10"/>
  <c r="R18" i="10"/>
  <c r="P19" i="10"/>
  <c r="P17" i="10"/>
  <c r="P18" i="10"/>
  <c r="T16" i="10"/>
  <c r="T18" i="10"/>
  <c r="T19" i="10"/>
  <c r="T17" i="10"/>
  <c r="D18" i="10"/>
  <c r="D19" i="10"/>
  <c r="D17" i="10"/>
  <c r="S17" i="10"/>
  <c r="S18" i="10"/>
  <c r="S19" i="10"/>
  <c r="E18" i="10"/>
  <c r="E19" i="10"/>
  <c r="E17" i="10"/>
  <c r="Q19" i="10"/>
  <c r="Q17" i="10"/>
  <c r="Q18" i="10"/>
  <c r="O16" i="10"/>
  <c r="O18" i="10"/>
  <c r="O19" i="10"/>
  <c r="O17" i="10"/>
  <c r="N18" i="10"/>
  <c r="N19" i="10"/>
  <c r="N17" i="10"/>
  <c r="U18" i="10"/>
  <c r="U19" i="10"/>
  <c r="U17" i="10"/>
  <c r="P32" i="8"/>
  <c r="P38" i="8"/>
  <c r="P35" i="8"/>
  <c r="P22" i="8"/>
  <c r="P28" i="8"/>
  <c r="Q14" i="10"/>
  <c r="Q36" i="10"/>
  <c r="P16" i="10"/>
  <c r="Q37" i="10"/>
  <c r="Q16" i="10"/>
  <c r="O14" i="10"/>
  <c r="O36" i="10"/>
  <c r="O37" i="10"/>
  <c r="N36" i="10"/>
  <c r="N16" i="10"/>
  <c r="N14" i="10"/>
  <c r="N37" i="10"/>
  <c r="U37" i="10"/>
  <c r="U36" i="10"/>
  <c r="U14" i="10"/>
  <c r="S14" i="10"/>
  <c r="S37" i="10"/>
  <c r="S36" i="10"/>
  <c r="S16" i="10"/>
  <c r="U16" i="10"/>
  <c r="P14" i="10"/>
  <c r="P37" i="10"/>
  <c r="P36" i="10"/>
  <c r="T37" i="10"/>
  <c r="T36" i="10"/>
  <c r="T14" i="10"/>
  <c r="R14" i="10"/>
  <c r="R37" i="10"/>
  <c r="R36" i="10"/>
  <c r="O28" i="8"/>
  <c r="P102" i="8"/>
  <c r="P123" i="8" s="1"/>
  <c r="P124" i="8" s="1"/>
  <c r="P126" i="8" s="1"/>
  <c r="Q27" i="8"/>
  <c r="Q31" i="8" s="1"/>
  <c r="Q22" i="8"/>
  <c r="R27" i="8"/>
  <c r="R31" i="8" s="1"/>
  <c r="R22" i="8"/>
  <c r="T27" i="8"/>
  <c r="T31" i="8" s="1"/>
  <c r="T22" i="8"/>
  <c r="U27" i="8"/>
  <c r="U31" i="8" s="1"/>
  <c r="U22" i="8"/>
  <c r="D36" i="10"/>
  <c r="D37" i="10"/>
  <c r="D16" i="10"/>
  <c r="D14" i="10"/>
  <c r="E14" i="10"/>
  <c r="E37" i="10"/>
  <c r="E16" i="10"/>
  <c r="E36" i="10"/>
  <c r="E102" i="8"/>
  <c r="E123" i="8" s="1"/>
  <c r="E124" i="8" s="1"/>
  <c r="E126" i="8" s="1"/>
  <c r="D27" i="8"/>
  <c r="D31" i="8" s="1"/>
  <c r="D22" i="8"/>
  <c r="S28" i="8" l="1"/>
  <c r="N22" i="8"/>
  <c r="N28" i="8"/>
  <c r="E27" i="8"/>
  <c r="E22" i="8"/>
  <c r="S32" i="8"/>
  <c r="S38" i="8"/>
  <c r="S35" i="8"/>
  <c r="N32" i="8"/>
  <c r="N38" i="8"/>
  <c r="N35" i="8"/>
  <c r="O32" i="8"/>
  <c r="O38" i="8"/>
  <c r="O35" i="8"/>
  <c r="O102" i="8"/>
  <c r="O123" i="8" s="1"/>
  <c r="O124" i="8" s="1"/>
  <c r="O126" i="8" s="1"/>
  <c r="Q28" i="8"/>
  <c r="R28" i="8"/>
  <c r="T28" i="8"/>
  <c r="N102" i="8"/>
  <c r="N123" i="8" s="1"/>
  <c r="N124" i="8" s="1"/>
  <c r="N126" i="8" s="1"/>
  <c r="S102" i="8"/>
  <c r="S123" i="8" s="1"/>
  <c r="S124" i="8" s="1"/>
  <c r="S126" i="8" s="1"/>
  <c r="U28" i="8"/>
  <c r="D28" i="8"/>
  <c r="D38" i="8"/>
  <c r="E31" i="8" l="1"/>
  <c r="E28" i="8"/>
  <c r="T32" i="8"/>
  <c r="T38" i="8"/>
  <c r="T35" i="8"/>
  <c r="R32" i="8"/>
  <c r="R38" i="8"/>
  <c r="R35" i="8"/>
  <c r="U32" i="8"/>
  <c r="U38" i="8"/>
  <c r="U35" i="8"/>
  <c r="Q32" i="8"/>
  <c r="Q38" i="8"/>
  <c r="Q35" i="8"/>
  <c r="D32" i="8"/>
  <c r="D35" i="8"/>
  <c r="Q102" i="8"/>
  <c r="Q123" i="8" s="1"/>
  <c r="Q124" i="8" s="1"/>
  <c r="Q126" i="8" s="1"/>
  <c r="T102" i="8"/>
  <c r="T123" i="8" s="1"/>
  <c r="T124" i="8" s="1"/>
  <c r="T126" i="8" s="1"/>
  <c r="R102" i="8"/>
  <c r="R123" i="8" s="1"/>
  <c r="R124" i="8" s="1"/>
  <c r="R126" i="8" s="1"/>
  <c r="U102" i="8"/>
  <c r="U123" i="8" s="1"/>
  <c r="U124" i="8" s="1"/>
  <c r="U126" i="8" s="1"/>
  <c r="D102" i="8"/>
  <c r="D123" i="8" s="1"/>
  <c r="D124" i="8" s="1"/>
  <c r="D126" i="8" s="1"/>
  <c r="E38" i="8" l="1"/>
  <c r="E32" i="8"/>
  <c r="E35" i="8"/>
  <c r="B36" i="10"/>
  <c r="AF34" i="10"/>
  <c r="AE34" i="10"/>
  <c r="AD34" i="10"/>
  <c r="AC34" i="10"/>
  <c r="AB34" i="10"/>
  <c r="AA34" i="10"/>
  <c r="Z34" i="10"/>
  <c r="Y34" i="10"/>
  <c r="X34" i="10"/>
  <c r="W34" i="10"/>
  <c r="V34" i="10"/>
  <c r="H34" i="10"/>
  <c r="G34" i="10"/>
  <c r="F34" i="10"/>
  <c r="AN34" i="10"/>
  <c r="AM34" i="10"/>
  <c r="AK34" i="10"/>
  <c r="AH34" i="10"/>
  <c r="AO34" i="10" l="1"/>
  <c r="AJ34" i="10"/>
  <c r="AI34" i="10"/>
  <c r="AL34" i="10"/>
  <c r="AO12" i="10" l="1"/>
  <c r="AL47" i="8"/>
  <c r="AL57" i="8"/>
  <c r="AL67" i="8"/>
  <c r="AL66" i="8"/>
  <c r="AH47" i="8"/>
  <c r="AH57" i="8"/>
  <c r="AH67" i="8"/>
  <c r="AH66" i="8"/>
  <c r="AO67" i="8"/>
  <c r="AN67" i="8"/>
  <c r="AM67" i="8"/>
  <c r="AK67" i="8"/>
  <c r="AJ67" i="8"/>
  <c r="AI67" i="8"/>
  <c r="AO66" i="8"/>
  <c r="AN66" i="8"/>
  <c r="AM66" i="8"/>
  <c r="AK66" i="8"/>
  <c r="AJ66" i="8"/>
  <c r="AI66" i="8"/>
  <c r="AO57" i="8"/>
  <c r="AN57" i="8"/>
  <c r="AM57" i="8"/>
  <c r="AK57" i="8"/>
  <c r="AJ57" i="8"/>
  <c r="AI57" i="8"/>
  <c r="AO47" i="8"/>
  <c r="AN47" i="8"/>
  <c r="AM47" i="8"/>
  <c r="AK47" i="8"/>
  <c r="AJ47" i="8"/>
  <c r="AI47" i="8"/>
  <c r="AQ66" i="8" l="1"/>
  <c r="AQ67" i="8"/>
  <c r="AQ57" i="8"/>
  <c r="AQ47" i="8"/>
  <c r="AL50" i="8" l="1"/>
  <c r="AL49" i="8"/>
  <c r="AL59" i="8"/>
  <c r="AL58" i="8"/>
  <c r="AL65" i="8"/>
  <c r="AH59" i="8"/>
  <c r="AH58" i="8"/>
  <c r="AH65" i="8"/>
  <c r="AH50" i="8"/>
  <c r="AH49" i="8"/>
  <c r="AO58" i="8"/>
  <c r="AN58" i="8"/>
  <c r="AM58" i="8"/>
  <c r="AK58" i="8"/>
  <c r="AJ58" i="8"/>
  <c r="AI58" i="8"/>
  <c r="AC81" i="8"/>
  <c r="Y81" i="8"/>
  <c r="AC80" i="8"/>
  <c r="Y80" i="8"/>
  <c r="AC79" i="8"/>
  <c r="Y79" i="8"/>
  <c r="AO49" i="8"/>
  <c r="AN49" i="8"/>
  <c r="AM49" i="8"/>
  <c r="AK49" i="8"/>
  <c r="AJ49" i="8"/>
  <c r="AI49" i="8"/>
  <c r="AO65" i="8"/>
  <c r="AN65" i="8"/>
  <c r="AM65" i="8"/>
  <c r="AK65" i="8"/>
  <c r="AJ65" i="8"/>
  <c r="AI65" i="8"/>
  <c r="AO59" i="8"/>
  <c r="AN59" i="8"/>
  <c r="AM59" i="8"/>
  <c r="AK59" i="8"/>
  <c r="AJ59" i="8"/>
  <c r="AI59" i="8"/>
  <c r="AO50" i="8"/>
  <c r="AN50" i="8"/>
  <c r="AM50" i="8"/>
  <c r="AK50" i="8"/>
  <c r="AJ50" i="8"/>
  <c r="AI50" i="8"/>
  <c r="AC37" i="8"/>
  <c r="Y37" i="8"/>
  <c r="AQ58" i="8" l="1"/>
  <c r="AQ49" i="8"/>
  <c r="AQ65" i="8"/>
  <c r="AB13" i="10"/>
  <c r="AK13" i="10"/>
  <c r="AQ50" i="8"/>
  <c r="AQ59" i="8"/>
  <c r="AO13" i="8"/>
  <c r="AO81" i="8"/>
  <c r="AN81" i="8"/>
  <c r="AM81" i="8"/>
  <c r="AK81" i="8"/>
  <c r="AJ81" i="8"/>
  <c r="AI81" i="8"/>
  <c r="AO80" i="8"/>
  <c r="AN80" i="8"/>
  <c r="AM80" i="8"/>
  <c r="AK80" i="8"/>
  <c r="AJ80" i="8"/>
  <c r="AI80" i="8"/>
  <c r="AO79" i="8"/>
  <c r="AN79" i="8"/>
  <c r="AM79" i="8"/>
  <c r="AK79" i="8"/>
  <c r="AJ79" i="8"/>
  <c r="AI79" i="8"/>
  <c r="AL81" i="8"/>
  <c r="AL80" i="8"/>
  <c r="AL79" i="8"/>
  <c r="AH81" i="8"/>
  <c r="AH80" i="8"/>
  <c r="AH79" i="8"/>
  <c r="AL48" i="8"/>
  <c r="AH48" i="8"/>
  <c r="AO48" i="8"/>
  <c r="AN48" i="8"/>
  <c r="AM48" i="8"/>
  <c r="AK48" i="8"/>
  <c r="AJ48" i="8"/>
  <c r="AI48" i="8"/>
  <c r="AF4" i="10"/>
  <c r="AE4" i="10"/>
  <c r="AN4" i="10" s="1"/>
  <c r="AD4" i="10"/>
  <c r="AM4" i="10" s="1"/>
  <c r="AB4" i="10"/>
  <c r="AK4" i="10" s="1"/>
  <c r="AA4" i="10"/>
  <c r="AJ4" i="10" s="1"/>
  <c r="Z4" i="10"/>
  <c r="AI4" i="10" s="1"/>
  <c r="X4" i="10"/>
  <c r="W4" i="10"/>
  <c r="V4" i="10"/>
  <c r="AF3" i="10"/>
  <c r="AE3" i="10"/>
  <c r="AN3" i="10" s="1"/>
  <c r="AD3" i="10"/>
  <c r="AM3" i="10" s="1"/>
  <c r="AC3" i="10"/>
  <c r="AL3" i="10" s="1"/>
  <c r="AB3" i="10"/>
  <c r="AK3" i="10" s="1"/>
  <c r="AA3" i="10"/>
  <c r="AJ3" i="10" s="1"/>
  <c r="Z3" i="10"/>
  <c r="AI3" i="10" s="1"/>
  <c r="Y3" i="10"/>
  <c r="AH3" i="10" s="1"/>
  <c r="X3" i="10"/>
  <c r="W3" i="10"/>
  <c r="V3" i="10"/>
  <c r="H4" i="10"/>
  <c r="G4" i="10"/>
  <c r="F4" i="10"/>
  <c r="H3" i="10"/>
  <c r="G3" i="10"/>
  <c r="F3" i="10"/>
  <c r="B2" i="10"/>
  <c r="B16" i="10"/>
  <c r="AF13" i="10"/>
  <c r="AE13" i="10"/>
  <c r="AD13" i="10"/>
  <c r="AA13" i="10"/>
  <c r="Z13" i="10"/>
  <c r="X13" i="10"/>
  <c r="W13" i="10"/>
  <c r="V13" i="10"/>
  <c r="H13" i="10"/>
  <c r="G13" i="10"/>
  <c r="AA27" i="10" l="1"/>
  <c r="AJ27" i="10" s="1"/>
  <c r="AA26" i="10"/>
  <c r="AJ26" i="10" s="1"/>
  <c r="AD27" i="10"/>
  <c r="AM27" i="10" s="1"/>
  <c r="AD26" i="10"/>
  <c r="AM26" i="10" s="1"/>
  <c r="G27" i="10"/>
  <c r="G26" i="10"/>
  <c r="AE27" i="10"/>
  <c r="AN27" i="10" s="1"/>
  <c r="AE26" i="10"/>
  <c r="AN26" i="10" s="1"/>
  <c r="AB27" i="10"/>
  <c r="AK27" i="10" s="1"/>
  <c r="AB26" i="10"/>
  <c r="AK26" i="10" s="1"/>
  <c r="AF27" i="10"/>
  <c r="AO27" i="10" s="1"/>
  <c r="AF26" i="10"/>
  <c r="AO26" i="10" s="1"/>
  <c r="H26" i="10"/>
  <c r="H27" i="10"/>
  <c r="W27" i="10"/>
  <c r="W26" i="10"/>
  <c r="X27" i="10"/>
  <c r="X26" i="10"/>
  <c r="V27" i="10"/>
  <c r="V26" i="10"/>
  <c r="Z26" i="10"/>
  <c r="AI26" i="10" s="1"/>
  <c r="Z27" i="10"/>
  <c r="AI27" i="10" s="1"/>
  <c r="G19" i="10"/>
  <c r="G17" i="10"/>
  <c r="G18" i="10"/>
  <c r="H19" i="10"/>
  <c r="H17" i="10"/>
  <c r="H18" i="10"/>
  <c r="AF19" i="10"/>
  <c r="AO19" i="10" s="1"/>
  <c r="AF17" i="10"/>
  <c r="AO17" i="10" s="1"/>
  <c r="AF18" i="10"/>
  <c r="AO18" i="10" s="1"/>
  <c r="AA17" i="10"/>
  <c r="AJ17" i="10" s="1"/>
  <c r="AA18" i="10"/>
  <c r="AJ18" i="10" s="1"/>
  <c r="AA19" i="10"/>
  <c r="AJ19" i="10" s="1"/>
  <c r="AB17" i="10"/>
  <c r="AK17" i="10" s="1"/>
  <c r="AB18" i="10"/>
  <c r="AK18" i="10" s="1"/>
  <c r="AB19" i="10"/>
  <c r="AK19" i="10" s="1"/>
  <c r="AE19" i="10"/>
  <c r="AN19" i="10" s="1"/>
  <c r="AE17" i="10"/>
  <c r="AN17" i="10" s="1"/>
  <c r="AE18" i="10"/>
  <c r="AN18" i="10" s="1"/>
  <c r="V18" i="10"/>
  <c r="V19" i="10"/>
  <c r="V17" i="10"/>
  <c r="W18" i="10"/>
  <c r="W19" i="10"/>
  <c r="W17" i="10"/>
  <c r="AD18" i="10"/>
  <c r="AM18" i="10" s="1"/>
  <c r="AD19" i="10"/>
  <c r="AM19" i="10" s="1"/>
  <c r="AD17" i="10"/>
  <c r="AM17" i="10" s="1"/>
  <c r="X19" i="10"/>
  <c r="X17" i="10"/>
  <c r="X18" i="10"/>
  <c r="Z19" i="10"/>
  <c r="AI19" i="10" s="1"/>
  <c r="Z17" i="10"/>
  <c r="AI17" i="10" s="1"/>
  <c r="Z18" i="10"/>
  <c r="AI18" i="10" s="1"/>
  <c r="V37" i="10"/>
  <c r="W37" i="10"/>
  <c r="X37" i="10"/>
  <c r="AA37" i="10"/>
  <c r="AJ37" i="10" s="1"/>
  <c r="AB37" i="10"/>
  <c r="AK37" i="10" s="1"/>
  <c r="AD37" i="10"/>
  <c r="AM37" i="10" s="1"/>
  <c r="Z37" i="10"/>
  <c r="AI37" i="10" s="1"/>
  <c r="G37" i="10"/>
  <c r="AE37" i="10"/>
  <c r="AN37" i="10" s="1"/>
  <c r="H37" i="10"/>
  <c r="AF37" i="10"/>
  <c r="AO37" i="10" s="1"/>
  <c r="AD36" i="10"/>
  <c r="AM36" i="10" s="1"/>
  <c r="V36" i="10"/>
  <c r="AB36" i="10"/>
  <c r="AK36" i="10" s="1"/>
  <c r="W36" i="10"/>
  <c r="AE36" i="10"/>
  <c r="AN36" i="10" s="1"/>
  <c r="AF36" i="10"/>
  <c r="AO36" i="10" s="1"/>
  <c r="X36" i="10"/>
  <c r="Z36" i="10"/>
  <c r="AI36" i="10" s="1"/>
  <c r="G36" i="10"/>
  <c r="H36" i="10"/>
  <c r="AA36" i="10"/>
  <c r="AJ36" i="10" s="1"/>
  <c r="AN13" i="10"/>
  <c r="AN14" i="10" s="1"/>
  <c r="AH13" i="10"/>
  <c r="AM13" i="10"/>
  <c r="AL13" i="10"/>
  <c r="AI13" i="10"/>
  <c r="AJ13" i="10"/>
  <c r="Y13" i="10"/>
  <c r="AO4" i="10"/>
  <c r="AO3" i="10"/>
  <c r="AQ13" i="8"/>
  <c r="AQ48" i="8"/>
  <c r="G16" i="10"/>
  <c r="Z16" i="10"/>
  <c r="AI16" i="10" s="1"/>
  <c r="V16" i="10"/>
  <c r="AA16" i="10"/>
  <c r="AJ16" i="10" s="1"/>
  <c r="AD16" i="10"/>
  <c r="AM16" i="10" s="1"/>
  <c r="X16" i="10"/>
  <c r="AF16" i="10"/>
  <c r="AO16" i="10" s="1"/>
  <c r="H16" i="10"/>
  <c r="AB16" i="10"/>
  <c r="AK16" i="10" s="1"/>
  <c r="AC13" i="10"/>
  <c r="W16" i="10"/>
  <c r="AE16" i="10"/>
  <c r="AN16" i="10" s="1"/>
  <c r="AC27" i="10" l="1"/>
  <c r="AL27" i="10" s="1"/>
  <c r="AC26" i="10"/>
  <c r="AL26" i="10" s="1"/>
  <c r="Y26" i="10"/>
  <c r="AH26" i="10" s="1"/>
  <c r="Y27" i="10"/>
  <c r="AH27" i="10" s="1"/>
  <c r="Y19" i="10"/>
  <c r="AH19" i="10" s="1"/>
  <c r="Y17" i="10"/>
  <c r="AH17" i="10" s="1"/>
  <c r="Y18" i="10"/>
  <c r="AH18" i="10" s="1"/>
  <c r="AC18" i="10"/>
  <c r="AL18" i="10" s="1"/>
  <c r="AC19" i="10"/>
  <c r="AL19" i="10" s="1"/>
  <c r="AC17" i="10"/>
  <c r="AL17" i="10" s="1"/>
  <c r="Y37" i="10"/>
  <c r="AH37" i="10" s="1"/>
  <c r="AC37" i="10"/>
  <c r="AL37" i="10" s="1"/>
  <c r="AC36" i="10"/>
  <c r="AL36" i="10" s="1"/>
  <c r="Y36" i="10"/>
  <c r="AH36" i="10" s="1"/>
  <c r="Y16" i="10"/>
  <c r="AH16" i="10" s="1"/>
  <c r="AC16" i="10"/>
  <c r="AL16" i="10" s="1"/>
  <c r="AO13" i="10" l="1"/>
  <c r="K14" i="9"/>
  <c r="O14" i="9"/>
  <c r="AN37" i="8"/>
  <c r="AM37" i="8"/>
  <c r="AL37" i="8"/>
  <c r="AK37" i="8"/>
  <c r="AJ37" i="8"/>
  <c r="AI37" i="8"/>
  <c r="AH37" i="8"/>
  <c r="AN34" i="8"/>
  <c r="AM34" i="8"/>
  <c r="AK34" i="8"/>
  <c r="AJ34" i="8"/>
  <c r="AI34" i="8"/>
  <c r="K55" i="9"/>
  <c r="T55" i="9" s="1"/>
  <c r="AL45" i="8"/>
  <c r="K63" i="9"/>
  <c r="T63" i="9" s="1"/>
  <c r="K66" i="9"/>
  <c r="T66" i="9" s="1"/>
  <c r="AH55" i="8"/>
  <c r="K65" i="9"/>
  <c r="T65" i="9" s="1"/>
  <c r="K67" i="9"/>
  <c r="T67" i="9" s="1"/>
  <c r="AL55" i="8"/>
  <c r="AL54" i="8"/>
  <c r="AL63" i="8"/>
  <c r="AL71" i="8"/>
  <c r="K73" i="9"/>
  <c r="T73" i="9" s="1"/>
  <c r="AF51" i="8"/>
  <c r="AE51" i="8"/>
  <c r="AD51" i="8"/>
  <c r="AB51" i="8"/>
  <c r="AA51" i="8"/>
  <c r="Z51" i="8"/>
  <c r="X51" i="8"/>
  <c r="W51" i="8"/>
  <c r="V51" i="8"/>
  <c r="H51" i="8"/>
  <c r="G51" i="8"/>
  <c r="F51" i="8"/>
  <c r="AC114" i="8"/>
  <c r="Y114" i="8"/>
  <c r="AC113" i="8"/>
  <c r="Y113" i="8"/>
  <c r="AC112" i="8"/>
  <c r="Y112" i="8"/>
  <c r="K47" i="9" s="1"/>
  <c r="AC108" i="8"/>
  <c r="O45" i="9" s="1"/>
  <c r="Y108" i="8"/>
  <c r="AI108" i="8" s="1"/>
  <c r="AC107" i="8"/>
  <c r="Y107" i="8"/>
  <c r="K46" i="9" s="1"/>
  <c r="AC106" i="8"/>
  <c r="Y106" i="8"/>
  <c r="AC105" i="8"/>
  <c r="Y105" i="8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N78" i="8"/>
  <c r="AM78" i="8"/>
  <c r="AK78" i="8"/>
  <c r="AJ78" i="8"/>
  <c r="AI78" i="8"/>
  <c r="AN71" i="8"/>
  <c r="AM71" i="8"/>
  <c r="AK71" i="8"/>
  <c r="AJ71" i="8"/>
  <c r="AI71" i="8"/>
  <c r="AN63" i="8"/>
  <c r="AM63" i="8"/>
  <c r="AN55" i="8"/>
  <c r="AM55" i="8"/>
  <c r="AK55" i="8"/>
  <c r="AJ55" i="8"/>
  <c r="AI55" i="8"/>
  <c r="AN54" i="8"/>
  <c r="AM54" i="8"/>
  <c r="AK54" i="8"/>
  <c r="AJ54" i="8"/>
  <c r="AI54" i="8"/>
  <c r="AN45" i="8"/>
  <c r="AM45" i="8"/>
  <c r="AK45" i="8"/>
  <c r="AJ45" i="8"/>
  <c r="AI45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AC100" i="8"/>
  <c r="Y100" i="8"/>
  <c r="AJ100" i="8" s="1"/>
  <c r="Y129" i="8"/>
  <c r="Y98" i="8"/>
  <c r="K32" i="9" s="1"/>
  <c r="J27" i="9"/>
  <c r="J38" i="9"/>
  <c r="R45" i="9"/>
  <c r="R46" i="9"/>
  <c r="R38" i="9"/>
  <c r="R32" i="9"/>
  <c r="R27" i="9"/>
  <c r="M46" i="9"/>
  <c r="N38" i="9"/>
  <c r="AC99" i="8"/>
  <c r="N32" i="9"/>
  <c r="N27" i="9"/>
  <c r="P47" i="9"/>
  <c r="AK63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Y130" i="8"/>
  <c r="K39" i="9" s="1"/>
  <c r="AC130" i="8"/>
  <c r="O39" i="9" s="1"/>
  <c r="AC129" i="8"/>
  <c r="AC122" i="8"/>
  <c r="AC121" i="8"/>
  <c r="AL121" i="8" s="1"/>
  <c r="Y122" i="8"/>
  <c r="Y121" i="8"/>
  <c r="AK121" i="8" s="1"/>
  <c r="AO78" i="8"/>
  <c r="AO71" i="8"/>
  <c r="AO63" i="8"/>
  <c r="AO55" i="8"/>
  <c r="AO54" i="8"/>
  <c r="AO45" i="8"/>
  <c r="D45" i="9"/>
  <c r="K64" i="9"/>
  <c r="T64" i="9" s="1"/>
  <c r="AH71" i="8"/>
  <c r="AL78" i="8"/>
  <c r="AH78" i="8"/>
  <c r="Y34" i="8"/>
  <c r="AH34" i="8" s="1"/>
  <c r="O23" i="9"/>
  <c r="O34" i="9" s="1"/>
  <c r="K23" i="9"/>
  <c r="K34" i="9" s="1"/>
  <c r="O21" i="9"/>
  <c r="K21" i="9"/>
  <c r="O72" i="9"/>
  <c r="X72" i="9" s="1"/>
  <c r="K72" i="9"/>
  <c r="T72" i="9" s="1"/>
  <c r="AO34" i="8"/>
  <c r="AO37" i="8"/>
  <c r="AC34" i="8"/>
  <c r="AL34" i="8" s="1"/>
  <c r="AO24" i="8" l="1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AK51" i="8"/>
  <c r="AM51" i="8"/>
  <c r="AN51" i="8"/>
  <c r="AO51" i="8"/>
  <c r="AC51" i="8"/>
  <c r="Y51" i="8"/>
  <c r="K56" i="9"/>
  <c r="T56" i="9" s="1"/>
  <c r="AL51" i="8"/>
  <c r="AC97" i="8"/>
  <c r="AO97" i="8" s="1"/>
  <c r="W14" i="9"/>
  <c r="V21" i="9"/>
  <c r="U14" i="9"/>
  <c r="X34" i="9"/>
  <c r="V14" i="9"/>
  <c r="AH100" i="8"/>
  <c r="AK100" i="8"/>
  <c r="AN100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AH112" i="8"/>
  <c r="AI107" i="8"/>
  <c r="AJ108" i="8"/>
  <c r="Z23" i="9"/>
  <c r="W34" i="9"/>
  <c r="AH63" i="8"/>
  <c r="AI100" i="8"/>
  <c r="AJ107" i="8"/>
  <c r="AK108" i="8"/>
  <c r="AI63" i="8"/>
  <c r="AH98" i="8"/>
  <c r="AL108" i="8"/>
  <c r="T23" i="9"/>
  <c r="AH45" i="8"/>
  <c r="AJ63" i="8"/>
  <c r="AI98" i="8"/>
  <c r="AM108" i="8"/>
  <c r="U23" i="9"/>
  <c r="AJ98" i="8"/>
  <c r="AL100" i="8"/>
  <c r="AN108" i="8"/>
  <c r="AI112" i="8"/>
  <c r="V23" i="9"/>
  <c r="AK98" i="8"/>
  <c r="AL99" i="8"/>
  <c r="AM100" i="8"/>
  <c r="AJ112" i="8"/>
  <c r="U21" i="9"/>
  <c r="W23" i="9"/>
  <c r="AH54" i="8"/>
  <c r="AM99" i="8"/>
  <c r="AH108" i="8"/>
  <c r="AK112" i="8"/>
  <c r="X23" i="9"/>
  <c r="AN99" i="8"/>
  <c r="AH107" i="8"/>
  <c r="Y23" i="9"/>
  <c r="N49" i="9"/>
  <c r="J49" i="9"/>
  <c r="AQ81" i="8"/>
  <c r="AQ55" i="8"/>
  <c r="AQ71" i="8"/>
  <c r="R49" i="9"/>
  <c r="M49" i="9"/>
  <c r="AD109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H41" i="9"/>
  <c r="F67" i="9"/>
  <c r="O65" i="9"/>
  <c r="X65" i="9" s="1"/>
  <c r="Y85" i="9"/>
  <c r="AA85" i="9"/>
  <c r="W85" i="9"/>
  <c r="K85" i="9"/>
  <c r="X85" i="9"/>
  <c r="Z85" i="9"/>
  <c r="O85" i="9"/>
  <c r="H109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Z109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F109" i="8"/>
  <c r="V109" i="8"/>
  <c r="G109" i="8"/>
  <c r="Y101" i="8"/>
  <c r="AC101" i="8"/>
  <c r="AN101" i="8" s="1"/>
  <c r="AO100" i="8"/>
  <c r="Y99" i="8"/>
  <c r="AH99" i="8" s="1"/>
  <c r="AK105" i="8"/>
  <c r="Y96" i="8"/>
  <c r="AH96" i="8" s="1"/>
  <c r="AF109" i="8"/>
  <c r="AC98" i="8"/>
  <c r="AL105" i="8"/>
  <c r="AM106" i="8"/>
  <c r="AC96" i="8"/>
  <c r="AL96" i="8" s="1"/>
  <c r="AI121" i="8"/>
  <c r="AO99" i="8"/>
  <c r="AO121" i="8"/>
  <c r="AN121" i="8"/>
  <c r="AM121" i="8"/>
  <c r="AJ121" i="8"/>
  <c r="AH121" i="8"/>
  <c r="AO108" i="8"/>
  <c r="AQ37" i="8"/>
  <c r="AQ24" i="8" l="1"/>
  <c r="W10" i="9"/>
  <c r="V10" i="9"/>
  <c r="U10" i="9"/>
  <c r="T10" i="9"/>
  <c r="AL97" i="8"/>
  <c r="AN97" i="8"/>
  <c r="Y97" i="8"/>
  <c r="AK97" i="8" s="1"/>
  <c r="AQ97" i="8" s="1"/>
  <c r="AM97" i="8"/>
  <c r="AQ100" i="8"/>
  <c r="V32" i="9"/>
  <c r="Z45" i="9"/>
  <c r="X22" i="9"/>
  <c r="V47" i="9"/>
  <c r="Z22" i="9"/>
  <c r="AM101" i="8"/>
  <c r="AH113" i="8"/>
  <c r="U20" i="9"/>
  <c r="AI99" i="8"/>
  <c r="AN106" i="8"/>
  <c r="AI113" i="8"/>
  <c r="AM105" i="8"/>
  <c r="AM98" i="8"/>
  <c r="AN98" i="8"/>
  <c r="K33" i="9"/>
  <c r="W22" i="9"/>
  <c r="AC22" i="9" s="1"/>
  <c r="V22" i="9"/>
  <c r="U47" i="9"/>
  <c r="N48" i="9"/>
  <c r="AL106" i="8"/>
  <c r="AN96" i="8"/>
  <c r="Y22" i="9"/>
  <c r="Y20" i="9"/>
  <c r="X19" i="9"/>
  <c r="J44" i="9"/>
  <c r="W45" i="9"/>
  <c r="V45" i="9"/>
  <c r="K48" i="9"/>
  <c r="AK113" i="8"/>
  <c r="U22" i="9"/>
  <c r="T45" i="9"/>
  <c r="AK107" i="8"/>
  <c r="AL101" i="8"/>
  <c r="X20" i="9"/>
  <c r="T32" i="9"/>
  <c r="U32" i="9"/>
  <c r="J48" i="9"/>
  <c r="AJ113" i="8"/>
  <c r="AN105" i="8"/>
  <c r="AI105" i="8"/>
  <c r="AM96" i="8"/>
  <c r="AK96" i="8"/>
  <c r="AI96" i="8"/>
  <c r="AH101" i="8"/>
  <c r="AK101" i="8"/>
  <c r="AI101" i="8"/>
  <c r="U19" i="9"/>
  <c r="W19" i="9"/>
  <c r="V19" i="9"/>
  <c r="AK99" i="8"/>
  <c r="AQ99" i="8" s="1"/>
  <c r="AJ99" i="8"/>
  <c r="V20" i="9"/>
  <c r="W20" i="9"/>
  <c r="AL98" i="8"/>
  <c r="AJ105" i="8"/>
  <c r="AJ96" i="8"/>
  <c r="Y15" i="9"/>
  <c r="K28" i="9"/>
  <c r="W28" i="9" s="1"/>
  <c r="W15" i="9"/>
  <c r="U15" i="9"/>
  <c r="Y19" i="9"/>
  <c r="V15" i="9"/>
  <c r="AH105" i="8"/>
  <c r="X45" i="9"/>
  <c r="T15" i="9"/>
  <c r="AJ101" i="8"/>
  <c r="T47" i="9"/>
  <c r="Y45" i="9"/>
  <c r="X15" i="9"/>
  <c r="W47" i="9"/>
  <c r="Q47" i="9"/>
  <c r="AC23" i="9"/>
  <c r="AC21" i="9"/>
  <c r="AQ108" i="8"/>
  <c r="AC34" i="9"/>
  <c r="K41" i="9"/>
  <c r="O48" i="9"/>
  <c r="N41" i="9"/>
  <c r="AA20" i="9"/>
  <c r="O33" i="9"/>
  <c r="AN107" i="8"/>
  <c r="N46" i="9"/>
  <c r="AO96" i="8"/>
  <c r="O27" i="9"/>
  <c r="Z27" i="9" s="1"/>
  <c r="O32" i="9"/>
  <c r="K38" i="9"/>
  <c r="X109" i="8"/>
  <c r="AJ106" i="8"/>
  <c r="O28" i="9"/>
  <c r="Z28" i="9" s="1"/>
  <c r="O44" i="9"/>
  <c r="Z44" i="9" s="1"/>
  <c r="K27" i="9"/>
  <c r="T27" i="9" s="1"/>
  <c r="AA15" i="9"/>
  <c r="O38" i="9"/>
  <c r="W109" i="8"/>
  <c r="AO98" i="8"/>
  <c r="AQ98" i="8" s="1"/>
  <c r="AE109" i="8"/>
  <c r="AO106" i="8"/>
  <c r="AB109" i="8"/>
  <c r="AO105" i="8"/>
  <c r="AA109" i="8"/>
  <c r="AA73" i="9"/>
  <c r="AA72" i="9"/>
  <c r="O7" i="9"/>
  <c r="O6" i="9"/>
  <c r="AO122" i="8"/>
  <c r="AF118" i="8"/>
  <c r="AM122" i="8"/>
  <c r="AO118" i="8"/>
  <c r="AB118" i="8"/>
  <c r="AA118" i="8"/>
  <c r="Y118" i="8"/>
  <c r="X118" i="8"/>
  <c r="V115" i="8"/>
  <c r="W115" i="8"/>
  <c r="X115" i="8"/>
  <c r="W118" i="8"/>
  <c r="AD118" i="8"/>
  <c r="Z118" i="8"/>
  <c r="AO101" i="8"/>
  <c r="W16" i="9" l="1"/>
  <c r="W24" i="9" s="1"/>
  <c r="V16" i="9"/>
  <c r="V24" i="9" s="1"/>
  <c r="T16" i="9"/>
  <c r="T24" i="9" s="1"/>
  <c r="U16" i="9"/>
  <c r="U24" i="9" s="1"/>
  <c r="Y7" i="9"/>
  <c r="X7" i="9"/>
  <c r="Z7" i="9"/>
  <c r="Y6" i="9"/>
  <c r="X6" i="9"/>
  <c r="Z6" i="9"/>
  <c r="AH97" i="8"/>
  <c r="AI97" i="8"/>
  <c r="AJ97" i="8"/>
  <c r="W48" i="9"/>
  <c r="O41" i="9"/>
  <c r="U27" i="9"/>
  <c r="AL107" i="8"/>
  <c r="Y27" i="9"/>
  <c r="AC20" i="9"/>
  <c r="X28" i="9"/>
  <c r="V28" i="9"/>
  <c r="X27" i="9"/>
  <c r="AL113" i="8"/>
  <c r="Y109" i="8"/>
  <c r="AK106" i="8"/>
  <c r="AQ106" i="8" s="1"/>
  <c r="AI106" i="8"/>
  <c r="X44" i="9"/>
  <c r="X32" i="9"/>
  <c r="Z32" i="9"/>
  <c r="T28" i="9"/>
  <c r="AN113" i="8"/>
  <c r="Y28" i="9"/>
  <c r="AM112" i="8"/>
  <c r="AN112" i="8"/>
  <c r="AL112" i="8"/>
  <c r="Y44" i="9"/>
  <c r="AM113" i="8"/>
  <c r="AK114" i="8"/>
  <c r="AI114" i="8"/>
  <c r="AJ114" i="8"/>
  <c r="AH114" i="8"/>
  <c r="W27" i="9"/>
  <c r="V27" i="9"/>
  <c r="Y32" i="9"/>
  <c r="V48" i="9"/>
  <c r="U48" i="9"/>
  <c r="T48" i="9"/>
  <c r="Z48" i="9"/>
  <c r="Y48" i="9"/>
  <c r="X48" i="9"/>
  <c r="AN114" i="8"/>
  <c r="AL114" i="8"/>
  <c r="AM114" i="8"/>
  <c r="W46" i="9"/>
  <c r="AH106" i="8"/>
  <c r="O46" i="9"/>
  <c r="AA46" i="9" s="1"/>
  <c r="AM107" i="8"/>
  <c r="U33" i="9"/>
  <c r="W33" i="9"/>
  <c r="V33" i="9"/>
  <c r="T33" i="9"/>
  <c r="AA33" i="9"/>
  <c r="X33" i="9"/>
  <c r="Y33" i="9"/>
  <c r="Z33" i="9"/>
  <c r="U28" i="9"/>
  <c r="AC15" i="9"/>
  <c r="K49" i="9"/>
  <c r="O49" i="9"/>
  <c r="AQ105" i="8"/>
  <c r="AO113" i="8"/>
  <c r="AQ113" i="8" s="1"/>
  <c r="AO107" i="8"/>
  <c r="AQ107" i="8" s="1"/>
  <c r="O9" i="9"/>
  <c r="O8" i="9"/>
  <c r="AO112" i="8"/>
  <c r="O47" i="9"/>
  <c r="AA28" i="9"/>
  <c r="AC28" i="9" s="1"/>
  <c r="K44" i="9"/>
  <c r="W44" i="9" s="1"/>
  <c r="AC109" i="8"/>
  <c r="AE118" i="8"/>
  <c r="AH129" i="8"/>
  <c r="AQ101" i="8"/>
  <c r="AJ118" i="8"/>
  <c r="AL118" i="8"/>
  <c r="AI122" i="8"/>
  <c r="AO114" i="8"/>
  <c r="AJ122" i="8"/>
  <c r="AL122" i="8"/>
  <c r="AI118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AH122" i="8"/>
  <c r="AK122" i="8"/>
  <c r="AK118" i="8"/>
  <c r="AM118" i="8"/>
  <c r="AN122" i="8"/>
  <c r="AN118" i="8"/>
  <c r="G118" i="8"/>
  <c r="AH118" i="8" s="1"/>
  <c r="H118" i="8"/>
  <c r="AC118" i="8"/>
  <c r="AA14" i="9"/>
  <c r="T29" i="9" l="1"/>
  <c r="T35" i="9" s="1"/>
  <c r="X9" i="9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U29" i="9"/>
  <c r="U35" i="9" s="1"/>
  <c r="AC33" i="9"/>
  <c r="W29" i="9"/>
  <c r="W35" i="9" s="1"/>
  <c r="V29" i="9"/>
  <c r="V35" i="9" s="1"/>
  <c r="X46" i="9"/>
  <c r="T44" i="9"/>
  <c r="V44" i="9"/>
  <c r="Y46" i="9"/>
  <c r="AQ114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AM129" i="8"/>
  <c r="AN129" i="8"/>
  <c r="AK129" i="8"/>
  <c r="AJ129" i="8"/>
  <c r="AI129" i="8"/>
  <c r="AO129" i="8"/>
  <c r="AL129" i="8"/>
  <c r="AC14" i="9"/>
  <c r="X10" i="9" l="1"/>
  <c r="X16" i="9" s="1"/>
  <c r="X24" i="9" s="1"/>
  <c r="X29" i="9" s="1"/>
  <c r="X35" i="9" s="1"/>
  <c r="AA57" i="9" l="1"/>
  <c r="AA56" i="9"/>
  <c r="AC8" i="8"/>
  <c r="AC4" i="10" s="1"/>
  <c r="AL4" i="10" s="1"/>
  <c r="Y8" i="8"/>
  <c r="Y4" i="10" s="1"/>
  <c r="AH4" i="10" s="1"/>
  <c r="E58" i="9" l="1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AF68" i="8"/>
  <c r="R68" i="9" s="1"/>
  <c r="AE68" i="8"/>
  <c r="Q68" i="9" s="1"/>
  <c r="Z68" i="9" s="1"/>
  <c r="AD68" i="8"/>
  <c r="P68" i="9" s="1"/>
  <c r="Y68" i="9" s="1"/>
  <c r="AB68" i="8"/>
  <c r="N68" i="9" s="1"/>
  <c r="W68" i="9" s="1"/>
  <c r="AA68" i="8"/>
  <c r="M68" i="9" s="1"/>
  <c r="V68" i="9" s="1"/>
  <c r="Z68" i="8"/>
  <c r="L68" i="9" s="1"/>
  <c r="U68" i="9" s="1"/>
  <c r="X68" i="8"/>
  <c r="J68" i="9" s="1"/>
  <c r="W68" i="8"/>
  <c r="I68" i="9" s="1"/>
  <c r="V68" i="8"/>
  <c r="H68" i="9" s="1"/>
  <c r="H68" i="8"/>
  <c r="F68" i="9" s="1"/>
  <c r="G68" i="8"/>
  <c r="E68" i="9" s="1"/>
  <c r="F68" i="8"/>
  <c r="D68" i="9" s="1"/>
  <c r="C68" i="9"/>
  <c r="AA55" i="9"/>
  <c r="AA58" i="9" s="1"/>
  <c r="R4" i="9"/>
  <c r="AA4" i="9" s="1"/>
  <c r="R3" i="9"/>
  <c r="AA3" i="9" s="1"/>
  <c r="AO8" i="8"/>
  <c r="AO90" i="8" s="1"/>
  <c r="AO7" i="8"/>
  <c r="AO89" i="8" s="1"/>
  <c r="AF90" i="8"/>
  <c r="AF89" i="8"/>
  <c r="AF82" i="8"/>
  <c r="R87" i="9" s="1"/>
  <c r="AF42" i="8"/>
  <c r="AF41" i="8"/>
  <c r="AF11" i="8"/>
  <c r="AF15" i="8" s="1"/>
  <c r="AD115" i="8"/>
  <c r="H115" i="8"/>
  <c r="G115" i="8"/>
  <c r="F115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X82" i="8"/>
  <c r="J87" i="9" s="1"/>
  <c r="AE90" i="8"/>
  <c r="AD90" i="8"/>
  <c r="AC90" i="8"/>
  <c r="AB90" i="8"/>
  <c r="AA90" i="8"/>
  <c r="Z90" i="8"/>
  <c r="Y90" i="8"/>
  <c r="X90" i="8"/>
  <c r="W90" i="8"/>
  <c r="V90" i="8"/>
  <c r="AE89" i="8"/>
  <c r="AD89" i="8"/>
  <c r="AC89" i="8"/>
  <c r="AB89" i="8"/>
  <c r="AA89" i="8"/>
  <c r="Z89" i="8"/>
  <c r="Y89" i="8"/>
  <c r="X89" i="8"/>
  <c r="W89" i="8"/>
  <c r="V89" i="8"/>
  <c r="AB82" i="8"/>
  <c r="N87" i="9" s="1"/>
  <c r="AA82" i="8"/>
  <c r="M87" i="9" s="1"/>
  <c r="Z82" i="8"/>
  <c r="L87" i="9" s="1"/>
  <c r="W82" i="8"/>
  <c r="I87" i="9" s="1"/>
  <c r="V82" i="8"/>
  <c r="H87" i="9" s="1"/>
  <c r="AE42" i="8"/>
  <c r="AD42" i="8"/>
  <c r="AC42" i="8"/>
  <c r="AB42" i="8"/>
  <c r="AA42" i="8"/>
  <c r="Z42" i="8"/>
  <c r="Y42" i="8"/>
  <c r="X42" i="8"/>
  <c r="W42" i="8"/>
  <c r="V42" i="8"/>
  <c r="AE41" i="8"/>
  <c r="AD41" i="8"/>
  <c r="AC41" i="8"/>
  <c r="AB41" i="8"/>
  <c r="AA41" i="8"/>
  <c r="Z41" i="8"/>
  <c r="Y41" i="8"/>
  <c r="X41" i="8"/>
  <c r="W41" i="8"/>
  <c r="V41" i="8"/>
  <c r="H42" i="8"/>
  <c r="G42" i="8"/>
  <c r="F42" i="8"/>
  <c r="H41" i="8"/>
  <c r="G41" i="8"/>
  <c r="F41" i="8"/>
  <c r="AA11" i="8"/>
  <c r="AA15" i="8" s="1"/>
  <c r="Z11" i="8"/>
  <c r="Z15" i="8" s="1"/>
  <c r="X11" i="8"/>
  <c r="X15" i="8" s="1"/>
  <c r="W11" i="8"/>
  <c r="W15" i="8" s="1"/>
  <c r="V11" i="8"/>
  <c r="V15" i="8" s="1"/>
  <c r="AE11" i="8"/>
  <c r="AE15" i="8" s="1"/>
  <c r="AI8" i="8"/>
  <c r="AH8" i="8"/>
  <c r="AI7" i="8"/>
  <c r="AH7" i="8"/>
  <c r="AM8" i="8"/>
  <c r="AL8" i="8"/>
  <c r="AK8" i="8"/>
  <c r="AJ8" i="8"/>
  <c r="AM7" i="8"/>
  <c r="AL7" i="8"/>
  <c r="AK7" i="8"/>
  <c r="AJ7" i="8"/>
  <c r="AN8" i="8"/>
  <c r="AN7" i="8"/>
  <c r="X14" i="10" l="1"/>
  <c r="V14" i="10"/>
  <c r="W14" i="10"/>
  <c r="Z14" i="10"/>
  <c r="AF14" i="10"/>
  <c r="AA14" i="10"/>
  <c r="AE14" i="10"/>
  <c r="AQ45" i="8"/>
  <c r="AQ78" i="8"/>
  <c r="AQ54" i="8"/>
  <c r="AQ63" i="8"/>
  <c r="AF76" i="8"/>
  <c r="R69" i="9" s="1"/>
  <c r="U87" i="9"/>
  <c r="AA87" i="9"/>
  <c r="AM130" i="8"/>
  <c r="V87" i="9"/>
  <c r="W87" i="9"/>
  <c r="K58" i="9"/>
  <c r="X60" i="8"/>
  <c r="AM68" i="8"/>
  <c r="AN68" i="8"/>
  <c r="AO68" i="8"/>
  <c r="AK68" i="8"/>
  <c r="Y68" i="8"/>
  <c r="K68" i="9" s="1"/>
  <c r="T68" i="9" s="1"/>
  <c r="AC68" i="8"/>
  <c r="O68" i="9" s="1"/>
  <c r="X68" i="9" s="1"/>
  <c r="X76" i="8"/>
  <c r="J69" i="9" s="1"/>
  <c r="AO82" i="8"/>
  <c r="AO10" i="8"/>
  <c r="W76" i="8"/>
  <c r="I69" i="9" s="1"/>
  <c r="AO41" i="8"/>
  <c r="AO42" i="8"/>
  <c r="V76" i="8"/>
  <c r="H69" i="9" s="1"/>
  <c r="W60" i="8"/>
  <c r="AE115" i="8"/>
  <c r="Z115" i="8"/>
  <c r="AA115" i="8"/>
  <c r="AE60" i="8"/>
  <c r="AB60" i="8"/>
  <c r="V60" i="8"/>
  <c r="AA60" i="8"/>
  <c r="Z60" i="8"/>
  <c r="H76" i="8"/>
  <c r="F69" i="9" s="1"/>
  <c r="AK130" i="8"/>
  <c r="V58" i="9"/>
  <c r="U58" i="9"/>
  <c r="AL130" i="8"/>
  <c r="AI130" i="8"/>
  <c r="AJ130" i="8"/>
  <c r="AH130" i="8"/>
  <c r="Y11" i="8"/>
  <c r="Y15" i="8" s="1"/>
  <c r="Y82" i="8"/>
  <c r="K87" i="9" s="1"/>
  <c r="Y60" i="8"/>
  <c r="AC60" i="8"/>
  <c r="Z16" i="8" l="1"/>
  <c r="Z21" i="8"/>
  <c r="Z27" i="8" s="1"/>
  <c r="Z31" i="8" s="1"/>
  <c r="V16" i="8"/>
  <c r="V21" i="8"/>
  <c r="V27" i="8" s="1"/>
  <c r="V31" i="8" s="1"/>
  <c r="X16" i="8"/>
  <c r="X21" i="8"/>
  <c r="X27" i="8" s="1"/>
  <c r="X31" i="8" s="1"/>
  <c r="AA16" i="8"/>
  <c r="AA21" i="8"/>
  <c r="AE16" i="8"/>
  <c r="AE21" i="8"/>
  <c r="AE27" i="8" s="1"/>
  <c r="AE31" i="8" s="1"/>
  <c r="AF16" i="8"/>
  <c r="AF21" i="8"/>
  <c r="W16" i="8"/>
  <c r="W21" i="8"/>
  <c r="W27" i="8" s="1"/>
  <c r="W31" i="8" s="1"/>
  <c r="Y14" i="10"/>
  <c r="AF83" i="8"/>
  <c r="AA69" i="9"/>
  <c r="AA9" i="9"/>
  <c r="AC9" i="9" s="1"/>
  <c r="AA8" i="9"/>
  <c r="AC8" i="9" s="1"/>
  <c r="AA7" i="9"/>
  <c r="AC7" i="9" s="1"/>
  <c r="AL68" i="8"/>
  <c r="AQ18" i="8"/>
  <c r="AQ112" i="8"/>
  <c r="AA48" i="9"/>
  <c r="AO60" i="8"/>
  <c r="AO76" i="8"/>
  <c r="AO83" i="8" s="1"/>
  <c r="AQ68" i="8"/>
  <c r="AO11" i="8"/>
  <c r="AQ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W83" i="8"/>
  <c r="W85" i="8" s="1"/>
  <c r="AA88" i="9"/>
  <c r="AA97" i="9" s="1"/>
  <c r="T87" i="9"/>
  <c r="T88" i="9" s="1"/>
  <c r="T97" i="9" s="1"/>
  <c r="AA19" i="9"/>
  <c r="AF60" i="8"/>
  <c r="AA68" i="9"/>
  <c r="AA38" i="9"/>
  <c r="X83" i="8"/>
  <c r="X85" i="8" s="1"/>
  <c r="AF115" i="8"/>
  <c r="V83" i="8"/>
  <c r="V85" i="8" s="1"/>
  <c r="AB115" i="8"/>
  <c r="AA44" i="9"/>
  <c r="T58" i="9"/>
  <c r="AA76" i="8"/>
  <c r="M69" i="9" s="1"/>
  <c r="V69" i="9" s="1"/>
  <c r="Z76" i="8"/>
  <c r="L69" i="9" s="1"/>
  <c r="U69" i="9" s="1"/>
  <c r="Y76" i="8"/>
  <c r="K69" i="9" s="1"/>
  <c r="T69" i="9" s="1"/>
  <c r="AB76" i="8"/>
  <c r="N69" i="9" s="1"/>
  <c r="W69" i="9" s="1"/>
  <c r="U39" i="9"/>
  <c r="X39" i="9"/>
  <c r="Y38" i="9"/>
  <c r="AA41" i="9"/>
  <c r="V39" i="9"/>
  <c r="Z38" i="9"/>
  <c r="W39" i="9"/>
  <c r="X38" i="9"/>
  <c r="T39" i="9"/>
  <c r="AM14" i="10" l="1"/>
  <c r="AO15" i="8"/>
  <c r="AF27" i="8"/>
  <c r="AF31" i="8" s="1"/>
  <c r="AA27" i="8"/>
  <c r="AA31" i="8" s="1"/>
  <c r="Z22" i="8"/>
  <c r="AF22" i="8"/>
  <c r="Y16" i="8"/>
  <c r="Y21" i="8"/>
  <c r="AA22" i="8"/>
  <c r="AO21" i="8"/>
  <c r="AC19" i="9"/>
  <c r="X28" i="8"/>
  <c r="X22" i="8"/>
  <c r="W22" i="8"/>
  <c r="AF85" i="8"/>
  <c r="R24" i="9"/>
  <c r="R29" i="9" s="1"/>
  <c r="R35" i="9" s="1"/>
  <c r="V22" i="8"/>
  <c r="AO85" i="8"/>
  <c r="Y40" i="9"/>
  <c r="Z40" i="9"/>
  <c r="X40" i="9"/>
  <c r="AC40" i="9"/>
  <c r="U40" i="9"/>
  <c r="V40" i="9"/>
  <c r="T40" i="9"/>
  <c r="Z39" i="9"/>
  <c r="AN130" i="8"/>
  <c r="Z83" i="8"/>
  <c r="Z85" i="8" s="1"/>
  <c r="Y39" i="9"/>
  <c r="AA83" i="8"/>
  <c r="AA85" i="8" s="1"/>
  <c r="AL109" i="8"/>
  <c r="AN109" i="8"/>
  <c r="AM109" i="8"/>
  <c r="AO109" i="8"/>
  <c r="Z41" i="9"/>
  <c r="AN115" i="8"/>
  <c r="AO115" i="8"/>
  <c r="AJ109" i="8"/>
  <c r="AL115" i="8"/>
  <c r="AJ115" i="8"/>
  <c r="AM115" i="8"/>
  <c r="AC115" i="8"/>
  <c r="AB83" i="8"/>
  <c r="AB85" i="8" s="1"/>
  <c r="Y83" i="8"/>
  <c r="Y85" i="8" s="1"/>
  <c r="Y41" i="9"/>
  <c r="AQ96" i="8"/>
  <c r="X41" i="9"/>
  <c r="AK109" i="8"/>
  <c r="AI109" i="8"/>
  <c r="AH109" i="8"/>
  <c r="V38" i="9"/>
  <c r="U38" i="9"/>
  <c r="W38" i="9"/>
  <c r="T38" i="9"/>
  <c r="W41" i="9"/>
  <c r="AC41" i="9" s="1"/>
  <c r="T41" i="9"/>
  <c r="U41" i="9"/>
  <c r="V41" i="9"/>
  <c r="Z28" i="8"/>
  <c r="AF28" i="8" l="1"/>
  <c r="AA28" i="8"/>
  <c r="W32" i="8"/>
  <c r="W38" i="8"/>
  <c r="W35" i="8"/>
  <c r="V32" i="8"/>
  <c r="V38" i="8"/>
  <c r="V35" i="8"/>
  <c r="Z32" i="8"/>
  <c r="Z35" i="8"/>
  <c r="Z38" i="8"/>
  <c r="AA32" i="8"/>
  <c r="AA38" i="8"/>
  <c r="AA35" i="8"/>
  <c r="AF32" i="8"/>
  <c r="AF38" i="8"/>
  <c r="AF35" i="8"/>
  <c r="AA102" i="8"/>
  <c r="AA123" i="8" s="1"/>
  <c r="AF102" i="8"/>
  <c r="AF123" i="8" s="1"/>
  <c r="Y27" i="8"/>
  <c r="AO27" i="8"/>
  <c r="Y22" i="8"/>
  <c r="AO16" i="8"/>
  <c r="X42" i="9"/>
  <c r="Y42" i="9"/>
  <c r="Z42" i="9"/>
  <c r="T42" i="9"/>
  <c r="AC38" i="9"/>
  <c r="W42" i="9"/>
  <c r="U42" i="9"/>
  <c r="V42" i="9"/>
  <c r="W28" i="8"/>
  <c r="R17" i="9"/>
  <c r="R25" i="9"/>
  <c r="V28" i="8"/>
  <c r="AQ34" i="8"/>
  <c r="AQ109" i="8"/>
  <c r="AA39" i="9"/>
  <c r="AC39" i="9" s="1"/>
  <c r="AO130" i="8"/>
  <c r="AA32" i="9"/>
  <c r="AC32" i="9" s="1"/>
  <c r="AA27" i="9"/>
  <c r="AA45" i="9"/>
  <c r="R30" i="9"/>
  <c r="AH115" i="8"/>
  <c r="Y115" i="8"/>
  <c r="AK115" i="8"/>
  <c r="AQ115" i="8" s="1"/>
  <c r="AI115" i="8"/>
  <c r="Y28" i="8" l="1"/>
  <c r="Y31" i="8"/>
  <c r="AO28" i="8"/>
  <c r="AO31" i="8"/>
  <c r="X32" i="8"/>
  <c r="X38" i="8"/>
  <c r="X35" i="8"/>
  <c r="V102" i="8"/>
  <c r="V123" i="8" s="1"/>
  <c r="Z102" i="8"/>
  <c r="Z123" i="8" s="1"/>
  <c r="W102" i="8"/>
  <c r="W123" i="8" s="1"/>
  <c r="AO22" i="8"/>
  <c r="AC27" i="9"/>
  <c r="AA6" i="9"/>
  <c r="AA10" i="9" s="1"/>
  <c r="AA16" i="9" s="1"/>
  <c r="AA24" i="9" s="1"/>
  <c r="AA29" i="9" s="1"/>
  <c r="AA35" i="9" s="1"/>
  <c r="AA42" i="9" s="1"/>
  <c r="V17" i="9"/>
  <c r="R36" i="9"/>
  <c r="R42" i="9"/>
  <c r="R50" i="9" s="1"/>
  <c r="AO32" i="8" l="1"/>
  <c r="AO38" i="8"/>
  <c r="AO35" i="8"/>
  <c r="Y32" i="8"/>
  <c r="Y38" i="8"/>
  <c r="Y35" i="8"/>
  <c r="Y102" i="8"/>
  <c r="Y123" i="8" s="1"/>
  <c r="X102" i="8"/>
  <c r="X123" i="8" s="1"/>
  <c r="U17" i="9"/>
  <c r="W25" i="9"/>
  <c r="W17" i="9"/>
  <c r="T17" i="9"/>
  <c r="V25" i="9"/>
  <c r="T25" i="9"/>
  <c r="Y11" i="9"/>
  <c r="AC6" i="9"/>
  <c r="R51" i="9"/>
  <c r="T30" i="9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AI123" i="8"/>
  <c r="AJ123" i="8"/>
  <c r="AH123" i="8"/>
  <c r="T96" i="9" a="1"/>
  <c r="T96" i="9" s="1"/>
  <c r="T94" i="9"/>
  <c r="T95" i="9" a="1"/>
  <c r="T95" i="9" s="1"/>
  <c r="T93" i="9"/>
  <c r="T36" i="9"/>
  <c r="T92" i="9"/>
  <c r="B90" i="8"/>
  <c r="B89" i="8"/>
  <c r="H90" i="8"/>
  <c r="G90" i="8"/>
  <c r="F90" i="8"/>
  <c r="H89" i="8"/>
  <c r="G89" i="8"/>
  <c r="F89" i="8"/>
  <c r="B42" i="8"/>
  <c r="B41" i="8"/>
  <c r="AN42" i="8"/>
  <c r="AM42" i="8"/>
  <c r="AL42" i="8"/>
  <c r="AJ42" i="8"/>
  <c r="AI42" i="8"/>
  <c r="AH42" i="8"/>
  <c r="AK42" i="8"/>
  <c r="AN41" i="8"/>
  <c r="AM41" i="8"/>
  <c r="AL41" i="8"/>
  <c r="AK41" i="8"/>
  <c r="AJ41" i="8"/>
  <c r="AI41" i="8"/>
  <c r="AH41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AH89" i="8"/>
  <c r="AH90" i="8"/>
  <c r="AK89" i="8"/>
  <c r="AL89" i="8"/>
  <c r="AL90" i="8"/>
  <c r="AM90" i="8"/>
  <c r="AJ89" i="8"/>
  <c r="AM89" i="8"/>
  <c r="AJ90" i="8"/>
  <c r="AI90" i="8"/>
  <c r="AN89" i="8"/>
  <c r="AK90" i="8"/>
  <c r="AI89" i="8"/>
  <c r="AN90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AC82" i="8" l="1"/>
  <c r="O87" i="9" s="1"/>
  <c r="AE82" i="8"/>
  <c r="Q87" i="9" s="1"/>
  <c r="Z87" i="9" l="1"/>
  <c r="X87" i="9"/>
  <c r="X88" i="9" s="1"/>
  <c r="X97" i="9" s="1"/>
  <c r="AD60" i="8"/>
  <c r="AD82" i="8"/>
  <c r="P87" i="9" s="1"/>
  <c r="R11" i="9" l="1"/>
  <c r="R12" i="9"/>
  <c r="Y87" i="9"/>
  <c r="Y88" i="9" s="1"/>
  <c r="Y97" i="9" s="1"/>
  <c r="Z88" i="9"/>
  <c r="Z97" i="9" s="1"/>
  <c r="AI11" i="8" l="1"/>
  <c r="AI15" i="8" s="1"/>
  <c r="G60" i="8"/>
  <c r="F60" i="8"/>
  <c r="H60" i="8"/>
  <c r="AJ11" i="8" l="1"/>
  <c r="AJ51" i="8"/>
  <c r="AJ60" i="8" s="1"/>
  <c r="AJ82" i="8"/>
  <c r="AH51" i="8"/>
  <c r="AH60" i="8" s="1"/>
  <c r="AJ68" i="8"/>
  <c r="AJ76" i="8" s="1"/>
  <c r="AI68" i="8"/>
  <c r="AI76" i="8" s="1"/>
  <c r="AI51" i="8"/>
  <c r="AI60" i="8" s="1"/>
  <c r="AH82" i="8"/>
  <c r="AH11" i="8"/>
  <c r="AH15" i="8" s="1"/>
  <c r="AH68" i="8"/>
  <c r="AH76" i="8" s="1"/>
  <c r="AI82" i="8"/>
  <c r="AL82" i="8"/>
  <c r="AL60" i="8"/>
  <c r="AM82" i="8"/>
  <c r="AL11" i="8"/>
  <c r="AL76" i="8"/>
  <c r="AM76" i="8"/>
  <c r="AK11" i="8"/>
  <c r="AM11" i="8"/>
  <c r="AM60" i="8"/>
  <c r="AJ14" i="10" l="1"/>
  <c r="AL15" i="8"/>
  <c r="AK14" i="10"/>
  <c r="AM15" i="8"/>
  <c r="AI14" i="10"/>
  <c r="AK15" i="8"/>
  <c r="AK21" i="8" s="1"/>
  <c r="AH14" i="10"/>
  <c r="AJ15" i="8"/>
  <c r="AI16" i="8"/>
  <c r="AI21" i="8"/>
  <c r="AQ11" i="8"/>
  <c r="AO14" i="10" s="1"/>
  <c r="AJ83" i="8"/>
  <c r="AJ85" i="8" s="1"/>
  <c r="AH83" i="8"/>
  <c r="AH85" i="8" s="1"/>
  <c r="AI83" i="8"/>
  <c r="AI85" i="8" s="1"/>
  <c r="AL83" i="8"/>
  <c r="AL85" i="8" s="1"/>
  <c r="AM83" i="8"/>
  <c r="AM85" i="8" s="1"/>
  <c r="AK27" i="8" l="1"/>
  <c r="AI27" i="8"/>
  <c r="AJ16" i="8"/>
  <c r="AJ21" i="8"/>
  <c r="AL16" i="8"/>
  <c r="AL21" i="8"/>
  <c r="AH16" i="8"/>
  <c r="AH21" i="8"/>
  <c r="AM16" i="8"/>
  <c r="AM21" i="8"/>
  <c r="AK16" i="8"/>
  <c r="AQ16" i="8" s="1"/>
  <c r="AQ15" i="8"/>
  <c r="AI22" i="8"/>
  <c r="Z17" i="9"/>
  <c r="AK28" i="8" l="1"/>
  <c r="AK31" i="8"/>
  <c r="AI28" i="8"/>
  <c r="AI31" i="8"/>
  <c r="AL27" i="8"/>
  <c r="AJ27" i="8"/>
  <c r="AM27" i="8"/>
  <c r="AM31" i="8" s="1"/>
  <c r="AH27" i="8"/>
  <c r="AH22" i="8"/>
  <c r="AM22" i="8"/>
  <c r="AQ21" i="8"/>
  <c r="AL22" i="8"/>
  <c r="AK22" i="8"/>
  <c r="AQ22" i="8" s="1"/>
  <c r="AJ22" i="8"/>
  <c r="Z94" i="9"/>
  <c r="Z25" i="9"/>
  <c r="AH28" i="8" l="1"/>
  <c r="AH31" i="8"/>
  <c r="AJ28" i="8"/>
  <c r="AJ31" i="8"/>
  <c r="AL28" i="8"/>
  <c r="AL31" i="8"/>
  <c r="AK32" i="8"/>
  <c r="AQ32" i="8" s="1"/>
  <c r="AK38" i="8"/>
  <c r="AK35" i="8"/>
  <c r="AI32" i="8"/>
  <c r="AI35" i="8"/>
  <c r="AI38" i="8"/>
  <c r="AM32" i="8"/>
  <c r="AM38" i="8"/>
  <c r="AM35" i="8"/>
  <c r="AQ31" i="8"/>
  <c r="AM28" i="8"/>
  <c r="AQ28" i="8"/>
  <c r="AQ27" i="8"/>
  <c r="Z30" i="9"/>
  <c r="AL32" i="8" l="1"/>
  <c r="AL38" i="8"/>
  <c r="AL35" i="8"/>
  <c r="AJ32" i="8"/>
  <c r="AJ35" i="8"/>
  <c r="AJ38" i="8"/>
  <c r="AH32" i="8"/>
  <c r="AH38" i="8"/>
  <c r="AH35" i="8"/>
  <c r="AQ38" i="8"/>
  <c r="AQ35" i="8"/>
  <c r="Z96" i="9" a="1"/>
  <c r="Z96" i="9" s="1"/>
  <c r="Z36" i="9"/>
  <c r="Z95" i="9" a="1"/>
  <c r="Z95" i="9" s="1"/>
  <c r="Z92" i="9"/>
  <c r="Z93" i="9"/>
  <c r="AK76" i="8" l="1"/>
  <c r="AQ76" i="8" s="1"/>
  <c r="AB11" i="8" l="1"/>
  <c r="AB15" i="8" s="1"/>
  <c r="H11" i="8"/>
  <c r="H15" i="8" s="1"/>
  <c r="G11" i="8"/>
  <c r="G15" i="8" s="1"/>
  <c r="F11" i="8"/>
  <c r="F15" i="8" s="1"/>
  <c r="H82" i="8"/>
  <c r="F87" i="9" s="1"/>
  <c r="G82" i="8"/>
  <c r="E87" i="9" s="1"/>
  <c r="F82" i="8"/>
  <c r="D87" i="9" s="1"/>
  <c r="C87" i="9"/>
  <c r="AE76" i="8"/>
  <c r="Q69" i="9" s="1"/>
  <c r="Z69" i="9" s="1"/>
  <c r="AC76" i="8"/>
  <c r="O69" i="9" s="1"/>
  <c r="X69" i="9" s="1"/>
  <c r="AN11" i="8"/>
  <c r="P88" i="9"/>
  <c r="P97" i="9" s="1"/>
  <c r="H88" i="9"/>
  <c r="H97" i="9" s="1"/>
  <c r="AL14" i="10" l="1"/>
  <c r="AN15" i="8"/>
  <c r="G14" i="10"/>
  <c r="H14" i="10"/>
  <c r="AB14" i="10"/>
  <c r="C69" i="9"/>
  <c r="G76" i="8"/>
  <c r="E69" i="9" s="1"/>
  <c r="F76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AK82" i="8"/>
  <c r="AD76" i="8"/>
  <c r="P69" i="9" s="1"/>
  <c r="Y69" i="9" s="1"/>
  <c r="AN76" i="8"/>
  <c r="AN82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AB16" i="8" l="1"/>
  <c r="AB21" i="8"/>
  <c r="AB27" i="8" s="1"/>
  <c r="AB31" i="8" s="1"/>
  <c r="AN16" i="8"/>
  <c r="AN21" i="8"/>
  <c r="H16" i="8"/>
  <c r="H21" i="8"/>
  <c r="F16" i="8"/>
  <c r="F21" i="8"/>
  <c r="G16" i="8"/>
  <c r="G21" i="8"/>
  <c r="G27" i="8" s="1"/>
  <c r="G31" i="8" s="1"/>
  <c r="AK83" i="8"/>
  <c r="AQ83" i="8" s="1"/>
  <c r="AQ82" i="8"/>
  <c r="F83" i="8"/>
  <c r="F85" i="8" s="1"/>
  <c r="O88" i="9"/>
  <c r="O97" i="9" s="1"/>
  <c r="AC83" i="8"/>
  <c r="AC85" i="8" s="1"/>
  <c r="AQ51" i="8"/>
  <c r="AE83" i="8"/>
  <c r="AE85" i="8" s="1"/>
  <c r="G83" i="8"/>
  <c r="G85" i="8" s="1"/>
  <c r="H83" i="8"/>
  <c r="H85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N60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AE32" i="8" l="1"/>
  <c r="AE38" i="8"/>
  <c r="AE35" i="8"/>
  <c r="F27" i="8"/>
  <c r="H27" i="8"/>
  <c r="AN27" i="8"/>
  <c r="AB22" i="8"/>
  <c r="G22" i="8"/>
  <c r="R92" i="9"/>
  <c r="M17" i="9"/>
  <c r="M25" i="9"/>
  <c r="AE22" i="8"/>
  <c r="H22" i="8"/>
  <c r="G38" i="8"/>
  <c r="F22" i="8"/>
  <c r="AK60" i="8"/>
  <c r="AE28" i="8"/>
  <c r="AN22" i="8"/>
  <c r="AN83" i="8"/>
  <c r="AD83" i="8"/>
  <c r="AD85" i="8" s="1"/>
  <c r="O17" i="9"/>
  <c r="K17" i="9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AN28" i="8" l="1"/>
  <c r="AN31" i="8"/>
  <c r="H31" i="8"/>
  <c r="H32" i="8" s="1"/>
  <c r="F31" i="8"/>
  <c r="F38" i="8" s="1"/>
  <c r="AB32" i="8"/>
  <c r="AB38" i="8"/>
  <c r="AB35" i="8"/>
  <c r="G32" i="8"/>
  <c r="G35" i="8"/>
  <c r="H28" i="8"/>
  <c r="H102" i="8"/>
  <c r="H123" i="8" s="1"/>
  <c r="F102" i="8"/>
  <c r="F28" i="8"/>
  <c r="AE102" i="8"/>
  <c r="AE123" i="8" s="1"/>
  <c r="AK85" i="8"/>
  <c r="AQ60" i="8"/>
  <c r="G28" i="8"/>
  <c r="AB28" i="8"/>
  <c r="AN85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H35" i="8" l="1"/>
  <c r="F35" i="8"/>
  <c r="F32" i="8"/>
  <c r="H38" i="8"/>
  <c r="AN32" i="8"/>
  <c r="AN38" i="8"/>
  <c r="AN35" i="8"/>
  <c r="G102" i="8"/>
  <c r="G123" i="8" s="1"/>
  <c r="AB102" i="8"/>
  <c r="AB123" i="8" s="1"/>
  <c r="AK123" i="8" s="1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F123" i="8"/>
  <c r="AJ102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AK102" i="8" l="1"/>
  <c r="AH102" i="8"/>
  <c r="AI102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F119" i="8" l="1"/>
  <c r="F124" i="8" s="1"/>
  <c r="F126" i="8" s="1"/>
  <c r="G117" i="8" l="1"/>
  <c r="G119" i="8" l="1"/>
  <c r="G124" i="8" l="1"/>
  <c r="G126" i="8" s="1"/>
  <c r="H117" i="8" l="1"/>
  <c r="H119" i="8" s="1"/>
  <c r="H124" i="8" s="1"/>
  <c r="V119" i="8"/>
  <c r="V124" i="8" s="1"/>
  <c r="H126" i="8" l="1"/>
  <c r="V126" i="8"/>
  <c r="W117" i="8"/>
  <c r="W119" i="8" s="1"/>
  <c r="W124" i="8" s="1"/>
  <c r="AI117" i="8"/>
  <c r="W126" i="8" l="1"/>
  <c r="X117" i="8"/>
  <c r="X119" i="8" s="1"/>
  <c r="X124" i="8" s="1"/>
  <c r="X126" i="8" s="1"/>
  <c r="AJ117" i="8"/>
  <c r="AK117" i="8" l="1"/>
  <c r="Y117" i="8"/>
  <c r="Y119" i="8" s="1"/>
  <c r="Y124" i="8" s="1"/>
  <c r="Y126" i="8" s="1"/>
  <c r="AL117" i="8" l="1"/>
  <c r="Z117" i="8"/>
  <c r="Z119" i="8" s="1"/>
  <c r="Z124" i="8" s="1"/>
  <c r="Z126" i="8" s="1"/>
  <c r="AM117" i="8" l="1"/>
  <c r="AI119" i="8"/>
  <c r="AI124" i="8" s="1"/>
  <c r="AI126" i="8" s="1"/>
  <c r="AA117" i="8"/>
  <c r="AA119" i="8" s="1"/>
  <c r="AA124" i="8" s="1"/>
  <c r="AA126" i="8" s="1"/>
  <c r="AN117" i="8" l="1"/>
  <c r="AJ119" i="8"/>
  <c r="AJ124" i="8" s="1"/>
  <c r="AJ126" i="8" s="1"/>
  <c r="AB117" i="8"/>
  <c r="AB119" i="8" s="1"/>
  <c r="AB124" i="8" s="1"/>
  <c r="AB126" i="8" s="1"/>
  <c r="AO117" i="8" l="1"/>
  <c r="AK119" i="8"/>
  <c r="AK124" i="8" s="1"/>
  <c r="AK126" i="8" s="1"/>
  <c r="AC117" i="8"/>
  <c r="AC119" i="8" s="1"/>
  <c r="AD11" i="8" l="1"/>
  <c r="AD15" i="8" s="1"/>
  <c r="AD14" i="10" l="1"/>
  <c r="AD16" i="8" l="1"/>
  <c r="AD21" i="8"/>
  <c r="AD27" i="8" l="1"/>
  <c r="AD31" i="8" s="1"/>
  <c r="AD22" i="8"/>
  <c r="AD32" i="8" l="1"/>
  <c r="AD38" i="8"/>
  <c r="AD35" i="8"/>
  <c r="AD28" i="8"/>
  <c r="AD102" i="8" l="1"/>
  <c r="AD123" i="8" s="1"/>
  <c r="AC11" i="8"/>
  <c r="AC15" i="8" s="1"/>
  <c r="AC14" i="10" l="1"/>
  <c r="AC16" i="8" l="1"/>
  <c r="AC21" i="8"/>
  <c r="AC27" i="8" l="1"/>
  <c r="AC31" i="8" s="1"/>
  <c r="AC22" i="8"/>
  <c r="AC32" i="8" l="1"/>
  <c r="AC38" i="8"/>
  <c r="AC35" i="8"/>
  <c r="AC28" i="8"/>
  <c r="AO102" i="8" l="1"/>
  <c r="AQ102" i="8" s="1"/>
  <c r="AQ93" i="8"/>
  <c r="AL102" i="8"/>
  <c r="AM102" i="8"/>
  <c r="AC102" i="8"/>
  <c r="AC123" i="8" s="1"/>
  <c r="AC124" i="8" l="1"/>
  <c r="AC126" i="8" s="1"/>
  <c r="AO123" i="8"/>
  <c r="AN123" i="8"/>
  <c r="AM123" i="8"/>
  <c r="AL123" i="8"/>
  <c r="AL119" i="8"/>
  <c r="AN102" i="8"/>
  <c r="AD117" i="8" l="1"/>
  <c r="AD119" i="8" s="1"/>
  <c r="AD124" i="8" s="1"/>
  <c r="AD126" i="8" s="1"/>
  <c r="AL124" i="8"/>
  <c r="AL126" i="8" s="1"/>
  <c r="AM119" i="8"/>
  <c r="AM124" i="8" s="1"/>
  <c r="AM126" i="8" s="1"/>
  <c r="AE117" i="8" l="1"/>
  <c r="AE119" i="8" s="1"/>
  <c r="AE124" i="8" s="1"/>
  <c r="AE126" i="8" s="1"/>
  <c r="AN119" i="8"/>
  <c r="AN124" i="8" s="1"/>
  <c r="AN126" i="8" s="1"/>
  <c r="AH119" i="8"/>
  <c r="AH124" i="8" s="1"/>
  <c r="AH126" i="8" s="1"/>
  <c r="AF117" i="8" l="1"/>
  <c r="AF119" i="8" s="1"/>
  <c r="AF124" i="8" s="1"/>
  <c r="AO119" i="8"/>
  <c r="AO124" i="8" s="1"/>
  <c r="AO126" i="8" s="1"/>
  <c r="AF126" i="8" l="1"/>
  <c r="C88" i="9"/>
  <c r="C97" i="9" s="1"/>
  <c r="C92" i="9"/>
  <c r="C93" i="9"/>
  <c r="F13" i="10" l="1"/>
  <c r="F27" i="10" l="1"/>
  <c r="F26" i="10"/>
  <c r="F18" i="10"/>
  <c r="F19" i="10"/>
  <c r="F17" i="10"/>
  <c r="F37" i="10"/>
  <c r="F36" i="10"/>
  <c r="F14" i="10"/>
  <c r="F16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<sst xmlns="http://schemas.openxmlformats.org/spreadsheetml/2006/main" count="255" uniqueCount="210">
  <si>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</si>
  <si>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</si>
  <si>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</si>
  <si>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</si>
  <si>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</si>
  <si>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</si>
  <si>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</si>
  <si>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</si>
  <si>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</si>
  <si>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</si>
  <si>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</si>
  <si>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</si>
  <si>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</si>
  <si>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</si>
  <si>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</si>
  <si>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</si>
  <si>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</si>
  <si>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</si>
  <si>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</si>
  <si>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</si>
  <si>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</si>
  <si>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</si>
  <si>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</si>
  <si>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</si>
  <si>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</si>
  <si>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</si>
  <si>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</si>
  <si>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</si>
  <si>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</si>
  <si>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</si>
  <si>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</si>
  <si>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</si>
  <si>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</si>
  <si>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</si>
  <si>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</si>
  <si>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</si>
  <si>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</si>
  <si>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</si>
  <si>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</si>
  <si>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</si>
  <si>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</si>
  <si>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</si>
  <si>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</si>
  <si>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</si>
  <si>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</si>
  <si>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</si>
  <si>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</si>
  <si>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</si>
  <si>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</si>
  <si>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</si>
  <si>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</si>
  <si>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</si>
  <si>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</si>
  <si>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</si>
  <si>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</si>
  <si>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</si>
  <si>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</si>
  <si>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</si>
  <si>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</si>
  <si>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</si>
  <si>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</si>
  <si>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</si>
  <si>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</si>
  <si>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</si>
  <si>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</si>
  <si>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</si>
  <si>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</si>
  <si>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</si>
  <si>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</si>
  <si>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</si>
  <si>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</si>
  <si>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</si>
  <si>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</si>
  <si>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</si>
  <si>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</si>
  <si>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</si>
  <si>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</si>
  <si>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</si>
  <si>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</si>
  <si>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</si>
  <si>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</si>
  <si>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</si>
  <si>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</si>
  <si>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</si>
  <si>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</si>
  <si>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</si>
  <si>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</si>
  <si>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</si>
  <si>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</si>
  <si>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</si>
  <si>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</si>
  <si>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</si>
  <si>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</si>
  <si>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</si>
  <si>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</si>
  <si>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</si>
  <si>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</si>
  <si>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</si>
  <si>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</si>
  <si>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</si>
  <si>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</si>
  <si>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</si>
  <si>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</si>
  <si>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</si>
  <si>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</si>
  <si>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</si>
  <si>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</si>
  <si>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</si>
  <si>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</si>
  <si>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</si>
  <si>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</si>
  <si>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</si>
  <si>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</si>
  <si>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</si>
  <si>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</si>
  <si>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</si>
  <si>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</si>
  <si>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</si>
  <si>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</si>
  <si>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</si>
  <si>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</si>
  <si>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</si>
  <si>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</si>
  <si>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</si>
  <si>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</si>
  <si>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</si>
  <si>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</si>
  <si>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</si>
  <si>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</si>
  <si>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</si>
  <si>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</si>
  <si>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</si>
  <si>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</si>
  <si>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</si>
  <si>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</si>
  <si>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</si>
  <si>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</si>
  <si>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</si>
  <si>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</si>
  <si>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</si>
  <si>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</si>
  <si>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</si>
  <si>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</si>
  <si>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</si>
  <si>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</si>
  <si>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</si>
  <si>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</si>
  <si>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</si>
  <si>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</si>
  <si>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</si>
  <si>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</si>
  <si>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>PP&amp;E</t>
  </si>
  <si>
    <t>Other LT Liabilities</t>
  </si>
  <si>
    <t>Common Stock</t>
  </si>
  <si>
    <t>Accumulated Other Comprehensive Income Loss</t>
  </si>
  <si>
    <t>Earnings before income taxes (EBT)</t>
  </si>
  <si>
    <t>EBT Margin (%)</t>
  </si>
  <si>
    <t>($ In Millions)</t>
  </si>
  <si>
    <t>Revenue by reportable segment</t>
  </si>
  <si>
    <t>Revenue Segment Anaysis</t>
  </si>
  <si>
    <t>Variance  Check</t>
  </si>
  <si>
    <t>ST Investments</t>
  </si>
  <si>
    <t>Other Assets</t>
  </si>
  <si>
    <t>4Q22</t>
  </si>
  <si>
    <t>1Q22</t>
  </si>
  <si>
    <t>2Q22</t>
  </si>
  <si>
    <t>3Q22</t>
  </si>
  <si>
    <t>R&amp;D</t>
  </si>
  <si>
    <t>Interest Income</t>
  </si>
  <si>
    <t>Interest Expenses</t>
  </si>
  <si>
    <t>A/R</t>
  </si>
  <si>
    <t>Operating Leases</t>
  </si>
  <si>
    <t>A/P</t>
  </si>
  <si>
    <t>Accrued Expenses</t>
  </si>
  <si>
    <t>4Q21</t>
  </si>
  <si>
    <t>3Q21</t>
  </si>
  <si>
    <t>2Q21</t>
  </si>
  <si>
    <t>1Q21</t>
  </si>
  <si>
    <t>Sales and Marketing</t>
  </si>
  <si>
    <t>General and Administrative</t>
  </si>
  <si>
    <t>Other Income</t>
  </si>
  <si>
    <t>Prepaid Expenses</t>
  </si>
  <si>
    <t>Intangible Assets</t>
  </si>
  <si>
    <t>Subscription and Support</t>
  </si>
  <si>
    <t>LT Operating Lease Liabilities</t>
  </si>
  <si>
    <t>C &amp; C.E.'s</t>
  </si>
  <si>
    <t>Total Revenues</t>
  </si>
  <si>
    <t>Revenue by Geo</t>
  </si>
  <si>
    <t>4Q20</t>
  </si>
  <si>
    <t>3Q20</t>
  </si>
  <si>
    <t>2Q20</t>
  </si>
  <si>
    <t>1Q20</t>
  </si>
  <si>
    <t>Americas Revenues</t>
  </si>
  <si>
    <t>Ex Americas Revenues</t>
  </si>
  <si>
    <t>Subscription and Support Revenues</t>
  </si>
  <si>
    <t>Professional Services Revenues</t>
  </si>
  <si>
    <t>XBRL Professional Services</t>
  </si>
  <si>
    <t>Other Services</t>
  </si>
  <si>
    <t>Ttl Service Revenues</t>
  </si>
  <si>
    <t>Subscription and Support COGS</t>
  </si>
  <si>
    <t>Professional Services COGS</t>
  </si>
  <si>
    <t>Deffered Costs</t>
  </si>
  <si>
    <t>Other Recievables</t>
  </si>
  <si>
    <t>Deferred Revenue</t>
  </si>
  <si>
    <t>Convertibles, current</t>
  </si>
  <si>
    <t>Finance Lease Obligations</t>
  </si>
  <si>
    <t>LT Convertible Notes</t>
  </si>
  <si>
    <t>LT Deferred Revenues</t>
  </si>
  <si>
    <t>LT Finance Lease Liabilities</t>
  </si>
  <si>
    <t>Workiva Inc. (NYSE: WK)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</si>
</sst>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2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23" fillId="9" borderId="19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20" xfId="1" applyFont="1" applyBorder="1"/>
    <xf numFmtId="5" fontId="6" fillId="0" borderId="0" xfId="0" applyNumberFormat="1" applyFont="1" applyAlignment="1">
      <alignment horizontal="right" vertical="top"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Q147"/>
  <sheetViews>
    <sheetView showGridLines="0" tabSelected="1" zoomScaleNormal="10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8" width="9" style="5" bestFit="1" customWidth="1"/>
    <col min="9" max="9" width="1.5" style="5" customWidth="1"/>
    <col min="10" max="25" width="8.875" style="5" customWidth="1" outlineLevel="2"/>
    <col min="26" max="27" width="8.875" style="5" customWidth="1" outlineLevel="1"/>
    <col min="28" max="32" width="8.875" style="5" bestFit="1" customWidth="1"/>
    <col min="33" max="33" width="1.5" style="5" customWidth="1"/>
    <col min="34" max="36" width="8.75" style="5" customWidth="1" outlineLevel="1"/>
    <col min="37" max="37" width="9" style="5" bestFit="1" customWidth="1"/>
    <col min="38" max="40" width="9" style="5" customWidth="1" outlineLevel="1"/>
    <col min="41" max="41" width="9" style="5" bestFit="1" customWidth="1"/>
    <col min="42" max="42" width="1.25" style="5" customWidth="1"/>
    <col min="43" max="43" width="8" style="5" bestFit="1" customWidth="1"/>
    <col min="44" max="44" width="1.375" style="5" customWidth="1"/>
    <col min="45" max="16384" width="9" style="5"/>
  </cols>
  <sheetData>
    <row r="2" spans="1:43" ht="12.75" customHeight="1">
      <c r="B2" s="1" t="s">
        <v>209</v>
      </c>
      <c r="C2" s="101"/>
      <c r="D2" s="101"/>
      <c r="E2" s="101"/>
      <c r="F2" s="101"/>
      <c r="G2" s="101"/>
      <c r="H2" s="101"/>
      <c r="I2" s="3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3"/>
      <c r="AH2" s="101"/>
      <c r="AI2" s="101"/>
      <c r="AJ2" s="101"/>
      <c r="AK2" s="101"/>
      <c r="AL2" s="101"/>
      <c r="AM2" s="101"/>
      <c r="AN2" s="101"/>
      <c r="AO2" s="101"/>
      <c r="AP2" s="3"/>
      <c r="AQ2" s="1"/>
    </row>
    <row r="3" spans="1:43" ht="12.75" customHeight="1">
      <c r="B3" s="6" t="s">
        <v>74</v>
      </c>
      <c r="C3" s="7"/>
      <c r="D3" s="7"/>
      <c r="E3" s="7"/>
      <c r="F3" s="7"/>
      <c r="G3" s="7"/>
      <c r="H3" s="7"/>
      <c r="I3" s="3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3"/>
      <c r="AH3" s="4"/>
      <c r="AI3" s="4"/>
      <c r="AJ3" s="4"/>
      <c r="AK3" s="4"/>
      <c r="AL3" s="4"/>
      <c r="AM3" s="4"/>
      <c r="AN3" s="4"/>
      <c r="AO3" s="4"/>
      <c r="AP3" s="3"/>
      <c r="AQ3" s="1"/>
    </row>
    <row r="4" spans="1:43" ht="12.75" customHeight="1">
      <c r="B4" s="6" t="s">
        <v>71</v>
      </c>
      <c r="C4" s="3"/>
      <c r="D4" s="3"/>
      <c r="E4" s="3"/>
      <c r="F4" s="3"/>
      <c r="G4" s="85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1"/>
    </row>
    <row r="6" spans="1:43" ht="12.75" customHeight="1">
      <c r="A6" s="5" t="s">
        <v>16</v>
      </c>
      <c r="B6" s="1" t="s">
        <v>72</v>
      </c>
      <c r="C6" s="2"/>
      <c r="D6" s="2"/>
      <c r="E6" s="2"/>
      <c r="F6" s="2"/>
      <c r="G6" s="2"/>
      <c r="H6" s="2"/>
      <c r="I6" s="3"/>
      <c r="J6" s="2"/>
      <c r="K6" s="2"/>
      <c r="L6" s="2"/>
      <c r="M6" s="2"/>
      <c r="N6" s="2"/>
      <c r="O6" s="2"/>
      <c r="P6" s="2" t="s">
        <v>1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 t="s">
        <v>1</v>
      </c>
      <c r="AC6" s="2"/>
      <c r="AD6" s="2"/>
      <c r="AE6" s="2"/>
      <c r="AF6" s="2"/>
      <c r="AG6" s="3"/>
      <c r="AH6" s="2"/>
      <c r="AI6" s="2"/>
      <c r="AJ6" s="2" t="s">
        <v>10</v>
      </c>
      <c r="AK6" s="2" t="s">
        <v>10</v>
      </c>
      <c r="AL6" s="2"/>
      <c r="AM6" s="2"/>
      <c r="AN6" s="2"/>
      <c r="AO6" s="2"/>
      <c r="AP6" s="38"/>
      <c r="AQ6" s="162" t="s">
        <v>22</v>
      </c>
    </row>
    <row r="7" spans="1:43" ht="12.75" customHeight="1">
      <c r="B7" s="6" t="s">
        <v>75</v>
      </c>
      <c r="C7" s="7">
        <v>2019</v>
      </c>
      <c r="D7" s="7">
        <v>2020</v>
      </c>
      <c r="E7" s="7">
        <v>2021</v>
      </c>
      <c r="F7" s="7">
        <v>2022</v>
      </c>
      <c r="G7" s="7">
        <v>2023</v>
      </c>
      <c r="H7" s="7">
        <v>2024</v>
      </c>
      <c r="I7" s="3"/>
      <c r="J7" s="4" t="s">
        <v>191</v>
      </c>
      <c r="K7" s="4" t="s">
        <v>190</v>
      </c>
      <c r="L7" s="4" t="s">
        <v>189</v>
      </c>
      <c r="M7" s="4" t="s">
        <v>188</v>
      </c>
      <c r="N7" s="4" t="s">
        <v>177</v>
      </c>
      <c r="O7" s="4" t="s">
        <v>176</v>
      </c>
      <c r="P7" s="4" t="s">
        <v>175</v>
      </c>
      <c r="Q7" s="4" t="s">
        <v>174</v>
      </c>
      <c r="R7" s="4" t="s">
        <v>164</v>
      </c>
      <c r="S7" s="4" t="s">
        <v>165</v>
      </c>
      <c r="T7" s="4" t="s">
        <v>166</v>
      </c>
      <c r="U7" s="4" t="s">
        <v>163</v>
      </c>
      <c r="V7" s="4" t="s">
        <v>6</v>
      </c>
      <c r="W7" s="4" t="s">
        <v>7</v>
      </c>
      <c r="X7" s="4" t="s">
        <v>8</v>
      </c>
      <c r="Y7" s="4" t="s">
        <v>9</v>
      </c>
      <c r="Z7" s="4" t="s">
        <v>2</v>
      </c>
      <c r="AA7" s="4" t="s">
        <v>3</v>
      </c>
      <c r="AB7" s="4" t="s">
        <v>4</v>
      </c>
      <c r="AC7" s="4" t="s">
        <v>5</v>
      </c>
      <c r="AD7" s="4" t="s">
        <v>24</v>
      </c>
      <c r="AE7" s="4" t="s">
        <v>25</v>
      </c>
      <c r="AF7" s="4" t="s">
        <v>61</v>
      </c>
      <c r="AG7" s="3"/>
      <c r="AH7" s="4" t="str">
        <f>Y7</f>
        <v>4Q23</v>
      </c>
      <c r="AI7" s="4" t="str">
        <f>Z7</f>
        <v>1Q24</v>
      </c>
      <c r="AJ7" s="4" t="str">
        <f>AA7</f>
        <v>2Q24</v>
      </c>
      <c r="AK7" s="4" t="str">
        <f>AB7</f>
        <v>3Q24</v>
      </c>
      <c r="AL7" s="4" t="str">
        <f>AC7</f>
        <v>4Q24</v>
      </c>
      <c r="AM7" s="4" t="str">
        <f>AD7</f>
        <v>1Q25</v>
      </c>
      <c r="AN7" s="4" t="str">
        <f>AE7</f>
        <v>2Q25</v>
      </c>
      <c r="AO7" s="4" t="str">
        <f>AF7</f>
        <v>3Q25</v>
      </c>
      <c r="AP7" s="38"/>
      <c r="AQ7" s="162"/>
    </row>
    <row r="8" spans="1:43" ht="12.75" customHeight="1">
      <c r="B8" s="6" t="s">
        <v>76</v>
      </c>
      <c r="C8" s="3"/>
      <c r="D8" s="3"/>
      <c r="E8" s="3"/>
      <c r="F8" s="3"/>
      <c r="G8" s="85"/>
      <c r="H8" s="85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f>G8</f>
        <v>0</v>
      </c>
      <c r="Z8" s="3"/>
      <c r="AA8" s="3"/>
      <c r="AB8" s="3"/>
      <c r="AC8" s="3">
        <f>H8</f>
        <v>0</v>
      </c>
      <c r="AD8" s="3"/>
      <c r="AE8" s="3"/>
      <c r="AF8" s="3"/>
      <c r="AG8" s="3"/>
      <c r="AH8" s="3">
        <f>Y8</f>
        <v>0</v>
      </c>
      <c r="AI8" s="3">
        <f>Z8</f>
        <v>0</v>
      </c>
      <c r="AJ8" s="3">
        <f>AA8</f>
        <v>0</v>
      </c>
      <c r="AK8" s="3">
        <f>AB8</f>
        <v>0</v>
      </c>
      <c r="AL8" s="3">
        <f>AC8</f>
        <v>0</v>
      </c>
      <c r="AM8" s="3">
        <f>AD8</f>
        <v>0</v>
      </c>
      <c r="AN8" s="3">
        <f>AE8</f>
        <v>0</v>
      </c>
      <c r="AO8" s="3">
        <f>AF8</f>
        <v>0</v>
      </c>
      <c r="AP8" s="38"/>
      <c r="AQ8" s="162"/>
    </row>
    <row r="9" spans="1:43" ht="5.0999999999999996" customHeight="1">
      <c r="AQ9" s="100"/>
    </row>
    <row r="10" spans="1:43" ht="12.75" customHeight="1">
      <c r="B10" s="9" t="s">
        <v>56</v>
      </c>
      <c r="C10" s="95">
        <v>297.89099999999996</v>
      </c>
      <c r="D10" s="95">
        <v>351.59399999999999</v>
      </c>
      <c r="E10" s="95">
        <v>443.28500000000003</v>
      </c>
      <c r="F10" s="95">
        <v>537.87499999999989</v>
      </c>
      <c r="G10" s="95">
        <v>630.03899999999999</v>
      </c>
      <c r="H10" s="95">
        <v>738.68</v>
      </c>
      <c r="I10" s="11"/>
      <c r="J10" s="95">
        <v>85.801000000000002</v>
      </c>
      <c r="K10" s="95">
        <v>83.86</v>
      </c>
      <c r="L10" s="95">
        <v>88.09899999999999</v>
      </c>
      <c r="M10" s="95">
        <v>93.834000000000003</v>
      </c>
      <c r="N10" s="95">
        <v>104.22200000000001</v>
      </c>
      <c r="O10" s="95">
        <v>105.587</v>
      </c>
      <c r="P10" s="95">
        <v>112.69300000000001</v>
      </c>
      <c r="Q10" s="24">
        <v>120.78299999999997</v>
      </c>
      <c r="R10" s="95">
        <v>129.67400000000001</v>
      </c>
      <c r="S10" s="95">
        <v>131.54899999999998</v>
      </c>
      <c r="T10" s="95">
        <v>132.84899999999999</v>
      </c>
      <c r="U10" s="24">
        <v>143.80299999999997</v>
      </c>
      <c r="V10" s="95">
        <v>150.18899999999999</v>
      </c>
      <c r="W10" s="95">
        <v>155.02199999999999</v>
      </c>
      <c r="X10" s="95">
        <v>158.17500000000001</v>
      </c>
      <c r="Y10" s="32">
        <v>166.65300000000002</v>
      </c>
      <c r="Z10" s="95">
        <v>175.667</v>
      </c>
      <c r="AA10" s="95">
        <v>177.50300000000001</v>
      </c>
      <c r="AB10" s="95">
        <v>185.62200000000001</v>
      </c>
      <c r="AC10" s="32">
        <v>199.88799999999995</v>
      </c>
      <c r="AD10" s="82">
        <v>206.27199999999999</v>
      </c>
      <c r="AE10" s="82">
        <v>215.18500000000003</v>
      </c>
      <c r="AF10" s="81">
        <v>224.16400000000002</v>
      </c>
      <c r="AH10" s="32">
        <f t="shared" ref="AH10:AN10" si="0">SUM(V10:Y10)</f>
        <v>630.03899999999999</v>
      </c>
      <c r="AI10" s="32">
        <f t="shared" si="0"/>
        <v>655.51700000000005</v>
      </c>
      <c r="AJ10" s="32">
        <f t="shared" si="0"/>
        <v>677.99800000000005</v>
      </c>
      <c r="AK10" s="32">
        <f t="shared" si="0"/>
        <v>705.44500000000016</v>
      </c>
      <c r="AL10" s="32">
        <f t="shared" si="0"/>
        <v>738.68</v>
      </c>
      <c r="AM10" s="32">
        <f t="shared" si="0"/>
        <v>769.28499999999985</v>
      </c>
      <c r="AN10" s="32">
        <f t="shared" si="0"/>
        <v>806.96699999999998</v>
      </c>
      <c r="AO10" s="32">
        <f>SUM(AC10:AF10)</f>
        <v>845.50900000000001</v>
      </c>
      <c r="AP10" s="40"/>
      <c r="AQ10" s="12">
        <f>SUM(AO10/AK10)-1</f>
        <v>0.19854701642225803</v>
      </c>
    </row>
    <row r="11" spans="1:43" ht="12.75" customHeight="1">
      <c r="B11" s="13" t="s">
        <v>12</v>
      </c>
      <c r="C11" s="14">
        <f t="shared" ref="C11" si="1">+SUM(C10:C10)</f>
        <v>297.89099999999996</v>
      </c>
      <c r="D11" s="14">
        <f t="shared" ref="D11:E11" si="2">+SUM(D10:D10)</f>
        <v>351.59399999999999</v>
      </c>
      <c r="E11" s="14">
        <f t="shared" si="2"/>
        <v>443.28500000000003</v>
      </c>
      <c r="F11" s="14">
        <f t="shared" ref="F11:H11" si="3">+SUM(F10:F10)</f>
        <v>537.87499999999989</v>
      </c>
      <c r="G11" s="14">
        <f t="shared" si="3"/>
        <v>630.03899999999999</v>
      </c>
      <c r="H11" s="14">
        <f t="shared" si="3"/>
        <v>738.68</v>
      </c>
      <c r="I11" s="11"/>
      <c r="J11" s="14">
        <f t="shared" ref="J11:L11" si="4">+SUM(J10:J10)</f>
        <v>85.801000000000002</v>
      </c>
      <c r="K11" s="14">
        <f t="shared" si="4"/>
        <v>83.86</v>
      </c>
      <c r="L11" s="14">
        <f t="shared" si="4"/>
        <v>88.09899999999999</v>
      </c>
      <c r="M11" s="14">
        <f t="shared" ref="M11" si="5">+SUM(M10:M10)</f>
        <v>93.834000000000003</v>
      </c>
      <c r="N11" s="14">
        <f t="shared" ref="N11:T11" si="6">+SUM(N10:N10)</f>
        <v>104.22200000000001</v>
      </c>
      <c r="O11" s="14">
        <f t="shared" ref="O11:Q11" si="7">+SUM(O10:O10)</f>
        <v>105.587</v>
      </c>
      <c r="P11" s="14">
        <f t="shared" si="7"/>
        <v>112.69300000000001</v>
      </c>
      <c r="Q11" s="14">
        <f t="shared" si="7"/>
        <v>120.78299999999997</v>
      </c>
      <c r="R11" s="14">
        <f t="shared" si="6"/>
        <v>129.67400000000001</v>
      </c>
      <c r="S11" s="14">
        <f t="shared" si="6"/>
        <v>131.54899999999998</v>
      </c>
      <c r="T11" s="14">
        <f t="shared" si="6"/>
        <v>132.84899999999999</v>
      </c>
      <c r="U11" s="14">
        <f t="shared" ref="U11" si="8">+SUM(U10:U10)</f>
        <v>143.80299999999997</v>
      </c>
      <c r="V11" s="14">
        <f t="shared" ref="V11:AE11" si="9">+SUM(V10:V10)</f>
        <v>150.18899999999999</v>
      </c>
      <c r="W11" s="14">
        <f t="shared" si="9"/>
        <v>155.02199999999999</v>
      </c>
      <c r="X11" s="14">
        <f t="shared" si="9"/>
        <v>158.17500000000001</v>
      </c>
      <c r="Y11" s="14">
        <f t="shared" si="9"/>
        <v>166.65300000000002</v>
      </c>
      <c r="Z11" s="14">
        <f t="shared" si="9"/>
        <v>175.667</v>
      </c>
      <c r="AA11" s="14">
        <f t="shared" si="9"/>
        <v>177.50300000000001</v>
      </c>
      <c r="AB11" s="14">
        <f t="shared" si="9"/>
        <v>185.62200000000001</v>
      </c>
      <c r="AC11" s="14">
        <f t="shared" si="9"/>
        <v>199.88799999999995</v>
      </c>
      <c r="AD11" s="14">
        <f t="shared" si="9"/>
        <v>206.27199999999999</v>
      </c>
      <c r="AE11" s="14">
        <f t="shared" si="9"/>
        <v>215.18500000000003</v>
      </c>
      <c r="AF11" s="14">
        <f>+SUM(AF10:AF10)</f>
        <v>224.16400000000002</v>
      </c>
      <c r="AH11" s="14">
        <f t="shared" ref="AH11:AN11" si="10">+SUM(AH10:AH10)</f>
        <v>630.03899999999999</v>
      </c>
      <c r="AI11" s="14">
        <f t="shared" si="10"/>
        <v>655.51700000000005</v>
      </c>
      <c r="AJ11" s="14">
        <f t="shared" si="10"/>
        <v>677.99800000000005</v>
      </c>
      <c r="AK11" s="14">
        <f t="shared" si="10"/>
        <v>705.44500000000016</v>
      </c>
      <c r="AL11" s="14">
        <f t="shared" si="10"/>
        <v>738.68</v>
      </c>
      <c r="AM11" s="14">
        <f t="shared" si="10"/>
        <v>769.28499999999985</v>
      </c>
      <c r="AN11" s="14">
        <f t="shared" si="10"/>
        <v>806.96699999999998</v>
      </c>
      <c r="AO11" s="14">
        <f>+SUM(AO10:AO10)</f>
        <v>845.50900000000001</v>
      </c>
      <c r="AP11" s="40"/>
      <c r="AQ11" s="15">
        <f>SUM(AO11/AK11)-1</f>
        <v>0.19854701642225803</v>
      </c>
    </row>
    <row r="12" spans="1:43" s="20" customFormat="1" ht="5.0999999999999996" customHeight="1">
      <c r="B12" s="18"/>
      <c r="C12" s="19"/>
      <c r="D12" s="19"/>
      <c r="E12" s="19"/>
      <c r="F12" s="19"/>
      <c r="G12" s="19"/>
      <c r="H12" s="19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2"/>
      <c r="AE12" s="21"/>
      <c r="AF12" s="21"/>
      <c r="AQ12" s="75"/>
    </row>
    <row r="13" spans="1:43" s="20" customFormat="1">
      <c r="B13" s="9" t="s">
        <v>199</v>
      </c>
      <c r="C13" s="82">
        <v>-42.881</v>
      </c>
      <c r="D13" s="82">
        <v>-49.503</v>
      </c>
      <c r="E13" s="82">
        <v>-60.551000000000002</v>
      </c>
      <c r="F13" s="82">
        <v>-77.710999999999999</v>
      </c>
      <c r="G13" s="82">
        <v>-99.192999999999998</v>
      </c>
      <c r="H13" s="82">
        <v>-118.697</v>
      </c>
      <c r="I13" s="32"/>
      <c r="J13" s="82">
        <v>-12.153</v>
      </c>
      <c r="K13" s="82">
        <v>-12.098000000000001</v>
      </c>
      <c r="L13" s="82">
        <v>-12.013</v>
      </c>
      <c r="M13" s="82">
        <v>-13.238999999999997</v>
      </c>
      <c r="N13" s="82">
        <v>-13.202</v>
      </c>
      <c r="O13" s="82">
        <v>-14.098000000000001</v>
      </c>
      <c r="P13" s="82">
        <v>-15.606</v>
      </c>
      <c r="Q13" s="82">
        <v>-17.645000000000003</v>
      </c>
      <c r="R13" s="82">
        <v>-18.533000000000001</v>
      </c>
      <c r="S13" s="82">
        <v>-18.914999999999999</v>
      </c>
      <c r="T13" s="82">
        <v>-19.234999999999999</v>
      </c>
      <c r="U13" s="82">
        <v>-21.027999999999999</v>
      </c>
      <c r="V13" s="82">
        <v>-24.132999999999999</v>
      </c>
      <c r="W13" s="82">
        <v>-25.082999999999998</v>
      </c>
      <c r="X13" s="82">
        <v>-24.864000000000001</v>
      </c>
      <c r="Y13" s="82">
        <v>-25.113</v>
      </c>
      <c r="Z13" s="82">
        <v>-27.927</v>
      </c>
      <c r="AA13" s="82">
        <v>-27.945</v>
      </c>
      <c r="AB13" s="82">
        <v>-30.620999999999999</v>
      </c>
      <c r="AC13" s="82">
        <v>-32.204000000000008</v>
      </c>
      <c r="AD13" s="82">
        <v>-34.061999999999998</v>
      </c>
      <c r="AE13" s="82">
        <v>-35.277000000000001</v>
      </c>
      <c r="AF13" s="82">
        <v>-33.82</v>
      </c>
      <c r="AG13" s="5"/>
      <c r="AH13" s="32">
        <f t="shared" ref="AH13:AN13" si="11">SUM(V13:Y13)</f>
        <v>-99.192999999999998</v>
      </c>
      <c r="AI13" s="32">
        <f t="shared" si="11"/>
        <v>-102.98699999999999</v>
      </c>
      <c r="AJ13" s="32">
        <f t="shared" si="11"/>
        <v>-105.84899999999999</v>
      </c>
      <c r="AK13" s="32">
        <f t="shared" si="11"/>
        <v>-111.60599999999999</v>
      </c>
      <c r="AL13" s="32">
        <f t="shared" si="11"/>
        <v>-118.697</v>
      </c>
      <c r="AM13" s="32">
        <f t="shared" si="11"/>
        <v>-124.83200000000001</v>
      </c>
      <c r="AN13" s="32">
        <f t="shared" si="11"/>
        <v>-132.16399999999999</v>
      </c>
      <c r="AO13" s="32">
        <f>SUM(AC13:AF13)</f>
        <v>-135.363</v>
      </c>
      <c r="AP13" s="11"/>
      <c r="AQ13" s="75">
        <f t="shared" ref="AQ13" si="12">SUM(AO13/AK13)-1</f>
        <v>0.21286489973657341</v>
      </c>
    </row>
    <row r="14" spans="1:43" s="20" customFormat="1">
      <c r="B14" s="9" t="s">
        <v>200</v>
      </c>
      <c r="C14" s="82">
        <v>-42.131</v>
      </c>
      <c r="D14" s="82">
        <v>-40.673999999999999</v>
      </c>
      <c r="E14" s="82">
        <v>-43.281999999999996</v>
      </c>
      <c r="F14" s="82">
        <v>-52.173999999999999</v>
      </c>
      <c r="G14" s="82">
        <v>-55.029000000000003</v>
      </c>
      <c r="H14" s="82">
        <v>-53.357999999999997</v>
      </c>
      <c r="I14" s="32"/>
      <c r="J14" s="82">
        <v>-10.243</v>
      </c>
      <c r="K14" s="82">
        <v>-10.146000000000001</v>
      </c>
      <c r="L14" s="82">
        <v>-9.8729999999999993</v>
      </c>
      <c r="M14" s="82">
        <v>-10.411999999999999</v>
      </c>
      <c r="N14" s="82">
        <v>-10.474</v>
      </c>
      <c r="O14" s="82">
        <v>-10.493</v>
      </c>
      <c r="P14" s="82">
        <v>-10.798999999999999</v>
      </c>
      <c r="Q14" s="82">
        <v>-11.515999999999998</v>
      </c>
      <c r="R14" s="82">
        <v>-12.34</v>
      </c>
      <c r="S14" s="82">
        <v>-13.321999999999999</v>
      </c>
      <c r="T14" s="82">
        <v>-13.183999999999999</v>
      </c>
      <c r="U14" s="82">
        <v>-13.328000000000003</v>
      </c>
      <c r="V14" s="82">
        <v>-14.385</v>
      </c>
      <c r="W14" s="82">
        <v>-14.420999999999999</v>
      </c>
      <c r="X14" s="82">
        <v>-13.491</v>
      </c>
      <c r="Y14" s="82">
        <v>-12.732000000000006</v>
      </c>
      <c r="Z14" s="82">
        <v>-13.596</v>
      </c>
      <c r="AA14" s="82">
        <v>-13.227</v>
      </c>
      <c r="AB14" s="82">
        <v>-13.05</v>
      </c>
      <c r="AC14" s="82">
        <v>-13.484999999999992</v>
      </c>
      <c r="AD14" s="82">
        <v>-14.28</v>
      </c>
      <c r="AE14" s="82">
        <v>-14.26</v>
      </c>
      <c r="AF14" s="82">
        <v>-12.554</v>
      </c>
      <c r="AG14" s="5"/>
      <c r="AH14" s="32">
        <f t="shared" ref="AH14" si="13">SUM(V14:Y14)</f>
        <v>-55.029000000000003</v>
      </c>
      <c r="AI14" s="32">
        <f t="shared" ref="AI14" si="14">SUM(W14:Z14)</f>
        <v>-54.240000000000009</v>
      </c>
      <c r="AJ14" s="32">
        <f t="shared" ref="AJ14" si="15">SUM(X14:AA14)</f>
        <v>-53.046000000000006</v>
      </c>
      <c r="AK14" s="32">
        <f t="shared" ref="AK14" si="16">SUM(Y14:AB14)</f>
        <v>-52.605000000000004</v>
      </c>
      <c r="AL14" s="32">
        <f t="shared" ref="AL14" si="17">SUM(Z14:AC14)</f>
        <v>-53.357999999999997</v>
      </c>
      <c r="AM14" s="32">
        <f t="shared" ref="AM14" si="18">SUM(AA14:AD14)</f>
        <v>-54.041999999999994</v>
      </c>
      <c r="AN14" s="32">
        <f t="shared" ref="AN14:AO14" si="19">SUM(AB14:AE14)</f>
        <v>-55.074999999999989</v>
      </c>
      <c r="AO14" s="32">
        <f t="shared" si="19"/>
        <v>-54.578999999999994</v>
      </c>
      <c r="AP14" s="11"/>
      <c r="AQ14" s="75"/>
    </row>
    <row r="15" spans="1:43" s="20" customFormat="1">
      <c r="B15" s="25" t="s">
        <v>20</v>
      </c>
      <c r="C15" s="26">
        <f>SUM(C11+SUM(C13:C14))</f>
        <v>212.87899999999996</v>
      </c>
      <c r="D15" s="26">
        <f t="shared" ref="D15:H15" si="20">SUM(D11+SUM(D13:D14))</f>
        <v>261.41700000000003</v>
      </c>
      <c r="E15" s="26">
        <f t="shared" si="20"/>
        <v>339.452</v>
      </c>
      <c r="F15" s="26">
        <f t="shared" si="20"/>
        <v>407.9899999999999</v>
      </c>
      <c r="G15" s="26">
        <f t="shared" si="20"/>
        <v>475.81700000000001</v>
      </c>
      <c r="H15" s="26">
        <f t="shared" si="20"/>
        <v>566.625</v>
      </c>
      <c r="I15" s="32"/>
      <c r="J15" s="26">
        <f t="shared" ref="J15" si="21">SUM(J11+SUM(J13:J14))</f>
        <v>63.405000000000001</v>
      </c>
      <c r="K15" s="26">
        <f t="shared" ref="K15" si="22">SUM(K11+SUM(K13:K14))</f>
        <v>61.616</v>
      </c>
      <c r="L15" s="26">
        <f t="shared" ref="L15" si="23">SUM(L11+SUM(L13:L14))</f>
        <v>66.212999999999994</v>
      </c>
      <c r="M15" s="26">
        <f t="shared" ref="M15" si="24">SUM(M11+SUM(M13:M14))</f>
        <v>70.183000000000007</v>
      </c>
      <c r="N15" s="26">
        <f t="shared" ref="N15" si="25">SUM(N11+SUM(N13:N14))</f>
        <v>80.546000000000006</v>
      </c>
      <c r="O15" s="26">
        <f t="shared" ref="O15" si="26">SUM(O11+SUM(O13:O14))</f>
        <v>80.996000000000009</v>
      </c>
      <c r="P15" s="26">
        <f t="shared" ref="P15" si="27">SUM(P11+SUM(P13:P14))</f>
        <v>86.288000000000011</v>
      </c>
      <c r="Q15" s="26">
        <f t="shared" ref="Q15" si="28">SUM(Q11+SUM(Q13:Q14))</f>
        <v>91.621999999999971</v>
      </c>
      <c r="R15" s="26">
        <f t="shared" ref="R15" si="29">SUM(R11+SUM(R13:R14))</f>
        <v>98.801000000000002</v>
      </c>
      <c r="S15" s="26">
        <f t="shared" ref="S15" si="30">SUM(S11+SUM(S13:S14))</f>
        <v>99.311999999999983</v>
      </c>
      <c r="T15" s="26">
        <f t="shared" ref="T15" si="31">SUM(T11+SUM(T13:T14))</f>
        <v>100.42999999999999</v>
      </c>
      <c r="U15" s="26">
        <f t="shared" ref="U15" si="32">SUM(U11+SUM(U13:U14))</f>
        <v>109.44699999999997</v>
      </c>
      <c r="V15" s="26">
        <f t="shared" ref="V15" si="33">SUM(V11+SUM(V13:V14))</f>
        <v>111.67099999999999</v>
      </c>
      <c r="W15" s="26">
        <f t="shared" ref="W15" si="34">SUM(W11+SUM(W13:W14))</f>
        <v>115.518</v>
      </c>
      <c r="X15" s="26">
        <f t="shared" ref="X15" si="35">SUM(X11+SUM(X13:X14))</f>
        <v>119.82000000000001</v>
      </c>
      <c r="Y15" s="26">
        <f t="shared" ref="Y15" si="36">SUM(Y11+SUM(Y13:Y14))</f>
        <v>128.80800000000002</v>
      </c>
      <c r="Z15" s="26">
        <f t="shared" ref="Z15" si="37">SUM(Z11+SUM(Z13:Z14))</f>
        <v>134.14400000000001</v>
      </c>
      <c r="AA15" s="26">
        <f t="shared" ref="AA15" si="38">SUM(AA11+SUM(AA13:AA14))</f>
        <v>136.33100000000002</v>
      </c>
      <c r="AB15" s="26">
        <f t="shared" ref="AB15" si="39">SUM(AB11+SUM(AB13:AB14))</f>
        <v>141.95100000000002</v>
      </c>
      <c r="AC15" s="26">
        <f t="shared" ref="AC15" si="40">SUM(AC11+SUM(AC13:AC14))</f>
        <v>154.19899999999996</v>
      </c>
      <c r="AD15" s="26">
        <f t="shared" ref="AD15" si="41">SUM(AD11+SUM(AD13:AD14))</f>
        <v>157.93</v>
      </c>
      <c r="AE15" s="26">
        <f t="shared" ref="AE15" si="42">SUM(AE11+SUM(AE13:AE14))</f>
        <v>165.64800000000002</v>
      </c>
      <c r="AF15" s="26">
        <f t="shared" ref="AF15" si="43">SUM(AF11+SUM(AF13:AF14))</f>
        <v>177.79000000000002</v>
      </c>
      <c r="AG15" s="5"/>
      <c r="AH15" s="26">
        <f t="shared" ref="AH15" si="44">SUM(AH11+SUM(AH13:AH14))</f>
        <v>475.81700000000001</v>
      </c>
      <c r="AI15" s="26">
        <f t="shared" ref="AI15" si="45">SUM(AI11+SUM(AI13:AI14))</f>
        <v>498.29000000000008</v>
      </c>
      <c r="AJ15" s="26">
        <f t="shared" ref="AJ15" si="46">SUM(AJ11+SUM(AJ13:AJ14))</f>
        <v>519.10300000000007</v>
      </c>
      <c r="AK15" s="26">
        <f t="shared" ref="AK15" si="47">SUM(AK11+SUM(AK13:AK14))</f>
        <v>541.23400000000015</v>
      </c>
      <c r="AL15" s="26">
        <f t="shared" ref="AL15" si="48">SUM(AL11+SUM(AL13:AL14))</f>
        <v>566.625</v>
      </c>
      <c r="AM15" s="26">
        <f t="shared" ref="AM15" si="49">SUM(AM11+SUM(AM13:AM14))</f>
        <v>590.41099999999983</v>
      </c>
      <c r="AN15" s="26">
        <f t="shared" ref="AN15" si="50">SUM(AN11+SUM(AN13:AN14))</f>
        <v>619.72800000000007</v>
      </c>
      <c r="AO15" s="26">
        <f t="shared" ref="AO15" si="51">SUM(AO11+SUM(AO13:AO14))</f>
        <v>655.56700000000001</v>
      </c>
      <c r="AP15" s="11"/>
      <c r="AQ15" s="76">
        <f>SUM(AO15/AK15)-1</f>
        <v>0.21124504373339414</v>
      </c>
    </row>
    <row r="16" spans="1:43" s="20" customFormat="1">
      <c r="B16" s="16" t="s">
        <v>29</v>
      </c>
      <c r="C16" s="17">
        <f t="shared" ref="C16:D16" si="52">C15/C11</f>
        <v>0.71462044841905259</v>
      </c>
      <c r="D16" s="17">
        <f t="shared" si="52"/>
        <v>0.74351951398488036</v>
      </c>
      <c r="E16" s="17">
        <f t="shared" ref="E16" si="53">E15/E11</f>
        <v>0.76576468863146729</v>
      </c>
      <c r="F16" s="17">
        <f t="shared" ref="F16:H16" si="54">F15/F11</f>
        <v>0.75852196142226347</v>
      </c>
      <c r="G16" s="17">
        <f t="shared" si="54"/>
        <v>0.75521832775431363</v>
      </c>
      <c r="H16" s="17">
        <f t="shared" si="54"/>
        <v>0.76707776032923602</v>
      </c>
      <c r="I16" s="32"/>
      <c r="J16" s="17">
        <f t="shared" ref="J16" si="55">J15/J11</f>
        <v>0.73897740119579025</v>
      </c>
      <c r="K16" s="17">
        <f t="shared" ref="K16" si="56">K15/K11</f>
        <v>0.73474839017409965</v>
      </c>
      <c r="L16" s="17">
        <f t="shared" ref="L16" si="57">L15/L11</f>
        <v>0.7515749327461152</v>
      </c>
      <c r="M16" s="17">
        <f t="shared" ref="M16:N16" si="58">M15/M11</f>
        <v>0.74794850480636021</v>
      </c>
      <c r="N16" s="17">
        <f t="shared" si="58"/>
        <v>0.77283107213448221</v>
      </c>
      <c r="O16" s="17">
        <f t="shared" ref="O16" si="59">O15/O11</f>
        <v>0.7671020106641917</v>
      </c>
      <c r="P16" s="17">
        <f t="shared" ref="P16" si="60">P15/P11</f>
        <v>0.76569085923704228</v>
      </c>
      <c r="Q16" s="17">
        <f t="shared" ref="Q16" si="61">Q15/Q11</f>
        <v>0.75856701688151473</v>
      </c>
      <c r="R16" s="17">
        <f t="shared" ref="R16" si="62">R15/R11</f>
        <v>0.76191834909079692</v>
      </c>
      <c r="S16" s="17">
        <f t="shared" ref="S16" si="63">S15/S11</f>
        <v>0.75494302503249744</v>
      </c>
      <c r="T16" s="17">
        <f t="shared" ref="T16" si="64">T15/T11</f>
        <v>0.75597106489322463</v>
      </c>
      <c r="U16" s="17">
        <f t="shared" ref="U16" si="65">U15/U11</f>
        <v>0.76108982427348526</v>
      </c>
      <c r="V16" s="17">
        <f t="shared" ref="V16" si="66">V15/V11</f>
        <v>0.74353647737184481</v>
      </c>
      <c r="W16" s="17">
        <f t="shared" ref="W16" si="67">W15/W11</f>
        <v>0.74517165305569533</v>
      </c>
      <c r="X16" s="17">
        <f t="shared" ref="X16" si="68">X15/X11</f>
        <v>0.75751541014698909</v>
      </c>
      <c r="Y16" s="17">
        <f t="shared" ref="Y16" si="69">Y15/Y11</f>
        <v>0.77291137873305615</v>
      </c>
      <c r="Z16" s="17">
        <f t="shared" ref="Z16" si="70">Z15/Z11</f>
        <v>0.76362663448456458</v>
      </c>
      <c r="AA16" s="17">
        <f t="shared" ref="AA16" si="71">AA15/AA11</f>
        <v>0.76804899072128363</v>
      </c>
      <c r="AB16" s="17">
        <f t="shared" ref="AB16" si="72">AB15/AB11</f>
        <v>0.76473155121698944</v>
      </c>
      <c r="AC16" s="17">
        <f t="shared" ref="AC16" si="73">AC15/AC11</f>
        <v>0.77142699911950685</v>
      </c>
      <c r="AD16" s="17">
        <f t="shared" ref="AD16" si="74">AD15/AD11</f>
        <v>0.76563954390319588</v>
      </c>
      <c r="AE16" s="17">
        <f t="shared" ref="AE16" si="75">AE15/AE11</f>
        <v>0.76979343355717178</v>
      </c>
      <c r="AF16" s="17">
        <f t="shared" ref="AF16" si="76">AF15/AF11</f>
        <v>0.79312467657607821</v>
      </c>
      <c r="AG16" s="5"/>
      <c r="AH16" s="17">
        <f t="shared" ref="AH16" si="77">AH15/AH11</f>
        <v>0.75521832775431363</v>
      </c>
      <c r="AI16" s="17">
        <f t="shared" ref="AI16" si="78">AI15/AI11</f>
        <v>0.76014809684569584</v>
      </c>
      <c r="AJ16" s="17">
        <f t="shared" ref="AJ16" si="79">AJ15/AJ11</f>
        <v>0.76564090159557996</v>
      </c>
      <c r="AK16" s="17">
        <f t="shared" ref="AK16" si="80">AK15/AK11</f>
        <v>0.76722352557605489</v>
      </c>
      <c r="AL16" s="17">
        <f t="shared" ref="AL16" si="81">AL15/AL11</f>
        <v>0.76707776032923602</v>
      </c>
      <c r="AM16" s="17">
        <f t="shared" ref="AM16" si="82">AM15/AM11</f>
        <v>0.76748019264641831</v>
      </c>
      <c r="AN16" s="17">
        <f t="shared" ref="AN16" si="83">AN15/AN11</f>
        <v>0.76797192450248908</v>
      </c>
      <c r="AO16" s="17">
        <f t="shared" ref="AO16" si="84">AO15/AO11</f>
        <v>0.77535188862566806</v>
      </c>
      <c r="AP16" s="11"/>
      <c r="AQ16" s="77">
        <f>SUM(AO16-AK16)*1000</f>
        <v>8.1283630496131742</v>
      </c>
    </row>
    <row r="17" spans="2:43" s="20" customFormat="1" ht="5.0999999999999996" customHeight="1">
      <c r="B17" s="18"/>
      <c r="C17" s="19"/>
      <c r="D17" s="19"/>
      <c r="E17" s="19"/>
      <c r="F17" s="19"/>
      <c r="G17" s="19"/>
      <c r="H17" s="19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2"/>
      <c r="AE17" s="21"/>
      <c r="AF17" s="21"/>
      <c r="AQ17" s="75"/>
    </row>
    <row r="18" spans="2:43" ht="12.75" customHeight="1">
      <c r="B18" s="9" t="s">
        <v>167</v>
      </c>
      <c r="C18" s="82">
        <v>-89.921000000000006</v>
      </c>
      <c r="D18" s="82">
        <v>-94.843999999999994</v>
      </c>
      <c r="E18" s="82">
        <v>-115.735</v>
      </c>
      <c r="F18" s="82">
        <v>-151.71600000000001</v>
      </c>
      <c r="G18" s="82">
        <v>-172.79</v>
      </c>
      <c r="H18" s="82">
        <v>-192.935</v>
      </c>
      <c r="I18" s="32"/>
      <c r="J18" s="82">
        <v>-22.994</v>
      </c>
      <c r="K18" s="82">
        <v>-23.507999999999999</v>
      </c>
      <c r="L18" s="82">
        <v>-23.956</v>
      </c>
      <c r="M18" s="82">
        <v>-24.385999999999996</v>
      </c>
      <c r="N18" s="82">
        <v>-26.634</v>
      </c>
      <c r="O18" s="82">
        <v>-27.83</v>
      </c>
      <c r="P18" s="82">
        <v>-29.841000000000001</v>
      </c>
      <c r="Q18" s="82">
        <v>-31.429999999999993</v>
      </c>
      <c r="R18" s="82">
        <v>-35.884</v>
      </c>
      <c r="S18" s="82">
        <v>-39.177</v>
      </c>
      <c r="T18" s="82">
        <v>-38.582999999999998</v>
      </c>
      <c r="U18" s="82">
        <v>-38.072000000000003</v>
      </c>
      <c r="V18" s="82">
        <v>-45.790999999999997</v>
      </c>
      <c r="W18" s="82">
        <v>-42.697000000000003</v>
      </c>
      <c r="X18" s="82">
        <v>-41.747</v>
      </c>
      <c r="Y18" s="82">
        <v>-42.554999999999978</v>
      </c>
      <c r="Z18" s="82">
        <v>-45.494999999999997</v>
      </c>
      <c r="AA18" s="82">
        <v>-48.408000000000001</v>
      </c>
      <c r="AB18" s="82">
        <v>-48.424999999999997</v>
      </c>
      <c r="AC18" s="82">
        <v>-50.607000000000028</v>
      </c>
      <c r="AD18" s="82">
        <v>-53.78</v>
      </c>
      <c r="AE18" s="82">
        <v>-54.843000000000004</v>
      </c>
      <c r="AF18" s="82">
        <v>-51.402999999999999</v>
      </c>
      <c r="AH18" s="32">
        <f t="shared" ref="AH18:AH20" si="85">SUM(V18:Y18)</f>
        <v>-172.79</v>
      </c>
      <c r="AI18" s="32">
        <f t="shared" ref="AI18:AI20" si="86">SUM(W18:Z18)</f>
        <v>-172.49399999999997</v>
      </c>
      <c r="AJ18" s="32">
        <f t="shared" ref="AJ18:AJ20" si="87">SUM(X18:AA18)</f>
        <v>-178.20499999999998</v>
      </c>
      <c r="AK18" s="32">
        <f t="shared" ref="AK18:AK20" si="88">SUM(Y18:AB18)</f>
        <v>-184.88299999999998</v>
      </c>
      <c r="AL18" s="32">
        <f t="shared" ref="AL18:AL20" si="89">SUM(Z18:AC18)</f>
        <v>-192.935</v>
      </c>
      <c r="AM18" s="32">
        <f t="shared" ref="AM18:AM20" si="90">SUM(AA18:AD18)</f>
        <v>-201.22000000000003</v>
      </c>
      <c r="AN18" s="32">
        <f t="shared" ref="AN18:AN20" si="91">SUM(AB18:AE18)</f>
        <v>-207.65500000000003</v>
      </c>
      <c r="AO18" s="32">
        <f t="shared" ref="AO18:AO20" si="92">SUM(AC18:AF18)</f>
        <v>-210.63300000000001</v>
      </c>
      <c r="AP18" s="11"/>
      <c r="AQ18" s="75">
        <f>SUM(AO18/AK18)-1</f>
        <v>0.13927727265351608</v>
      </c>
    </row>
    <row r="19" spans="2:43" ht="12.75" customHeight="1">
      <c r="B19" s="9" t="s">
        <v>178</v>
      </c>
      <c r="C19" s="82">
        <v>-120.3</v>
      </c>
      <c r="D19" s="82">
        <v>-144.68700000000001</v>
      </c>
      <c r="E19" s="82">
        <v>-178.785</v>
      </c>
      <c r="F19" s="82">
        <v>-245.26</v>
      </c>
      <c r="G19" s="82">
        <v>-287.03500000000003</v>
      </c>
      <c r="H19" s="82">
        <v>-347.24299999999999</v>
      </c>
      <c r="I19" s="32"/>
      <c r="J19" s="82">
        <v>-36.116999999999997</v>
      </c>
      <c r="K19" s="82">
        <v>-35.270000000000003</v>
      </c>
      <c r="L19" s="82">
        <v>-35.487000000000002</v>
      </c>
      <c r="M19" s="82">
        <v>-37.813000000000017</v>
      </c>
      <c r="N19" s="82">
        <v>-41.034999999999997</v>
      </c>
      <c r="O19" s="82">
        <v>-41.524999999999999</v>
      </c>
      <c r="P19" s="82">
        <v>-46.026000000000003</v>
      </c>
      <c r="Q19" s="82">
        <v>-50.198999999999984</v>
      </c>
      <c r="R19" s="82">
        <v>-56.1</v>
      </c>
      <c r="S19" s="82">
        <v>-64.218999999999994</v>
      </c>
      <c r="T19" s="82">
        <v>-64.56</v>
      </c>
      <c r="U19" s="82">
        <v>-60.381</v>
      </c>
      <c r="V19" s="82">
        <v>-70.709999999999994</v>
      </c>
      <c r="W19" s="82">
        <v>-71.882000000000005</v>
      </c>
      <c r="X19" s="82">
        <v>-72.575999999999993</v>
      </c>
      <c r="Y19" s="82">
        <v>-71.867000000000047</v>
      </c>
      <c r="Z19" s="82">
        <v>-82.632999999999996</v>
      </c>
      <c r="AA19" s="82">
        <v>-84.697000000000003</v>
      </c>
      <c r="AB19" s="82">
        <v>-89.756</v>
      </c>
      <c r="AC19" s="82">
        <v>-90.156999999999982</v>
      </c>
      <c r="AD19" s="82">
        <v>-101.67</v>
      </c>
      <c r="AE19" s="82">
        <v>-104.02500000000001</v>
      </c>
      <c r="AF19" s="82">
        <v>-101.127</v>
      </c>
      <c r="AH19" s="32">
        <f t="shared" si="85"/>
        <v>-287.03500000000003</v>
      </c>
      <c r="AI19" s="32">
        <f t="shared" si="86"/>
        <v>-298.95800000000003</v>
      </c>
      <c r="AJ19" s="32">
        <f t="shared" si="87"/>
        <v>-311.77300000000002</v>
      </c>
      <c r="AK19" s="32">
        <f t="shared" si="88"/>
        <v>-328.95300000000009</v>
      </c>
      <c r="AL19" s="32">
        <f t="shared" si="89"/>
        <v>-347.24299999999999</v>
      </c>
      <c r="AM19" s="32">
        <f t="shared" si="90"/>
        <v>-366.28000000000003</v>
      </c>
      <c r="AN19" s="32">
        <f t="shared" si="91"/>
        <v>-385.60799999999995</v>
      </c>
      <c r="AO19" s="32">
        <f t="shared" si="92"/>
        <v>-396.97899999999998</v>
      </c>
      <c r="AP19" s="11"/>
      <c r="AQ19" s="75">
        <f t="shared" ref="AQ19:AQ20" si="93">SUM(AO19/AK19)-1</f>
        <v>0.20679549966104549</v>
      </c>
    </row>
    <row r="20" spans="2:43" ht="12.75" customHeight="1">
      <c r="B20" s="9" t="s">
        <v>179</v>
      </c>
      <c r="C20" s="82">
        <v>-48.064</v>
      </c>
      <c r="D20" s="82">
        <v>-59.688000000000002</v>
      </c>
      <c r="E20" s="82">
        <v>-74.287000000000006</v>
      </c>
      <c r="F20" s="82">
        <v>-99.778000000000006</v>
      </c>
      <c r="G20" s="82">
        <v>-110.51900000000001</v>
      </c>
      <c r="H20" s="82">
        <v>-102.98099999999999</v>
      </c>
      <c r="I20" s="32"/>
      <c r="J20" s="82">
        <v>-13.448</v>
      </c>
      <c r="K20" s="82">
        <v>-19.632000000000001</v>
      </c>
      <c r="L20" s="82">
        <v>-13.722</v>
      </c>
      <c r="M20" s="82">
        <v>-12.886000000000003</v>
      </c>
      <c r="N20" s="82">
        <v>-17.021000000000001</v>
      </c>
      <c r="O20" s="82">
        <v>-17.384</v>
      </c>
      <c r="P20" s="82">
        <v>-18.39</v>
      </c>
      <c r="Q20" s="82">
        <v>-21.492000000000004</v>
      </c>
      <c r="R20" s="82">
        <v>-23.994</v>
      </c>
      <c r="S20" s="82">
        <v>-24.108000000000001</v>
      </c>
      <c r="T20" s="82">
        <v>-27.405000000000001</v>
      </c>
      <c r="U20" s="82">
        <v>-24.271000000000001</v>
      </c>
      <c r="V20" s="82">
        <v>-42.011000000000003</v>
      </c>
      <c r="W20" s="82">
        <v>-23.626999999999999</v>
      </c>
      <c r="X20" s="82">
        <v>-21.021999999999998</v>
      </c>
      <c r="Y20" s="82">
        <v>-23.859000000000009</v>
      </c>
      <c r="Z20" s="82">
        <v>-24.298999999999999</v>
      </c>
      <c r="AA20" s="82">
        <v>-26.375</v>
      </c>
      <c r="AB20" s="82">
        <v>-25.550999999999998</v>
      </c>
      <c r="AC20" s="82">
        <v>-26.756</v>
      </c>
      <c r="AD20" s="82">
        <v>-27.236999999999998</v>
      </c>
      <c r="AE20" s="82">
        <v>-28.92</v>
      </c>
      <c r="AF20" s="82">
        <v>-28.663</v>
      </c>
      <c r="AH20" s="32">
        <f t="shared" si="85"/>
        <v>-110.51900000000001</v>
      </c>
      <c r="AI20" s="32">
        <f t="shared" si="86"/>
        <v>-92.807000000000016</v>
      </c>
      <c r="AJ20" s="32">
        <f t="shared" si="87"/>
        <v>-95.555000000000007</v>
      </c>
      <c r="AK20" s="32">
        <f t="shared" si="88"/>
        <v>-100.08400000000002</v>
      </c>
      <c r="AL20" s="32">
        <f t="shared" si="89"/>
        <v>-102.98099999999999</v>
      </c>
      <c r="AM20" s="32">
        <f t="shared" si="90"/>
        <v>-105.919</v>
      </c>
      <c r="AN20" s="32">
        <f t="shared" si="91"/>
        <v>-108.464</v>
      </c>
      <c r="AO20" s="32">
        <f t="shared" si="92"/>
        <v>-111.57599999999999</v>
      </c>
      <c r="AP20" s="11"/>
      <c r="AQ20" s="75">
        <f t="shared" si="93"/>
        <v>0.11482354821949547</v>
      </c>
    </row>
    <row r="21" spans="2:43" ht="12.75" customHeight="1">
      <c r="B21" s="25" t="s">
        <v>77</v>
      </c>
      <c r="C21" s="26">
        <f>+SUM(C15+SUM(C18:C20))</f>
        <v>-45.406000000000063</v>
      </c>
      <c r="D21" s="26">
        <f>+SUM(D15+SUM(D18:D20))</f>
        <v>-37.801999999999964</v>
      </c>
      <c r="E21" s="26">
        <f>+SUM(E15+SUM(E18:E20))</f>
        <v>-29.355000000000018</v>
      </c>
      <c r="F21" s="26">
        <f>+SUM(F15+SUM(F18:F20))</f>
        <v>-88.764000000000124</v>
      </c>
      <c r="G21" s="26">
        <f>+SUM(G15+SUM(G18:G20))</f>
        <v>-94.527000000000044</v>
      </c>
      <c r="H21" s="26">
        <f>+SUM(H15+SUM(H18:H20))</f>
        <v>-76.533999999999992</v>
      </c>
      <c r="I21" s="32"/>
      <c r="J21" s="26">
        <f>+SUM(J15+SUM(J18:J20))</f>
        <v>-9.1539999999999964</v>
      </c>
      <c r="K21" s="26">
        <f>+SUM(K15+SUM(K18:K20))</f>
        <v>-16.794000000000011</v>
      </c>
      <c r="L21" s="26">
        <f>+SUM(L15+SUM(L18:L20))</f>
        <v>-6.9519999999999982</v>
      </c>
      <c r="M21" s="26">
        <f>+SUM(M15+SUM(M18:M20))</f>
        <v>-4.902000000000001</v>
      </c>
      <c r="N21" s="26">
        <f>+SUM(N15+SUM(N18:N20))</f>
        <v>-4.1439999999999912</v>
      </c>
      <c r="O21" s="26">
        <f>+SUM(O15+SUM(O18:O20))</f>
        <v>-5.7429999999999808</v>
      </c>
      <c r="P21" s="26">
        <f>+SUM(P15+SUM(P18:P20))</f>
        <v>-7.9689999999999941</v>
      </c>
      <c r="Q21" s="26">
        <f>+SUM(Q15+SUM(Q18:Q20))</f>
        <v>-11.499000000000009</v>
      </c>
      <c r="R21" s="26">
        <f>+SUM(R15+SUM(R18:R20))</f>
        <v>-17.177000000000007</v>
      </c>
      <c r="S21" s="26">
        <f>+SUM(S15+SUM(S18:S20))</f>
        <v>-28.192000000000007</v>
      </c>
      <c r="T21" s="26">
        <f>+SUM(T15+SUM(T18:T20))</f>
        <v>-30.118000000000009</v>
      </c>
      <c r="U21" s="26">
        <f>+SUM(U15+SUM(U18:U20))</f>
        <v>-13.277000000000029</v>
      </c>
      <c r="V21" s="26">
        <f>+SUM(V15+SUM(V18:V20))</f>
        <v>-46.841000000000008</v>
      </c>
      <c r="W21" s="26">
        <f>+SUM(W15+SUM(W18:W20))</f>
        <v>-22.688000000000017</v>
      </c>
      <c r="X21" s="26">
        <f>+SUM(X15+SUM(X18:X20))</f>
        <v>-15.524999999999991</v>
      </c>
      <c r="Y21" s="26">
        <f>+SUM(Y15+SUM(Y18:Y20))</f>
        <v>-9.4730000000000132</v>
      </c>
      <c r="Z21" s="26">
        <f>+SUM(Z15+SUM(Z18:Z20))</f>
        <v>-18.282999999999987</v>
      </c>
      <c r="AA21" s="26">
        <f>+SUM(AA15+SUM(AA18:AA20))</f>
        <v>-23.149000000000001</v>
      </c>
      <c r="AB21" s="26">
        <f>+SUM(AB15+SUM(AB18:AB20))</f>
        <v>-21.780999999999949</v>
      </c>
      <c r="AC21" s="26">
        <f>+SUM(AC15+SUM(AC18:AC20))</f>
        <v>-13.321000000000055</v>
      </c>
      <c r="AD21" s="26">
        <f>+SUM(AD15+SUM(AD18:AD20))</f>
        <v>-24.756999999999977</v>
      </c>
      <c r="AE21" s="26">
        <f>+SUM(AE15+SUM(AE18:AE20))</f>
        <v>-22.139999999999986</v>
      </c>
      <c r="AF21" s="26">
        <f>+SUM(AF15+SUM(AF18:AF20))</f>
        <v>-3.4029999999999916</v>
      </c>
      <c r="AH21" s="26">
        <f>+SUM(AH15+SUM(AH18:AH20))</f>
        <v>-94.527000000000044</v>
      </c>
      <c r="AI21" s="26">
        <f>+SUM(AI15+SUM(AI18:AI20))</f>
        <v>-65.968999999999937</v>
      </c>
      <c r="AJ21" s="26">
        <f>+SUM(AJ15+SUM(AJ18:AJ20))</f>
        <v>-66.42999999999995</v>
      </c>
      <c r="AK21" s="26">
        <f>+SUM(AK15+SUM(AK18:AK20))</f>
        <v>-72.685999999999922</v>
      </c>
      <c r="AL21" s="26">
        <f>+SUM(AL15+SUM(AL18:AL20))</f>
        <v>-76.533999999999992</v>
      </c>
      <c r="AM21" s="26">
        <f>+SUM(AM15+SUM(AM18:AM20))</f>
        <v>-83.008000000000152</v>
      </c>
      <c r="AN21" s="26">
        <f>+SUM(AN15+SUM(AN18:AN20))</f>
        <v>-81.998999999999796</v>
      </c>
      <c r="AO21" s="26">
        <f>+SUM(AO15+SUM(AO18:AO20))</f>
        <v>-63.620999999999981</v>
      </c>
      <c r="AP21" s="11"/>
      <c r="AQ21" s="76">
        <f>SUM(AO21/AK21)-1</f>
        <v>-0.12471452549321671</v>
      </c>
    </row>
    <row r="22" spans="2:43" ht="12.75" customHeight="1">
      <c r="B22" s="16" t="s">
        <v>31</v>
      </c>
      <c r="C22" s="17">
        <f>C21/C11</f>
        <v>-0.15242488024143083</v>
      </c>
      <c r="D22" s="17">
        <f>D21/D11</f>
        <v>-0.10751605545032043</v>
      </c>
      <c r="E22" s="17">
        <f>E21/E11</f>
        <v>-6.622150535208729E-2</v>
      </c>
      <c r="F22" s="17">
        <f>F21/F11</f>
        <v>-0.16502719033232655</v>
      </c>
      <c r="G22" s="17">
        <f>G21/G11</f>
        <v>-0.15003356935046885</v>
      </c>
      <c r="H22" s="17">
        <f>H21/H11</f>
        <v>-0.10360914062923052</v>
      </c>
      <c r="I22" s="32"/>
      <c r="J22" s="17">
        <f>J21/J11</f>
        <v>-0.10668873323154737</v>
      </c>
      <c r="K22" s="17">
        <f>K21/K11</f>
        <v>-0.20026234199856918</v>
      </c>
      <c r="L22" s="17">
        <f>L21/L11</f>
        <v>-7.8911224872018973E-2</v>
      </c>
      <c r="M22" s="17">
        <f>M21/M11</f>
        <v>-5.224119189206472E-2</v>
      </c>
      <c r="N22" s="17">
        <f>N21/N11</f>
        <v>-3.9761278808696732E-2</v>
      </c>
      <c r="O22" s="17">
        <f>O21/O11</f>
        <v>-5.4391165579095728E-2</v>
      </c>
      <c r="P22" s="17">
        <f>P21/P11</f>
        <v>-7.0714241345957538E-2</v>
      </c>
      <c r="Q22" s="17">
        <f>Q21/Q11</f>
        <v>-9.5203795236084646E-2</v>
      </c>
      <c r="R22" s="17">
        <f>R21/R11</f>
        <v>-0.13246294554035509</v>
      </c>
      <c r="S22" s="17">
        <f>S21/S11</f>
        <v>-0.21430797649545044</v>
      </c>
      <c r="T22" s="17">
        <f>T21/T11</f>
        <v>-0.22670851869415662</v>
      </c>
      <c r="U22" s="17">
        <f>U21/U11</f>
        <v>-9.232769830949307E-2</v>
      </c>
      <c r="V22" s="17">
        <f>V21/V11</f>
        <v>-0.3118803640745994</v>
      </c>
      <c r="W22" s="17">
        <f>W21/W11</f>
        <v>-0.14635342080478911</v>
      </c>
      <c r="X22" s="17">
        <f>X21/X11</f>
        <v>-9.8150782361308614E-2</v>
      </c>
      <c r="Y22" s="17">
        <f>Y21/Y11</f>
        <v>-5.6842661098210123E-2</v>
      </c>
      <c r="Z22" s="17">
        <f>Z21/Z11</f>
        <v>-0.10407760137077532</v>
      </c>
      <c r="AA22" s="17">
        <f>AA21/AA11</f>
        <v>-0.13041469721638507</v>
      </c>
      <c r="AB22" s="17">
        <f>AB21/AB11</f>
        <v>-0.11734061695273161</v>
      </c>
      <c r="AC22" s="17">
        <f>AC21/AC11</f>
        <v>-6.6642319699031755E-2</v>
      </c>
      <c r="AD22" s="17">
        <f>AD21/AD11</f>
        <v>-0.12002113713931109</v>
      </c>
      <c r="AE22" s="17">
        <f>AE21/AE11</f>
        <v>-0.10288821246834112</v>
      </c>
      <c r="AF22" s="17">
        <f>AF21/AF11</f>
        <v>-1.5180849735015397E-2</v>
      </c>
      <c r="AH22" s="17">
        <f>AH21/AH11</f>
        <v>-0.15003356935046885</v>
      </c>
      <c r="AI22" s="17">
        <f>AI21/AI11</f>
        <v>-0.10063659676255525</v>
      </c>
      <c r="AJ22" s="17">
        <f>AJ21/AJ11</f>
        <v>-9.7979640057935191E-2</v>
      </c>
      <c r="AK22" s="17">
        <f>AK21/AK11</f>
        <v>-0.10303567251876462</v>
      </c>
      <c r="AL22" s="17">
        <f>AL21/AL11</f>
        <v>-0.10360914062923052</v>
      </c>
      <c r="AM22" s="17">
        <f>AM21/AM11</f>
        <v>-0.10790279285310407</v>
      </c>
      <c r="AN22" s="17">
        <f>AN21/AN11</f>
        <v>-0.10161382063950546</v>
      </c>
      <c r="AO22" s="17">
        <f>AO21/AO11</f>
        <v>-7.5245798684579326E-2</v>
      </c>
      <c r="AP22" s="11"/>
      <c r="AQ22" s="77">
        <f>SUM(AO22-AK22)*1000</f>
        <v>27.789873834185297</v>
      </c>
    </row>
    <row r="23" spans="2:43" ht="5.0999999999999996" customHeight="1">
      <c r="B23" s="16"/>
      <c r="C23" s="17"/>
      <c r="D23" s="17"/>
      <c r="E23" s="17"/>
      <c r="F23" s="17"/>
      <c r="G23" s="17"/>
      <c r="H23" s="17"/>
      <c r="I23" s="3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32"/>
      <c r="AE23" s="82"/>
      <c r="AF23" s="82"/>
      <c r="AH23" s="32"/>
      <c r="AI23" s="32"/>
      <c r="AJ23" s="32"/>
      <c r="AK23" s="32"/>
      <c r="AL23" s="32"/>
      <c r="AM23" s="32"/>
      <c r="AN23" s="32"/>
      <c r="AO23" s="32"/>
      <c r="AP23" s="11"/>
      <c r="AQ23" s="75"/>
    </row>
    <row r="24" spans="2:43" ht="12.75" customHeight="1">
      <c r="B24" s="9" t="s">
        <v>168</v>
      </c>
      <c r="C24" s="82">
        <v>4.657</v>
      </c>
      <c r="D24" s="82">
        <v>3.282</v>
      </c>
      <c r="E24" s="82">
        <v>1.0409999999999999</v>
      </c>
      <c r="F24" s="82">
        <v>4.88</v>
      </c>
      <c r="G24" s="82">
        <v>25.882000000000001</v>
      </c>
      <c r="H24" s="82">
        <v>39.395000000000003</v>
      </c>
      <c r="I24" s="32"/>
      <c r="J24" s="82">
        <v>1.706</v>
      </c>
      <c r="K24" s="82">
        <v>0.65500000000000003</v>
      </c>
      <c r="L24" s="82">
        <v>0.47099999999999997</v>
      </c>
      <c r="M24" s="82">
        <v>0.45000000000000018</v>
      </c>
      <c r="N24" s="82">
        <v>0.36</v>
      </c>
      <c r="O24" s="82">
        <v>0.255</v>
      </c>
      <c r="P24" s="82">
        <v>0.219</v>
      </c>
      <c r="Q24" s="82">
        <v>0.20699999999999996</v>
      </c>
      <c r="R24" s="82">
        <v>0.28000000000000003</v>
      </c>
      <c r="S24" s="82">
        <v>0.60499999999999998</v>
      </c>
      <c r="T24" s="82">
        <v>1.44</v>
      </c>
      <c r="U24" s="82">
        <v>2.5549999999999997</v>
      </c>
      <c r="V24" s="82">
        <v>3.7170000000000001</v>
      </c>
      <c r="W24" s="82">
        <v>4.5350000000000001</v>
      </c>
      <c r="X24" s="82">
        <v>7.2939999999999996</v>
      </c>
      <c r="Y24" s="82">
        <v>10.336000000000002</v>
      </c>
      <c r="Z24" s="82">
        <v>10.455</v>
      </c>
      <c r="AA24" s="82">
        <v>10.336</v>
      </c>
      <c r="AB24" s="82">
        <v>9.298</v>
      </c>
      <c r="AC24" s="82">
        <v>9.3060000000000045</v>
      </c>
      <c r="AD24" s="82">
        <v>8.7469999999999999</v>
      </c>
      <c r="AE24" s="82">
        <v>8.34</v>
      </c>
      <c r="AF24" s="82">
        <v>8.44</v>
      </c>
      <c r="AH24" s="32">
        <f>SUM(V24:Y24)</f>
        <v>25.882000000000001</v>
      </c>
      <c r="AI24" s="32">
        <f>SUM(W24:Z24)</f>
        <v>32.620000000000005</v>
      </c>
      <c r="AJ24" s="32">
        <f>SUM(X24:AA24)</f>
        <v>38.420999999999999</v>
      </c>
      <c r="AK24" s="32">
        <f>SUM(Y24:AB24)</f>
        <v>40.425000000000004</v>
      </c>
      <c r="AL24" s="32">
        <f>SUM(Z24:AC24)</f>
        <v>39.395000000000003</v>
      </c>
      <c r="AM24" s="32">
        <f>SUM(AA24:AD24)</f>
        <v>37.687000000000005</v>
      </c>
      <c r="AN24" s="32">
        <f>SUM(AB24:AE24)</f>
        <v>35.691000000000003</v>
      </c>
      <c r="AO24" s="32">
        <f>SUM(AC24:AF24)</f>
        <v>34.833000000000006</v>
      </c>
      <c r="AP24" s="11"/>
      <c r="AQ24" s="75">
        <f t="shared" ref="AQ24" si="94">SUM(AO24/AK24)-1</f>
        <v>-0.13833024118738402</v>
      </c>
    </row>
    <row r="25" spans="2:43" ht="12.75" customHeight="1">
      <c r="B25" s="9" t="s">
        <v>169</v>
      </c>
      <c r="C25" s="82">
        <v>-6.0270000000000001</v>
      </c>
      <c r="D25" s="82">
        <v>-13.964</v>
      </c>
      <c r="E25" s="82">
        <v>-14.015000000000001</v>
      </c>
      <c r="F25" s="82">
        <v>-6.0419999999999998</v>
      </c>
      <c r="G25" s="82">
        <v>-53.639000000000003</v>
      </c>
      <c r="H25" s="82">
        <v>-12.865</v>
      </c>
      <c r="I25" s="32"/>
      <c r="J25" s="82">
        <v>-3.5539999999999998</v>
      </c>
      <c r="K25" s="82">
        <v>-3.5630000000000002</v>
      </c>
      <c r="L25" s="82">
        <v>-3.5720000000000001</v>
      </c>
      <c r="M25" s="82">
        <v>-3.2750000000000004</v>
      </c>
      <c r="N25" s="82">
        <v>-3.4849999999999999</v>
      </c>
      <c r="O25" s="82">
        <v>-3.5019999999999998</v>
      </c>
      <c r="P25" s="82">
        <v>-3.508</v>
      </c>
      <c r="Q25" s="82">
        <v>-3.5199999999999996</v>
      </c>
      <c r="R25" s="82">
        <v>-1.518</v>
      </c>
      <c r="S25" s="82">
        <v>-1.512</v>
      </c>
      <c r="T25" s="82">
        <v>-1.51</v>
      </c>
      <c r="U25" s="82">
        <v>-1.5019999999999998</v>
      </c>
      <c r="V25" s="82">
        <v>-1.5009999999999999</v>
      </c>
      <c r="W25" s="82">
        <v>-1.4990000000000001</v>
      </c>
      <c r="X25" s="82">
        <v>-47.347000000000001</v>
      </c>
      <c r="Y25" s="82">
        <v>-3.2920000000000016</v>
      </c>
      <c r="Z25" s="82">
        <v>-3.2320000000000002</v>
      </c>
      <c r="AA25" s="82">
        <v>-3.2370000000000001</v>
      </c>
      <c r="AB25" s="82">
        <v>-3.1989999999999998</v>
      </c>
      <c r="AC25" s="82">
        <v>-3.197000000000001</v>
      </c>
      <c r="AD25" s="82">
        <v>-3.1949999999999998</v>
      </c>
      <c r="AE25" s="82">
        <v>-3.19</v>
      </c>
      <c r="AF25" s="82">
        <v>-3.19</v>
      </c>
      <c r="AH25" s="32">
        <f t="shared" ref="AH25:AH26" si="95">SUM(V25:Y25)</f>
        <v>-53.639000000000003</v>
      </c>
      <c r="AI25" s="32">
        <f t="shared" ref="AI25:AI26" si="96">SUM(W25:Z25)</f>
        <v>-55.370000000000005</v>
      </c>
      <c r="AJ25" s="32">
        <f t="shared" ref="AJ25:AJ26" si="97">SUM(X25:AA25)</f>
        <v>-57.108000000000004</v>
      </c>
      <c r="AK25" s="32">
        <f t="shared" ref="AK25:AK26" si="98">SUM(Y25:AB25)</f>
        <v>-12.960000000000003</v>
      </c>
      <c r="AL25" s="32">
        <f t="shared" ref="AL25:AL26" si="99">SUM(Z25:AC25)</f>
        <v>-12.865</v>
      </c>
      <c r="AM25" s="32">
        <f t="shared" ref="AM25:AM26" si="100">SUM(AA25:AD25)</f>
        <v>-12.828000000000001</v>
      </c>
      <c r="AN25" s="32">
        <f t="shared" ref="AN25:AN26" si="101">SUM(AB25:AE25)</f>
        <v>-12.781000000000001</v>
      </c>
      <c r="AO25" s="32">
        <f t="shared" ref="AO25:AO26" si="102">SUM(AC25:AF25)</f>
        <v>-12.772</v>
      </c>
      <c r="AP25" s="11"/>
      <c r="AQ25" s="75">
        <f t="shared" ref="AQ25:AQ26" si="103">SUM(AO25/AK25)-1</f>
        <v>-1.4506172839506393E-2</v>
      </c>
    </row>
    <row r="26" spans="2:43" ht="12.75" customHeight="1">
      <c r="B26" s="9" t="s">
        <v>180</v>
      </c>
      <c r="C26" s="82">
        <v>-0.56399999999999995</v>
      </c>
      <c r="D26" s="82">
        <v>0.20499999999999999</v>
      </c>
      <c r="E26" s="82">
        <v>3.2290000000000001</v>
      </c>
      <c r="F26" s="82">
        <v>0.92600000000000005</v>
      </c>
      <c r="G26" s="82">
        <v>-1.8140000000000001</v>
      </c>
      <c r="H26" s="82">
        <v>0.56299999999999994</v>
      </c>
      <c r="I26" s="32"/>
      <c r="J26" s="82">
        <v>0.71799999999999997</v>
      </c>
      <c r="K26" s="82">
        <v>-6.8000000000000005E-2</v>
      </c>
      <c r="L26" s="82">
        <v>-0.38700000000000001</v>
      </c>
      <c r="M26" s="82">
        <v>-5.7999999999999913E-2</v>
      </c>
      <c r="N26" s="82">
        <v>-0.38400000000000001</v>
      </c>
      <c r="O26" s="82">
        <v>-0.156</v>
      </c>
      <c r="P26" s="82">
        <v>3.8050000000000002</v>
      </c>
      <c r="Q26" s="82">
        <v>-3.6000000000000032E-2</v>
      </c>
      <c r="R26" s="82">
        <v>-0.16500000000000001</v>
      </c>
      <c r="S26" s="82">
        <v>0.66800000000000004</v>
      </c>
      <c r="T26" s="82">
        <v>0.96399999999999997</v>
      </c>
      <c r="U26" s="82">
        <v>-0.54100000000000004</v>
      </c>
      <c r="V26" s="82">
        <v>-0.94</v>
      </c>
      <c r="W26" s="82">
        <v>-0.439</v>
      </c>
      <c r="X26" s="82">
        <v>-7.0999999999999994E-2</v>
      </c>
      <c r="Y26" s="82">
        <v>-0.3640000000000001</v>
      </c>
      <c r="Z26" s="82">
        <v>8.5999999999999993E-2</v>
      </c>
      <c r="AA26" s="82">
        <v>-4.4999999999999998E-2</v>
      </c>
      <c r="AB26" s="82">
        <v>-0.35</v>
      </c>
      <c r="AC26" s="82">
        <v>0.87199999999999989</v>
      </c>
      <c r="AD26" s="82">
        <v>-0.23300000000000001</v>
      </c>
      <c r="AE26" s="82">
        <v>-0.7</v>
      </c>
      <c r="AF26" s="82">
        <v>0.318</v>
      </c>
      <c r="AH26" s="32">
        <f t="shared" si="95"/>
        <v>-1.8140000000000001</v>
      </c>
      <c r="AI26" s="32">
        <f t="shared" si="96"/>
        <v>-0.78800000000000014</v>
      </c>
      <c r="AJ26" s="32">
        <f t="shared" si="97"/>
        <v>-0.39400000000000007</v>
      </c>
      <c r="AK26" s="32">
        <f t="shared" si="98"/>
        <v>-0.67300000000000004</v>
      </c>
      <c r="AL26" s="32">
        <f t="shared" si="99"/>
        <v>0.56299999999999994</v>
      </c>
      <c r="AM26" s="32">
        <f t="shared" si="100"/>
        <v>0.24399999999999991</v>
      </c>
      <c r="AN26" s="32">
        <f t="shared" si="101"/>
        <v>-0.41100000000000003</v>
      </c>
      <c r="AO26" s="32">
        <f t="shared" si="102"/>
        <v>0.25699999999999995</v>
      </c>
      <c r="AP26" s="11"/>
      <c r="AQ26" s="75">
        <f t="shared" si="103"/>
        <v>-1.3818722139673105</v>
      </c>
    </row>
    <row r="27" spans="2:43" ht="12.75" customHeight="1">
      <c r="B27" s="25" t="s">
        <v>155</v>
      </c>
      <c r="C27" s="26">
        <f>SUM(C21+SUM(C24:C26))</f>
        <v>-47.34000000000006</v>
      </c>
      <c r="D27" s="26">
        <f>SUM(D21+SUM(D24:D26))</f>
        <v>-48.278999999999968</v>
      </c>
      <c r="E27" s="26">
        <f>SUM(E21+SUM(E24:E26))</f>
        <v>-39.100000000000023</v>
      </c>
      <c r="F27" s="26">
        <f>SUM(F21+SUM(F24:F26))</f>
        <v>-89.000000000000128</v>
      </c>
      <c r="G27" s="26">
        <f>SUM(G21+SUM(G24:G26))</f>
        <v>-124.09800000000004</v>
      </c>
      <c r="H27" s="26">
        <f>SUM(H21+SUM(H24:H26))</f>
        <v>-49.440999999999988</v>
      </c>
      <c r="J27" s="26">
        <f>SUM(J21+SUM(J24:J26))</f>
        <v>-10.283999999999995</v>
      </c>
      <c r="K27" s="26">
        <f>SUM(K21+SUM(K24:K26))</f>
        <v>-19.77000000000001</v>
      </c>
      <c r="L27" s="26">
        <f>SUM(L21+SUM(L24:L26))</f>
        <v>-10.439999999999998</v>
      </c>
      <c r="M27" s="26">
        <f>SUM(M21+SUM(M24:M26))</f>
        <v>-7.785000000000001</v>
      </c>
      <c r="N27" s="26">
        <f>SUM(N21+SUM(N24:N26))</f>
        <v>-7.6529999999999916</v>
      </c>
      <c r="O27" s="26">
        <f>SUM(O21+SUM(O24:O26))</f>
        <v>-9.1459999999999813</v>
      </c>
      <c r="P27" s="26">
        <f>SUM(P21+SUM(P24:P26))</f>
        <v>-7.4529999999999941</v>
      </c>
      <c r="Q27" s="26">
        <f>SUM(Q21+SUM(Q24:Q26))</f>
        <v>-14.84800000000001</v>
      </c>
      <c r="R27" s="26">
        <f>SUM(R21+SUM(R24:R26))</f>
        <v>-18.580000000000005</v>
      </c>
      <c r="S27" s="26">
        <f>SUM(S21+SUM(S24:S26))</f>
        <v>-28.431000000000008</v>
      </c>
      <c r="T27" s="26">
        <f>SUM(T21+SUM(T24:T26))</f>
        <v>-29.224000000000011</v>
      </c>
      <c r="U27" s="26">
        <f>SUM(U21+SUM(U24:U26))</f>
        <v>-12.765000000000029</v>
      </c>
      <c r="V27" s="26">
        <f>SUM(V21+SUM(V24:V26))</f>
        <v>-45.565000000000005</v>
      </c>
      <c r="W27" s="26">
        <f>SUM(W21+SUM(W24:W26))</f>
        <v>-20.091000000000015</v>
      </c>
      <c r="X27" s="26">
        <f>SUM(X21+SUM(X24:X26))</f>
        <v>-55.648999999999994</v>
      </c>
      <c r="Y27" s="26">
        <f>SUM(Y21+SUM(Y24:Y26))</f>
        <v>-2.7930000000000126</v>
      </c>
      <c r="Z27" s="26">
        <f>SUM(Z21+SUM(Z24:Z26))</f>
        <v>-10.973999999999986</v>
      </c>
      <c r="AA27" s="26">
        <f>SUM(AA21+SUM(AA24:AA26))</f>
        <v>-16.094999999999999</v>
      </c>
      <c r="AB27" s="26">
        <f>SUM(AB21+SUM(AB24:AB26))</f>
        <v>-16.031999999999947</v>
      </c>
      <c r="AC27" s="26">
        <f>SUM(AC21+SUM(AC24:AC26))</f>
        <v>-6.3400000000000514</v>
      </c>
      <c r="AD27" s="26">
        <f>SUM(AD21+SUM(AD24:AD26))</f>
        <v>-19.437999999999978</v>
      </c>
      <c r="AE27" s="26">
        <f>SUM(AE21+SUM(AE24:AE26))</f>
        <v>-17.689999999999987</v>
      </c>
      <c r="AF27" s="26">
        <f>SUM(AF21+SUM(AF24:AF26))</f>
        <v>2.165000000000008</v>
      </c>
      <c r="AH27" s="26">
        <f>SUM(AH21+SUM(AH24:AH26))</f>
        <v>-124.09800000000004</v>
      </c>
      <c r="AI27" s="26">
        <f>SUM(AI21+SUM(AI24:AI26))</f>
        <v>-89.506999999999934</v>
      </c>
      <c r="AJ27" s="26">
        <f>SUM(AJ21+SUM(AJ24:AJ26))</f>
        <v>-85.510999999999953</v>
      </c>
      <c r="AK27" s="26">
        <f>SUM(AK21+SUM(AK24:AK26))</f>
        <v>-45.89399999999992</v>
      </c>
      <c r="AL27" s="26">
        <f>SUM(AL21+SUM(AL24:AL26))</f>
        <v>-49.440999999999988</v>
      </c>
      <c r="AM27" s="26">
        <f>SUM(AM21+SUM(AM24:AM26))</f>
        <v>-57.90500000000015</v>
      </c>
      <c r="AN27" s="26">
        <f>SUM(AN21+SUM(AN24:AN26))</f>
        <v>-59.499999999999794</v>
      </c>
      <c r="AO27" s="26">
        <f>SUM(AO21+SUM(AO24:AO26))</f>
        <v>-41.302999999999969</v>
      </c>
      <c r="AP27" s="42"/>
      <c r="AQ27" s="76">
        <f>SUM(AO27/AK27)-1</f>
        <v>-0.10003486294504638</v>
      </c>
    </row>
    <row r="28" spans="2:43" ht="12.75" customHeight="1">
      <c r="B28" s="16" t="s">
        <v>156</v>
      </c>
      <c r="C28" s="17">
        <f>C27/C11</f>
        <v>-0.15891718783044828</v>
      </c>
      <c r="D28" s="17">
        <f>D27/D11</f>
        <v>-0.13731462994249038</v>
      </c>
      <c r="E28" s="17">
        <f>E27/E11</f>
        <v>-8.820510506784579E-2</v>
      </c>
      <c r="F28" s="17">
        <f>F27/F11</f>
        <v>-0.16546595398559172</v>
      </c>
      <c r="G28" s="17">
        <f>G27/G11</f>
        <v>-0.19696875907681913</v>
      </c>
      <c r="H28" s="17">
        <f>H27/H11</f>
        <v>-6.693155358206529E-2</v>
      </c>
      <c r="I28" s="27"/>
      <c r="J28" s="17">
        <f>J27/J11</f>
        <v>-0.1198587429050943</v>
      </c>
      <c r="K28" s="17">
        <f>K27/K11</f>
        <v>-0.23575005962318163</v>
      </c>
      <c r="L28" s="17">
        <f>L27/L11</f>
        <v>-0.11850304770769247</v>
      </c>
      <c r="M28" s="17">
        <f>M27/M11</f>
        <v>-8.2965662766161533E-2</v>
      </c>
      <c r="N28" s="17">
        <f>N27/N11</f>
        <v>-7.3429794093377507E-2</v>
      </c>
      <c r="O28" s="17">
        <f>O27/O11</f>
        <v>-8.6620511994847674E-2</v>
      </c>
      <c r="P28" s="17">
        <f>P27/P11</f>
        <v>-6.613542988473102E-2</v>
      </c>
      <c r="Q28" s="17">
        <f>Q27/Q11</f>
        <v>-0.12293120720631226</v>
      </c>
      <c r="R28" s="17">
        <f>R27/R11</f>
        <v>-0.14328238505791449</v>
      </c>
      <c r="S28" s="17">
        <f>S27/S11</f>
        <v>-0.21612479000220461</v>
      </c>
      <c r="T28" s="17">
        <f>T27/T11</f>
        <v>-0.21997907398625516</v>
      </c>
      <c r="U28" s="17">
        <f>U27/U11</f>
        <v>-8.8767271892798011E-2</v>
      </c>
      <c r="V28" s="17">
        <f>V27/V11</f>
        <v>-0.30338440231974384</v>
      </c>
      <c r="W28" s="17">
        <f>W27/W11</f>
        <v>-0.12960095986376138</v>
      </c>
      <c r="X28" s="17">
        <f>X27/X11</f>
        <v>-0.35181918760866121</v>
      </c>
      <c r="Y28" s="17">
        <f>Y27/Y11</f>
        <v>-1.6759374268690105E-2</v>
      </c>
      <c r="Z28" s="17">
        <f>Z27/Z11</f>
        <v>-6.2470469695503343E-2</v>
      </c>
      <c r="AA28" s="17">
        <f>AA27/AA11</f>
        <v>-9.067452381086516E-2</v>
      </c>
      <c r="AB28" s="17">
        <f>AB27/AB11</f>
        <v>-8.6369072631476584E-2</v>
      </c>
      <c r="AC28" s="17">
        <f>AC27/AC11</f>
        <v>-3.1717761946690411E-2</v>
      </c>
      <c r="AD28" s="17">
        <f>AD27/AD11</f>
        <v>-9.4234796773192575E-2</v>
      </c>
      <c r="AE28" s="17">
        <f>AE27/AE11</f>
        <v>-8.220833236517408E-2</v>
      </c>
      <c r="AF28" s="17">
        <f>AF27/AF11</f>
        <v>9.6581074570404168E-3</v>
      </c>
      <c r="AG28" s="28"/>
      <c r="AH28" s="17">
        <f>AH27/AH11</f>
        <v>-0.19696875907681913</v>
      </c>
      <c r="AI28" s="17">
        <f>AI27/AI11</f>
        <v>-0.13654413234134269</v>
      </c>
      <c r="AJ28" s="17">
        <f>AJ27/AJ11</f>
        <v>-0.12612279092268702</v>
      </c>
      <c r="AK28" s="17">
        <f>AK27/AK11</f>
        <v>-6.5056808114027184E-2</v>
      </c>
      <c r="AL28" s="17">
        <f>AL27/AL11</f>
        <v>-6.693155358206529E-2</v>
      </c>
      <c r="AM28" s="17">
        <f>AM27/AM11</f>
        <v>-7.5271193380866852E-2</v>
      </c>
      <c r="AN28" s="17">
        <f>AN27/AN11</f>
        <v>-7.3732878791821471E-2</v>
      </c>
      <c r="AO28" s="17">
        <f>AO27/AO11</f>
        <v>-4.8849864401206811E-2</v>
      </c>
      <c r="AP28" s="43"/>
      <c r="AQ28" s="77">
        <f>SUM(AO28-AK28)*1000</f>
        <v>16.206943712820372</v>
      </c>
    </row>
    <row r="29" spans="2:43" ht="5.0999999999999996" customHeight="1">
      <c r="B29" s="16"/>
      <c r="C29" s="17"/>
      <c r="D29" s="17"/>
      <c r="E29" s="17"/>
      <c r="F29" s="17"/>
      <c r="G29" s="17"/>
      <c r="H29" s="17"/>
      <c r="I29" s="2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28"/>
      <c r="AH29" s="17"/>
      <c r="AI29" s="17"/>
      <c r="AJ29" s="17"/>
      <c r="AK29" s="17"/>
      <c r="AL29" s="17"/>
      <c r="AM29" s="17"/>
      <c r="AN29" s="17"/>
      <c r="AO29" s="17"/>
      <c r="AP29" s="43"/>
      <c r="AQ29" s="77"/>
    </row>
    <row r="30" spans="2:43" ht="12.75" customHeight="1">
      <c r="B30" s="9" t="s">
        <v>104</v>
      </c>
      <c r="C30" s="82">
        <v>-0.13900000000000001</v>
      </c>
      <c r="D30" s="82">
        <v>0.29099999999999993</v>
      </c>
      <c r="E30" s="82">
        <v>1.37</v>
      </c>
      <c r="F30" s="82">
        <v>-1.9470000000000001</v>
      </c>
      <c r="G30" s="82">
        <v>-3.427</v>
      </c>
      <c r="H30" s="82">
        <v>-5.601</v>
      </c>
      <c r="I30" s="32"/>
      <c r="J30" s="82">
        <v>-6.7000000000000004E-2</v>
      </c>
      <c r="K30" s="82">
        <v>0.6419999999999999</v>
      </c>
      <c r="L30" s="82">
        <v>0.32900000000000001</v>
      </c>
      <c r="M30" s="82">
        <v>-0.36799999999999999</v>
      </c>
      <c r="N30" s="82">
        <v>0.88500000000000001</v>
      </c>
      <c r="O30" s="82">
        <v>0.52400000000000002</v>
      </c>
      <c r="P30" s="82">
        <v>8.6999999999999994E-2</v>
      </c>
      <c r="Q30" s="82">
        <v>-0.43</v>
      </c>
      <c r="R30" s="82">
        <v>-0.46700000000000003</v>
      </c>
      <c r="S30" s="82">
        <v>-1.137</v>
      </c>
      <c r="T30" s="82">
        <v>-0.58499999999999996</v>
      </c>
      <c r="U30" s="82">
        <v>-0.81899999999999995</v>
      </c>
      <c r="V30" s="82">
        <v>-0.53</v>
      </c>
      <c r="W30" s="82">
        <v>-1.4930000000000001</v>
      </c>
      <c r="X30" s="82">
        <v>-0.71299999999999997</v>
      </c>
      <c r="Y30" s="82">
        <v>-1.4530000000000001</v>
      </c>
      <c r="Z30" s="82">
        <v>-0.95899999999999996</v>
      </c>
      <c r="AA30" s="82">
        <v>-2.476</v>
      </c>
      <c r="AB30" s="82">
        <v>-1.94</v>
      </c>
      <c r="AC30" s="82">
        <v>-1.66</v>
      </c>
      <c r="AD30" s="82">
        <v>0.626</v>
      </c>
      <c r="AE30" s="82"/>
      <c r="AF30" s="82"/>
      <c r="AH30" s="32">
        <f>SUM(V30:Y30)</f>
        <v>-4.1890000000000001</v>
      </c>
      <c r="AI30" s="32">
        <f>SUM(W30:Z30)</f>
        <v>-4.6179999999999994</v>
      </c>
      <c r="AJ30" s="32">
        <f>SUM(X30:AA30)</f>
        <v>-5.601</v>
      </c>
      <c r="AK30" s="32">
        <f>SUM(Y30:AB30)</f>
        <v>-6.8279999999999994</v>
      </c>
      <c r="AL30" s="32">
        <f>SUM(Z30:AC30)</f>
        <v>-7.0350000000000001</v>
      </c>
      <c r="AM30" s="32">
        <f>SUM(AA30:AD30)</f>
        <v>-5.45</v>
      </c>
      <c r="AN30" s="32">
        <f>SUM(AB30:AE30)</f>
        <v>-2.9739999999999998</v>
      </c>
      <c r="AO30" s="32">
        <f>SUM(AC30:AF30)</f>
        <v>-1.0339999999999998</v>
      </c>
      <c r="AP30" s="11"/>
      <c r="AQ30" s="75">
        <f>SUM(AO30/AK30)-1</f>
        <v>-0.84856473345049799</v>
      </c>
    </row>
    <row r="31" spans="2:43" ht="12.75" customHeight="1">
      <c r="B31" s="13" t="s">
        <v>105</v>
      </c>
      <c r="C31" s="14">
        <f>SUM(C27+C30)</f>
        <v>-47.479000000000063</v>
      </c>
      <c r="D31" s="14">
        <f>SUM(D27+D30)</f>
        <v>-47.987999999999971</v>
      </c>
      <c r="E31" s="14">
        <f t="shared" ref="E31:H31" si="104">SUM(E27+E30)</f>
        <v>-37.730000000000025</v>
      </c>
      <c r="F31" s="14">
        <f t="shared" si="104"/>
        <v>-90.947000000000131</v>
      </c>
      <c r="G31" s="14">
        <f t="shared" si="104"/>
        <v>-127.52500000000005</v>
      </c>
      <c r="H31" s="14">
        <f t="shared" si="104"/>
        <v>-55.041999999999987</v>
      </c>
      <c r="I31" s="11"/>
      <c r="J31" s="14">
        <f t="shared" ref="J31" si="105">SUM(J27+J30)</f>
        <v>-10.350999999999996</v>
      </c>
      <c r="K31" s="14">
        <f t="shared" ref="K31" si="106">SUM(K27+K30)</f>
        <v>-19.128000000000011</v>
      </c>
      <c r="L31" s="14">
        <f t="shared" ref="L31" si="107">SUM(L27+L30)</f>
        <v>-10.110999999999997</v>
      </c>
      <c r="M31" s="14">
        <f t="shared" ref="M31" si="108">SUM(M27+M30)</f>
        <v>-8.1530000000000005</v>
      </c>
      <c r="N31" s="14">
        <f t="shared" ref="N31" si="109">SUM(N27+N30)</f>
        <v>-6.7679999999999918</v>
      </c>
      <c r="O31" s="14">
        <f t="shared" ref="O31" si="110">SUM(O27+O30)</f>
        <v>-8.6219999999999821</v>
      </c>
      <c r="P31" s="14">
        <f t="shared" ref="P31" si="111">SUM(P27+P30)</f>
        <v>-7.3659999999999943</v>
      </c>
      <c r="Q31" s="14">
        <f t="shared" ref="Q31" si="112">SUM(Q27+Q30)</f>
        <v>-15.278000000000009</v>
      </c>
      <c r="R31" s="14">
        <f t="shared" ref="R31" si="113">SUM(R27+R30)</f>
        <v>-19.047000000000004</v>
      </c>
      <c r="S31" s="14">
        <f t="shared" ref="S31" si="114">SUM(S27+S30)</f>
        <v>-29.568000000000008</v>
      </c>
      <c r="T31" s="14">
        <f t="shared" ref="T31" si="115">SUM(T27+T30)</f>
        <v>-29.809000000000012</v>
      </c>
      <c r="U31" s="14">
        <f t="shared" ref="U31" si="116">SUM(U27+U30)</f>
        <v>-13.584000000000028</v>
      </c>
      <c r="V31" s="14">
        <f t="shared" ref="V31" si="117">SUM(V27+V30)</f>
        <v>-46.095000000000006</v>
      </c>
      <c r="W31" s="14">
        <f t="shared" ref="W31" si="118">SUM(W27+W30)</f>
        <v>-21.584000000000014</v>
      </c>
      <c r="X31" s="14">
        <f t="shared" ref="X31" si="119">SUM(X27+X30)</f>
        <v>-56.361999999999995</v>
      </c>
      <c r="Y31" s="14">
        <f t="shared" ref="Y31" si="120">SUM(Y27+Y30)</f>
        <v>-4.2460000000000129</v>
      </c>
      <c r="Z31" s="14">
        <f t="shared" ref="Z31" si="121">SUM(Z27+Z30)</f>
        <v>-11.932999999999986</v>
      </c>
      <c r="AA31" s="14">
        <f t="shared" ref="AA31" si="122">SUM(AA27+AA30)</f>
        <v>-18.570999999999998</v>
      </c>
      <c r="AB31" s="14">
        <f t="shared" ref="AB31" si="123">SUM(AB27+AB30)</f>
        <v>-17.971999999999948</v>
      </c>
      <c r="AC31" s="14">
        <f t="shared" ref="AC31" si="124">SUM(AC27+AC30)</f>
        <v>-8.0000000000000515</v>
      </c>
      <c r="AD31" s="14">
        <f t="shared" ref="AD31" si="125">SUM(AD27+AD30)</f>
        <v>-18.811999999999976</v>
      </c>
      <c r="AE31" s="14">
        <f t="shared" ref="AE31" si="126">SUM(AE27+AE30)</f>
        <v>-17.689999999999987</v>
      </c>
      <c r="AF31" s="14">
        <f t="shared" ref="AF31" si="127">SUM(AF27+AF30)</f>
        <v>2.165000000000008</v>
      </c>
      <c r="AG31" s="32"/>
      <c r="AH31" s="14">
        <f t="shared" ref="AH31" si="128">SUM(AH27+AH30)</f>
        <v>-128.28700000000003</v>
      </c>
      <c r="AI31" s="14">
        <f t="shared" ref="AI31" si="129">SUM(AI27+AI30)</f>
        <v>-94.124999999999929</v>
      </c>
      <c r="AJ31" s="14">
        <f t="shared" ref="AJ31" si="130">SUM(AJ27+AJ30)</f>
        <v>-91.111999999999952</v>
      </c>
      <c r="AK31" s="14">
        <f t="shared" ref="AK31" si="131">SUM(AK27+AK30)</f>
        <v>-52.721999999999923</v>
      </c>
      <c r="AL31" s="14">
        <f t="shared" ref="AL31" si="132">SUM(AL27+AL30)</f>
        <v>-56.475999999999985</v>
      </c>
      <c r="AM31" s="14">
        <f t="shared" ref="AM31" si="133">SUM(AM27+AM30)</f>
        <v>-63.355000000000153</v>
      </c>
      <c r="AN31" s="14">
        <f t="shared" ref="AN31" si="134">SUM(AN27+AN30)</f>
        <v>-62.473999999999791</v>
      </c>
      <c r="AO31" s="14">
        <f t="shared" ref="AO31" si="135">SUM(AO27+AO30)</f>
        <v>-42.336999999999968</v>
      </c>
      <c r="AP31" s="36"/>
      <c r="AQ31" s="76">
        <f>SUM(AO31/AK31)-1</f>
        <v>-0.19697659421114466</v>
      </c>
    </row>
    <row r="32" spans="2:43" ht="12.75" customHeight="1">
      <c r="B32" s="16" t="s">
        <v>103</v>
      </c>
      <c r="C32" s="17">
        <f>C31/C11</f>
        <v>-0.15938380145758035</v>
      </c>
      <c r="D32" s="17">
        <f>D31/D11</f>
        <v>-0.13648697076741917</v>
      </c>
      <c r="E32" s="17">
        <f>E31/E11</f>
        <v>-8.5114542562911052E-2</v>
      </c>
      <c r="F32" s="17">
        <f>F31/F11</f>
        <v>-0.16908575412502933</v>
      </c>
      <c r="G32" s="17">
        <f>G31/G11</f>
        <v>-0.20240810489509387</v>
      </c>
      <c r="H32" s="17">
        <f>H31/H11</f>
        <v>-7.4513997942275395E-2</v>
      </c>
      <c r="I32" s="27"/>
      <c r="J32" s="17">
        <f>J31/J11</f>
        <v>-0.12063961958485327</v>
      </c>
      <c r="K32" s="17">
        <f>K31/K11</f>
        <v>-0.22809444311948499</v>
      </c>
      <c r="L32" s="17">
        <f>L31/L11</f>
        <v>-0.11476861258357074</v>
      </c>
      <c r="M32" s="17">
        <f>M31/M11</f>
        <v>-8.6887482149327538E-2</v>
      </c>
      <c r="N32" s="17">
        <f>N31/N11</f>
        <v>-6.4938304772504757E-2</v>
      </c>
      <c r="O32" s="17">
        <f>O31/O11</f>
        <v>-8.1657779840321076E-2</v>
      </c>
      <c r="P32" s="17">
        <f>P31/P11</f>
        <v>-6.5363420975570741E-2</v>
      </c>
      <c r="Q32" s="17">
        <f>Q31/Q11</f>
        <v>-0.12649131086328386</v>
      </c>
      <c r="R32" s="17">
        <f>R31/R11</f>
        <v>-0.14688372379968231</v>
      </c>
      <c r="S32" s="17">
        <f>S31/S11</f>
        <v>-0.22476795718705589</v>
      </c>
      <c r="T32" s="17">
        <f>T31/T11</f>
        <v>-0.22438256968437861</v>
      </c>
      <c r="U32" s="17">
        <f>U31/U11</f>
        <v>-9.446256336794108E-2</v>
      </c>
      <c r="V32" s="17">
        <f>V31/V11</f>
        <v>-0.30691328925553807</v>
      </c>
      <c r="W32" s="17">
        <f>W31/W11</f>
        <v>-0.13923185096308921</v>
      </c>
      <c r="X32" s="17">
        <f>X31/X11</f>
        <v>-0.35632685316895835</v>
      </c>
      <c r="Y32" s="17">
        <f>Y31/Y11</f>
        <v>-2.5478089203314746E-2</v>
      </c>
      <c r="Z32" s="17">
        <f>Z31/Z11</f>
        <v>-6.7929662372557084E-2</v>
      </c>
      <c r="AA32" s="17">
        <f>AA31/AA11</f>
        <v>-0.1046235838267522</v>
      </c>
      <c r="AB32" s="17">
        <f>AB31/AB11</f>
        <v>-9.6820419993319473E-2</v>
      </c>
      <c r="AC32" s="17">
        <f>AC31/AC11</f>
        <v>-4.0022412551028841E-2</v>
      </c>
      <c r="AD32" s="17">
        <f>AD31/AD11</f>
        <v>-9.1199968973006404E-2</v>
      </c>
      <c r="AE32" s="17">
        <f>AE31/AE11</f>
        <v>-8.220833236517408E-2</v>
      </c>
      <c r="AF32" s="17">
        <f>AF31/AF11</f>
        <v>9.6581074570404168E-3</v>
      </c>
      <c r="AG32" s="28"/>
      <c r="AH32" s="17">
        <f>AH31/AH11</f>
        <v>-0.20361755383396907</v>
      </c>
      <c r="AI32" s="17">
        <f>AI31/AI11</f>
        <v>-0.14358895345200798</v>
      </c>
      <c r="AJ32" s="17">
        <f>AJ31/AJ11</f>
        <v>-0.13438387723857584</v>
      </c>
      <c r="AK32" s="17">
        <f>AK31/AK11</f>
        <v>-7.4735805059217814E-2</v>
      </c>
      <c r="AL32" s="17">
        <f>AL31/AL11</f>
        <v>-7.6455298640818736E-2</v>
      </c>
      <c r="AM32" s="17">
        <f>AM31/AM11</f>
        <v>-8.2355693923578596E-2</v>
      </c>
      <c r="AN32" s="17">
        <f>AN31/AN11</f>
        <v>-7.7418283523365633E-2</v>
      </c>
      <c r="AO32" s="17">
        <f>AO31/AO11</f>
        <v>-5.0072796386555277E-2</v>
      </c>
      <c r="AP32" s="43"/>
      <c r="AQ32" s="77">
        <f>SUM(AO32-AK32)*1000</f>
        <v>24.663008672662539</v>
      </c>
    </row>
    <row r="33" spans="1:43" ht="5.0999999999999996" customHeight="1">
      <c r="B33" s="16"/>
      <c r="C33" s="17"/>
      <c r="D33" s="17"/>
      <c r="E33" s="17"/>
      <c r="F33" s="17"/>
      <c r="G33" s="17"/>
      <c r="H33" s="17"/>
      <c r="I33" s="2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28"/>
      <c r="AH33" s="17"/>
      <c r="AI33" s="17"/>
      <c r="AJ33" s="17"/>
      <c r="AK33" s="17"/>
      <c r="AL33" s="17"/>
      <c r="AM33" s="17"/>
      <c r="AN33" s="17"/>
      <c r="AO33" s="17"/>
      <c r="AP33" s="43"/>
      <c r="AQ33" s="77"/>
    </row>
    <row r="34" spans="1:43" ht="12.75" customHeight="1">
      <c r="B34" s="44" t="s">
        <v>84</v>
      </c>
      <c r="C34" s="82"/>
      <c r="D34" s="82">
        <v>-1</v>
      </c>
      <c r="E34" s="82"/>
      <c r="F34" s="82"/>
      <c r="G34" s="82"/>
      <c r="H34" s="82"/>
      <c r="I34" s="27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32">
        <f>G34</f>
        <v>0</v>
      </c>
      <c r="Z34" s="82"/>
      <c r="AA34" s="82"/>
      <c r="AB34" s="82"/>
      <c r="AC34" s="32">
        <f>H34</f>
        <v>0</v>
      </c>
      <c r="AD34" s="82"/>
      <c r="AE34" s="82"/>
      <c r="AF34" s="82"/>
      <c r="AG34" s="132"/>
      <c r="AH34" s="32">
        <f>Y34</f>
        <v>0</v>
      </c>
      <c r="AI34" s="32">
        <f>Z34</f>
        <v>0</v>
      </c>
      <c r="AJ34" s="32">
        <f>AA34</f>
        <v>0</v>
      </c>
      <c r="AK34" s="32">
        <f>AB34</f>
        <v>0</v>
      </c>
      <c r="AL34" s="32">
        <f>AC34</f>
        <v>0</v>
      </c>
      <c r="AM34" s="32">
        <f>AD34</f>
        <v>0</v>
      </c>
      <c r="AN34" s="32">
        <f>AE34</f>
        <v>0</v>
      </c>
      <c r="AO34" s="32">
        <f>AF34</f>
        <v>0</v>
      </c>
      <c r="AP34" s="43"/>
      <c r="AQ34" s="75" t="e">
        <f>SUM(AO34/AK34)-1</f>
        <v>#DIV/0!</v>
      </c>
    </row>
    <row r="35" spans="1:43" ht="12.75" customHeight="1">
      <c r="B35" s="13" t="s">
        <v>62</v>
      </c>
      <c r="C35" s="144" t="e">
        <f>C31/C34</f>
        <v>#DIV/0!</v>
      </c>
      <c r="D35" s="144">
        <f>D31/D34</f>
        <v>47.987999999999971</v>
      </c>
      <c r="E35" s="144" t="e">
        <f t="shared" ref="E35:H35" si="136">E31/E34</f>
        <v>#DIV/0!</v>
      </c>
      <c r="F35" s="144" t="e">
        <f t="shared" si="136"/>
        <v>#DIV/0!</v>
      </c>
      <c r="G35" s="144" t="e">
        <f t="shared" si="136"/>
        <v>#DIV/0!</v>
      </c>
      <c r="H35" s="144" t="e">
        <f t="shared" si="136"/>
        <v>#DIV/0!</v>
      </c>
      <c r="I35" s="27"/>
      <c r="J35" s="144" t="e">
        <f t="shared" ref="J35" si="137">J31/J34</f>
        <v>#DIV/0!</v>
      </c>
      <c r="K35" s="144" t="e">
        <f t="shared" ref="K35" si="138">K31/K34</f>
        <v>#DIV/0!</v>
      </c>
      <c r="L35" s="144" t="e">
        <f t="shared" ref="L35" si="139">L31/L34</f>
        <v>#DIV/0!</v>
      </c>
      <c r="M35" s="144" t="e">
        <f t="shared" ref="M35:N35" si="140">M31/M34</f>
        <v>#DIV/0!</v>
      </c>
      <c r="N35" s="144" t="e">
        <f t="shared" si="140"/>
        <v>#DIV/0!</v>
      </c>
      <c r="O35" s="144" t="e">
        <f t="shared" ref="O35" si="141">O31/O34</f>
        <v>#DIV/0!</v>
      </c>
      <c r="P35" s="144" t="e">
        <f t="shared" ref="P35" si="142">P31/P34</f>
        <v>#DIV/0!</v>
      </c>
      <c r="Q35" s="144" t="e">
        <f t="shared" ref="Q35" si="143">Q31/Q34</f>
        <v>#DIV/0!</v>
      </c>
      <c r="R35" s="144" t="e">
        <f t="shared" ref="R35" si="144">R31/R34</f>
        <v>#DIV/0!</v>
      </c>
      <c r="S35" s="144" t="e">
        <f t="shared" ref="S35" si="145">S31/S34</f>
        <v>#DIV/0!</v>
      </c>
      <c r="T35" s="144" t="e">
        <f t="shared" ref="T35" si="146">T31/T34</f>
        <v>#DIV/0!</v>
      </c>
      <c r="U35" s="144" t="e">
        <f t="shared" ref="U35" si="147">U31/U34</f>
        <v>#DIV/0!</v>
      </c>
      <c r="V35" s="144" t="e">
        <f t="shared" ref="V35" si="148">V31/V34</f>
        <v>#DIV/0!</v>
      </c>
      <c r="W35" s="144" t="e">
        <f t="shared" ref="W35" si="149">W31/W34</f>
        <v>#DIV/0!</v>
      </c>
      <c r="X35" s="144" t="e">
        <f t="shared" ref="X35" si="150">X31/X34</f>
        <v>#DIV/0!</v>
      </c>
      <c r="Y35" s="144" t="e">
        <f t="shared" ref="Y35" si="151">Y31/Y34</f>
        <v>#DIV/0!</v>
      </c>
      <c r="Z35" s="144" t="e">
        <f t="shared" ref="Z35" si="152">Z31/Z34</f>
        <v>#DIV/0!</v>
      </c>
      <c r="AA35" s="144" t="e">
        <f t="shared" ref="AA35" si="153">AA31/AA34</f>
        <v>#DIV/0!</v>
      </c>
      <c r="AB35" s="144" t="e">
        <f t="shared" ref="AB35" si="154">AB31/AB34</f>
        <v>#DIV/0!</v>
      </c>
      <c r="AC35" s="144" t="e">
        <f t="shared" ref="AC35" si="155">AC31/AC34</f>
        <v>#DIV/0!</v>
      </c>
      <c r="AD35" s="144" t="e">
        <f t="shared" ref="AD35" si="156">AD31/AD34</f>
        <v>#DIV/0!</v>
      </c>
      <c r="AE35" s="144" t="e">
        <f t="shared" ref="AE35" si="157">AE31/AE34</f>
        <v>#DIV/0!</v>
      </c>
      <c r="AF35" s="144" t="e">
        <f t="shared" ref="AF35" si="158">AF31/AF34</f>
        <v>#DIV/0!</v>
      </c>
      <c r="AG35" s="132"/>
      <c r="AH35" s="144" t="e">
        <f t="shared" ref="AH35" si="159">AH31/AH34</f>
        <v>#DIV/0!</v>
      </c>
      <c r="AI35" s="144" t="e">
        <f t="shared" ref="AI35" si="160">AI31/AI34</f>
        <v>#DIV/0!</v>
      </c>
      <c r="AJ35" s="144" t="e">
        <f t="shared" ref="AJ35" si="161">AJ31/AJ34</f>
        <v>#DIV/0!</v>
      </c>
      <c r="AK35" s="144" t="e">
        <f t="shared" ref="AK35" si="162">AK31/AK34</f>
        <v>#DIV/0!</v>
      </c>
      <c r="AL35" s="144" t="e">
        <f t="shared" ref="AL35" si="163">AL31/AL34</f>
        <v>#DIV/0!</v>
      </c>
      <c r="AM35" s="144" t="e">
        <f t="shared" ref="AM35" si="164">AM31/AM34</f>
        <v>#DIV/0!</v>
      </c>
      <c r="AN35" s="144" t="e">
        <f t="shared" ref="AN35" si="165">AN31/AN34</f>
        <v>#DIV/0!</v>
      </c>
      <c r="AO35" s="144" t="e">
        <f t="shared" ref="AO35" si="166">AO31/AO34</f>
        <v>#DIV/0!</v>
      </c>
      <c r="AP35" s="43"/>
      <c r="AQ35" s="76" t="e">
        <f>SUM(AO35/AK35)-1</f>
        <v>#DIV/0!</v>
      </c>
    </row>
    <row r="36" spans="1:43" ht="12.75" customHeight="1">
      <c r="B36" s="25"/>
      <c r="C36" s="48"/>
      <c r="D36" s="48"/>
      <c r="E36" s="48"/>
      <c r="F36" s="48"/>
      <c r="G36" s="48"/>
      <c r="H36" s="48"/>
      <c r="I36" s="143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132"/>
      <c r="AH36" s="132"/>
      <c r="AI36" s="132"/>
      <c r="AJ36" s="132"/>
      <c r="AK36" s="48"/>
      <c r="AL36" s="132"/>
      <c r="AM36" s="132"/>
      <c r="AN36" s="132"/>
      <c r="AO36" s="132"/>
      <c r="AP36" s="43"/>
      <c r="AQ36" s="75"/>
    </row>
    <row r="37" spans="1:43" ht="12.75" customHeight="1">
      <c r="B37" s="44" t="s">
        <v>63</v>
      </c>
      <c r="C37" s="82"/>
      <c r="D37" s="82"/>
      <c r="E37" s="82"/>
      <c r="F37" s="82"/>
      <c r="G37" s="82"/>
      <c r="H37" s="82"/>
      <c r="I37" s="143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32">
        <f>G37</f>
        <v>0</v>
      </c>
      <c r="Z37" s="82"/>
      <c r="AA37" s="82"/>
      <c r="AB37" s="82"/>
      <c r="AC37" s="32">
        <f>H37</f>
        <v>0</v>
      </c>
      <c r="AD37" s="82"/>
      <c r="AE37" s="82"/>
      <c r="AF37" s="82"/>
      <c r="AG37" s="132"/>
      <c r="AH37" s="32">
        <f>Y37</f>
        <v>0</v>
      </c>
      <c r="AI37" s="32">
        <f>Z37</f>
        <v>0</v>
      </c>
      <c r="AJ37" s="32">
        <f>AA37</f>
        <v>0</v>
      </c>
      <c r="AK37" s="32">
        <f>AB37</f>
        <v>0</v>
      </c>
      <c r="AL37" s="32">
        <f>AC37</f>
        <v>0</v>
      </c>
      <c r="AM37" s="32">
        <f>AD37</f>
        <v>0</v>
      </c>
      <c r="AN37" s="32">
        <f>AE37</f>
        <v>0</v>
      </c>
      <c r="AO37" s="32">
        <f>AF37</f>
        <v>0</v>
      </c>
      <c r="AP37" s="43"/>
      <c r="AQ37" s="75" t="e">
        <f>SUM(AO37/AK37)-1</f>
        <v>#DIV/0!</v>
      </c>
    </row>
    <row r="38" spans="1:43" ht="12.75" customHeight="1">
      <c r="B38" s="13" t="s">
        <v>83</v>
      </c>
      <c r="C38" s="144" t="e">
        <f>C31/C37</f>
        <v>#DIV/0!</v>
      </c>
      <c r="D38" s="144" t="e">
        <f>D31/D37</f>
        <v>#DIV/0!</v>
      </c>
      <c r="E38" s="144" t="e">
        <f t="shared" ref="E38:H38" si="167">E31/E37</f>
        <v>#DIV/0!</v>
      </c>
      <c r="F38" s="144" t="e">
        <f t="shared" si="167"/>
        <v>#DIV/0!</v>
      </c>
      <c r="G38" s="144" t="e">
        <f t="shared" si="167"/>
        <v>#DIV/0!</v>
      </c>
      <c r="H38" s="144" t="e">
        <f t="shared" si="167"/>
        <v>#DIV/0!</v>
      </c>
      <c r="I38" s="27"/>
      <c r="J38" s="144" t="e">
        <f t="shared" ref="J38" si="168">J31/J37</f>
        <v>#DIV/0!</v>
      </c>
      <c r="K38" s="144" t="e">
        <f t="shared" ref="K38" si="169">K31/K37</f>
        <v>#DIV/0!</v>
      </c>
      <c r="L38" s="144" t="e">
        <f t="shared" ref="L38" si="170">L31/L37</f>
        <v>#DIV/0!</v>
      </c>
      <c r="M38" s="144" t="e">
        <f t="shared" ref="M38:N38" si="171">M31/M37</f>
        <v>#DIV/0!</v>
      </c>
      <c r="N38" s="144" t="e">
        <f t="shared" si="171"/>
        <v>#DIV/0!</v>
      </c>
      <c r="O38" s="144" t="e">
        <f t="shared" ref="O38" si="172">O31/O37</f>
        <v>#DIV/0!</v>
      </c>
      <c r="P38" s="144" t="e">
        <f t="shared" ref="P38" si="173">P31/P37</f>
        <v>#DIV/0!</v>
      </c>
      <c r="Q38" s="144" t="e">
        <f t="shared" ref="Q38" si="174">Q31/Q37</f>
        <v>#DIV/0!</v>
      </c>
      <c r="R38" s="144" t="e">
        <f t="shared" ref="R38" si="175">R31/R37</f>
        <v>#DIV/0!</v>
      </c>
      <c r="S38" s="144" t="e">
        <f t="shared" ref="S38" si="176">S31/S37</f>
        <v>#DIV/0!</v>
      </c>
      <c r="T38" s="144" t="e">
        <f t="shared" ref="T38" si="177">T31/T37</f>
        <v>#DIV/0!</v>
      </c>
      <c r="U38" s="144" t="e">
        <f t="shared" ref="U38" si="178">U31/U37</f>
        <v>#DIV/0!</v>
      </c>
      <c r="V38" s="144" t="e">
        <f t="shared" ref="V38" si="179">V31/V37</f>
        <v>#DIV/0!</v>
      </c>
      <c r="W38" s="144" t="e">
        <f t="shared" ref="W38" si="180">W31/W37</f>
        <v>#DIV/0!</v>
      </c>
      <c r="X38" s="144" t="e">
        <f t="shared" ref="X38" si="181">X31/X37</f>
        <v>#DIV/0!</v>
      </c>
      <c r="Y38" s="144" t="e">
        <f t="shared" ref="Y38" si="182">Y31/Y37</f>
        <v>#DIV/0!</v>
      </c>
      <c r="Z38" s="144" t="e">
        <f t="shared" ref="Z38" si="183">Z31/Z37</f>
        <v>#DIV/0!</v>
      </c>
      <c r="AA38" s="144" t="e">
        <f t="shared" ref="AA38" si="184">AA31/AA37</f>
        <v>#DIV/0!</v>
      </c>
      <c r="AB38" s="144" t="e">
        <f t="shared" ref="AB38" si="185">AB31/AB37</f>
        <v>#DIV/0!</v>
      </c>
      <c r="AC38" s="144" t="e">
        <f t="shared" ref="AC38" si="186">AC31/AC37</f>
        <v>#DIV/0!</v>
      </c>
      <c r="AD38" s="144" t="e">
        <f t="shared" ref="AD38" si="187">AD31/AD37</f>
        <v>#DIV/0!</v>
      </c>
      <c r="AE38" s="144" t="e">
        <f t="shared" ref="AE38" si="188">AE31/AE37</f>
        <v>#DIV/0!</v>
      </c>
      <c r="AF38" s="144" t="e">
        <f t="shared" ref="AF38" si="189">AF31/AF37</f>
        <v>#DIV/0!</v>
      </c>
      <c r="AG38" s="132"/>
      <c r="AH38" s="144" t="e">
        <f t="shared" ref="AH38" si="190">AH31/AH37</f>
        <v>#DIV/0!</v>
      </c>
      <c r="AI38" s="144" t="e">
        <f t="shared" ref="AI38" si="191">AI31/AI37</f>
        <v>#DIV/0!</v>
      </c>
      <c r="AJ38" s="144" t="e">
        <f t="shared" ref="AJ38" si="192">AJ31/AJ37</f>
        <v>#DIV/0!</v>
      </c>
      <c r="AK38" s="144" t="e">
        <f t="shared" ref="AK38" si="193">AK31/AK37</f>
        <v>#DIV/0!</v>
      </c>
      <c r="AL38" s="144" t="e">
        <f t="shared" ref="AL38" si="194">AL31/AL37</f>
        <v>#DIV/0!</v>
      </c>
      <c r="AM38" s="144" t="e">
        <f t="shared" ref="AM38" si="195">AM31/AM37</f>
        <v>#DIV/0!</v>
      </c>
      <c r="AN38" s="144" t="e">
        <f t="shared" ref="AN38" si="196">AN31/AN37</f>
        <v>#DIV/0!</v>
      </c>
      <c r="AO38" s="144" t="e">
        <f t="shared" ref="AO38" si="197">AO31/AO37</f>
        <v>#DIV/0!</v>
      </c>
      <c r="AP38" s="43"/>
      <c r="AQ38" s="76" t="e">
        <f>SUM(AO38/AK38)-1</f>
        <v>#DIV/0!</v>
      </c>
    </row>
    <row r="39" spans="1:43">
      <c r="B39" s="16"/>
      <c r="C39" s="17"/>
      <c r="D39" s="17"/>
      <c r="E39" s="17"/>
      <c r="F39" s="17"/>
      <c r="G39" s="17"/>
      <c r="H39" s="17"/>
      <c r="I39" s="2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28"/>
      <c r="AH39" s="17"/>
      <c r="AI39" s="17"/>
      <c r="AJ39" s="17"/>
      <c r="AK39" s="17"/>
      <c r="AL39" s="17"/>
      <c r="AM39" s="17"/>
      <c r="AN39" s="17"/>
      <c r="AO39" s="17"/>
      <c r="AP39" s="43"/>
    </row>
    <row r="40" spans="1:43" ht="12.75" customHeight="1">
      <c r="A40" s="5" t="s">
        <v>16</v>
      </c>
      <c r="B40" s="106" t="s">
        <v>73</v>
      </c>
      <c r="C40" s="107"/>
      <c r="D40" s="107"/>
      <c r="E40" s="107"/>
      <c r="F40" s="107"/>
      <c r="G40" s="107"/>
      <c r="H40" s="107"/>
      <c r="I40" s="108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6"/>
      <c r="AH40" s="107"/>
      <c r="AI40" s="107"/>
      <c r="AJ40" s="107" t="s">
        <v>10</v>
      </c>
      <c r="AK40" s="107"/>
      <c r="AL40" s="107"/>
      <c r="AM40" s="107"/>
      <c r="AN40" s="107"/>
      <c r="AO40" s="107"/>
      <c r="AP40" s="108"/>
      <c r="AQ40" s="163" t="s">
        <v>22</v>
      </c>
    </row>
    <row r="41" spans="1:43" ht="12.75" customHeight="1">
      <c r="B41" s="110" t="str">
        <f>B7</f>
        <v>Fiscal Period</v>
      </c>
      <c r="C41" s="109">
        <f>C7</f>
        <v>2019</v>
      </c>
      <c r="D41" s="109">
        <f>D7</f>
        <v>2020</v>
      </c>
      <c r="E41" s="109">
        <f>E7</f>
        <v>2021</v>
      </c>
      <c r="F41" s="109">
        <f>F7</f>
        <v>2022</v>
      </c>
      <c r="G41" s="109">
        <f>G7</f>
        <v>2023</v>
      </c>
      <c r="H41" s="109">
        <f>H7</f>
        <v>2024</v>
      </c>
      <c r="I41" s="108"/>
      <c r="J41" s="109" t="str">
        <f>J7</f>
        <v>1Q20</v>
      </c>
      <c r="K41" s="109" t="str">
        <f>K7</f>
        <v>2Q20</v>
      </c>
      <c r="L41" s="109" t="str">
        <f>L7</f>
        <v>3Q20</v>
      </c>
      <c r="M41" s="109" t="str">
        <f>M7</f>
        <v>4Q20</v>
      </c>
      <c r="N41" s="109" t="str">
        <f>N7</f>
        <v>1Q21</v>
      </c>
      <c r="O41" s="109" t="str">
        <f>O7</f>
        <v>2Q21</v>
      </c>
      <c r="P41" s="109" t="str">
        <f>P7</f>
        <v>3Q21</v>
      </c>
      <c r="Q41" s="109" t="str">
        <f>Q7</f>
        <v>4Q21</v>
      </c>
      <c r="R41" s="109" t="str">
        <f>R7</f>
        <v>1Q22</v>
      </c>
      <c r="S41" s="109" t="str">
        <f>S7</f>
        <v>2Q22</v>
      </c>
      <c r="T41" s="109" t="str">
        <f>T7</f>
        <v>3Q22</v>
      </c>
      <c r="U41" s="109" t="str">
        <f>U7</f>
        <v>4Q22</v>
      </c>
      <c r="V41" s="109" t="str">
        <f>V7</f>
        <v>1Q23</v>
      </c>
      <c r="W41" s="109" t="str">
        <f>W7</f>
        <v>2Q23</v>
      </c>
      <c r="X41" s="109" t="str">
        <f>X7</f>
        <v>3Q23</v>
      </c>
      <c r="Y41" s="109" t="str">
        <f>Y7</f>
        <v>4Q23</v>
      </c>
      <c r="Z41" s="109" t="str">
        <f>Z7</f>
        <v>1Q24</v>
      </c>
      <c r="AA41" s="109" t="str">
        <f>AA7</f>
        <v>2Q24</v>
      </c>
      <c r="AB41" s="109" t="str">
        <f>AB7</f>
        <v>3Q24</v>
      </c>
      <c r="AC41" s="109" t="str">
        <f>AC7</f>
        <v>4Q24</v>
      </c>
      <c r="AD41" s="109" t="str">
        <f>AD7</f>
        <v>1Q25</v>
      </c>
      <c r="AE41" s="109" t="str">
        <f>AE7</f>
        <v>2Q25</v>
      </c>
      <c r="AF41" s="109" t="str">
        <f>AF7</f>
        <v>3Q25</v>
      </c>
      <c r="AG41" s="111"/>
      <c r="AH41" s="109" t="str">
        <f>AH7</f>
        <v>4Q23</v>
      </c>
      <c r="AI41" s="109" t="str">
        <f>AI7</f>
        <v>1Q24</v>
      </c>
      <c r="AJ41" s="109" t="str">
        <f>AJ7</f>
        <v>2Q24</v>
      </c>
      <c r="AK41" s="109" t="str">
        <f>AK7</f>
        <v>3Q24</v>
      </c>
      <c r="AL41" s="109" t="str">
        <f>AL7</f>
        <v>4Q24</v>
      </c>
      <c r="AM41" s="109" t="str">
        <f>AM7</f>
        <v>1Q25</v>
      </c>
      <c r="AN41" s="109" t="str">
        <f>AN7</f>
        <v>2Q25</v>
      </c>
      <c r="AO41" s="109" t="str">
        <f>AO7</f>
        <v>3Q25</v>
      </c>
      <c r="AP41" s="108"/>
      <c r="AQ41" s="163"/>
    </row>
    <row r="42" spans="1:43" ht="12.75" customHeight="1">
      <c r="B42" s="110" t="str">
        <f>B8</f>
        <v>Fiscal Period End Date</v>
      </c>
      <c r="C42" s="112">
        <f>C8</f>
        <v>0</v>
      </c>
      <c r="D42" s="112">
        <f>D8</f>
        <v>0</v>
      </c>
      <c r="E42" s="112">
        <f>E8</f>
        <v>0</v>
      </c>
      <c r="F42" s="112">
        <f>F8</f>
        <v>0</v>
      </c>
      <c r="G42" s="112">
        <f>G8</f>
        <v>0</v>
      </c>
      <c r="H42" s="112">
        <f>H8</f>
        <v>0</v>
      </c>
      <c r="I42" s="108"/>
      <c r="J42" s="112">
        <f>J8</f>
        <v>0</v>
      </c>
      <c r="K42" s="112">
        <f>K8</f>
        <v>0</v>
      </c>
      <c r="L42" s="112">
        <f>L8</f>
        <v>0</v>
      </c>
      <c r="M42" s="112">
        <f>M8</f>
        <v>0</v>
      </c>
      <c r="N42" s="112">
        <f>N8</f>
        <v>0</v>
      </c>
      <c r="O42" s="112">
        <f>O8</f>
        <v>0</v>
      </c>
      <c r="P42" s="112">
        <f>P8</f>
        <v>0</v>
      </c>
      <c r="Q42" s="112">
        <f>Q8</f>
        <v>0</v>
      </c>
      <c r="R42" s="112">
        <f>R8</f>
        <v>0</v>
      </c>
      <c r="S42" s="112">
        <f>S8</f>
        <v>0</v>
      </c>
      <c r="T42" s="112">
        <f>T8</f>
        <v>0</v>
      </c>
      <c r="U42" s="112">
        <f>U8</f>
        <v>0</v>
      </c>
      <c r="V42" s="112">
        <f>V8</f>
        <v>0</v>
      </c>
      <c r="W42" s="112">
        <f>W8</f>
        <v>0</v>
      </c>
      <c r="X42" s="112">
        <f>X8</f>
        <v>0</v>
      </c>
      <c r="Y42" s="112">
        <f>Y8</f>
        <v>0</v>
      </c>
      <c r="Z42" s="112">
        <f>Z8</f>
        <v>0</v>
      </c>
      <c r="AA42" s="112">
        <f>AA8</f>
        <v>0</v>
      </c>
      <c r="AB42" s="112">
        <f>AB8</f>
        <v>0</v>
      </c>
      <c r="AC42" s="112">
        <f>AC8</f>
        <v>0</v>
      </c>
      <c r="AD42" s="112">
        <f>AD8</f>
        <v>0</v>
      </c>
      <c r="AE42" s="112">
        <f>AE8</f>
        <v>0</v>
      </c>
      <c r="AF42" s="112">
        <f>AF8</f>
        <v>0</v>
      </c>
      <c r="AG42" s="113"/>
      <c r="AH42" s="112">
        <f>AH8</f>
        <v>0</v>
      </c>
      <c r="AI42" s="112">
        <f>AI8</f>
        <v>0</v>
      </c>
      <c r="AJ42" s="112">
        <f>AJ8</f>
        <v>0</v>
      </c>
      <c r="AK42" s="112">
        <f>AK8</f>
        <v>0</v>
      </c>
      <c r="AL42" s="112">
        <f>AL8</f>
        <v>0</v>
      </c>
      <c r="AM42" s="112">
        <f>AM8</f>
        <v>0</v>
      </c>
      <c r="AN42" s="112">
        <f>AN8</f>
        <v>0</v>
      </c>
      <c r="AO42" s="112">
        <f>AO8</f>
        <v>0</v>
      </c>
      <c r="AP42" s="108"/>
      <c r="AQ42" s="163"/>
    </row>
    <row r="43" spans="1:43" ht="5.0999999999999996" customHeight="1">
      <c r="B43" s="46"/>
      <c r="C43" s="47"/>
      <c r="D43" s="47"/>
      <c r="E43" s="47"/>
      <c r="F43" s="47"/>
      <c r="G43" s="47"/>
      <c r="H43" s="47"/>
    </row>
    <row r="44" spans="1:43">
      <c r="B44" s="78" t="s">
        <v>78</v>
      </c>
      <c r="C44" s="47"/>
      <c r="D44" s="47"/>
      <c r="E44" s="47"/>
      <c r="F44" s="47"/>
      <c r="G44" s="47"/>
      <c r="H44" s="47"/>
    </row>
    <row r="45" spans="1:43" s="122" customFormat="1" ht="12.75" customHeight="1">
      <c r="B45" s="114" t="s">
        <v>185</v>
      </c>
      <c r="C45" s="123">
        <v>381.74200000000002</v>
      </c>
      <c r="D45" s="123">
        <v>322.83100000000002</v>
      </c>
      <c r="E45" s="123">
        <v>300.38600000000002</v>
      </c>
      <c r="F45" s="123">
        <v>240.197</v>
      </c>
      <c r="G45" s="123">
        <v>256.10000000000002</v>
      </c>
      <c r="H45" s="123">
        <v>301.83499999999998</v>
      </c>
      <c r="J45" s="82">
        <v>393.43400000000003</v>
      </c>
      <c r="K45" s="82">
        <v>402.12099999999998</v>
      </c>
      <c r="L45" s="82">
        <v>462.13200000000001</v>
      </c>
      <c r="M45" s="82">
        <v>322.83100000000002</v>
      </c>
      <c r="N45" s="82">
        <v>331.173</v>
      </c>
      <c r="O45" s="82">
        <v>322.19400000000002</v>
      </c>
      <c r="P45" s="82">
        <v>291.125</v>
      </c>
      <c r="Q45" s="82">
        <v>300.38600000000002</v>
      </c>
      <c r="R45" s="82">
        <v>303.07600000000002</v>
      </c>
      <c r="S45" s="82">
        <v>226.25299999999999</v>
      </c>
      <c r="T45" s="82">
        <v>229.49700000000001</v>
      </c>
      <c r="U45" s="82">
        <v>240.197</v>
      </c>
      <c r="V45" s="82">
        <v>195.48500000000001</v>
      </c>
      <c r="W45" s="82">
        <v>198.93899999999999</v>
      </c>
      <c r="X45" s="82">
        <v>404.88499999999999</v>
      </c>
      <c r="Y45" s="32">
        <v>256.10000000000002</v>
      </c>
      <c r="Z45" s="82">
        <v>296.06599999999997</v>
      </c>
      <c r="AA45" s="82">
        <v>267.89699999999999</v>
      </c>
      <c r="AB45" s="82">
        <v>248.239</v>
      </c>
      <c r="AC45" s="32">
        <v>301.83499999999998</v>
      </c>
      <c r="AD45" s="82">
        <v>242.024</v>
      </c>
      <c r="AE45" s="82">
        <v>284.25</v>
      </c>
      <c r="AF45" s="82">
        <v>315.91399999999999</v>
      </c>
      <c r="AH45" s="96">
        <f>Y45</f>
        <v>256.10000000000002</v>
      </c>
      <c r="AI45" s="96">
        <f>Z45</f>
        <v>296.06599999999997</v>
      </c>
      <c r="AJ45" s="96">
        <f>AA45</f>
        <v>267.89699999999999</v>
      </c>
      <c r="AK45" s="96">
        <f>AB45</f>
        <v>248.239</v>
      </c>
      <c r="AL45" s="96">
        <f>AC45</f>
        <v>301.83499999999998</v>
      </c>
      <c r="AM45" s="96">
        <f>AD45</f>
        <v>242.024</v>
      </c>
      <c r="AN45" s="96">
        <f>AE45</f>
        <v>284.25</v>
      </c>
      <c r="AO45" s="96">
        <f>AF45</f>
        <v>315.91399999999999</v>
      </c>
      <c r="AP45" s="124"/>
      <c r="AQ45" s="75">
        <f>SUM(AO45/AK45)-1</f>
        <v>0.27262033765846616</v>
      </c>
    </row>
    <row r="46" spans="1:43" s="122" customFormat="1" ht="12.75" customHeight="1">
      <c r="B46" s="114" t="s">
        <v>161</v>
      </c>
      <c r="C46" s="123">
        <v>106.214</v>
      </c>
      <c r="D46" s="123">
        <v>207.20699999999999</v>
      </c>
      <c r="E46" s="123">
        <v>230.06</v>
      </c>
      <c r="F46" s="123">
        <v>190.595</v>
      </c>
      <c r="G46" s="123">
        <v>557.62199999999996</v>
      </c>
      <c r="H46" s="123">
        <v>514.58500000000004</v>
      </c>
      <c r="J46" s="82">
        <v>102.589</v>
      </c>
      <c r="K46" s="82">
        <v>106.45099999999999</v>
      </c>
      <c r="L46" s="82">
        <v>97.75</v>
      </c>
      <c r="M46" s="82">
        <v>207.20699999999999</v>
      </c>
      <c r="N46" s="82">
        <v>209.446</v>
      </c>
      <c r="O46" s="82">
        <v>229.41900000000001</v>
      </c>
      <c r="P46" s="82">
        <v>231.22399999999999</v>
      </c>
      <c r="Q46" s="82">
        <v>230.06</v>
      </c>
      <c r="R46" s="82">
        <v>220.45699999999999</v>
      </c>
      <c r="S46" s="82">
        <v>202.71199999999999</v>
      </c>
      <c r="T46" s="82">
        <v>203.511</v>
      </c>
      <c r="U46" s="82">
        <v>190.595</v>
      </c>
      <c r="V46" s="82">
        <v>244.33799999999999</v>
      </c>
      <c r="W46" s="82">
        <v>267.31200000000001</v>
      </c>
      <c r="X46" s="82">
        <v>377.53300000000002</v>
      </c>
      <c r="Y46" s="32">
        <v>557.62199999999996</v>
      </c>
      <c r="Z46" s="82">
        <v>542.28099999999995</v>
      </c>
      <c r="AA46" s="82">
        <v>472.95600000000002</v>
      </c>
      <c r="AB46" s="82">
        <v>528.11500000000001</v>
      </c>
      <c r="AC46" s="32">
        <v>514.58500000000004</v>
      </c>
      <c r="AD46" s="82">
        <v>525</v>
      </c>
      <c r="AE46" s="82">
        <v>529.45000000000005</v>
      </c>
      <c r="AF46" s="82">
        <v>540.87699999999995</v>
      </c>
      <c r="AH46" s="96">
        <f t="shared" ref="AH46" si="198">Y46</f>
        <v>557.62199999999996</v>
      </c>
      <c r="AI46" s="96">
        <f t="shared" ref="AI46" si="199">Z46</f>
        <v>542.28099999999995</v>
      </c>
      <c r="AJ46" s="96">
        <f t="shared" ref="AJ46" si="200">AA46</f>
        <v>472.95600000000002</v>
      </c>
      <c r="AK46" s="96">
        <f t="shared" ref="AK46" si="201">AB46</f>
        <v>528.11500000000001</v>
      </c>
      <c r="AL46" s="96">
        <f t="shared" ref="AL46" si="202">AC46</f>
        <v>514.58500000000004</v>
      </c>
      <c r="AM46" s="96">
        <f t="shared" ref="AM46" si="203">AD46</f>
        <v>525</v>
      </c>
      <c r="AN46" s="96">
        <f t="shared" ref="AN46" si="204">AE46</f>
        <v>529.45000000000005</v>
      </c>
      <c r="AO46" s="96">
        <f t="shared" ref="AO46" si="205">AF46</f>
        <v>540.87699999999995</v>
      </c>
      <c r="AP46" s="124"/>
      <c r="AQ46" s="75">
        <f t="shared" ref="AQ46" si="206">SUM(AO46/AK46)-1</f>
        <v>2.416519129356276E-2</v>
      </c>
    </row>
    <row r="47" spans="1:43" s="122" customFormat="1" ht="12.75" customHeight="1">
      <c r="B47" s="114" t="s">
        <v>170</v>
      </c>
      <c r="C47" s="123">
        <v>60.228000000000002</v>
      </c>
      <c r="D47" s="123">
        <v>68.921999999999997</v>
      </c>
      <c r="E47" s="123">
        <v>76.847999999999999</v>
      </c>
      <c r="F47" s="123">
        <v>106.316</v>
      </c>
      <c r="G47" s="123">
        <v>125.193</v>
      </c>
      <c r="H47" s="123">
        <v>148.43299999999999</v>
      </c>
      <c r="J47" s="82">
        <v>45.521999999999998</v>
      </c>
      <c r="K47" s="82">
        <v>41.47</v>
      </c>
      <c r="L47" s="82">
        <v>55.57</v>
      </c>
      <c r="M47" s="82">
        <v>68.921999999999997</v>
      </c>
      <c r="N47" s="82">
        <v>53.753999999999998</v>
      </c>
      <c r="O47" s="82">
        <v>65.908000000000001</v>
      </c>
      <c r="P47" s="82">
        <v>64.099000000000004</v>
      </c>
      <c r="Q47" s="82">
        <v>76.847999999999999</v>
      </c>
      <c r="R47" s="82">
        <v>70.132999999999996</v>
      </c>
      <c r="S47" s="82">
        <v>75.606999999999999</v>
      </c>
      <c r="T47" s="82">
        <v>82.278000000000006</v>
      </c>
      <c r="U47" s="82">
        <v>106.316</v>
      </c>
      <c r="V47" s="82">
        <v>77.150999999999996</v>
      </c>
      <c r="W47" s="82">
        <v>84.272000000000006</v>
      </c>
      <c r="X47" s="82">
        <v>98.861000000000004</v>
      </c>
      <c r="Y47" s="32">
        <v>125.193</v>
      </c>
      <c r="Z47" s="82">
        <v>87.897999999999996</v>
      </c>
      <c r="AA47" s="82">
        <v>121.35899999999999</v>
      </c>
      <c r="AB47" s="82">
        <v>137.92099999999999</v>
      </c>
      <c r="AC47" s="32">
        <v>148.43299999999999</v>
      </c>
      <c r="AD47" s="82">
        <v>118.62</v>
      </c>
      <c r="AE47" s="82">
        <v>121.56</v>
      </c>
      <c r="AF47" s="82">
        <v>144.43</v>
      </c>
      <c r="AH47" s="96">
        <f>Y47</f>
        <v>125.193</v>
      </c>
      <c r="AI47" s="96">
        <f>Z47</f>
        <v>87.897999999999996</v>
      </c>
      <c r="AJ47" s="96">
        <f>AA47</f>
        <v>121.35899999999999</v>
      </c>
      <c r="AK47" s="96">
        <f>AB47</f>
        <v>137.92099999999999</v>
      </c>
      <c r="AL47" s="96">
        <f>AC47</f>
        <v>148.43299999999999</v>
      </c>
      <c r="AM47" s="96">
        <f>AD47</f>
        <v>118.62</v>
      </c>
      <c r="AN47" s="96">
        <f>AE47</f>
        <v>121.56</v>
      </c>
      <c r="AO47" s="96">
        <f>AF47</f>
        <v>144.43</v>
      </c>
      <c r="AP47" s="124"/>
      <c r="AQ47" s="75">
        <f t="shared" ref="AQ47" si="207">SUM(AO47/AK47)-1</f>
        <v>4.7193683340463144E-2</v>
      </c>
    </row>
    <row r="48" spans="1:43" s="122" customFormat="1" ht="12.75" customHeight="1">
      <c r="B48" s="114" t="s">
        <v>201</v>
      </c>
      <c r="C48" s="123">
        <v>14.108000000000001</v>
      </c>
      <c r="D48" s="123">
        <v>21.922999999999998</v>
      </c>
      <c r="E48" s="123">
        <v>31.152000000000001</v>
      </c>
      <c r="F48" s="123">
        <v>38.35</v>
      </c>
      <c r="G48" s="123">
        <v>39.023000000000003</v>
      </c>
      <c r="H48" s="123">
        <v>50.914000000000001</v>
      </c>
      <c r="J48" s="82">
        <v>12.554</v>
      </c>
      <c r="K48" s="82">
        <v>15.65</v>
      </c>
      <c r="L48" s="82">
        <v>17.919</v>
      </c>
      <c r="M48" s="82">
        <v>21.922999999999998</v>
      </c>
      <c r="N48" s="82">
        <v>22.923999999999999</v>
      </c>
      <c r="O48" s="82">
        <v>26.646000000000001</v>
      </c>
      <c r="P48" s="82">
        <v>28.021000000000001</v>
      </c>
      <c r="Q48" s="82">
        <v>31.152000000000001</v>
      </c>
      <c r="R48" s="82">
        <v>31.815999999999999</v>
      </c>
      <c r="S48" s="82">
        <v>29.992000000000001</v>
      </c>
      <c r="T48" s="82">
        <v>35.042999999999999</v>
      </c>
      <c r="U48" s="82">
        <v>38.35</v>
      </c>
      <c r="V48" s="82">
        <v>39.667999999999999</v>
      </c>
      <c r="W48" s="82">
        <v>38.470999999999997</v>
      </c>
      <c r="X48" s="82">
        <v>36.953000000000003</v>
      </c>
      <c r="Y48" s="32">
        <v>39.023000000000003</v>
      </c>
      <c r="Z48" s="82">
        <v>37.822000000000003</v>
      </c>
      <c r="AA48" s="82">
        <v>41.994</v>
      </c>
      <c r="AB48" s="82">
        <v>44.725999999999999</v>
      </c>
      <c r="AC48" s="32">
        <v>50.914000000000001</v>
      </c>
      <c r="AD48" s="82">
        <v>51.183999999999997</v>
      </c>
      <c r="AE48" s="82">
        <v>53.25</v>
      </c>
      <c r="AF48" s="82">
        <v>55.28</v>
      </c>
      <c r="AH48" s="96">
        <f>Y48</f>
        <v>39.023000000000003</v>
      </c>
      <c r="AI48" s="96">
        <f>Z48</f>
        <v>37.822000000000003</v>
      </c>
      <c r="AJ48" s="96">
        <f>AA48</f>
        <v>41.994</v>
      </c>
      <c r="AK48" s="96">
        <f>AB48</f>
        <v>44.725999999999999</v>
      </c>
      <c r="AL48" s="96">
        <f>AC48</f>
        <v>50.914000000000001</v>
      </c>
      <c r="AM48" s="96">
        <f>AD48</f>
        <v>51.183999999999997</v>
      </c>
      <c r="AN48" s="96">
        <f>AE48</f>
        <v>53.25</v>
      </c>
      <c r="AO48" s="96">
        <f>AF48</f>
        <v>55.28</v>
      </c>
      <c r="AP48" s="124"/>
      <c r="AQ48" s="75">
        <f t="shared" ref="AQ48" si="208">SUM(AO48/AK48)-1</f>
        <v>0.23597012923131966</v>
      </c>
    </row>
    <row r="49" spans="2:43" s="122" customFormat="1" ht="12.75" customHeight="1">
      <c r="B49" s="114" t="s">
        <v>202</v>
      </c>
      <c r="C49" s="123">
        <v>2.4319999999999999</v>
      </c>
      <c r="D49" s="123">
        <v>3.1549999999999998</v>
      </c>
      <c r="E49" s="123">
        <v>3.5379999999999998</v>
      </c>
      <c r="F49" s="123">
        <v>6.6740000000000004</v>
      </c>
      <c r="G49" s="123">
        <v>7.367</v>
      </c>
      <c r="H49" s="123">
        <v>10.276</v>
      </c>
      <c r="J49" s="82">
        <v>2.6829999999999998</v>
      </c>
      <c r="K49" s="82">
        <v>2.63</v>
      </c>
      <c r="L49" s="82">
        <v>2.4169999999999998</v>
      </c>
      <c r="M49" s="82">
        <v>3.1549999999999998</v>
      </c>
      <c r="N49" s="82">
        <v>3.3140000000000001</v>
      </c>
      <c r="O49" s="82">
        <v>2.75</v>
      </c>
      <c r="P49" s="82">
        <v>3.3540000000000001</v>
      </c>
      <c r="Q49" s="82">
        <v>3.5379999999999998</v>
      </c>
      <c r="R49" s="82">
        <v>3.359</v>
      </c>
      <c r="S49" s="82">
        <v>2.9489999999999998</v>
      </c>
      <c r="T49" s="82">
        <v>3.4489999999999998</v>
      </c>
      <c r="U49" s="82">
        <v>6.6740000000000004</v>
      </c>
      <c r="V49" s="82">
        <v>5.0860000000000003</v>
      </c>
      <c r="W49" s="82">
        <v>5.4720000000000004</v>
      </c>
      <c r="X49" s="82">
        <v>7.0170000000000003</v>
      </c>
      <c r="Y49" s="32">
        <v>7.367</v>
      </c>
      <c r="Z49" s="82">
        <v>7.1619999999999999</v>
      </c>
      <c r="AA49" s="82">
        <v>6.8769999999999998</v>
      </c>
      <c r="AB49" s="82">
        <v>8.6460000000000008</v>
      </c>
      <c r="AC49" s="32">
        <v>10.276</v>
      </c>
      <c r="AD49" s="82">
        <v>9.3000000000000007</v>
      </c>
      <c r="AE49" s="82">
        <v>9.4</v>
      </c>
      <c r="AF49" s="82">
        <v>10.14</v>
      </c>
      <c r="AH49" s="96">
        <f t="shared" ref="AH49:AO49" si="209">Y49</f>
        <v>7.367</v>
      </c>
      <c r="AI49" s="96">
        <f t="shared" si="209"/>
        <v>7.1619999999999999</v>
      </c>
      <c r="AJ49" s="96">
        <f t="shared" si="209"/>
        <v>6.8769999999999998</v>
      </c>
      <c r="AK49" s="96">
        <f t="shared" si="209"/>
        <v>8.6460000000000008</v>
      </c>
      <c r="AL49" s="96">
        <f t="shared" si="209"/>
        <v>10.276</v>
      </c>
      <c r="AM49" s="96">
        <f t="shared" si="209"/>
        <v>9.3000000000000007</v>
      </c>
      <c r="AN49" s="96">
        <f t="shared" si="209"/>
        <v>9.4</v>
      </c>
      <c r="AO49" s="96">
        <f t="shared" si="209"/>
        <v>10.14</v>
      </c>
      <c r="AP49" s="124"/>
      <c r="AQ49" s="75">
        <f t="shared" ref="AQ49" si="210">SUM(AO49/AK49)-1</f>
        <v>0.172796668979875</v>
      </c>
    </row>
    <row r="50" spans="2:43" s="122" customFormat="1" ht="12.75" customHeight="1">
      <c r="B50" s="114" t="s">
        <v>181</v>
      </c>
      <c r="C50" s="123">
        <v>6.508</v>
      </c>
      <c r="D50" s="123">
        <v>9.0470000000000006</v>
      </c>
      <c r="E50" s="123">
        <v>15.108000000000001</v>
      </c>
      <c r="F50" s="123">
        <v>17.957000000000001</v>
      </c>
      <c r="G50" s="123">
        <v>23.631</v>
      </c>
      <c r="H50" s="123">
        <v>22.199000000000002</v>
      </c>
      <c r="J50" s="82">
        <v>8.452</v>
      </c>
      <c r="K50" s="82">
        <v>9.3490000000000002</v>
      </c>
      <c r="L50" s="82">
        <v>9.5869999999999997</v>
      </c>
      <c r="M50" s="82">
        <v>9.0470000000000006</v>
      </c>
      <c r="N50" s="82">
        <v>12.757999999999999</v>
      </c>
      <c r="O50" s="82">
        <v>12.045</v>
      </c>
      <c r="P50" s="82">
        <v>13.092000000000001</v>
      </c>
      <c r="Q50" s="82">
        <v>15.108000000000001</v>
      </c>
      <c r="R50" s="82">
        <v>16.216999999999999</v>
      </c>
      <c r="S50" s="82">
        <v>17.776</v>
      </c>
      <c r="T50" s="82">
        <v>14.098000000000001</v>
      </c>
      <c r="U50" s="82">
        <v>17.957000000000001</v>
      </c>
      <c r="V50" s="82">
        <v>23.713000000000001</v>
      </c>
      <c r="W50" s="82">
        <v>25.419</v>
      </c>
      <c r="X50" s="82">
        <v>21.902000000000001</v>
      </c>
      <c r="Y50" s="32">
        <v>23.631</v>
      </c>
      <c r="Z50" s="82">
        <v>25.771000000000001</v>
      </c>
      <c r="AA50" s="82">
        <v>21.306999999999999</v>
      </c>
      <c r="AB50" s="82">
        <v>21.055</v>
      </c>
      <c r="AC50" s="32">
        <v>22.199000000000002</v>
      </c>
      <c r="AD50" s="82">
        <v>28.161000000000001</v>
      </c>
      <c r="AE50" s="82">
        <v>25.18</v>
      </c>
      <c r="AF50" s="82">
        <v>25.62</v>
      </c>
      <c r="AH50" s="96">
        <f>Y50</f>
        <v>23.631</v>
      </c>
      <c r="AI50" s="96">
        <f>Z50</f>
        <v>25.771000000000001</v>
      </c>
      <c r="AJ50" s="96">
        <f>AA50</f>
        <v>21.306999999999999</v>
      </c>
      <c r="AK50" s="96">
        <f>AB50</f>
        <v>21.055</v>
      </c>
      <c r="AL50" s="96">
        <f>AC50</f>
        <v>22.199000000000002</v>
      </c>
      <c r="AM50" s="96">
        <f>AD50</f>
        <v>28.161000000000001</v>
      </c>
      <c r="AN50" s="96">
        <f>AE50</f>
        <v>25.18</v>
      </c>
      <c r="AO50" s="96">
        <f>AF50</f>
        <v>25.62</v>
      </c>
      <c r="AP50" s="124"/>
      <c r="AQ50" s="75">
        <f t="shared" ref="AQ50" si="211">SUM(AO50/AK50)-1</f>
        <v>0.2168131085252909</v>
      </c>
    </row>
    <row r="51" spans="2:43" ht="12.75" customHeight="1">
      <c r="B51" s="25" t="s">
        <v>18</v>
      </c>
      <c r="C51" s="26">
        <f t="shared" ref="C51:E51" si="212">SUM(C45:C50)</f>
        <v>571.23199999999997</v>
      </c>
      <c r="D51" s="26">
        <f t="shared" si="212"/>
        <v>633.08500000000004</v>
      </c>
      <c r="E51" s="26">
        <f t="shared" si="212"/>
        <v>657.09199999999998</v>
      </c>
      <c r="F51" s="26">
        <f>SUM(F45:F50)</f>
        <v>600.08900000000006</v>
      </c>
      <c r="G51" s="26">
        <f>SUM(G45:G50)</f>
        <v>1008.9359999999999</v>
      </c>
      <c r="H51" s="26">
        <f>SUM(H45:H50)</f>
        <v>1048.2420000000002</v>
      </c>
      <c r="I51" s="48"/>
      <c r="J51" s="26">
        <f t="shared" ref="J51" si="213">SUM(J45:J50)</f>
        <v>565.23400000000004</v>
      </c>
      <c r="K51" s="26">
        <f t="shared" ref="K51" si="214">SUM(K45:K50)</f>
        <v>577.67100000000005</v>
      </c>
      <c r="L51" s="26">
        <f t="shared" ref="L51" si="215">SUM(L45:L50)</f>
        <v>645.37500000000011</v>
      </c>
      <c r="M51" s="26">
        <f t="shared" ref="M51:N51" si="216">SUM(M45:M50)</f>
        <v>633.08500000000004</v>
      </c>
      <c r="N51" s="26">
        <f t="shared" si="216"/>
        <v>633.36900000000003</v>
      </c>
      <c r="O51" s="26">
        <f t="shared" ref="O51" si="217">SUM(O45:O50)</f>
        <v>658.96199999999999</v>
      </c>
      <c r="P51" s="26">
        <f t="shared" ref="P51" si="218">SUM(P45:P50)</f>
        <v>630.91499999999996</v>
      </c>
      <c r="Q51" s="26">
        <f t="shared" ref="Q51" si="219">SUM(Q45:Q50)</f>
        <v>657.09199999999998</v>
      </c>
      <c r="R51" s="26">
        <f t="shared" ref="R51" si="220">SUM(R45:R50)</f>
        <v>645.05800000000011</v>
      </c>
      <c r="S51" s="26">
        <f t="shared" ref="S51" si="221">SUM(S45:S50)</f>
        <v>555.28899999999987</v>
      </c>
      <c r="T51" s="26">
        <f t="shared" ref="T51" si="222">SUM(T45:T50)</f>
        <v>567.87599999999998</v>
      </c>
      <c r="U51" s="26">
        <f t="shared" ref="U51" si="223">SUM(U45:U50)</f>
        <v>600.08900000000006</v>
      </c>
      <c r="V51" s="26">
        <f>SUM(V45:V50)</f>
        <v>585.44099999999992</v>
      </c>
      <c r="W51" s="26">
        <f>SUM(W45:W50)</f>
        <v>619.88499999999999</v>
      </c>
      <c r="X51" s="26">
        <f>SUM(X45:X50)</f>
        <v>947.15100000000007</v>
      </c>
      <c r="Y51" s="26">
        <f>SUM(Y45:Y50)</f>
        <v>1008.9359999999999</v>
      </c>
      <c r="Z51" s="26">
        <f>SUM(Z45:Z50)</f>
        <v>997</v>
      </c>
      <c r="AA51" s="26">
        <f>SUM(AA45:AA50)</f>
        <v>932.3900000000001</v>
      </c>
      <c r="AB51" s="26">
        <f>SUM(AB45:AB50)</f>
        <v>988.702</v>
      </c>
      <c r="AC51" s="26">
        <f>SUM(AC45:AC50)</f>
        <v>1048.2420000000002</v>
      </c>
      <c r="AD51" s="26">
        <f>SUM(AD45:AD50)</f>
        <v>974.28899999999999</v>
      </c>
      <c r="AE51" s="26">
        <f>SUM(AE45:AE50)</f>
        <v>1023.0899999999999</v>
      </c>
      <c r="AF51" s="26">
        <f>SUM(AF45:AF50)</f>
        <v>1092.261</v>
      </c>
      <c r="AG51" s="48"/>
      <c r="AH51" s="26">
        <f>SUM(AH45:AH50)</f>
        <v>1008.9359999999999</v>
      </c>
      <c r="AI51" s="26">
        <f>SUM(AI45:AI50)</f>
        <v>997</v>
      </c>
      <c r="AJ51" s="26">
        <f>SUM(AJ45:AJ50)</f>
        <v>932.3900000000001</v>
      </c>
      <c r="AK51" s="26">
        <f>SUM(AK45:AK50)</f>
        <v>988.702</v>
      </c>
      <c r="AL51" s="26">
        <f>SUM(AL45:AL50)</f>
        <v>1048.2420000000002</v>
      </c>
      <c r="AM51" s="26">
        <f>SUM(AM45:AM50)</f>
        <v>974.28899999999999</v>
      </c>
      <c r="AN51" s="26">
        <f>SUM(AN45:AN50)</f>
        <v>1023.0899999999999</v>
      </c>
      <c r="AO51" s="26">
        <f>SUM(AO45:AO50)</f>
        <v>1092.261</v>
      </c>
      <c r="AP51" s="42"/>
      <c r="AQ51" s="76">
        <f>SUM(AO51/AK51)-1</f>
        <v>0.10474237940248932</v>
      </c>
    </row>
    <row r="52" spans="2:43" ht="5.0999999999999996" customHeight="1">
      <c r="B52" s="25"/>
      <c r="C52" s="49"/>
      <c r="D52" s="49"/>
      <c r="E52" s="49"/>
      <c r="F52" s="49"/>
      <c r="G52" s="41"/>
      <c r="H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H52" s="42"/>
      <c r="AI52" s="42"/>
      <c r="AJ52" s="42"/>
      <c r="AK52" s="42"/>
      <c r="AL52" s="42"/>
      <c r="AM52" s="42"/>
      <c r="AN52" s="42"/>
      <c r="AO52" s="42"/>
      <c r="AP52" s="42"/>
      <c r="AQ52" s="39"/>
    </row>
    <row r="53" spans="2:43" ht="12.75" customHeight="1">
      <c r="B53" s="78" t="s">
        <v>79</v>
      </c>
      <c r="C53" s="82"/>
      <c r="D53" s="82"/>
      <c r="E53" s="82"/>
      <c r="F53" s="82"/>
      <c r="G53" s="82"/>
      <c r="H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32"/>
      <c r="AE53" s="82"/>
      <c r="AF53" s="82"/>
      <c r="AH53" s="32"/>
      <c r="AI53" s="32"/>
      <c r="AJ53" s="32"/>
      <c r="AK53" s="32"/>
      <c r="AL53" s="32"/>
      <c r="AM53" s="32"/>
      <c r="AN53" s="32"/>
      <c r="AO53" s="32"/>
      <c r="AP53" s="11"/>
      <c r="AQ53" s="75"/>
    </row>
    <row r="54" spans="2:43" ht="12.75" customHeight="1">
      <c r="B54" s="9" t="s">
        <v>151</v>
      </c>
      <c r="C54" s="82">
        <v>32.299999999999997</v>
      </c>
      <c r="D54" s="82">
        <v>29.364999999999998</v>
      </c>
      <c r="E54" s="82">
        <v>28.821000000000002</v>
      </c>
      <c r="F54" s="82">
        <v>27.096</v>
      </c>
      <c r="G54" s="82">
        <v>24.282</v>
      </c>
      <c r="H54" s="82">
        <v>21.824999999999999</v>
      </c>
      <c r="J54" s="82">
        <v>39.231000000000002</v>
      </c>
      <c r="K54" s="82">
        <v>38.912999999999997</v>
      </c>
      <c r="L54" s="82">
        <v>38.231000000000002</v>
      </c>
      <c r="M54" s="82">
        <v>29.364999999999998</v>
      </c>
      <c r="N54" s="82">
        <v>28.960999999999999</v>
      </c>
      <c r="O54" s="82">
        <v>28.922000000000001</v>
      </c>
      <c r="P54" s="82">
        <v>28.49</v>
      </c>
      <c r="Q54" s="82">
        <v>28.821000000000002</v>
      </c>
      <c r="R54" s="82">
        <v>28.091000000000001</v>
      </c>
      <c r="S54" s="82">
        <v>27.331</v>
      </c>
      <c r="T54" s="82">
        <v>27.132999999999999</v>
      </c>
      <c r="U54" s="82">
        <v>27.096</v>
      </c>
      <c r="V54" s="82">
        <v>26.048999999999999</v>
      </c>
      <c r="W54" s="82">
        <v>25.38</v>
      </c>
      <c r="X54" s="82">
        <v>25.102</v>
      </c>
      <c r="Y54" s="32">
        <v>24.282</v>
      </c>
      <c r="Z54" s="82">
        <v>23.295000000000002</v>
      </c>
      <c r="AA54" s="82">
        <v>22.268000000000001</v>
      </c>
      <c r="AB54" s="82">
        <v>21.757000000000001</v>
      </c>
      <c r="AC54" s="32">
        <v>21.824999999999999</v>
      </c>
      <c r="AD54" s="82">
        <v>21.484999999999999</v>
      </c>
      <c r="AE54" s="82">
        <v>21.18</v>
      </c>
      <c r="AF54" s="82">
        <v>20.338000000000001</v>
      </c>
      <c r="AH54" s="32">
        <f>Y54</f>
        <v>24.282</v>
      </c>
      <c r="AI54" s="32">
        <f>Z54</f>
        <v>23.295000000000002</v>
      </c>
      <c r="AJ54" s="32">
        <f>AA54</f>
        <v>22.268000000000001</v>
      </c>
      <c r="AK54" s="32">
        <f>AB54</f>
        <v>21.757000000000001</v>
      </c>
      <c r="AL54" s="32">
        <f>AC54</f>
        <v>21.824999999999999</v>
      </c>
      <c r="AM54" s="32">
        <f>AD54</f>
        <v>21.484999999999999</v>
      </c>
      <c r="AN54" s="32">
        <f>AE54</f>
        <v>21.18</v>
      </c>
      <c r="AO54" s="32">
        <f>AF54</f>
        <v>20.338000000000001</v>
      </c>
      <c r="AP54" s="11"/>
      <c r="AQ54" s="75">
        <f t="shared" ref="AQ54:AQ60" si="224">SUM(AO54/AK54)-1</f>
        <v>-6.5220388840373178E-2</v>
      </c>
    </row>
    <row r="55" spans="2:43" ht="12.75" customHeight="1">
      <c r="B55" s="9" t="s">
        <v>171</v>
      </c>
      <c r="C55" s="82">
        <v>15.352</v>
      </c>
      <c r="D55" s="82">
        <v>15.843999999999999</v>
      </c>
      <c r="E55" s="82">
        <v>17.760000000000002</v>
      </c>
      <c r="F55" s="82">
        <v>13.932</v>
      </c>
      <c r="G55" s="82">
        <v>12.641999999999999</v>
      </c>
      <c r="H55" s="82">
        <v>11.786</v>
      </c>
      <c r="J55" s="82">
        <v>18.358000000000001</v>
      </c>
      <c r="K55" s="82">
        <v>17.533999999999999</v>
      </c>
      <c r="L55" s="82">
        <v>16.631</v>
      </c>
      <c r="M55" s="82">
        <v>15.843999999999999</v>
      </c>
      <c r="N55" s="82">
        <v>16.501000000000001</v>
      </c>
      <c r="O55" s="82">
        <v>15.558</v>
      </c>
      <c r="P55" s="82">
        <v>14.536</v>
      </c>
      <c r="Q55" s="82">
        <v>17.760000000000002</v>
      </c>
      <c r="R55" s="82">
        <v>16.46</v>
      </c>
      <c r="S55" s="82">
        <v>15.048999999999999</v>
      </c>
      <c r="T55" s="82">
        <v>14.414</v>
      </c>
      <c r="U55" s="82">
        <v>13.932</v>
      </c>
      <c r="V55" s="82">
        <v>12.714</v>
      </c>
      <c r="W55" s="82">
        <v>11.493</v>
      </c>
      <c r="X55" s="82">
        <v>10.228</v>
      </c>
      <c r="Y55" s="32">
        <v>12.641999999999999</v>
      </c>
      <c r="Z55" s="82">
        <v>11.254</v>
      </c>
      <c r="AA55" s="82">
        <v>10.535</v>
      </c>
      <c r="AB55" s="82">
        <v>9.4849999999999994</v>
      </c>
      <c r="AC55" s="32">
        <v>11.786</v>
      </c>
      <c r="AD55" s="82">
        <v>12.340999999999999</v>
      </c>
      <c r="AE55" s="82">
        <v>11.66</v>
      </c>
      <c r="AF55" s="82">
        <v>10.32</v>
      </c>
      <c r="AH55" s="32">
        <f>Y55</f>
        <v>12.641999999999999</v>
      </c>
      <c r="AI55" s="32">
        <f>Z55</f>
        <v>11.254</v>
      </c>
      <c r="AJ55" s="32">
        <f>AA55</f>
        <v>10.535</v>
      </c>
      <c r="AK55" s="32">
        <f>AB55</f>
        <v>9.4849999999999994</v>
      </c>
      <c r="AL55" s="32">
        <f>AC55</f>
        <v>11.786</v>
      </c>
      <c r="AM55" s="32">
        <f>AD55</f>
        <v>12.340999999999999</v>
      </c>
      <c r="AN55" s="32">
        <f>AE55</f>
        <v>11.66</v>
      </c>
      <c r="AO55" s="32">
        <f>AF55</f>
        <v>10.32</v>
      </c>
      <c r="AP55" s="11"/>
      <c r="AQ55" s="75">
        <f t="shared" si="224"/>
        <v>8.8033737480232022E-2</v>
      </c>
    </row>
    <row r="56" spans="2:43" ht="12.75" customHeight="1">
      <c r="B56" s="9" t="s">
        <v>201</v>
      </c>
      <c r="C56" s="82">
        <v>14.977</v>
      </c>
      <c r="D56" s="82">
        <v>23.420999999999999</v>
      </c>
      <c r="E56" s="82">
        <v>33.091000000000001</v>
      </c>
      <c r="F56" s="82">
        <v>33.682000000000002</v>
      </c>
      <c r="G56" s="82">
        <v>33.345999999999997</v>
      </c>
      <c r="H56" s="82">
        <v>54.857999999999997</v>
      </c>
      <c r="J56" s="82">
        <v>15.750999999999999</v>
      </c>
      <c r="K56" s="82">
        <v>14.867000000000001</v>
      </c>
      <c r="L56" s="82">
        <v>17.571999999999999</v>
      </c>
      <c r="M56" s="82">
        <v>23.420999999999999</v>
      </c>
      <c r="N56" s="82">
        <v>23.422000000000001</v>
      </c>
      <c r="O56" s="82">
        <v>28.797000000000001</v>
      </c>
      <c r="P56" s="82">
        <v>29.234000000000002</v>
      </c>
      <c r="Q56" s="82">
        <v>33.091000000000001</v>
      </c>
      <c r="R56" s="82">
        <v>30.879000000000001</v>
      </c>
      <c r="S56" s="82">
        <v>34.826000000000001</v>
      </c>
      <c r="T56" s="82">
        <v>30.257999999999999</v>
      </c>
      <c r="U56" s="82">
        <v>33.682000000000002</v>
      </c>
      <c r="V56" s="82">
        <v>30.818999999999999</v>
      </c>
      <c r="W56" s="82">
        <v>30.81</v>
      </c>
      <c r="X56" s="82">
        <v>28.815999999999999</v>
      </c>
      <c r="Y56" s="32">
        <v>33.345999999999997</v>
      </c>
      <c r="Z56" s="82">
        <v>32.847999999999999</v>
      </c>
      <c r="AA56" s="82">
        <v>40.168999999999997</v>
      </c>
      <c r="AB56" s="82">
        <v>43.557000000000002</v>
      </c>
      <c r="AC56" s="32">
        <v>54.857999999999997</v>
      </c>
      <c r="AD56" s="82">
        <v>51.456000000000003</v>
      </c>
      <c r="AE56" s="82">
        <v>51.475999999999999</v>
      </c>
      <c r="AF56" s="82">
        <v>51.816000000000003</v>
      </c>
      <c r="AH56" s="32">
        <f t="shared" ref="AH56:AH57" si="225">Y56</f>
        <v>33.345999999999997</v>
      </c>
      <c r="AI56" s="32">
        <f t="shared" ref="AI56:AI57" si="226">Z56</f>
        <v>32.847999999999999</v>
      </c>
      <c r="AJ56" s="32">
        <f t="shared" ref="AJ56:AJ57" si="227">AA56</f>
        <v>40.168999999999997</v>
      </c>
      <c r="AK56" s="32">
        <f t="shared" ref="AK56:AK57" si="228">AB56</f>
        <v>43.557000000000002</v>
      </c>
      <c r="AL56" s="32">
        <f t="shared" ref="AL56:AL57" si="229">AC56</f>
        <v>54.857999999999997</v>
      </c>
      <c r="AM56" s="32">
        <f t="shared" ref="AM56:AM57" si="230">AD56</f>
        <v>51.456000000000003</v>
      </c>
      <c r="AN56" s="32">
        <f t="shared" ref="AN56:AN57" si="231">AE56</f>
        <v>51.475999999999999</v>
      </c>
      <c r="AO56" s="32">
        <f t="shared" ref="AO56:AO57" si="232">AF56</f>
        <v>51.816000000000003</v>
      </c>
      <c r="AP56" s="11"/>
      <c r="AQ56" s="75">
        <f t="shared" ref="AQ56" si="233">SUM(AO56/AK56)-1</f>
        <v>0.18961360975273789</v>
      </c>
    </row>
    <row r="57" spans="2:43" ht="12.75" customHeight="1">
      <c r="B57" s="9" t="s">
        <v>107</v>
      </c>
      <c r="C57" s="82">
        <v>0</v>
      </c>
      <c r="D57" s="82">
        <v>0</v>
      </c>
      <c r="E57" s="82">
        <v>34.555999999999997</v>
      </c>
      <c r="F57" s="82">
        <v>109.74</v>
      </c>
      <c r="G57" s="82">
        <v>112.09699999999999</v>
      </c>
      <c r="H57" s="82">
        <v>196.84399999999999</v>
      </c>
      <c r="J57" s="82">
        <v>0</v>
      </c>
      <c r="K57" s="82">
        <v>0</v>
      </c>
      <c r="L57" s="82">
        <v>0</v>
      </c>
      <c r="M57" s="82">
        <v>0</v>
      </c>
      <c r="N57" s="82">
        <v>0</v>
      </c>
      <c r="O57" s="82">
        <v>0</v>
      </c>
      <c r="P57" s="82">
        <v>34.279000000000003</v>
      </c>
      <c r="Q57" s="82">
        <v>34.555999999999997</v>
      </c>
      <c r="R57" s="82">
        <v>34.555999999999997</v>
      </c>
      <c r="S57" s="82">
        <v>109.04</v>
      </c>
      <c r="T57" s="82">
        <v>103.09099999999999</v>
      </c>
      <c r="U57" s="82">
        <v>109.74</v>
      </c>
      <c r="V57" s="82">
        <v>110.997</v>
      </c>
      <c r="W57" s="82">
        <v>111.154</v>
      </c>
      <c r="X57" s="82">
        <v>108.851</v>
      </c>
      <c r="Y57" s="32">
        <v>112.09699999999999</v>
      </c>
      <c r="Z57" s="82">
        <v>110.31699999999999</v>
      </c>
      <c r="AA57" s="82">
        <v>199.202</v>
      </c>
      <c r="AB57" s="82">
        <v>202.13300000000001</v>
      </c>
      <c r="AC57" s="32">
        <v>196.84399999999999</v>
      </c>
      <c r="AD57" s="82">
        <v>199.72399999999999</v>
      </c>
      <c r="AE57" s="82">
        <v>206</v>
      </c>
      <c r="AF57" s="82">
        <v>205.95500000000001</v>
      </c>
      <c r="AH57" s="32">
        <f t="shared" ref="AH57" si="234">Y57</f>
        <v>112.09699999999999</v>
      </c>
      <c r="AI57" s="32">
        <f t="shared" ref="AI57" si="235">Z57</f>
        <v>110.31699999999999</v>
      </c>
      <c r="AJ57" s="32">
        <f t="shared" ref="AJ57" si="236">AA57</f>
        <v>199.202</v>
      </c>
      <c r="AK57" s="32">
        <f t="shared" ref="AK57" si="237">AB57</f>
        <v>202.13300000000001</v>
      </c>
      <c r="AL57" s="32">
        <f t="shared" ref="AL57" si="238">AC57</f>
        <v>196.84399999999999</v>
      </c>
      <c r="AM57" s="32">
        <f t="shared" ref="AM57" si="239">AD57</f>
        <v>199.72399999999999</v>
      </c>
      <c r="AN57" s="32">
        <f t="shared" ref="AN57" si="240">AE57</f>
        <v>206</v>
      </c>
      <c r="AO57" s="32">
        <f t="shared" ref="AO57" si="241">AF57</f>
        <v>205.95500000000001</v>
      </c>
      <c r="AP57" s="11"/>
      <c r="AQ57" s="75">
        <f t="shared" si="224"/>
        <v>1.8908342526950062E-2</v>
      </c>
    </row>
    <row r="58" spans="2:43" ht="12.75" customHeight="1">
      <c r="B58" s="9" t="s">
        <v>182</v>
      </c>
      <c r="C58" s="82">
        <v>1.651</v>
      </c>
      <c r="D58" s="82">
        <v>1.583</v>
      </c>
      <c r="E58" s="82">
        <v>10.433999999999999</v>
      </c>
      <c r="F58" s="82">
        <v>28.234000000000002</v>
      </c>
      <c r="G58" s="82">
        <v>22.891999999999999</v>
      </c>
      <c r="H58" s="82">
        <v>27.388999999999999</v>
      </c>
      <c r="J58" s="82">
        <v>1.639</v>
      </c>
      <c r="K58" s="82">
        <v>1.6220000000000001</v>
      </c>
      <c r="L58" s="82">
        <v>1.633</v>
      </c>
      <c r="M58" s="82">
        <v>1.583</v>
      </c>
      <c r="N58" s="82">
        <v>1.56</v>
      </c>
      <c r="O58" s="82">
        <v>1.516</v>
      </c>
      <c r="P58" s="82">
        <v>8.1929999999999996</v>
      </c>
      <c r="Q58" s="82">
        <v>10.433999999999999</v>
      </c>
      <c r="R58" s="82">
        <v>9.6769999999999996</v>
      </c>
      <c r="S58" s="82">
        <v>30.161999999999999</v>
      </c>
      <c r="T58" s="82">
        <v>27.827999999999999</v>
      </c>
      <c r="U58" s="82">
        <v>28.234000000000002</v>
      </c>
      <c r="V58" s="82">
        <v>27.11</v>
      </c>
      <c r="W58" s="82">
        <v>25.643000000000001</v>
      </c>
      <c r="X58" s="82">
        <v>23.585000000000001</v>
      </c>
      <c r="Y58" s="32">
        <v>22.891999999999999</v>
      </c>
      <c r="Z58" s="82">
        <v>21.154</v>
      </c>
      <c r="AA58" s="82">
        <v>31.533000000000001</v>
      </c>
      <c r="AB58" s="82">
        <v>30.277999999999999</v>
      </c>
      <c r="AC58" s="32">
        <v>27.388999999999999</v>
      </c>
      <c r="AD58" s="82">
        <v>26.030999999999999</v>
      </c>
      <c r="AE58" s="82">
        <v>25.215</v>
      </c>
      <c r="AF58" s="82">
        <v>23.533000000000001</v>
      </c>
      <c r="AH58" s="32">
        <f t="shared" ref="AH58" si="242">Y58</f>
        <v>22.891999999999999</v>
      </c>
      <c r="AI58" s="32">
        <f t="shared" ref="AI58" si="243">Z58</f>
        <v>21.154</v>
      </c>
      <c r="AJ58" s="32">
        <f t="shared" ref="AJ58" si="244">AA58</f>
        <v>31.533000000000001</v>
      </c>
      <c r="AK58" s="32">
        <f t="shared" ref="AK58" si="245">AB58</f>
        <v>30.277999999999999</v>
      </c>
      <c r="AL58" s="32">
        <f t="shared" ref="AL58" si="246">AC58</f>
        <v>27.388999999999999</v>
      </c>
      <c r="AM58" s="32">
        <f t="shared" ref="AM58" si="247">AD58</f>
        <v>26.030999999999999</v>
      </c>
      <c r="AN58" s="32">
        <f t="shared" ref="AN58" si="248">AE58</f>
        <v>25.215</v>
      </c>
      <c r="AO58" s="32">
        <f t="shared" ref="AO58" si="249">AF58</f>
        <v>23.533000000000001</v>
      </c>
      <c r="AP58" s="11"/>
      <c r="AQ58" s="75">
        <f t="shared" ref="AQ58" si="250">SUM(AO58/AK58)-1</f>
        <v>-0.22276900719994708</v>
      </c>
    </row>
    <row r="59" spans="2:43" ht="12.75" customHeight="1">
      <c r="B59" s="9" t="s">
        <v>162</v>
      </c>
      <c r="C59" s="82">
        <v>3.4390000000000001</v>
      </c>
      <c r="D59" s="82">
        <v>3.7080000000000002</v>
      </c>
      <c r="E59" s="82">
        <v>5.0049999999999999</v>
      </c>
      <c r="F59" s="82">
        <v>6.8470000000000004</v>
      </c>
      <c r="G59" s="82">
        <v>4.665</v>
      </c>
      <c r="H59" s="82">
        <v>7.5250000000000004</v>
      </c>
      <c r="J59" s="82">
        <v>3.5030000000000001</v>
      </c>
      <c r="K59" s="82">
        <v>4.12</v>
      </c>
      <c r="L59" s="82">
        <v>4.0590000000000002</v>
      </c>
      <c r="M59" s="82">
        <v>3.7080000000000002</v>
      </c>
      <c r="N59" s="82">
        <v>4.6100000000000003</v>
      </c>
      <c r="O59" s="82">
        <v>5.1269999999999998</v>
      </c>
      <c r="P59" s="82">
        <v>4.5679999999999996</v>
      </c>
      <c r="Q59" s="82">
        <v>5.0049999999999999</v>
      </c>
      <c r="R59" s="82">
        <v>5.1619999999999999</v>
      </c>
      <c r="S59" s="82">
        <v>5.0609999999999999</v>
      </c>
      <c r="T59" s="82">
        <v>6.0369999999999999</v>
      </c>
      <c r="U59" s="82">
        <v>6.8470000000000004</v>
      </c>
      <c r="V59" s="82">
        <v>6.9429999999999996</v>
      </c>
      <c r="W59" s="82">
        <v>6.43</v>
      </c>
      <c r="X59" s="82">
        <v>5.3949999999999996</v>
      </c>
      <c r="Y59" s="32">
        <v>4.665</v>
      </c>
      <c r="Z59" s="82">
        <v>6.0359999999999996</v>
      </c>
      <c r="AA59" s="82">
        <v>6.5919999999999996</v>
      </c>
      <c r="AB59" s="82">
        <v>6.1740000000000004</v>
      </c>
      <c r="AC59" s="32">
        <v>7.5250000000000004</v>
      </c>
      <c r="AD59" s="82">
        <v>8.3000000000000007</v>
      </c>
      <c r="AE59" s="82">
        <v>7.0469999999999997</v>
      </c>
      <c r="AF59" s="82">
        <v>7.0780000000000003</v>
      </c>
      <c r="AH59" s="32">
        <f t="shared" ref="AH59" si="251">Y59</f>
        <v>4.665</v>
      </c>
      <c r="AI59" s="32">
        <f t="shared" ref="AI59" si="252">Z59</f>
        <v>6.0359999999999996</v>
      </c>
      <c r="AJ59" s="32">
        <f t="shared" ref="AJ59" si="253">AA59</f>
        <v>6.5919999999999996</v>
      </c>
      <c r="AK59" s="32">
        <f t="shared" ref="AK59" si="254">AB59</f>
        <v>6.1740000000000004</v>
      </c>
      <c r="AL59" s="32">
        <f t="shared" ref="AL59" si="255">AC59</f>
        <v>7.5250000000000004</v>
      </c>
      <c r="AM59" s="32">
        <f t="shared" ref="AM59" si="256">AD59</f>
        <v>8.3000000000000007</v>
      </c>
      <c r="AN59" s="32">
        <f t="shared" ref="AN59" si="257">AE59</f>
        <v>7.0469999999999997</v>
      </c>
      <c r="AO59" s="32">
        <f t="shared" ref="AO59" si="258">AF59</f>
        <v>7.0780000000000003</v>
      </c>
      <c r="AP59" s="11"/>
      <c r="AQ59" s="75">
        <f t="shared" si="224"/>
        <v>0.14642047295108518</v>
      </c>
    </row>
    <row r="60" spans="2:43" ht="12.75" customHeight="1">
      <c r="B60" s="13" t="s">
        <v>19</v>
      </c>
      <c r="C60" s="14">
        <f t="shared" ref="C60:E60" si="259">SUM(C54:C59)+C51</f>
        <v>638.95100000000002</v>
      </c>
      <c r="D60" s="14">
        <f t="shared" si="259"/>
        <v>707.00600000000009</v>
      </c>
      <c r="E60" s="14">
        <f t="shared" si="259"/>
        <v>786.75900000000001</v>
      </c>
      <c r="F60" s="14">
        <f>SUM(F54:F59)+F51</f>
        <v>819.62000000000012</v>
      </c>
      <c r="G60" s="14">
        <f>SUM(G54:G59)+G51</f>
        <v>1218.8599999999999</v>
      </c>
      <c r="H60" s="14">
        <f>SUM(H54:H59)+H51</f>
        <v>1368.4690000000001</v>
      </c>
      <c r="J60" s="14">
        <f t="shared" ref="J60" si="260">SUM(J54:J59)+J51</f>
        <v>643.71600000000001</v>
      </c>
      <c r="K60" s="14">
        <f t="shared" ref="K60" si="261">SUM(K54:K59)+K51</f>
        <v>654.72700000000009</v>
      </c>
      <c r="L60" s="14">
        <f t="shared" ref="L60" si="262">SUM(L54:L59)+L51</f>
        <v>723.50100000000009</v>
      </c>
      <c r="M60" s="14">
        <f t="shared" ref="M60:N60" si="263">SUM(M54:M59)+M51</f>
        <v>707.00600000000009</v>
      </c>
      <c r="N60" s="14">
        <f t="shared" si="263"/>
        <v>708.423</v>
      </c>
      <c r="O60" s="14">
        <f t="shared" ref="O60" si="264">SUM(O54:O59)+O51</f>
        <v>738.88199999999995</v>
      </c>
      <c r="P60" s="14">
        <f t="shared" ref="P60" si="265">SUM(P54:P59)+P51</f>
        <v>750.21499999999992</v>
      </c>
      <c r="Q60" s="14">
        <f t="shared" ref="Q60" si="266">SUM(Q54:Q59)+Q51</f>
        <v>786.75900000000001</v>
      </c>
      <c r="R60" s="14">
        <f t="shared" ref="R60" si="267">SUM(R54:R59)+R51</f>
        <v>769.88300000000015</v>
      </c>
      <c r="S60" s="14">
        <f t="shared" ref="S60" si="268">SUM(S54:S59)+S51</f>
        <v>776.75799999999981</v>
      </c>
      <c r="T60" s="14">
        <f t="shared" ref="T60" si="269">SUM(T54:T59)+T51</f>
        <v>776.63699999999994</v>
      </c>
      <c r="U60" s="14">
        <f t="shared" ref="U60" si="270">SUM(U54:U59)+U51</f>
        <v>819.62000000000012</v>
      </c>
      <c r="V60" s="14">
        <f>SUM(V54:V59)+V51</f>
        <v>800.07299999999998</v>
      </c>
      <c r="W60" s="14">
        <f>SUM(W54:W59)+W51</f>
        <v>830.79499999999996</v>
      </c>
      <c r="X60" s="14">
        <f>SUM(X54:X59)+X51</f>
        <v>1149.1280000000002</v>
      </c>
      <c r="Y60" s="14">
        <f>SUM(Y54:Y59)+Y51</f>
        <v>1218.8599999999999</v>
      </c>
      <c r="Z60" s="14">
        <f>SUM(Z54:Z59)+Z51</f>
        <v>1201.904</v>
      </c>
      <c r="AA60" s="14">
        <f>SUM(AA54:AA59)+AA51</f>
        <v>1242.6890000000001</v>
      </c>
      <c r="AB60" s="14">
        <f>SUM(AB54:AB59)+AB51</f>
        <v>1302.086</v>
      </c>
      <c r="AC60" s="14">
        <f>SUM(AC54:AC59)+AC51</f>
        <v>1368.4690000000001</v>
      </c>
      <c r="AD60" s="14">
        <f>SUM(AD54:AD59)+AD51</f>
        <v>1293.626</v>
      </c>
      <c r="AE60" s="14">
        <f>SUM(AE54:AE59)+AE51</f>
        <v>1345.6679999999999</v>
      </c>
      <c r="AF60" s="14">
        <f>SUM(AF54:AF59)+AF51</f>
        <v>1411.3009999999999</v>
      </c>
      <c r="AH60" s="14">
        <f>SUM(AH54:AH59)+AH51</f>
        <v>1218.8599999999999</v>
      </c>
      <c r="AI60" s="14">
        <f>SUM(AI54:AI59)+AI51</f>
        <v>1201.904</v>
      </c>
      <c r="AJ60" s="14">
        <f>SUM(AJ54:AJ59)+AJ51</f>
        <v>1242.6890000000001</v>
      </c>
      <c r="AK60" s="14">
        <f>SUM(AK54:AK59)+AK51</f>
        <v>1302.086</v>
      </c>
      <c r="AL60" s="14">
        <f>SUM(AL54:AL59)+AL51</f>
        <v>1368.4690000000001</v>
      </c>
      <c r="AM60" s="14">
        <f>SUM(AM54:AM59)+AM51</f>
        <v>1293.626</v>
      </c>
      <c r="AN60" s="14">
        <f>SUM(AN54:AN59)+AN51</f>
        <v>1345.6679999999999</v>
      </c>
      <c r="AO60" s="34">
        <f>SUM(AO54:AO59)+AO51</f>
        <v>1411.3009999999999</v>
      </c>
      <c r="AP60" s="42"/>
      <c r="AQ60" s="76">
        <f t="shared" si="224"/>
        <v>8.3876948220009906E-2</v>
      </c>
    </row>
    <row r="61" spans="2:43" ht="12.75" customHeight="1">
      <c r="B61" s="25"/>
      <c r="C61" s="50"/>
      <c r="D61" s="50"/>
      <c r="E61" s="50"/>
      <c r="F61" s="50"/>
      <c r="G61" s="41"/>
      <c r="H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H61" s="42"/>
      <c r="AI61" s="42"/>
      <c r="AJ61" s="42"/>
      <c r="AK61" s="42"/>
      <c r="AL61" s="42"/>
      <c r="AM61" s="42"/>
      <c r="AN61" s="42"/>
      <c r="AO61" s="42"/>
      <c r="AP61" s="42"/>
      <c r="AQ61" s="39"/>
    </row>
    <row r="62" spans="2:43" ht="12.75" customHeight="1">
      <c r="B62" s="78" t="s">
        <v>45</v>
      </c>
      <c r="C62" s="50"/>
      <c r="D62" s="50"/>
      <c r="E62" s="50"/>
      <c r="F62" s="50"/>
      <c r="G62" s="41"/>
      <c r="H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H62" s="42"/>
      <c r="AI62" s="42"/>
      <c r="AJ62" s="42"/>
      <c r="AK62" s="42"/>
      <c r="AL62" s="42"/>
      <c r="AM62" s="42"/>
      <c r="AN62" s="42"/>
      <c r="AO62" s="42"/>
      <c r="AP62" s="42"/>
      <c r="AQ62" s="39"/>
    </row>
    <row r="63" spans="2:43" ht="12.75" customHeight="1">
      <c r="B63" s="120" t="s">
        <v>172</v>
      </c>
      <c r="C63" s="121">
        <v>7.0570000000000004</v>
      </c>
      <c r="D63" s="121">
        <v>2.843</v>
      </c>
      <c r="E63" s="121">
        <v>4.1139999999999999</v>
      </c>
      <c r="F63" s="121">
        <v>6.1740000000000004</v>
      </c>
      <c r="G63" s="121">
        <v>5.2039999999999997</v>
      </c>
      <c r="H63" s="121">
        <v>7.7469999999999999</v>
      </c>
      <c r="J63" s="82">
        <v>5.5010000000000003</v>
      </c>
      <c r="K63" s="82">
        <v>3.8130000000000002</v>
      </c>
      <c r="L63" s="82">
        <v>3.65</v>
      </c>
      <c r="M63" s="82">
        <v>2.843</v>
      </c>
      <c r="N63" s="82">
        <v>4.7160000000000002</v>
      </c>
      <c r="O63" s="82">
        <v>3.7040000000000002</v>
      </c>
      <c r="P63" s="82">
        <v>4.0179999999999998</v>
      </c>
      <c r="Q63" s="82">
        <v>4.1139999999999999</v>
      </c>
      <c r="R63" s="82">
        <v>8.3789999999999996</v>
      </c>
      <c r="S63" s="82">
        <v>5.7969999999999997</v>
      </c>
      <c r="T63" s="82">
        <v>9.6739999999999995</v>
      </c>
      <c r="U63" s="82">
        <v>6.1740000000000004</v>
      </c>
      <c r="V63" s="82">
        <v>6.3940000000000001</v>
      </c>
      <c r="W63" s="82">
        <v>5.3120000000000003</v>
      </c>
      <c r="X63" s="82">
        <v>4.9089999999999998</v>
      </c>
      <c r="Y63" s="32">
        <v>5.2039999999999997</v>
      </c>
      <c r="Z63" s="82">
        <v>9.9109999999999996</v>
      </c>
      <c r="AA63" s="82">
        <v>8.2289999999999992</v>
      </c>
      <c r="AB63" s="82">
        <v>13.346</v>
      </c>
      <c r="AC63" s="32">
        <v>7.7469999999999999</v>
      </c>
      <c r="AD63" s="82">
        <v>14.760999999999999</v>
      </c>
      <c r="AE63" s="82">
        <v>10.904999999999999</v>
      </c>
      <c r="AF63" s="82">
        <v>11.01</v>
      </c>
      <c r="AH63" s="97">
        <f>Y63</f>
        <v>5.2039999999999997</v>
      </c>
      <c r="AI63" s="97">
        <f>Z63</f>
        <v>9.9109999999999996</v>
      </c>
      <c r="AJ63" s="97">
        <f>AA63</f>
        <v>8.2289999999999992</v>
      </c>
      <c r="AK63" s="97">
        <f>AB63</f>
        <v>13.346</v>
      </c>
      <c r="AL63" s="97">
        <f>AC63</f>
        <v>7.7469999999999999</v>
      </c>
      <c r="AM63" s="97">
        <f>AD63</f>
        <v>14.760999999999999</v>
      </c>
      <c r="AN63" s="97">
        <f>AE63</f>
        <v>10.904999999999999</v>
      </c>
      <c r="AO63" s="97">
        <f>AF63</f>
        <v>11.01</v>
      </c>
      <c r="AP63" s="11"/>
      <c r="AQ63" s="75">
        <f t="shared" ref="AQ63:AQ68" si="271">SUM(AO63/AK63)-1</f>
        <v>-0.17503371796793044</v>
      </c>
    </row>
    <row r="64" spans="2:43" ht="12.75" customHeight="1">
      <c r="B64" s="120" t="s">
        <v>173</v>
      </c>
      <c r="C64" s="121">
        <v>49.798999999999999</v>
      </c>
      <c r="D64" s="121">
        <v>68.256</v>
      </c>
      <c r="E64" s="121">
        <v>84.126000000000005</v>
      </c>
      <c r="F64" s="121">
        <v>83.998999999999995</v>
      </c>
      <c r="G64" s="121">
        <v>97.921000000000006</v>
      </c>
      <c r="H64" s="121">
        <v>126.508</v>
      </c>
      <c r="J64" s="82">
        <v>42.762</v>
      </c>
      <c r="K64" s="82">
        <v>56.387</v>
      </c>
      <c r="L64" s="82">
        <v>63.444000000000003</v>
      </c>
      <c r="M64" s="82">
        <v>68.256</v>
      </c>
      <c r="N64" s="82">
        <v>60.11</v>
      </c>
      <c r="O64" s="82">
        <v>76.682000000000002</v>
      </c>
      <c r="P64" s="82">
        <v>78.799000000000007</v>
      </c>
      <c r="Q64" s="82">
        <v>84.126000000000005</v>
      </c>
      <c r="R64" s="82">
        <v>71.588999999999999</v>
      </c>
      <c r="S64" s="82">
        <v>85.863</v>
      </c>
      <c r="T64" s="82">
        <v>84.89</v>
      </c>
      <c r="U64" s="82">
        <v>83.998999999999995</v>
      </c>
      <c r="V64" s="82">
        <v>79.341999999999999</v>
      </c>
      <c r="W64" s="82">
        <v>91.117999999999995</v>
      </c>
      <c r="X64" s="82">
        <v>94.158000000000001</v>
      </c>
      <c r="Y64" s="32">
        <v>97.921000000000006</v>
      </c>
      <c r="Z64" s="82">
        <v>89.436999999999998</v>
      </c>
      <c r="AA64" s="82">
        <v>113.35899999999999</v>
      </c>
      <c r="AB64" s="82">
        <v>111.029</v>
      </c>
      <c r="AC64" s="32">
        <v>126.508</v>
      </c>
      <c r="AD64" s="82">
        <v>93.495000000000005</v>
      </c>
      <c r="AE64" s="82">
        <v>118.58799999999999</v>
      </c>
      <c r="AF64" s="82">
        <v>120.15900000000001</v>
      </c>
      <c r="AH64" s="97">
        <f t="shared" ref="AH64:AH65" si="272">Y64</f>
        <v>97.921000000000006</v>
      </c>
      <c r="AI64" s="97">
        <f t="shared" ref="AI64:AI65" si="273">Z64</f>
        <v>89.436999999999998</v>
      </c>
      <c r="AJ64" s="97">
        <f t="shared" ref="AJ64:AJ65" si="274">AA64</f>
        <v>113.35899999999999</v>
      </c>
      <c r="AK64" s="97">
        <f t="shared" ref="AK64:AK65" si="275">AB64</f>
        <v>111.029</v>
      </c>
      <c r="AL64" s="97">
        <f t="shared" ref="AL64:AL65" si="276">AC64</f>
        <v>126.508</v>
      </c>
      <c r="AM64" s="97">
        <f t="shared" ref="AM64:AM65" si="277">AD64</f>
        <v>93.495000000000005</v>
      </c>
      <c r="AN64" s="97">
        <f t="shared" ref="AN64:AN65" si="278">AE64</f>
        <v>118.58799999999999</v>
      </c>
      <c r="AO64" s="97">
        <f t="shared" ref="AO64:AO65" si="279">AF64</f>
        <v>120.15900000000001</v>
      </c>
      <c r="AP64" s="11"/>
      <c r="AQ64" s="75">
        <f t="shared" ref="AQ64" si="280">SUM(AO64/AK64)-1</f>
        <v>8.2230768537949528E-2</v>
      </c>
    </row>
    <row r="65" spans="2:43" ht="12.75" customHeight="1">
      <c r="B65" s="120" t="s">
        <v>203</v>
      </c>
      <c r="C65" s="121">
        <v>173.61699999999999</v>
      </c>
      <c r="D65" s="121">
        <v>208.99</v>
      </c>
      <c r="E65" s="121">
        <v>258.02300000000002</v>
      </c>
      <c r="F65" s="121">
        <v>316.26299999999998</v>
      </c>
      <c r="G65" s="121">
        <v>380.84300000000002</v>
      </c>
      <c r="H65" s="121">
        <v>457.608</v>
      </c>
      <c r="J65" s="82">
        <v>172.369</v>
      </c>
      <c r="K65" s="82">
        <v>171.37799999999999</v>
      </c>
      <c r="L65" s="82">
        <v>182.7</v>
      </c>
      <c r="M65" s="82">
        <v>208.99</v>
      </c>
      <c r="N65" s="82">
        <v>212.02500000000001</v>
      </c>
      <c r="O65" s="82">
        <v>224.952</v>
      </c>
      <c r="P65" s="82">
        <v>235.75399999999999</v>
      </c>
      <c r="Q65" s="82">
        <v>258.02300000000002</v>
      </c>
      <c r="R65" s="82">
        <v>259.387</v>
      </c>
      <c r="S65" s="82">
        <v>272.73099999999999</v>
      </c>
      <c r="T65" s="82">
        <v>280.59399999999999</v>
      </c>
      <c r="U65" s="82">
        <v>316.26299999999998</v>
      </c>
      <c r="V65" s="82">
        <v>309.78100000000001</v>
      </c>
      <c r="W65" s="82">
        <v>327.36500000000001</v>
      </c>
      <c r="X65" s="82">
        <v>338.41800000000001</v>
      </c>
      <c r="Y65" s="32">
        <v>380.84300000000002</v>
      </c>
      <c r="Z65" s="82">
        <v>367.06</v>
      </c>
      <c r="AA65" s="82">
        <v>384.10500000000002</v>
      </c>
      <c r="AB65" s="82">
        <v>414.22899999999998</v>
      </c>
      <c r="AC65" s="32">
        <v>457.608</v>
      </c>
      <c r="AD65" s="82">
        <v>438.51299999999998</v>
      </c>
      <c r="AE65" s="82">
        <v>461.267</v>
      </c>
      <c r="AF65" s="82">
        <v>489.69</v>
      </c>
      <c r="AH65" s="97">
        <f>Y65</f>
        <v>380.84300000000002</v>
      </c>
      <c r="AI65" s="97">
        <f>Z65</f>
        <v>367.06</v>
      </c>
      <c r="AJ65" s="97">
        <f>AA65</f>
        <v>384.10500000000002</v>
      </c>
      <c r="AK65" s="97">
        <f>AB65</f>
        <v>414.22899999999998</v>
      </c>
      <c r="AL65" s="97">
        <f>AC65</f>
        <v>457.608</v>
      </c>
      <c r="AM65" s="97">
        <f>AD65</f>
        <v>438.51299999999998</v>
      </c>
      <c r="AN65" s="97">
        <f>AE65</f>
        <v>461.267</v>
      </c>
      <c r="AO65" s="97">
        <f>AF65</f>
        <v>489.69</v>
      </c>
      <c r="AP65" s="11"/>
      <c r="AQ65" s="75">
        <f t="shared" ref="AQ65" si="281">SUM(AO65/AK65)-1</f>
        <v>0.18217218012258929</v>
      </c>
    </row>
    <row r="66" spans="2:43" ht="12.75" customHeight="1">
      <c r="B66" s="120" t="s">
        <v>204</v>
      </c>
      <c r="C66" s="121">
        <v>0</v>
      </c>
      <c r="D66" s="121">
        <v>0</v>
      </c>
      <c r="E66" s="121">
        <v>298.661</v>
      </c>
      <c r="F66" s="121">
        <v>0</v>
      </c>
      <c r="G66" s="121">
        <v>0</v>
      </c>
      <c r="H66" s="121">
        <v>0</v>
      </c>
      <c r="J66" s="82">
        <v>0</v>
      </c>
      <c r="K66" s="82">
        <v>0</v>
      </c>
      <c r="L66" s="82">
        <v>0</v>
      </c>
      <c r="M66" s="82">
        <v>0</v>
      </c>
      <c r="N66" s="82">
        <v>0</v>
      </c>
      <c r="O66" s="82">
        <v>0</v>
      </c>
      <c r="P66" s="82">
        <v>296.34100000000001</v>
      </c>
      <c r="Q66" s="82">
        <v>298.661</v>
      </c>
      <c r="R66" s="82">
        <v>0</v>
      </c>
      <c r="S66" s="82">
        <v>0</v>
      </c>
      <c r="T66" s="82">
        <v>0</v>
      </c>
      <c r="U66" s="82">
        <v>0</v>
      </c>
      <c r="V66" s="82">
        <v>0</v>
      </c>
      <c r="W66" s="82">
        <v>0</v>
      </c>
      <c r="X66" s="82">
        <v>0</v>
      </c>
      <c r="Y66" s="32">
        <v>0</v>
      </c>
      <c r="Z66" s="82">
        <v>0</v>
      </c>
      <c r="AA66" s="82">
        <v>0</v>
      </c>
      <c r="AB66" s="82">
        <v>0</v>
      </c>
      <c r="AC66" s="32">
        <v>0</v>
      </c>
      <c r="AD66" s="82">
        <v>0</v>
      </c>
      <c r="AE66" s="82">
        <v>70.936999999999998</v>
      </c>
      <c r="AF66" s="82">
        <v>71.004000000000005</v>
      </c>
      <c r="AH66" s="97">
        <f t="shared" ref="AH66:AH67" si="282">Y66</f>
        <v>0</v>
      </c>
      <c r="AI66" s="97">
        <f t="shared" ref="AI66:AI67" si="283">Z66</f>
        <v>0</v>
      </c>
      <c r="AJ66" s="97">
        <f t="shared" ref="AJ66:AJ67" si="284">AA66</f>
        <v>0</v>
      </c>
      <c r="AK66" s="97">
        <f t="shared" ref="AK66:AK67" si="285">AB66</f>
        <v>0</v>
      </c>
      <c r="AL66" s="97">
        <f t="shared" ref="AL66:AL67" si="286">AC66</f>
        <v>0</v>
      </c>
      <c r="AM66" s="97">
        <f t="shared" ref="AM66:AM67" si="287">AD66</f>
        <v>0</v>
      </c>
      <c r="AN66" s="97">
        <f t="shared" ref="AN66:AN67" si="288">AE66</f>
        <v>70.936999999999998</v>
      </c>
      <c r="AO66" s="97">
        <f t="shared" ref="AO66:AO67" si="289">AF66</f>
        <v>71.004000000000005</v>
      </c>
      <c r="AP66" s="11"/>
      <c r="AQ66" s="75" t="e">
        <f t="shared" ref="AQ66:AQ67" si="290">SUM(AO66/AK66)-1</f>
        <v>#DIV/0!</v>
      </c>
    </row>
    <row r="67" spans="2:43" ht="12.75" customHeight="1">
      <c r="B67" s="120" t="s">
        <v>205</v>
      </c>
      <c r="C67" s="121">
        <v>1.3280000000000001</v>
      </c>
      <c r="D67" s="121">
        <v>1.7050000000000001</v>
      </c>
      <c r="E67" s="121">
        <v>1.575</v>
      </c>
      <c r="F67" s="121">
        <v>0.504</v>
      </c>
      <c r="G67" s="121">
        <v>0.53200000000000003</v>
      </c>
      <c r="H67" s="121">
        <v>0.56200000000000006</v>
      </c>
      <c r="J67" s="82">
        <v>1.361</v>
      </c>
      <c r="K67" s="82">
        <v>1.395</v>
      </c>
      <c r="L67" s="82">
        <v>1.429</v>
      </c>
      <c r="M67" s="82">
        <v>1.7050000000000001</v>
      </c>
      <c r="N67" s="82">
        <v>1.728</v>
      </c>
      <c r="O67" s="82">
        <v>1.752</v>
      </c>
      <c r="P67" s="82">
        <v>1.776</v>
      </c>
      <c r="Q67" s="82">
        <v>1.575</v>
      </c>
      <c r="R67" s="82">
        <v>1.2569999999999999</v>
      </c>
      <c r="S67" s="82">
        <v>0.93899999999999995</v>
      </c>
      <c r="T67" s="82">
        <v>0.6</v>
      </c>
      <c r="U67" s="82">
        <v>0.504</v>
      </c>
      <c r="V67" s="82">
        <v>0.51100000000000001</v>
      </c>
      <c r="W67" s="82">
        <v>0.51800000000000002</v>
      </c>
      <c r="X67" s="82">
        <v>0.52500000000000002</v>
      </c>
      <c r="Y67" s="32">
        <v>0.53200000000000003</v>
      </c>
      <c r="Z67" s="82">
        <v>0.54</v>
      </c>
      <c r="AA67" s="82">
        <v>0.54700000000000004</v>
      </c>
      <c r="AB67" s="82">
        <v>0.55500000000000005</v>
      </c>
      <c r="AC67" s="32">
        <v>0.56200000000000006</v>
      </c>
      <c r="AD67" s="82">
        <v>0.56999999999999995</v>
      </c>
      <c r="AE67" s="82">
        <v>0.56999999999999995</v>
      </c>
      <c r="AF67" s="82">
        <v>0.58599999999999997</v>
      </c>
      <c r="AH67" s="97">
        <f t="shared" si="282"/>
        <v>0.53200000000000003</v>
      </c>
      <c r="AI67" s="97">
        <f t="shared" si="283"/>
        <v>0.54</v>
      </c>
      <c r="AJ67" s="97">
        <f t="shared" si="284"/>
        <v>0.54700000000000004</v>
      </c>
      <c r="AK67" s="97">
        <f t="shared" si="285"/>
        <v>0.55500000000000005</v>
      </c>
      <c r="AL67" s="97">
        <f t="shared" si="286"/>
        <v>0.56200000000000006</v>
      </c>
      <c r="AM67" s="97">
        <f t="shared" si="287"/>
        <v>0.56999999999999995</v>
      </c>
      <c r="AN67" s="97">
        <f t="shared" si="288"/>
        <v>0.56999999999999995</v>
      </c>
      <c r="AO67" s="97">
        <f t="shared" si="289"/>
        <v>0.58599999999999997</v>
      </c>
      <c r="AP67" s="11"/>
      <c r="AQ67" s="75">
        <f t="shared" si="290"/>
        <v>5.5855855855855729E-2</v>
      </c>
    </row>
    <row r="68" spans="2:43" ht="12.75" customHeight="1">
      <c r="B68" s="25" t="s">
        <v>17</v>
      </c>
      <c r="C68" s="26">
        <f>SUM(C63:C67)</f>
        <v>231.80099999999999</v>
      </c>
      <c r="D68" s="26">
        <f>SUM(D63:D67)</f>
        <v>281.79399999999998</v>
      </c>
      <c r="E68" s="26">
        <f>SUM(E63:E67)</f>
        <v>646.49900000000002</v>
      </c>
      <c r="F68" s="26">
        <f>SUM(F63:F67)</f>
        <v>406.94</v>
      </c>
      <c r="G68" s="26">
        <f>SUM(G63:G67)</f>
        <v>484.5</v>
      </c>
      <c r="H68" s="26">
        <f>SUM(H63:H67)</f>
        <v>592.42500000000007</v>
      </c>
      <c r="J68" s="26">
        <f t="shared" ref="J68:L68" si="291">SUM(J63:J67)</f>
        <v>221.99299999999999</v>
      </c>
      <c r="K68" s="26">
        <f t="shared" si="291"/>
        <v>232.97299999999998</v>
      </c>
      <c r="L68" s="26">
        <f t="shared" si="291"/>
        <v>251.22299999999998</v>
      </c>
      <c r="M68" s="26">
        <f>SUM(M63:M67)</f>
        <v>281.79399999999998</v>
      </c>
      <c r="N68" s="26">
        <f>SUM(N63:N67)</f>
        <v>278.57900000000001</v>
      </c>
      <c r="O68" s="26">
        <f>SUM(O63:O67)</f>
        <v>307.08999999999997</v>
      </c>
      <c r="P68" s="26">
        <f>SUM(P63:P67)</f>
        <v>616.68799999999999</v>
      </c>
      <c r="Q68" s="26">
        <f>SUM(Q63:Q67)</f>
        <v>646.49900000000002</v>
      </c>
      <c r="R68" s="26">
        <f>SUM(R63:R67)</f>
        <v>340.61200000000002</v>
      </c>
      <c r="S68" s="26">
        <f>SUM(S63:S67)</f>
        <v>365.33</v>
      </c>
      <c r="T68" s="26">
        <f>SUM(T63:T67)</f>
        <v>375.75800000000004</v>
      </c>
      <c r="U68" s="26">
        <f>SUM(U63:U67)</f>
        <v>406.94</v>
      </c>
      <c r="V68" s="26">
        <f>SUM(V63:V67)</f>
        <v>396.02800000000002</v>
      </c>
      <c r="W68" s="26">
        <f>SUM(W63:W67)</f>
        <v>424.31299999999999</v>
      </c>
      <c r="X68" s="26">
        <f>SUM(X63:X67)</f>
        <v>438.01</v>
      </c>
      <c r="Y68" s="26">
        <f>SUM(Y63:Y67)</f>
        <v>484.5</v>
      </c>
      <c r="Z68" s="26">
        <f>SUM(Z63:Z67)</f>
        <v>466.94800000000004</v>
      </c>
      <c r="AA68" s="26">
        <f>SUM(AA63:AA67)</f>
        <v>506.24</v>
      </c>
      <c r="AB68" s="26">
        <f>SUM(AB63:AB67)</f>
        <v>539.15899999999999</v>
      </c>
      <c r="AC68" s="26">
        <f>SUM(AC63:AC67)</f>
        <v>592.42500000000007</v>
      </c>
      <c r="AD68" s="26">
        <f>SUM(AD63:AD67)</f>
        <v>547.33900000000006</v>
      </c>
      <c r="AE68" s="26">
        <f>SUM(AE63:AE67)</f>
        <v>662.26700000000005</v>
      </c>
      <c r="AF68" s="26">
        <f>SUM(AF63:AF67)</f>
        <v>692.44900000000007</v>
      </c>
      <c r="AG68" s="48"/>
      <c r="AH68" s="26">
        <f>SUM(AH63:AH67)</f>
        <v>484.5</v>
      </c>
      <c r="AI68" s="26">
        <f>SUM(AI63:AI67)</f>
        <v>466.94800000000004</v>
      </c>
      <c r="AJ68" s="26">
        <f>SUM(AJ63:AJ67)</f>
        <v>506.24</v>
      </c>
      <c r="AK68" s="26">
        <f>SUM(AK63:AK67)</f>
        <v>539.15899999999999</v>
      </c>
      <c r="AL68" s="26">
        <f>SUM(AL63:AL67)</f>
        <v>592.42500000000007</v>
      </c>
      <c r="AM68" s="26">
        <f>SUM(AM63:AM67)</f>
        <v>547.33900000000006</v>
      </c>
      <c r="AN68" s="26">
        <f>SUM(AN63:AN67)</f>
        <v>662.26700000000005</v>
      </c>
      <c r="AO68" s="26">
        <f>SUM(AO63:AO67)</f>
        <v>692.44900000000007</v>
      </c>
      <c r="AP68" s="42"/>
      <c r="AQ68" s="76">
        <f t="shared" si="271"/>
        <v>0.28431316179457289</v>
      </c>
    </row>
    <row r="69" spans="2:43" ht="5.0999999999999996" customHeight="1">
      <c r="B69" s="25"/>
      <c r="C69" s="50"/>
      <c r="D69" s="50"/>
      <c r="E69" s="50"/>
      <c r="F69" s="50"/>
      <c r="G69" s="41"/>
      <c r="H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H69" s="42"/>
      <c r="AI69" s="42"/>
      <c r="AJ69" s="42"/>
      <c r="AK69" s="42"/>
      <c r="AL69" s="42"/>
      <c r="AM69" s="42"/>
      <c r="AN69" s="42"/>
      <c r="AO69" s="42"/>
      <c r="AP69" s="42"/>
      <c r="AQ69" s="39"/>
    </row>
    <row r="70" spans="2:43">
      <c r="B70" s="78" t="s">
        <v>80</v>
      </c>
      <c r="C70" s="50"/>
      <c r="D70" s="50"/>
      <c r="E70" s="50"/>
      <c r="F70" s="50"/>
      <c r="G70" s="41"/>
      <c r="H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H70" s="42"/>
      <c r="AI70" s="42"/>
      <c r="AJ70" s="42"/>
      <c r="AK70" s="42"/>
      <c r="AL70" s="42"/>
      <c r="AM70" s="42"/>
      <c r="AN70" s="42"/>
      <c r="AO70" s="42"/>
      <c r="AP70" s="42"/>
      <c r="AQ70" s="39"/>
    </row>
    <row r="71" spans="2:43" ht="12.75" customHeight="1">
      <c r="B71" s="120" t="s">
        <v>206</v>
      </c>
      <c r="C71" s="121">
        <v>280.601</v>
      </c>
      <c r="D71" s="121">
        <v>289.49</v>
      </c>
      <c r="E71" s="121">
        <v>0</v>
      </c>
      <c r="F71" s="121">
        <v>340.25700000000001</v>
      </c>
      <c r="G71" s="121">
        <v>762.45500000000004</v>
      </c>
      <c r="H71" s="121">
        <v>764.89099999999996</v>
      </c>
      <c r="I71" s="51"/>
      <c r="J71" s="82">
        <v>282.798</v>
      </c>
      <c r="K71" s="82">
        <v>285</v>
      </c>
      <c r="L71" s="82">
        <v>287.24200000000002</v>
      </c>
      <c r="M71" s="82">
        <v>289.49</v>
      </c>
      <c r="N71" s="82">
        <v>291.75599999999997</v>
      </c>
      <c r="O71" s="82">
        <v>294.04000000000002</v>
      </c>
      <c r="P71" s="82">
        <v>0</v>
      </c>
      <c r="Q71" s="82">
        <v>0</v>
      </c>
      <c r="R71" s="82">
        <v>339.28300000000002</v>
      </c>
      <c r="S71" s="82">
        <v>339.608</v>
      </c>
      <c r="T71" s="82">
        <v>339.93200000000002</v>
      </c>
      <c r="U71" s="82">
        <v>340.25700000000001</v>
      </c>
      <c r="V71" s="82">
        <v>340.58199999999999</v>
      </c>
      <c r="W71" s="82">
        <v>340.90699999999998</v>
      </c>
      <c r="X71" s="82">
        <v>761.48699999999997</v>
      </c>
      <c r="Y71" s="32">
        <v>762.45500000000004</v>
      </c>
      <c r="Z71" s="82">
        <v>763.06299999999999</v>
      </c>
      <c r="AA71" s="82">
        <v>763.67200000000003</v>
      </c>
      <c r="AB71" s="82">
        <v>764.28099999999995</v>
      </c>
      <c r="AC71" s="32">
        <v>764.89099999999996</v>
      </c>
      <c r="AD71" s="82">
        <v>765.5</v>
      </c>
      <c r="AE71" s="82">
        <v>695.17499999999995</v>
      </c>
      <c r="AF71" s="82">
        <v>695.71900000000005</v>
      </c>
      <c r="AG71" s="121"/>
      <c r="AH71" s="97">
        <f>Y71</f>
        <v>762.45500000000004</v>
      </c>
      <c r="AI71" s="97">
        <f>Z71</f>
        <v>763.06299999999999</v>
      </c>
      <c r="AJ71" s="97">
        <f>AA71</f>
        <v>763.67200000000003</v>
      </c>
      <c r="AK71" s="97">
        <f>AB71</f>
        <v>764.28099999999995</v>
      </c>
      <c r="AL71" s="97">
        <f>AC71</f>
        <v>764.89099999999996</v>
      </c>
      <c r="AM71" s="97">
        <f>AD71</f>
        <v>765.5</v>
      </c>
      <c r="AN71" s="97">
        <f>AE71</f>
        <v>695.17499999999995</v>
      </c>
      <c r="AO71" s="97">
        <f>AF71</f>
        <v>695.71900000000005</v>
      </c>
      <c r="AP71" s="42"/>
      <c r="AQ71" s="75">
        <f t="shared" ref="AQ71:AQ83" si="292">SUM(AO71/AK71)-1</f>
        <v>-8.9707843057723391E-2</v>
      </c>
    </row>
    <row r="72" spans="2:43" ht="12.75" customHeight="1">
      <c r="B72" s="120" t="s">
        <v>207</v>
      </c>
      <c r="C72" s="121">
        <v>32.569000000000003</v>
      </c>
      <c r="D72" s="121">
        <v>35.893999999999998</v>
      </c>
      <c r="E72" s="121">
        <v>34.180999999999997</v>
      </c>
      <c r="F72" s="121">
        <v>38.237000000000002</v>
      </c>
      <c r="G72" s="121">
        <v>36.177</v>
      </c>
      <c r="H72" s="121">
        <v>29.681000000000001</v>
      </c>
      <c r="I72" s="51"/>
      <c r="J72" s="82">
        <v>31.626000000000001</v>
      </c>
      <c r="K72" s="82">
        <v>29.294</v>
      </c>
      <c r="L72" s="82">
        <v>34.756</v>
      </c>
      <c r="M72" s="82">
        <v>35.893999999999998</v>
      </c>
      <c r="N72" s="82">
        <v>32.887999999999998</v>
      </c>
      <c r="O72" s="82">
        <v>32.219000000000001</v>
      </c>
      <c r="P72" s="82">
        <v>31.463000000000001</v>
      </c>
      <c r="Q72" s="82">
        <v>34.180999999999997</v>
      </c>
      <c r="R72" s="82">
        <v>33.204000000000001</v>
      </c>
      <c r="S72" s="82">
        <v>34.063000000000002</v>
      </c>
      <c r="T72" s="82">
        <v>37.497999999999998</v>
      </c>
      <c r="U72" s="82">
        <v>38.237000000000002</v>
      </c>
      <c r="V72" s="82">
        <v>35.600999999999999</v>
      </c>
      <c r="W72" s="82">
        <v>39.822000000000003</v>
      </c>
      <c r="X72" s="82">
        <v>38.216000000000001</v>
      </c>
      <c r="Y72" s="32">
        <v>36.177</v>
      </c>
      <c r="Z72" s="82">
        <v>31.085000000000001</v>
      </c>
      <c r="AA72" s="82">
        <v>27.693999999999999</v>
      </c>
      <c r="AB72" s="82">
        <v>27.527000000000001</v>
      </c>
      <c r="AC72" s="32">
        <v>29.681000000000001</v>
      </c>
      <c r="AD72" s="82">
        <v>33.103999999999999</v>
      </c>
      <c r="AE72" s="82">
        <v>32.442999999999998</v>
      </c>
      <c r="AF72" s="82">
        <v>38.822000000000003</v>
      </c>
      <c r="AG72" s="121"/>
      <c r="AH72" s="97">
        <f t="shared" ref="AH72:AH74" si="293">Y72</f>
        <v>36.177</v>
      </c>
      <c r="AI72" s="97">
        <f t="shared" ref="AI72:AI74" si="294">Z72</f>
        <v>31.085000000000001</v>
      </c>
      <c r="AJ72" s="97">
        <f t="shared" ref="AJ72:AJ74" si="295">AA72</f>
        <v>27.693999999999999</v>
      </c>
      <c r="AK72" s="97">
        <f t="shared" ref="AK72:AK74" si="296">AB72</f>
        <v>27.527000000000001</v>
      </c>
      <c r="AL72" s="97">
        <f t="shared" ref="AL72:AL74" si="297">AC72</f>
        <v>29.681000000000001</v>
      </c>
      <c r="AM72" s="97">
        <f t="shared" ref="AM72:AM74" si="298">AD72</f>
        <v>33.103999999999999</v>
      </c>
      <c r="AN72" s="97">
        <f t="shared" ref="AN72:AN74" si="299">AE72</f>
        <v>32.442999999999998</v>
      </c>
      <c r="AO72" s="97">
        <f t="shared" ref="AO72:AO74" si="300">AF72</f>
        <v>38.822000000000003</v>
      </c>
      <c r="AP72" s="42"/>
      <c r="AQ72" s="75">
        <f t="shared" si="292"/>
        <v>0.41032440876230614</v>
      </c>
    </row>
    <row r="73" spans="2:43" ht="12.75" customHeight="1">
      <c r="B73" s="120" t="s">
        <v>152</v>
      </c>
      <c r="C73" s="121">
        <v>1.498</v>
      </c>
      <c r="D73" s="121">
        <v>1.68</v>
      </c>
      <c r="E73" s="121">
        <v>1.605</v>
      </c>
      <c r="F73" s="121">
        <v>1.518</v>
      </c>
      <c r="G73" s="121">
        <v>0.17799999999999999</v>
      </c>
      <c r="H73" s="121">
        <v>0.22700000000000001</v>
      </c>
      <c r="I73" s="51"/>
      <c r="J73" s="82">
        <v>1.569</v>
      </c>
      <c r="K73" s="82">
        <v>1.778</v>
      </c>
      <c r="L73" s="82">
        <v>1.748</v>
      </c>
      <c r="M73" s="82">
        <v>1.68</v>
      </c>
      <c r="N73" s="82">
        <v>1.68</v>
      </c>
      <c r="O73" s="82">
        <v>1.3380000000000001</v>
      </c>
      <c r="P73" s="82">
        <v>1.335</v>
      </c>
      <c r="Q73" s="82">
        <v>1.605</v>
      </c>
      <c r="R73" s="82">
        <v>1.6020000000000001</v>
      </c>
      <c r="S73" s="82">
        <v>1.38</v>
      </c>
      <c r="T73" s="82">
        <v>1.353</v>
      </c>
      <c r="U73" s="82">
        <v>1.518</v>
      </c>
      <c r="V73" s="82">
        <v>1.5329999999999999</v>
      </c>
      <c r="W73" s="82">
        <v>1.5269999999999999</v>
      </c>
      <c r="X73" s="82">
        <v>1.5389999999999999</v>
      </c>
      <c r="Y73" s="32">
        <v>0.17799999999999999</v>
      </c>
      <c r="Z73" s="82">
        <v>0.21199999999999999</v>
      </c>
      <c r="AA73" s="82">
        <v>0.221</v>
      </c>
      <c r="AB73" s="82">
        <v>0.23599999999999999</v>
      </c>
      <c r="AC73" s="32">
        <v>0.22700000000000001</v>
      </c>
      <c r="AD73" s="82">
        <v>0.23799999999999999</v>
      </c>
      <c r="AE73" s="82">
        <v>0.29199999999999998</v>
      </c>
      <c r="AF73" s="82">
        <v>0.28399999999999997</v>
      </c>
      <c r="AG73" s="121"/>
      <c r="AH73" s="97">
        <f t="shared" si="293"/>
        <v>0.17799999999999999</v>
      </c>
      <c r="AI73" s="97">
        <f t="shared" si="294"/>
        <v>0.21199999999999999</v>
      </c>
      <c r="AJ73" s="97">
        <f t="shared" si="295"/>
        <v>0.221</v>
      </c>
      <c r="AK73" s="97">
        <f t="shared" si="296"/>
        <v>0.23599999999999999</v>
      </c>
      <c r="AL73" s="97">
        <f t="shared" si="297"/>
        <v>0.22700000000000001</v>
      </c>
      <c r="AM73" s="97">
        <f t="shared" si="298"/>
        <v>0.23799999999999999</v>
      </c>
      <c r="AN73" s="97">
        <f t="shared" si="299"/>
        <v>0.29199999999999998</v>
      </c>
      <c r="AO73" s="97">
        <f t="shared" si="300"/>
        <v>0.28399999999999997</v>
      </c>
      <c r="AP73" s="42"/>
      <c r="AQ73" s="75">
        <f t="shared" si="292"/>
        <v>0.20338983050847448</v>
      </c>
    </row>
    <row r="74" spans="2:43" ht="12.75" customHeight="1">
      <c r="B74" s="120" t="s">
        <v>184</v>
      </c>
      <c r="C74" s="121">
        <v>18.564</v>
      </c>
      <c r="D74" s="121">
        <v>17.209</v>
      </c>
      <c r="E74" s="121">
        <v>16.408000000000001</v>
      </c>
      <c r="F74" s="121">
        <v>12.102</v>
      </c>
      <c r="G74" s="121">
        <v>10.89</v>
      </c>
      <c r="H74" s="121">
        <v>9.4410000000000007</v>
      </c>
      <c r="I74" s="51"/>
      <c r="J74" s="82">
        <v>20.422000000000001</v>
      </c>
      <c r="K74" s="82">
        <v>19.274000000000001</v>
      </c>
      <c r="L74" s="82">
        <v>18.228999999999999</v>
      </c>
      <c r="M74" s="82">
        <v>17.209</v>
      </c>
      <c r="N74" s="82">
        <v>17.54</v>
      </c>
      <c r="O74" s="82">
        <v>16.355</v>
      </c>
      <c r="P74" s="82">
        <v>15.231</v>
      </c>
      <c r="Q74" s="82">
        <v>16.408000000000001</v>
      </c>
      <c r="R74" s="82">
        <v>15.026</v>
      </c>
      <c r="S74" s="82">
        <v>13.688000000000001</v>
      </c>
      <c r="T74" s="82">
        <v>12.866</v>
      </c>
      <c r="U74" s="82">
        <v>12.102</v>
      </c>
      <c r="V74" s="82">
        <v>10.948</v>
      </c>
      <c r="W74" s="82">
        <v>9.7490000000000006</v>
      </c>
      <c r="X74" s="82">
        <v>9.0229999999999997</v>
      </c>
      <c r="Y74" s="32">
        <v>10.89</v>
      </c>
      <c r="Z74" s="82">
        <v>9.8390000000000004</v>
      </c>
      <c r="AA74" s="82">
        <v>8.8559999999999999</v>
      </c>
      <c r="AB74" s="82">
        <v>8.0619999999999994</v>
      </c>
      <c r="AC74" s="32">
        <v>9.4410000000000007</v>
      </c>
      <c r="AD74" s="82">
        <v>9.8450000000000006</v>
      </c>
      <c r="AE74" s="82">
        <v>8.89</v>
      </c>
      <c r="AF74" s="82">
        <v>7.915</v>
      </c>
      <c r="AG74" s="121"/>
      <c r="AH74" s="97">
        <f t="shared" ref="AH74:AH75" si="301">Y74</f>
        <v>10.89</v>
      </c>
      <c r="AI74" s="97">
        <f t="shared" ref="AI74:AI75" si="302">Z74</f>
        <v>9.8390000000000004</v>
      </c>
      <c r="AJ74" s="97">
        <f t="shared" ref="AJ74:AJ75" si="303">AA74</f>
        <v>8.8559999999999999</v>
      </c>
      <c r="AK74" s="97">
        <f t="shared" ref="AK74:AK75" si="304">AB74</f>
        <v>8.0619999999999994</v>
      </c>
      <c r="AL74" s="97">
        <f t="shared" ref="AL74:AL75" si="305">AC74</f>
        <v>9.4410000000000007</v>
      </c>
      <c r="AM74" s="97">
        <f t="shared" ref="AM74:AM75" si="306">AD74</f>
        <v>9.8450000000000006</v>
      </c>
      <c r="AN74" s="97">
        <f t="shared" ref="AN74:AN75" si="307">AE74</f>
        <v>8.89</v>
      </c>
      <c r="AO74" s="97">
        <f t="shared" ref="AO74:AO75" si="308">AF74</f>
        <v>7.915</v>
      </c>
      <c r="AP74" s="42"/>
      <c r="AQ74" s="75">
        <f t="shared" ref="AQ74:AQ75" si="309">SUM(AO74/AK74)-1</f>
        <v>-1.8233688910940127E-2</v>
      </c>
    </row>
    <row r="75" spans="2:43" ht="12.75" customHeight="1">
      <c r="B75" s="120" t="s">
        <v>208</v>
      </c>
      <c r="C75" s="121">
        <v>15.888999999999999</v>
      </c>
      <c r="D75" s="121">
        <v>16.661999999999999</v>
      </c>
      <c r="E75" s="121">
        <v>15.087</v>
      </c>
      <c r="F75" s="121">
        <v>14.583</v>
      </c>
      <c r="G75" s="121">
        <v>14.05</v>
      </c>
      <c r="H75" s="121">
        <v>13.48</v>
      </c>
      <c r="I75" s="51"/>
      <c r="J75" s="82">
        <v>15.536</v>
      </c>
      <c r="K75" s="82">
        <v>15.173999999999999</v>
      </c>
      <c r="L75" s="82">
        <v>14.805</v>
      </c>
      <c r="M75" s="82">
        <v>16.661999999999999</v>
      </c>
      <c r="N75" s="82">
        <v>16.221</v>
      </c>
      <c r="O75" s="82">
        <v>15.773999999999999</v>
      </c>
      <c r="P75" s="82">
        <v>15.32</v>
      </c>
      <c r="Q75" s="82">
        <v>15.087</v>
      </c>
      <c r="R75" s="82">
        <v>14.962999999999999</v>
      </c>
      <c r="S75" s="82">
        <v>14.837999999999999</v>
      </c>
      <c r="T75" s="82">
        <v>14.711</v>
      </c>
      <c r="U75" s="82">
        <v>14.583</v>
      </c>
      <c r="V75" s="82">
        <v>14.452</v>
      </c>
      <c r="W75" s="82">
        <v>14.32</v>
      </c>
      <c r="X75" s="82">
        <v>14.186</v>
      </c>
      <c r="Y75" s="32">
        <v>14.05</v>
      </c>
      <c r="Z75" s="82">
        <v>13.913</v>
      </c>
      <c r="AA75" s="82">
        <v>13.773</v>
      </c>
      <c r="AB75" s="82">
        <v>13.631</v>
      </c>
      <c r="AC75" s="32">
        <v>13.48</v>
      </c>
      <c r="AD75" s="82">
        <v>13.342000000000001</v>
      </c>
      <c r="AE75" s="82">
        <v>13.195</v>
      </c>
      <c r="AF75" s="82">
        <v>13.045</v>
      </c>
      <c r="AG75" s="121"/>
      <c r="AH75" s="97">
        <f t="shared" si="301"/>
        <v>14.05</v>
      </c>
      <c r="AI75" s="97">
        <f t="shared" si="302"/>
        <v>13.913</v>
      </c>
      <c r="AJ75" s="97">
        <f t="shared" si="303"/>
        <v>13.773</v>
      </c>
      <c r="AK75" s="97">
        <f t="shared" si="304"/>
        <v>13.631</v>
      </c>
      <c r="AL75" s="97">
        <f t="shared" si="305"/>
        <v>13.48</v>
      </c>
      <c r="AM75" s="97">
        <f t="shared" si="306"/>
        <v>13.342000000000001</v>
      </c>
      <c r="AN75" s="97">
        <f t="shared" si="307"/>
        <v>13.195</v>
      </c>
      <c r="AO75" s="97">
        <f t="shared" si="308"/>
        <v>13.045</v>
      </c>
      <c r="AP75" s="42"/>
      <c r="AQ75" s="75">
        <f t="shared" si="309"/>
        <v>-4.2990242828846004E-2</v>
      </c>
    </row>
    <row r="76" spans="2:43" ht="12.75" customHeight="1">
      <c r="B76" s="13" t="s">
        <v>15</v>
      </c>
      <c r="C76" s="14">
        <f>SUM(C71:C75)+C68</f>
        <v>580.92200000000003</v>
      </c>
      <c r="D76" s="14">
        <f>SUM(D71:D75)+D68</f>
        <v>642.72900000000004</v>
      </c>
      <c r="E76" s="14">
        <f>SUM(E71:E75)+E68</f>
        <v>713.78</v>
      </c>
      <c r="F76" s="14">
        <f>SUM(F71:F75)+F68</f>
        <v>813.63699999999994</v>
      </c>
      <c r="G76" s="14">
        <f>SUM(G71:G75)+G68</f>
        <v>1308.25</v>
      </c>
      <c r="H76" s="14">
        <f>SUM(H71:H75)+H68</f>
        <v>1410.145</v>
      </c>
      <c r="J76" s="14">
        <f t="shared" ref="J76:L76" si="310">SUM(J71:J75)+J68</f>
        <v>573.94399999999996</v>
      </c>
      <c r="K76" s="14">
        <f t="shared" si="310"/>
        <v>583.49299999999994</v>
      </c>
      <c r="L76" s="14">
        <f t="shared" si="310"/>
        <v>608.00300000000004</v>
      </c>
      <c r="M76" s="14">
        <f>SUM(M71:M75)+M68</f>
        <v>642.72900000000004</v>
      </c>
      <c r="N76" s="14">
        <f>SUM(N71:N75)+N68</f>
        <v>638.66399999999999</v>
      </c>
      <c r="O76" s="14">
        <f>SUM(O71:O75)+O68</f>
        <v>666.81600000000003</v>
      </c>
      <c r="P76" s="14">
        <f>SUM(P71:P75)+P68</f>
        <v>680.03700000000003</v>
      </c>
      <c r="Q76" s="14">
        <f>SUM(Q71:Q75)+Q68</f>
        <v>713.78</v>
      </c>
      <c r="R76" s="14">
        <f>SUM(R71:R75)+R68</f>
        <v>744.69</v>
      </c>
      <c r="S76" s="14">
        <f>SUM(S71:S75)+S68</f>
        <v>768.90699999999993</v>
      </c>
      <c r="T76" s="14">
        <f>SUM(T71:T75)+T68</f>
        <v>782.11800000000005</v>
      </c>
      <c r="U76" s="14">
        <f>SUM(U71:U75)+U68</f>
        <v>813.63699999999994</v>
      </c>
      <c r="V76" s="14">
        <f>SUM(V71:V75)+V68</f>
        <v>799.14400000000001</v>
      </c>
      <c r="W76" s="14">
        <f>SUM(W71:W75)+W68</f>
        <v>830.63799999999992</v>
      </c>
      <c r="X76" s="14">
        <f>SUM(X71:X75)+X68</f>
        <v>1262.461</v>
      </c>
      <c r="Y76" s="14">
        <f>SUM(Y71:Y75)+Y68</f>
        <v>1308.25</v>
      </c>
      <c r="Z76" s="14">
        <f>SUM(Z71:Z75)+Z68</f>
        <v>1285.0600000000002</v>
      </c>
      <c r="AA76" s="14">
        <f>SUM(AA71:AA75)+AA68</f>
        <v>1320.4560000000001</v>
      </c>
      <c r="AB76" s="14">
        <f>SUM(AB71:AB75)+AB68</f>
        <v>1352.896</v>
      </c>
      <c r="AC76" s="14">
        <f>SUM(AC71:AC75)+AC68</f>
        <v>1410.145</v>
      </c>
      <c r="AD76" s="14">
        <f>SUM(AD71:AD75)+AD68</f>
        <v>1369.3680000000002</v>
      </c>
      <c r="AE76" s="14">
        <f>SUM(AE71:AE75)+AE68</f>
        <v>1412.2620000000002</v>
      </c>
      <c r="AF76" s="14">
        <f>SUM(AF71:AF75)+AF68</f>
        <v>1448.2339999999999</v>
      </c>
      <c r="AH76" s="14">
        <f>SUM(AH71:AH75)+AH68</f>
        <v>1308.25</v>
      </c>
      <c r="AI76" s="14">
        <f>SUM(AI71:AI75)+AI68</f>
        <v>1285.0600000000002</v>
      </c>
      <c r="AJ76" s="14">
        <f>SUM(AJ71:AJ75)+AJ68</f>
        <v>1320.4560000000001</v>
      </c>
      <c r="AK76" s="14">
        <f>SUM(AK71:AK75)+AK68</f>
        <v>1352.896</v>
      </c>
      <c r="AL76" s="14">
        <f>SUM(AL71:AL75)+AL68</f>
        <v>1410.145</v>
      </c>
      <c r="AM76" s="14">
        <f>SUM(AM71:AM75)+AM68</f>
        <v>1369.3680000000002</v>
      </c>
      <c r="AN76" s="14">
        <f>SUM(AN71:AN75)+AN68</f>
        <v>1412.2620000000002</v>
      </c>
      <c r="AO76" s="14">
        <f>SUM(AO71:AO75)+AO68</f>
        <v>1448.2339999999999</v>
      </c>
      <c r="AP76" s="42"/>
      <c r="AQ76" s="76">
        <f t="shared" si="292"/>
        <v>7.0469570462178943E-2</v>
      </c>
    </row>
    <row r="77" spans="2:43" ht="5.0999999999999996" customHeight="1">
      <c r="B77" s="25"/>
      <c r="C77" s="49"/>
      <c r="D77" s="49"/>
      <c r="E77" s="49"/>
      <c r="F77" s="49"/>
      <c r="G77" s="41"/>
      <c r="H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H77" s="42"/>
      <c r="AI77" s="42"/>
      <c r="AJ77" s="42"/>
      <c r="AK77" s="42"/>
      <c r="AL77" s="42"/>
      <c r="AM77" s="42"/>
      <c r="AN77" s="42"/>
      <c r="AO77" s="42"/>
      <c r="AP77" s="42"/>
      <c r="AQ77" s="39"/>
    </row>
    <row r="78" spans="2:43" ht="12.75" customHeight="1">
      <c r="B78" s="9" t="s">
        <v>153</v>
      </c>
      <c r="C78" s="82">
        <v>65.343000000000004</v>
      </c>
      <c r="D78" s="82">
        <v>64.277000000000001</v>
      </c>
      <c r="E78" s="82">
        <v>72.978999999999999</v>
      </c>
      <c r="F78" s="82">
        <v>5.9829999999999997</v>
      </c>
      <c r="G78" s="82">
        <v>-89.39</v>
      </c>
      <c r="H78" s="82">
        <v>-41.683999999999997</v>
      </c>
      <c r="I78" s="32"/>
      <c r="J78" s="82">
        <v>69.772000000000006</v>
      </c>
      <c r="K78" s="82">
        <v>71.222999999999999</v>
      </c>
      <c r="L78" s="82">
        <v>79.498000000000005</v>
      </c>
      <c r="M78" s="82">
        <v>64.277000000000001</v>
      </c>
      <c r="N78" s="82">
        <v>69.756</v>
      </c>
      <c r="O78" s="82">
        <v>72.066000000000003</v>
      </c>
      <c r="P78" s="82">
        <v>70.177999999999997</v>
      </c>
      <c r="Q78" s="82">
        <v>72.978999999999999</v>
      </c>
      <c r="R78" s="82">
        <v>25.193000000000001</v>
      </c>
      <c r="S78" s="82">
        <v>7.8540000000000001</v>
      </c>
      <c r="T78" s="82">
        <v>-5.49</v>
      </c>
      <c r="U78" s="82">
        <v>5.9829999999999997</v>
      </c>
      <c r="V78" s="82">
        <v>0.93</v>
      </c>
      <c r="W78" s="82">
        <v>0.157</v>
      </c>
      <c r="X78" s="82">
        <v>-113.693</v>
      </c>
      <c r="Y78" s="32">
        <v>-89.39</v>
      </c>
      <c r="Z78" s="82">
        <v>-83.156000000000006</v>
      </c>
      <c r="AA78" s="82">
        <v>-77.747</v>
      </c>
      <c r="AB78" s="82">
        <v>-50.81</v>
      </c>
      <c r="AC78" s="32">
        <v>-41.683999999999997</v>
      </c>
      <c r="AD78" s="82">
        <v>-75.734999999999999</v>
      </c>
      <c r="AE78" s="82">
        <v>-66.528000000000006</v>
      </c>
      <c r="AF78" s="82">
        <v>-36.927</v>
      </c>
      <c r="AH78" s="32">
        <f>Y78</f>
        <v>-89.39</v>
      </c>
      <c r="AI78" s="32">
        <f>Z78</f>
        <v>-83.156000000000006</v>
      </c>
      <c r="AJ78" s="32">
        <f>AA78</f>
        <v>-77.747</v>
      </c>
      <c r="AK78" s="32">
        <f>AB78</f>
        <v>-50.81</v>
      </c>
      <c r="AL78" s="32">
        <f>AC78</f>
        <v>-41.683999999999997</v>
      </c>
      <c r="AM78" s="32">
        <f>AD78</f>
        <v>-75.734999999999999</v>
      </c>
      <c r="AN78" s="32">
        <f>AE78</f>
        <v>-66.528000000000006</v>
      </c>
      <c r="AO78" s="32">
        <f>AF78</f>
        <v>-36.927</v>
      </c>
      <c r="AP78" s="11"/>
      <c r="AQ78" s="75">
        <f t="shared" si="292"/>
        <v>-0.27323361543003355</v>
      </c>
    </row>
    <row r="79" spans="2:43" ht="12.75" customHeight="1">
      <c r="B79" s="9" t="s">
        <v>137</v>
      </c>
      <c r="C79" s="82"/>
      <c r="D79" s="82"/>
      <c r="E79" s="82"/>
      <c r="F79" s="82"/>
      <c r="G79" s="82"/>
      <c r="H79" s="82"/>
      <c r="I79" s="3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32">
        <f>G79</f>
        <v>0</v>
      </c>
      <c r="Z79" s="82"/>
      <c r="AA79" s="82"/>
      <c r="AB79" s="82"/>
      <c r="AC79" s="32">
        <f>H79</f>
        <v>0</v>
      </c>
      <c r="AD79" s="82"/>
      <c r="AE79" s="82"/>
      <c r="AF79" s="82"/>
      <c r="AH79" s="32">
        <f>Y79</f>
        <v>0</v>
      </c>
      <c r="AI79" s="32">
        <f>Z79</f>
        <v>0</v>
      </c>
      <c r="AJ79" s="32">
        <f>AA79</f>
        <v>0</v>
      </c>
      <c r="AK79" s="32">
        <f>AB79</f>
        <v>0</v>
      </c>
      <c r="AL79" s="32">
        <f>AC79</f>
        <v>0</v>
      </c>
      <c r="AM79" s="32">
        <f>AD79</f>
        <v>0</v>
      </c>
      <c r="AN79" s="32">
        <f>AE79</f>
        <v>0</v>
      </c>
      <c r="AO79" s="32">
        <f>AF79</f>
        <v>0</v>
      </c>
      <c r="AP79" s="11"/>
      <c r="AQ79" s="75"/>
    </row>
    <row r="80" spans="2:43" ht="12.75" customHeight="1">
      <c r="B80" s="9" t="s">
        <v>154</v>
      </c>
      <c r="C80" s="82"/>
      <c r="D80" s="82"/>
      <c r="E80" s="82"/>
      <c r="F80" s="82"/>
      <c r="G80" s="82"/>
      <c r="H80" s="82"/>
      <c r="I80" s="3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32">
        <f>G80</f>
        <v>0</v>
      </c>
      <c r="Z80" s="82"/>
      <c r="AA80" s="82"/>
      <c r="AB80" s="82"/>
      <c r="AC80" s="32">
        <f>H80</f>
        <v>0</v>
      </c>
      <c r="AD80" s="82"/>
      <c r="AE80" s="82"/>
      <c r="AF80" s="82"/>
      <c r="AH80" s="32">
        <f>Y80</f>
        <v>0</v>
      </c>
      <c r="AI80" s="32">
        <f>Z80</f>
        <v>0</v>
      </c>
      <c r="AJ80" s="32">
        <f>AA80</f>
        <v>0</v>
      </c>
      <c r="AK80" s="32">
        <f>AB80</f>
        <v>0</v>
      </c>
      <c r="AL80" s="32">
        <f>AC80</f>
        <v>0</v>
      </c>
      <c r="AM80" s="32">
        <f>AD80</f>
        <v>0</v>
      </c>
      <c r="AN80" s="32">
        <f>AE80</f>
        <v>0</v>
      </c>
      <c r="AO80" s="32">
        <f>AF80</f>
        <v>0</v>
      </c>
      <c r="AP80" s="11"/>
      <c r="AQ80" s="75"/>
    </row>
    <row r="81" spans="1:43" ht="12.75" customHeight="1">
      <c r="B81" s="9" t="s">
        <v>137</v>
      </c>
      <c r="C81" s="82"/>
      <c r="D81" s="82"/>
      <c r="E81" s="82"/>
      <c r="F81" s="82"/>
      <c r="G81" s="82"/>
      <c r="H81" s="82"/>
      <c r="I81" s="3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32">
        <f>G81</f>
        <v>0</v>
      </c>
      <c r="Z81" s="82"/>
      <c r="AA81" s="82"/>
      <c r="AB81" s="82"/>
      <c r="AC81" s="32">
        <f>H81</f>
        <v>0</v>
      </c>
      <c r="AD81" s="82"/>
      <c r="AE81" s="82"/>
      <c r="AF81" s="82"/>
      <c r="AH81" s="32">
        <f>Y81</f>
        <v>0</v>
      </c>
      <c r="AI81" s="32">
        <f>Z81</f>
        <v>0</v>
      </c>
      <c r="AJ81" s="32">
        <f>AA81</f>
        <v>0</v>
      </c>
      <c r="AK81" s="32">
        <f>AB81</f>
        <v>0</v>
      </c>
      <c r="AL81" s="32">
        <f>AC81</f>
        <v>0</v>
      </c>
      <c r="AM81" s="32">
        <f>AD81</f>
        <v>0</v>
      </c>
      <c r="AN81" s="32">
        <f>AE81</f>
        <v>0</v>
      </c>
      <c r="AO81" s="32">
        <f>AF81</f>
        <v>0</v>
      </c>
      <c r="AP81" s="11"/>
      <c r="AQ81" s="75" t="e">
        <f t="shared" si="292"/>
        <v>#DIV/0!</v>
      </c>
    </row>
    <row r="82" spans="1:43" ht="12.75" customHeight="1">
      <c r="B82" s="13" t="s">
        <v>14</v>
      </c>
      <c r="C82" s="14">
        <f t="shared" ref="C82" si="311">SUM(C78:C81)</f>
        <v>65.343000000000004</v>
      </c>
      <c r="D82" s="14">
        <f t="shared" ref="D82:E82" si="312">SUM(D78:D81)</f>
        <v>64.277000000000001</v>
      </c>
      <c r="E82" s="14">
        <f t="shared" si="312"/>
        <v>72.978999999999999</v>
      </c>
      <c r="F82" s="14">
        <f t="shared" ref="F82:H82" si="313">SUM(F78:F81)</f>
        <v>5.9829999999999997</v>
      </c>
      <c r="G82" s="14">
        <f t="shared" si="313"/>
        <v>-89.39</v>
      </c>
      <c r="H82" s="14">
        <f t="shared" si="313"/>
        <v>-41.683999999999997</v>
      </c>
      <c r="I82" s="52"/>
      <c r="J82" s="14">
        <f t="shared" ref="J82:M82" si="314">SUM(J78:J81)</f>
        <v>69.772000000000006</v>
      </c>
      <c r="K82" s="14">
        <f t="shared" si="314"/>
        <v>71.222999999999999</v>
      </c>
      <c r="L82" s="14">
        <f t="shared" si="314"/>
        <v>79.498000000000005</v>
      </c>
      <c r="M82" s="14">
        <f t="shared" ref="M82" si="315">SUM(M78:M81)</f>
        <v>64.277000000000001</v>
      </c>
      <c r="N82" s="14">
        <f t="shared" ref="N82:T82" si="316">SUM(N78:N81)</f>
        <v>69.756</v>
      </c>
      <c r="O82" s="14">
        <f t="shared" ref="O82:R82" si="317">SUM(O78:O81)</f>
        <v>72.066000000000003</v>
      </c>
      <c r="P82" s="14">
        <f t="shared" si="317"/>
        <v>70.177999999999997</v>
      </c>
      <c r="Q82" s="14">
        <f t="shared" si="317"/>
        <v>72.978999999999999</v>
      </c>
      <c r="R82" s="14">
        <f t="shared" si="316"/>
        <v>25.193000000000001</v>
      </c>
      <c r="S82" s="14">
        <f t="shared" si="316"/>
        <v>7.8540000000000001</v>
      </c>
      <c r="T82" s="14">
        <f t="shared" si="316"/>
        <v>-5.49</v>
      </c>
      <c r="U82" s="14">
        <f t="shared" ref="U82" si="318">SUM(U78:U81)</f>
        <v>5.9829999999999997</v>
      </c>
      <c r="V82" s="14">
        <f t="shared" ref="V82:AF82" si="319">SUM(V78:V81)</f>
        <v>0.93</v>
      </c>
      <c r="W82" s="14">
        <f t="shared" si="319"/>
        <v>0.157</v>
      </c>
      <c r="X82" s="14">
        <f t="shared" si="319"/>
        <v>-113.693</v>
      </c>
      <c r="Y82" s="14">
        <f t="shared" si="319"/>
        <v>-89.39</v>
      </c>
      <c r="Z82" s="14">
        <f t="shared" si="319"/>
        <v>-83.156000000000006</v>
      </c>
      <c r="AA82" s="14">
        <f t="shared" si="319"/>
        <v>-77.747</v>
      </c>
      <c r="AB82" s="14">
        <f t="shared" si="319"/>
        <v>-50.81</v>
      </c>
      <c r="AC82" s="14">
        <f t="shared" si="319"/>
        <v>-41.683999999999997</v>
      </c>
      <c r="AD82" s="14">
        <f t="shared" si="319"/>
        <v>-75.734999999999999</v>
      </c>
      <c r="AE82" s="14">
        <f t="shared" si="319"/>
        <v>-66.528000000000006</v>
      </c>
      <c r="AF82" s="14">
        <f t="shared" si="319"/>
        <v>-36.927</v>
      </c>
      <c r="AH82" s="14">
        <f t="shared" ref="AH82:AO82" si="320">SUM(AH78:AH81)</f>
        <v>-89.39</v>
      </c>
      <c r="AI82" s="14">
        <f t="shared" si="320"/>
        <v>-83.156000000000006</v>
      </c>
      <c r="AJ82" s="14">
        <f t="shared" si="320"/>
        <v>-77.747</v>
      </c>
      <c r="AK82" s="14">
        <f t="shared" si="320"/>
        <v>-50.81</v>
      </c>
      <c r="AL82" s="14">
        <f t="shared" si="320"/>
        <v>-41.683999999999997</v>
      </c>
      <c r="AM82" s="14">
        <f t="shared" si="320"/>
        <v>-75.734999999999999</v>
      </c>
      <c r="AN82" s="14">
        <f t="shared" si="320"/>
        <v>-66.528000000000006</v>
      </c>
      <c r="AO82" s="14">
        <f t="shared" si="320"/>
        <v>-36.927</v>
      </c>
      <c r="AP82" s="42"/>
      <c r="AQ82" s="75">
        <f t="shared" si="292"/>
        <v>-0.27323361543003355</v>
      </c>
    </row>
    <row r="83" spans="1:43" ht="12.75" customHeight="1">
      <c r="B83" s="25" t="s">
        <v>49</v>
      </c>
      <c r="C83" s="32">
        <f t="shared" ref="C83" si="321">SUM(C82+C76)</f>
        <v>646.26499999999999</v>
      </c>
      <c r="D83" s="32">
        <f t="shared" ref="D83:E83" si="322">SUM(D82+D76)</f>
        <v>707.00600000000009</v>
      </c>
      <c r="E83" s="32">
        <f t="shared" si="322"/>
        <v>786.75900000000001</v>
      </c>
      <c r="F83" s="32">
        <f t="shared" ref="F83:H83" si="323">SUM(F82+F76)</f>
        <v>819.61999999999989</v>
      </c>
      <c r="G83" s="32">
        <f t="shared" si="323"/>
        <v>1218.8599999999999</v>
      </c>
      <c r="H83" s="32">
        <f t="shared" si="323"/>
        <v>1368.461</v>
      </c>
      <c r="I83" s="32"/>
      <c r="J83" s="32">
        <f t="shared" ref="J83:M83" si="324">SUM(J82+J76)</f>
        <v>643.71600000000001</v>
      </c>
      <c r="K83" s="32">
        <f t="shared" si="324"/>
        <v>654.71599999999989</v>
      </c>
      <c r="L83" s="32">
        <f t="shared" si="324"/>
        <v>687.50100000000009</v>
      </c>
      <c r="M83" s="32">
        <f t="shared" ref="M83" si="325">SUM(M82+M76)</f>
        <v>707.00600000000009</v>
      </c>
      <c r="N83" s="32">
        <f t="shared" ref="N83:T83" si="326">SUM(N82+N76)</f>
        <v>708.42</v>
      </c>
      <c r="O83" s="32">
        <f t="shared" ref="O83:R83" si="327">SUM(O82+O76)</f>
        <v>738.88200000000006</v>
      </c>
      <c r="P83" s="32">
        <f t="shared" si="327"/>
        <v>750.21500000000003</v>
      </c>
      <c r="Q83" s="32">
        <f t="shared" si="327"/>
        <v>786.75900000000001</v>
      </c>
      <c r="R83" s="32">
        <f t="shared" si="326"/>
        <v>769.88300000000004</v>
      </c>
      <c r="S83" s="32">
        <f t="shared" si="326"/>
        <v>776.76099999999997</v>
      </c>
      <c r="T83" s="32">
        <f t="shared" si="326"/>
        <v>776.62800000000004</v>
      </c>
      <c r="U83" s="32">
        <f t="shared" ref="U83" si="328">SUM(U82+U76)</f>
        <v>819.61999999999989</v>
      </c>
      <c r="V83" s="32">
        <f t="shared" ref="V83:AF83" si="329">SUM(V82+V76)</f>
        <v>800.07399999999996</v>
      </c>
      <c r="W83" s="32">
        <f t="shared" si="329"/>
        <v>830.79499999999996</v>
      </c>
      <c r="X83" s="32">
        <f t="shared" si="329"/>
        <v>1148.768</v>
      </c>
      <c r="Y83" s="32">
        <f t="shared" si="329"/>
        <v>1218.8599999999999</v>
      </c>
      <c r="Z83" s="32">
        <f t="shared" si="329"/>
        <v>1201.9040000000002</v>
      </c>
      <c r="AA83" s="32">
        <f t="shared" si="329"/>
        <v>1242.7090000000001</v>
      </c>
      <c r="AB83" s="32">
        <f t="shared" si="329"/>
        <v>1302.086</v>
      </c>
      <c r="AC83" s="32">
        <f t="shared" si="329"/>
        <v>1368.461</v>
      </c>
      <c r="AD83" s="32">
        <f t="shared" si="329"/>
        <v>1293.6330000000003</v>
      </c>
      <c r="AE83" s="32">
        <f t="shared" si="329"/>
        <v>1345.7340000000002</v>
      </c>
      <c r="AF83" s="32">
        <f t="shared" si="329"/>
        <v>1411.307</v>
      </c>
      <c r="AG83" s="32"/>
      <c r="AH83" s="32">
        <f t="shared" ref="AH83:AO83" si="330">SUM(AH82+AH76)</f>
        <v>1218.8599999999999</v>
      </c>
      <c r="AI83" s="32">
        <f t="shared" si="330"/>
        <v>1201.9040000000002</v>
      </c>
      <c r="AJ83" s="32">
        <f t="shared" si="330"/>
        <v>1242.7090000000001</v>
      </c>
      <c r="AK83" s="32">
        <f t="shared" si="330"/>
        <v>1302.086</v>
      </c>
      <c r="AL83" s="32">
        <f t="shared" si="330"/>
        <v>1368.461</v>
      </c>
      <c r="AM83" s="32">
        <f t="shared" si="330"/>
        <v>1293.6330000000003</v>
      </c>
      <c r="AN83" s="32">
        <f t="shared" si="330"/>
        <v>1345.7340000000002</v>
      </c>
      <c r="AO83" s="32">
        <f t="shared" si="330"/>
        <v>1411.307</v>
      </c>
      <c r="AP83" s="11"/>
      <c r="AQ83" s="76">
        <f t="shared" si="292"/>
        <v>8.3881556210572805E-2</v>
      </c>
    </row>
    <row r="84" spans="1:43" ht="5.0999999999999996" customHeight="1">
      <c r="B84" s="25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11"/>
    </row>
    <row r="85" spans="1:43" ht="12.75" customHeight="1">
      <c r="B85" s="139" t="s">
        <v>58</v>
      </c>
      <c r="C85" s="69">
        <f>C83-C60</f>
        <v>7.3139999999999645</v>
      </c>
      <c r="D85" s="69">
        <f>D83-D60</f>
        <v>0</v>
      </c>
      <c r="E85" s="69">
        <f>E83-E60</f>
        <v>0</v>
      </c>
      <c r="F85" s="69">
        <f>F83-F60</f>
        <v>0</v>
      </c>
      <c r="G85" s="69">
        <f>G83-G60</f>
        <v>0</v>
      </c>
      <c r="H85" s="69">
        <f>H83-H60</f>
        <v>-8.0000000000381988E-3</v>
      </c>
      <c r="I85" s="70"/>
      <c r="J85" s="69">
        <f t="shared" ref="J85:M85" si="331">J83-J60</f>
        <v>0</v>
      </c>
      <c r="K85" s="69">
        <f t="shared" si="331"/>
        <v>-1.1000000000194632E-2</v>
      </c>
      <c r="L85" s="69">
        <f t="shared" si="331"/>
        <v>-36</v>
      </c>
      <c r="M85" s="69">
        <f>M83-M60</f>
        <v>0</v>
      </c>
      <c r="N85" s="69">
        <f>N83-N60</f>
        <v>-3.0000000000427463E-3</v>
      </c>
      <c r="O85" s="69">
        <f>O83-O60</f>
        <v>0</v>
      </c>
      <c r="P85" s="69">
        <f>P83-P60</f>
        <v>0</v>
      </c>
      <c r="Q85" s="69">
        <f>Q83-Q60</f>
        <v>0</v>
      </c>
      <c r="R85" s="69">
        <f>R83-R60</f>
        <v>0</v>
      </c>
      <c r="S85" s="69">
        <f>S83-S60</f>
        <v>3.0000000001564331E-3</v>
      </c>
      <c r="T85" s="69">
        <f>T83-T60</f>
        <v>-8.9999999999008651E-3</v>
      </c>
      <c r="U85" s="69">
        <f>U83-U60</f>
        <v>0</v>
      </c>
      <c r="V85" s="69">
        <f>V83-V60</f>
        <v>9.9999999997635314E-4</v>
      </c>
      <c r="W85" s="69">
        <f>W83-W60</f>
        <v>0</v>
      </c>
      <c r="X85" s="69">
        <f>X83-X60</f>
        <v>-0.36000000000012733</v>
      </c>
      <c r="Y85" s="69">
        <f>Y83-Y60</f>
        <v>0</v>
      </c>
      <c r="Z85" s="69">
        <f>Z83-Z60</f>
        <v>0</v>
      </c>
      <c r="AA85" s="69">
        <f>AA83-AA60</f>
        <v>1.999999999998181E-2</v>
      </c>
      <c r="AB85" s="69">
        <f>AB83-AB60</f>
        <v>0</v>
      </c>
      <c r="AC85" s="69">
        <f>AC83-AC60</f>
        <v>-8.0000000000381988E-3</v>
      </c>
      <c r="AD85" s="69">
        <f>AD83-AD60</f>
        <v>7.0000000002892193E-3</v>
      </c>
      <c r="AE85" s="69">
        <f>AE83-AE60</f>
        <v>6.6000000000258296E-2</v>
      </c>
      <c r="AF85" s="69">
        <f>AF83-AF60</f>
        <v>6.0000000000854925E-3</v>
      </c>
      <c r="AG85" s="28"/>
      <c r="AH85" s="69">
        <f>AH83-AH60</f>
        <v>0</v>
      </c>
      <c r="AI85" s="69">
        <f>AI83-AI60</f>
        <v>0</v>
      </c>
      <c r="AJ85" s="69">
        <f>AJ83-AJ60</f>
        <v>1.999999999998181E-2</v>
      </c>
      <c r="AK85" s="69">
        <f>AK83-AK60</f>
        <v>0</v>
      </c>
      <c r="AL85" s="69">
        <f>AL83-AL60</f>
        <v>-8.0000000000381988E-3</v>
      </c>
      <c r="AM85" s="69">
        <f>AM83-AM60</f>
        <v>7.0000000002892193E-3</v>
      </c>
      <c r="AN85" s="69">
        <f>AN83-AN60</f>
        <v>6.6000000000258296E-2</v>
      </c>
      <c r="AO85" s="69">
        <f>AO83-AO60</f>
        <v>6.0000000000854925E-3</v>
      </c>
    </row>
    <row r="86" spans="1:43" ht="5.0999999999999996" customHeight="1" thickBot="1">
      <c r="B86" s="116"/>
      <c r="C86" s="117"/>
      <c r="D86" s="117"/>
      <c r="E86" s="117"/>
      <c r="F86" s="117"/>
      <c r="G86" s="117"/>
      <c r="H86" s="117"/>
      <c r="I86" s="118"/>
      <c r="J86" s="117"/>
      <c r="K86" s="117"/>
      <c r="L86" s="117"/>
      <c r="M86" s="117"/>
      <c r="N86" s="117"/>
      <c r="O86" s="117"/>
      <c r="P86" s="117"/>
      <c r="Q86" s="117"/>
      <c r="R86" s="117"/>
      <c r="S86" s="117"/>
      <c r="T86" s="117"/>
      <c r="U86" s="117"/>
      <c r="V86" s="117"/>
      <c r="W86" s="117"/>
      <c r="X86" s="117"/>
      <c r="Y86" s="117"/>
      <c r="Z86" s="117"/>
      <c r="AA86" s="117"/>
      <c r="AB86" s="117"/>
      <c r="AC86" s="117"/>
      <c r="AD86" s="117"/>
      <c r="AE86" s="117"/>
      <c r="AF86" s="117"/>
      <c r="AG86" s="119"/>
      <c r="AH86" s="117"/>
      <c r="AI86" s="117"/>
      <c r="AJ86" s="117"/>
      <c r="AK86" s="117"/>
      <c r="AL86" s="117"/>
      <c r="AM86" s="117"/>
      <c r="AN86" s="117"/>
      <c r="AO86" s="117"/>
      <c r="AP86" s="73"/>
      <c r="AQ86" s="73"/>
    </row>
    <row r="87" spans="1:43">
      <c r="B87" s="68"/>
      <c r="C87" s="24"/>
      <c r="D87" s="24"/>
      <c r="E87" s="24"/>
      <c r="F87" s="24"/>
      <c r="G87" s="24"/>
      <c r="H87" s="24"/>
      <c r="I87" s="53"/>
    </row>
    <row r="88" spans="1:43" ht="12.75" customHeight="1">
      <c r="A88" s="5" t="s">
        <v>16</v>
      </c>
      <c r="B88" s="98" t="s">
        <v>13</v>
      </c>
      <c r="C88" s="102"/>
      <c r="D88" s="102"/>
      <c r="E88" s="102"/>
      <c r="F88" s="102"/>
      <c r="G88" s="102"/>
      <c r="H88" s="102"/>
      <c r="I88" s="103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98"/>
      <c r="AH88" s="102"/>
      <c r="AI88" s="102"/>
      <c r="AJ88" s="102" t="s">
        <v>10</v>
      </c>
      <c r="AK88" s="102"/>
      <c r="AL88" s="102"/>
      <c r="AM88" s="102"/>
      <c r="AN88" s="102"/>
      <c r="AO88" s="102"/>
      <c r="AP88" s="103"/>
      <c r="AQ88" s="164" t="s">
        <v>22</v>
      </c>
    </row>
    <row r="89" spans="1:43" ht="12.75" customHeight="1">
      <c r="B89" s="99" t="str">
        <f>B7</f>
        <v>Fiscal Period</v>
      </c>
      <c r="C89" s="104">
        <f>C7</f>
        <v>2019</v>
      </c>
      <c r="D89" s="104">
        <f>D7</f>
        <v>2020</v>
      </c>
      <c r="E89" s="104">
        <f>E7</f>
        <v>2021</v>
      </c>
      <c r="F89" s="104">
        <f>F7</f>
        <v>2022</v>
      </c>
      <c r="G89" s="104">
        <f>G7</f>
        <v>2023</v>
      </c>
      <c r="H89" s="104">
        <f>H7</f>
        <v>2024</v>
      </c>
      <c r="I89" s="103"/>
      <c r="J89" s="104" t="str">
        <f>J7</f>
        <v>1Q20</v>
      </c>
      <c r="K89" s="104" t="str">
        <f>K7</f>
        <v>2Q20</v>
      </c>
      <c r="L89" s="104" t="str">
        <f>L7</f>
        <v>3Q20</v>
      </c>
      <c r="M89" s="104" t="str">
        <f>M7</f>
        <v>4Q20</v>
      </c>
      <c r="N89" s="104" t="str">
        <f>N7</f>
        <v>1Q21</v>
      </c>
      <c r="O89" s="104" t="str">
        <f>O7</f>
        <v>2Q21</v>
      </c>
      <c r="P89" s="104" t="str">
        <f>P7</f>
        <v>3Q21</v>
      </c>
      <c r="Q89" s="104" t="str">
        <f>Q7</f>
        <v>4Q21</v>
      </c>
      <c r="R89" s="104" t="str">
        <f>R7</f>
        <v>1Q22</v>
      </c>
      <c r="S89" s="104" t="str">
        <f>S7</f>
        <v>2Q22</v>
      </c>
      <c r="T89" s="104" t="str">
        <f>T7</f>
        <v>3Q22</v>
      </c>
      <c r="U89" s="104" t="str">
        <f>U7</f>
        <v>4Q22</v>
      </c>
      <c r="V89" s="104" t="str">
        <f>V7</f>
        <v>1Q23</v>
      </c>
      <c r="W89" s="104" t="str">
        <f>W7</f>
        <v>2Q23</v>
      </c>
      <c r="X89" s="104" t="str">
        <f>X7</f>
        <v>3Q23</v>
      </c>
      <c r="Y89" s="104" t="str">
        <f>Y7</f>
        <v>4Q23</v>
      </c>
      <c r="Z89" s="104" t="str">
        <f>Z7</f>
        <v>1Q24</v>
      </c>
      <c r="AA89" s="104" t="str">
        <f>AA7</f>
        <v>2Q24</v>
      </c>
      <c r="AB89" s="104" t="str">
        <f>AB7</f>
        <v>3Q24</v>
      </c>
      <c r="AC89" s="104" t="str">
        <f>AC7</f>
        <v>4Q24</v>
      </c>
      <c r="AD89" s="104" t="str">
        <f>AD7</f>
        <v>1Q25</v>
      </c>
      <c r="AE89" s="104" t="str">
        <f>AE7</f>
        <v>2Q25</v>
      </c>
      <c r="AF89" s="104" t="str">
        <f>AF7</f>
        <v>3Q25</v>
      </c>
      <c r="AG89" s="104"/>
      <c r="AH89" s="104" t="str">
        <f>AH7</f>
        <v>4Q23</v>
      </c>
      <c r="AI89" s="104" t="str">
        <f>AI7</f>
        <v>1Q24</v>
      </c>
      <c r="AJ89" s="104" t="str">
        <f>AJ7</f>
        <v>2Q24</v>
      </c>
      <c r="AK89" s="104" t="str">
        <f>AK7</f>
        <v>3Q24</v>
      </c>
      <c r="AL89" s="104" t="str">
        <f>AL7</f>
        <v>4Q24</v>
      </c>
      <c r="AM89" s="104" t="str">
        <f>AM7</f>
        <v>1Q25</v>
      </c>
      <c r="AN89" s="104" t="str">
        <f>AN7</f>
        <v>2Q25</v>
      </c>
      <c r="AO89" s="104" t="str">
        <f>AO7</f>
        <v>3Q25</v>
      </c>
      <c r="AP89" s="103"/>
      <c r="AQ89" s="164"/>
    </row>
    <row r="90" spans="1:43" ht="12.75" customHeight="1">
      <c r="B90" s="99" t="str">
        <f>B8</f>
        <v>Fiscal Period End Date</v>
      </c>
      <c r="C90" s="105">
        <f>C8</f>
        <v>0</v>
      </c>
      <c r="D90" s="105">
        <f>D8</f>
        <v>0</v>
      </c>
      <c r="E90" s="105">
        <f>E8</f>
        <v>0</v>
      </c>
      <c r="F90" s="105">
        <f>F8</f>
        <v>0</v>
      </c>
      <c r="G90" s="105">
        <f>G8</f>
        <v>0</v>
      </c>
      <c r="H90" s="105">
        <f>H8</f>
        <v>0</v>
      </c>
      <c r="I90" s="103"/>
      <c r="J90" s="105">
        <f>J8</f>
        <v>0</v>
      </c>
      <c r="K90" s="105">
        <f>K8</f>
        <v>0</v>
      </c>
      <c r="L90" s="105">
        <f>L8</f>
        <v>0</v>
      </c>
      <c r="M90" s="105">
        <f>M8</f>
        <v>0</v>
      </c>
      <c r="N90" s="105">
        <f>N8</f>
        <v>0</v>
      </c>
      <c r="O90" s="105">
        <f>O8</f>
        <v>0</v>
      </c>
      <c r="P90" s="105">
        <f>P8</f>
        <v>0</v>
      </c>
      <c r="Q90" s="105">
        <f>Q8</f>
        <v>0</v>
      </c>
      <c r="R90" s="105">
        <f>R8</f>
        <v>0</v>
      </c>
      <c r="S90" s="105">
        <f>S8</f>
        <v>0</v>
      </c>
      <c r="T90" s="105">
        <f>T8</f>
        <v>0</v>
      </c>
      <c r="U90" s="105">
        <f>U8</f>
        <v>0</v>
      </c>
      <c r="V90" s="105">
        <f>V8</f>
        <v>0</v>
      </c>
      <c r="W90" s="105">
        <f>W8</f>
        <v>0</v>
      </c>
      <c r="X90" s="105">
        <f>X8</f>
        <v>0</v>
      </c>
      <c r="Y90" s="105">
        <f>Y8</f>
        <v>0</v>
      </c>
      <c r="Z90" s="105">
        <f>Z8</f>
        <v>0</v>
      </c>
      <c r="AA90" s="105">
        <f>AA8</f>
        <v>0</v>
      </c>
      <c r="AB90" s="105">
        <f>AB8</f>
        <v>0</v>
      </c>
      <c r="AC90" s="105">
        <f>AC8</f>
        <v>0</v>
      </c>
      <c r="AD90" s="105">
        <f>AD8</f>
        <v>0</v>
      </c>
      <c r="AE90" s="105">
        <f>AE8</f>
        <v>0</v>
      </c>
      <c r="AF90" s="105">
        <f>AF8</f>
        <v>0</v>
      </c>
      <c r="AG90" s="105"/>
      <c r="AH90" s="105">
        <f>AH8</f>
        <v>0</v>
      </c>
      <c r="AI90" s="105">
        <f>AI8</f>
        <v>0</v>
      </c>
      <c r="AJ90" s="105">
        <f>AJ8</f>
        <v>0</v>
      </c>
      <c r="AK90" s="105">
        <f>AK8</f>
        <v>0</v>
      </c>
      <c r="AL90" s="105">
        <f>AL8</f>
        <v>0</v>
      </c>
      <c r="AM90" s="105">
        <f>AM8</f>
        <v>0</v>
      </c>
      <c r="AN90" s="105">
        <f>AN8</f>
        <v>0</v>
      </c>
      <c r="AO90" s="105">
        <f>AO8</f>
        <v>0</v>
      </c>
      <c r="AP90" s="103"/>
      <c r="AQ90" s="164"/>
    </row>
    <row r="91" spans="1:43" ht="5.0999999999999996" customHeight="1">
      <c r="B91" s="54"/>
      <c r="C91" s="47"/>
      <c r="D91" s="47"/>
      <c r="E91" s="47"/>
      <c r="F91" s="47"/>
      <c r="G91" s="47"/>
      <c r="H91" s="47"/>
    </row>
    <row r="92" spans="1:43" ht="12.75" customHeight="1">
      <c r="B92" s="55" t="s">
        <v>50</v>
      </c>
      <c r="C92" s="56"/>
      <c r="D92" s="56"/>
      <c r="E92" s="56"/>
      <c r="F92" s="56"/>
      <c r="G92" s="56"/>
      <c r="H92" s="56"/>
    </row>
    <row r="93" spans="1:43" ht="12.75" customHeight="1">
      <c r="B93" s="57" t="s">
        <v>105</v>
      </c>
      <c r="C93" s="32">
        <f>C31</f>
        <v>-47.479000000000063</v>
      </c>
      <c r="D93" s="32">
        <f t="shared" ref="D93:AO93" si="332">D31</f>
        <v>-47.987999999999971</v>
      </c>
      <c r="E93" s="32">
        <f t="shared" si="332"/>
        <v>-37.730000000000025</v>
      </c>
      <c r="F93" s="32">
        <f t="shared" si="332"/>
        <v>-90.947000000000131</v>
      </c>
      <c r="G93" s="32">
        <f t="shared" si="332"/>
        <v>-127.52500000000005</v>
      </c>
      <c r="H93" s="32">
        <f t="shared" si="332"/>
        <v>-55.041999999999987</v>
      </c>
      <c r="I93" s="32"/>
      <c r="J93" s="32">
        <f t="shared" si="332"/>
        <v>-10.350999999999996</v>
      </c>
      <c r="K93" s="32">
        <f t="shared" si="332"/>
        <v>-19.128000000000011</v>
      </c>
      <c r="L93" s="32">
        <f t="shared" si="332"/>
        <v>-10.110999999999997</v>
      </c>
      <c r="M93" s="32">
        <f t="shared" si="332"/>
        <v>-8.1530000000000005</v>
      </c>
      <c r="N93" s="32">
        <f t="shared" si="332"/>
        <v>-6.7679999999999918</v>
      </c>
      <c r="O93" s="32">
        <f t="shared" si="332"/>
        <v>-8.6219999999999821</v>
      </c>
      <c r="P93" s="32">
        <f t="shared" si="332"/>
        <v>-7.3659999999999943</v>
      </c>
      <c r="Q93" s="32">
        <f t="shared" si="332"/>
        <v>-15.278000000000009</v>
      </c>
      <c r="R93" s="32">
        <f t="shared" si="332"/>
        <v>-19.047000000000004</v>
      </c>
      <c r="S93" s="32">
        <f t="shared" si="332"/>
        <v>-29.568000000000008</v>
      </c>
      <c r="T93" s="32">
        <f t="shared" si="332"/>
        <v>-29.809000000000012</v>
      </c>
      <c r="U93" s="32">
        <f t="shared" si="332"/>
        <v>-13.584000000000028</v>
      </c>
      <c r="V93" s="32">
        <f t="shared" si="332"/>
        <v>-46.095000000000006</v>
      </c>
      <c r="W93" s="32">
        <f t="shared" si="332"/>
        <v>-21.584000000000014</v>
      </c>
      <c r="X93" s="32">
        <f t="shared" si="332"/>
        <v>-56.361999999999995</v>
      </c>
      <c r="Y93" s="32">
        <f t="shared" si="332"/>
        <v>-4.2460000000000129</v>
      </c>
      <c r="Z93" s="32">
        <f t="shared" si="332"/>
        <v>-11.932999999999986</v>
      </c>
      <c r="AA93" s="32">
        <f t="shared" si="332"/>
        <v>-18.570999999999998</v>
      </c>
      <c r="AB93" s="32">
        <f t="shared" si="332"/>
        <v>-17.971999999999948</v>
      </c>
      <c r="AC93" s="32">
        <f t="shared" si="332"/>
        <v>-8.0000000000000515</v>
      </c>
      <c r="AD93" s="32">
        <f t="shared" si="332"/>
        <v>-18.811999999999976</v>
      </c>
      <c r="AE93" s="32">
        <f t="shared" si="332"/>
        <v>-17.689999999999987</v>
      </c>
      <c r="AF93" s="32">
        <f t="shared" si="332"/>
        <v>2.165000000000008</v>
      </c>
      <c r="AG93" s="32"/>
      <c r="AH93" s="32">
        <f t="shared" si="332"/>
        <v>-128.28700000000003</v>
      </c>
      <c r="AI93" s="32">
        <f t="shared" si="332"/>
        <v>-94.124999999999929</v>
      </c>
      <c r="AJ93" s="32">
        <f t="shared" si="332"/>
        <v>-91.111999999999952</v>
      </c>
      <c r="AK93" s="32">
        <f t="shared" si="332"/>
        <v>-52.721999999999923</v>
      </c>
      <c r="AL93" s="32">
        <f t="shared" si="332"/>
        <v>-56.475999999999985</v>
      </c>
      <c r="AM93" s="32">
        <f t="shared" si="332"/>
        <v>-63.355000000000153</v>
      </c>
      <c r="AN93" s="32">
        <f t="shared" si="332"/>
        <v>-62.473999999999791</v>
      </c>
      <c r="AO93" s="32">
        <f t="shared" si="332"/>
        <v>-42.336999999999968</v>
      </c>
      <c r="AP93" s="11"/>
      <c r="AQ93" s="75">
        <f>SUM(AO93/AK93)-1</f>
        <v>-0.19697659421114466</v>
      </c>
    </row>
    <row r="94" spans="1:43" ht="5.0999999999999996" customHeight="1"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H94" s="32"/>
      <c r="AI94" s="32"/>
      <c r="AJ94" s="32"/>
      <c r="AK94" s="32"/>
      <c r="AL94" s="32"/>
      <c r="AM94" s="32"/>
      <c r="AN94" s="32"/>
      <c r="AO94" s="32"/>
      <c r="AP94" s="11"/>
      <c r="AQ94" s="75"/>
    </row>
    <row r="95" spans="1:43" ht="12.75" customHeight="1">
      <c r="B95" s="36" t="s">
        <v>57</v>
      </c>
      <c r="C95" s="32"/>
      <c r="D95" s="32"/>
      <c r="E95" s="32"/>
      <c r="F95" s="32"/>
      <c r="G95" s="32"/>
      <c r="H95" s="32"/>
      <c r="I95" s="32"/>
      <c r="J95" s="82"/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32"/>
      <c r="Z95" s="82"/>
      <c r="AA95" s="82"/>
      <c r="AB95" s="82"/>
      <c r="AC95" s="32"/>
      <c r="AD95" s="82"/>
      <c r="AE95" s="82"/>
      <c r="AF95" s="82"/>
      <c r="AH95" s="32"/>
      <c r="AI95" s="32"/>
      <c r="AJ95" s="32"/>
      <c r="AK95" s="32"/>
      <c r="AL95" s="32"/>
      <c r="AM95" s="32"/>
      <c r="AN95" s="32"/>
      <c r="AO95" s="32"/>
      <c r="AP95" s="59"/>
      <c r="AQ95" s="75"/>
    </row>
    <row r="96" spans="1:43" ht="12.75" customHeight="1">
      <c r="B96" s="60" t="s">
        <v>138</v>
      </c>
      <c r="C96" s="82"/>
      <c r="D96" s="82"/>
      <c r="E96" s="82"/>
      <c r="F96" s="82"/>
      <c r="G96" s="82"/>
      <c r="H96" s="82"/>
      <c r="I96" s="32"/>
      <c r="J96" s="82"/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32">
        <f>SUM(G96-SUM(V96:X96))</f>
        <v>0</v>
      </c>
      <c r="Z96" s="82"/>
      <c r="AA96" s="82"/>
      <c r="AB96" s="82"/>
      <c r="AC96" s="32">
        <f>SUM(H96-SUM(Z96:AB96))</f>
        <v>0</v>
      </c>
      <c r="AD96" s="82"/>
      <c r="AE96" s="82"/>
      <c r="AF96" s="82"/>
      <c r="AH96" s="32">
        <f>SUM(V96:Y96)</f>
        <v>0</v>
      </c>
      <c r="AI96" s="32">
        <f>SUM(W96:Z96)</f>
        <v>0</v>
      </c>
      <c r="AJ96" s="32">
        <f>SUM(X96:AA96)</f>
        <v>0</v>
      </c>
      <c r="AK96" s="32">
        <f>SUM(Y96:AB96)</f>
        <v>0</v>
      </c>
      <c r="AL96" s="32">
        <f>SUM(Z96:AC96)</f>
        <v>0</v>
      </c>
      <c r="AM96" s="32">
        <f>SUM(AA96:AD96)</f>
        <v>0</v>
      </c>
      <c r="AN96" s="32">
        <f>SUM(AB96:AE96)</f>
        <v>0</v>
      </c>
      <c r="AO96" s="32">
        <f>SUM(AC96:AF96)</f>
        <v>0</v>
      </c>
      <c r="AP96" s="11"/>
      <c r="AQ96" s="75" t="e">
        <f t="shared" ref="AQ96:AQ102" si="333">SUM(AO96/AK96)-1</f>
        <v>#DIV/0!</v>
      </c>
    </row>
    <row r="97" spans="2:43" ht="12.75" customHeight="1">
      <c r="B97" s="60" t="s">
        <v>139</v>
      </c>
      <c r="C97" s="82"/>
      <c r="D97" s="82"/>
      <c r="E97" s="82"/>
      <c r="F97" s="82"/>
      <c r="G97" s="82"/>
      <c r="H97" s="82"/>
      <c r="I97" s="32"/>
      <c r="J97" s="82"/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32">
        <f>SUM(G97-SUM(V97:X97))</f>
        <v>0</v>
      </c>
      <c r="Z97" s="82"/>
      <c r="AA97" s="82"/>
      <c r="AB97" s="82"/>
      <c r="AC97" s="32">
        <f>SUM(H97-SUM(Z97:AB97))</f>
        <v>0</v>
      </c>
      <c r="AD97" s="82"/>
      <c r="AE97" s="82"/>
      <c r="AF97" s="82"/>
      <c r="AH97" s="32">
        <f>SUM(V97:Y97)</f>
        <v>0</v>
      </c>
      <c r="AI97" s="32">
        <f>SUM(W97:Z97)</f>
        <v>0</v>
      </c>
      <c r="AJ97" s="32">
        <f>SUM(X97:AA97)</f>
        <v>0</v>
      </c>
      <c r="AK97" s="32">
        <f>SUM(Y97:AB97)</f>
        <v>0</v>
      </c>
      <c r="AL97" s="32">
        <f>SUM(Z97:AC97)</f>
        <v>0</v>
      </c>
      <c r="AM97" s="32">
        <f>SUM(AA97:AD97)</f>
        <v>0</v>
      </c>
      <c r="AN97" s="32">
        <f>SUM(AB97:AE97)</f>
        <v>0</v>
      </c>
      <c r="AO97" s="32">
        <f>SUM(AC97:AF97)</f>
        <v>0</v>
      </c>
      <c r="AP97" s="11"/>
      <c r="AQ97" s="75" t="e">
        <f t="shared" ref="AQ97" si="334">SUM(AO97/AK97)-1</f>
        <v>#DIV/0!</v>
      </c>
    </row>
    <row r="98" spans="2:43" ht="12.75" customHeight="1">
      <c r="B98" s="60" t="s">
        <v>140</v>
      </c>
      <c r="C98" s="82"/>
      <c r="D98" s="82"/>
      <c r="E98" s="82"/>
      <c r="F98" s="82"/>
      <c r="G98" s="82"/>
      <c r="H98" s="82"/>
      <c r="I98" s="32"/>
      <c r="J98" s="82"/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32">
        <f>SUM(G98-SUM(V98:X98))</f>
        <v>0</v>
      </c>
      <c r="Z98" s="82"/>
      <c r="AA98" s="82"/>
      <c r="AB98" s="82"/>
      <c r="AC98" s="32">
        <f>SUM(H98-SUM(Z98:AB98))</f>
        <v>0</v>
      </c>
      <c r="AD98" s="82"/>
      <c r="AE98" s="82"/>
      <c r="AF98" s="82"/>
      <c r="AH98" s="32">
        <f>SUM(V98:Y98)</f>
        <v>0</v>
      </c>
      <c r="AI98" s="32">
        <f>SUM(W98:Z98)</f>
        <v>0</v>
      </c>
      <c r="AJ98" s="32">
        <f>SUM(X98:AA98)</f>
        <v>0</v>
      </c>
      <c r="AK98" s="32">
        <f>SUM(Y98:AB98)</f>
        <v>0</v>
      </c>
      <c r="AL98" s="32">
        <f>SUM(Z98:AC98)</f>
        <v>0</v>
      </c>
      <c r="AM98" s="32">
        <f>SUM(AA98:AD98)</f>
        <v>0</v>
      </c>
      <c r="AN98" s="32">
        <f>SUM(AB98:AE98)</f>
        <v>0</v>
      </c>
      <c r="AO98" s="32">
        <f>SUM(AC98:AF98)</f>
        <v>0</v>
      </c>
      <c r="AP98" s="11"/>
      <c r="AQ98" s="75" t="e">
        <f t="shared" si="333"/>
        <v>#DIV/0!</v>
      </c>
    </row>
    <row r="99" spans="2:43" ht="12.75" customHeight="1">
      <c r="B99" s="60" t="s">
        <v>141</v>
      </c>
      <c r="C99" s="82"/>
      <c r="D99" s="82"/>
      <c r="E99" s="82"/>
      <c r="F99" s="82"/>
      <c r="G99" s="82"/>
      <c r="H99" s="82"/>
      <c r="I99" s="32"/>
      <c r="J99" s="82"/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32">
        <f>SUM(G99-SUM(V99:X99))</f>
        <v>0</v>
      </c>
      <c r="Z99" s="82"/>
      <c r="AA99" s="82"/>
      <c r="AB99" s="82"/>
      <c r="AC99" s="32">
        <f>SUM(H99-SUM(Z99:AB99))</f>
        <v>0</v>
      </c>
      <c r="AD99" s="82"/>
      <c r="AE99" s="82"/>
      <c r="AF99" s="82"/>
      <c r="AH99" s="32">
        <f>SUM(V99:Y99)</f>
        <v>0</v>
      </c>
      <c r="AI99" s="32">
        <f>SUM(W99:Z99)</f>
        <v>0</v>
      </c>
      <c r="AJ99" s="32">
        <f>SUM(X99:AA99)</f>
        <v>0</v>
      </c>
      <c r="AK99" s="32">
        <f>SUM(Y99:AB99)</f>
        <v>0</v>
      </c>
      <c r="AL99" s="32">
        <f>SUM(Z99:AC99)</f>
        <v>0</v>
      </c>
      <c r="AM99" s="32">
        <f>SUM(AA99:AD99)</f>
        <v>0</v>
      </c>
      <c r="AN99" s="32">
        <f>SUM(AB99:AE99)</f>
        <v>0</v>
      </c>
      <c r="AO99" s="32">
        <f>SUM(AC99:AF99)</f>
        <v>0</v>
      </c>
      <c r="AP99" s="11"/>
      <c r="AQ99" s="75" t="e">
        <f t="shared" si="333"/>
        <v>#DIV/0!</v>
      </c>
    </row>
    <row r="100" spans="2:43" ht="12.75" customHeight="1">
      <c r="B100" s="60" t="s">
        <v>142</v>
      </c>
      <c r="C100" s="82"/>
      <c r="D100" s="82"/>
      <c r="E100" s="82"/>
      <c r="F100" s="82"/>
      <c r="G100" s="82"/>
      <c r="H100" s="82"/>
      <c r="I100" s="3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32">
        <f>SUM(G100-SUM(V100:X100))</f>
        <v>0</v>
      </c>
      <c r="Z100" s="82"/>
      <c r="AA100" s="82"/>
      <c r="AB100" s="82"/>
      <c r="AC100" s="32">
        <f>SUM(H100-SUM(Z100:AB100))</f>
        <v>0</v>
      </c>
      <c r="AD100" s="82"/>
      <c r="AE100" s="82"/>
      <c r="AF100" s="82"/>
      <c r="AH100" s="32">
        <f>SUM(V100:Y100)</f>
        <v>0</v>
      </c>
      <c r="AI100" s="32">
        <f>SUM(W100:Z100)</f>
        <v>0</v>
      </c>
      <c r="AJ100" s="32">
        <f>SUM(X100:AA100)</f>
        <v>0</v>
      </c>
      <c r="AK100" s="32">
        <f>SUM(Y100:AB100)</f>
        <v>0</v>
      </c>
      <c r="AL100" s="32">
        <f>SUM(Z100:AC100)</f>
        <v>0</v>
      </c>
      <c r="AM100" s="32">
        <f>SUM(AA100:AD100)</f>
        <v>0</v>
      </c>
      <c r="AN100" s="32">
        <f>SUM(AB100:AE100)</f>
        <v>0</v>
      </c>
      <c r="AO100" s="32">
        <f>SUM(AC100:AF100)</f>
        <v>0</v>
      </c>
      <c r="AP100" s="11"/>
      <c r="AQ100" s="75" t="e">
        <f t="shared" si="333"/>
        <v>#DIV/0!</v>
      </c>
    </row>
    <row r="101" spans="2:43" ht="12.75" customHeight="1">
      <c r="B101" s="60" t="s">
        <v>143</v>
      </c>
      <c r="C101" s="82"/>
      <c r="D101" s="82"/>
      <c r="E101" s="82"/>
      <c r="F101" s="82"/>
      <c r="G101" s="82"/>
      <c r="H101" s="82"/>
      <c r="I101" s="3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32">
        <f>SUM(G101-SUM(V101:X101))</f>
        <v>0</v>
      </c>
      <c r="Z101" s="82"/>
      <c r="AA101" s="82"/>
      <c r="AB101" s="82"/>
      <c r="AC101" s="32">
        <f>SUM(H101-SUM(Z101:AB101))</f>
        <v>0</v>
      </c>
      <c r="AD101" s="82"/>
      <c r="AE101" s="82"/>
      <c r="AF101" s="82"/>
      <c r="AH101" s="32">
        <f>SUM(V101:Y101)</f>
        <v>0</v>
      </c>
      <c r="AI101" s="32">
        <f>SUM(W101:Z101)</f>
        <v>0</v>
      </c>
      <c r="AJ101" s="32">
        <f>SUM(X101:AA101)</f>
        <v>0</v>
      </c>
      <c r="AK101" s="32">
        <f>SUM(Y101:AB101)</f>
        <v>0</v>
      </c>
      <c r="AL101" s="32">
        <f>SUM(Z101:AC101)</f>
        <v>0</v>
      </c>
      <c r="AM101" s="32">
        <f>SUM(AA101:AD101)</f>
        <v>0</v>
      </c>
      <c r="AN101" s="32">
        <f>SUM(AB101:AE101)</f>
        <v>0</v>
      </c>
      <c r="AO101" s="32">
        <f>SUM(AC101:AF101)</f>
        <v>0</v>
      </c>
      <c r="AP101" s="11"/>
      <c r="AQ101" s="75" t="e">
        <f t="shared" si="333"/>
        <v>#DIV/0!</v>
      </c>
    </row>
    <row r="102" spans="2:43" ht="12.75" customHeight="1">
      <c r="B102" s="13" t="s">
        <v>51</v>
      </c>
      <c r="C102" s="14">
        <f t="shared" ref="C102" si="335">SUM(C93:C101)</f>
        <v>-47.479000000000063</v>
      </c>
      <c r="D102" s="14">
        <f t="shared" ref="D102:E102" si="336">SUM(D93:D101)</f>
        <v>-47.987999999999971</v>
      </c>
      <c r="E102" s="14">
        <f t="shared" si="336"/>
        <v>-37.730000000000025</v>
      </c>
      <c r="F102" s="14">
        <f t="shared" ref="F102:H102" si="337">SUM(F93:F101)</f>
        <v>-90.947000000000131</v>
      </c>
      <c r="G102" s="14">
        <f t="shared" si="337"/>
        <v>-127.52500000000005</v>
      </c>
      <c r="H102" s="14">
        <f t="shared" si="337"/>
        <v>-55.041999999999987</v>
      </c>
      <c r="J102" s="14">
        <f t="shared" ref="J102:M102" si="338">SUM(J93:J101)</f>
        <v>-10.350999999999996</v>
      </c>
      <c r="K102" s="14">
        <f t="shared" si="338"/>
        <v>-19.128000000000011</v>
      </c>
      <c r="L102" s="14">
        <f t="shared" si="338"/>
        <v>-10.110999999999997</v>
      </c>
      <c r="M102" s="14">
        <f t="shared" ref="M102" si="339">SUM(M93:M101)</f>
        <v>-8.1530000000000005</v>
      </c>
      <c r="N102" s="14">
        <f t="shared" ref="N102:T102" si="340">SUM(N93:N101)</f>
        <v>-6.7679999999999918</v>
      </c>
      <c r="O102" s="14">
        <f t="shared" ref="O102:R102" si="341">SUM(O93:O101)</f>
        <v>-8.6219999999999821</v>
      </c>
      <c r="P102" s="14">
        <f t="shared" si="341"/>
        <v>-7.3659999999999943</v>
      </c>
      <c r="Q102" s="14">
        <f t="shared" si="341"/>
        <v>-15.278000000000009</v>
      </c>
      <c r="R102" s="14">
        <f t="shared" si="340"/>
        <v>-19.047000000000004</v>
      </c>
      <c r="S102" s="14">
        <f t="shared" si="340"/>
        <v>-29.568000000000008</v>
      </c>
      <c r="T102" s="14">
        <f t="shared" si="340"/>
        <v>-29.809000000000012</v>
      </c>
      <c r="U102" s="14">
        <f t="shared" ref="U102" si="342">SUM(U93:U101)</f>
        <v>-13.584000000000028</v>
      </c>
      <c r="V102" s="14">
        <f t="shared" ref="V102:AF102" si="343">SUM(V93:V101)</f>
        <v>-46.095000000000006</v>
      </c>
      <c r="W102" s="14">
        <f t="shared" si="343"/>
        <v>-21.584000000000014</v>
      </c>
      <c r="X102" s="14">
        <f t="shared" si="343"/>
        <v>-56.361999999999995</v>
      </c>
      <c r="Y102" s="14">
        <f t="shared" si="343"/>
        <v>-4.2460000000000129</v>
      </c>
      <c r="Z102" s="14">
        <f t="shared" si="343"/>
        <v>-11.932999999999986</v>
      </c>
      <c r="AA102" s="14">
        <f t="shared" si="343"/>
        <v>-18.570999999999998</v>
      </c>
      <c r="AB102" s="14">
        <f t="shared" si="343"/>
        <v>-17.971999999999948</v>
      </c>
      <c r="AC102" s="14">
        <f t="shared" si="343"/>
        <v>-8.0000000000000515</v>
      </c>
      <c r="AD102" s="14">
        <f t="shared" si="343"/>
        <v>-18.811999999999976</v>
      </c>
      <c r="AE102" s="14">
        <f t="shared" si="343"/>
        <v>-17.689999999999987</v>
      </c>
      <c r="AF102" s="14">
        <f t="shared" si="343"/>
        <v>2.165000000000008</v>
      </c>
      <c r="AH102" s="14">
        <f t="shared" ref="AH102:AO102" si="344">SUM(AH93:AH101)</f>
        <v>-128.28700000000003</v>
      </c>
      <c r="AI102" s="14">
        <f t="shared" si="344"/>
        <v>-94.124999999999929</v>
      </c>
      <c r="AJ102" s="14">
        <f t="shared" si="344"/>
        <v>-91.111999999999952</v>
      </c>
      <c r="AK102" s="14">
        <f t="shared" si="344"/>
        <v>-52.721999999999923</v>
      </c>
      <c r="AL102" s="14">
        <f t="shared" si="344"/>
        <v>-56.475999999999985</v>
      </c>
      <c r="AM102" s="14">
        <f t="shared" si="344"/>
        <v>-63.355000000000153</v>
      </c>
      <c r="AN102" s="14">
        <f t="shared" si="344"/>
        <v>-62.473999999999791</v>
      </c>
      <c r="AO102" s="14">
        <f t="shared" si="344"/>
        <v>-42.336999999999968</v>
      </c>
      <c r="AP102" s="42"/>
      <c r="AQ102" s="76">
        <f t="shared" si="333"/>
        <v>-0.19697659421114466</v>
      </c>
    </row>
    <row r="103" spans="2:43" ht="12.75" customHeight="1">
      <c r="B103" s="53"/>
      <c r="C103" s="61"/>
      <c r="D103" s="61"/>
      <c r="E103" s="61"/>
      <c r="F103" s="61"/>
      <c r="G103" s="61"/>
      <c r="H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H103" s="42"/>
      <c r="AI103" s="42"/>
      <c r="AJ103" s="42"/>
      <c r="AK103" s="42"/>
      <c r="AL103" s="42"/>
      <c r="AM103" s="42"/>
      <c r="AN103" s="42"/>
      <c r="AO103" s="42"/>
      <c r="AP103" s="42"/>
      <c r="AQ103" s="39"/>
    </row>
    <row r="104" spans="2:43" ht="12.75" customHeight="1">
      <c r="B104" s="53" t="s">
        <v>52</v>
      </c>
      <c r="C104" s="58"/>
      <c r="D104" s="58"/>
      <c r="E104" s="58"/>
      <c r="F104" s="58"/>
      <c r="G104" s="58"/>
      <c r="H104" s="58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32"/>
      <c r="Z104" s="82"/>
      <c r="AA104" s="82"/>
      <c r="AB104" s="82"/>
      <c r="AC104" s="32"/>
      <c r="AD104" s="58"/>
      <c r="AE104" s="58"/>
      <c r="AF104" s="58"/>
      <c r="AH104" s="58"/>
      <c r="AI104" s="58"/>
      <c r="AJ104" s="58"/>
      <c r="AK104" s="58"/>
      <c r="AL104" s="58"/>
      <c r="AM104" s="58"/>
      <c r="AN104" s="58"/>
      <c r="AO104" s="58"/>
      <c r="AP104" s="59"/>
      <c r="AQ104" s="75"/>
    </row>
    <row r="105" spans="2:43" ht="12.75" customHeight="1">
      <c r="B105" s="60" t="s">
        <v>144</v>
      </c>
      <c r="C105" s="82"/>
      <c r="D105" s="82"/>
      <c r="E105" s="82"/>
      <c r="F105" s="82"/>
      <c r="G105" s="82"/>
      <c r="H105" s="82"/>
      <c r="I105" s="32"/>
      <c r="J105" s="82"/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  <c r="Y105" s="32">
        <f>SUM(G105-SUM(V105:X105))</f>
        <v>0</v>
      </c>
      <c r="Z105" s="82"/>
      <c r="AA105" s="82"/>
      <c r="AB105" s="82"/>
      <c r="AC105" s="32">
        <f>SUM(H105-SUM(Z105:AB105))</f>
        <v>0</v>
      </c>
      <c r="AD105" s="82"/>
      <c r="AE105" s="82"/>
      <c r="AF105" s="82"/>
      <c r="AG105" s="32"/>
      <c r="AH105" s="32">
        <f>SUM(V105:Y105)</f>
        <v>0</v>
      </c>
      <c r="AI105" s="32">
        <f>SUM(W105:Z105)</f>
        <v>0</v>
      </c>
      <c r="AJ105" s="32">
        <f>SUM(X105:AA105)</f>
        <v>0</v>
      </c>
      <c r="AK105" s="32">
        <f>SUM(Y105:AB105)</f>
        <v>0</v>
      </c>
      <c r="AL105" s="32">
        <f>SUM(Z105:AC105)</f>
        <v>0</v>
      </c>
      <c r="AM105" s="32">
        <f>SUM(AA105:AD105)</f>
        <v>0</v>
      </c>
      <c r="AN105" s="32">
        <f>SUM(AB105:AE105)</f>
        <v>0</v>
      </c>
      <c r="AO105" s="32">
        <f>SUM(AC105:AF105)</f>
        <v>0</v>
      </c>
      <c r="AP105" s="59"/>
      <c r="AQ105" s="75" t="e">
        <f t="shared" ref="AQ105:AQ108" si="345">SUM(AO105/AK105)-1</f>
        <v>#DIV/0!</v>
      </c>
    </row>
    <row r="106" spans="2:43" ht="12.75" customHeight="1">
      <c r="B106" s="60" t="s">
        <v>145</v>
      </c>
      <c r="C106" s="82"/>
      <c r="D106" s="82"/>
      <c r="E106" s="82"/>
      <c r="F106" s="82"/>
      <c r="G106" s="82"/>
      <c r="H106" s="82"/>
      <c r="I106" s="32"/>
      <c r="J106" s="82"/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32">
        <f>SUM(G106-SUM(V106:X106))</f>
        <v>0</v>
      </c>
      <c r="Z106" s="82"/>
      <c r="AA106" s="82"/>
      <c r="AB106" s="82"/>
      <c r="AC106" s="32">
        <f>SUM(H106-SUM(Z106:AB106))</f>
        <v>0</v>
      </c>
      <c r="AD106" s="82"/>
      <c r="AE106" s="82"/>
      <c r="AF106" s="82"/>
      <c r="AG106" s="32"/>
      <c r="AH106" s="32">
        <f>SUM(V106:Y106)</f>
        <v>0</v>
      </c>
      <c r="AI106" s="32">
        <f>SUM(W106:Z106)</f>
        <v>0</v>
      </c>
      <c r="AJ106" s="32">
        <f>SUM(X106:AA106)</f>
        <v>0</v>
      </c>
      <c r="AK106" s="32">
        <f>SUM(Y106:AB106)</f>
        <v>0</v>
      </c>
      <c r="AL106" s="32">
        <f>SUM(Z106:AC106)</f>
        <v>0</v>
      </c>
      <c r="AM106" s="32">
        <f>SUM(AA106:AD106)</f>
        <v>0</v>
      </c>
      <c r="AN106" s="32">
        <f>SUM(AB106:AE106)</f>
        <v>0</v>
      </c>
      <c r="AO106" s="32">
        <f>SUM(AC106:AF106)</f>
        <v>0</v>
      </c>
      <c r="AP106" s="59"/>
      <c r="AQ106" s="75" t="e">
        <f t="shared" si="345"/>
        <v>#DIV/0!</v>
      </c>
    </row>
    <row r="107" spans="2:43" ht="12.75" customHeight="1">
      <c r="B107" s="60" t="s">
        <v>146</v>
      </c>
      <c r="C107" s="82"/>
      <c r="D107" s="82"/>
      <c r="E107" s="82"/>
      <c r="F107" s="82"/>
      <c r="G107" s="82"/>
      <c r="H107" s="82"/>
      <c r="I107" s="32"/>
      <c r="J107" s="82"/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  <c r="Y107" s="32">
        <f>SUM(G107-SUM(V107:X107))</f>
        <v>0</v>
      </c>
      <c r="Z107" s="82"/>
      <c r="AA107" s="82"/>
      <c r="AB107" s="82"/>
      <c r="AC107" s="32">
        <f>SUM(H107-SUM(Z107:AB107))</f>
        <v>0</v>
      </c>
      <c r="AD107" s="82"/>
      <c r="AE107" s="82"/>
      <c r="AF107" s="82"/>
      <c r="AG107" s="32"/>
      <c r="AH107" s="32">
        <f>SUM(V107:Y107)</f>
        <v>0</v>
      </c>
      <c r="AI107" s="32">
        <f>SUM(W107:Z107)</f>
        <v>0</v>
      </c>
      <c r="AJ107" s="32">
        <f>SUM(X107:AA107)</f>
        <v>0</v>
      </c>
      <c r="AK107" s="32">
        <f>SUM(Y107:AB107)</f>
        <v>0</v>
      </c>
      <c r="AL107" s="32">
        <f>SUM(Z107:AC107)</f>
        <v>0</v>
      </c>
      <c r="AM107" s="32">
        <f>SUM(AA107:AD107)</f>
        <v>0</v>
      </c>
      <c r="AN107" s="32">
        <f>SUM(AB107:AE107)</f>
        <v>0</v>
      </c>
      <c r="AO107" s="32">
        <f>SUM(AC107:AF107)</f>
        <v>0</v>
      </c>
      <c r="AP107" s="59"/>
      <c r="AQ107" s="75" t="e">
        <f t="shared" si="345"/>
        <v>#DIV/0!</v>
      </c>
    </row>
    <row r="108" spans="2:43" ht="12.75" customHeight="1">
      <c r="B108" s="60" t="s">
        <v>147</v>
      </c>
      <c r="C108" s="82"/>
      <c r="D108" s="82"/>
      <c r="E108" s="82"/>
      <c r="F108" s="82"/>
      <c r="G108" s="82"/>
      <c r="H108" s="82"/>
      <c r="I108" s="32"/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32">
        <f>SUM(G108-SUM(V108:X108))</f>
        <v>0</v>
      </c>
      <c r="Z108" s="82"/>
      <c r="AA108" s="82"/>
      <c r="AB108" s="82"/>
      <c r="AC108" s="32">
        <f>SUM(H108-SUM(Z108:AB108))</f>
        <v>0</v>
      </c>
      <c r="AD108" s="82"/>
      <c r="AE108" s="82"/>
      <c r="AF108" s="82"/>
      <c r="AG108" s="32"/>
      <c r="AH108" s="32">
        <f>SUM(V108:Y108)</f>
        <v>0</v>
      </c>
      <c r="AI108" s="32">
        <f>SUM(W108:Z108)</f>
        <v>0</v>
      </c>
      <c r="AJ108" s="32">
        <f>SUM(X108:AA108)</f>
        <v>0</v>
      </c>
      <c r="AK108" s="32">
        <f>SUM(Y108:AB108)</f>
        <v>0</v>
      </c>
      <c r="AL108" s="32">
        <f>SUM(Z108:AC108)</f>
        <v>0</v>
      </c>
      <c r="AM108" s="32">
        <f>SUM(AA108:AD108)</f>
        <v>0</v>
      </c>
      <c r="AN108" s="32">
        <f>SUM(AB108:AE108)</f>
        <v>0</v>
      </c>
      <c r="AO108" s="32">
        <f>SUM(AC108:AF108)</f>
        <v>0</v>
      </c>
      <c r="AP108" s="59"/>
      <c r="AQ108" s="75" t="e">
        <f t="shared" si="345"/>
        <v>#DIV/0!</v>
      </c>
    </row>
    <row r="109" spans="2:43" ht="12.75" customHeight="1">
      <c r="B109" s="13" t="s">
        <v>53</v>
      </c>
      <c r="C109" s="14">
        <f t="shared" ref="C109" si="346">SUM(C105:C108)</f>
        <v>0</v>
      </c>
      <c r="D109" s="14">
        <f t="shared" ref="D109:E109" si="347">SUM(D105:D108)</f>
        <v>0</v>
      </c>
      <c r="E109" s="14">
        <f t="shared" si="347"/>
        <v>0</v>
      </c>
      <c r="F109" s="14">
        <f t="shared" ref="F109:H109" si="348">SUM(F105:F108)</f>
        <v>0</v>
      </c>
      <c r="G109" s="14">
        <f t="shared" si="348"/>
        <v>0</v>
      </c>
      <c r="H109" s="14">
        <f t="shared" si="348"/>
        <v>0</v>
      </c>
      <c r="J109" s="14">
        <f t="shared" ref="J109:M109" si="349">SUM(J105:J108)</f>
        <v>0</v>
      </c>
      <c r="K109" s="14">
        <f t="shared" si="349"/>
        <v>0</v>
      </c>
      <c r="L109" s="14">
        <f t="shared" si="349"/>
        <v>0</v>
      </c>
      <c r="M109" s="14">
        <f t="shared" ref="M109" si="350">SUM(M105:M108)</f>
        <v>0</v>
      </c>
      <c r="N109" s="14">
        <f t="shared" ref="N109:T109" si="351">SUM(N105:N108)</f>
        <v>0</v>
      </c>
      <c r="O109" s="14">
        <f t="shared" ref="O109:R109" si="352">SUM(O105:O108)</f>
        <v>0</v>
      </c>
      <c r="P109" s="14">
        <f t="shared" si="352"/>
        <v>0</v>
      </c>
      <c r="Q109" s="14">
        <f t="shared" si="352"/>
        <v>0</v>
      </c>
      <c r="R109" s="14">
        <f t="shared" si="351"/>
        <v>0</v>
      </c>
      <c r="S109" s="14">
        <f t="shared" si="351"/>
        <v>0</v>
      </c>
      <c r="T109" s="14">
        <f t="shared" si="351"/>
        <v>0</v>
      </c>
      <c r="U109" s="14">
        <f t="shared" ref="U109" si="353">SUM(U105:U108)</f>
        <v>0</v>
      </c>
      <c r="V109" s="14">
        <f t="shared" ref="V109:AF109" si="354">SUM(V105:V108)</f>
        <v>0</v>
      </c>
      <c r="W109" s="14">
        <f t="shared" si="354"/>
        <v>0</v>
      </c>
      <c r="X109" s="14">
        <f t="shared" si="354"/>
        <v>0</v>
      </c>
      <c r="Y109" s="14">
        <f t="shared" si="354"/>
        <v>0</v>
      </c>
      <c r="Z109" s="14">
        <f t="shared" si="354"/>
        <v>0</v>
      </c>
      <c r="AA109" s="14">
        <f t="shared" si="354"/>
        <v>0</v>
      </c>
      <c r="AB109" s="14">
        <f t="shared" si="354"/>
        <v>0</v>
      </c>
      <c r="AC109" s="14">
        <f t="shared" si="354"/>
        <v>0</v>
      </c>
      <c r="AD109" s="14">
        <f t="shared" si="354"/>
        <v>0</v>
      </c>
      <c r="AE109" s="14">
        <f t="shared" si="354"/>
        <v>0</v>
      </c>
      <c r="AF109" s="14">
        <f t="shared" si="354"/>
        <v>0</v>
      </c>
      <c r="AH109" s="14">
        <f t="shared" ref="AH109:AO109" si="355">SUM(AH108:AH108)</f>
        <v>0</v>
      </c>
      <c r="AI109" s="14">
        <f t="shared" si="355"/>
        <v>0</v>
      </c>
      <c r="AJ109" s="14">
        <f t="shared" si="355"/>
        <v>0</v>
      </c>
      <c r="AK109" s="14">
        <f t="shared" si="355"/>
        <v>0</v>
      </c>
      <c r="AL109" s="14">
        <f t="shared" si="355"/>
        <v>0</v>
      </c>
      <c r="AM109" s="14">
        <f t="shared" si="355"/>
        <v>0</v>
      </c>
      <c r="AN109" s="14">
        <f t="shared" si="355"/>
        <v>0</v>
      </c>
      <c r="AO109" s="14">
        <f t="shared" si="355"/>
        <v>0</v>
      </c>
      <c r="AP109" s="42"/>
      <c r="AQ109" s="76" t="e">
        <f t="shared" ref="AQ109:AQ115" si="356">SUM(AO109/AK109)-1</f>
        <v>#DIV/0!</v>
      </c>
    </row>
    <row r="110" spans="2:43" ht="5.0999999999999996" customHeight="1">
      <c r="B110" s="52"/>
      <c r="C110" s="61"/>
      <c r="D110" s="61"/>
      <c r="E110" s="61"/>
      <c r="F110" s="61"/>
      <c r="G110" s="61"/>
      <c r="H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H110" s="42"/>
      <c r="AI110" s="42"/>
      <c r="AJ110" s="42"/>
      <c r="AK110" s="42"/>
      <c r="AL110" s="42"/>
      <c r="AM110" s="42"/>
      <c r="AN110" s="42"/>
      <c r="AO110" s="42"/>
      <c r="AP110" s="42"/>
      <c r="AQ110" s="39"/>
    </row>
    <row r="111" spans="2:43" ht="12.75" customHeight="1">
      <c r="B111" s="53" t="s">
        <v>54</v>
      </c>
      <c r="C111" s="63"/>
      <c r="D111" s="63"/>
      <c r="E111" s="63"/>
      <c r="F111" s="63"/>
      <c r="G111" s="63"/>
      <c r="H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32"/>
      <c r="AH111" s="32"/>
      <c r="AI111" s="32"/>
      <c r="AJ111" s="32"/>
      <c r="AK111" s="32"/>
      <c r="AL111" s="32"/>
      <c r="AM111" s="32"/>
      <c r="AN111" s="32"/>
      <c r="AO111" s="32"/>
      <c r="AP111" s="64"/>
      <c r="AQ111" s="75"/>
    </row>
    <row r="112" spans="2:43" ht="12.75" customHeight="1">
      <c r="B112" s="84" t="s">
        <v>148</v>
      </c>
      <c r="C112" s="82"/>
      <c r="D112" s="82"/>
      <c r="E112" s="82"/>
      <c r="F112" s="82"/>
      <c r="G112" s="82"/>
      <c r="H112" s="82"/>
      <c r="J112" s="82"/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32">
        <f>SUM(G112-SUM(V112:X112))</f>
        <v>0</v>
      </c>
      <c r="Z112" s="82"/>
      <c r="AA112" s="82"/>
      <c r="AB112" s="82"/>
      <c r="AC112" s="32">
        <f>SUM(H112-SUM(Z112:AB112))</f>
        <v>0</v>
      </c>
      <c r="AD112" s="82"/>
      <c r="AE112" s="82"/>
      <c r="AF112" s="82"/>
      <c r="AG112" s="32"/>
      <c r="AH112" s="32">
        <f>SUM(V112:Y112)</f>
        <v>0</v>
      </c>
      <c r="AI112" s="32">
        <f>SUM(W112:Z112)</f>
        <v>0</v>
      </c>
      <c r="AJ112" s="32">
        <f>SUM(X112:AA112)</f>
        <v>0</v>
      </c>
      <c r="AK112" s="32">
        <f>SUM(Y112:AB112)</f>
        <v>0</v>
      </c>
      <c r="AL112" s="32">
        <f>SUM(Z112:AC112)</f>
        <v>0</v>
      </c>
      <c r="AM112" s="32">
        <f>SUM(AA112:AD112)</f>
        <v>0</v>
      </c>
      <c r="AN112" s="32">
        <f>SUM(AB112:AE112)</f>
        <v>0</v>
      </c>
      <c r="AO112" s="32">
        <f>SUM(AC112:AF112)</f>
        <v>0</v>
      </c>
      <c r="AP112" s="64"/>
      <c r="AQ112" s="75" t="e">
        <f t="shared" si="356"/>
        <v>#DIV/0!</v>
      </c>
    </row>
    <row r="113" spans="2:43" ht="12.75" customHeight="1">
      <c r="B113" s="84" t="s">
        <v>149</v>
      </c>
      <c r="C113" s="82"/>
      <c r="D113" s="82"/>
      <c r="E113" s="82"/>
      <c r="F113" s="82"/>
      <c r="G113" s="82"/>
      <c r="H113" s="82"/>
      <c r="J113" s="82"/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32">
        <f>SUM(G113-SUM(V113:X113))</f>
        <v>0</v>
      </c>
      <c r="Z113" s="82"/>
      <c r="AA113" s="82"/>
      <c r="AB113" s="82"/>
      <c r="AC113" s="32">
        <f>SUM(H113-SUM(Z113:AB113))</f>
        <v>0</v>
      </c>
      <c r="AD113" s="82"/>
      <c r="AE113" s="82"/>
      <c r="AF113" s="82"/>
      <c r="AG113" s="32"/>
      <c r="AH113" s="32">
        <f>SUM(V113:Y113)</f>
        <v>0</v>
      </c>
      <c r="AI113" s="32">
        <f>SUM(W113:Z113)</f>
        <v>0</v>
      </c>
      <c r="AJ113" s="32">
        <f>SUM(X113:AA113)</f>
        <v>0</v>
      </c>
      <c r="AK113" s="32">
        <f>SUM(Y113:AB113)</f>
        <v>0</v>
      </c>
      <c r="AL113" s="32">
        <f>SUM(Z113:AC113)</f>
        <v>0</v>
      </c>
      <c r="AM113" s="32">
        <f>SUM(AA113:AD113)</f>
        <v>0</v>
      </c>
      <c r="AN113" s="32">
        <f>SUM(AB113:AE113)</f>
        <v>0</v>
      </c>
      <c r="AO113" s="32">
        <f>SUM(AC113:AF113)</f>
        <v>0</v>
      </c>
      <c r="AP113" s="64"/>
      <c r="AQ113" s="75" t="e">
        <f t="shared" ref="AQ113" si="357">SUM(AO113/AK113)-1</f>
        <v>#DIV/0!</v>
      </c>
    </row>
    <row r="114" spans="2:43" ht="12.75" customHeight="1">
      <c r="B114" s="84" t="s">
        <v>150</v>
      </c>
      <c r="C114" s="82"/>
      <c r="D114" s="82"/>
      <c r="E114" s="82"/>
      <c r="F114" s="82"/>
      <c r="G114" s="82"/>
      <c r="H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32">
        <f>SUM(G114-SUM(V114:X114))</f>
        <v>0</v>
      </c>
      <c r="Z114" s="82"/>
      <c r="AA114" s="82"/>
      <c r="AB114" s="82"/>
      <c r="AC114" s="32">
        <f>SUM(H114-SUM(Z114:AB114))</f>
        <v>0</v>
      </c>
      <c r="AD114" s="82"/>
      <c r="AE114" s="82"/>
      <c r="AF114" s="82"/>
      <c r="AG114" s="32"/>
      <c r="AH114" s="32">
        <f>SUM(V114:Y114)</f>
        <v>0</v>
      </c>
      <c r="AI114" s="32">
        <f>SUM(W114:Z114)</f>
        <v>0</v>
      </c>
      <c r="AJ114" s="32">
        <f>SUM(X114:AA114)</f>
        <v>0</v>
      </c>
      <c r="AK114" s="32">
        <f>SUM(Y114:AB114)</f>
        <v>0</v>
      </c>
      <c r="AL114" s="32">
        <f>SUM(Z114:AC114)</f>
        <v>0</v>
      </c>
      <c r="AM114" s="32">
        <f>SUM(AA114:AD114)</f>
        <v>0</v>
      </c>
      <c r="AN114" s="32">
        <f>SUM(AB114:AE114)</f>
        <v>0</v>
      </c>
      <c r="AO114" s="32">
        <f>SUM(AC114:AF114)</f>
        <v>0</v>
      </c>
      <c r="AP114" s="64"/>
      <c r="AQ114" s="75" t="e">
        <f t="shared" si="356"/>
        <v>#DIV/0!</v>
      </c>
    </row>
    <row r="115" spans="2:43" ht="12.75" customHeight="1">
      <c r="B115" s="13" t="s">
        <v>55</v>
      </c>
      <c r="C115" s="14">
        <f t="shared" ref="C115" si="358">SUM(C112:C114)</f>
        <v>0</v>
      </c>
      <c r="D115" s="14">
        <f t="shared" ref="D115:E115" si="359">SUM(D112:D114)</f>
        <v>0</v>
      </c>
      <c r="E115" s="14">
        <f t="shared" si="359"/>
        <v>0</v>
      </c>
      <c r="F115" s="14">
        <f t="shared" ref="F115:H115" si="360">SUM(F112:F114)</f>
        <v>0</v>
      </c>
      <c r="G115" s="14">
        <f t="shared" si="360"/>
        <v>0</v>
      </c>
      <c r="H115" s="14">
        <f t="shared" si="360"/>
        <v>0</v>
      </c>
      <c r="J115" s="14">
        <f t="shared" ref="J115:M115" si="361">SUM(J112:J114)</f>
        <v>0</v>
      </c>
      <c r="K115" s="14">
        <f t="shared" si="361"/>
        <v>0</v>
      </c>
      <c r="L115" s="14">
        <f t="shared" si="361"/>
        <v>0</v>
      </c>
      <c r="M115" s="14">
        <f t="shared" ref="M115" si="362">SUM(M112:M114)</f>
        <v>0</v>
      </c>
      <c r="N115" s="14">
        <f t="shared" ref="N115:T115" si="363">SUM(N112:N114)</f>
        <v>0</v>
      </c>
      <c r="O115" s="14">
        <f t="shared" ref="O115:R115" si="364">SUM(O112:O114)</f>
        <v>0</v>
      </c>
      <c r="P115" s="14">
        <f t="shared" si="364"/>
        <v>0</v>
      </c>
      <c r="Q115" s="14">
        <f t="shared" si="364"/>
        <v>0</v>
      </c>
      <c r="R115" s="14">
        <f t="shared" si="363"/>
        <v>0</v>
      </c>
      <c r="S115" s="14">
        <f t="shared" si="363"/>
        <v>0</v>
      </c>
      <c r="T115" s="14">
        <f t="shared" si="363"/>
        <v>0</v>
      </c>
      <c r="U115" s="14">
        <f t="shared" ref="U115" si="365">SUM(U112:U114)</f>
        <v>0</v>
      </c>
      <c r="V115" s="14">
        <f t="shared" ref="V115:AF115" si="366">SUM(V112:V114)</f>
        <v>0</v>
      </c>
      <c r="W115" s="14">
        <f t="shared" si="366"/>
        <v>0</v>
      </c>
      <c r="X115" s="14">
        <f t="shared" si="366"/>
        <v>0</v>
      </c>
      <c r="Y115" s="14">
        <f t="shared" si="366"/>
        <v>0</v>
      </c>
      <c r="Z115" s="14">
        <f t="shared" si="366"/>
        <v>0</v>
      </c>
      <c r="AA115" s="14">
        <f t="shared" si="366"/>
        <v>0</v>
      </c>
      <c r="AB115" s="14">
        <f t="shared" si="366"/>
        <v>0</v>
      </c>
      <c r="AC115" s="14">
        <f t="shared" si="366"/>
        <v>0</v>
      </c>
      <c r="AD115" s="14">
        <f t="shared" si="366"/>
        <v>0</v>
      </c>
      <c r="AE115" s="14">
        <f t="shared" si="366"/>
        <v>0</v>
      </c>
      <c r="AF115" s="14">
        <f t="shared" si="366"/>
        <v>0</v>
      </c>
      <c r="AH115" s="14">
        <f t="shared" ref="AH115:AO115" si="367">SUM(AH112:AH114)</f>
        <v>0</v>
      </c>
      <c r="AI115" s="14">
        <f t="shared" si="367"/>
        <v>0</v>
      </c>
      <c r="AJ115" s="14">
        <f t="shared" si="367"/>
        <v>0</v>
      </c>
      <c r="AK115" s="14">
        <f t="shared" si="367"/>
        <v>0</v>
      </c>
      <c r="AL115" s="14">
        <f t="shared" si="367"/>
        <v>0</v>
      </c>
      <c r="AM115" s="14">
        <f t="shared" si="367"/>
        <v>0</v>
      </c>
      <c r="AN115" s="14">
        <f t="shared" si="367"/>
        <v>0</v>
      </c>
      <c r="AO115" s="14">
        <f t="shared" si="367"/>
        <v>0</v>
      </c>
      <c r="AP115" s="42"/>
      <c r="AQ115" s="76" t="e">
        <f t="shared" si="356"/>
        <v>#DIV/0!</v>
      </c>
    </row>
    <row r="116" spans="2:43" ht="5.0999999999999996" customHeight="1">
      <c r="B116" s="71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  <c r="AP116" s="11"/>
      <c r="AQ116" s="45"/>
    </row>
    <row r="117" spans="2:43">
      <c r="B117" s="92" t="s">
        <v>81</v>
      </c>
      <c r="C117" s="93"/>
      <c r="D117" s="93"/>
      <c r="E117" s="93"/>
      <c r="F117" s="93"/>
      <c r="G117" s="93">
        <f t="shared" ref="G117:H117" si="368">F124</f>
        <v>-90.947000000000131</v>
      </c>
      <c r="H117" s="93">
        <f t="shared" si="368"/>
        <v>-218.47200000000018</v>
      </c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>
        <f t="shared" ref="W117:AF117" si="369">V124</f>
        <v>-46.095000000000006</v>
      </c>
      <c r="X117" s="93">
        <f t="shared" si="369"/>
        <v>-67.679000000000016</v>
      </c>
      <c r="Y117" s="93">
        <f t="shared" si="369"/>
        <v>-124.04100000000001</v>
      </c>
      <c r="Z117" s="93">
        <f t="shared" si="369"/>
        <v>-128.28700000000003</v>
      </c>
      <c r="AA117" s="93">
        <f t="shared" si="369"/>
        <v>-140.22000000000003</v>
      </c>
      <c r="AB117" s="93">
        <f t="shared" si="369"/>
        <v>-158.79100000000003</v>
      </c>
      <c r="AC117" s="93">
        <f t="shared" si="369"/>
        <v>-176.76299999999998</v>
      </c>
      <c r="AD117" s="93">
        <f t="shared" si="369"/>
        <v>-184.76300000000003</v>
      </c>
      <c r="AE117" s="93">
        <f t="shared" si="369"/>
        <v>-203.57500000000002</v>
      </c>
      <c r="AF117" s="93">
        <f t="shared" si="369"/>
        <v>-221.26500000000001</v>
      </c>
      <c r="AG117" s="93"/>
      <c r="AH117" s="93"/>
      <c r="AI117" s="93">
        <f t="shared" ref="AI117:AO117" si="370">V124</f>
        <v>-46.095000000000006</v>
      </c>
      <c r="AJ117" s="93">
        <f t="shared" si="370"/>
        <v>-67.679000000000016</v>
      </c>
      <c r="AK117" s="93">
        <f t="shared" si="370"/>
        <v>-124.04100000000001</v>
      </c>
      <c r="AL117" s="93">
        <f t="shared" si="370"/>
        <v>-128.28700000000003</v>
      </c>
      <c r="AM117" s="93">
        <f t="shared" si="370"/>
        <v>-140.22000000000003</v>
      </c>
      <c r="AN117" s="93">
        <f t="shared" si="370"/>
        <v>-158.79100000000003</v>
      </c>
      <c r="AO117" s="140">
        <f t="shared" si="370"/>
        <v>-176.76299999999998</v>
      </c>
      <c r="AP117" s="11"/>
      <c r="AQ117" s="45"/>
    </row>
    <row r="118" spans="2:43">
      <c r="B118" s="130" t="s">
        <v>94</v>
      </c>
      <c r="C118" s="32"/>
      <c r="D118" s="32"/>
      <c r="E118" s="32"/>
      <c r="F118" s="32"/>
      <c r="G118" s="32">
        <f t="shared" ref="G118:H118" si="371">-F122</f>
        <v>0</v>
      </c>
      <c r="H118" s="32">
        <f t="shared" si="371"/>
        <v>0</v>
      </c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>
        <f t="shared" ref="W118:AF118" si="372">-V122</f>
        <v>0</v>
      </c>
      <c r="X118" s="32">
        <f t="shared" si="372"/>
        <v>0</v>
      </c>
      <c r="Y118" s="32">
        <f t="shared" si="372"/>
        <v>0</v>
      </c>
      <c r="Z118" s="32">
        <f t="shared" si="372"/>
        <v>0</v>
      </c>
      <c r="AA118" s="32">
        <f t="shared" si="372"/>
        <v>0</v>
      </c>
      <c r="AB118" s="32">
        <f t="shared" si="372"/>
        <v>0</v>
      </c>
      <c r="AC118" s="32">
        <f t="shared" si="372"/>
        <v>0</v>
      </c>
      <c r="AD118" s="32">
        <f t="shared" si="372"/>
        <v>0</v>
      </c>
      <c r="AE118" s="32">
        <f t="shared" si="372"/>
        <v>0</v>
      </c>
      <c r="AF118" s="32">
        <f t="shared" si="372"/>
        <v>0</v>
      </c>
      <c r="AG118" s="32"/>
      <c r="AH118" s="32">
        <f>G118</f>
        <v>0</v>
      </c>
      <c r="AI118" s="32">
        <f>-V122</f>
        <v>0</v>
      </c>
      <c r="AJ118" s="32">
        <f>-W122</f>
        <v>0</v>
      </c>
      <c r="AK118" s="32">
        <f>-X122</f>
        <v>0</v>
      </c>
      <c r="AL118" s="32">
        <f>-Y122</f>
        <v>0</v>
      </c>
      <c r="AM118" s="32">
        <f>-Z122</f>
        <v>0</v>
      </c>
      <c r="AN118" s="32">
        <f>-AA122</f>
        <v>0</v>
      </c>
      <c r="AO118" s="134">
        <f>-AB122</f>
        <v>0</v>
      </c>
      <c r="AP118" s="11"/>
      <c r="AQ118" s="45"/>
    </row>
    <row r="119" spans="2:43">
      <c r="B119" s="145" t="s">
        <v>68</v>
      </c>
      <c r="C119" s="146">
        <f t="shared" ref="C119" si="373">SUM(C117:C118)</f>
        <v>0</v>
      </c>
      <c r="D119" s="146">
        <f t="shared" ref="D119:E119" si="374">SUM(D117:D118)</f>
        <v>0</v>
      </c>
      <c r="E119" s="146">
        <f t="shared" si="374"/>
        <v>0</v>
      </c>
      <c r="F119" s="146">
        <f t="shared" ref="F119:H119" si="375">SUM(F117:F118)</f>
        <v>0</v>
      </c>
      <c r="G119" s="146">
        <f t="shared" si="375"/>
        <v>-90.947000000000131</v>
      </c>
      <c r="H119" s="146">
        <f t="shared" si="375"/>
        <v>-218.47200000000018</v>
      </c>
      <c r="I119" s="32"/>
      <c r="J119" s="146">
        <f t="shared" ref="J119:M119" si="376">SUM(J117:J118)</f>
        <v>0</v>
      </c>
      <c r="K119" s="146">
        <f t="shared" si="376"/>
        <v>0</v>
      </c>
      <c r="L119" s="146">
        <f t="shared" si="376"/>
        <v>0</v>
      </c>
      <c r="M119" s="146">
        <f t="shared" ref="M119" si="377">SUM(M117:M118)</f>
        <v>0</v>
      </c>
      <c r="N119" s="146">
        <f t="shared" ref="N119:T119" si="378">SUM(N117:N118)</f>
        <v>0</v>
      </c>
      <c r="O119" s="146">
        <f t="shared" ref="O119:R119" si="379">SUM(O117:O118)</f>
        <v>0</v>
      </c>
      <c r="P119" s="146">
        <f t="shared" si="379"/>
        <v>0</v>
      </c>
      <c r="Q119" s="146">
        <f t="shared" si="379"/>
        <v>0</v>
      </c>
      <c r="R119" s="146">
        <f t="shared" si="378"/>
        <v>0</v>
      </c>
      <c r="S119" s="146">
        <f t="shared" si="378"/>
        <v>0</v>
      </c>
      <c r="T119" s="146">
        <f t="shared" si="378"/>
        <v>0</v>
      </c>
      <c r="U119" s="146">
        <f t="shared" ref="U119" si="380">SUM(U117:U118)</f>
        <v>0</v>
      </c>
      <c r="V119" s="146">
        <f t="shared" ref="V119:AF119" si="381">SUM(V117:V118)</f>
        <v>0</v>
      </c>
      <c r="W119" s="146">
        <f t="shared" si="381"/>
        <v>-46.095000000000006</v>
      </c>
      <c r="X119" s="146">
        <f t="shared" si="381"/>
        <v>-67.679000000000016</v>
      </c>
      <c r="Y119" s="146">
        <f t="shared" si="381"/>
        <v>-124.04100000000001</v>
      </c>
      <c r="Z119" s="146">
        <f t="shared" si="381"/>
        <v>-128.28700000000003</v>
      </c>
      <c r="AA119" s="146">
        <f t="shared" si="381"/>
        <v>-140.22000000000003</v>
      </c>
      <c r="AB119" s="146">
        <f t="shared" si="381"/>
        <v>-158.79100000000003</v>
      </c>
      <c r="AC119" s="146">
        <f t="shared" si="381"/>
        <v>-176.76299999999998</v>
      </c>
      <c r="AD119" s="146">
        <f t="shared" si="381"/>
        <v>-184.76300000000003</v>
      </c>
      <c r="AE119" s="146">
        <f t="shared" si="381"/>
        <v>-203.57500000000002</v>
      </c>
      <c r="AF119" s="146">
        <f t="shared" si="381"/>
        <v>-221.26500000000001</v>
      </c>
      <c r="AG119" s="32"/>
      <c r="AH119" s="133">
        <f t="shared" ref="AH119:AO119" si="382">SUM(AH117:AH118)</f>
        <v>0</v>
      </c>
      <c r="AI119" s="133">
        <f t="shared" si="382"/>
        <v>-46.095000000000006</v>
      </c>
      <c r="AJ119" s="133">
        <f t="shared" si="382"/>
        <v>-67.679000000000016</v>
      </c>
      <c r="AK119" s="146">
        <f t="shared" si="382"/>
        <v>-124.04100000000001</v>
      </c>
      <c r="AL119" s="146">
        <f t="shared" si="382"/>
        <v>-128.28700000000003</v>
      </c>
      <c r="AM119" s="146">
        <f t="shared" si="382"/>
        <v>-140.22000000000003</v>
      </c>
      <c r="AN119" s="146">
        <f t="shared" si="382"/>
        <v>-158.79100000000003</v>
      </c>
      <c r="AO119" s="147">
        <f t="shared" si="382"/>
        <v>-176.76299999999998</v>
      </c>
      <c r="AP119" s="11"/>
      <c r="AQ119" s="45"/>
    </row>
    <row r="120" spans="2:43" ht="5.0999999999999996" customHeight="1">
      <c r="B120" s="137"/>
      <c r="C120" s="71"/>
      <c r="D120" s="71"/>
      <c r="E120" s="71"/>
      <c r="F120" s="71"/>
      <c r="G120" s="71"/>
      <c r="H120" s="71"/>
      <c r="I120" s="32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  <c r="AA120" s="71"/>
      <c r="AB120" s="71"/>
      <c r="AC120" s="71"/>
      <c r="AD120" s="71"/>
      <c r="AE120" s="71"/>
      <c r="AF120" s="71"/>
      <c r="AG120" s="32"/>
      <c r="AH120" s="71"/>
      <c r="AI120" s="71"/>
      <c r="AJ120" s="71"/>
      <c r="AK120" s="71"/>
      <c r="AL120" s="71"/>
      <c r="AM120" s="71"/>
      <c r="AN120" s="71"/>
      <c r="AO120" s="135"/>
      <c r="AP120" s="11"/>
      <c r="AQ120" s="45"/>
    </row>
    <row r="121" spans="2:43">
      <c r="B121" s="130" t="s">
        <v>82</v>
      </c>
      <c r="C121" s="82"/>
      <c r="D121" s="82"/>
      <c r="E121" s="82"/>
      <c r="F121" s="82"/>
      <c r="G121" s="82"/>
      <c r="H121" s="82"/>
      <c r="I121" s="32"/>
      <c r="J121" s="82"/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32">
        <f>SUM(G121-SUM(V121:X121))</f>
        <v>0</v>
      </c>
      <c r="Z121" s="82"/>
      <c r="AA121" s="82"/>
      <c r="AB121" s="82"/>
      <c r="AC121" s="32">
        <f>SUM(H121-SUM(Z121:AB121))</f>
        <v>0</v>
      </c>
      <c r="AD121" s="82"/>
      <c r="AE121" s="82"/>
      <c r="AF121" s="82"/>
      <c r="AG121" s="32"/>
      <c r="AH121" s="32">
        <f>SUM(V121:Y121)</f>
        <v>0</v>
      </c>
      <c r="AI121" s="32">
        <f>SUM(W121:Z121)</f>
        <v>0</v>
      </c>
      <c r="AJ121" s="32">
        <f>SUM(X121:AA121)</f>
        <v>0</v>
      </c>
      <c r="AK121" s="32">
        <f>SUM(Y121:AB121)</f>
        <v>0</v>
      </c>
      <c r="AL121" s="32">
        <f>SUM(Z121:AC121)</f>
        <v>0</v>
      </c>
      <c r="AM121" s="32">
        <f>SUM(AA121:AD121)</f>
        <v>0</v>
      </c>
      <c r="AN121" s="32">
        <f>SUM(AB121:AE121)</f>
        <v>0</v>
      </c>
      <c r="AO121" s="134">
        <f>SUM(AC121:AF121)</f>
        <v>0</v>
      </c>
      <c r="AP121" s="11"/>
      <c r="AQ121" s="45"/>
    </row>
    <row r="122" spans="2:43">
      <c r="B122" s="130" t="s">
        <v>92</v>
      </c>
      <c r="C122" s="82"/>
      <c r="D122" s="82"/>
      <c r="E122" s="82"/>
      <c r="F122" s="82"/>
      <c r="G122" s="82"/>
      <c r="H122" s="82"/>
      <c r="I122" s="32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32">
        <f>G122</f>
        <v>0</v>
      </c>
      <c r="Z122" s="82"/>
      <c r="AA122" s="82"/>
      <c r="AB122" s="82"/>
      <c r="AC122" s="32">
        <f>H122</f>
        <v>0</v>
      </c>
      <c r="AD122" s="82"/>
      <c r="AE122" s="82"/>
      <c r="AF122" s="82"/>
      <c r="AG122" s="32"/>
      <c r="AH122" s="32">
        <f t="shared" ref="AH122:AO122" si="383">Y122</f>
        <v>0</v>
      </c>
      <c r="AI122" s="32">
        <f t="shared" si="383"/>
        <v>0</v>
      </c>
      <c r="AJ122" s="32">
        <f t="shared" si="383"/>
        <v>0</v>
      </c>
      <c r="AK122" s="32">
        <f t="shared" si="383"/>
        <v>0</v>
      </c>
      <c r="AL122" s="32">
        <f t="shared" si="383"/>
        <v>0</v>
      </c>
      <c r="AM122" s="32">
        <f t="shared" si="383"/>
        <v>0</v>
      </c>
      <c r="AN122" s="32">
        <f t="shared" si="383"/>
        <v>0</v>
      </c>
      <c r="AO122" s="134">
        <f t="shared" si="383"/>
        <v>0</v>
      </c>
      <c r="AP122" s="11"/>
      <c r="AQ122" s="45"/>
    </row>
    <row r="123" spans="2:43">
      <c r="B123" s="130" t="s">
        <v>59</v>
      </c>
      <c r="C123" s="171">
        <f>+C115+C109+C102</f>
        <v>-47.479000000000063</v>
      </c>
      <c r="D123" s="32">
        <f t="shared" ref="D123:E123" si="384">+D115+D109+D102</f>
        <v>-47.987999999999971</v>
      </c>
      <c r="E123" s="32">
        <f t="shared" si="384"/>
        <v>-37.730000000000025</v>
      </c>
      <c r="F123" s="32">
        <f t="shared" ref="F123:H123" si="385">+F115+F109+F102</f>
        <v>-90.947000000000131</v>
      </c>
      <c r="G123" s="32">
        <f t="shared" si="385"/>
        <v>-127.52500000000005</v>
      </c>
      <c r="H123" s="32">
        <f t="shared" si="385"/>
        <v>-55.041999999999987</v>
      </c>
      <c r="I123" s="32"/>
      <c r="J123" s="32">
        <f t="shared" ref="J123:M123" si="386">+J115+J109+J102</f>
        <v>-10.350999999999996</v>
      </c>
      <c r="K123" s="32">
        <f t="shared" si="386"/>
        <v>-19.128000000000011</v>
      </c>
      <c r="L123" s="32">
        <f t="shared" si="386"/>
        <v>-10.110999999999997</v>
      </c>
      <c r="M123" s="32">
        <f t="shared" ref="M123" si="387">+M115+M109+M102</f>
        <v>-8.1530000000000005</v>
      </c>
      <c r="N123" s="32">
        <f t="shared" ref="N123:T123" si="388">+N115+N109+N102</f>
        <v>-6.7679999999999918</v>
      </c>
      <c r="O123" s="32">
        <f t="shared" ref="O123:R123" si="389">+O115+O109+O102</f>
        <v>-8.6219999999999821</v>
      </c>
      <c r="P123" s="32">
        <f t="shared" si="389"/>
        <v>-7.3659999999999943</v>
      </c>
      <c r="Q123" s="32">
        <f t="shared" si="389"/>
        <v>-15.278000000000009</v>
      </c>
      <c r="R123" s="32">
        <f t="shared" si="388"/>
        <v>-19.047000000000004</v>
      </c>
      <c r="S123" s="32">
        <f t="shared" si="388"/>
        <v>-29.568000000000008</v>
      </c>
      <c r="T123" s="32">
        <f t="shared" si="388"/>
        <v>-29.809000000000012</v>
      </c>
      <c r="U123" s="32">
        <f t="shared" ref="U123" si="390">+U115+U109+U102</f>
        <v>-13.584000000000028</v>
      </c>
      <c r="V123" s="32">
        <f t="shared" ref="V123:AF123" si="391">+V115+V109+V102</f>
        <v>-46.095000000000006</v>
      </c>
      <c r="W123" s="32">
        <f t="shared" si="391"/>
        <v>-21.584000000000014</v>
      </c>
      <c r="X123" s="32">
        <f t="shared" si="391"/>
        <v>-56.361999999999995</v>
      </c>
      <c r="Y123" s="32">
        <f t="shared" si="391"/>
        <v>-4.2460000000000129</v>
      </c>
      <c r="Z123" s="32">
        <f t="shared" si="391"/>
        <v>-11.932999999999986</v>
      </c>
      <c r="AA123" s="32">
        <f t="shared" si="391"/>
        <v>-18.570999999999998</v>
      </c>
      <c r="AB123" s="32">
        <f t="shared" si="391"/>
        <v>-17.971999999999948</v>
      </c>
      <c r="AC123" s="32">
        <f t="shared" si="391"/>
        <v>-8.0000000000000515</v>
      </c>
      <c r="AD123" s="32">
        <f t="shared" si="391"/>
        <v>-18.811999999999976</v>
      </c>
      <c r="AE123" s="32">
        <f t="shared" si="391"/>
        <v>-17.689999999999987</v>
      </c>
      <c r="AF123" s="32">
        <f t="shared" si="391"/>
        <v>2.165000000000008</v>
      </c>
      <c r="AG123" s="32"/>
      <c r="AH123" s="32">
        <f>SUM(V123:Y123)</f>
        <v>-128.28700000000003</v>
      </c>
      <c r="AI123" s="32">
        <f>SUM(W123:Z123)</f>
        <v>-94.125</v>
      </c>
      <c r="AJ123" s="32">
        <f>SUM(X123:AA123)</f>
        <v>-91.111999999999995</v>
      </c>
      <c r="AK123" s="32">
        <f>SUM(Y123:AB123)</f>
        <v>-52.721999999999952</v>
      </c>
      <c r="AL123" s="32">
        <f>SUM(Z123:AC123)</f>
        <v>-56.475999999999978</v>
      </c>
      <c r="AM123" s="32">
        <f>SUM(AA123:AD123)</f>
        <v>-63.354999999999976</v>
      </c>
      <c r="AN123" s="32">
        <f>SUM(AB123:AE123)</f>
        <v>-62.473999999999961</v>
      </c>
      <c r="AO123" s="134">
        <f>SUM(AC123:AF123)</f>
        <v>-42.337000000000003</v>
      </c>
      <c r="AP123" s="11"/>
      <c r="AQ123" s="45"/>
    </row>
    <row r="124" spans="2:43">
      <c r="B124" s="89" t="s">
        <v>69</v>
      </c>
      <c r="C124" s="146">
        <f t="shared" ref="C124" si="392">SUM(C119:C123)</f>
        <v>-47.479000000000063</v>
      </c>
      <c r="D124" s="146">
        <f t="shared" ref="D124:E124" si="393">SUM(D119:D123)</f>
        <v>-47.987999999999971</v>
      </c>
      <c r="E124" s="146">
        <f t="shared" si="393"/>
        <v>-37.730000000000025</v>
      </c>
      <c r="F124" s="146">
        <f t="shared" ref="F124:H124" si="394">SUM(F119:F123)</f>
        <v>-90.947000000000131</v>
      </c>
      <c r="G124" s="146">
        <f t="shared" si="394"/>
        <v>-218.47200000000018</v>
      </c>
      <c r="H124" s="146">
        <f t="shared" si="394"/>
        <v>-273.51400000000018</v>
      </c>
      <c r="I124" s="32"/>
      <c r="J124" s="146">
        <f t="shared" ref="J124:M124" si="395">SUM(J119:J123)</f>
        <v>-10.350999999999996</v>
      </c>
      <c r="K124" s="146">
        <f t="shared" si="395"/>
        <v>-19.128000000000011</v>
      </c>
      <c r="L124" s="146">
        <f t="shared" si="395"/>
        <v>-10.110999999999997</v>
      </c>
      <c r="M124" s="146">
        <f t="shared" ref="M124" si="396">SUM(M119:M123)</f>
        <v>-8.1530000000000005</v>
      </c>
      <c r="N124" s="146">
        <f t="shared" ref="N124:T124" si="397">SUM(N119:N123)</f>
        <v>-6.7679999999999918</v>
      </c>
      <c r="O124" s="146">
        <f t="shared" ref="O124:R124" si="398">SUM(O119:O123)</f>
        <v>-8.6219999999999821</v>
      </c>
      <c r="P124" s="146">
        <f t="shared" si="398"/>
        <v>-7.3659999999999943</v>
      </c>
      <c r="Q124" s="146">
        <f t="shared" si="398"/>
        <v>-15.278000000000009</v>
      </c>
      <c r="R124" s="146">
        <f t="shared" si="397"/>
        <v>-19.047000000000004</v>
      </c>
      <c r="S124" s="146">
        <f t="shared" si="397"/>
        <v>-29.568000000000008</v>
      </c>
      <c r="T124" s="146">
        <f t="shared" si="397"/>
        <v>-29.809000000000012</v>
      </c>
      <c r="U124" s="146">
        <f t="shared" ref="U124" si="399">SUM(U119:U123)</f>
        <v>-13.584000000000028</v>
      </c>
      <c r="V124" s="146">
        <f t="shared" ref="V124:AF124" si="400">SUM(V119:V123)</f>
        <v>-46.095000000000006</v>
      </c>
      <c r="W124" s="146">
        <f t="shared" si="400"/>
        <v>-67.679000000000016</v>
      </c>
      <c r="X124" s="146">
        <f t="shared" si="400"/>
        <v>-124.04100000000001</v>
      </c>
      <c r="Y124" s="146">
        <f t="shared" si="400"/>
        <v>-128.28700000000003</v>
      </c>
      <c r="Z124" s="146">
        <f t="shared" si="400"/>
        <v>-140.22000000000003</v>
      </c>
      <c r="AA124" s="146">
        <f t="shared" si="400"/>
        <v>-158.79100000000003</v>
      </c>
      <c r="AB124" s="146">
        <f t="shared" si="400"/>
        <v>-176.76299999999998</v>
      </c>
      <c r="AC124" s="146">
        <f t="shared" si="400"/>
        <v>-184.76300000000003</v>
      </c>
      <c r="AD124" s="146">
        <f t="shared" si="400"/>
        <v>-203.57500000000002</v>
      </c>
      <c r="AE124" s="146">
        <f t="shared" si="400"/>
        <v>-221.26500000000001</v>
      </c>
      <c r="AF124" s="146">
        <f t="shared" si="400"/>
        <v>-219.1</v>
      </c>
      <c r="AG124" s="32"/>
      <c r="AH124" s="133">
        <f t="shared" ref="AH124:AO124" si="401">SUM(AH119:AH123)</f>
        <v>-128.28700000000003</v>
      </c>
      <c r="AI124" s="133">
        <f t="shared" si="401"/>
        <v>-140.22</v>
      </c>
      <c r="AJ124" s="133">
        <f t="shared" si="401"/>
        <v>-158.791</v>
      </c>
      <c r="AK124" s="146">
        <f t="shared" si="401"/>
        <v>-176.76299999999998</v>
      </c>
      <c r="AL124" s="146">
        <f t="shared" si="401"/>
        <v>-184.76300000000001</v>
      </c>
      <c r="AM124" s="146">
        <f t="shared" si="401"/>
        <v>-203.57499999999999</v>
      </c>
      <c r="AN124" s="146">
        <f t="shared" si="401"/>
        <v>-221.26499999999999</v>
      </c>
      <c r="AO124" s="147">
        <f t="shared" si="401"/>
        <v>-219.09999999999997</v>
      </c>
      <c r="AP124" s="11"/>
      <c r="AQ124" s="45"/>
    </row>
    <row r="125" spans="2:43" ht="5.0999999999999996" customHeight="1">
      <c r="B125" s="90"/>
      <c r="C125" s="65"/>
      <c r="D125" s="65"/>
      <c r="E125" s="65"/>
      <c r="F125" s="65"/>
      <c r="G125" s="65"/>
      <c r="H125" s="65"/>
      <c r="I125" s="32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H125" s="11"/>
      <c r="AI125" s="11"/>
      <c r="AJ125" s="11"/>
      <c r="AK125" s="11"/>
      <c r="AL125" s="11"/>
      <c r="AM125" s="11"/>
      <c r="AN125" s="11"/>
      <c r="AO125" s="91"/>
      <c r="AP125" s="11"/>
      <c r="AQ125" s="45"/>
    </row>
    <row r="126" spans="2:43">
      <c r="B126" s="138" t="s">
        <v>85</v>
      </c>
      <c r="C126" s="87">
        <f>ROUND(C124-C45,1)</f>
        <v>-429.2</v>
      </c>
      <c r="D126" s="87">
        <f>ROUND(D124-D45,1)</f>
        <v>-370.8</v>
      </c>
      <c r="E126" s="87">
        <f>ROUND(E124-E45,1)</f>
        <v>-338.1</v>
      </c>
      <c r="F126" s="87">
        <f>ROUND(F124-F45,1)</f>
        <v>-331.1</v>
      </c>
      <c r="G126" s="87">
        <f>ROUND(G124-G45,1)</f>
        <v>-474.6</v>
      </c>
      <c r="H126" s="87">
        <f>ROUND(H124-H45,1)</f>
        <v>-575.29999999999995</v>
      </c>
      <c r="I126" s="88"/>
      <c r="J126" s="87">
        <f t="shared" ref="J126:M126" si="402">J124-J45</f>
        <v>-403.78500000000003</v>
      </c>
      <c r="K126" s="87">
        <f t="shared" si="402"/>
        <v>-421.24899999999997</v>
      </c>
      <c r="L126" s="87">
        <f t="shared" si="402"/>
        <v>-472.24299999999999</v>
      </c>
      <c r="M126" s="87">
        <f>M124-M45</f>
        <v>-330.98400000000004</v>
      </c>
      <c r="N126" s="87">
        <f>N124-N45</f>
        <v>-337.94099999999997</v>
      </c>
      <c r="O126" s="87">
        <f>O124-O45</f>
        <v>-330.81599999999997</v>
      </c>
      <c r="P126" s="87">
        <f>P124-P45</f>
        <v>-298.49099999999999</v>
      </c>
      <c r="Q126" s="87">
        <f>Q124-Q45</f>
        <v>-315.66400000000004</v>
      </c>
      <c r="R126" s="87">
        <f>R124-R45</f>
        <v>-322.12300000000005</v>
      </c>
      <c r="S126" s="87">
        <f>S124-S45</f>
        <v>-255.821</v>
      </c>
      <c r="T126" s="87">
        <f>T124-T45</f>
        <v>-259.30600000000004</v>
      </c>
      <c r="U126" s="87">
        <f>U124-U45</f>
        <v>-253.78100000000003</v>
      </c>
      <c r="V126" s="87">
        <f>V124-V45</f>
        <v>-241.58</v>
      </c>
      <c r="W126" s="87">
        <f>W124-W45</f>
        <v>-266.61799999999999</v>
      </c>
      <c r="X126" s="87">
        <f>X124-X45</f>
        <v>-528.92600000000004</v>
      </c>
      <c r="Y126" s="87">
        <f>Y124-Y45</f>
        <v>-384.38700000000006</v>
      </c>
      <c r="Z126" s="87">
        <f>Z124-Z45</f>
        <v>-436.286</v>
      </c>
      <c r="AA126" s="87">
        <f>AA124-AA45</f>
        <v>-426.68799999999999</v>
      </c>
      <c r="AB126" s="87">
        <f>AB124-AB45</f>
        <v>-425.00199999999995</v>
      </c>
      <c r="AC126" s="87">
        <f>AC124-AC45</f>
        <v>-486.59800000000001</v>
      </c>
      <c r="AD126" s="87">
        <f>AD124-AD45</f>
        <v>-445.59900000000005</v>
      </c>
      <c r="AE126" s="87">
        <f>AE124-AE45</f>
        <v>-505.51499999999999</v>
      </c>
      <c r="AF126" s="87">
        <f>AF124-AF45</f>
        <v>-535.01400000000001</v>
      </c>
      <c r="AG126" s="87"/>
      <c r="AH126" s="87">
        <f>AH124-AH45</f>
        <v>-384.38700000000006</v>
      </c>
      <c r="AI126" s="87">
        <f>AI124-AI45</f>
        <v>-436.28599999999994</v>
      </c>
      <c r="AJ126" s="87">
        <f>AJ124-AJ45</f>
        <v>-426.68799999999999</v>
      </c>
      <c r="AK126" s="87">
        <f>AK124-AK45</f>
        <v>-425.00199999999995</v>
      </c>
      <c r="AL126" s="87">
        <f>AL124-AL45</f>
        <v>-486.59799999999996</v>
      </c>
      <c r="AM126" s="87">
        <f>AM124-AM45</f>
        <v>-445.59899999999999</v>
      </c>
      <c r="AN126" s="87">
        <f>AN124-AN45</f>
        <v>-505.51499999999999</v>
      </c>
      <c r="AO126" s="136">
        <f>AO124-AO45</f>
        <v>-535.0139999999999</v>
      </c>
      <c r="AP126" s="11"/>
      <c r="AQ126" s="45"/>
    </row>
    <row r="127" spans="2:43" ht="5.0999999999999996" customHeight="1">
      <c r="B127" s="8"/>
      <c r="C127" s="65"/>
      <c r="D127" s="65"/>
      <c r="E127" s="65"/>
      <c r="F127" s="65"/>
      <c r="G127" s="65"/>
      <c r="H127" s="65"/>
      <c r="I127" s="32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H127" s="11"/>
      <c r="AI127" s="11"/>
      <c r="AJ127" s="11"/>
      <c r="AK127" s="11"/>
      <c r="AL127" s="11"/>
      <c r="AM127" s="11"/>
      <c r="AN127" s="11"/>
      <c r="AO127" s="11"/>
      <c r="AP127" s="11"/>
      <c r="AQ127" s="45"/>
    </row>
    <row r="128" spans="2:43" ht="12.75" customHeight="1">
      <c r="B128" s="72" t="s">
        <v>60</v>
      </c>
      <c r="C128" s="62"/>
      <c r="D128" s="62"/>
      <c r="E128" s="62"/>
      <c r="F128" s="62"/>
      <c r="G128" s="62"/>
      <c r="H128" s="62"/>
      <c r="I128" s="11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82"/>
      <c r="AE128" s="62"/>
      <c r="AF128" s="62"/>
      <c r="AH128" s="62"/>
      <c r="AI128" s="62"/>
      <c r="AJ128" s="62"/>
      <c r="AK128" s="62"/>
      <c r="AL128" s="62"/>
      <c r="AM128" s="62"/>
      <c r="AN128" s="62"/>
      <c r="AO128" s="62"/>
      <c r="AP128" s="66"/>
      <c r="AQ128" s="45"/>
    </row>
    <row r="129" spans="2:43" ht="12.75" customHeight="1">
      <c r="B129" s="8" t="s">
        <v>93</v>
      </c>
      <c r="C129" s="82"/>
      <c r="D129" s="82"/>
      <c r="E129" s="82"/>
      <c r="F129" s="82"/>
      <c r="G129" s="82"/>
      <c r="H129" s="82"/>
      <c r="I129" s="11"/>
      <c r="J129" s="8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32">
        <f>SUM(G129-SUM(V129:X129))</f>
        <v>0</v>
      </c>
      <c r="Z129" s="82"/>
      <c r="AA129" s="82"/>
      <c r="AB129" s="82"/>
      <c r="AC129" s="32">
        <f>SUM(H129-SUM(Z129:AB129))</f>
        <v>0</v>
      </c>
      <c r="AD129" s="82"/>
      <c r="AE129" s="82"/>
      <c r="AF129" s="82"/>
      <c r="AH129" s="32">
        <f>SUM(V129:Y129)</f>
        <v>0</v>
      </c>
      <c r="AI129" s="32">
        <f>SUM(W129:Z129)</f>
        <v>0</v>
      </c>
      <c r="AJ129" s="32">
        <f>SUM(X129:AA129)</f>
        <v>0</v>
      </c>
      <c r="AK129" s="32">
        <f>SUM(Y129:AB129)</f>
        <v>0</v>
      </c>
      <c r="AL129" s="32">
        <f>SUM(Z129:AC129)</f>
        <v>0</v>
      </c>
      <c r="AM129" s="32">
        <f>SUM(AA129:AD129)</f>
        <v>0</v>
      </c>
      <c r="AN129" s="32">
        <f>SUM(AB129:AE129)</f>
        <v>0</v>
      </c>
      <c r="AO129" s="32">
        <f>SUM(AC129:AF129)</f>
        <v>0</v>
      </c>
      <c r="AP129" s="66"/>
      <c r="AQ129" s="45"/>
    </row>
    <row r="130" spans="2:43" ht="12.75" customHeight="1">
      <c r="B130" s="8" t="s">
        <v>109</v>
      </c>
      <c r="C130" s="82"/>
      <c r="D130" s="82"/>
      <c r="E130" s="82"/>
      <c r="F130" s="82"/>
      <c r="G130" s="82"/>
      <c r="H130" s="82"/>
      <c r="I130" s="32"/>
      <c r="J130" s="82"/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32">
        <f>SUM(G130-SUM(V130:X130))</f>
        <v>0</v>
      </c>
      <c r="Z130" s="82"/>
      <c r="AA130" s="82"/>
      <c r="AB130" s="82"/>
      <c r="AC130" s="32">
        <f>SUM(H130-SUM(Z130:AB130))</f>
        <v>0</v>
      </c>
      <c r="AD130" s="82"/>
      <c r="AE130" s="82"/>
      <c r="AF130" s="82"/>
      <c r="AG130" s="32"/>
      <c r="AH130" s="32">
        <f>SUM(V130:Y130)</f>
        <v>0</v>
      </c>
      <c r="AI130" s="32">
        <f>SUM(W130:Z130)</f>
        <v>0</v>
      </c>
      <c r="AJ130" s="32">
        <f>SUM(X130:AA130)</f>
        <v>0</v>
      </c>
      <c r="AK130" s="32">
        <f>SUM(Y130:AB130)</f>
        <v>0</v>
      </c>
      <c r="AL130" s="32">
        <f>SUM(Z130:AC130)</f>
        <v>0</v>
      </c>
      <c r="AM130" s="32">
        <f>SUM(AA130:AD130)</f>
        <v>0</v>
      </c>
      <c r="AN130" s="32">
        <f>SUM(AB130:AE130)</f>
        <v>0</v>
      </c>
      <c r="AO130" s="32">
        <f>SUM(AC130:AF130)</f>
        <v>0</v>
      </c>
      <c r="AP130" s="11"/>
      <c r="AQ130" s="45"/>
    </row>
    <row r="131" spans="2:43" ht="5.0999999999999996" customHeight="1" thickBot="1">
      <c r="B131" s="73"/>
      <c r="C131" s="74"/>
      <c r="D131" s="74"/>
      <c r="E131" s="74"/>
      <c r="F131" s="74"/>
      <c r="G131" s="74"/>
      <c r="H131" s="74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3"/>
      <c r="AQ131" s="45"/>
    </row>
    <row r="132" spans="2:43" ht="12.75" customHeight="1">
      <c r="B132" s="53"/>
      <c r="C132" s="67"/>
      <c r="D132" s="67"/>
      <c r="E132" s="67"/>
      <c r="F132" s="67"/>
      <c r="G132" s="67"/>
      <c r="H132" s="67"/>
    </row>
    <row r="133" spans="2:43" ht="12.75" customHeight="1">
      <c r="C133" s="56"/>
      <c r="D133" s="56"/>
      <c r="E133" s="56"/>
      <c r="F133" s="56"/>
      <c r="G133" s="56"/>
      <c r="H133" s="56"/>
    </row>
    <row r="134" spans="2:43" ht="12.75" customHeight="1"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</row>
    <row r="135" spans="2:43" ht="12.75" customHeight="1"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</row>
    <row r="136" spans="2:43" ht="12.75" customHeight="1"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</row>
    <row r="137" spans="2:43" ht="12.75" customHeight="1"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</row>
    <row r="138" spans="2:43" ht="12.75" customHeight="1"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86"/>
    </row>
    <row r="139" spans="2:43" ht="12.75" customHeight="1"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</row>
    <row r="140" spans="2:43" ht="12.75" customHeight="1"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86"/>
    </row>
    <row r="141" spans="2:43"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86"/>
    </row>
    <row r="142" spans="2:43"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86"/>
    </row>
    <row r="143" spans="2:43"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</row>
    <row r="144" spans="2:43"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86"/>
    </row>
    <row r="145" spans="3:27"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86"/>
    </row>
    <row r="146" spans="3:27"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</row>
    <row r="147" spans="3:27"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</row>
  </sheetData>
  <mergeCells count="3">
    <mergeCell ref="AQ6:AQ8"/>
    <mergeCell ref="AQ40:AQ42"/>
    <mergeCell ref="AQ88:AQ90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I51 AH22:AL23 AH28:AO29 AH11:AO12" formulaRange="1"/>
    <ignoredError sqref="F22:H23 W22:AF23 W28:AF28 F28:H28 AO109:AQ111 AO102:AQ103 AP108 AO104:AP104 AP112:AQ112 W33:AF33 W36:AF36 W34:AF34 W37:X37 AD37:AF37 F33:I33 F36:I37 F34:G34 I34 AH33:AO33 AH36:AO36 AH34:AO34 AH37:AO37 I35 I38" evalError="1"/>
    <ignoredError sqref="AH122:AO122 AH121:AO12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BA37"/>
  <sheetViews>
    <sheetView showGridLines="0" zoomScaleNormal="100" workbookViewId="0">
      <selection activeCell="C25" sqref="A25:XFD25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8" width="8.625" style="8" bestFit="1" customWidth="1"/>
    <col min="9" max="9" width="1.5" style="8" customWidth="1"/>
    <col min="10" max="23" width="8" style="8" customWidth="1" outlineLevel="1"/>
    <col min="24" max="25" width="8.75" style="8" customWidth="1" outlineLevel="1"/>
    <col min="26" max="26" width="8.5" style="8" customWidth="1" outlineLevel="1"/>
    <col min="27" max="27" width="8.25" style="8" customWidth="1" outlineLevel="1"/>
    <col min="28" max="28" width="8.5" style="8" bestFit="1" customWidth="1"/>
    <col min="29" max="32" width="9.125" style="8" bestFit="1" customWidth="1"/>
    <col min="33" max="33" width="1.5" style="8" customWidth="1"/>
    <col min="34" max="36" width="8.75" style="8" customWidth="1" outlineLevel="1"/>
    <col min="37" max="37" width="8.75" style="8" customWidth="1"/>
    <col min="38" max="40" width="8.75" style="8" customWidth="1" outlineLevel="1"/>
    <col min="41" max="41" width="8.75" style="8" customWidth="1"/>
    <col min="42" max="16384" width="9" style="8"/>
  </cols>
  <sheetData>
    <row r="2" spans="1:41" s="5" customFormat="1" ht="12.75" customHeight="1">
      <c r="B2" s="1" t="str">
        <f>'Historical Financials'!B2</f>
        <v>Workiva Inc. (NYSE: WK)</v>
      </c>
      <c r="C2" s="2" t="s">
        <v>0</v>
      </c>
      <c r="D2" s="2"/>
      <c r="E2" s="2"/>
      <c r="F2" s="2"/>
      <c r="G2" s="2"/>
      <c r="H2" s="2"/>
      <c r="I2" s="3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 t="s">
        <v>1</v>
      </c>
      <c r="AC2" s="2"/>
      <c r="AD2" s="2"/>
      <c r="AE2" s="2"/>
      <c r="AF2" s="2"/>
      <c r="AG2" s="3"/>
      <c r="AH2" s="2"/>
      <c r="AI2" s="2"/>
      <c r="AJ2" s="2"/>
      <c r="AK2" s="2"/>
      <c r="AL2" s="2"/>
      <c r="AM2" s="2"/>
      <c r="AN2" s="2"/>
      <c r="AO2" s="2"/>
    </row>
    <row r="3" spans="1:41" s="5" customFormat="1" ht="12.75" customHeight="1">
      <c r="B3" s="6" t="s">
        <v>64</v>
      </c>
      <c r="C3" s="7">
        <f>'Historical Financials'!C7</f>
        <v>2019</v>
      </c>
      <c r="D3" s="7">
        <f>'Historical Financials'!D7</f>
        <v>2020</v>
      </c>
      <c r="E3" s="7">
        <f>'Historical Financials'!E7</f>
        <v>2021</v>
      </c>
      <c r="F3" s="7">
        <f>'Historical Financials'!F7</f>
        <v>2022</v>
      </c>
      <c r="G3" s="7">
        <f>'Historical Financials'!G7</f>
        <v>2023</v>
      </c>
      <c r="H3" s="7">
        <f>'Historical Financials'!H7</f>
        <v>2024</v>
      </c>
      <c r="I3" s="3"/>
      <c r="J3" s="7" t="str">
        <f>'Historical Financials'!J7</f>
        <v>1Q20</v>
      </c>
      <c r="K3" s="7" t="str">
        <f>'Historical Financials'!K7</f>
        <v>2Q20</v>
      </c>
      <c r="L3" s="7" t="str">
        <f>'Historical Financials'!L7</f>
        <v>3Q20</v>
      </c>
      <c r="M3" s="7" t="str">
        <f>'Historical Financials'!M7</f>
        <v>4Q20</v>
      </c>
      <c r="N3" s="7" t="str">
        <f>'Historical Financials'!N7</f>
        <v>1Q21</v>
      </c>
      <c r="O3" s="7" t="str">
        <f>'Historical Financials'!O7</f>
        <v>2Q21</v>
      </c>
      <c r="P3" s="7" t="str">
        <f>'Historical Financials'!P7</f>
        <v>3Q21</v>
      </c>
      <c r="Q3" s="7" t="str">
        <f>'Historical Financials'!Q7</f>
        <v>4Q21</v>
      </c>
      <c r="R3" s="7" t="str">
        <f>'Historical Financials'!R7</f>
        <v>1Q22</v>
      </c>
      <c r="S3" s="7" t="str">
        <f>'Historical Financials'!S7</f>
        <v>2Q22</v>
      </c>
      <c r="T3" s="7" t="str">
        <f>'Historical Financials'!T7</f>
        <v>3Q22</v>
      </c>
      <c r="U3" s="7" t="str">
        <f>'Historical Financials'!U7</f>
        <v>4Q22</v>
      </c>
      <c r="V3" s="7" t="str">
        <f>'Historical Financials'!V7</f>
        <v>1Q23</v>
      </c>
      <c r="W3" s="7" t="str">
        <f>'Historical Financials'!W7</f>
        <v>2Q23</v>
      </c>
      <c r="X3" s="7" t="str">
        <f>'Historical Financials'!X7</f>
        <v>3Q23</v>
      </c>
      <c r="Y3" s="7" t="str">
        <f>'Historical Financials'!Y7</f>
        <v>4Q23</v>
      </c>
      <c r="Z3" s="7" t="str">
        <f>'Historical Financials'!Z7</f>
        <v>1Q24</v>
      </c>
      <c r="AA3" s="7" t="str">
        <f>'Historical Financials'!AA7</f>
        <v>2Q24</v>
      </c>
      <c r="AB3" s="7" t="str">
        <f>'Historical Financials'!AB7</f>
        <v>3Q24</v>
      </c>
      <c r="AC3" s="7" t="str">
        <f>'Historical Financials'!AC7</f>
        <v>4Q24</v>
      </c>
      <c r="AD3" s="7" t="str">
        <f>'Historical Financials'!AD7</f>
        <v>1Q25</v>
      </c>
      <c r="AE3" s="7" t="str">
        <f>'Historical Financials'!AE7</f>
        <v>2Q25</v>
      </c>
      <c r="AF3" s="7" t="str">
        <f>'Historical Financials'!AF7</f>
        <v>3Q25</v>
      </c>
      <c r="AG3" s="4"/>
      <c r="AH3" s="4" t="str">
        <f>Y3</f>
        <v>4Q23</v>
      </c>
      <c r="AI3" s="4" t="str">
        <f>Z3</f>
        <v>1Q24</v>
      </c>
      <c r="AJ3" s="4" t="str">
        <f>AA3</f>
        <v>2Q24</v>
      </c>
      <c r="AK3" s="4" t="str">
        <f>AB3</f>
        <v>3Q24</v>
      </c>
      <c r="AL3" s="4" t="str">
        <f>AC3</f>
        <v>4Q24</v>
      </c>
      <c r="AM3" s="4" t="str">
        <f>AD3</f>
        <v>1Q25</v>
      </c>
      <c r="AN3" s="4" t="str">
        <f>AE3</f>
        <v>2Q25</v>
      </c>
      <c r="AO3" s="4" t="str">
        <f>AF3</f>
        <v>3Q25</v>
      </c>
    </row>
    <row r="4" spans="1:41" s="5" customFormat="1" ht="12.75" customHeight="1">
      <c r="B4" s="6" t="s">
        <v>157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>
        <f>'Historical Financials'!G8</f>
        <v>0</v>
      </c>
      <c r="H4" s="3">
        <f>'Historical Financials'!H8</f>
        <v>0</v>
      </c>
      <c r="I4" s="3"/>
      <c r="J4" s="3">
        <f>'Historical Financials'!J8</f>
        <v>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>
        <f>'Historical Financials'!S8</f>
        <v>0</v>
      </c>
      <c r="T4" s="3">
        <f>'Historical Financials'!T8</f>
        <v>0</v>
      </c>
      <c r="U4" s="3">
        <f>'Historical Financials'!U8</f>
        <v>0</v>
      </c>
      <c r="V4" s="3">
        <f>'Historical Financials'!V8</f>
        <v>0</v>
      </c>
      <c r="W4" s="3">
        <f>'Historical Financials'!W8</f>
        <v>0</v>
      </c>
      <c r="X4" s="3">
        <f>'Historical Financials'!X8</f>
        <v>0</v>
      </c>
      <c r="Y4" s="3">
        <f>'Historical Financials'!Y8</f>
        <v>0</v>
      </c>
      <c r="Z4" s="3">
        <f>'Historical Financials'!Z8</f>
        <v>0</v>
      </c>
      <c r="AA4" s="3">
        <f>'Historical Financials'!AA8</f>
        <v>0</v>
      </c>
      <c r="AB4" s="3">
        <f>'Historical Financials'!AB8</f>
        <v>0</v>
      </c>
      <c r="AC4" s="3">
        <f>'Historical Financials'!AC8</f>
        <v>0</v>
      </c>
      <c r="AD4" s="3">
        <f>'Historical Financials'!AD8</f>
        <v>0</v>
      </c>
      <c r="AE4" s="3">
        <f>'Historical Financials'!AE8</f>
        <v>0</v>
      </c>
      <c r="AF4" s="3">
        <f>'Historical Financials'!AF8</f>
        <v>0</v>
      </c>
      <c r="AG4" s="3"/>
      <c r="AH4" s="3">
        <f>Y4</f>
        <v>0</v>
      </c>
      <c r="AI4" s="3">
        <f>Z4</f>
        <v>0</v>
      </c>
      <c r="AJ4" s="3">
        <f>AA4</f>
        <v>0</v>
      </c>
      <c r="AK4" s="3">
        <f>AB4</f>
        <v>0</v>
      </c>
      <c r="AL4" s="3">
        <f>AC4</f>
        <v>0</v>
      </c>
      <c r="AM4" s="3">
        <f>AD4</f>
        <v>0</v>
      </c>
      <c r="AN4" s="3">
        <f>AE4</f>
        <v>0</v>
      </c>
      <c r="AO4" s="3">
        <f>AF4</f>
        <v>0</v>
      </c>
    </row>
    <row r="5" spans="1:41" ht="5.0999999999999996" customHeight="1"/>
    <row r="6" spans="1:41">
      <c r="A6" s="36" t="s">
        <v>16</v>
      </c>
      <c r="B6" s="1" t="s">
        <v>158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5.0999999999999996" customHeight="1"/>
    <row r="8" spans="1:41" ht="12.75" customHeight="1">
      <c r="A8" s="80" t="s">
        <v>16</v>
      </c>
      <c r="B8" s="78" t="s">
        <v>159</v>
      </c>
      <c r="C8" s="10"/>
      <c r="D8" s="10"/>
      <c r="E8" s="10"/>
      <c r="F8" s="10"/>
      <c r="G8" s="10"/>
      <c r="H8" s="10"/>
      <c r="I8" s="10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32"/>
      <c r="Z8" s="95"/>
      <c r="AA8" s="95"/>
      <c r="AB8" s="95"/>
      <c r="AC8" s="32"/>
      <c r="AD8" s="95"/>
      <c r="AE8" s="95"/>
      <c r="AF8" s="95"/>
      <c r="AG8" s="5"/>
      <c r="AH8" s="11"/>
      <c r="AI8" s="11"/>
      <c r="AJ8" s="11"/>
      <c r="AK8" s="11"/>
      <c r="AL8" s="11"/>
      <c r="AM8" s="11"/>
      <c r="AN8" s="11"/>
      <c r="AO8" s="11"/>
    </row>
    <row r="9" spans="1:41">
      <c r="B9" s="9" t="s">
        <v>183</v>
      </c>
      <c r="C9" s="81">
        <v>245.76499999999999</v>
      </c>
      <c r="D9" s="81">
        <v>295.87700000000001</v>
      </c>
      <c r="E9" s="81">
        <v>379.34</v>
      </c>
      <c r="F9" s="81">
        <v>464.935</v>
      </c>
      <c r="G9" s="81">
        <v>558.64499999999998</v>
      </c>
      <c r="H9" s="81">
        <v>667.64599999999996</v>
      </c>
      <c r="I9" s="81"/>
      <c r="J9" s="95">
        <v>68.361000000000004</v>
      </c>
      <c r="K9" s="95">
        <v>70.695999999999998</v>
      </c>
      <c r="L9" s="95">
        <v>75.849999999999994</v>
      </c>
      <c r="M9" s="95">
        <v>80.97</v>
      </c>
      <c r="N9" s="95">
        <v>84.936000000000007</v>
      </c>
      <c r="O9" s="95">
        <v>91.204999999999998</v>
      </c>
      <c r="P9" s="95">
        <v>98.912000000000006</v>
      </c>
      <c r="Q9" s="95">
        <v>104.28699999999998</v>
      </c>
      <c r="R9" s="95">
        <v>107.12</v>
      </c>
      <c r="S9" s="95">
        <v>113.35299999999999</v>
      </c>
      <c r="T9" s="95">
        <v>118.59099999999999</v>
      </c>
      <c r="U9" s="95">
        <v>125.87099999999998</v>
      </c>
      <c r="V9" s="95">
        <v>129.66399999999999</v>
      </c>
      <c r="W9" s="95">
        <v>136.77199999999999</v>
      </c>
      <c r="X9" s="95">
        <v>143.42099999999999</v>
      </c>
      <c r="Y9" s="32">
        <v>148.78800000000001</v>
      </c>
      <c r="Z9" s="95">
        <v>154.97900000000001</v>
      </c>
      <c r="AA9" s="95">
        <v>160.73500000000001</v>
      </c>
      <c r="AB9" s="95">
        <v>171.035</v>
      </c>
      <c r="AC9" s="32">
        <v>180.89699999999993</v>
      </c>
      <c r="AD9" s="82">
        <v>185.512</v>
      </c>
      <c r="AE9" s="82">
        <v>198.22300000000001</v>
      </c>
      <c r="AF9" s="81">
        <v>209.56</v>
      </c>
      <c r="AG9" s="5"/>
      <c r="AH9" s="32">
        <f t="shared" ref="AH9:AH11" si="0">SUM(V9:Y9)</f>
        <v>558.64499999999998</v>
      </c>
      <c r="AI9" s="32">
        <f t="shared" ref="AI9:AI11" si="1">SUM(W9:Z9)</f>
        <v>583.96</v>
      </c>
      <c r="AJ9" s="32">
        <f t="shared" ref="AJ9:AJ11" si="2">SUM(X9:AA9)</f>
        <v>607.923</v>
      </c>
      <c r="AK9" s="32">
        <f t="shared" ref="AK9:AK11" si="3">SUM(Y9:AB9)</f>
        <v>635.53700000000003</v>
      </c>
      <c r="AL9" s="32">
        <f t="shared" ref="AL9:AL11" si="4">SUM(Z9:AC9)</f>
        <v>667.64599999999996</v>
      </c>
      <c r="AM9" s="32">
        <f t="shared" ref="AM9:AM11" si="5">SUM(AA9:AD9)</f>
        <v>698.17899999999986</v>
      </c>
      <c r="AN9" s="32">
        <f t="shared" ref="AN9:AN11" si="6">SUM(AB9:AE9)</f>
        <v>735.66699999999992</v>
      </c>
      <c r="AO9" s="32">
        <f t="shared" ref="AO9:AO11" si="7">SUM(AC9:AF9)</f>
        <v>774.19200000000001</v>
      </c>
    </row>
    <row r="10" spans="1:41">
      <c r="B10" s="9" t="s">
        <v>196</v>
      </c>
      <c r="C10" s="81">
        <v>38.734000000000002</v>
      </c>
      <c r="D10" s="81">
        <v>38.031999999999996</v>
      </c>
      <c r="E10" s="81">
        <v>44.762999999999998</v>
      </c>
      <c r="F10" s="81">
        <v>54.896000000000001</v>
      </c>
      <c r="G10" s="81">
        <v>56.82</v>
      </c>
      <c r="H10" s="81">
        <v>58.790999999999997</v>
      </c>
      <c r="I10" s="81"/>
      <c r="J10" s="95">
        <v>13.432</v>
      </c>
      <c r="K10" s="95">
        <v>8.3130000000000006</v>
      </c>
      <c r="L10" s="95">
        <v>7.798</v>
      </c>
      <c r="M10" s="95">
        <v>8.4889999999999972</v>
      </c>
      <c r="N10" s="95">
        <v>14.486000000000001</v>
      </c>
      <c r="O10" s="95">
        <v>10.069000000000001</v>
      </c>
      <c r="P10" s="95">
        <v>9.0030000000000001</v>
      </c>
      <c r="Q10" s="95">
        <v>11.204999999999998</v>
      </c>
      <c r="R10" s="95">
        <v>17.693000000000001</v>
      </c>
      <c r="S10" s="95">
        <v>13.516999999999999</v>
      </c>
      <c r="T10" s="95">
        <v>10.634</v>
      </c>
      <c r="U10" s="95">
        <v>13.052</v>
      </c>
      <c r="V10" s="95">
        <v>16.733000000000001</v>
      </c>
      <c r="W10" s="95">
        <v>14.430999999999999</v>
      </c>
      <c r="X10" s="95">
        <v>11.555</v>
      </c>
      <c r="Y10" s="32">
        <v>14.100999999999999</v>
      </c>
      <c r="Z10" s="95">
        <v>17.593</v>
      </c>
      <c r="AA10" s="95">
        <v>14.026999999999999</v>
      </c>
      <c r="AB10" s="95">
        <v>11.705</v>
      </c>
      <c r="AC10" s="32">
        <v>15.466000000000001</v>
      </c>
      <c r="AD10" s="82">
        <v>17.940000000000001</v>
      </c>
      <c r="AE10" s="82">
        <v>14.502000000000001</v>
      </c>
      <c r="AF10" s="81">
        <v>11.77</v>
      </c>
      <c r="AG10" s="5"/>
      <c r="AH10" s="32">
        <f t="shared" si="0"/>
        <v>56.82</v>
      </c>
      <c r="AI10" s="32">
        <f t="shared" si="1"/>
        <v>57.679999999999993</v>
      </c>
      <c r="AJ10" s="32">
        <f t="shared" si="2"/>
        <v>57.275999999999996</v>
      </c>
      <c r="AK10" s="32">
        <f t="shared" si="3"/>
        <v>57.425999999999995</v>
      </c>
      <c r="AL10" s="32">
        <f t="shared" si="4"/>
        <v>58.790999999999997</v>
      </c>
      <c r="AM10" s="32">
        <f t="shared" si="5"/>
        <v>59.138000000000005</v>
      </c>
      <c r="AN10" s="32">
        <f t="shared" si="6"/>
        <v>59.613000000000007</v>
      </c>
      <c r="AO10" s="32">
        <f t="shared" si="7"/>
        <v>59.678000000000011</v>
      </c>
    </row>
    <row r="11" spans="1:41">
      <c r="B11" s="9" t="s">
        <v>197</v>
      </c>
      <c r="C11" s="81">
        <v>13.391999999999999</v>
      </c>
      <c r="D11" s="81">
        <v>17.684999999999999</v>
      </c>
      <c r="E11" s="81">
        <v>19.181999999999999</v>
      </c>
      <c r="F11" s="81">
        <v>18.044</v>
      </c>
      <c r="G11" s="81">
        <v>14.574</v>
      </c>
      <c r="H11" s="81">
        <v>12.243</v>
      </c>
      <c r="I11" s="81"/>
      <c r="J11" s="95">
        <v>4.008</v>
      </c>
      <c r="K11" s="95">
        <v>4.851</v>
      </c>
      <c r="L11" s="95">
        <v>4.4509999999999996</v>
      </c>
      <c r="M11" s="95">
        <v>4.375</v>
      </c>
      <c r="N11" s="95">
        <v>4.8</v>
      </c>
      <c r="O11" s="95">
        <v>4.3129999999999997</v>
      </c>
      <c r="P11" s="95">
        <v>4.7779999999999996</v>
      </c>
      <c r="Q11" s="95">
        <v>5.2910000000000004</v>
      </c>
      <c r="R11" s="95">
        <v>4.8609999999999998</v>
      </c>
      <c r="S11" s="95">
        <v>4.6790000000000003</v>
      </c>
      <c r="T11" s="95">
        <v>3.6240000000000001</v>
      </c>
      <c r="U11" s="95">
        <v>4.8800000000000008</v>
      </c>
      <c r="V11" s="95">
        <v>3.7919999999999998</v>
      </c>
      <c r="W11" s="95">
        <v>3.819</v>
      </c>
      <c r="X11" s="95">
        <v>3.1989999999999998</v>
      </c>
      <c r="Y11" s="32">
        <v>3.7640000000000011</v>
      </c>
      <c r="Z11" s="95">
        <v>3.0950000000000002</v>
      </c>
      <c r="AA11" s="95">
        <v>2.7410000000000001</v>
      </c>
      <c r="AB11" s="95">
        <v>2.8820000000000001</v>
      </c>
      <c r="AC11" s="32">
        <v>3.5250000000000004</v>
      </c>
      <c r="AD11" s="82">
        <v>2.82</v>
      </c>
      <c r="AE11" s="82">
        <v>2.46</v>
      </c>
      <c r="AF11" s="81">
        <v>2.8340000000000001</v>
      </c>
      <c r="AG11" s="5"/>
      <c r="AH11" s="32">
        <f t="shared" si="0"/>
        <v>14.574</v>
      </c>
      <c r="AI11" s="32">
        <f t="shared" si="1"/>
        <v>13.877000000000001</v>
      </c>
      <c r="AJ11" s="32">
        <f t="shared" si="2"/>
        <v>12.799000000000001</v>
      </c>
      <c r="AK11" s="32">
        <f t="shared" si="3"/>
        <v>12.482000000000001</v>
      </c>
      <c r="AL11" s="32">
        <f t="shared" si="4"/>
        <v>12.243</v>
      </c>
      <c r="AM11" s="32">
        <f t="shared" si="5"/>
        <v>11.968</v>
      </c>
      <c r="AN11" s="32">
        <f t="shared" si="6"/>
        <v>11.687000000000001</v>
      </c>
      <c r="AO11" s="32">
        <f t="shared" si="7"/>
        <v>11.638999999999999</v>
      </c>
    </row>
    <row r="12" spans="1:41">
      <c r="B12" s="9" t="s">
        <v>198</v>
      </c>
      <c r="C12" s="81">
        <v>52.125999999999998</v>
      </c>
      <c r="D12" s="81">
        <v>55.716999999999999</v>
      </c>
      <c r="E12" s="81">
        <v>63.945000000000007</v>
      </c>
      <c r="F12" s="81">
        <v>72.94</v>
      </c>
      <c r="G12" s="81">
        <v>71.394000000000005</v>
      </c>
      <c r="H12" s="81">
        <v>71.034000000000006</v>
      </c>
      <c r="I12" s="81"/>
      <c r="J12" s="95">
        <v>17.440000000000001</v>
      </c>
      <c r="K12" s="95">
        <v>13.164000000000001</v>
      </c>
      <c r="L12" s="95">
        <v>12.248999999999999</v>
      </c>
      <c r="M12" s="95">
        <v>12.863999999999997</v>
      </c>
      <c r="N12" s="95">
        <v>19.286000000000001</v>
      </c>
      <c r="O12" s="95">
        <v>14.382000000000001</v>
      </c>
      <c r="P12" s="95">
        <v>13.780999999999999</v>
      </c>
      <c r="Q12" s="95">
        <v>16.495999999999999</v>
      </c>
      <c r="R12" s="95">
        <v>22.554000000000002</v>
      </c>
      <c r="S12" s="95">
        <v>18.195999999999998</v>
      </c>
      <c r="T12" s="95">
        <v>14.258000000000001</v>
      </c>
      <c r="U12" s="95">
        <v>17.932000000000002</v>
      </c>
      <c r="V12" s="95">
        <v>20.524999999999999</v>
      </c>
      <c r="W12" s="95">
        <v>18.25</v>
      </c>
      <c r="X12" s="95">
        <v>14.754</v>
      </c>
      <c r="Y12" s="32">
        <v>17.865000000000002</v>
      </c>
      <c r="Z12" s="95">
        <v>20.687999999999999</v>
      </c>
      <c r="AA12" s="95">
        <v>16.768000000000001</v>
      </c>
      <c r="AB12" s="95">
        <v>14.587</v>
      </c>
      <c r="AC12" s="32">
        <v>18.991</v>
      </c>
      <c r="AD12" s="82">
        <v>20.76</v>
      </c>
      <c r="AE12" s="82">
        <v>16.962</v>
      </c>
      <c r="AF12" s="81">
        <v>14.603999999999999</v>
      </c>
      <c r="AG12" s="5"/>
      <c r="AH12" s="32">
        <f t="shared" ref="AH12" si="8">SUM(V12:Y12)</f>
        <v>71.394000000000005</v>
      </c>
      <c r="AI12" s="32">
        <f t="shared" ref="AI12" si="9">SUM(W12:Z12)</f>
        <v>71.557000000000002</v>
      </c>
      <c r="AJ12" s="32">
        <f t="shared" ref="AJ12" si="10">SUM(X12:AA12)</f>
        <v>70.075000000000003</v>
      </c>
      <c r="AK12" s="32">
        <f t="shared" ref="AK12" si="11">SUM(Y12:AB12)</f>
        <v>69.908000000000001</v>
      </c>
      <c r="AL12" s="32">
        <f t="shared" ref="AL12" si="12">SUM(Z12:AC12)</f>
        <v>71.034000000000006</v>
      </c>
      <c r="AM12" s="32">
        <f t="shared" ref="AM12" si="13">SUM(AA12:AD12)</f>
        <v>71.106000000000009</v>
      </c>
      <c r="AN12" s="32">
        <f t="shared" ref="AN12" si="14">SUM(AB12:AE12)</f>
        <v>71.300000000000011</v>
      </c>
      <c r="AO12" s="32">
        <f t="shared" ref="AO12" si="15">SUM(AC12:AF12)</f>
        <v>71.317000000000007</v>
      </c>
    </row>
    <row r="13" spans="1:41">
      <c r="B13" s="13" t="s">
        <v>65</v>
      </c>
      <c r="C13" s="14">
        <f t="shared" ref="C13:E13" si="16">SUM(C9:C12)</f>
        <v>350.01699999999994</v>
      </c>
      <c r="D13" s="14">
        <f t="shared" si="16"/>
        <v>407.31099999999998</v>
      </c>
      <c r="E13" s="14">
        <f t="shared" si="16"/>
        <v>507.22999999999996</v>
      </c>
      <c r="F13" s="14">
        <f>SUM(F9:F12)</f>
        <v>610.81500000000005</v>
      </c>
      <c r="G13" s="14">
        <f>SUM(G9:G12)</f>
        <v>701.43299999999999</v>
      </c>
      <c r="H13" s="14">
        <f>SUM(H9:H12)</f>
        <v>809.71399999999994</v>
      </c>
      <c r="I13" s="11"/>
      <c r="J13" s="14">
        <f t="shared" ref="J13:K13" si="17">SUM(J9:J12)</f>
        <v>103.241</v>
      </c>
      <c r="K13" s="14">
        <f t="shared" si="17"/>
        <v>97.024000000000001</v>
      </c>
      <c r="L13" s="14">
        <f t="shared" ref="L13" si="18">SUM(L9:L12)</f>
        <v>100.34799999999998</v>
      </c>
      <c r="M13" s="14">
        <f t="shared" ref="M13" si="19">SUM(M9:M12)</f>
        <v>106.69800000000001</v>
      </c>
      <c r="N13" s="14">
        <f t="shared" ref="N13" si="20">SUM(N9:N12)</f>
        <v>123.50800000000001</v>
      </c>
      <c r="O13" s="14">
        <f t="shared" ref="O13" si="21">SUM(O9:O12)</f>
        <v>119.96900000000001</v>
      </c>
      <c r="P13" s="14">
        <f t="shared" ref="P13:U13" si="22">SUM(P9:P12)</f>
        <v>126.47400000000002</v>
      </c>
      <c r="Q13" s="14">
        <f t="shared" si="22"/>
        <v>137.27899999999997</v>
      </c>
      <c r="R13" s="14">
        <f t="shared" si="22"/>
        <v>152.22800000000001</v>
      </c>
      <c r="S13" s="14">
        <f t="shared" si="22"/>
        <v>149.74499999999998</v>
      </c>
      <c r="T13" s="14">
        <f t="shared" si="22"/>
        <v>147.107</v>
      </c>
      <c r="U13" s="14">
        <f t="shared" si="22"/>
        <v>161.73499999999996</v>
      </c>
      <c r="V13" s="14">
        <f>SUM(V9:V12)</f>
        <v>170.714</v>
      </c>
      <c r="W13" s="14">
        <f>SUM(W9:W12)</f>
        <v>173.27199999999999</v>
      </c>
      <c r="X13" s="14">
        <f>SUM(X9:X12)</f>
        <v>172.929</v>
      </c>
      <c r="Y13" s="14">
        <f>SUM(Y9:Y12)</f>
        <v>184.51800000000003</v>
      </c>
      <c r="Z13" s="14">
        <f>SUM(Z9:Z12)</f>
        <v>196.35499999999999</v>
      </c>
      <c r="AA13" s="14">
        <f>SUM(AA9:AA12)</f>
        <v>194.27100000000002</v>
      </c>
      <c r="AB13" s="14">
        <f>SUM(AB9:AB12)</f>
        <v>200.209</v>
      </c>
      <c r="AC13" s="14">
        <f>SUM(AC9:AC12)</f>
        <v>218.87899999999996</v>
      </c>
      <c r="AD13" s="14">
        <f>SUM(AD9:AD12)</f>
        <v>227.03199999999998</v>
      </c>
      <c r="AE13" s="14">
        <f>SUM(AE9:AE12)</f>
        <v>232.14700000000002</v>
      </c>
      <c r="AF13" s="14">
        <f>SUM(AF9:AF12)</f>
        <v>238.76800000000003</v>
      </c>
      <c r="AG13" s="5"/>
      <c r="AH13" s="14">
        <f>SUM(AH9:AH12)</f>
        <v>701.43299999999999</v>
      </c>
      <c r="AI13" s="14">
        <f>SUM(AI9:AI12)</f>
        <v>727.07399999999996</v>
      </c>
      <c r="AJ13" s="14">
        <f>SUM(AJ9:AJ12)</f>
        <v>748.07299999999998</v>
      </c>
      <c r="AK13" s="14">
        <f>SUM(AK9:AK12)</f>
        <v>775.35300000000007</v>
      </c>
      <c r="AL13" s="14">
        <f>SUM(AL9:AL12)</f>
        <v>809.71399999999994</v>
      </c>
      <c r="AM13" s="14">
        <f>SUM(AM9:AM12)</f>
        <v>840.39099999999985</v>
      </c>
      <c r="AN13" s="14">
        <f>SUM(AN9:AN12)</f>
        <v>878.26700000000005</v>
      </c>
      <c r="AO13" s="14">
        <f>SUM(AO9:AO12)</f>
        <v>916.82600000000002</v>
      </c>
    </row>
    <row r="14" spans="1:41" outlineLevel="1">
      <c r="B14" s="131" t="s">
        <v>160</v>
      </c>
      <c r="C14" s="79">
        <f>C13-'Historical Financials'!C11</f>
        <v>52.125999999999976</v>
      </c>
      <c r="D14" s="79">
        <f>D13-'Historical Financials'!D11</f>
        <v>55.716999999999985</v>
      </c>
      <c r="E14" s="79">
        <f>E13-'Historical Financials'!E11</f>
        <v>63.944999999999936</v>
      </c>
      <c r="F14" s="79">
        <f>F13-'Historical Financials'!F11</f>
        <v>72.940000000000168</v>
      </c>
      <c r="G14" s="79">
        <f>G13-'Historical Financials'!G11</f>
        <v>71.394000000000005</v>
      </c>
      <c r="H14" s="79">
        <f>H13-'Historical Financials'!H11</f>
        <v>71.033999999999992</v>
      </c>
      <c r="I14" s="11"/>
      <c r="J14" s="79">
        <f>J13-'Historical Financials'!J11</f>
        <v>17.439999999999998</v>
      </c>
      <c r="K14" s="79">
        <f>K13-'Historical Financials'!K11</f>
        <v>13.164000000000001</v>
      </c>
      <c r="L14" s="79">
        <f>L13-'Historical Financials'!L11</f>
        <v>12.248999999999995</v>
      </c>
      <c r="M14" s="79">
        <f>M13-'Historical Financials'!M11</f>
        <v>12.864000000000004</v>
      </c>
      <c r="N14" s="79">
        <f>N13-'Historical Financials'!N11</f>
        <v>19.286000000000001</v>
      </c>
      <c r="O14" s="79">
        <f>O13-'Historical Financials'!O11</f>
        <v>14.382000000000005</v>
      </c>
      <c r="P14" s="79">
        <f>P13-'Historical Financials'!P11</f>
        <v>13.781000000000006</v>
      </c>
      <c r="Q14" s="79">
        <f>Q13-'Historical Financials'!Q11</f>
        <v>16.495999999999995</v>
      </c>
      <c r="R14" s="79">
        <f>R13-'Historical Financials'!R11</f>
        <v>22.554000000000002</v>
      </c>
      <c r="S14" s="79">
        <f>S13-'Historical Financials'!S11</f>
        <v>18.195999999999998</v>
      </c>
      <c r="T14" s="79">
        <f>T13-'Historical Financials'!T11</f>
        <v>14.25800000000001</v>
      </c>
      <c r="U14" s="79">
        <f>U13-'Historical Financials'!U11</f>
        <v>17.931999999999988</v>
      </c>
      <c r="V14" s="79">
        <f>V13-'Historical Financials'!V11</f>
        <v>20.525000000000006</v>
      </c>
      <c r="W14" s="79">
        <f>W13-'Historical Financials'!W11</f>
        <v>18.25</v>
      </c>
      <c r="X14" s="79">
        <f>X13-'Historical Financials'!X11</f>
        <v>14.753999999999991</v>
      </c>
      <c r="Y14" s="79">
        <f>Y13-'Historical Financials'!Y11</f>
        <v>17.865000000000009</v>
      </c>
      <c r="Z14" s="79">
        <f>Z13-'Historical Financials'!Z11</f>
        <v>20.687999999999988</v>
      </c>
      <c r="AA14" s="79">
        <f>AA13-'Historical Financials'!AA11</f>
        <v>16.768000000000001</v>
      </c>
      <c r="AB14" s="79">
        <f>AB13-'Historical Financials'!AB11</f>
        <v>14.586999999999989</v>
      </c>
      <c r="AC14" s="79">
        <f>AC13-'Historical Financials'!AC11</f>
        <v>18.991000000000014</v>
      </c>
      <c r="AD14" s="79">
        <f>AD13-'Historical Financials'!AD11</f>
        <v>20.759999999999991</v>
      </c>
      <c r="AE14" s="79">
        <f>AE13-'Historical Financials'!AE11</f>
        <v>16.961999999999989</v>
      </c>
      <c r="AF14" s="79">
        <f>AF13-'Historical Financials'!AF11</f>
        <v>14.604000000000013</v>
      </c>
      <c r="AG14" s="79"/>
      <c r="AH14" s="79">
        <f>AH13-'Historical Financials'!AJ11</f>
        <v>23.434999999999945</v>
      </c>
      <c r="AI14" s="79">
        <f>AI13-'Historical Financials'!AK11</f>
        <v>21.628999999999792</v>
      </c>
      <c r="AJ14" s="79">
        <f>AJ13-'Historical Financials'!AL11</f>
        <v>9.3930000000000291</v>
      </c>
      <c r="AK14" s="79">
        <f>AK13-'Historical Financials'!AM11</f>
        <v>6.068000000000211</v>
      </c>
      <c r="AL14" s="79">
        <f>AL13-'Historical Financials'!AN11</f>
        <v>2.7469999999999573</v>
      </c>
      <c r="AM14" s="79">
        <f>AM13-'Historical Financials'!AO11</f>
        <v>-5.1180000000001655</v>
      </c>
      <c r="AN14" s="79">
        <f>AN13-'Historical Financials'!AP11</f>
        <v>878.26700000000005</v>
      </c>
      <c r="AO14" s="79">
        <f>AO13-'Historical Financials'!AQ11</f>
        <v>916.62745298357777</v>
      </c>
    </row>
    <row r="15" spans="1:41">
      <c r="B15" s="18"/>
      <c r="C15" s="19"/>
      <c r="D15" s="19"/>
      <c r="E15" s="19"/>
      <c r="F15" s="19"/>
      <c r="G15" s="19"/>
      <c r="H15" s="19"/>
      <c r="I15" s="20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2"/>
      <c r="Z15" s="21"/>
      <c r="AA15" s="21"/>
      <c r="AB15" s="21"/>
      <c r="AC15" s="21"/>
      <c r="AD15" s="21"/>
      <c r="AE15" s="21"/>
      <c r="AF15" s="21"/>
      <c r="AG15" s="20"/>
      <c r="AH15" s="20"/>
      <c r="AI15" s="20"/>
      <c r="AJ15" s="20"/>
      <c r="AK15" s="20"/>
      <c r="AL15" s="20"/>
      <c r="AM15" s="20"/>
      <c r="AN15" s="20"/>
      <c r="AO15" s="20"/>
    </row>
    <row r="16" spans="1:41">
      <c r="B16" s="152" t="str">
        <f>B9&amp;"(%)"</f>
        <v>Subscription and Support(%)</v>
      </c>
      <c r="C16" s="153">
        <f t="shared" ref="C16" si="23">SUM(C9/C$13)</f>
        <v>0.70215160977895363</v>
      </c>
      <c r="D16" s="153">
        <f t="shared" ref="D16:E16" si="24">SUM(D9/D$13)</f>
        <v>0.72641544176317363</v>
      </c>
      <c r="E16" s="153">
        <f t="shared" si="24"/>
        <v>0.74786585966918362</v>
      </c>
      <c r="F16" s="153">
        <f>SUM(F9/F$13)</f>
        <v>0.76117154948716048</v>
      </c>
      <c r="G16" s="153">
        <f>SUM(G9/G$13)</f>
        <v>0.79643387180243874</v>
      </c>
      <c r="H16" s="153">
        <f>SUM(H9/H$13)</f>
        <v>0.82454545679091629</v>
      </c>
      <c r="I16" s="154"/>
      <c r="J16" s="153">
        <f t="shared" ref="J16:Y19" si="25">SUM(J9/J$13)</f>
        <v>0.66214972733700761</v>
      </c>
      <c r="K16" s="153">
        <f t="shared" ref="K16:M16" si="26">SUM(K9/K$13)</f>
        <v>0.72864445910290232</v>
      </c>
      <c r="L16" s="153">
        <f t="shared" si="26"/>
        <v>0.75586957388288756</v>
      </c>
      <c r="M16" s="153">
        <f t="shared" si="26"/>
        <v>0.75887083169319003</v>
      </c>
      <c r="N16" s="153">
        <f t="shared" ref="N16:O16" si="27">SUM(N9/N$13)</f>
        <v>0.68769634355669274</v>
      </c>
      <c r="O16" s="153">
        <f t="shared" si="27"/>
        <v>0.76023806149922057</v>
      </c>
      <c r="P16" s="153">
        <f t="shared" ref="P16:U16" si="28">SUM(P9/P$13)</f>
        <v>0.78207378591647292</v>
      </c>
      <c r="Q16" s="153">
        <f t="shared" si="28"/>
        <v>0.75967190903197135</v>
      </c>
      <c r="R16" s="153">
        <f t="shared" si="28"/>
        <v>0.70368132012507556</v>
      </c>
      <c r="S16" s="153">
        <f t="shared" si="28"/>
        <v>0.75697352165347764</v>
      </c>
      <c r="T16" s="153">
        <f t="shared" si="28"/>
        <v>0.80615470371906162</v>
      </c>
      <c r="U16" s="153">
        <f t="shared" si="28"/>
        <v>0.77825455219958584</v>
      </c>
      <c r="V16" s="153">
        <f>SUM(V9/V$13)</f>
        <v>0.7595393465093665</v>
      </c>
      <c r="W16" s="153">
        <f>SUM(W9/W$13)</f>
        <v>0.7893485387136987</v>
      </c>
      <c r="X16" s="153">
        <f>SUM(X9/X$13)</f>
        <v>0.82936349600124903</v>
      </c>
      <c r="Y16" s="153">
        <f>SUM(Y9/Y$13)</f>
        <v>0.80636035508730852</v>
      </c>
      <c r="Z16" s="153">
        <f>SUM(Z9/Z$13)</f>
        <v>0.78927962109444638</v>
      </c>
      <c r="AA16" s="153">
        <f>SUM(AA9/AA$13)</f>
        <v>0.82737516150120194</v>
      </c>
      <c r="AB16" s="153">
        <f>SUM(AB9/AB$13)</f>
        <v>0.85428227502260135</v>
      </c>
      <c r="AC16" s="153">
        <f>SUM(AC9/AC$13)</f>
        <v>0.82647033292367</v>
      </c>
      <c r="AD16" s="153">
        <f>SUM(AD9/AD$13)</f>
        <v>0.81711829169456296</v>
      </c>
      <c r="AE16" s="153">
        <f>SUM(AE9/AE$13)</f>
        <v>0.85386845403989708</v>
      </c>
      <c r="AF16" s="153">
        <f>SUM(AF9/AF$13)</f>
        <v>0.87767204985592695</v>
      </c>
      <c r="AG16" s="154"/>
      <c r="AH16" s="155">
        <f t="shared" ref="AH16" si="29">Y16</f>
        <v>0.80636035508730852</v>
      </c>
      <c r="AI16" s="155">
        <f t="shared" ref="AI16" si="30">Z16</f>
        <v>0.78927962109444638</v>
      </c>
      <c r="AJ16" s="155">
        <f t="shared" ref="AJ16" si="31">AA16</f>
        <v>0.82737516150120194</v>
      </c>
      <c r="AK16" s="155">
        <f t="shared" ref="AK16" si="32">AB16</f>
        <v>0.85428227502260135</v>
      </c>
      <c r="AL16" s="155">
        <f t="shared" ref="AL16" si="33">AC16</f>
        <v>0.82647033292367</v>
      </c>
      <c r="AM16" s="155">
        <f t="shared" ref="AM16" si="34">AD16</f>
        <v>0.81711829169456296</v>
      </c>
      <c r="AN16" s="155">
        <f t="shared" ref="AN16" si="35">AE16</f>
        <v>0.85386845403989708</v>
      </c>
      <c r="AO16" s="156">
        <f t="shared" ref="AO16" si="36">AF16</f>
        <v>0.87767204985592695</v>
      </c>
    </row>
    <row r="17" spans="1:53">
      <c r="B17" s="166" t="str">
        <f t="shared" ref="B17:B19" si="37">B10&amp;"(%)"</f>
        <v>XBRL Professional Services(%)</v>
      </c>
      <c r="C17" s="167">
        <f t="shared" ref="C17" si="38">SUM(C10/C$13)</f>
        <v>0.11066319635903402</v>
      </c>
      <c r="D17" s="167">
        <f t="shared" ref="D17:H17" si="39">SUM(D10/D$13)</f>
        <v>9.337336826159863E-2</v>
      </c>
      <c r="E17" s="167">
        <f t="shared" si="39"/>
        <v>8.8249906354119431E-2</v>
      </c>
      <c r="F17" s="167">
        <f t="shared" si="39"/>
        <v>8.9873365912755895E-2</v>
      </c>
      <c r="G17" s="167">
        <f t="shared" si="39"/>
        <v>8.1005598538990892E-2</v>
      </c>
      <c r="H17" s="167">
        <f t="shared" si="39"/>
        <v>7.2607118068849008E-2</v>
      </c>
      <c r="I17" s="168"/>
      <c r="J17" s="167">
        <f t="shared" si="25"/>
        <v>0.13010335041311108</v>
      </c>
      <c r="K17" s="167">
        <f t="shared" si="25"/>
        <v>8.5679831794195263E-2</v>
      </c>
      <c r="L17" s="167">
        <f t="shared" si="25"/>
        <v>7.7709570693984945E-2</v>
      </c>
      <c r="M17" s="167">
        <f t="shared" si="25"/>
        <v>7.9561003955088166E-2</v>
      </c>
      <c r="N17" s="167">
        <f t="shared" si="25"/>
        <v>0.1172879489587719</v>
      </c>
      <c r="O17" s="167">
        <f t="shared" si="25"/>
        <v>8.3930015253940601E-2</v>
      </c>
      <c r="P17" s="167">
        <f t="shared" si="25"/>
        <v>7.1184591299397498E-2</v>
      </c>
      <c r="Q17" s="167">
        <f t="shared" si="25"/>
        <v>8.1622098063068652E-2</v>
      </c>
      <c r="R17" s="167">
        <f t="shared" si="25"/>
        <v>0.11622697532648396</v>
      </c>
      <c r="S17" s="167">
        <f t="shared" si="25"/>
        <v>9.0266786871014068E-2</v>
      </c>
      <c r="T17" s="167">
        <f t="shared" si="25"/>
        <v>7.2287518608903728E-2</v>
      </c>
      <c r="U17" s="167">
        <f t="shared" si="25"/>
        <v>8.069991034717286E-2</v>
      </c>
      <c r="V17" s="167">
        <f t="shared" si="25"/>
        <v>9.8017737268179528E-2</v>
      </c>
      <c r="W17" s="167">
        <f t="shared" si="25"/>
        <v>8.3285239392400387E-2</v>
      </c>
      <c r="X17" s="167">
        <f t="shared" si="25"/>
        <v>6.6819330476669617E-2</v>
      </c>
      <c r="Y17" s="167">
        <f t="shared" si="25"/>
        <v>7.6420728601003685E-2</v>
      </c>
      <c r="Z17" s="167">
        <f t="shared" ref="Z17:AF17" si="40">SUM(Z10/Z$13)</f>
        <v>8.9597922130834465E-2</v>
      </c>
      <c r="AA17" s="167">
        <f t="shared" si="40"/>
        <v>7.2203262452965183E-2</v>
      </c>
      <c r="AB17" s="167">
        <f t="shared" si="40"/>
        <v>5.8463905219046097E-2</v>
      </c>
      <c r="AC17" s="167">
        <f t="shared" si="40"/>
        <v>7.0660045047720443E-2</v>
      </c>
      <c r="AD17" s="167">
        <f t="shared" si="40"/>
        <v>7.9019697663765473E-2</v>
      </c>
      <c r="AE17" s="167">
        <f t="shared" si="40"/>
        <v>6.2469039014072976E-2</v>
      </c>
      <c r="AF17" s="167">
        <f t="shared" si="40"/>
        <v>4.9294712859344628E-2</v>
      </c>
      <c r="AG17" s="168"/>
      <c r="AH17" s="169">
        <f t="shared" ref="AH17:AH19" si="41">Y17</f>
        <v>7.6420728601003685E-2</v>
      </c>
      <c r="AI17" s="169">
        <f t="shared" ref="AI17:AI19" si="42">Z17</f>
        <v>8.9597922130834465E-2</v>
      </c>
      <c r="AJ17" s="169">
        <f t="shared" ref="AJ17:AJ19" si="43">AA17</f>
        <v>7.2203262452965183E-2</v>
      </c>
      <c r="AK17" s="169">
        <f t="shared" ref="AK17:AK19" si="44">AB17</f>
        <v>5.8463905219046097E-2</v>
      </c>
      <c r="AL17" s="169">
        <f t="shared" ref="AL17:AL19" si="45">AC17</f>
        <v>7.0660045047720443E-2</v>
      </c>
      <c r="AM17" s="169">
        <f t="shared" ref="AM17:AM19" si="46">AD17</f>
        <v>7.9019697663765473E-2</v>
      </c>
      <c r="AN17" s="169">
        <f t="shared" ref="AN17:AN19" si="47">AE17</f>
        <v>6.2469039014072976E-2</v>
      </c>
      <c r="AO17" s="170">
        <f t="shared" ref="AO17:AO19" si="48">AF17</f>
        <v>4.9294712859344628E-2</v>
      </c>
    </row>
    <row r="18" spans="1:53">
      <c r="B18" s="166" t="str">
        <f t="shared" si="37"/>
        <v>Other Services(%)</v>
      </c>
      <c r="C18" s="167">
        <f t="shared" ref="C18" si="49">SUM(C11/C$13)</f>
        <v>3.8260998751489216E-2</v>
      </c>
      <c r="D18" s="167">
        <f t="shared" ref="D18:H18" si="50">SUM(D11/D$13)</f>
        <v>4.3418910856814569E-2</v>
      </c>
      <c r="E18" s="167">
        <f t="shared" si="50"/>
        <v>3.7817163811288766E-2</v>
      </c>
      <c r="F18" s="167">
        <f t="shared" si="50"/>
        <v>2.9540859343663791E-2</v>
      </c>
      <c r="G18" s="167">
        <f t="shared" si="50"/>
        <v>2.0777465559789744E-2</v>
      </c>
      <c r="H18" s="167">
        <f t="shared" si="50"/>
        <v>1.512015353569285E-2</v>
      </c>
      <c r="I18" s="168"/>
      <c r="J18" s="167">
        <f t="shared" si="25"/>
        <v>3.8821785918385136E-2</v>
      </c>
      <c r="K18" s="167">
        <f t="shared" si="25"/>
        <v>4.9997938654353563E-2</v>
      </c>
      <c r="L18" s="167">
        <f t="shared" si="25"/>
        <v>4.4355642364571297E-2</v>
      </c>
      <c r="M18" s="167">
        <f t="shared" si="25"/>
        <v>4.1003580198316743E-2</v>
      </c>
      <c r="N18" s="167">
        <f t="shared" si="25"/>
        <v>3.8863879262881755E-2</v>
      </c>
      <c r="O18" s="167">
        <f t="shared" si="25"/>
        <v>3.5950953996449077E-2</v>
      </c>
      <c r="P18" s="167">
        <f t="shared" si="25"/>
        <v>3.7778515742366015E-2</v>
      </c>
      <c r="Q18" s="167">
        <f t="shared" si="25"/>
        <v>3.8541947420945674E-2</v>
      </c>
      <c r="R18" s="167">
        <f t="shared" si="25"/>
        <v>3.1932364610978266E-2</v>
      </c>
      <c r="S18" s="167">
        <f t="shared" si="25"/>
        <v>3.1246452302247159E-2</v>
      </c>
      <c r="T18" s="167">
        <f t="shared" si="25"/>
        <v>2.463512953156546E-2</v>
      </c>
      <c r="U18" s="167">
        <f t="shared" si="25"/>
        <v>3.0172813553034299E-2</v>
      </c>
      <c r="V18" s="167">
        <f t="shared" si="25"/>
        <v>2.2212589477137199E-2</v>
      </c>
      <c r="W18" s="167">
        <f t="shared" si="25"/>
        <v>2.2040491250750267E-2</v>
      </c>
      <c r="X18" s="167">
        <f t="shared" si="25"/>
        <v>1.8498921522705849E-2</v>
      </c>
      <c r="Y18" s="167">
        <f t="shared" si="25"/>
        <v>2.039909385534203E-2</v>
      </c>
      <c r="Z18" s="167">
        <f t="shared" ref="Z18:AF18" si="51">SUM(Z11/Z$13)</f>
        <v>1.5762267321942403E-2</v>
      </c>
      <c r="AA18" s="167">
        <f t="shared" si="51"/>
        <v>1.4109156796433847E-2</v>
      </c>
      <c r="AB18" s="167">
        <f t="shared" si="51"/>
        <v>1.4394957269653213E-2</v>
      </c>
      <c r="AC18" s="167">
        <f t="shared" si="51"/>
        <v>1.6104788490444496E-2</v>
      </c>
      <c r="AD18" s="167">
        <f t="shared" si="51"/>
        <v>1.2421156488953099E-2</v>
      </c>
      <c r="AE18" s="167">
        <f t="shared" si="51"/>
        <v>1.0596733965978452E-2</v>
      </c>
      <c r="AF18" s="167">
        <f t="shared" si="51"/>
        <v>1.1869262212691817E-2</v>
      </c>
      <c r="AG18" s="168"/>
      <c r="AH18" s="169">
        <f t="shared" si="41"/>
        <v>2.039909385534203E-2</v>
      </c>
      <c r="AI18" s="169">
        <f t="shared" si="42"/>
        <v>1.5762267321942403E-2</v>
      </c>
      <c r="AJ18" s="169">
        <f t="shared" si="43"/>
        <v>1.4109156796433847E-2</v>
      </c>
      <c r="AK18" s="169">
        <f t="shared" si="44"/>
        <v>1.4394957269653213E-2</v>
      </c>
      <c r="AL18" s="169">
        <f t="shared" si="45"/>
        <v>1.6104788490444496E-2</v>
      </c>
      <c r="AM18" s="169">
        <f t="shared" si="46"/>
        <v>1.2421156488953099E-2</v>
      </c>
      <c r="AN18" s="169">
        <f t="shared" si="47"/>
        <v>1.0596733965978452E-2</v>
      </c>
      <c r="AO18" s="170">
        <f t="shared" si="48"/>
        <v>1.1869262212691817E-2</v>
      </c>
    </row>
    <row r="19" spans="1:53" ht="12.75" customHeight="1">
      <c r="B19" s="157" t="str">
        <f t="shared" si="37"/>
        <v>Ttl Service Revenues(%)</v>
      </c>
      <c r="C19" s="158">
        <f t="shared" ref="C19" si="52">SUM(C12/C$13)</f>
        <v>0.14892419511052321</v>
      </c>
      <c r="D19" s="158">
        <f t="shared" ref="D19:H19" si="53">SUM(D12/D$13)</f>
        <v>0.13679227911841321</v>
      </c>
      <c r="E19" s="158">
        <f t="shared" si="53"/>
        <v>0.12606707016540822</v>
      </c>
      <c r="F19" s="158">
        <f t="shared" si="53"/>
        <v>0.11941422525641969</v>
      </c>
      <c r="G19" s="158">
        <f t="shared" si="53"/>
        <v>0.10178306409878064</v>
      </c>
      <c r="H19" s="158">
        <f t="shared" si="53"/>
        <v>8.772727160454187E-2</v>
      </c>
      <c r="I19" s="159"/>
      <c r="J19" s="158">
        <f t="shared" si="25"/>
        <v>0.16892513633149622</v>
      </c>
      <c r="K19" s="158">
        <f t="shared" si="25"/>
        <v>0.13567777044854884</v>
      </c>
      <c r="L19" s="158">
        <f t="shared" si="25"/>
        <v>0.12206521305855624</v>
      </c>
      <c r="M19" s="158">
        <f t="shared" si="25"/>
        <v>0.1205645841534049</v>
      </c>
      <c r="N19" s="158">
        <f t="shared" si="25"/>
        <v>0.15615182822165366</v>
      </c>
      <c r="O19" s="158">
        <f t="shared" si="25"/>
        <v>0.11988096925038969</v>
      </c>
      <c r="P19" s="158">
        <f t="shared" si="25"/>
        <v>0.1089631070417635</v>
      </c>
      <c r="Q19" s="158">
        <f t="shared" si="25"/>
        <v>0.12016404548401433</v>
      </c>
      <c r="R19" s="158">
        <f t="shared" si="25"/>
        <v>0.14815933993746222</v>
      </c>
      <c r="S19" s="158">
        <f t="shared" si="25"/>
        <v>0.12151323917326122</v>
      </c>
      <c r="T19" s="158">
        <f t="shared" si="25"/>
        <v>9.6922648140469192E-2</v>
      </c>
      <c r="U19" s="158">
        <f t="shared" si="25"/>
        <v>0.11087272390020717</v>
      </c>
      <c r="V19" s="158">
        <f t="shared" si="25"/>
        <v>0.12023032674531672</v>
      </c>
      <c r="W19" s="158">
        <f t="shared" si="25"/>
        <v>0.10532573064315066</v>
      </c>
      <c r="X19" s="158">
        <f t="shared" si="25"/>
        <v>8.5318251999375469E-2</v>
      </c>
      <c r="Y19" s="158">
        <f t="shared" si="25"/>
        <v>9.6819822456345711E-2</v>
      </c>
      <c r="Z19" s="158">
        <f t="shared" ref="Z19:AF19" si="54">SUM(Z12/Z$13)</f>
        <v>0.10536018945277686</v>
      </c>
      <c r="AA19" s="158">
        <f t="shared" si="54"/>
        <v>8.6312419249399031E-2</v>
      </c>
      <c r="AB19" s="158">
        <f t="shared" si="54"/>
        <v>7.2858862488699314E-2</v>
      </c>
      <c r="AC19" s="158">
        <f t="shared" si="54"/>
        <v>8.6764833538164929E-2</v>
      </c>
      <c r="AD19" s="158">
        <f t="shared" si="54"/>
        <v>9.1440854152718576E-2</v>
      </c>
      <c r="AE19" s="158">
        <f t="shared" si="54"/>
        <v>7.306577298005143E-2</v>
      </c>
      <c r="AF19" s="158">
        <f t="shared" si="54"/>
        <v>6.1163975072036442E-2</v>
      </c>
      <c r="AG19" s="159"/>
      <c r="AH19" s="160">
        <f t="shared" si="41"/>
        <v>9.6819822456345711E-2</v>
      </c>
      <c r="AI19" s="160">
        <f t="shared" si="42"/>
        <v>0.10536018945277686</v>
      </c>
      <c r="AJ19" s="160">
        <f t="shared" si="43"/>
        <v>8.6312419249399031E-2</v>
      </c>
      <c r="AK19" s="160">
        <f t="shared" si="44"/>
        <v>7.2858862488699314E-2</v>
      </c>
      <c r="AL19" s="160">
        <f t="shared" si="45"/>
        <v>8.6764833538164929E-2</v>
      </c>
      <c r="AM19" s="160">
        <f t="shared" si="46"/>
        <v>9.1440854152718576E-2</v>
      </c>
      <c r="AN19" s="160">
        <f t="shared" si="47"/>
        <v>7.306577298005143E-2</v>
      </c>
      <c r="AO19" s="161">
        <f t="shared" si="48"/>
        <v>6.1163975072036442E-2</v>
      </c>
    </row>
    <row r="20" spans="1:53">
      <c r="B20" s="18"/>
      <c r="C20" s="19"/>
      <c r="D20" s="19"/>
      <c r="E20" s="19"/>
      <c r="F20" s="19"/>
      <c r="G20" s="19"/>
      <c r="H20" s="19"/>
      <c r="I20" s="20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2"/>
      <c r="Z20" s="21"/>
      <c r="AA20" s="21"/>
      <c r="AB20" s="21"/>
      <c r="AC20" s="21"/>
      <c r="AD20" s="21"/>
      <c r="AE20" s="21"/>
      <c r="AF20" s="21"/>
      <c r="AG20" s="20"/>
      <c r="AH20" s="20"/>
      <c r="AI20" s="20"/>
      <c r="AJ20" s="20"/>
      <c r="AK20" s="20"/>
      <c r="AL20" s="20"/>
      <c r="AM20" s="20"/>
      <c r="AN20" s="20"/>
      <c r="AO20" s="20"/>
    </row>
    <row r="21" spans="1:53" ht="12.75" customHeight="1">
      <c r="A21" s="80" t="s">
        <v>16</v>
      </c>
      <c r="B21" s="78" t="s">
        <v>159</v>
      </c>
      <c r="C21" s="10"/>
      <c r="D21" s="10"/>
      <c r="E21" s="10"/>
      <c r="F21" s="10"/>
      <c r="G21" s="10"/>
      <c r="H21" s="10"/>
      <c r="I21" s="10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32"/>
      <c r="Z21" s="95"/>
      <c r="AA21" s="95"/>
      <c r="AB21" s="95"/>
      <c r="AC21" s="32"/>
      <c r="AD21" s="95"/>
      <c r="AE21" s="95"/>
      <c r="AF21" s="95"/>
      <c r="AG21" s="5"/>
      <c r="AH21" s="11"/>
      <c r="AI21" s="11"/>
      <c r="AJ21" s="11"/>
      <c r="AK21" s="11"/>
      <c r="AL21" s="11"/>
      <c r="AM21" s="11"/>
      <c r="AN21" s="11"/>
      <c r="AO21" s="11"/>
    </row>
    <row r="22" spans="1:53">
      <c r="B22" s="9" t="s">
        <v>194</v>
      </c>
      <c r="C22" s="81">
        <v>245.76499999999999</v>
      </c>
      <c r="D22" s="81">
        <v>295.87700000000001</v>
      </c>
      <c r="E22" s="81">
        <v>379.34</v>
      </c>
      <c r="F22" s="81">
        <v>464.935</v>
      </c>
      <c r="G22" s="81">
        <v>558.64499999999998</v>
      </c>
      <c r="H22" s="81">
        <v>667.64599999999996</v>
      </c>
      <c r="I22" s="81"/>
      <c r="J22" s="95">
        <v>68.361000000000004</v>
      </c>
      <c r="K22" s="95">
        <v>70.695999999999998</v>
      </c>
      <c r="L22" s="95">
        <v>75.849999999999994</v>
      </c>
      <c r="M22" s="95">
        <v>80.97</v>
      </c>
      <c r="N22" s="95">
        <v>84.936000000000007</v>
      </c>
      <c r="O22" s="95">
        <v>91.204999999999998</v>
      </c>
      <c r="P22" s="95">
        <v>98.912000000000006</v>
      </c>
      <c r="Q22" s="95">
        <v>104.28699999999998</v>
      </c>
      <c r="R22" s="95">
        <v>107.12</v>
      </c>
      <c r="S22" s="95">
        <v>113.35299999999999</v>
      </c>
      <c r="T22" s="95">
        <v>118.59099999999999</v>
      </c>
      <c r="U22" s="95">
        <v>125.87099999999998</v>
      </c>
      <c r="V22" s="95">
        <v>129.66399999999999</v>
      </c>
      <c r="W22" s="95">
        <v>136.77199999999999</v>
      </c>
      <c r="X22" s="95">
        <v>143.42099999999999</v>
      </c>
      <c r="Y22" s="32">
        <v>148.78800000000001</v>
      </c>
      <c r="Z22" s="95">
        <v>154.97900000000001</v>
      </c>
      <c r="AA22" s="95">
        <v>160.73500000000001</v>
      </c>
      <c r="AB22" s="95">
        <v>171.035</v>
      </c>
      <c r="AC22" s="32">
        <v>180.89699999999993</v>
      </c>
      <c r="AD22" s="82">
        <v>185.512</v>
      </c>
      <c r="AE22" s="82">
        <v>198.22300000000001</v>
      </c>
      <c r="AF22" s="81">
        <v>209.56</v>
      </c>
      <c r="AG22" s="5"/>
      <c r="AH22" s="32">
        <f t="shared" ref="AH22:AH23" si="55">SUM(V22:Y22)</f>
        <v>558.64499999999998</v>
      </c>
      <c r="AI22" s="32">
        <f t="shared" ref="AI22:AI23" si="56">SUM(W22:Z22)</f>
        <v>583.96</v>
      </c>
      <c r="AJ22" s="32">
        <f t="shared" ref="AJ22:AJ23" si="57">SUM(X22:AA22)</f>
        <v>607.923</v>
      </c>
      <c r="AK22" s="32">
        <f t="shared" ref="AK22:AK23" si="58">SUM(Y22:AB22)</f>
        <v>635.53700000000003</v>
      </c>
      <c r="AL22" s="32">
        <f t="shared" ref="AL22:AL23" si="59">SUM(Z22:AC22)</f>
        <v>667.64599999999996</v>
      </c>
      <c r="AM22" s="32">
        <f t="shared" ref="AM22:AM23" si="60">SUM(AA22:AD22)</f>
        <v>698.17899999999986</v>
      </c>
      <c r="AN22" s="32">
        <f t="shared" ref="AN22:AN23" si="61">SUM(AB22:AE22)</f>
        <v>735.66699999999992</v>
      </c>
      <c r="AO22" s="32">
        <f t="shared" ref="AO22:AO23" si="62">SUM(AC22:AF22)</f>
        <v>774.19200000000001</v>
      </c>
    </row>
    <row r="23" spans="1:53">
      <c r="B23" s="9" t="s">
        <v>195</v>
      </c>
      <c r="C23" s="81">
        <v>52.125999999999998</v>
      </c>
      <c r="D23" s="81">
        <v>55.716999999999999</v>
      </c>
      <c r="E23" s="81">
        <v>63.945000000000007</v>
      </c>
      <c r="F23" s="81">
        <v>72.94</v>
      </c>
      <c r="G23" s="81">
        <v>71.394000000000005</v>
      </c>
      <c r="H23" s="81">
        <v>71.034000000000006</v>
      </c>
      <c r="I23" s="81"/>
      <c r="J23" s="95">
        <v>17.440000000000001</v>
      </c>
      <c r="K23" s="95">
        <v>13.164000000000001</v>
      </c>
      <c r="L23" s="95">
        <v>12.248999999999999</v>
      </c>
      <c r="M23" s="95">
        <v>12.863999999999997</v>
      </c>
      <c r="N23" s="95">
        <v>19.286000000000001</v>
      </c>
      <c r="O23" s="95">
        <v>14.382000000000001</v>
      </c>
      <c r="P23" s="95">
        <v>13.780999999999999</v>
      </c>
      <c r="Q23" s="95">
        <v>16.495999999999999</v>
      </c>
      <c r="R23" s="95">
        <v>22.554000000000002</v>
      </c>
      <c r="S23" s="95">
        <v>18.195999999999998</v>
      </c>
      <c r="T23" s="95">
        <v>14.258000000000001</v>
      </c>
      <c r="U23" s="95">
        <v>17.932000000000002</v>
      </c>
      <c r="V23" s="95">
        <v>20.524999999999999</v>
      </c>
      <c r="W23" s="95">
        <v>18.25</v>
      </c>
      <c r="X23" s="95">
        <v>14.754</v>
      </c>
      <c r="Y23" s="32">
        <v>17.865000000000002</v>
      </c>
      <c r="Z23" s="95">
        <v>20.687999999999999</v>
      </c>
      <c r="AA23" s="95">
        <v>16.768000000000001</v>
      </c>
      <c r="AB23" s="95">
        <v>14.587</v>
      </c>
      <c r="AC23" s="32">
        <v>18.991</v>
      </c>
      <c r="AD23" s="82">
        <v>20.76</v>
      </c>
      <c r="AE23" s="82">
        <v>16.96</v>
      </c>
      <c r="AF23" s="81">
        <v>14.603999999999999</v>
      </c>
      <c r="AG23" s="5"/>
      <c r="AH23" s="32">
        <f t="shared" si="55"/>
        <v>71.394000000000005</v>
      </c>
      <c r="AI23" s="32">
        <f t="shared" si="56"/>
        <v>71.557000000000002</v>
      </c>
      <c r="AJ23" s="32">
        <f t="shared" si="57"/>
        <v>70.075000000000003</v>
      </c>
      <c r="AK23" s="32">
        <f t="shared" si="58"/>
        <v>69.908000000000001</v>
      </c>
      <c r="AL23" s="32">
        <f t="shared" si="59"/>
        <v>71.034000000000006</v>
      </c>
      <c r="AM23" s="32">
        <f t="shared" si="60"/>
        <v>71.106000000000009</v>
      </c>
      <c r="AN23" s="32">
        <f t="shared" si="61"/>
        <v>71.298000000000002</v>
      </c>
      <c r="AO23" s="32">
        <f t="shared" si="62"/>
        <v>71.314999999999998</v>
      </c>
    </row>
    <row r="24" spans="1:53">
      <c r="B24" s="13" t="s">
        <v>65</v>
      </c>
      <c r="C24" s="14">
        <f>SUM(C22:C23)</f>
        <v>297.89099999999996</v>
      </c>
      <c r="D24" s="14">
        <f>SUM(D22:D23)</f>
        <v>351.59399999999999</v>
      </c>
      <c r="E24" s="14">
        <f>SUM(E22:E23)</f>
        <v>443.28499999999997</v>
      </c>
      <c r="F24" s="14">
        <f>SUM(F22:F23)</f>
        <v>537.875</v>
      </c>
      <c r="G24" s="14">
        <f>SUM(G22:G23)</f>
        <v>630.03899999999999</v>
      </c>
      <c r="H24" s="14">
        <f>SUM(H22:H23)</f>
        <v>738.68</v>
      </c>
      <c r="I24" s="11"/>
      <c r="J24" s="14">
        <f>SUM(J22:J23)</f>
        <v>85.801000000000002</v>
      </c>
      <c r="K24" s="14">
        <f>SUM(K22:K23)</f>
        <v>83.86</v>
      </c>
      <c r="L24" s="14">
        <f>SUM(L22:L23)</f>
        <v>88.09899999999999</v>
      </c>
      <c r="M24" s="14">
        <f>SUM(M22:M23)</f>
        <v>93.834000000000003</v>
      </c>
      <c r="N24" s="14">
        <f>SUM(N22:N23)</f>
        <v>104.22200000000001</v>
      </c>
      <c r="O24" s="14">
        <f>SUM(O22:O23)</f>
        <v>105.587</v>
      </c>
      <c r="P24" s="14">
        <f>SUM(P22:P23)</f>
        <v>112.69300000000001</v>
      </c>
      <c r="Q24" s="14">
        <f>SUM(Q22:Q23)</f>
        <v>120.78299999999997</v>
      </c>
      <c r="R24" s="14">
        <f>SUM(R22:R23)</f>
        <v>129.67400000000001</v>
      </c>
      <c r="S24" s="14">
        <f>SUM(S22:S23)</f>
        <v>131.54899999999998</v>
      </c>
      <c r="T24" s="14">
        <f>SUM(T22:T23)</f>
        <v>132.84899999999999</v>
      </c>
      <c r="U24" s="14">
        <f>SUM(U22:U23)</f>
        <v>143.803</v>
      </c>
      <c r="V24" s="14">
        <f>SUM(V22:V23)</f>
        <v>150.18899999999999</v>
      </c>
      <c r="W24" s="14">
        <f>SUM(W22:W23)</f>
        <v>155.02199999999999</v>
      </c>
      <c r="X24" s="14">
        <f>SUM(X22:X23)</f>
        <v>158.17499999999998</v>
      </c>
      <c r="Y24" s="14">
        <f>SUM(Y22:Y23)</f>
        <v>166.65300000000002</v>
      </c>
      <c r="Z24" s="14">
        <f>SUM(Z22:Z23)</f>
        <v>175.667</v>
      </c>
      <c r="AA24" s="14">
        <f>SUM(AA22:AA23)</f>
        <v>177.50300000000001</v>
      </c>
      <c r="AB24" s="14">
        <f>SUM(AB22:AB23)</f>
        <v>185.62199999999999</v>
      </c>
      <c r="AC24" s="14">
        <f>SUM(AC22:AC23)</f>
        <v>199.88799999999992</v>
      </c>
      <c r="AD24" s="14">
        <f>SUM(AD22:AD23)</f>
        <v>206.27199999999999</v>
      </c>
      <c r="AE24" s="14">
        <f>SUM(AE22:AE23)</f>
        <v>215.18300000000002</v>
      </c>
      <c r="AF24" s="14">
        <f>SUM(AF22:AF23)</f>
        <v>224.16399999999999</v>
      </c>
      <c r="AG24" s="5"/>
      <c r="AH24" s="14">
        <f>SUM(AH22:AH23)</f>
        <v>630.03899999999999</v>
      </c>
      <c r="AI24" s="14">
        <f>SUM(AI22:AI23)</f>
        <v>655.51700000000005</v>
      </c>
      <c r="AJ24" s="14">
        <f>SUM(AJ22:AJ23)</f>
        <v>677.99800000000005</v>
      </c>
      <c r="AK24" s="14">
        <f>SUM(AK22:AK23)</f>
        <v>705.44500000000005</v>
      </c>
      <c r="AL24" s="14">
        <f>SUM(AL22:AL23)</f>
        <v>738.68</v>
      </c>
      <c r="AM24" s="14">
        <f>SUM(AM22:AM23)</f>
        <v>769.28499999999985</v>
      </c>
      <c r="AN24" s="14">
        <f>SUM(AN22:AN23)</f>
        <v>806.96499999999992</v>
      </c>
      <c r="AO24" s="14">
        <f>SUM(AO22:AO23)</f>
        <v>845.50700000000006</v>
      </c>
    </row>
    <row r="25" spans="1:53">
      <c r="B25" s="18"/>
      <c r="C25" s="19"/>
      <c r="D25" s="19"/>
      <c r="E25" s="19"/>
      <c r="F25" s="19"/>
      <c r="G25" s="19"/>
      <c r="H25" s="19"/>
      <c r="I25" s="20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2"/>
      <c r="Z25" s="21"/>
      <c r="AA25" s="21"/>
      <c r="AB25" s="21"/>
      <c r="AC25" s="21"/>
      <c r="AD25" s="21"/>
      <c r="AE25" s="21"/>
      <c r="AF25" s="21"/>
      <c r="AG25" s="20"/>
      <c r="AH25" s="20"/>
      <c r="AI25" s="20"/>
      <c r="AJ25" s="20"/>
      <c r="AK25" s="20"/>
      <c r="AL25" s="20"/>
      <c r="AM25" s="20"/>
      <c r="AN25" s="20"/>
      <c r="AO25" s="20"/>
    </row>
    <row r="26" spans="1:53">
      <c r="B26" s="152" t="str">
        <f>B22&amp;"(%)"</f>
        <v>Subscription and Support Revenues(%)</v>
      </c>
      <c r="C26" s="153">
        <f>SUM(C22/C$13)</f>
        <v>0.70215160977895363</v>
      </c>
      <c r="D26" s="153">
        <f>SUM(D22/D$13)</f>
        <v>0.72641544176317363</v>
      </c>
      <c r="E26" s="153">
        <f>SUM(E22/E$13)</f>
        <v>0.74786585966918362</v>
      </c>
      <c r="F26" s="153">
        <f>SUM(F22/F$13)</f>
        <v>0.76117154948716048</v>
      </c>
      <c r="G26" s="153">
        <f>SUM(G22/G$13)</f>
        <v>0.79643387180243874</v>
      </c>
      <c r="H26" s="153">
        <f>SUM(H22/H$13)</f>
        <v>0.82454545679091629</v>
      </c>
      <c r="I26" s="154"/>
      <c r="J26" s="153">
        <f>SUM(J22/J$13)</f>
        <v>0.66214972733700761</v>
      </c>
      <c r="K26" s="153">
        <f>SUM(K22/K$13)</f>
        <v>0.72864445910290232</v>
      </c>
      <c r="L26" s="153">
        <f>SUM(L22/L$13)</f>
        <v>0.75586957388288756</v>
      </c>
      <c r="M26" s="153">
        <f>SUM(M22/M$13)</f>
        <v>0.75887083169319003</v>
      </c>
      <c r="N26" s="153">
        <f>SUM(N22/N$13)</f>
        <v>0.68769634355669274</v>
      </c>
      <c r="O26" s="153">
        <f>SUM(O22/O$13)</f>
        <v>0.76023806149922057</v>
      </c>
      <c r="P26" s="153">
        <f>SUM(P22/P$13)</f>
        <v>0.78207378591647292</v>
      </c>
      <c r="Q26" s="153">
        <f>SUM(Q22/Q$13)</f>
        <v>0.75967190903197135</v>
      </c>
      <c r="R26" s="153">
        <f>SUM(R22/R$13)</f>
        <v>0.70368132012507556</v>
      </c>
      <c r="S26" s="153">
        <f>SUM(S22/S$13)</f>
        <v>0.75697352165347764</v>
      </c>
      <c r="T26" s="153">
        <f>SUM(T22/T$13)</f>
        <v>0.80615470371906162</v>
      </c>
      <c r="U26" s="153">
        <f>SUM(U22/U$13)</f>
        <v>0.77825455219958584</v>
      </c>
      <c r="V26" s="153">
        <f>SUM(V22/V$13)</f>
        <v>0.7595393465093665</v>
      </c>
      <c r="W26" s="153">
        <f>SUM(W22/W$13)</f>
        <v>0.7893485387136987</v>
      </c>
      <c r="X26" s="153">
        <f>SUM(X22/X$13)</f>
        <v>0.82936349600124903</v>
      </c>
      <c r="Y26" s="153">
        <f>SUM(Y22/Y$13)</f>
        <v>0.80636035508730852</v>
      </c>
      <c r="Z26" s="153">
        <f>SUM(Z22/Z$13)</f>
        <v>0.78927962109444638</v>
      </c>
      <c r="AA26" s="153">
        <f>SUM(AA22/AA$13)</f>
        <v>0.82737516150120194</v>
      </c>
      <c r="AB26" s="153">
        <f>SUM(AB22/AB$13)</f>
        <v>0.85428227502260135</v>
      </c>
      <c r="AC26" s="153">
        <f>SUM(AC22/AC$13)</f>
        <v>0.82647033292367</v>
      </c>
      <c r="AD26" s="153">
        <f>SUM(AD22/AD$13)</f>
        <v>0.81711829169456296</v>
      </c>
      <c r="AE26" s="153">
        <f>SUM(AE22/AE$13)</f>
        <v>0.85386845403989708</v>
      </c>
      <c r="AF26" s="153">
        <f>SUM(AF22/AF$13)</f>
        <v>0.87767204985592695</v>
      </c>
      <c r="AG26" s="154"/>
      <c r="AH26" s="155">
        <f t="shared" ref="AH26:AH27" si="63">Y26</f>
        <v>0.80636035508730852</v>
      </c>
      <c r="AI26" s="155">
        <f t="shared" ref="AI26:AI27" si="64">Z26</f>
        <v>0.78927962109444638</v>
      </c>
      <c r="AJ26" s="155">
        <f t="shared" ref="AJ26:AJ27" si="65">AA26</f>
        <v>0.82737516150120194</v>
      </c>
      <c r="AK26" s="155">
        <f t="shared" ref="AK26:AK27" si="66">AB26</f>
        <v>0.85428227502260135</v>
      </c>
      <c r="AL26" s="155">
        <f t="shared" ref="AL26:AL27" si="67">AC26</f>
        <v>0.82647033292367</v>
      </c>
      <c r="AM26" s="155">
        <f t="shared" ref="AM26:AM27" si="68">AD26</f>
        <v>0.81711829169456296</v>
      </c>
      <c r="AN26" s="155">
        <f t="shared" ref="AN26:AN27" si="69">AE26</f>
        <v>0.85386845403989708</v>
      </c>
      <c r="AO26" s="156">
        <f t="shared" ref="AO26:AO27" si="70">AF26</f>
        <v>0.87767204985592695</v>
      </c>
    </row>
    <row r="27" spans="1:53" ht="12.75" customHeight="1">
      <c r="B27" s="157" t="str">
        <f>B23&amp;"(%)"</f>
        <v>Professional Services Revenues(%)</v>
      </c>
      <c r="C27" s="158">
        <f>SUM(C23/C$13)</f>
        <v>0.14892419511052321</v>
      </c>
      <c r="D27" s="158">
        <f>SUM(D23/D$13)</f>
        <v>0.13679227911841321</v>
      </c>
      <c r="E27" s="158">
        <f>SUM(E23/E$13)</f>
        <v>0.12606707016540822</v>
      </c>
      <c r="F27" s="158">
        <f>SUM(F23/F$13)</f>
        <v>0.11941422525641969</v>
      </c>
      <c r="G27" s="158">
        <f>SUM(G23/G$13)</f>
        <v>0.10178306409878064</v>
      </c>
      <c r="H27" s="158">
        <f>SUM(H23/H$13)</f>
        <v>8.772727160454187E-2</v>
      </c>
      <c r="I27" s="159"/>
      <c r="J27" s="158">
        <f>SUM(J23/J$13)</f>
        <v>0.16892513633149622</v>
      </c>
      <c r="K27" s="158">
        <f>SUM(K23/K$13)</f>
        <v>0.13567777044854884</v>
      </c>
      <c r="L27" s="158">
        <f>SUM(L23/L$13)</f>
        <v>0.12206521305855624</v>
      </c>
      <c r="M27" s="158">
        <f>SUM(M23/M$13)</f>
        <v>0.1205645841534049</v>
      </c>
      <c r="N27" s="158">
        <f>SUM(N23/N$13)</f>
        <v>0.15615182822165366</v>
      </c>
      <c r="O27" s="158">
        <f>SUM(O23/O$13)</f>
        <v>0.11988096925038969</v>
      </c>
      <c r="P27" s="158">
        <f>SUM(P23/P$13)</f>
        <v>0.1089631070417635</v>
      </c>
      <c r="Q27" s="158">
        <f>SUM(Q23/Q$13)</f>
        <v>0.12016404548401433</v>
      </c>
      <c r="R27" s="158">
        <f>SUM(R23/R$13)</f>
        <v>0.14815933993746222</v>
      </c>
      <c r="S27" s="158">
        <f>SUM(S23/S$13)</f>
        <v>0.12151323917326122</v>
      </c>
      <c r="T27" s="158">
        <f>SUM(T23/T$13)</f>
        <v>9.6922648140469192E-2</v>
      </c>
      <c r="U27" s="158">
        <f>SUM(U23/U$13)</f>
        <v>0.11087272390020717</v>
      </c>
      <c r="V27" s="158">
        <f>SUM(V23/V$13)</f>
        <v>0.12023032674531672</v>
      </c>
      <c r="W27" s="158">
        <f>SUM(W23/W$13)</f>
        <v>0.10532573064315066</v>
      </c>
      <c r="X27" s="158">
        <f>SUM(X23/X$13)</f>
        <v>8.5318251999375469E-2</v>
      </c>
      <c r="Y27" s="158">
        <f>SUM(Y23/Y$13)</f>
        <v>9.6819822456345711E-2</v>
      </c>
      <c r="Z27" s="158">
        <f>SUM(Z23/Z$13)</f>
        <v>0.10536018945277686</v>
      </c>
      <c r="AA27" s="158">
        <f>SUM(AA23/AA$13)</f>
        <v>8.6312419249399031E-2</v>
      </c>
      <c r="AB27" s="158">
        <f>SUM(AB23/AB$13)</f>
        <v>7.2858862488699314E-2</v>
      </c>
      <c r="AC27" s="158">
        <f>SUM(AC23/AC$13)</f>
        <v>8.6764833538164929E-2</v>
      </c>
      <c r="AD27" s="158">
        <f>SUM(AD23/AD$13)</f>
        <v>9.1440854152718576E-2</v>
      </c>
      <c r="AE27" s="158">
        <f>SUM(AE23/AE$13)</f>
        <v>7.3057157749184781E-2</v>
      </c>
      <c r="AF27" s="158">
        <f>SUM(AF23/AF$13)</f>
        <v>6.1163975072036442E-2</v>
      </c>
      <c r="AG27" s="159"/>
      <c r="AH27" s="160">
        <f t="shared" si="63"/>
        <v>9.6819822456345711E-2</v>
      </c>
      <c r="AI27" s="160">
        <f t="shared" si="64"/>
        <v>0.10536018945277686</v>
      </c>
      <c r="AJ27" s="160">
        <f t="shared" si="65"/>
        <v>8.6312419249399031E-2</v>
      </c>
      <c r="AK27" s="160">
        <f t="shared" si="66"/>
        <v>7.2858862488699314E-2</v>
      </c>
      <c r="AL27" s="160">
        <f t="shared" si="67"/>
        <v>8.6764833538164929E-2</v>
      </c>
      <c r="AM27" s="160">
        <f t="shared" si="68"/>
        <v>9.1440854152718576E-2</v>
      </c>
      <c r="AN27" s="160">
        <f t="shared" si="69"/>
        <v>7.3057157749184781E-2</v>
      </c>
      <c r="AO27" s="161">
        <f t="shared" si="70"/>
        <v>6.1163975072036442E-2</v>
      </c>
    </row>
    <row r="28" spans="1:53">
      <c r="B28" s="18"/>
      <c r="C28" s="19"/>
      <c r="D28" s="19"/>
      <c r="E28" s="19"/>
      <c r="F28" s="19"/>
      <c r="G28" s="19"/>
      <c r="H28" s="19"/>
      <c r="I28" s="20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2"/>
      <c r="Z28" s="21"/>
      <c r="AA28" s="21"/>
      <c r="AB28" s="21"/>
      <c r="AC28" s="21"/>
      <c r="AD28" s="21"/>
      <c r="AE28" s="21"/>
      <c r="AF28" s="21"/>
      <c r="AG28" s="20"/>
      <c r="AH28" s="20"/>
      <c r="AI28" s="20"/>
      <c r="AJ28" s="20"/>
      <c r="AK28" s="20"/>
      <c r="AL28" s="20"/>
      <c r="AM28" s="20"/>
      <c r="AN28" s="20"/>
      <c r="AO28" s="20"/>
    </row>
    <row r="29" spans="1:53">
      <c r="A29" s="36" t="s">
        <v>16</v>
      </c>
      <c r="B29" s="1" t="s">
        <v>158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</row>
    <row r="30" spans="1:53" ht="5.0999999999999996" customHeight="1"/>
    <row r="31" spans="1:53" ht="12.75" customHeight="1">
      <c r="A31" s="80" t="s">
        <v>16</v>
      </c>
      <c r="B31" s="78" t="s">
        <v>187</v>
      </c>
      <c r="C31" s="10"/>
      <c r="D31" s="10"/>
      <c r="E31" s="10"/>
      <c r="F31" s="10"/>
      <c r="G31" s="10"/>
      <c r="H31" s="10"/>
      <c r="I31" s="10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32"/>
      <c r="Z31" s="95"/>
      <c r="AA31" s="95"/>
      <c r="AB31" s="95"/>
      <c r="AC31" s="32"/>
      <c r="AD31" s="95"/>
      <c r="AE31" s="95"/>
      <c r="AF31" s="95"/>
      <c r="AG31" s="5"/>
      <c r="AH31" s="11"/>
      <c r="AI31" s="11"/>
      <c r="AJ31" s="11"/>
      <c r="AK31" s="11"/>
      <c r="AL31" s="11"/>
      <c r="AM31" s="11"/>
      <c r="AN31" s="11"/>
      <c r="AO31" s="11"/>
    </row>
    <row r="32" spans="1:53" ht="12.75" customHeight="1">
      <c r="A32" s="80"/>
      <c r="B32" s="9" t="s">
        <v>192</v>
      </c>
      <c r="C32" s="81"/>
      <c r="D32" s="81"/>
      <c r="E32" s="81"/>
      <c r="F32" s="81"/>
      <c r="G32" s="81"/>
      <c r="H32" s="81">
        <v>609.37300000000005</v>
      </c>
      <c r="I32" s="10"/>
      <c r="J32" s="95"/>
      <c r="K32" s="95"/>
      <c r="L32" s="95"/>
      <c r="M32" s="95"/>
      <c r="N32" s="95"/>
      <c r="O32" s="95"/>
      <c r="P32" s="95"/>
      <c r="Q32" s="24"/>
      <c r="R32" s="95"/>
      <c r="S32" s="95"/>
      <c r="T32" s="95"/>
      <c r="U32" s="24"/>
      <c r="V32" s="95"/>
      <c r="W32" s="95"/>
      <c r="X32" s="95"/>
      <c r="Y32" s="32"/>
      <c r="Z32" s="95">
        <v>146.70000000000002</v>
      </c>
      <c r="AA32" s="95">
        <v>147.304</v>
      </c>
      <c r="AB32" s="95">
        <v>152.18299999999999</v>
      </c>
      <c r="AC32" s="32">
        <v>163.18600000000004</v>
      </c>
      <c r="AD32" s="82">
        <v>185.512</v>
      </c>
      <c r="AE32" s="82">
        <v>171.86199999999999</v>
      </c>
      <c r="AF32" s="81">
        <v>177.65600000000001</v>
      </c>
      <c r="AG32" s="5"/>
      <c r="AH32" s="32">
        <f t="shared" ref="AH32:AH33" si="71">SUM(V32:Y32)</f>
        <v>0</v>
      </c>
      <c r="AI32" s="32">
        <f t="shared" ref="AI32:AI33" si="72">SUM(W32:Z32)</f>
        <v>146.70000000000002</v>
      </c>
      <c r="AJ32" s="32">
        <f t="shared" ref="AJ32:AJ33" si="73">SUM(X32:AA32)</f>
        <v>294.00400000000002</v>
      </c>
      <c r="AK32" s="32">
        <f t="shared" ref="AK32:AK33" si="74">SUM(Y32:AB32)</f>
        <v>446.18700000000001</v>
      </c>
      <c r="AL32" s="32">
        <f t="shared" ref="AL32:AL33" si="75">SUM(Z32:AC32)</f>
        <v>609.37300000000005</v>
      </c>
      <c r="AM32" s="32">
        <f t="shared" ref="AM32:AM33" si="76">SUM(AA32:AD32)</f>
        <v>648.18499999999995</v>
      </c>
      <c r="AN32" s="32">
        <f t="shared" ref="AN32:AN33" si="77">SUM(AB32:AE32)</f>
        <v>672.74300000000005</v>
      </c>
      <c r="AO32" s="32">
        <f t="shared" ref="AO32:AO33" si="78">SUM(AC32:AF32)</f>
        <v>698.21600000000012</v>
      </c>
    </row>
    <row r="33" spans="2:41">
      <c r="B33" s="9" t="s">
        <v>193</v>
      </c>
      <c r="C33" s="81"/>
      <c r="D33" s="81"/>
      <c r="E33" s="81"/>
      <c r="F33" s="81"/>
      <c r="G33" s="81"/>
      <c r="H33" s="81">
        <v>129.30699999999999</v>
      </c>
      <c r="I33" s="81"/>
      <c r="J33" s="95"/>
      <c r="K33" s="95"/>
      <c r="L33" s="95"/>
      <c r="M33" s="95"/>
      <c r="N33" s="95"/>
      <c r="O33" s="95"/>
      <c r="P33" s="95"/>
      <c r="Q33" s="24"/>
      <c r="R33" s="95"/>
      <c r="S33" s="95"/>
      <c r="T33" s="95"/>
      <c r="U33" s="24"/>
      <c r="V33" s="95"/>
      <c r="W33" s="95"/>
      <c r="X33" s="95"/>
      <c r="Y33" s="32"/>
      <c r="Z33" s="95">
        <v>28.966999999999999</v>
      </c>
      <c r="AA33" s="95">
        <v>30.199000000000002</v>
      </c>
      <c r="AB33" s="95">
        <v>33.421999999999997</v>
      </c>
      <c r="AC33" s="32">
        <v>36.718999999999994</v>
      </c>
      <c r="AD33" s="82">
        <v>20.768000000000001</v>
      </c>
      <c r="AE33" s="82">
        <v>43.325000000000003</v>
      </c>
      <c r="AF33" s="81">
        <v>46.51</v>
      </c>
      <c r="AG33" s="5"/>
      <c r="AH33" s="32">
        <f t="shared" si="71"/>
        <v>0</v>
      </c>
      <c r="AI33" s="32">
        <f t="shared" si="72"/>
        <v>28.966999999999999</v>
      </c>
      <c r="AJ33" s="32">
        <f t="shared" si="73"/>
        <v>59.165999999999997</v>
      </c>
      <c r="AK33" s="32">
        <f t="shared" si="74"/>
        <v>92.587999999999994</v>
      </c>
      <c r="AL33" s="32">
        <f t="shared" si="75"/>
        <v>129.30699999999999</v>
      </c>
      <c r="AM33" s="32">
        <f t="shared" si="76"/>
        <v>121.10799999999999</v>
      </c>
      <c r="AN33" s="32">
        <f t="shared" si="77"/>
        <v>134.23399999999998</v>
      </c>
      <c r="AO33" s="32">
        <f t="shared" si="78"/>
        <v>147.322</v>
      </c>
    </row>
    <row r="34" spans="2:41">
      <c r="B34" s="13" t="s">
        <v>186</v>
      </c>
      <c r="C34" s="14">
        <f>SUM(C32:C33)</f>
        <v>0</v>
      </c>
      <c r="D34" s="14">
        <f>SUM(D32:D33)</f>
        <v>0</v>
      </c>
      <c r="E34" s="14">
        <f>SUM(E32:E33)</f>
        <v>0</v>
      </c>
      <c r="F34" s="14">
        <f>SUM(F32:F33)</f>
        <v>0</v>
      </c>
      <c r="G34" s="14">
        <f>SUM(G32:G33)</f>
        <v>0</v>
      </c>
      <c r="H34" s="14">
        <f>SUM(H32:H33)</f>
        <v>738.68000000000006</v>
      </c>
      <c r="I34" s="11"/>
      <c r="J34" s="14">
        <f>SUM(J32:J33)</f>
        <v>0</v>
      </c>
      <c r="K34" s="14">
        <f>SUM(K32:K33)</f>
        <v>0</v>
      </c>
      <c r="L34" s="14">
        <f>SUM(L32:L33)</f>
        <v>0</v>
      </c>
      <c r="M34" s="14">
        <f>SUM(M32:M33)</f>
        <v>0</v>
      </c>
      <c r="N34" s="14">
        <f>SUM(N32:N33)</f>
        <v>0</v>
      </c>
      <c r="O34" s="14">
        <f>SUM(O32:O33)</f>
        <v>0</v>
      </c>
      <c r="P34" s="14">
        <f>SUM(P32:P33)</f>
        <v>0</v>
      </c>
      <c r="Q34" s="14">
        <f>SUM(Q32:Q33)</f>
        <v>0</v>
      </c>
      <c r="R34" s="14">
        <f>SUM(R32:R33)</f>
        <v>0</v>
      </c>
      <c r="S34" s="14">
        <f>SUM(S32:S33)</f>
        <v>0</v>
      </c>
      <c r="T34" s="14">
        <f>SUM(T32:T33)</f>
        <v>0</v>
      </c>
      <c r="U34" s="14">
        <f>SUM(U32:U33)</f>
        <v>0</v>
      </c>
      <c r="V34" s="14">
        <f>SUM(V32:V33)</f>
        <v>0</v>
      </c>
      <c r="W34" s="14">
        <f>SUM(W32:W33)</f>
        <v>0</v>
      </c>
      <c r="X34" s="14">
        <f>SUM(X32:X33)</f>
        <v>0</v>
      </c>
      <c r="Y34" s="14">
        <f>SUM(Y32:Y33)</f>
        <v>0</v>
      </c>
      <c r="Z34" s="14">
        <f>SUM(Z32:Z33)</f>
        <v>175.66700000000003</v>
      </c>
      <c r="AA34" s="14">
        <f>SUM(AA32:AA33)</f>
        <v>177.50300000000001</v>
      </c>
      <c r="AB34" s="14">
        <f>SUM(AB32:AB33)</f>
        <v>185.60499999999999</v>
      </c>
      <c r="AC34" s="14">
        <f>SUM(AC32:AC33)</f>
        <v>199.90500000000003</v>
      </c>
      <c r="AD34" s="14">
        <f>SUM(AD32:AD33)</f>
        <v>206.28</v>
      </c>
      <c r="AE34" s="14">
        <f>SUM(AE32:AE33)</f>
        <v>215.18700000000001</v>
      </c>
      <c r="AF34" s="14">
        <f>SUM(AF32:AF33)</f>
        <v>224.166</v>
      </c>
      <c r="AG34" s="5"/>
      <c r="AH34" s="14">
        <f>SUM(AH32:AH33)</f>
        <v>0</v>
      </c>
      <c r="AI34" s="14">
        <f>SUM(AI32:AI33)</f>
        <v>175.66700000000003</v>
      </c>
      <c r="AJ34" s="14">
        <f>SUM(AJ32:AJ33)</f>
        <v>353.17</v>
      </c>
      <c r="AK34" s="14">
        <f>SUM(AK32:AK33)</f>
        <v>538.77499999999998</v>
      </c>
      <c r="AL34" s="14">
        <f>SUM(AL32:AL33)</f>
        <v>738.68000000000006</v>
      </c>
      <c r="AM34" s="14">
        <f>SUM(AM32:AM33)</f>
        <v>769.29299999999989</v>
      </c>
      <c r="AN34" s="14">
        <f>SUM(AN32:AN33)</f>
        <v>806.97700000000009</v>
      </c>
      <c r="AO34" s="14">
        <f>SUM(AO32:AO33)</f>
        <v>845.53800000000012</v>
      </c>
    </row>
    <row r="35" spans="2:41">
      <c r="B35" s="18"/>
      <c r="C35" s="19"/>
      <c r="D35" s="19"/>
      <c r="E35" s="19"/>
      <c r="F35" s="19"/>
      <c r="G35" s="19"/>
      <c r="H35" s="19"/>
      <c r="I35" s="20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2"/>
      <c r="Z35" s="21"/>
      <c r="AA35" s="21"/>
      <c r="AB35" s="21"/>
      <c r="AC35" s="21"/>
      <c r="AD35" s="21"/>
      <c r="AE35" s="21"/>
      <c r="AF35" s="21"/>
      <c r="AG35" s="20"/>
      <c r="AH35" s="20"/>
      <c r="AI35" s="20"/>
      <c r="AJ35" s="20"/>
      <c r="AK35" s="20"/>
      <c r="AL35" s="20"/>
      <c r="AM35" s="20"/>
      <c r="AN35" s="20"/>
      <c r="AO35" s="20"/>
    </row>
    <row r="36" spans="2:41">
      <c r="B36" s="152" t="str">
        <f>B32&amp;"(%)"</f>
        <v>Americas Revenues(%)</v>
      </c>
      <c r="C36" s="153">
        <f>SUM(C32/C$13)</f>
        <v>0</v>
      </c>
      <c r="D36" s="153">
        <f>SUM(D32/D$13)</f>
        <v>0</v>
      </c>
      <c r="E36" s="153">
        <f>SUM(E32/E$13)</f>
        <v>0</v>
      </c>
      <c r="F36" s="153">
        <f>SUM(F32/F$13)</f>
        <v>0</v>
      </c>
      <c r="G36" s="153">
        <f>SUM(G32/G$13)</f>
        <v>0</v>
      </c>
      <c r="H36" s="153">
        <f>SUM(H32/H$13)</f>
        <v>0.75257807077560734</v>
      </c>
      <c r="I36" s="154"/>
      <c r="J36" s="153">
        <f>SUM(J32/J$13)</f>
        <v>0</v>
      </c>
      <c r="K36" s="153">
        <f>SUM(K32/K$13)</f>
        <v>0</v>
      </c>
      <c r="L36" s="153">
        <f>SUM(L32/L$13)</f>
        <v>0</v>
      </c>
      <c r="M36" s="153">
        <f>SUM(M32/M$13)</f>
        <v>0</v>
      </c>
      <c r="N36" s="153">
        <f>SUM(N32/N$13)</f>
        <v>0</v>
      </c>
      <c r="O36" s="153">
        <f>SUM(O32/O$13)</f>
        <v>0</v>
      </c>
      <c r="P36" s="153">
        <f>SUM(P32/P$13)</f>
        <v>0</v>
      </c>
      <c r="Q36" s="153">
        <f>SUM(Q32/Q$13)</f>
        <v>0</v>
      </c>
      <c r="R36" s="153">
        <f>SUM(R32/R$13)</f>
        <v>0</v>
      </c>
      <c r="S36" s="153">
        <f>SUM(S32/S$13)</f>
        <v>0</v>
      </c>
      <c r="T36" s="153">
        <f>SUM(T32/T$13)</f>
        <v>0</v>
      </c>
      <c r="U36" s="153">
        <f>SUM(U32/U$13)</f>
        <v>0</v>
      </c>
      <c r="V36" s="153">
        <f>SUM(V32/V$13)</f>
        <v>0</v>
      </c>
      <c r="W36" s="153">
        <f>SUM(W32/W$13)</f>
        <v>0</v>
      </c>
      <c r="X36" s="153">
        <f>SUM(X32/X$13)</f>
        <v>0</v>
      </c>
      <c r="Y36" s="153">
        <f>SUM(Y32/Y$13)</f>
        <v>0</v>
      </c>
      <c r="Z36" s="153">
        <f>SUM(Z32/Z$13)</f>
        <v>0.74711619261032325</v>
      </c>
      <c r="AA36" s="153">
        <f>SUM(AA32/AA$13)</f>
        <v>0.7582397784538093</v>
      </c>
      <c r="AB36" s="153">
        <f>SUM(AB32/AB$13)</f>
        <v>0.76012067389577886</v>
      </c>
      <c r="AC36" s="153">
        <f>SUM(AC32/AC$13)</f>
        <v>0.74555347931962435</v>
      </c>
      <c r="AD36" s="153">
        <f>SUM(AD32/AD$13)</f>
        <v>0.81711829169456296</v>
      </c>
      <c r="AE36" s="153">
        <f>SUM(AE32/AE$13)</f>
        <v>0.74031540360202797</v>
      </c>
      <c r="AF36" s="153">
        <f>SUM(AF32/AF$13)</f>
        <v>0.74405280439589894</v>
      </c>
      <c r="AG36" s="154"/>
      <c r="AH36" s="155">
        <f t="shared" ref="AH36" si="79">Y36</f>
        <v>0</v>
      </c>
      <c r="AI36" s="155">
        <f t="shared" ref="AI36" si="80">Z36</f>
        <v>0.74711619261032325</v>
      </c>
      <c r="AJ36" s="155">
        <f t="shared" ref="AJ36" si="81">AA36</f>
        <v>0.7582397784538093</v>
      </c>
      <c r="AK36" s="155">
        <f t="shared" ref="AK36" si="82">AB36</f>
        <v>0.76012067389577886</v>
      </c>
      <c r="AL36" s="155">
        <f t="shared" ref="AL36" si="83">AC36</f>
        <v>0.74555347931962435</v>
      </c>
      <c r="AM36" s="155">
        <f t="shared" ref="AM36" si="84">AD36</f>
        <v>0.81711829169456296</v>
      </c>
      <c r="AN36" s="155">
        <f t="shared" ref="AN36" si="85">AE36</f>
        <v>0.74031540360202797</v>
      </c>
      <c r="AO36" s="156">
        <f t="shared" ref="AO36" si="86">AF36</f>
        <v>0.74405280439589894</v>
      </c>
    </row>
    <row r="37" spans="2:41" ht="12.75" customHeight="1">
      <c r="B37" s="157" t="str">
        <f>B33&amp;"(%)"</f>
        <v>Ex Americas Revenues(%)</v>
      </c>
      <c r="C37" s="158">
        <f>SUM(C33/C$13)</f>
        <v>0</v>
      </c>
      <c r="D37" s="158">
        <f>SUM(D33/D$13)</f>
        <v>0</v>
      </c>
      <c r="E37" s="158">
        <f>SUM(E33/E$13)</f>
        <v>0</v>
      </c>
      <c r="F37" s="158">
        <f>SUM(F33/F$13)</f>
        <v>0</v>
      </c>
      <c r="G37" s="158">
        <f>SUM(G33/G$13)</f>
        <v>0</v>
      </c>
      <c r="H37" s="158">
        <f>SUM(H33/H$13)</f>
        <v>0.15969465761985097</v>
      </c>
      <c r="I37" s="159"/>
      <c r="J37" s="158">
        <f>SUM(J33/J$13)</f>
        <v>0</v>
      </c>
      <c r="K37" s="158">
        <f>SUM(K33/K$13)</f>
        <v>0</v>
      </c>
      <c r="L37" s="158">
        <f>SUM(L33/L$13)</f>
        <v>0</v>
      </c>
      <c r="M37" s="158">
        <f>SUM(M33/M$13)</f>
        <v>0</v>
      </c>
      <c r="N37" s="158">
        <f>SUM(N33/N$13)</f>
        <v>0</v>
      </c>
      <c r="O37" s="158">
        <f>SUM(O33/O$13)</f>
        <v>0</v>
      </c>
      <c r="P37" s="158">
        <f>SUM(P33/P$13)</f>
        <v>0</v>
      </c>
      <c r="Q37" s="158">
        <f>SUM(Q33/Q$13)</f>
        <v>0</v>
      </c>
      <c r="R37" s="158">
        <f>SUM(R33/R$13)</f>
        <v>0</v>
      </c>
      <c r="S37" s="158">
        <f>SUM(S33/S$13)</f>
        <v>0</v>
      </c>
      <c r="T37" s="158">
        <f>SUM(T33/T$13)</f>
        <v>0</v>
      </c>
      <c r="U37" s="158">
        <f>SUM(U33/U$13)</f>
        <v>0</v>
      </c>
      <c r="V37" s="158">
        <f>SUM(V33/V$13)</f>
        <v>0</v>
      </c>
      <c r="W37" s="158">
        <f>SUM(W33/W$13)</f>
        <v>0</v>
      </c>
      <c r="X37" s="158">
        <f>SUM(X33/X$13)</f>
        <v>0</v>
      </c>
      <c r="Y37" s="158">
        <f>SUM(Y33/Y$13)</f>
        <v>0</v>
      </c>
      <c r="Z37" s="158">
        <f>SUM(Z33/Z$13)</f>
        <v>0.1475236179369</v>
      </c>
      <c r="AA37" s="158">
        <f>SUM(AA33/AA$13)</f>
        <v>0.15544780229679159</v>
      </c>
      <c r="AB37" s="158">
        <f>SUM(AB33/AB$13)</f>
        <v>0.16693555234779653</v>
      </c>
      <c r="AC37" s="158">
        <f>SUM(AC33/AC$13)</f>
        <v>0.16775935562571101</v>
      </c>
      <c r="AD37" s="158">
        <f>SUM(AD33/AD$13)</f>
        <v>9.1476091476091481E-2</v>
      </c>
      <c r="AE37" s="158">
        <f>SUM(AE33/AE$13)</f>
        <v>0.1866274386487872</v>
      </c>
      <c r="AF37" s="158">
        <f>SUM(AF33/AF$13)</f>
        <v>0.19479159686390132</v>
      </c>
      <c r="AG37" s="159"/>
      <c r="AH37" s="160">
        <f t="shared" ref="AH37" si="87">Y37</f>
        <v>0</v>
      </c>
      <c r="AI37" s="160">
        <f t="shared" ref="AI37" si="88">Z37</f>
        <v>0.1475236179369</v>
      </c>
      <c r="AJ37" s="160">
        <f t="shared" ref="AJ37" si="89">AA37</f>
        <v>0.15544780229679159</v>
      </c>
      <c r="AK37" s="160">
        <f t="shared" ref="AK37" si="90">AB37</f>
        <v>0.16693555234779653</v>
      </c>
      <c r="AL37" s="160">
        <f t="shared" ref="AL37" si="91">AC37</f>
        <v>0.16775935562571101</v>
      </c>
      <c r="AM37" s="160">
        <f t="shared" ref="AM37" si="92">AD37</f>
        <v>9.1476091476091481E-2</v>
      </c>
      <c r="AN37" s="160">
        <f t="shared" ref="AN37" si="93">AE37</f>
        <v>0.1866274386487872</v>
      </c>
      <c r="AO37" s="161">
        <f t="shared" ref="AO37" si="94">AF37</f>
        <v>0.19479159686390132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>Workiva Inc. (NYSE: WK)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65" t="s">
        <v>22</v>
      </c>
    </row>
    <row r="3" spans="2:29" s="5" customFormat="1" ht="12.75" customHeight="1">
      <c r="B3" s="6" t="s">
        <v>23</v>
      </c>
      <c r="C3" s="7" t="e">
        <f>'Historical Financials'!#REF!</f>
        <v>#REF!</v>
      </c>
      <c r="D3" s="7">
        <f>'Historical Financials'!F7</f>
        <v>2022</v>
      </c>
      <c r="E3" s="7">
        <f>'Historical Financials'!G7</f>
        <v>2023</v>
      </c>
      <c r="F3" s="7">
        <f>'Historical Financials'!H7</f>
        <v>2024</v>
      </c>
      <c r="G3" s="3"/>
      <c r="H3" s="7" t="str">
        <f>'Historical Financials'!V7</f>
        <v>1Q23</v>
      </c>
      <c r="I3" s="7" t="str">
        <f>'Historical Financials'!W7</f>
        <v>2Q23</v>
      </c>
      <c r="J3" s="7" t="str">
        <f>'Historical Financials'!X7</f>
        <v>3Q23</v>
      </c>
      <c r="K3" s="7" t="str">
        <f>'Historical Financials'!Y7</f>
        <v>4Q23</v>
      </c>
      <c r="L3" s="7" t="str">
        <f>'Historical Financials'!Z7</f>
        <v>1Q24</v>
      </c>
      <c r="M3" s="7" t="str">
        <f>'Historical Financials'!AA7</f>
        <v>2Q24</v>
      </c>
      <c r="N3" s="7" t="str">
        <f>'Historical Financials'!AB7</f>
        <v>3Q24</v>
      </c>
      <c r="O3" s="7" t="str">
        <f>'Historical Financials'!AC7</f>
        <v>4Q24</v>
      </c>
      <c r="P3" s="7" t="str">
        <f>'Historical Financials'!AD7</f>
        <v>1Q25</v>
      </c>
      <c r="Q3" s="7" t="str">
        <f>'Historical Financials'!AE7</f>
        <v>2Q25</v>
      </c>
      <c r="R3" s="7" t="str">
        <f>'Historical Financials'!AF7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65"/>
    </row>
    <row r="4" spans="2:29" s="5" customFormat="1" ht="12.75" customHeight="1">
      <c r="B4" s="6" t="s">
        <v>71</v>
      </c>
      <c r="C4" s="3" t="e">
        <f>'Historical Financials'!#REF!</f>
        <v>#REF!</v>
      </c>
      <c r="D4" s="3">
        <f>'Historical Financials'!F8</f>
        <v>0</v>
      </c>
      <c r="E4" s="3">
        <f>'Historical Financials'!G8</f>
        <v>0</v>
      </c>
      <c r="F4" s="3">
        <f>'Historical Financials'!H8</f>
        <v>0</v>
      </c>
      <c r="G4" s="3"/>
      <c r="H4" s="3">
        <f>'Historical Financials'!V8</f>
        <v>0</v>
      </c>
      <c r="I4" s="3">
        <f>'Historical Financials'!W8</f>
        <v>0</v>
      </c>
      <c r="J4" s="3">
        <f>'Historical Financials'!X8</f>
        <v>0</v>
      </c>
      <c r="K4" s="3">
        <f>'Historical Financials'!Y8</f>
        <v>0</v>
      </c>
      <c r="L4" s="3">
        <f>'Historical Financials'!Z8</f>
        <v>0</v>
      </c>
      <c r="M4" s="3">
        <f>'Historical Financials'!AA8</f>
        <v>0</v>
      </c>
      <c r="N4" s="3">
        <f>'Historical Financials'!AB8</f>
        <v>0</v>
      </c>
      <c r="O4" s="3">
        <f>'Historical Financials'!AC8</f>
        <v>0</v>
      </c>
      <c r="P4" s="3">
        <f>'Historical Financials'!AD8</f>
        <v>0</v>
      </c>
      <c r="Q4" s="3">
        <f>'Historical Financials'!AE8</f>
        <v>0</v>
      </c>
      <c r="R4" s="3">
        <f>'Historical Financials'!AF8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65"/>
    </row>
    <row r="5" spans="2:29" ht="5.0999999999999996" customHeight="1">
      <c r="AC5" s="125"/>
    </row>
    <row r="6" spans="2:29" ht="12.75" customHeight="1">
      <c r="B6" s="9" t="str">
        <f>'Revenue Drivers'!B9</f>
        <v>Subscription and Support</v>
      </c>
      <c r="C6" s="94">
        <f>'Revenue Drivers'!F9</f>
        <v>464.935</v>
      </c>
      <c r="D6" s="94">
        <f>'Revenue Drivers'!G9</f>
        <v>558.64499999999998</v>
      </c>
      <c r="E6" s="94">
        <f>'Revenue Drivers'!H9</f>
        <v>667.64599999999996</v>
      </c>
      <c r="F6" s="94" t="e">
        <f>'Revenue Drivers'!#REF!</f>
        <v>#REF!</v>
      </c>
      <c r="G6" s="10"/>
      <c r="H6" s="94">
        <f>'Revenue Drivers'!V9</f>
        <v>129.66399999999999</v>
      </c>
      <c r="I6" s="94">
        <f>'Revenue Drivers'!W9</f>
        <v>136.77199999999999</v>
      </c>
      <c r="J6" s="94">
        <f>'Revenue Drivers'!X9</f>
        <v>143.42099999999999</v>
      </c>
      <c r="K6" s="94">
        <f>'Revenue Drivers'!Y9</f>
        <v>148.78800000000001</v>
      </c>
      <c r="L6" s="94">
        <f>'Revenue Drivers'!Z9</f>
        <v>154.97900000000001</v>
      </c>
      <c r="M6" s="94">
        <f>'Revenue Drivers'!AA9</f>
        <v>160.73500000000001</v>
      </c>
      <c r="N6" s="94">
        <f>'Revenue Drivers'!AB9</f>
        <v>171.035</v>
      </c>
      <c r="O6" s="94">
        <f>'Revenue Drivers'!AC9</f>
        <v>180.89699999999993</v>
      </c>
      <c r="P6" s="94">
        <f>'Revenue Drivers'!AD9</f>
        <v>185.512</v>
      </c>
      <c r="Q6" s="94">
        <f>'Revenue Drivers'!AE9</f>
        <v>198.22300000000001</v>
      </c>
      <c r="R6" s="94">
        <f>'Revenue Drivers'!AF9</f>
        <v>209.56</v>
      </c>
      <c r="S6" s="5"/>
      <c r="T6" s="142">
        <f t="shared" ref="T6:Z9" si="1">SUM(H6:K6)</f>
        <v>558.64499999999998</v>
      </c>
      <c r="U6" s="142">
        <f t="shared" si="1"/>
        <v>583.96</v>
      </c>
      <c r="V6" s="142">
        <f t="shared" si="1"/>
        <v>607.923</v>
      </c>
      <c r="W6" s="142">
        <f t="shared" si="1"/>
        <v>635.53700000000003</v>
      </c>
      <c r="X6" s="142">
        <f t="shared" si="1"/>
        <v>667.64599999999996</v>
      </c>
      <c r="Y6" s="142">
        <f t="shared" si="1"/>
        <v>698.17899999999986</v>
      </c>
      <c r="Z6" s="142">
        <f t="shared" si="1"/>
        <v>735.66699999999992</v>
      </c>
      <c r="AA6" s="142">
        <f>SUM(O6:R6)</f>
        <v>774.19200000000001</v>
      </c>
      <c r="AC6" s="126">
        <f t="shared" ref="AC6:AC10" si="2">SUM(AA6/W6)-1</f>
        <v>0.21816983118213407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2" t="e">
        <f t="shared" si="1"/>
        <v>#REF!</v>
      </c>
      <c r="U7" s="142" t="e">
        <f t="shared" si="1"/>
        <v>#REF!</v>
      </c>
      <c r="V7" s="142" t="e">
        <f t="shared" si="1"/>
        <v>#REF!</v>
      </c>
      <c r="W7" s="142" t="e">
        <f t="shared" si="1"/>
        <v>#REF!</v>
      </c>
      <c r="X7" s="142" t="e">
        <f t="shared" si="1"/>
        <v>#REF!</v>
      </c>
      <c r="Y7" s="142" t="e">
        <f t="shared" si="1"/>
        <v>#REF!</v>
      </c>
      <c r="Z7" s="142" t="e">
        <f t="shared" si="1"/>
        <v>#REF!</v>
      </c>
      <c r="AA7" s="142" t="e">
        <f>SUM(O7:R7)</f>
        <v>#REF!</v>
      </c>
      <c r="AC7" s="126" t="e">
        <f t="shared" si="2"/>
        <v>#REF!</v>
      </c>
    </row>
    <row r="8" spans="2:29" ht="12.75" customHeight="1">
      <c r="B8" s="9" t="e">
        <f>'Revenue Drivers'!#REF!</f>
        <v>#REF!</v>
      </c>
      <c r="C8" s="94" t="e">
        <f>'Revenue Drivers'!#REF!</f>
        <v>#REF!</v>
      </c>
      <c r="D8" s="94" t="e">
        <f>'Revenue Drivers'!#REF!</f>
        <v>#REF!</v>
      </c>
      <c r="E8" s="94" t="e">
        <f>'Revenue Drivers'!#REF!</f>
        <v>#REF!</v>
      </c>
      <c r="F8" s="94" t="e">
        <f>'Revenue Drivers'!#REF!</f>
        <v>#REF!</v>
      </c>
      <c r="G8" s="10"/>
      <c r="H8" s="94" t="e">
        <f>'Revenue Drivers'!#REF!</f>
        <v>#REF!</v>
      </c>
      <c r="I8" s="94" t="e">
        <f>'Revenue Drivers'!#REF!</f>
        <v>#REF!</v>
      </c>
      <c r="J8" s="94" t="e">
        <f>'Revenue Drivers'!#REF!</f>
        <v>#REF!</v>
      </c>
      <c r="K8" s="94" t="e">
        <f>'Revenue Drivers'!#REF!</f>
        <v>#REF!</v>
      </c>
      <c r="L8" s="94" t="e">
        <f>'Revenue Drivers'!#REF!</f>
        <v>#REF!</v>
      </c>
      <c r="M8" s="94" t="e">
        <f>'Revenue Drivers'!#REF!</f>
        <v>#REF!</v>
      </c>
      <c r="N8" s="94" t="e">
        <f>'Revenue Drivers'!#REF!</f>
        <v>#REF!</v>
      </c>
      <c r="O8" s="94" t="e">
        <f>'Revenue Drivers'!#REF!</f>
        <v>#REF!</v>
      </c>
      <c r="P8" s="94" t="e">
        <f>'Revenue Drivers'!#REF!</f>
        <v>#REF!</v>
      </c>
      <c r="Q8" s="94" t="e">
        <f>'Revenue Drivers'!#REF!</f>
        <v>#REF!</v>
      </c>
      <c r="R8" s="94" t="e">
        <f>'Revenue Drivers'!#REF!</f>
        <v>#REF!</v>
      </c>
      <c r="S8" s="5"/>
      <c r="T8" s="142" t="e">
        <f t="shared" si="1"/>
        <v>#REF!</v>
      </c>
      <c r="U8" s="142" t="e">
        <f t="shared" si="1"/>
        <v>#REF!</v>
      </c>
      <c r="V8" s="142" t="e">
        <f t="shared" si="1"/>
        <v>#REF!</v>
      </c>
      <c r="W8" s="142" t="e">
        <f t="shared" si="1"/>
        <v>#REF!</v>
      </c>
      <c r="X8" s="142" t="e">
        <f t="shared" si="1"/>
        <v>#REF!</v>
      </c>
      <c r="Y8" s="142" t="e">
        <f t="shared" si="1"/>
        <v>#REF!</v>
      </c>
      <c r="Z8" s="142" t="e">
        <f t="shared" si="1"/>
        <v>#REF!</v>
      </c>
      <c r="AA8" s="142" t="e">
        <f>SUM(O8:R8)</f>
        <v>#REF!</v>
      </c>
      <c r="AC8" s="126" t="e">
        <f t="shared" si="2"/>
        <v>#REF!</v>
      </c>
    </row>
    <row r="9" spans="2:29" ht="12.75" customHeight="1">
      <c r="B9" s="9" t="str">
        <f>'Revenue Drivers'!B12</f>
        <v>Ttl Service Revenues</v>
      </c>
      <c r="C9" s="94">
        <f>'Revenue Drivers'!F12</f>
        <v>72.94</v>
      </c>
      <c r="D9" s="94">
        <f>'Revenue Drivers'!G12</f>
        <v>71.394000000000005</v>
      </c>
      <c r="E9" s="94">
        <f>'Revenue Drivers'!H12</f>
        <v>71.034000000000006</v>
      </c>
      <c r="F9" s="94" t="e">
        <f>'Revenue Drivers'!#REF!</f>
        <v>#REF!</v>
      </c>
      <c r="G9" s="10"/>
      <c r="H9" s="94">
        <f>'Revenue Drivers'!V12</f>
        <v>20.524999999999999</v>
      </c>
      <c r="I9" s="94">
        <f>'Revenue Drivers'!W12</f>
        <v>18.25</v>
      </c>
      <c r="J9" s="94">
        <f>'Revenue Drivers'!X12</f>
        <v>14.754</v>
      </c>
      <c r="K9" s="94">
        <f>'Revenue Drivers'!Y12</f>
        <v>17.865000000000002</v>
      </c>
      <c r="L9" s="94">
        <f>'Revenue Drivers'!Z12</f>
        <v>20.687999999999999</v>
      </c>
      <c r="M9" s="94">
        <f>'Revenue Drivers'!AA12</f>
        <v>16.768000000000001</v>
      </c>
      <c r="N9" s="94">
        <f>'Revenue Drivers'!AB12</f>
        <v>14.587</v>
      </c>
      <c r="O9" s="94">
        <f>'Revenue Drivers'!AC12</f>
        <v>18.991</v>
      </c>
      <c r="P9" s="94">
        <f>'Revenue Drivers'!AD12</f>
        <v>20.76</v>
      </c>
      <c r="Q9" s="94">
        <f>'Revenue Drivers'!AE12</f>
        <v>16.962</v>
      </c>
      <c r="R9" s="94">
        <f>'Revenue Drivers'!AF12</f>
        <v>14.603999999999999</v>
      </c>
      <c r="S9" s="5"/>
      <c r="T9" s="142">
        <f t="shared" si="1"/>
        <v>71.394000000000005</v>
      </c>
      <c r="U9" s="142">
        <f t="shared" si="1"/>
        <v>71.557000000000002</v>
      </c>
      <c r="V9" s="142">
        <f t="shared" si="1"/>
        <v>70.075000000000003</v>
      </c>
      <c r="W9" s="142">
        <f t="shared" si="1"/>
        <v>69.908000000000001</v>
      </c>
      <c r="X9" s="142">
        <f t="shared" si="1"/>
        <v>71.034000000000006</v>
      </c>
      <c r="Y9" s="142">
        <f t="shared" si="1"/>
        <v>71.106000000000009</v>
      </c>
      <c r="Z9" s="142">
        <f t="shared" si="1"/>
        <v>71.300000000000011</v>
      </c>
      <c r="AA9" s="142">
        <f>SUM(O9:R9)</f>
        <v>71.317000000000007</v>
      </c>
      <c r="AC9" s="126">
        <f t="shared" si="2"/>
        <v>2.015506093723185E-2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7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8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115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116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119</v>
      </c>
      <c r="C19" s="141" t="e">
        <f>'Historical Financials'!#REF!</f>
        <v>#REF!</v>
      </c>
      <c r="D19" s="141">
        <f>'Historical Financials'!F18</f>
        <v>-151.71600000000001</v>
      </c>
      <c r="E19" s="141">
        <f>'Historical Financials'!G18</f>
        <v>-172.79</v>
      </c>
      <c r="F19" s="141">
        <f>'Historical Financials'!H18</f>
        <v>-192.935</v>
      </c>
      <c r="G19" s="94"/>
      <c r="H19" s="141">
        <f>'Historical Financials'!V18</f>
        <v>-45.790999999999997</v>
      </c>
      <c r="I19" s="141">
        <f>'Historical Financials'!W18</f>
        <v>-42.697000000000003</v>
      </c>
      <c r="J19" s="141">
        <f>'Historical Financials'!X18</f>
        <v>-41.747</v>
      </c>
      <c r="K19" s="141">
        <f>'Historical Financials'!Y18</f>
        <v>-42.554999999999978</v>
      </c>
      <c r="L19" s="141">
        <f>'Historical Financials'!Z18</f>
        <v>-45.494999999999997</v>
      </c>
      <c r="M19" s="141">
        <f>'Historical Financials'!AA18</f>
        <v>-48.408000000000001</v>
      </c>
      <c r="N19" s="141">
        <f>'Historical Financials'!AB18</f>
        <v>-48.424999999999997</v>
      </c>
      <c r="O19" s="141">
        <f>'Historical Financials'!AC18</f>
        <v>-50.607000000000028</v>
      </c>
      <c r="P19" s="141">
        <f>'Historical Financials'!AD18</f>
        <v>-53.78</v>
      </c>
      <c r="Q19" s="141">
        <f>'Historical Financials'!AE18</f>
        <v>-54.843000000000004</v>
      </c>
      <c r="R19" s="141">
        <f>'Historical Financials'!AF18</f>
        <v>-51.402999999999999</v>
      </c>
      <c r="S19" s="5"/>
      <c r="T19" s="142">
        <f t="shared" ref="T19:Z23" si="32">SUM(H19:K19)</f>
        <v>-172.79</v>
      </c>
      <c r="U19" s="142">
        <f t="shared" si="32"/>
        <v>-172.49399999999997</v>
      </c>
      <c r="V19" s="142">
        <f t="shared" si="32"/>
        <v>-178.20499999999998</v>
      </c>
      <c r="W19" s="142">
        <f t="shared" si="32"/>
        <v>-184.88299999999998</v>
      </c>
      <c r="X19" s="142">
        <f t="shared" si="32"/>
        <v>-192.935</v>
      </c>
      <c r="Y19" s="142">
        <f t="shared" si="32"/>
        <v>-201.22000000000003</v>
      </c>
      <c r="Z19" s="142">
        <f t="shared" si="32"/>
        <v>-207.65500000000003</v>
      </c>
      <c r="AA19" s="142">
        <f>SUM(O19:R19)</f>
        <v>-210.63300000000001</v>
      </c>
      <c r="AC19" s="126">
        <f t="shared" ref="AC19:AC23" si="33">SUM(AA19/W19)-1</f>
        <v>0.13927727265351608</v>
      </c>
    </row>
    <row r="20" spans="2:29" ht="12.75" customHeight="1">
      <c r="B20" s="23" t="s">
        <v>120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116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117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118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 t="e">
        <f>'Historical Financials'!#REF!</f>
        <v>#REF!</v>
      </c>
      <c r="D27" s="141">
        <f>'Historical Financials'!F96</f>
        <v>0</v>
      </c>
      <c r="E27" s="141">
        <f>'Historical Financials'!G96</f>
        <v>0</v>
      </c>
      <c r="F27" s="141">
        <f>'Historical Financials'!H96</f>
        <v>0</v>
      </c>
      <c r="H27" s="141">
        <f>'Historical Financials'!V96</f>
        <v>0</v>
      </c>
      <c r="I27" s="141">
        <f>'Historical Financials'!W96</f>
        <v>0</v>
      </c>
      <c r="J27" s="141">
        <f>'Historical Financials'!X96</f>
        <v>0</v>
      </c>
      <c r="K27" s="141">
        <f>'Historical Financials'!Y96</f>
        <v>0</v>
      </c>
      <c r="L27" s="141">
        <f>'Historical Financials'!Z96</f>
        <v>0</v>
      </c>
      <c r="M27" s="141">
        <f>'Historical Financials'!AA96</f>
        <v>0</v>
      </c>
      <c r="N27" s="141">
        <f>'Historical Financials'!AB96</f>
        <v>0</v>
      </c>
      <c r="O27" s="141">
        <f>'Historical Financials'!AC96</f>
        <v>0</v>
      </c>
      <c r="P27" s="141">
        <f>'Historical Financials'!AD96</f>
        <v>0</v>
      </c>
      <c r="Q27" s="141">
        <f>'Historical Financials'!AE96</f>
        <v>0</v>
      </c>
      <c r="R27" s="141">
        <f>'Historical Financials'!AF96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121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122</v>
      </c>
      <c r="C32" s="141" t="e">
        <f>'Historical Financials'!#REF!</f>
        <v>#REF!</v>
      </c>
      <c r="D32" s="141">
        <f>'Historical Financials'!F98</f>
        <v>0</v>
      </c>
      <c r="E32" s="141">
        <f>'Historical Financials'!G98</f>
        <v>0</v>
      </c>
      <c r="F32" s="141">
        <f>'Historical Financials'!H98</f>
        <v>0</v>
      </c>
      <c r="H32" s="141">
        <f>'Historical Financials'!V98</f>
        <v>0</v>
      </c>
      <c r="I32" s="141">
        <f>'Historical Financials'!W98</f>
        <v>0</v>
      </c>
      <c r="J32" s="141">
        <f>'Historical Financials'!X98</f>
        <v>0</v>
      </c>
      <c r="K32" s="141">
        <f>'Historical Financials'!Y98</f>
        <v>0</v>
      </c>
      <c r="L32" s="141">
        <f>'Historical Financials'!Z98</f>
        <v>0</v>
      </c>
      <c r="M32" s="141">
        <f>'Historical Financials'!AA98</f>
        <v>0</v>
      </c>
      <c r="N32" s="141">
        <f>'Historical Financials'!AB98</f>
        <v>0</v>
      </c>
      <c r="O32" s="141">
        <f>'Historical Financials'!AC98</f>
        <v>0</v>
      </c>
      <c r="P32" s="141">
        <f>'Historical Financials'!AD98</f>
        <v>0</v>
      </c>
      <c r="Q32" s="141">
        <f>'Historical Financials'!AE98</f>
        <v>0</v>
      </c>
      <c r="R32" s="141">
        <f>'Historical Financials'!AF98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123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124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 t="e">
        <f>'Historical Financials'!#REF!</f>
        <v>#REF!</v>
      </c>
      <c r="D38" s="141">
        <f>'Historical Financials'!F105</f>
        <v>0</v>
      </c>
      <c r="E38" s="141">
        <f>'Historical Financials'!G105</f>
        <v>0</v>
      </c>
      <c r="F38" s="141">
        <f>'Historical Financials'!H105</f>
        <v>0</v>
      </c>
      <c r="H38" s="141">
        <f>'Historical Financials'!V105</f>
        <v>0</v>
      </c>
      <c r="I38" s="141">
        <f>'Historical Financials'!W105</f>
        <v>0</v>
      </c>
      <c r="J38" s="141">
        <f>'Historical Financials'!X105</f>
        <v>0</v>
      </c>
      <c r="K38" s="141">
        <f>'Historical Financials'!Y105</f>
        <v>0</v>
      </c>
      <c r="L38" s="141">
        <f>'Historical Financials'!Z105</f>
        <v>0</v>
      </c>
      <c r="M38" s="141">
        <f>'Historical Financials'!AA105</f>
        <v>0</v>
      </c>
      <c r="N38" s="141">
        <f>'Historical Financials'!AB105</f>
        <v>0</v>
      </c>
      <c r="O38" s="141">
        <f>'Historical Financials'!AC105</f>
        <v>0</v>
      </c>
      <c r="P38" s="141">
        <f>'Historical Financials'!AD105</f>
        <v>0</v>
      </c>
      <c r="Q38" s="141">
        <f>'Historical Financials'!AE105</f>
        <v>0</v>
      </c>
      <c r="R38" s="141">
        <f>'Historical Financials'!AF105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 t="e">
        <f>-'Historical Financials'!#REF!</f>
        <v>#REF!</v>
      </c>
      <c r="D39" s="141">
        <f>-'Historical Financials'!F130</f>
        <v>0</v>
      </c>
      <c r="E39" s="141">
        <f>-'Historical Financials'!G130</f>
        <v>0</v>
      </c>
      <c r="F39" s="141">
        <f>-'Historical Financials'!H130</f>
        <v>0</v>
      </c>
      <c r="H39" s="141">
        <f>-'Historical Financials'!V130</f>
        <v>0</v>
      </c>
      <c r="I39" s="141">
        <f>-'Historical Financials'!W130</f>
        <v>0</v>
      </c>
      <c r="J39" s="141">
        <f>-'Historical Financials'!X130</f>
        <v>0</v>
      </c>
      <c r="K39" s="141">
        <f>-'Historical Financials'!Y130</f>
        <v>0</v>
      </c>
      <c r="L39" s="141">
        <f>-'Historical Financials'!Z130</f>
        <v>0</v>
      </c>
      <c r="M39" s="141">
        <f>-'Historical Financials'!AA130</f>
        <v>0</v>
      </c>
      <c r="N39" s="141">
        <f>-'Historical Financials'!AB130</f>
        <v>0</v>
      </c>
      <c r="O39" s="141">
        <f>-'Historical Financials'!AC130</f>
        <v>0</v>
      </c>
      <c r="P39" s="141">
        <f>-'Historical Financials'!AD130</f>
        <v>0</v>
      </c>
      <c r="Q39" s="141">
        <f>-'Historical Financials'!AE130</f>
        <v>0</v>
      </c>
      <c r="R39" s="141">
        <f>-'Historical Financials'!AF130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 t="e">
        <f>-'Historical Financials'!#REF!</f>
        <v>#REF!</v>
      </c>
      <c r="D40" s="141">
        <f>-'Historical Financials'!F129</f>
        <v>0</v>
      </c>
      <c r="E40" s="141">
        <f>-'Historical Financials'!G129</f>
        <v>0</v>
      </c>
      <c r="F40" s="141">
        <f>-'Historical Financials'!H129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 t="e">
        <f>'Historical Financials'!#REF!</f>
        <v>#REF!</v>
      </c>
      <c r="D44" s="141">
        <f>'Historical Financials'!F106</f>
        <v>0</v>
      </c>
      <c r="E44" s="141">
        <f>'Historical Financials'!G106</f>
        <v>0</v>
      </c>
      <c r="F44" s="141">
        <f>'Historical Financials'!H106</f>
        <v>0</v>
      </c>
      <c r="G44" s="32"/>
      <c r="H44" s="141">
        <f>'Historical Financials'!V106</f>
        <v>0</v>
      </c>
      <c r="I44" s="141">
        <f>'Historical Financials'!W106</f>
        <v>0</v>
      </c>
      <c r="J44" s="141">
        <f>'Historical Financials'!X106</f>
        <v>0</v>
      </c>
      <c r="K44" s="141">
        <f>'Historical Financials'!Y106</f>
        <v>0</v>
      </c>
      <c r="L44" s="141">
        <f>'Historical Financials'!Z106</f>
        <v>0</v>
      </c>
      <c r="M44" s="141">
        <f>'Historical Financials'!AA106</f>
        <v>0</v>
      </c>
      <c r="N44" s="141">
        <f>'Historical Financials'!AB106</f>
        <v>0</v>
      </c>
      <c r="O44" s="141">
        <f>'Historical Financials'!AC106</f>
        <v>0</v>
      </c>
      <c r="P44" s="141">
        <f>'Historical Financials'!AD106</f>
        <v>0</v>
      </c>
      <c r="Q44" s="141">
        <f>'Historical Financials'!AE106</f>
        <v>0</v>
      </c>
      <c r="R44" s="141">
        <f>'Historical Financials'!AF106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 t="e">
        <f>'Historical Financials'!#REF!</f>
        <v>#REF!</v>
      </c>
      <c r="D45" s="141">
        <f>'Historical Financials'!F108</f>
        <v>0</v>
      </c>
      <c r="E45" s="141">
        <f>'Historical Financials'!G108</f>
        <v>0</v>
      </c>
      <c r="F45" s="141">
        <f>'Historical Financials'!H108</f>
        <v>0</v>
      </c>
      <c r="G45" s="32"/>
      <c r="H45" s="141">
        <f>'Historical Financials'!V108</f>
        <v>0</v>
      </c>
      <c r="I45" s="141">
        <f>'Historical Financials'!W108</f>
        <v>0</v>
      </c>
      <c r="J45" s="141">
        <f>'Historical Financials'!X108</f>
        <v>0</v>
      </c>
      <c r="K45" s="141">
        <f>'Historical Financials'!Y108</f>
        <v>0</v>
      </c>
      <c r="L45" s="141">
        <f>'Historical Financials'!Z108</f>
        <v>0</v>
      </c>
      <c r="M45" s="141">
        <f>'Historical Financials'!AA108</f>
        <v>0</v>
      </c>
      <c r="N45" s="141">
        <f>'Historical Financials'!AB108</f>
        <v>0</v>
      </c>
      <c r="O45" s="141">
        <f>'Historical Financials'!AC108</f>
        <v>0</v>
      </c>
      <c r="P45" s="141">
        <f>'Historical Financials'!AD108</f>
        <v>0</v>
      </c>
      <c r="Q45" s="141">
        <f>'Historical Financials'!AE108</f>
        <v>0</v>
      </c>
      <c r="R45" s="141">
        <f>'Historical Financials'!AF108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125</v>
      </c>
      <c r="C46" s="141" t="e">
        <f>'Historical Financials'!#REF!</f>
        <v>#REF!</v>
      </c>
      <c r="D46" s="141">
        <f>'Historical Financials'!F107</f>
        <v>0</v>
      </c>
      <c r="E46" s="141">
        <f>'Historical Financials'!G107</f>
        <v>0</v>
      </c>
      <c r="F46" s="141">
        <f>'Historical Financials'!H107</f>
        <v>0</v>
      </c>
      <c r="G46" s="32"/>
      <c r="H46" s="141">
        <f>'Historical Financials'!V107</f>
        <v>0</v>
      </c>
      <c r="I46" s="141">
        <f>'Historical Financials'!W107</f>
        <v>0</v>
      </c>
      <c r="J46" s="141">
        <f>'Historical Financials'!X107</f>
        <v>0</v>
      </c>
      <c r="K46" s="141">
        <f>'Historical Financials'!Y107</f>
        <v>0</v>
      </c>
      <c r="L46" s="141">
        <f>'Historical Financials'!Z107</f>
        <v>0</v>
      </c>
      <c r="M46" s="141">
        <f>'Historical Financials'!AA107</f>
        <v>0</v>
      </c>
      <c r="N46" s="141">
        <f>'Historical Financials'!AB107</f>
        <v>0</v>
      </c>
      <c r="O46" s="141">
        <f>'Historical Financials'!AC107</f>
        <v>0</v>
      </c>
      <c r="P46" s="141">
        <f>'Historical Financials'!AD107</f>
        <v>0</v>
      </c>
      <c r="Q46" s="141">
        <f>'Historical Financials'!AE107</f>
        <v>0</v>
      </c>
      <c r="R46" s="141">
        <f>'Historical Financials'!AF107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 t="e">
        <f>'Historical Financials'!#REF!</f>
        <v>#REF!</v>
      </c>
      <c r="D47" s="141">
        <f>'Historical Financials'!F112</f>
        <v>0</v>
      </c>
      <c r="E47" s="141">
        <f>'Historical Financials'!G112</f>
        <v>0</v>
      </c>
      <c r="F47" s="141">
        <f>'Historical Financials'!H112</f>
        <v>0</v>
      </c>
      <c r="G47" s="32"/>
      <c r="H47" s="141">
        <f>'Historical Financials'!V112</f>
        <v>0</v>
      </c>
      <c r="I47" s="141">
        <f>'Historical Financials'!W112</f>
        <v>0</v>
      </c>
      <c r="J47" s="141">
        <f>'Historical Financials'!X112</f>
        <v>0</v>
      </c>
      <c r="K47" s="141">
        <f>'Historical Financials'!Y112</f>
        <v>0</v>
      </c>
      <c r="L47" s="141">
        <f>'Historical Financials'!Z112</f>
        <v>0</v>
      </c>
      <c r="M47" s="141">
        <f>'Historical Financials'!AA112</f>
        <v>0</v>
      </c>
      <c r="N47" s="141">
        <f>'Historical Financials'!AB112</f>
        <v>0</v>
      </c>
      <c r="O47" s="141">
        <f>'Historical Financials'!AC112</f>
        <v>0</v>
      </c>
      <c r="P47" s="141">
        <f>'Historical Financials'!AD112</f>
        <v>0</v>
      </c>
      <c r="Q47" s="141">
        <f>'Historical Financials'!AE112</f>
        <v>0</v>
      </c>
      <c r="R47" s="141">
        <f>'Historical Financials'!AF112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126</v>
      </c>
      <c r="C48" s="141" t="e">
        <f>'Historical Financials'!#REF!</f>
        <v>#REF!</v>
      </c>
      <c r="D48" s="141">
        <f>'Historical Financials'!F113</f>
        <v>0</v>
      </c>
      <c r="E48" s="141">
        <f>'Historical Financials'!G113</f>
        <v>0</v>
      </c>
      <c r="F48" s="141">
        <f>'Historical Financials'!H113</f>
        <v>0</v>
      </c>
      <c r="G48" s="32"/>
      <c r="H48" s="141">
        <f>'Historical Financials'!V113</f>
        <v>0</v>
      </c>
      <c r="I48" s="141">
        <f>'Historical Financials'!W113</f>
        <v>0</v>
      </c>
      <c r="J48" s="141">
        <f>'Historical Financials'!X113</f>
        <v>0</v>
      </c>
      <c r="K48" s="141">
        <f>'Historical Financials'!Y113</f>
        <v>0</v>
      </c>
      <c r="L48" s="141">
        <f>'Historical Financials'!Z113</f>
        <v>0</v>
      </c>
      <c r="M48" s="141">
        <f>'Historical Financials'!AA113</f>
        <v>0</v>
      </c>
      <c r="N48" s="141">
        <f>'Historical Financials'!AB113</f>
        <v>0</v>
      </c>
      <c r="O48" s="141">
        <f>'Historical Financials'!AC113</f>
        <v>0</v>
      </c>
      <c r="P48" s="141">
        <f>'Historical Financials'!AD113</f>
        <v>0</v>
      </c>
      <c r="Q48" s="141">
        <f>'Historical Financials'!AE113</f>
        <v>0</v>
      </c>
      <c r="R48" s="141">
        <f>'Historical Financials'!AF113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 t="e">
        <f>SUM('Historical Financials'!#REF!)</f>
        <v>#REF!</v>
      </c>
      <c r="D49" s="141">
        <f>SUM('Historical Financials'!F114:F114)</f>
        <v>0</v>
      </c>
      <c r="E49" s="141">
        <f>SUM('Historical Financials'!G114:G114)</f>
        <v>0</v>
      </c>
      <c r="F49" s="141">
        <f>SUM('Historical Financials'!H114:H114)</f>
        <v>0</v>
      </c>
      <c r="G49" s="32"/>
      <c r="H49" s="141">
        <f>SUM('Historical Financials'!V114:V114)</f>
        <v>0</v>
      </c>
      <c r="I49" s="141">
        <f>SUM('Historical Financials'!W114:W114)</f>
        <v>0</v>
      </c>
      <c r="J49" s="141">
        <f>SUM('Historical Financials'!X114:X114)</f>
        <v>0</v>
      </c>
      <c r="K49" s="141">
        <f>SUM('Historical Financials'!Y114:Y114)</f>
        <v>0</v>
      </c>
      <c r="L49" s="141">
        <f>SUM('Historical Financials'!Z114:Z114)</f>
        <v>0</v>
      </c>
      <c r="M49" s="141">
        <f>SUM('Historical Financials'!AA114:AA114)</f>
        <v>0</v>
      </c>
      <c r="N49" s="141">
        <f>SUM('Historical Financials'!AB114:AB114)</f>
        <v>0</v>
      </c>
      <c r="O49" s="141">
        <f>SUM('Historical Financials'!AC114:AC114)</f>
        <v>0</v>
      </c>
      <c r="P49" s="141">
        <f>SUM('Historical Financials'!AD114:AD114)</f>
        <v>0</v>
      </c>
      <c r="Q49" s="141">
        <f>SUM('Historical Financials'!AE114:AE114)</f>
        <v>0</v>
      </c>
      <c r="R49" s="141">
        <f>SUM('Historical Financials'!AF114:AF114)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 t="e">
        <f>'Historical Financials'!#REF!</f>
        <v>#REF!</v>
      </c>
      <c r="D55" s="94">
        <f>'Historical Financials'!F45</f>
        <v>240.197</v>
      </c>
      <c r="E55" s="94">
        <f>'Historical Financials'!G45</f>
        <v>256.10000000000002</v>
      </c>
      <c r="F55" s="94">
        <f>'Historical Financials'!H45</f>
        <v>301.83499999999998</v>
      </c>
      <c r="G55" s="32"/>
      <c r="H55" s="94">
        <f>'Historical Financials'!V45</f>
        <v>195.48500000000001</v>
      </c>
      <c r="I55" s="94">
        <f>'Historical Financials'!W45</f>
        <v>198.93899999999999</v>
      </c>
      <c r="J55" s="94">
        <f>'Historical Financials'!X45</f>
        <v>404.88499999999999</v>
      </c>
      <c r="K55" s="94">
        <f>'Historical Financials'!Y45</f>
        <v>256.10000000000002</v>
      </c>
      <c r="L55" s="94">
        <f>'Historical Financials'!Z45</f>
        <v>296.06599999999997</v>
      </c>
      <c r="M55" s="94">
        <f>'Historical Financials'!AA45</f>
        <v>267.89699999999999</v>
      </c>
      <c r="N55" s="94">
        <f>'Historical Financials'!AB45</f>
        <v>248.239</v>
      </c>
      <c r="O55" s="94">
        <f>'Historical Financials'!AC45</f>
        <v>301.83499999999998</v>
      </c>
      <c r="P55" s="94">
        <f>'Historical Financials'!AD45</f>
        <v>242.024</v>
      </c>
      <c r="Q55" s="94">
        <f>'Historical Financials'!AE45</f>
        <v>284.25</v>
      </c>
      <c r="R55" s="94">
        <f>'Historical Financials'!AF45</f>
        <v>315.91399999999999</v>
      </c>
      <c r="T55" s="10">
        <f t="shared" ref="T55:Z57" si="102">K55</f>
        <v>256.10000000000002</v>
      </c>
      <c r="U55" s="10">
        <f t="shared" si="102"/>
        <v>296.06599999999997</v>
      </c>
      <c r="V55" s="10">
        <f t="shared" si="102"/>
        <v>267.89699999999999</v>
      </c>
      <c r="W55" s="10">
        <f t="shared" si="102"/>
        <v>248.239</v>
      </c>
      <c r="X55" s="10">
        <f t="shared" si="102"/>
        <v>301.83499999999998</v>
      </c>
      <c r="Y55" s="10">
        <f t="shared" si="102"/>
        <v>242.024</v>
      </c>
      <c r="Z55" s="10">
        <f t="shared" si="102"/>
        <v>284.25</v>
      </c>
      <c r="AA55" s="10">
        <f>R55</f>
        <v>315.91399999999999</v>
      </c>
    </row>
    <row r="56" spans="1:27" ht="12.75" customHeight="1">
      <c r="B56" s="8" t="s">
        <v>127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134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256.10000000000002</v>
      </c>
      <c r="U58" s="14">
        <f t="shared" si="105"/>
        <v>296.06599999999997</v>
      </c>
      <c r="V58" s="14">
        <f t="shared" si="105"/>
        <v>267.89699999999999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131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132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136</v>
      </c>
      <c r="C63" s="94" t="e">
        <f>'Historical Financials'!#REF!</f>
        <v>#REF!</v>
      </c>
      <c r="D63" s="94" t="e">
        <f>'Historical Financials'!#REF!</f>
        <v>#REF!</v>
      </c>
      <c r="E63" s="94" t="e">
        <f>'Historical Financials'!#REF!</f>
        <v>#REF!</v>
      </c>
      <c r="F63" s="94" t="e">
        <f>'Historical Financials'!#REF!</f>
        <v>#REF!</v>
      </c>
      <c r="H63" s="94" t="e">
        <f>'Historical Financials'!#REF!</f>
        <v>#REF!</v>
      </c>
      <c r="I63" s="94" t="e">
        <f>'Historical Financials'!#REF!</f>
        <v>#REF!</v>
      </c>
      <c r="J63" s="94" t="e">
        <f>'Historical Financials'!#REF!</f>
        <v>#REF!</v>
      </c>
      <c r="K63" s="94" t="e">
        <f>'Historical Financials'!#REF!</f>
        <v>#REF!</v>
      </c>
      <c r="L63" s="94" t="e">
        <f>'Historical Financials'!#REF!</f>
        <v>#REF!</v>
      </c>
      <c r="M63" s="94" t="e">
        <f>'Historical Financials'!#REF!</f>
        <v>#REF!</v>
      </c>
      <c r="N63" s="94" t="e">
        <f>'Historical Financials'!#REF!</f>
        <v>#REF!</v>
      </c>
      <c r="O63" s="94" t="e">
        <f>'Historical Financials'!#REF!</f>
        <v>#REF!</v>
      </c>
      <c r="P63" s="94" t="e">
        <f>'Historical Financials'!#REF!</f>
        <v>#REF!</v>
      </c>
      <c r="Q63" s="94" t="e">
        <f>'Historical Financials'!#REF!</f>
        <v>#REF!</v>
      </c>
      <c r="R63" s="94" t="e">
        <f>'Historical Financials'!#REF!</f>
        <v>#REF!</v>
      </c>
      <c r="S63" s="10"/>
      <c r="T63" s="10" t="e">
        <f t="shared" ref="T63:Z69" si="106">K63</f>
        <v>#REF!</v>
      </c>
      <c r="U63" s="10" t="e">
        <f t="shared" si="106"/>
        <v>#REF!</v>
      </c>
      <c r="V63" s="10" t="e">
        <f t="shared" si="106"/>
        <v>#REF!</v>
      </c>
      <c r="W63" s="10" t="e">
        <f t="shared" si="106"/>
        <v>#REF!</v>
      </c>
      <c r="X63" s="10" t="e">
        <f t="shared" si="106"/>
        <v>#REF!</v>
      </c>
      <c r="Y63" s="10" t="e">
        <f t="shared" si="106"/>
        <v>#REF!</v>
      </c>
      <c r="Z63" s="10" t="e">
        <f t="shared" si="106"/>
        <v>#REF!</v>
      </c>
      <c r="AA63" s="10" t="e">
        <f t="shared" ref="AA63:AA69" si="107">R63</f>
        <v>#REF!</v>
      </c>
    </row>
    <row r="64" spans="1:27" ht="12.75" customHeight="1">
      <c r="B64" s="8" t="s">
        <v>106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 t="e">
        <f>'Historical Financials'!#REF!</f>
        <v>#REF!</v>
      </c>
      <c r="D65" s="94">
        <f>'Historical Financials'!F54</f>
        <v>27.096</v>
      </c>
      <c r="E65" s="94">
        <f>'Historical Financials'!G54</f>
        <v>24.282</v>
      </c>
      <c r="F65" s="94">
        <f>'Historical Financials'!H54</f>
        <v>21.824999999999999</v>
      </c>
      <c r="H65" s="94">
        <f>'Historical Financials'!V54</f>
        <v>26.048999999999999</v>
      </c>
      <c r="I65" s="94">
        <f>'Historical Financials'!W54</f>
        <v>25.38</v>
      </c>
      <c r="J65" s="94">
        <f>'Historical Financials'!X54</f>
        <v>25.102</v>
      </c>
      <c r="K65" s="94">
        <f>'Historical Financials'!Y54</f>
        <v>24.282</v>
      </c>
      <c r="L65" s="94">
        <f>'Historical Financials'!Z54</f>
        <v>23.295000000000002</v>
      </c>
      <c r="M65" s="94">
        <f>'Historical Financials'!AA54</f>
        <v>22.268000000000001</v>
      </c>
      <c r="N65" s="94">
        <f>'Historical Financials'!AB54</f>
        <v>21.757000000000001</v>
      </c>
      <c r="O65" s="94">
        <f>'Historical Financials'!AC54</f>
        <v>21.824999999999999</v>
      </c>
      <c r="P65" s="94">
        <f>'Historical Financials'!AD54</f>
        <v>21.484999999999999</v>
      </c>
      <c r="Q65" s="94">
        <f>'Historical Financials'!AE54</f>
        <v>21.18</v>
      </c>
      <c r="R65" s="94">
        <f>'Historical Financials'!AF54</f>
        <v>20.338000000000001</v>
      </c>
      <c r="S65" s="10"/>
      <c r="T65" s="10">
        <f t="shared" si="106"/>
        <v>24.282</v>
      </c>
      <c r="U65" s="10">
        <f t="shared" si="106"/>
        <v>23.295000000000002</v>
      </c>
      <c r="V65" s="10">
        <f t="shared" si="106"/>
        <v>22.268000000000001</v>
      </c>
      <c r="W65" s="10">
        <f t="shared" si="106"/>
        <v>21.757000000000001</v>
      </c>
      <c r="X65" s="10">
        <f t="shared" si="106"/>
        <v>21.824999999999999</v>
      </c>
      <c r="Y65" s="10">
        <f t="shared" si="106"/>
        <v>21.484999999999999</v>
      </c>
      <c r="Z65" s="10">
        <f t="shared" si="106"/>
        <v>21.18</v>
      </c>
      <c r="AA65" s="10">
        <f t="shared" si="107"/>
        <v>20.338000000000001</v>
      </c>
    </row>
    <row r="66" spans="2:27" ht="12.75" customHeight="1">
      <c r="B66" s="8" t="s">
        <v>108</v>
      </c>
      <c r="C66" s="94" t="e">
        <f>'Historical Financials'!#REF!</f>
        <v>#REF!</v>
      </c>
      <c r="D66" s="94" t="e">
        <f>'Historical Financials'!#REF!</f>
        <v>#REF!</v>
      </c>
      <c r="E66" s="94" t="e">
        <f>'Historical Financials'!#REF!</f>
        <v>#REF!</v>
      </c>
      <c r="F66" s="94" t="e">
        <f>'Historical Financials'!#REF!</f>
        <v>#REF!</v>
      </c>
      <c r="H66" s="94" t="e">
        <f>'Historical Financials'!#REF!</f>
        <v>#REF!</v>
      </c>
      <c r="I66" s="94" t="e">
        <f>'Historical Financials'!#REF!</f>
        <v>#REF!</v>
      </c>
      <c r="J66" s="94" t="e">
        <f>'Historical Financials'!#REF!</f>
        <v>#REF!</v>
      </c>
      <c r="K66" s="94" t="e">
        <f>'Historical Financials'!#REF!</f>
        <v>#REF!</v>
      </c>
      <c r="L66" s="94" t="e">
        <f>'Historical Financials'!#REF!</f>
        <v>#REF!</v>
      </c>
      <c r="M66" s="94" t="e">
        <f>'Historical Financials'!#REF!</f>
        <v>#REF!</v>
      </c>
      <c r="N66" s="94" t="e">
        <f>'Historical Financials'!#REF!</f>
        <v>#REF!</v>
      </c>
      <c r="O66" s="94" t="e">
        <f>'Historical Financials'!#REF!</f>
        <v>#REF!</v>
      </c>
      <c r="P66" s="94" t="e">
        <f>'Historical Financials'!#REF!</f>
        <v>#REF!</v>
      </c>
      <c r="Q66" s="94" t="e">
        <f>'Historical Financials'!#REF!</f>
        <v>#REF!</v>
      </c>
      <c r="R66" s="94" t="e">
        <f>'Historical Financials'!#REF!</f>
        <v>#REF!</v>
      </c>
      <c r="S66" s="10"/>
      <c r="T66" s="10" t="e">
        <f t="shared" si="106"/>
        <v>#REF!</v>
      </c>
      <c r="U66" s="10" t="e">
        <f t="shared" si="106"/>
        <v>#REF!</v>
      </c>
      <c r="V66" s="10" t="e">
        <f t="shared" si="106"/>
        <v>#REF!</v>
      </c>
      <c r="W66" s="10" t="e">
        <f t="shared" si="106"/>
        <v>#REF!</v>
      </c>
      <c r="X66" s="10" t="e">
        <f t="shared" si="106"/>
        <v>#REF!</v>
      </c>
      <c r="Y66" s="10" t="e">
        <f t="shared" si="106"/>
        <v>#REF!</v>
      </c>
      <c r="Z66" s="10" t="e">
        <f t="shared" si="106"/>
        <v>#REF!</v>
      </c>
      <c r="AA66" s="10" t="e">
        <f t="shared" si="107"/>
        <v>#REF!</v>
      </c>
    </row>
    <row r="67" spans="2:27" ht="12.75" customHeight="1">
      <c r="B67" s="8" t="s">
        <v>44</v>
      </c>
      <c r="C67" s="94" t="e">
        <f>'Historical Financials'!#REF!</f>
        <v>#REF!</v>
      </c>
      <c r="D67" s="94">
        <f>'Historical Financials'!F63</f>
        <v>6.1740000000000004</v>
      </c>
      <c r="E67" s="94">
        <f>'Historical Financials'!G63</f>
        <v>5.2039999999999997</v>
      </c>
      <c r="F67" s="94">
        <f>'Historical Financials'!H63</f>
        <v>7.7469999999999999</v>
      </c>
      <c r="G67" s="94"/>
      <c r="H67" s="94">
        <f>'Historical Financials'!V63</f>
        <v>6.3940000000000001</v>
      </c>
      <c r="I67" s="94">
        <f>'Historical Financials'!W63</f>
        <v>5.3120000000000003</v>
      </c>
      <c r="J67" s="94">
        <f>'Historical Financials'!X63</f>
        <v>4.9089999999999998</v>
      </c>
      <c r="K67" s="94">
        <f>'Historical Financials'!Y63</f>
        <v>5.2039999999999997</v>
      </c>
      <c r="L67" s="94">
        <f>'Historical Financials'!Z63</f>
        <v>9.9109999999999996</v>
      </c>
      <c r="M67" s="94">
        <f>'Historical Financials'!AA63</f>
        <v>8.2289999999999992</v>
      </c>
      <c r="N67" s="94">
        <f>'Historical Financials'!AB63</f>
        <v>13.346</v>
      </c>
      <c r="O67" s="94">
        <f>'Historical Financials'!AC63</f>
        <v>7.7469999999999999</v>
      </c>
      <c r="P67" s="94">
        <f>'Historical Financials'!AD63</f>
        <v>14.760999999999999</v>
      </c>
      <c r="Q67" s="94">
        <f>'Historical Financials'!AE63</f>
        <v>10.904999999999999</v>
      </c>
      <c r="R67" s="94">
        <f>'Historical Financials'!AF63</f>
        <v>11.01</v>
      </c>
      <c r="T67" s="10">
        <f t="shared" si="106"/>
        <v>5.2039999999999997</v>
      </c>
      <c r="U67" s="10">
        <f t="shared" si="106"/>
        <v>9.9109999999999996</v>
      </c>
      <c r="V67" s="10">
        <f t="shared" si="106"/>
        <v>8.2289999999999992</v>
      </c>
      <c r="W67" s="10">
        <f t="shared" si="106"/>
        <v>13.346</v>
      </c>
      <c r="X67" s="10">
        <f t="shared" si="106"/>
        <v>7.7469999999999999</v>
      </c>
      <c r="Y67" s="10">
        <f t="shared" si="106"/>
        <v>14.760999999999999</v>
      </c>
      <c r="Z67" s="10">
        <f t="shared" si="106"/>
        <v>10.904999999999999</v>
      </c>
      <c r="AA67" s="10">
        <f t="shared" si="107"/>
        <v>11.01</v>
      </c>
    </row>
    <row r="68" spans="2:27" ht="12.75" customHeight="1">
      <c r="B68" s="8" t="s">
        <v>45</v>
      </c>
      <c r="C68" s="94" t="e">
        <f>'Historical Financials'!#REF!</f>
        <v>#REF!</v>
      </c>
      <c r="D68" s="94">
        <f>'Historical Financials'!F68</f>
        <v>406.94</v>
      </c>
      <c r="E68" s="94">
        <f>'Historical Financials'!G68</f>
        <v>484.5</v>
      </c>
      <c r="F68" s="94">
        <f>'Historical Financials'!H68</f>
        <v>592.42500000000007</v>
      </c>
      <c r="G68" s="94"/>
      <c r="H68" s="94">
        <f>'Historical Financials'!V68</f>
        <v>396.02800000000002</v>
      </c>
      <c r="I68" s="94">
        <f>'Historical Financials'!W68</f>
        <v>424.31299999999999</v>
      </c>
      <c r="J68" s="94">
        <f>'Historical Financials'!X68</f>
        <v>438.01</v>
      </c>
      <c r="K68" s="94">
        <f>'Historical Financials'!Y68</f>
        <v>484.5</v>
      </c>
      <c r="L68" s="94">
        <f>'Historical Financials'!Z68</f>
        <v>466.94800000000004</v>
      </c>
      <c r="M68" s="94">
        <f>'Historical Financials'!AA68</f>
        <v>506.24</v>
      </c>
      <c r="N68" s="94">
        <f>'Historical Financials'!AB68</f>
        <v>539.15899999999999</v>
      </c>
      <c r="O68" s="94">
        <f>'Historical Financials'!AC68</f>
        <v>592.42500000000007</v>
      </c>
      <c r="P68" s="94">
        <f>'Historical Financials'!AD68</f>
        <v>547.33900000000006</v>
      </c>
      <c r="Q68" s="94">
        <f>'Historical Financials'!AE68</f>
        <v>662.26700000000005</v>
      </c>
      <c r="R68" s="94">
        <f>'Historical Financials'!AF68</f>
        <v>692.44900000000007</v>
      </c>
      <c r="T68" s="10">
        <f t="shared" si="106"/>
        <v>484.5</v>
      </c>
      <c r="U68" s="10">
        <f t="shared" si="106"/>
        <v>466.94800000000004</v>
      </c>
      <c r="V68" s="10">
        <f t="shared" si="106"/>
        <v>506.24</v>
      </c>
      <c r="W68" s="10">
        <f t="shared" si="106"/>
        <v>539.15899999999999</v>
      </c>
      <c r="X68" s="10">
        <f t="shared" si="106"/>
        <v>592.42500000000007</v>
      </c>
      <c r="Y68" s="10">
        <f t="shared" si="106"/>
        <v>547.33900000000006</v>
      </c>
      <c r="Z68" s="10">
        <f t="shared" si="106"/>
        <v>662.26700000000005</v>
      </c>
      <c r="AA68" s="10">
        <f t="shared" si="107"/>
        <v>692.44900000000007</v>
      </c>
    </row>
    <row r="69" spans="2:27" ht="12.75" customHeight="1">
      <c r="B69" s="8" t="s">
        <v>15</v>
      </c>
      <c r="C69" s="94" t="e">
        <f>'Historical Financials'!#REF!</f>
        <v>#REF!</v>
      </c>
      <c r="D69" s="94">
        <f>'Historical Financials'!F76</f>
        <v>813.63699999999994</v>
      </c>
      <c r="E69" s="94">
        <f>'Historical Financials'!G76</f>
        <v>1308.25</v>
      </c>
      <c r="F69" s="94">
        <f>'Historical Financials'!H76</f>
        <v>1410.145</v>
      </c>
      <c r="G69" s="94"/>
      <c r="H69" s="94">
        <f>'Historical Financials'!V76</f>
        <v>799.14400000000001</v>
      </c>
      <c r="I69" s="94">
        <f>'Historical Financials'!W76</f>
        <v>830.63799999999992</v>
      </c>
      <c r="J69" s="94">
        <f>'Historical Financials'!X76</f>
        <v>1262.461</v>
      </c>
      <c r="K69" s="94">
        <f>'Historical Financials'!Y76</f>
        <v>1308.25</v>
      </c>
      <c r="L69" s="94">
        <f>'Historical Financials'!Z76</f>
        <v>1285.0600000000002</v>
      </c>
      <c r="M69" s="94">
        <f>'Historical Financials'!AA76</f>
        <v>1320.4560000000001</v>
      </c>
      <c r="N69" s="94">
        <f>'Historical Financials'!AB76</f>
        <v>1352.896</v>
      </c>
      <c r="O69" s="94">
        <f>'Historical Financials'!AC76</f>
        <v>1410.145</v>
      </c>
      <c r="P69" s="94">
        <f>'Historical Financials'!AD76</f>
        <v>1369.3680000000002</v>
      </c>
      <c r="Q69" s="94">
        <f>'Historical Financials'!AE76</f>
        <v>1412.2620000000002</v>
      </c>
      <c r="R69" s="94">
        <f>'Historical Financials'!AF76</f>
        <v>1448.2339999999999</v>
      </c>
      <c r="T69" s="10">
        <f t="shared" si="106"/>
        <v>1308.25</v>
      </c>
      <c r="U69" s="10">
        <f t="shared" si="106"/>
        <v>1285.0600000000002</v>
      </c>
      <c r="V69" s="10">
        <f t="shared" si="106"/>
        <v>1320.4560000000001</v>
      </c>
      <c r="W69" s="10">
        <f t="shared" si="106"/>
        <v>1352.896</v>
      </c>
      <c r="X69" s="10">
        <f t="shared" si="106"/>
        <v>1410.145</v>
      </c>
      <c r="Y69" s="10">
        <f t="shared" si="106"/>
        <v>1369.3680000000002</v>
      </c>
      <c r="Z69" s="10">
        <f t="shared" si="106"/>
        <v>1412.2620000000002</v>
      </c>
      <c r="AA69" s="10">
        <f t="shared" si="107"/>
        <v>1448.2339999999999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 t="e">
        <f>'Historical Financials'!#REF!</f>
        <v>#REF!</v>
      </c>
      <c r="D73" s="94" t="e">
        <f>'Historical Financials'!#REF!</f>
        <v>#REF!</v>
      </c>
      <c r="E73" s="94" t="e">
        <f>'Historical Financials'!#REF!</f>
        <v>#REF!</v>
      </c>
      <c r="F73" s="94" t="e">
        <f>'Historical Financials'!#REF!</f>
        <v>#REF!</v>
      </c>
      <c r="H73" s="94" t="e">
        <f>'Historical Financials'!#REF!</f>
        <v>#REF!</v>
      </c>
      <c r="I73" s="94" t="e">
        <f>'Historical Financials'!#REF!</f>
        <v>#REF!</v>
      </c>
      <c r="J73" s="94" t="e">
        <f>'Historical Financials'!#REF!</f>
        <v>#REF!</v>
      </c>
      <c r="K73" s="94" t="e">
        <f>'Historical Financials'!#REF!</f>
        <v>#REF!</v>
      </c>
      <c r="L73" s="94" t="e">
        <f>'Historical Financials'!#REF!</f>
        <v>#REF!</v>
      </c>
      <c r="M73" s="94" t="e">
        <f>'Historical Financials'!#REF!</f>
        <v>#REF!</v>
      </c>
      <c r="N73" s="94" t="e">
        <f>'Historical Financials'!#REF!</f>
        <v>#REF!</v>
      </c>
      <c r="O73" s="94" t="e">
        <f>'Historical Financials'!#REF!</f>
        <v>#REF!</v>
      </c>
      <c r="P73" s="94" t="e">
        <f>'Historical Financials'!#REF!</f>
        <v>#REF!</v>
      </c>
      <c r="Q73" s="94" t="e">
        <f>'Historical Financials'!#REF!</f>
        <v>#REF!</v>
      </c>
      <c r="R73" s="94" t="e">
        <f>'Historical Financials'!#REF!</f>
        <v>#REF!</v>
      </c>
      <c r="T73" s="10" t="e">
        <f t="shared" si="108"/>
        <v>#REF!</v>
      </c>
      <c r="U73" s="10" t="e">
        <f t="shared" si="108"/>
        <v>#REF!</v>
      </c>
      <c r="V73" s="10" t="e">
        <f t="shared" si="108"/>
        <v>#REF!</v>
      </c>
      <c r="W73" s="10" t="e">
        <f t="shared" si="108"/>
        <v>#REF!</v>
      </c>
      <c r="X73" s="10" t="e">
        <f t="shared" si="108"/>
        <v>#REF!</v>
      </c>
      <c r="Y73" s="10" t="e">
        <f t="shared" si="108"/>
        <v>#REF!</v>
      </c>
      <c r="Z73" s="10" t="e">
        <f t="shared" si="108"/>
        <v>#REF!</v>
      </c>
      <c r="AA73" s="10" t="e">
        <f>R73</f>
        <v>#REF!</v>
      </c>
    </row>
    <row r="74" spans="2:27">
      <c r="F74" s="10"/>
    </row>
    <row r="75" spans="2:27">
      <c r="B75" s="8" t="s">
        <v>135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133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128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114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113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112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111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110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129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130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 t="e">
        <f>'Historical Financials'!#REF!</f>
        <v>#REF!</v>
      </c>
      <c r="D87" s="94">
        <f>'Historical Financials'!F82</f>
        <v>5.9829999999999997</v>
      </c>
      <c r="E87" s="94">
        <f>'Historical Financials'!G82</f>
        <v>-89.39</v>
      </c>
      <c r="F87" s="94">
        <f>'Historical Financials'!H82</f>
        <v>-41.683999999999997</v>
      </c>
      <c r="H87" s="94">
        <f>'Historical Financials'!V82</f>
        <v>0.93</v>
      </c>
      <c r="I87" s="94">
        <f>'Historical Financials'!W82</f>
        <v>0.157</v>
      </c>
      <c r="J87" s="94">
        <f>'Historical Financials'!X82</f>
        <v>-113.693</v>
      </c>
      <c r="K87" s="94">
        <f>'Historical Financials'!Y82</f>
        <v>-89.39</v>
      </c>
      <c r="L87" s="94">
        <f>'Historical Financials'!Z82</f>
        <v>-83.156000000000006</v>
      </c>
      <c r="M87" s="94">
        <f>'Historical Financials'!AA82</f>
        <v>-77.747</v>
      </c>
      <c r="N87" s="94">
        <f>'Historical Financials'!AB82</f>
        <v>-50.81</v>
      </c>
      <c r="O87" s="94">
        <f>'Historical Financials'!AC82</f>
        <v>-41.683999999999997</v>
      </c>
      <c r="P87" s="94">
        <f>'Historical Financials'!AD82</f>
        <v>-75.734999999999999</v>
      </c>
      <c r="Q87" s="94">
        <f>'Historical Financials'!AE82</f>
        <v>-66.528000000000006</v>
      </c>
      <c r="R87" s="94">
        <f>'Historical Financials'!AF82</f>
        <v>-36.927</v>
      </c>
      <c r="T87" s="10">
        <f t="shared" ref="T87:AA87" si="130">K87</f>
        <v>-89.39</v>
      </c>
      <c r="U87" s="10">
        <f t="shared" si="130"/>
        <v>-83.156000000000006</v>
      </c>
      <c r="V87" s="10">
        <f t="shared" si="130"/>
        <v>-77.747</v>
      </c>
      <c r="W87" s="142">
        <f t="shared" si="130"/>
        <v>-50.81</v>
      </c>
      <c r="X87" s="142">
        <f t="shared" si="130"/>
        <v>-41.683999999999997</v>
      </c>
      <c r="Y87" s="142">
        <f t="shared" si="130"/>
        <v>-75.734999999999999</v>
      </c>
      <c r="Z87" s="142">
        <f t="shared" si="130"/>
        <v>-66.528000000000006</v>
      </c>
      <c r="AA87" s="142">
        <f t="shared" si="130"/>
        <v>-36.927</v>
      </c>
    </row>
    <row r="88" spans="1:27" ht="12.75" customHeight="1">
      <c r="B88" s="13" t="s">
        <v>47</v>
      </c>
      <c r="C88" s="14" t="e">
        <f>SUM(C85:C87)</f>
        <v>#REF!</v>
      </c>
      <c r="D88" s="14">
        <f>SUM(D85:D87)</f>
        <v>2506.9830000000002</v>
      </c>
      <c r="E88" s="14">
        <f>SUM(E85:E87)</f>
        <v>2410.61</v>
      </c>
      <c r="F88" s="14">
        <f>SUM(F85:F87)</f>
        <v>1708.316</v>
      </c>
      <c r="H88" s="14">
        <f t="shared" ref="H88:M88" si="131">SUM(H85:H87)</f>
        <v>2500.9299999999998</v>
      </c>
      <c r="I88" s="14">
        <f t="shared" si="131"/>
        <v>2500.1570000000002</v>
      </c>
      <c r="J88" s="14">
        <f t="shared" si="131"/>
        <v>2386.3069999999998</v>
      </c>
      <c r="K88" s="14">
        <f t="shared" si="131"/>
        <v>2410.61</v>
      </c>
      <c r="L88" s="14">
        <f t="shared" si="131"/>
        <v>2416.8440000000001</v>
      </c>
      <c r="M88" s="14">
        <f t="shared" si="131"/>
        <v>1672.2529999999999</v>
      </c>
      <c r="N88" s="14">
        <f>SUM(N85:N87)</f>
        <v>1699.19</v>
      </c>
      <c r="O88" s="14">
        <f>SUM(O85:O87)</f>
        <v>1708.316</v>
      </c>
      <c r="P88" s="14">
        <f>SUM(P85:P87)</f>
        <v>4124.2650000000003</v>
      </c>
      <c r="Q88" s="14">
        <f>SUM(Q85:Q87)</f>
        <v>3183.4720000000002</v>
      </c>
      <c r="R88" s="14">
        <f>SUM(R85:R87)</f>
        <v>3213.0729999999999</v>
      </c>
      <c r="T88" s="14">
        <f t="shared" ref="T88:Y88" si="132">SUM(T85:T87)</f>
        <v>2410.61</v>
      </c>
      <c r="U88" s="14">
        <f t="shared" si="132"/>
        <v>2416.8440000000001</v>
      </c>
      <c r="V88" s="14">
        <f t="shared" si="132"/>
        <v>1672.2529999999999</v>
      </c>
      <c r="W88" s="14">
        <f t="shared" si="132"/>
        <v>1699.19</v>
      </c>
      <c r="X88" s="14">
        <f t="shared" si="132"/>
        <v>1708.316</v>
      </c>
      <c r="Y88" s="14">
        <f t="shared" si="132"/>
        <v>4124.2650000000003</v>
      </c>
      <c r="Z88" s="14">
        <f>SUM(Z85:Z87)</f>
        <v>3183.4720000000002</v>
      </c>
      <c r="AA88" s="14">
        <f>SUM(AA85:AA87)</f>
        <v>3213.0729999999999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 t="e">
        <f>C88/C85</f>
        <v>#REF!</v>
      </c>
      <c r="D97" s="83">
        <f>D88/D85</f>
        <v>1.002392243102759</v>
      </c>
      <c r="E97" s="83">
        <f>E88/E85</f>
        <v>0.9642440000000001</v>
      </c>
      <c r="F97" s="83">
        <f>F88/F85</f>
        <v>0.9761805714285714</v>
      </c>
      <c r="H97" s="83">
        <f t="shared" ref="H97:Q97" si="138">H88/H85</f>
        <v>1.000372</v>
      </c>
      <c r="I97" s="83">
        <f t="shared" si="138"/>
        <v>1.0000628</v>
      </c>
      <c r="J97" s="83">
        <f t="shared" si="138"/>
        <v>0.95452279999999989</v>
      </c>
      <c r="K97" s="83">
        <f t="shared" si="138"/>
        <v>0.9642440000000001</v>
      </c>
      <c r="L97" s="83">
        <f t="shared" si="138"/>
        <v>0.96673759999999997</v>
      </c>
      <c r="M97" s="83">
        <f t="shared" si="138"/>
        <v>0.95557314285714279</v>
      </c>
      <c r="N97" s="83">
        <f t="shared" si="138"/>
        <v>0.97096571428571432</v>
      </c>
      <c r="O97" s="83">
        <f t="shared" si="138"/>
        <v>0.9761805714285714</v>
      </c>
      <c r="P97" s="83">
        <f t="shared" si="138"/>
        <v>0.98196785714285717</v>
      </c>
      <c r="Q97" s="83">
        <f t="shared" si="138"/>
        <v>0.9795298461538462</v>
      </c>
      <c r="R97" s="83">
        <f>R88/R85</f>
        <v>0.98863784615384609</v>
      </c>
      <c r="S97" s="83"/>
      <c r="T97" s="83">
        <f t="shared" ref="T97:Y97" si="139">T88/T85</f>
        <v>0.9642440000000001</v>
      </c>
      <c r="U97" s="83">
        <f t="shared" si="139"/>
        <v>0.96673759999999997</v>
      </c>
      <c r="V97" s="83">
        <f t="shared" si="139"/>
        <v>0.95557314285714279</v>
      </c>
      <c r="W97" s="83">
        <f t="shared" si="139"/>
        <v>0.97096571428571432</v>
      </c>
      <c r="X97" s="83">
        <f t="shared" si="139"/>
        <v>0.9761805714285714</v>
      </c>
      <c r="Y97" s="83">
        <f t="shared" si="139"/>
        <v>0.98196785714285717</v>
      </c>
      <c r="Z97" s="83">
        <f>Z88/Z85</f>
        <v>0.9795298461538462</v>
      </c>
      <c r="AA97" s="83">
        <f>AA88/AA85</f>
        <v>0.98863784615384609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2025-12-28T20:27:21Z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