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BBC33FC4-67F1-4A77-B44E-24768D6E3915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0" i="8" l="1"/>
  <c r="X69" i="8"/>
  <c r="X68" i="8"/>
  <c r="AG68" i="8" s="1"/>
  <c r="X67" i="8"/>
  <c r="AG67" i="8" s="1"/>
  <c r="X66" i="8"/>
  <c r="T70" i="8"/>
  <c r="AC70" i="8" s="1"/>
  <c r="T69" i="8"/>
  <c r="AC69" i="8" s="1"/>
  <c r="T68" i="8"/>
  <c r="AC68" i="8" s="1"/>
  <c r="T67" i="8"/>
  <c r="T66" i="8"/>
  <c r="P70" i="8"/>
  <c r="P69" i="8"/>
  <c r="P68" i="8"/>
  <c r="P67" i="8"/>
  <c r="P66" i="8"/>
  <c r="L70" i="8"/>
  <c r="L69" i="8"/>
  <c r="L68" i="8"/>
  <c r="L67" i="8"/>
  <c r="L66" i="8"/>
  <c r="X62" i="8"/>
  <c r="X61" i="8"/>
  <c r="AG61" i="8" s="1"/>
  <c r="X60" i="8"/>
  <c r="X59" i="8"/>
  <c r="AG59" i="8" s="1"/>
  <c r="X58" i="8"/>
  <c r="T62" i="8"/>
  <c r="T61" i="8"/>
  <c r="T60" i="8"/>
  <c r="T59" i="8"/>
  <c r="T58" i="8"/>
  <c r="P62" i="8"/>
  <c r="P61" i="8"/>
  <c r="P60" i="8"/>
  <c r="P59" i="8"/>
  <c r="P58" i="8"/>
  <c r="L62" i="8"/>
  <c r="L61" i="8"/>
  <c r="L60" i="8"/>
  <c r="L59" i="8"/>
  <c r="L58" i="8"/>
  <c r="AJ68" i="8"/>
  <c r="AL68" i="8" s="1"/>
  <c r="AI68" i="8"/>
  <c r="AH68" i="8"/>
  <c r="AF68" i="8"/>
  <c r="AE68" i="8"/>
  <c r="AD68" i="8"/>
  <c r="X47" i="8"/>
  <c r="X46" i="8"/>
  <c r="X45" i="8"/>
  <c r="X44" i="8"/>
  <c r="X43" i="8"/>
  <c r="X54" i="8"/>
  <c r="AG54" i="8" s="1"/>
  <c r="X53" i="8"/>
  <c r="AG53" i="8" s="1"/>
  <c r="X52" i="8"/>
  <c r="X51" i="8"/>
  <c r="T47" i="8"/>
  <c r="T46" i="8"/>
  <c r="AC46" i="8" s="1"/>
  <c r="T45" i="8"/>
  <c r="AC45" i="8" s="1"/>
  <c r="T44" i="8"/>
  <c r="T43" i="8"/>
  <c r="T54" i="8"/>
  <c r="T53" i="8"/>
  <c r="AC53" i="8" s="1"/>
  <c r="T52" i="8"/>
  <c r="T51" i="8"/>
  <c r="P47" i="8"/>
  <c r="P46" i="8"/>
  <c r="P45" i="8"/>
  <c r="P44" i="8"/>
  <c r="P43" i="8"/>
  <c r="P54" i="8"/>
  <c r="P53" i="8"/>
  <c r="P52" i="8"/>
  <c r="P51" i="8"/>
  <c r="L47" i="8"/>
  <c r="L46" i="8"/>
  <c r="L45" i="8"/>
  <c r="L44" i="8"/>
  <c r="L43" i="8"/>
  <c r="L54" i="8"/>
  <c r="L53" i="8"/>
  <c r="L52" i="8"/>
  <c r="L51" i="8"/>
  <c r="AJ45" i="8"/>
  <c r="AI45" i="8"/>
  <c r="AH45" i="8"/>
  <c r="AF45" i="8"/>
  <c r="AE45" i="8"/>
  <c r="AD45" i="8"/>
  <c r="AG45" i="8"/>
  <c r="X28" i="8"/>
  <c r="T28" i="8"/>
  <c r="P28" i="8"/>
  <c r="L28" i="8"/>
  <c r="X24" i="8"/>
  <c r="AJ24" i="8" s="1"/>
  <c r="X23" i="8"/>
  <c r="T24" i="8"/>
  <c r="AD24" i="8" s="1"/>
  <c r="T23" i="8"/>
  <c r="P24" i="8"/>
  <c r="P23" i="8"/>
  <c r="L24" i="8"/>
  <c r="L23" i="8"/>
  <c r="X19" i="8"/>
  <c r="X18" i="8"/>
  <c r="X17" i="8"/>
  <c r="T19" i="8"/>
  <c r="T18" i="8"/>
  <c r="T17" i="8"/>
  <c r="P19" i="8"/>
  <c r="P18" i="8"/>
  <c r="P17" i="8"/>
  <c r="L19" i="8"/>
  <c r="L18" i="8"/>
  <c r="L17" i="8"/>
  <c r="X22" i="10"/>
  <c r="AK22" i="10" s="1"/>
  <c r="X21" i="10"/>
  <c r="X20" i="10"/>
  <c r="AK20" i="10" s="1"/>
  <c r="T22" i="10"/>
  <c r="T21" i="10"/>
  <c r="T20" i="10"/>
  <c r="P22" i="10"/>
  <c r="AD22" i="10" s="1"/>
  <c r="P21" i="10"/>
  <c r="P20" i="10"/>
  <c r="AD20" i="10" s="1"/>
  <c r="L22" i="10"/>
  <c r="L21" i="10"/>
  <c r="L20" i="10"/>
  <c r="X10" i="10"/>
  <c r="AJ10" i="10" s="1"/>
  <c r="X9" i="10"/>
  <c r="AI9" i="10" s="1"/>
  <c r="T10" i="10"/>
  <c r="AH10" i="10" s="1"/>
  <c r="T9" i="10"/>
  <c r="AH9" i="10" s="1"/>
  <c r="P10" i="10"/>
  <c r="AD10" i="10" s="1"/>
  <c r="P9" i="10"/>
  <c r="AD9" i="10" s="1"/>
  <c r="L10" i="10"/>
  <c r="L9" i="10"/>
  <c r="AK9" i="10"/>
  <c r="AE9" i="10"/>
  <c r="AG70" i="8"/>
  <c r="AG69" i="8"/>
  <c r="AC67" i="8"/>
  <c r="AJ69" i="8"/>
  <c r="AI69" i="8"/>
  <c r="AH69" i="8"/>
  <c r="AF69" i="8"/>
  <c r="AE69" i="8"/>
  <c r="AD69" i="8"/>
  <c r="AC61" i="8"/>
  <c r="AC59" i="8"/>
  <c r="AJ59" i="8"/>
  <c r="AI59" i="8"/>
  <c r="AH59" i="8"/>
  <c r="AF59" i="8"/>
  <c r="AE59" i="8"/>
  <c r="AD59" i="8"/>
  <c r="AC54" i="8"/>
  <c r="AI13" i="8"/>
  <c r="AD13" i="8"/>
  <c r="K11" i="10"/>
  <c r="J11" i="10"/>
  <c r="J15" i="10" s="1"/>
  <c r="AL21" i="10"/>
  <c r="AH22" i="10"/>
  <c r="AF21" i="10"/>
  <c r="AG20" i="10"/>
  <c r="AD21" i="10"/>
  <c r="B27" i="10"/>
  <c r="B28" i="10"/>
  <c r="B26" i="10"/>
  <c r="AA23" i="10"/>
  <c r="Z23" i="10"/>
  <c r="Y23" i="10"/>
  <c r="W23" i="10"/>
  <c r="V23" i="10"/>
  <c r="U23" i="10"/>
  <c r="S23" i="10"/>
  <c r="R23" i="10"/>
  <c r="Q23" i="10"/>
  <c r="O23" i="10"/>
  <c r="N23" i="10"/>
  <c r="M23" i="10"/>
  <c r="K23" i="10"/>
  <c r="J23" i="10"/>
  <c r="I23" i="10"/>
  <c r="G23" i="10"/>
  <c r="F23" i="10"/>
  <c r="E23" i="10"/>
  <c r="D23" i="10"/>
  <c r="C23" i="10"/>
  <c r="L8" i="8"/>
  <c r="L4" i="10" s="1"/>
  <c r="I4" i="10"/>
  <c r="I3" i="10"/>
  <c r="K4" i="10"/>
  <c r="J4" i="10"/>
  <c r="L3" i="10"/>
  <c r="K3" i="10"/>
  <c r="J3" i="10"/>
  <c r="AJ61" i="8"/>
  <c r="AI61" i="8"/>
  <c r="AH61" i="8"/>
  <c r="AF61" i="8"/>
  <c r="AE61" i="8"/>
  <c r="AD61" i="8"/>
  <c r="AJ54" i="8"/>
  <c r="AI54" i="8"/>
  <c r="AH54" i="8"/>
  <c r="AF54" i="8"/>
  <c r="AE54" i="8"/>
  <c r="AD54" i="8"/>
  <c r="AJ53" i="8"/>
  <c r="AI53" i="8"/>
  <c r="AH53" i="8"/>
  <c r="AF53" i="8"/>
  <c r="AE53" i="8"/>
  <c r="AD53" i="8"/>
  <c r="AJ46" i="8"/>
  <c r="AI46" i="8"/>
  <c r="AH46" i="8"/>
  <c r="AF46" i="8"/>
  <c r="AE46" i="8"/>
  <c r="AD46" i="8"/>
  <c r="AG46" i="8"/>
  <c r="P11" i="8"/>
  <c r="L11" i="8"/>
  <c r="L76" i="8"/>
  <c r="L75" i="8"/>
  <c r="L74" i="8"/>
  <c r="L35" i="8"/>
  <c r="L32" i="8"/>
  <c r="L114" i="8"/>
  <c r="K114" i="8"/>
  <c r="J114" i="8"/>
  <c r="I114" i="8"/>
  <c r="L110" i="8"/>
  <c r="K110" i="8"/>
  <c r="J110" i="8"/>
  <c r="I110" i="8"/>
  <c r="L104" i="8"/>
  <c r="K104" i="8"/>
  <c r="J104" i="8"/>
  <c r="I104" i="8"/>
  <c r="K85" i="8"/>
  <c r="J85" i="8"/>
  <c r="I85" i="8"/>
  <c r="L84" i="8"/>
  <c r="K84" i="8"/>
  <c r="J84" i="8"/>
  <c r="I84" i="8"/>
  <c r="K77" i="8"/>
  <c r="J77" i="8"/>
  <c r="I77" i="8"/>
  <c r="K63" i="8"/>
  <c r="K71" i="8" s="1"/>
  <c r="J63" i="8"/>
  <c r="J71" i="8" s="1"/>
  <c r="I63" i="8"/>
  <c r="I71" i="8" s="1"/>
  <c r="K48" i="8"/>
  <c r="K55" i="8" s="1"/>
  <c r="J48" i="8"/>
  <c r="J55" i="8" s="1"/>
  <c r="I48" i="8"/>
  <c r="I55" i="8" s="1"/>
  <c r="K40" i="8"/>
  <c r="J40" i="8"/>
  <c r="I40" i="8"/>
  <c r="L39" i="8"/>
  <c r="K39" i="8"/>
  <c r="J39" i="8"/>
  <c r="I39" i="8"/>
  <c r="K11" i="8"/>
  <c r="J11" i="8"/>
  <c r="I11" i="8"/>
  <c r="P117" i="8"/>
  <c r="Q113" i="8" s="1"/>
  <c r="P116" i="8"/>
  <c r="P113" i="8"/>
  <c r="O113" i="8"/>
  <c r="N113" i="8"/>
  <c r="X35" i="8"/>
  <c r="T35" i="8"/>
  <c r="P35" i="8"/>
  <c r="P32" i="8"/>
  <c r="P109" i="8"/>
  <c r="P108" i="8"/>
  <c r="P107" i="8"/>
  <c r="P103" i="8"/>
  <c r="P102" i="8"/>
  <c r="P101" i="8"/>
  <c r="P100" i="8"/>
  <c r="P96" i="8"/>
  <c r="P95" i="8"/>
  <c r="P94" i="8"/>
  <c r="P93" i="8"/>
  <c r="P92" i="8"/>
  <c r="P91" i="8"/>
  <c r="AJ70" i="8"/>
  <c r="AI70" i="8"/>
  <c r="AH70" i="8"/>
  <c r="AF70" i="8"/>
  <c r="AE70" i="8"/>
  <c r="AD70" i="8"/>
  <c r="AJ67" i="8"/>
  <c r="AI67" i="8"/>
  <c r="AH67" i="8"/>
  <c r="AF67" i="8"/>
  <c r="AE67" i="8"/>
  <c r="AD67" i="8"/>
  <c r="P76" i="8"/>
  <c r="P75" i="8"/>
  <c r="P74" i="8"/>
  <c r="M4" i="10"/>
  <c r="M3" i="10"/>
  <c r="O11" i="10"/>
  <c r="O28" i="10" s="1"/>
  <c r="O4" i="10"/>
  <c r="N4" i="10"/>
  <c r="P3" i="10"/>
  <c r="O3" i="10"/>
  <c r="N3" i="10"/>
  <c r="P8" i="8"/>
  <c r="P40" i="8" s="1"/>
  <c r="N110" i="8"/>
  <c r="N104" i="8"/>
  <c r="N85" i="8"/>
  <c r="N84" i="8"/>
  <c r="N77" i="8"/>
  <c r="N63" i="8"/>
  <c r="N71" i="8" s="1"/>
  <c r="N48" i="8"/>
  <c r="N55" i="8" s="1"/>
  <c r="N40" i="8"/>
  <c r="N39" i="8"/>
  <c r="N11" i="8"/>
  <c r="M114" i="8"/>
  <c r="O110" i="8"/>
  <c r="M110" i="8"/>
  <c r="O104" i="8"/>
  <c r="M104" i="8"/>
  <c r="O85" i="8"/>
  <c r="M85" i="8"/>
  <c r="O84" i="8"/>
  <c r="M84" i="8"/>
  <c r="O77" i="8"/>
  <c r="M77" i="8"/>
  <c r="O63" i="8"/>
  <c r="O71" i="8" s="1"/>
  <c r="M63" i="8"/>
  <c r="M71" i="8" s="1"/>
  <c r="O48" i="8"/>
  <c r="O55" i="8" s="1"/>
  <c r="M48" i="8"/>
  <c r="M55" i="8" s="1"/>
  <c r="O40" i="8"/>
  <c r="M40" i="8"/>
  <c r="O39" i="8"/>
  <c r="M39" i="8"/>
  <c r="O11" i="8"/>
  <c r="M11" i="8"/>
  <c r="P84" i="8"/>
  <c r="P39" i="8"/>
  <c r="AL45" i="8" l="1"/>
  <c r="AG24" i="8"/>
  <c r="AH24" i="8"/>
  <c r="AI24" i="8"/>
  <c r="AC24" i="8"/>
  <c r="AE24" i="8"/>
  <c r="AF24" i="8"/>
  <c r="AL69" i="8"/>
  <c r="AH20" i="10"/>
  <c r="AE22" i="10"/>
  <c r="AE21" i="10"/>
  <c r="AG21" i="10"/>
  <c r="AH21" i="10"/>
  <c r="AD23" i="10"/>
  <c r="AF20" i="10"/>
  <c r="AI20" i="10"/>
  <c r="AF22" i="10"/>
  <c r="K24" i="10"/>
  <c r="AJ20" i="10"/>
  <c r="AI21" i="10"/>
  <c r="AG22" i="10"/>
  <c r="AC20" i="10"/>
  <c r="AJ21" i="10"/>
  <c r="AG10" i="10"/>
  <c r="AC21" i="10"/>
  <c r="AK21" i="10"/>
  <c r="AK23" i="10" s="1"/>
  <c r="AI22" i="10"/>
  <c r="AE20" i="10"/>
  <c r="AJ22" i="10"/>
  <c r="AC22" i="10"/>
  <c r="AG9" i="10"/>
  <c r="AI10" i="10"/>
  <c r="AI11" i="10" s="1"/>
  <c r="AK10" i="10"/>
  <c r="AK11" i="10" s="1"/>
  <c r="AE10" i="10"/>
  <c r="AE11" i="10" s="1"/>
  <c r="AC9" i="10"/>
  <c r="AC10" i="10"/>
  <c r="AF10" i="10"/>
  <c r="AD11" i="10"/>
  <c r="AH11" i="10"/>
  <c r="AJ9" i="10"/>
  <c r="AJ11" i="10" s="1"/>
  <c r="AF9" i="10"/>
  <c r="O24" i="10"/>
  <c r="J24" i="10"/>
  <c r="AL59" i="8"/>
  <c r="AL61" i="8"/>
  <c r="L85" i="8"/>
  <c r="C11" i="10"/>
  <c r="C24" i="10" s="1"/>
  <c r="M11" i="10"/>
  <c r="M27" i="10" s="1"/>
  <c r="N11" i="10"/>
  <c r="N26" i="10" s="1"/>
  <c r="W11" i="10"/>
  <c r="W24" i="10" s="1"/>
  <c r="I11" i="10"/>
  <c r="K14" i="10"/>
  <c r="K27" i="10"/>
  <c r="J27" i="10"/>
  <c r="O27" i="10"/>
  <c r="K26" i="10"/>
  <c r="L23" i="10"/>
  <c r="AL20" i="10"/>
  <c r="AL22" i="10"/>
  <c r="AL10" i="10"/>
  <c r="O26" i="10"/>
  <c r="T23" i="10"/>
  <c r="J28" i="10"/>
  <c r="X23" i="10"/>
  <c r="K28" i="10"/>
  <c r="J26" i="10"/>
  <c r="P23" i="10"/>
  <c r="L40" i="8"/>
  <c r="J12" i="10"/>
  <c r="K12" i="10"/>
  <c r="K15" i="10"/>
  <c r="J14" i="10"/>
  <c r="AL54" i="8"/>
  <c r="AL46" i="8"/>
  <c r="AL53" i="8"/>
  <c r="L48" i="8"/>
  <c r="L55" i="8" s="1"/>
  <c r="L63" i="8"/>
  <c r="L71" i="8" s="1"/>
  <c r="I78" i="8"/>
  <c r="I80" i="8" s="1"/>
  <c r="K78" i="8"/>
  <c r="K80" i="8" s="1"/>
  <c r="J78" i="8"/>
  <c r="J80" i="8" s="1"/>
  <c r="L77" i="8"/>
  <c r="AE13" i="8"/>
  <c r="I14" i="8"/>
  <c r="J14" i="8"/>
  <c r="K14" i="8"/>
  <c r="L14" i="8"/>
  <c r="P63" i="8"/>
  <c r="P71" i="8" s="1"/>
  <c r="P48" i="8"/>
  <c r="P55" i="8" s="1"/>
  <c r="P104" i="8"/>
  <c r="P110" i="8"/>
  <c r="AL67" i="8"/>
  <c r="AL70" i="8"/>
  <c r="P77" i="8"/>
  <c r="AC13" i="8"/>
  <c r="P14" i="8"/>
  <c r="AJ13" i="8"/>
  <c r="P85" i="8"/>
  <c r="N78" i="8"/>
  <c r="N80" i="8" s="1"/>
  <c r="P4" i="10"/>
  <c r="M14" i="8"/>
  <c r="N14" i="8"/>
  <c r="O14" i="8"/>
  <c r="M12" i="10"/>
  <c r="O14" i="10"/>
  <c r="O15" i="10"/>
  <c r="O12" i="10"/>
  <c r="AF13" i="8"/>
  <c r="AG13" i="8"/>
  <c r="AH13" i="8"/>
  <c r="O78" i="8"/>
  <c r="O80" i="8" s="1"/>
  <c r="M78" i="8"/>
  <c r="M80" i="8" s="1"/>
  <c r="AJ76" i="8"/>
  <c r="AI76" i="8"/>
  <c r="AH76" i="8"/>
  <c r="AF76" i="8"/>
  <c r="AE76" i="8"/>
  <c r="AD76" i="8"/>
  <c r="AJ75" i="8"/>
  <c r="AI75" i="8"/>
  <c r="AH75" i="8"/>
  <c r="AF75" i="8"/>
  <c r="AE75" i="8"/>
  <c r="AD75" i="8"/>
  <c r="AJ74" i="8"/>
  <c r="AI74" i="8"/>
  <c r="AH74" i="8"/>
  <c r="AF74" i="8"/>
  <c r="AE74" i="8"/>
  <c r="AD74" i="8"/>
  <c r="X76" i="8"/>
  <c r="AG76" i="8" s="1"/>
  <c r="X75" i="8"/>
  <c r="AG75" i="8" s="1"/>
  <c r="X74" i="8"/>
  <c r="AG74" i="8" s="1"/>
  <c r="T76" i="8"/>
  <c r="AC76" i="8" s="1"/>
  <c r="T75" i="8"/>
  <c r="AC75" i="8" s="1"/>
  <c r="T74" i="8"/>
  <c r="AC74" i="8" s="1"/>
  <c r="AG62" i="8"/>
  <c r="AG60" i="8"/>
  <c r="AC62" i="8"/>
  <c r="AC60" i="8"/>
  <c r="AJ62" i="8"/>
  <c r="AI62" i="8"/>
  <c r="AH62" i="8"/>
  <c r="AF62" i="8"/>
  <c r="AE62" i="8"/>
  <c r="AD62" i="8"/>
  <c r="AJ60" i="8"/>
  <c r="AI60" i="8"/>
  <c r="AH60" i="8"/>
  <c r="AF60" i="8"/>
  <c r="AE60" i="8"/>
  <c r="AD60" i="8"/>
  <c r="AG47" i="8"/>
  <c r="AG44" i="8"/>
  <c r="AC47" i="8"/>
  <c r="AC44" i="8"/>
  <c r="AJ47" i="8"/>
  <c r="AI47" i="8"/>
  <c r="AH47" i="8"/>
  <c r="AF47" i="8"/>
  <c r="AE47" i="8"/>
  <c r="AD47" i="8"/>
  <c r="AJ44" i="8"/>
  <c r="AI44" i="8"/>
  <c r="AH44" i="8"/>
  <c r="AF44" i="8"/>
  <c r="AE44" i="8"/>
  <c r="AD44" i="8"/>
  <c r="AJ19" i="8"/>
  <c r="AG18" i="8"/>
  <c r="AC19" i="8"/>
  <c r="AF18" i="8"/>
  <c r="AA4" i="10"/>
  <c r="Z4" i="10"/>
  <c r="AK4" i="10" s="1"/>
  <c r="Y4" i="10"/>
  <c r="AJ4" i="10" s="1"/>
  <c r="W4" i="10"/>
  <c r="AH4" i="10" s="1"/>
  <c r="V4" i="10"/>
  <c r="AG4" i="10" s="1"/>
  <c r="U4" i="10"/>
  <c r="AF4" i="10" s="1"/>
  <c r="S4" i="10"/>
  <c r="AD4" i="10" s="1"/>
  <c r="R4" i="10"/>
  <c r="AC4" i="10" s="1"/>
  <c r="Q4" i="10"/>
  <c r="AA3" i="10"/>
  <c r="Z3" i="10"/>
  <c r="AK3" i="10" s="1"/>
  <c r="Y3" i="10"/>
  <c r="AJ3" i="10" s="1"/>
  <c r="X3" i="10"/>
  <c r="AI3" i="10" s="1"/>
  <c r="W3" i="10"/>
  <c r="AH3" i="10" s="1"/>
  <c r="V3" i="10"/>
  <c r="AG3" i="10" s="1"/>
  <c r="U3" i="10"/>
  <c r="AF3" i="10" s="1"/>
  <c r="T3" i="10"/>
  <c r="AE3" i="10" s="1"/>
  <c r="S3" i="10"/>
  <c r="AD3" i="10" s="1"/>
  <c r="R3" i="10"/>
  <c r="AC3" i="10" s="1"/>
  <c r="Q3" i="10"/>
  <c r="G4" i="10"/>
  <c r="F4" i="10"/>
  <c r="E4" i="10"/>
  <c r="D4" i="10"/>
  <c r="C4" i="10"/>
  <c r="G3" i="10"/>
  <c r="F3" i="10"/>
  <c r="E3" i="10"/>
  <c r="D3" i="10"/>
  <c r="C3" i="10"/>
  <c r="D11" i="10"/>
  <c r="D24" i="10" s="1"/>
  <c r="B2" i="10"/>
  <c r="B15" i="10"/>
  <c r="B14" i="10"/>
  <c r="AA11" i="10"/>
  <c r="AA24" i="10" s="1"/>
  <c r="Z11" i="10"/>
  <c r="Z24" i="10" s="1"/>
  <c r="Y11" i="10"/>
  <c r="Y24" i="10" s="1"/>
  <c r="V11" i="10"/>
  <c r="V24" i="10" s="1"/>
  <c r="U11" i="10"/>
  <c r="U24" i="10" s="1"/>
  <c r="S11" i="10"/>
  <c r="S24" i="10" s="1"/>
  <c r="R11" i="10"/>
  <c r="R24" i="10" s="1"/>
  <c r="Q11" i="10"/>
  <c r="Q24" i="10" s="1"/>
  <c r="G11" i="10"/>
  <c r="G24" i="10" s="1"/>
  <c r="F11" i="10"/>
  <c r="F24" i="10" s="1"/>
  <c r="E11" i="10"/>
  <c r="E24" i="10" s="1"/>
  <c r="P15" i="8" l="1"/>
  <c r="P20" i="8"/>
  <c r="O15" i="8"/>
  <c r="O20" i="8"/>
  <c r="L15" i="8"/>
  <c r="L20" i="8"/>
  <c r="N15" i="8"/>
  <c r="N20" i="8"/>
  <c r="K15" i="8"/>
  <c r="K20" i="8"/>
  <c r="M15" i="8"/>
  <c r="M20" i="8"/>
  <c r="J15" i="8"/>
  <c r="J20" i="8"/>
  <c r="I15" i="8"/>
  <c r="I20" i="8"/>
  <c r="M14" i="10"/>
  <c r="AF23" i="10"/>
  <c r="AH23" i="10"/>
  <c r="AI23" i="10"/>
  <c r="AI24" i="10" s="1"/>
  <c r="AE23" i="10"/>
  <c r="AE24" i="10" s="1"/>
  <c r="AG23" i="10"/>
  <c r="AG24" i="10" s="1"/>
  <c r="AJ23" i="10"/>
  <c r="AJ24" i="10" s="1"/>
  <c r="AC23" i="10"/>
  <c r="AC24" i="10" s="1"/>
  <c r="N15" i="10"/>
  <c r="AG11" i="10"/>
  <c r="AF11" i="10"/>
  <c r="AK12" i="10"/>
  <c r="AK24" i="10"/>
  <c r="AC11" i="10"/>
  <c r="N12" i="10"/>
  <c r="AD24" i="10"/>
  <c r="AH24" i="10"/>
  <c r="I28" i="10"/>
  <c r="I24" i="10"/>
  <c r="N14" i="10"/>
  <c r="N24" i="10"/>
  <c r="M28" i="10"/>
  <c r="M24" i="10"/>
  <c r="AA27" i="10"/>
  <c r="AL27" i="10" s="1"/>
  <c r="M26" i="10"/>
  <c r="M15" i="10"/>
  <c r="N28" i="10"/>
  <c r="T11" i="10"/>
  <c r="T24" i="10" s="1"/>
  <c r="L11" i="10"/>
  <c r="I15" i="10"/>
  <c r="I27" i="10"/>
  <c r="I26" i="10"/>
  <c r="I12" i="10"/>
  <c r="I14" i="10"/>
  <c r="N27" i="10"/>
  <c r="U27" i="10"/>
  <c r="AF27" i="10" s="1"/>
  <c r="V27" i="10"/>
  <c r="AG27" i="10" s="1"/>
  <c r="R27" i="10"/>
  <c r="AC27" i="10" s="1"/>
  <c r="S27" i="10"/>
  <c r="AD27" i="10" s="1"/>
  <c r="W27" i="10"/>
  <c r="AH27" i="10" s="1"/>
  <c r="Y27" i="10"/>
  <c r="AJ27" i="10" s="1"/>
  <c r="Z27" i="10"/>
  <c r="AK27" i="10" s="1"/>
  <c r="Q27" i="10"/>
  <c r="E27" i="10"/>
  <c r="D27" i="10"/>
  <c r="F27" i="10"/>
  <c r="G27" i="10"/>
  <c r="C27" i="10"/>
  <c r="AL23" i="10"/>
  <c r="V28" i="10"/>
  <c r="AG28" i="10" s="1"/>
  <c r="V26" i="10"/>
  <c r="AG26" i="10" s="1"/>
  <c r="W28" i="10"/>
  <c r="AH28" i="10" s="1"/>
  <c r="W26" i="10"/>
  <c r="AH26" i="10" s="1"/>
  <c r="Q26" i="10"/>
  <c r="Q28" i="10"/>
  <c r="C28" i="10"/>
  <c r="C26" i="10"/>
  <c r="AL4" i="10"/>
  <c r="E28" i="10"/>
  <c r="E26" i="10"/>
  <c r="Y28" i="10"/>
  <c r="AJ28" i="10" s="1"/>
  <c r="Y26" i="10"/>
  <c r="AJ26" i="10" s="1"/>
  <c r="G26" i="10"/>
  <c r="G28" i="10"/>
  <c r="AA26" i="10"/>
  <c r="AL26" i="10" s="1"/>
  <c r="AA28" i="10"/>
  <c r="AL28" i="10" s="1"/>
  <c r="AL3" i="10"/>
  <c r="D28" i="10"/>
  <c r="D26" i="10"/>
  <c r="F28" i="10"/>
  <c r="F26" i="10"/>
  <c r="Z26" i="10"/>
  <c r="AK26" i="10" s="1"/>
  <c r="Z28" i="10"/>
  <c r="AK28" i="10" s="1"/>
  <c r="R26" i="10"/>
  <c r="AC26" i="10" s="1"/>
  <c r="R28" i="10"/>
  <c r="AC28" i="10" s="1"/>
  <c r="S26" i="10"/>
  <c r="AD26" i="10" s="1"/>
  <c r="S28" i="10"/>
  <c r="AD28" i="10" s="1"/>
  <c r="U28" i="10"/>
  <c r="AF28" i="10" s="1"/>
  <c r="U26" i="10"/>
  <c r="AF26" i="10" s="1"/>
  <c r="L78" i="8"/>
  <c r="L80" i="8" s="1"/>
  <c r="P78" i="8"/>
  <c r="P80" i="8" s="1"/>
  <c r="AL13" i="8"/>
  <c r="AA15" i="10"/>
  <c r="AL15" i="10" s="1"/>
  <c r="S15" i="10"/>
  <c r="AD15" i="10" s="1"/>
  <c r="Q15" i="10"/>
  <c r="V15" i="10"/>
  <c r="AG15" i="10" s="1"/>
  <c r="F15" i="10"/>
  <c r="AL60" i="8"/>
  <c r="AL62" i="8"/>
  <c r="AL44" i="8"/>
  <c r="AL47" i="8"/>
  <c r="AD19" i="8"/>
  <c r="AF19" i="8"/>
  <c r="AL19" i="8" s="1"/>
  <c r="AH18" i="8"/>
  <c r="AJ18" i="8"/>
  <c r="AL18" i="8" s="1"/>
  <c r="AI18" i="8"/>
  <c r="AE19" i="8"/>
  <c r="AC18" i="8"/>
  <c r="AG19" i="8"/>
  <c r="AD18" i="8"/>
  <c r="AH19" i="8"/>
  <c r="AE18" i="8"/>
  <c r="AI19" i="8"/>
  <c r="U15" i="10"/>
  <c r="AF15" i="10" s="1"/>
  <c r="C14" i="10"/>
  <c r="C15" i="10"/>
  <c r="D15" i="10"/>
  <c r="D14" i="10"/>
  <c r="F14" i="10"/>
  <c r="Y15" i="10"/>
  <c r="AJ15" i="10" s="1"/>
  <c r="U14" i="10"/>
  <c r="AF14" i="10" s="1"/>
  <c r="E15" i="10"/>
  <c r="Q14" i="10"/>
  <c r="V14" i="10"/>
  <c r="AG14" i="10" s="1"/>
  <c r="Y14" i="10"/>
  <c r="AJ14" i="10" s="1"/>
  <c r="E14" i="10"/>
  <c r="S14" i="10"/>
  <c r="AD14" i="10" s="1"/>
  <c r="AA14" i="10"/>
  <c r="AL14" i="10" s="1"/>
  <c r="G15" i="10"/>
  <c r="W15" i="10"/>
  <c r="AH15" i="10" s="1"/>
  <c r="R15" i="10"/>
  <c r="AC15" i="10" s="1"/>
  <c r="Z15" i="10"/>
  <c r="AK15" i="10" s="1"/>
  <c r="G14" i="10"/>
  <c r="W14" i="10"/>
  <c r="AH14" i="10" s="1"/>
  <c r="X11" i="10"/>
  <c r="X24" i="10" s="1"/>
  <c r="R14" i="10"/>
  <c r="AC14" i="10" s="1"/>
  <c r="Z14" i="10"/>
  <c r="AK14" i="10" s="1"/>
  <c r="J25" i="8" l="1"/>
  <c r="J21" i="8"/>
  <c r="L25" i="8"/>
  <c r="L29" i="8" s="1"/>
  <c r="L30" i="8" s="1"/>
  <c r="L21" i="8"/>
  <c r="M25" i="8"/>
  <c r="M21" i="8"/>
  <c r="O25" i="8"/>
  <c r="O21" i="8"/>
  <c r="I25" i="8"/>
  <c r="I21" i="8"/>
  <c r="K25" i="8"/>
  <c r="K21" i="8"/>
  <c r="P25" i="8"/>
  <c r="P29" i="8" s="1"/>
  <c r="P36" i="8" s="1"/>
  <c r="P21" i="8"/>
  <c r="N25" i="8"/>
  <c r="N21" i="8"/>
  <c r="AF24" i="10"/>
  <c r="L27" i="10"/>
  <c r="L24" i="10"/>
  <c r="L14" i="10"/>
  <c r="L15" i="10"/>
  <c r="AL9" i="10"/>
  <c r="P11" i="10"/>
  <c r="P24" i="10" s="1"/>
  <c r="L12" i="10"/>
  <c r="L28" i="10"/>
  <c r="L26" i="10"/>
  <c r="T27" i="10"/>
  <c r="AE27" i="10" s="1"/>
  <c r="X27" i="10"/>
  <c r="AI27" i="10" s="1"/>
  <c r="X26" i="10"/>
  <c r="AI26" i="10" s="1"/>
  <c r="X28" i="10"/>
  <c r="AI28" i="10" s="1"/>
  <c r="T26" i="10"/>
  <c r="AE26" i="10" s="1"/>
  <c r="T28" i="10"/>
  <c r="AE28" i="10" s="1"/>
  <c r="T15" i="10"/>
  <c r="AE15" i="10" s="1"/>
  <c r="T14" i="10"/>
  <c r="AE14" i="10" s="1"/>
  <c r="X15" i="10"/>
  <c r="AI15" i="10" s="1"/>
  <c r="X14" i="10"/>
  <c r="AI14" i="10" s="1"/>
  <c r="L36" i="8" l="1"/>
  <c r="L88" i="8"/>
  <c r="L97" i="8" s="1"/>
  <c r="L118" i="8" s="1"/>
  <c r="L119" i="8" s="1"/>
  <c r="L121" i="8" s="1"/>
  <c r="L33" i="8"/>
  <c r="N29" i="8"/>
  <c r="N26" i="8"/>
  <c r="M29" i="8"/>
  <c r="M26" i="8"/>
  <c r="O26" i="8"/>
  <c r="O29" i="8"/>
  <c r="P26" i="8"/>
  <c r="P30" i="8"/>
  <c r="P33" i="8"/>
  <c r="P88" i="8"/>
  <c r="P97" i="8" s="1"/>
  <c r="P118" i="8" s="1"/>
  <c r="K29" i="8"/>
  <c r="K26" i="8"/>
  <c r="L26" i="8"/>
  <c r="I29" i="8"/>
  <c r="I26" i="8"/>
  <c r="J29" i="8"/>
  <c r="J26" i="8"/>
  <c r="AL11" i="10"/>
  <c r="AL24" i="10" s="1"/>
  <c r="P26" i="10"/>
  <c r="P15" i="10"/>
  <c r="P12" i="10"/>
  <c r="P27" i="10"/>
  <c r="P14" i="10"/>
  <c r="P28" i="10"/>
  <c r="AG23" i="8"/>
  <c r="AF23" i="8"/>
  <c r="K14" i="9"/>
  <c r="O14" i="9"/>
  <c r="AJ17" i="8"/>
  <c r="AF17" i="8"/>
  <c r="AI35" i="8"/>
  <c r="AH35" i="8"/>
  <c r="AG35" i="8"/>
  <c r="AF35" i="8"/>
  <c r="AE35" i="8"/>
  <c r="AD35" i="8"/>
  <c r="AC35" i="8"/>
  <c r="AI32" i="8"/>
  <c r="AH32" i="8"/>
  <c r="AF32" i="8"/>
  <c r="AE32" i="8"/>
  <c r="AD32" i="8"/>
  <c r="K55" i="9"/>
  <c r="T55" i="9" s="1"/>
  <c r="AG43" i="8"/>
  <c r="K63" i="9"/>
  <c r="T63" i="9" s="1"/>
  <c r="K66" i="9"/>
  <c r="T66" i="9" s="1"/>
  <c r="AC52" i="8"/>
  <c r="K65" i="9"/>
  <c r="T65" i="9" s="1"/>
  <c r="K67" i="9"/>
  <c r="T67" i="9" s="1"/>
  <c r="AG52" i="8"/>
  <c r="AG51" i="8"/>
  <c r="AG58" i="8"/>
  <c r="AG66" i="8"/>
  <c r="K73" i="9"/>
  <c r="T73" i="9" s="1"/>
  <c r="AA48" i="8"/>
  <c r="Z48" i="8"/>
  <c r="Y48" i="8"/>
  <c r="W48" i="8"/>
  <c r="V48" i="8"/>
  <c r="U48" i="8"/>
  <c r="S48" i="8"/>
  <c r="R48" i="8"/>
  <c r="Q48" i="8"/>
  <c r="G48" i="8"/>
  <c r="F48" i="8"/>
  <c r="E48" i="8"/>
  <c r="D48" i="8"/>
  <c r="C48" i="8"/>
  <c r="C55" i="8" s="1"/>
  <c r="X109" i="8"/>
  <c r="T109" i="8"/>
  <c r="X108" i="8"/>
  <c r="T108" i="8"/>
  <c r="X107" i="8"/>
  <c r="T107" i="8"/>
  <c r="K47" i="9" s="1"/>
  <c r="X103" i="8"/>
  <c r="O45" i="9" s="1"/>
  <c r="T103" i="8"/>
  <c r="AD103" i="8" s="1"/>
  <c r="X102" i="8"/>
  <c r="T102" i="8"/>
  <c r="K46" i="9" s="1"/>
  <c r="X101" i="8"/>
  <c r="T101" i="8"/>
  <c r="X100" i="8"/>
  <c r="T100" i="8"/>
  <c r="C110" i="8"/>
  <c r="C104" i="8"/>
  <c r="C85" i="8"/>
  <c r="C84" i="8"/>
  <c r="C77" i="8"/>
  <c r="C63" i="8"/>
  <c r="C71" i="8" s="1"/>
  <c r="C40" i="8"/>
  <c r="C39" i="8"/>
  <c r="C1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I73" i="8"/>
  <c r="AH73" i="8"/>
  <c r="AF73" i="8"/>
  <c r="AE73" i="8"/>
  <c r="AD73" i="8"/>
  <c r="AI66" i="8"/>
  <c r="AH66" i="8"/>
  <c r="AF66" i="8"/>
  <c r="AE66" i="8"/>
  <c r="AD66" i="8"/>
  <c r="AI58" i="8"/>
  <c r="AH58" i="8"/>
  <c r="AI52" i="8"/>
  <c r="AH52" i="8"/>
  <c r="AF52" i="8"/>
  <c r="AE52" i="8"/>
  <c r="AD52" i="8"/>
  <c r="AI51" i="8"/>
  <c r="AH51" i="8"/>
  <c r="AF51" i="8"/>
  <c r="AE51" i="8"/>
  <c r="AD51" i="8"/>
  <c r="AI43" i="8"/>
  <c r="AH43" i="8"/>
  <c r="AF43" i="8"/>
  <c r="AE43" i="8"/>
  <c r="AD43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X95" i="8"/>
  <c r="T95" i="8"/>
  <c r="AE95" i="8" s="1"/>
  <c r="T124" i="8"/>
  <c r="T93" i="8"/>
  <c r="K32" i="9" s="1"/>
  <c r="J27" i="9"/>
  <c r="J38" i="9"/>
  <c r="R45" i="9"/>
  <c r="R46" i="9"/>
  <c r="R38" i="9"/>
  <c r="R32" i="9"/>
  <c r="R27" i="9"/>
  <c r="M46" i="9"/>
  <c r="N38" i="9"/>
  <c r="X94" i="8"/>
  <c r="N32" i="9"/>
  <c r="N27" i="9"/>
  <c r="P47" i="9"/>
  <c r="AF58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T125" i="8"/>
  <c r="K39" i="9" s="1"/>
  <c r="X125" i="8"/>
  <c r="O39" i="9" s="1"/>
  <c r="X124" i="8"/>
  <c r="X117" i="8"/>
  <c r="X116" i="8"/>
  <c r="AG116" i="8" s="1"/>
  <c r="T117" i="8"/>
  <c r="T116" i="8"/>
  <c r="AF116" i="8" s="1"/>
  <c r="AJ73" i="8"/>
  <c r="AJ66" i="8"/>
  <c r="AJ58" i="8"/>
  <c r="AJ52" i="8"/>
  <c r="AJ51" i="8"/>
  <c r="AJ43" i="8"/>
  <c r="D45" i="9"/>
  <c r="K64" i="9"/>
  <c r="T64" i="9" s="1"/>
  <c r="AC66" i="8"/>
  <c r="AG73" i="8"/>
  <c r="AC73" i="8"/>
  <c r="AI28" i="8"/>
  <c r="AC28" i="8"/>
  <c r="T32" i="8"/>
  <c r="AC32" i="8" s="1"/>
  <c r="O23" i="9"/>
  <c r="O34" i="9" s="1"/>
  <c r="K23" i="9"/>
  <c r="K34" i="9" s="1"/>
  <c r="O21" i="9"/>
  <c r="K21" i="9"/>
  <c r="O72" i="9"/>
  <c r="X72" i="9" s="1"/>
  <c r="K72" i="9"/>
  <c r="T72" i="9" s="1"/>
  <c r="AJ32" i="8"/>
  <c r="AJ35" i="8"/>
  <c r="X32" i="8"/>
  <c r="AG32" i="8" s="1"/>
  <c r="J88" i="8" l="1"/>
  <c r="J97" i="8" s="1"/>
  <c r="J118" i="8" s="1"/>
  <c r="J119" i="8" s="1"/>
  <c r="J121" i="8" s="1"/>
  <c r="J30" i="8"/>
  <c r="J36" i="8"/>
  <c r="J33" i="8"/>
  <c r="I30" i="8"/>
  <c r="I88" i="8"/>
  <c r="I97" i="8" s="1"/>
  <c r="I118" i="8" s="1"/>
  <c r="I119" i="8" s="1"/>
  <c r="I121" i="8" s="1"/>
  <c r="I36" i="8"/>
  <c r="I33" i="8"/>
  <c r="O33" i="8"/>
  <c r="O30" i="8"/>
  <c r="O88" i="8"/>
  <c r="O97" i="8" s="1"/>
  <c r="O118" i="8" s="1"/>
  <c r="O36" i="8"/>
  <c r="K33" i="8"/>
  <c r="K88" i="8"/>
  <c r="K97" i="8" s="1"/>
  <c r="K118" i="8" s="1"/>
  <c r="K119" i="8" s="1"/>
  <c r="K121" i="8" s="1"/>
  <c r="K36" i="8"/>
  <c r="K30" i="8"/>
  <c r="M88" i="8"/>
  <c r="M97" i="8" s="1"/>
  <c r="M118" i="8" s="1"/>
  <c r="M119" i="8" s="1"/>
  <c r="M36" i="8"/>
  <c r="M33" i="8"/>
  <c r="M30" i="8"/>
  <c r="N36" i="8"/>
  <c r="N33" i="8"/>
  <c r="N30" i="8"/>
  <c r="N88" i="8"/>
  <c r="N97" i="8" s="1"/>
  <c r="N118" i="8" s="1"/>
  <c r="C14" i="8"/>
  <c r="AJ23" i="8"/>
  <c r="C12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H23" i="8"/>
  <c r="AI23" i="8"/>
  <c r="AC23" i="8"/>
  <c r="AD23" i="8"/>
  <c r="AE23" i="8"/>
  <c r="AF48" i="8"/>
  <c r="AH48" i="8"/>
  <c r="AI48" i="8"/>
  <c r="AJ48" i="8"/>
  <c r="X48" i="8"/>
  <c r="T48" i="8"/>
  <c r="K56" i="9"/>
  <c r="T56" i="9" s="1"/>
  <c r="AG48" i="8"/>
  <c r="X92" i="8"/>
  <c r="AJ92" i="8" s="1"/>
  <c r="W14" i="9"/>
  <c r="C78" i="8"/>
  <c r="C80" i="8" s="1"/>
  <c r="V21" i="9"/>
  <c r="U14" i="9"/>
  <c r="X34" i="9"/>
  <c r="V14" i="9"/>
  <c r="AC95" i="8"/>
  <c r="AF95" i="8"/>
  <c r="AI95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C107" i="8"/>
  <c r="AD102" i="8"/>
  <c r="AE103" i="8"/>
  <c r="Z23" i="9"/>
  <c r="W34" i="9"/>
  <c r="AC58" i="8"/>
  <c r="AD95" i="8"/>
  <c r="AE102" i="8"/>
  <c r="AF103" i="8"/>
  <c r="AD58" i="8"/>
  <c r="AC93" i="8"/>
  <c r="AG103" i="8"/>
  <c r="T23" i="9"/>
  <c r="AC43" i="8"/>
  <c r="AE58" i="8"/>
  <c r="AD93" i="8"/>
  <c r="AH103" i="8"/>
  <c r="U23" i="9"/>
  <c r="AE93" i="8"/>
  <c r="AG95" i="8"/>
  <c r="AI103" i="8"/>
  <c r="AD107" i="8"/>
  <c r="V23" i="9"/>
  <c r="AF93" i="8"/>
  <c r="AG94" i="8"/>
  <c r="AH95" i="8"/>
  <c r="AE107" i="8"/>
  <c r="U21" i="9"/>
  <c r="W23" i="9"/>
  <c r="AC51" i="8"/>
  <c r="AH94" i="8"/>
  <c r="AC103" i="8"/>
  <c r="AF107" i="8"/>
  <c r="X23" i="9"/>
  <c r="AI94" i="8"/>
  <c r="AC102" i="8"/>
  <c r="Y23" i="9"/>
  <c r="N49" i="9"/>
  <c r="AD28" i="8"/>
  <c r="AE28" i="8"/>
  <c r="AF28" i="8"/>
  <c r="AG28" i="8"/>
  <c r="AH28" i="8"/>
  <c r="J49" i="9"/>
  <c r="AC17" i="8"/>
  <c r="AL76" i="8"/>
  <c r="AD17" i="8"/>
  <c r="AL52" i="8"/>
  <c r="AL66" i="8"/>
  <c r="AE17" i="8"/>
  <c r="AG17" i="8"/>
  <c r="AH17" i="8"/>
  <c r="R49" i="9"/>
  <c r="AI17" i="8"/>
  <c r="M49" i="9"/>
  <c r="Y104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04" i="8"/>
  <c r="H41" i="9"/>
  <c r="F67" i="9"/>
  <c r="O65" i="9"/>
  <c r="X65" i="9" s="1"/>
  <c r="Y85" i="9"/>
  <c r="AA85" i="9"/>
  <c r="W85" i="9"/>
  <c r="K85" i="9"/>
  <c r="X85" i="9"/>
  <c r="Z85" i="9"/>
  <c r="O85" i="9"/>
  <c r="G104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U104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04" i="8"/>
  <c r="Q104" i="8"/>
  <c r="F104" i="8"/>
  <c r="T96" i="8"/>
  <c r="X96" i="8"/>
  <c r="AI96" i="8" s="1"/>
  <c r="AJ95" i="8"/>
  <c r="T94" i="8"/>
  <c r="AC94" i="8" s="1"/>
  <c r="AF100" i="8"/>
  <c r="T91" i="8"/>
  <c r="AC91" i="8" s="1"/>
  <c r="AA104" i="8"/>
  <c r="X93" i="8"/>
  <c r="AG100" i="8"/>
  <c r="AH101" i="8"/>
  <c r="X91" i="8"/>
  <c r="AG91" i="8" s="1"/>
  <c r="AD116" i="8"/>
  <c r="AJ94" i="8"/>
  <c r="AJ116" i="8"/>
  <c r="AI116" i="8"/>
  <c r="AH116" i="8"/>
  <c r="AE116" i="8"/>
  <c r="AC116" i="8"/>
  <c r="AJ103" i="8"/>
  <c r="AJ28" i="8"/>
  <c r="AL35" i="8"/>
  <c r="C15" i="8" l="1"/>
  <c r="C20" i="8"/>
  <c r="C25" i="8" s="1"/>
  <c r="M121" i="8"/>
  <c r="N112" i="8"/>
  <c r="N114" i="8" s="1"/>
  <c r="N119" i="8" s="1"/>
  <c r="AL23" i="8"/>
  <c r="W10" i="9"/>
  <c r="V10" i="9"/>
  <c r="U10" i="9"/>
  <c r="T10" i="9"/>
  <c r="AG92" i="8"/>
  <c r="AI92" i="8"/>
  <c r="T92" i="8"/>
  <c r="AF92" i="8" s="1"/>
  <c r="AL92" i="8" s="1"/>
  <c r="AH92" i="8"/>
  <c r="AL95" i="8"/>
  <c r="V32" i="9"/>
  <c r="Z45" i="9"/>
  <c r="X22" i="9"/>
  <c r="V47" i="9"/>
  <c r="Z22" i="9"/>
  <c r="AH96" i="8"/>
  <c r="AC108" i="8"/>
  <c r="U20" i="9"/>
  <c r="AD94" i="8"/>
  <c r="AI101" i="8"/>
  <c r="AD108" i="8"/>
  <c r="AH100" i="8"/>
  <c r="AH93" i="8"/>
  <c r="AI93" i="8"/>
  <c r="K33" i="9"/>
  <c r="W22" i="9"/>
  <c r="AC22" i="9" s="1"/>
  <c r="V22" i="9"/>
  <c r="U47" i="9"/>
  <c r="N48" i="9"/>
  <c r="AG101" i="8"/>
  <c r="AI91" i="8"/>
  <c r="Y22" i="9"/>
  <c r="Y20" i="9"/>
  <c r="X19" i="9"/>
  <c r="J44" i="9"/>
  <c r="W45" i="9"/>
  <c r="V45" i="9"/>
  <c r="K48" i="9"/>
  <c r="AF108" i="8"/>
  <c r="U22" i="9"/>
  <c r="T45" i="9"/>
  <c r="AF102" i="8"/>
  <c r="AG96" i="8"/>
  <c r="X20" i="9"/>
  <c r="T32" i="9"/>
  <c r="U32" i="9"/>
  <c r="J48" i="9"/>
  <c r="AE108" i="8"/>
  <c r="AI100" i="8"/>
  <c r="AD100" i="8"/>
  <c r="AH91" i="8"/>
  <c r="AF91" i="8"/>
  <c r="AD91" i="8"/>
  <c r="AC96" i="8"/>
  <c r="AF96" i="8"/>
  <c r="AD96" i="8"/>
  <c r="U19" i="9"/>
  <c r="W19" i="9"/>
  <c r="V19" i="9"/>
  <c r="AF94" i="8"/>
  <c r="AL94" i="8" s="1"/>
  <c r="AE94" i="8"/>
  <c r="V20" i="9"/>
  <c r="W20" i="9"/>
  <c r="AG93" i="8"/>
  <c r="AE100" i="8"/>
  <c r="AE91" i="8"/>
  <c r="Y15" i="9"/>
  <c r="K28" i="9"/>
  <c r="W28" i="9" s="1"/>
  <c r="W15" i="9"/>
  <c r="U15" i="9"/>
  <c r="Y19" i="9"/>
  <c r="V15" i="9"/>
  <c r="AC100" i="8"/>
  <c r="X45" i="9"/>
  <c r="T15" i="9"/>
  <c r="AE96" i="8"/>
  <c r="T47" i="9"/>
  <c r="Y45" i="9"/>
  <c r="X15" i="9"/>
  <c r="W47" i="9"/>
  <c r="Q47" i="9"/>
  <c r="AC23" i="9"/>
  <c r="AC21" i="9"/>
  <c r="AL103" i="8"/>
  <c r="AC34" i="9"/>
  <c r="K41" i="9"/>
  <c r="O48" i="9"/>
  <c r="N41" i="9"/>
  <c r="AA20" i="9"/>
  <c r="O33" i="9"/>
  <c r="AI102" i="8"/>
  <c r="N46" i="9"/>
  <c r="AJ91" i="8"/>
  <c r="O27" i="9"/>
  <c r="Z27" i="9" s="1"/>
  <c r="O32" i="9"/>
  <c r="K38" i="9"/>
  <c r="S104" i="8"/>
  <c r="AE101" i="8"/>
  <c r="O28" i="9"/>
  <c r="Z28" i="9" s="1"/>
  <c r="O44" i="9"/>
  <c r="Z44" i="9" s="1"/>
  <c r="K27" i="9"/>
  <c r="T27" i="9" s="1"/>
  <c r="AA15" i="9"/>
  <c r="O38" i="9"/>
  <c r="R104" i="8"/>
  <c r="AJ93" i="8"/>
  <c r="AL93" i="8" s="1"/>
  <c r="Z104" i="8"/>
  <c r="AJ101" i="8"/>
  <c r="W104" i="8"/>
  <c r="AJ100" i="8"/>
  <c r="V104" i="8"/>
  <c r="AL28" i="8"/>
  <c r="AA73" i="9"/>
  <c r="AA72" i="9"/>
  <c r="O7" i="9"/>
  <c r="O6" i="9"/>
  <c r="AJ117" i="8"/>
  <c r="AA113" i="8"/>
  <c r="AH117" i="8"/>
  <c r="AJ113" i="8"/>
  <c r="W113" i="8"/>
  <c r="V113" i="8"/>
  <c r="T113" i="8"/>
  <c r="S113" i="8"/>
  <c r="Q110" i="8"/>
  <c r="R110" i="8"/>
  <c r="S110" i="8"/>
  <c r="R113" i="8"/>
  <c r="Y113" i="8"/>
  <c r="U113" i="8"/>
  <c r="AJ96" i="8"/>
  <c r="N121" i="8" l="1"/>
  <c r="O112" i="8"/>
  <c r="O114" i="8" s="1"/>
  <c r="O119" i="8" s="1"/>
  <c r="C21" i="8"/>
  <c r="W16" i="9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C92" i="8"/>
  <c r="AD92" i="8"/>
  <c r="AE92" i="8"/>
  <c r="W48" i="9"/>
  <c r="C29" i="8"/>
  <c r="C88" i="8" s="1"/>
  <c r="C26" i="8"/>
  <c r="O41" i="9"/>
  <c r="U27" i="9"/>
  <c r="AG102" i="8"/>
  <c r="Y27" i="9"/>
  <c r="AC20" i="9"/>
  <c r="X28" i="9"/>
  <c r="V28" i="9"/>
  <c r="X27" i="9"/>
  <c r="AG108" i="8"/>
  <c r="T104" i="8"/>
  <c r="AF101" i="8"/>
  <c r="AL101" i="8" s="1"/>
  <c r="AD101" i="8"/>
  <c r="X44" i="9"/>
  <c r="X32" i="9"/>
  <c r="Z32" i="9"/>
  <c r="T28" i="9"/>
  <c r="AI108" i="8"/>
  <c r="Y28" i="9"/>
  <c r="AH107" i="8"/>
  <c r="AI107" i="8"/>
  <c r="AG107" i="8"/>
  <c r="Y44" i="9"/>
  <c r="AH108" i="8"/>
  <c r="AF109" i="8"/>
  <c r="AD109" i="8"/>
  <c r="AE109" i="8"/>
  <c r="AC109" i="8"/>
  <c r="W27" i="9"/>
  <c r="V27" i="9"/>
  <c r="Y32" i="9"/>
  <c r="V48" i="9"/>
  <c r="U48" i="9"/>
  <c r="T48" i="9"/>
  <c r="Z48" i="9"/>
  <c r="Y48" i="9"/>
  <c r="X48" i="9"/>
  <c r="AI109" i="8"/>
  <c r="AG109" i="8"/>
  <c r="AH109" i="8"/>
  <c r="W46" i="9"/>
  <c r="AC101" i="8"/>
  <c r="O46" i="9"/>
  <c r="AA46" i="9" s="1"/>
  <c r="AH102" i="8"/>
  <c r="U33" i="9"/>
  <c r="W33" i="9"/>
  <c r="V33" i="9"/>
  <c r="T33" i="9"/>
  <c r="AA33" i="9"/>
  <c r="X33" i="9"/>
  <c r="Y33" i="9"/>
  <c r="Z33" i="9"/>
  <c r="U28" i="9"/>
  <c r="AC15" i="9"/>
  <c r="K49" i="9"/>
  <c r="O49" i="9"/>
  <c r="AL100" i="8"/>
  <c r="AJ108" i="8"/>
  <c r="AL108" i="8" s="1"/>
  <c r="AJ102" i="8"/>
  <c r="AL102" i="8" s="1"/>
  <c r="O9" i="9"/>
  <c r="O8" i="9"/>
  <c r="AJ107" i="8"/>
  <c r="O47" i="9"/>
  <c r="AA28" i="9"/>
  <c r="AC28" i="9" s="1"/>
  <c r="K44" i="9"/>
  <c r="W44" i="9" s="1"/>
  <c r="X104" i="8"/>
  <c r="Z113" i="8"/>
  <c r="AC124" i="8"/>
  <c r="AL96" i="8"/>
  <c r="AE113" i="8"/>
  <c r="AG113" i="8"/>
  <c r="AD117" i="8"/>
  <c r="AJ109" i="8"/>
  <c r="AE117" i="8"/>
  <c r="AG117" i="8"/>
  <c r="AD113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17" i="8"/>
  <c r="AF117" i="8"/>
  <c r="AF113" i="8"/>
  <c r="AH113" i="8"/>
  <c r="AI117" i="8"/>
  <c r="AI113" i="8"/>
  <c r="E113" i="8"/>
  <c r="F113" i="8"/>
  <c r="AC113" i="8" s="1"/>
  <c r="G113" i="8"/>
  <c r="X113" i="8"/>
  <c r="AA14" i="9"/>
  <c r="O121" i="8" l="1"/>
  <c r="P112" i="8"/>
  <c r="P114" i="8" s="1"/>
  <c r="P119" i="8" s="1"/>
  <c r="T29" i="9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6" i="8"/>
  <c r="C33" i="8"/>
  <c r="U29" i="9"/>
  <c r="U35" i="9" s="1"/>
  <c r="C30" i="8"/>
  <c r="AC33" i="9"/>
  <c r="W29" i="9"/>
  <c r="W35" i="9" s="1"/>
  <c r="V29" i="9"/>
  <c r="V35" i="9" s="1"/>
  <c r="X46" i="9"/>
  <c r="T44" i="9"/>
  <c r="V44" i="9"/>
  <c r="Y46" i="9"/>
  <c r="AL109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H124" i="8"/>
  <c r="AI124" i="8"/>
  <c r="AF124" i="8"/>
  <c r="AE124" i="8"/>
  <c r="AD124" i="8"/>
  <c r="AJ124" i="8"/>
  <c r="AG124" i="8"/>
  <c r="AC14" i="9"/>
  <c r="P121" i="8" l="1"/>
  <c r="Q112" i="8"/>
  <c r="X10" i="9"/>
  <c r="X16" i="9" s="1"/>
  <c r="X24" i="9" s="1"/>
  <c r="X29" i="9" s="1"/>
  <c r="X35" i="9" s="1"/>
  <c r="C97" i="8"/>
  <c r="C118" i="8" s="1"/>
  <c r="C114" i="8" l="1"/>
  <c r="C119" i="8" s="1"/>
  <c r="D112" i="8" s="1"/>
  <c r="AA57" i="9"/>
  <c r="AA56" i="9"/>
  <c r="X8" i="8"/>
  <c r="X4" i="10" s="1"/>
  <c r="AI4" i="10" s="1"/>
  <c r="T8" i="8"/>
  <c r="T4" i="10" s="1"/>
  <c r="AE4" i="10" s="1"/>
  <c r="C121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A63" i="8"/>
  <c r="R68" i="9" s="1"/>
  <c r="Z63" i="8"/>
  <c r="Q68" i="9" s="1"/>
  <c r="Z68" i="9" s="1"/>
  <c r="Y63" i="8"/>
  <c r="P68" i="9" s="1"/>
  <c r="Y68" i="9" s="1"/>
  <c r="W63" i="8"/>
  <c r="N68" i="9" s="1"/>
  <c r="W68" i="9" s="1"/>
  <c r="V63" i="8"/>
  <c r="M68" i="9" s="1"/>
  <c r="V68" i="9" s="1"/>
  <c r="U63" i="8"/>
  <c r="L68" i="9" s="1"/>
  <c r="U68" i="9" s="1"/>
  <c r="S63" i="8"/>
  <c r="J68" i="9" s="1"/>
  <c r="R63" i="8"/>
  <c r="I68" i="9" s="1"/>
  <c r="Q63" i="8"/>
  <c r="H68" i="9" s="1"/>
  <c r="G63" i="8"/>
  <c r="F68" i="9" s="1"/>
  <c r="F63" i="8"/>
  <c r="E68" i="9" s="1"/>
  <c r="E63" i="8"/>
  <c r="D68" i="9" s="1"/>
  <c r="D63" i="8"/>
  <c r="C68" i="9" s="1"/>
  <c r="AA55" i="9"/>
  <c r="AA58" i="9" s="1"/>
  <c r="R4" i="9"/>
  <c r="AA4" i="9" s="1"/>
  <c r="R3" i="9"/>
  <c r="AA3" i="9" s="1"/>
  <c r="AJ8" i="8"/>
  <c r="AJ85" i="8" s="1"/>
  <c r="AJ7" i="8"/>
  <c r="AJ84" i="8" s="1"/>
  <c r="AA85" i="8"/>
  <c r="AA84" i="8"/>
  <c r="AA77" i="8"/>
  <c r="R87" i="9" s="1"/>
  <c r="AA40" i="8"/>
  <c r="AA39" i="8"/>
  <c r="AA11" i="8"/>
  <c r="Y110" i="8"/>
  <c r="G110" i="8"/>
  <c r="F110" i="8"/>
  <c r="E110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S77" i="8"/>
  <c r="J87" i="9" s="1"/>
  <c r="Z85" i="8"/>
  <c r="Y85" i="8"/>
  <c r="X85" i="8"/>
  <c r="W85" i="8"/>
  <c r="V85" i="8"/>
  <c r="U85" i="8"/>
  <c r="T85" i="8"/>
  <c r="S85" i="8"/>
  <c r="R85" i="8"/>
  <c r="Q85" i="8"/>
  <c r="Z84" i="8"/>
  <c r="Y84" i="8"/>
  <c r="X84" i="8"/>
  <c r="W84" i="8"/>
  <c r="V84" i="8"/>
  <c r="U84" i="8"/>
  <c r="T84" i="8"/>
  <c r="S84" i="8"/>
  <c r="R84" i="8"/>
  <c r="Q84" i="8"/>
  <c r="W77" i="8"/>
  <c r="N87" i="9" s="1"/>
  <c r="V77" i="8"/>
  <c r="M87" i="9" s="1"/>
  <c r="U77" i="8"/>
  <c r="L87" i="9" s="1"/>
  <c r="R77" i="8"/>
  <c r="I87" i="9" s="1"/>
  <c r="Q77" i="8"/>
  <c r="H87" i="9" s="1"/>
  <c r="Z40" i="8"/>
  <c r="Y40" i="8"/>
  <c r="X40" i="8"/>
  <c r="W40" i="8"/>
  <c r="V40" i="8"/>
  <c r="U40" i="8"/>
  <c r="T40" i="8"/>
  <c r="S40" i="8"/>
  <c r="R40" i="8"/>
  <c r="Q40" i="8"/>
  <c r="Z39" i="8"/>
  <c r="Y39" i="8"/>
  <c r="X39" i="8"/>
  <c r="W39" i="8"/>
  <c r="V39" i="8"/>
  <c r="U39" i="8"/>
  <c r="T39" i="8"/>
  <c r="S39" i="8"/>
  <c r="R39" i="8"/>
  <c r="Q39" i="8"/>
  <c r="G40" i="8"/>
  <c r="F40" i="8"/>
  <c r="E40" i="8"/>
  <c r="D40" i="8"/>
  <c r="G39" i="8"/>
  <c r="F39" i="8"/>
  <c r="E39" i="8"/>
  <c r="D39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R14" i="8" l="1"/>
  <c r="Z14" i="8"/>
  <c r="V14" i="8"/>
  <c r="S14" i="8"/>
  <c r="Q14" i="8"/>
  <c r="U14" i="8"/>
  <c r="AA14" i="8"/>
  <c r="S12" i="10"/>
  <c r="Q12" i="10"/>
  <c r="R12" i="10"/>
  <c r="U12" i="10"/>
  <c r="AA12" i="10"/>
  <c r="V12" i="10"/>
  <c r="Z12" i="10"/>
  <c r="AC10" i="8"/>
  <c r="AE10" i="8"/>
  <c r="AF10" i="8"/>
  <c r="AD10" i="8"/>
  <c r="AI10" i="8"/>
  <c r="AH10" i="8"/>
  <c r="AG10" i="8"/>
  <c r="AL43" i="8"/>
  <c r="AL73" i="8"/>
  <c r="AL51" i="8"/>
  <c r="AL58" i="8"/>
  <c r="AA71" i="8"/>
  <c r="R69" i="9" s="1"/>
  <c r="U87" i="9"/>
  <c r="AA87" i="9"/>
  <c r="AH125" i="8"/>
  <c r="V87" i="9"/>
  <c r="W87" i="9"/>
  <c r="K58" i="9"/>
  <c r="S55" i="8"/>
  <c r="AH63" i="8"/>
  <c r="AI63" i="8"/>
  <c r="AJ63" i="8"/>
  <c r="AF63" i="8"/>
  <c r="T63" i="8"/>
  <c r="K68" i="9" s="1"/>
  <c r="T68" i="9" s="1"/>
  <c r="X63" i="8"/>
  <c r="O68" i="9" s="1"/>
  <c r="X68" i="9" s="1"/>
  <c r="S71" i="8"/>
  <c r="J69" i="9" s="1"/>
  <c r="AJ77" i="8"/>
  <c r="AJ10" i="8"/>
  <c r="R71" i="8"/>
  <c r="I69" i="9" s="1"/>
  <c r="AJ39" i="8"/>
  <c r="AJ40" i="8"/>
  <c r="Q71" i="8"/>
  <c r="H69" i="9" s="1"/>
  <c r="R55" i="8"/>
  <c r="D110" i="8"/>
  <c r="Z110" i="8"/>
  <c r="U110" i="8"/>
  <c r="V110" i="8"/>
  <c r="Z55" i="8"/>
  <c r="W55" i="8"/>
  <c r="Q55" i="8"/>
  <c r="V55" i="8"/>
  <c r="U55" i="8"/>
  <c r="G71" i="8"/>
  <c r="F69" i="9" s="1"/>
  <c r="AF125" i="8"/>
  <c r="V58" i="9"/>
  <c r="U58" i="9"/>
  <c r="AG125" i="8"/>
  <c r="AD125" i="8"/>
  <c r="AE125" i="8"/>
  <c r="AC125" i="8"/>
  <c r="T11" i="8"/>
  <c r="T77" i="8"/>
  <c r="K87" i="9" s="1"/>
  <c r="T55" i="8"/>
  <c r="X55" i="8"/>
  <c r="U15" i="8" l="1"/>
  <c r="U20" i="8"/>
  <c r="U25" i="8" s="1"/>
  <c r="Q15" i="8"/>
  <c r="Q20" i="8"/>
  <c r="Q25" i="8" s="1"/>
  <c r="S15" i="8"/>
  <c r="S20" i="8"/>
  <c r="S25" i="8" s="1"/>
  <c r="V15" i="8"/>
  <c r="V20" i="8"/>
  <c r="V25" i="8" s="1"/>
  <c r="V29" i="8" s="1"/>
  <c r="V88" i="8" s="1"/>
  <c r="Z15" i="8"/>
  <c r="Z20" i="8"/>
  <c r="Z25" i="8" s="1"/>
  <c r="AA15" i="8"/>
  <c r="AA20" i="8"/>
  <c r="AA25" i="8" s="1"/>
  <c r="R15" i="8"/>
  <c r="R20" i="8"/>
  <c r="R25" i="8" s="1"/>
  <c r="T14" i="8"/>
  <c r="T12" i="10"/>
  <c r="AA78" i="8"/>
  <c r="AA69" i="9"/>
  <c r="AA9" i="9"/>
  <c r="AC9" i="9" s="1"/>
  <c r="AA8" i="9"/>
  <c r="AC8" i="9" s="1"/>
  <c r="AA7" i="9"/>
  <c r="AC7" i="9" s="1"/>
  <c r="AA21" i="8"/>
  <c r="AA29" i="8"/>
  <c r="AA88" i="8" s="1"/>
  <c r="AG63" i="8"/>
  <c r="AL17" i="8"/>
  <c r="AL107" i="8"/>
  <c r="AA48" i="9"/>
  <c r="AJ55" i="8"/>
  <c r="AJ71" i="8"/>
  <c r="AJ78" i="8" s="1"/>
  <c r="AL63" i="8"/>
  <c r="AJ11" i="8"/>
  <c r="AJ12" i="10" s="1"/>
  <c r="AL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R78" i="8"/>
  <c r="R80" i="8" s="1"/>
  <c r="AA88" i="9"/>
  <c r="AA97" i="9" s="1"/>
  <c r="T87" i="9"/>
  <c r="T88" i="9" s="1"/>
  <c r="T97" i="9" s="1"/>
  <c r="AA19" i="9"/>
  <c r="AA55" i="8"/>
  <c r="AA68" i="9"/>
  <c r="AA38" i="9"/>
  <c r="S78" i="8"/>
  <c r="S80" i="8" s="1"/>
  <c r="AA110" i="8"/>
  <c r="Q78" i="8"/>
  <c r="Q80" i="8" s="1"/>
  <c r="W110" i="8"/>
  <c r="AA44" i="9"/>
  <c r="T58" i="9"/>
  <c r="V71" i="8"/>
  <c r="M69" i="9" s="1"/>
  <c r="V69" i="9" s="1"/>
  <c r="U71" i="8"/>
  <c r="L69" i="9" s="1"/>
  <c r="U69" i="9" s="1"/>
  <c r="T71" i="8"/>
  <c r="K69" i="9" s="1"/>
  <c r="T69" i="9" s="1"/>
  <c r="W71" i="8"/>
  <c r="N69" i="9" s="1"/>
  <c r="W69" i="9" s="1"/>
  <c r="U39" i="9"/>
  <c r="X39" i="9"/>
  <c r="Y38" i="9"/>
  <c r="AA41" i="9"/>
  <c r="V39" i="9"/>
  <c r="Z38" i="9"/>
  <c r="W39" i="9"/>
  <c r="X38" i="9"/>
  <c r="T39" i="9"/>
  <c r="U21" i="8"/>
  <c r="T15" i="8" l="1"/>
  <c r="T20" i="8"/>
  <c r="T25" i="8" s="1"/>
  <c r="V21" i="8"/>
  <c r="AJ14" i="8"/>
  <c r="AJ20" i="8" s="1"/>
  <c r="AJ25" i="8" s="1"/>
  <c r="AJ26" i="8" s="1"/>
  <c r="AA36" i="8"/>
  <c r="AA33" i="8"/>
  <c r="V36" i="8"/>
  <c r="V33" i="8"/>
  <c r="AC19" i="9"/>
  <c r="U29" i="8"/>
  <c r="U88" i="8" s="1"/>
  <c r="R29" i="8"/>
  <c r="R88" i="8" s="1"/>
  <c r="S26" i="8"/>
  <c r="S21" i="8"/>
  <c r="R21" i="8"/>
  <c r="AA80" i="8"/>
  <c r="R24" i="9"/>
  <c r="R29" i="9" s="1"/>
  <c r="R35" i="9" s="1"/>
  <c r="AA26" i="8"/>
  <c r="Q29" i="8"/>
  <c r="Q88" i="8" s="1"/>
  <c r="Q21" i="8"/>
  <c r="AJ80" i="8"/>
  <c r="Y40" i="9"/>
  <c r="Z40" i="9"/>
  <c r="X40" i="9"/>
  <c r="AC40" i="9"/>
  <c r="U40" i="9"/>
  <c r="V40" i="9"/>
  <c r="T40" i="9"/>
  <c r="Z39" i="9"/>
  <c r="AI125" i="8"/>
  <c r="U78" i="8"/>
  <c r="U80" i="8" s="1"/>
  <c r="Y39" i="9"/>
  <c r="V78" i="8"/>
  <c r="V80" i="8" s="1"/>
  <c r="AG104" i="8"/>
  <c r="AI104" i="8"/>
  <c r="AH104" i="8"/>
  <c r="AJ104" i="8"/>
  <c r="Z41" i="9"/>
  <c r="V26" i="8"/>
  <c r="AI110" i="8"/>
  <c r="AJ110" i="8"/>
  <c r="AE104" i="8"/>
  <c r="AG110" i="8"/>
  <c r="AE110" i="8"/>
  <c r="AH110" i="8"/>
  <c r="X110" i="8"/>
  <c r="W78" i="8"/>
  <c r="W80" i="8" s="1"/>
  <c r="T78" i="8"/>
  <c r="T80" i="8" s="1"/>
  <c r="Y41" i="9"/>
  <c r="AL91" i="8"/>
  <c r="X41" i="9"/>
  <c r="AF104" i="8"/>
  <c r="AD104" i="8"/>
  <c r="AC104" i="8"/>
  <c r="V38" i="9"/>
  <c r="U38" i="9"/>
  <c r="W38" i="9"/>
  <c r="T38" i="9"/>
  <c r="W41" i="9"/>
  <c r="AC41" i="9" s="1"/>
  <c r="T41" i="9"/>
  <c r="U41" i="9"/>
  <c r="V41" i="9"/>
  <c r="T21" i="8"/>
  <c r="T29" i="8"/>
  <c r="T88" i="8" s="1"/>
  <c r="U26" i="8"/>
  <c r="AJ15" i="8" l="1"/>
  <c r="U33" i="8"/>
  <c r="U36" i="8"/>
  <c r="Q36" i="8"/>
  <c r="Q33" i="8"/>
  <c r="R33" i="8"/>
  <c r="R36" i="8"/>
  <c r="T36" i="8"/>
  <c r="T33" i="8"/>
  <c r="AA97" i="8"/>
  <c r="AA118" i="8" s="1"/>
  <c r="V97" i="8"/>
  <c r="V118" i="8" s="1"/>
  <c r="X42" i="9"/>
  <c r="Y42" i="9"/>
  <c r="Z42" i="9"/>
  <c r="T42" i="9"/>
  <c r="AC38" i="9"/>
  <c r="W42" i="9"/>
  <c r="U42" i="9"/>
  <c r="V42" i="9"/>
  <c r="S29" i="8"/>
  <c r="S88" i="8" s="1"/>
  <c r="R26" i="8"/>
  <c r="AA30" i="8"/>
  <c r="R17" i="9"/>
  <c r="R25" i="9"/>
  <c r="Q26" i="8"/>
  <c r="AL32" i="8"/>
  <c r="AL104" i="8"/>
  <c r="AA39" i="9"/>
  <c r="AC39" i="9" s="1"/>
  <c r="AJ125" i="8"/>
  <c r="AA32" i="9"/>
  <c r="AC32" i="9" s="1"/>
  <c r="AA27" i="9"/>
  <c r="AA45" i="9"/>
  <c r="R30" i="9"/>
  <c r="R30" i="8"/>
  <c r="T26" i="8"/>
  <c r="AC110" i="8"/>
  <c r="T110" i="8"/>
  <c r="AF110" i="8"/>
  <c r="AL110" i="8" s="1"/>
  <c r="AD110" i="8"/>
  <c r="V30" i="8"/>
  <c r="U30" i="8"/>
  <c r="S36" i="8" l="1"/>
  <c r="S33" i="8"/>
  <c r="Q97" i="8"/>
  <c r="Q118" i="8" s="1"/>
  <c r="U97" i="8"/>
  <c r="U118" i="8" s="1"/>
  <c r="R97" i="8"/>
  <c r="R118" i="8" s="1"/>
  <c r="S30" i="8"/>
  <c r="AJ21" i="8"/>
  <c r="AJ29" i="8"/>
  <c r="AC27" i="9"/>
  <c r="AA6" i="9"/>
  <c r="AA10" i="9" s="1"/>
  <c r="AA16" i="9" s="1"/>
  <c r="AA24" i="9" s="1"/>
  <c r="AA29" i="9" s="1"/>
  <c r="AA35" i="9" s="1"/>
  <c r="AA42" i="9" s="1"/>
  <c r="Q30" i="8"/>
  <c r="V17" i="9"/>
  <c r="R36" i="9"/>
  <c r="R42" i="9"/>
  <c r="R50" i="9" s="1"/>
  <c r="T30" i="8"/>
  <c r="AJ88" i="8" l="1"/>
  <c r="AJ30" i="8"/>
  <c r="AJ36" i="8"/>
  <c r="AJ33" i="8"/>
  <c r="S97" i="8"/>
  <c r="S118" i="8" s="1"/>
  <c r="U17" i="9"/>
  <c r="W25" i="9"/>
  <c r="W17" i="9"/>
  <c r="T17" i="9"/>
  <c r="V25" i="9"/>
  <c r="T25" i="9"/>
  <c r="Y11" i="9"/>
  <c r="AC6" i="9"/>
  <c r="R51" i="9"/>
  <c r="T30" i="9"/>
  <c r="T97" i="8"/>
  <c r="T118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D118" i="8"/>
  <c r="AE118" i="8"/>
  <c r="AC118" i="8"/>
  <c r="T96" i="9" a="1"/>
  <c r="T96" i="9" s="1"/>
  <c r="T94" i="9"/>
  <c r="T95" i="9" a="1"/>
  <c r="T95" i="9" s="1"/>
  <c r="T93" i="9"/>
  <c r="T36" i="9"/>
  <c r="T92" i="9"/>
  <c r="B85" i="8"/>
  <c r="B84" i="8"/>
  <c r="G85" i="8"/>
  <c r="F85" i="8"/>
  <c r="E85" i="8"/>
  <c r="D85" i="8"/>
  <c r="G84" i="8"/>
  <c r="F84" i="8"/>
  <c r="E84" i="8"/>
  <c r="D84" i="8"/>
  <c r="B40" i="8"/>
  <c r="B39" i="8"/>
  <c r="AI40" i="8"/>
  <c r="AH40" i="8"/>
  <c r="AG40" i="8"/>
  <c r="AE40" i="8"/>
  <c r="AD40" i="8"/>
  <c r="AC40" i="8"/>
  <c r="AF40" i="8"/>
  <c r="AI39" i="8"/>
  <c r="AH39" i="8"/>
  <c r="AG39" i="8"/>
  <c r="AF39" i="8"/>
  <c r="AE39" i="8"/>
  <c r="AD39" i="8"/>
  <c r="AC39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C84" i="8"/>
  <c r="AC85" i="8"/>
  <c r="AF84" i="8"/>
  <c r="AG84" i="8"/>
  <c r="AG85" i="8"/>
  <c r="AH85" i="8"/>
  <c r="AE84" i="8"/>
  <c r="AH84" i="8"/>
  <c r="AE85" i="8"/>
  <c r="AD85" i="8"/>
  <c r="AI84" i="8"/>
  <c r="AF85" i="8"/>
  <c r="AD84" i="8"/>
  <c r="AI85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X77" i="8" l="1"/>
  <c r="O87" i="9" s="1"/>
  <c r="Z77" i="8"/>
  <c r="Q87" i="9" s="1"/>
  <c r="Z87" i="9" l="1"/>
  <c r="X87" i="9"/>
  <c r="X88" i="9" s="1"/>
  <c r="X97" i="9" s="1"/>
  <c r="Y55" i="8"/>
  <c r="Y77" i="8"/>
  <c r="P87" i="9" s="1"/>
  <c r="R11" i="9" l="1"/>
  <c r="R12" i="9"/>
  <c r="Y87" i="9"/>
  <c r="Y88" i="9" s="1"/>
  <c r="Y97" i="9" s="1"/>
  <c r="Z88" i="9"/>
  <c r="Z97" i="9" s="1"/>
  <c r="AD11" i="8" l="1"/>
  <c r="AD12" i="10" s="1"/>
  <c r="F55" i="8"/>
  <c r="E55" i="8"/>
  <c r="D55" i="8"/>
  <c r="G55" i="8"/>
  <c r="AD14" i="8" l="1"/>
  <c r="AE11" i="8"/>
  <c r="AE12" i="10" s="1"/>
  <c r="AE48" i="8"/>
  <c r="AE55" i="8" s="1"/>
  <c r="AE77" i="8"/>
  <c r="AC48" i="8"/>
  <c r="AC55" i="8" s="1"/>
  <c r="AE63" i="8"/>
  <c r="AE71" i="8" s="1"/>
  <c r="AD63" i="8"/>
  <c r="AD71" i="8" s="1"/>
  <c r="AD48" i="8"/>
  <c r="AD55" i="8" s="1"/>
  <c r="AC77" i="8"/>
  <c r="AC11" i="8"/>
  <c r="AC12" i="10" s="1"/>
  <c r="AC63" i="8"/>
  <c r="AC71" i="8" s="1"/>
  <c r="AD77" i="8"/>
  <c r="AG77" i="8"/>
  <c r="AG55" i="8"/>
  <c r="AH77" i="8"/>
  <c r="AG11" i="8"/>
  <c r="AG12" i="10" s="1"/>
  <c r="AG71" i="8"/>
  <c r="AH71" i="8"/>
  <c r="AF11" i="8"/>
  <c r="AF12" i="10" s="1"/>
  <c r="AH11" i="8"/>
  <c r="AH12" i="10" s="1"/>
  <c r="AH55" i="8"/>
  <c r="AD15" i="8" l="1"/>
  <c r="AD20" i="8"/>
  <c r="AD25" i="8" s="1"/>
  <c r="AD26" i="8" s="1"/>
  <c r="AG14" i="8"/>
  <c r="AH14" i="8"/>
  <c r="AF14" i="8"/>
  <c r="AF20" i="8" s="1"/>
  <c r="AF25" i="8" s="1"/>
  <c r="AF26" i="8" s="1"/>
  <c r="AC14" i="8"/>
  <c r="AE14" i="8"/>
  <c r="AL11" i="8"/>
  <c r="AL12" i="10" s="1"/>
  <c r="AE78" i="8"/>
  <c r="AE80" i="8" s="1"/>
  <c r="AC78" i="8"/>
  <c r="AC80" i="8" s="1"/>
  <c r="AD78" i="8"/>
  <c r="AD80" i="8" s="1"/>
  <c r="AG78" i="8"/>
  <c r="AG80" i="8" s="1"/>
  <c r="AH78" i="8"/>
  <c r="AH80" i="8" s="1"/>
  <c r="AE15" i="8" l="1"/>
  <c r="AE20" i="8"/>
  <c r="AE25" i="8" s="1"/>
  <c r="AE26" i="8" s="1"/>
  <c r="AG15" i="8"/>
  <c r="AG20" i="8"/>
  <c r="AG25" i="8" s="1"/>
  <c r="AG26" i="8" s="1"/>
  <c r="AC15" i="8"/>
  <c r="AC20" i="8"/>
  <c r="AC25" i="8" s="1"/>
  <c r="AC26" i="8" s="1"/>
  <c r="AH15" i="8"/>
  <c r="AH20" i="8"/>
  <c r="AH25" i="8" s="1"/>
  <c r="AH26" i="8" s="1"/>
  <c r="AF15" i="8"/>
  <c r="AL15" i="8" s="1"/>
  <c r="AL14" i="8"/>
  <c r="AD21" i="8"/>
  <c r="Z17" i="9"/>
  <c r="AC21" i="8" l="1"/>
  <c r="AD29" i="8"/>
  <c r="AH21" i="8"/>
  <c r="AG29" i="8"/>
  <c r="AF29" i="8"/>
  <c r="AL20" i="8"/>
  <c r="AG21" i="8"/>
  <c r="AF21" i="8"/>
  <c r="AL21" i="8" s="1"/>
  <c r="AE21" i="8"/>
  <c r="AH29" i="8"/>
  <c r="Z94" i="9"/>
  <c r="Z25" i="9"/>
  <c r="AF88" i="8" l="1"/>
  <c r="AF30" i="8"/>
  <c r="AG88" i="8"/>
  <c r="AG30" i="8"/>
  <c r="AH88" i="8"/>
  <c r="AH30" i="8"/>
  <c r="AD88" i="8"/>
  <c r="AD30" i="8"/>
  <c r="AF33" i="8"/>
  <c r="AF36" i="8"/>
  <c r="AH36" i="8"/>
  <c r="AH33" i="8"/>
  <c r="AG33" i="8"/>
  <c r="AG36" i="8"/>
  <c r="AD36" i="8"/>
  <c r="AD33" i="8"/>
  <c r="AC29" i="8"/>
  <c r="AE29" i="8"/>
  <c r="AL26" i="8"/>
  <c r="AL25" i="8"/>
  <c r="Z30" i="9"/>
  <c r="AE88" i="8" l="1"/>
  <c r="AE30" i="8"/>
  <c r="AC88" i="8"/>
  <c r="AC30" i="8"/>
  <c r="AE33" i="8"/>
  <c r="AE36" i="8"/>
  <c r="AC33" i="8"/>
  <c r="AC36" i="8"/>
  <c r="AL36" i="8"/>
  <c r="AL33" i="8"/>
  <c r="AL29" i="8"/>
  <c r="AL30" i="8"/>
  <c r="Z96" i="9" a="1"/>
  <c r="Z96" i="9" s="1"/>
  <c r="Z36" i="9"/>
  <c r="Z95" i="9" a="1"/>
  <c r="Z95" i="9" s="1"/>
  <c r="Z92" i="9"/>
  <c r="Z93" i="9"/>
  <c r="AF71" i="8" l="1"/>
  <c r="AL71" i="8" s="1"/>
  <c r="W11" i="8" l="1"/>
  <c r="G11" i="8"/>
  <c r="F11" i="8"/>
  <c r="E11" i="8"/>
  <c r="D11" i="8"/>
  <c r="G77" i="8"/>
  <c r="F87" i="9" s="1"/>
  <c r="F77" i="8"/>
  <c r="E87" i="9" s="1"/>
  <c r="E77" i="8"/>
  <c r="D87" i="9" s="1"/>
  <c r="D77" i="8"/>
  <c r="C87" i="9" s="1"/>
  <c r="Z71" i="8"/>
  <c r="Q69" i="9" s="1"/>
  <c r="Z69" i="9" s="1"/>
  <c r="X71" i="8"/>
  <c r="O69" i="9" s="1"/>
  <c r="X69" i="9" s="1"/>
  <c r="AI11" i="8"/>
  <c r="AI12" i="10" s="1"/>
  <c r="P88" i="9"/>
  <c r="P97" i="9" s="1"/>
  <c r="H88" i="9"/>
  <c r="H97" i="9" s="1"/>
  <c r="F14" i="8" l="1"/>
  <c r="D14" i="8"/>
  <c r="E14" i="8"/>
  <c r="G14" i="8"/>
  <c r="AI14" i="8"/>
  <c r="W14" i="8"/>
  <c r="D12" i="10"/>
  <c r="E12" i="10"/>
  <c r="F12" i="10"/>
  <c r="G12" i="10"/>
  <c r="W12" i="10"/>
  <c r="D71" i="8"/>
  <c r="C69" i="9" s="1"/>
  <c r="F71" i="8"/>
  <c r="E69" i="9" s="1"/>
  <c r="E71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F77" i="8"/>
  <c r="Y71" i="8"/>
  <c r="P69" i="9" s="1"/>
  <c r="Y69" i="9" s="1"/>
  <c r="AI71" i="8"/>
  <c r="AI77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W15" i="8" l="1"/>
  <c r="W20" i="8"/>
  <c r="W25" i="8" s="1"/>
  <c r="AI15" i="8"/>
  <c r="AI20" i="8"/>
  <c r="AI25" i="8" s="1"/>
  <c r="AI26" i="8" s="1"/>
  <c r="G15" i="8"/>
  <c r="G20" i="8"/>
  <c r="G25" i="8" s="1"/>
  <c r="G29" i="8" s="1"/>
  <c r="G88" i="8" s="1"/>
  <c r="E15" i="8"/>
  <c r="E20" i="8"/>
  <c r="E25" i="8" s="1"/>
  <c r="E29" i="8" s="1"/>
  <c r="E88" i="8" s="1"/>
  <c r="D15" i="8"/>
  <c r="D20" i="8"/>
  <c r="D25" i="8" s="1"/>
  <c r="D29" i="8" s="1"/>
  <c r="D88" i="8" s="1"/>
  <c r="F15" i="8"/>
  <c r="F20" i="8"/>
  <c r="F25" i="8" s="1"/>
  <c r="AF78" i="8"/>
  <c r="AL78" i="8" s="1"/>
  <c r="AL77" i="8"/>
  <c r="E78" i="8"/>
  <c r="E80" i="8" s="1"/>
  <c r="Z29" i="8"/>
  <c r="Z88" i="8" s="1"/>
  <c r="D78" i="8"/>
  <c r="D80" i="8" s="1"/>
  <c r="O88" i="9"/>
  <c r="O97" i="9" s="1"/>
  <c r="X78" i="8"/>
  <c r="X80" i="8" s="1"/>
  <c r="AL48" i="8"/>
  <c r="Z78" i="8"/>
  <c r="Z80" i="8" s="1"/>
  <c r="F78" i="8"/>
  <c r="F80" i="8" s="1"/>
  <c r="G78" i="8"/>
  <c r="G80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I5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W21" i="8" l="1"/>
  <c r="F21" i="8"/>
  <c r="E36" i="8"/>
  <c r="E33" i="8"/>
  <c r="D33" i="8"/>
  <c r="D36" i="8"/>
  <c r="G33" i="8"/>
  <c r="G36" i="8"/>
  <c r="Z33" i="8"/>
  <c r="Z36" i="8"/>
  <c r="R92" i="9"/>
  <c r="M17" i="9"/>
  <c r="M25" i="9"/>
  <c r="Z21" i="8"/>
  <c r="G21" i="8"/>
  <c r="D21" i="8"/>
  <c r="F29" i="8"/>
  <c r="F88" i="8" s="1"/>
  <c r="W29" i="8"/>
  <c r="W88" i="8" s="1"/>
  <c r="E21" i="8"/>
  <c r="AF55" i="8"/>
  <c r="AI29" i="8"/>
  <c r="E26" i="8"/>
  <c r="Z26" i="8"/>
  <c r="AI21" i="8"/>
  <c r="G26" i="8"/>
  <c r="AI78" i="8"/>
  <c r="Y78" i="8"/>
  <c r="Y80" i="8" s="1"/>
  <c r="O17" i="9"/>
  <c r="K17" i="9"/>
  <c r="G30" i="8"/>
  <c r="D26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I88" i="8" l="1"/>
  <c r="AI30" i="8"/>
  <c r="W33" i="8"/>
  <c r="W36" i="8"/>
  <c r="F33" i="8"/>
  <c r="F36" i="8"/>
  <c r="AI36" i="8"/>
  <c r="AI33" i="8"/>
  <c r="Z97" i="8"/>
  <c r="Z118" i="8" s="1"/>
  <c r="G97" i="8"/>
  <c r="G118" i="8" s="1"/>
  <c r="E97" i="8"/>
  <c r="D97" i="8"/>
  <c r="AF80" i="8"/>
  <c r="AL55" i="8"/>
  <c r="F26" i="8"/>
  <c r="F30" i="8"/>
  <c r="W26" i="8"/>
  <c r="E30" i="8"/>
  <c r="Z30" i="8"/>
  <c r="D30" i="8"/>
  <c r="AI80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97" i="8" l="1"/>
  <c r="F118" i="8" s="1"/>
  <c r="W97" i="8"/>
  <c r="W118" i="8" s="1"/>
  <c r="AF118" i="8" s="1"/>
  <c r="W30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18" i="8"/>
  <c r="D118" i="8"/>
  <c r="AE97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F97" i="8" l="1"/>
  <c r="AC97" i="8"/>
  <c r="AD97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14" i="8" l="1"/>
  <c r="D119" i="8" s="1"/>
  <c r="D121" i="8" s="1"/>
  <c r="E112" i="8" l="1"/>
  <c r="E114" i="8" s="1"/>
  <c r="E119" i="8" s="1"/>
  <c r="E121" i="8" s="1"/>
  <c r="F112" i="8" l="1"/>
  <c r="F114" i="8" l="1"/>
  <c r="F119" i="8" l="1"/>
  <c r="F121" i="8" s="1"/>
  <c r="G112" i="8" l="1"/>
  <c r="G114" i="8" s="1"/>
  <c r="G119" i="8" s="1"/>
  <c r="Q114" i="8"/>
  <c r="Q119" i="8" s="1"/>
  <c r="G121" i="8" l="1"/>
  <c r="Q121" i="8"/>
  <c r="R112" i="8"/>
  <c r="R114" i="8" s="1"/>
  <c r="R119" i="8" s="1"/>
  <c r="AD112" i="8"/>
  <c r="R121" i="8" l="1"/>
  <c r="S112" i="8"/>
  <c r="S114" i="8" s="1"/>
  <c r="S119" i="8" s="1"/>
  <c r="S121" i="8" s="1"/>
  <c r="AE112" i="8"/>
  <c r="AF112" i="8" l="1"/>
  <c r="T112" i="8"/>
  <c r="T114" i="8" s="1"/>
  <c r="T119" i="8" s="1"/>
  <c r="T121" i="8" s="1"/>
  <c r="AG112" i="8" l="1"/>
  <c r="U112" i="8"/>
  <c r="U114" i="8" s="1"/>
  <c r="U119" i="8" s="1"/>
  <c r="U121" i="8" s="1"/>
  <c r="AH112" i="8" l="1"/>
  <c r="AD114" i="8"/>
  <c r="AD119" i="8" s="1"/>
  <c r="AD121" i="8" s="1"/>
  <c r="V112" i="8"/>
  <c r="V114" i="8" s="1"/>
  <c r="V119" i="8" s="1"/>
  <c r="V121" i="8" s="1"/>
  <c r="AI112" i="8" l="1"/>
  <c r="AE114" i="8"/>
  <c r="AE119" i="8" s="1"/>
  <c r="AE121" i="8" s="1"/>
  <c r="W112" i="8"/>
  <c r="W114" i="8" s="1"/>
  <c r="W119" i="8" s="1"/>
  <c r="W121" i="8" s="1"/>
  <c r="AJ112" i="8" l="1"/>
  <c r="AF114" i="8"/>
  <c r="AF119" i="8" s="1"/>
  <c r="AF121" i="8" s="1"/>
  <c r="X112" i="8"/>
  <c r="X114" i="8" s="1"/>
  <c r="Y11" i="8" l="1"/>
  <c r="Y14" i="8" l="1"/>
  <c r="Y12" i="10"/>
  <c r="Y15" i="8" l="1"/>
  <c r="Y20" i="8"/>
  <c r="Y25" i="8" s="1"/>
  <c r="Y29" i="8" s="1"/>
  <c r="Y88" i="8" s="1"/>
  <c r="Y33" i="8" l="1"/>
  <c r="Y36" i="8"/>
  <c r="Y21" i="8"/>
  <c r="Y26" i="8"/>
  <c r="Y30" i="8" l="1"/>
  <c r="Y97" i="8" l="1"/>
  <c r="Y118" i="8" s="1"/>
  <c r="X11" i="8"/>
  <c r="X14" i="8" l="1"/>
  <c r="X12" i="10"/>
  <c r="X15" i="8" l="1"/>
  <c r="X20" i="8"/>
  <c r="X25" i="8" s="1"/>
  <c r="X29" i="8" s="1"/>
  <c r="X88" i="8" s="1"/>
  <c r="X33" i="8" l="1"/>
  <c r="X36" i="8"/>
  <c r="X21" i="8"/>
  <c r="X26" i="8"/>
  <c r="X30" i="8" l="1"/>
  <c r="AJ97" i="8" l="1"/>
  <c r="AL97" i="8" s="1"/>
  <c r="AL88" i="8"/>
  <c r="AG97" i="8"/>
  <c r="AH97" i="8"/>
  <c r="X97" i="8"/>
  <c r="X118" i="8" s="1"/>
  <c r="X119" i="8" l="1"/>
  <c r="X121" i="8" s="1"/>
  <c r="AJ118" i="8"/>
  <c r="AI118" i="8"/>
  <c r="AH118" i="8"/>
  <c r="AG118" i="8"/>
  <c r="AG114" i="8"/>
  <c r="AI97" i="8"/>
  <c r="Y112" i="8" l="1"/>
  <c r="Y114" i="8" s="1"/>
  <c r="Y119" i="8" s="1"/>
  <c r="Y121" i="8" s="1"/>
  <c r="AG119" i="8"/>
  <c r="AG121" i="8" s="1"/>
  <c r="AH114" i="8"/>
  <c r="AH119" i="8" s="1"/>
  <c r="AH121" i="8" s="1"/>
  <c r="Z112" i="8" l="1"/>
  <c r="Z114" i="8" s="1"/>
  <c r="Z119" i="8" s="1"/>
  <c r="Z121" i="8" s="1"/>
  <c r="AI114" i="8"/>
  <c r="AI119" i="8" s="1"/>
  <c r="AI121" i="8" s="1"/>
  <c r="AC114" i="8"/>
  <c r="AC119" i="8" s="1"/>
  <c r="AC121" i="8" s="1"/>
  <c r="AA112" i="8" l="1"/>
  <c r="AA114" i="8" s="1"/>
  <c r="AA119" i="8" s="1"/>
  <c r="AJ114" i="8"/>
  <c r="AJ119" i="8" s="1"/>
  <c r="AJ121" i="8" s="1"/>
  <c r="AA121" i="8" l="1"/>
  <c r="C88" i="9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<sst xmlns="http://schemas.openxmlformats.org/spreadsheetml/2006/main" count="247" uniqueCount="197">
  <si>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</si>
  <si>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</si>
  <si>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</si>
  <si>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</si>
  <si>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</si>
  <si>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</si>
  <si>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</si>
  <si>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</si>
  <si>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</si>
  <si>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</si>
  <si>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</si>
  <si>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</si>
  <si>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</si>
  <si>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</si>
  <si>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</si>
  <si>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</si>
  <si>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</si>
  <si>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</si>
  <si>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</si>
  <si>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</si>
  <si>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</si>
  <si>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</si>
  <si>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</si>
  <si>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</si>
  <si>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</si>
  <si>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</si>
  <si>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</si>
  <si>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</si>
  <si>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</si>
  <si>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</si>
  <si>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</si>
  <si>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</si>
  <si>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</si>
  <si>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</si>
  <si>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</si>
  <si>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</si>
  <si>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</si>
  <si>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</si>
  <si>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</si>
  <si>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</si>
  <si>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</si>
  <si>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</si>
  <si>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</si>
  <si>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</si>
  <si>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</si>
  <si>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</si>
  <si>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</si>
  <si>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</si>
  <si>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</si>
  <si>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</si>
  <si>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</si>
  <si>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</si>
  <si>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</si>
  <si>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</si>
  <si>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</si>
  <si>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</si>
  <si>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</si>
  <si>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</si>
  <si>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</si>
  <si>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</si>
  <si>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</si>
  <si>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</si>
  <si>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</si>
  <si>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</si>
  <si>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</si>
  <si>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</si>
  <si>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</si>
  <si>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</si>
  <si>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</si>
  <si>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</si>
  <si>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</si>
  <si>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</si>
  <si>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</si>
  <si>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</si>
  <si>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</si>
  <si>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</si>
  <si>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</si>
  <si>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</si>
  <si>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</si>
  <si>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</si>
  <si>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</si>
  <si>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</si>
  <si>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</si>
  <si>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</si>
  <si>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</si>
  <si>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</si>
  <si>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</si>
  <si>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</si>
  <si>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</si>
  <si>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</si>
  <si>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</si>
  <si>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</si>
  <si>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</si>
  <si>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</si>
  <si>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</si>
  <si>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</si>
  <si>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</si>
  <si>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</si>
  <si>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</si>
  <si>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</si>
  <si>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</si>
  <si>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</si>
  <si>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</si>
  <si>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</si>
  <si>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</si>
  <si>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</si>
  <si>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</si>
  <si>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</si>
  <si>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</si>
  <si>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</si>
  <si>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</si>
  <si>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</si>
  <si>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</si>
  <si>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</si>
  <si>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</si>
  <si>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</si>
  <si>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</si>
  <si>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</si>
  <si>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</si>
  <si>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</si>
  <si>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</si>
  <si>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</si>
  <si>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</si>
  <si>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</si>
  <si>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</si>
  <si>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</si>
  <si>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</si>
  <si>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</si>
  <si>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</si>
  <si>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</si>
  <si>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</si>
  <si>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</si>
  <si>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</si>
  <si>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</si>
  <si>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</si>
  <si>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</si>
  <si>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</si>
  <si>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</si>
  <si>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</si>
  <si>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</si>
  <si>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</si>
  <si>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</si>
  <si>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</si>
  <si>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</si>
  <si>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</si>
  <si>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</si>
  <si>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</si>
  <si>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</si>
  <si>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</si>
  <si>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</si>
  <si>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</si>
  <si>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</si>
  <si>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</si>
  <si>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</si>
  <si>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</si>
  <si>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</si>
  <si>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</si>
  <si>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</si>
  <si>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</si>
  <si>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</si>
  <si>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</si>
  <si>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4Q22</t>
  </si>
  <si>
    <t>1Q22</t>
  </si>
  <si>
    <t>2Q22</t>
  </si>
  <si>
    <t>3Q22</t>
  </si>
  <si>
    <t>Cost Of Sales</t>
  </si>
  <si>
    <t>R&amp;D</t>
  </si>
  <si>
    <t>Sales &amp; Marketing</t>
  </si>
  <si>
    <t>Interest Income</t>
  </si>
  <si>
    <t>A/R</t>
  </si>
  <si>
    <t>Other LT Assets</t>
  </si>
  <si>
    <t>A/P</t>
  </si>
  <si>
    <t>4Q21</t>
  </si>
  <si>
    <t>3Q21</t>
  </si>
  <si>
    <t>2Q21</t>
  </si>
  <si>
    <t>1Q21</t>
  </si>
  <si>
    <t>Other Income</t>
  </si>
  <si>
    <t>U.S. Revenues</t>
  </si>
  <si>
    <t>Rest of World Revenues</t>
  </si>
  <si>
    <t>ST Operating Lease Liabilities</t>
  </si>
  <si>
    <t>LT Operating Lease Liabilities</t>
  </si>
  <si>
    <t>Government</t>
  </si>
  <si>
    <t>Commercial</t>
  </si>
  <si>
    <t>U.K. Revenues</t>
  </si>
  <si>
    <t>G&amp;A</t>
  </si>
  <si>
    <t>C &amp; C.E.'s</t>
  </si>
  <si>
    <t>Marketable Securities</t>
  </si>
  <si>
    <t>ST Restricted Cash</t>
  </si>
  <si>
    <t>ST Prepaid Expenses</t>
  </si>
  <si>
    <t>LT Restricted Cash</t>
  </si>
  <si>
    <t>LT Operating Leases</t>
  </si>
  <si>
    <t>ST Liabilities</t>
  </si>
  <si>
    <t>ST Deffered Revenues</t>
  </si>
  <si>
    <t>ST Customer Deposits</t>
  </si>
  <si>
    <t>LT Deffered Revenues</t>
  </si>
  <si>
    <t>LT Customer Deposits</t>
  </si>
  <si>
    <t>Palantir Technologies Inc (NASDAQ: PLTR)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</si>
</sst>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42"/>
  <sheetViews>
    <sheetView showGridLines="0" tabSelected="1" zoomScale="115" zoomScaleNormal="115" workbookViewId="0">
      <selection activeCell="C20" sqref="C20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7.875" style="5" bestFit="1" customWidth="1" outlineLevel="1"/>
    <col min="4" max="4" width="9" style="5" customWidth="1" outlineLevel="1"/>
    <col min="5" max="7" width="9" style="5" bestFit="1" customWidth="1"/>
    <col min="8" max="8" width="1.5" style="5" customWidth="1"/>
    <col min="9" max="20" width="8.875" style="5" customWidth="1" outlineLevel="2"/>
    <col min="21" max="22" width="8.875" style="5" customWidth="1" outlineLevel="1"/>
    <col min="23" max="27" width="8.875" style="5" bestFit="1" customWidth="1"/>
    <col min="28" max="28" width="1.5" style="5" customWidth="1"/>
    <col min="29" max="31" width="8.75" style="5" customWidth="1" outlineLevel="1"/>
    <col min="32" max="32" width="9" style="5" bestFit="1" customWidth="1"/>
    <col min="33" max="35" width="9" style="5" customWidth="1" outlineLevel="1"/>
    <col min="36" max="36" width="9" style="5" bestFit="1" customWidth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196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 t="s">
        <v>1</v>
      </c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2" t="s">
        <v>22</v>
      </c>
    </row>
    <row r="7" spans="1:38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175</v>
      </c>
      <c r="J7" s="4" t="s">
        <v>174</v>
      </c>
      <c r="K7" s="4" t="s">
        <v>173</v>
      </c>
      <c r="L7" s="4" t="s">
        <v>172</v>
      </c>
      <c r="M7" s="4" t="s">
        <v>162</v>
      </c>
      <c r="N7" s="4" t="s">
        <v>163</v>
      </c>
      <c r="O7" s="4" t="s">
        <v>164</v>
      </c>
      <c r="P7" s="4" t="s">
        <v>161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>T7</f>
        <v>4Q23</v>
      </c>
      <c r="AD7" s="4" t="str">
        <f>U7</f>
        <v>1Q24</v>
      </c>
      <c r="AE7" s="4" t="str">
        <f>V7</f>
        <v>2Q24</v>
      </c>
      <c r="AF7" s="4" t="str">
        <f>W7</f>
        <v>3Q24</v>
      </c>
      <c r="AG7" s="4" t="str">
        <f>X7</f>
        <v>4Q24</v>
      </c>
      <c r="AH7" s="4" t="str">
        <f>Y7</f>
        <v>1Q25</v>
      </c>
      <c r="AI7" s="4" t="str">
        <f>Z7</f>
        <v>2Q25</v>
      </c>
      <c r="AJ7" s="4" t="str">
        <f>AA7</f>
        <v>3Q25</v>
      </c>
      <c r="AK7" s="38"/>
      <c r="AL7" s="162"/>
    </row>
    <row r="8" spans="1:38" ht="12.75" customHeight="1">
      <c r="B8" s="6" t="s">
        <v>76</v>
      </c>
      <c r="C8" s="3"/>
      <c r="D8" s="3"/>
      <c r="E8" s="3"/>
      <c r="F8" s="85"/>
      <c r="G8" s="85"/>
      <c r="H8" s="3"/>
      <c r="I8" s="3"/>
      <c r="J8" s="3"/>
      <c r="K8" s="3"/>
      <c r="L8" s="3">
        <f>D8</f>
        <v>0</v>
      </c>
      <c r="M8" s="3"/>
      <c r="N8" s="3"/>
      <c r="O8" s="3"/>
      <c r="P8" s="3">
        <f>E8</f>
        <v>0</v>
      </c>
      <c r="Q8" s="3"/>
      <c r="R8" s="3"/>
      <c r="S8" s="3"/>
      <c r="T8" s="3">
        <f>F8</f>
        <v>0</v>
      </c>
      <c r="U8" s="3"/>
      <c r="V8" s="3"/>
      <c r="W8" s="3"/>
      <c r="X8" s="3">
        <f>G8</f>
        <v>0</v>
      </c>
      <c r="Y8" s="3"/>
      <c r="Z8" s="3"/>
      <c r="AA8" s="3"/>
      <c r="AB8" s="3"/>
      <c r="AC8" s="3">
        <f>T8</f>
        <v>0</v>
      </c>
      <c r="AD8" s="3">
        <f>U8</f>
        <v>0</v>
      </c>
      <c r="AE8" s="3">
        <f>V8</f>
        <v>0</v>
      </c>
      <c r="AF8" s="3">
        <f>W8</f>
        <v>0</v>
      </c>
      <c r="AG8" s="3">
        <f>X8</f>
        <v>0</v>
      </c>
      <c r="AH8" s="3">
        <f>Y8</f>
        <v>0</v>
      </c>
      <c r="AI8" s="3">
        <f>Z8</f>
        <v>0</v>
      </c>
      <c r="AJ8" s="3">
        <f>AA8</f>
        <v>0</v>
      </c>
      <c r="AK8" s="38"/>
      <c r="AL8" s="162"/>
    </row>
    <row r="9" spans="1:38" ht="5.0999999999999996" customHeight="1">
      <c r="AL9" s="100"/>
    </row>
    <row r="10" spans="1:38" ht="12.75" customHeight="1">
      <c r="B10" s="9" t="s">
        <v>56</v>
      </c>
      <c r="C10" s="95">
        <v>1093</v>
      </c>
      <c r="D10" s="95">
        <v>1542</v>
      </c>
      <c r="E10" s="95">
        <v>1906</v>
      </c>
      <c r="F10" s="95">
        <v>2225</v>
      </c>
      <c r="G10" s="95">
        <v>2866</v>
      </c>
      <c r="H10" s="11"/>
      <c r="I10" s="95">
        <v>341</v>
      </c>
      <c r="J10" s="95">
        <v>376</v>
      </c>
      <c r="K10" s="95">
        <v>392</v>
      </c>
      <c r="L10" s="32">
        <v>433</v>
      </c>
      <c r="M10" s="95">
        <v>446</v>
      </c>
      <c r="N10" s="95">
        <v>473</v>
      </c>
      <c r="O10" s="95">
        <v>478</v>
      </c>
      <c r="P10" s="32">
        <v>509</v>
      </c>
      <c r="Q10" s="95">
        <v>525</v>
      </c>
      <c r="R10" s="95">
        <v>533</v>
      </c>
      <c r="S10" s="95">
        <v>558</v>
      </c>
      <c r="T10" s="32">
        <v>608</v>
      </c>
      <c r="U10" s="95">
        <v>634</v>
      </c>
      <c r="V10" s="95">
        <v>678</v>
      </c>
      <c r="W10" s="95">
        <v>726</v>
      </c>
      <c r="X10" s="32">
        <v>828</v>
      </c>
      <c r="Y10" s="82">
        <v>884</v>
      </c>
      <c r="Z10" s="82">
        <v>1004</v>
      </c>
      <c r="AA10" s="82">
        <v>1181</v>
      </c>
      <c r="AC10" s="32">
        <f>SUM(Q10:T10)</f>
        <v>2224</v>
      </c>
      <c r="AD10" s="32">
        <f>SUM(R10:U10)</f>
        <v>2333</v>
      </c>
      <c r="AE10" s="32">
        <f>SUM(S10:V10)</f>
        <v>2478</v>
      </c>
      <c r="AF10" s="32">
        <f>SUM(T10:W10)</f>
        <v>2646</v>
      </c>
      <c r="AG10" s="32">
        <f>SUM(U10:X10)</f>
        <v>2866</v>
      </c>
      <c r="AH10" s="32">
        <f>SUM(V10:Y10)</f>
        <v>3116</v>
      </c>
      <c r="AI10" s="32">
        <f>SUM(W10:Z10)</f>
        <v>3442</v>
      </c>
      <c r="AJ10" s="32">
        <f>SUM(X10:AA10)</f>
        <v>3897</v>
      </c>
      <c r="AK10" s="40"/>
      <c r="AL10" s="12">
        <f>SUM(AJ10/AF10)-1</f>
        <v>0.47278911564625847</v>
      </c>
    </row>
    <row r="11" spans="1:38" ht="12.75" customHeight="1">
      <c r="B11" s="13" t="s">
        <v>12</v>
      </c>
      <c r="C11" s="14">
        <f t="shared" ref="C11" si="0">+SUM(C10:C10)</f>
        <v>1093</v>
      </c>
      <c r="D11" s="14">
        <f t="shared" ref="D11:G11" si="1">+SUM(D10:D10)</f>
        <v>1542</v>
      </c>
      <c r="E11" s="14">
        <f t="shared" si="1"/>
        <v>1906</v>
      </c>
      <c r="F11" s="14">
        <f t="shared" si="1"/>
        <v>2225</v>
      </c>
      <c r="G11" s="14">
        <f t="shared" si="1"/>
        <v>2866</v>
      </c>
      <c r="H11" s="11"/>
      <c r="I11" s="14">
        <f t="shared" ref="I11:L11" si="2">+SUM(I10:I10)</f>
        <v>341</v>
      </c>
      <c r="J11" s="14">
        <f t="shared" si="2"/>
        <v>376</v>
      </c>
      <c r="K11" s="14">
        <f t="shared" si="2"/>
        <v>392</v>
      </c>
      <c r="L11" s="14">
        <f t="shared" si="2"/>
        <v>433</v>
      </c>
      <c r="M11" s="14">
        <f t="shared" ref="M11:P11" si="3">+SUM(M10:M10)</f>
        <v>446</v>
      </c>
      <c r="N11" s="14">
        <f t="shared" ref="N11" si="4">+SUM(N10:N10)</f>
        <v>473</v>
      </c>
      <c r="O11" s="14">
        <f t="shared" si="3"/>
        <v>478</v>
      </c>
      <c r="P11" s="14">
        <f t="shared" si="3"/>
        <v>509</v>
      </c>
      <c r="Q11" s="14">
        <f t="shared" ref="Q11:Z11" si="5">+SUM(Q10:Q10)</f>
        <v>525</v>
      </c>
      <c r="R11" s="14">
        <f t="shared" si="5"/>
        <v>533</v>
      </c>
      <c r="S11" s="14">
        <f t="shared" si="5"/>
        <v>558</v>
      </c>
      <c r="T11" s="14">
        <f t="shared" si="5"/>
        <v>608</v>
      </c>
      <c r="U11" s="14">
        <f t="shared" si="5"/>
        <v>634</v>
      </c>
      <c r="V11" s="14">
        <f t="shared" si="5"/>
        <v>678</v>
      </c>
      <c r="W11" s="14">
        <f t="shared" si="5"/>
        <v>726</v>
      </c>
      <c r="X11" s="14">
        <f t="shared" si="5"/>
        <v>828</v>
      </c>
      <c r="Y11" s="14">
        <f t="shared" si="5"/>
        <v>884</v>
      </c>
      <c r="Z11" s="14">
        <f t="shared" si="5"/>
        <v>1004</v>
      </c>
      <c r="AA11" s="14">
        <f>+SUM(AA10:AA10)</f>
        <v>1181</v>
      </c>
      <c r="AC11" s="14">
        <f t="shared" ref="AC11:AI11" si="6">+SUM(AC10:AC10)</f>
        <v>2224</v>
      </c>
      <c r="AD11" s="14">
        <f t="shared" si="6"/>
        <v>2333</v>
      </c>
      <c r="AE11" s="14">
        <f t="shared" si="6"/>
        <v>2478</v>
      </c>
      <c r="AF11" s="14">
        <f t="shared" si="6"/>
        <v>2646</v>
      </c>
      <c r="AG11" s="14">
        <f t="shared" si="6"/>
        <v>2866</v>
      </c>
      <c r="AH11" s="14">
        <f t="shared" si="6"/>
        <v>3116</v>
      </c>
      <c r="AI11" s="14">
        <f t="shared" si="6"/>
        <v>3442</v>
      </c>
      <c r="AJ11" s="14">
        <f>+SUM(AJ10:AJ10)</f>
        <v>3897</v>
      </c>
      <c r="AK11" s="40"/>
      <c r="AL11" s="15">
        <f>SUM(AJ11/AF11)-1</f>
        <v>0.47278911564625847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165</v>
      </c>
      <c r="C13" s="82">
        <v>-353</v>
      </c>
      <c r="D13" s="82">
        <v>-339</v>
      </c>
      <c r="E13" s="82">
        <v>-409</v>
      </c>
      <c r="F13" s="82">
        <v>-431</v>
      </c>
      <c r="G13" s="82">
        <v>-566</v>
      </c>
      <c r="H13" s="32"/>
      <c r="I13" s="82">
        <v>-74</v>
      </c>
      <c r="J13" s="82">
        <v>-91</v>
      </c>
      <c r="K13" s="82">
        <v>-87</v>
      </c>
      <c r="L13" s="82">
        <v>-88</v>
      </c>
      <c r="M13" s="82">
        <v>-94</v>
      </c>
      <c r="N13" s="82">
        <v>-102</v>
      </c>
      <c r="O13" s="82">
        <v>-108</v>
      </c>
      <c r="P13" s="82">
        <v>-104</v>
      </c>
      <c r="Q13" s="82">
        <v>-108</v>
      </c>
      <c r="R13" s="82">
        <v>-107</v>
      </c>
      <c r="S13" s="82">
        <v>-108</v>
      </c>
      <c r="T13" s="82">
        <v>-109</v>
      </c>
      <c r="U13" s="82">
        <v>-116</v>
      </c>
      <c r="V13" s="82">
        <v>-129</v>
      </c>
      <c r="W13" s="82">
        <v>-147</v>
      </c>
      <c r="X13" s="82">
        <v>-175</v>
      </c>
      <c r="Y13" s="82">
        <v>-173</v>
      </c>
      <c r="Z13" s="82">
        <v>-193</v>
      </c>
      <c r="AA13" s="82">
        <v>-207</v>
      </c>
      <c r="AB13" s="5"/>
      <c r="AC13" s="32">
        <f>SUM(Q13:T13)</f>
        <v>-432</v>
      </c>
      <c r="AD13" s="32">
        <f>SUM(R13:U13)</f>
        <v>-440</v>
      </c>
      <c r="AE13" s="32">
        <f>SUM(S13:V13)</f>
        <v>-462</v>
      </c>
      <c r="AF13" s="32">
        <f>SUM(T13:W13)</f>
        <v>-501</v>
      </c>
      <c r="AG13" s="32">
        <f>SUM(U13:X13)</f>
        <v>-567</v>
      </c>
      <c r="AH13" s="32">
        <f>SUM(V13:Y13)</f>
        <v>-624</v>
      </c>
      <c r="AI13" s="32">
        <f>SUM(W13:Z13)</f>
        <v>-688</v>
      </c>
      <c r="AJ13" s="32">
        <f>SUM(X13:AA13)</f>
        <v>-748</v>
      </c>
      <c r="AK13" s="11"/>
      <c r="AL13" s="75">
        <f t="shared" ref="AL13" si="7">SUM(AJ13/AF13)-1</f>
        <v>0.49301397205588815</v>
      </c>
    </row>
    <row r="14" spans="1:38" s="20" customFormat="1">
      <c r="B14" s="25" t="s">
        <v>20</v>
      </c>
      <c r="C14" s="26">
        <f>SUM(C11+C13)</f>
        <v>740</v>
      </c>
      <c r="D14" s="26">
        <f t="shared" ref="D14:G14" si="8">SUM(D11+D13)</f>
        <v>1203</v>
      </c>
      <c r="E14" s="26">
        <f t="shared" si="8"/>
        <v>1497</v>
      </c>
      <c r="F14" s="26">
        <f t="shared" si="8"/>
        <v>1794</v>
      </c>
      <c r="G14" s="26">
        <f t="shared" si="8"/>
        <v>2300</v>
      </c>
      <c r="H14" s="32"/>
      <c r="I14" s="26">
        <f t="shared" ref="I14" si="9">SUM(I11+I13)</f>
        <v>267</v>
      </c>
      <c r="J14" s="26">
        <f t="shared" ref="J14" si="10">SUM(J11+J13)</f>
        <v>285</v>
      </c>
      <c r="K14" s="26">
        <f t="shared" ref="K14" si="11">SUM(K11+K13)</f>
        <v>305</v>
      </c>
      <c r="L14" s="26">
        <f t="shared" ref="L14" si="12">SUM(L11+L13)</f>
        <v>345</v>
      </c>
      <c r="M14" s="26">
        <f t="shared" ref="M14" si="13">SUM(M11+M13)</f>
        <v>352</v>
      </c>
      <c r="N14" s="26">
        <f t="shared" ref="N14" si="14">SUM(N11+N13)</f>
        <v>371</v>
      </c>
      <c r="O14" s="26">
        <f t="shared" ref="O14" si="15">SUM(O11+O13)</f>
        <v>370</v>
      </c>
      <c r="P14" s="26">
        <f t="shared" ref="P14" si="16">SUM(P11+P13)</f>
        <v>405</v>
      </c>
      <c r="Q14" s="26">
        <f t="shared" ref="Q14" si="17">SUM(Q11+Q13)</f>
        <v>417</v>
      </c>
      <c r="R14" s="26">
        <f t="shared" ref="R14" si="18">SUM(R11+R13)</f>
        <v>426</v>
      </c>
      <c r="S14" s="26">
        <f t="shared" ref="S14" si="19">SUM(S11+S13)</f>
        <v>450</v>
      </c>
      <c r="T14" s="26">
        <f t="shared" ref="T14" si="20">SUM(T11+T13)</f>
        <v>499</v>
      </c>
      <c r="U14" s="26">
        <f t="shared" ref="U14" si="21">SUM(U11+U13)</f>
        <v>518</v>
      </c>
      <c r="V14" s="26">
        <f t="shared" ref="V14" si="22">SUM(V11+V13)</f>
        <v>549</v>
      </c>
      <c r="W14" s="26">
        <f t="shared" ref="W14" si="23">SUM(W11+W13)</f>
        <v>579</v>
      </c>
      <c r="X14" s="26">
        <f t="shared" ref="X14" si="24">SUM(X11+X13)</f>
        <v>653</v>
      </c>
      <c r="Y14" s="26">
        <f t="shared" ref="Y14" si="25">SUM(Y11+Y13)</f>
        <v>711</v>
      </c>
      <c r="Z14" s="26">
        <f t="shared" ref="Z14" si="26">SUM(Z11+Z13)</f>
        <v>811</v>
      </c>
      <c r="AA14" s="26">
        <f t="shared" ref="AA14" si="27">SUM(AA11+AA13)</f>
        <v>974</v>
      </c>
      <c r="AB14" s="5"/>
      <c r="AC14" s="26">
        <f t="shared" ref="AC14" si="28">SUM(AC11+AC13)</f>
        <v>1792</v>
      </c>
      <c r="AD14" s="26">
        <f t="shared" ref="AD14" si="29">SUM(AD11+AD13)</f>
        <v>1893</v>
      </c>
      <c r="AE14" s="26">
        <f t="shared" ref="AE14" si="30">SUM(AE11+AE13)</f>
        <v>2016</v>
      </c>
      <c r="AF14" s="26">
        <f t="shared" ref="AF14" si="31">SUM(AF11+AF13)</f>
        <v>2145</v>
      </c>
      <c r="AG14" s="26">
        <f t="shared" ref="AG14" si="32">SUM(AG11+AG13)</f>
        <v>2299</v>
      </c>
      <c r="AH14" s="26">
        <f t="shared" ref="AH14" si="33">SUM(AH11+AH13)</f>
        <v>2492</v>
      </c>
      <c r="AI14" s="26">
        <f t="shared" ref="AI14" si="34">SUM(AI11+AI13)</f>
        <v>2754</v>
      </c>
      <c r="AJ14" s="26">
        <f t="shared" ref="AJ14" si="35">SUM(AJ11+AJ13)</f>
        <v>3149</v>
      </c>
      <c r="AK14" s="11"/>
      <c r="AL14" s="76">
        <f>SUM(AJ14/AF14)-1</f>
        <v>0.46806526806526816</v>
      </c>
    </row>
    <row r="15" spans="1:38" s="20" customFormat="1">
      <c r="B15" s="16" t="s">
        <v>29</v>
      </c>
      <c r="C15" s="17">
        <f>C14/C11</f>
        <v>0.67703568161024708</v>
      </c>
      <c r="D15" s="17">
        <f t="shared" ref="D15:G15" si="36">D14/D11</f>
        <v>0.78015564202334631</v>
      </c>
      <c r="E15" s="17">
        <f t="shared" si="36"/>
        <v>0.78541448058761809</v>
      </c>
      <c r="F15" s="17">
        <f t="shared" si="36"/>
        <v>0.80629213483146067</v>
      </c>
      <c r="G15" s="17">
        <f t="shared" si="36"/>
        <v>0.80251221214235868</v>
      </c>
      <c r="H15" s="32"/>
      <c r="I15" s="17">
        <f t="shared" ref="I15" si="37">I14/I11</f>
        <v>0.78299120234604103</v>
      </c>
      <c r="J15" s="17">
        <f t="shared" ref="J15" si="38">J14/J11</f>
        <v>0.75797872340425532</v>
      </c>
      <c r="K15" s="17">
        <f t="shared" ref="K15" si="39">K14/K11</f>
        <v>0.77806122448979587</v>
      </c>
      <c r="L15" s="17">
        <f t="shared" ref="L15" si="40">L14/L11</f>
        <v>0.79676674364896072</v>
      </c>
      <c r="M15" s="17">
        <f t="shared" ref="M15" si="41">M14/M11</f>
        <v>0.78923766816143492</v>
      </c>
      <c r="N15" s="17">
        <f t="shared" ref="N15" si="42">N14/N11</f>
        <v>0.78435517970401691</v>
      </c>
      <c r="O15" s="17">
        <f t="shared" ref="O15" si="43">O14/O11</f>
        <v>0.77405857740585771</v>
      </c>
      <c r="P15" s="17">
        <f t="shared" ref="P15" si="44">P14/P11</f>
        <v>0.79567779960707274</v>
      </c>
      <c r="Q15" s="17">
        <f t="shared" ref="Q15" si="45">Q14/Q11</f>
        <v>0.79428571428571426</v>
      </c>
      <c r="R15" s="17">
        <f t="shared" ref="R15" si="46">R14/R11</f>
        <v>0.79924953095684803</v>
      </c>
      <c r="S15" s="17">
        <f t="shared" ref="S15" si="47">S14/S11</f>
        <v>0.80645161290322576</v>
      </c>
      <c r="T15" s="17">
        <f t="shared" ref="T15" si="48">T14/T11</f>
        <v>0.82072368421052633</v>
      </c>
      <c r="U15" s="17">
        <f t="shared" ref="U15" si="49">U14/U11</f>
        <v>0.81703470031545744</v>
      </c>
      <c r="V15" s="17">
        <f t="shared" ref="V15" si="50">V14/V11</f>
        <v>0.80973451327433632</v>
      </c>
      <c r="W15" s="17">
        <f t="shared" ref="W15" si="51">W14/W11</f>
        <v>0.7975206611570248</v>
      </c>
      <c r="X15" s="17">
        <f t="shared" ref="X15" si="52">X14/X11</f>
        <v>0.78864734299516903</v>
      </c>
      <c r="Y15" s="17">
        <f t="shared" ref="Y15" si="53">Y14/Y11</f>
        <v>0.80429864253393668</v>
      </c>
      <c r="Z15" s="17">
        <f t="shared" ref="Z15" si="54">Z14/Z11</f>
        <v>0.80776892430278879</v>
      </c>
      <c r="AA15" s="17">
        <f t="shared" ref="AA15" si="55">AA14/AA11</f>
        <v>0.82472480948348859</v>
      </c>
      <c r="AB15" s="5"/>
      <c r="AC15" s="17">
        <f t="shared" ref="AC15" si="56">AC14/AC11</f>
        <v>0.80575539568345322</v>
      </c>
      <c r="AD15" s="17">
        <f t="shared" ref="AD15" si="57">AD14/AD11</f>
        <v>0.81140162880411493</v>
      </c>
      <c r="AE15" s="17">
        <f t="shared" ref="AE15" si="58">AE14/AE11</f>
        <v>0.81355932203389836</v>
      </c>
      <c r="AF15" s="17">
        <f t="shared" ref="AF15" si="59">AF14/AF11</f>
        <v>0.81065759637188206</v>
      </c>
      <c r="AG15" s="17">
        <f t="shared" ref="AG15" si="60">AG14/AG11</f>
        <v>0.80216329378925333</v>
      </c>
      <c r="AH15" s="17">
        <f t="shared" ref="AH15" si="61">AH14/AH11</f>
        <v>0.7997432605905006</v>
      </c>
      <c r="AI15" s="17">
        <f t="shared" ref="AI15" si="62">AI14/AI11</f>
        <v>0.80011621150493895</v>
      </c>
      <c r="AJ15" s="17">
        <f t="shared" ref="AJ15" si="63">AJ14/AJ11</f>
        <v>0.80805748011290734</v>
      </c>
      <c r="AK15" s="11"/>
      <c r="AL15" s="77">
        <f>SUM(AJ15-AF15)*1000</f>
        <v>-2.6001162589747162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167</v>
      </c>
      <c r="C17" s="82">
        <v>-684</v>
      </c>
      <c r="D17" s="82">
        <v>-615</v>
      </c>
      <c r="E17" s="82">
        <v>-703</v>
      </c>
      <c r="F17" s="82">
        <v>-745</v>
      </c>
      <c r="G17" s="82">
        <v>-888</v>
      </c>
      <c r="H17" s="32"/>
      <c r="I17" s="82">
        <v>-136</v>
      </c>
      <c r="J17" s="82">
        <v>-162</v>
      </c>
      <c r="K17" s="82">
        <v>-153</v>
      </c>
      <c r="L17" s="32">
        <f t="shared" ref="L17:L19" si="64">SUM(D17-SUM(I17:K17))</f>
        <v>-164</v>
      </c>
      <c r="M17" s="82">
        <v>-160</v>
      </c>
      <c r="N17" s="82">
        <v>-169</v>
      </c>
      <c r="O17" s="82">
        <v>-183</v>
      </c>
      <c r="P17" s="32">
        <f t="shared" ref="P17:P19" si="65">SUM(E17-SUM(M17:O17))</f>
        <v>-191</v>
      </c>
      <c r="Q17" s="82">
        <v>-187</v>
      </c>
      <c r="R17" s="82">
        <v>-184</v>
      </c>
      <c r="S17" s="82">
        <v>-176</v>
      </c>
      <c r="T17" s="32">
        <f t="shared" ref="T17:T19" si="66">SUM(F17-SUM(Q17:S17))</f>
        <v>-198</v>
      </c>
      <c r="U17" s="82">
        <v>-193</v>
      </c>
      <c r="V17" s="82">
        <v>-197</v>
      </c>
      <c r="W17" s="82">
        <v>-209</v>
      </c>
      <c r="X17" s="32">
        <f t="shared" ref="X17:X19" si="67">SUM(G17-SUM(U17:W17))</f>
        <v>-289</v>
      </c>
      <c r="Y17" s="82">
        <v>-236</v>
      </c>
      <c r="Z17" s="82">
        <v>-244</v>
      </c>
      <c r="AA17" s="82">
        <v>-275</v>
      </c>
      <c r="AC17" s="32">
        <f>SUM(Q17:T17)</f>
        <v>-745</v>
      </c>
      <c r="AD17" s="32">
        <f>SUM(R17:U17)</f>
        <v>-751</v>
      </c>
      <c r="AE17" s="32">
        <f>SUM(S17:V17)</f>
        <v>-764</v>
      </c>
      <c r="AF17" s="32">
        <f>SUM(T17:W17)</f>
        <v>-797</v>
      </c>
      <c r="AG17" s="32">
        <f>SUM(U17:X17)</f>
        <v>-888</v>
      </c>
      <c r="AH17" s="32">
        <f>SUM(V17:Y17)</f>
        <v>-931</v>
      </c>
      <c r="AI17" s="32">
        <f>SUM(W17:Z17)</f>
        <v>-978</v>
      </c>
      <c r="AJ17" s="32">
        <f>SUM(X17:AA17)</f>
        <v>-1044</v>
      </c>
      <c r="AK17" s="11"/>
      <c r="AL17" s="75">
        <f>SUM(AJ17/AF17)-1</f>
        <v>0.30991217063989973</v>
      </c>
    </row>
    <row r="18" spans="2:38" ht="12.75" customHeight="1">
      <c r="B18" s="9" t="s">
        <v>166</v>
      </c>
      <c r="C18" s="82">
        <v>-561</v>
      </c>
      <c r="D18" s="82">
        <v>-387</v>
      </c>
      <c r="E18" s="82">
        <v>-360</v>
      </c>
      <c r="F18" s="82">
        <v>-405</v>
      </c>
      <c r="G18" s="82">
        <v>-508</v>
      </c>
      <c r="H18" s="32"/>
      <c r="I18" s="82">
        <v>-98</v>
      </c>
      <c r="J18" s="82">
        <v>-111</v>
      </c>
      <c r="K18" s="82">
        <v>-94</v>
      </c>
      <c r="L18" s="32">
        <f t="shared" si="64"/>
        <v>-84</v>
      </c>
      <c r="M18" s="82">
        <v>-89</v>
      </c>
      <c r="N18" s="82">
        <v>-88</v>
      </c>
      <c r="O18" s="82">
        <v>-101</v>
      </c>
      <c r="P18" s="32">
        <f t="shared" si="65"/>
        <v>-82</v>
      </c>
      <c r="Q18" s="82">
        <v>-90</v>
      </c>
      <c r="R18" s="82">
        <v>-100</v>
      </c>
      <c r="S18" s="82">
        <v>-106</v>
      </c>
      <c r="T18" s="32">
        <f t="shared" si="66"/>
        <v>-109</v>
      </c>
      <c r="U18" s="82">
        <v>-110</v>
      </c>
      <c r="V18" s="82">
        <v>-109</v>
      </c>
      <c r="W18" s="82">
        <v>-118</v>
      </c>
      <c r="X18" s="32">
        <f t="shared" si="67"/>
        <v>-171</v>
      </c>
      <c r="Y18" s="82">
        <v>-135</v>
      </c>
      <c r="Z18" s="82">
        <v>-135</v>
      </c>
      <c r="AA18" s="82">
        <v>-144</v>
      </c>
      <c r="AC18" s="32">
        <f>SUM(Q18:T18)</f>
        <v>-405</v>
      </c>
      <c r="AD18" s="32">
        <f>SUM(R18:U18)</f>
        <v>-425</v>
      </c>
      <c r="AE18" s="32">
        <f>SUM(S18:V18)</f>
        <v>-434</v>
      </c>
      <c r="AF18" s="32">
        <f>SUM(T18:W18)</f>
        <v>-446</v>
      </c>
      <c r="AG18" s="32">
        <f>SUM(U18:X18)</f>
        <v>-508</v>
      </c>
      <c r="AH18" s="32">
        <f>SUM(V18:Y18)</f>
        <v>-533</v>
      </c>
      <c r="AI18" s="32">
        <f>SUM(W18:Z18)</f>
        <v>-559</v>
      </c>
      <c r="AJ18" s="32">
        <f>SUM(X18:AA18)</f>
        <v>-585</v>
      </c>
      <c r="AK18" s="11"/>
      <c r="AL18" s="75">
        <f t="shared" ref="AL18:AL19" si="68">SUM(AJ18/AF18)-1</f>
        <v>0.31165919282511201</v>
      </c>
    </row>
    <row r="19" spans="2:38" ht="12.75" customHeight="1">
      <c r="B19" s="9" t="s">
        <v>184</v>
      </c>
      <c r="C19" s="82">
        <v>-669</v>
      </c>
      <c r="D19" s="82">
        <v>-612</v>
      </c>
      <c r="E19" s="82">
        <v>-596</v>
      </c>
      <c r="F19" s="82">
        <v>-524</v>
      </c>
      <c r="G19" s="82">
        <v>-593</v>
      </c>
      <c r="H19" s="32"/>
      <c r="I19" s="82">
        <v>-147</v>
      </c>
      <c r="J19" s="82">
        <v>-158</v>
      </c>
      <c r="K19" s="82">
        <v>-150</v>
      </c>
      <c r="L19" s="32">
        <f t="shared" si="64"/>
        <v>-157</v>
      </c>
      <c r="M19" s="82">
        <v>-142</v>
      </c>
      <c r="N19" s="82">
        <v>-155</v>
      </c>
      <c r="O19" s="82">
        <v>-149</v>
      </c>
      <c r="P19" s="32">
        <f t="shared" si="65"/>
        <v>-150</v>
      </c>
      <c r="Q19" s="82">
        <v>-136</v>
      </c>
      <c r="R19" s="82">
        <v>-133</v>
      </c>
      <c r="S19" s="82">
        <v>-128</v>
      </c>
      <c r="T19" s="32">
        <f t="shared" si="66"/>
        <v>-127</v>
      </c>
      <c r="U19" s="82">
        <v>-134</v>
      </c>
      <c r="V19" s="82">
        <v>-139</v>
      </c>
      <c r="W19" s="82">
        <v>-139</v>
      </c>
      <c r="X19" s="32">
        <f t="shared" si="67"/>
        <v>-181</v>
      </c>
      <c r="Y19" s="82">
        <v>-164</v>
      </c>
      <c r="Z19" s="82">
        <v>-163</v>
      </c>
      <c r="AA19" s="82">
        <v>-162</v>
      </c>
      <c r="AC19" s="32">
        <f>SUM(Q19:T19)</f>
        <v>-524</v>
      </c>
      <c r="AD19" s="32">
        <f>SUM(R19:U19)</f>
        <v>-522</v>
      </c>
      <c r="AE19" s="32">
        <f>SUM(S19:V19)</f>
        <v>-528</v>
      </c>
      <c r="AF19" s="32">
        <f>SUM(T19:W19)</f>
        <v>-539</v>
      </c>
      <c r="AG19" s="32">
        <f>SUM(U19:X19)</f>
        <v>-593</v>
      </c>
      <c r="AH19" s="32">
        <f>SUM(V19:Y19)</f>
        <v>-623</v>
      </c>
      <c r="AI19" s="32">
        <f>SUM(W19:Z19)</f>
        <v>-647</v>
      </c>
      <c r="AJ19" s="32">
        <f>SUM(X19:AA19)</f>
        <v>-670</v>
      </c>
      <c r="AK19" s="11"/>
      <c r="AL19" s="75">
        <f t="shared" si="68"/>
        <v>0.24304267161410009</v>
      </c>
    </row>
    <row r="20" spans="2:38" ht="12.75" customHeight="1">
      <c r="B20" s="25" t="s">
        <v>77</v>
      </c>
      <c r="C20" s="26">
        <f>+SUM(C14+SUM(C17:C19))</f>
        <v>-1174</v>
      </c>
      <c r="D20" s="26">
        <f t="shared" ref="D20:G20" si="69">+SUM(D14+SUM(D17:D19))</f>
        <v>-411</v>
      </c>
      <c r="E20" s="26">
        <f t="shared" si="69"/>
        <v>-162</v>
      </c>
      <c r="F20" s="26">
        <f t="shared" si="69"/>
        <v>120</v>
      </c>
      <c r="G20" s="26">
        <f t="shared" si="69"/>
        <v>311</v>
      </c>
      <c r="H20" s="32"/>
      <c r="I20" s="26">
        <f t="shared" ref="I20" si="70">+SUM(I14+SUM(I17:I19))</f>
        <v>-114</v>
      </c>
      <c r="J20" s="26">
        <f t="shared" ref="J20" si="71">+SUM(J14+SUM(J17:J19))</f>
        <v>-146</v>
      </c>
      <c r="K20" s="26">
        <f t="shared" ref="K20" si="72">+SUM(K14+SUM(K17:K19))</f>
        <v>-92</v>
      </c>
      <c r="L20" s="26">
        <f t="shared" ref="L20" si="73">+SUM(L14+SUM(L17:L19))</f>
        <v>-60</v>
      </c>
      <c r="M20" s="26">
        <f t="shared" ref="M20" si="74">+SUM(M14+SUM(M17:M19))</f>
        <v>-39</v>
      </c>
      <c r="N20" s="26">
        <f t="shared" ref="N20" si="75">+SUM(N14+SUM(N17:N19))</f>
        <v>-41</v>
      </c>
      <c r="O20" s="26">
        <f t="shared" ref="O20" si="76">+SUM(O14+SUM(O17:O19))</f>
        <v>-63</v>
      </c>
      <c r="P20" s="26">
        <f t="shared" ref="P20" si="77">+SUM(P14+SUM(P17:P19))</f>
        <v>-18</v>
      </c>
      <c r="Q20" s="26">
        <f t="shared" ref="Q20" si="78">+SUM(Q14+SUM(Q17:Q19))</f>
        <v>4</v>
      </c>
      <c r="R20" s="26">
        <f t="shared" ref="R20" si="79">+SUM(R14+SUM(R17:R19))</f>
        <v>9</v>
      </c>
      <c r="S20" s="26">
        <f t="shared" ref="S20" si="80">+SUM(S14+SUM(S17:S19))</f>
        <v>40</v>
      </c>
      <c r="T20" s="26">
        <f t="shared" ref="T20" si="81">+SUM(T14+SUM(T17:T19))</f>
        <v>65</v>
      </c>
      <c r="U20" s="26">
        <f t="shared" ref="U20" si="82">+SUM(U14+SUM(U17:U19))</f>
        <v>81</v>
      </c>
      <c r="V20" s="26">
        <f t="shared" ref="V20" si="83">+SUM(V14+SUM(V17:V19))</f>
        <v>104</v>
      </c>
      <c r="W20" s="26">
        <f t="shared" ref="W20" si="84">+SUM(W14+SUM(W17:W19))</f>
        <v>113</v>
      </c>
      <c r="X20" s="26">
        <f t="shared" ref="X20" si="85">+SUM(X14+SUM(X17:X19))</f>
        <v>12</v>
      </c>
      <c r="Y20" s="26">
        <f t="shared" ref="Y20" si="86">+SUM(Y14+SUM(Y17:Y19))</f>
        <v>176</v>
      </c>
      <c r="Z20" s="26">
        <f t="shared" ref="Z20" si="87">+SUM(Z14+SUM(Z17:Z19))</f>
        <v>269</v>
      </c>
      <c r="AA20" s="26">
        <f t="shared" ref="AA20" si="88">+SUM(AA14+SUM(AA17:AA19))</f>
        <v>393</v>
      </c>
      <c r="AC20" s="26">
        <f t="shared" ref="AC20" si="89">+SUM(AC14+SUM(AC17:AC19))</f>
        <v>118</v>
      </c>
      <c r="AD20" s="26">
        <f t="shared" ref="AD20" si="90">+SUM(AD14+SUM(AD17:AD19))</f>
        <v>195</v>
      </c>
      <c r="AE20" s="26">
        <f t="shared" ref="AE20" si="91">+SUM(AE14+SUM(AE17:AE19))</f>
        <v>290</v>
      </c>
      <c r="AF20" s="26">
        <f t="shared" ref="AF20" si="92">+SUM(AF14+SUM(AF17:AF19))</f>
        <v>363</v>
      </c>
      <c r="AG20" s="26">
        <f t="shared" ref="AG20" si="93">+SUM(AG14+SUM(AG17:AG19))</f>
        <v>310</v>
      </c>
      <c r="AH20" s="26">
        <f t="shared" ref="AH20" si="94">+SUM(AH14+SUM(AH17:AH19))</f>
        <v>405</v>
      </c>
      <c r="AI20" s="26">
        <f t="shared" ref="AI20" si="95">+SUM(AI14+SUM(AI17:AI19))</f>
        <v>570</v>
      </c>
      <c r="AJ20" s="26">
        <f t="shared" ref="AJ20" si="96">+SUM(AJ14+SUM(AJ17:AJ19))</f>
        <v>850</v>
      </c>
      <c r="AK20" s="11"/>
      <c r="AL20" s="76">
        <f>SUM(AJ20/AF20)-1</f>
        <v>1.3415977961432506</v>
      </c>
    </row>
    <row r="21" spans="2:38" ht="12.75" customHeight="1">
      <c r="B21" s="16" t="s">
        <v>31</v>
      </c>
      <c r="C21" s="17">
        <f>C20/C11</f>
        <v>-1.0741079597438243</v>
      </c>
      <c r="D21" s="17">
        <f>D20/D11</f>
        <v>-0.26653696498054474</v>
      </c>
      <c r="E21" s="17">
        <f>E20/E11</f>
        <v>-8.4994753410283314E-2</v>
      </c>
      <c r="F21" s="17">
        <f>F20/F11</f>
        <v>5.3932584269662923E-2</v>
      </c>
      <c r="G21" s="17">
        <f>G20/G11</f>
        <v>0.10851360781577112</v>
      </c>
      <c r="H21" s="32"/>
      <c r="I21" s="17">
        <f>I20/I11</f>
        <v>-0.33431085043988268</v>
      </c>
      <c r="J21" s="17">
        <f>J20/J11</f>
        <v>-0.38829787234042551</v>
      </c>
      <c r="K21" s="17">
        <f>K20/K11</f>
        <v>-0.23469387755102042</v>
      </c>
      <c r="L21" s="17">
        <f>L20/L11</f>
        <v>-0.13856812933025403</v>
      </c>
      <c r="M21" s="17">
        <f>M20/M11</f>
        <v>-8.744394618834081E-2</v>
      </c>
      <c r="N21" s="17">
        <f>N20/N11</f>
        <v>-8.6680761099365747E-2</v>
      </c>
      <c r="O21" s="17">
        <f>O20/O11</f>
        <v>-0.13179916317991633</v>
      </c>
      <c r="P21" s="17">
        <f>P20/P11</f>
        <v>-3.536345776031434E-2</v>
      </c>
      <c r="Q21" s="17">
        <f>Q20/Q11</f>
        <v>7.619047619047619E-3</v>
      </c>
      <c r="R21" s="17">
        <f>R20/R11</f>
        <v>1.6885553470919325E-2</v>
      </c>
      <c r="S21" s="17">
        <f>S20/S11</f>
        <v>7.1684587813620068E-2</v>
      </c>
      <c r="T21" s="17">
        <f>T20/T11</f>
        <v>0.1069078947368421</v>
      </c>
      <c r="U21" s="17">
        <f>U20/U11</f>
        <v>0.12776025236593061</v>
      </c>
      <c r="V21" s="17">
        <f>V20/V11</f>
        <v>0.15339233038348082</v>
      </c>
      <c r="W21" s="17">
        <f>W20/W11</f>
        <v>0.15564738292011018</v>
      </c>
      <c r="X21" s="17">
        <f>X20/X11</f>
        <v>1.4492753623188406E-2</v>
      </c>
      <c r="Y21" s="17">
        <f>Y20/Y11</f>
        <v>0.19909502262443438</v>
      </c>
      <c r="Z21" s="17">
        <f>Z20/Z11</f>
        <v>0.26792828685258963</v>
      </c>
      <c r="AA21" s="17">
        <f>AA20/AA11</f>
        <v>0.33276883996613038</v>
      </c>
      <c r="AC21" s="17">
        <f>AC20/AC11</f>
        <v>5.3057553956834536E-2</v>
      </c>
      <c r="AD21" s="17">
        <f>AD20/AD11</f>
        <v>8.3583369052721818E-2</v>
      </c>
      <c r="AE21" s="17">
        <f>AE20/AE11</f>
        <v>0.11702986279257466</v>
      </c>
      <c r="AF21" s="17">
        <f>AF20/AF11</f>
        <v>0.13718820861678005</v>
      </c>
      <c r="AG21" s="17">
        <f>AG20/AG11</f>
        <v>0.10816468946266573</v>
      </c>
      <c r="AH21" s="17">
        <f>AH20/AH11</f>
        <v>0.12997432605905007</v>
      </c>
      <c r="AI21" s="17">
        <f>AI20/AI11</f>
        <v>0.16560139453805928</v>
      </c>
      <c r="AJ21" s="17">
        <f>AJ20/AJ11</f>
        <v>0.21811649987169618</v>
      </c>
      <c r="AK21" s="11"/>
      <c r="AL21" s="77">
        <f>SUM(AJ21-AF21)*1000</f>
        <v>80.928291254916132</v>
      </c>
    </row>
    <row r="22" spans="2:38" ht="5.0999999999999996" customHeight="1">
      <c r="B22" s="16"/>
      <c r="C22" s="17"/>
      <c r="D22" s="17"/>
      <c r="E22" s="17"/>
      <c r="F22" s="17"/>
      <c r="G22" s="17"/>
      <c r="H22" s="3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32"/>
      <c r="Z22" s="82"/>
      <c r="AA22" s="82"/>
      <c r="AC22" s="32"/>
      <c r="AD22" s="32"/>
      <c r="AE22" s="32"/>
      <c r="AF22" s="32"/>
      <c r="AG22" s="32"/>
      <c r="AH22" s="32"/>
      <c r="AI22" s="32"/>
      <c r="AJ22" s="32"/>
      <c r="AK22" s="11"/>
      <c r="AL22" s="75"/>
    </row>
    <row r="23" spans="2:38" ht="12.75" customHeight="1">
      <c r="B23" s="9" t="s">
        <v>168</v>
      </c>
      <c r="C23" s="82">
        <v>5</v>
      </c>
      <c r="D23" s="82">
        <v>2</v>
      </c>
      <c r="E23" s="82">
        <v>20</v>
      </c>
      <c r="F23" s="82">
        <v>133</v>
      </c>
      <c r="G23" s="82">
        <v>197</v>
      </c>
      <c r="H23" s="32"/>
      <c r="I23" s="82">
        <v>0</v>
      </c>
      <c r="J23" s="82">
        <v>0</v>
      </c>
      <c r="K23" s="82">
        <v>0</v>
      </c>
      <c r="L23" s="32">
        <f t="shared" ref="L23:L24" si="97">SUM(D23-SUM(I23:K23))</f>
        <v>2</v>
      </c>
      <c r="M23" s="82">
        <v>1</v>
      </c>
      <c r="N23" s="82">
        <v>1</v>
      </c>
      <c r="O23" s="82">
        <v>6</v>
      </c>
      <c r="P23" s="32">
        <f t="shared" ref="P23:P24" si="98">SUM(E23-SUM(M23:O23))</f>
        <v>12</v>
      </c>
      <c r="Q23" s="82">
        <v>21</v>
      </c>
      <c r="R23" s="82">
        <v>30</v>
      </c>
      <c r="S23" s="82">
        <v>37</v>
      </c>
      <c r="T23" s="32">
        <f t="shared" ref="T23:T24" si="99">SUM(F23-SUM(Q23:S23))</f>
        <v>45</v>
      </c>
      <c r="U23" s="82">
        <v>43</v>
      </c>
      <c r="V23" s="82">
        <v>47</v>
      </c>
      <c r="W23" s="82">
        <v>52</v>
      </c>
      <c r="X23" s="32">
        <f t="shared" ref="X23:X24" si="100">SUM(G23-SUM(U23:W23))</f>
        <v>55</v>
      </c>
      <c r="Y23" s="82">
        <v>50</v>
      </c>
      <c r="Z23" s="82">
        <v>56</v>
      </c>
      <c r="AA23" s="82">
        <v>60</v>
      </c>
      <c r="AC23" s="32">
        <f>SUM(Q23:T23)</f>
        <v>133</v>
      </c>
      <c r="AD23" s="32">
        <f>SUM(R23:U23)</f>
        <v>155</v>
      </c>
      <c r="AE23" s="32">
        <f>SUM(S23:V23)</f>
        <v>172</v>
      </c>
      <c r="AF23" s="32">
        <f>SUM(T23:W23)</f>
        <v>187</v>
      </c>
      <c r="AG23" s="32">
        <f>SUM(U23:X23)</f>
        <v>197</v>
      </c>
      <c r="AH23" s="32">
        <f>SUM(V23:Y23)</f>
        <v>204</v>
      </c>
      <c r="AI23" s="32">
        <f>SUM(W23:Z23)</f>
        <v>213</v>
      </c>
      <c r="AJ23" s="32">
        <f>SUM(X23:AA23)</f>
        <v>221</v>
      </c>
      <c r="AK23" s="11"/>
      <c r="AL23" s="75">
        <f t="shared" ref="AL23" si="101">SUM(AJ23/AF23)-1</f>
        <v>0.18181818181818188</v>
      </c>
    </row>
    <row r="24" spans="2:38" ht="12.75" customHeight="1">
      <c r="B24" s="9" t="s">
        <v>176</v>
      </c>
      <c r="C24" s="82">
        <v>-10</v>
      </c>
      <c r="D24" s="82">
        <v>-79</v>
      </c>
      <c r="E24" s="82">
        <v>-220</v>
      </c>
      <c r="F24" s="82">
        <v>-15</v>
      </c>
      <c r="G24" s="82">
        <v>-18</v>
      </c>
      <c r="H24" s="32"/>
      <c r="I24" s="82">
        <v>-7</v>
      </c>
      <c r="J24" s="82">
        <v>2</v>
      </c>
      <c r="K24" s="82">
        <v>-9</v>
      </c>
      <c r="L24" s="32">
        <f t="shared" si="97"/>
        <v>-65</v>
      </c>
      <c r="M24" s="82">
        <v>-60</v>
      </c>
      <c r="N24" s="82">
        <v>-136</v>
      </c>
      <c r="O24" s="82">
        <v>-66</v>
      </c>
      <c r="P24" s="32">
        <f t="shared" si="98"/>
        <v>42</v>
      </c>
      <c r="Q24" s="82">
        <v>-4</v>
      </c>
      <c r="R24" s="82">
        <v>-10</v>
      </c>
      <c r="S24" s="82">
        <v>3</v>
      </c>
      <c r="T24" s="32">
        <f t="shared" si="99"/>
        <v>-4</v>
      </c>
      <c r="U24" s="82">
        <v>-14</v>
      </c>
      <c r="V24" s="82">
        <v>-11</v>
      </c>
      <c r="W24" s="82">
        <v>-8</v>
      </c>
      <c r="X24" s="32">
        <f t="shared" si="100"/>
        <v>15</v>
      </c>
      <c r="Y24" s="82">
        <v>-3</v>
      </c>
      <c r="Z24" s="82">
        <v>7</v>
      </c>
      <c r="AA24" s="82">
        <v>27</v>
      </c>
      <c r="AC24" s="32">
        <f t="shared" ref="AC24:AJ24" si="102">SUM(Q24:T24)</f>
        <v>-15</v>
      </c>
      <c r="AD24" s="32">
        <f t="shared" si="102"/>
        <v>-25</v>
      </c>
      <c r="AE24" s="32">
        <f t="shared" si="102"/>
        <v>-26</v>
      </c>
      <c r="AF24" s="32">
        <f t="shared" si="102"/>
        <v>-37</v>
      </c>
      <c r="AG24" s="32">
        <f t="shared" si="102"/>
        <v>-18</v>
      </c>
      <c r="AH24" s="32">
        <f t="shared" si="102"/>
        <v>-7</v>
      </c>
      <c r="AI24" s="32">
        <f t="shared" si="102"/>
        <v>11</v>
      </c>
      <c r="AJ24" s="32">
        <f t="shared" si="102"/>
        <v>46</v>
      </c>
      <c r="AK24" s="11"/>
      <c r="AL24" s="75"/>
    </row>
    <row r="25" spans="2:38" ht="12.75" customHeight="1">
      <c r="B25" s="25" t="s">
        <v>155</v>
      </c>
      <c r="C25" s="26">
        <f>SUM(C20+SUM(C23:C24))</f>
        <v>-1179</v>
      </c>
      <c r="D25" s="26">
        <f t="shared" ref="D25:G25" si="103">SUM(D20+SUM(D23:D24))</f>
        <v>-488</v>
      </c>
      <c r="E25" s="26">
        <f t="shared" si="103"/>
        <v>-362</v>
      </c>
      <c r="F25" s="26">
        <f t="shared" si="103"/>
        <v>238</v>
      </c>
      <c r="G25" s="26">
        <f t="shared" si="103"/>
        <v>490</v>
      </c>
      <c r="I25" s="26">
        <f t="shared" ref="I25" si="104">SUM(I20+SUM(I23:I24))</f>
        <v>-121</v>
      </c>
      <c r="J25" s="26">
        <f t="shared" ref="J25" si="105">SUM(J20+SUM(J23:J24))</f>
        <v>-144</v>
      </c>
      <c r="K25" s="26">
        <f t="shared" ref="K25" si="106">SUM(K20+SUM(K23:K24))</f>
        <v>-101</v>
      </c>
      <c r="L25" s="26">
        <f t="shared" ref="L25" si="107">SUM(L20+SUM(L23:L24))</f>
        <v>-123</v>
      </c>
      <c r="M25" s="26">
        <f t="shared" ref="M25" si="108">SUM(M20+SUM(M23:M24))</f>
        <v>-98</v>
      </c>
      <c r="N25" s="26">
        <f t="shared" ref="N25" si="109">SUM(N20+SUM(N23:N24))</f>
        <v>-176</v>
      </c>
      <c r="O25" s="26">
        <f t="shared" ref="O25" si="110">SUM(O20+SUM(O23:O24))</f>
        <v>-123</v>
      </c>
      <c r="P25" s="26">
        <f t="shared" ref="P25" si="111">SUM(P20+SUM(P23:P24))</f>
        <v>36</v>
      </c>
      <c r="Q25" s="26">
        <f t="shared" ref="Q25" si="112">SUM(Q20+SUM(Q23:Q24))</f>
        <v>21</v>
      </c>
      <c r="R25" s="26">
        <f t="shared" ref="R25" si="113">SUM(R20+SUM(R23:R24))</f>
        <v>29</v>
      </c>
      <c r="S25" s="26">
        <f t="shared" ref="S25" si="114">SUM(S20+SUM(S23:S24))</f>
        <v>80</v>
      </c>
      <c r="T25" s="26">
        <f t="shared" ref="T25" si="115">SUM(T20+SUM(T23:T24))</f>
        <v>106</v>
      </c>
      <c r="U25" s="26">
        <f t="shared" ref="U25" si="116">SUM(U20+SUM(U23:U24))</f>
        <v>110</v>
      </c>
      <c r="V25" s="26">
        <f t="shared" ref="V25" si="117">SUM(V20+SUM(V23:V24))</f>
        <v>140</v>
      </c>
      <c r="W25" s="26">
        <f t="shared" ref="W25" si="118">SUM(W20+SUM(W23:W24))</f>
        <v>157</v>
      </c>
      <c r="X25" s="26">
        <f t="shared" ref="X25" si="119">SUM(X20+SUM(X23:X24))</f>
        <v>82</v>
      </c>
      <c r="Y25" s="26">
        <f t="shared" ref="Y25" si="120">SUM(Y20+SUM(Y23:Y24))</f>
        <v>223</v>
      </c>
      <c r="Z25" s="26">
        <f t="shared" ref="Z25" si="121">SUM(Z20+SUM(Z23:Z24))</f>
        <v>332</v>
      </c>
      <c r="AA25" s="26">
        <f t="shared" ref="AA25" si="122">SUM(AA20+SUM(AA23:AA24))</f>
        <v>480</v>
      </c>
      <c r="AC25" s="26">
        <f t="shared" ref="AC25" si="123">SUM(AC20+SUM(AC23:AC24))</f>
        <v>236</v>
      </c>
      <c r="AD25" s="26">
        <f t="shared" ref="AD25" si="124">SUM(AD20+SUM(AD23:AD24))</f>
        <v>325</v>
      </c>
      <c r="AE25" s="26">
        <f t="shared" ref="AE25" si="125">SUM(AE20+SUM(AE23:AE24))</f>
        <v>436</v>
      </c>
      <c r="AF25" s="26">
        <f t="shared" ref="AF25" si="126">SUM(AF20+SUM(AF23:AF24))</f>
        <v>513</v>
      </c>
      <c r="AG25" s="26">
        <f t="shared" ref="AG25" si="127">SUM(AG20+SUM(AG23:AG24))</f>
        <v>489</v>
      </c>
      <c r="AH25" s="26">
        <f t="shared" ref="AH25" si="128">SUM(AH20+SUM(AH23:AH24))</f>
        <v>602</v>
      </c>
      <c r="AI25" s="26">
        <f t="shared" ref="AI25" si="129">SUM(AI20+SUM(AI23:AI24))</f>
        <v>794</v>
      </c>
      <c r="AJ25" s="26">
        <f t="shared" ref="AJ25" si="130">SUM(AJ20+SUM(AJ23:AJ24))</f>
        <v>1117</v>
      </c>
      <c r="AK25" s="42"/>
      <c r="AL25" s="76">
        <f>SUM(AJ25/AF25)-1</f>
        <v>1.1773879142300196</v>
      </c>
    </row>
    <row r="26" spans="2:38" ht="12.75" customHeight="1">
      <c r="B26" s="16" t="s">
        <v>156</v>
      </c>
      <c r="C26" s="17">
        <f>C25/C11</f>
        <v>-1.0786825251601098</v>
      </c>
      <c r="D26" s="17">
        <f>D25/D11</f>
        <v>-0.31647211413748377</v>
      </c>
      <c r="E26" s="17">
        <f>E25/E11</f>
        <v>-0.18992654774396642</v>
      </c>
      <c r="F26" s="17">
        <f>F25/F11</f>
        <v>0.10696629213483146</v>
      </c>
      <c r="G26" s="17">
        <f>G25/G11</f>
        <v>0.17096999302163293</v>
      </c>
      <c r="H26" s="27"/>
      <c r="I26" s="17">
        <f>I25/I11</f>
        <v>-0.35483870967741937</v>
      </c>
      <c r="J26" s="17">
        <f>J25/J11</f>
        <v>-0.38297872340425532</v>
      </c>
      <c r="K26" s="17">
        <f>K25/K11</f>
        <v>-0.25765306122448978</v>
      </c>
      <c r="L26" s="17">
        <f>L25/L11</f>
        <v>-0.28406466512702078</v>
      </c>
      <c r="M26" s="17">
        <f>M25/M11</f>
        <v>-0.21973094170403587</v>
      </c>
      <c r="N26" s="17">
        <f>N25/N11</f>
        <v>-0.37209302325581395</v>
      </c>
      <c r="O26" s="17">
        <f>O25/O11</f>
        <v>-0.25732217573221755</v>
      </c>
      <c r="P26" s="17">
        <f>P25/P11</f>
        <v>7.072691552062868E-2</v>
      </c>
      <c r="Q26" s="17">
        <f>Q25/Q11</f>
        <v>0.04</v>
      </c>
      <c r="R26" s="17">
        <f>R25/R11</f>
        <v>5.4409005628517824E-2</v>
      </c>
      <c r="S26" s="17">
        <f>S25/S11</f>
        <v>0.14336917562724014</v>
      </c>
      <c r="T26" s="17">
        <f>T25/T11</f>
        <v>0.17434210526315788</v>
      </c>
      <c r="U26" s="17">
        <f>U25/U11</f>
        <v>0.17350157728706625</v>
      </c>
      <c r="V26" s="17">
        <f>V25/V11</f>
        <v>0.20648967551622419</v>
      </c>
      <c r="W26" s="17">
        <f>W25/W11</f>
        <v>0.21625344352617079</v>
      </c>
      <c r="X26" s="17">
        <f>X25/X11</f>
        <v>9.9033816425120769E-2</v>
      </c>
      <c r="Y26" s="17">
        <f>Y25/Y11</f>
        <v>0.25226244343891402</v>
      </c>
      <c r="Z26" s="17">
        <f>Z25/Z11</f>
        <v>0.33067729083665337</v>
      </c>
      <c r="AA26" s="17">
        <f>AA25/AA11</f>
        <v>0.40643522438611346</v>
      </c>
      <c r="AB26" s="28"/>
      <c r="AC26" s="17">
        <f>AC25/AC11</f>
        <v>0.10611510791366907</v>
      </c>
      <c r="AD26" s="17">
        <f>AD25/AD11</f>
        <v>0.13930561508786971</v>
      </c>
      <c r="AE26" s="17">
        <f>AE25/AE11</f>
        <v>0.17594834543987087</v>
      </c>
      <c r="AF26" s="17">
        <f>AF25/AF11</f>
        <v>0.19387755102040816</v>
      </c>
      <c r="AG26" s="17">
        <f>AG25/AG11</f>
        <v>0.17062107466852758</v>
      </c>
      <c r="AH26" s="17">
        <f>AH25/AH11</f>
        <v>0.19319640564826701</v>
      </c>
      <c r="AI26" s="17">
        <f>AI25/AI11</f>
        <v>0.23067983730389308</v>
      </c>
      <c r="AJ26" s="17">
        <f>AJ25/AJ11</f>
        <v>0.28663074159609958</v>
      </c>
      <c r="AK26" s="43"/>
      <c r="AL26" s="77">
        <f>SUM(AJ26-AF26)*1000</f>
        <v>92.75319057569142</v>
      </c>
    </row>
    <row r="27" spans="2:38" ht="5.0999999999999996" customHeight="1">
      <c r="B27" s="16"/>
      <c r="C27" s="17"/>
      <c r="D27" s="17"/>
      <c r="E27" s="17"/>
      <c r="F27" s="17"/>
      <c r="G27" s="17"/>
      <c r="H27" s="2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28"/>
      <c r="AC27" s="17"/>
      <c r="AD27" s="17"/>
      <c r="AE27" s="17"/>
      <c r="AF27" s="17"/>
      <c r="AG27" s="17"/>
      <c r="AH27" s="17"/>
      <c r="AI27" s="17"/>
      <c r="AJ27" s="17"/>
      <c r="AK27" s="43"/>
      <c r="AL27" s="77"/>
    </row>
    <row r="28" spans="2:38" ht="12.75" customHeight="1">
      <c r="B28" s="9" t="s">
        <v>104</v>
      </c>
      <c r="C28" s="82">
        <v>13</v>
      </c>
      <c r="D28" s="82">
        <v>-32</v>
      </c>
      <c r="E28" s="82">
        <v>-10</v>
      </c>
      <c r="F28" s="82">
        <v>-20</v>
      </c>
      <c r="G28" s="82">
        <v>-21</v>
      </c>
      <c r="H28" s="32"/>
      <c r="I28" s="82">
        <v>-3</v>
      </c>
      <c r="J28" s="82">
        <v>6</v>
      </c>
      <c r="K28" s="82">
        <v>-1</v>
      </c>
      <c r="L28" s="32">
        <f t="shared" ref="L28" si="131">SUM(D28-SUM(I28:K28))</f>
        <v>-34</v>
      </c>
      <c r="M28" s="82">
        <v>-2</v>
      </c>
      <c r="N28" s="82">
        <v>-3</v>
      </c>
      <c r="O28" s="82">
        <v>-1</v>
      </c>
      <c r="P28" s="32">
        <f t="shared" ref="P28" si="132">SUM(E28-SUM(M28:O28))</f>
        <v>-4</v>
      </c>
      <c r="Q28" s="82">
        <v>-2</v>
      </c>
      <c r="R28" s="82">
        <v>-2</v>
      </c>
      <c r="S28" s="82">
        <v>-7</v>
      </c>
      <c r="T28" s="32">
        <f t="shared" ref="T28" si="133">SUM(F28-SUM(Q28:S28))</f>
        <v>-9</v>
      </c>
      <c r="U28" s="82">
        <v>-5</v>
      </c>
      <c r="V28" s="82">
        <v>-5</v>
      </c>
      <c r="W28" s="82">
        <v>-8</v>
      </c>
      <c r="X28" s="32">
        <f t="shared" ref="X28" si="134">SUM(G28-SUM(U28:W28))</f>
        <v>-3</v>
      </c>
      <c r="Y28" s="82">
        <v>-6</v>
      </c>
      <c r="Z28" s="82">
        <v>-4</v>
      </c>
      <c r="AA28" s="82">
        <v>-4</v>
      </c>
      <c r="AC28" s="32">
        <f>SUM(Q28:T28)</f>
        <v>-20</v>
      </c>
      <c r="AD28" s="32">
        <f>SUM(R28:U28)</f>
        <v>-23</v>
      </c>
      <c r="AE28" s="32">
        <f>SUM(S28:V28)</f>
        <v>-26</v>
      </c>
      <c r="AF28" s="32">
        <f>SUM(T28:W28)</f>
        <v>-27</v>
      </c>
      <c r="AG28" s="32">
        <f>SUM(U28:X28)</f>
        <v>-21</v>
      </c>
      <c r="AH28" s="32">
        <f>SUM(V28:Y28)</f>
        <v>-22</v>
      </c>
      <c r="AI28" s="32">
        <f>SUM(W28:Z28)</f>
        <v>-21</v>
      </c>
      <c r="AJ28" s="32">
        <f>SUM(X28:AA28)</f>
        <v>-17</v>
      </c>
      <c r="AK28" s="11"/>
      <c r="AL28" s="75">
        <f>SUM(AJ28/AF28)-1</f>
        <v>-0.37037037037037035</v>
      </c>
    </row>
    <row r="29" spans="2:38" ht="12.75" customHeight="1">
      <c r="B29" s="13" t="s">
        <v>105</v>
      </c>
      <c r="C29" s="14">
        <f t="shared" ref="C29:G29" si="135">SUM(C25+SUM(C28:C28))</f>
        <v>-1166</v>
      </c>
      <c r="D29" s="14">
        <f t="shared" si="135"/>
        <v>-520</v>
      </c>
      <c r="E29" s="14">
        <f t="shared" si="135"/>
        <v>-372</v>
      </c>
      <c r="F29" s="14">
        <f t="shared" si="135"/>
        <v>218</v>
      </c>
      <c r="G29" s="14">
        <f t="shared" si="135"/>
        <v>469</v>
      </c>
      <c r="H29" s="11"/>
      <c r="I29" s="14">
        <f t="shared" ref="I29:L29" si="136">SUM(I25+SUM(I28:I28))</f>
        <v>-124</v>
      </c>
      <c r="J29" s="14">
        <f t="shared" si="136"/>
        <v>-138</v>
      </c>
      <c r="K29" s="14">
        <f t="shared" si="136"/>
        <v>-102</v>
      </c>
      <c r="L29" s="14">
        <f t="shared" si="136"/>
        <v>-157</v>
      </c>
      <c r="M29" s="14">
        <f t="shared" ref="M29:P29" si="137">SUM(M25+SUM(M28:M28))</f>
        <v>-100</v>
      </c>
      <c r="N29" s="14">
        <f t="shared" ref="N29" si="138">SUM(N25+SUM(N28:N28))</f>
        <v>-179</v>
      </c>
      <c r="O29" s="14">
        <f t="shared" si="137"/>
        <v>-124</v>
      </c>
      <c r="P29" s="14">
        <f t="shared" si="137"/>
        <v>32</v>
      </c>
      <c r="Q29" s="14">
        <f t="shared" ref="Q29:AA29" si="139">SUM(Q25+SUM(Q28:Q28))</f>
        <v>19</v>
      </c>
      <c r="R29" s="14">
        <f t="shared" si="139"/>
        <v>27</v>
      </c>
      <c r="S29" s="14">
        <f t="shared" si="139"/>
        <v>73</v>
      </c>
      <c r="T29" s="14">
        <f t="shared" si="139"/>
        <v>97</v>
      </c>
      <c r="U29" s="14">
        <f t="shared" si="139"/>
        <v>105</v>
      </c>
      <c r="V29" s="14">
        <f t="shared" si="139"/>
        <v>135</v>
      </c>
      <c r="W29" s="14">
        <f t="shared" si="139"/>
        <v>149</v>
      </c>
      <c r="X29" s="14">
        <f t="shared" si="139"/>
        <v>79</v>
      </c>
      <c r="Y29" s="14">
        <f t="shared" si="139"/>
        <v>217</v>
      </c>
      <c r="Z29" s="14">
        <f t="shared" si="139"/>
        <v>328</v>
      </c>
      <c r="AA29" s="14">
        <f t="shared" si="139"/>
        <v>476</v>
      </c>
      <c r="AB29" s="32"/>
      <c r="AC29" s="14">
        <f t="shared" ref="AC29:AJ29" si="140">SUM(AC25+SUM(AC28:AC28))</f>
        <v>216</v>
      </c>
      <c r="AD29" s="14">
        <f t="shared" si="140"/>
        <v>302</v>
      </c>
      <c r="AE29" s="14">
        <f t="shared" si="140"/>
        <v>410</v>
      </c>
      <c r="AF29" s="14">
        <f t="shared" si="140"/>
        <v>486</v>
      </c>
      <c r="AG29" s="14">
        <f t="shared" si="140"/>
        <v>468</v>
      </c>
      <c r="AH29" s="14">
        <f t="shared" si="140"/>
        <v>580</v>
      </c>
      <c r="AI29" s="14">
        <f t="shared" si="140"/>
        <v>773</v>
      </c>
      <c r="AJ29" s="14">
        <f t="shared" si="140"/>
        <v>1100</v>
      </c>
      <c r="AK29" s="36"/>
      <c r="AL29" s="76">
        <f>SUM(AJ29/AF29)-1</f>
        <v>1.263374485596708</v>
      </c>
    </row>
    <row r="30" spans="2:38" ht="12.75" customHeight="1">
      <c r="B30" s="16" t="s">
        <v>103</v>
      </c>
      <c r="C30" s="17">
        <f>C29/C11</f>
        <v>-1.0667886550777677</v>
      </c>
      <c r="D30" s="17">
        <f>D29/D11</f>
        <v>-0.33722438391699094</v>
      </c>
      <c r="E30" s="17">
        <f>E29/E11</f>
        <v>-0.19517313746065057</v>
      </c>
      <c r="F30" s="17">
        <f>F29/F11</f>
        <v>9.7977528089887647E-2</v>
      </c>
      <c r="G30" s="17">
        <f>G29/G11</f>
        <v>0.16364270760642011</v>
      </c>
      <c r="H30" s="27"/>
      <c r="I30" s="17">
        <f>I29/I11</f>
        <v>-0.36363636363636365</v>
      </c>
      <c r="J30" s="17">
        <f>J29/J11</f>
        <v>-0.36702127659574468</v>
      </c>
      <c r="K30" s="17">
        <f>K29/K11</f>
        <v>-0.26020408163265307</v>
      </c>
      <c r="L30" s="17">
        <f>L29/L11</f>
        <v>-0.3625866050808314</v>
      </c>
      <c r="M30" s="17">
        <f>M29/M11</f>
        <v>-0.22421524663677131</v>
      </c>
      <c r="N30" s="17">
        <f>N29/N11</f>
        <v>-0.3784355179704017</v>
      </c>
      <c r="O30" s="17">
        <f>O29/O11</f>
        <v>-0.2594142259414226</v>
      </c>
      <c r="P30" s="17">
        <f>P29/P11</f>
        <v>6.2868369351669937E-2</v>
      </c>
      <c r="Q30" s="17">
        <f>Q29/Q11</f>
        <v>3.619047619047619E-2</v>
      </c>
      <c r="R30" s="17">
        <f>R29/R11</f>
        <v>5.0656660412757973E-2</v>
      </c>
      <c r="S30" s="17">
        <f>S29/S11</f>
        <v>0.13082437275985664</v>
      </c>
      <c r="T30" s="17">
        <f>T29/T11</f>
        <v>0.15953947368421054</v>
      </c>
      <c r="U30" s="17">
        <f>U29/U11</f>
        <v>0.16561514195583596</v>
      </c>
      <c r="V30" s="17">
        <f>V29/V11</f>
        <v>0.19911504424778761</v>
      </c>
      <c r="W30" s="17">
        <f>W29/W11</f>
        <v>0.20523415977961432</v>
      </c>
      <c r="X30" s="17">
        <f>X29/X11</f>
        <v>9.5410628019323665E-2</v>
      </c>
      <c r="Y30" s="17">
        <f>Y29/Y11</f>
        <v>0.24547511312217193</v>
      </c>
      <c r="Z30" s="17">
        <f>Z29/Z11</f>
        <v>0.32669322709163345</v>
      </c>
      <c r="AA30" s="17">
        <f>AA29/AA11</f>
        <v>0.40304826418289585</v>
      </c>
      <c r="AB30" s="28"/>
      <c r="AC30" s="17">
        <f>AC29/AC11</f>
        <v>9.7122302158273388E-2</v>
      </c>
      <c r="AD30" s="17">
        <f>AD29/AD11</f>
        <v>0.12944706386626662</v>
      </c>
      <c r="AE30" s="17">
        <f>AE29/AE11</f>
        <v>0.16545601291364004</v>
      </c>
      <c r="AF30" s="17">
        <f>AF29/AF11</f>
        <v>0.18367346938775511</v>
      </c>
      <c r="AG30" s="17">
        <f>AG29/AG11</f>
        <v>0.16329378925331473</v>
      </c>
      <c r="AH30" s="17">
        <f>AH29/AH11</f>
        <v>0.18613607188703465</v>
      </c>
      <c r="AI30" s="17">
        <f>AI29/AI11</f>
        <v>0.22457873329459616</v>
      </c>
      <c r="AJ30" s="17">
        <f>AJ29/AJ11</f>
        <v>0.28226841159866561</v>
      </c>
      <c r="AK30" s="43"/>
      <c r="AL30" s="77">
        <f>SUM(AJ30-AF30)*1000</f>
        <v>98.594942210910503</v>
      </c>
    </row>
    <row r="31" spans="2:38" ht="5.0999999999999996" customHeight="1">
      <c r="B31" s="16"/>
      <c r="C31" s="17"/>
      <c r="D31" s="17"/>
      <c r="E31" s="17"/>
      <c r="F31" s="17"/>
      <c r="G31" s="17"/>
      <c r="H31" s="2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28"/>
      <c r="AC31" s="17"/>
      <c r="AD31" s="17"/>
      <c r="AE31" s="17"/>
      <c r="AF31" s="17"/>
      <c r="AG31" s="17"/>
      <c r="AH31" s="17"/>
      <c r="AI31" s="17"/>
      <c r="AJ31" s="17"/>
      <c r="AK31" s="43"/>
      <c r="AL31" s="77"/>
    </row>
    <row r="32" spans="2:38" ht="12.75" customHeight="1">
      <c r="B32" s="44" t="s">
        <v>84</v>
      </c>
      <c r="C32" s="82"/>
      <c r="D32" s="82"/>
      <c r="E32" s="82"/>
      <c r="F32" s="82"/>
      <c r="G32" s="82"/>
      <c r="H32" s="27"/>
      <c r="I32" s="82"/>
      <c r="J32" s="82"/>
      <c r="K32" s="82"/>
      <c r="L32" s="32">
        <f>D32</f>
        <v>0</v>
      </c>
      <c r="M32" s="82"/>
      <c r="N32" s="82"/>
      <c r="O32" s="82"/>
      <c r="P32" s="32">
        <f>E32</f>
        <v>0</v>
      </c>
      <c r="Q32" s="82"/>
      <c r="R32" s="82"/>
      <c r="S32" s="82"/>
      <c r="T32" s="32">
        <f>F32</f>
        <v>0</v>
      </c>
      <c r="U32" s="82"/>
      <c r="V32" s="82"/>
      <c r="W32" s="82"/>
      <c r="X32" s="32">
        <f>G32</f>
        <v>0</v>
      </c>
      <c r="Y32" s="82"/>
      <c r="Z32" s="82"/>
      <c r="AA32" s="82"/>
      <c r="AB32" s="132"/>
      <c r="AC32" s="32">
        <f>T32</f>
        <v>0</v>
      </c>
      <c r="AD32" s="32">
        <f>U32</f>
        <v>0</v>
      </c>
      <c r="AE32" s="32">
        <f>V32</f>
        <v>0</v>
      </c>
      <c r="AF32" s="32">
        <f>W32</f>
        <v>0</v>
      </c>
      <c r="AG32" s="32">
        <f>X32</f>
        <v>0</v>
      </c>
      <c r="AH32" s="32">
        <f>Y32</f>
        <v>0</v>
      </c>
      <c r="AI32" s="32">
        <f>Z32</f>
        <v>0</v>
      </c>
      <c r="AJ32" s="32">
        <f>AA32</f>
        <v>0</v>
      </c>
      <c r="AK32" s="43"/>
      <c r="AL32" s="75" t="e">
        <f>SUM(AJ32/AF32)-1</f>
        <v>#DIV/0!</v>
      </c>
    </row>
    <row r="33" spans="1:38" ht="12.75" customHeight="1">
      <c r="B33" s="13" t="s">
        <v>62</v>
      </c>
      <c r="C33" s="144" t="e">
        <f t="shared" ref="C33:G33" si="141">C29/C32</f>
        <v>#DIV/0!</v>
      </c>
      <c r="D33" s="144" t="e">
        <f t="shared" si="141"/>
        <v>#DIV/0!</v>
      </c>
      <c r="E33" s="144" t="e">
        <f t="shared" si="141"/>
        <v>#DIV/0!</v>
      </c>
      <c r="F33" s="144" t="e">
        <f t="shared" si="141"/>
        <v>#DIV/0!</v>
      </c>
      <c r="G33" s="144" t="e">
        <f t="shared" si="141"/>
        <v>#DIV/0!</v>
      </c>
      <c r="H33" s="27"/>
      <c r="I33" s="144" t="e">
        <f t="shared" ref="I33" si="142">I29/I32</f>
        <v>#DIV/0!</v>
      </c>
      <c r="J33" s="144" t="e">
        <f t="shared" ref="J33" si="143">J29/J32</f>
        <v>#DIV/0!</v>
      </c>
      <c r="K33" s="144" t="e">
        <f t="shared" ref="K33" si="144">K29/K32</f>
        <v>#DIV/0!</v>
      </c>
      <c r="L33" s="144" t="e">
        <f t="shared" ref="L33" si="145">L29/L32</f>
        <v>#DIV/0!</v>
      </c>
      <c r="M33" s="144" t="e">
        <f t="shared" ref="M33" si="146">M29/M32</f>
        <v>#DIV/0!</v>
      </c>
      <c r="N33" s="144" t="e">
        <f t="shared" ref="N33:O33" si="147">N29/N32</f>
        <v>#DIV/0!</v>
      </c>
      <c r="O33" s="144" t="e">
        <f t="shared" si="147"/>
        <v>#DIV/0!</v>
      </c>
      <c r="P33" s="144" t="e">
        <f t="shared" ref="P33:AA33" si="148">P29/P32</f>
        <v>#DIV/0!</v>
      </c>
      <c r="Q33" s="144" t="e">
        <f t="shared" si="148"/>
        <v>#DIV/0!</v>
      </c>
      <c r="R33" s="144" t="e">
        <f t="shared" si="148"/>
        <v>#DIV/0!</v>
      </c>
      <c r="S33" s="144" t="e">
        <f t="shared" si="148"/>
        <v>#DIV/0!</v>
      </c>
      <c r="T33" s="144" t="e">
        <f t="shared" si="148"/>
        <v>#DIV/0!</v>
      </c>
      <c r="U33" s="144" t="e">
        <f t="shared" si="148"/>
        <v>#DIV/0!</v>
      </c>
      <c r="V33" s="144" t="e">
        <f t="shared" si="148"/>
        <v>#DIV/0!</v>
      </c>
      <c r="W33" s="144" t="e">
        <f t="shared" si="148"/>
        <v>#DIV/0!</v>
      </c>
      <c r="X33" s="144" t="e">
        <f t="shared" si="148"/>
        <v>#DIV/0!</v>
      </c>
      <c r="Y33" s="144" t="e">
        <f t="shared" si="148"/>
        <v>#DIV/0!</v>
      </c>
      <c r="Z33" s="144" t="e">
        <f t="shared" si="148"/>
        <v>#DIV/0!</v>
      </c>
      <c r="AA33" s="144" t="e">
        <f t="shared" si="148"/>
        <v>#DIV/0!</v>
      </c>
      <c r="AB33" s="132"/>
      <c r="AC33" s="144" t="e">
        <f t="shared" ref="AC33:AJ33" si="149">AC29/AC32</f>
        <v>#DIV/0!</v>
      </c>
      <c r="AD33" s="144" t="e">
        <f t="shared" si="149"/>
        <v>#DIV/0!</v>
      </c>
      <c r="AE33" s="144" t="e">
        <f t="shared" si="149"/>
        <v>#DIV/0!</v>
      </c>
      <c r="AF33" s="144" t="e">
        <f t="shared" si="149"/>
        <v>#DIV/0!</v>
      </c>
      <c r="AG33" s="144" t="e">
        <f t="shared" si="149"/>
        <v>#DIV/0!</v>
      </c>
      <c r="AH33" s="144" t="e">
        <f t="shared" si="149"/>
        <v>#DIV/0!</v>
      </c>
      <c r="AI33" s="144" t="e">
        <f t="shared" si="149"/>
        <v>#DIV/0!</v>
      </c>
      <c r="AJ33" s="144" t="e">
        <f t="shared" si="149"/>
        <v>#DIV/0!</v>
      </c>
      <c r="AK33" s="43"/>
      <c r="AL33" s="76" t="e">
        <f>SUM(AJ33/AF33)-1</f>
        <v>#DIV/0!</v>
      </c>
    </row>
    <row r="34" spans="1:38" ht="12.75" customHeight="1">
      <c r="B34" s="25"/>
      <c r="C34" s="48"/>
      <c r="D34" s="48"/>
      <c r="E34" s="48"/>
      <c r="F34" s="48"/>
      <c r="G34" s="48"/>
      <c r="H34" s="143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132"/>
      <c r="AC34" s="132"/>
      <c r="AD34" s="132"/>
      <c r="AE34" s="132"/>
      <c r="AF34" s="48"/>
      <c r="AG34" s="132"/>
      <c r="AH34" s="132"/>
      <c r="AI34" s="132"/>
      <c r="AJ34" s="132"/>
      <c r="AK34" s="43"/>
      <c r="AL34" s="75"/>
    </row>
    <row r="35" spans="1:38" ht="12.75" customHeight="1">
      <c r="B35" s="44" t="s">
        <v>63</v>
      </c>
      <c r="C35" s="82"/>
      <c r="D35" s="82"/>
      <c r="E35" s="82"/>
      <c r="F35" s="82"/>
      <c r="G35" s="82"/>
      <c r="H35" s="143"/>
      <c r="I35" s="82"/>
      <c r="J35" s="82"/>
      <c r="K35" s="82"/>
      <c r="L35" s="32">
        <f>D35</f>
        <v>0</v>
      </c>
      <c r="M35" s="82"/>
      <c r="N35" s="82"/>
      <c r="O35" s="82"/>
      <c r="P35" s="32">
        <f>E35</f>
        <v>0</v>
      </c>
      <c r="Q35" s="82"/>
      <c r="R35" s="82"/>
      <c r="S35" s="82"/>
      <c r="T35" s="32">
        <f>F35</f>
        <v>0</v>
      </c>
      <c r="U35" s="82"/>
      <c r="V35" s="82"/>
      <c r="W35" s="82"/>
      <c r="X35" s="32">
        <f>G35</f>
        <v>0</v>
      </c>
      <c r="Y35" s="82"/>
      <c r="Z35" s="82"/>
      <c r="AA35" s="82"/>
      <c r="AB35" s="132"/>
      <c r="AC35" s="32">
        <f>T35</f>
        <v>0</v>
      </c>
      <c r="AD35" s="32">
        <f>U35</f>
        <v>0</v>
      </c>
      <c r="AE35" s="32">
        <f>V35</f>
        <v>0</v>
      </c>
      <c r="AF35" s="32">
        <f>W35</f>
        <v>0</v>
      </c>
      <c r="AG35" s="32">
        <f>X35</f>
        <v>0</v>
      </c>
      <c r="AH35" s="32">
        <f>Y35</f>
        <v>0</v>
      </c>
      <c r="AI35" s="32">
        <f>Z35</f>
        <v>0</v>
      </c>
      <c r="AJ35" s="32">
        <f>AA35</f>
        <v>0</v>
      </c>
      <c r="AK35" s="43"/>
      <c r="AL35" s="75" t="e">
        <f>SUM(AJ35/AF35)-1</f>
        <v>#DIV/0!</v>
      </c>
    </row>
    <row r="36" spans="1:38" ht="12.75" customHeight="1">
      <c r="B36" s="13" t="s">
        <v>83</v>
      </c>
      <c r="C36" s="144" t="e">
        <f t="shared" ref="C36:G36" si="150">C29/C35</f>
        <v>#DIV/0!</v>
      </c>
      <c r="D36" s="144" t="e">
        <f t="shared" si="150"/>
        <v>#DIV/0!</v>
      </c>
      <c r="E36" s="144" t="e">
        <f t="shared" si="150"/>
        <v>#DIV/0!</v>
      </c>
      <c r="F36" s="144" t="e">
        <f t="shared" si="150"/>
        <v>#DIV/0!</v>
      </c>
      <c r="G36" s="144" t="e">
        <f t="shared" si="150"/>
        <v>#DIV/0!</v>
      </c>
      <c r="H36" s="27"/>
      <c r="I36" s="144" t="e">
        <f t="shared" ref="I36" si="151">I29/I35</f>
        <v>#DIV/0!</v>
      </c>
      <c r="J36" s="144" t="e">
        <f t="shared" ref="J36" si="152">J29/J35</f>
        <v>#DIV/0!</v>
      </c>
      <c r="K36" s="144" t="e">
        <f t="shared" ref="K36" si="153">K29/K35</f>
        <v>#DIV/0!</v>
      </c>
      <c r="L36" s="144" t="e">
        <f t="shared" ref="L36" si="154">L29/L35</f>
        <v>#DIV/0!</v>
      </c>
      <c r="M36" s="144" t="e">
        <f t="shared" ref="M36" si="155">M29/M35</f>
        <v>#DIV/0!</v>
      </c>
      <c r="N36" s="144" t="e">
        <f t="shared" ref="N36:O36" si="156">N29/N35</f>
        <v>#DIV/0!</v>
      </c>
      <c r="O36" s="144" t="e">
        <f t="shared" si="156"/>
        <v>#DIV/0!</v>
      </c>
      <c r="P36" s="144" t="e">
        <f t="shared" ref="P36:AA36" si="157">P29/P35</f>
        <v>#DIV/0!</v>
      </c>
      <c r="Q36" s="144" t="e">
        <f t="shared" si="157"/>
        <v>#DIV/0!</v>
      </c>
      <c r="R36" s="144" t="e">
        <f t="shared" si="157"/>
        <v>#DIV/0!</v>
      </c>
      <c r="S36" s="144" t="e">
        <f t="shared" si="157"/>
        <v>#DIV/0!</v>
      </c>
      <c r="T36" s="144" t="e">
        <f t="shared" si="157"/>
        <v>#DIV/0!</v>
      </c>
      <c r="U36" s="144" t="e">
        <f t="shared" si="157"/>
        <v>#DIV/0!</v>
      </c>
      <c r="V36" s="144" t="e">
        <f t="shared" si="157"/>
        <v>#DIV/0!</v>
      </c>
      <c r="W36" s="144" t="e">
        <f t="shared" si="157"/>
        <v>#DIV/0!</v>
      </c>
      <c r="X36" s="144" t="e">
        <f t="shared" si="157"/>
        <v>#DIV/0!</v>
      </c>
      <c r="Y36" s="144" t="e">
        <f t="shared" si="157"/>
        <v>#DIV/0!</v>
      </c>
      <c r="Z36" s="144" t="e">
        <f t="shared" si="157"/>
        <v>#DIV/0!</v>
      </c>
      <c r="AA36" s="144" t="e">
        <f t="shared" si="157"/>
        <v>#DIV/0!</v>
      </c>
      <c r="AB36" s="132"/>
      <c r="AC36" s="144" t="e">
        <f t="shared" ref="AC36:AJ36" si="158">AC29/AC35</f>
        <v>#DIV/0!</v>
      </c>
      <c r="AD36" s="144" t="e">
        <f t="shared" si="158"/>
        <v>#DIV/0!</v>
      </c>
      <c r="AE36" s="144" t="e">
        <f t="shared" si="158"/>
        <v>#DIV/0!</v>
      </c>
      <c r="AF36" s="144" t="e">
        <f t="shared" si="158"/>
        <v>#DIV/0!</v>
      </c>
      <c r="AG36" s="144" t="e">
        <f t="shared" si="158"/>
        <v>#DIV/0!</v>
      </c>
      <c r="AH36" s="144" t="e">
        <f t="shared" si="158"/>
        <v>#DIV/0!</v>
      </c>
      <c r="AI36" s="144" t="e">
        <f t="shared" si="158"/>
        <v>#DIV/0!</v>
      </c>
      <c r="AJ36" s="144" t="e">
        <f t="shared" si="158"/>
        <v>#DIV/0!</v>
      </c>
      <c r="AK36" s="43"/>
      <c r="AL36" s="76" t="e">
        <f>SUM(AJ36/AF36)-1</f>
        <v>#DIV/0!</v>
      </c>
    </row>
    <row r="37" spans="1:38">
      <c r="B37" s="16"/>
      <c r="C37" s="17"/>
      <c r="D37" s="17"/>
      <c r="E37" s="17"/>
      <c r="F37" s="17"/>
      <c r="G37" s="17"/>
      <c r="H37" s="2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8"/>
      <c r="AC37" s="17"/>
      <c r="AD37" s="17"/>
      <c r="AE37" s="17"/>
      <c r="AF37" s="17"/>
      <c r="AG37" s="17"/>
      <c r="AH37" s="17"/>
      <c r="AI37" s="17"/>
      <c r="AJ37" s="17"/>
      <c r="AK37" s="43"/>
    </row>
    <row r="38" spans="1:38" ht="12.75" customHeight="1">
      <c r="A38" s="5" t="s">
        <v>16</v>
      </c>
      <c r="B38" s="106" t="s">
        <v>73</v>
      </c>
      <c r="C38" s="107"/>
      <c r="D38" s="107"/>
      <c r="E38" s="107"/>
      <c r="F38" s="107"/>
      <c r="G38" s="107"/>
      <c r="H38" s="108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6"/>
      <c r="AC38" s="107"/>
      <c r="AD38" s="107"/>
      <c r="AE38" s="107" t="s">
        <v>10</v>
      </c>
      <c r="AF38" s="107"/>
      <c r="AG38" s="107"/>
      <c r="AH38" s="107"/>
      <c r="AI38" s="107"/>
      <c r="AJ38" s="107"/>
      <c r="AK38" s="108"/>
      <c r="AL38" s="163" t="s">
        <v>22</v>
      </c>
    </row>
    <row r="39" spans="1:38" ht="12.75" customHeight="1">
      <c r="B39" s="110" t="str">
        <f>B7</f>
        <v>Fiscal Period</v>
      </c>
      <c r="C39" s="109">
        <f>C7</f>
        <v>2020</v>
      </c>
      <c r="D39" s="109">
        <f>D7</f>
        <v>2021</v>
      </c>
      <c r="E39" s="109">
        <f>E7</f>
        <v>2022</v>
      </c>
      <c r="F39" s="109">
        <f>F7</f>
        <v>2023</v>
      </c>
      <c r="G39" s="109">
        <f>G7</f>
        <v>2024</v>
      </c>
      <c r="H39" s="108"/>
      <c r="I39" s="109" t="str">
        <f>I7</f>
        <v>1Q21</v>
      </c>
      <c r="J39" s="109" t="str">
        <f>J7</f>
        <v>2Q21</v>
      </c>
      <c r="K39" s="109" t="str">
        <f>K7</f>
        <v>3Q21</v>
      </c>
      <c r="L39" s="109" t="str">
        <f>L7</f>
        <v>4Q21</v>
      </c>
      <c r="M39" s="109" t="str">
        <f>M7</f>
        <v>1Q22</v>
      </c>
      <c r="N39" s="109" t="str">
        <f>N7</f>
        <v>2Q22</v>
      </c>
      <c r="O39" s="109" t="str">
        <f>O7</f>
        <v>3Q22</v>
      </c>
      <c r="P39" s="109" t="str">
        <f>P7</f>
        <v>4Q22</v>
      </c>
      <c r="Q39" s="109" t="str">
        <f>Q7</f>
        <v>1Q23</v>
      </c>
      <c r="R39" s="109" t="str">
        <f>R7</f>
        <v>2Q23</v>
      </c>
      <c r="S39" s="109" t="str">
        <f>S7</f>
        <v>3Q23</v>
      </c>
      <c r="T39" s="109" t="str">
        <f>T7</f>
        <v>4Q23</v>
      </c>
      <c r="U39" s="109" t="str">
        <f>U7</f>
        <v>1Q24</v>
      </c>
      <c r="V39" s="109" t="str">
        <f>V7</f>
        <v>2Q24</v>
      </c>
      <c r="W39" s="109" t="str">
        <f>W7</f>
        <v>3Q24</v>
      </c>
      <c r="X39" s="109" t="str">
        <f>X7</f>
        <v>4Q24</v>
      </c>
      <c r="Y39" s="109" t="str">
        <f>Y7</f>
        <v>1Q25</v>
      </c>
      <c r="Z39" s="109" t="str">
        <f>Z7</f>
        <v>2Q25</v>
      </c>
      <c r="AA39" s="109" t="str">
        <f>AA7</f>
        <v>3Q25</v>
      </c>
      <c r="AB39" s="111"/>
      <c r="AC39" s="109" t="str">
        <f>AC7</f>
        <v>4Q23</v>
      </c>
      <c r="AD39" s="109" t="str">
        <f>AD7</f>
        <v>1Q24</v>
      </c>
      <c r="AE39" s="109" t="str">
        <f>AE7</f>
        <v>2Q24</v>
      </c>
      <c r="AF39" s="109" t="str">
        <f>AF7</f>
        <v>3Q24</v>
      </c>
      <c r="AG39" s="109" t="str">
        <f>AG7</f>
        <v>4Q24</v>
      </c>
      <c r="AH39" s="109" t="str">
        <f>AH7</f>
        <v>1Q25</v>
      </c>
      <c r="AI39" s="109" t="str">
        <f>AI7</f>
        <v>2Q25</v>
      </c>
      <c r="AJ39" s="109" t="str">
        <f>AJ7</f>
        <v>3Q25</v>
      </c>
      <c r="AK39" s="108"/>
      <c r="AL39" s="163"/>
    </row>
    <row r="40" spans="1:38" ht="12.75" customHeight="1">
      <c r="B40" s="110" t="str">
        <f>B8</f>
        <v>Fiscal Period End Date</v>
      </c>
      <c r="C40" s="112">
        <f>C8</f>
        <v>0</v>
      </c>
      <c r="D40" s="112">
        <f>D8</f>
        <v>0</v>
      </c>
      <c r="E40" s="112">
        <f>E8</f>
        <v>0</v>
      </c>
      <c r="F40" s="112">
        <f>F8</f>
        <v>0</v>
      </c>
      <c r="G40" s="112">
        <f>G8</f>
        <v>0</v>
      </c>
      <c r="H40" s="108"/>
      <c r="I40" s="112">
        <f>I8</f>
        <v>0</v>
      </c>
      <c r="J40" s="112">
        <f>J8</f>
        <v>0</v>
      </c>
      <c r="K40" s="112">
        <f>K8</f>
        <v>0</v>
      </c>
      <c r="L40" s="112">
        <f>L8</f>
        <v>0</v>
      </c>
      <c r="M40" s="112">
        <f>M8</f>
        <v>0</v>
      </c>
      <c r="N40" s="112">
        <f>N8</f>
        <v>0</v>
      </c>
      <c r="O40" s="112">
        <f>O8</f>
        <v>0</v>
      </c>
      <c r="P40" s="112">
        <f>P8</f>
        <v>0</v>
      </c>
      <c r="Q40" s="112">
        <f>Q8</f>
        <v>0</v>
      </c>
      <c r="R40" s="112">
        <f>R8</f>
        <v>0</v>
      </c>
      <c r="S40" s="112">
        <f>S8</f>
        <v>0</v>
      </c>
      <c r="T40" s="112">
        <f>T8</f>
        <v>0</v>
      </c>
      <c r="U40" s="112">
        <f>U8</f>
        <v>0</v>
      </c>
      <c r="V40" s="112">
        <f>V8</f>
        <v>0</v>
      </c>
      <c r="W40" s="112">
        <f>W8</f>
        <v>0</v>
      </c>
      <c r="X40" s="112">
        <f>X8</f>
        <v>0</v>
      </c>
      <c r="Y40" s="112">
        <f>Y8</f>
        <v>0</v>
      </c>
      <c r="Z40" s="112">
        <f>Z8</f>
        <v>0</v>
      </c>
      <c r="AA40" s="112">
        <f>AA8</f>
        <v>0</v>
      </c>
      <c r="AB40" s="113"/>
      <c r="AC40" s="112">
        <f>AC8</f>
        <v>0</v>
      </c>
      <c r="AD40" s="112">
        <f>AD8</f>
        <v>0</v>
      </c>
      <c r="AE40" s="112">
        <f>AE8</f>
        <v>0</v>
      </c>
      <c r="AF40" s="112">
        <f>AF8</f>
        <v>0</v>
      </c>
      <c r="AG40" s="112">
        <f>AG8</f>
        <v>0</v>
      </c>
      <c r="AH40" s="112">
        <f>AH8</f>
        <v>0</v>
      </c>
      <c r="AI40" s="112">
        <f>AI8</f>
        <v>0</v>
      </c>
      <c r="AJ40" s="112">
        <f>AJ8</f>
        <v>0</v>
      </c>
      <c r="AK40" s="108"/>
      <c r="AL40" s="163"/>
    </row>
    <row r="41" spans="1:38" ht="5.0999999999999996" customHeight="1">
      <c r="B41" s="46"/>
      <c r="C41" s="47"/>
      <c r="D41" s="47"/>
      <c r="E41" s="47"/>
      <c r="F41" s="47"/>
      <c r="G41" s="47"/>
    </row>
    <row r="42" spans="1:38">
      <c r="B42" s="78" t="s">
        <v>78</v>
      </c>
      <c r="C42" s="47"/>
      <c r="D42" s="47"/>
      <c r="E42" s="47"/>
      <c r="F42" s="47"/>
      <c r="G42" s="47"/>
    </row>
    <row r="43" spans="1:38" s="122" customFormat="1" ht="12.75" customHeight="1">
      <c r="B43" s="114" t="s">
        <v>185</v>
      </c>
      <c r="C43" s="123">
        <v>2011</v>
      </c>
      <c r="D43" s="123">
        <v>2291</v>
      </c>
      <c r="E43" s="123">
        <v>2599</v>
      </c>
      <c r="F43" s="123">
        <v>831</v>
      </c>
      <c r="G43" s="123">
        <v>2099</v>
      </c>
      <c r="I43" s="82">
        <v>2339</v>
      </c>
      <c r="J43" s="82">
        <v>2341</v>
      </c>
      <c r="K43" s="82">
        <v>2335</v>
      </c>
      <c r="L43" s="32">
        <f t="shared" ref="L43:L47" si="159">D43</f>
        <v>2291</v>
      </c>
      <c r="M43" s="82">
        <v>2269</v>
      </c>
      <c r="N43" s="82">
        <v>2358</v>
      </c>
      <c r="O43" s="82">
        <v>2411</v>
      </c>
      <c r="P43" s="32">
        <f t="shared" ref="P43:P47" si="160">E43</f>
        <v>2599</v>
      </c>
      <c r="Q43" s="82">
        <v>1265</v>
      </c>
      <c r="R43" s="82">
        <v>1056</v>
      </c>
      <c r="S43" s="82">
        <v>1040</v>
      </c>
      <c r="T43" s="32">
        <f t="shared" ref="T43:T47" si="161">F43</f>
        <v>831</v>
      </c>
      <c r="U43" s="82">
        <v>993</v>
      </c>
      <c r="V43" s="82">
        <v>513</v>
      </c>
      <c r="W43" s="82">
        <v>769</v>
      </c>
      <c r="X43" s="32">
        <f t="shared" ref="X43:X47" si="162">G43</f>
        <v>2099</v>
      </c>
      <c r="Y43" s="82">
        <v>993</v>
      </c>
      <c r="Z43" s="82">
        <v>930</v>
      </c>
      <c r="AA43" s="82">
        <v>1616</v>
      </c>
      <c r="AC43" s="96">
        <f>T43</f>
        <v>831</v>
      </c>
      <c r="AD43" s="96">
        <f>U43</f>
        <v>993</v>
      </c>
      <c r="AE43" s="96">
        <f>V43</f>
        <v>513</v>
      </c>
      <c r="AF43" s="96">
        <f>W43</f>
        <v>769</v>
      </c>
      <c r="AG43" s="96">
        <f>X43</f>
        <v>2099</v>
      </c>
      <c r="AH43" s="96">
        <f>Y43</f>
        <v>993</v>
      </c>
      <c r="AI43" s="96">
        <f>Z43</f>
        <v>930</v>
      </c>
      <c r="AJ43" s="96">
        <f>AA43</f>
        <v>1616</v>
      </c>
      <c r="AK43" s="124"/>
      <c r="AL43" s="75">
        <f>SUM(AJ43/AF43)-1</f>
        <v>1.1014304291287385</v>
      </c>
    </row>
    <row r="44" spans="1:38" s="122" customFormat="1" ht="12.75" customHeight="1">
      <c r="B44" s="114" t="s">
        <v>186</v>
      </c>
      <c r="C44" s="123">
        <v>0</v>
      </c>
      <c r="D44" s="123">
        <v>234</v>
      </c>
      <c r="E44" s="123">
        <v>35</v>
      </c>
      <c r="F44" s="123">
        <v>2843</v>
      </c>
      <c r="G44" s="123">
        <v>3131</v>
      </c>
      <c r="I44" s="82">
        <v>0</v>
      </c>
      <c r="J44" s="82">
        <v>0</v>
      </c>
      <c r="K44" s="82">
        <v>148</v>
      </c>
      <c r="L44" s="32">
        <f t="shared" si="159"/>
        <v>234</v>
      </c>
      <c r="M44" s="82">
        <v>253</v>
      </c>
      <c r="N44" s="82">
        <v>99</v>
      </c>
      <c r="O44" s="82">
        <v>57</v>
      </c>
      <c r="P44" s="32">
        <f t="shared" si="160"/>
        <v>35</v>
      </c>
      <c r="Q44" s="82">
        <v>1640</v>
      </c>
      <c r="R44" s="82">
        <v>2047</v>
      </c>
      <c r="S44" s="82">
        <v>2243</v>
      </c>
      <c r="T44" s="32">
        <f t="shared" si="161"/>
        <v>2843</v>
      </c>
      <c r="U44" s="82">
        <v>4437</v>
      </c>
      <c r="V44" s="82">
        <v>3486</v>
      </c>
      <c r="W44" s="82">
        <v>3796</v>
      </c>
      <c r="X44" s="32">
        <f t="shared" si="162"/>
        <v>3131</v>
      </c>
      <c r="Y44" s="82">
        <v>4437</v>
      </c>
      <c r="Z44" s="82">
        <v>5071</v>
      </c>
      <c r="AA44" s="82">
        <v>4822</v>
      </c>
      <c r="AC44" s="96">
        <f>T44</f>
        <v>2843</v>
      </c>
      <c r="AD44" s="96">
        <f>U44</f>
        <v>4437</v>
      </c>
      <c r="AE44" s="96">
        <f>V44</f>
        <v>3486</v>
      </c>
      <c r="AF44" s="96">
        <f>W44</f>
        <v>3796</v>
      </c>
      <c r="AG44" s="96">
        <f>X44</f>
        <v>3131</v>
      </c>
      <c r="AH44" s="96">
        <f>Y44</f>
        <v>4437</v>
      </c>
      <c r="AI44" s="96">
        <f>Z44</f>
        <v>5071</v>
      </c>
      <c r="AJ44" s="96">
        <f>AA44</f>
        <v>4822</v>
      </c>
      <c r="AK44" s="124"/>
      <c r="AL44" s="75">
        <f t="shared" ref="AL44:AL47" si="163">SUM(AJ44/AF44)-1</f>
        <v>0.27028451001053733</v>
      </c>
    </row>
    <row r="45" spans="1:38" s="122" customFormat="1" ht="12.75" customHeight="1">
      <c r="B45" s="114" t="s">
        <v>169</v>
      </c>
      <c r="C45" s="123">
        <v>157</v>
      </c>
      <c r="D45" s="123">
        <v>191</v>
      </c>
      <c r="E45" s="123">
        <v>258</v>
      </c>
      <c r="F45" s="123">
        <v>365</v>
      </c>
      <c r="G45" s="123">
        <v>575</v>
      </c>
      <c r="I45" s="82">
        <v>151</v>
      </c>
      <c r="J45" s="82">
        <v>243</v>
      </c>
      <c r="K45" s="82">
        <v>174</v>
      </c>
      <c r="L45" s="32">
        <f t="shared" si="159"/>
        <v>191</v>
      </c>
      <c r="M45" s="82">
        <v>257</v>
      </c>
      <c r="N45" s="82">
        <v>266</v>
      </c>
      <c r="O45" s="82">
        <v>343</v>
      </c>
      <c r="P45" s="32">
        <f t="shared" si="160"/>
        <v>258</v>
      </c>
      <c r="Q45" s="82">
        <v>254</v>
      </c>
      <c r="R45" s="82">
        <v>376</v>
      </c>
      <c r="S45" s="82">
        <v>430</v>
      </c>
      <c r="T45" s="32">
        <f t="shared" si="161"/>
        <v>365</v>
      </c>
      <c r="U45" s="82">
        <v>725</v>
      </c>
      <c r="V45" s="82">
        <v>659</v>
      </c>
      <c r="W45" s="82">
        <v>668</v>
      </c>
      <c r="X45" s="32">
        <f t="shared" si="162"/>
        <v>575</v>
      </c>
      <c r="Y45" s="82">
        <v>725</v>
      </c>
      <c r="Z45" s="82">
        <v>747</v>
      </c>
      <c r="AA45" s="82">
        <v>1006</v>
      </c>
      <c r="AC45" s="96">
        <f t="shared" ref="AC45:AJ45" si="164">T45</f>
        <v>365</v>
      </c>
      <c r="AD45" s="96">
        <f t="shared" si="164"/>
        <v>725</v>
      </c>
      <c r="AE45" s="96">
        <f t="shared" si="164"/>
        <v>659</v>
      </c>
      <c r="AF45" s="96">
        <f t="shared" si="164"/>
        <v>668</v>
      </c>
      <c r="AG45" s="96">
        <f t="shared" si="164"/>
        <v>575</v>
      </c>
      <c r="AH45" s="96">
        <f t="shared" si="164"/>
        <v>725</v>
      </c>
      <c r="AI45" s="96">
        <f t="shared" si="164"/>
        <v>747</v>
      </c>
      <c r="AJ45" s="96">
        <f t="shared" si="164"/>
        <v>1006</v>
      </c>
      <c r="AK45" s="124"/>
      <c r="AL45" s="75">
        <f t="shared" ref="AL45" si="165">SUM(AJ45/AF45)-1</f>
        <v>0.50598802395209574</v>
      </c>
    </row>
    <row r="46" spans="1:38" s="122" customFormat="1" ht="12.75" customHeight="1">
      <c r="B46" s="114" t="s">
        <v>187</v>
      </c>
      <c r="C46" s="123">
        <v>37</v>
      </c>
      <c r="D46" s="123">
        <v>37</v>
      </c>
      <c r="E46" s="123">
        <v>16</v>
      </c>
      <c r="F46" s="123">
        <v>0</v>
      </c>
      <c r="G46" s="123">
        <v>0</v>
      </c>
      <c r="I46" s="82">
        <v>37</v>
      </c>
      <c r="J46" s="82">
        <v>37</v>
      </c>
      <c r="K46" s="82">
        <v>41</v>
      </c>
      <c r="L46" s="32">
        <f t="shared" si="159"/>
        <v>37</v>
      </c>
      <c r="M46" s="82">
        <v>34</v>
      </c>
      <c r="N46" s="82">
        <v>28</v>
      </c>
      <c r="O46" s="82">
        <v>21</v>
      </c>
      <c r="P46" s="32">
        <f t="shared" si="160"/>
        <v>16</v>
      </c>
      <c r="Q46" s="82">
        <v>12</v>
      </c>
      <c r="R46" s="82">
        <v>0</v>
      </c>
      <c r="S46" s="82">
        <v>0</v>
      </c>
      <c r="T46" s="32">
        <f t="shared" si="161"/>
        <v>0</v>
      </c>
      <c r="U46" s="82">
        <v>0</v>
      </c>
      <c r="V46" s="82">
        <v>0</v>
      </c>
      <c r="W46" s="82">
        <v>0</v>
      </c>
      <c r="X46" s="32">
        <f t="shared" si="162"/>
        <v>0</v>
      </c>
      <c r="Y46" s="82">
        <v>0</v>
      </c>
      <c r="Z46" s="82">
        <v>0</v>
      </c>
      <c r="AA46" s="82">
        <v>0</v>
      </c>
      <c r="AC46" s="96">
        <f>T46</f>
        <v>0</v>
      </c>
      <c r="AD46" s="96">
        <f>U46</f>
        <v>0</v>
      </c>
      <c r="AE46" s="96">
        <f>V46</f>
        <v>0</v>
      </c>
      <c r="AF46" s="96">
        <f>W46</f>
        <v>0</v>
      </c>
      <c r="AG46" s="96">
        <f>X46</f>
        <v>0</v>
      </c>
      <c r="AH46" s="96">
        <f>Y46</f>
        <v>0</v>
      </c>
      <c r="AI46" s="96">
        <f>Z46</f>
        <v>0</v>
      </c>
      <c r="AJ46" s="96">
        <f>AA46</f>
        <v>0</v>
      </c>
      <c r="AK46" s="124"/>
      <c r="AL46" s="75" t="e">
        <f t="shared" ref="AL46" si="166">SUM(AJ46/AF46)-1</f>
        <v>#DIV/0!</v>
      </c>
    </row>
    <row r="47" spans="1:38" s="122" customFormat="1" ht="12.75" customHeight="1">
      <c r="B47" s="114" t="s">
        <v>188</v>
      </c>
      <c r="C47" s="123">
        <v>52</v>
      </c>
      <c r="D47" s="123">
        <v>111</v>
      </c>
      <c r="E47" s="123">
        <v>133</v>
      </c>
      <c r="F47" s="123">
        <v>100</v>
      </c>
      <c r="G47" s="123">
        <v>129</v>
      </c>
      <c r="I47" s="82">
        <v>62</v>
      </c>
      <c r="J47" s="82">
        <v>42</v>
      </c>
      <c r="K47" s="82">
        <v>113</v>
      </c>
      <c r="L47" s="32">
        <f t="shared" si="159"/>
        <v>111</v>
      </c>
      <c r="M47" s="82">
        <v>115</v>
      </c>
      <c r="N47" s="82">
        <v>151</v>
      </c>
      <c r="O47" s="82">
        <v>114</v>
      </c>
      <c r="P47" s="32">
        <f t="shared" si="160"/>
        <v>133</v>
      </c>
      <c r="Q47" s="82">
        <v>86</v>
      </c>
      <c r="R47" s="82">
        <v>98</v>
      </c>
      <c r="S47" s="82">
        <v>96</v>
      </c>
      <c r="T47" s="32">
        <f t="shared" si="161"/>
        <v>100</v>
      </c>
      <c r="U47" s="82">
        <v>127</v>
      </c>
      <c r="V47" s="82">
        <v>116</v>
      </c>
      <c r="W47" s="82">
        <v>119</v>
      </c>
      <c r="X47" s="32">
        <f t="shared" si="162"/>
        <v>129</v>
      </c>
      <c r="Y47" s="82">
        <v>127</v>
      </c>
      <c r="Z47" s="82">
        <v>142</v>
      </c>
      <c r="AA47" s="82">
        <v>142</v>
      </c>
      <c r="AC47" s="96">
        <f>T47</f>
        <v>100</v>
      </c>
      <c r="AD47" s="96">
        <f>U47</f>
        <v>127</v>
      </c>
      <c r="AE47" s="96">
        <f>V47</f>
        <v>116</v>
      </c>
      <c r="AF47" s="96">
        <f>W47</f>
        <v>119</v>
      </c>
      <c r="AG47" s="96">
        <f>X47</f>
        <v>129</v>
      </c>
      <c r="AH47" s="96">
        <f>Y47</f>
        <v>127</v>
      </c>
      <c r="AI47" s="96">
        <f>Z47</f>
        <v>142</v>
      </c>
      <c r="AJ47" s="96">
        <f>AA47</f>
        <v>142</v>
      </c>
      <c r="AK47" s="124"/>
      <c r="AL47" s="75">
        <f t="shared" si="163"/>
        <v>0.19327731092436973</v>
      </c>
    </row>
    <row r="48" spans="1:38" ht="12.75" customHeight="1">
      <c r="B48" s="25" t="s">
        <v>18</v>
      </c>
      <c r="C48" s="26">
        <f>SUM(C43:C47)</f>
        <v>2257</v>
      </c>
      <c r="D48" s="26">
        <f>SUM(D43:D47)</f>
        <v>2864</v>
      </c>
      <c r="E48" s="26">
        <f>SUM(E43:E47)</f>
        <v>3041</v>
      </c>
      <c r="F48" s="26">
        <f>SUM(F43:F47)</f>
        <v>4139</v>
      </c>
      <c r="G48" s="26">
        <f>SUM(G43:G47)</f>
        <v>5934</v>
      </c>
      <c r="H48" s="48"/>
      <c r="I48" s="26">
        <f>SUM(I43:I47)</f>
        <v>2589</v>
      </c>
      <c r="J48" s="26">
        <f>SUM(J43:J47)</f>
        <v>2663</v>
      </c>
      <c r="K48" s="26">
        <f>SUM(K43:K47)</f>
        <v>2811</v>
      </c>
      <c r="L48" s="26">
        <f>SUM(L43:L47)</f>
        <v>2864</v>
      </c>
      <c r="M48" s="26">
        <f>SUM(M43:M47)</f>
        <v>2928</v>
      </c>
      <c r="N48" s="26">
        <f>SUM(N43:N47)</f>
        <v>2902</v>
      </c>
      <c r="O48" s="26">
        <f>SUM(O43:O47)</f>
        <v>2946</v>
      </c>
      <c r="P48" s="26">
        <f>SUM(P43:P47)</f>
        <v>3041</v>
      </c>
      <c r="Q48" s="26">
        <f>SUM(Q43:Q47)</f>
        <v>3257</v>
      </c>
      <c r="R48" s="26">
        <f>SUM(R43:R47)</f>
        <v>3577</v>
      </c>
      <c r="S48" s="26">
        <f>SUM(S43:S47)</f>
        <v>3809</v>
      </c>
      <c r="T48" s="26">
        <f>SUM(T43:T47)</f>
        <v>4139</v>
      </c>
      <c r="U48" s="26">
        <f>SUM(U43:U47)</f>
        <v>6282</v>
      </c>
      <c r="V48" s="26">
        <f>SUM(V43:V47)</f>
        <v>4774</v>
      </c>
      <c r="W48" s="26">
        <f>SUM(W43:W47)</f>
        <v>5352</v>
      </c>
      <c r="X48" s="26">
        <f>SUM(X43:X47)</f>
        <v>5934</v>
      </c>
      <c r="Y48" s="26">
        <f>SUM(Y43:Y47)</f>
        <v>6282</v>
      </c>
      <c r="Z48" s="26">
        <f>SUM(Z43:Z47)</f>
        <v>6890</v>
      </c>
      <c r="AA48" s="26">
        <f>SUM(AA43:AA47)</f>
        <v>7586</v>
      </c>
      <c r="AB48" s="48"/>
      <c r="AC48" s="26">
        <f>SUM(AC43:AC47)</f>
        <v>4139</v>
      </c>
      <c r="AD48" s="26">
        <f>SUM(AD43:AD47)</f>
        <v>6282</v>
      </c>
      <c r="AE48" s="26">
        <f>SUM(AE43:AE47)</f>
        <v>4774</v>
      </c>
      <c r="AF48" s="26">
        <f>SUM(AF43:AF47)</f>
        <v>5352</v>
      </c>
      <c r="AG48" s="26">
        <f>SUM(AG43:AG47)</f>
        <v>5934</v>
      </c>
      <c r="AH48" s="26">
        <f>SUM(AH43:AH47)</f>
        <v>6282</v>
      </c>
      <c r="AI48" s="26">
        <f>SUM(AI43:AI47)</f>
        <v>6890</v>
      </c>
      <c r="AJ48" s="26">
        <f>SUM(AJ43:AJ47)</f>
        <v>7586</v>
      </c>
      <c r="AK48" s="42"/>
      <c r="AL48" s="76">
        <f>SUM(AJ48/AF48)-1</f>
        <v>0.41741405082212246</v>
      </c>
    </row>
    <row r="49" spans="2:38" ht="5.0999999999999996" customHeight="1">
      <c r="B49" s="25"/>
      <c r="C49" s="49"/>
      <c r="D49" s="49"/>
      <c r="E49" s="49"/>
      <c r="F49" s="41"/>
      <c r="G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C49" s="42"/>
      <c r="AD49" s="42"/>
      <c r="AE49" s="42"/>
      <c r="AF49" s="42"/>
      <c r="AG49" s="42"/>
      <c r="AH49" s="42"/>
      <c r="AI49" s="42"/>
      <c r="AJ49" s="42"/>
      <c r="AK49" s="42"/>
      <c r="AL49" s="39"/>
    </row>
    <row r="50" spans="2:38" ht="12.75" customHeight="1">
      <c r="B50" s="78" t="s">
        <v>79</v>
      </c>
      <c r="C50" s="82"/>
      <c r="D50" s="82"/>
      <c r="E50" s="82"/>
      <c r="F50" s="82"/>
      <c r="G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32"/>
      <c r="Z50" s="82"/>
      <c r="AA50" s="82"/>
      <c r="AC50" s="32"/>
      <c r="AD50" s="32"/>
      <c r="AE50" s="32"/>
      <c r="AF50" s="32"/>
      <c r="AG50" s="32"/>
      <c r="AH50" s="32"/>
      <c r="AI50" s="32"/>
      <c r="AJ50" s="32"/>
      <c r="AK50" s="11"/>
      <c r="AL50" s="75"/>
    </row>
    <row r="51" spans="2:38" ht="12.75" customHeight="1">
      <c r="B51" s="9" t="s">
        <v>150</v>
      </c>
      <c r="C51" s="82">
        <v>30</v>
      </c>
      <c r="D51" s="82">
        <v>31</v>
      </c>
      <c r="E51" s="82">
        <v>69</v>
      </c>
      <c r="F51" s="82">
        <v>48</v>
      </c>
      <c r="G51" s="82">
        <v>40</v>
      </c>
      <c r="I51" s="82">
        <v>27</v>
      </c>
      <c r="J51" s="82">
        <v>25</v>
      </c>
      <c r="K51" s="82">
        <v>29</v>
      </c>
      <c r="L51" s="32">
        <f t="shared" ref="L51:L54" si="167">D51</f>
        <v>31</v>
      </c>
      <c r="M51" s="82">
        <v>42</v>
      </c>
      <c r="N51" s="82">
        <v>48</v>
      </c>
      <c r="O51" s="82">
        <v>58</v>
      </c>
      <c r="P51" s="32">
        <f t="shared" ref="P51:P54" si="168">E51</f>
        <v>69</v>
      </c>
      <c r="Q51" s="82">
        <v>63</v>
      </c>
      <c r="R51" s="82">
        <v>54</v>
      </c>
      <c r="S51" s="82">
        <v>50</v>
      </c>
      <c r="T51" s="32">
        <f t="shared" ref="T51:T54" si="169">F51</f>
        <v>48</v>
      </c>
      <c r="U51" s="82">
        <v>40</v>
      </c>
      <c r="V51" s="82">
        <v>43</v>
      </c>
      <c r="W51" s="82">
        <v>40</v>
      </c>
      <c r="X51" s="32">
        <f t="shared" ref="X51:X54" si="170">G51</f>
        <v>40</v>
      </c>
      <c r="Y51" s="82">
        <v>40</v>
      </c>
      <c r="Z51" s="82">
        <v>44</v>
      </c>
      <c r="AA51" s="82">
        <v>46</v>
      </c>
      <c r="AC51" s="32">
        <f>T51</f>
        <v>48</v>
      </c>
      <c r="AD51" s="32">
        <f>U51</f>
        <v>40</v>
      </c>
      <c r="AE51" s="32">
        <f>V51</f>
        <v>43</v>
      </c>
      <c r="AF51" s="32">
        <f>W51</f>
        <v>40</v>
      </c>
      <c r="AG51" s="32">
        <f>X51</f>
        <v>40</v>
      </c>
      <c r="AH51" s="32">
        <f>Y51</f>
        <v>40</v>
      </c>
      <c r="AI51" s="32">
        <f>Z51</f>
        <v>44</v>
      </c>
      <c r="AJ51" s="32">
        <f>AA51</f>
        <v>46</v>
      </c>
      <c r="AK51" s="11"/>
      <c r="AL51" s="75">
        <f t="shared" ref="AL51:AL55" si="171">SUM(AJ51/AF51)-1</f>
        <v>0.14999999999999991</v>
      </c>
    </row>
    <row r="52" spans="2:38" ht="12.75" customHeight="1">
      <c r="B52" s="9" t="s">
        <v>189</v>
      </c>
      <c r="C52" s="82">
        <v>80</v>
      </c>
      <c r="D52" s="82">
        <v>40</v>
      </c>
      <c r="E52" s="82">
        <v>13</v>
      </c>
      <c r="F52" s="82">
        <v>0</v>
      </c>
      <c r="G52" s="82">
        <v>0</v>
      </c>
      <c r="I52" s="82">
        <v>72</v>
      </c>
      <c r="J52" s="82">
        <v>62</v>
      </c>
      <c r="K52" s="82">
        <v>47</v>
      </c>
      <c r="L52" s="32">
        <f t="shared" si="167"/>
        <v>40</v>
      </c>
      <c r="M52" s="82">
        <v>29</v>
      </c>
      <c r="N52" s="82">
        <v>29</v>
      </c>
      <c r="O52" s="82">
        <v>21</v>
      </c>
      <c r="P52" s="32">
        <f t="shared" si="168"/>
        <v>13</v>
      </c>
      <c r="Q52" s="82">
        <v>12</v>
      </c>
      <c r="R52" s="82">
        <v>0</v>
      </c>
      <c r="S52" s="82">
        <v>0</v>
      </c>
      <c r="T52" s="32">
        <f t="shared" si="169"/>
        <v>0</v>
      </c>
      <c r="U52" s="82">
        <v>0</v>
      </c>
      <c r="V52" s="82">
        <v>0</v>
      </c>
      <c r="W52" s="82">
        <v>0</v>
      </c>
      <c r="X52" s="32">
        <f t="shared" si="170"/>
        <v>0</v>
      </c>
      <c r="Y52" s="82">
        <v>0</v>
      </c>
      <c r="Z52" s="82">
        <v>0</v>
      </c>
      <c r="AA52" s="82">
        <v>0</v>
      </c>
      <c r="AC52" s="32">
        <f>T52</f>
        <v>0</v>
      </c>
      <c r="AD52" s="32">
        <f>U52</f>
        <v>0</v>
      </c>
      <c r="AE52" s="32">
        <f>V52</f>
        <v>0</v>
      </c>
      <c r="AF52" s="32">
        <f>W52</f>
        <v>0</v>
      </c>
      <c r="AG52" s="32">
        <f>X52</f>
        <v>0</v>
      </c>
      <c r="AH52" s="32">
        <f>Y52</f>
        <v>0</v>
      </c>
      <c r="AI52" s="32">
        <f>Z52</f>
        <v>0</v>
      </c>
      <c r="AJ52" s="32">
        <f>AA52</f>
        <v>0</v>
      </c>
      <c r="AK52" s="11"/>
      <c r="AL52" s="75" t="e">
        <f t="shared" si="171"/>
        <v>#DIV/0!</v>
      </c>
    </row>
    <row r="53" spans="2:38" ht="12.75" customHeight="1">
      <c r="B53" s="9" t="s">
        <v>190</v>
      </c>
      <c r="C53" s="82">
        <v>217</v>
      </c>
      <c r="D53" s="82">
        <v>217</v>
      </c>
      <c r="E53" s="82">
        <v>200</v>
      </c>
      <c r="F53" s="82">
        <v>183</v>
      </c>
      <c r="G53" s="82">
        <v>201</v>
      </c>
      <c r="I53" s="82">
        <v>213</v>
      </c>
      <c r="J53" s="82">
        <v>209</v>
      </c>
      <c r="K53" s="82">
        <v>221</v>
      </c>
      <c r="L53" s="32">
        <f t="shared" si="167"/>
        <v>217</v>
      </c>
      <c r="M53" s="82">
        <v>225</v>
      </c>
      <c r="N53" s="82">
        <v>211</v>
      </c>
      <c r="O53" s="82">
        <v>199</v>
      </c>
      <c r="P53" s="32">
        <f t="shared" si="168"/>
        <v>200</v>
      </c>
      <c r="Q53" s="82">
        <v>210</v>
      </c>
      <c r="R53" s="82">
        <v>200</v>
      </c>
      <c r="S53" s="82">
        <v>190</v>
      </c>
      <c r="T53" s="32">
        <f t="shared" si="169"/>
        <v>183</v>
      </c>
      <c r="U53" s="82">
        <v>209</v>
      </c>
      <c r="V53" s="82">
        <v>213</v>
      </c>
      <c r="W53" s="82">
        <v>212</v>
      </c>
      <c r="X53" s="32">
        <f t="shared" si="170"/>
        <v>201</v>
      </c>
      <c r="Y53" s="82">
        <v>209</v>
      </c>
      <c r="Z53" s="82">
        <v>203</v>
      </c>
      <c r="AA53" s="82">
        <v>204</v>
      </c>
      <c r="AC53" s="32">
        <f t="shared" ref="AC53" si="172">T53</f>
        <v>183</v>
      </c>
      <c r="AD53" s="32">
        <f t="shared" ref="AD53" si="173">U53</f>
        <v>209</v>
      </c>
      <c r="AE53" s="32">
        <f t="shared" ref="AE53" si="174">V53</f>
        <v>213</v>
      </c>
      <c r="AF53" s="32">
        <f t="shared" ref="AF53" si="175">W53</f>
        <v>212</v>
      </c>
      <c r="AG53" s="32">
        <f t="shared" ref="AG53" si="176">X53</f>
        <v>201</v>
      </c>
      <c r="AH53" s="32">
        <f t="shared" ref="AH53" si="177">Y53</f>
        <v>209</v>
      </c>
      <c r="AI53" s="32">
        <f t="shared" ref="AI53" si="178">Z53</f>
        <v>203</v>
      </c>
      <c r="AJ53" s="32">
        <f t="shared" ref="AJ53" si="179">AA53</f>
        <v>204</v>
      </c>
      <c r="AK53" s="11"/>
      <c r="AL53" s="75">
        <f t="shared" si="171"/>
        <v>-3.7735849056603765E-2</v>
      </c>
    </row>
    <row r="54" spans="2:38" ht="12.75" customHeight="1">
      <c r="B54" s="9" t="s">
        <v>170</v>
      </c>
      <c r="C54" s="82">
        <v>107</v>
      </c>
      <c r="D54" s="82">
        <v>96</v>
      </c>
      <c r="E54" s="82">
        <v>138</v>
      </c>
      <c r="F54" s="82">
        <v>153</v>
      </c>
      <c r="G54" s="82">
        <v>166</v>
      </c>
      <c r="I54" s="82">
        <v>112</v>
      </c>
      <c r="J54" s="82">
        <v>117</v>
      </c>
      <c r="K54" s="82">
        <v>116</v>
      </c>
      <c r="L54" s="32">
        <f t="shared" si="167"/>
        <v>96</v>
      </c>
      <c r="M54" s="82">
        <v>96</v>
      </c>
      <c r="N54" s="82">
        <v>92</v>
      </c>
      <c r="O54" s="82">
        <v>94</v>
      </c>
      <c r="P54" s="32">
        <f t="shared" si="168"/>
        <v>138</v>
      </c>
      <c r="Q54" s="82">
        <v>142</v>
      </c>
      <c r="R54" s="82">
        <v>150</v>
      </c>
      <c r="S54" s="82">
        <v>144</v>
      </c>
      <c r="T54" s="32">
        <f t="shared" si="169"/>
        <v>153</v>
      </c>
      <c r="U54" s="82">
        <v>205</v>
      </c>
      <c r="V54" s="82">
        <v>161</v>
      </c>
      <c r="W54" s="82">
        <v>164</v>
      </c>
      <c r="X54" s="32">
        <f t="shared" si="170"/>
        <v>166</v>
      </c>
      <c r="Y54" s="82">
        <v>205</v>
      </c>
      <c r="Z54" s="82">
        <v>228</v>
      </c>
      <c r="AA54" s="82">
        <v>278</v>
      </c>
      <c r="AC54" s="32">
        <f t="shared" ref="AC54" si="180">T54</f>
        <v>153</v>
      </c>
      <c r="AD54" s="32">
        <f t="shared" ref="AD54" si="181">U54</f>
        <v>205</v>
      </c>
      <c r="AE54" s="32">
        <f t="shared" ref="AE54" si="182">V54</f>
        <v>161</v>
      </c>
      <c r="AF54" s="32">
        <f t="shared" ref="AF54" si="183">W54</f>
        <v>164</v>
      </c>
      <c r="AG54" s="32">
        <f t="shared" ref="AG54" si="184">X54</f>
        <v>166</v>
      </c>
      <c r="AH54" s="32">
        <f t="shared" ref="AH54" si="185">Y54</f>
        <v>205</v>
      </c>
      <c r="AI54" s="32">
        <f t="shared" ref="AI54" si="186">Z54</f>
        <v>228</v>
      </c>
      <c r="AJ54" s="32">
        <f t="shared" ref="AJ54" si="187">AA54</f>
        <v>278</v>
      </c>
      <c r="AK54" s="11"/>
      <c r="AL54" s="75">
        <f t="shared" ref="AL54" si="188">SUM(AJ54/AF54)-1</f>
        <v>0.69512195121951215</v>
      </c>
    </row>
    <row r="55" spans="2:38" ht="12.75" customHeight="1">
      <c r="B55" s="13" t="s">
        <v>19</v>
      </c>
      <c r="C55" s="14">
        <f>SUM(C51:C54)+C48</f>
        <v>2691</v>
      </c>
      <c r="D55" s="14">
        <f>SUM(D51:D54)+D48</f>
        <v>3248</v>
      </c>
      <c r="E55" s="14">
        <f>SUM(E51:E54)+E48</f>
        <v>3461</v>
      </c>
      <c r="F55" s="14">
        <f>SUM(F51:F54)+F48</f>
        <v>4523</v>
      </c>
      <c r="G55" s="14">
        <f>SUM(G51:G54)+G48</f>
        <v>6341</v>
      </c>
      <c r="I55" s="14">
        <f>SUM(I51:I54)+I48</f>
        <v>3013</v>
      </c>
      <c r="J55" s="14">
        <f>SUM(J51:J54)+J48</f>
        <v>3076</v>
      </c>
      <c r="K55" s="14">
        <f>SUM(K51:K54)+K48</f>
        <v>3224</v>
      </c>
      <c r="L55" s="14">
        <f>SUM(L51:L54)+L48</f>
        <v>3248</v>
      </c>
      <c r="M55" s="14">
        <f>SUM(M51:M54)+M48</f>
        <v>3320</v>
      </c>
      <c r="N55" s="14">
        <f>SUM(N51:N54)+N48</f>
        <v>3282</v>
      </c>
      <c r="O55" s="14">
        <f>SUM(O51:O54)+O48</f>
        <v>3318</v>
      </c>
      <c r="P55" s="14">
        <f>SUM(P51:P54)+P48</f>
        <v>3461</v>
      </c>
      <c r="Q55" s="14">
        <f>SUM(Q51:Q54)+Q48</f>
        <v>3684</v>
      </c>
      <c r="R55" s="14">
        <f>SUM(R51:R54)+R48</f>
        <v>3981</v>
      </c>
      <c r="S55" s="14">
        <f>SUM(S51:S54)+S48</f>
        <v>4193</v>
      </c>
      <c r="T55" s="14">
        <f>SUM(T51:T54)+T48</f>
        <v>4523</v>
      </c>
      <c r="U55" s="14">
        <f>SUM(U51:U54)+U48</f>
        <v>6736</v>
      </c>
      <c r="V55" s="14">
        <f>SUM(V51:V54)+V48</f>
        <v>5191</v>
      </c>
      <c r="W55" s="14">
        <f>SUM(W51:W54)+W48</f>
        <v>5768</v>
      </c>
      <c r="X55" s="14">
        <f>SUM(X51:X54)+X48</f>
        <v>6341</v>
      </c>
      <c r="Y55" s="14">
        <f>SUM(Y51:Y54)+Y48</f>
        <v>6736</v>
      </c>
      <c r="Z55" s="14">
        <f>SUM(Z51:Z54)+Z48</f>
        <v>7365</v>
      </c>
      <c r="AA55" s="14">
        <f>SUM(AA51:AA54)+AA48</f>
        <v>8114</v>
      </c>
      <c r="AC55" s="14">
        <f>SUM(AC51:AC54)+AC48</f>
        <v>4523</v>
      </c>
      <c r="AD55" s="14">
        <f>SUM(AD51:AD54)+AD48</f>
        <v>6736</v>
      </c>
      <c r="AE55" s="14">
        <f>SUM(AE51:AE54)+AE48</f>
        <v>5191</v>
      </c>
      <c r="AF55" s="14">
        <f>SUM(AF51:AF54)+AF48</f>
        <v>5768</v>
      </c>
      <c r="AG55" s="14">
        <f>SUM(AG51:AG54)+AG48</f>
        <v>6341</v>
      </c>
      <c r="AH55" s="14">
        <f>SUM(AH51:AH54)+AH48</f>
        <v>6736</v>
      </c>
      <c r="AI55" s="14">
        <f>SUM(AI51:AI54)+AI48</f>
        <v>7365</v>
      </c>
      <c r="AJ55" s="34">
        <f>SUM(AJ51:AJ54)+AJ48</f>
        <v>8114</v>
      </c>
      <c r="AK55" s="42"/>
      <c r="AL55" s="76">
        <f t="shared" si="171"/>
        <v>0.40672676837725374</v>
      </c>
    </row>
    <row r="56" spans="2:38" ht="12.75" customHeight="1">
      <c r="B56" s="25"/>
      <c r="C56" s="50"/>
      <c r="D56" s="50"/>
      <c r="E56" s="50"/>
      <c r="F56" s="41"/>
      <c r="G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C56" s="42"/>
      <c r="AD56" s="42"/>
      <c r="AE56" s="42"/>
      <c r="AF56" s="42"/>
      <c r="AG56" s="42"/>
      <c r="AH56" s="42"/>
      <c r="AI56" s="42"/>
      <c r="AJ56" s="42"/>
      <c r="AK56" s="42"/>
      <c r="AL56" s="39"/>
    </row>
    <row r="57" spans="2:38" ht="12.75" customHeight="1">
      <c r="B57" s="78" t="s">
        <v>45</v>
      </c>
      <c r="C57" s="50"/>
      <c r="D57" s="50"/>
      <c r="E57" s="50"/>
      <c r="F57" s="41"/>
      <c r="G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C57" s="42"/>
      <c r="AD57" s="42"/>
      <c r="AE57" s="42"/>
      <c r="AF57" s="42"/>
      <c r="AG57" s="42"/>
      <c r="AH57" s="42"/>
      <c r="AI57" s="42"/>
      <c r="AJ57" s="42"/>
      <c r="AK57" s="42"/>
      <c r="AL57" s="39"/>
    </row>
    <row r="58" spans="2:38" ht="12.75" customHeight="1">
      <c r="B58" s="120" t="s">
        <v>171</v>
      </c>
      <c r="C58" s="121">
        <v>16</v>
      </c>
      <c r="D58" s="121">
        <v>75</v>
      </c>
      <c r="E58" s="121">
        <v>45</v>
      </c>
      <c r="F58" s="121">
        <v>12</v>
      </c>
      <c r="G58" s="121">
        <v>0</v>
      </c>
      <c r="I58" s="82">
        <v>17</v>
      </c>
      <c r="J58" s="82">
        <v>31</v>
      </c>
      <c r="K58" s="82">
        <v>18</v>
      </c>
      <c r="L58" s="32">
        <f t="shared" ref="L58:L62" si="189">D58</f>
        <v>75</v>
      </c>
      <c r="M58" s="82">
        <v>27</v>
      </c>
      <c r="N58" s="82">
        <v>57</v>
      </c>
      <c r="O58" s="82">
        <v>60</v>
      </c>
      <c r="P58" s="32">
        <f t="shared" ref="P58:P62" si="190">E58</f>
        <v>45</v>
      </c>
      <c r="Q58" s="82">
        <v>5</v>
      </c>
      <c r="R58" s="82">
        <v>5</v>
      </c>
      <c r="S58" s="82">
        <v>9</v>
      </c>
      <c r="T58" s="32">
        <f t="shared" ref="T58:T62" si="191">F58</f>
        <v>12</v>
      </c>
      <c r="U58" s="82">
        <v>2</v>
      </c>
      <c r="V58" s="82">
        <v>67</v>
      </c>
      <c r="W58" s="82">
        <v>27</v>
      </c>
      <c r="X58" s="32">
        <f t="shared" ref="X58:X62" si="192">G58</f>
        <v>0</v>
      </c>
      <c r="Y58" s="82">
        <v>2</v>
      </c>
      <c r="Z58" s="82">
        <v>11</v>
      </c>
      <c r="AA58" s="82">
        <v>77</v>
      </c>
      <c r="AC58" s="97">
        <f>T58</f>
        <v>12</v>
      </c>
      <c r="AD58" s="97">
        <f>U58</f>
        <v>2</v>
      </c>
      <c r="AE58" s="97">
        <f>V58</f>
        <v>67</v>
      </c>
      <c r="AF58" s="97">
        <f>W58</f>
        <v>27</v>
      </c>
      <c r="AG58" s="97">
        <f>X58</f>
        <v>0</v>
      </c>
      <c r="AH58" s="97">
        <f>Y58</f>
        <v>2</v>
      </c>
      <c r="AI58" s="97">
        <f>Z58</f>
        <v>11</v>
      </c>
      <c r="AJ58" s="97">
        <f>AA58</f>
        <v>77</v>
      </c>
      <c r="AK58" s="11"/>
      <c r="AL58" s="75">
        <f t="shared" ref="AL58:AL63" si="193">SUM(AJ58/AF58)-1</f>
        <v>1.8518518518518516</v>
      </c>
    </row>
    <row r="59" spans="2:38" ht="12.75" customHeight="1">
      <c r="B59" s="120" t="s">
        <v>191</v>
      </c>
      <c r="C59" s="121">
        <v>159</v>
      </c>
      <c r="D59" s="121">
        <v>156</v>
      </c>
      <c r="E59" s="121">
        <v>173</v>
      </c>
      <c r="F59" s="121">
        <v>223</v>
      </c>
      <c r="G59" s="121">
        <v>427</v>
      </c>
      <c r="I59" s="82">
        <v>182</v>
      </c>
      <c r="J59" s="82">
        <v>166</v>
      </c>
      <c r="K59" s="82">
        <v>179</v>
      </c>
      <c r="L59" s="32">
        <f t="shared" si="189"/>
        <v>156</v>
      </c>
      <c r="M59" s="82">
        <v>150</v>
      </c>
      <c r="N59" s="82">
        <v>188</v>
      </c>
      <c r="O59" s="82">
        <v>165</v>
      </c>
      <c r="P59" s="32">
        <f t="shared" si="190"/>
        <v>173</v>
      </c>
      <c r="Q59" s="82">
        <v>175</v>
      </c>
      <c r="R59" s="82">
        <v>185</v>
      </c>
      <c r="S59" s="82">
        <v>175</v>
      </c>
      <c r="T59" s="32">
        <f t="shared" si="191"/>
        <v>223</v>
      </c>
      <c r="U59" s="82">
        <v>371</v>
      </c>
      <c r="V59" s="82">
        <v>195</v>
      </c>
      <c r="W59" s="82">
        <v>265</v>
      </c>
      <c r="X59" s="32">
        <f t="shared" si="192"/>
        <v>427</v>
      </c>
      <c r="Y59" s="82">
        <v>371</v>
      </c>
      <c r="Z59" s="82">
        <v>394</v>
      </c>
      <c r="AA59" s="82">
        <v>382</v>
      </c>
      <c r="AC59" s="97">
        <f>T59</f>
        <v>223</v>
      </c>
      <c r="AD59" s="97">
        <f>U59</f>
        <v>371</v>
      </c>
      <c r="AE59" s="97">
        <f>V59</f>
        <v>195</v>
      </c>
      <c r="AF59" s="97">
        <f>W59</f>
        <v>265</v>
      </c>
      <c r="AG59" s="97">
        <f>X59</f>
        <v>427</v>
      </c>
      <c r="AH59" s="97">
        <f>Y59</f>
        <v>371</v>
      </c>
      <c r="AI59" s="97">
        <f>Z59</f>
        <v>394</v>
      </c>
      <c r="AJ59" s="97">
        <f>AA59</f>
        <v>382</v>
      </c>
      <c r="AK59" s="11"/>
      <c r="AL59" s="75">
        <f t="shared" ref="AL59" si="194">SUM(AJ59/AF59)-1</f>
        <v>0.44150943396226405</v>
      </c>
    </row>
    <row r="60" spans="2:38" ht="12.75" customHeight="1">
      <c r="B60" s="120" t="s">
        <v>192</v>
      </c>
      <c r="C60" s="121">
        <v>190</v>
      </c>
      <c r="D60" s="121">
        <v>228</v>
      </c>
      <c r="E60" s="121">
        <v>183</v>
      </c>
      <c r="F60" s="121">
        <v>247</v>
      </c>
      <c r="G60" s="121">
        <v>260</v>
      </c>
      <c r="I60" s="82">
        <v>186</v>
      </c>
      <c r="J60" s="82">
        <v>195</v>
      </c>
      <c r="K60" s="82">
        <v>208</v>
      </c>
      <c r="L60" s="32">
        <f t="shared" si="189"/>
        <v>228</v>
      </c>
      <c r="M60" s="82">
        <v>219</v>
      </c>
      <c r="N60" s="82">
        <v>219</v>
      </c>
      <c r="O60" s="82">
        <v>190</v>
      </c>
      <c r="P60" s="32">
        <f t="shared" si="190"/>
        <v>183</v>
      </c>
      <c r="Q60" s="82">
        <v>230</v>
      </c>
      <c r="R60" s="82">
        <v>260</v>
      </c>
      <c r="S60" s="82">
        <v>224</v>
      </c>
      <c r="T60" s="32">
        <f t="shared" si="191"/>
        <v>247</v>
      </c>
      <c r="U60" s="82">
        <v>319</v>
      </c>
      <c r="V60" s="82">
        <v>278</v>
      </c>
      <c r="W60" s="82">
        <v>237</v>
      </c>
      <c r="X60" s="32">
        <f t="shared" si="192"/>
        <v>260</v>
      </c>
      <c r="Y60" s="82">
        <v>319</v>
      </c>
      <c r="Z60" s="82">
        <v>377</v>
      </c>
      <c r="AA60" s="82">
        <v>317</v>
      </c>
      <c r="AC60" s="97">
        <f>T60</f>
        <v>247</v>
      </c>
      <c r="AD60" s="97">
        <f>U60</f>
        <v>319</v>
      </c>
      <c r="AE60" s="97">
        <f>V60</f>
        <v>278</v>
      </c>
      <c r="AF60" s="97">
        <f>W60</f>
        <v>237</v>
      </c>
      <c r="AG60" s="97">
        <f>X60</f>
        <v>260</v>
      </c>
      <c r="AH60" s="97">
        <f>Y60</f>
        <v>319</v>
      </c>
      <c r="AI60" s="97">
        <f>Z60</f>
        <v>377</v>
      </c>
      <c r="AJ60" s="97">
        <f>AA60</f>
        <v>317</v>
      </c>
      <c r="AK60" s="11"/>
      <c r="AL60" s="75">
        <f t="shared" ref="AL60:AL62" si="195">SUM(AJ60/AF60)-1</f>
        <v>0.33755274261603385</v>
      </c>
    </row>
    <row r="61" spans="2:38" ht="12.75" customHeight="1">
      <c r="B61" s="120" t="s">
        <v>193</v>
      </c>
      <c r="C61" s="121">
        <v>210</v>
      </c>
      <c r="D61" s="121">
        <v>162</v>
      </c>
      <c r="E61" s="121">
        <v>142</v>
      </c>
      <c r="F61" s="121">
        <v>210</v>
      </c>
      <c r="G61" s="121">
        <v>265</v>
      </c>
      <c r="I61" s="82">
        <v>250</v>
      </c>
      <c r="J61" s="82">
        <v>258</v>
      </c>
      <c r="K61" s="82">
        <v>233</v>
      </c>
      <c r="L61" s="32">
        <f t="shared" si="189"/>
        <v>162</v>
      </c>
      <c r="M61" s="82">
        <v>233</v>
      </c>
      <c r="N61" s="82">
        <v>161</v>
      </c>
      <c r="O61" s="82">
        <v>234</v>
      </c>
      <c r="P61" s="32">
        <f t="shared" si="190"/>
        <v>142</v>
      </c>
      <c r="Q61" s="82">
        <v>140</v>
      </c>
      <c r="R61" s="82">
        <v>184</v>
      </c>
      <c r="S61" s="82">
        <v>229</v>
      </c>
      <c r="T61" s="32">
        <f t="shared" si="191"/>
        <v>210</v>
      </c>
      <c r="U61" s="82">
        <v>231</v>
      </c>
      <c r="V61" s="82">
        <v>222</v>
      </c>
      <c r="W61" s="82">
        <v>367</v>
      </c>
      <c r="X61" s="32">
        <f t="shared" si="192"/>
        <v>265</v>
      </c>
      <c r="Y61" s="82">
        <v>231</v>
      </c>
      <c r="Z61" s="82">
        <v>263</v>
      </c>
      <c r="AA61" s="82">
        <v>368</v>
      </c>
      <c r="AC61" s="97">
        <f>T61</f>
        <v>210</v>
      </c>
      <c r="AD61" s="97">
        <f>U61</f>
        <v>231</v>
      </c>
      <c r="AE61" s="97">
        <f>V61</f>
        <v>222</v>
      </c>
      <c r="AF61" s="97">
        <f>W61</f>
        <v>367</v>
      </c>
      <c r="AG61" s="97">
        <f>X61</f>
        <v>265</v>
      </c>
      <c r="AH61" s="97">
        <f>Y61</f>
        <v>231</v>
      </c>
      <c r="AI61" s="97">
        <f>Z61</f>
        <v>263</v>
      </c>
      <c r="AJ61" s="97">
        <f>AA61</f>
        <v>368</v>
      </c>
      <c r="AK61" s="11"/>
      <c r="AL61" s="75">
        <f t="shared" ref="AL61" si="196">SUM(AJ61/AF61)-1</f>
        <v>2.7247956403269047E-3</v>
      </c>
    </row>
    <row r="62" spans="2:38" ht="12.75" customHeight="1">
      <c r="B62" s="120" t="s">
        <v>179</v>
      </c>
      <c r="C62" s="121">
        <v>29</v>
      </c>
      <c r="D62" s="121">
        <v>40</v>
      </c>
      <c r="E62" s="121">
        <v>45</v>
      </c>
      <c r="F62" s="121">
        <v>54</v>
      </c>
      <c r="G62" s="121">
        <v>44</v>
      </c>
      <c r="I62" s="82">
        <v>32</v>
      </c>
      <c r="J62" s="82">
        <v>33</v>
      </c>
      <c r="K62" s="82">
        <v>44</v>
      </c>
      <c r="L62" s="32">
        <f t="shared" si="189"/>
        <v>40</v>
      </c>
      <c r="M62" s="82">
        <v>40</v>
      </c>
      <c r="N62" s="82">
        <v>41</v>
      </c>
      <c r="O62" s="82">
        <v>40</v>
      </c>
      <c r="P62" s="32">
        <f t="shared" si="190"/>
        <v>45</v>
      </c>
      <c r="Q62" s="82">
        <v>53</v>
      </c>
      <c r="R62" s="82">
        <v>52</v>
      </c>
      <c r="S62" s="82">
        <v>52</v>
      </c>
      <c r="T62" s="32">
        <f t="shared" si="191"/>
        <v>54</v>
      </c>
      <c r="U62" s="82">
        <v>44</v>
      </c>
      <c r="V62" s="82">
        <v>44</v>
      </c>
      <c r="W62" s="82">
        <v>48</v>
      </c>
      <c r="X62" s="32">
        <f t="shared" si="192"/>
        <v>44</v>
      </c>
      <c r="Y62" s="82">
        <v>44</v>
      </c>
      <c r="Z62" s="82">
        <v>45</v>
      </c>
      <c r="AA62" s="82">
        <v>46</v>
      </c>
      <c r="AC62" s="97">
        <f>T62</f>
        <v>54</v>
      </c>
      <c r="AD62" s="97">
        <f>U62</f>
        <v>44</v>
      </c>
      <c r="AE62" s="97">
        <f>V62</f>
        <v>44</v>
      </c>
      <c r="AF62" s="97">
        <f>W62</f>
        <v>48</v>
      </c>
      <c r="AG62" s="97">
        <f>X62</f>
        <v>44</v>
      </c>
      <c r="AH62" s="97">
        <f>Y62</f>
        <v>44</v>
      </c>
      <c r="AI62" s="97">
        <f>Z62</f>
        <v>45</v>
      </c>
      <c r="AJ62" s="97">
        <f>AA62</f>
        <v>46</v>
      </c>
      <c r="AK62" s="11"/>
      <c r="AL62" s="75">
        <f t="shared" si="195"/>
        <v>-4.166666666666663E-2</v>
      </c>
    </row>
    <row r="63" spans="2:38" ht="12.75" customHeight="1">
      <c r="B63" s="25" t="s">
        <v>17</v>
      </c>
      <c r="C63" s="26">
        <f t="shared" ref="C63:G63" si="197">SUM(C58:C62)</f>
        <v>604</v>
      </c>
      <c r="D63" s="26">
        <f t="shared" si="197"/>
        <v>661</v>
      </c>
      <c r="E63" s="26">
        <f t="shared" si="197"/>
        <v>588</v>
      </c>
      <c r="F63" s="26">
        <f t="shared" si="197"/>
        <v>746</v>
      </c>
      <c r="G63" s="26">
        <f t="shared" si="197"/>
        <v>996</v>
      </c>
      <c r="I63" s="26">
        <f t="shared" ref="I63" si="198">SUM(I58:I62)</f>
        <v>667</v>
      </c>
      <c r="J63" s="26">
        <f t="shared" ref="J63" si="199">SUM(J58:J62)</f>
        <v>683</v>
      </c>
      <c r="K63" s="26">
        <f t="shared" ref="K63" si="200">SUM(K58:K62)</f>
        <v>682</v>
      </c>
      <c r="L63" s="26">
        <f t="shared" ref="L63" si="201">SUM(L58:L62)</f>
        <v>661</v>
      </c>
      <c r="M63" s="26">
        <f t="shared" ref="M63" si="202">SUM(M58:M62)</f>
        <v>669</v>
      </c>
      <c r="N63" s="26">
        <f t="shared" ref="N63:O63" si="203">SUM(N58:N62)</f>
        <v>666</v>
      </c>
      <c r="O63" s="26">
        <f t="shared" si="203"/>
        <v>689</v>
      </c>
      <c r="P63" s="26">
        <f t="shared" ref="P63:AA63" si="204">SUM(P58:P62)</f>
        <v>588</v>
      </c>
      <c r="Q63" s="26">
        <f t="shared" si="204"/>
        <v>603</v>
      </c>
      <c r="R63" s="26">
        <f t="shared" si="204"/>
        <v>686</v>
      </c>
      <c r="S63" s="26">
        <f t="shared" si="204"/>
        <v>689</v>
      </c>
      <c r="T63" s="26">
        <f t="shared" si="204"/>
        <v>746</v>
      </c>
      <c r="U63" s="26">
        <f t="shared" si="204"/>
        <v>967</v>
      </c>
      <c r="V63" s="26">
        <f t="shared" si="204"/>
        <v>806</v>
      </c>
      <c r="W63" s="26">
        <f t="shared" si="204"/>
        <v>944</v>
      </c>
      <c r="X63" s="26">
        <f t="shared" si="204"/>
        <v>996</v>
      </c>
      <c r="Y63" s="26">
        <f t="shared" si="204"/>
        <v>967</v>
      </c>
      <c r="Z63" s="26">
        <f t="shared" si="204"/>
        <v>1090</v>
      </c>
      <c r="AA63" s="26">
        <f t="shared" si="204"/>
        <v>1190</v>
      </c>
      <c r="AB63" s="48"/>
      <c r="AC63" s="26">
        <f t="shared" ref="AC63:AJ63" si="205">SUM(AC58:AC62)</f>
        <v>746</v>
      </c>
      <c r="AD63" s="26">
        <f t="shared" si="205"/>
        <v>967</v>
      </c>
      <c r="AE63" s="26">
        <f t="shared" si="205"/>
        <v>806</v>
      </c>
      <c r="AF63" s="26">
        <f t="shared" si="205"/>
        <v>944</v>
      </c>
      <c r="AG63" s="26">
        <f t="shared" si="205"/>
        <v>996</v>
      </c>
      <c r="AH63" s="26">
        <f t="shared" si="205"/>
        <v>967</v>
      </c>
      <c r="AI63" s="26">
        <f t="shared" si="205"/>
        <v>1090</v>
      </c>
      <c r="AJ63" s="26">
        <f t="shared" si="205"/>
        <v>1190</v>
      </c>
      <c r="AK63" s="42"/>
      <c r="AL63" s="76">
        <f t="shared" si="193"/>
        <v>0.26059322033898313</v>
      </c>
    </row>
    <row r="64" spans="2:38" ht="5.0999999999999996" customHeight="1">
      <c r="B64" s="25"/>
      <c r="C64" s="50"/>
      <c r="D64" s="50"/>
      <c r="E64" s="50"/>
      <c r="F64" s="41"/>
      <c r="G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C64" s="42"/>
      <c r="AD64" s="42"/>
      <c r="AE64" s="42"/>
      <c r="AF64" s="42"/>
      <c r="AG64" s="42"/>
      <c r="AH64" s="42"/>
      <c r="AI64" s="42"/>
      <c r="AJ64" s="42"/>
      <c r="AK64" s="42"/>
      <c r="AL64" s="39"/>
    </row>
    <row r="65" spans="2:38">
      <c r="B65" s="78" t="s">
        <v>80</v>
      </c>
      <c r="C65" s="50"/>
      <c r="D65" s="50"/>
      <c r="E65" s="50"/>
      <c r="F65" s="41"/>
      <c r="G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C65" s="42"/>
      <c r="AD65" s="42"/>
      <c r="AE65" s="42"/>
      <c r="AF65" s="42"/>
      <c r="AG65" s="42"/>
      <c r="AH65" s="42"/>
      <c r="AI65" s="42"/>
      <c r="AJ65" s="42"/>
      <c r="AK65" s="42"/>
      <c r="AL65" s="39"/>
    </row>
    <row r="66" spans="2:38" ht="12.75" customHeight="1">
      <c r="B66" s="120" t="s">
        <v>194</v>
      </c>
      <c r="C66" s="121">
        <v>51</v>
      </c>
      <c r="D66" s="121">
        <v>40</v>
      </c>
      <c r="E66" s="121">
        <v>10</v>
      </c>
      <c r="F66" s="121">
        <v>28</v>
      </c>
      <c r="G66" s="121">
        <v>40</v>
      </c>
      <c r="H66" s="51"/>
      <c r="I66" s="82">
        <v>45</v>
      </c>
      <c r="J66" s="82">
        <v>41</v>
      </c>
      <c r="K66" s="82">
        <v>27</v>
      </c>
      <c r="L66" s="32">
        <f t="shared" ref="L66:L70" si="206">D66</f>
        <v>40</v>
      </c>
      <c r="M66" s="82">
        <v>33</v>
      </c>
      <c r="N66" s="82">
        <v>34</v>
      </c>
      <c r="O66" s="82">
        <v>31</v>
      </c>
      <c r="P66" s="32">
        <f t="shared" ref="P66:P70" si="207">E66</f>
        <v>10</v>
      </c>
      <c r="Q66" s="82">
        <v>54</v>
      </c>
      <c r="R66" s="82">
        <v>50</v>
      </c>
      <c r="S66" s="82">
        <v>35</v>
      </c>
      <c r="T66" s="32">
        <f t="shared" ref="T66:T70" si="208">F66</f>
        <v>28</v>
      </c>
      <c r="U66" s="82">
        <v>36</v>
      </c>
      <c r="V66" s="82">
        <v>16</v>
      </c>
      <c r="W66" s="82">
        <v>8</v>
      </c>
      <c r="X66" s="32">
        <f t="shared" ref="X66:X70" si="209">G66</f>
        <v>40</v>
      </c>
      <c r="Y66" s="82">
        <v>36</v>
      </c>
      <c r="Z66" s="82">
        <v>45</v>
      </c>
      <c r="AA66" s="82">
        <v>44</v>
      </c>
      <c r="AB66" s="121"/>
      <c r="AC66" s="97">
        <f>T66</f>
        <v>28</v>
      </c>
      <c r="AD66" s="97">
        <f>U66</f>
        <v>36</v>
      </c>
      <c r="AE66" s="97">
        <f>V66</f>
        <v>16</v>
      </c>
      <c r="AF66" s="97">
        <f>W66</f>
        <v>8</v>
      </c>
      <c r="AG66" s="97">
        <f>X66</f>
        <v>40</v>
      </c>
      <c r="AH66" s="97">
        <f>Y66</f>
        <v>36</v>
      </c>
      <c r="AI66" s="97">
        <f>Z66</f>
        <v>45</v>
      </c>
      <c r="AJ66" s="97">
        <f>AA66</f>
        <v>44</v>
      </c>
      <c r="AK66" s="42"/>
      <c r="AL66" s="75">
        <f t="shared" ref="AL66:AL78" si="210">SUM(AJ66/AF66)-1</f>
        <v>4.5</v>
      </c>
    </row>
    <row r="67" spans="2:38" ht="12.75" customHeight="1">
      <c r="B67" s="120" t="s">
        <v>195</v>
      </c>
      <c r="C67" s="121">
        <v>82</v>
      </c>
      <c r="D67" s="121">
        <v>34</v>
      </c>
      <c r="E67" s="121">
        <v>4</v>
      </c>
      <c r="F67" s="121">
        <v>1</v>
      </c>
      <c r="G67" s="121">
        <v>2</v>
      </c>
      <c r="H67" s="51"/>
      <c r="I67" s="82">
        <v>71</v>
      </c>
      <c r="J67" s="82">
        <v>63</v>
      </c>
      <c r="K67" s="82">
        <v>43</v>
      </c>
      <c r="L67" s="32">
        <f t="shared" si="206"/>
        <v>34</v>
      </c>
      <c r="M67" s="82">
        <v>22</v>
      </c>
      <c r="N67" s="82">
        <v>15</v>
      </c>
      <c r="O67" s="82">
        <v>6</v>
      </c>
      <c r="P67" s="32">
        <f t="shared" si="207"/>
        <v>4</v>
      </c>
      <c r="Q67" s="82">
        <v>4</v>
      </c>
      <c r="R67" s="82">
        <v>3</v>
      </c>
      <c r="S67" s="82">
        <v>2</v>
      </c>
      <c r="T67" s="32">
        <f t="shared" si="208"/>
        <v>1</v>
      </c>
      <c r="U67" s="82">
        <v>1</v>
      </c>
      <c r="V67" s="82">
        <v>2</v>
      </c>
      <c r="W67" s="82">
        <v>4</v>
      </c>
      <c r="X67" s="32">
        <f t="shared" si="209"/>
        <v>2</v>
      </c>
      <c r="Y67" s="82">
        <v>1</v>
      </c>
      <c r="Z67" s="82">
        <v>1</v>
      </c>
      <c r="AA67" s="82">
        <v>2</v>
      </c>
      <c r="AB67" s="121"/>
      <c r="AC67" s="97">
        <f t="shared" ref="AC67:AC70" si="211">T67</f>
        <v>1</v>
      </c>
      <c r="AD67" s="97">
        <f t="shared" ref="AD67:AD70" si="212">U67</f>
        <v>1</v>
      </c>
      <c r="AE67" s="97">
        <f t="shared" ref="AE67:AE70" si="213">V67</f>
        <v>2</v>
      </c>
      <c r="AF67" s="97">
        <f t="shared" ref="AF67:AF70" si="214">W67</f>
        <v>4</v>
      </c>
      <c r="AG67" s="97">
        <f t="shared" ref="AG67:AG70" si="215">X67</f>
        <v>2</v>
      </c>
      <c r="AH67" s="97">
        <f t="shared" ref="AH67:AH70" si="216">Y67</f>
        <v>1</v>
      </c>
      <c r="AI67" s="97">
        <f t="shared" ref="AI67:AI70" si="217">Z67</f>
        <v>1</v>
      </c>
      <c r="AJ67" s="97">
        <f t="shared" ref="AJ67:AJ70" si="218">AA67</f>
        <v>2</v>
      </c>
      <c r="AK67" s="42"/>
      <c r="AL67" s="75">
        <f t="shared" si="210"/>
        <v>-0.5</v>
      </c>
    </row>
    <row r="68" spans="2:38" ht="12.75" customHeight="1">
      <c r="B68" s="120" t="s">
        <v>151</v>
      </c>
      <c r="C68" s="121">
        <v>198</v>
      </c>
      <c r="D68" s="121">
        <v>0</v>
      </c>
      <c r="E68" s="121">
        <v>0</v>
      </c>
      <c r="F68" s="121">
        <v>0</v>
      </c>
      <c r="G68" s="121">
        <v>0</v>
      </c>
      <c r="H68" s="51"/>
      <c r="I68" s="82">
        <v>198</v>
      </c>
      <c r="J68" s="82">
        <v>0</v>
      </c>
      <c r="K68" s="82">
        <v>0</v>
      </c>
      <c r="L68" s="32">
        <f t="shared" si="206"/>
        <v>0</v>
      </c>
      <c r="M68" s="82">
        <v>0</v>
      </c>
      <c r="N68" s="82">
        <v>0</v>
      </c>
      <c r="O68" s="82">
        <v>0</v>
      </c>
      <c r="P68" s="32">
        <f t="shared" si="207"/>
        <v>0</v>
      </c>
      <c r="Q68" s="82">
        <v>0</v>
      </c>
      <c r="R68" s="82">
        <v>0</v>
      </c>
      <c r="S68" s="82">
        <v>0</v>
      </c>
      <c r="T68" s="32">
        <f t="shared" si="208"/>
        <v>0</v>
      </c>
      <c r="U68" s="82">
        <v>0</v>
      </c>
      <c r="V68" s="82">
        <v>0</v>
      </c>
      <c r="W68" s="82">
        <v>0</v>
      </c>
      <c r="X68" s="32">
        <f t="shared" si="209"/>
        <v>0</v>
      </c>
      <c r="Y68" s="82">
        <v>0</v>
      </c>
      <c r="Z68" s="82">
        <v>0</v>
      </c>
      <c r="AA68" s="82">
        <v>0</v>
      </c>
      <c r="AB68" s="121"/>
      <c r="AC68" s="97">
        <f t="shared" si="211"/>
        <v>0</v>
      </c>
      <c r="AD68" s="97">
        <f t="shared" si="212"/>
        <v>0</v>
      </c>
      <c r="AE68" s="97">
        <f t="shared" si="213"/>
        <v>0</v>
      </c>
      <c r="AF68" s="97">
        <f t="shared" si="214"/>
        <v>0</v>
      </c>
      <c r="AG68" s="97">
        <f t="shared" si="215"/>
        <v>0</v>
      </c>
      <c r="AH68" s="97">
        <f t="shared" si="216"/>
        <v>0</v>
      </c>
      <c r="AI68" s="97">
        <f t="shared" si="217"/>
        <v>0</v>
      </c>
      <c r="AJ68" s="97">
        <f t="shared" si="218"/>
        <v>0</v>
      </c>
      <c r="AK68" s="42"/>
      <c r="AL68" s="75" t="e">
        <f t="shared" si="210"/>
        <v>#DIV/0!</v>
      </c>
    </row>
    <row r="69" spans="2:38" ht="12.75" customHeight="1">
      <c r="B69" s="120" t="s">
        <v>180</v>
      </c>
      <c r="C69" s="121">
        <v>230</v>
      </c>
      <c r="D69" s="121">
        <v>220</v>
      </c>
      <c r="E69" s="121">
        <v>204</v>
      </c>
      <c r="F69" s="121">
        <v>175</v>
      </c>
      <c r="G69" s="121">
        <v>195</v>
      </c>
      <c r="H69" s="51"/>
      <c r="I69" s="82">
        <v>222</v>
      </c>
      <c r="J69" s="82">
        <v>217</v>
      </c>
      <c r="K69" s="82">
        <v>220</v>
      </c>
      <c r="L69" s="32">
        <f t="shared" si="206"/>
        <v>220</v>
      </c>
      <c r="M69" s="82">
        <v>228</v>
      </c>
      <c r="N69" s="82">
        <v>216</v>
      </c>
      <c r="O69" s="82">
        <v>205</v>
      </c>
      <c r="P69" s="32">
        <f t="shared" si="207"/>
        <v>204</v>
      </c>
      <c r="Q69" s="82">
        <v>206</v>
      </c>
      <c r="R69" s="82">
        <v>194</v>
      </c>
      <c r="S69" s="82">
        <v>184</v>
      </c>
      <c r="T69" s="32">
        <f t="shared" si="208"/>
        <v>175</v>
      </c>
      <c r="U69" s="82">
        <v>200</v>
      </c>
      <c r="V69" s="82">
        <v>214</v>
      </c>
      <c r="W69" s="82">
        <v>207</v>
      </c>
      <c r="X69" s="32">
        <f t="shared" si="209"/>
        <v>195</v>
      </c>
      <c r="Y69" s="82">
        <v>200</v>
      </c>
      <c r="Z69" s="82">
        <v>192</v>
      </c>
      <c r="AA69" s="82">
        <v>189</v>
      </c>
      <c r="AB69" s="121"/>
      <c r="AC69" s="97">
        <f t="shared" ref="AC69" si="219">T69</f>
        <v>175</v>
      </c>
      <c r="AD69" s="97">
        <f t="shared" ref="AD69" si="220">U69</f>
        <v>200</v>
      </c>
      <c r="AE69" s="97">
        <f t="shared" ref="AE69" si="221">V69</f>
        <v>214</v>
      </c>
      <c r="AF69" s="97">
        <f t="shared" ref="AF69" si="222">W69</f>
        <v>207</v>
      </c>
      <c r="AG69" s="97">
        <f t="shared" ref="AG69" si="223">X69</f>
        <v>195</v>
      </c>
      <c r="AH69" s="97">
        <f t="shared" ref="AH69" si="224">Y69</f>
        <v>200</v>
      </c>
      <c r="AI69" s="97">
        <f t="shared" ref="AI69" si="225">Z69</f>
        <v>192</v>
      </c>
      <c r="AJ69" s="97">
        <f t="shared" ref="AJ69" si="226">AA69</f>
        <v>189</v>
      </c>
      <c r="AK69" s="42"/>
      <c r="AL69" s="75">
        <f t="shared" ref="AL69" si="227">SUM(AJ69/AF69)-1</f>
        <v>-8.6956521739130488E-2</v>
      </c>
    </row>
    <row r="70" spans="2:38" ht="12.75" customHeight="1">
      <c r="B70" s="120" t="s">
        <v>152</v>
      </c>
      <c r="C70" s="121">
        <v>4</v>
      </c>
      <c r="D70" s="121">
        <v>2</v>
      </c>
      <c r="E70" s="121">
        <v>13</v>
      </c>
      <c r="F70" s="121">
        <v>11</v>
      </c>
      <c r="G70" s="121">
        <v>14</v>
      </c>
      <c r="H70" s="51"/>
      <c r="I70" s="82">
        <v>4</v>
      </c>
      <c r="J70" s="82">
        <v>4</v>
      </c>
      <c r="K70" s="82">
        <v>6</v>
      </c>
      <c r="L70" s="32">
        <f t="shared" si="206"/>
        <v>2</v>
      </c>
      <c r="M70" s="82">
        <v>2</v>
      </c>
      <c r="N70" s="82">
        <v>2</v>
      </c>
      <c r="O70" s="82">
        <v>2</v>
      </c>
      <c r="P70" s="32">
        <f t="shared" si="207"/>
        <v>13</v>
      </c>
      <c r="Q70" s="82">
        <v>14</v>
      </c>
      <c r="R70" s="82">
        <v>12</v>
      </c>
      <c r="S70" s="82">
        <v>11</v>
      </c>
      <c r="T70" s="32">
        <f t="shared" si="208"/>
        <v>11</v>
      </c>
      <c r="U70" s="82">
        <v>12</v>
      </c>
      <c r="V70" s="82">
        <v>16</v>
      </c>
      <c r="W70" s="82">
        <v>14</v>
      </c>
      <c r="X70" s="32">
        <f t="shared" si="209"/>
        <v>14</v>
      </c>
      <c r="Y70" s="82">
        <v>12</v>
      </c>
      <c r="Z70" s="82">
        <v>12</v>
      </c>
      <c r="AA70" s="82">
        <v>11</v>
      </c>
      <c r="AB70" s="121"/>
      <c r="AC70" s="97">
        <f t="shared" si="211"/>
        <v>11</v>
      </c>
      <c r="AD70" s="97">
        <f t="shared" si="212"/>
        <v>12</v>
      </c>
      <c r="AE70" s="97">
        <f t="shared" si="213"/>
        <v>16</v>
      </c>
      <c r="AF70" s="97">
        <f t="shared" si="214"/>
        <v>14</v>
      </c>
      <c r="AG70" s="97">
        <f t="shared" si="215"/>
        <v>14</v>
      </c>
      <c r="AH70" s="97">
        <f t="shared" si="216"/>
        <v>12</v>
      </c>
      <c r="AI70" s="97">
        <f t="shared" si="217"/>
        <v>12</v>
      </c>
      <c r="AJ70" s="97">
        <f t="shared" si="218"/>
        <v>11</v>
      </c>
      <c r="AK70" s="42"/>
      <c r="AL70" s="75">
        <f t="shared" si="210"/>
        <v>-0.2142857142857143</v>
      </c>
    </row>
    <row r="71" spans="2:38" ht="12.75" customHeight="1">
      <c r="B71" s="13" t="s">
        <v>15</v>
      </c>
      <c r="C71" s="14">
        <f>SUM(C66:C70)+C63</f>
        <v>1169</v>
      </c>
      <c r="D71" s="14">
        <f>SUM(D66:D70)+D63</f>
        <v>957</v>
      </c>
      <c r="E71" s="14">
        <f>SUM(E66:E70)+E63</f>
        <v>819</v>
      </c>
      <c r="F71" s="14">
        <f>SUM(F66:F70)+F63</f>
        <v>961</v>
      </c>
      <c r="G71" s="14">
        <f>SUM(G66:G70)+G63</f>
        <v>1247</v>
      </c>
      <c r="I71" s="14">
        <f t="shared" ref="I71:L71" si="228">SUM(I66:I70)+I63</f>
        <v>1207</v>
      </c>
      <c r="J71" s="14">
        <f t="shared" si="228"/>
        <v>1008</v>
      </c>
      <c r="K71" s="14">
        <f t="shared" si="228"/>
        <v>978</v>
      </c>
      <c r="L71" s="14">
        <f t="shared" si="228"/>
        <v>957</v>
      </c>
      <c r="M71" s="14">
        <f>SUM(M66:M70)+M63</f>
        <v>954</v>
      </c>
      <c r="N71" s="14">
        <f>SUM(N66:N70)+N63</f>
        <v>933</v>
      </c>
      <c r="O71" s="14">
        <f>SUM(O66:O70)+O63</f>
        <v>933</v>
      </c>
      <c r="P71" s="14">
        <f>SUM(P66:P70)+P63</f>
        <v>819</v>
      </c>
      <c r="Q71" s="14">
        <f>SUM(Q66:Q70)+Q63</f>
        <v>881</v>
      </c>
      <c r="R71" s="14">
        <f>SUM(R66:R70)+R63</f>
        <v>945</v>
      </c>
      <c r="S71" s="14">
        <f>SUM(S66:S70)+S63</f>
        <v>921</v>
      </c>
      <c r="T71" s="14">
        <f>SUM(T66:T70)+T63</f>
        <v>961</v>
      </c>
      <c r="U71" s="14">
        <f>SUM(U66:U70)+U63</f>
        <v>1216</v>
      </c>
      <c r="V71" s="14">
        <f>SUM(V66:V70)+V63</f>
        <v>1054</v>
      </c>
      <c r="W71" s="14">
        <f>SUM(W66:W70)+W63</f>
        <v>1177</v>
      </c>
      <c r="X71" s="14">
        <f>SUM(X66:X70)+X63</f>
        <v>1247</v>
      </c>
      <c r="Y71" s="14">
        <f>SUM(Y66:Y70)+Y63</f>
        <v>1216</v>
      </c>
      <c r="Z71" s="14">
        <f>SUM(Z66:Z70)+Z63</f>
        <v>1340</v>
      </c>
      <c r="AA71" s="14">
        <f>SUM(AA66:AA70)+AA63</f>
        <v>1436</v>
      </c>
      <c r="AC71" s="14">
        <f>SUM(AC66:AC70)+AC63</f>
        <v>961</v>
      </c>
      <c r="AD71" s="14">
        <f>SUM(AD66:AD70)+AD63</f>
        <v>1216</v>
      </c>
      <c r="AE71" s="14">
        <f>SUM(AE66:AE70)+AE63</f>
        <v>1054</v>
      </c>
      <c r="AF71" s="14">
        <f>SUM(AF66:AF70)+AF63</f>
        <v>1177</v>
      </c>
      <c r="AG71" s="14">
        <f>SUM(AG66:AG70)+AG63</f>
        <v>1247</v>
      </c>
      <c r="AH71" s="14">
        <f>SUM(AH66:AH70)+AH63</f>
        <v>1216</v>
      </c>
      <c r="AI71" s="14">
        <f>SUM(AI66:AI70)+AI63</f>
        <v>1340</v>
      </c>
      <c r="AJ71" s="14">
        <f>SUM(AJ66:AJ70)+AJ63</f>
        <v>1436</v>
      </c>
      <c r="AK71" s="42"/>
      <c r="AL71" s="76">
        <f t="shared" si="210"/>
        <v>0.22005097706032295</v>
      </c>
    </row>
    <row r="72" spans="2:38" ht="5.0999999999999996" customHeight="1">
      <c r="B72" s="25"/>
      <c r="C72" s="49"/>
      <c r="D72" s="49"/>
      <c r="E72" s="49"/>
      <c r="F72" s="41"/>
      <c r="G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C72" s="42"/>
      <c r="AD72" s="42"/>
      <c r="AE72" s="42"/>
      <c r="AF72" s="42"/>
      <c r="AG72" s="42"/>
      <c r="AH72" s="42"/>
      <c r="AI72" s="42"/>
      <c r="AJ72" s="42"/>
      <c r="AK72" s="42"/>
      <c r="AL72" s="39"/>
    </row>
    <row r="73" spans="2:38" ht="12.75" customHeight="1">
      <c r="B73" s="9" t="s">
        <v>153</v>
      </c>
      <c r="C73" s="82">
        <v>1523</v>
      </c>
      <c r="D73" s="82">
        <v>2291</v>
      </c>
      <c r="E73" s="82">
        <v>2642</v>
      </c>
      <c r="F73" s="82">
        <v>3561</v>
      </c>
      <c r="G73" s="82">
        <v>5095</v>
      </c>
      <c r="H73" s="32"/>
      <c r="I73" s="82">
        <v>1806</v>
      </c>
      <c r="J73" s="82">
        <v>2069</v>
      </c>
      <c r="K73" s="82">
        <v>2248</v>
      </c>
      <c r="L73" s="32">
        <v>2291</v>
      </c>
      <c r="M73" s="82">
        <v>2365</v>
      </c>
      <c r="N73" s="82">
        <v>2349</v>
      </c>
      <c r="O73" s="82">
        <v>2387</v>
      </c>
      <c r="P73" s="32">
        <v>2642</v>
      </c>
      <c r="Q73" s="82">
        <v>2803</v>
      </c>
      <c r="R73" s="82">
        <v>3035</v>
      </c>
      <c r="S73" s="82">
        <v>3272</v>
      </c>
      <c r="T73" s="32">
        <v>3561</v>
      </c>
      <c r="U73" s="82">
        <v>5519</v>
      </c>
      <c r="V73" s="82">
        <v>4138</v>
      </c>
      <c r="W73" s="82">
        <v>4591</v>
      </c>
      <c r="X73" s="32">
        <v>5095</v>
      </c>
      <c r="Y73" s="82">
        <v>5519</v>
      </c>
      <c r="Z73" s="82">
        <v>6026</v>
      </c>
      <c r="AA73" s="82">
        <v>6688</v>
      </c>
      <c r="AC73" s="32">
        <f>T73</f>
        <v>3561</v>
      </c>
      <c r="AD73" s="32">
        <f>U73</f>
        <v>5519</v>
      </c>
      <c r="AE73" s="32">
        <f>V73</f>
        <v>4138</v>
      </c>
      <c r="AF73" s="32">
        <f>W73</f>
        <v>4591</v>
      </c>
      <c r="AG73" s="32">
        <f>X73</f>
        <v>5095</v>
      </c>
      <c r="AH73" s="32">
        <f>Y73</f>
        <v>5519</v>
      </c>
      <c r="AI73" s="32">
        <f>Z73</f>
        <v>6026</v>
      </c>
      <c r="AJ73" s="32">
        <f>AA73</f>
        <v>6688</v>
      </c>
      <c r="AK73" s="11"/>
      <c r="AL73" s="75">
        <f t="shared" si="210"/>
        <v>0.45676323241123939</v>
      </c>
    </row>
    <row r="74" spans="2:38" ht="12.75" customHeight="1">
      <c r="B74" s="9" t="s">
        <v>136</v>
      </c>
      <c r="C74" s="82"/>
      <c r="D74" s="82"/>
      <c r="E74" s="82"/>
      <c r="F74" s="82"/>
      <c r="G74" s="82"/>
      <c r="H74" s="32"/>
      <c r="I74" s="82"/>
      <c r="J74" s="82"/>
      <c r="K74" s="82"/>
      <c r="L74" s="32">
        <f t="shared" ref="L74:L76" si="229">D74</f>
        <v>0</v>
      </c>
      <c r="M74" s="82"/>
      <c r="N74" s="82"/>
      <c r="O74" s="82"/>
      <c r="P74" s="32">
        <f>E74</f>
        <v>0</v>
      </c>
      <c r="Q74" s="82"/>
      <c r="R74" s="82"/>
      <c r="S74" s="82"/>
      <c r="T74" s="32">
        <f>F74</f>
        <v>0</v>
      </c>
      <c r="U74" s="82"/>
      <c r="V74" s="82"/>
      <c r="W74" s="82"/>
      <c r="X74" s="32">
        <f>G74</f>
        <v>0</v>
      </c>
      <c r="Y74" s="82"/>
      <c r="Z74" s="82"/>
      <c r="AA74" s="82"/>
      <c r="AC74" s="32">
        <f>T74</f>
        <v>0</v>
      </c>
      <c r="AD74" s="32">
        <f>U74</f>
        <v>0</v>
      </c>
      <c r="AE74" s="32">
        <f>V74</f>
        <v>0</v>
      </c>
      <c r="AF74" s="32">
        <f>W74</f>
        <v>0</v>
      </c>
      <c r="AG74" s="32">
        <f>X74</f>
        <v>0</v>
      </c>
      <c r="AH74" s="32">
        <f>Y74</f>
        <v>0</v>
      </c>
      <c r="AI74" s="32">
        <f>Z74</f>
        <v>0</v>
      </c>
      <c r="AJ74" s="32">
        <f>AA74</f>
        <v>0</v>
      </c>
      <c r="AK74" s="11"/>
      <c r="AL74" s="75"/>
    </row>
    <row r="75" spans="2:38" ht="12.75" customHeight="1">
      <c r="B75" s="9" t="s">
        <v>154</v>
      </c>
      <c r="C75" s="82"/>
      <c r="D75" s="82"/>
      <c r="E75" s="82"/>
      <c r="F75" s="82"/>
      <c r="G75" s="82"/>
      <c r="H75" s="32"/>
      <c r="I75" s="82"/>
      <c r="J75" s="82"/>
      <c r="K75" s="82"/>
      <c r="L75" s="32">
        <f t="shared" si="229"/>
        <v>0</v>
      </c>
      <c r="M75" s="82"/>
      <c r="N75" s="82"/>
      <c r="O75" s="82"/>
      <c r="P75" s="32">
        <f>E75</f>
        <v>0</v>
      </c>
      <c r="Q75" s="82"/>
      <c r="R75" s="82"/>
      <c r="S75" s="82"/>
      <c r="T75" s="32">
        <f>F75</f>
        <v>0</v>
      </c>
      <c r="U75" s="82"/>
      <c r="V75" s="82"/>
      <c r="W75" s="82"/>
      <c r="X75" s="32">
        <f>G75</f>
        <v>0</v>
      </c>
      <c r="Y75" s="82"/>
      <c r="Z75" s="82"/>
      <c r="AA75" s="82"/>
      <c r="AC75" s="32">
        <f>T75</f>
        <v>0</v>
      </c>
      <c r="AD75" s="32">
        <f>U75</f>
        <v>0</v>
      </c>
      <c r="AE75" s="32">
        <f>V75</f>
        <v>0</v>
      </c>
      <c r="AF75" s="32">
        <f>W75</f>
        <v>0</v>
      </c>
      <c r="AG75" s="32">
        <f>X75</f>
        <v>0</v>
      </c>
      <c r="AH75" s="32">
        <f>Y75</f>
        <v>0</v>
      </c>
      <c r="AI75" s="32">
        <f>Z75</f>
        <v>0</v>
      </c>
      <c r="AJ75" s="32">
        <f>AA75</f>
        <v>0</v>
      </c>
      <c r="AK75" s="11"/>
      <c r="AL75" s="75"/>
    </row>
    <row r="76" spans="2:38" ht="12.75" customHeight="1">
      <c r="B76" s="9" t="s">
        <v>136</v>
      </c>
      <c r="C76" s="82"/>
      <c r="D76" s="82"/>
      <c r="E76" s="82"/>
      <c r="F76" s="82"/>
      <c r="G76" s="82"/>
      <c r="H76" s="32"/>
      <c r="I76" s="82"/>
      <c r="J76" s="82"/>
      <c r="K76" s="82"/>
      <c r="L76" s="32">
        <f t="shared" si="229"/>
        <v>0</v>
      </c>
      <c r="M76" s="82"/>
      <c r="N76" s="82"/>
      <c r="O76" s="82"/>
      <c r="P76" s="32">
        <f>E76</f>
        <v>0</v>
      </c>
      <c r="Q76" s="82"/>
      <c r="R76" s="82"/>
      <c r="S76" s="82"/>
      <c r="T76" s="32">
        <f>F76</f>
        <v>0</v>
      </c>
      <c r="U76" s="82"/>
      <c r="V76" s="82"/>
      <c r="W76" s="82"/>
      <c r="X76" s="32">
        <f>G76</f>
        <v>0</v>
      </c>
      <c r="Y76" s="82"/>
      <c r="Z76" s="82"/>
      <c r="AA76" s="82"/>
      <c r="AC76" s="32">
        <f>T76</f>
        <v>0</v>
      </c>
      <c r="AD76" s="32">
        <f>U76</f>
        <v>0</v>
      </c>
      <c r="AE76" s="32">
        <f>V76</f>
        <v>0</v>
      </c>
      <c r="AF76" s="32">
        <f>W76</f>
        <v>0</v>
      </c>
      <c r="AG76" s="32">
        <f>X76</f>
        <v>0</v>
      </c>
      <c r="AH76" s="32">
        <f>Y76</f>
        <v>0</v>
      </c>
      <c r="AI76" s="32">
        <f>Z76</f>
        <v>0</v>
      </c>
      <c r="AJ76" s="32">
        <f>AA76</f>
        <v>0</v>
      </c>
      <c r="AK76" s="11"/>
      <c r="AL76" s="75" t="e">
        <f t="shared" si="210"/>
        <v>#DIV/0!</v>
      </c>
    </row>
    <row r="77" spans="2:38" ht="12.75" customHeight="1">
      <c r="B77" s="13" t="s">
        <v>14</v>
      </c>
      <c r="C77" s="14">
        <f t="shared" ref="C77:G77" si="230">SUM(C73:C76)</f>
        <v>1523</v>
      </c>
      <c r="D77" s="14">
        <f t="shared" si="230"/>
        <v>2291</v>
      </c>
      <c r="E77" s="14">
        <f t="shared" si="230"/>
        <v>2642</v>
      </c>
      <c r="F77" s="14">
        <f t="shared" si="230"/>
        <v>3561</v>
      </c>
      <c r="G77" s="14">
        <f t="shared" si="230"/>
        <v>5095</v>
      </c>
      <c r="H77" s="52"/>
      <c r="I77" s="14">
        <f t="shared" ref="I77:L77" si="231">SUM(I73:I76)</f>
        <v>1806</v>
      </c>
      <c r="J77" s="14">
        <f t="shared" si="231"/>
        <v>2069</v>
      </c>
      <c r="K77" s="14">
        <f t="shared" si="231"/>
        <v>2248</v>
      </c>
      <c r="L77" s="14">
        <f t="shared" si="231"/>
        <v>2291</v>
      </c>
      <c r="M77" s="14">
        <f t="shared" ref="M77:P77" si="232">SUM(M73:M76)</f>
        <v>2365</v>
      </c>
      <c r="N77" s="14">
        <f t="shared" ref="N77" si="233">SUM(N73:N76)</f>
        <v>2349</v>
      </c>
      <c r="O77" s="14">
        <f t="shared" si="232"/>
        <v>2387</v>
      </c>
      <c r="P77" s="14">
        <f t="shared" si="232"/>
        <v>2642</v>
      </c>
      <c r="Q77" s="14">
        <f t="shared" ref="Q77:AA77" si="234">SUM(Q73:Q76)</f>
        <v>2803</v>
      </c>
      <c r="R77" s="14">
        <f t="shared" si="234"/>
        <v>3035</v>
      </c>
      <c r="S77" s="14">
        <f t="shared" si="234"/>
        <v>3272</v>
      </c>
      <c r="T77" s="14">
        <f t="shared" si="234"/>
        <v>3561</v>
      </c>
      <c r="U77" s="14">
        <f t="shared" si="234"/>
        <v>5519</v>
      </c>
      <c r="V77" s="14">
        <f t="shared" si="234"/>
        <v>4138</v>
      </c>
      <c r="W77" s="14">
        <f t="shared" si="234"/>
        <v>4591</v>
      </c>
      <c r="X77" s="14">
        <f t="shared" si="234"/>
        <v>5095</v>
      </c>
      <c r="Y77" s="14">
        <f t="shared" si="234"/>
        <v>5519</v>
      </c>
      <c r="Z77" s="14">
        <f t="shared" si="234"/>
        <v>6026</v>
      </c>
      <c r="AA77" s="14">
        <f t="shared" si="234"/>
        <v>6688</v>
      </c>
      <c r="AC77" s="14">
        <f t="shared" ref="AC77:AJ77" si="235">SUM(AC73:AC76)</f>
        <v>3561</v>
      </c>
      <c r="AD77" s="14">
        <f t="shared" si="235"/>
        <v>5519</v>
      </c>
      <c r="AE77" s="14">
        <f t="shared" si="235"/>
        <v>4138</v>
      </c>
      <c r="AF77" s="14">
        <f t="shared" si="235"/>
        <v>4591</v>
      </c>
      <c r="AG77" s="14">
        <f t="shared" si="235"/>
        <v>5095</v>
      </c>
      <c r="AH77" s="14">
        <f t="shared" si="235"/>
        <v>5519</v>
      </c>
      <c r="AI77" s="14">
        <f t="shared" si="235"/>
        <v>6026</v>
      </c>
      <c r="AJ77" s="14">
        <f t="shared" si="235"/>
        <v>6688</v>
      </c>
      <c r="AK77" s="42"/>
      <c r="AL77" s="75">
        <f t="shared" si="210"/>
        <v>0.45676323241123939</v>
      </c>
    </row>
    <row r="78" spans="2:38" ht="12.75" customHeight="1">
      <c r="B78" s="25" t="s">
        <v>49</v>
      </c>
      <c r="C78" s="32">
        <f t="shared" ref="C78:G78" si="236">SUM(C77+C71)</f>
        <v>2692</v>
      </c>
      <c r="D78" s="32">
        <f t="shared" si="236"/>
        <v>3248</v>
      </c>
      <c r="E78" s="32">
        <f t="shared" si="236"/>
        <v>3461</v>
      </c>
      <c r="F78" s="32">
        <f t="shared" si="236"/>
        <v>4522</v>
      </c>
      <c r="G78" s="32">
        <f t="shared" si="236"/>
        <v>6342</v>
      </c>
      <c r="H78" s="32"/>
      <c r="I78" s="32">
        <f t="shared" ref="I78:L78" si="237">SUM(I77+I71)</f>
        <v>3013</v>
      </c>
      <c r="J78" s="32">
        <f t="shared" si="237"/>
        <v>3077</v>
      </c>
      <c r="K78" s="32">
        <f t="shared" si="237"/>
        <v>3226</v>
      </c>
      <c r="L78" s="32">
        <f t="shared" si="237"/>
        <v>3248</v>
      </c>
      <c r="M78" s="32">
        <f t="shared" ref="M78:P78" si="238">SUM(M77+M71)</f>
        <v>3319</v>
      </c>
      <c r="N78" s="32">
        <f t="shared" ref="N78" si="239">SUM(N77+N71)</f>
        <v>3282</v>
      </c>
      <c r="O78" s="32">
        <f t="shared" si="238"/>
        <v>3320</v>
      </c>
      <c r="P78" s="32">
        <f t="shared" si="238"/>
        <v>3461</v>
      </c>
      <c r="Q78" s="32">
        <f t="shared" ref="Q78:AA78" si="240">SUM(Q77+Q71)</f>
        <v>3684</v>
      </c>
      <c r="R78" s="32">
        <f t="shared" si="240"/>
        <v>3980</v>
      </c>
      <c r="S78" s="32">
        <f t="shared" si="240"/>
        <v>4193</v>
      </c>
      <c r="T78" s="32">
        <f t="shared" si="240"/>
        <v>4522</v>
      </c>
      <c r="U78" s="32">
        <f t="shared" si="240"/>
        <v>6735</v>
      </c>
      <c r="V78" s="32">
        <f t="shared" si="240"/>
        <v>5192</v>
      </c>
      <c r="W78" s="32">
        <f t="shared" si="240"/>
        <v>5768</v>
      </c>
      <c r="X78" s="32">
        <f t="shared" si="240"/>
        <v>6342</v>
      </c>
      <c r="Y78" s="32">
        <f t="shared" si="240"/>
        <v>6735</v>
      </c>
      <c r="Z78" s="32">
        <f t="shared" si="240"/>
        <v>7366</v>
      </c>
      <c r="AA78" s="32">
        <f t="shared" si="240"/>
        <v>8124</v>
      </c>
      <c r="AB78" s="32"/>
      <c r="AC78" s="32">
        <f t="shared" ref="AC78:AJ78" si="241">SUM(AC77+AC71)</f>
        <v>4522</v>
      </c>
      <c r="AD78" s="32">
        <f t="shared" si="241"/>
        <v>6735</v>
      </c>
      <c r="AE78" s="32">
        <f t="shared" si="241"/>
        <v>5192</v>
      </c>
      <c r="AF78" s="32">
        <f t="shared" si="241"/>
        <v>5768</v>
      </c>
      <c r="AG78" s="32">
        <f t="shared" si="241"/>
        <v>6342</v>
      </c>
      <c r="AH78" s="32">
        <f t="shared" si="241"/>
        <v>6735</v>
      </c>
      <c r="AI78" s="32">
        <f t="shared" si="241"/>
        <v>7366</v>
      </c>
      <c r="AJ78" s="32">
        <f t="shared" si="241"/>
        <v>8124</v>
      </c>
      <c r="AK78" s="11"/>
      <c r="AL78" s="76">
        <f t="shared" si="210"/>
        <v>0.40846047156726772</v>
      </c>
    </row>
    <row r="79" spans="2:38" ht="5.0999999999999996" customHeight="1">
      <c r="B79" s="25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11"/>
    </row>
    <row r="80" spans="2:38" ht="12.75" customHeight="1">
      <c r="B80" s="139" t="s">
        <v>58</v>
      </c>
      <c r="C80" s="69">
        <f>C78-C55</f>
        <v>1</v>
      </c>
      <c r="D80" s="69">
        <f>D78-D55</f>
        <v>0</v>
      </c>
      <c r="E80" s="69">
        <f>E78-E55</f>
        <v>0</v>
      </c>
      <c r="F80" s="69">
        <f>F78-F55</f>
        <v>-1</v>
      </c>
      <c r="G80" s="69">
        <f>G78-G55</f>
        <v>1</v>
      </c>
      <c r="H80" s="70"/>
      <c r="I80" s="69">
        <f t="shared" ref="I80:L80" si="242">I78-I55</f>
        <v>0</v>
      </c>
      <c r="J80" s="69">
        <f t="shared" si="242"/>
        <v>1</v>
      </c>
      <c r="K80" s="69">
        <f t="shared" si="242"/>
        <v>2</v>
      </c>
      <c r="L80" s="69">
        <f t="shared" si="242"/>
        <v>0</v>
      </c>
      <c r="M80" s="69">
        <f>M78-M55</f>
        <v>-1</v>
      </c>
      <c r="N80" s="69">
        <f>N78-N55</f>
        <v>0</v>
      </c>
      <c r="O80" s="69">
        <f>O78-O55</f>
        <v>2</v>
      </c>
      <c r="P80" s="69">
        <f>P78-P55</f>
        <v>0</v>
      </c>
      <c r="Q80" s="69">
        <f>Q78-Q55</f>
        <v>0</v>
      </c>
      <c r="R80" s="69">
        <f>R78-R55</f>
        <v>-1</v>
      </c>
      <c r="S80" s="69">
        <f>S78-S55</f>
        <v>0</v>
      </c>
      <c r="T80" s="69">
        <f>T78-T55</f>
        <v>-1</v>
      </c>
      <c r="U80" s="69">
        <f>U78-U55</f>
        <v>-1</v>
      </c>
      <c r="V80" s="69">
        <f>V78-V55</f>
        <v>1</v>
      </c>
      <c r="W80" s="69">
        <f>W78-W55</f>
        <v>0</v>
      </c>
      <c r="X80" s="69">
        <f>X78-X55</f>
        <v>1</v>
      </c>
      <c r="Y80" s="69">
        <f>Y78-Y55</f>
        <v>-1</v>
      </c>
      <c r="Z80" s="69">
        <f>Z78-Z55</f>
        <v>1</v>
      </c>
      <c r="AA80" s="69">
        <f>AA78-AA55</f>
        <v>10</v>
      </c>
      <c r="AB80" s="28"/>
      <c r="AC80" s="69">
        <f>AC78-AC55</f>
        <v>-1</v>
      </c>
      <c r="AD80" s="69">
        <f>AD78-AD55</f>
        <v>-1</v>
      </c>
      <c r="AE80" s="69">
        <f>AE78-AE55</f>
        <v>1</v>
      </c>
      <c r="AF80" s="69">
        <f>AF78-AF55</f>
        <v>0</v>
      </c>
      <c r="AG80" s="69">
        <f>AG78-AG55</f>
        <v>1</v>
      </c>
      <c r="AH80" s="69">
        <f>AH78-AH55</f>
        <v>-1</v>
      </c>
      <c r="AI80" s="69">
        <f>AI78-AI55</f>
        <v>1</v>
      </c>
      <c r="AJ80" s="69">
        <f>AJ78-AJ55</f>
        <v>10</v>
      </c>
    </row>
    <row r="81" spans="1:38" ht="5.0999999999999996" customHeight="1" thickBot="1">
      <c r="B81" s="116"/>
      <c r="C81" s="117"/>
      <c r="D81" s="117"/>
      <c r="E81" s="117"/>
      <c r="F81" s="117"/>
      <c r="G81" s="117"/>
      <c r="H81" s="118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9"/>
      <c r="AC81" s="117"/>
      <c r="AD81" s="117"/>
      <c r="AE81" s="117"/>
      <c r="AF81" s="117"/>
      <c r="AG81" s="117"/>
      <c r="AH81" s="117"/>
      <c r="AI81" s="117"/>
      <c r="AJ81" s="117"/>
      <c r="AK81" s="73"/>
      <c r="AL81" s="73"/>
    </row>
    <row r="82" spans="1:38">
      <c r="B82" s="68"/>
      <c r="C82" s="53"/>
      <c r="D82" s="53"/>
      <c r="E82" s="24"/>
      <c r="F82" s="24"/>
      <c r="G82" s="24"/>
      <c r="H82" s="53"/>
    </row>
    <row r="83" spans="1:38" ht="12.75" customHeight="1">
      <c r="A83" s="5" t="s">
        <v>16</v>
      </c>
      <c r="B83" s="98" t="s">
        <v>13</v>
      </c>
      <c r="C83" s="102"/>
      <c r="D83" s="102"/>
      <c r="E83" s="102"/>
      <c r="F83" s="102"/>
      <c r="G83" s="102"/>
      <c r="H83" s="103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98"/>
      <c r="AC83" s="102"/>
      <c r="AD83" s="102"/>
      <c r="AE83" s="102" t="s">
        <v>10</v>
      </c>
      <c r="AF83" s="102"/>
      <c r="AG83" s="102"/>
      <c r="AH83" s="102"/>
      <c r="AI83" s="102"/>
      <c r="AJ83" s="102"/>
      <c r="AK83" s="103"/>
      <c r="AL83" s="164" t="s">
        <v>22</v>
      </c>
    </row>
    <row r="84" spans="1:38" ht="12.75" customHeight="1">
      <c r="B84" s="99" t="str">
        <f>B7</f>
        <v>Fiscal Period</v>
      </c>
      <c r="C84" s="104">
        <f>C7</f>
        <v>2020</v>
      </c>
      <c r="D84" s="104">
        <f>D7</f>
        <v>2021</v>
      </c>
      <c r="E84" s="104">
        <f>E7</f>
        <v>2022</v>
      </c>
      <c r="F84" s="104">
        <f>F7</f>
        <v>2023</v>
      </c>
      <c r="G84" s="104">
        <f>G7</f>
        <v>2024</v>
      </c>
      <c r="H84" s="103"/>
      <c r="I84" s="104" t="str">
        <f>I7</f>
        <v>1Q21</v>
      </c>
      <c r="J84" s="104" t="str">
        <f>J7</f>
        <v>2Q21</v>
      </c>
      <c r="K84" s="104" t="str">
        <f>K7</f>
        <v>3Q21</v>
      </c>
      <c r="L84" s="104" t="str">
        <f>L7</f>
        <v>4Q21</v>
      </c>
      <c r="M84" s="104" t="str">
        <f>M7</f>
        <v>1Q22</v>
      </c>
      <c r="N84" s="104" t="str">
        <f>N7</f>
        <v>2Q22</v>
      </c>
      <c r="O84" s="104" t="str">
        <f>O7</f>
        <v>3Q22</v>
      </c>
      <c r="P84" s="104" t="str">
        <f>P7</f>
        <v>4Q22</v>
      </c>
      <c r="Q84" s="104" t="str">
        <f>Q7</f>
        <v>1Q23</v>
      </c>
      <c r="R84" s="104" t="str">
        <f>R7</f>
        <v>2Q23</v>
      </c>
      <c r="S84" s="104" t="str">
        <f>S7</f>
        <v>3Q23</v>
      </c>
      <c r="T84" s="104" t="str">
        <f>T7</f>
        <v>4Q23</v>
      </c>
      <c r="U84" s="104" t="str">
        <f>U7</f>
        <v>1Q24</v>
      </c>
      <c r="V84" s="104" t="str">
        <f>V7</f>
        <v>2Q24</v>
      </c>
      <c r="W84" s="104" t="str">
        <f>W7</f>
        <v>3Q24</v>
      </c>
      <c r="X84" s="104" t="str">
        <f>X7</f>
        <v>4Q24</v>
      </c>
      <c r="Y84" s="104" t="str">
        <f>Y7</f>
        <v>1Q25</v>
      </c>
      <c r="Z84" s="104" t="str">
        <f>Z7</f>
        <v>2Q25</v>
      </c>
      <c r="AA84" s="104" t="str">
        <f>AA7</f>
        <v>3Q25</v>
      </c>
      <c r="AB84" s="104"/>
      <c r="AC84" s="104" t="str">
        <f>AC7</f>
        <v>4Q23</v>
      </c>
      <c r="AD84" s="104" t="str">
        <f>AD7</f>
        <v>1Q24</v>
      </c>
      <c r="AE84" s="104" t="str">
        <f>AE7</f>
        <v>2Q24</v>
      </c>
      <c r="AF84" s="104" t="str">
        <f>AF7</f>
        <v>3Q24</v>
      </c>
      <c r="AG84" s="104" t="str">
        <f>AG7</f>
        <v>4Q24</v>
      </c>
      <c r="AH84" s="104" t="str">
        <f>AH7</f>
        <v>1Q25</v>
      </c>
      <c r="AI84" s="104" t="str">
        <f>AI7</f>
        <v>2Q25</v>
      </c>
      <c r="AJ84" s="104" t="str">
        <f>AJ7</f>
        <v>3Q25</v>
      </c>
      <c r="AK84" s="103"/>
      <c r="AL84" s="164"/>
    </row>
    <row r="85" spans="1:38" ht="12.75" customHeight="1">
      <c r="B85" s="99" t="str">
        <f>B8</f>
        <v>Fiscal Period End Date</v>
      </c>
      <c r="C85" s="105">
        <f>C8</f>
        <v>0</v>
      </c>
      <c r="D85" s="105">
        <f>D8</f>
        <v>0</v>
      </c>
      <c r="E85" s="105">
        <f>E8</f>
        <v>0</v>
      </c>
      <c r="F85" s="105">
        <f>F8</f>
        <v>0</v>
      </c>
      <c r="G85" s="105">
        <f>G8</f>
        <v>0</v>
      </c>
      <c r="H85" s="103"/>
      <c r="I85" s="105">
        <f>I8</f>
        <v>0</v>
      </c>
      <c r="J85" s="105">
        <f>J8</f>
        <v>0</v>
      </c>
      <c r="K85" s="105">
        <f>K8</f>
        <v>0</v>
      </c>
      <c r="L85" s="105">
        <f>L8</f>
        <v>0</v>
      </c>
      <c r="M85" s="105">
        <f>M8</f>
        <v>0</v>
      </c>
      <c r="N85" s="105">
        <f>N8</f>
        <v>0</v>
      </c>
      <c r="O85" s="105">
        <f>O8</f>
        <v>0</v>
      </c>
      <c r="P85" s="105">
        <f>P8</f>
        <v>0</v>
      </c>
      <c r="Q85" s="105">
        <f>Q8</f>
        <v>0</v>
      </c>
      <c r="R85" s="105">
        <f>R8</f>
        <v>0</v>
      </c>
      <c r="S85" s="105">
        <f>S8</f>
        <v>0</v>
      </c>
      <c r="T85" s="105">
        <f>T8</f>
        <v>0</v>
      </c>
      <c r="U85" s="105">
        <f>U8</f>
        <v>0</v>
      </c>
      <c r="V85" s="105">
        <f>V8</f>
        <v>0</v>
      </c>
      <c r="W85" s="105">
        <f>W8</f>
        <v>0</v>
      </c>
      <c r="X85" s="105">
        <f>X8</f>
        <v>0</v>
      </c>
      <c r="Y85" s="105">
        <f>Y8</f>
        <v>0</v>
      </c>
      <c r="Z85" s="105">
        <f>Z8</f>
        <v>0</v>
      </c>
      <c r="AA85" s="105">
        <f>AA8</f>
        <v>0</v>
      </c>
      <c r="AB85" s="105"/>
      <c r="AC85" s="105">
        <f>AC8</f>
        <v>0</v>
      </c>
      <c r="AD85" s="105">
        <f>AD8</f>
        <v>0</v>
      </c>
      <c r="AE85" s="105">
        <f>AE8</f>
        <v>0</v>
      </c>
      <c r="AF85" s="105">
        <f>AF8</f>
        <v>0</v>
      </c>
      <c r="AG85" s="105">
        <f>AG8</f>
        <v>0</v>
      </c>
      <c r="AH85" s="105">
        <f>AH8</f>
        <v>0</v>
      </c>
      <c r="AI85" s="105">
        <f>AI8</f>
        <v>0</v>
      </c>
      <c r="AJ85" s="105">
        <f>AJ8</f>
        <v>0</v>
      </c>
      <c r="AK85" s="103"/>
      <c r="AL85" s="164"/>
    </row>
    <row r="86" spans="1:38" ht="5.0999999999999996" customHeight="1">
      <c r="B86" s="54"/>
      <c r="C86" s="47"/>
      <c r="D86" s="47"/>
      <c r="E86" s="47"/>
      <c r="F86" s="47"/>
      <c r="G86" s="47"/>
    </row>
    <row r="87" spans="1:38" ht="12.75" customHeight="1">
      <c r="B87" s="55" t="s">
        <v>50</v>
      </c>
      <c r="C87" s="56"/>
      <c r="D87" s="56"/>
      <c r="E87" s="56"/>
      <c r="F87" s="56"/>
      <c r="G87" s="56"/>
    </row>
    <row r="88" spans="1:38" ht="12.75" customHeight="1">
      <c r="B88" s="57" t="s">
        <v>105</v>
      </c>
      <c r="C88" s="32">
        <f>C29</f>
        <v>-1166</v>
      </c>
      <c r="D88" s="32">
        <f>D29</f>
        <v>-520</v>
      </c>
      <c r="E88" s="32">
        <f>E29</f>
        <v>-372</v>
      </c>
      <c r="F88" s="32">
        <f>F29</f>
        <v>218</v>
      </c>
      <c r="G88" s="32">
        <f>G29</f>
        <v>469</v>
      </c>
      <c r="H88" s="32"/>
      <c r="I88" s="32">
        <f>I29</f>
        <v>-124</v>
      </c>
      <c r="J88" s="32">
        <f>J29</f>
        <v>-138</v>
      </c>
      <c r="K88" s="32">
        <f>K29</f>
        <v>-102</v>
      </c>
      <c r="L88" s="32">
        <f>L29</f>
        <v>-157</v>
      </c>
      <c r="M88" s="32">
        <f>M29</f>
        <v>-100</v>
      </c>
      <c r="N88" s="32">
        <f>N29</f>
        <v>-179</v>
      </c>
      <c r="O88" s="32">
        <f>O29</f>
        <v>-124</v>
      </c>
      <c r="P88" s="32">
        <f>P29</f>
        <v>32</v>
      </c>
      <c r="Q88" s="32">
        <f>Q29</f>
        <v>19</v>
      </c>
      <c r="R88" s="32">
        <f>R29</f>
        <v>27</v>
      </c>
      <c r="S88" s="32">
        <f>S29</f>
        <v>73</v>
      </c>
      <c r="T88" s="32">
        <f>T29</f>
        <v>97</v>
      </c>
      <c r="U88" s="32">
        <f>U29</f>
        <v>105</v>
      </c>
      <c r="V88" s="32">
        <f>V29</f>
        <v>135</v>
      </c>
      <c r="W88" s="32">
        <f>W29</f>
        <v>149</v>
      </c>
      <c r="X88" s="32">
        <f>X29</f>
        <v>79</v>
      </c>
      <c r="Y88" s="32">
        <f>Y29</f>
        <v>217</v>
      </c>
      <c r="Z88" s="32">
        <f>Z29</f>
        <v>328</v>
      </c>
      <c r="AA88" s="32">
        <f>AA29</f>
        <v>476</v>
      </c>
      <c r="AB88" s="32"/>
      <c r="AC88" s="32">
        <f>AC29</f>
        <v>216</v>
      </c>
      <c r="AD88" s="32">
        <f>AD29</f>
        <v>302</v>
      </c>
      <c r="AE88" s="32">
        <f>AE29</f>
        <v>410</v>
      </c>
      <c r="AF88" s="32">
        <f>AF29</f>
        <v>486</v>
      </c>
      <c r="AG88" s="32">
        <f>AG29</f>
        <v>468</v>
      </c>
      <c r="AH88" s="32">
        <f>AH29</f>
        <v>580</v>
      </c>
      <c r="AI88" s="32">
        <f>AI29</f>
        <v>773</v>
      </c>
      <c r="AJ88" s="32">
        <f>AJ29</f>
        <v>1100</v>
      </c>
      <c r="AK88" s="11"/>
      <c r="AL88" s="75">
        <f>SUM(AJ88/AF88)-1</f>
        <v>1.263374485596708</v>
      </c>
    </row>
    <row r="89" spans="1:38" ht="5.0999999999999996" customHeight="1"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C89" s="32"/>
      <c r="AD89" s="32"/>
      <c r="AE89" s="32"/>
      <c r="AF89" s="32"/>
      <c r="AG89" s="32"/>
      <c r="AH89" s="32"/>
      <c r="AI89" s="32"/>
      <c r="AJ89" s="32"/>
      <c r="AK89" s="11"/>
      <c r="AL89" s="75"/>
    </row>
    <row r="90" spans="1:38" ht="12.75" customHeight="1">
      <c r="B90" s="36" t="s">
        <v>57</v>
      </c>
      <c r="C90" s="32"/>
      <c r="D90" s="32"/>
      <c r="E90" s="32"/>
      <c r="F90" s="32"/>
      <c r="G90" s="32"/>
      <c r="H90" s="3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32"/>
      <c r="U90" s="82"/>
      <c r="V90" s="82"/>
      <c r="W90" s="82"/>
      <c r="X90" s="32"/>
      <c r="Y90" s="82"/>
      <c r="Z90" s="82"/>
      <c r="AA90" s="82"/>
      <c r="AC90" s="32"/>
      <c r="AD90" s="32"/>
      <c r="AE90" s="32"/>
      <c r="AF90" s="32"/>
      <c r="AG90" s="32"/>
      <c r="AH90" s="32"/>
      <c r="AI90" s="32"/>
      <c r="AJ90" s="32"/>
      <c r="AK90" s="59"/>
      <c r="AL90" s="75"/>
    </row>
    <row r="91" spans="1:38" ht="12.75" customHeight="1">
      <c r="B91" s="60" t="s">
        <v>137</v>
      </c>
      <c r="C91" s="82"/>
      <c r="D91" s="82"/>
      <c r="E91" s="82"/>
      <c r="F91" s="82"/>
      <c r="G91" s="82"/>
      <c r="H91" s="32"/>
      <c r="I91" s="82"/>
      <c r="J91" s="82"/>
      <c r="K91" s="82"/>
      <c r="L91" s="82"/>
      <c r="M91" s="82"/>
      <c r="N91" s="82"/>
      <c r="O91" s="82"/>
      <c r="P91" s="32">
        <f>SUM(E90-SUM(M91:O91))</f>
        <v>0</v>
      </c>
      <c r="Q91" s="82"/>
      <c r="R91" s="82"/>
      <c r="S91" s="82"/>
      <c r="T91" s="32">
        <f>SUM(F91-SUM(Q91:S91))</f>
        <v>0</v>
      </c>
      <c r="U91" s="82"/>
      <c r="V91" s="82"/>
      <c r="W91" s="82"/>
      <c r="X91" s="32">
        <f>SUM(G91-SUM(U91:W91))</f>
        <v>0</v>
      </c>
      <c r="Y91" s="82"/>
      <c r="Z91" s="82"/>
      <c r="AA91" s="82"/>
      <c r="AC91" s="32">
        <f>SUM(Q91:T91)</f>
        <v>0</v>
      </c>
      <c r="AD91" s="32">
        <f>SUM(R91:U91)</f>
        <v>0</v>
      </c>
      <c r="AE91" s="32">
        <f>SUM(S91:V91)</f>
        <v>0</v>
      </c>
      <c r="AF91" s="32">
        <f>SUM(T91:W91)</f>
        <v>0</v>
      </c>
      <c r="AG91" s="32">
        <f>SUM(U91:X91)</f>
        <v>0</v>
      </c>
      <c r="AH91" s="32">
        <f>SUM(V91:Y91)</f>
        <v>0</v>
      </c>
      <c r="AI91" s="32">
        <f>SUM(W91:Z91)</f>
        <v>0</v>
      </c>
      <c r="AJ91" s="32">
        <f>SUM(X91:AA91)</f>
        <v>0</v>
      </c>
      <c r="AK91" s="11"/>
      <c r="AL91" s="75" t="e">
        <f t="shared" ref="AL91:AL97" si="243">SUM(AJ91/AF91)-1</f>
        <v>#DIV/0!</v>
      </c>
    </row>
    <row r="92" spans="1:38" ht="12.75" customHeight="1">
      <c r="B92" s="60" t="s">
        <v>138</v>
      </c>
      <c r="C92" s="82"/>
      <c r="D92" s="82"/>
      <c r="E92" s="82"/>
      <c r="F92" s="82"/>
      <c r="G92" s="82"/>
      <c r="H92" s="32"/>
      <c r="I92" s="82"/>
      <c r="J92" s="82"/>
      <c r="K92" s="82"/>
      <c r="L92" s="82"/>
      <c r="M92" s="82"/>
      <c r="N92" s="82"/>
      <c r="O92" s="82"/>
      <c r="P92" s="32">
        <f t="shared" ref="P92:P96" si="244">SUM(E91-SUM(M92:O92))</f>
        <v>0</v>
      </c>
      <c r="Q92" s="82"/>
      <c r="R92" s="82"/>
      <c r="S92" s="82"/>
      <c r="T92" s="32">
        <f>SUM(F92-SUM(Q92:S92))</f>
        <v>0</v>
      </c>
      <c r="U92" s="82"/>
      <c r="V92" s="82"/>
      <c r="W92" s="82"/>
      <c r="X92" s="32">
        <f>SUM(G92-SUM(U92:W92))</f>
        <v>0</v>
      </c>
      <c r="Y92" s="82"/>
      <c r="Z92" s="82"/>
      <c r="AA92" s="82"/>
      <c r="AC92" s="32">
        <f>SUM(Q92:T92)</f>
        <v>0</v>
      </c>
      <c r="AD92" s="32">
        <f>SUM(R92:U92)</f>
        <v>0</v>
      </c>
      <c r="AE92" s="32">
        <f>SUM(S92:V92)</f>
        <v>0</v>
      </c>
      <c r="AF92" s="32">
        <f>SUM(T92:W92)</f>
        <v>0</v>
      </c>
      <c r="AG92" s="32">
        <f>SUM(U92:X92)</f>
        <v>0</v>
      </c>
      <c r="AH92" s="32">
        <f>SUM(V92:Y92)</f>
        <v>0</v>
      </c>
      <c r="AI92" s="32">
        <f>SUM(W92:Z92)</f>
        <v>0</v>
      </c>
      <c r="AJ92" s="32">
        <f>SUM(X92:AA92)</f>
        <v>0</v>
      </c>
      <c r="AK92" s="11"/>
      <c r="AL92" s="75" t="e">
        <f t="shared" ref="AL92" si="245">SUM(AJ92/AF92)-1</f>
        <v>#DIV/0!</v>
      </c>
    </row>
    <row r="93" spans="1:38" ht="12.75" customHeight="1">
      <c r="B93" s="60" t="s">
        <v>139</v>
      </c>
      <c r="C93" s="82"/>
      <c r="D93" s="82"/>
      <c r="E93" s="82"/>
      <c r="F93" s="82"/>
      <c r="G93" s="82"/>
      <c r="H93" s="32"/>
      <c r="I93" s="82"/>
      <c r="J93" s="82"/>
      <c r="K93" s="82"/>
      <c r="L93" s="82"/>
      <c r="M93" s="82"/>
      <c r="N93" s="82"/>
      <c r="O93" s="82"/>
      <c r="P93" s="32">
        <f t="shared" si="244"/>
        <v>0</v>
      </c>
      <c r="Q93" s="82"/>
      <c r="R93" s="82"/>
      <c r="S93" s="82"/>
      <c r="T93" s="32">
        <f>SUM(F93-SUM(Q93:S93))</f>
        <v>0</v>
      </c>
      <c r="U93" s="82"/>
      <c r="V93" s="82"/>
      <c r="W93" s="82"/>
      <c r="X93" s="32">
        <f>SUM(G93-SUM(U93:W93))</f>
        <v>0</v>
      </c>
      <c r="Y93" s="82"/>
      <c r="Z93" s="82"/>
      <c r="AA93" s="82"/>
      <c r="AC93" s="32">
        <f>SUM(Q93:T93)</f>
        <v>0</v>
      </c>
      <c r="AD93" s="32">
        <f>SUM(R93:U93)</f>
        <v>0</v>
      </c>
      <c r="AE93" s="32">
        <f>SUM(S93:V93)</f>
        <v>0</v>
      </c>
      <c r="AF93" s="32">
        <f>SUM(T93:W93)</f>
        <v>0</v>
      </c>
      <c r="AG93" s="32">
        <f>SUM(U93:X93)</f>
        <v>0</v>
      </c>
      <c r="AH93" s="32">
        <f>SUM(V93:Y93)</f>
        <v>0</v>
      </c>
      <c r="AI93" s="32">
        <f>SUM(W93:Z93)</f>
        <v>0</v>
      </c>
      <c r="AJ93" s="32">
        <f>SUM(X93:AA93)</f>
        <v>0</v>
      </c>
      <c r="AK93" s="11"/>
      <c r="AL93" s="75" t="e">
        <f t="shared" si="243"/>
        <v>#DIV/0!</v>
      </c>
    </row>
    <row r="94" spans="1:38" ht="12.75" customHeight="1">
      <c r="B94" s="60" t="s">
        <v>140</v>
      </c>
      <c r="C94" s="82"/>
      <c r="D94" s="82"/>
      <c r="E94" s="82"/>
      <c r="F94" s="82"/>
      <c r="G94" s="82"/>
      <c r="H94" s="32"/>
      <c r="I94" s="82"/>
      <c r="J94" s="82"/>
      <c r="K94" s="82"/>
      <c r="L94" s="82"/>
      <c r="M94" s="82"/>
      <c r="N94" s="82"/>
      <c r="O94" s="82"/>
      <c r="P94" s="32">
        <f t="shared" si="244"/>
        <v>0</v>
      </c>
      <c r="Q94" s="82"/>
      <c r="R94" s="82"/>
      <c r="S94" s="82"/>
      <c r="T94" s="32">
        <f>SUM(F94-SUM(Q94:S94))</f>
        <v>0</v>
      </c>
      <c r="U94" s="82"/>
      <c r="V94" s="82"/>
      <c r="W94" s="82"/>
      <c r="X94" s="32">
        <f>SUM(G94-SUM(U94:W94))</f>
        <v>0</v>
      </c>
      <c r="Y94" s="82"/>
      <c r="Z94" s="82"/>
      <c r="AA94" s="82"/>
      <c r="AC94" s="32">
        <f>SUM(Q94:T94)</f>
        <v>0</v>
      </c>
      <c r="AD94" s="32">
        <f>SUM(R94:U94)</f>
        <v>0</v>
      </c>
      <c r="AE94" s="32">
        <f>SUM(S94:V94)</f>
        <v>0</v>
      </c>
      <c r="AF94" s="32">
        <f>SUM(T94:W94)</f>
        <v>0</v>
      </c>
      <c r="AG94" s="32">
        <f>SUM(U94:X94)</f>
        <v>0</v>
      </c>
      <c r="AH94" s="32">
        <f>SUM(V94:Y94)</f>
        <v>0</v>
      </c>
      <c r="AI94" s="32">
        <f>SUM(W94:Z94)</f>
        <v>0</v>
      </c>
      <c r="AJ94" s="32">
        <f>SUM(X94:AA94)</f>
        <v>0</v>
      </c>
      <c r="AK94" s="11"/>
      <c r="AL94" s="75" t="e">
        <f t="shared" si="243"/>
        <v>#DIV/0!</v>
      </c>
    </row>
    <row r="95" spans="1:38" ht="12.75" customHeight="1">
      <c r="B95" s="60" t="s">
        <v>141</v>
      </c>
      <c r="C95" s="82"/>
      <c r="D95" s="82"/>
      <c r="E95" s="82"/>
      <c r="F95" s="82"/>
      <c r="G95" s="82"/>
      <c r="H95" s="32"/>
      <c r="I95" s="82"/>
      <c r="J95" s="82"/>
      <c r="K95" s="82"/>
      <c r="L95" s="82"/>
      <c r="M95" s="82"/>
      <c r="N95" s="82"/>
      <c r="O95" s="82"/>
      <c r="P95" s="32">
        <f t="shared" si="244"/>
        <v>0</v>
      </c>
      <c r="Q95" s="82"/>
      <c r="R95" s="82"/>
      <c r="S95" s="82"/>
      <c r="T95" s="32">
        <f>SUM(F95-SUM(Q95:S95))</f>
        <v>0</v>
      </c>
      <c r="U95" s="82"/>
      <c r="V95" s="82"/>
      <c r="W95" s="82"/>
      <c r="X95" s="32">
        <f>SUM(G95-SUM(U95:W95))</f>
        <v>0</v>
      </c>
      <c r="Y95" s="82"/>
      <c r="Z95" s="82"/>
      <c r="AA95" s="82"/>
      <c r="AC95" s="32">
        <f>SUM(Q95:T95)</f>
        <v>0</v>
      </c>
      <c r="AD95" s="32">
        <f>SUM(R95:U95)</f>
        <v>0</v>
      </c>
      <c r="AE95" s="32">
        <f>SUM(S95:V95)</f>
        <v>0</v>
      </c>
      <c r="AF95" s="32">
        <f>SUM(T95:W95)</f>
        <v>0</v>
      </c>
      <c r="AG95" s="32">
        <f>SUM(U95:X95)</f>
        <v>0</v>
      </c>
      <c r="AH95" s="32">
        <f>SUM(V95:Y95)</f>
        <v>0</v>
      </c>
      <c r="AI95" s="32">
        <f>SUM(W95:Z95)</f>
        <v>0</v>
      </c>
      <c r="AJ95" s="32">
        <f>SUM(X95:AA95)</f>
        <v>0</v>
      </c>
      <c r="AK95" s="11"/>
      <c r="AL95" s="75" t="e">
        <f t="shared" si="243"/>
        <v>#DIV/0!</v>
      </c>
    </row>
    <row r="96" spans="1:38" ht="12.75" customHeight="1">
      <c r="B96" s="60" t="s">
        <v>142</v>
      </c>
      <c r="C96" s="82"/>
      <c r="D96" s="82"/>
      <c r="E96" s="82"/>
      <c r="F96" s="82"/>
      <c r="G96" s="82"/>
      <c r="H96" s="32"/>
      <c r="I96" s="82"/>
      <c r="J96" s="82"/>
      <c r="K96" s="82"/>
      <c r="L96" s="82"/>
      <c r="M96" s="82"/>
      <c r="N96" s="82"/>
      <c r="O96" s="82"/>
      <c r="P96" s="32">
        <f t="shared" si="244"/>
        <v>0</v>
      </c>
      <c r="Q96" s="82"/>
      <c r="R96" s="82"/>
      <c r="S96" s="82"/>
      <c r="T96" s="32">
        <f>SUM(F96-SUM(Q96:S96))</f>
        <v>0</v>
      </c>
      <c r="U96" s="82"/>
      <c r="V96" s="82"/>
      <c r="W96" s="82"/>
      <c r="X96" s="32">
        <f>SUM(G96-SUM(U96:W96))</f>
        <v>0</v>
      </c>
      <c r="Y96" s="82"/>
      <c r="Z96" s="82"/>
      <c r="AA96" s="82"/>
      <c r="AC96" s="32">
        <f>SUM(Q96:T96)</f>
        <v>0</v>
      </c>
      <c r="AD96" s="32">
        <f>SUM(R96:U96)</f>
        <v>0</v>
      </c>
      <c r="AE96" s="32">
        <f>SUM(S96:V96)</f>
        <v>0</v>
      </c>
      <c r="AF96" s="32">
        <f>SUM(T96:W96)</f>
        <v>0</v>
      </c>
      <c r="AG96" s="32">
        <f>SUM(U96:X96)</f>
        <v>0</v>
      </c>
      <c r="AH96" s="32">
        <f>SUM(V96:Y96)</f>
        <v>0</v>
      </c>
      <c r="AI96" s="32">
        <f>SUM(W96:Z96)</f>
        <v>0</v>
      </c>
      <c r="AJ96" s="32">
        <f>SUM(X96:AA96)</f>
        <v>0</v>
      </c>
      <c r="AK96" s="11"/>
      <c r="AL96" s="75" t="e">
        <f t="shared" si="243"/>
        <v>#DIV/0!</v>
      </c>
    </row>
    <row r="97" spans="2:38" ht="12.75" customHeight="1">
      <c r="B97" s="13" t="s">
        <v>51</v>
      </c>
      <c r="C97" s="14">
        <f t="shared" ref="C97:G97" si="246">SUM(C88:C96)</f>
        <v>-1166</v>
      </c>
      <c r="D97" s="14">
        <f t="shared" si="246"/>
        <v>-520</v>
      </c>
      <c r="E97" s="14">
        <f t="shared" si="246"/>
        <v>-372</v>
      </c>
      <c r="F97" s="14">
        <f t="shared" si="246"/>
        <v>218</v>
      </c>
      <c r="G97" s="14">
        <f t="shared" si="246"/>
        <v>469</v>
      </c>
      <c r="I97" s="14">
        <f t="shared" ref="I97:L97" si="247">SUM(I88:I96)</f>
        <v>-124</v>
      </c>
      <c r="J97" s="14">
        <f t="shared" si="247"/>
        <v>-138</v>
      </c>
      <c r="K97" s="14">
        <f t="shared" si="247"/>
        <v>-102</v>
      </c>
      <c r="L97" s="14">
        <f t="shared" si="247"/>
        <v>-157</v>
      </c>
      <c r="M97" s="14">
        <f t="shared" ref="M97:P97" si="248">SUM(M88:M96)</f>
        <v>-100</v>
      </c>
      <c r="N97" s="14">
        <f t="shared" ref="N97" si="249">SUM(N88:N96)</f>
        <v>-179</v>
      </c>
      <c r="O97" s="14">
        <f t="shared" si="248"/>
        <v>-124</v>
      </c>
      <c r="P97" s="14">
        <f t="shared" si="248"/>
        <v>32</v>
      </c>
      <c r="Q97" s="14">
        <f t="shared" ref="Q97:AA97" si="250">SUM(Q88:Q96)</f>
        <v>19</v>
      </c>
      <c r="R97" s="14">
        <f t="shared" si="250"/>
        <v>27</v>
      </c>
      <c r="S97" s="14">
        <f t="shared" si="250"/>
        <v>73</v>
      </c>
      <c r="T97" s="14">
        <f t="shared" si="250"/>
        <v>97</v>
      </c>
      <c r="U97" s="14">
        <f t="shared" si="250"/>
        <v>105</v>
      </c>
      <c r="V97" s="14">
        <f t="shared" si="250"/>
        <v>135</v>
      </c>
      <c r="W97" s="14">
        <f t="shared" si="250"/>
        <v>149</v>
      </c>
      <c r="X97" s="14">
        <f t="shared" si="250"/>
        <v>79</v>
      </c>
      <c r="Y97" s="14">
        <f t="shared" si="250"/>
        <v>217</v>
      </c>
      <c r="Z97" s="14">
        <f t="shared" si="250"/>
        <v>328</v>
      </c>
      <c r="AA97" s="14">
        <f t="shared" si="250"/>
        <v>476</v>
      </c>
      <c r="AC97" s="14">
        <f t="shared" ref="AC97:AJ97" si="251">SUM(AC88:AC96)</f>
        <v>216</v>
      </c>
      <c r="AD97" s="14">
        <f t="shared" si="251"/>
        <v>302</v>
      </c>
      <c r="AE97" s="14">
        <f t="shared" si="251"/>
        <v>410</v>
      </c>
      <c r="AF97" s="14">
        <f t="shared" si="251"/>
        <v>486</v>
      </c>
      <c r="AG97" s="14">
        <f t="shared" si="251"/>
        <v>468</v>
      </c>
      <c r="AH97" s="14">
        <f t="shared" si="251"/>
        <v>580</v>
      </c>
      <c r="AI97" s="14">
        <f t="shared" si="251"/>
        <v>773</v>
      </c>
      <c r="AJ97" s="14">
        <f t="shared" si="251"/>
        <v>1100</v>
      </c>
      <c r="AK97" s="42"/>
      <c r="AL97" s="76">
        <f t="shared" si="243"/>
        <v>1.263374485596708</v>
      </c>
    </row>
    <row r="98" spans="2:38" ht="12.75" customHeight="1">
      <c r="B98" s="53"/>
      <c r="C98" s="61"/>
      <c r="D98" s="61"/>
      <c r="E98" s="61"/>
      <c r="F98" s="61"/>
      <c r="G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C98" s="42"/>
      <c r="AD98" s="42"/>
      <c r="AE98" s="42"/>
      <c r="AF98" s="42"/>
      <c r="AG98" s="42"/>
      <c r="AH98" s="42"/>
      <c r="AI98" s="42"/>
      <c r="AJ98" s="42"/>
      <c r="AK98" s="42"/>
      <c r="AL98" s="39"/>
    </row>
    <row r="99" spans="2:38" ht="12.75" customHeight="1">
      <c r="B99" s="53" t="s">
        <v>52</v>
      </c>
      <c r="C99" s="58"/>
      <c r="D99" s="58"/>
      <c r="E99" s="58"/>
      <c r="F99" s="58"/>
      <c r="G99" s="58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32"/>
      <c r="U99" s="82"/>
      <c r="V99" s="82"/>
      <c r="W99" s="82"/>
      <c r="X99" s="32"/>
      <c r="Y99" s="58"/>
      <c r="Z99" s="58"/>
      <c r="AA99" s="58"/>
      <c r="AC99" s="58"/>
      <c r="AD99" s="58"/>
      <c r="AE99" s="58"/>
      <c r="AF99" s="58"/>
      <c r="AG99" s="58"/>
      <c r="AH99" s="58"/>
      <c r="AI99" s="58"/>
      <c r="AJ99" s="58"/>
      <c r="AK99" s="59"/>
      <c r="AL99" s="75"/>
    </row>
    <row r="100" spans="2:38" ht="12.75" customHeight="1">
      <c r="B100" s="60" t="s">
        <v>143</v>
      </c>
      <c r="C100" s="82"/>
      <c r="D100" s="82"/>
      <c r="E100" s="82"/>
      <c r="F100" s="82"/>
      <c r="G100" s="82"/>
      <c r="H100" s="32"/>
      <c r="I100" s="82"/>
      <c r="J100" s="82"/>
      <c r="K100" s="82"/>
      <c r="L100" s="82"/>
      <c r="M100" s="82"/>
      <c r="N100" s="82"/>
      <c r="O100" s="82"/>
      <c r="P100" s="32">
        <f t="shared" ref="P100:P103" si="252">SUM(E99-SUM(M100:O100))</f>
        <v>0</v>
      </c>
      <c r="Q100" s="82"/>
      <c r="R100" s="82"/>
      <c r="S100" s="82"/>
      <c r="T100" s="32">
        <f>SUM(F100-SUM(Q100:S100))</f>
        <v>0</v>
      </c>
      <c r="U100" s="82"/>
      <c r="V100" s="82"/>
      <c r="W100" s="82"/>
      <c r="X100" s="32">
        <f>SUM(G100-SUM(U100:W100))</f>
        <v>0</v>
      </c>
      <c r="Y100" s="82"/>
      <c r="Z100" s="82"/>
      <c r="AA100" s="82"/>
      <c r="AB100" s="32"/>
      <c r="AC100" s="32">
        <f>SUM(Q100:T100)</f>
        <v>0</v>
      </c>
      <c r="AD100" s="32">
        <f>SUM(R100:U100)</f>
        <v>0</v>
      </c>
      <c r="AE100" s="32">
        <f>SUM(S100:V100)</f>
        <v>0</v>
      </c>
      <c r="AF100" s="32">
        <f>SUM(T100:W100)</f>
        <v>0</v>
      </c>
      <c r="AG100" s="32">
        <f>SUM(U100:X100)</f>
        <v>0</v>
      </c>
      <c r="AH100" s="32">
        <f>SUM(V100:Y100)</f>
        <v>0</v>
      </c>
      <c r="AI100" s="32">
        <f>SUM(W100:Z100)</f>
        <v>0</v>
      </c>
      <c r="AJ100" s="32">
        <f>SUM(X100:AA100)</f>
        <v>0</v>
      </c>
      <c r="AK100" s="59"/>
      <c r="AL100" s="75" t="e">
        <f t="shared" ref="AL100:AL103" si="253">SUM(AJ100/AF100)-1</f>
        <v>#DIV/0!</v>
      </c>
    </row>
    <row r="101" spans="2:38" ht="12.75" customHeight="1">
      <c r="B101" s="60" t="s">
        <v>144</v>
      </c>
      <c r="C101" s="82"/>
      <c r="D101" s="82"/>
      <c r="E101" s="82"/>
      <c r="F101" s="82"/>
      <c r="G101" s="82"/>
      <c r="H101" s="32"/>
      <c r="I101" s="82"/>
      <c r="J101" s="82"/>
      <c r="K101" s="82"/>
      <c r="L101" s="82"/>
      <c r="M101" s="82"/>
      <c r="N101" s="82"/>
      <c r="O101" s="82"/>
      <c r="P101" s="32">
        <f t="shared" si="252"/>
        <v>0</v>
      </c>
      <c r="Q101" s="82"/>
      <c r="R101" s="82"/>
      <c r="S101" s="82"/>
      <c r="T101" s="32">
        <f>SUM(F101-SUM(Q101:S101))</f>
        <v>0</v>
      </c>
      <c r="U101" s="82"/>
      <c r="V101" s="82"/>
      <c r="W101" s="82"/>
      <c r="X101" s="32">
        <f>SUM(G101-SUM(U101:W101))</f>
        <v>0</v>
      </c>
      <c r="Y101" s="82"/>
      <c r="Z101" s="82"/>
      <c r="AA101" s="82"/>
      <c r="AB101" s="32"/>
      <c r="AC101" s="32">
        <f>SUM(Q101:T101)</f>
        <v>0</v>
      </c>
      <c r="AD101" s="32">
        <f>SUM(R101:U101)</f>
        <v>0</v>
      </c>
      <c r="AE101" s="32">
        <f>SUM(S101:V101)</f>
        <v>0</v>
      </c>
      <c r="AF101" s="32">
        <f>SUM(T101:W101)</f>
        <v>0</v>
      </c>
      <c r="AG101" s="32">
        <f>SUM(U101:X101)</f>
        <v>0</v>
      </c>
      <c r="AH101" s="32">
        <f>SUM(V101:Y101)</f>
        <v>0</v>
      </c>
      <c r="AI101" s="32">
        <f>SUM(W101:Z101)</f>
        <v>0</v>
      </c>
      <c r="AJ101" s="32">
        <f>SUM(X101:AA101)</f>
        <v>0</v>
      </c>
      <c r="AK101" s="59"/>
      <c r="AL101" s="75" t="e">
        <f t="shared" si="253"/>
        <v>#DIV/0!</v>
      </c>
    </row>
    <row r="102" spans="2:38" ht="12.75" customHeight="1">
      <c r="B102" s="60" t="s">
        <v>145</v>
      </c>
      <c r="C102" s="82"/>
      <c r="D102" s="82"/>
      <c r="E102" s="82"/>
      <c r="F102" s="82"/>
      <c r="G102" s="82"/>
      <c r="H102" s="32"/>
      <c r="I102" s="82"/>
      <c r="J102" s="82"/>
      <c r="K102" s="82"/>
      <c r="L102" s="82"/>
      <c r="M102" s="82"/>
      <c r="N102" s="82"/>
      <c r="O102" s="82"/>
      <c r="P102" s="32">
        <f t="shared" si="252"/>
        <v>0</v>
      </c>
      <c r="Q102" s="82"/>
      <c r="R102" s="82"/>
      <c r="S102" s="82"/>
      <c r="T102" s="32">
        <f>SUM(F102-SUM(Q102:S102))</f>
        <v>0</v>
      </c>
      <c r="U102" s="82"/>
      <c r="V102" s="82"/>
      <c r="W102" s="82"/>
      <c r="X102" s="32">
        <f>SUM(G102-SUM(U102:W102))</f>
        <v>0</v>
      </c>
      <c r="Y102" s="82"/>
      <c r="Z102" s="82"/>
      <c r="AA102" s="82"/>
      <c r="AB102" s="32"/>
      <c r="AC102" s="32">
        <f>SUM(Q102:T102)</f>
        <v>0</v>
      </c>
      <c r="AD102" s="32">
        <f>SUM(R102:U102)</f>
        <v>0</v>
      </c>
      <c r="AE102" s="32">
        <f>SUM(S102:V102)</f>
        <v>0</v>
      </c>
      <c r="AF102" s="32">
        <f>SUM(T102:W102)</f>
        <v>0</v>
      </c>
      <c r="AG102" s="32">
        <f>SUM(U102:X102)</f>
        <v>0</v>
      </c>
      <c r="AH102" s="32">
        <f>SUM(V102:Y102)</f>
        <v>0</v>
      </c>
      <c r="AI102" s="32">
        <f>SUM(W102:Z102)</f>
        <v>0</v>
      </c>
      <c r="AJ102" s="32">
        <f>SUM(X102:AA102)</f>
        <v>0</v>
      </c>
      <c r="AK102" s="59"/>
      <c r="AL102" s="75" t="e">
        <f t="shared" si="253"/>
        <v>#DIV/0!</v>
      </c>
    </row>
    <row r="103" spans="2:38" ht="12.75" customHeight="1">
      <c r="B103" s="60" t="s">
        <v>146</v>
      </c>
      <c r="C103" s="82"/>
      <c r="D103" s="82"/>
      <c r="E103" s="82"/>
      <c r="F103" s="82"/>
      <c r="G103" s="82"/>
      <c r="H103" s="32"/>
      <c r="I103" s="82"/>
      <c r="J103" s="82"/>
      <c r="K103" s="82"/>
      <c r="L103" s="82"/>
      <c r="M103" s="82"/>
      <c r="N103" s="82"/>
      <c r="O103" s="82"/>
      <c r="P103" s="32">
        <f t="shared" si="252"/>
        <v>0</v>
      </c>
      <c r="Q103" s="82"/>
      <c r="R103" s="82"/>
      <c r="S103" s="82"/>
      <c r="T103" s="32">
        <f>SUM(F103-SUM(Q103:S103))</f>
        <v>0</v>
      </c>
      <c r="U103" s="82"/>
      <c r="V103" s="82"/>
      <c r="W103" s="82"/>
      <c r="X103" s="32">
        <f>SUM(G103-SUM(U103:W103))</f>
        <v>0</v>
      </c>
      <c r="Y103" s="82"/>
      <c r="Z103" s="82"/>
      <c r="AA103" s="82"/>
      <c r="AB103" s="32"/>
      <c r="AC103" s="32">
        <f>SUM(Q103:T103)</f>
        <v>0</v>
      </c>
      <c r="AD103" s="32">
        <f>SUM(R103:U103)</f>
        <v>0</v>
      </c>
      <c r="AE103" s="32">
        <f>SUM(S103:V103)</f>
        <v>0</v>
      </c>
      <c r="AF103" s="32">
        <f>SUM(T103:W103)</f>
        <v>0</v>
      </c>
      <c r="AG103" s="32">
        <f>SUM(U103:X103)</f>
        <v>0</v>
      </c>
      <c r="AH103" s="32">
        <f>SUM(V103:Y103)</f>
        <v>0</v>
      </c>
      <c r="AI103" s="32">
        <f>SUM(W103:Z103)</f>
        <v>0</v>
      </c>
      <c r="AJ103" s="32">
        <f>SUM(X103:AA103)</f>
        <v>0</v>
      </c>
      <c r="AK103" s="59"/>
      <c r="AL103" s="75" t="e">
        <f t="shared" si="253"/>
        <v>#DIV/0!</v>
      </c>
    </row>
    <row r="104" spans="2:38" ht="12.75" customHeight="1">
      <c r="B104" s="13" t="s">
        <v>53</v>
      </c>
      <c r="C104" s="14">
        <f t="shared" ref="C104:G104" si="254">SUM(C100:C103)</f>
        <v>0</v>
      </c>
      <c r="D104" s="14">
        <f t="shared" si="254"/>
        <v>0</v>
      </c>
      <c r="E104" s="14">
        <f t="shared" si="254"/>
        <v>0</v>
      </c>
      <c r="F104" s="14">
        <f t="shared" si="254"/>
        <v>0</v>
      </c>
      <c r="G104" s="14">
        <f t="shared" si="254"/>
        <v>0</v>
      </c>
      <c r="I104" s="14">
        <f t="shared" ref="I104:L104" si="255">SUM(I100:I103)</f>
        <v>0</v>
      </c>
      <c r="J104" s="14">
        <f t="shared" si="255"/>
        <v>0</v>
      </c>
      <c r="K104" s="14">
        <f t="shared" si="255"/>
        <v>0</v>
      </c>
      <c r="L104" s="14">
        <f t="shared" si="255"/>
        <v>0</v>
      </c>
      <c r="M104" s="14">
        <f t="shared" ref="M104:P104" si="256">SUM(M100:M103)</f>
        <v>0</v>
      </c>
      <c r="N104" s="14">
        <f t="shared" ref="N104" si="257">SUM(N100:N103)</f>
        <v>0</v>
      </c>
      <c r="O104" s="14">
        <f t="shared" si="256"/>
        <v>0</v>
      </c>
      <c r="P104" s="14">
        <f t="shared" si="256"/>
        <v>0</v>
      </c>
      <c r="Q104" s="14">
        <f t="shared" ref="Q104:AA104" si="258">SUM(Q100:Q103)</f>
        <v>0</v>
      </c>
      <c r="R104" s="14">
        <f t="shared" si="258"/>
        <v>0</v>
      </c>
      <c r="S104" s="14">
        <f t="shared" si="258"/>
        <v>0</v>
      </c>
      <c r="T104" s="14">
        <f t="shared" si="258"/>
        <v>0</v>
      </c>
      <c r="U104" s="14">
        <f t="shared" si="258"/>
        <v>0</v>
      </c>
      <c r="V104" s="14">
        <f t="shared" si="258"/>
        <v>0</v>
      </c>
      <c r="W104" s="14">
        <f t="shared" si="258"/>
        <v>0</v>
      </c>
      <c r="X104" s="14">
        <f t="shared" si="258"/>
        <v>0</v>
      </c>
      <c r="Y104" s="14">
        <f t="shared" si="258"/>
        <v>0</v>
      </c>
      <c r="Z104" s="14">
        <f t="shared" si="258"/>
        <v>0</v>
      </c>
      <c r="AA104" s="14">
        <f t="shared" si="258"/>
        <v>0</v>
      </c>
      <c r="AC104" s="14">
        <f t="shared" ref="AC104:AJ104" si="259">SUM(AC103:AC103)</f>
        <v>0</v>
      </c>
      <c r="AD104" s="14">
        <f t="shared" si="259"/>
        <v>0</v>
      </c>
      <c r="AE104" s="14">
        <f t="shared" si="259"/>
        <v>0</v>
      </c>
      <c r="AF104" s="14">
        <f t="shared" si="259"/>
        <v>0</v>
      </c>
      <c r="AG104" s="14">
        <f t="shared" si="259"/>
        <v>0</v>
      </c>
      <c r="AH104" s="14">
        <f t="shared" si="259"/>
        <v>0</v>
      </c>
      <c r="AI104" s="14">
        <f t="shared" si="259"/>
        <v>0</v>
      </c>
      <c r="AJ104" s="14">
        <f t="shared" si="259"/>
        <v>0</v>
      </c>
      <c r="AK104" s="42"/>
      <c r="AL104" s="76" t="e">
        <f t="shared" ref="AL104:AL110" si="260">SUM(AJ104/AF104)-1</f>
        <v>#DIV/0!</v>
      </c>
    </row>
    <row r="105" spans="2:38" ht="5.0999999999999996" customHeight="1">
      <c r="B105" s="52"/>
      <c r="C105" s="61"/>
      <c r="D105" s="61"/>
      <c r="E105" s="61"/>
      <c r="F105" s="61"/>
      <c r="G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C105" s="42"/>
      <c r="AD105" s="42"/>
      <c r="AE105" s="42"/>
      <c r="AF105" s="42"/>
      <c r="AG105" s="42"/>
      <c r="AH105" s="42"/>
      <c r="AI105" s="42"/>
      <c r="AJ105" s="42"/>
      <c r="AK105" s="42"/>
      <c r="AL105" s="39"/>
    </row>
    <row r="106" spans="2:38" ht="12.75" customHeight="1">
      <c r="B106" s="53" t="s">
        <v>54</v>
      </c>
      <c r="C106" s="63"/>
      <c r="D106" s="63"/>
      <c r="E106" s="63"/>
      <c r="F106" s="63"/>
      <c r="G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32"/>
      <c r="AC106" s="32"/>
      <c r="AD106" s="32"/>
      <c r="AE106" s="32"/>
      <c r="AF106" s="32"/>
      <c r="AG106" s="32"/>
      <c r="AH106" s="32"/>
      <c r="AI106" s="32"/>
      <c r="AJ106" s="32"/>
      <c r="AK106" s="64"/>
      <c r="AL106" s="75"/>
    </row>
    <row r="107" spans="2:38" ht="12.75" customHeight="1">
      <c r="B107" s="84" t="s">
        <v>147</v>
      </c>
      <c r="C107" s="82"/>
      <c r="D107" s="82"/>
      <c r="E107" s="82"/>
      <c r="F107" s="82"/>
      <c r="G107" s="82"/>
      <c r="I107" s="82"/>
      <c r="J107" s="82"/>
      <c r="K107" s="82"/>
      <c r="L107" s="82"/>
      <c r="M107" s="82"/>
      <c r="N107" s="82"/>
      <c r="O107" s="82"/>
      <c r="P107" s="32">
        <f t="shared" ref="P107:P109" si="261">SUM(E106-SUM(M107:O107))</f>
        <v>0</v>
      </c>
      <c r="Q107" s="82"/>
      <c r="R107" s="82"/>
      <c r="S107" s="82"/>
      <c r="T107" s="32">
        <f>SUM(F107-SUM(Q107:S107))</f>
        <v>0</v>
      </c>
      <c r="U107" s="82"/>
      <c r="V107" s="82"/>
      <c r="W107" s="82"/>
      <c r="X107" s="32">
        <f>SUM(G107-SUM(U107:W107))</f>
        <v>0</v>
      </c>
      <c r="Y107" s="82"/>
      <c r="Z107" s="82"/>
      <c r="AA107" s="82"/>
      <c r="AB107" s="32"/>
      <c r="AC107" s="32">
        <f>SUM(Q107:T107)</f>
        <v>0</v>
      </c>
      <c r="AD107" s="32">
        <f>SUM(R107:U107)</f>
        <v>0</v>
      </c>
      <c r="AE107" s="32">
        <f>SUM(S107:V107)</f>
        <v>0</v>
      </c>
      <c r="AF107" s="32">
        <f>SUM(T107:W107)</f>
        <v>0</v>
      </c>
      <c r="AG107" s="32">
        <f>SUM(U107:X107)</f>
        <v>0</v>
      </c>
      <c r="AH107" s="32">
        <f>SUM(V107:Y107)</f>
        <v>0</v>
      </c>
      <c r="AI107" s="32">
        <f>SUM(W107:Z107)</f>
        <v>0</v>
      </c>
      <c r="AJ107" s="32">
        <f>SUM(X107:AA107)</f>
        <v>0</v>
      </c>
      <c r="AK107" s="64"/>
      <c r="AL107" s="75" t="e">
        <f t="shared" si="260"/>
        <v>#DIV/0!</v>
      </c>
    </row>
    <row r="108" spans="2:38" ht="12.75" customHeight="1">
      <c r="B108" s="84" t="s">
        <v>148</v>
      </c>
      <c r="C108" s="82"/>
      <c r="D108" s="82"/>
      <c r="E108" s="82"/>
      <c r="F108" s="82"/>
      <c r="G108" s="82"/>
      <c r="I108" s="82"/>
      <c r="J108" s="82"/>
      <c r="K108" s="82"/>
      <c r="L108" s="82"/>
      <c r="M108" s="82"/>
      <c r="N108" s="82"/>
      <c r="O108" s="82"/>
      <c r="P108" s="32">
        <f t="shared" si="261"/>
        <v>0</v>
      </c>
      <c r="Q108" s="82"/>
      <c r="R108" s="82"/>
      <c r="S108" s="82"/>
      <c r="T108" s="32">
        <f>SUM(F108-SUM(Q108:S108))</f>
        <v>0</v>
      </c>
      <c r="U108" s="82"/>
      <c r="V108" s="82"/>
      <c r="W108" s="82"/>
      <c r="X108" s="32">
        <f>SUM(G108-SUM(U108:W108))</f>
        <v>0</v>
      </c>
      <c r="Y108" s="82"/>
      <c r="Z108" s="82"/>
      <c r="AA108" s="82"/>
      <c r="AB108" s="32"/>
      <c r="AC108" s="32">
        <f>SUM(Q108:T108)</f>
        <v>0</v>
      </c>
      <c r="AD108" s="32">
        <f>SUM(R108:U108)</f>
        <v>0</v>
      </c>
      <c r="AE108" s="32">
        <f>SUM(S108:V108)</f>
        <v>0</v>
      </c>
      <c r="AF108" s="32">
        <f>SUM(T108:W108)</f>
        <v>0</v>
      </c>
      <c r="AG108" s="32">
        <f>SUM(U108:X108)</f>
        <v>0</v>
      </c>
      <c r="AH108" s="32">
        <f>SUM(V108:Y108)</f>
        <v>0</v>
      </c>
      <c r="AI108" s="32">
        <f>SUM(W108:Z108)</f>
        <v>0</v>
      </c>
      <c r="AJ108" s="32">
        <f>SUM(X108:AA108)</f>
        <v>0</v>
      </c>
      <c r="AK108" s="64"/>
      <c r="AL108" s="75" t="e">
        <f t="shared" ref="AL108" si="262">SUM(AJ108/AF108)-1</f>
        <v>#DIV/0!</v>
      </c>
    </row>
    <row r="109" spans="2:38" ht="12.75" customHeight="1">
      <c r="B109" s="84" t="s">
        <v>149</v>
      </c>
      <c r="C109" s="82"/>
      <c r="D109" s="82"/>
      <c r="E109" s="82"/>
      <c r="F109" s="82"/>
      <c r="G109" s="82"/>
      <c r="I109" s="82"/>
      <c r="J109" s="82"/>
      <c r="K109" s="82"/>
      <c r="L109" s="82"/>
      <c r="M109" s="82"/>
      <c r="N109" s="82"/>
      <c r="O109" s="82"/>
      <c r="P109" s="32">
        <f t="shared" si="261"/>
        <v>0</v>
      </c>
      <c r="Q109" s="82"/>
      <c r="R109" s="82"/>
      <c r="S109" s="82"/>
      <c r="T109" s="32">
        <f>SUM(F109-SUM(Q109:S109))</f>
        <v>0</v>
      </c>
      <c r="U109" s="82"/>
      <c r="V109" s="82"/>
      <c r="W109" s="82"/>
      <c r="X109" s="32">
        <f>SUM(G109-SUM(U109:W109))</f>
        <v>0</v>
      </c>
      <c r="Y109" s="82"/>
      <c r="Z109" s="82"/>
      <c r="AA109" s="82"/>
      <c r="AB109" s="32"/>
      <c r="AC109" s="32">
        <f>SUM(Q109:T109)</f>
        <v>0</v>
      </c>
      <c r="AD109" s="32">
        <f>SUM(R109:U109)</f>
        <v>0</v>
      </c>
      <c r="AE109" s="32">
        <f>SUM(S109:V109)</f>
        <v>0</v>
      </c>
      <c r="AF109" s="32">
        <f>SUM(T109:W109)</f>
        <v>0</v>
      </c>
      <c r="AG109" s="32">
        <f>SUM(U109:X109)</f>
        <v>0</v>
      </c>
      <c r="AH109" s="32">
        <f>SUM(V109:Y109)</f>
        <v>0</v>
      </c>
      <c r="AI109" s="32">
        <f>SUM(W109:Z109)</f>
        <v>0</v>
      </c>
      <c r="AJ109" s="32">
        <f>SUM(X109:AA109)</f>
        <v>0</v>
      </c>
      <c r="AK109" s="64"/>
      <c r="AL109" s="75" t="e">
        <f t="shared" si="260"/>
        <v>#DIV/0!</v>
      </c>
    </row>
    <row r="110" spans="2:38" ht="12.75" customHeight="1">
      <c r="B110" s="13" t="s">
        <v>55</v>
      </c>
      <c r="C110" s="14">
        <f t="shared" ref="C110:G110" si="263">SUM(C107:C109)</f>
        <v>0</v>
      </c>
      <c r="D110" s="14">
        <f t="shared" si="263"/>
        <v>0</v>
      </c>
      <c r="E110" s="14">
        <f t="shared" si="263"/>
        <v>0</v>
      </c>
      <c r="F110" s="14">
        <f t="shared" si="263"/>
        <v>0</v>
      </c>
      <c r="G110" s="14">
        <f t="shared" si="263"/>
        <v>0</v>
      </c>
      <c r="I110" s="14">
        <f t="shared" ref="I110:L110" si="264">SUM(I107:I109)</f>
        <v>0</v>
      </c>
      <c r="J110" s="14">
        <f t="shared" si="264"/>
        <v>0</v>
      </c>
      <c r="K110" s="14">
        <f t="shared" si="264"/>
        <v>0</v>
      </c>
      <c r="L110" s="14">
        <f t="shared" si="264"/>
        <v>0</v>
      </c>
      <c r="M110" s="14">
        <f t="shared" ref="M110:P110" si="265">SUM(M107:M109)</f>
        <v>0</v>
      </c>
      <c r="N110" s="14">
        <f t="shared" ref="N110" si="266">SUM(N107:N109)</f>
        <v>0</v>
      </c>
      <c r="O110" s="14">
        <f t="shared" si="265"/>
        <v>0</v>
      </c>
      <c r="P110" s="14">
        <f t="shared" si="265"/>
        <v>0</v>
      </c>
      <c r="Q110" s="14">
        <f t="shared" ref="Q110:AA110" si="267">SUM(Q107:Q109)</f>
        <v>0</v>
      </c>
      <c r="R110" s="14">
        <f t="shared" si="267"/>
        <v>0</v>
      </c>
      <c r="S110" s="14">
        <f t="shared" si="267"/>
        <v>0</v>
      </c>
      <c r="T110" s="14">
        <f t="shared" si="267"/>
        <v>0</v>
      </c>
      <c r="U110" s="14">
        <f t="shared" si="267"/>
        <v>0</v>
      </c>
      <c r="V110" s="14">
        <f t="shared" si="267"/>
        <v>0</v>
      </c>
      <c r="W110" s="14">
        <f t="shared" si="267"/>
        <v>0</v>
      </c>
      <c r="X110" s="14">
        <f t="shared" si="267"/>
        <v>0</v>
      </c>
      <c r="Y110" s="14">
        <f t="shared" si="267"/>
        <v>0</v>
      </c>
      <c r="Z110" s="14">
        <f t="shared" si="267"/>
        <v>0</v>
      </c>
      <c r="AA110" s="14">
        <f t="shared" si="267"/>
        <v>0</v>
      </c>
      <c r="AC110" s="14">
        <f t="shared" ref="AC110:AJ110" si="268">SUM(AC107:AC109)</f>
        <v>0</v>
      </c>
      <c r="AD110" s="14">
        <f t="shared" si="268"/>
        <v>0</v>
      </c>
      <c r="AE110" s="14">
        <f t="shared" si="268"/>
        <v>0</v>
      </c>
      <c r="AF110" s="14">
        <f t="shared" si="268"/>
        <v>0</v>
      </c>
      <c r="AG110" s="14">
        <f t="shared" si="268"/>
        <v>0</v>
      </c>
      <c r="AH110" s="14">
        <f t="shared" si="268"/>
        <v>0</v>
      </c>
      <c r="AI110" s="14">
        <f t="shared" si="268"/>
        <v>0</v>
      </c>
      <c r="AJ110" s="14">
        <f t="shared" si="268"/>
        <v>0</v>
      </c>
      <c r="AK110" s="42"/>
      <c r="AL110" s="76" t="e">
        <f t="shared" si="260"/>
        <v>#DIV/0!</v>
      </c>
    </row>
    <row r="111" spans="2:38" ht="5.0999999999999996" customHeight="1">
      <c r="B111" s="71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11"/>
      <c r="AL111" s="45"/>
    </row>
    <row r="112" spans="2:38">
      <c r="B112" s="92" t="s">
        <v>81</v>
      </c>
      <c r="C112" s="93"/>
      <c r="D112" s="93">
        <f t="shared" ref="D112:G112" si="269">C119</f>
        <v>-1166</v>
      </c>
      <c r="E112" s="93">
        <f t="shared" si="269"/>
        <v>-1686</v>
      </c>
      <c r="F112" s="93">
        <f t="shared" si="269"/>
        <v>-2058</v>
      </c>
      <c r="G112" s="93">
        <f t="shared" si="269"/>
        <v>-1840</v>
      </c>
      <c r="H112" s="93"/>
      <c r="I112" s="93"/>
      <c r="J112" s="93"/>
      <c r="K112" s="93"/>
      <c r="L112" s="93"/>
      <c r="M112" s="93"/>
      <c r="N112" s="93">
        <f t="shared" ref="N112" si="270">M119</f>
        <v>-100</v>
      </c>
      <c r="O112" s="93">
        <f t="shared" ref="O112" si="271">N119</f>
        <v>-279</v>
      </c>
      <c r="P112" s="93">
        <f t="shared" ref="P112" si="272">O119</f>
        <v>-403</v>
      </c>
      <c r="Q112" s="93">
        <f t="shared" ref="Q112" si="273">P119</f>
        <v>-371</v>
      </c>
      <c r="R112" s="93">
        <f t="shared" ref="R112:AA112" si="274">Q119</f>
        <v>-352</v>
      </c>
      <c r="S112" s="93">
        <f t="shared" si="274"/>
        <v>-325</v>
      </c>
      <c r="T112" s="93">
        <f t="shared" si="274"/>
        <v>-252</v>
      </c>
      <c r="U112" s="93">
        <f t="shared" si="274"/>
        <v>-155</v>
      </c>
      <c r="V112" s="93">
        <f t="shared" si="274"/>
        <v>-50</v>
      </c>
      <c r="W112" s="93">
        <f t="shared" si="274"/>
        <v>85</v>
      </c>
      <c r="X112" s="93">
        <f t="shared" si="274"/>
        <v>234</v>
      </c>
      <c r="Y112" s="93">
        <f t="shared" si="274"/>
        <v>313</v>
      </c>
      <c r="Z112" s="93">
        <f t="shared" si="274"/>
        <v>530</v>
      </c>
      <c r="AA112" s="93">
        <f t="shared" si="274"/>
        <v>858</v>
      </c>
      <c r="AB112" s="93"/>
      <c r="AC112" s="93"/>
      <c r="AD112" s="93">
        <f t="shared" ref="AD112:AJ112" si="275">Q119</f>
        <v>-352</v>
      </c>
      <c r="AE112" s="93">
        <f t="shared" si="275"/>
        <v>-325</v>
      </c>
      <c r="AF112" s="93">
        <f t="shared" si="275"/>
        <v>-252</v>
      </c>
      <c r="AG112" s="93">
        <f t="shared" si="275"/>
        <v>-155</v>
      </c>
      <c r="AH112" s="93">
        <f t="shared" si="275"/>
        <v>-50</v>
      </c>
      <c r="AI112" s="93">
        <f t="shared" si="275"/>
        <v>85</v>
      </c>
      <c r="AJ112" s="140">
        <f t="shared" si="275"/>
        <v>234</v>
      </c>
      <c r="AK112" s="11"/>
      <c r="AL112" s="45"/>
    </row>
    <row r="113" spans="2:38">
      <c r="B113" s="130" t="s">
        <v>94</v>
      </c>
      <c r="C113" s="32"/>
      <c r="D113" s="32"/>
      <c r="E113" s="32">
        <f t="shared" ref="E113:G113" si="276">-D117</f>
        <v>0</v>
      </c>
      <c r="F113" s="32">
        <f t="shared" si="276"/>
        <v>0</v>
      </c>
      <c r="G113" s="32">
        <f t="shared" si="276"/>
        <v>0</v>
      </c>
      <c r="H113" s="32"/>
      <c r="I113" s="32"/>
      <c r="J113" s="32"/>
      <c r="K113" s="32"/>
      <c r="L113" s="32"/>
      <c r="M113" s="32"/>
      <c r="N113" s="32">
        <f t="shared" ref="N113" si="277">-M117</f>
        <v>0</v>
      </c>
      <c r="O113" s="32">
        <f t="shared" ref="O113" si="278">-N117</f>
        <v>0</v>
      </c>
      <c r="P113" s="32">
        <f t="shared" ref="P113" si="279">-O117</f>
        <v>0</v>
      </c>
      <c r="Q113" s="32">
        <f t="shared" ref="Q113" si="280">-P117</f>
        <v>0</v>
      </c>
      <c r="R113" s="32">
        <f t="shared" ref="R113:AA113" si="281">-Q117</f>
        <v>0</v>
      </c>
      <c r="S113" s="32">
        <f t="shared" si="281"/>
        <v>0</v>
      </c>
      <c r="T113" s="32">
        <f t="shared" si="281"/>
        <v>0</v>
      </c>
      <c r="U113" s="32">
        <f t="shared" si="281"/>
        <v>0</v>
      </c>
      <c r="V113" s="32">
        <f t="shared" si="281"/>
        <v>0</v>
      </c>
      <c r="W113" s="32">
        <f t="shared" si="281"/>
        <v>0</v>
      </c>
      <c r="X113" s="32">
        <f t="shared" si="281"/>
        <v>0</v>
      </c>
      <c r="Y113" s="32">
        <f t="shared" si="281"/>
        <v>0</v>
      </c>
      <c r="Z113" s="32">
        <f t="shared" si="281"/>
        <v>0</v>
      </c>
      <c r="AA113" s="32">
        <f t="shared" si="281"/>
        <v>0</v>
      </c>
      <c r="AB113" s="32"/>
      <c r="AC113" s="32">
        <f>F113</f>
        <v>0</v>
      </c>
      <c r="AD113" s="32">
        <f>-Q117</f>
        <v>0</v>
      </c>
      <c r="AE113" s="32">
        <f>-R117</f>
        <v>0</v>
      </c>
      <c r="AF113" s="32">
        <f>-S117</f>
        <v>0</v>
      </c>
      <c r="AG113" s="32">
        <f>-T117</f>
        <v>0</v>
      </c>
      <c r="AH113" s="32">
        <f>-U117</f>
        <v>0</v>
      </c>
      <c r="AI113" s="32">
        <f>-V117</f>
        <v>0</v>
      </c>
      <c r="AJ113" s="134">
        <f>-W117</f>
        <v>0</v>
      </c>
      <c r="AK113" s="11"/>
      <c r="AL113" s="45"/>
    </row>
    <row r="114" spans="2:38">
      <c r="B114" s="145" t="s">
        <v>68</v>
      </c>
      <c r="C114" s="146">
        <f t="shared" ref="C114" si="282">SUM(C112:C113)</f>
        <v>0</v>
      </c>
      <c r="D114" s="146">
        <f t="shared" ref="D114:G114" si="283">SUM(D112:D113)</f>
        <v>-1166</v>
      </c>
      <c r="E114" s="146">
        <f t="shared" si="283"/>
        <v>-1686</v>
      </c>
      <c r="F114" s="146">
        <f t="shared" si="283"/>
        <v>-2058</v>
      </c>
      <c r="G114" s="146">
        <f t="shared" si="283"/>
        <v>-1840</v>
      </c>
      <c r="H114" s="32"/>
      <c r="I114" s="146">
        <f t="shared" ref="I114:L114" si="284">SUM(I112:I113)</f>
        <v>0</v>
      </c>
      <c r="J114" s="146">
        <f t="shared" si="284"/>
        <v>0</v>
      </c>
      <c r="K114" s="146">
        <f t="shared" si="284"/>
        <v>0</v>
      </c>
      <c r="L114" s="146">
        <f t="shared" si="284"/>
        <v>0</v>
      </c>
      <c r="M114" s="146">
        <f t="shared" ref="M114:P114" si="285">SUM(M112:M113)</f>
        <v>0</v>
      </c>
      <c r="N114" s="146">
        <f t="shared" ref="N114" si="286">SUM(N112:N113)</f>
        <v>-100</v>
      </c>
      <c r="O114" s="146">
        <f t="shared" si="285"/>
        <v>-279</v>
      </c>
      <c r="P114" s="146">
        <f t="shared" si="285"/>
        <v>-403</v>
      </c>
      <c r="Q114" s="146">
        <f t="shared" ref="Q114:AA114" si="287">SUM(Q112:Q113)</f>
        <v>-371</v>
      </c>
      <c r="R114" s="146">
        <f t="shared" si="287"/>
        <v>-352</v>
      </c>
      <c r="S114" s="146">
        <f t="shared" si="287"/>
        <v>-325</v>
      </c>
      <c r="T114" s="146">
        <f t="shared" si="287"/>
        <v>-252</v>
      </c>
      <c r="U114" s="146">
        <f t="shared" si="287"/>
        <v>-155</v>
      </c>
      <c r="V114" s="146">
        <f t="shared" si="287"/>
        <v>-50</v>
      </c>
      <c r="W114" s="146">
        <f t="shared" si="287"/>
        <v>85</v>
      </c>
      <c r="X114" s="146">
        <f t="shared" si="287"/>
        <v>234</v>
      </c>
      <c r="Y114" s="146">
        <f t="shared" si="287"/>
        <v>313</v>
      </c>
      <c r="Z114" s="146">
        <f t="shared" si="287"/>
        <v>530</v>
      </c>
      <c r="AA114" s="146">
        <f t="shared" si="287"/>
        <v>858</v>
      </c>
      <c r="AB114" s="32"/>
      <c r="AC114" s="133">
        <f t="shared" ref="AC114:AJ114" si="288">SUM(AC112:AC113)</f>
        <v>0</v>
      </c>
      <c r="AD114" s="133">
        <f t="shared" si="288"/>
        <v>-352</v>
      </c>
      <c r="AE114" s="133">
        <f t="shared" si="288"/>
        <v>-325</v>
      </c>
      <c r="AF114" s="146">
        <f t="shared" si="288"/>
        <v>-252</v>
      </c>
      <c r="AG114" s="146">
        <f t="shared" si="288"/>
        <v>-155</v>
      </c>
      <c r="AH114" s="146">
        <f t="shared" si="288"/>
        <v>-50</v>
      </c>
      <c r="AI114" s="146">
        <f t="shared" si="288"/>
        <v>85</v>
      </c>
      <c r="AJ114" s="147">
        <f t="shared" si="288"/>
        <v>234</v>
      </c>
      <c r="AK114" s="11"/>
      <c r="AL114" s="45"/>
    </row>
    <row r="115" spans="2:38" ht="5.0999999999999996" customHeight="1">
      <c r="B115" s="137"/>
      <c r="C115" s="71"/>
      <c r="D115" s="71"/>
      <c r="E115" s="71"/>
      <c r="F115" s="71"/>
      <c r="G115" s="71"/>
      <c r="H115" s="32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32"/>
      <c r="AC115" s="71"/>
      <c r="AD115" s="71"/>
      <c r="AE115" s="71"/>
      <c r="AF115" s="71"/>
      <c r="AG115" s="71"/>
      <c r="AH115" s="71"/>
      <c r="AI115" s="71"/>
      <c r="AJ115" s="135"/>
      <c r="AK115" s="11"/>
      <c r="AL115" s="45"/>
    </row>
    <row r="116" spans="2:38">
      <c r="B116" s="130" t="s">
        <v>82</v>
      </c>
      <c r="C116" s="82"/>
      <c r="D116" s="82"/>
      <c r="E116" s="82"/>
      <c r="F116" s="82"/>
      <c r="G116" s="82"/>
      <c r="H116" s="32"/>
      <c r="I116" s="82"/>
      <c r="J116" s="82"/>
      <c r="K116" s="82"/>
      <c r="L116" s="82"/>
      <c r="M116" s="82"/>
      <c r="N116" s="82"/>
      <c r="O116" s="82"/>
      <c r="P116" s="32">
        <f t="shared" ref="P116" si="289">SUM(E115-SUM(M116:O116))</f>
        <v>0</v>
      </c>
      <c r="Q116" s="82"/>
      <c r="R116" s="82"/>
      <c r="S116" s="82"/>
      <c r="T116" s="32">
        <f>SUM(F116-SUM(Q116:S116))</f>
        <v>0</v>
      </c>
      <c r="U116" s="82"/>
      <c r="V116" s="82"/>
      <c r="W116" s="82"/>
      <c r="X116" s="32">
        <f>SUM(G116-SUM(U116:W116))</f>
        <v>0</v>
      </c>
      <c r="Y116" s="82"/>
      <c r="Z116" s="82"/>
      <c r="AA116" s="82"/>
      <c r="AB116" s="32"/>
      <c r="AC116" s="32">
        <f>SUM(Q116:T116)</f>
        <v>0</v>
      </c>
      <c r="AD116" s="32">
        <f>SUM(R116:U116)</f>
        <v>0</v>
      </c>
      <c r="AE116" s="32">
        <f>SUM(S116:V116)</f>
        <v>0</v>
      </c>
      <c r="AF116" s="32">
        <f>SUM(T116:W116)</f>
        <v>0</v>
      </c>
      <c r="AG116" s="32">
        <f>SUM(U116:X116)</f>
        <v>0</v>
      </c>
      <c r="AH116" s="32">
        <f>SUM(V116:Y116)</f>
        <v>0</v>
      </c>
      <c r="AI116" s="32">
        <f>SUM(W116:Z116)</f>
        <v>0</v>
      </c>
      <c r="AJ116" s="134">
        <f>SUM(X116:AA116)</f>
        <v>0</v>
      </c>
      <c r="AK116" s="11"/>
      <c r="AL116" s="45"/>
    </row>
    <row r="117" spans="2:38">
      <c r="B117" s="130" t="s">
        <v>92</v>
      </c>
      <c r="C117" s="82"/>
      <c r="D117" s="82"/>
      <c r="E117" s="82"/>
      <c r="F117" s="82"/>
      <c r="G117" s="82"/>
      <c r="H117" s="32"/>
      <c r="I117" s="82"/>
      <c r="J117" s="82"/>
      <c r="K117" s="82"/>
      <c r="L117" s="82"/>
      <c r="M117" s="82"/>
      <c r="N117" s="82"/>
      <c r="O117" s="82"/>
      <c r="P117" s="32">
        <f>E117</f>
        <v>0</v>
      </c>
      <c r="Q117" s="82"/>
      <c r="R117" s="82"/>
      <c r="S117" s="82"/>
      <c r="T117" s="32">
        <f>F117</f>
        <v>0</v>
      </c>
      <c r="U117" s="82"/>
      <c r="V117" s="82"/>
      <c r="W117" s="82"/>
      <c r="X117" s="32">
        <f>G117</f>
        <v>0</v>
      </c>
      <c r="Y117" s="82"/>
      <c r="Z117" s="82"/>
      <c r="AA117" s="82"/>
      <c r="AB117" s="32"/>
      <c r="AC117" s="32">
        <f t="shared" ref="AC117:AJ117" si="290">T117</f>
        <v>0</v>
      </c>
      <c r="AD117" s="32">
        <f t="shared" si="290"/>
        <v>0</v>
      </c>
      <c r="AE117" s="32">
        <f t="shared" si="290"/>
        <v>0</v>
      </c>
      <c r="AF117" s="32">
        <f t="shared" si="290"/>
        <v>0</v>
      </c>
      <c r="AG117" s="32">
        <f t="shared" si="290"/>
        <v>0</v>
      </c>
      <c r="AH117" s="32">
        <f t="shared" si="290"/>
        <v>0</v>
      </c>
      <c r="AI117" s="32">
        <f t="shared" si="290"/>
        <v>0</v>
      </c>
      <c r="AJ117" s="134">
        <f t="shared" si="290"/>
        <v>0</v>
      </c>
      <c r="AK117" s="11"/>
      <c r="AL117" s="45"/>
    </row>
    <row r="118" spans="2:38">
      <c r="B118" s="130" t="s">
        <v>59</v>
      </c>
      <c r="C118" s="32">
        <f t="shared" ref="C118:G118" si="291">+C110+C104+C97</f>
        <v>-1166</v>
      </c>
      <c r="D118" s="32">
        <f t="shared" si="291"/>
        <v>-520</v>
      </c>
      <c r="E118" s="32">
        <f t="shared" si="291"/>
        <v>-372</v>
      </c>
      <c r="F118" s="32">
        <f t="shared" si="291"/>
        <v>218</v>
      </c>
      <c r="G118" s="32">
        <f t="shared" si="291"/>
        <v>469</v>
      </c>
      <c r="H118" s="32"/>
      <c r="I118" s="32">
        <f t="shared" ref="I118:L118" si="292">+I110+I104+I97</f>
        <v>-124</v>
      </c>
      <c r="J118" s="32">
        <f t="shared" si="292"/>
        <v>-138</v>
      </c>
      <c r="K118" s="32">
        <f t="shared" si="292"/>
        <v>-102</v>
      </c>
      <c r="L118" s="32">
        <f t="shared" si="292"/>
        <v>-157</v>
      </c>
      <c r="M118" s="32">
        <f t="shared" ref="M118:P118" si="293">+M110+M104+M97</f>
        <v>-100</v>
      </c>
      <c r="N118" s="32">
        <f t="shared" ref="N118" si="294">+N110+N104+N97</f>
        <v>-179</v>
      </c>
      <c r="O118" s="32">
        <f t="shared" si="293"/>
        <v>-124</v>
      </c>
      <c r="P118" s="32">
        <f t="shared" si="293"/>
        <v>32</v>
      </c>
      <c r="Q118" s="32">
        <f t="shared" ref="Q118:AA118" si="295">+Q110+Q104+Q97</f>
        <v>19</v>
      </c>
      <c r="R118" s="32">
        <f t="shared" si="295"/>
        <v>27</v>
      </c>
      <c r="S118" s="32">
        <f t="shared" si="295"/>
        <v>73</v>
      </c>
      <c r="T118" s="32">
        <f t="shared" si="295"/>
        <v>97</v>
      </c>
      <c r="U118" s="32">
        <f t="shared" si="295"/>
        <v>105</v>
      </c>
      <c r="V118" s="32">
        <f t="shared" si="295"/>
        <v>135</v>
      </c>
      <c r="W118" s="32">
        <f t="shared" si="295"/>
        <v>149</v>
      </c>
      <c r="X118" s="32">
        <f t="shared" si="295"/>
        <v>79</v>
      </c>
      <c r="Y118" s="32">
        <f t="shared" si="295"/>
        <v>217</v>
      </c>
      <c r="Z118" s="32">
        <f t="shared" si="295"/>
        <v>328</v>
      </c>
      <c r="AA118" s="32">
        <f t="shared" si="295"/>
        <v>476</v>
      </c>
      <c r="AB118" s="32"/>
      <c r="AC118" s="32">
        <f>SUM(Q118:T118)</f>
        <v>216</v>
      </c>
      <c r="AD118" s="32">
        <f>SUM(R118:U118)</f>
        <v>302</v>
      </c>
      <c r="AE118" s="32">
        <f>SUM(S118:V118)</f>
        <v>410</v>
      </c>
      <c r="AF118" s="32">
        <f>SUM(T118:W118)</f>
        <v>486</v>
      </c>
      <c r="AG118" s="32">
        <f>SUM(U118:X118)</f>
        <v>468</v>
      </c>
      <c r="AH118" s="32">
        <f>SUM(V118:Y118)</f>
        <v>580</v>
      </c>
      <c r="AI118" s="32">
        <f>SUM(W118:Z118)</f>
        <v>773</v>
      </c>
      <c r="AJ118" s="134">
        <f>SUM(X118:AA118)</f>
        <v>1100</v>
      </c>
      <c r="AK118" s="11"/>
      <c r="AL118" s="45"/>
    </row>
    <row r="119" spans="2:38">
      <c r="B119" s="89" t="s">
        <v>69</v>
      </c>
      <c r="C119" s="146">
        <f t="shared" ref="C119:G119" si="296">SUM(C114:C118)</f>
        <v>-1166</v>
      </c>
      <c r="D119" s="146">
        <f t="shared" si="296"/>
        <v>-1686</v>
      </c>
      <c r="E119" s="146">
        <f t="shared" si="296"/>
        <v>-2058</v>
      </c>
      <c r="F119" s="146">
        <f t="shared" si="296"/>
        <v>-1840</v>
      </c>
      <c r="G119" s="146">
        <f t="shared" si="296"/>
        <v>-1371</v>
      </c>
      <c r="H119" s="32"/>
      <c r="I119" s="146">
        <f t="shared" ref="I119:L119" si="297">SUM(I114:I118)</f>
        <v>-124</v>
      </c>
      <c r="J119" s="146">
        <f t="shared" si="297"/>
        <v>-138</v>
      </c>
      <c r="K119" s="146">
        <f t="shared" si="297"/>
        <v>-102</v>
      </c>
      <c r="L119" s="146">
        <f t="shared" si="297"/>
        <v>-157</v>
      </c>
      <c r="M119" s="146">
        <f t="shared" ref="M119:P119" si="298">SUM(M114:M118)</f>
        <v>-100</v>
      </c>
      <c r="N119" s="146">
        <f t="shared" ref="N119" si="299">SUM(N114:N118)</f>
        <v>-279</v>
      </c>
      <c r="O119" s="146">
        <f t="shared" si="298"/>
        <v>-403</v>
      </c>
      <c r="P119" s="146">
        <f t="shared" si="298"/>
        <v>-371</v>
      </c>
      <c r="Q119" s="146">
        <f t="shared" ref="Q119:AA119" si="300">SUM(Q114:Q118)</f>
        <v>-352</v>
      </c>
      <c r="R119" s="146">
        <f t="shared" si="300"/>
        <v>-325</v>
      </c>
      <c r="S119" s="146">
        <f t="shared" si="300"/>
        <v>-252</v>
      </c>
      <c r="T119" s="146">
        <f t="shared" si="300"/>
        <v>-155</v>
      </c>
      <c r="U119" s="146">
        <f t="shared" si="300"/>
        <v>-50</v>
      </c>
      <c r="V119" s="146">
        <f t="shared" si="300"/>
        <v>85</v>
      </c>
      <c r="W119" s="146">
        <f t="shared" si="300"/>
        <v>234</v>
      </c>
      <c r="X119" s="146">
        <f t="shared" si="300"/>
        <v>313</v>
      </c>
      <c r="Y119" s="146">
        <f t="shared" si="300"/>
        <v>530</v>
      </c>
      <c r="Z119" s="146">
        <f t="shared" si="300"/>
        <v>858</v>
      </c>
      <c r="AA119" s="146">
        <f t="shared" si="300"/>
        <v>1334</v>
      </c>
      <c r="AB119" s="32"/>
      <c r="AC119" s="133">
        <f t="shared" ref="AC119:AJ119" si="301">SUM(AC114:AC118)</f>
        <v>216</v>
      </c>
      <c r="AD119" s="133">
        <f t="shared" si="301"/>
        <v>-50</v>
      </c>
      <c r="AE119" s="133">
        <f t="shared" si="301"/>
        <v>85</v>
      </c>
      <c r="AF119" s="146">
        <f t="shared" si="301"/>
        <v>234</v>
      </c>
      <c r="AG119" s="146">
        <f t="shared" si="301"/>
        <v>313</v>
      </c>
      <c r="AH119" s="146">
        <f t="shared" si="301"/>
        <v>530</v>
      </c>
      <c r="AI119" s="146">
        <f t="shared" si="301"/>
        <v>858</v>
      </c>
      <c r="AJ119" s="147">
        <f t="shared" si="301"/>
        <v>1334</v>
      </c>
      <c r="AK119" s="11"/>
      <c r="AL119" s="45"/>
    </row>
    <row r="120" spans="2:38" ht="5.0999999999999996" customHeight="1">
      <c r="B120" s="90"/>
      <c r="C120" s="65"/>
      <c r="D120" s="65"/>
      <c r="E120" s="65"/>
      <c r="F120" s="65"/>
      <c r="G120" s="65"/>
      <c r="H120" s="32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C120" s="11"/>
      <c r="AD120" s="11"/>
      <c r="AE120" s="11"/>
      <c r="AF120" s="11"/>
      <c r="AG120" s="11"/>
      <c r="AH120" s="11"/>
      <c r="AI120" s="11"/>
      <c r="AJ120" s="91"/>
      <c r="AK120" s="11"/>
      <c r="AL120" s="45"/>
    </row>
    <row r="121" spans="2:38">
      <c r="B121" s="138" t="s">
        <v>85</v>
      </c>
      <c r="C121" s="87">
        <f>ROUND(C119-C43,1)</f>
        <v>-3177</v>
      </c>
      <c r="D121" s="87">
        <f>ROUND(D119-D43,1)</f>
        <v>-3977</v>
      </c>
      <c r="E121" s="87">
        <f>ROUND(E119-E43,1)</f>
        <v>-4657</v>
      </c>
      <c r="F121" s="87">
        <f>ROUND(F119-F43,1)</f>
        <v>-2671</v>
      </c>
      <c r="G121" s="87">
        <f>ROUND(G119-G43,1)</f>
        <v>-3470</v>
      </c>
      <c r="H121" s="88"/>
      <c r="I121" s="87">
        <f>I119-I43</f>
        <v>-2463</v>
      </c>
      <c r="J121" s="87">
        <f>J119-J43</f>
        <v>-2479</v>
      </c>
      <c r="K121" s="87">
        <f>K119-K43</f>
        <v>-2437</v>
      </c>
      <c r="L121" s="87">
        <f>L119-L43</f>
        <v>-2448</v>
      </c>
      <c r="M121" s="87">
        <f>M119-M43</f>
        <v>-2369</v>
      </c>
      <c r="N121" s="87">
        <f>N119-N43</f>
        <v>-2637</v>
      </c>
      <c r="O121" s="87">
        <f>O119-O43</f>
        <v>-2814</v>
      </c>
      <c r="P121" s="87">
        <f>P119-P43</f>
        <v>-2970</v>
      </c>
      <c r="Q121" s="87">
        <f>Q119-Q43</f>
        <v>-1617</v>
      </c>
      <c r="R121" s="87">
        <f>R119-R43</f>
        <v>-1381</v>
      </c>
      <c r="S121" s="87">
        <f>S119-S43</f>
        <v>-1292</v>
      </c>
      <c r="T121" s="87">
        <f>T119-T43</f>
        <v>-986</v>
      </c>
      <c r="U121" s="87">
        <f>U119-U43</f>
        <v>-1043</v>
      </c>
      <c r="V121" s="87">
        <f>V119-V43</f>
        <v>-428</v>
      </c>
      <c r="W121" s="87">
        <f>W119-W43</f>
        <v>-535</v>
      </c>
      <c r="X121" s="87">
        <f>X119-X43</f>
        <v>-1786</v>
      </c>
      <c r="Y121" s="87">
        <f>Y119-Y43</f>
        <v>-463</v>
      </c>
      <c r="Z121" s="87">
        <f>Z119-Z43</f>
        <v>-72</v>
      </c>
      <c r="AA121" s="87">
        <f>AA119-AA43</f>
        <v>-282</v>
      </c>
      <c r="AB121" s="87"/>
      <c r="AC121" s="87">
        <f>AC119-AC43</f>
        <v>-615</v>
      </c>
      <c r="AD121" s="87">
        <f>AD119-AD43</f>
        <v>-1043</v>
      </c>
      <c r="AE121" s="87">
        <f>AE119-AE43</f>
        <v>-428</v>
      </c>
      <c r="AF121" s="87">
        <f>AF119-AF43</f>
        <v>-535</v>
      </c>
      <c r="AG121" s="87">
        <f>AG119-AG43</f>
        <v>-1786</v>
      </c>
      <c r="AH121" s="87">
        <f>AH119-AH43</f>
        <v>-463</v>
      </c>
      <c r="AI121" s="87">
        <f>AI119-AI43</f>
        <v>-72</v>
      </c>
      <c r="AJ121" s="136">
        <f>AJ119-AJ43</f>
        <v>-282</v>
      </c>
      <c r="AK121" s="11"/>
      <c r="AL121" s="45"/>
    </row>
    <row r="122" spans="2:38" ht="5.0999999999999996" customHeight="1">
      <c r="B122" s="8"/>
      <c r="C122" s="65"/>
      <c r="D122" s="65"/>
      <c r="E122" s="65"/>
      <c r="F122" s="65"/>
      <c r="G122" s="65"/>
      <c r="H122" s="32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C122" s="11"/>
      <c r="AD122" s="11"/>
      <c r="AE122" s="11"/>
      <c r="AF122" s="11"/>
      <c r="AG122" s="11"/>
      <c r="AH122" s="11"/>
      <c r="AI122" s="11"/>
      <c r="AJ122" s="11"/>
      <c r="AK122" s="11"/>
      <c r="AL122" s="45"/>
    </row>
    <row r="123" spans="2:38" ht="12.75" customHeight="1">
      <c r="B123" s="72" t="s">
        <v>60</v>
      </c>
      <c r="C123" s="62"/>
      <c r="D123" s="62"/>
      <c r="E123" s="62"/>
      <c r="F123" s="62"/>
      <c r="G123" s="62"/>
      <c r="H123" s="11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82"/>
      <c r="Z123" s="62"/>
      <c r="AA123" s="62"/>
      <c r="AC123" s="62"/>
      <c r="AD123" s="62"/>
      <c r="AE123" s="62"/>
      <c r="AF123" s="62"/>
      <c r="AG123" s="62"/>
      <c r="AH123" s="62"/>
      <c r="AI123" s="62"/>
      <c r="AJ123" s="62"/>
      <c r="AK123" s="66"/>
      <c r="AL123" s="45"/>
    </row>
    <row r="124" spans="2:38" ht="12.75" customHeight="1">
      <c r="B124" s="8" t="s">
        <v>93</v>
      </c>
      <c r="C124" s="82"/>
      <c r="D124" s="82"/>
      <c r="E124" s="82"/>
      <c r="F124" s="82"/>
      <c r="G124" s="82"/>
      <c r="H124" s="11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32">
        <f>SUM(F124-SUM(Q124:S124))</f>
        <v>0</v>
      </c>
      <c r="U124" s="82"/>
      <c r="V124" s="82"/>
      <c r="W124" s="82"/>
      <c r="X124" s="32">
        <f>SUM(G124-SUM(U124:W124))</f>
        <v>0</v>
      </c>
      <c r="Y124" s="82"/>
      <c r="Z124" s="82"/>
      <c r="AA124" s="82"/>
      <c r="AC124" s="32">
        <f>SUM(Q124:T124)</f>
        <v>0</v>
      </c>
      <c r="AD124" s="32">
        <f>SUM(R124:U124)</f>
        <v>0</v>
      </c>
      <c r="AE124" s="32">
        <f>SUM(S124:V124)</f>
        <v>0</v>
      </c>
      <c r="AF124" s="32">
        <f>SUM(T124:W124)</f>
        <v>0</v>
      </c>
      <c r="AG124" s="32">
        <f>SUM(U124:X124)</f>
        <v>0</v>
      </c>
      <c r="AH124" s="32">
        <f>SUM(V124:Y124)</f>
        <v>0</v>
      </c>
      <c r="AI124" s="32">
        <f>SUM(W124:Z124)</f>
        <v>0</v>
      </c>
      <c r="AJ124" s="32">
        <f>SUM(X124:AA124)</f>
        <v>0</v>
      </c>
      <c r="AK124" s="66"/>
      <c r="AL124" s="45"/>
    </row>
    <row r="125" spans="2:38" ht="12.75" customHeight="1">
      <c r="B125" s="8" t="s">
        <v>108</v>
      </c>
      <c r="C125" s="82"/>
      <c r="D125" s="82"/>
      <c r="E125" s="82"/>
      <c r="F125" s="82"/>
      <c r="G125" s="82"/>
      <c r="H125" s="3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32">
        <f>SUM(F125-SUM(Q125:S125))</f>
        <v>0</v>
      </c>
      <c r="U125" s="82"/>
      <c r="V125" s="82"/>
      <c r="W125" s="82"/>
      <c r="X125" s="32">
        <f>SUM(G125-SUM(U125:W125))</f>
        <v>0</v>
      </c>
      <c r="Y125" s="82"/>
      <c r="Z125" s="82"/>
      <c r="AA125" s="82"/>
      <c r="AB125" s="32"/>
      <c r="AC125" s="32">
        <f>SUM(Q125:T125)</f>
        <v>0</v>
      </c>
      <c r="AD125" s="32">
        <f>SUM(R125:U125)</f>
        <v>0</v>
      </c>
      <c r="AE125" s="32">
        <f>SUM(S125:V125)</f>
        <v>0</v>
      </c>
      <c r="AF125" s="32">
        <f>SUM(T125:W125)</f>
        <v>0</v>
      </c>
      <c r="AG125" s="32">
        <f>SUM(U125:X125)</f>
        <v>0</v>
      </c>
      <c r="AH125" s="32">
        <f>SUM(V125:Y125)</f>
        <v>0</v>
      </c>
      <c r="AI125" s="32">
        <f>SUM(W125:Z125)</f>
        <v>0</v>
      </c>
      <c r="AJ125" s="32">
        <f>SUM(X125:AA125)</f>
        <v>0</v>
      </c>
      <c r="AK125" s="11"/>
      <c r="AL125" s="45"/>
    </row>
    <row r="126" spans="2:38" ht="5.0999999999999996" customHeight="1" thickBot="1">
      <c r="B126" s="73"/>
      <c r="C126" s="74"/>
      <c r="D126" s="74"/>
      <c r="E126" s="74"/>
      <c r="F126" s="74"/>
      <c r="G126" s="74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L126" s="45"/>
    </row>
    <row r="127" spans="2:38" ht="12.75" customHeight="1">
      <c r="B127" s="53"/>
      <c r="C127" s="67"/>
      <c r="D127" s="67"/>
      <c r="E127" s="67"/>
      <c r="F127" s="67"/>
      <c r="G127" s="67"/>
    </row>
    <row r="128" spans="2:38" ht="12.75" customHeight="1">
      <c r="C128" s="56"/>
      <c r="D128" s="56"/>
      <c r="E128" s="56"/>
      <c r="F128" s="56"/>
      <c r="G128" s="56"/>
    </row>
    <row r="129" spans="3:22" ht="12.75" customHeight="1"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</row>
    <row r="130" spans="3:22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</row>
    <row r="131" spans="3:22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</row>
    <row r="132" spans="3:22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</row>
    <row r="133" spans="3:22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86"/>
    </row>
    <row r="134" spans="3:22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</row>
    <row r="135" spans="3:22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86"/>
    </row>
    <row r="136" spans="3:22"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86"/>
    </row>
    <row r="137" spans="3:22"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86"/>
    </row>
    <row r="138" spans="3:22"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</row>
    <row r="139" spans="3:22"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86"/>
    </row>
    <row r="140" spans="3:22"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86"/>
    </row>
    <row r="141" spans="3:22"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</row>
    <row r="142" spans="3:22"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</row>
  </sheetData>
  <mergeCells count="3">
    <mergeCell ref="AL6:AL8"/>
    <mergeCell ref="AL38:AL40"/>
    <mergeCell ref="AL83:AL85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48 AC21:AG22 AC26:AJ27 AC10:AJ13" formulaRange="1"/>
    <ignoredError sqref="D21:G22 Q21:AA22 Q26:AA26 D26:G26 AJ104:AL106 AJ97:AL98 AK103 AJ99:AK99 AK107:AL107 M29:AJ31 M33:AJ34 M32:O32 Q32:AJ32 M36:AJ36 M35:O35 Q35:S35 Y35:AJ35 C29:H31 H28 AB28 C33:H36 D32:F32 H32" evalError="1"/>
    <ignoredError sqref="AC117:AJ117 AC116:AJ116" formula="1"/>
    <ignoredError sqref="AC28:AJ28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L28"/>
  <sheetViews>
    <sheetView showGridLines="0" zoomScaleNormal="100" workbookViewId="0">
      <selection activeCell="D24" sqref="D24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3" width="8.75" style="8" customWidth="1" outlineLevel="1"/>
    <col min="34" max="34" width="8.75" style="8" customWidth="1"/>
    <col min="35" max="37" width="8.75" style="8" customWidth="1" outlineLevel="1"/>
    <col min="38" max="38" width="8.75" style="8" customWidth="1"/>
    <col min="39" max="16384" width="9" style="8"/>
  </cols>
  <sheetData>
    <row r="2" spans="1:38" s="5" customFormat="1" ht="12.75" customHeight="1">
      <c r="B2" s="1" t="str">
        <f>'Historical Financials'!B2</f>
        <v>Palantir Technologies Inc (NASDAQ: PLTR)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 t="shared" ref="AC3:AK4" si="0">R3</f>
        <v>2Q23</v>
      </c>
      <c r="AD3" s="4" t="str">
        <f t="shared" si="0"/>
        <v>3Q23</v>
      </c>
      <c r="AE3" s="4" t="str">
        <f t="shared" si="0"/>
        <v>4Q23</v>
      </c>
      <c r="AF3" s="4" t="str">
        <f t="shared" si="0"/>
        <v>1Q24</v>
      </c>
      <c r="AG3" s="4" t="str">
        <f t="shared" si="0"/>
        <v>2Q24</v>
      </c>
      <c r="AH3" s="4" t="str">
        <f t="shared" si="0"/>
        <v>3Q24</v>
      </c>
      <c r="AI3" s="4" t="str">
        <f t="shared" si="0"/>
        <v>4Q24</v>
      </c>
      <c r="AJ3" s="4" t="str">
        <f t="shared" si="0"/>
        <v>1Q25</v>
      </c>
      <c r="AK3" s="4" t="str">
        <f t="shared" si="0"/>
        <v>2Q25</v>
      </c>
      <c r="AL3" s="4" t="str">
        <f>AA3</f>
        <v>3Q25</v>
      </c>
    </row>
    <row r="4" spans="1:38" s="5" customFormat="1" ht="12.75" customHeight="1">
      <c r="B4" s="6" t="s">
        <v>157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/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/>
      <c r="AC4" s="3">
        <f t="shared" si="0"/>
        <v>0</v>
      </c>
      <c r="AD4" s="3">
        <f t="shared" si="0"/>
        <v>0</v>
      </c>
      <c r="AE4" s="3">
        <f t="shared" si="0"/>
        <v>0</v>
      </c>
      <c r="AF4" s="3">
        <f t="shared" si="0"/>
        <v>0</v>
      </c>
      <c r="AG4" s="3">
        <f t="shared" si="0"/>
        <v>0</v>
      </c>
      <c r="AH4" s="3">
        <f t="shared" si="0"/>
        <v>0</v>
      </c>
      <c r="AI4" s="3">
        <f t="shared" si="0"/>
        <v>0</v>
      </c>
      <c r="AJ4" s="3">
        <f t="shared" si="0"/>
        <v>0</v>
      </c>
      <c r="AK4" s="3">
        <f t="shared" si="0"/>
        <v>0</v>
      </c>
      <c r="AL4" s="3">
        <f>AA4</f>
        <v>0</v>
      </c>
    </row>
    <row r="5" spans="1:38" ht="5.0999999999999996" customHeight="1"/>
    <row r="6" spans="1:38">
      <c r="A6" s="36" t="s">
        <v>16</v>
      </c>
      <c r="B6" s="1" t="s">
        <v>158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5.0999999999999996" customHeight="1"/>
    <row r="8" spans="1:38" ht="12.75" customHeight="1">
      <c r="A8" s="80" t="s">
        <v>16</v>
      </c>
      <c r="B8" s="78" t="s">
        <v>159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ht="12.75" customHeight="1">
      <c r="A9" s="80"/>
      <c r="B9" s="9" t="s">
        <v>181</v>
      </c>
      <c r="C9" s="81">
        <v>610</v>
      </c>
      <c r="D9" s="81">
        <v>897</v>
      </c>
      <c r="E9" s="81">
        <v>1072</v>
      </c>
      <c r="F9" s="81">
        <v>1222</v>
      </c>
      <c r="G9" s="81">
        <v>1570</v>
      </c>
      <c r="H9" s="10"/>
      <c r="I9" s="81">
        <v>208</v>
      </c>
      <c r="J9" s="81">
        <v>232</v>
      </c>
      <c r="K9" s="81">
        <v>218</v>
      </c>
      <c r="L9" s="32">
        <f t="shared" ref="L9:L10" si="1">SUM(D9-SUM(I9:K9))</f>
        <v>239</v>
      </c>
      <c r="M9" s="81">
        <v>242</v>
      </c>
      <c r="N9" s="81">
        <v>263</v>
      </c>
      <c r="O9" s="81">
        <v>274</v>
      </c>
      <c r="P9" s="32">
        <f t="shared" ref="P9:P10" si="2">SUM(E9-SUM(M9:O9))</f>
        <v>293</v>
      </c>
      <c r="Q9" s="81">
        <v>289</v>
      </c>
      <c r="R9" s="81">
        <v>302</v>
      </c>
      <c r="S9" s="81">
        <v>308</v>
      </c>
      <c r="T9" s="32">
        <f t="shared" ref="T9:T10" si="3">SUM(F9-SUM(Q9:S9))</f>
        <v>323</v>
      </c>
      <c r="U9" s="81">
        <v>335</v>
      </c>
      <c r="V9" s="81">
        <v>371</v>
      </c>
      <c r="W9" s="81">
        <v>408</v>
      </c>
      <c r="X9" s="32">
        <f t="shared" ref="X9:X10" si="4">SUM(G9-SUM(U9:W9))</f>
        <v>456</v>
      </c>
      <c r="Y9" s="81">
        <v>487</v>
      </c>
      <c r="Z9" s="81">
        <v>553</v>
      </c>
      <c r="AA9" s="81">
        <v>633</v>
      </c>
      <c r="AB9" s="5"/>
      <c r="AC9" s="32">
        <f t="shared" ref="AC9:AK10" si="5">SUM(O9:R9)</f>
        <v>1158</v>
      </c>
      <c r="AD9" s="32">
        <f t="shared" si="5"/>
        <v>1192</v>
      </c>
      <c r="AE9" s="32">
        <f t="shared" si="5"/>
        <v>1222</v>
      </c>
      <c r="AF9" s="32">
        <f t="shared" si="5"/>
        <v>1268</v>
      </c>
      <c r="AG9" s="32">
        <f t="shared" si="5"/>
        <v>1337</v>
      </c>
      <c r="AH9" s="32">
        <f t="shared" si="5"/>
        <v>1437</v>
      </c>
      <c r="AI9" s="32">
        <f t="shared" si="5"/>
        <v>1570</v>
      </c>
      <c r="AJ9" s="32">
        <f t="shared" si="5"/>
        <v>1722</v>
      </c>
      <c r="AK9" s="32">
        <f t="shared" si="5"/>
        <v>1904</v>
      </c>
      <c r="AL9" s="32">
        <f>SUM(X9:AA9)</f>
        <v>2129</v>
      </c>
    </row>
    <row r="10" spans="1:38">
      <c r="B10" s="9" t="s">
        <v>182</v>
      </c>
      <c r="C10" s="81">
        <v>482</v>
      </c>
      <c r="D10" s="81">
        <v>645</v>
      </c>
      <c r="E10" s="81">
        <v>834</v>
      </c>
      <c r="F10" s="81">
        <v>1003</v>
      </c>
      <c r="G10" s="81">
        <v>1296</v>
      </c>
      <c r="H10" s="81"/>
      <c r="I10" s="95">
        <v>133</v>
      </c>
      <c r="J10" s="95">
        <v>144</v>
      </c>
      <c r="K10" s="95">
        <v>174</v>
      </c>
      <c r="L10" s="32">
        <f t="shared" si="1"/>
        <v>194</v>
      </c>
      <c r="M10" s="95">
        <v>205</v>
      </c>
      <c r="N10" s="95">
        <v>210</v>
      </c>
      <c r="O10" s="95">
        <v>204</v>
      </c>
      <c r="P10" s="32">
        <f t="shared" si="2"/>
        <v>215</v>
      </c>
      <c r="Q10" s="95">
        <v>236</v>
      </c>
      <c r="R10" s="95">
        <v>232</v>
      </c>
      <c r="S10" s="95">
        <v>251</v>
      </c>
      <c r="T10" s="32">
        <f t="shared" si="3"/>
        <v>284</v>
      </c>
      <c r="U10" s="95">
        <v>299</v>
      </c>
      <c r="V10" s="95">
        <v>307</v>
      </c>
      <c r="W10" s="95">
        <v>317</v>
      </c>
      <c r="X10" s="32">
        <f t="shared" si="4"/>
        <v>373</v>
      </c>
      <c r="Y10" s="82">
        <v>397</v>
      </c>
      <c r="Z10" s="82">
        <v>451</v>
      </c>
      <c r="AA10" s="81">
        <v>548</v>
      </c>
      <c r="AB10" s="5"/>
      <c r="AC10" s="32">
        <f t="shared" si="5"/>
        <v>887</v>
      </c>
      <c r="AD10" s="32">
        <f t="shared" si="5"/>
        <v>934</v>
      </c>
      <c r="AE10" s="32">
        <f t="shared" si="5"/>
        <v>1003</v>
      </c>
      <c r="AF10" s="32">
        <f t="shared" si="5"/>
        <v>1066</v>
      </c>
      <c r="AG10" s="32">
        <f t="shared" si="5"/>
        <v>1141</v>
      </c>
      <c r="AH10" s="32">
        <f t="shared" si="5"/>
        <v>1207</v>
      </c>
      <c r="AI10" s="32">
        <f t="shared" si="5"/>
        <v>1296</v>
      </c>
      <c r="AJ10" s="32">
        <f t="shared" si="5"/>
        <v>1394</v>
      </c>
      <c r="AK10" s="32">
        <f t="shared" si="5"/>
        <v>1538</v>
      </c>
      <c r="AL10" s="32">
        <f>SUM(X10:AA10)</f>
        <v>1769</v>
      </c>
    </row>
    <row r="11" spans="1:38">
      <c r="B11" s="13" t="s">
        <v>65</v>
      </c>
      <c r="C11" s="14">
        <f>SUM(C9:C10)</f>
        <v>1092</v>
      </c>
      <c r="D11" s="14">
        <f>SUM(D9:D10)</f>
        <v>1542</v>
      </c>
      <c r="E11" s="14">
        <f>SUM(E9:E10)</f>
        <v>1906</v>
      </c>
      <c r="F11" s="14">
        <f>SUM(F9:F10)</f>
        <v>2225</v>
      </c>
      <c r="G11" s="14">
        <f>SUM(G9:G10)</f>
        <v>2866</v>
      </c>
      <c r="H11" s="11"/>
      <c r="I11" s="14">
        <f t="shared" ref="I11" si="6">SUM(I9:I10)</f>
        <v>341</v>
      </c>
      <c r="J11" s="14">
        <f t="shared" ref="J11:L11" si="7">SUM(J9:J10)</f>
        <v>376</v>
      </c>
      <c r="K11" s="14">
        <f t="shared" si="7"/>
        <v>392</v>
      </c>
      <c r="L11" s="14">
        <f t="shared" si="7"/>
        <v>433</v>
      </c>
      <c r="M11" s="14">
        <f>SUM(M9:M10)</f>
        <v>447</v>
      </c>
      <c r="N11" s="14">
        <f>SUM(N9:N10)</f>
        <v>473</v>
      </c>
      <c r="O11" s="14">
        <f>SUM(O9:O10)</f>
        <v>478</v>
      </c>
      <c r="P11" s="14">
        <f>SUM(P9:P10)</f>
        <v>508</v>
      </c>
      <c r="Q11" s="14">
        <f>SUM(Q9:Q10)</f>
        <v>525</v>
      </c>
      <c r="R11" s="14">
        <f>SUM(R9:R10)</f>
        <v>534</v>
      </c>
      <c r="S11" s="14">
        <f>SUM(S9:S10)</f>
        <v>559</v>
      </c>
      <c r="T11" s="14">
        <f>SUM(T9:T10)</f>
        <v>607</v>
      </c>
      <c r="U11" s="14">
        <f>SUM(U9:U10)</f>
        <v>634</v>
      </c>
      <c r="V11" s="14">
        <f>SUM(V9:V10)</f>
        <v>678</v>
      </c>
      <c r="W11" s="14">
        <f>SUM(W9:W10)</f>
        <v>725</v>
      </c>
      <c r="X11" s="14">
        <f>SUM(X9:X10)</f>
        <v>829</v>
      </c>
      <c r="Y11" s="14">
        <f>SUM(Y9:Y10)</f>
        <v>884</v>
      </c>
      <c r="Z11" s="14">
        <f>SUM(Z9:Z10)</f>
        <v>1004</v>
      </c>
      <c r="AA11" s="14">
        <f>SUM(AA9:AA10)</f>
        <v>1181</v>
      </c>
      <c r="AB11" s="5"/>
      <c r="AC11" s="14">
        <f t="shared" ref="AC11:AK11" si="8">SUM(AC9:AC10)</f>
        <v>2045</v>
      </c>
      <c r="AD11" s="14">
        <f t="shared" si="8"/>
        <v>2126</v>
      </c>
      <c r="AE11" s="14">
        <f t="shared" si="8"/>
        <v>2225</v>
      </c>
      <c r="AF11" s="14">
        <f t="shared" si="8"/>
        <v>2334</v>
      </c>
      <c r="AG11" s="14">
        <f t="shared" si="8"/>
        <v>2478</v>
      </c>
      <c r="AH11" s="14">
        <f t="shared" si="8"/>
        <v>2644</v>
      </c>
      <c r="AI11" s="14">
        <f t="shared" si="8"/>
        <v>2866</v>
      </c>
      <c r="AJ11" s="14">
        <f t="shared" si="8"/>
        <v>3116</v>
      </c>
      <c r="AK11" s="14">
        <f t="shared" si="8"/>
        <v>3442</v>
      </c>
      <c r="AL11" s="14">
        <f>SUM(AL9:AL10)</f>
        <v>3898</v>
      </c>
    </row>
    <row r="12" spans="1:38" outlineLevel="1">
      <c r="B12" s="131" t="s">
        <v>160</v>
      </c>
      <c r="C12" s="79">
        <f>C11-'Historical Financials'!C11</f>
        <v>-1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79">
        <f>G11-'Historical Financials'!G11</f>
        <v>0</v>
      </c>
      <c r="H12" s="11"/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1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-1</v>
      </c>
      <c r="Q12" s="79">
        <f>Q11-'Historical Financials'!Q11</f>
        <v>0</v>
      </c>
      <c r="R12" s="79">
        <f>R11-'Historical Financials'!R11</f>
        <v>1</v>
      </c>
      <c r="S12" s="79">
        <f>S11-'Historical Financials'!S11</f>
        <v>1</v>
      </c>
      <c r="T12" s="79">
        <f>T11-'Historical Financials'!T11</f>
        <v>-1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-1</v>
      </c>
      <c r="X12" s="79">
        <f>X11-'Historical Financials'!X11</f>
        <v>1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/>
      <c r="AC12" s="79">
        <f>AC11-'Historical Financials'!AC11</f>
        <v>-179</v>
      </c>
      <c r="AD12" s="79">
        <f>AD11-'Historical Financials'!AD11</f>
        <v>-207</v>
      </c>
      <c r="AE12" s="79">
        <f>AE11-'Historical Financials'!AE11</f>
        <v>-253</v>
      </c>
      <c r="AF12" s="79">
        <f>AF11-'Historical Financials'!AF11</f>
        <v>-312</v>
      </c>
      <c r="AG12" s="79">
        <f>AG11-'Historical Financials'!AG11</f>
        <v>-388</v>
      </c>
      <c r="AH12" s="79">
        <f>AH11-'Historical Financials'!AH11</f>
        <v>-472</v>
      </c>
      <c r="AI12" s="79">
        <f>AI11-'Historical Financials'!AI11</f>
        <v>-576</v>
      </c>
      <c r="AJ12" s="79">
        <f>AJ11-'Historical Financials'!AJ11</f>
        <v>-781</v>
      </c>
      <c r="AK12" s="79">
        <f>AK11-'Historical Financials'!AK11</f>
        <v>3442</v>
      </c>
      <c r="AL12" s="79">
        <f>AL11-'Historical Financials'!AL11</f>
        <v>3897.5272108843537</v>
      </c>
    </row>
    <row r="13" spans="1:38">
      <c r="B13" s="18"/>
      <c r="C13" s="19"/>
      <c r="D13" s="19"/>
      <c r="E13" s="19"/>
      <c r="F13" s="19"/>
      <c r="G13" s="19"/>
      <c r="H13" s="20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1"/>
      <c r="Y13" s="21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</row>
    <row r="14" spans="1:38">
      <c r="B14" s="152" t="str">
        <f>B9&amp;"(%)"</f>
        <v>Government(%)</v>
      </c>
      <c r="C14" s="153">
        <f>SUM(C9/C$11)</f>
        <v>0.55860805860805862</v>
      </c>
      <c r="D14" s="153">
        <f>SUM(D9/D$11)</f>
        <v>0.58171206225680938</v>
      </c>
      <c r="E14" s="153">
        <f>SUM(E9/E$11)</f>
        <v>0.56243441762854141</v>
      </c>
      <c r="F14" s="153">
        <f>SUM(F9/F$11)</f>
        <v>0.54921348314606744</v>
      </c>
      <c r="G14" s="153">
        <f>SUM(G9/G$11)</f>
        <v>0.54780181437543618</v>
      </c>
      <c r="H14" s="154"/>
      <c r="I14" s="153">
        <f t="shared" ref="I14" si="9">SUM(I9/I$11)</f>
        <v>0.60997067448680353</v>
      </c>
      <c r="J14" s="153">
        <f t="shared" ref="J14:L14" si="10">SUM(J9/J$11)</f>
        <v>0.61702127659574468</v>
      </c>
      <c r="K14" s="153">
        <f t="shared" si="10"/>
        <v>0.55612244897959184</v>
      </c>
      <c r="L14" s="153">
        <f t="shared" si="10"/>
        <v>0.55196304849884525</v>
      </c>
      <c r="M14" s="153">
        <f>SUM(M9/M$11)</f>
        <v>0.54138702460850108</v>
      </c>
      <c r="N14" s="153">
        <f>SUM(N9/N$11)</f>
        <v>0.55602536997885832</v>
      </c>
      <c r="O14" s="153">
        <f>SUM(O9/O$11)</f>
        <v>0.57322175732217573</v>
      </c>
      <c r="P14" s="153">
        <f>SUM(P9/P$11)</f>
        <v>0.57677165354330706</v>
      </c>
      <c r="Q14" s="153">
        <f>SUM(Q9/Q$11)</f>
        <v>0.55047619047619045</v>
      </c>
      <c r="R14" s="153">
        <f>SUM(R9/R$11)</f>
        <v>0.56554307116104874</v>
      </c>
      <c r="S14" s="153">
        <f>SUM(S9/S$11)</f>
        <v>0.55098389982110907</v>
      </c>
      <c r="T14" s="153">
        <f>SUM(T9/T$11)</f>
        <v>0.53212520593080725</v>
      </c>
      <c r="U14" s="153">
        <f>SUM(U9/U$11)</f>
        <v>0.52839116719242907</v>
      </c>
      <c r="V14" s="153">
        <f>SUM(V9/V$11)</f>
        <v>0.5471976401179941</v>
      </c>
      <c r="W14" s="153">
        <f>SUM(W9/W$11)</f>
        <v>0.56275862068965521</v>
      </c>
      <c r="X14" s="153">
        <f>SUM(X9/X$11)</f>
        <v>0.55006031363088059</v>
      </c>
      <c r="Y14" s="153">
        <f>SUM(Y9/Y$11)</f>
        <v>0.55090497737556565</v>
      </c>
      <c r="Z14" s="153">
        <f>SUM(Z9/Z$11)</f>
        <v>0.55079681274900394</v>
      </c>
      <c r="AA14" s="153">
        <f>SUM(AA9/AA$11)</f>
        <v>0.53598645215918717</v>
      </c>
      <c r="AB14" s="154"/>
      <c r="AC14" s="155">
        <f t="shared" ref="AC14:AC15" si="11">R14</f>
        <v>0.56554307116104874</v>
      </c>
      <c r="AD14" s="155">
        <f t="shared" ref="AD14:AD15" si="12">S14</f>
        <v>0.55098389982110907</v>
      </c>
      <c r="AE14" s="155">
        <f t="shared" ref="AE14:AE15" si="13">T14</f>
        <v>0.53212520593080725</v>
      </c>
      <c r="AF14" s="155">
        <f t="shared" ref="AF14:AF15" si="14">U14</f>
        <v>0.52839116719242907</v>
      </c>
      <c r="AG14" s="155">
        <f t="shared" ref="AG14:AG15" si="15">V14</f>
        <v>0.5471976401179941</v>
      </c>
      <c r="AH14" s="155">
        <f t="shared" ref="AH14:AH15" si="16">W14</f>
        <v>0.56275862068965521</v>
      </c>
      <c r="AI14" s="155">
        <f t="shared" ref="AI14:AI15" si="17">X14</f>
        <v>0.55006031363088059</v>
      </c>
      <c r="AJ14" s="155">
        <f t="shared" ref="AJ14:AJ15" si="18">Y14</f>
        <v>0.55090497737556565</v>
      </c>
      <c r="AK14" s="155">
        <f t="shared" ref="AK14:AK15" si="19">Z14</f>
        <v>0.55079681274900394</v>
      </c>
      <c r="AL14" s="156">
        <f t="shared" ref="AL14:AL15" si="20">AA14</f>
        <v>0.53598645215918717</v>
      </c>
    </row>
    <row r="15" spans="1:38" ht="12.75" customHeight="1">
      <c r="B15" s="157" t="str">
        <f>B10&amp;"(%)"</f>
        <v>Commercial(%)</v>
      </c>
      <c r="C15" s="158">
        <f>SUM(C10/C$11)</f>
        <v>0.44139194139194138</v>
      </c>
      <c r="D15" s="158">
        <f>SUM(D10/D$11)</f>
        <v>0.41828793774319067</v>
      </c>
      <c r="E15" s="158">
        <f>SUM(E10/E$11)</f>
        <v>0.43756558237145854</v>
      </c>
      <c r="F15" s="158">
        <f>SUM(F10/F$11)</f>
        <v>0.45078651685393256</v>
      </c>
      <c r="G15" s="158">
        <f>SUM(G10/G$11)</f>
        <v>0.45219818562456388</v>
      </c>
      <c r="H15" s="159"/>
      <c r="I15" s="158">
        <f t="shared" ref="I15" si="21">SUM(I10/I$11)</f>
        <v>0.39002932551319647</v>
      </c>
      <c r="J15" s="158">
        <f t="shared" ref="J15:L15" si="22">SUM(J10/J$11)</f>
        <v>0.38297872340425532</v>
      </c>
      <c r="K15" s="158">
        <f t="shared" si="22"/>
        <v>0.44387755102040816</v>
      </c>
      <c r="L15" s="158">
        <f t="shared" si="22"/>
        <v>0.44803695150115475</v>
      </c>
      <c r="M15" s="158">
        <f>SUM(M10/M$11)</f>
        <v>0.45861297539149887</v>
      </c>
      <c r="N15" s="158">
        <f>SUM(N10/N$11)</f>
        <v>0.44397463002114163</v>
      </c>
      <c r="O15" s="158">
        <f>SUM(O10/O$11)</f>
        <v>0.42677824267782427</v>
      </c>
      <c r="P15" s="158">
        <f>SUM(P10/P$11)</f>
        <v>0.42322834645669294</v>
      </c>
      <c r="Q15" s="158">
        <f>SUM(Q10/Q$11)</f>
        <v>0.44952380952380955</v>
      </c>
      <c r="R15" s="158">
        <f>SUM(R10/R$11)</f>
        <v>0.43445692883895132</v>
      </c>
      <c r="S15" s="158">
        <f>SUM(S10/S$11)</f>
        <v>0.44901610017889088</v>
      </c>
      <c r="T15" s="158">
        <f>SUM(T10/T$11)</f>
        <v>0.46787479406919275</v>
      </c>
      <c r="U15" s="158">
        <f>SUM(U10/U$11)</f>
        <v>0.47160883280757099</v>
      </c>
      <c r="V15" s="158">
        <f>SUM(V10/V$11)</f>
        <v>0.4528023598820059</v>
      </c>
      <c r="W15" s="158">
        <f>SUM(W10/W$11)</f>
        <v>0.43724137931034485</v>
      </c>
      <c r="X15" s="158">
        <f>SUM(X10/X$11)</f>
        <v>0.44993968636911941</v>
      </c>
      <c r="Y15" s="158">
        <f>SUM(Y10/Y$11)</f>
        <v>0.4490950226244344</v>
      </c>
      <c r="Z15" s="158">
        <f>SUM(Z10/Z$11)</f>
        <v>0.44920318725099601</v>
      </c>
      <c r="AA15" s="158">
        <f>SUM(AA10/AA$11)</f>
        <v>0.46401354784081289</v>
      </c>
      <c r="AB15" s="159"/>
      <c r="AC15" s="160">
        <f t="shared" si="11"/>
        <v>0.43445692883895132</v>
      </c>
      <c r="AD15" s="160">
        <f t="shared" si="12"/>
        <v>0.44901610017889088</v>
      </c>
      <c r="AE15" s="160">
        <f t="shared" si="13"/>
        <v>0.46787479406919275</v>
      </c>
      <c r="AF15" s="160">
        <f t="shared" si="14"/>
        <v>0.47160883280757099</v>
      </c>
      <c r="AG15" s="160">
        <f t="shared" si="15"/>
        <v>0.4528023598820059</v>
      </c>
      <c r="AH15" s="160">
        <f t="shared" si="16"/>
        <v>0.43724137931034485</v>
      </c>
      <c r="AI15" s="160">
        <f t="shared" si="17"/>
        <v>0.44993968636911941</v>
      </c>
      <c r="AJ15" s="160">
        <f t="shared" si="18"/>
        <v>0.4490950226244344</v>
      </c>
      <c r="AK15" s="160">
        <f t="shared" si="19"/>
        <v>0.44920318725099601</v>
      </c>
      <c r="AL15" s="161">
        <f t="shared" si="20"/>
        <v>0.46401354784081289</v>
      </c>
    </row>
    <row r="16" spans="1:38">
      <c r="B16" s="18"/>
      <c r="C16" s="19"/>
      <c r="D16" s="19"/>
      <c r="E16" s="19"/>
      <c r="F16" s="19"/>
      <c r="G16" s="19"/>
      <c r="H16" s="20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/>
      <c r="U16" s="21"/>
      <c r="V16" s="21"/>
      <c r="W16" s="21"/>
      <c r="X16" s="21"/>
      <c r="Y16" s="21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</row>
    <row r="17" spans="1:38">
      <c r="A17" s="36" t="s">
        <v>16</v>
      </c>
      <c r="B17" s="1" t="s">
        <v>158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ht="5.0999999999999996" customHeight="1"/>
    <row r="19" spans="1:38" ht="12.75" customHeight="1">
      <c r="A19" s="80" t="s">
        <v>16</v>
      </c>
      <c r="B19" s="78" t="s">
        <v>159</v>
      </c>
      <c r="C19" s="10"/>
      <c r="D19" s="10"/>
      <c r="E19" s="10"/>
      <c r="F19" s="10"/>
      <c r="G19" s="10"/>
      <c r="H19" s="1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32"/>
      <c r="U19" s="95"/>
      <c r="V19" s="95"/>
      <c r="W19" s="95"/>
      <c r="X19" s="32"/>
      <c r="Y19" s="95"/>
      <c r="Z19" s="95"/>
      <c r="AA19" s="95"/>
      <c r="AB19" s="5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spans="1:38" ht="12.75" customHeight="1">
      <c r="A20" s="80"/>
      <c r="B20" s="9" t="s">
        <v>177</v>
      </c>
      <c r="C20" s="81">
        <v>574</v>
      </c>
      <c r="D20" s="81">
        <v>879</v>
      </c>
      <c r="E20" s="81">
        <v>1161</v>
      </c>
      <c r="F20" s="81">
        <v>1378</v>
      </c>
      <c r="G20" s="81">
        <v>1900</v>
      </c>
      <c r="H20" s="10"/>
      <c r="I20" s="95">
        <v>198</v>
      </c>
      <c r="J20" s="95">
        <v>200</v>
      </c>
      <c r="K20" s="95">
        <v>227</v>
      </c>
      <c r="L20" s="32">
        <f t="shared" ref="L20:L22" si="23">SUM(D20-SUM(I20:K20))</f>
        <v>254</v>
      </c>
      <c r="M20" s="95">
        <v>273</v>
      </c>
      <c r="N20" s="95">
        <v>290</v>
      </c>
      <c r="O20" s="95">
        <v>297</v>
      </c>
      <c r="P20" s="32">
        <f t="shared" ref="P20:P22" si="24">SUM(E20-SUM(M20:O20))</f>
        <v>301</v>
      </c>
      <c r="Q20" s="95">
        <v>337</v>
      </c>
      <c r="R20" s="95">
        <v>328</v>
      </c>
      <c r="S20" s="95">
        <v>345</v>
      </c>
      <c r="T20" s="32">
        <f t="shared" ref="T20:T22" si="25">SUM(F20-SUM(Q20:S20))</f>
        <v>368</v>
      </c>
      <c r="U20" s="95">
        <v>406</v>
      </c>
      <c r="V20" s="95">
        <v>437</v>
      </c>
      <c r="W20" s="95">
        <v>499</v>
      </c>
      <c r="X20" s="32">
        <f t="shared" ref="X20:X22" si="26">SUM(G20-SUM(U20:W20))</f>
        <v>558</v>
      </c>
      <c r="Y20" s="82">
        <v>628</v>
      </c>
      <c r="Z20" s="82">
        <v>733</v>
      </c>
      <c r="AA20" s="81">
        <v>883</v>
      </c>
      <c r="AB20" s="5"/>
      <c r="AC20" s="32">
        <f t="shared" ref="AC20:AK22" si="27">SUM(O20:R20)</f>
        <v>1263</v>
      </c>
      <c r="AD20" s="32">
        <f t="shared" si="27"/>
        <v>1311</v>
      </c>
      <c r="AE20" s="32">
        <f t="shared" si="27"/>
        <v>1378</v>
      </c>
      <c r="AF20" s="32">
        <f t="shared" si="27"/>
        <v>1447</v>
      </c>
      <c r="AG20" s="32">
        <f t="shared" si="27"/>
        <v>1556</v>
      </c>
      <c r="AH20" s="32">
        <f t="shared" si="27"/>
        <v>1710</v>
      </c>
      <c r="AI20" s="32">
        <f t="shared" si="27"/>
        <v>1900</v>
      </c>
      <c r="AJ20" s="32">
        <f t="shared" si="27"/>
        <v>2122</v>
      </c>
      <c r="AK20" s="32">
        <f t="shared" si="27"/>
        <v>2418</v>
      </c>
      <c r="AL20" s="32">
        <f>SUM(X20:AA20)</f>
        <v>2802</v>
      </c>
    </row>
    <row r="21" spans="1:38" ht="12.75" customHeight="1">
      <c r="A21" s="80"/>
      <c r="B21" s="9" t="s">
        <v>183</v>
      </c>
      <c r="C21" s="81">
        <v>132</v>
      </c>
      <c r="D21" s="81">
        <v>173</v>
      </c>
      <c r="E21" s="81">
        <v>221</v>
      </c>
      <c r="F21" s="81">
        <v>235</v>
      </c>
      <c r="G21" s="81">
        <v>305</v>
      </c>
      <c r="H21" s="10"/>
      <c r="I21" s="95">
        <v>34</v>
      </c>
      <c r="J21" s="95">
        <v>40</v>
      </c>
      <c r="K21" s="95">
        <v>48</v>
      </c>
      <c r="L21" s="32">
        <f t="shared" si="23"/>
        <v>51</v>
      </c>
      <c r="M21" s="95">
        <v>50</v>
      </c>
      <c r="N21" s="95">
        <v>52</v>
      </c>
      <c r="O21" s="95">
        <v>59</v>
      </c>
      <c r="P21" s="32">
        <f t="shared" si="24"/>
        <v>60</v>
      </c>
      <c r="Q21" s="95">
        <v>50</v>
      </c>
      <c r="R21" s="95">
        <v>63</v>
      </c>
      <c r="S21" s="95">
        <v>64</v>
      </c>
      <c r="T21" s="32">
        <f t="shared" si="25"/>
        <v>58</v>
      </c>
      <c r="U21" s="95">
        <v>63</v>
      </c>
      <c r="V21" s="95">
        <v>77</v>
      </c>
      <c r="W21" s="95">
        <v>69</v>
      </c>
      <c r="X21" s="32">
        <f t="shared" si="26"/>
        <v>96</v>
      </c>
      <c r="Y21" s="82">
        <v>90</v>
      </c>
      <c r="Z21" s="82">
        <v>97</v>
      </c>
      <c r="AA21" s="81">
        <v>115</v>
      </c>
      <c r="AB21" s="5"/>
      <c r="AC21" s="32">
        <f t="shared" si="27"/>
        <v>232</v>
      </c>
      <c r="AD21" s="32">
        <f t="shared" si="27"/>
        <v>237</v>
      </c>
      <c r="AE21" s="32">
        <f t="shared" si="27"/>
        <v>235</v>
      </c>
      <c r="AF21" s="32">
        <f t="shared" si="27"/>
        <v>248</v>
      </c>
      <c r="AG21" s="32">
        <f t="shared" si="27"/>
        <v>262</v>
      </c>
      <c r="AH21" s="32">
        <f t="shared" si="27"/>
        <v>267</v>
      </c>
      <c r="AI21" s="32">
        <f t="shared" si="27"/>
        <v>305</v>
      </c>
      <c r="AJ21" s="32">
        <f t="shared" si="27"/>
        <v>332</v>
      </c>
      <c r="AK21" s="32">
        <f t="shared" si="27"/>
        <v>352</v>
      </c>
      <c r="AL21" s="32">
        <f t="shared" ref="AL21" si="28">SUM(X21:AA21)</f>
        <v>398</v>
      </c>
    </row>
    <row r="22" spans="1:38">
      <c r="B22" s="9" t="s">
        <v>178</v>
      </c>
      <c r="C22" s="81">
        <v>387</v>
      </c>
      <c r="D22" s="81">
        <v>489</v>
      </c>
      <c r="E22" s="81">
        <v>524</v>
      </c>
      <c r="F22" s="81">
        <v>612</v>
      </c>
      <c r="G22" s="81">
        <v>661</v>
      </c>
      <c r="H22" s="81"/>
      <c r="I22" s="95">
        <v>108</v>
      </c>
      <c r="J22" s="95">
        <v>136</v>
      </c>
      <c r="K22" s="95">
        <v>117</v>
      </c>
      <c r="L22" s="32">
        <f t="shared" si="23"/>
        <v>128</v>
      </c>
      <c r="M22" s="95">
        <v>124</v>
      </c>
      <c r="N22" s="95">
        <v>131</v>
      </c>
      <c r="O22" s="95">
        <v>122</v>
      </c>
      <c r="P22" s="32">
        <f t="shared" si="24"/>
        <v>147</v>
      </c>
      <c r="Q22" s="95">
        <v>139</v>
      </c>
      <c r="R22" s="95">
        <v>142</v>
      </c>
      <c r="S22" s="95">
        <v>148</v>
      </c>
      <c r="T22" s="32">
        <f t="shared" si="25"/>
        <v>183</v>
      </c>
      <c r="U22" s="95">
        <v>165</v>
      </c>
      <c r="V22" s="95">
        <v>164</v>
      </c>
      <c r="W22" s="95">
        <v>157</v>
      </c>
      <c r="X22" s="32">
        <f t="shared" si="26"/>
        <v>175</v>
      </c>
      <c r="Y22" s="82">
        <v>166</v>
      </c>
      <c r="Z22" s="82">
        <v>174</v>
      </c>
      <c r="AA22" s="81">
        <v>184</v>
      </c>
      <c r="AB22" s="5"/>
      <c r="AC22" s="32">
        <f t="shared" si="27"/>
        <v>550</v>
      </c>
      <c r="AD22" s="32">
        <f t="shared" si="27"/>
        <v>576</v>
      </c>
      <c r="AE22" s="32">
        <f t="shared" si="27"/>
        <v>612</v>
      </c>
      <c r="AF22" s="32">
        <f t="shared" si="27"/>
        <v>638</v>
      </c>
      <c r="AG22" s="32">
        <f t="shared" si="27"/>
        <v>660</v>
      </c>
      <c r="AH22" s="32">
        <f t="shared" si="27"/>
        <v>669</v>
      </c>
      <c r="AI22" s="32">
        <f t="shared" si="27"/>
        <v>661</v>
      </c>
      <c r="AJ22" s="32">
        <f t="shared" si="27"/>
        <v>662</v>
      </c>
      <c r="AK22" s="32">
        <f t="shared" si="27"/>
        <v>672</v>
      </c>
      <c r="AL22" s="32">
        <f>SUM(X22:AA22)</f>
        <v>699</v>
      </c>
    </row>
    <row r="23" spans="1:38">
      <c r="B23" s="13" t="s">
        <v>65</v>
      </c>
      <c r="C23" s="14">
        <f>SUM(C20:C22)</f>
        <v>1093</v>
      </c>
      <c r="D23" s="14">
        <f>SUM(D20:D22)</f>
        <v>1541</v>
      </c>
      <c r="E23" s="14">
        <f>SUM(E20:E22)</f>
        <v>1906</v>
      </c>
      <c r="F23" s="14">
        <f>SUM(F20:F22)</f>
        <v>2225</v>
      </c>
      <c r="G23" s="14">
        <f>SUM(G20:G22)</f>
        <v>2866</v>
      </c>
      <c r="H23" s="11"/>
      <c r="I23" s="14">
        <f>SUM(I20:I22)</f>
        <v>340</v>
      </c>
      <c r="J23" s="14">
        <f>SUM(J20:J22)</f>
        <v>376</v>
      </c>
      <c r="K23" s="14">
        <f>SUM(K20:K22)</f>
        <v>392</v>
      </c>
      <c r="L23" s="14">
        <f>SUM(L20:L22)</f>
        <v>433</v>
      </c>
      <c r="M23" s="14">
        <f>SUM(M20:M22)</f>
        <v>447</v>
      </c>
      <c r="N23" s="14">
        <f>SUM(N20:N22)</f>
        <v>473</v>
      </c>
      <c r="O23" s="14">
        <f>SUM(O20:O22)</f>
        <v>478</v>
      </c>
      <c r="P23" s="14">
        <f>SUM(P20:P22)</f>
        <v>508</v>
      </c>
      <c r="Q23" s="14">
        <f>SUM(Q20:Q22)</f>
        <v>526</v>
      </c>
      <c r="R23" s="14">
        <f>SUM(R20:R22)</f>
        <v>533</v>
      </c>
      <c r="S23" s="14">
        <f>SUM(S20:S22)</f>
        <v>557</v>
      </c>
      <c r="T23" s="14">
        <f>SUM(T20:T22)</f>
        <v>609</v>
      </c>
      <c r="U23" s="14">
        <f>SUM(U20:U22)</f>
        <v>634</v>
      </c>
      <c r="V23" s="14">
        <f>SUM(V20:V22)</f>
        <v>678</v>
      </c>
      <c r="W23" s="14">
        <f>SUM(W20:W22)</f>
        <v>725</v>
      </c>
      <c r="X23" s="14">
        <f>SUM(X20:X22)</f>
        <v>829</v>
      </c>
      <c r="Y23" s="14">
        <f>SUM(Y20:Y22)</f>
        <v>884</v>
      </c>
      <c r="Z23" s="14">
        <f>SUM(Z20:Z22)</f>
        <v>1004</v>
      </c>
      <c r="AA23" s="14">
        <f>SUM(AA20:AA22)</f>
        <v>1182</v>
      </c>
      <c r="AB23" s="5"/>
      <c r="AC23" s="14">
        <f>SUM(AC20:AC22)</f>
        <v>2045</v>
      </c>
      <c r="AD23" s="14">
        <f>SUM(AD20:AD22)</f>
        <v>2124</v>
      </c>
      <c r="AE23" s="14">
        <f>SUM(AE20:AE22)</f>
        <v>2225</v>
      </c>
      <c r="AF23" s="14">
        <f>SUM(AF20:AF22)</f>
        <v>2333</v>
      </c>
      <c r="AG23" s="14">
        <f>SUM(AG20:AG22)</f>
        <v>2478</v>
      </c>
      <c r="AH23" s="14">
        <f>SUM(AH20:AH22)</f>
        <v>2646</v>
      </c>
      <c r="AI23" s="14">
        <f>SUM(AI20:AI22)</f>
        <v>2866</v>
      </c>
      <c r="AJ23" s="14">
        <f>SUM(AJ20:AJ22)</f>
        <v>3116</v>
      </c>
      <c r="AK23" s="14">
        <f>SUM(AK20:AK22)</f>
        <v>3442</v>
      </c>
      <c r="AL23" s="14">
        <f>SUM(AL20:AL22)</f>
        <v>3899</v>
      </c>
    </row>
    <row r="24" spans="1:38" outlineLevel="1">
      <c r="B24" s="131" t="s">
        <v>160</v>
      </c>
      <c r="C24" s="79">
        <f>C23-C11</f>
        <v>1</v>
      </c>
      <c r="D24" s="79">
        <f>D23-D11</f>
        <v>-1</v>
      </c>
      <c r="E24" s="79">
        <f>E23-E11</f>
        <v>0</v>
      </c>
      <c r="F24" s="79">
        <f>F23-F11</f>
        <v>0</v>
      </c>
      <c r="G24" s="79">
        <f>G23-G11</f>
        <v>0</v>
      </c>
      <c r="H24" s="11"/>
      <c r="I24" s="79">
        <f>I23-I11</f>
        <v>-1</v>
      </c>
      <c r="J24" s="79">
        <f>J23-J11</f>
        <v>0</v>
      </c>
      <c r="K24" s="79">
        <f>K23-K11</f>
        <v>0</v>
      </c>
      <c r="L24" s="79">
        <f>L23-L11</f>
        <v>0</v>
      </c>
      <c r="M24" s="79">
        <f>M23-M11</f>
        <v>0</v>
      </c>
      <c r="N24" s="79">
        <f>N23-N11</f>
        <v>0</v>
      </c>
      <c r="O24" s="79">
        <f>O23-O11</f>
        <v>0</v>
      </c>
      <c r="P24" s="79">
        <f>P23-P11</f>
        <v>0</v>
      </c>
      <c r="Q24" s="79">
        <f>Q23-Q11</f>
        <v>1</v>
      </c>
      <c r="R24" s="79">
        <f>R23-R11</f>
        <v>-1</v>
      </c>
      <c r="S24" s="79">
        <f>S23-S11</f>
        <v>-2</v>
      </c>
      <c r="T24" s="79">
        <f>T23-T11</f>
        <v>2</v>
      </c>
      <c r="U24" s="79">
        <f>U23-U11</f>
        <v>0</v>
      </c>
      <c r="V24" s="79">
        <f>V23-V11</f>
        <v>0</v>
      </c>
      <c r="W24" s="79">
        <f>W23-W11</f>
        <v>0</v>
      </c>
      <c r="X24" s="79">
        <f>X23-X11</f>
        <v>0</v>
      </c>
      <c r="Y24" s="79">
        <f>Y23-Y11</f>
        <v>0</v>
      </c>
      <c r="Z24" s="79">
        <f>Z23-Z11</f>
        <v>0</v>
      </c>
      <c r="AA24" s="79">
        <f>AA23-AA11</f>
        <v>1</v>
      </c>
      <c r="AB24" s="79"/>
      <c r="AC24" s="79">
        <f>AC23-AC11</f>
        <v>0</v>
      </c>
      <c r="AD24" s="79">
        <f>AD23-AD11</f>
        <v>-2</v>
      </c>
      <c r="AE24" s="79">
        <f>AE23-AE11</f>
        <v>0</v>
      </c>
      <c r="AF24" s="79">
        <f>AF23-AF11</f>
        <v>-1</v>
      </c>
      <c r="AG24" s="79">
        <f>AG23-AG11</f>
        <v>0</v>
      </c>
      <c r="AH24" s="79">
        <f>AH23-AH11</f>
        <v>2</v>
      </c>
      <c r="AI24" s="79">
        <f>AI23-AI11</f>
        <v>0</v>
      </c>
      <c r="AJ24" s="79">
        <f>AJ23-AJ11</f>
        <v>0</v>
      </c>
      <c r="AK24" s="79">
        <f>AK23-AK11</f>
        <v>0</v>
      </c>
      <c r="AL24" s="79">
        <f>AL23-AL11</f>
        <v>1</v>
      </c>
    </row>
    <row r="25" spans="1:38">
      <c r="B25" s="18"/>
      <c r="C25" s="19"/>
      <c r="D25" s="19"/>
      <c r="E25" s="19"/>
      <c r="F25" s="19"/>
      <c r="G25" s="19"/>
      <c r="H25" s="20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2"/>
      <c r="U25" s="21"/>
      <c r="V25" s="21"/>
      <c r="W25" s="21"/>
      <c r="X25" s="21"/>
      <c r="Y25" s="21"/>
      <c r="Z25" s="21"/>
      <c r="AA25" s="21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</row>
    <row r="26" spans="1:38">
      <c r="B26" s="152" t="str">
        <f>B20&amp;"(%)"</f>
        <v>U.S. Revenues(%)</v>
      </c>
      <c r="C26" s="153">
        <f>SUM(C20/C$11)</f>
        <v>0.52564102564102566</v>
      </c>
      <c r="D26" s="153">
        <f>SUM(D20/D$11)</f>
        <v>0.57003891050583655</v>
      </c>
      <c r="E26" s="153">
        <f>SUM(E20/E$11)</f>
        <v>0.60912906610703044</v>
      </c>
      <c r="F26" s="153">
        <f>SUM(F20/F$11)</f>
        <v>0.61932584269662916</v>
      </c>
      <c r="G26" s="153">
        <f>SUM(G20/G$11)</f>
        <v>0.66294487090020937</v>
      </c>
      <c r="H26" s="154"/>
      <c r="I26" s="153">
        <f>SUM(I20/I$11)</f>
        <v>0.58064516129032262</v>
      </c>
      <c r="J26" s="153">
        <f>SUM(J20/J$11)</f>
        <v>0.53191489361702127</v>
      </c>
      <c r="K26" s="153">
        <f>SUM(K20/K$11)</f>
        <v>0.57908163265306123</v>
      </c>
      <c r="L26" s="153">
        <f>SUM(L20/L$11)</f>
        <v>0.58660508083140872</v>
      </c>
      <c r="M26" s="153">
        <f>SUM(M20/M$11)</f>
        <v>0.61073825503355705</v>
      </c>
      <c r="N26" s="153">
        <f>SUM(N20/N$11)</f>
        <v>0.61310782241014794</v>
      </c>
      <c r="O26" s="153">
        <f>SUM(O20/O$11)</f>
        <v>0.62133891213389125</v>
      </c>
      <c r="P26" s="153">
        <f>SUM(P20/P$11)</f>
        <v>0.59251968503937003</v>
      </c>
      <c r="Q26" s="153">
        <f>SUM(Q20/Q$11)</f>
        <v>0.64190476190476187</v>
      </c>
      <c r="R26" s="153">
        <f>SUM(R20/R$11)</f>
        <v>0.61423220973782766</v>
      </c>
      <c r="S26" s="153">
        <f>SUM(S20/S$11)</f>
        <v>0.61717352415026838</v>
      </c>
      <c r="T26" s="153">
        <f>SUM(T20/T$11)</f>
        <v>0.6062602965403624</v>
      </c>
      <c r="U26" s="153">
        <f>SUM(U20/U$11)</f>
        <v>0.64037854889589907</v>
      </c>
      <c r="V26" s="153">
        <f>SUM(V20/V$11)</f>
        <v>0.64454277286135697</v>
      </c>
      <c r="W26" s="153">
        <f>SUM(W20/W$11)</f>
        <v>0.68827586206896552</v>
      </c>
      <c r="X26" s="153">
        <f>SUM(X20/X$11)</f>
        <v>0.67310012062726177</v>
      </c>
      <c r="Y26" s="153">
        <f>SUM(Y20/Y$11)</f>
        <v>0.71040723981900455</v>
      </c>
      <c r="Z26" s="153">
        <f>SUM(Z20/Z$11)</f>
        <v>0.73007968127490042</v>
      </c>
      <c r="AA26" s="153">
        <f>SUM(AA20/AA$11)</f>
        <v>0.7476714648602879</v>
      </c>
      <c r="AB26" s="154"/>
      <c r="AC26" s="155">
        <f t="shared" ref="AC26:AC28" si="29">R26</f>
        <v>0.61423220973782766</v>
      </c>
      <c r="AD26" s="155">
        <f t="shared" ref="AD26:AD28" si="30">S26</f>
        <v>0.61717352415026838</v>
      </c>
      <c r="AE26" s="155">
        <f t="shared" ref="AE26:AE28" si="31">T26</f>
        <v>0.6062602965403624</v>
      </c>
      <c r="AF26" s="155">
        <f t="shared" ref="AF26:AF28" si="32">U26</f>
        <v>0.64037854889589907</v>
      </c>
      <c r="AG26" s="155">
        <f t="shared" ref="AG26:AG28" si="33">V26</f>
        <v>0.64454277286135697</v>
      </c>
      <c r="AH26" s="155">
        <f t="shared" ref="AH26:AH28" si="34">W26</f>
        <v>0.68827586206896552</v>
      </c>
      <c r="AI26" s="155">
        <f t="shared" ref="AI26:AI28" si="35">X26</f>
        <v>0.67310012062726177</v>
      </c>
      <c r="AJ26" s="155">
        <f t="shared" ref="AJ26:AJ28" si="36">Y26</f>
        <v>0.71040723981900455</v>
      </c>
      <c r="AK26" s="155">
        <f t="shared" ref="AK26:AK28" si="37">Z26</f>
        <v>0.73007968127490042</v>
      </c>
      <c r="AL26" s="156">
        <f t="shared" ref="AL26:AL28" si="38">AA26</f>
        <v>0.7476714648602879</v>
      </c>
    </row>
    <row r="27" spans="1:38">
      <c r="B27" s="166" t="str">
        <f>B21&amp;"(%)"</f>
        <v>U.K. Revenues(%)</v>
      </c>
      <c r="C27" s="167">
        <f>SUM(C21/C$11)</f>
        <v>0.12087912087912088</v>
      </c>
      <c r="D27" s="167">
        <f>SUM(D21/D$11)</f>
        <v>0.11219195849546044</v>
      </c>
      <c r="E27" s="167">
        <f>SUM(E21/E$11)</f>
        <v>0.11594963273871983</v>
      </c>
      <c r="F27" s="167">
        <f>SUM(F21/F$11)</f>
        <v>0.10561797752808989</v>
      </c>
      <c r="G27" s="167">
        <f>SUM(G21/G$11)</f>
        <v>0.10642009769713887</v>
      </c>
      <c r="H27" s="168"/>
      <c r="I27" s="167">
        <f>SUM(I21/I$11)</f>
        <v>9.9706744868035185E-2</v>
      </c>
      <c r="J27" s="167">
        <f>SUM(J21/J$11)</f>
        <v>0.10638297872340426</v>
      </c>
      <c r="K27" s="167">
        <f>SUM(K21/K$11)</f>
        <v>0.12244897959183673</v>
      </c>
      <c r="L27" s="167">
        <f>SUM(L21/L$11)</f>
        <v>0.11778290993071594</v>
      </c>
      <c r="M27" s="167">
        <f>SUM(M21/M$11)</f>
        <v>0.11185682326621924</v>
      </c>
      <c r="N27" s="167">
        <f>SUM(N21/N$11)</f>
        <v>0.10993657505285412</v>
      </c>
      <c r="O27" s="167">
        <f>SUM(O21/O$11)</f>
        <v>0.12343096234309624</v>
      </c>
      <c r="P27" s="167">
        <f>SUM(P21/P$11)</f>
        <v>0.11811023622047244</v>
      </c>
      <c r="Q27" s="167">
        <f>SUM(Q21/Q$11)</f>
        <v>9.5238095238095233E-2</v>
      </c>
      <c r="R27" s="167">
        <f>SUM(R21/R$11)</f>
        <v>0.11797752808988764</v>
      </c>
      <c r="S27" s="167">
        <f>SUM(S21/S$11)</f>
        <v>0.11449016100178891</v>
      </c>
      <c r="T27" s="167">
        <f>SUM(T21/T$11)</f>
        <v>9.5551894563426693E-2</v>
      </c>
      <c r="U27" s="167">
        <f>SUM(U21/U$11)</f>
        <v>9.9369085173501584E-2</v>
      </c>
      <c r="V27" s="167">
        <f>SUM(V21/V$11)</f>
        <v>0.11356932153392331</v>
      </c>
      <c r="W27" s="167">
        <f>SUM(W21/W$11)</f>
        <v>9.5172413793103441E-2</v>
      </c>
      <c r="X27" s="167">
        <f>SUM(X21/X$11)</f>
        <v>0.1158021712907117</v>
      </c>
      <c r="Y27" s="167">
        <f>SUM(Y21/Y$11)</f>
        <v>0.10180995475113122</v>
      </c>
      <c r="Z27" s="167">
        <f>SUM(Z21/Z$11)</f>
        <v>9.6613545816733065E-2</v>
      </c>
      <c r="AA27" s="167">
        <f>SUM(AA21/AA$11)</f>
        <v>9.7375105842506346E-2</v>
      </c>
      <c r="AB27" s="168"/>
      <c r="AC27" s="169">
        <f t="shared" si="29"/>
        <v>0.11797752808988764</v>
      </c>
      <c r="AD27" s="169">
        <f t="shared" si="30"/>
        <v>0.11449016100178891</v>
      </c>
      <c r="AE27" s="169">
        <f t="shared" si="31"/>
        <v>9.5551894563426693E-2</v>
      </c>
      <c r="AF27" s="169">
        <f t="shared" si="32"/>
        <v>9.9369085173501584E-2</v>
      </c>
      <c r="AG27" s="169">
        <f t="shared" si="33"/>
        <v>0.11356932153392331</v>
      </c>
      <c r="AH27" s="169">
        <f t="shared" si="34"/>
        <v>9.5172413793103441E-2</v>
      </c>
      <c r="AI27" s="169">
        <f t="shared" si="35"/>
        <v>0.1158021712907117</v>
      </c>
      <c r="AJ27" s="169">
        <f t="shared" si="36"/>
        <v>0.10180995475113122</v>
      </c>
      <c r="AK27" s="169">
        <f t="shared" si="37"/>
        <v>9.6613545816733065E-2</v>
      </c>
      <c r="AL27" s="170">
        <f t="shared" ref="AL27" si="39">AA27</f>
        <v>9.7375105842506346E-2</v>
      </c>
    </row>
    <row r="28" spans="1:38" ht="12.75" customHeight="1">
      <c r="B28" s="157" t="str">
        <f>B22&amp;"(%)"</f>
        <v>Rest of World Revenues(%)</v>
      </c>
      <c r="C28" s="158">
        <f>SUM(C22/C$11)</f>
        <v>0.35439560439560441</v>
      </c>
      <c r="D28" s="158">
        <f>SUM(D22/D$11)</f>
        <v>0.31712062256809337</v>
      </c>
      <c r="E28" s="158">
        <f>SUM(E22/E$11)</f>
        <v>0.27492130115424973</v>
      </c>
      <c r="F28" s="158">
        <f>SUM(F22/F$11)</f>
        <v>0.27505617977528091</v>
      </c>
      <c r="G28" s="158">
        <f>SUM(G22/G$11)</f>
        <v>0.23063503140265179</v>
      </c>
      <c r="H28" s="159"/>
      <c r="I28" s="158">
        <f>SUM(I22/I$11)</f>
        <v>0.31671554252199413</v>
      </c>
      <c r="J28" s="158">
        <f>SUM(J22/J$11)</f>
        <v>0.36170212765957449</v>
      </c>
      <c r="K28" s="158">
        <f>SUM(K22/K$11)</f>
        <v>0.29846938775510207</v>
      </c>
      <c r="L28" s="158">
        <f>SUM(L22/L$11)</f>
        <v>0.29561200923787528</v>
      </c>
      <c r="M28" s="158">
        <f>SUM(M22/M$11)</f>
        <v>0.27740492170022374</v>
      </c>
      <c r="N28" s="158">
        <f>SUM(N22/N$11)</f>
        <v>0.27695560253699791</v>
      </c>
      <c r="O28" s="158">
        <f>SUM(O22/O$11)</f>
        <v>0.25523012552301255</v>
      </c>
      <c r="P28" s="158">
        <f>SUM(P22/P$11)</f>
        <v>0.28937007874015747</v>
      </c>
      <c r="Q28" s="158">
        <f>SUM(Q22/Q$11)</f>
        <v>0.26476190476190475</v>
      </c>
      <c r="R28" s="158">
        <f>SUM(R22/R$11)</f>
        <v>0.26591760299625467</v>
      </c>
      <c r="S28" s="158">
        <f>SUM(S22/S$11)</f>
        <v>0.26475849731663686</v>
      </c>
      <c r="T28" s="158">
        <f>SUM(T22/T$11)</f>
        <v>0.30148270181219111</v>
      </c>
      <c r="U28" s="158">
        <f>SUM(U22/U$11)</f>
        <v>0.26025236593059936</v>
      </c>
      <c r="V28" s="158">
        <f>SUM(V22/V$11)</f>
        <v>0.24188790560471976</v>
      </c>
      <c r="W28" s="158">
        <f>SUM(W22/W$11)</f>
        <v>0.21655172413793103</v>
      </c>
      <c r="X28" s="158">
        <f>SUM(X22/X$11)</f>
        <v>0.21109770808202655</v>
      </c>
      <c r="Y28" s="158">
        <f>SUM(Y22/Y$11)</f>
        <v>0.18778280542986425</v>
      </c>
      <c r="Z28" s="158">
        <f>SUM(Z22/Z$11)</f>
        <v>0.17330677290836655</v>
      </c>
      <c r="AA28" s="158">
        <f>SUM(AA22/AA$11)</f>
        <v>0.15580016934801016</v>
      </c>
      <c r="AB28" s="159"/>
      <c r="AC28" s="160">
        <f t="shared" si="29"/>
        <v>0.26591760299625467</v>
      </c>
      <c r="AD28" s="160">
        <f t="shared" si="30"/>
        <v>0.26475849731663686</v>
      </c>
      <c r="AE28" s="160">
        <f t="shared" si="31"/>
        <v>0.30148270181219111</v>
      </c>
      <c r="AF28" s="160">
        <f t="shared" si="32"/>
        <v>0.26025236593059936</v>
      </c>
      <c r="AG28" s="160">
        <f t="shared" si="33"/>
        <v>0.24188790560471976</v>
      </c>
      <c r="AH28" s="160">
        <f t="shared" si="34"/>
        <v>0.21655172413793103</v>
      </c>
      <c r="AI28" s="160">
        <f t="shared" si="35"/>
        <v>0.21109770808202655</v>
      </c>
      <c r="AJ28" s="160">
        <f t="shared" si="36"/>
        <v>0.18778280542986425</v>
      </c>
      <c r="AK28" s="160">
        <f t="shared" si="37"/>
        <v>0.17330677290836655</v>
      </c>
      <c r="AL28" s="161">
        <f t="shared" si="38"/>
        <v>0.15580016934801016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12:D14 C15:D1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Palantir Technologies Inc (NASDAQ: PLTR)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Financials'!Q7</f>
        <v>1Q23</v>
      </c>
      <c r="I3" s="7" t="str">
        <f>'Historical Financials'!R7</f>
        <v>2Q23</v>
      </c>
      <c r="J3" s="7" t="str">
        <f>'Historical Financials'!S7</f>
        <v>3Q23</v>
      </c>
      <c r="K3" s="7" t="str">
        <f>'Historical Financials'!T7</f>
        <v>4Q23</v>
      </c>
      <c r="L3" s="7" t="str">
        <f>'Historical Financials'!U7</f>
        <v>1Q24</v>
      </c>
      <c r="M3" s="7" t="str">
        <f>'Historical Financials'!V7</f>
        <v>2Q24</v>
      </c>
      <c r="N3" s="7" t="str">
        <f>'Historical Financials'!W7</f>
        <v>3Q24</v>
      </c>
      <c r="O3" s="7" t="str">
        <f>'Historical Financials'!X7</f>
        <v>4Q24</v>
      </c>
      <c r="P3" s="7" t="str">
        <f>'Historical Financials'!Y7</f>
        <v>1Q25</v>
      </c>
      <c r="Q3" s="7" t="str">
        <f>'Historical Financials'!Z7</f>
        <v>2Q25</v>
      </c>
      <c r="R3" s="7" t="str">
        <f>'Historical Financials'!AA7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Financials'!Q8</f>
        <v>0</v>
      </c>
      <c r="I4" s="3">
        <f>'Historical Financials'!R8</f>
        <v>0</v>
      </c>
      <c r="J4" s="3">
        <f>'Historical Financials'!S8</f>
        <v>0</v>
      </c>
      <c r="K4" s="3">
        <f>'Historical Financials'!T8</f>
        <v>0</v>
      </c>
      <c r="L4" s="3">
        <f>'Historical Financials'!U8</f>
        <v>0</v>
      </c>
      <c r="M4" s="3">
        <f>'Historical Financials'!V8</f>
        <v>0</v>
      </c>
      <c r="N4" s="3">
        <f>'Historical Financials'!W8</f>
        <v>0</v>
      </c>
      <c r="O4" s="3">
        <f>'Historical Financials'!X8</f>
        <v>0</v>
      </c>
      <c r="P4" s="3">
        <f>'Historical Financials'!Y8</f>
        <v>0</v>
      </c>
      <c r="Q4" s="3">
        <f>'Historical Financials'!Z8</f>
        <v>0</v>
      </c>
      <c r="R4" s="3">
        <f>'Historical Financials'!AA8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Government</v>
      </c>
      <c r="C6" s="94">
        <f>'Revenue Drivers'!E9</f>
        <v>1072</v>
      </c>
      <c r="D6" s="94">
        <f>'Revenue Drivers'!F9</f>
        <v>1222</v>
      </c>
      <c r="E6" s="94">
        <f>'Revenue Drivers'!G9</f>
        <v>1570</v>
      </c>
      <c r="F6" s="94" t="e">
        <f>'Revenue Drivers'!#REF!</f>
        <v>#REF!</v>
      </c>
      <c r="G6" s="10"/>
      <c r="H6" s="94">
        <f>'Revenue Drivers'!Q9</f>
        <v>289</v>
      </c>
      <c r="I6" s="94">
        <f>'Revenue Drivers'!R9</f>
        <v>302</v>
      </c>
      <c r="J6" s="94">
        <f>'Revenue Drivers'!S9</f>
        <v>308</v>
      </c>
      <c r="K6" s="94">
        <f>'Revenue Drivers'!T9</f>
        <v>323</v>
      </c>
      <c r="L6" s="94">
        <f>'Revenue Drivers'!U9</f>
        <v>335</v>
      </c>
      <c r="M6" s="94">
        <f>'Revenue Drivers'!V9</f>
        <v>371</v>
      </c>
      <c r="N6" s="94">
        <f>'Revenue Drivers'!W9</f>
        <v>408</v>
      </c>
      <c r="O6" s="94">
        <f>'Revenue Drivers'!X9</f>
        <v>456</v>
      </c>
      <c r="P6" s="94">
        <f>'Revenue Drivers'!Y9</f>
        <v>487</v>
      </c>
      <c r="Q6" s="94">
        <f>'Revenue Drivers'!Z9</f>
        <v>553</v>
      </c>
      <c r="R6" s="94">
        <f>'Revenue Drivers'!AA9</f>
        <v>633</v>
      </c>
      <c r="S6" s="5"/>
      <c r="T6" s="142">
        <f t="shared" ref="T6:Z9" si="1">SUM(H6:K6)</f>
        <v>1222</v>
      </c>
      <c r="U6" s="142">
        <f t="shared" si="1"/>
        <v>1268</v>
      </c>
      <c r="V6" s="142">
        <f t="shared" si="1"/>
        <v>1337</v>
      </c>
      <c r="W6" s="142">
        <f t="shared" si="1"/>
        <v>1437</v>
      </c>
      <c r="X6" s="142">
        <f t="shared" si="1"/>
        <v>1570</v>
      </c>
      <c r="Y6" s="142">
        <f t="shared" si="1"/>
        <v>1722</v>
      </c>
      <c r="Z6" s="142">
        <f t="shared" si="1"/>
        <v>1904</v>
      </c>
      <c r="AA6" s="142">
        <f>SUM(O6:R6)</f>
        <v>2129</v>
      </c>
      <c r="AC6" s="126">
        <f t="shared" ref="AC6:AC10" si="2">SUM(AA6/W6)-1</f>
        <v>0.48155880306193466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Drivers'!B10</f>
        <v>Commercial</v>
      </c>
      <c r="C9" s="94">
        <f>'Revenue Drivers'!E10</f>
        <v>834</v>
      </c>
      <c r="D9" s="94">
        <f>'Revenue Drivers'!F10</f>
        <v>1003</v>
      </c>
      <c r="E9" s="94">
        <f>'Revenue Drivers'!G10</f>
        <v>1296</v>
      </c>
      <c r="F9" s="94" t="e">
        <f>'Revenue Drivers'!#REF!</f>
        <v>#REF!</v>
      </c>
      <c r="G9" s="10"/>
      <c r="H9" s="94">
        <f>'Revenue Drivers'!Q10</f>
        <v>236</v>
      </c>
      <c r="I9" s="94">
        <f>'Revenue Drivers'!R10</f>
        <v>232</v>
      </c>
      <c r="J9" s="94">
        <f>'Revenue Drivers'!S10</f>
        <v>251</v>
      </c>
      <c r="K9" s="94">
        <f>'Revenue Drivers'!T10</f>
        <v>284</v>
      </c>
      <c r="L9" s="94">
        <f>'Revenue Drivers'!U10</f>
        <v>299</v>
      </c>
      <c r="M9" s="94">
        <f>'Revenue Drivers'!V10</f>
        <v>307</v>
      </c>
      <c r="N9" s="94">
        <f>'Revenue Drivers'!W10</f>
        <v>317</v>
      </c>
      <c r="O9" s="94">
        <f>'Revenue Drivers'!X10</f>
        <v>373</v>
      </c>
      <c r="P9" s="94">
        <f>'Revenue Drivers'!Y10</f>
        <v>397</v>
      </c>
      <c r="Q9" s="94">
        <f>'Revenue Drivers'!Z10</f>
        <v>451</v>
      </c>
      <c r="R9" s="94">
        <f>'Revenue Drivers'!AA10</f>
        <v>548</v>
      </c>
      <c r="S9" s="5"/>
      <c r="T9" s="142">
        <f t="shared" si="1"/>
        <v>1003</v>
      </c>
      <c r="U9" s="142">
        <f t="shared" si="1"/>
        <v>1066</v>
      </c>
      <c r="V9" s="142">
        <f t="shared" si="1"/>
        <v>1141</v>
      </c>
      <c r="W9" s="142">
        <f t="shared" si="1"/>
        <v>1207</v>
      </c>
      <c r="X9" s="142">
        <f t="shared" si="1"/>
        <v>1296</v>
      </c>
      <c r="Y9" s="142">
        <f t="shared" si="1"/>
        <v>1394</v>
      </c>
      <c r="Z9" s="142">
        <f t="shared" si="1"/>
        <v>1538</v>
      </c>
      <c r="AA9" s="142">
        <f>SUM(O9:R9)</f>
        <v>1769</v>
      </c>
      <c r="AC9" s="126">
        <f t="shared" si="2"/>
        <v>0.46561723280861633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114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115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118</v>
      </c>
      <c r="C19" s="141">
        <f>'Historical Financials'!D17</f>
        <v>-615</v>
      </c>
      <c r="D19" s="141">
        <f>'Historical Financials'!E17</f>
        <v>-703</v>
      </c>
      <c r="E19" s="141">
        <f>'Historical Financials'!F17</f>
        <v>-745</v>
      </c>
      <c r="F19" s="141">
        <f>'Historical Financials'!G17</f>
        <v>-888</v>
      </c>
      <c r="G19" s="94"/>
      <c r="H19" s="141">
        <f>'Historical Financials'!Q17</f>
        <v>-187</v>
      </c>
      <c r="I19" s="141">
        <f>'Historical Financials'!R17</f>
        <v>-184</v>
      </c>
      <c r="J19" s="141">
        <f>'Historical Financials'!S17</f>
        <v>-176</v>
      </c>
      <c r="K19" s="141">
        <f>'Historical Financials'!T17</f>
        <v>-198</v>
      </c>
      <c r="L19" s="141">
        <f>'Historical Financials'!U17</f>
        <v>-193</v>
      </c>
      <c r="M19" s="141">
        <f>'Historical Financials'!V17</f>
        <v>-197</v>
      </c>
      <c r="N19" s="141">
        <f>'Historical Financials'!W17</f>
        <v>-209</v>
      </c>
      <c r="O19" s="141">
        <f>'Historical Financials'!X17</f>
        <v>-289</v>
      </c>
      <c r="P19" s="141">
        <f>'Historical Financials'!Y17</f>
        <v>-236</v>
      </c>
      <c r="Q19" s="141">
        <f>'Historical Financials'!Z17</f>
        <v>-244</v>
      </c>
      <c r="R19" s="141">
        <f>'Historical Financials'!AA17</f>
        <v>-275</v>
      </c>
      <c r="S19" s="5"/>
      <c r="T19" s="142">
        <f t="shared" ref="T19:Z23" si="32">SUM(H19:K19)</f>
        <v>-745</v>
      </c>
      <c r="U19" s="142">
        <f t="shared" si="32"/>
        <v>-751</v>
      </c>
      <c r="V19" s="142">
        <f t="shared" si="32"/>
        <v>-764</v>
      </c>
      <c r="W19" s="142">
        <f t="shared" si="32"/>
        <v>-797</v>
      </c>
      <c r="X19" s="142">
        <f t="shared" si="32"/>
        <v>-888</v>
      </c>
      <c r="Y19" s="142">
        <f t="shared" si="32"/>
        <v>-931</v>
      </c>
      <c r="Z19" s="142">
        <f t="shared" si="32"/>
        <v>-978</v>
      </c>
      <c r="AA19" s="142">
        <f>SUM(O19:R19)</f>
        <v>-1044</v>
      </c>
      <c r="AC19" s="126">
        <f t="shared" ref="AC19:AC23" si="33">SUM(AA19/W19)-1</f>
        <v>0.30991217063989973</v>
      </c>
    </row>
    <row r="20" spans="2:29" ht="12.75" customHeight="1">
      <c r="B20" s="23" t="s">
        <v>119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115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116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117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Financials'!D91</f>
        <v>0</v>
      </c>
      <c r="D27" s="141">
        <f>'Historical Financials'!E91</f>
        <v>0</v>
      </c>
      <c r="E27" s="141">
        <f>'Historical Financials'!F91</f>
        <v>0</v>
      </c>
      <c r="F27" s="141">
        <f>'Historical Financials'!G91</f>
        <v>0</v>
      </c>
      <c r="H27" s="141">
        <f>'Historical Financials'!Q91</f>
        <v>0</v>
      </c>
      <c r="I27" s="141">
        <f>'Historical Financials'!R91</f>
        <v>0</v>
      </c>
      <c r="J27" s="141">
        <f>'Historical Financials'!S91</f>
        <v>0</v>
      </c>
      <c r="K27" s="141">
        <f>'Historical Financials'!T91</f>
        <v>0</v>
      </c>
      <c r="L27" s="141">
        <f>'Historical Financials'!U91</f>
        <v>0</v>
      </c>
      <c r="M27" s="141">
        <f>'Historical Financials'!V91</f>
        <v>0</v>
      </c>
      <c r="N27" s="141">
        <f>'Historical Financials'!W91</f>
        <v>0</v>
      </c>
      <c r="O27" s="141">
        <f>'Historical Financials'!X91</f>
        <v>0</v>
      </c>
      <c r="P27" s="141">
        <f>'Historical Financials'!Y91</f>
        <v>0</v>
      </c>
      <c r="Q27" s="141">
        <f>'Historical Financials'!Z91</f>
        <v>0</v>
      </c>
      <c r="R27" s="141">
        <f>'Historical Financials'!AA91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120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121</v>
      </c>
      <c r="C32" s="141">
        <f>'Historical Financials'!D93</f>
        <v>0</v>
      </c>
      <c r="D32" s="141">
        <f>'Historical Financials'!E93</f>
        <v>0</v>
      </c>
      <c r="E32" s="141">
        <f>'Historical Financials'!F93</f>
        <v>0</v>
      </c>
      <c r="F32" s="141">
        <f>'Historical Financials'!G93</f>
        <v>0</v>
      </c>
      <c r="H32" s="141">
        <f>'Historical Financials'!Q93</f>
        <v>0</v>
      </c>
      <c r="I32" s="141">
        <f>'Historical Financials'!R93</f>
        <v>0</v>
      </c>
      <c r="J32" s="141">
        <f>'Historical Financials'!S93</f>
        <v>0</v>
      </c>
      <c r="K32" s="141">
        <f>'Historical Financials'!T93</f>
        <v>0</v>
      </c>
      <c r="L32" s="141">
        <f>'Historical Financials'!U93</f>
        <v>0</v>
      </c>
      <c r="M32" s="141">
        <f>'Historical Financials'!V93</f>
        <v>0</v>
      </c>
      <c r="N32" s="141">
        <f>'Historical Financials'!W93</f>
        <v>0</v>
      </c>
      <c r="O32" s="141">
        <f>'Historical Financials'!X93</f>
        <v>0</v>
      </c>
      <c r="P32" s="141">
        <f>'Historical Financials'!Y93</f>
        <v>0</v>
      </c>
      <c r="Q32" s="141">
        <f>'Historical Financials'!Z93</f>
        <v>0</v>
      </c>
      <c r="R32" s="141">
        <f>'Historical Financials'!AA93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122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123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Financials'!D100</f>
        <v>0</v>
      </c>
      <c r="D38" s="141">
        <f>'Historical Financials'!E100</f>
        <v>0</v>
      </c>
      <c r="E38" s="141">
        <f>'Historical Financials'!F100</f>
        <v>0</v>
      </c>
      <c r="F38" s="141">
        <f>'Historical Financials'!G100</f>
        <v>0</v>
      </c>
      <c r="H38" s="141">
        <f>'Historical Financials'!Q100</f>
        <v>0</v>
      </c>
      <c r="I38" s="141">
        <f>'Historical Financials'!R100</f>
        <v>0</v>
      </c>
      <c r="J38" s="141">
        <f>'Historical Financials'!S100</f>
        <v>0</v>
      </c>
      <c r="K38" s="141">
        <f>'Historical Financials'!T100</f>
        <v>0</v>
      </c>
      <c r="L38" s="141">
        <f>'Historical Financials'!U100</f>
        <v>0</v>
      </c>
      <c r="M38" s="141">
        <f>'Historical Financials'!V100</f>
        <v>0</v>
      </c>
      <c r="N38" s="141">
        <f>'Historical Financials'!W100</f>
        <v>0</v>
      </c>
      <c r="O38" s="141">
        <f>'Historical Financials'!X100</f>
        <v>0</v>
      </c>
      <c r="P38" s="141">
        <f>'Historical Financials'!Y100</f>
        <v>0</v>
      </c>
      <c r="Q38" s="141">
        <f>'Historical Financials'!Z100</f>
        <v>0</v>
      </c>
      <c r="R38" s="141">
        <f>'Historical Financials'!AA100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Financials'!D125</f>
        <v>0</v>
      </c>
      <c r="D39" s="141">
        <f>-'Historical Financials'!E125</f>
        <v>0</v>
      </c>
      <c r="E39" s="141">
        <f>-'Historical Financials'!F125</f>
        <v>0</v>
      </c>
      <c r="F39" s="141">
        <f>-'Historical Financials'!G125</f>
        <v>0</v>
      </c>
      <c r="H39" s="141">
        <f>-'Historical Financials'!Q125</f>
        <v>0</v>
      </c>
      <c r="I39" s="141">
        <f>-'Historical Financials'!R125</f>
        <v>0</v>
      </c>
      <c r="J39" s="141">
        <f>-'Historical Financials'!S125</f>
        <v>0</v>
      </c>
      <c r="K39" s="141">
        <f>-'Historical Financials'!T125</f>
        <v>0</v>
      </c>
      <c r="L39" s="141">
        <f>-'Historical Financials'!U125</f>
        <v>0</v>
      </c>
      <c r="M39" s="141">
        <f>-'Historical Financials'!V125</f>
        <v>0</v>
      </c>
      <c r="N39" s="141">
        <f>-'Historical Financials'!W125</f>
        <v>0</v>
      </c>
      <c r="O39" s="141">
        <f>-'Historical Financials'!X125</f>
        <v>0</v>
      </c>
      <c r="P39" s="141">
        <f>-'Historical Financials'!Y125</f>
        <v>0</v>
      </c>
      <c r="Q39" s="141">
        <f>-'Historical Financials'!Z125</f>
        <v>0</v>
      </c>
      <c r="R39" s="141">
        <f>-'Historical Financials'!AA125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Financials'!D124</f>
        <v>0</v>
      </c>
      <c r="D40" s="141">
        <f>-'Historical Financials'!E124</f>
        <v>0</v>
      </c>
      <c r="E40" s="141">
        <f>-'Historical Financials'!F124</f>
        <v>0</v>
      </c>
      <c r="F40" s="141">
        <f>-'Historical Financials'!G124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Financials'!D101</f>
        <v>0</v>
      </c>
      <c r="D44" s="141">
        <f>'Historical Financials'!E101</f>
        <v>0</v>
      </c>
      <c r="E44" s="141">
        <f>'Historical Financials'!F101</f>
        <v>0</v>
      </c>
      <c r="F44" s="141">
        <f>'Historical Financials'!G101</f>
        <v>0</v>
      </c>
      <c r="G44" s="32"/>
      <c r="H44" s="141">
        <f>'Historical Financials'!Q101</f>
        <v>0</v>
      </c>
      <c r="I44" s="141">
        <f>'Historical Financials'!R101</f>
        <v>0</v>
      </c>
      <c r="J44" s="141">
        <f>'Historical Financials'!S101</f>
        <v>0</v>
      </c>
      <c r="K44" s="141">
        <f>'Historical Financials'!T101</f>
        <v>0</v>
      </c>
      <c r="L44" s="141">
        <f>'Historical Financials'!U101</f>
        <v>0</v>
      </c>
      <c r="M44" s="141">
        <f>'Historical Financials'!V101</f>
        <v>0</v>
      </c>
      <c r="N44" s="141">
        <f>'Historical Financials'!W101</f>
        <v>0</v>
      </c>
      <c r="O44" s="141">
        <f>'Historical Financials'!X101</f>
        <v>0</v>
      </c>
      <c r="P44" s="141">
        <f>'Historical Financials'!Y101</f>
        <v>0</v>
      </c>
      <c r="Q44" s="141">
        <f>'Historical Financials'!Z101</f>
        <v>0</v>
      </c>
      <c r="R44" s="141">
        <f>'Historical Financials'!AA101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Financials'!D103</f>
        <v>0</v>
      </c>
      <c r="D45" s="141">
        <f>'Historical Financials'!E103</f>
        <v>0</v>
      </c>
      <c r="E45" s="141">
        <f>'Historical Financials'!F103</f>
        <v>0</v>
      </c>
      <c r="F45" s="141">
        <f>'Historical Financials'!G103</f>
        <v>0</v>
      </c>
      <c r="G45" s="32"/>
      <c r="H45" s="141">
        <f>'Historical Financials'!Q103</f>
        <v>0</v>
      </c>
      <c r="I45" s="141">
        <f>'Historical Financials'!R103</f>
        <v>0</v>
      </c>
      <c r="J45" s="141">
        <f>'Historical Financials'!S103</f>
        <v>0</v>
      </c>
      <c r="K45" s="141">
        <f>'Historical Financials'!T103</f>
        <v>0</v>
      </c>
      <c r="L45" s="141">
        <f>'Historical Financials'!U103</f>
        <v>0</v>
      </c>
      <c r="M45" s="141">
        <f>'Historical Financials'!V103</f>
        <v>0</v>
      </c>
      <c r="N45" s="141">
        <f>'Historical Financials'!W103</f>
        <v>0</v>
      </c>
      <c r="O45" s="141">
        <f>'Historical Financials'!X103</f>
        <v>0</v>
      </c>
      <c r="P45" s="141">
        <f>'Historical Financials'!Y103</f>
        <v>0</v>
      </c>
      <c r="Q45" s="141">
        <f>'Historical Financials'!Z103</f>
        <v>0</v>
      </c>
      <c r="R45" s="141">
        <f>'Historical Financials'!AA103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124</v>
      </c>
      <c r="C46" s="141">
        <f>'Historical Financials'!D102</f>
        <v>0</v>
      </c>
      <c r="D46" s="141">
        <f>'Historical Financials'!E102</f>
        <v>0</v>
      </c>
      <c r="E46" s="141">
        <f>'Historical Financials'!F102</f>
        <v>0</v>
      </c>
      <c r="F46" s="141">
        <f>'Historical Financials'!G102</f>
        <v>0</v>
      </c>
      <c r="G46" s="32"/>
      <c r="H46" s="141">
        <f>'Historical Financials'!Q102</f>
        <v>0</v>
      </c>
      <c r="I46" s="141">
        <f>'Historical Financials'!R102</f>
        <v>0</v>
      </c>
      <c r="J46" s="141">
        <f>'Historical Financials'!S102</f>
        <v>0</v>
      </c>
      <c r="K46" s="141">
        <f>'Historical Financials'!T102</f>
        <v>0</v>
      </c>
      <c r="L46" s="141">
        <f>'Historical Financials'!U102</f>
        <v>0</v>
      </c>
      <c r="M46" s="141">
        <f>'Historical Financials'!V102</f>
        <v>0</v>
      </c>
      <c r="N46" s="141">
        <f>'Historical Financials'!W102</f>
        <v>0</v>
      </c>
      <c r="O46" s="141">
        <f>'Historical Financials'!X102</f>
        <v>0</v>
      </c>
      <c r="P46" s="141">
        <f>'Historical Financials'!Y102</f>
        <v>0</v>
      </c>
      <c r="Q46" s="141">
        <f>'Historical Financials'!Z102</f>
        <v>0</v>
      </c>
      <c r="R46" s="141">
        <f>'Historical Financials'!AA102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Financials'!D107</f>
        <v>0</v>
      </c>
      <c r="D47" s="141">
        <f>'Historical Financials'!E107</f>
        <v>0</v>
      </c>
      <c r="E47" s="141">
        <f>'Historical Financials'!F107</f>
        <v>0</v>
      </c>
      <c r="F47" s="141">
        <f>'Historical Financials'!G107</f>
        <v>0</v>
      </c>
      <c r="G47" s="32"/>
      <c r="H47" s="141">
        <f>'Historical Financials'!Q107</f>
        <v>0</v>
      </c>
      <c r="I47" s="141">
        <f>'Historical Financials'!R107</f>
        <v>0</v>
      </c>
      <c r="J47" s="141">
        <f>'Historical Financials'!S107</f>
        <v>0</v>
      </c>
      <c r="K47" s="141">
        <f>'Historical Financials'!T107</f>
        <v>0</v>
      </c>
      <c r="L47" s="141">
        <f>'Historical Financials'!U107</f>
        <v>0</v>
      </c>
      <c r="M47" s="141">
        <f>'Historical Financials'!V107</f>
        <v>0</v>
      </c>
      <c r="N47" s="141">
        <f>'Historical Financials'!W107</f>
        <v>0</v>
      </c>
      <c r="O47" s="141">
        <f>'Historical Financials'!X107</f>
        <v>0</v>
      </c>
      <c r="P47" s="141">
        <f>'Historical Financials'!Y107</f>
        <v>0</v>
      </c>
      <c r="Q47" s="141">
        <f>'Historical Financials'!Z107</f>
        <v>0</v>
      </c>
      <c r="R47" s="141">
        <f>'Historical Financials'!AA107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125</v>
      </c>
      <c r="C48" s="141">
        <f>'Historical Financials'!D108</f>
        <v>0</v>
      </c>
      <c r="D48" s="141">
        <f>'Historical Financials'!E108</f>
        <v>0</v>
      </c>
      <c r="E48" s="141">
        <f>'Historical Financials'!F108</f>
        <v>0</v>
      </c>
      <c r="F48" s="141">
        <f>'Historical Financials'!G108</f>
        <v>0</v>
      </c>
      <c r="G48" s="32"/>
      <c r="H48" s="141">
        <f>'Historical Financials'!Q108</f>
        <v>0</v>
      </c>
      <c r="I48" s="141">
        <f>'Historical Financials'!R108</f>
        <v>0</v>
      </c>
      <c r="J48" s="141">
        <f>'Historical Financials'!S108</f>
        <v>0</v>
      </c>
      <c r="K48" s="141">
        <f>'Historical Financials'!T108</f>
        <v>0</v>
      </c>
      <c r="L48" s="141">
        <f>'Historical Financials'!U108</f>
        <v>0</v>
      </c>
      <c r="M48" s="141">
        <f>'Historical Financials'!V108</f>
        <v>0</v>
      </c>
      <c r="N48" s="141">
        <f>'Historical Financials'!W108</f>
        <v>0</v>
      </c>
      <c r="O48" s="141">
        <f>'Historical Financials'!X108</f>
        <v>0</v>
      </c>
      <c r="P48" s="141">
        <f>'Historical Financials'!Y108</f>
        <v>0</v>
      </c>
      <c r="Q48" s="141">
        <f>'Historical Financials'!Z108</f>
        <v>0</v>
      </c>
      <c r="R48" s="141">
        <f>'Historical Financials'!AA108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Financials'!D109:D109)</f>
        <v>0</v>
      </c>
      <c r="D49" s="141">
        <f>SUM('Historical Financials'!E109:E109)</f>
        <v>0</v>
      </c>
      <c r="E49" s="141">
        <f>SUM('Historical Financials'!F109:F109)</f>
        <v>0</v>
      </c>
      <c r="F49" s="141">
        <f>SUM('Historical Financials'!G109:G109)</f>
        <v>0</v>
      </c>
      <c r="G49" s="32"/>
      <c r="H49" s="141">
        <f>SUM('Historical Financials'!Q109:Q109)</f>
        <v>0</v>
      </c>
      <c r="I49" s="141">
        <f>SUM('Historical Financials'!R109:R109)</f>
        <v>0</v>
      </c>
      <c r="J49" s="141">
        <f>SUM('Historical Financials'!S109:S109)</f>
        <v>0</v>
      </c>
      <c r="K49" s="141">
        <f>SUM('Historical Financials'!T109:T109)</f>
        <v>0</v>
      </c>
      <c r="L49" s="141">
        <f>SUM('Historical Financials'!U109:U109)</f>
        <v>0</v>
      </c>
      <c r="M49" s="141">
        <f>SUM('Historical Financials'!V109:V109)</f>
        <v>0</v>
      </c>
      <c r="N49" s="141">
        <f>SUM('Historical Financials'!W109:W109)</f>
        <v>0</v>
      </c>
      <c r="O49" s="141">
        <f>SUM('Historical Financials'!X109:X109)</f>
        <v>0</v>
      </c>
      <c r="P49" s="141">
        <f>SUM('Historical Financials'!Y109:Y109)</f>
        <v>0</v>
      </c>
      <c r="Q49" s="141">
        <f>SUM('Historical Financials'!Z109:Z109)</f>
        <v>0</v>
      </c>
      <c r="R49" s="141">
        <f>SUM('Historical Financials'!AA109:AA109)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Financials'!D43</f>
        <v>2291</v>
      </c>
      <c r="D55" s="94">
        <f>'Historical Financials'!E43</f>
        <v>2599</v>
      </c>
      <c r="E55" s="94">
        <f>'Historical Financials'!F43</f>
        <v>831</v>
      </c>
      <c r="F55" s="94">
        <f>'Historical Financials'!G43</f>
        <v>2099</v>
      </c>
      <c r="G55" s="32"/>
      <c r="H55" s="94">
        <f>'Historical Financials'!Q43</f>
        <v>1265</v>
      </c>
      <c r="I55" s="94">
        <f>'Historical Financials'!R43</f>
        <v>1056</v>
      </c>
      <c r="J55" s="94">
        <f>'Historical Financials'!S43</f>
        <v>1040</v>
      </c>
      <c r="K55" s="94">
        <f>'Historical Financials'!T43</f>
        <v>831</v>
      </c>
      <c r="L55" s="94">
        <f>'Historical Financials'!U43</f>
        <v>993</v>
      </c>
      <c r="M55" s="94">
        <f>'Historical Financials'!V43</f>
        <v>513</v>
      </c>
      <c r="N55" s="94">
        <f>'Historical Financials'!W43</f>
        <v>769</v>
      </c>
      <c r="O55" s="94">
        <f>'Historical Financials'!X43</f>
        <v>2099</v>
      </c>
      <c r="P55" s="94">
        <f>'Historical Financials'!Y43</f>
        <v>993</v>
      </c>
      <c r="Q55" s="94">
        <f>'Historical Financials'!Z43</f>
        <v>930</v>
      </c>
      <c r="R55" s="94">
        <f>'Historical Financials'!AA43</f>
        <v>1616</v>
      </c>
      <c r="T55" s="10">
        <f t="shared" ref="T55:Z57" si="102">K55</f>
        <v>831</v>
      </c>
      <c r="U55" s="10">
        <f t="shared" si="102"/>
        <v>993</v>
      </c>
      <c r="V55" s="10">
        <f t="shared" si="102"/>
        <v>513</v>
      </c>
      <c r="W55" s="10">
        <f t="shared" si="102"/>
        <v>769</v>
      </c>
      <c r="X55" s="10">
        <f t="shared" si="102"/>
        <v>2099</v>
      </c>
      <c r="Y55" s="10">
        <f t="shared" si="102"/>
        <v>993</v>
      </c>
      <c r="Z55" s="10">
        <f t="shared" si="102"/>
        <v>930</v>
      </c>
      <c r="AA55" s="10">
        <f>R55</f>
        <v>1616</v>
      </c>
    </row>
    <row r="56" spans="1:27" ht="12.75" customHeight="1">
      <c r="B56" s="8" t="s">
        <v>126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133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831</v>
      </c>
      <c r="U58" s="14">
        <f t="shared" si="105"/>
        <v>993</v>
      </c>
      <c r="V58" s="14">
        <f t="shared" si="105"/>
        <v>513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130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131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135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Financials'!D51</f>
        <v>31</v>
      </c>
      <c r="D65" s="94">
        <f>'Historical Financials'!E51</f>
        <v>69</v>
      </c>
      <c r="E65" s="94">
        <f>'Historical Financials'!F51</f>
        <v>48</v>
      </c>
      <c r="F65" s="94">
        <f>'Historical Financials'!G51</f>
        <v>40</v>
      </c>
      <c r="H65" s="94">
        <f>'Historical Financials'!Q51</f>
        <v>63</v>
      </c>
      <c r="I65" s="94">
        <f>'Historical Financials'!R51</f>
        <v>54</v>
      </c>
      <c r="J65" s="94">
        <f>'Historical Financials'!S51</f>
        <v>50</v>
      </c>
      <c r="K65" s="94">
        <f>'Historical Financials'!T51</f>
        <v>48</v>
      </c>
      <c r="L65" s="94">
        <f>'Historical Financials'!U51</f>
        <v>40</v>
      </c>
      <c r="M65" s="94">
        <f>'Historical Financials'!V51</f>
        <v>43</v>
      </c>
      <c r="N65" s="94">
        <f>'Historical Financials'!W51</f>
        <v>40</v>
      </c>
      <c r="O65" s="94">
        <f>'Historical Financials'!X51</f>
        <v>40</v>
      </c>
      <c r="P65" s="94">
        <f>'Historical Financials'!Y51</f>
        <v>40</v>
      </c>
      <c r="Q65" s="94">
        <f>'Historical Financials'!Z51</f>
        <v>44</v>
      </c>
      <c r="R65" s="94">
        <f>'Historical Financials'!AA51</f>
        <v>46</v>
      </c>
      <c r="S65" s="10"/>
      <c r="T65" s="10">
        <f t="shared" si="106"/>
        <v>48</v>
      </c>
      <c r="U65" s="10">
        <f t="shared" si="106"/>
        <v>40</v>
      </c>
      <c r="V65" s="10">
        <f t="shared" si="106"/>
        <v>43</v>
      </c>
      <c r="W65" s="10">
        <f t="shared" si="106"/>
        <v>40</v>
      </c>
      <c r="X65" s="10">
        <f t="shared" si="106"/>
        <v>40</v>
      </c>
      <c r="Y65" s="10">
        <f t="shared" si="106"/>
        <v>40</v>
      </c>
      <c r="Z65" s="10">
        <f t="shared" si="106"/>
        <v>44</v>
      </c>
      <c r="AA65" s="10">
        <f t="shared" si="107"/>
        <v>46</v>
      </c>
    </row>
    <row r="66" spans="2:27" ht="12.75" customHeight="1">
      <c r="B66" s="8" t="s">
        <v>107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>
        <f>'Historical Financials'!D58</f>
        <v>75</v>
      </c>
      <c r="D67" s="94">
        <f>'Historical Financials'!E58</f>
        <v>45</v>
      </c>
      <c r="E67" s="94">
        <f>'Historical Financials'!F58</f>
        <v>12</v>
      </c>
      <c r="F67" s="94">
        <f>'Historical Financials'!G58</f>
        <v>0</v>
      </c>
      <c r="G67" s="94"/>
      <c r="H67" s="94">
        <f>'Historical Financials'!Q58</f>
        <v>5</v>
      </c>
      <c r="I67" s="94">
        <f>'Historical Financials'!R58</f>
        <v>5</v>
      </c>
      <c r="J67" s="94">
        <f>'Historical Financials'!S58</f>
        <v>9</v>
      </c>
      <c r="K67" s="94">
        <f>'Historical Financials'!T58</f>
        <v>12</v>
      </c>
      <c r="L67" s="94">
        <f>'Historical Financials'!U58</f>
        <v>2</v>
      </c>
      <c r="M67" s="94">
        <f>'Historical Financials'!V58</f>
        <v>67</v>
      </c>
      <c r="N67" s="94">
        <f>'Historical Financials'!W58</f>
        <v>27</v>
      </c>
      <c r="O67" s="94">
        <f>'Historical Financials'!X58</f>
        <v>0</v>
      </c>
      <c r="P67" s="94">
        <f>'Historical Financials'!Y58</f>
        <v>2</v>
      </c>
      <c r="Q67" s="94">
        <f>'Historical Financials'!Z58</f>
        <v>11</v>
      </c>
      <c r="R67" s="94">
        <f>'Historical Financials'!AA58</f>
        <v>77</v>
      </c>
      <c r="T67" s="10">
        <f t="shared" si="106"/>
        <v>12</v>
      </c>
      <c r="U67" s="10">
        <f t="shared" si="106"/>
        <v>2</v>
      </c>
      <c r="V67" s="10">
        <f t="shared" si="106"/>
        <v>67</v>
      </c>
      <c r="W67" s="10">
        <f t="shared" si="106"/>
        <v>27</v>
      </c>
      <c r="X67" s="10">
        <f t="shared" si="106"/>
        <v>0</v>
      </c>
      <c r="Y67" s="10">
        <f t="shared" si="106"/>
        <v>2</v>
      </c>
      <c r="Z67" s="10">
        <f t="shared" si="106"/>
        <v>11</v>
      </c>
      <c r="AA67" s="10">
        <f t="shared" si="107"/>
        <v>77</v>
      </c>
    </row>
    <row r="68" spans="2:27" ht="12.75" customHeight="1">
      <c r="B68" s="8" t="s">
        <v>45</v>
      </c>
      <c r="C68" s="94">
        <f>'Historical Financials'!D63</f>
        <v>661</v>
      </c>
      <c r="D68" s="94">
        <f>'Historical Financials'!E63</f>
        <v>588</v>
      </c>
      <c r="E68" s="94">
        <f>'Historical Financials'!F63</f>
        <v>746</v>
      </c>
      <c r="F68" s="94">
        <f>'Historical Financials'!G63</f>
        <v>996</v>
      </c>
      <c r="G68" s="94"/>
      <c r="H68" s="94">
        <f>'Historical Financials'!Q63</f>
        <v>603</v>
      </c>
      <c r="I68" s="94">
        <f>'Historical Financials'!R63</f>
        <v>686</v>
      </c>
      <c r="J68" s="94">
        <f>'Historical Financials'!S63</f>
        <v>689</v>
      </c>
      <c r="K68" s="94">
        <f>'Historical Financials'!T63</f>
        <v>746</v>
      </c>
      <c r="L68" s="94">
        <f>'Historical Financials'!U63</f>
        <v>967</v>
      </c>
      <c r="M68" s="94">
        <f>'Historical Financials'!V63</f>
        <v>806</v>
      </c>
      <c r="N68" s="94">
        <f>'Historical Financials'!W63</f>
        <v>944</v>
      </c>
      <c r="O68" s="94">
        <f>'Historical Financials'!X63</f>
        <v>996</v>
      </c>
      <c r="P68" s="94">
        <f>'Historical Financials'!Y63</f>
        <v>967</v>
      </c>
      <c r="Q68" s="94">
        <f>'Historical Financials'!Z63</f>
        <v>1090</v>
      </c>
      <c r="R68" s="94">
        <f>'Historical Financials'!AA63</f>
        <v>1190</v>
      </c>
      <c r="T68" s="10">
        <f t="shared" si="106"/>
        <v>746</v>
      </c>
      <c r="U68" s="10">
        <f t="shared" si="106"/>
        <v>967</v>
      </c>
      <c r="V68" s="10">
        <f t="shared" si="106"/>
        <v>806</v>
      </c>
      <c r="W68" s="10">
        <f t="shared" si="106"/>
        <v>944</v>
      </c>
      <c r="X68" s="10">
        <f t="shared" si="106"/>
        <v>996</v>
      </c>
      <c r="Y68" s="10">
        <f t="shared" si="106"/>
        <v>967</v>
      </c>
      <c r="Z68" s="10">
        <f t="shared" si="106"/>
        <v>1090</v>
      </c>
      <c r="AA68" s="10">
        <f t="shared" si="107"/>
        <v>1190</v>
      </c>
    </row>
    <row r="69" spans="2:27" ht="12.75" customHeight="1">
      <c r="B69" s="8" t="s">
        <v>15</v>
      </c>
      <c r="C69" s="94">
        <f>'Historical Financials'!D71</f>
        <v>957</v>
      </c>
      <c r="D69" s="94">
        <f>'Historical Financials'!E71</f>
        <v>819</v>
      </c>
      <c r="E69" s="94">
        <f>'Historical Financials'!F71</f>
        <v>961</v>
      </c>
      <c r="F69" s="94">
        <f>'Historical Financials'!G71</f>
        <v>1247</v>
      </c>
      <c r="G69" s="94"/>
      <c r="H69" s="94">
        <f>'Historical Financials'!Q71</f>
        <v>881</v>
      </c>
      <c r="I69" s="94">
        <f>'Historical Financials'!R71</f>
        <v>945</v>
      </c>
      <c r="J69" s="94">
        <f>'Historical Financials'!S71</f>
        <v>921</v>
      </c>
      <c r="K69" s="94">
        <f>'Historical Financials'!T71</f>
        <v>961</v>
      </c>
      <c r="L69" s="94">
        <f>'Historical Financials'!U71</f>
        <v>1216</v>
      </c>
      <c r="M69" s="94">
        <f>'Historical Financials'!V71</f>
        <v>1054</v>
      </c>
      <c r="N69" s="94">
        <f>'Historical Financials'!W71</f>
        <v>1177</v>
      </c>
      <c r="O69" s="94">
        <f>'Historical Financials'!X71</f>
        <v>1247</v>
      </c>
      <c r="P69" s="94">
        <f>'Historical Financials'!Y71</f>
        <v>1216</v>
      </c>
      <c r="Q69" s="94">
        <f>'Historical Financials'!Z71</f>
        <v>1340</v>
      </c>
      <c r="R69" s="94">
        <f>'Historical Financials'!AA71</f>
        <v>1436</v>
      </c>
      <c r="T69" s="10">
        <f t="shared" si="106"/>
        <v>961</v>
      </c>
      <c r="U69" s="10">
        <f t="shared" si="106"/>
        <v>1216</v>
      </c>
      <c r="V69" s="10">
        <f t="shared" si="106"/>
        <v>1054</v>
      </c>
      <c r="W69" s="10">
        <f t="shared" si="106"/>
        <v>1177</v>
      </c>
      <c r="X69" s="10">
        <f t="shared" si="106"/>
        <v>1247</v>
      </c>
      <c r="Y69" s="10">
        <f t="shared" si="106"/>
        <v>1216</v>
      </c>
      <c r="Z69" s="10">
        <f t="shared" si="106"/>
        <v>1340</v>
      </c>
      <c r="AA69" s="10">
        <f t="shared" si="107"/>
        <v>1436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134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132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127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113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112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111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110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109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128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129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Financials'!D77</f>
        <v>2291</v>
      </c>
      <c r="D87" s="94">
        <f>'Historical Financials'!E77</f>
        <v>2642</v>
      </c>
      <c r="E87" s="94">
        <f>'Historical Financials'!F77</f>
        <v>3561</v>
      </c>
      <c r="F87" s="94">
        <f>'Historical Financials'!G77</f>
        <v>5095</v>
      </c>
      <c r="H87" s="94">
        <f>'Historical Financials'!Q77</f>
        <v>2803</v>
      </c>
      <c r="I87" s="94">
        <f>'Historical Financials'!R77</f>
        <v>3035</v>
      </c>
      <c r="J87" s="94">
        <f>'Historical Financials'!S77</f>
        <v>3272</v>
      </c>
      <c r="K87" s="94">
        <f>'Historical Financials'!T77</f>
        <v>3561</v>
      </c>
      <c r="L87" s="94">
        <f>'Historical Financials'!U77</f>
        <v>5519</v>
      </c>
      <c r="M87" s="94">
        <f>'Historical Financials'!V77</f>
        <v>4138</v>
      </c>
      <c r="N87" s="94">
        <f>'Historical Financials'!W77</f>
        <v>4591</v>
      </c>
      <c r="O87" s="94">
        <f>'Historical Financials'!X77</f>
        <v>5095</v>
      </c>
      <c r="P87" s="94">
        <f>'Historical Financials'!Y77</f>
        <v>5519</v>
      </c>
      <c r="Q87" s="94">
        <f>'Historical Financials'!Z77</f>
        <v>6026</v>
      </c>
      <c r="R87" s="94">
        <f>'Historical Financials'!AA77</f>
        <v>6688</v>
      </c>
      <c r="T87" s="10">
        <f t="shared" ref="T87:AA87" si="130">K87</f>
        <v>3561</v>
      </c>
      <c r="U87" s="10">
        <f t="shared" si="130"/>
        <v>5519</v>
      </c>
      <c r="V87" s="10">
        <f t="shared" si="130"/>
        <v>4138</v>
      </c>
      <c r="W87" s="142">
        <f t="shared" si="130"/>
        <v>4591</v>
      </c>
      <c r="X87" s="142">
        <f t="shared" si="130"/>
        <v>5095</v>
      </c>
      <c r="Y87" s="142">
        <f t="shared" si="130"/>
        <v>5519</v>
      </c>
      <c r="Z87" s="142">
        <f t="shared" si="130"/>
        <v>6026</v>
      </c>
      <c r="AA87" s="142">
        <f t="shared" si="130"/>
        <v>6688</v>
      </c>
    </row>
    <row r="88" spans="1:27" ht="12.75" customHeight="1">
      <c r="B88" s="13" t="s">
        <v>47</v>
      </c>
      <c r="C88" s="14">
        <f>SUM(C85:C87)</f>
        <v>2618</v>
      </c>
      <c r="D88" s="14">
        <f>SUM(D85:D87)</f>
        <v>5143</v>
      </c>
      <c r="E88" s="14">
        <f>SUM(E85:E87)</f>
        <v>6061</v>
      </c>
      <c r="F88" s="14">
        <f>SUM(F85:F87)</f>
        <v>6845</v>
      </c>
      <c r="H88" s="14">
        <f t="shared" ref="H88:M88" si="131">SUM(H85:H87)</f>
        <v>5303</v>
      </c>
      <c r="I88" s="14">
        <f t="shared" si="131"/>
        <v>5535</v>
      </c>
      <c r="J88" s="14">
        <f t="shared" si="131"/>
        <v>5772</v>
      </c>
      <c r="K88" s="14">
        <f t="shared" si="131"/>
        <v>6061</v>
      </c>
      <c r="L88" s="14">
        <f t="shared" si="131"/>
        <v>8019</v>
      </c>
      <c r="M88" s="14">
        <f t="shared" si="131"/>
        <v>5888</v>
      </c>
      <c r="N88" s="14">
        <f>SUM(N85:N87)</f>
        <v>6341</v>
      </c>
      <c r="O88" s="14">
        <f>SUM(O85:O87)</f>
        <v>6845</v>
      </c>
      <c r="P88" s="14">
        <f>SUM(P85:P87)</f>
        <v>9719</v>
      </c>
      <c r="Q88" s="14">
        <f>SUM(Q85:Q87)</f>
        <v>9276</v>
      </c>
      <c r="R88" s="14">
        <f>SUM(R85:R87)</f>
        <v>9938</v>
      </c>
      <c r="T88" s="14">
        <f t="shared" ref="T88:Y88" si="132">SUM(T85:T87)</f>
        <v>6061</v>
      </c>
      <c r="U88" s="14">
        <f t="shared" si="132"/>
        <v>8019</v>
      </c>
      <c r="V88" s="14">
        <f t="shared" si="132"/>
        <v>5888</v>
      </c>
      <c r="W88" s="14">
        <f t="shared" si="132"/>
        <v>6341</v>
      </c>
      <c r="X88" s="14">
        <f t="shared" si="132"/>
        <v>6845</v>
      </c>
      <c r="Y88" s="14">
        <f t="shared" si="132"/>
        <v>9719</v>
      </c>
      <c r="Z88" s="14">
        <f>SUM(Z85:Z87)</f>
        <v>9276</v>
      </c>
      <c r="AA88" s="14">
        <f>SUM(AA85:AA87)</f>
        <v>9938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8.0061162079510702</v>
      </c>
      <c r="D97" s="83">
        <f>D88/D85</f>
        <v>2.0563774490203919</v>
      </c>
      <c r="E97" s="83">
        <f>E88/E85</f>
        <v>2.4243999999999999</v>
      </c>
      <c r="F97" s="83">
        <f>F88/F85</f>
        <v>3.9114285714285715</v>
      </c>
      <c r="H97" s="83">
        <f t="shared" ref="H97:Q97" si="138">H88/H85</f>
        <v>2.1212</v>
      </c>
      <c r="I97" s="83">
        <f t="shared" si="138"/>
        <v>2.214</v>
      </c>
      <c r="J97" s="83">
        <f t="shared" si="138"/>
        <v>2.3088000000000002</v>
      </c>
      <c r="K97" s="83">
        <f t="shared" si="138"/>
        <v>2.4243999999999999</v>
      </c>
      <c r="L97" s="83">
        <f t="shared" si="138"/>
        <v>3.2075999999999998</v>
      </c>
      <c r="M97" s="83">
        <f t="shared" si="138"/>
        <v>3.3645714285714288</v>
      </c>
      <c r="N97" s="83">
        <f t="shared" si="138"/>
        <v>3.6234285714285712</v>
      </c>
      <c r="O97" s="83">
        <f t="shared" si="138"/>
        <v>3.9114285714285715</v>
      </c>
      <c r="P97" s="83">
        <f t="shared" si="138"/>
        <v>2.3140476190476189</v>
      </c>
      <c r="Q97" s="83">
        <f t="shared" si="138"/>
        <v>2.8541538461538463</v>
      </c>
      <c r="R97" s="83">
        <f>R88/R85</f>
        <v>3.0578461538461537</v>
      </c>
      <c r="S97" s="83"/>
      <c r="T97" s="83">
        <f t="shared" ref="T97:Y97" si="139">T88/T85</f>
        <v>2.4243999999999999</v>
      </c>
      <c r="U97" s="83">
        <f t="shared" si="139"/>
        <v>3.2075999999999998</v>
      </c>
      <c r="V97" s="83">
        <f t="shared" si="139"/>
        <v>3.3645714285714288</v>
      </c>
      <c r="W97" s="83">
        <f t="shared" si="139"/>
        <v>3.6234285714285712</v>
      </c>
      <c r="X97" s="83">
        <f t="shared" si="139"/>
        <v>3.9114285714285715</v>
      </c>
      <c r="Y97" s="83">
        <f t="shared" si="139"/>
        <v>2.3140476190476189</v>
      </c>
      <c r="Z97" s="83">
        <f>Z88/Z85</f>
        <v>2.8541538461538463</v>
      </c>
      <c r="AA97" s="83">
        <f>AA88/AA85</f>
        <v>3.0578461538461537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2025-12-26T19:28:17Z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