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elix\Downloads\"/>
    </mc:Choice>
  </mc:AlternateContent>
  <xr:revisionPtr revIDLastSave="0" documentId="8_{0D5E2CE2-C4CF-43E3-B58A-62338989ADE4}" xr6:coauthVersionLast="47" xr6:coauthVersionMax="47" xr10:uidLastSave="{00000000-0000-0000-0000-000000000000}"/>
  <bookViews>
    <workbookView xWindow="-120" yWindow="-120" windowWidth="29040" windowHeight="15720" firstSheet="1" activeTab="9" xr2:uid="{BC9106CE-9107-4097-8948-317996376CB5}"/>
  </bookViews>
  <sheets>
    <sheet name="Historical Financials" sheetId="8" r:id="rId1"/>
    <sheet name="EPS" sheetId="18" r:id="rId2"/>
    <sheet name="Revenue Drivers" sheetId="10" r:id="rId3"/>
    <sheet name="FCF" sheetId="9" r:id="rId4"/>
    <sheet name="3-Statement Model" sheetId="14" r:id="rId5"/>
    <sheet name="Sheet1" sheetId="19" r:id="rId6"/>
    <sheet name="DCF" sheetId="12" r:id="rId7"/>
    <sheet name="WACC" sheetId="16" r:id="rId8"/>
    <sheet name="Shares" sheetId="17" r:id="rId9"/>
    <sheet name="Drivers" sheetId="20" r:id="rId10"/>
  </sheets>
  <externalReferences>
    <externalReference r:id="rId11"/>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3" i="19" l="1"/>
  <c r="H187" i="19"/>
  <c r="G187" i="19"/>
  <c r="F187" i="19"/>
  <c r="E187" i="19"/>
  <c r="D187" i="19"/>
  <c r="C187" i="19"/>
  <c r="L183" i="19"/>
  <c r="L187" i="19" s="1"/>
  <c r="N183" i="19" s="1"/>
  <c r="N187" i="19" s="1"/>
  <c r="P183" i="19" s="1"/>
  <c r="P187" i="19" s="1"/>
  <c r="Q180" i="19"/>
  <c r="P180" i="19"/>
  <c r="O180" i="19"/>
  <c r="N180" i="19"/>
  <c r="M180" i="19"/>
  <c r="L180" i="19"/>
  <c r="M187" i="19"/>
  <c r="O183" i="19" s="1"/>
  <c r="O187" i="19" s="1"/>
  <c r="Q183" i="19" s="1"/>
  <c r="Q187" i="19" s="1"/>
  <c r="Q200" i="19"/>
  <c r="P200" i="19"/>
  <c r="O200" i="19"/>
  <c r="N200" i="19"/>
  <c r="M200" i="19"/>
  <c r="L200" i="19"/>
  <c r="G168" i="14"/>
  <c r="Q194" i="19"/>
  <c r="P194" i="19"/>
  <c r="O194" i="19"/>
  <c r="N194" i="19"/>
  <c r="M194" i="19"/>
  <c r="L194" i="19"/>
  <c r="L153" i="19"/>
  <c r="M154" i="19"/>
  <c r="N154" i="19" s="1"/>
  <c r="O154" i="19" l="1"/>
  <c r="P154" i="19" s="1"/>
  <c r="Q154" i="19" s="1"/>
  <c r="H154" i="19"/>
  <c r="H158" i="19" s="1"/>
  <c r="L158" i="19" s="1"/>
  <c r="G154" i="19"/>
  <c r="G158" i="19" s="1"/>
  <c r="F154" i="19"/>
  <c r="F158" i="19" s="1"/>
  <c r="E154" i="19"/>
  <c r="E158" i="19" s="1"/>
  <c r="D154" i="19"/>
  <c r="D158" i="19" s="1"/>
  <c r="C154" i="19"/>
  <c r="C158" i="19" s="1"/>
  <c r="C153" i="19"/>
  <c r="Q138" i="19"/>
  <c r="P138" i="19"/>
  <c r="O138" i="19"/>
  <c r="N138" i="19"/>
  <c r="M138" i="19"/>
  <c r="L138" i="19"/>
  <c r="B126" i="19"/>
  <c r="B125" i="19"/>
  <c r="K88" i="14"/>
  <c r="C116" i="19"/>
  <c r="D116" i="19"/>
  <c r="E116" i="19"/>
  <c r="F116" i="19"/>
  <c r="G116" i="19"/>
  <c r="H116" i="19"/>
  <c r="L116" i="19" s="1"/>
  <c r="C117" i="19"/>
  <c r="D117" i="19"/>
  <c r="E117" i="19"/>
  <c r="F117" i="19"/>
  <c r="G117" i="19"/>
  <c r="H117" i="19"/>
  <c r="C118" i="19"/>
  <c r="D118" i="19"/>
  <c r="E118" i="19"/>
  <c r="F118" i="19"/>
  <c r="G118" i="19"/>
  <c r="H118" i="19"/>
  <c r="L118" i="19" s="1"/>
  <c r="M118" i="19" s="1"/>
  <c r="N118" i="19" s="1"/>
  <c r="O118" i="19" s="1"/>
  <c r="P118" i="19" s="1"/>
  <c r="Q118" i="19" s="1"/>
  <c r="C119" i="19"/>
  <c r="D119" i="19"/>
  <c r="E119" i="19"/>
  <c r="F119" i="19"/>
  <c r="G119" i="19"/>
  <c r="H119" i="19"/>
  <c r="H112" i="19"/>
  <c r="G112" i="19"/>
  <c r="F112" i="19"/>
  <c r="E112" i="19"/>
  <c r="D112" i="19"/>
  <c r="C112" i="19"/>
  <c r="H111" i="19"/>
  <c r="L111" i="19" s="1"/>
  <c r="M111" i="19" s="1"/>
  <c r="N111" i="19" s="1"/>
  <c r="O111" i="19" s="1"/>
  <c r="P111" i="19" s="1"/>
  <c r="Q111" i="19" s="1"/>
  <c r="G111" i="19"/>
  <c r="F111" i="19"/>
  <c r="E111" i="19"/>
  <c r="D111" i="19"/>
  <c r="C111" i="19"/>
  <c r="H110" i="19"/>
  <c r="L110" i="19" s="1"/>
  <c r="G110" i="19"/>
  <c r="F110" i="19"/>
  <c r="E110" i="19"/>
  <c r="D110" i="19"/>
  <c r="C110" i="19"/>
  <c r="H108" i="19"/>
  <c r="L108" i="19" s="1"/>
  <c r="M108" i="19" s="1"/>
  <c r="N108" i="19" s="1"/>
  <c r="O108" i="19" s="1"/>
  <c r="P108" i="19" s="1"/>
  <c r="Q108" i="19" s="1"/>
  <c r="Q140" i="19" s="1"/>
  <c r="Q144" i="19" s="1"/>
  <c r="G108" i="19"/>
  <c r="F108" i="19"/>
  <c r="E108" i="19"/>
  <c r="D108" i="19"/>
  <c r="C108" i="19"/>
  <c r="H104" i="19"/>
  <c r="G104" i="19"/>
  <c r="F104" i="19"/>
  <c r="E104" i="19"/>
  <c r="D104" i="19"/>
  <c r="C104" i="19"/>
  <c r="H103" i="19"/>
  <c r="G103" i="19"/>
  <c r="F103" i="19"/>
  <c r="E103" i="19"/>
  <c r="D103" i="19"/>
  <c r="C103" i="19"/>
  <c r="H102" i="19"/>
  <c r="L102" i="19" s="1"/>
  <c r="M102" i="19" s="1"/>
  <c r="N102" i="19" s="1"/>
  <c r="O102" i="19" s="1"/>
  <c r="P102" i="19" s="1"/>
  <c r="Q102" i="19" s="1"/>
  <c r="G102" i="19"/>
  <c r="F102" i="19"/>
  <c r="E102" i="19"/>
  <c r="D102" i="19"/>
  <c r="C102" i="19"/>
  <c r="H101" i="19"/>
  <c r="L101" i="19" s="1"/>
  <c r="M101" i="19" s="1"/>
  <c r="N101" i="19" s="1"/>
  <c r="O101" i="19" s="1"/>
  <c r="P101" i="19" s="1"/>
  <c r="Q101" i="19" s="1"/>
  <c r="G101" i="19"/>
  <c r="F101" i="19"/>
  <c r="E101" i="19"/>
  <c r="D101" i="19"/>
  <c r="C101" i="19"/>
  <c r="H100" i="19"/>
  <c r="G100" i="19"/>
  <c r="F100" i="19"/>
  <c r="E100" i="19"/>
  <c r="D100" i="19"/>
  <c r="C100" i="19"/>
  <c r="H96" i="19"/>
  <c r="G96" i="19"/>
  <c r="F96" i="19"/>
  <c r="E96" i="19"/>
  <c r="D96" i="19"/>
  <c r="C96" i="19"/>
  <c r="H95" i="19"/>
  <c r="L95" i="19" s="1"/>
  <c r="M95" i="19" s="1"/>
  <c r="N95" i="19" s="1"/>
  <c r="O95" i="19" s="1"/>
  <c r="P95" i="19" s="1"/>
  <c r="Q95" i="19" s="1"/>
  <c r="G95" i="19"/>
  <c r="F95" i="19"/>
  <c r="E95" i="19"/>
  <c r="D95" i="19"/>
  <c r="C95" i="19"/>
  <c r="H94" i="19"/>
  <c r="L94" i="19" s="1"/>
  <c r="M94" i="19" s="1"/>
  <c r="N94" i="19" s="1"/>
  <c r="O94" i="19" s="1"/>
  <c r="P94" i="19" s="1"/>
  <c r="Q94" i="19" s="1"/>
  <c r="G94" i="19"/>
  <c r="F94" i="19"/>
  <c r="E94" i="19"/>
  <c r="D94" i="19"/>
  <c r="C94" i="19"/>
  <c r="H93" i="19"/>
  <c r="H156" i="19" s="1"/>
  <c r="G93" i="19"/>
  <c r="G156" i="19" s="1"/>
  <c r="F93" i="19"/>
  <c r="F156" i="19" s="1"/>
  <c r="E93" i="19"/>
  <c r="E156" i="19" s="1"/>
  <c r="D93" i="19"/>
  <c r="D156" i="19" s="1"/>
  <c r="C93" i="19"/>
  <c r="C156" i="19" s="1"/>
  <c r="D153" i="19" s="1"/>
  <c r="H92" i="19"/>
  <c r="L92" i="19" s="1"/>
  <c r="M92" i="19" s="1"/>
  <c r="N92" i="19" s="1"/>
  <c r="O92" i="19" s="1"/>
  <c r="P92" i="19" s="1"/>
  <c r="Q92" i="19" s="1"/>
  <c r="G92" i="19"/>
  <c r="F92" i="19"/>
  <c r="E92" i="19"/>
  <c r="D92" i="19"/>
  <c r="C92" i="19"/>
  <c r="H91" i="19"/>
  <c r="L91" i="19" s="1"/>
  <c r="M91" i="19" s="1"/>
  <c r="N91" i="19" s="1"/>
  <c r="O91" i="19" s="1"/>
  <c r="P91" i="19" s="1"/>
  <c r="Q91" i="19" s="1"/>
  <c r="G91" i="19"/>
  <c r="F91" i="19"/>
  <c r="E91" i="19"/>
  <c r="D91" i="19"/>
  <c r="C91" i="19"/>
  <c r="H87" i="19"/>
  <c r="G87" i="19"/>
  <c r="F87" i="19"/>
  <c r="E87" i="19"/>
  <c r="D87" i="19"/>
  <c r="C87" i="19"/>
  <c r="H86" i="19"/>
  <c r="G86" i="19"/>
  <c r="F86" i="19"/>
  <c r="E86" i="19"/>
  <c r="D86" i="19"/>
  <c r="C86" i="19"/>
  <c r="H85" i="19"/>
  <c r="L85" i="19" s="1"/>
  <c r="M85" i="19" s="1"/>
  <c r="N85" i="19" s="1"/>
  <c r="O85" i="19" s="1"/>
  <c r="P85" i="19" s="1"/>
  <c r="Q85" i="19" s="1"/>
  <c r="G85" i="19"/>
  <c r="F85" i="19"/>
  <c r="E85" i="19"/>
  <c r="D85" i="19"/>
  <c r="C85" i="19"/>
  <c r="H84" i="19"/>
  <c r="G84" i="19"/>
  <c r="F84" i="19"/>
  <c r="E84" i="19"/>
  <c r="D84" i="19"/>
  <c r="C84" i="19"/>
  <c r="B81" i="19"/>
  <c r="L16" i="19"/>
  <c r="M16" i="19" s="1"/>
  <c r="N16" i="19" s="1"/>
  <c r="O16" i="19" s="1"/>
  <c r="P16" i="19" s="1"/>
  <c r="Q16" i="19" s="1"/>
  <c r="S16" i="19" s="1"/>
  <c r="L15" i="19"/>
  <c r="M15" i="19" s="1"/>
  <c r="N15" i="19" s="1"/>
  <c r="O15" i="19" s="1"/>
  <c r="P15" i="19" s="1"/>
  <c r="Q15" i="19" s="1"/>
  <c r="Q80" i="19" s="1"/>
  <c r="Q125" i="19" s="1"/>
  <c r="C81" i="19"/>
  <c r="C150" i="19" s="1"/>
  <c r="H81" i="19"/>
  <c r="H150" i="19" s="1"/>
  <c r="G81" i="19"/>
  <c r="G150" i="19" s="1"/>
  <c r="F81" i="19"/>
  <c r="F150" i="19" s="1"/>
  <c r="E81" i="19"/>
  <c r="E150" i="19" s="1"/>
  <c r="D81" i="19"/>
  <c r="D150" i="19" s="1"/>
  <c r="H80" i="19"/>
  <c r="H149" i="19" s="1"/>
  <c r="G80" i="19"/>
  <c r="G149" i="19" s="1"/>
  <c r="F80" i="19"/>
  <c r="F149" i="19" s="1"/>
  <c r="E80" i="19"/>
  <c r="E149" i="19" s="1"/>
  <c r="D80" i="19"/>
  <c r="D149" i="19" s="1"/>
  <c r="C80" i="19"/>
  <c r="C149" i="19" s="1"/>
  <c r="K81" i="19"/>
  <c r="K80" i="19"/>
  <c r="B80" i="19"/>
  <c r="K18" i="14"/>
  <c r="M75" i="19"/>
  <c r="N75" i="19" s="1"/>
  <c r="O75" i="19" s="1"/>
  <c r="L75" i="19"/>
  <c r="Q74" i="19"/>
  <c r="P74" i="19"/>
  <c r="O74" i="19"/>
  <c r="N74" i="19"/>
  <c r="M74" i="19"/>
  <c r="L74" i="19"/>
  <c r="H118" i="20"/>
  <c r="G118" i="20"/>
  <c r="F118" i="20"/>
  <c r="E118" i="20"/>
  <c r="D118" i="20"/>
  <c r="C118" i="20"/>
  <c r="H126" i="20"/>
  <c r="G126" i="20"/>
  <c r="F126" i="20"/>
  <c r="E126" i="20"/>
  <c r="D126" i="20"/>
  <c r="C126" i="20"/>
  <c r="E156" i="20"/>
  <c r="D156" i="20"/>
  <c r="C156" i="20"/>
  <c r="E155" i="20"/>
  <c r="D155" i="20"/>
  <c r="C155" i="20"/>
  <c r="E136" i="20"/>
  <c r="N68" i="19" s="1"/>
  <c r="D136" i="20"/>
  <c r="M68" i="19" s="1"/>
  <c r="E135" i="20"/>
  <c r="D135" i="20"/>
  <c r="C136" i="20"/>
  <c r="C135" i="20"/>
  <c r="E100" i="20"/>
  <c r="N27" i="19" s="1"/>
  <c r="D100" i="20"/>
  <c r="M27" i="19" s="1"/>
  <c r="C100" i="20"/>
  <c r="L27" i="19" s="1"/>
  <c r="E99" i="20"/>
  <c r="D99" i="20"/>
  <c r="C99" i="20"/>
  <c r="E87" i="20"/>
  <c r="N26" i="19" s="1"/>
  <c r="D87" i="20"/>
  <c r="M26" i="19" s="1"/>
  <c r="C87" i="20"/>
  <c r="L26" i="19" s="1"/>
  <c r="E86" i="20"/>
  <c r="D86" i="20"/>
  <c r="C86" i="20"/>
  <c r="E74" i="20"/>
  <c r="N23" i="19" s="1"/>
  <c r="D74" i="20"/>
  <c r="M23" i="19" s="1"/>
  <c r="C74" i="20"/>
  <c r="L23" i="19" s="1"/>
  <c r="E73" i="20"/>
  <c r="D73" i="20"/>
  <c r="C73" i="20"/>
  <c r="E61" i="20"/>
  <c r="N20" i="19" s="1"/>
  <c r="D61" i="20"/>
  <c r="M20" i="19" s="1"/>
  <c r="C61" i="20"/>
  <c r="L20" i="19" s="1"/>
  <c r="E60" i="20"/>
  <c r="D60" i="20"/>
  <c r="C60" i="20"/>
  <c r="E48" i="20"/>
  <c r="N19" i="19" s="1"/>
  <c r="O19" i="19" s="1"/>
  <c r="P19" i="19" s="1"/>
  <c r="Q19" i="19" s="1"/>
  <c r="D48" i="20"/>
  <c r="M19" i="19" s="1"/>
  <c r="C48" i="20"/>
  <c r="L19" i="19" s="1"/>
  <c r="E47" i="20"/>
  <c r="D47" i="20"/>
  <c r="C47" i="20"/>
  <c r="E35" i="20"/>
  <c r="N18" i="19" s="1"/>
  <c r="O18" i="19" s="1"/>
  <c r="P18" i="19" s="1"/>
  <c r="Q18" i="19" s="1"/>
  <c r="D35" i="20"/>
  <c r="M18" i="19" s="1"/>
  <c r="C35" i="20"/>
  <c r="L18" i="19" s="1"/>
  <c r="E34" i="20"/>
  <c r="D34" i="20"/>
  <c r="C34" i="20"/>
  <c r="F20" i="14"/>
  <c r="E20" i="14"/>
  <c r="D20" i="14"/>
  <c r="F19" i="14"/>
  <c r="E19" i="14"/>
  <c r="D19" i="14"/>
  <c r="F18" i="14"/>
  <c r="E18" i="14"/>
  <c r="D18" i="14"/>
  <c r="C20" i="14"/>
  <c r="C19" i="14"/>
  <c r="C18" i="14"/>
  <c r="E18" i="20"/>
  <c r="F18" i="20" s="1"/>
  <c r="D19" i="20"/>
  <c r="C107" i="20"/>
  <c r="E110" i="20"/>
  <c r="D110" i="20"/>
  <c r="C110" i="20"/>
  <c r="E185" i="20"/>
  <c r="N66" i="19" s="1"/>
  <c r="D185" i="20"/>
  <c r="C185" i="20"/>
  <c r="E184" i="20"/>
  <c r="D184" i="20"/>
  <c r="F183" i="20"/>
  <c r="F184" i="20" s="1"/>
  <c r="E181" i="20"/>
  <c r="D181" i="20"/>
  <c r="F180" i="20"/>
  <c r="G180" i="20" s="1"/>
  <c r="E145" i="20"/>
  <c r="D145" i="20"/>
  <c r="C145" i="20"/>
  <c r="H141" i="20"/>
  <c r="G141" i="20"/>
  <c r="F141" i="20"/>
  <c r="E141" i="20"/>
  <c r="D141" i="20"/>
  <c r="C141" i="20"/>
  <c r="F12" i="20"/>
  <c r="F13" i="20" s="1"/>
  <c r="F15" i="20"/>
  <c r="G15" i="20" s="1"/>
  <c r="H15" i="20" s="1"/>
  <c r="E16" i="20"/>
  <c r="D16" i="20"/>
  <c r="E13" i="20"/>
  <c r="D13" i="20"/>
  <c r="H10" i="20"/>
  <c r="G10" i="20"/>
  <c r="F10" i="20"/>
  <c r="E10" i="20"/>
  <c r="D10" i="20"/>
  <c r="J9" i="20"/>
  <c r="J169" i="20"/>
  <c r="J139" i="20"/>
  <c r="F133" i="20"/>
  <c r="G133" i="20" s="1"/>
  <c r="H133" i="20" s="1"/>
  <c r="F153" i="20"/>
  <c r="G153" i="20" s="1"/>
  <c r="H153" i="20" s="1"/>
  <c r="E176" i="20"/>
  <c r="D176" i="20"/>
  <c r="F175" i="20"/>
  <c r="F176" i="20" s="1"/>
  <c r="E173" i="20"/>
  <c r="D173" i="20"/>
  <c r="F172" i="20"/>
  <c r="F173" i="20" s="1"/>
  <c r="H170" i="20"/>
  <c r="G170" i="20"/>
  <c r="F170" i="20"/>
  <c r="E170" i="20"/>
  <c r="D170" i="20"/>
  <c r="F131" i="20"/>
  <c r="F132" i="20"/>
  <c r="E166" i="20"/>
  <c r="D166" i="20"/>
  <c r="F165" i="20"/>
  <c r="F166" i="20" s="1"/>
  <c r="E163" i="20"/>
  <c r="D163" i="20"/>
  <c r="F162" i="20"/>
  <c r="F163" i="20" s="1"/>
  <c r="H160" i="20"/>
  <c r="G160" i="20"/>
  <c r="F160" i="20"/>
  <c r="E160" i="20"/>
  <c r="D160" i="20"/>
  <c r="F152" i="20"/>
  <c r="E148" i="20"/>
  <c r="D148" i="20"/>
  <c r="F147" i="20"/>
  <c r="F148" i="20" s="1"/>
  <c r="E144" i="20"/>
  <c r="D144" i="20"/>
  <c r="F143" i="20"/>
  <c r="F144" i="20" s="1"/>
  <c r="E81" i="20"/>
  <c r="D81" i="20"/>
  <c r="F80" i="20"/>
  <c r="F81" i="20" s="1"/>
  <c r="E68" i="20"/>
  <c r="D68" i="20"/>
  <c r="F67" i="20"/>
  <c r="F68" i="20" s="1"/>
  <c r="F54" i="20"/>
  <c r="G54" i="20" s="1"/>
  <c r="E55" i="20"/>
  <c r="D55" i="20"/>
  <c r="F41" i="20"/>
  <c r="G41" i="20" s="1"/>
  <c r="H41" i="20" s="1"/>
  <c r="E42" i="20"/>
  <c r="D42" i="20"/>
  <c r="E29" i="20"/>
  <c r="D29" i="20"/>
  <c r="F28" i="20"/>
  <c r="G28" i="20" s="1"/>
  <c r="H28" i="20" s="1"/>
  <c r="J28" i="20" s="1"/>
  <c r="H107" i="20"/>
  <c r="G107" i="20"/>
  <c r="P73" i="19" s="1"/>
  <c r="Q73" i="19" s="1"/>
  <c r="F107" i="20"/>
  <c r="O73" i="19" s="1"/>
  <c r="E107" i="20"/>
  <c r="N73" i="19" s="1"/>
  <c r="D107" i="20"/>
  <c r="M73" i="19" s="1"/>
  <c r="H115" i="20"/>
  <c r="G115" i="20"/>
  <c r="F115" i="20"/>
  <c r="E115" i="20"/>
  <c r="D115" i="20"/>
  <c r="F125" i="20"/>
  <c r="F117" i="20"/>
  <c r="F109" i="20"/>
  <c r="G109" i="20" s="1"/>
  <c r="E97" i="20"/>
  <c r="D97" i="20"/>
  <c r="F96" i="20"/>
  <c r="F97" i="20" s="1"/>
  <c r="E58" i="20"/>
  <c r="D58" i="20"/>
  <c r="F57" i="20"/>
  <c r="F58" i="20" s="1"/>
  <c r="F31" i="20"/>
  <c r="F32" i="20" s="1"/>
  <c r="F44" i="20"/>
  <c r="G44" i="20" s="1"/>
  <c r="H44" i="20" s="1"/>
  <c r="J44" i="20" s="1"/>
  <c r="E32" i="20"/>
  <c r="D32" i="20"/>
  <c r="E45" i="20"/>
  <c r="D45" i="20"/>
  <c r="E71" i="20"/>
  <c r="D71" i="20"/>
  <c r="F70" i="20"/>
  <c r="F71" i="20" s="1"/>
  <c r="F83" i="20"/>
  <c r="F84" i="20" s="1"/>
  <c r="E84" i="20"/>
  <c r="D84" i="20"/>
  <c r="J122" i="20"/>
  <c r="J114" i="20"/>
  <c r="J106" i="20"/>
  <c r="J77" i="20"/>
  <c r="J64" i="20"/>
  <c r="J51" i="20"/>
  <c r="J38" i="20"/>
  <c r="J25" i="20"/>
  <c r="J4" i="20"/>
  <c r="S40" i="19"/>
  <c r="S39" i="19"/>
  <c r="J93" i="20"/>
  <c r="J90" i="20"/>
  <c r="H94" i="20"/>
  <c r="G94" i="20"/>
  <c r="F94" i="20"/>
  <c r="E94" i="20"/>
  <c r="D94" i="20"/>
  <c r="H140" i="20"/>
  <c r="G140" i="20"/>
  <c r="F140" i="20"/>
  <c r="E140" i="20"/>
  <c r="D140" i="20"/>
  <c r="H91" i="20"/>
  <c r="G91" i="20"/>
  <c r="F91" i="20"/>
  <c r="E91" i="20"/>
  <c r="D91" i="20"/>
  <c r="H78" i="20"/>
  <c r="G78" i="20"/>
  <c r="F78" i="20"/>
  <c r="E78" i="20"/>
  <c r="D78" i="20"/>
  <c r="H65" i="20"/>
  <c r="G65" i="20"/>
  <c r="F65" i="20"/>
  <c r="E65" i="20"/>
  <c r="D65" i="20"/>
  <c r="H52" i="20"/>
  <c r="G52" i="20"/>
  <c r="F52" i="20"/>
  <c r="E52" i="20"/>
  <c r="D52" i="20"/>
  <c r="H39" i="20"/>
  <c r="G39" i="20"/>
  <c r="F39" i="20"/>
  <c r="E39" i="20"/>
  <c r="D39" i="20"/>
  <c r="H26" i="20"/>
  <c r="G26" i="20"/>
  <c r="F26" i="20"/>
  <c r="E26" i="20"/>
  <c r="D26" i="20"/>
  <c r="C30" i="18"/>
  <c r="H50" i="19"/>
  <c r="G50" i="19"/>
  <c r="F50" i="19"/>
  <c r="E50" i="19"/>
  <c r="D50" i="19"/>
  <c r="C50" i="19"/>
  <c r="H47" i="19"/>
  <c r="H164" i="19" s="1"/>
  <c r="H162" i="19" s="1"/>
  <c r="G47" i="19"/>
  <c r="G164" i="19" s="1"/>
  <c r="G162" i="19" s="1"/>
  <c r="F47" i="19"/>
  <c r="F164" i="19" s="1"/>
  <c r="F162" i="19" s="1"/>
  <c r="E47" i="19"/>
  <c r="E164" i="19" s="1"/>
  <c r="E162" i="19" s="1"/>
  <c r="D47" i="19"/>
  <c r="D164" i="19" s="1"/>
  <c r="D162" i="19" s="1"/>
  <c r="C47" i="19"/>
  <c r="C164" i="19" s="1"/>
  <c r="C162" i="19" s="1"/>
  <c r="H44" i="19"/>
  <c r="G44" i="19"/>
  <c r="F44" i="19"/>
  <c r="E44" i="19"/>
  <c r="D44" i="19"/>
  <c r="C44" i="19"/>
  <c r="H41" i="19"/>
  <c r="L41" i="19" s="1"/>
  <c r="M41" i="19" s="1"/>
  <c r="N41" i="19" s="1"/>
  <c r="O41" i="19" s="1"/>
  <c r="P41" i="19" s="1"/>
  <c r="Q41" i="19" s="1"/>
  <c r="S41" i="19" s="1"/>
  <c r="G41" i="19"/>
  <c r="F41" i="19"/>
  <c r="E41" i="19"/>
  <c r="D41" i="19"/>
  <c r="C41" i="19"/>
  <c r="H40" i="19"/>
  <c r="G40" i="19"/>
  <c r="F40" i="19"/>
  <c r="E40" i="19"/>
  <c r="D40" i="19"/>
  <c r="C40" i="19"/>
  <c r="H39" i="19"/>
  <c r="G39" i="19"/>
  <c r="F39" i="19"/>
  <c r="E39" i="19"/>
  <c r="D39" i="19"/>
  <c r="C39" i="19"/>
  <c r="H36" i="19"/>
  <c r="G36" i="19"/>
  <c r="F36" i="19"/>
  <c r="E36" i="19"/>
  <c r="D36" i="19"/>
  <c r="H35" i="19"/>
  <c r="G35" i="19"/>
  <c r="F35" i="19"/>
  <c r="E35" i="19"/>
  <c r="D35" i="19"/>
  <c r="H34" i="19"/>
  <c r="G34" i="19"/>
  <c r="F34" i="19"/>
  <c r="E34" i="19"/>
  <c r="D34" i="19"/>
  <c r="C36" i="19"/>
  <c r="C35" i="19"/>
  <c r="C34" i="19"/>
  <c r="H31" i="19"/>
  <c r="G31" i="19"/>
  <c r="F31" i="19"/>
  <c r="E31" i="19"/>
  <c r="D31" i="19"/>
  <c r="C31" i="19"/>
  <c r="H28" i="19"/>
  <c r="G28" i="19"/>
  <c r="F28" i="19"/>
  <c r="E28" i="19"/>
  <c r="D28" i="19"/>
  <c r="C28" i="19"/>
  <c r="H27" i="19"/>
  <c r="G27" i="19"/>
  <c r="F27" i="19"/>
  <c r="E27" i="19"/>
  <c r="D27" i="19"/>
  <c r="C27" i="19"/>
  <c r="H26" i="19"/>
  <c r="G26" i="19"/>
  <c r="F26" i="19"/>
  <c r="E26" i="19"/>
  <c r="D26" i="19"/>
  <c r="C26" i="19"/>
  <c r="H23" i="19"/>
  <c r="G23" i="19"/>
  <c r="F23" i="19"/>
  <c r="E23" i="19"/>
  <c r="D23" i="19"/>
  <c r="C23" i="19"/>
  <c r="H20" i="19"/>
  <c r="G20" i="19"/>
  <c r="F20" i="19"/>
  <c r="E20" i="19"/>
  <c r="D20" i="19"/>
  <c r="C20" i="19"/>
  <c r="H19" i="19"/>
  <c r="G19" i="19"/>
  <c r="F19" i="19"/>
  <c r="E19" i="19"/>
  <c r="D19" i="19"/>
  <c r="C19" i="19"/>
  <c r="H18" i="19"/>
  <c r="G18" i="19"/>
  <c r="F18" i="19"/>
  <c r="E18" i="19"/>
  <c r="D18" i="19"/>
  <c r="C18" i="19"/>
  <c r="J16" i="19"/>
  <c r="F31" i="14"/>
  <c r="E31" i="14"/>
  <c r="D31" i="14"/>
  <c r="C31" i="14"/>
  <c r="C10" i="14"/>
  <c r="C11" i="14"/>
  <c r="AJ40" i="10"/>
  <c r="AI40" i="10"/>
  <c r="AH40" i="10"/>
  <c r="AG40" i="10"/>
  <c r="AF40" i="10"/>
  <c r="AE40" i="10"/>
  <c r="AD40" i="10"/>
  <c r="AC40" i="10"/>
  <c r="AB40" i="10"/>
  <c r="AA40" i="10"/>
  <c r="AK40" i="10"/>
  <c r="AM38" i="10"/>
  <c r="AM37" i="10"/>
  <c r="AM36" i="10"/>
  <c r="AM35" i="10"/>
  <c r="AM34" i="10"/>
  <c r="AM24" i="10"/>
  <c r="AM23" i="10"/>
  <c r="AM22" i="10"/>
  <c r="AM18" i="10"/>
  <c r="AM17" i="10"/>
  <c r="AM12" i="10"/>
  <c r="AM11" i="10"/>
  <c r="AM10" i="10"/>
  <c r="AZ119" i="8"/>
  <c r="AZ118" i="8"/>
  <c r="AZ117" i="8"/>
  <c r="AZ116" i="8"/>
  <c r="AZ115" i="8"/>
  <c r="AZ114" i="8"/>
  <c r="AZ113" i="8"/>
  <c r="AZ111" i="8"/>
  <c r="AZ110" i="8"/>
  <c r="AZ109" i="8"/>
  <c r="AZ108" i="8"/>
  <c r="AZ107" i="8"/>
  <c r="AZ106" i="8"/>
  <c r="AZ103" i="8"/>
  <c r="AZ102" i="8"/>
  <c r="AZ101" i="8"/>
  <c r="AZ100" i="8"/>
  <c r="AZ99" i="8"/>
  <c r="AZ98" i="8"/>
  <c r="AZ97" i="8"/>
  <c r="AZ96" i="8"/>
  <c r="AZ94" i="8"/>
  <c r="AZ93" i="8"/>
  <c r="AZ92" i="8"/>
  <c r="AZ91" i="8"/>
  <c r="AZ90" i="8"/>
  <c r="AZ87" i="8"/>
  <c r="AZ77" i="8"/>
  <c r="AZ76" i="8"/>
  <c r="AZ75" i="8"/>
  <c r="AZ74" i="8"/>
  <c r="AZ73" i="8"/>
  <c r="AZ72" i="8"/>
  <c r="AZ70" i="8"/>
  <c r="AZ69" i="8"/>
  <c r="AZ68" i="8"/>
  <c r="AZ67" i="8"/>
  <c r="AZ66" i="8"/>
  <c r="AZ63" i="8"/>
  <c r="AZ62" i="8"/>
  <c r="AZ61" i="8"/>
  <c r="AZ60" i="8"/>
  <c r="AZ59" i="8"/>
  <c r="AZ58" i="8"/>
  <c r="AZ55" i="8"/>
  <c r="AZ54" i="8"/>
  <c r="AZ53" i="8"/>
  <c r="AZ52" i="8"/>
  <c r="AZ51" i="8"/>
  <c r="AZ50" i="8"/>
  <c r="AZ49" i="8"/>
  <c r="AZ46" i="8"/>
  <c r="AZ44" i="8"/>
  <c r="AZ43" i="8"/>
  <c r="AZ42" i="8"/>
  <c r="AZ45" i="8"/>
  <c r="AZ35" i="8"/>
  <c r="AZ34" i="8"/>
  <c r="AZ32" i="8"/>
  <c r="AZ31" i="8"/>
  <c r="AZ30" i="8"/>
  <c r="AZ28" i="8"/>
  <c r="AZ27" i="8"/>
  <c r="AZ26" i="8"/>
  <c r="AZ25" i="8"/>
  <c r="AZ24" i="8"/>
  <c r="AZ22" i="8"/>
  <c r="AZ21" i="8"/>
  <c r="AZ20" i="8"/>
  <c r="AZ19" i="8"/>
  <c r="AZ18" i="8"/>
  <c r="AZ17" i="8"/>
  <c r="AZ15" i="8"/>
  <c r="AZ14" i="8"/>
  <c r="AZ13" i="8"/>
  <c r="AZ11" i="8"/>
  <c r="AZ10" i="8"/>
  <c r="AM9" i="9"/>
  <c r="AM8" i="9"/>
  <c r="AM7" i="9"/>
  <c r="AM6" i="9"/>
  <c r="W63" i="9"/>
  <c r="V63" i="9"/>
  <c r="L52" i="9"/>
  <c r="T52" i="9"/>
  <c r="AH52" i="9" s="1"/>
  <c r="AK63" i="9"/>
  <c r="AJ63" i="9"/>
  <c r="AI63" i="9"/>
  <c r="AG63" i="9"/>
  <c r="T64" i="9"/>
  <c r="T62" i="9"/>
  <c r="P64" i="9"/>
  <c r="P62" i="9"/>
  <c r="L64" i="9"/>
  <c r="L63" i="9"/>
  <c r="L62" i="9"/>
  <c r="G63" i="9"/>
  <c r="T63" i="9" s="1"/>
  <c r="AH63" i="9" s="1"/>
  <c r="F63" i="9"/>
  <c r="P63" i="9" s="1"/>
  <c r="P52" i="9"/>
  <c r="AK52" i="9"/>
  <c r="AJ52" i="9"/>
  <c r="AI52" i="9"/>
  <c r="AG52" i="9"/>
  <c r="W44" i="9"/>
  <c r="V44" i="9"/>
  <c r="U44" i="9"/>
  <c r="T44" i="9"/>
  <c r="S44" i="9"/>
  <c r="R44" i="9"/>
  <c r="Q44" i="9"/>
  <c r="P44" i="9"/>
  <c r="O44" i="9"/>
  <c r="N44" i="9"/>
  <c r="M44" i="9"/>
  <c r="L44" i="9"/>
  <c r="K44" i="9"/>
  <c r="J44" i="9"/>
  <c r="I44" i="9"/>
  <c r="G44" i="9"/>
  <c r="F44" i="9"/>
  <c r="E44" i="9"/>
  <c r="D44" i="9"/>
  <c r="C44" i="9"/>
  <c r="W43" i="9"/>
  <c r="V43" i="9"/>
  <c r="U43" i="9"/>
  <c r="T43" i="9"/>
  <c r="S43" i="9"/>
  <c r="R43" i="9"/>
  <c r="Q43" i="9"/>
  <c r="P43" i="9"/>
  <c r="O43" i="9"/>
  <c r="N43" i="9"/>
  <c r="M43" i="9"/>
  <c r="L43" i="9"/>
  <c r="K43" i="9"/>
  <c r="J43" i="9"/>
  <c r="I43" i="9"/>
  <c r="G43" i="9"/>
  <c r="F43" i="9"/>
  <c r="E43" i="9"/>
  <c r="D43" i="9"/>
  <c r="C43" i="9"/>
  <c r="AX117" i="8"/>
  <c r="AW117" i="8"/>
  <c r="AV117" i="8"/>
  <c r="AU117" i="8"/>
  <c r="AT117" i="8"/>
  <c r="AX108" i="8"/>
  <c r="AW108" i="8"/>
  <c r="AV108" i="8"/>
  <c r="AU108" i="8"/>
  <c r="AT108" i="8"/>
  <c r="AX107" i="8"/>
  <c r="AW107" i="8"/>
  <c r="AV107" i="8"/>
  <c r="AU107" i="8"/>
  <c r="AT107" i="8"/>
  <c r="AX106" i="8"/>
  <c r="AW106" i="8"/>
  <c r="AV106" i="8"/>
  <c r="AU106" i="8"/>
  <c r="AT106" i="8"/>
  <c r="W42" i="9"/>
  <c r="V42" i="9"/>
  <c r="U42" i="9"/>
  <c r="T42" i="9"/>
  <c r="S42" i="9"/>
  <c r="R42" i="9"/>
  <c r="Q42" i="9"/>
  <c r="P42" i="9"/>
  <c r="O42" i="9"/>
  <c r="N42" i="9"/>
  <c r="M42" i="9"/>
  <c r="L42" i="9"/>
  <c r="K42" i="9"/>
  <c r="J42" i="9"/>
  <c r="I42" i="9"/>
  <c r="G42" i="9"/>
  <c r="F42" i="9"/>
  <c r="E42" i="9"/>
  <c r="D42" i="9"/>
  <c r="C42" i="9"/>
  <c r="W41" i="9"/>
  <c r="V41" i="9"/>
  <c r="U41" i="9"/>
  <c r="T41" i="9"/>
  <c r="S41" i="9"/>
  <c r="R41" i="9"/>
  <c r="Q41" i="9"/>
  <c r="P41" i="9"/>
  <c r="O41" i="9"/>
  <c r="N41" i="9"/>
  <c r="M41" i="9"/>
  <c r="L41" i="9"/>
  <c r="K41" i="9"/>
  <c r="J41" i="9"/>
  <c r="I41" i="9"/>
  <c r="G41" i="9"/>
  <c r="F41" i="9"/>
  <c r="E41" i="9"/>
  <c r="D41" i="9"/>
  <c r="C41" i="9"/>
  <c r="W40" i="9"/>
  <c r="V40" i="9"/>
  <c r="U40" i="9"/>
  <c r="T40" i="9"/>
  <c r="S40" i="9"/>
  <c r="R40" i="9"/>
  <c r="Q40" i="9"/>
  <c r="P40" i="9"/>
  <c r="O40" i="9"/>
  <c r="N40" i="9"/>
  <c r="M40" i="9"/>
  <c r="L40" i="9"/>
  <c r="K40" i="9"/>
  <c r="J40" i="9"/>
  <c r="I40" i="9"/>
  <c r="G40" i="9"/>
  <c r="F40" i="9"/>
  <c r="E40" i="9"/>
  <c r="D40" i="9"/>
  <c r="C40" i="9"/>
  <c r="W39" i="9"/>
  <c r="V39" i="9"/>
  <c r="U39" i="9"/>
  <c r="T39" i="9"/>
  <c r="S39" i="9"/>
  <c r="R39" i="9"/>
  <c r="Q39" i="9"/>
  <c r="P39" i="9"/>
  <c r="O39" i="9"/>
  <c r="N39" i="9"/>
  <c r="M39" i="9"/>
  <c r="L39" i="9"/>
  <c r="K39" i="9"/>
  <c r="J39" i="9"/>
  <c r="I39" i="9"/>
  <c r="G39" i="9"/>
  <c r="F39" i="9"/>
  <c r="E39" i="9"/>
  <c r="D39" i="9"/>
  <c r="C39" i="9"/>
  <c r="W38" i="9"/>
  <c r="V38" i="9"/>
  <c r="U38" i="9"/>
  <c r="T38" i="9"/>
  <c r="S38" i="9"/>
  <c r="R38" i="9"/>
  <c r="Q38" i="9"/>
  <c r="P38" i="9"/>
  <c r="O38" i="9"/>
  <c r="N38" i="9"/>
  <c r="M38" i="9"/>
  <c r="L38" i="9"/>
  <c r="K38" i="9"/>
  <c r="J38" i="9"/>
  <c r="I38" i="9"/>
  <c r="G38" i="9"/>
  <c r="F38" i="9"/>
  <c r="E38" i="9"/>
  <c r="D38" i="9"/>
  <c r="C38" i="9"/>
  <c r="AA117" i="8"/>
  <c r="AB117" i="8" s="1"/>
  <c r="AC117" i="8" s="1"/>
  <c r="X117" i="8"/>
  <c r="Y117" i="8" s="1"/>
  <c r="W117" i="8"/>
  <c r="T117" i="8"/>
  <c r="U117" i="8" s="1"/>
  <c r="S117" i="8"/>
  <c r="P117" i="8"/>
  <c r="Q117" i="8" s="1"/>
  <c r="O117" i="8"/>
  <c r="K117" i="8"/>
  <c r="L117" i="8" s="1"/>
  <c r="M117" i="8" s="1"/>
  <c r="I117" i="8"/>
  <c r="H117" i="8"/>
  <c r="G117" i="8"/>
  <c r="F117" i="8"/>
  <c r="E117" i="8"/>
  <c r="D117" i="8"/>
  <c r="C117" i="8"/>
  <c r="AA108" i="8"/>
  <c r="AB108" i="8" s="1"/>
  <c r="AC108" i="8" s="1"/>
  <c r="W108" i="8"/>
  <c r="X108" i="8" s="1"/>
  <c r="T108" i="8"/>
  <c r="U108" i="8" s="1"/>
  <c r="S108" i="8"/>
  <c r="O108" i="8"/>
  <c r="P108" i="8" s="1"/>
  <c r="Q108" i="8" s="1"/>
  <c r="K108" i="8"/>
  <c r="L108" i="8" s="1"/>
  <c r="M108" i="8" s="1"/>
  <c r="I108" i="8"/>
  <c r="H108" i="8"/>
  <c r="G108" i="8"/>
  <c r="F108" i="8"/>
  <c r="E108" i="8"/>
  <c r="D108" i="8"/>
  <c r="C108" i="8"/>
  <c r="AA107" i="8"/>
  <c r="W107" i="8"/>
  <c r="X107" i="8" s="1"/>
  <c r="Y107" i="8" s="1"/>
  <c r="S107" i="8"/>
  <c r="T107" i="8" s="1"/>
  <c r="U107" i="8" s="1"/>
  <c r="O107" i="8"/>
  <c r="P107" i="8" s="1"/>
  <c r="Q107" i="8" s="1"/>
  <c r="K107" i="8"/>
  <c r="L107" i="8" s="1"/>
  <c r="M107" i="8" s="1"/>
  <c r="I107" i="8"/>
  <c r="H107" i="8"/>
  <c r="G107" i="8"/>
  <c r="F107" i="8"/>
  <c r="E107" i="8"/>
  <c r="D107" i="8"/>
  <c r="C107" i="8"/>
  <c r="I60" i="8"/>
  <c r="H60" i="8"/>
  <c r="W58" i="9"/>
  <c r="V58" i="9"/>
  <c r="U58" i="9"/>
  <c r="S58" i="9"/>
  <c r="R58" i="9"/>
  <c r="Q58" i="9"/>
  <c r="O58" i="9"/>
  <c r="N58" i="9"/>
  <c r="M58" i="9"/>
  <c r="K58" i="9"/>
  <c r="J58" i="9"/>
  <c r="I58" i="9"/>
  <c r="G58" i="9"/>
  <c r="F58" i="9"/>
  <c r="E58" i="9"/>
  <c r="D58" i="9"/>
  <c r="C58" i="9"/>
  <c r="W57" i="9"/>
  <c r="V57" i="9"/>
  <c r="U57" i="9"/>
  <c r="S57" i="9"/>
  <c r="R57" i="9"/>
  <c r="Q57" i="9"/>
  <c r="O57" i="9"/>
  <c r="N57" i="9"/>
  <c r="M57" i="9"/>
  <c r="K57" i="9"/>
  <c r="J57" i="9"/>
  <c r="I57" i="9"/>
  <c r="G57" i="9"/>
  <c r="F57" i="9"/>
  <c r="E57" i="9"/>
  <c r="D57" i="9"/>
  <c r="C57" i="9"/>
  <c r="W56" i="9"/>
  <c r="V56" i="9"/>
  <c r="U56" i="9"/>
  <c r="S56" i="9"/>
  <c r="R56" i="9"/>
  <c r="Q56" i="9"/>
  <c r="O56" i="9"/>
  <c r="N56" i="9"/>
  <c r="M56" i="9"/>
  <c r="K56" i="9"/>
  <c r="J56" i="9"/>
  <c r="I56" i="9"/>
  <c r="G56" i="9"/>
  <c r="F56" i="9"/>
  <c r="E56" i="9"/>
  <c r="D56" i="9"/>
  <c r="C56" i="9"/>
  <c r="W51" i="9"/>
  <c r="AK51" i="9" s="1"/>
  <c r="V51" i="9"/>
  <c r="AJ51" i="9" s="1"/>
  <c r="U51" i="9"/>
  <c r="AI51" i="9" s="1"/>
  <c r="S51" i="9"/>
  <c r="AG51" i="9" s="1"/>
  <c r="R51" i="9"/>
  <c r="Q51" i="9"/>
  <c r="O51" i="9"/>
  <c r="N51" i="9"/>
  <c r="M51" i="9"/>
  <c r="K51" i="9"/>
  <c r="J51" i="9"/>
  <c r="I51" i="9"/>
  <c r="G51" i="9"/>
  <c r="F51" i="9"/>
  <c r="E51" i="9"/>
  <c r="D51" i="9"/>
  <c r="C51" i="9"/>
  <c r="W50" i="9"/>
  <c r="V50" i="9"/>
  <c r="U50" i="9"/>
  <c r="S50" i="9"/>
  <c r="R50" i="9"/>
  <c r="Q50" i="9"/>
  <c r="O50" i="9"/>
  <c r="N50" i="9"/>
  <c r="M50" i="9"/>
  <c r="K50" i="9"/>
  <c r="J50" i="9"/>
  <c r="J53" i="9" s="1"/>
  <c r="I50" i="9"/>
  <c r="G50" i="9"/>
  <c r="F50" i="9"/>
  <c r="E50" i="9"/>
  <c r="D50" i="9"/>
  <c r="C50" i="9"/>
  <c r="G33" i="9"/>
  <c r="F33" i="9"/>
  <c r="E33" i="9"/>
  <c r="D33" i="9"/>
  <c r="C33" i="9"/>
  <c r="W34" i="9"/>
  <c r="V34" i="9"/>
  <c r="U34" i="9"/>
  <c r="S34" i="9"/>
  <c r="R34" i="9"/>
  <c r="Q34" i="9"/>
  <c r="O34" i="9"/>
  <c r="N34" i="9"/>
  <c r="M34" i="9"/>
  <c r="K34" i="9"/>
  <c r="J34" i="9"/>
  <c r="I34" i="9"/>
  <c r="G34" i="9"/>
  <c r="F34" i="9"/>
  <c r="E34" i="9"/>
  <c r="D34" i="9"/>
  <c r="C34" i="9"/>
  <c r="U35" i="9"/>
  <c r="Q35" i="9"/>
  <c r="M35" i="9"/>
  <c r="I35" i="9"/>
  <c r="G35" i="9"/>
  <c r="F35" i="9"/>
  <c r="E35" i="9"/>
  <c r="D35" i="9"/>
  <c r="C35" i="9"/>
  <c r="U32" i="9"/>
  <c r="Q32" i="9"/>
  <c r="M32" i="9"/>
  <c r="I32" i="9"/>
  <c r="G32" i="9"/>
  <c r="F32" i="9"/>
  <c r="E32" i="9"/>
  <c r="D32" i="9"/>
  <c r="C32" i="9"/>
  <c r="U28" i="9"/>
  <c r="Q28" i="9"/>
  <c r="M28" i="9"/>
  <c r="I28" i="9"/>
  <c r="G28" i="9"/>
  <c r="F28" i="9"/>
  <c r="E28" i="9"/>
  <c r="D28" i="9"/>
  <c r="C28" i="9"/>
  <c r="U24" i="9"/>
  <c r="Q24" i="9"/>
  <c r="G24" i="9"/>
  <c r="F24" i="9"/>
  <c r="E24" i="9"/>
  <c r="Z8" i="8"/>
  <c r="V8" i="8"/>
  <c r="R8" i="8"/>
  <c r="N8" i="8"/>
  <c r="W20" i="9"/>
  <c r="V20" i="9"/>
  <c r="U20" i="9"/>
  <c r="S20" i="9"/>
  <c r="R20" i="9"/>
  <c r="Q20" i="9"/>
  <c r="O20" i="9"/>
  <c r="N20" i="9"/>
  <c r="M20" i="9"/>
  <c r="K20" i="9"/>
  <c r="J20" i="9"/>
  <c r="I20" i="9"/>
  <c r="W19" i="9"/>
  <c r="V19" i="9"/>
  <c r="U19" i="9"/>
  <c r="S19" i="9"/>
  <c r="R19" i="9"/>
  <c r="Q19" i="9"/>
  <c r="O19" i="9"/>
  <c r="N19" i="9"/>
  <c r="M19" i="9"/>
  <c r="K19" i="9"/>
  <c r="J19" i="9"/>
  <c r="I19" i="9"/>
  <c r="W18" i="9"/>
  <c r="V18" i="9"/>
  <c r="U18" i="9"/>
  <c r="S18" i="9"/>
  <c r="R18" i="9"/>
  <c r="Q18" i="9"/>
  <c r="O18" i="9"/>
  <c r="N18" i="9"/>
  <c r="M18" i="9"/>
  <c r="K18" i="9"/>
  <c r="J18" i="9"/>
  <c r="I18" i="9"/>
  <c r="G20" i="9"/>
  <c r="F20" i="9"/>
  <c r="E20" i="9"/>
  <c r="D20" i="9"/>
  <c r="C20" i="9"/>
  <c r="G19" i="9"/>
  <c r="F19" i="9"/>
  <c r="E19" i="9"/>
  <c r="D19" i="9"/>
  <c r="C19" i="9"/>
  <c r="G18" i="9"/>
  <c r="F18" i="9"/>
  <c r="E18" i="9"/>
  <c r="D18" i="9"/>
  <c r="C18" i="9"/>
  <c r="W14" i="9"/>
  <c r="V14" i="9"/>
  <c r="U14" i="9"/>
  <c r="S14" i="9"/>
  <c r="R14" i="9"/>
  <c r="Q14" i="9"/>
  <c r="O14" i="9"/>
  <c r="N14" i="9"/>
  <c r="M14" i="9"/>
  <c r="K14" i="9"/>
  <c r="J14" i="9"/>
  <c r="I14" i="9"/>
  <c r="G14" i="9"/>
  <c r="F14" i="9"/>
  <c r="E14" i="9"/>
  <c r="D14" i="9"/>
  <c r="C14" i="9"/>
  <c r="W9" i="9"/>
  <c r="V9" i="9"/>
  <c r="U9" i="9"/>
  <c r="T9" i="9"/>
  <c r="S9" i="9"/>
  <c r="R9" i="9"/>
  <c r="Q9" i="9"/>
  <c r="P9" i="9"/>
  <c r="O9" i="9"/>
  <c r="N9" i="9"/>
  <c r="M9" i="9"/>
  <c r="L9" i="9"/>
  <c r="K9" i="9"/>
  <c r="J9" i="9"/>
  <c r="W8" i="9"/>
  <c r="V8" i="9"/>
  <c r="U8" i="9"/>
  <c r="T8" i="9"/>
  <c r="S8" i="9"/>
  <c r="R8" i="9"/>
  <c r="Q8" i="9"/>
  <c r="P8" i="9"/>
  <c r="O8" i="9"/>
  <c r="N8" i="9"/>
  <c r="M8" i="9"/>
  <c r="L8" i="9"/>
  <c r="K8" i="9"/>
  <c r="J8" i="9"/>
  <c r="W7" i="9"/>
  <c r="V7" i="9"/>
  <c r="U7" i="9"/>
  <c r="T7" i="9"/>
  <c r="S7" i="9"/>
  <c r="R7" i="9"/>
  <c r="Q7" i="9"/>
  <c r="P7" i="9"/>
  <c r="O7" i="9"/>
  <c r="N7" i="9"/>
  <c r="M7" i="9"/>
  <c r="L7" i="9"/>
  <c r="K7" i="9"/>
  <c r="J7" i="9"/>
  <c r="W6" i="9"/>
  <c r="V6" i="9"/>
  <c r="U6" i="9"/>
  <c r="T6" i="9"/>
  <c r="S6" i="9"/>
  <c r="R6" i="9"/>
  <c r="Q6" i="9"/>
  <c r="P6" i="9"/>
  <c r="O6" i="9"/>
  <c r="N6" i="9"/>
  <c r="M6" i="9"/>
  <c r="L6" i="9"/>
  <c r="K6" i="9"/>
  <c r="J6" i="9"/>
  <c r="I9" i="9"/>
  <c r="I8" i="9"/>
  <c r="I7" i="9"/>
  <c r="I6" i="9"/>
  <c r="G9" i="9"/>
  <c r="F9" i="9"/>
  <c r="E9" i="9"/>
  <c r="D9" i="9"/>
  <c r="C9" i="9"/>
  <c r="G8" i="9"/>
  <c r="F8" i="9"/>
  <c r="E8" i="9"/>
  <c r="D8" i="9"/>
  <c r="C8" i="9"/>
  <c r="G7" i="9"/>
  <c r="F7" i="9"/>
  <c r="E7" i="9"/>
  <c r="D7" i="9"/>
  <c r="C7" i="9"/>
  <c r="G6" i="9"/>
  <c r="F6" i="9"/>
  <c r="E6" i="9"/>
  <c r="D6" i="9"/>
  <c r="C6" i="9"/>
  <c r="AB126" i="8"/>
  <c r="AC126" i="8" s="1"/>
  <c r="AB114" i="8"/>
  <c r="AC114" i="8" s="1"/>
  <c r="AB115" i="8"/>
  <c r="AC115" i="8" s="1"/>
  <c r="AB116" i="8"/>
  <c r="AC116" i="8" s="1"/>
  <c r="AB118" i="8"/>
  <c r="AC118" i="8" s="1"/>
  <c r="AB106" i="8"/>
  <c r="V32" i="9" s="1"/>
  <c r="AB109" i="8"/>
  <c r="AC109" i="8" s="1"/>
  <c r="AB110" i="8"/>
  <c r="AC110" i="8" s="1"/>
  <c r="AB90" i="8"/>
  <c r="AC90" i="8" s="1"/>
  <c r="W24" i="9" s="1"/>
  <c r="AB91" i="8"/>
  <c r="AC91" i="8" s="1"/>
  <c r="W28" i="9" s="1"/>
  <c r="AB92" i="8"/>
  <c r="AC92" i="8" s="1"/>
  <c r="AB93" i="8"/>
  <c r="AC93" i="8" s="1"/>
  <c r="AB94" i="8"/>
  <c r="AC94" i="8" s="1"/>
  <c r="AB96" i="8"/>
  <c r="AC96" i="8" s="1"/>
  <c r="AB97" i="8"/>
  <c r="AB98" i="8"/>
  <c r="AC98" i="8" s="1"/>
  <c r="AB99" i="8"/>
  <c r="AC99" i="8" s="1"/>
  <c r="AB100" i="8"/>
  <c r="AC100" i="8" s="1"/>
  <c r="AB101" i="8"/>
  <c r="AC101" i="8" s="1"/>
  <c r="AB102" i="8"/>
  <c r="AC102" i="8" s="1"/>
  <c r="X96" i="8"/>
  <c r="Y96" i="8" s="1"/>
  <c r="AH116" i="8"/>
  <c r="AG116" i="8"/>
  <c r="AF116" i="8"/>
  <c r="AE116" i="8"/>
  <c r="X116" i="8"/>
  <c r="V116" i="8"/>
  <c r="R116" i="8"/>
  <c r="AP116" i="8" s="1"/>
  <c r="N116" i="8"/>
  <c r="AL116" i="8" s="1"/>
  <c r="X126" i="8"/>
  <c r="Y126" i="8" s="1"/>
  <c r="X118" i="8"/>
  <c r="Y118" i="8" s="1"/>
  <c r="X115" i="8"/>
  <c r="Y115" i="8" s="1"/>
  <c r="X114" i="8"/>
  <c r="Y114" i="8" s="1"/>
  <c r="X110" i="8"/>
  <c r="Y110" i="8" s="1"/>
  <c r="X109" i="8"/>
  <c r="Y109" i="8" s="1"/>
  <c r="X106" i="8"/>
  <c r="Y106" i="8" s="1"/>
  <c r="S32" i="9" s="1"/>
  <c r="X102" i="8"/>
  <c r="Y102" i="8" s="1"/>
  <c r="X101" i="8"/>
  <c r="Y101" i="8" s="1"/>
  <c r="X100" i="8"/>
  <c r="Y100" i="8" s="1"/>
  <c r="X99" i="8"/>
  <c r="Y99" i="8" s="1"/>
  <c r="X98" i="8"/>
  <c r="Y98" i="8" s="1"/>
  <c r="X97" i="8"/>
  <c r="Y97" i="8" s="1"/>
  <c r="X91" i="8"/>
  <c r="Y91" i="8" s="1"/>
  <c r="S28" i="9" s="1"/>
  <c r="X90" i="8"/>
  <c r="Y90" i="8" s="1"/>
  <c r="S24" i="9" s="1"/>
  <c r="X94" i="8"/>
  <c r="Y94" i="8" s="1"/>
  <c r="X93" i="8"/>
  <c r="Y93" i="8" s="1"/>
  <c r="X92" i="8"/>
  <c r="Y92" i="8" s="1"/>
  <c r="AF118" i="8"/>
  <c r="AE118" i="8"/>
  <c r="T118" i="8"/>
  <c r="Q118" i="8"/>
  <c r="L118" i="8"/>
  <c r="AG118" i="8" s="1"/>
  <c r="T115" i="8"/>
  <c r="U115" i="8" s="1"/>
  <c r="T114" i="8"/>
  <c r="U114" i="8" s="1"/>
  <c r="T106" i="8"/>
  <c r="U106" i="8" s="1"/>
  <c r="O32" i="9" s="1"/>
  <c r="T109" i="8"/>
  <c r="U109" i="8" s="1"/>
  <c r="T110" i="8"/>
  <c r="U110" i="8" s="1"/>
  <c r="T91" i="8"/>
  <c r="U91" i="8" s="1"/>
  <c r="O28" i="9" s="1"/>
  <c r="T92" i="8"/>
  <c r="U92" i="8" s="1"/>
  <c r="T93" i="8"/>
  <c r="U93" i="8" s="1"/>
  <c r="T94" i="8"/>
  <c r="U94" i="8" s="1"/>
  <c r="T96" i="8"/>
  <c r="U96" i="8" s="1"/>
  <c r="T97" i="8"/>
  <c r="U97" i="8" s="1"/>
  <c r="T98" i="8"/>
  <c r="U98" i="8" s="1"/>
  <c r="T99" i="8"/>
  <c r="U99" i="8" s="1"/>
  <c r="T100" i="8"/>
  <c r="U100" i="8" s="1"/>
  <c r="T101" i="8"/>
  <c r="U101" i="8" s="1"/>
  <c r="T102" i="8"/>
  <c r="U102" i="8" s="1"/>
  <c r="T126" i="8"/>
  <c r="U126" i="8" s="1"/>
  <c r="Y133" i="8"/>
  <c r="S33" i="9" s="1"/>
  <c r="X133" i="8"/>
  <c r="R33" i="9" s="1"/>
  <c r="W133" i="8"/>
  <c r="Q33" i="9" s="1"/>
  <c r="U133" i="8"/>
  <c r="O33" i="9" s="1"/>
  <c r="T133" i="8"/>
  <c r="N33" i="9" s="1"/>
  <c r="S133" i="8"/>
  <c r="M33" i="9" s="1"/>
  <c r="Q133" i="8"/>
  <c r="K33" i="9" s="1"/>
  <c r="P133" i="8"/>
  <c r="J33" i="9" s="1"/>
  <c r="O133" i="8"/>
  <c r="I33" i="9" s="1"/>
  <c r="M133" i="8"/>
  <c r="L133" i="8"/>
  <c r="K133" i="8"/>
  <c r="S90" i="8"/>
  <c r="T90" i="8" s="1"/>
  <c r="U90" i="8" s="1"/>
  <c r="O24" i="9" s="1"/>
  <c r="AC26" i="8"/>
  <c r="AB26" i="8"/>
  <c r="Y26" i="8"/>
  <c r="X26" i="8"/>
  <c r="U26" i="8"/>
  <c r="T26" i="8"/>
  <c r="S26" i="8"/>
  <c r="W26" i="8"/>
  <c r="AA26" i="8"/>
  <c r="P126" i="8"/>
  <c r="Q126" i="8" s="1"/>
  <c r="P115" i="8"/>
  <c r="Q115" i="8" s="1"/>
  <c r="P114" i="8"/>
  <c r="Q114" i="8" s="1"/>
  <c r="P106" i="8"/>
  <c r="Q106" i="8" s="1"/>
  <c r="K32" i="9" s="1"/>
  <c r="P109" i="8"/>
  <c r="Q109" i="8" s="1"/>
  <c r="P110" i="8"/>
  <c r="Q110" i="8" s="1"/>
  <c r="P91" i="8"/>
  <c r="Q91" i="8" s="1"/>
  <c r="K28" i="9" s="1"/>
  <c r="P92" i="8"/>
  <c r="Q92" i="8" s="1"/>
  <c r="P93" i="8"/>
  <c r="Q93" i="8" s="1"/>
  <c r="P94" i="8"/>
  <c r="Q94" i="8" s="1"/>
  <c r="P96" i="8"/>
  <c r="Q96" i="8" s="1"/>
  <c r="P97" i="8"/>
  <c r="Q97" i="8" s="1"/>
  <c r="P98" i="8"/>
  <c r="Q98" i="8" s="1"/>
  <c r="P99" i="8"/>
  <c r="Q99" i="8" s="1"/>
  <c r="P100" i="8"/>
  <c r="Q100" i="8" s="1"/>
  <c r="P101" i="8"/>
  <c r="Q101" i="8" s="1"/>
  <c r="P102" i="8"/>
  <c r="Q102" i="8" s="1"/>
  <c r="Q26" i="8"/>
  <c r="P26" i="8"/>
  <c r="O26" i="8"/>
  <c r="O90" i="8"/>
  <c r="P90" i="8" s="1"/>
  <c r="Q90" i="8" s="1"/>
  <c r="K24" i="9" s="1"/>
  <c r="S111" i="8"/>
  <c r="O111" i="8"/>
  <c r="L110" i="8"/>
  <c r="M110" i="8" s="1"/>
  <c r="L126" i="8"/>
  <c r="M126" i="8" s="1"/>
  <c r="L115" i="8"/>
  <c r="M115" i="8" s="1"/>
  <c r="L114" i="8"/>
  <c r="M114" i="8" s="1"/>
  <c r="L109" i="8"/>
  <c r="M109" i="8" s="1"/>
  <c r="L106" i="8"/>
  <c r="M106" i="8" s="1"/>
  <c r="L100" i="8"/>
  <c r="M100" i="8" s="1"/>
  <c r="L99" i="8"/>
  <c r="M99" i="8" s="1"/>
  <c r="L98" i="8"/>
  <c r="M98" i="8" s="1"/>
  <c r="L97" i="8"/>
  <c r="M97" i="8" s="1"/>
  <c r="L96" i="8"/>
  <c r="M96" i="8" s="1"/>
  <c r="L102" i="8"/>
  <c r="M102" i="8" s="1"/>
  <c r="L101" i="8"/>
  <c r="M101" i="8" s="1"/>
  <c r="L94" i="8"/>
  <c r="M94" i="8" s="1"/>
  <c r="L93" i="8"/>
  <c r="M93" i="8" s="1"/>
  <c r="L92" i="8"/>
  <c r="M92" i="8" s="1"/>
  <c r="L91" i="8"/>
  <c r="M91" i="8" s="1"/>
  <c r="K90" i="8"/>
  <c r="L90" i="8" s="1"/>
  <c r="M90" i="8" s="1"/>
  <c r="F90" i="8"/>
  <c r="D24" i="9" s="1"/>
  <c r="E90" i="8"/>
  <c r="C24" i="9" s="1"/>
  <c r="D90" i="8"/>
  <c r="C90" i="8"/>
  <c r="AT31" i="18"/>
  <c r="AS31" i="18"/>
  <c r="AR31" i="18"/>
  <c r="AP31" i="18"/>
  <c r="AO31" i="18"/>
  <c r="AN31" i="18"/>
  <c r="AL31" i="18"/>
  <c r="AK31" i="18"/>
  <c r="AJ31" i="18"/>
  <c r="AH31" i="18"/>
  <c r="AG31" i="18"/>
  <c r="AF31" i="18"/>
  <c r="AT37" i="18"/>
  <c r="AS37" i="18"/>
  <c r="AR37" i="18"/>
  <c r="AP37" i="18"/>
  <c r="AO37" i="18"/>
  <c r="AN37" i="18"/>
  <c r="AL37" i="18"/>
  <c r="AK37" i="18"/>
  <c r="AJ37" i="18"/>
  <c r="AH37" i="18"/>
  <c r="AG37" i="18"/>
  <c r="AF37" i="18"/>
  <c r="AT43" i="18"/>
  <c r="AS43" i="18"/>
  <c r="AR43" i="18"/>
  <c r="AP43" i="18"/>
  <c r="AO43" i="18"/>
  <c r="AN43" i="18"/>
  <c r="AL43" i="18"/>
  <c r="AK43" i="18"/>
  <c r="AJ43" i="18"/>
  <c r="AH43" i="18"/>
  <c r="AG43" i="18"/>
  <c r="AF43" i="18"/>
  <c r="AT54" i="18"/>
  <c r="AT53" i="18" s="1"/>
  <c r="AS54" i="18"/>
  <c r="AS53" i="18" s="1"/>
  <c r="AR54" i="18"/>
  <c r="AR53" i="18" s="1"/>
  <c r="AP54" i="18"/>
  <c r="AP53" i="18" s="1"/>
  <c r="AO54" i="18"/>
  <c r="AO53" i="18" s="1"/>
  <c r="AN54" i="18"/>
  <c r="AL54" i="18"/>
  <c r="AK54" i="18"/>
  <c r="AK53" i="18" s="1"/>
  <c r="AJ54" i="18"/>
  <c r="AJ53" i="18" s="1"/>
  <c r="AH54" i="18"/>
  <c r="AH53" i="18" s="1"/>
  <c r="AG54" i="18"/>
  <c r="AG53" i="18" s="1"/>
  <c r="AF54" i="18"/>
  <c r="AF53" i="18" s="1"/>
  <c r="AN53" i="18"/>
  <c r="AL53" i="18"/>
  <c r="AT68" i="18"/>
  <c r="AS68" i="18"/>
  <c r="AR68" i="18"/>
  <c r="AP68" i="18"/>
  <c r="AO68" i="18"/>
  <c r="AN68" i="18"/>
  <c r="AL68" i="18"/>
  <c r="AK68" i="18"/>
  <c r="AJ68" i="18"/>
  <c r="AH68" i="18"/>
  <c r="AG68" i="18"/>
  <c r="AF68" i="18"/>
  <c r="E153" i="19" l="1"/>
  <c r="F153" i="19" s="1"/>
  <c r="M158" i="19"/>
  <c r="N158" i="19" s="1"/>
  <c r="O158" i="19" s="1"/>
  <c r="P158" i="19" s="1"/>
  <c r="Q158" i="19" s="1"/>
  <c r="L155" i="19"/>
  <c r="L156" i="19" s="1"/>
  <c r="M153" i="19" s="1"/>
  <c r="G153" i="19"/>
  <c r="H153" i="19" s="1"/>
  <c r="Q149" i="19"/>
  <c r="N140" i="19"/>
  <c r="N144" i="19" s="1"/>
  <c r="O140" i="19"/>
  <c r="O144" i="19" s="1"/>
  <c r="P140" i="19"/>
  <c r="P144" i="19" s="1"/>
  <c r="L140" i="19"/>
  <c r="L144" i="19" s="1"/>
  <c r="M140" i="19"/>
  <c r="M144" i="19" s="1"/>
  <c r="M110" i="19"/>
  <c r="M116" i="19"/>
  <c r="F120" i="19"/>
  <c r="D120" i="19"/>
  <c r="G120" i="19"/>
  <c r="H120" i="19"/>
  <c r="C120" i="19"/>
  <c r="E120" i="19"/>
  <c r="E105" i="19"/>
  <c r="E113" i="19" s="1"/>
  <c r="H105" i="19"/>
  <c r="H113" i="19" s="1"/>
  <c r="D105" i="19"/>
  <c r="D113" i="19" s="1"/>
  <c r="C105" i="19"/>
  <c r="C113" i="19" s="1"/>
  <c r="F105" i="19"/>
  <c r="F113" i="19" s="1"/>
  <c r="G105" i="19"/>
  <c r="G113" i="19" s="1"/>
  <c r="E88" i="19"/>
  <c r="E97" i="19" s="1"/>
  <c r="F88" i="19"/>
  <c r="F97" i="19" s="1"/>
  <c r="C88" i="19"/>
  <c r="C97" i="19" s="1"/>
  <c r="D88" i="19"/>
  <c r="D97" i="19" s="1"/>
  <c r="G88" i="19"/>
  <c r="G97" i="19" s="1"/>
  <c r="H88" i="19"/>
  <c r="H97" i="19" s="1"/>
  <c r="L81" i="19"/>
  <c r="P80" i="19"/>
  <c r="M81" i="19"/>
  <c r="L80" i="19"/>
  <c r="N81" i="19"/>
  <c r="M80" i="19"/>
  <c r="O81" i="19"/>
  <c r="N80" i="19"/>
  <c r="P81" i="19"/>
  <c r="O80" i="19"/>
  <c r="Q81" i="19"/>
  <c r="D57" i="19"/>
  <c r="F58" i="19"/>
  <c r="H59" i="19"/>
  <c r="D61" i="19"/>
  <c r="F62" i="19"/>
  <c r="H63" i="19"/>
  <c r="D62" i="19"/>
  <c r="F60" i="19"/>
  <c r="N61" i="19"/>
  <c r="O61" i="19" s="1"/>
  <c r="P61" i="19" s="1"/>
  <c r="Q61" i="19" s="1"/>
  <c r="E59" i="19"/>
  <c r="G60" i="19"/>
  <c r="E63" i="19"/>
  <c r="P75" i="19"/>
  <c r="Q75" i="19" s="1"/>
  <c r="L58" i="19"/>
  <c r="L28" i="19"/>
  <c r="M28" i="19" s="1"/>
  <c r="N28" i="19" s="1"/>
  <c r="O28" i="19" s="1"/>
  <c r="P28" i="19" s="1"/>
  <c r="Q28" i="19" s="1"/>
  <c r="S28" i="19" s="1"/>
  <c r="L57" i="19"/>
  <c r="M57" i="19"/>
  <c r="L62" i="19"/>
  <c r="L59" i="19"/>
  <c r="M59" i="19"/>
  <c r="N59" i="19"/>
  <c r="M58" i="19"/>
  <c r="F155" i="20"/>
  <c r="M62" i="19"/>
  <c r="N62" i="19"/>
  <c r="N58" i="19"/>
  <c r="L61" i="19"/>
  <c r="L117" i="19" s="1"/>
  <c r="M61" i="19"/>
  <c r="N57" i="19"/>
  <c r="F135" i="20"/>
  <c r="F156" i="20"/>
  <c r="F136" i="20"/>
  <c r="O68" i="19" s="1"/>
  <c r="E57" i="19"/>
  <c r="G63" i="19"/>
  <c r="F57" i="19"/>
  <c r="H58" i="19"/>
  <c r="D60" i="19"/>
  <c r="F61" i="19"/>
  <c r="H62" i="19"/>
  <c r="D58" i="19"/>
  <c r="F59" i="19"/>
  <c r="H60" i="19"/>
  <c r="F63" i="19"/>
  <c r="E58" i="19"/>
  <c r="G59" i="19"/>
  <c r="E62" i="19"/>
  <c r="L21" i="19"/>
  <c r="G58" i="19"/>
  <c r="E61" i="19"/>
  <c r="G62" i="19"/>
  <c r="G57" i="19"/>
  <c r="E60" i="19"/>
  <c r="G61" i="19"/>
  <c r="H57" i="19"/>
  <c r="D59" i="19"/>
  <c r="H61" i="19"/>
  <c r="D63" i="19"/>
  <c r="M21" i="19"/>
  <c r="N21" i="19"/>
  <c r="J31" i="19"/>
  <c r="J39" i="19"/>
  <c r="J35" i="19"/>
  <c r="J44" i="19"/>
  <c r="J36" i="19"/>
  <c r="J50" i="19"/>
  <c r="F100" i="20"/>
  <c r="O27" i="19" s="1"/>
  <c r="F99" i="20"/>
  <c r="F87" i="20"/>
  <c r="F86" i="20"/>
  <c r="F74" i="20"/>
  <c r="O23" i="19" s="1"/>
  <c r="O62" i="19" s="1"/>
  <c r="F73" i="20"/>
  <c r="F61" i="20"/>
  <c r="F60" i="20"/>
  <c r="H47" i="20"/>
  <c r="F48" i="20"/>
  <c r="G48" i="20"/>
  <c r="F47" i="20"/>
  <c r="H48" i="20"/>
  <c r="G47" i="20"/>
  <c r="F34" i="20"/>
  <c r="F35" i="20"/>
  <c r="E21" i="14"/>
  <c r="D21" i="14"/>
  <c r="F21" i="14"/>
  <c r="C21" i="14"/>
  <c r="G18" i="14"/>
  <c r="G21" i="14" s="1"/>
  <c r="E19" i="20"/>
  <c r="F19" i="20"/>
  <c r="G18" i="20"/>
  <c r="G19" i="20" s="1"/>
  <c r="G110" i="20"/>
  <c r="F185" i="20"/>
  <c r="O66" i="19" s="1"/>
  <c r="F110" i="20"/>
  <c r="G183" i="20"/>
  <c r="G181" i="20"/>
  <c r="H180" i="20"/>
  <c r="F181" i="20"/>
  <c r="F145" i="20"/>
  <c r="G12" i="20"/>
  <c r="F16" i="20"/>
  <c r="G172" i="20"/>
  <c r="G175" i="20"/>
  <c r="G131" i="20"/>
  <c r="G162" i="20"/>
  <c r="G165" i="20"/>
  <c r="G152" i="20"/>
  <c r="G155" i="20" s="1"/>
  <c r="G147" i="20"/>
  <c r="G143" i="20"/>
  <c r="G132" i="20"/>
  <c r="G80" i="20"/>
  <c r="G67" i="20"/>
  <c r="F55" i="20"/>
  <c r="F29" i="20"/>
  <c r="G29" i="20"/>
  <c r="H29" i="20"/>
  <c r="H54" i="20"/>
  <c r="G55" i="20"/>
  <c r="G42" i="20"/>
  <c r="F42" i="20"/>
  <c r="F45" i="20"/>
  <c r="G83" i="20"/>
  <c r="G125" i="20"/>
  <c r="G117" i="20"/>
  <c r="H109" i="20"/>
  <c r="H110" i="20" s="1"/>
  <c r="G96" i="20"/>
  <c r="G57" i="20"/>
  <c r="G31" i="20"/>
  <c r="G34" i="20" s="1"/>
  <c r="G70" i="20"/>
  <c r="J20" i="19"/>
  <c r="J40" i="19"/>
  <c r="J41" i="19"/>
  <c r="J23" i="19"/>
  <c r="J27" i="19"/>
  <c r="E21" i="19"/>
  <c r="E24" i="19" s="1"/>
  <c r="E29" i="19" s="1"/>
  <c r="E163" i="19" s="1"/>
  <c r="C21" i="19"/>
  <c r="C24" i="19" s="1"/>
  <c r="C29" i="19" s="1"/>
  <c r="C73" i="19" s="1"/>
  <c r="F21" i="19"/>
  <c r="F24" i="19" s="1"/>
  <c r="F29" i="19" s="1"/>
  <c r="F163" i="19" s="1"/>
  <c r="J19" i="19"/>
  <c r="G21" i="19"/>
  <c r="G24" i="19" s="1"/>
  <c r="G29" i="19" s="1"/>
  <c r="G163" i="19" s="1"/>
  <c r="H21" i="19"/>
  <c r="D21" i="19"/>
  <c r="J26" i="19"/>
  <c r="J18" i="19"/>
  <c r="J47" i="19"/>
  <c r="J34" i="19"/>
  <c r="J28" i="19"/>
  <c r="C53" i="9"/>
  <c r="F53" i="9"/>
  <c r="K53" i="9"/>
  <c r="V53" i="9"/>
  <c r="E53" i="9"/>
  <c r="O53" i="9"/>
  <c r="G53" i="9"/>
  <c r="I53" i="9"/>
  <c r="S53" i="9"/>
  <c r="D53" i="9"/>
  <c r="N53" i="9"/>
  <c r="M53" i="9"/>
  <c r="AK44" i="9"/>
  <c r="Q53" i="9"/>
  <c r="AH42" i="9"/>
  <c r="R53" i="9"/>
  <c r="AG44" i="9"/>
  <c r="AH44" i="9"/>
  <c r="U53" i="9"/>
  <c r="AI44" i="9"/>
  <c r="AJ44" i="9"/>
  <c r="W53" i="9"/>
  <c r="AG41" i="9"/>
  <c r="AH41" i="9"/>
  <c r="AK42" i="9"/>
  <c r="AI41" i="9"/>
  <c r="AJ41" i="9"/>
  <c r="AK41" i="9"/>
  <c r="AG42" i="9"/>
  <c r="AI42" i="9"/>
  <c r="AJ42" i="9"/>
  <c r="W111" i="8"/>
  <c r="AA111" i="8"/>
  <c r="K111" i="8"/>
  <c r="Z117" i="8"/>
  <c r="V117" i="8"/>
  <c r="N117" i="8"/>
  <c r="R117" i="8"/>
  <c r="AB107" i="8"/>
  <c r="AC107" i="8" s="1"/>
  <c r="Z107" i="8"/>
  <c r="N108" i="8"/>
  <c r="Y108" i="8"/>
  <c r="Z108" i="8" s="1"/>
  <c r="V108" i="8"/>
  <c r="R108" i="8"/>
  <c r="V107" i="8"/>
  <c r="N107" i="8"/>
  <c r="R107" i="8"/>
  <c r="J32" i="9"/>
  <c r="K35" i="9"/>
  <c r="AC106" i="8"/>
  <c r="W32" i="9" s="1"/>
  <c r="V28" i="9"/>
  <c r="S35" i="9"/>
  <c r="V35" i="9"/>
  <c r="R24" i="9"/>
  <c r="R32" i="9"/>
  <c r="O35" i="9"/>
  <c r="Z118" i="8"/>
  <c r="AV118" i="8" s="1"/>
  <c r="M24" i="9"/>
  <c r="N24" i="9"/>
  <c r="V24" i="9"/>
  <c r="J28" i="9"/>
  <c r="R28" i="9"/>
  <c r="N32" i="9"/>
  <c r="J35" i="9"/>
  <c r="R35" i="9"/>
  <c r="Y116" i="8"/>
  <c r="Z116" i="8" s="1"/>
  <c r="AC97" i="8"/>
  <c r="W35" i="9" s="1"/>
  <c r="I24" i="9"/>
  <c r="J24" i="9"/>
  <c r="N28" i="9"/>
  <c r="N35" i="9"/>
  <c r="AJ7" i="9"/>
  <c r="AJ9" i="9"/>
  <c r="AK7" i="9"/>
  <c r="AG9" i="9"/>
  <c r="AH8" i="9"/>
  <c r="AH9" i="9"/>
  <c r="AG7" i="9"/>
  <c r="AI8" i="9"/>
  <c r="AK9" i="9"/>
  <c r="AH7" i="9"/>
  <c r="AJ8" i="9"/>
  <c r="AI7" i="9"/>
  <c r="AK8" i="9"/>
  <c r="AG8" i="9"/>
  <c r="AI9" i="9"/>
  <c r="X111" i="8"/>
  <c r="AI116" i="8"/>
  <c r="AQ116" i="8"/>
  <c r="AJ116" i="8"/>
  <c r="AR116" i="8"/>
  <c r="AK116" i="8"/>
  <c r="AS116" i="8"/>
  <c r="AM116" i="8"/>
  <c r="AN116" i="8"/>
  <c r="AO116" i="8"/>
  <c r="M118" i="8"/>
  <c r="AH118" i="8" s="1"/>
  <c r="R118" i="8"/>
  <c r="AO118" i="8" s="1"/>
  <c r="U118" i="8"/>
  <c r="T111" i="8"/>
  <c r="U111" i="8"/>
  <c r="P111" i="8"/>
  <c r="M111" i="8"/>
  <c r="L111" i="8"/>
  <c r="M155" i="19" l="1"/>
  <c r="M156" i="19" s="1"/>
  <c r="N153" i="19" s="1"/>
  <c r="C163" i="19"/>
  <c r="N155" i="19"/>
  <c r="N126" i="19"/>
  <c r="N150" i="19"/>
  <c r="L125" i="19"/>
  <c r="L149" i="19"/>
  <c r="Q126" i="19"/>
  <c r="Q150" i="19"/>
  <c r="M126" i="19"/>
  <c r="M150" i="19"/>
  <c r="M125" i="19"/>
  <c r="M149" i="19"/>
  <c r="O125" i="19"/>
  <c r="O149" i="19"/>
  <c r="P125" i="19"/>
  <c r="P149" i="19"/>
  <c r="P126" i="19"/>
  <c r="P150" i="19"/>
  <c r="L126" i="19"/>
  <c r="L150" i="19"/>
  <c r="N125" i="19"/>
  <c r="N149" i="19"/>
  <c r="O126" i="19"/>
  <c r="O150" i="19"/>
  <c r="N110" i="19"/>
  <c r="M117" i="19"/>
  <c r="N117" i="19" s="1"/>
  <c r="O117" i="19" s="1"/>
  <c r="P117" i="19" s="1"/>
  <c r="Q117" i="19" s="1"/>
  <c r="L120" i="19"/>
  <c r="F73" i="19"/>
  <c r="F56" i="19"/>
  <c r="E74" i="19"/>
  <c r="G75" i="19"/>
  <c r="G56" i="19"/>
  <c r="E122" i="19"/>
  <c r="C122" i="19"/>
  <c r="H122" i="19"/>
  <c r="G122" i="19"/>
  <c r="D122" i="19"/>
  <c r="F122" i="19"/>
  <c r="N116" i="19"/>
  <c r="G76" i="19"/>
  <c r="F77" i="19"/>
  <c r="O26" i="19"/>
  <c r="P26" i="19" s="1"/>
  <c r="Q26" i="19" s="1"/>
  <c r="F76" i="19"/>
  <c r="G77" i="19"/>
  <c r="C77" i="19"/>
  <c r="E76" i="19"/>
  <c r="E77" i="19"/>
  <c r="C76" i="19"/>
  <c r="O59" i="19"/>
  <c r="O20" i="19" s="1"/>
  <c r="M24" i="19"/>
  <c r="M29" i="19" s="1"/>
  <c r="M60" i="19"/>
  <c r="L24" i="19"/>
  <c r="L29" i="19" s="1"/>
  <c r="L60" i="19"/>
  <c r="N24" i="19"/>
  <c r="N29" i="19" s="1"/>
  <c r="N60" i="19"/>
  <c r="G156" i="20"/>
  <c r="G136" i="20"/>
  <c r="P68" i="19" s="1"/>
  <c r="H131" i="20"/>
  <c r="G135" i="20"/>
  <c r="F75" i="19"/>
  <c r="G74" i="19"/>
  <c r="E73" i="19"/>
  <c r="E75" i="19"/>
  <c r="F74" i="19"/>
  <c r="G73" i="19"/>
  <c r="C75" i="19"/>
  <c r="C74" i="19"/>
  <c r="G100" i="20"/>
  <c r="P27" i="19" s="1"/>
  <c r="G99" i="20"/>
  <c r="G86" i="20"/>
  <c r="H83" i="20"/>
  <c r="H84" i="20" s="1"/>
  <c r="G87" i="20"/>
  <c r="G73" i="20"/>
  <c r="G74" i="20"/>
  <c r="P23" i="19" s="1"/>
  <c r="P62" i="19" s="1"/>
  <c r="G58" i="20"/>
  <c r="G61" i="20"/>
  <c r="G60" i="20"/>
  <c r="S19" i="19"/>
  <c r="H31" i="20"/>
  <c r="G35" i="20"/>
  <c r="H18" i="20"/>
  <c r="H19" i="20" s="1"/>
  <c r="G184" i="20"/>
  <c r="G185" i="20"/>
  <c r="P66" i="19" s="1"/>
  <c r="H183" i="20"/>
  <c r="H185" i="20" s="1"/>
  <c r="Q66" i="19" s="1"/>
  <c r="H181" i="20"/>
  <c r="J180" i="20"/>
  <c r="H12" i="20"/>
  <c r="G145" i="20"/>
  <c r="G13" i="20"/>
  <c r="G16" i="20"/>
  <c r="G176" i="20"/>
  <c r="H175" i="20"/>
  <c r="G173" i="20"/>
  <c r="H172" i="20"/>
  <c r="G166" i="20"/>
  <c r="H165" i="20"/>
  <c r="G163" i="20"/>
  <c r="H162" i="20"/>
  <c r="H152" i="20"/>
  <c r="G148" i="20"/>
  <c r="H147" i="20"/>
  <c r="G144" i="20"/>
  <c r="H143" i="20"/>
  <c r="H132" i="20"/>
  <c r="G81" i="20"/>
  <c r="H80" i="20"/>
  <c r="G68" i="20"/>
  <c r="H67" i="20"/>
  <c r="H55" i="20"/>
  <c r="J54" i="20"/>
  <c r="H42" i="20"/>
  <c r="J41" i="20"/>
  <c r="G84" i="20"/>
  <c r="H57" i="20"/>
  <c r="J109" i="20"/>
  <c r="H125" i="20"/>
  <c r="H117" i="20"/>
  <c r="G97" i="20"/>
  <c r="H96" i="20"/>
  <c r="G32" i="20"/>
  <c r="G45" i="20"/>
  <c r="H45" i="20"/>
  <c r="G71" i="20"/>
  <c r="H70" i="20"/>
  <c r="J21" i="19"/>
  <c r="H24" i="19"/>
  <c r="D24" i="19"/>
  <c r="D29" i="19" s="1"/>
  <c r="G32" i="19"/>
  <c r="F32" i="19"/>
  <c r="AB111" i="8"/>
  <c r="Y111" i="8"/>
  <c r="Q111" i="8"/>
  <c r="AX118" i="8"/>
  <c r="AT116" i="8"/>
  <c r="AW118" i="8"/>
  <c r="AU118" i="8"/>
  <c r="AC111" i="8"/>
  <c r="AX116" i="8"/>
  <c r="AU116" i="8"/>
  <c r="AV116" i="8"/>
  <c r="AW116" i="8"/>
  <c r="N118" i="8"/>
  <c r="AL118" i="8" s="1"/>
  <c r="AN118" i="8"/>
  <c r="AM118" i="8"/>
  <c r="V118" i="8"/>
  <c r="AT118" i="8" s="1"/>
  <c r="AP118" i="8"/>
  <c r="D56" i="19" l="1"/>
  <c r="D163" i="19"/>
  <c r="N156" i="19"/>
  <c r="O153" i="19" s="1"/>
  <c r="O155" i="19"/>
  <c r="O110" i="19"/>
  <c r="M120" i="19"/>
  <c r="E56" i="19"/>
  <c r="N56" i="19"/>
  <c r="M56" i="19"/>
  <c r="N120" i="19"/>
  <c r="O116" i="19"/>
  <c r="O21" i="19"/>
  <c r="O60" i="19" s="1"/>
  <c r="D77" i="19"/>
  <c r="D76" i="19"/>
  <c r="L36" i="19"/>
  <c r="L35" i="19"/>
  <c r="M34" i="19"/>
  <c r="M35" i="19"/>
  <c r="M36" i="19"/>
  <c r="P59" i="19"/>
  <c r="Q59" i="19" s="1"/>
  <c r="N32" i="19"/>
  <c r="N31" i="19" s="1"/>
  <c r="N34" i="19"/>
  <c r="N35" i="19"/>
  <c r="N36" i="19"/>
  <c r="H155" i="20"/>
  <c r="H156" i="20"/>
  <c r="H136" i="20"/>
  <c r="Q68" i="19" s="1"/>
  <c r="H135" i="20"/>
  <c r="J83" i="20"/>
  <c r="H86" i="20"/>
  <c r="F37" i="19"/>
  <c r="F48" i="19" s="1"/>
  <c r="F66" i="19"/>
  <c r="D73" i="19"/>
  <c r="D75" i="19"/>
  <c r="D74" i="19"/>
  <c r="G37" i="19"/>
  <c r="G67" i="19" s="1"/>
  <c r="G66" i="19"/>
  <c r="H100" i="20"/>
  <c r="Q27" i="19" s="1"/>
  <c r="S27" i="19" s="1"/>
  <c r="H99" i="20"/>
  <c r="H87" i="20"/>
  <c r="S26" i="19" s="1"/>
  <c r="H73" i="20"/>
  <c r="H74" i="20"/>
  <c r="Q23" i="19" s="1"/>
  <c r="S23" i="19" s="1"/>
  <c r="H58" i="20"/>
  <c r="H61" i="20"/>
  <c r="H60" i="20"/>
  <c r="J31" i="20"/>
  <c r="H35" i="20"/>
  <c r="H34" i="20"/>
  <c r="H32" i="20"/>
  <c r="J18" i="20"/>
  <c r="H145" i="20"/>
  <c r="J183" i="20"/>
  <c r="H184" i="20"/>
  <c r="H16" i="20"/>
  <c r="J15" i="20"/>
  <c r="H13" i="20"/>
  <c r="J12" i="20"/>
  <c r="H163" i="20"/>
  <c r="J162" i="20"/>
  <c r="H144" i="20"/>
  <c r="J143" i="20"/>
  <c r="H148" i="20"/>
  <c r="J147" i="20"/>
  <c r="H173" i="20"/>
  <c r="J172" i="20"/>
  <c r="H166" i="20"/>
  <c r="J165" i="20"/>
  <c r="H176" i="20"/>
  <c r="J175" i="20"/>
  <c r="H68" i="20"/>
  <c r="J67" i="20"/>
  <c r="H81" i="20"/>
  <c r="J80" i="20"/>
  <c r="J57" i="20"/>
  <c r="J117" i="20"/>
  <c r="H71" i="20"/>
  <c r="J70" i="20"/>
  <c r="J125" i="20"/>
  <c r="H97" i="20"/>
  <c r="J96" i="20"/>
  <c r="H29" i="19"/>
  <c r="C32" i="19"/>
  <c r="E32" i="19"/>
  <c r="D32" i="19"/>
  <c r="J24" i="19"/>
  <c r="AI118" i="8"/>
  <c r="AK118" i="8"/>
  <c r="AJ118" i="8"/>
  <c r="AQ118" i="8"/>
  <c r="AS118" i="8"/>
  <c r="AR118" i="8"/>
  <c r="H56" i="19" l="1"/>
  <c r="H163" i="19"/>
  <c r="O156" i="19"/>
  <c r="P153" i="19" s="1"/>
  <c r="Q155" i="19"/>
  <c r="P155" i="19"/>
  <c r="P110" i="19"/>
  <c r="L56" i="19"/>
  <c r="L103" i="19" s="1"/>
  <c r="P116" i="19"/>
  <c r="O120" i="19"/>
  <c r="O24" i="19"/>
  <c r="O29" i="19" s="1"/>
  <c r="F51" i="19"/>
  <c r="F70" i="19" s="1"/>
  <c r="F69" i="19"/>
  <c r="H32" i="19"/>
  <c r="H37" i="19" s="1"/>
  <c r="H76" i="19"/>
  <c r="H77" i="19"/>
  <c r="P20" i="19"/>
  <c r="G48" i="19"/>
  <c r="F67" i="19"/>
  <c r="G42" i="19"/>
  <c r="D37" i="19"/>
  <c r="D66" i="19"/>
  <c r="E37" i="19"/>
  <c r="E67" i="19" s="1"/>
  <c r="E66" i="19"/>
  <c r="C37" i="19"/>
  <c r="C67" i="19" s="1"/>
  <c r="C66" i="19"/>
  <c r="F42" i="19"/>
  <c r="J29" i="19"/>
  <c r="H74" i="19"/>
  <c r="H75" i="19"/>
  <c r="H73" i="19"/>
  <c r="L73" i="19" s="1"/>
  <c r="L34" i="19" s="1"/>
  <c r="S18" i="19"/>
  <c r="P156" i="19" l="1"/>
  <c r="Q153" i="19" s="1"/>
  <c r="Q156" i="19" s="1"/>
  <c r="M103" i="19"/>
  <c r="N103" i="19" s="1"/>
  <c r="Q110" i="19"/>
  <c r="O32" i="19"/>
  <c r="O31" i="19" s="1"/>
  <c r="O56" i="19"/>
  <c r="L87" i="19"/>
  <c r="M87" i="19" s="1"/>
  <c r="N87" i="19" s="1"/>
  <c r="L50" i="19"/>
  <c r="L130" i="19" s="1"/>
  <c r="L86" i="19"/>
  <c r="L104" i="19"/>
  <c r="L112" i="19"/>
  <c r="L96" i="19"/>
  <c r="M96" i="19" s="1"/>
  <c r="N96" i="19" s="1"/>
  <c r="Q116" i="19"/>
  <c r="Q120" i="19" s="1"/>
  <c r="P120" i="19"/>
  <c r="O36" i="19"/>
  <c r="O35" i="19"/>
  <c r="O34" i="19"/>
  <c r="Q20" i="19"/>
  <c r="Q21" i="19" s="1"/>
  <c r="P21" i="19"/>
  <c r="H42" i="19"/>
  <c r="H68" i="19" s="1"/>
  <c r="L68" i="19" s="1"/>
  <c r="H48" i="19"/>
  <c r="H69" i="19" s="1"/>
  <c r="J32" i="19"/>
  <c r="H66" i="19"/>
  <c r="L66" i="19" s="1"/>
  <c r="G51" i="19"/>
  <c r="G70" i="19" s="1"/>
  <c r="G69" i="19"/>
  <c r="G45" i="19"/>
  <c r="G68" i="19"/>
  <c r="F45" i="19"/>
  <c r="F68" i="19"/>
  <c r="E42" i="19"/>
  <c r="C42" i="19"/>
  <c r="D67" i="19"/>
  <c r="H67" i="19"/>
  <c r="E48" i="19"/>
  <c r="J37" i="19"/>
  <c r="D48" i="19"/>
  <c r="D42" i="19"/>
  <c r="C48" i="19"/>
  <c r="M112" i="19" l="1"/>
  <c r="L134" i="19"/>
  <c r="L131" i="19"/>
  <c r="O103" i="19"/>
  <c r="O87" i="19"/>
  <c r="M104" i="19"/>
  <c r="M86" i="19"/>
  <c r="M131" i="19" s="1"/>
  <c r="M50" i="19"/>
  <c r="M130" i="19" s="1"/>
  <c r="L77" i="19"/>
  <c r="O96" i="19"/>
  <c r="Q24" i="19"/>
  <c r="Q29" i="19" s="1"/>
  <c r="P24" i="19"/>
  <c r="P29" i="19" s="1"/>
  <c r="S20" i="19"/>
  <c r="S21" i="19"/>
  <c r="Q60" i="19"/>
  <c r="P60" i="19"/>
  <c r="H45" i="19"/>
  <c r="H51" i="19"/>
  <c r="H70" i="19" s="1"/>
  <c r="C51" i="19"/>
  <c r="C70" i="19" s="1"/>
  <c r="C69" i="19"/>
  <c r="D51" i="19"/>
  <c r="D70" i="19" s="1"/>
  <c r="D69" i="19"/>
  <c r="M66" i="19"/>
  <c r="M32" i="19" s="1"/>
  <c r="M31" i="19" s="1"/>
  <c r="L32" i="19"/>
  <c r="E51" i="19"/>
  <c r="E70" i="19" s="1"/>
  <c r="E69" i="19"/>
  <c r="C45" i="19"/>
  <c r="C68" i="19"/>
  <c r="E45" i="19"/>
  <c r="E68" i="19"/>
  <c r="D45" i="19"/>
  <c r="D68" i="19"/>
  <c r="J48" i="19"/>
  <c r="J42" i="19"/>
  <c r="N112" i="19" l="1"/>
  <c r="M134" i="19"/>
  <c r="P34" i="19"/>
  <c r="P56" i="19"/>
  <c r="P96" i="19" s="1"/>
  <c r="N50" i="19"/>
  <c r="N130" i="19" s="1"/>
  <c r="M77" i="19"/>
  <c r="Q34" i="19"/>
  <c r="Q56" i="19"/>
  <c r="N86" i="19"/>
  <c r="N104" i="19"/>
  <c r="P32" i="19"/>
  <c r="P31" i="19" s="1"/>
  <c r="P35" i="19"/>
  <c r="P36" i="19"/>
  <c r="Q35" i="19"/>
  <c r="Q32" i="19"/>
  <c r="Q31" i="19" s="1"/>
  <c r="S24" i="19"/>
  <c r="Q36" i="19"/>
  <c r="M37" i="19"/>
  <c r="M42" i="19" s="1"/>
  <c r="J51" i="19"/>
  <c r="L31" i="19"/>
  <c r="L100" i="19" s="1"/>
  <c r="L132" i="19" s="1"/>
  <c r="L37" i="19"/>
  <c r="J45" i="19"/>
  <c r="N37" i="19"/>
  <c r="Q96" i="19" l="1"/>
  <c r="O112" i="19"/>
  <c r="O134" i="19" s="1"/>
  <c r="N134" i="19"/>
  <c r="N131" i="19"/>
  <c r="S34" i="19"/>
  <c r="P103" i="19"/>
  <c r="Q103" i="19" s="1"/>
  <c r="M100" i="19"/>
  <c r="M132" i="19" s="1"/>
  <c r="L105" i="19"/>
  <c r="L113" i="19" s="1"/>
  <c r="O86" i="19"/>
  <c r="O50" i="19"/>
  <c r="O130" i="19" s="1"/>
  <c r="N77" i="19"/>
  <c r="O104" i="19"/>
  <c r="P87" i="19"/>
  <c r="Q87" i="19" s="1"/>
  <c r="M44" i="19"/>
  <c r="M45" i="19" s="1"/>
  <c r="M128" i="19" s="1"/>
  <c r="S36" i="19"/>
  <c r="S35" i="19"/>
  <c r="S31" i="19"/>
  <c r="M67" i="19"/>
  <c r="L67" i="19"/>
  <c r="L42" i="19"/>
  <c r="N42" i="19"/>
  <c r="N67" i="19"/>
  <c r="O37" i="19"/>
  <c r="S29" i="19"/>
  <c r="M135" i="19" l="1"/>
  <c r="M146" i="19" s="1"/>
  <c r="M84" i="19" s="1"/>
  <c r="M88" i="19" s="1"/>
  <c r="M97" i="19" s="1"/>
  <c r="P112" i="19"/>
  <c r="Q112" i="19" s="1"/>
  <c r="Q134" i="19" s="1"/>
  <c r="O131" i="19"/>
  <c r="N100" i="19"/>
  <c r="N132" i="19" s="1"/>
  <c r="M105" i="19"/>
  <c r="M113" i="19" s="1"/>
  <c r="P104" i="19"/>
  <c r="P50" i="19"/>
  <c r="P130" i="19" s="1"/>
  <c r="O77" i="19"/>
  <c r="P86" i="19"/>
  <c r="P131" i="19" s="1"/>
  <c r="N44" i="19"/>
  <c r="N45" i="19" s="1"/>
  <c r="N128" i="19" s="1"/>
  <c r="L44" i="19"/>
  <c r="O42" i="19"/>
  <c r="O67" i="19"/>
  <c r="P37" i="19"/>
  <c r="P67" i="19" s="1"/>
  <c r="S32" i="19"/>
  <c r="M122" i="19" l="1"/>
  <c r="P134" i="19"/>
  <c r="N135" i="19"/>
  <c r="N146" i="19" s="1"/>
  <c r="N84" i="19" s="1"/>
  <c r="N88" i="19" s="1"/>
  <c r="N97" i="19" s="1"/>
  <c r="O100" i="19"/>
  <c r="O132" i="19" s="1"/>
  <c r="N105" i="19"/>
  <c r="N113" i="19" s="1"/>
  <c r="Q86" i="19"/>
  <c r="Q50" i="19"/>
  <c r="Q130" i="19" s="1"/>
  <c r="P77" i="19"/>
  <c r="Q104" i="19"/>
  <c r="O44" i="19"/>
  <c r="O45" i="19" s="1"/>
  <c r="O128" i="19" s="1"/>
  <c r="L45" i="19"/>
  <c r="L128" i="19" s="1"/>
  <c r="L135" i="19" s="1"/>
  <c r="L146" i="19" s="1"/>
  <c r="L84" i="19" s="1"/>
  <c r="L88" i="19" s="1"/>
  <c r="L97" i="19" s="1"/>
  <c r="L122" i="19" s="1"/>
  <c r="Q37" i="19"/>
  <c r="P42" i="19"/>
  <c r="N122" i="19" l="1"/>
  <c r="O135" i="19"/>
  <c r="O146" i="19" s="1"/>
  <c r="O84" i="19" s="1"/>
  <c r="O88" i="19" s="1"/>
  <c r="O97" i="19" s="1"/>
  <c r="Q131" i="19"/>
  <c r="P100" i="19"/>
  <c r="P132" i="19" s="1"/>
  <c r="O105" i="19"/>
  <c r="O113" i="19" s="1"/>
  <c r="S50" i="19"/>
  <c r="Q77" i="19"/>
  <c r="P44" i="19"/>
  <c r="P45" i="19" s="1"/>
  <c r="P128" i="19" s="1"/>
  <c r="S37" i="19"/>
  <c r="Q67" i="19"/>
  <c r="Q42" i="19"/>
  <c r="O122" i="19" l="1"/>
  <c r="P135" i="19"/>
  <c r="P146" i="19" s="1"/>
  <c r="P84" i="19" s="1"/>
  <c r="P88" i="19" s="1"/>
  <c r="P97" i="19" s="1"/>
  <c r="Q100" i="19"/>
  <c r="P105" i="19"/>
  <c r="P113" i="19" s="1"/>
  <c r="S42" i="19"/>
  <c r="Q44" i="19"/>
  <c r="S44" i="19" s="1"/>
  <c r="P122" i="19" l="1"/>
  <c r="Q105" i="19"/>
  <c r="Q113" i="19" s="1"/>
  <c r="Q132" i="19"/>
  <c r="Q45" i="19"/>
  <c r="S45" i="19" l="1"/>
  <c r="Q128" i="19"/>
  <c r="Q135" i="19" s="1"/>
  <c r="Q146" i="19" s="1"/>
  <c r="Q84" i="19" s="1"/>
  <c r="Q88" i="19" s="1"/>
  <c r="Q97" i="19" s="1"/>
  <c r="Q122" i="19" s="1"/>
  <c r="B9" i="9" l="1"/>
  <c r="B8" i="9"/>
  <c r="B7" i="9"/>
  <c r="B6" i="9"/>
  <c r="Z64" i="18"/>
  <c r="Z68" i="18"/>
  <c r="AQ68" i="18" s="1"/>
  <c r="Z58" i="18"/>
  <c r="Z54" i="18"/>
  <c r="AQ54" i="18" s="1"/>
  <c r="AQ53" i="18" s="1"/>
  <c r="Z49" i="18"/>
  <c r="Z43" i="18"/>
  <c r="Z41" i="18"/>
  <c r="Z37" i="18"/>
  <c r="AQ37" i="18" s="1"/>
  <c r="Z35" i="18"/>
  <c r="Z31" i="18"/>
  <c r="AQ31" i="18" s="1"/>
  <c r="Z29" i="18"/>
  <c r="V68" i="18"/>
  <c r="V64" i="18"/>
  <c r="V58" i="18"/>
  <c r="V22" i="18" s="1"/>
  <c r="V54" i="18"/>
  <c r="AM54" i="18" s="1"/>
  <c r="AM53" i="18" s="1"/>
  <c r="V49" i="18"/>
  <c r="V43" i="18"/>
  <c r="V41" i="18"/>
  <c r="V35" i="18"/>
  <c r="V37" i="18"/>
  <c r="AM37" i="18" s="1"/>
  <c r="V31" i="18"/>
  <c r="V29" i="18"/>
  <c r="AC53" i="18"/>
  <c r="AB53" i="18"/>
  <c r="AA53" i="18"/>
  <c r="Z53" i="18"/>
  <c r="Y53" i="18"/>
  <c r="X53" i="18"/>
  <c r="W53" i="18"/>
  <c r="U53" i="18"/>
  <c r="T53" i="18"/>
  <c r="S53" i="18"/>
  <c r="Q53" i="18"/>
  <c r="R54" i="18"/>
  <c r="R68" i="18"/>
  <c r="R64" i="18"/>
  <c r="R58" i="18"/>
  <c r="R49" i="18"/>
  <c r="R43" i="18"/>
  <c r="R41" i="18"/>
  <c r="R35" i="18"/>
  <c r="R16" i="18" s="1"/>
  <c r="R37" i="18"/>
  <c r="R31" i="18"/>
  <c r="AI31" i="18" s="1"/>
  <c r="R29" i="18"/>
  <c r="AC67" i="18"/>
  <c r="AT67" i="18" s="1"/>
  <c r="AB67" i="18"/>
  <c r="AS67" i="18" s="1"/>
  <c r="AA67" i="18"/>
  <c r="AR67" i="18" s="1"/>
  <c r="Y67" i="18"/>
  <c r="AP67" i="18" s="1"/>
  <c r="X67" i="18"/>
  <c r="AO67" i="18" s="1"/>
  <c r="W67" i="18"/>
  <c r="AN67" i="18" s="1"/>
  <c r="U67" i="18"/>
  <c r="AL67" i="18" s="1"/>
  <c r="T67" i="18"/>
  <c r="AK67" i="18" s="1"/>
  <c r="S67" i="18"/>
  <c r="AJ67" i="18" s="1"/>
  <c r="Q67" i="18"/>
  <c r="AH67" i="18" s="1"/>
  <c r="P67" i="18"/>
  <c r="AG67" i="18" s="1"/>
  <c r="AC42" i="18"/>
  <c r="AB42" i="18"/>
  <c r="AA42" i="18"/>
  <c r="Y42" i="18"/>
  <c r="X42" i="18"/>
  <c r="W42" i="18"/>
  <c r="U42" i="18"/>
  <c r="T42" i="18"/>
  <c r="S42" i="18"/>
  <c r="S66" i="18" s="1"/>
  <c r="AJ66" i="18" s="1"/>
  <c r="Q42" i="18"/>
  <c r="Q66" i="18" s="1"/>
  <c r="AH66" i="18" s="1"/>
  <c r="P42" i="18"/>
  <c r="AC36" i="18"/>
  <c r="AC38" i="18" s="1"/>
  <c r="AB36" i="18"/>
  <c r="AB52" i="18" s="1"/>
  <c r="AA36" i="18"/>
  <c r="AR36" i="18" s="1"/>
  <c r="AR52" i="18" s="1"/>
  <c r="Y36" i="18"/>
  <c r="Y52" i="18" s="1"/>
  <c r="X36" i="18"/>
  <c r="W36" i="18"/>
  <c r="V36" i="18"/>
  <c r="U36" i="18"/>
  <c r="U52" i="18" s="1"/>
  <c r="T36" i="18"/>
  <c r="S36" i="18"/>
  <c r="Q36" i="18"/>
  <c r="P36" i="18"/>
  <c r="P60" i="18" s="1"/>
  <c r="AC30" i="18"/>
  <c r="AB30" i="18"/>
  <c r="AA30" i="18"/>
  <c r="AR30" i="18" s="1"/>
  <c r="Y30" i="18"/>
  <c r="Y51" i="18" s="1"/>
  <c r="X30" i="18"/>
  <c r="W30" i="18"/>
  <c r="U30" i="18"/>
  <c r="AL30" i="18" s="1"/>
  <c r="T30" i="18"/>
  <c r="T51" i="18" s="1"/>
  <c r="S30" i="18"/>
  <c r="R30" i="18"/>
  <c r="R32" i="18" s="1"/>
  <c r="Q30" i="18"/>
  <c r="P30" i="18"/>
  <c r="I67" i="18"/>
  <c r="H67" i="18"/>
  <c r="G67" i="18"/>
  <c r="P53" i="18"/>
  <c r="O53" i="18"/>
  <c r="O67" i="18"/>
  <c r="AF67" i="18" s="1"/>
  <c r="O42" i="18"/>
  <c r="O36" i="18"/>
  <c r="O30" i="18"/>
  <c r="N58" i="18"/>
  <c r="N54" i="18"/>
  <c r="N68" i="18"/>
  <c r="N64" i="18"/>
  <c r="N49" i="18"/>
  <c r="N43" i="18"/>
  <c r="N41" i="18"/>
  <c r="N37" i="18"/>
  <c r="N35" i="18"/>
  <c r="N31" i="18"/>
  <c r="N29" i="18"/>
  <c r="M67" i="18"/>
  <c r="M53" i="18"/>
  <c r="M30" i="18"/>
  <c r="M32" i="18" s="1"/>
  <c r="M36" i="18"/>
  <c r="M60" i="18" s="1"/>
  <c r="M59" i="18" s="1"/>
  <c r="M61" i="18" s="1"/>
  <c r="M42" i="18"/>
  <c r="M44" i="18" s="1"/>
  <c r="L67" i="18"/>
  <c r="L53" i="18"/>
  <c r="L42" i="18"/>
  <c r="L44" i="18" s="1"/>
  <c r="L36" i="18"/>
  <c r="L38" i="18" s="1"/>
  <c r="L30" i="18"/>
  <c r="L32" i="18" s="1"/>
  <c r="Y66" i="18"/>
  <c r="AP66" i="18" s="1"/>
  <c r="AP65" i="18" s="1"/>
  <c r="X66" i="18"/>
  <c r="AO66" i="18" s="1"/>
  <c r="K67" i="18"/>
  <c r="K53" i="18"/>
  <c r="I53" i="18"/>
  <c r="H53" i="18"/>
  <c r="G53" i="18"/>
  <c r="F53" i="18"/>
  <c r="E53" i="18"/>
  <c r="D53" i="18"/>
  <c r="C53" i="18"/>
  <c r="F67" i="18"/>
  <c r="E67" i="18"/>
  <c r="D67" i="18"/>
  <c r="C67" i="18"/>
  <c r="K42" i="18"/>
  <c r="K44" i="18" s="1"/>
  <c r="I42" i="18"/>
  <c r="I66" i="18" s="1"/>
  <c r="H42" i="18"/>
  <c r="H44" i="18" s="1"/>
  <c r="G42" i="18"/>
  <c r="G44" i="18" s="1"/>
  <c r="F42" i="18"/>
  <c r="F66" i="18" s="1"/>
  <c r="E42" i="18"/>
  <c r="E44" i="18" s="1"/>
  <c r="D42" i="18"/>
  <c r="D44" i="18" s="1"/>
  <c r="C42" i="18"/>
  <c r="C44" i="18" s="1"/>
  <c r="K36" i="18"/>
  <c r="K38" i="18" s="1"/>
  <c r="I36" i="18"/>
  <c r="I38" i="18" s="1"/>
  <c r="H36" i="18"/>
  <c r="H38" i="18" s="1"/>
  <c r="G36" i="18"/>
  <c r="G38" i="18" s="1"/>
  <c r="F36" i="18"/>
  <c r="F52" i="18" s="1"/>
  <c r="E36" i="18"/>
  <c r="E38" i="18" s="1"/>
  <c r="D36" i="18"/>
  <c r="D52" i="18" s="1"/>
  <c r="C36" i="18"/>
  <c r="C38" i="18" s="1"/>
  <c r="K30" i="18"/>
  <c r="K32" i="18" s="1"/>
  <c r="F30" i="18"/>
  <c r="F32" i="18" s="1"/>
  <c r="E30" i="18"/>
  <c r="E17" i="18" s="1"/>
  <c r="D30" i="18"/>
  <c r="D17" i="18" s="1"/>
  <c r="I30" i="18"/>
  <c r="H30" i="18"/>
  <c r="G30" i="18"/>
  <c r="G51" i="18" s="1"/>
  <c r="C17" i="18"/>
  <c r="AC22" i="18"/>
  <c r="AB22" i="18"/>
  <c r="AA22" i="18"/>
  <c r="Y22" i="18"/>
  <c r="X22" i="18"/>
  <c r="W22" i="18"/>
  <c r="U22" i="18"/>
  <c r="T22" i="18"/>
  <c r="S22" i="18"/>
  <c r="Q22" i="18"/>
  <c r="P22" i="18"/>
  <c r="O22" i="18"/>
  <c r="M22" i="18"/>
  <c r="L22" i="18"/>
  <c r="K22" i="18"/>
  <c r="I22" i="18"/>
  <c r="H22" i="18"/>
  <c r="G22" i="18"/>
  <c r="F22" i="18"/>
  <c r="E22" i="18"/>
  <c r="D22" i="18"/>
  <c r="C22" i="18"/>
  <c r="AC16" i="18"/>
  <c r="AB16" i="18"/>
  <c r="AA16" i="18"/>
  <c r="Y16" i="18"/>
  <c r="X16" i="18"/>
  <c r="W16" i="18"/>
  <c r="U16" i="18"/>
  <c r="T16" i="18"/>
  <c r="S16" i="18"/>
  <c r="Q16" i="18"/>
  <c r="P16" i="18"/>
  <c r="O16" i="18"/>
  <c r="M16" i="18"/>
  <c r="L16" i="18"/>
  <c r="K16" i="18"/>
  <c r="I16" i="18"/>
  <c r="H16" i="18"/>
  <c r="G16" i="18"/>
  <c r="F16" i="18"/>
  <c r="E16" i="18"/>
  <c r="D16" i="18"/>
  <c r="C16" i="18"/>
  <c r="AT12" i="18"/>
  <c r="AS12" i="18"/>
  <c r="AR12" i="18"/>
  <c r="AQ12" i="18"/>
  <c r="AP12" i="18"/>
  <c r="AO12" i="18"/>
  <c r="AN12" i="18"/>
  <c r="AM12" i="18"/>
  <c r="AL12" i="18"/>
  <c r="AK12" i="18"/>
  <c r="AJ12" i="18"/>
  <c r="AI12" i="18"/>
  <c r="AH12" i="18"/>
  <c r="AG12" i="18"/>
  <c r="AF12" i="18"/>
  <c r="AE12" i="18"/>
  <c r="AT11" i="18"/>
  <c r="AS11" i="18"/>
  <c r="AR11" i="18"/>
  <c r="AQ11" i="18"/>
  <c r="AP11" i="18"/>
  <c r="AO11" i="18"/>
  <c r="AN11" i="18"/>
  <c r="AM11" i="18"/>
  <c r="AL11" i="18"/>
  <c r="AK11" i="18"/>
  <c r="AJ11" i="18"/>
  <c r="AI11" i="18"/>
  <c r="AH11" i="18"/>
  <c r="AG11" i="18"/>
  <c r="AF11" i="18"/>
  <c r="AE11" i="18"/>
  <c r="M26" i="8"/>
  <c r="L26" i="8"/>
  <c r="Y69" i="8"/>
  <c r="Y67" i="8"/>
  <c r="AT67" i="8" s="1"/>
  <c r="X67" i="8"/>
  <c r="AS67" i="8" s="1"/>
  <c r="W67" i="8"/>
  <c r="AR67" i="8" s="1"/>
  <c r="T67" i="8"/>
  <c r="AO67" i="8" s="1"/>
  <c r="T69" i="8"/>
  <c r="AO69" i="8" s="1"/>
  <c r="W69" i="8"/>
  <c r="AR69" i="8" s="1"/>
  <c r="X69" i="8"/>
  <c r="AS69" i="8" s="1"/>
  <c r="Y54" i="8"/>
  <c r="X54" i="8"/>
  <c r="AS54" i="8" s="1"/>
  <c r="W54" i="8"/>
  <c r="AR54" i="8" s="1"/>
  <c r="U69" i="8"/>
  <c r="AP69" i="8" s="1"/>
  <c r="U67" i="8"/>
  <c r="AP67" i="8" s="1"/>
  <c r="U54" i="8"/>
  <c r="AP54" i="8" s="1"/>
  <c r="T54" i="8"/>
  <c r="AO54" i="8" s="1"/>
  <c r="S69" i="8"/>
  <c r="AN69" i="8" s="1"/>
  <c r="S67" i="8"/>
  <c r="S54" i="8"/>
  <c r="AN54" i="8" s="1"/>
  <c r="Q69" i="8"/>
  <c r="AL69" i="8" s="1"/>
  <c r="P69" i="8"/>
  <c r="AK69" i="8" s="1"/>
  <c r="O69" i="8"/>
  <c r="AJ69" i="8" s="1"/>
  <c r="Q67" i="8"/>
  <c r="AL67" i="8" s="1"/>
  <c r="P67" i="8"/>
  <c r="AK67" i="8" s="1"/>
  <c r="O67" i="8"/>
  <c r="AJ67" i="8" s="1"/>
  <c r="Q60" i="8"/>
  <c r="Q63" i="8" s="1"/>
  <c r="K59" i="9" s="1"/>
  <c r="P60" i="8"/>
  <c r="P63" i="8" s="1"/>
  <c r="J59" i="9" s="1"/>
  <c r="O60" i="8"/>
  <c r="O63" i="8" s="1"/>
  <c r="I59" i="9" s="1"/>
  <c r="Q54" i="8"/>
  <c r="AL54" i="8" s="1"/>
  <c r="P54" i="8"/>
  <c r="AK54" i="8" s="1"/>
  <c r="O54" i="8"/>
  <c r="AJ54" i="8" s="1"/>
  <c r="K67" i="8"/>
  <c r="AF67" i="8" s="1"/>
  <c r="K69" i="8"/>
  <c r="AF69" i="8" s="1"/>
  <c r="M69" i="8"/>
  <c r="D67" i="8"/>
  <c r="D69" i="8"/>
  <c r="C67" i="8"/>
  <c r="C69" i="8"/>
  <c r="G67" i="8"/>
  <c r="R67" i="8" s="1"/>
  <c r="AM67" i="8" s="1"/>
  <c r="G69" i="8"/>
  <c r="R69" i="8" s="1"/>
  <c r="AM69" i="8" s="1"/>
  <c r="F67" i="8"/>
  <c r="N67" i="8" s="1"/>
  <c r="AI67" i="8" s="1"/>
  <c r="F69" i="8"/>
  <c r="E67" i="8"/>
  <c r="E69" i="8"/>
  <c r="M67" i="8"/>
  <c r="AH67" i="8" s="1"/>
  <c r="L67" i="8"/>
  <c r="AG67" i="8" s="1"/>
  <c r="L69" i="8"/>
  <c r="AG69" i="8" s="1"/>
  <c r="M60" i="8"/>
  <c r="M63" i="8" s="1"/>
  <c r="L60" i="8"/>
  <c r="AG60" i="8" s="1"/>
  <c r="M54" i="8"/>
  <c r="L54" i="8"/>
  <c r="AG54" i="8" s="1"/>
  <c r="U45" i="8"/>
  <c r="U46" i="8" s="1"/>
  <c r="T45" i="8"/>
  <c r="AO45" i="8" s="1"/>
  <c r="S45" i="8"/>
  <c r="AN45" i="8" s="1"/>
  <c r="Q45" i="8"/>
  <c r="AL45" i="8" s="1"/>
  <c r="P45" i="8"/>
  <c r="P46" i="8" s="1"/>
  <c r="O45" i="8"/>
  <c r="O46" i="8" s="1"/>
  <c r="M45" i="8"/>
  <c r="L45" i="8"/>
  <c r="AG45" i="8" s="1"/>
  <c r="N43" i="8"/>
  <c r="AI43" i="8" s="1"/>
  <c r="N10" i="10"/>
  <c r="AG37" i="10"/>
  <c r="AJ36" i="10"/>
  <c r="AG36" i="10"/>
  <c r="AI23" i="10"/>
  <c r="K26" i="8"/>
  <c r="K60" i="8"/>
  <c r="K63" i="8" s="1"/>
  <c r="K54" i="8"/>
  <c r="AF54" i="8" s="1"/>
  <c r="K45" i="8"/>
  <c r="AF45" i="8" s="1"/>
  <c r="B2" i="10"/>
  <c r="B2" i="9"/>
  <c r="V38" i="10"/>
  <c r="AH38" i="10" s="1"/>
  <c r="R38" i="10"/>
  <c r="AD38" i="10" s="1"/>
  <c r="N38" i="10"/>
  <c r="V37" i="10"/>
  <c r="AI37" i="10" s="1"/>
  <c r="R37" i="10"/>
  <c r="N37" i="10"/>
  <c r="V36" i="10"/>
  <c r="AI36" i="10" s="1"/>
  <c r="R36" i="10"/>
  <c r="N36" i="10"/>
  <c r="V35" i="10"/>
  <c r="AK35" i="10" s="1"/>
  <c r="R35" i="10"/>
  <c r="AG35" i="10" s="1"/>
  <c r="N35" i="10"/>
  <c r="V34" i="10"/>
  <c r="AJ34" i="10" s="1"/>
  <c r="R34" i="10"/>
  <c r="AE34" i="10" s="1"/>
  <c r="N34" i="10"/>
  <c r="AB34" i="10" s="1"/>
  <c r="V28" i="10"/>
  <c r="R28" i="10"/>
  <c r="AE28" i="10" s="1"/>
  <c r="N28" i="10"/>
  <c r="N24" i="10"/>
  <c r="AC24" i="10" s="1"/>
  <c r="N23" i="10"/>
  <c r="N22" i="10"/>
  <c r="AC22" i="10" s="1"/>
  <c r="R24" i="10"/>
  <c r="R23" i="10"/>
  <c r="AG23" i="10" s="1"/>
  <c r="R22" i="10"/>
  <c r="AF22" i="10" s="1"/>
  <c r="V24" i="10"/>
  <c r="AH24" i="10" s="1"/>
  <c r="V23" i="10"/>
  <c r="AH23" i="10" s="1"/>
  <c r="V22" i="10"/>
  <c r="V12" i="10"/>
  <c r="AK12" i="10" s="1"/>
  <c r="V11" i="10"/>
  <c r="AK11" i="10" s="1"/>
  <c r="V10" i="10"/>
  <c r="AI10" i="10" s="1"/>
  <c r="R12" i="10"/>
  <c r="R11" i="10"/>
  <c r="AG11" i="10" s="1"/>
  <c r="R10" i="10"/>
  <c r="N12" i="10"/>
  <c r="N11" i="10"/>
  <c r="D60" i="8"/>
  <c r="D63" i="8" s="1"/>
  <c r="C60" i="8"/>
  <c r="C63" i="8" s="1"/>
  <c r="D54" i="8"/>
  <c r="C54" i="8"/>
  <c r="C45" i="8"/>
  <c r="D45" i="8"/>
  <c r="C111" i="8"/>
  <c r="Z133" i="8"/>
  <c r="V133" i="8"/>
  <c r="P33" i="9" s="1"/>
  <c r="R133" i="8"/>
  <c r="L33" i="9" s="1"/>
  <c r="N133" i="8"/>
  <c r="F111" i="8"/>
  <c r="N110" i="8"/>
  <c r="AK110" i="8" s="1"/>
  <c r="E111" i="8"/>
  <c r="AE110" i="8"/>
  <c r="AH110" i="8"/>
  <c r="D111" i="8"/>
  <c r="E60" i="8"/>
  <c r="E63" i="8" s="1"/>
  <c r="C59" i="9" s="1"/>
  <c r="AC63" i="8"/>
  <c r="AB63" i="8"/>
  <c r="V59" i="9" s="1"/>
  <c r="AA63" i="8"/>
  <c r="U59" i="9" s="1"/>
  <c r="Y63" i="8"/>
  <c r="S59" i="9" s="1"/>
  <c r="X63" i="8"/>
  <c r="R59" i="9" s="1"/>
  <c r="W63" i="8"/>
  <c r="Q59" i="9" s="1"/>
  <c r="U63" i="8"/>
  <c r="O59" i="9" s="1"/>
  <c r="T63" i="8"/>
  <c r="N59" i="9" s="1"/>
  <c r="S63" i="8"/>
  <c r="M59" i="9" s="1"/>
  <c r="I63" i="8"/>
  <c r="G59" i="9" s="1"/>
  <c r="H63" i="8"/>
  <c r="F59" i="9" s="1"/>
  <c r="G63" i="8"/>
  <c r="E59" i="9" s="1"/>
  <c r="F63" i="8"/>
  <c r="D59" i="9" s="1"/>
  <c r="E54" i="8"/>
  <c r="E45" i="8"/>
  <c r="G54" i="8"/>
  <c r="R54" i="8" s="1"/>
  <c r="AM54" i="8" s="1"/>
  <c r="G45" i="8"/>
  <c r="R45" i="8" s="1"/>
  <c r="F54" i="8"/>
  <c r="N54" i="8" s="1"/>
  <c r="AI54" i="8" s="1"/>
  <c r="F45" i="8"/>
  <c r="N45" i="8" s="1"/>
  <c r="AI45" i="8" s="1"/>
  <c r="C26" i="8"/>
  <c r="C17" i="10"/>
  <c r="F26" i="8"/>
  <c r="E26" i="8"/>
  <c r="D26" i="8"/>
  <c r="Z20" i="8"/>
  <c r="V20" i="8"/>
  <c r="R20" i="8"/>
  <c r="N20" i="8"/>
  <c r="L18" i="10"/>
  <c r="C18" i="10"/>
  <c r="Y39" i="10"/>
  <c r="X39" i="10"/>
  <c r="W39" i="10"/>
  <c r="U39" i="10"/>
  <c r="T39" i="10"/>
  <c r="S39" i="10"/>
  <c r="Q39" i="10"/>
  <c r="P39" i="10"/>
  <c r="O39" i="10"/>
  <c r="M39" i="10"/>
  <c r="L39" i="10"/>
  <c r="K39" i="10"/>
  <c r="I39" i="10"/>
  <c r="H39" i="10"/>
  <c r="G39" i="10"/>
  <c r="F39" i="10"/>
  <c r="E39" i="10"/>
  <c r="D39" i="10"/>
  <c r="C39" i="10"/>
  <c r="AI38" i="10"/>
  <c r="AE38" i="10"/>
  <c r="AC38" i="10"/>
  <c r="AB38" i="10"/>
  <c r="AA38" i="10"/>
  <c r="AC34" i="10"/>
  <c r="AG12" i="10"/>
  <c r="AH10" i="10"/>
  <c r="AG10" i="10"/>
  <c r="I111" i="8"/>
  <c r="Z110" i="8"/>
  <c r="AU110" i="8" s="1"/>
  <c r="H111" i="8"/>
  <c r="V110" i="8"/>
  <c r="AS110" i="8" s="1"/>
  <c r="G111" i="8"/>
  <c r="R110" i="8"/>
  <c r="AO110" i="8" s="1"/>
  <c r="I26" i="8"/>
  <c r="H26" i="8"/>
  <c r="V26" i="8" s="1"/>
  <c r="G26" i="8"/>
  <c r="R26" i="8" s="1"/>
  <c r="AP26" i="8" s="1"/>
  <c r="Z94" i="8"/>
  <c r="V94" i="8"/>
  <c r="R94" i="8"/>
  <c r="N94" i="8"/>
  <c r="AE94" i="8"/>
  <c r="Z93" i="8"/>
  <c r="V93" i="8"/>
  <c r="R93" i="8"/>
  <c r="N93" i="8"/>
  <c r="Z92" i="8"/>
  <c r="V92" i="8"/>
  <c r="R92" i="8"/>
  <c r="N92" i="8"/>
  <c r="AL92" i="8" s="1"/>
  <c r="Z91" i="8"/>
  <c r="T28" i="9" s="1"/>
  <c r="V91" i="8"/>
  <c r="P28" i="9" s="1"/>
  <c r="R91" i="8"/>
  <c r="L28" i="9" s="1"/>
  <c r="N91" i="8"/>
  <c r="Z90" i="8"/>
  <c r="T24" i="9" s="1"/>
  <c r="V90" i="8"/>
  <c r="P24" i="9" s="1"/>
  <c r="R90" i="8"/>
  <c r="L24" i="9" s="1"/>
  <c r="N90" i="8"/>
  <c r="Z102" i="8"/>
  <c r="AU102" i="8" s="1"/>
  <c r="V102" i="8"/>
  <c r="R102" i="8"/>
  <c r="N102" i="8"/>
  <c r="AL102" i="8" s="1"/>
  <c r="Z101" i="8"/>
  <c r="V101" i="8"/>
  <c r="R101" i="8"/>
  <c r="N101" i="8"/>
  <c r="AE101" i="8"/>
  <c r="Z100" i="8"/>
  <c r="V100" i="8"/>
  <c r="R100" i="8"/>
  <c r="N100" i="8"/>
  <c r="Z99" i="8"/>
  <c r="V99" i="8"/>
  <c r="R99" i="8"/>
  <c r="N99" i="8"/>
  <c r="Z98" i="8"/>
  <c r="V98" i="8"/>
  <c r="AR98" i="8" s="1"/>
  <c r="R98" i="8"/>
  <c r="N98" i="8"/>
  <c r="Z97" i="8"/>
  <c r="AU97" i="8" s="1"/>
  <c r="V97" i="8"/>
  <c r="R97" i="8"/>
  <c r="AN97" i="8" s="1"/>
  <c r="N97" i="8"/>
  <c r="Z96" i="8"/>
  <c r="V96" i="8"/>
  <c r="R96" i="8"/>
  <c r="N96" i="8"/>
  <c r="Z109" i="8"/>
  <c r="AW109" i="8" s="1"/>
  <c r="V109" i="8"/>
  <c r="R109" i="8"/>
  <c r="AP109" i="8" s="1"/>
  <c r="N109" i="8"/>
  <c r="AL109" i="8" s="1"/>
  <c r="AH109" i="8"/>
  <c r="Z106" i="8"/>
  <c r="T32" i="9" s="1"/>
  <c r="V106" i="8"/>
  <c r="P32" i="9" s="1"/>
  <c r="R106" i="8"/>
  <c r="L32" i="9" s="1"/>
  <c r="N106" i="8"/>
  <c r="R75" i="8"/>
  <c r="AM75" i="8" s="1"/>
  <c r="R74" i="8"/>
  <c r="AM74" i="8" s="1"/>
  <c r="R73" i="8"/>
  <c r="AM73" i="8" s="1"/>
  <c r="R72" i="8"/>
  <c r="AM72" i="8" s="1"/>
  <c r="R25" i="8"/>
  <c r="G54" i="14"/>
  <c r="H54" i="14" s="1"/>
  <c r="I54" i="14" s="1"/>
  <c r="J54" i="14" s="1"/>
  <c r="K54" i="14" s="1"/>
  <c r="AK62" i="9"/>
  <c r="W65" i="9"/>
  <c r="AK58" i="9"/>
  <c r="AK57" i="9"/>
  <c r="AK56" i="9"/>
  <c r="AK50" i="9"/>
  <c r="AK53" i="9" s="1"/>
  <c r="W4" i="9"/>
  <c r="AK4" i="9" s="1"/>
  <c r="W3" i="9"/>
  <c r="AK3" i="9" s="1"/>
  <c r="AL113" i="8"/>
  <c r="AK113" i="8"/>
  <c r="AJ113" i="8"/>
  <c r="AI113" i="8"/>
  <c r="AH113" i="8"/>
  <c r="AG113" i="8"/>
  <c r="AF113" i="8"/>
  <c r="AE113" i="8"/>
  <c r="AL75" i="8"/>
  <c r="AK75" i="8"/>
  <c r="AJ75" i="8"/>
  <c r="AH75" i="8"/>
  <c r="AG75" i="8"/>
  <c r="AF75" i="8"/>
  <c r="AL74" i="8"/>
  <c r="AK74" i="8"/>
  <c r="AJ74" i="8"/>
  <c r="AH74" i="8"/>
  <c r="AG74" i="8"/>
  <c r="AF74" i="8"/>
  <c r="AL73" i="8"/>
  <c r="AK73" i="8"/>
  <c r="AJ73" i="8"/>
  <c r="AH73" i="8"/>
  <c r="AG73" i="8"/>
  <c r="AF73" i="8"/>
  <c r="AL72" i="8"/>
  <c r="AK72" i="8"/>
  <c r="AJ72" i="8"/>
  <c r="AH72" i="8"/>
  <c r="AG72" i="8"/>
  <c r="AF72" i="8"/>
  <c r="AH69" i="8"/>
  <c r="AL68" i="8"/>
  <c r="AK68" i="8"/>
  <c r="AJ68" i="8"/>
  <c r="AH68" i="8"/>
  <c r="AG68" i="8"/>
  <c r="AF68" i="8"/>
  <c r="AL66" i="8"/>
  <c r="AK66" i="8"/>
  <c r="AJ66" i="8"/>
  <c r="AH66" i="8"/>
  <c r="AG66" i="8"/>
  <c r="AF66" i="8"/>
  <c r="AL62" i="8"/>
  <c r="AK62" i="8"/>
  <c r="AJ62" i="8"/>
  <c r="AH62" i="8"/>
  <c r="AG62" i="8"/>
  <c r="AF62" i="8"/>
  <c r="AL61" i="8"/>
  <c r="AK61" i="8"/>
  <c r="AJ61" i="8"/>
  <c r="AH61" i="8"/>
  <c r="AG61" i="8"/>
  <c r="AF61" i="8"/>
  <c r="AL60" i="8"/>
  <c r="AL58" i="8"/>
  <c r="AK58" i="8"/>
  <c r="AJ58" i="8"/>
  <c r="AH58" i="8"/>
  <c r="AG58" i="8"/>
  <c r="AF58" i="8"/>
  <c r="AH54" i="8"/>
  <c r="AL53" i="8"/>
  <c r="AK53" i="8"/>
  <c r="AJ53" i="8"/>
  <c r="AH53" i="8"/>
  <c r="AG53" i="8"/>
  <c r="AF53" i="8"/>
  <c r="AL52" i="8"/>
  <c r="AK52" i="8"/>
  <c r="AJ52" i="8"/>
  <c r="AH52" i="8"/>
  <c r="AG52" i="8"/>
  <c r="AF52" i="8"/>
  <c r="AL51" i="8"/>
  <c r="AK51" i="8"/>
  <c r="AJ51" i="8"/>
  <c r="AH51" i="8"/>
  <c r="AG51" i="8"/>
  <c r="AF51" i="8"/>
  <c r="AL50" i="8"/>
  <c r="AK50" i="8"/>
  <c r="AJ50" i="8"/>
  <c r="AH50" i="8"/>
  <c r="AG50" i="8"/>
  <c r="AF50" i="8"/>
  <c r="AL49" i="8"/>
  <c r="AK49" i="8"/>
  <c r="AJ49" i="8"/>
  <c r="AH49" i="8"/>
  <c r="AG49" i="8"/>
  <c r="AF49" i="8"/>
  <c r="AH45" i="8"/>
  <c r="AL44" i="8"/>
  <c r="AK44" i="8"/>
  <c r="AJ44" i="8"/>
  <c r="AH44" i="8"/>
  <c r="AG44" i="8"/>
  <c r="AF44" i="8"/>
  <c r="AL43" i="8"/>
  <c r="AK43" i="8"/>
  <c r="AJ43" i="8"/>
  <c r="AH43" i="8"/>
  <c r="AG43" i="8"/>
  <c r="AF43" i="8"/>
  <c r="AL42" i="8"/>
  <c r="AK42" i="8"/>
  <c r="AJ42" i="8"/>
  <c r="AH42" i="8"/>
  <c r="AG42" i="8"/>
  <c r="AF42" i="8"/>
  <c r="AL8" i="8"/>
  <c r="AL84" i="8" s="1"/>
  <c r="AK8" i="8"/>
  <c r="AK84" i="8" s="1"/>
  <c r="AJ8" i="8"/>
  <c r="AJ84" i="8" s="1"/>
  <c r="AI8" i="8"/>
  <c r="AI84" i="8" s="1"/>
  <c r="AH8" i="8"/>
  <c r="AH84" i="8" s="1"/>
  <c r="AG8" i="8"/>
  <c r="AG84" i="8" s="1"/>
  <c r="AF8" i="8"/>
  <c r="AF84" i="8" s="1"/>
  <c r="AE8" i="8"/>
  <c r="AE84" i="8" s="1"/>
  <c r="AL7" i="8"/>
  <c r="AL83" i="8" s="1"/>
  <c r="AK7" i="8"/>
  <c r="AK83" i="8" s="1"/>
  <c r="AJ7" i="8"/>
  <c r="AJ83" i="8" s="1"/>
  <c r="AI7" i="8"/>
  <c r="AI83" i="8" s="1"/>
  <c r="AH7" i="8"/>
  <c r="AH83" i="8" s="1"/>
  <c r="AG7" i="8"/>
  <c r="AG83" i="8" s="1"/>
  <c r="AF7" i="8"/>
  <c r="AF83" i="8" s="1"/>
  <c r="AE7" i="8"/>
  <c r="AE38" i="8" s="1"/>
  <c r="Z123" i="8"/>
  <c r="AW123" i="8" s="1"/>
  <c r="V123" i="8"/>
  <c r="AT123" i="8" s="1"/>
  <c r="R123" i="8"/>
  <c r="AO123" i="8" s="1"/>
  <c r="N123" i="8"/>
  <c r="AL123" i="8" s="1"/>
  <c r="N126" i="8"/>
  <c r="AH123" i="8"/>
  <c r="AX67" i="8"/>
  <c r="AW67" i="8"/>
  <c r="AV67" i="8"/>
  <c r="AN67" i="8"/>
  <c r="AX66" i="8"/>
  <c r="AV66" i="8"/>
  <c r="AT66" i="8"/>
  <c r="AS66" i="8"/>
  <c r="AR66" i="8"/>
  <c r="AP66" i="8"/>
  <c r="AO66" i="8"/>
  <c r="AN66" i="8"/>
  <c r="AW66" i="8"/>
  <c r="Z67" i="8"/>
  <c r="AU67" i="8" s="1"/>
  <c r="V67" i="8"/>
  <c r="AQ67" i="8" s="1"/>
  <c r="Z66" i="8"/>
  <c r="V66" i="8"/>
  <c r="R66" i="8"/>
  <c r="N66" i="8"/>
  <c r="AI66" i="8" s="1"/>
  <c r="AE67" i="8"/>
  <c r="AE66" i="8"/>
  <c r="Z19" i="8"/>
  <c r="V19" i="8"/>
  <c r="R19" i="8"/>
  <c r="N19" i="8"/>
  <c r="AK19" i="8" s="1"/>
  <c r="AH19" i="8"/>
  <c r="AX113" i="8"/>
  <c r="AX75" i="8"/>
  <c r="AX74" i="8"/>
  <c r="AX73" i="8"/>
  <c r="AX72" i="8"/>
  <c r="AX69" i="8"/>
  <c r="AX68" i="8"/>
  <c r="AX62" i="8"/>
  <c r="AX61" i="8"/>
  <c r="AX60" i="8"/>
  <c r="AX59" i="8"/>
  <c r="AX58" i="8"/>
  <c r="AX54" i="8"/>
  <c r="AX53" i="8"/>
  <c r="AX52" i="8"/>
  <c r="AX51" i="8"/>
  <c r="AX50" i="8"/>
  <c r="AX49" i="8"/>
  <c r="AX45" i="8"/>
  <c r="AX44" i="8"/>
  <c r="AX43" i="8"/>
  <c r="AX42" i="8"/>
  <c r="AX8" i="8"/>
  <c r="AX84" i="8" s="1"/>
  <c r="AX7" i="8"/>
  <c r="AX83" i="8" s="1"/>
  <c r="X4" i="10"/>
  <c r="AJ4" i="10" s="1"/>
  <c r="W4" i="10"/>
  <c r="AI4" i="10" s="1"/>
  <c r="V4" i="10"/>
  <c r="AH4" i="10" s="1"/>
  <c r="U4" i="10"/>
  <c r="AG4" i="10" s="1"/>
  <c r="T4" i="10"/>
  <c r="AF4" i="10" s="1"/>
  <c r="S4" i="10"/>
  <c r="AE4" i="10" s="1"/>
  <c r="R4" i="10"/>
  <c r="AD4" i="10" s="1"/>
  <c r="Q4" i="10"/>
  <c r="AC4" i="10" s="1"/>
  <c r="P4" i="10"/>
  <c r="AB4" i="10" s="1"/>
  <c r="O4" i="10"/>
  <c r="AA4" i="10" s="1"/>
  <c r="N4" i="10"/>
  <c r="M4" i="10"/>
  <c r="L4" i="10"/>
  <c r="K4" i="10"/>
  <c r="X3" i="10"/>
  <c r="AJ3" i="10" s="1"/>
  <c r="W3" i="10"/>
  <c r="AI3" i="10" s="1"/>
  <c r="V3" i="10"/>
  <c r="AH3" i="10" s="1"/>
  <c r="U3" i="10"/>
  <c r="AG3" i="10" s="1"/>
  <c r="T3" i="10"/>
  <c r="AF3" i="10" s="1"/>
  <c r="S3" i="10"/>
  <c r="AE3" i="10" s="1"/>
  <c r="R3" i="10"/>
  <c r="AD3" i="10" s="1"/>
  <c r="Q3" i="10"/>
  <c r="AC3" i="10" s="1"/>
  <c r="P3" i="10"/>
  <c r="AB3" i="10" s="1"/>
  <c r="O3" i="10"/>
  <c r="AA3" i="10" s="1"/>
  <c r="N3" i="10"/>
  <c r="M3" i="10"/>
  <c r="L3" i="10"/>
  <c r="K3" i="10"/>
  <c r="Y4" i="10"/>
  <c r="AK4" i="10" s="1"/>
  <c r="Y3" i="10"/>
  <c r="AK3" i="10" s="1"/>
  <c r="Y29" i="10"/>
  <c r="Y18" i="10" s="1"/>
  <c r="Y25" i="10"/>
  <c r="AC84" i="8"/>
  <c r="AC83" i="8"/>
  <c r="AC76" i="8"/>
  <c r="AC39" i="8"/>
  <c r="AC38" i="8"/>
  <c r="AC11" i="8"/>
  <c r="AC14" i="8" s="1"/>
  <c r="AC21" i="8" s="1"/>
  <c r="AW68" i="8"/>
  <c r="AI64" i="9"/>
  <c r="S65" i="9"/>
  <c r="AF64" i="9"/>
  <c r="AE64" i="9"/>
  <c r="AC64" i="9"/>
  <c r="AB64" i="9"/>
  <c r="AA64" i="9"/>
  <c r="K65" i="9"/>
  <c r="J65" i="9"/>
  <c r="I65" i="9"/>
  <c r="G65" i="9"/>
  <c r="F65" i="9"/>
  <c r="E65" i="9"/>
  <c r="D65" i="9"/>
  <c r="C65" i="9"/>
  <c r="AW59" i="8"/>
  <c r="AV59" i="8"/>
  <c r="AT59" i="8"/>
  <c r="AS59" i="8"/>
  <c r="AR59" i="8"/>
  <c r="AW61" i="8"/>
  <c r="AV61" i="8"/>
  <c r="AT61" i="8"/>
  <c r="AS61" i="8"/>
  <c r="AR61" i="8"/>
  <c r="AP61" i="8"/>
  <c r="AO61" i="8"/>
  <c r="AN61" i="8"/>
  <c r="AP59" i="8"/>
  <c r="AO59" i="8"/>
  <c r="AN59" i="8"/>
  <c r="R61" i="8"/>
  <c r="N61" i="8"/>
  <c r="AI61" i="8" s="1"/>
  <c r="AE61" i="8"/>
  <c r="Z61" i="8"/>
  <c r="V61" i="8"/>
  <c r="Z59" i="8"/>
  <c r="AU59" i="8" s="1"/>
  <c r="V59" i="8"/>
  <c r="AQ59" i="8" s="1"/>
  <c r="AE59" i="8"/>
  <c r="N59" i="8"/>
  <c r="AI59" i="8" s="1"/>
  <c r="R59" i="8"/>
  <c r="AM59" i="8" s="1"/>
  <c r="AD62" i="9"/>
  <c r="Z62" i="9"/>
  <c r="AW113" i="8"/>
  <c r="AV113" i="8"/>
  <c r="AU113" i="8"/>
  <c r="AT113" i="8"/>
  <c r="AS113" i="8"/>
  <c r="AR113" i="8"/>
  <c r="AQ113" i="8"/>
  <c r="AP113" i="8"/>
  <c r="AO113" i="8"/>
  <c r="AN113" i="8"/>
  <c r="AM113" i="8"/>
  <c r="AA119" i="8"/>
  <c r="S119" i="8"/>
  <c r="N115" i="8"/>
  <c r="AL115" i="8" s="1"/>
  <c r="R115" i="8"/>
  <c r="AN115" i="8" s="1"/>
  <c r="V115" i="8"/>
  <c r="AT115" i="8" s="1"/>
  <c r="Z115" i="8"/>
  <c r="AX115" i="8" s="1"/>
  <c r="AH115" i="8"/>
  <c r="Z114" i="8"/>
  <c r="AW114" i="8" s="1"/>
  <c r="V114" i="8"/>
  <c r="AQ114" i="8" s="1"/>
  <c r="R114" i="8"/>
  <c r="AO114" i="8" s="1"/>
  <c r="N114" i="8"/>
  <c r="AL114" i="8" s="1"/>
  <c r="AH114" i="8"/>
  <c r="I119" i="8"/>
  <c r="H119" i="8"/>
  <c r="G119" i="8"/>
  <c r="D119" i="8"/>
  <c r="AW53" i="8"/>
  <c r="AV53" i="8"/>
  <c r="AT53" i="8"/>
  <c r="AS53" i="8"/>
  <c r="AR53" i="8"/>
  <c r="AP53" i="8"/>
  <c r="AO53" i="8"/>
  <c r="AN53" i="8"/>
  <c r="Z53" i="8"/>
  <c r="AU53" i="8" s="1"/>
  <c r="V53" i="8"/>
  <c r="AQ53" i="8" s="1"/>
  <c r="R53" i="8"/>
  <c r="AM53" i="8" s="1"/>
  <c r="N53" i="8"/>
  <c r="AI53" i="8" s="1"/>
  <c r="AE53" i="8"/>
  <c r="AW49" i="8"/>
  <c r="AV49" i="8"/>
  <c r="AT49" i="8"/>
  <c r="AS49" i="8"/>
  <c r="AR49" i="8"/>
  <c r="AP49" i="8"/>
  <c r="AO49" i="8"/>
  <c r="AN49" i="8"/>
  <c r="Z49" i="8"/>
  <c r="AU49" i="8" s="1"/>
  <c r="V49" i="8"/>
  <c r="AQ49" i="8" s="1"/>
  <c r="R49" i="8"/>
  <c r="AM49" i="8" s="1"/>
  <c r="N49" i="8"/>
  <c r="AI49" i="8" s="1"/>
  <c r="AE49" i="8"/>
  <c r="AW62" i="8"/>
  <c r="AV62" i="8"/>
  <c r="AT62" i="8"/>
  <c r="AS62" i="8"/>
  <c r="AR62" i="8"/>
  <c r="AP62" i="8"/>
  <c r="AO62" i="8"/>
  <c r="AN62" i="8"/>
  <c r="AW60" i="8"/>
  <c r="AV60" i="8"/>
  <c r="AT60" i="8"/>
  <c r="AS60" i="8"/>
  <c r="AR60" i="8"/>
  <c r="AP60" i="8"/>
  <c r="AO60" i="8"/>
  <c r="AN60" i="8"/>
  <c r="Z60" i="8"/>
  <c r="AU60" i="8" s="1"/>
  <c r="V60" i="8"/>
  <c r="AQ60" i="8" s="1"/>
  <c r="R60" i="8"/>
  <c r="AM60" i="8" s="1"/>
  <c r="N60" i="8"/>
  <c r="AI60" i="8" s="1"/>
  <c r="AE60" i="8"/>
  <c r="AK59" i="8"/>
  <c r="AG59" i="8"/>
  <c r="Z62" i="8"/>
  <c r="AU62" i="8" s="1"/>
  <c r="V62" i="8"/>
  <c r="AQ62" i="8" s="1"/>
  <c r="R62" i="8"/>
  <c r="AM62" i="8" s="1"/>
  <c r="N62" i="8"/>
  <c r="AI62" i="8" s="1"/>
  <c r="AE62" i="8"/>
  <c r="AJ58" i="9"/>
  <c r="AI58" i="9"/>
  <c r="AG58" i="9"/>
  <c r="AF58" i="9"/>
  <c r="AE58" i="9"/>
  <c r="AC58" i="9"/>
  <c r="AB58" i="9"/>
  <c r="AA58" i="9"/>
  <c r="Y58" i="9"/>
  <c r="AJ57" i="9"/>
  <c r="AI57" i="9"/>
  <c r="AG57" i="9"/>
  <c r="AF57" i="9"/>
  <c r="AE57" i="9"/>
  <c r="AC57" i="9"/>
  <c r="AB57" i="9"/>
  <c r="AA57" i="9"/>
  <c r="Y57" i="9"/>
  <c r="AJ56" i="9"/>
  <c r="AI56" i="9"/>
  <c r="AG56" i="9"/>
  <c r="AF56" i="9"/>
  <c r="AE56" i="9"/>
  <c r="AC56" i="9"/>
  <c r="AB56" i="9"/>
  <c r="AA56" i="9"/>
  <c r="Y56" i="9"/>
  <c r="AJ50" i="9"/>
  <c r="AJ53" i="9" s="1"/>
  <c r="AI50" i="9"/>
  <c r="AI53" i="9" s="1"/>
  <c r="AG50" i="9"/>
  <c r="AG53" i="9" s="1"/>
  <c r="AF50" i="9"/>
  <c r="AE50" i="9"/>
  <c r="AC50" i="9"/>
  <c r="AB50" i="9"/>
  <c r="AA50" i="9"/>
  <c r="Y50" i="9"/>
  <c r="AI62" i="9"/>
  <c r="AG62" i="9"/>
  <c r="AF62" i="9"/>
  <c r="AE62" i="9"/>
  <c r="AC62" i="9"/>
  <c r="AB62" i="9"/>
  <c r="AA62" i="9"/>
  <c r="Y62" i="9"/>
  <c r="AJ62" i="9"/>
  <c r="V4" i="9"/>
  <c r="AJ4" i="9" s="1"/>
  <c r="U4" i="9"/>
  <c r="AI4" i="9" s="1"/>
  <c r="T4" i="9"/>
  <c r="AH4" i="9" s="1"/>
  <c r="S4" i="9"/>
  <c r="AG4" i="9" s="1"/>
  <c r="R4" i="9"/>
  <c r="AF4" i="9" s="1"/>
  <c r="Q4" i="9"/>
  <c r="AE4" i="9" s="1"/>
  <c r="P4" i="9"/>
  <c r="AD4" i="9" s="1"/>
  <c r="O4" i="9"/>
  <c r="AC4" i="9" s="1"/>
  <c r="N4" i="9"/>
  <c r="AB4" i="9" s="1"/>
  <c r="M4" i="9"/>
  <c r="AA4" i="9" s="1"/>
  <c r="L4" i="9"/>
  <c r="Z4" i="9" s="1"/>
  <c r="K4" i="9"/>
  <c r="Y4" i="9" s="1"/>
  <c r="J4" i="9"/>
  <c r="V3" i="9"/>
  <c r="AJ3" i="9" s="1"/>
  <c r="U3" i="9"/>
  <c r="AI3" i="9" s="1"/>
  <c r="T3" i="9"/>
  <c r="AH3" i="9" s="1"/>
  <c r="S3" i="9"/>
  <c r="AG3" i="9" s="1"/>
  <c r="R3" i="9"/>
  <c r="AF3" i="9" s="1"/>
  <c r="Q3" i="9"/>
  <c r="AE3" i="9" s="1"/>
  <c r="P3" i="9"/>
  <c r="AD3" i="9" s="1"/>
  <c r="O3" i="9"/>
  <c r="AC3" i="9" s="1"/>
  <c r="N3" i="9"/>
  <c r="AB3" i="9" s="1"/>
  <c r="M3" i="9"/>
  <c r="AA3" i="9" s="1"/>
  <c r="L3" i="9"/>
  <c r="Z3" i="9" s="1"/>
  <c r="K3" i="9"/>
  <c r="Y3" i="9" s="1"/>
  <c r="J3" i="9"/>
  <c r="I4" i="9"/>
  <c r="I3" i="9"/>
  <c r="G4" i="9"/>
  <c r="F4" i="9"/>
  <c r="E4" i="9"/>
  <c r="D4" i="9"/>
  <c r="G3" i="9"/>
  <c r="F3" i="9"/>
  <c r="E3" i="9"/>
  <c r="D3" i="9"/>
  <c r="C4" i="9"/>
  <c r="C3" i="9"/>
  <c r="AC28" i="10"/>
  <c r="AF24" i="10"/>
  <c r="AK28" i="10"/>
  <c r="X29" i="10"/>
  <c r="X18" i="10" s="1"/>
  <c r="W29" i="10"/>
  <c r="W18" i="10" s="1"/>
  <c r="U29" i="10"/>
  <c r="U18" i="10" s="1"/>
  <c r="T29" i="10"/>
  <c r="T18" i="10" s="1"/>
  <c r="S29" i="10"/>
  <c r="S18" i="10" s="1"/>
  <c r="Q29" i="10"/>
  <c r="Q18" i="10" s="1"/>
  <c r="P29" i="10"/>
  <c r="P18" i="10" s="1"/>
  <c r="O29" i="10"/>
  <c r="O18" i="10" s="1"/>
  <c r="M29" i="10"/>
  <c r="M18" i="10" s="1"/>
  <c r="L29" i="10"/>
  <c r="K29" i="10"/>
  <c r="K18" i="10" s="1"/>
  <c r="I29" i="10"/>
  <c r="I18" i="10" s="1"/>
  <c r="H29" i="10"/>
  <c r="H18" i="10" s="1"/>
  <c r="G29" i="10"/>
  <c r="G18" i="10" s="1"/>
  <c r="F29" i="10"/>
  <c r="F18" i="10" s="1"/>
  <c r="E29" i="10"/>
  <c r="E18" i="10" s="1"/>
  <c r="D29" i="10"/>
  <c r="D18" i="10" s="1"/>
  <c r="C29" i="10"/>
  <c r="X25" i="10"/>
  <c r="X17" i="10" s="1"/>
  <c r="W25" i="10"/>
  <c r="U25" i="10"/>
  <c r="U17" i="10" s="1"/>
  <c r="T25" i="10"/>
  <c r="T17" i="10" s="1"/>
  <c r="S25" i="10"/>
  <c r="Q25" i="10"/>
  <c r="Q17" i="10" s="1"/>
  <c r="P25" i="10"/>
  <c r="P17" i="10" s="1"/>
  <c r="O25" i="10"/>
  <c r="O17" i="10" s="1"/>
  <c r="M25" i="10"/>
  <c r="M17" i="10" s="1"/>
  <c r="L25" i="10"/>
  <c r="L17" i="10" s="1"/>
  <c r="L19" i="10" s="1"/>
  <c r="L9" i="10" s="1"/>
  <c r="K25" i="10"/>
  <c r="K17" i="10" s="1"/>
  <c r="I25" i="10"/>
  <c r="I17" i="10" s="1"/>
  <c r="H25" i="10"/>
  <c r="H17" i="10" s="1"/>
  <c r="G25" i="10"/>
  <c r="G17" i="10" s="1"/>
  <c r="F25" i="10"/>
  <c r="F17" i="10" s="1"/>
  <c r="E25" i="10"/>
  <c r="E17" i="10" s="1"/>
  <c r="D25" i="10"/>
  <c r="D17" i="10" s="1"/>
  <c r="C25" i="10"/>
  <c r="C19" i="10" s="1"/>
  <c r="C9" i="10" s="1"/>
  <c r="AQ109" i="8"/>
  <c r="Z30" i="8"/>
  <c r="AW30" i="8" s="1"/>
  <c r="Z24" i="8"/>
  <c r="AW24" i="8" s="1"/>
  <c r="Z18" i="8"/>
  <c r="Z17" i="8"/>
  <c r="Z13" i="8"/>
  <c r="Z10" i="8"/>
  <c r="AV10" i="8" s="1"/>
  <c r="V30" i="8"/>
  <c r="AS30" i="8" s="1"/>
  <c r="V24" i="8"/>
  <c r="AR24" i="8" s="1"/>
  <c r="V18" i="8"/>
  <c r="V17" i="8"/>
  <c r="V13" i="8"/>
  <c r="V10" i="8"/>
  <c r="AQ10" i="8" s="1"/>
  <c r="R10" i="8"/>
  <c r="AP10" i="8" s="1"/>
  <c r="R13" i="8"/>
  <c r="R18" i="8"/>
  <c r="R17" i="8"/>
  <c r="R24" i="8"/>
  <c r="AO24" i="8" s="1"/>
  <c r="R30" i="8"/>
  <c r="AM30" i="8" s="1"/>
  <c r="N30" i="8"/>
  <c r="AL30" i="8" s="1"/>
  <c r="N25" i="8"/>
  <c r="AL25" i="8" s="1"/>
  <c r="N24" i="8"/>
  <c r="AL24" i="8" s="1"/>
  <c r="N18" i="8"/>
  <c r="AL18" i="8" s="1"/>
  <c r="N17" i="8"/>
  <c r="AL17" i="8" s="1"/>
  <c r="N13" i="8"/>
  <c r="AL13" i="8" s="1"/>
  <c r="N10" i="8"/>
  <c r="N11" i="8" s="1"/>
  <c r="AH30" i="8"/>
  <c r="AH25" i="8"/>
  <c r="AH24" i="8"/>
  <c r="AH18" i="8"/>
  <c r="AH17" i="8"/>
  <c r="AH13" i="8"/>
  <c r="AW69" i="8"/>
  <c r="AV69" i="8"/>
  <c r="AT69" i="8"/>
  <c r="Z45" i="8"/>
  <c r="AU45" i="8" s="1"/>
  <c r="Z44" i="8"/>
  <c r="Z43" i="8"/>
  <c r="Z42" i="8"/>
  <c r="Z54" i="8"/>
  <c r="AU54" i="8" s="1"/>
  <c r="Z52" i="8"/>
  <c r="AU52" i="8" s="1"/>
  <c r="Z51" i="8"/>
  <c r="Z50" i="8"/>
  <c r="AU50" i="8" s="1"/>
  <c r="Z58" i="8"/>
  <c r="Z69" i="8"/>
  <c r="AU69" i="8" s="1"/>
  <c r="Z68" i="8"/>
  <c r="AU68" i="8" s="1"/>
  <c r="Z74" i="8"/>
  <c r="AU74" i="8" s="1"/>
  <c r="Z73" i="8"/>
  <c r="AU73" i="8" s="1"/>
  <c r="Z72" i="8"/>
  <c r="AU72" i="8" s="1"/>
  <c r="Z75" i="8"/>
  <c r="AU75" i="8" s="1"/>
  <c r="V75" i="8"/>
  <c r="AQ75" i="8" s="1"/>
  <c r="V74" i="8"/>
  <c r="AQ74" i="8" s="1"/>
  <c r="V73" i="8"/>
  <c r="AQ73" i="8" s="1"/>
  <c r="V72" i="8"/>
  <c r="AQ72" i="8" s="1"/>
  <c r="V69" i="8"/>
  <c r="AQ69" i="8" s="1"/>
  <c r="V68" i="8"/>
  <c r="AQ68" i="8" s="1"/>
  <c r="V58" i="8"/>
  <c r="V54" i="8"/>
  <c r="AQ54" i="8" s="1"/>
  <c r="V52" i="8"/>
  <c r="AQ52" i="8" s="1"/>
  <c r="V51" i="8"/>
  <c r="V50" i="8"/>
  <c r="AQ50" i="8" s="1"/>
  <c r="V45" i="8"/>
  <c r="AQ45" i="8" s="1"/>
  <c r="V44" i="8"/>
  <c r="V43" i="8"/>
  <c r="P51" i="9" s="1"/>
  <c r="V42" i="8"/>
  <c r="R68" i="8"/>
  <c r="AM68" i="8" s="1"/>
  <c r="R58" i="8"/>
  <c r="R52" i="8"/>
  <c r="AM52" i="8" s="1"/>
  <c r="R51" i="8"/>
  <c r="R50" i="8"/>
  <c r="AM50" i="8" s="1"/>
  <c r="R44" i="8"/>
  <c r="R43" i="8"/>
  <c r="R42" i="8"/>
  <c r="AW75" i="8"/>
  <c r="AV75" i="8"/>
  <c r="AT75" i="8"/>
  <c r="AS75" i="8"/>
  <c r="AR75" i="8"/>
  <c r="AP75" i="8"/>
  <c r="AO75" i="8"/>
  <c r="AN75" i="8"/>
  <c r="AW74" i="8"/>
  <c r="AV74" i="8"/>
  <c r="AT74" i="8"/>
  <c r="AS74" i="8"/>
  <c r="AR74" i="8"/>
  <c r="AP74" i="8"/>
  <c r="AO74" i="8"/>
  <c r="AN74" i="8"/>
  <c r="AW73" i="8"/>
  <c r="AV73" i="8"/>
  <c r="AT73" i="8"/>
  <c r="AS73" i="8"/>
  <c r="AR73" i="8"/>
  <c r="AP73" i="8"/>
  <c r="AO73" i="8"/>
  <c r="AN73" i="8"/>
  <c r="AW72" i="8"/>
  <c r="AV72" i="8"/>
  <c r="AT72" i="8"/>
  <c r="AS72" i="8"/>
  <c r="AR72" i="8"/>
  <c r="AP72" i="8"/>
  <c r="AO72" i="8"/>
  <c r="AN72" i="8"/>
  <c r="AV68" i="8"/>
  <c r="AT68" i="8"/>
  <c r="AS68" i="8"/>
  <c r="AR68" i="8"/>
  <c r="AP68" i="8"/>
  <c r="AO68" i="8"/>
  <c r="AN68" i="8"/>
  <c r="AW58" i="8"/>
  <c r="AV58" i="8"/>
  <c r="AT58" i="8"/>
  <c r="AS58" i="8"/>
  <c r="AR58" i="8"/>
  <c r="AP58" i="8"/>
  <c r="AO58" i="8"/>
  <c r="AN58" i="8"/>
  <c r="AW54" i="8"/>
  <c r="AV54" i="8"/>
  <c r="AT54" i="8"/>
  <c r="AW52" i="8"/>
  <c r="AV52" i="8"/>
  <c r="AT52" i="8"/>
  <c r="AS52" i="8"/>
  <c r="AR52" i="8"/>
  <c r="AP52" i="8"/>
  <c r="AO52" i="8"/>
  <c r="AN52" i="8"/>
  <c r="AW51" i="8"/>
  <c r="AV51" i="8"/>
  <c r="AT51" i="8"/>
  <c r="AS51" i="8"/>
  <c r="AR51" i="8"/>
  <c r="AP51" i="8"/>
  <c r="AO51" i="8"/>
  <c r="AN51" i="8"/>
  <c r="AW50" i="8"/>
  <c r="AV50" i="8"/>
  <c r="AT50" i="8"/>
  <c r="AS50" i="8"/>
  <c r="AR50" i="8"/>
  <c r="AP50" i="8"/>
  <c r="AO50" i="8"/>
  <c r="AN50" i="8"/>
  <c r="AW45" i="8"/>
  <c r="AV45" i="8"/>
  <c r="AT45" i="8"/>
  <c r="AS45" i="8"/>
  <c r="AR45" i="8"/>
  <c r="AW44" i="8"/>
  <c r="AV44" i="8"/>
  <c r="AT44" i="8"/>
  <c r="AS44" i="8"/>
  <c r="AR44" i="8"/>
  <c r="AP44" i="8"/>
  <c r="AO44" i="8"/>
  <c r="AN44" i="8"/>
  <c r="AW43" i="8"/>
  <c r="AV43" i="8"/>
  <c r="AT43" i="8"/>
  <c r="AS43" i="8"/>
  <c r="AR43" i="8"/>
  <c r="AP43" i="8"/>
  <c r="AO43" i="8"/>
  <c r="AN43" i="8"/>
  <c r="AV42" i="8"/>
  <c r="AT42" i="8"/>
  <c r="AS42" i="8"/>
  <c r="AR42" i="8"/>
  <c r="AP42" i="8"/>
  <c r="AO42" i="8"/>
  <c r="AN42" i="8"/>
  <c r="N44" i="8"/>
  <c r="AI44" i="8" s="1"/>
  <c r="N42" i="8"/>
  <c r="AI42" i="8" s="1"/>
  <c r="N52" i="8"/>
  <c r="AI52" i="8" s="1"/>
  <c r="N51" i="8"/>
  <c r="AI51" i="8" s="1"/>
  <c r="N50" i="8"/>
  <c r="AI50" i="8" s="1"/>
  <c r="N58" i="8"/>
  <c r="AI58" i="8" s="1"/>
  <c r="N75" i="8"/>
  <c r="AI75" i="8" s="1"/>
  <c r="N74" i="8"/>
  <c r="AI74" i="8" s="1"/>
  <c r="N73" i="8"/>
  <c r="AI73" i="8" s="1"/>
  <c r="N72" i="8"/>
  <c r="AI72" i="8" s="1"/>
  <c r="N69" i="8"/>
  <c r="AI69" i="8" s="1"/>
  <c r="N68" i="8"/>
  <c r="AI68" i="8" s="1"/>
  <c r="U76" i="8"/>
  <c r="M76" i="8"/>
  <c r="AE75" i="8"/>
  <c r="AE74" i="8"/>
  <c r="AE73" i="8"/>
  <c r="AE72" i="8"/>
  <c r="AE69" i="8"/>
  <c r="AE68" i="8"/>
  <c r="AE58" i="8"/>
  <c r="AE54" i="8"/>
  <c r="AE52" i="8"/>
  <c r="AE51" i="8"/>
  <c r="AE50" i="8"/>
  <c r="AE45" i="8"/>
  <c r="AE44" i="8"/>
  <c r="AE43" i="8"/>
  <c r="AE42" i="8"/>
  <c r="AB84" i="8"/>
  <c r="AA84" i="8"/>
  <c r="Z84" i="8"/>
  <c r="Y84" i="8"/>
  <c r="X84" i="8"/>
  <c r="W84" i="8"/>
  <c r="V84" i="8"/>
  <c r="U84" i="8"/>
  <c r="T84" i="8"/>
  <c r="S84" i="8"/>
  <c r="R84" i="8"/>
  <c r="Q84" i="8"/>
  <c r="P84" i="8"/>
  <c r="O84" i="8"/>
  <c r="N84" i="8"/>
  <c r="M84" i="8"/>
  <c r="L84" i="8"/>
  <c r="K84" i="8"/>
  <c r="AB83" i="8"/>
  <c r="AA83" i="8"/>
  <c r="Z83" i="8"/>
  <c r="Y83" i="8"/>
  <c r="X83" i="8"/>
  <c r="W83" i="8"/>
  <c r="V83" i="8"/>
  <c r="U83" i="8"/>
  <c r="T83" i="8"/>
  <c r="S83" i="8"/>
  <c r="R83" i="8"/>
  <c r="Q83" i="8"/>
  <c r="P83" i="8"/>
  <c r="O83" i="8"/>
  <c r="N83" i="8"/>
  <c r="M83" i="8"/>
  <c r="L83" i="8"/>
  <c r="K83" i="8"/>
  <c r="Y76" i="8"/>
  <c r="X76" i="8"/>
  <c r="W76" i="8"/>
  <c r="T76" i="8"/>
  <c r="S76" i="8"/>
  <c r="Q76" i="8"/>
  <c r="P76" i="8"/>
  <c r="J67" i="9" s="1"/>
  <c r="O76" i="8"/>
  <c r="I67" i="9" s="1"/>
  <c r="L76" i="8"/>
  <c r="K76" i="8"/>
  <c r="M46" i="8"/>
  <c r="M55" i="8" s="1"/>
  <c r="AB39" i="8"/>
  <c r="AA39" i="8"/>
  <c r="Z39" i="8"/>
  <c r="Y39" i="8"/>
  <c r="X39" i="8"/>
  <c r="W39" i="8"/>
  <c r="V39" i="8"/>
  <c r="U39" i="8"/>
  <c r="T39" i="8"/>
  <c r="S39" i="8"/>
  <c r="R39" i="8"/>
  <c r="Q39" i="8"/>
  <c r="P39" i="8"/>
  <c r="O39" i="8"/>
  <c r="N39" i="8"/>
  <c r="M39" i="8"/>
  <c r="L39" i="8"/>
  <c r="K39" i="8"/>
  <c r="AB38" i="8"/>
  <c r="AA38" i="8"/>
  <c r="Z38" i="8"/>
  <c r="Y38" i="8"/>
  <c r="X38" i="8"/>
  <c r="W38" i="8"/>
  <c r="V38" i="8"/>
  <c r="U38" i="8"/>
  <c r="T38" i="8"/>
  <c r="S38" i="8"/>
  <c r="R38" i="8"/>
  <c r="Q38" i="8"/>
  <c r="P38" i="8"/>
  <c r="O38" i="8"/>
  <c r="N38" i="8"/>
  <c r="M38" i="8"/>
  <c r="L38" i="8"/>
  <c r="K38" i="8"/>
  <c r="I39" i="8"/>
  <c r="H39" i="8"/>
  <c r="G39" i="8"/>
  <c r="F39" i="8"/>
  <c r="E39" i="8"/>
  <c r="D39" i="8"/>
  <c r="C39" i="8"/>
  <c r="I38" i="8"/>
  <c r="H38" i="8"/>
  <c r="G38" i="8"/>
  <c r="F38" i="8"/>
  <c r="E38" i="8"/>
  <c r="D38" i="8"/>
  <c r="C38" i="8"/>
  <c r="AW42" i="8"/>
  <c r="X11" i="8"/>
  <c r="X14" i="8" s="1"/>
  <c r="X21" i="8" s="1"/>
  <c r="W11" i="8"/>
  <c r="W14" i="8" s="1"/>
  <c r="W21" i="8" s="1"/>
  <c r="U11" i="8"/>
  <c r="U14" i="8" s="1"/>
  <c r="U15" i="8" s="1"/>
  <c r="T11" i="8"/>
  <c r="T14" i="8" s="1"/>
  <c r="T15" i="8" s="1"/>
  <c r="S11" i="8"/>
  <c r="S14" i="8" s="1"/>
  <c r="S21" i="8" s="1"/>
  <c r="Q11" i="8"/>
  <c r="Q14" i="8" s="1"/>
  <c r="Q21" i="8" s="1"/>
  <c r="P11" i="8"/>
  <c r="P14" i="8" s="1"/>
  <c r="P21" i="8" s="1"/>
  <c r="O11" i="8"/>
  <c r="O14" i="8" s="1"/>
  <c r="O21" i="8" s="1"/>
  <c r="M11" i="8"/>
  <c r="M14" i="8" s="1"/>
  <c r="M15" i="8" s="1"/>
  <c r="L11" i="8"/>
  <c r="L14" i="8" s="1"/>
  <c r="L21" i="8" s="1"/>
  <c r="K11" i="8"/>
  <c r="K14" i="8" s="1"/>
  <c r="K21" i="8" s="1"/>
  <c r="AB11" i="8"/>
  <c r="AR8" i="8"/>
  <c r="AQ8" i="8"/>
  <c r="AP8" i="8"/>
  <c r="AO8" i="8"/>
  <c r="AN8" i="8"/>
  <c r="AM8" i="8"/>
  <c r="AR7" i="8"/>
  <c r="AQ7" i="8"/>
  <c r="AP7" i="8"/>
  <c r="AO7" i="8"/>
  <c r="AN7" i="8"/>
  <c r="AM7" i="8"/>
  <c r="AV8" i="8"/>
  <c r="AU8" i="8"/>
  <c r="AT8" i="8"/>
  <c r="AS8" i="8"/>
  <c r="AV7" i="8"/>
  <c r="AU7" i="8"/>
  <c r="AT7" i="8"/>
  <c r="AS7" i="8"/>
  <c r="AW8" i="8"/>
  <c r="AW7" i="8"/>
  <c r="G27" i="14"/>
  <c r="H4" i="10"/>
  <c r="G4" i="10"/>
  <c r="F4" i="10"/>
  <c r="E4" i="10"/>
  <c r="D4" i="10"/>
  <c r="C4" i="10"/>
  <c r="H3" i="10"/>
  <c r="G3" i="10"/>
  <c r="F3" i="10"/>
  <c r="E3" i="10"/>
  <c r="D3" i="10"/>
  <c r="C3" i="10"/>
  <c r="I4" i="10"/>
  <c r="I3" i="10"/>
  <c r="AM66" i="8" l="1"/>
  <c r="AQ66" i="8"/>
  <c r="AU66" i="8"/>
  <c r="T35" i="9"/>
  <c r="P35" i="9"/>
  <c r="AP18" i="8"/>
  <c r="L19" i="9"/>
  <c r="AA19" i="9" s="1"/>
  <c r="AM44" i="8"/>
  <c r="L56" i="9"/>
  <c r="Z56" i="9" s="1"/>
  <c r="AQ44" i="8"/>
  <c r="P56" i="9"/>
  <c r="AD56" i="9" s="1"/>
  <c r="T50" i="9"/>
  <c r="AO13" i="8"/>
  <c r="L14" i="9"/>
  <c r="AU43" i="8"/>
  <c r="T51" i="9"/>
  <c r="AH51" i="9" s="1"/>
  <c r="AW13" i="8"/>
  <c r="T14" i="9"/>
  <c r="AN96" i="8"/>
  <c r="L35" i="9"/>
  <c r="K67" i="9"/>
  <c r="Y67" i="9" s="1"/>
  <c r="M67" i="9"/>
  <c r="AA67" i="9" s="1"/>
  <c r="AM51" i="8"/>
  <c r="L58" i="9"/>
  <c r="Z58" i="9" s="1"/>
  <c r="AU44" i="8"/>
  <c r="T56" i="9"/>
  <c r="AH56" i="9" s="1"/>
  <c r="AW17" i="8"/>
  <c r="T18" i="9"/>
  <c r="AP19" i="8"/>
  <c r="L20" i="9"/>
  <c r="AC70" i="8"/>
  <c r="W59" i="9"/>
  <c r="AT19" i="8"/>
  <c r="P20" i="9"/>
  <c r="AP25" i="8"/>
  <c r="L34" i="9"/>
  <c r="Q67" i="9"/>
  <c r="AE67" i="9" s="1"/>
  <c r="AM58" i="8"/>
  <c r="L57" i="9"/>
  <c r="Z57" i="9" s="1"/>
  <c r="AR17" i="8"/>
  <c r="P18" i="9"/>
  <c r="AF18" i="9" s="1"/>
  <c r="AW19" i="8"/>
  <c r="T20" i="9"/>
  <c r="AH20" i="9" s="1"/>
  <c r="AU51" i="8"/>
  <c r="T58" i="9"/>
  <c r="AH58" i="9" s="1"/>
  <c r="AT18" i="8"/>
  <c r="P19" i="9"/>
  <c r="AG19" i="9" s="1"/>
  <c r="W67" i="9"/>
  <c r="AK67" i="9" s="1"/>
  <c r="AA133" i="8"/>
  <c r="T33" i="9"/>
  <c r="AM43" i="8"/>
  <c r="L51" i="9"/>
  <c r="N67" i="9"/>
  <c r="AB67" i="9" s="1"/>
  <c r="O67" i="9"/>
  <c r="AC67" i="9" s="1"/>
  <c r="AQ51" i="8"/>
  <c r="P58" i="9"/>
  <c r="AD58" i="9" s="1"/>
  <c r="AU58" i="8"/>
  <c r="T57" i="9"/>
  <c r="AH57" i="9" s="1"/>
  <c r="AQ13" i="8"/>
  <c r="P14" i="9"/>
  <c r="AG14" i="9" s="1"/>
  <c r="AW18" i="8"/>
  <c r="T19" i="9"/>
  <c r="AK19" i="9" s="1"/>
  <c r="R67" i="9"/>
  <c r="AF67" i="9" s="1"/>
  <c r="S67" i="9"/>
  <c r="AG67" i="9" s="1"/>
  <c r="AM42" i="8"/>
  <c r="L50" i="9"/>
  <c r="AQ42" i="8"/>
  <c r="P50" i="9"/>
  <c r="P53" i="9" s="1"/>
  <c r="AQ58" i="8"/>
  <c r="P57" i="9"/>
  <c r="AP17" i="8"/>
  <c r="L18" i="9"/>
  <c r="Z18" i="9" s="1"/>
  <c r="AH26" i="8"/>
  <c r="AH60" i="8"/>
  <c r="AK45" i="8"/>
  <c r="AK46" i="8" s="1"/>
  <c r="AK55" i="8" s="1"/>
  <c r="Z111" i="8"/>
  <c r="R111" i="8"/>
  <c r="V111" i="8"/>
  <c r="N111" i="8"/>
  <c r="Q46" i="8"/>
  <c r="Q55" i="8" s="1"/>
  <c r="U55" i="8"/>
  <c r="Z30" i="18"/>
  <c r="AO65" i="18"/>
  <c r="Z36" i="18"/>
  <c r="AH65" i="18"/>
  <c r="AJ65" i="18"/>
  <c r="Z67" i="18"/>
  <c r="AQ67" i="18" s="1"/>
  <c r="AS64" i="18"/>
  <c r="AQ64" i="18"/>
  <c r="AT64" i="18"/>
  <c r="AR64" i="18"/>
  <c r="AG29" i="18"/>
  <c r="AE29" i="18"/>
  <c r="AH29" i="18"/>
  <c r="AF29" i="18"/>
  <c r="N67" i="18"/>
  <c r="AE67" i="18" s="1"/>
  <c r="AE68" i="18"/>
  <c r="Q32" i="18"/>
  <c r="AH30" i="18"/>
  <c r="AR51" i="18"/>
  <c r="AR50" i="18" s="1"/>
  <c r="V52" i="18"/>
  <c r="AM36" i="18"/>
  <c r="AM52" i="18" s="1"/>
  <c r="Q44" i="18"/>
  <c r="AH42" i="18"/>
  <c r="AB66" i="18"/>
  <c r="AS66" i="18" s="1"/>
  <c r="AS65" i="18" s="1"/>
  <c r="AS69" i="18" s="1"/>
  <c r="AS42" i="18"/>
  <c r="AL58" i="18"/>
  <c r="AK58" i="18"/>
  <c r="AJ58" i="18"/>
  <c r="AI58" i="18"/>
  <c r="V53" i="18"/>
  <c r="AO29" i="18"/>
  <c r="AM29" i="18"/>
  <c r="AP29" i="18"/>
  <c r="AN29" i="18"/>
  <c r="AO58" i="18"/>
  <c r="AM58" i="18"/>
  <c r="AP58" i="18"/>
  <c r="AN58" i="18"/>
  <c r="P32" i="18"/>
  <c r="AG30" i="18"/>
  <c r="AA44" i="18"/>
  <c r="AR42" i="18"/>
  <c r="AR17" i="18" s="1"/>
  <c r="Z60" i="18"/>
  <c r="Z59" i="18" s="1"/>
  <c r="Z61" i="18" s="1"/>
  <c r="AQ36" i="18"/>
  <c r="AQ52" i="18" s="1"/>
  <c r="N30" i="18"/>
  <c r="AE30" i="18" s="1"/>
  <c r="AE31" i="18"/>
  <c r="N53" i="18"/>
  <c r="AE54" i="18"/>
  <c r="R51" i="18"/>
  <c r="AI30" i="18"/>
  <c r="AB51" i="18"/>
  <c r="AS30" i="18"/>
  <c r="W52" i="18"/>
  <c r="AN36" i="18"/>
  <c r="AN52" i="18" s="1"/>
  <c r="S44" i="18"/>
  <c r="AJ42" i="18"/>
  <c r="AC44" i="18"/>
  <c r="AT42" i="18"/>
  <c r="AL29" i="18"/>
  <c r="AJ29" i="18"/>
  <c r="AK29" i="18"/>
  <c r="AI29" i="18"/>
  <c r="R22" i="18"/>
  <c r="AK64" i="18"/>
  <c r="AJ64" i="18"/>
  <c r="AI64" i="18"/>
  <c r="AL64" i="18"/>
  <c r="V30" i="18"/>
  <c r="AM31" i="18"/>
  <c r="AP64" i="18"/>
  <c r="AN64" i="18"/>
  <c r="AO64" i="18"/>
  <c r="AO69" i="18" s="1"/>
  <c r="AM64" i="18"/>
  <c r="AT41" i="18"/>
  <c r="AT44" i="18" s="1"/>
  <c r="AS41" i="18"/>
  <c r="AR41" i="18"/>
  <c r="AQ41" i="18"/>
  <c r="AP69" i="18"/>
  <c r="AH35" i="18"/>
  <c r="AF35" i="18"/>
  <c r="AG35" i="18"/>
  <c r="AE35" i="18"/>
  <c r="AE38" i="18" s="1"/>
  <c r="AG58" i="18"/>
  <c r="AE58" i="18"/>
  <c r="AF58" i="18"/>
  <c r="AH58" i="18"/>
  <c r="S32" i="18"/>
  <c r="AJ30" i="18"/>
  <c r="AC51" i="18"/>
  <c r="AT30" i="18"/>
  <c r="X60" i="18"/>
  <c r="AO36" i="18"/>
  <c r="AO52" i="18" s="1"/>
  <c r="T44" i="18"/>
  <c r="AK42" i="18"/>
  <c r="R67" i="18"/>
  <c r="AI67" i="18" s="1"/>
  <c r="AI68" i="18"/>
  <c r="V67" i="18"/>
  <c r="AM67" i="18" s="1"/>
  <c r="AM68" i="18"/>
  <c r="Z42" i="18"/>
  <c r="AQ43" i="18"/>
  <c r="Y32" i="18"/>
  <c r="AP30" i="18"/>
  <c r="AK49" i="18"/>
  <c r="AL49" i="18"/>
  <c r="AJ49" i="18"/>
  <c r="AI49" i="18"/>
  <c r="N36" i="18"/>
  <c r="AE36" i="18" s="1"/>
  <c r="AE52" i="18" s="1"/>
  <c r="AE37" i="18"/>
  <c r="T32" i="18"/>
  <c r="AK30" i="18"/>
  <c r="P52" i="18"/>
  <c r="AG36" i="18"/>
  <c r="AG52" i="18" s="1"/>
  <c r="Y60" i="18"/>
  <c r="AP60" i="18" s="1"/>
  <c r="AP59" i="18" s="1"/>
  <c r="AP36" i="18"/>
  <c r="AP52" i="18" s="1"/>
  <c r="U66" i="18"/>
  <c r="AL66" i="18" s="1"/>
  <c r="AL65" i="18" s="1"/>
  <c r="AL42" i="18"/>
  <c r="R36" i="18"/>
  <c r="AI36" i="18" s="1"/>
  <c r="AI52" i="18" s="1"/>
  <c r="AI37" i="18"/>
  <c r="R53" i="18"/>
  <c r="AI54" i="18"/>
  <c r="AI53" i="18" s="1"/>
  <c r="AP35" i="18"/>
  <c r="AN35" i="18"/>
  <c r="AO35" i="18"/>
  <c r="AO38" i="18" s="1"/>
  <c r="AM35" i="18"/>
  <c r="AM38" i="18" s="1"/>
  <c r="Z51" i="18"/>
  <c r="AQ30" i="18"/>
  <c r="AS49" i="18"/>
  <c r="AT49" i="18"/>
  <c r="AR49" i="18"/>
  <c r="AQ49" i="18"/>
  <c r="P44" i="18"/>
  <c r="AG42" i="18"/>
  <c r="AG41" i="18"/>
  <c r="AG44" i="18" s="1"/>
  <c r="AF41" i="18"/>
  <c r="AE41" i="18"/>
  <c r="AH41" i="18"/>
  <c r="AH44" i="18" s="1"/>
  <c r="AL51" i="18"/>
  <c r="Q52" i="18"/>
  <c r="AH36" i="18"/>
  <c r="AH52" i="18" s="1"/>
  <c r="W66" i="18"/>
  <c r="AN66" i="18" s="1"/>
  <c r="AN65" i="18" s="1"/>
  <c r="AN69" i="18" s="1"/>
  <c r="AN42" i="18"/>
  <c r="AK35" i="18"/>
  <c r="AI35" i="18"/>
  <c r="AI38" i="18" s="1"/>
  <c r="AL35" i="18"/>
  <c r="AJ35" i="18"/>
  <c r="AO41" i="18"/>
  <c r="AM41" i="18"/>
  <c r="AP41" i="18"/>
  <c r="AN41" i="18"/>
  <c r="AN44" i="18" s="1"/>
  <c r="AT29" i="18"/>
  <c r="AR29" i="18"/>
  <c r="AS29" i="18"/>
  <c r="AQ29" i="18"/>
  <c r="AH64" i="18"/>
  <c r="AH69" i="18" s="1"/>
  <c r="AF64" i="18"/>
  <c r="AG64" i="18"/>
  <c r="AE64" i="18"/>
  <c r="U38" i="18"/>
  <c r="AL36" i="18"/>
  <c r="AL52" i="18" s="1"/>
  <c r="N42" i="18"/>
  <c r="N44" i="18" s="1"/>
  <c r="AE43" i="18"/>
  <c r="W32" i="18"/>
  <c r="AN30" i="18"/>
  <c r="S38" i="18"/>
  <c r="AJ36" i="18"/>
  <c r="AJ52" i="18" s="1"/>
  <c r="AB38" i="18"/>
  <c r="AS36" i="18"/>
  <c r="AS52" i="18" s="1"/>
  <c r="X44" i="18"/>
  <c r="AO42" i="18"/>
  <c r="AL41" i="18"/>
  <c r="AL44" i="18" s="1"/>
  <c r="AJ41" i="18"/>
  <c r="AK41" i="18"/>
  <c r="AI41" i="18"/>
  <c r="V42" i="18"/>
  <c r="AM43" i="18"/>
  <c r="AT58" i="18"/>
  <c r="AR58" i="18"/>
  <c r="AS58" i="18"/>
  <c r="AQ58" i="18"/>
  <c r="P66" i="18"/>
  <c r="AG66" i="18" s="1"/>
  <c r="AG65" i="18" s="1"/>
  <c r="AG69" i="18" s="1"/>
  <c r="AH49" i="18"/>
  <c r="AF49" i="18"/>
  <c r="AF22" i="18" s="1"/>
  <c r="AE49" i="18"/>
  <c r="AE22" i="18" s="1"/>
  <c r="AG49" i="18"/>
  <c r="X51" i="18"/>
  <c r="AO30" i="18"/>
  <c r="T38" i="18"/>
  <c r="AK36" i="18"/>
  <c r="AK52" i="18" s="1"/>
  <c r="AC52" i="18"/>
  <c r="AT36" i="18"/>
  <c r="AT52" i="18" s="1"/>
  <c r="Y44" i="18"/>
  <c r="AP42" i="18"/>
  <c r="AA38" i="18"/>
  <c r="R42" i="18"/>
  <c r="AI43" i="18"/>
  <c r="AP49" i="18"/>
  <c r="AN49" i="18"/>
  <c r="AM49" i="18"/>
  <c r="AO49" i="18"/>
  <c r="AS35" i="18"/>
  <c r="AQ35" i="18"/>
  <c r="AQ38" i="18" s="1"/>
  <c r="AT35" i="18"/>
  <c r="AR35" i="18"/>
  <c r="AR38" i="18" s="1"/>
  <c r="AE32" i="18"/>
  <c r="AE51" i="18"/>
  <c r="O52" i="18"/>
  <c r="AF36" i="18"/>
  <c r="O66" i="18"/>
  <c r="AF66" i="18" s="1"/>
  <c r="AF65" i="18" s="1"/>
  <c r="AF69" i="18" s="1"/>
  <c r="AF42" i="18"/>
  <c r="X59" i="18"/>
  <c r="X61" i="18" s="1"/>
  <c r="AO60" i="18"/>
  <c r="AO59" i="18" s="1"/>
  <c r="P59" i="18"/>
  <c r="P61" i="18" s="1"/>
  <c r="AG60" i="18"/>
  <c r="AG59" i="18" s="1"/>
  <c r="O51" i="18"/>
  <c r="O50" i="18" s="1"/>
  <c r="O55" i="18" s="1"/>
  <c r="AF30" i="18"/>
  <c r="Y59" i="18"/>
  <c r="Y61" i="18" s="1"/>
  <c r="R52" i="18"/>
  <c r="R17" i="18"/>
  <c r="R18" i="18" s="1"/>
  <c r="R34" i="8" s="1"/>
  <c r="Q51" i="18"/>
  <c r="Q50" i="18" s="1"/>
  <c r="Q55" i="18" s="1"/>
  <c r="I17" i="18"/>
  <c r="I18" i="18" s="1"/>
  <c r="I34" i="8" s="1"/>
  <c r="Z44" i="18"/>
  <c r="P51" i="18"/>
  <c r="P50" i="18" s="1"/>
  <c r="P55" i="18" s="1"/>
  <c r="P17" i="18"/>
  <c r="P18" i="18" s="1"/>
  <c r="P34" i="8" s="1"/>
  <c r="P65" i="18"/>
  <c r="P69" i="18" s="1"/>
  <c r="Q60" i="18"/>
  <c r="N32" i="18"/>
  <c r="T60" i="18"/>
  <c r="P38" i="18"/>
  <c r="Q38" i="18"/>
  <c r="Z52" i="18"/>
  <c r="T66" i="18"/>
  <c r="AK66" i="18" s="1"/>
  <c r="AK65" i="18" s="1"/>
  <c r="AK69" i="18" s="1"/>
  <c r="W38" i="18"/>
  <c r="AC66" i="18"/>
  <c r="AC17" i="18"/>
  <c r="AC18" i="18" s="1"/>
  <c r="AC34" i="8" s="1"/>
  <c r="AC32" i="18"/>
  <c r="AB44" i="18"/>
  <c r="AB17" i="18"/>
  <c r="AB18" i="18" s="1"/>
  <c r="AB34" i="8" s="1"/>
  <c r="AB32" i="18"/>
  <c r="AA66" i="18"/>
  <c r="AR66" i="18" s="1"/>
  <c r="AR65" i="18" s="1"/>
  <c r="AR69" i="18" s="1"/>
  <c r="AA17" i="18"/>
  <c r="AA32" i="18"/>
  <c r="AA51" i="18"/>
  <c r="O38" i="18"/>
  <c r="O44" i="18"/>
  <c r="O32" i="18"/>
  <c r="AF35" i="8"/>
  <c r="Y38" i="18"/>
  <c r="X52" i="18"/>
  <c r="X38" i="18"/>
  <c r="X32" i="18"/>
  <c r="Z22" i="18"/>
  <c r="W44" i="18"/>
  <c r="Z16" i="18"/>
  <c r="Z38" i="18"/>
  <c r="Z17" i="18"/>
  <c r="Z32" i="18"/>
  <c r="V16" i="18"/>
  <c r="V38" i="18"/>
  <c r="U44" i="18"/>
  <c r="U17" i="18"/>
  <c r="U18" i="18" s="1"/>
  <c r="U34" i="8" s="1"/>
  <c r="U51" i="18"/>
  <c r="U50" i="18" s="1"/>
  <c r="U55" i="18" s="1"/>
  <c r="U32" i="18"/>
  <c r="T17" i="18"/>
  <c r="T18" i="18" s="1"/>
  <c r="T34" i="8" s="1"/>
  <c r="S17" i="18"/>
  <c r="S18" i="18" s="1"/>
  <c r="S34" i="8" s="1"/>
  <c r="S51" i="18"/>
  <c r="R44" i="18"/>
  <c r="R38" i="18"/>
  <c r="V17" i="18"/>
  <c r="V18" i="18" s="1"/>
  <c r="V34" i="8" s="1"/>
  <c r="W17" i="18"/>
  <c r="W18" i="18" s="1"/>
  <c r="W34" i="8" s="1"/>
  <c r="S60" i="18"/>
  <c r="AA52" i="18"/>
  <c r="T52" i="18"/>
  <c r="T50" i="18" s="1"/>
  <c r="T55" i="18" s="1"/>
  <c r="V51" i="18"/>
  <c r="X17" i="18"/>
  <c r="X18" i="18" s="1"/>
  <c r="X34" i="8" s="1"/>
  <c r="U60" i="18"/>
  <c r="AC60" i="18"/>
  <c r="W51" i="18"/>
  <c r="W50" i="18" s="1"/>
  <c r="W55" i="18" s="1"/>
  <c r="Q17" i="18"/>
  <c r="Q18" i="18" s="1"/>
  <c r="Q34" i="8" s="1"/>
  <c r="Y17" i="18"/>
  <c r="Y18" i="18" s="1"/>
  <c r="Y34" i="8" s="1"/>
  <c r="AA60" i="18"/>
  <c r="AB60" i="18"/>
  <c r="L60" i="18"/>
  <c r="L59" i="18" s="1"/>
  <c r="L61" i="18" s="1"/>
  <c r="V60" i="18"/>
  <c r="L52" i="18"/>
  <c r="S52" i="18"/>
  <c r="O60" i="18"/>
  <c r="W60" i="18"/>
  <c r="X65" i="18"/>
  <c r="X69" i="18" s="1"/>
  <c r="Q65" i="18"/>
  <c r="Q69" i="18" s="1"/>
  <c r="Y65" i="18"/>
  <c r="Y69" i="18" s="1"/>
  <c r="W65" i="18"/>
  <c r="W69" i="18" s="1"/>
  <c r="S65" i="18"/>
  <c r="S69" i="18" s="1"/>
  <c r="O65" i="18"/>
  <c r="O69" i="18" s="1"/>
  <c r="O17" i="18"/>
  <c r="O18" i="18" s="1"/>
  <c r="O34" i="8" s="1"/>
  <c r="M17" i="18"/>
  <c r="M18" i="18" s="1"/>
  <c r="M34" i="8" s="1"/>
  <c r="L17" i="18"/>
  <c r="L18" i="18" s="1"/>
  <c r="L34" i="8" s="1"/>
  <c r="M38" i="18"/>
  <c r="M66" i="18"/>
  <c r="M65" i="18" s="1"/>
  <c r="M69" i="18" s="1"/>
  <c r="L66" i="18"/>
  <c r="L65" i="18" s="1"/>
  <c r="L69" i="18" s="1"/>
  <c r="Z50" i="18"/>
  <c r="Z55" i="18" s="1"/>
  <c r="AB50" i="18"/>
  <c r="AB55" i="18" s="1"/>
  <c r="N38" i="18"/>
  <c r="Y50" i="18"/>
  <c r="N22" i="18"/>
  <c r="N16" i="18"/>
  <c r="N60" i="18"/>
  <c r="N52" i="18"/>
  <c r="N51" i="18"/>
  <c r="M52" i="18"/>
  <c r="M51" i="18"/>
  <c r="U65" i="18"/>
  <c r="U69" i="18" s="1"/>
  <c r="L51" i="18"/>
  <c r="I44" i="18"/>
  <c r="H52" i="18"/>
  <c r="K52" i="18"/>
  <c r="I65" i="18"/>
  <c r="I69" i="18" s="1"/>
  <c r="H17" i="18"/>
  <c r="H18" i="18" s="1"/>
  <c r="H34" i="8" s="1"/>
  <c r="F65" i="18"/>
  <c r="F69" i="18" s="1"/>
  <c r="I52" i="18"/>
  <c r="K60" i="18"/>
  <c r="K59" i="18" s="1"/>
  <c r="K61" i="18" s="1"/>
  <c r="H51" i="18"/>
  <c r="K17" i="18"/>
  <c r="K18" i="18" s="1"/>
  <c r="K34" i="8" s="1"/>
  <c r="I51" i="18"/>
  <c r="G52" i="18"/>
  <c r="G50" i="18" s="1"/>
  <c r="G55" i="18" s="1"/>
  <c r="K51" i="18"/>
  <c r="K66" i="18"/>
  <c r="E51" i="18"/>
  <c r="G66" i="18"/>
  <c r="H66" i="18"/>
  <c r="G60" i="18"/>
  <c r="H60" i="18"/>
  <c r="H59" i="18" s="1"/>
  <c r="H61" i="18" s="1"/>
  <c r="I60" i="18"/>
  <c r="I59" i="18" s="1"/>
  <c r="I61" i="18" s="1"/>
  <c r="E32" i="18"/>
  <c r="F51" i="18"/>
  <c r="C66" i="18"/>
  <c r="D66" i="18"/>
  <c r="C32" i="18"/>
  <c r="F44" i="18"/>
  <c r="E66" i="18"/>
  <c r="F17" i="18"/>
  <c r="F18" i="18" s="1"/>
  <c r="F34" i="8" s="1"/>
  <c r="H32" i="18"/>
  <c r="G17" i="18"/>
  <c r="G18" i="18" s="1"/>
  <c r="G34" i="8" s="1"/>
  <c r="E52" i="18"/>
  <c r="E60" i="18"/>
  <c r="E59" i="18" s="1"/>
  <c r="E61" i="18" s="1"/>
  <c r="D38" i="18"/>
  <c r="C60" i="18"/>
  <c r="C59" i="18" s="1"/>
  <c r="C61" i="18" s="1"/>
  <c r="G32" i="18"/>
  <c r="D51" i="18"/>
  <c r="D60" i="18"/>
  <c r="D59" i="18" s="1"/>
  <c r="D61" i="18" s="1"/>
  <c r="F38" i="18"/>
  <c r="I32" i="18"/>
  <c r="F60" i="18"/>
  <c r="F59" i="18" s="1"/>
  <c r="F61" i="18" s="1"/>
  <c r="C52" i="18"/>
  <c r="C51" i="18"/>
  <c r="D32" i="18"/>
  <c r="E18" i="18"/>
  <c r="E34" i="8" s="1"/>
  <c r="O55" i="8"/>
  <c r="P55" i="8"/>
  <c r="AJ45" i="8"/>
  <c r="AJ46" i="8" s="1"/>
  <c r="AJ55" i="8" s="1"/>
  <c r="AF60" i="8"/>
  <c r="N26" i="8"/>
  <c r="AL26" i="8" s="1"/>
  <c r="L46" i="8"/>
  <c r="L55" i="8" s="1"/>
  <c r="K46" i="8"/>
  <c r="K55" i="8" s="1"/>
  <c r="AP45" i="8"/>
  <c r="M70" i="8"/>
  <c r="M77" i="8" s="1"/>
  <c r="M79" i="8" s="1"/>
  <c r="AK60" i="8"/>
  <c r="AK63" i="8" s="1"/>
  <c r="AK70" i="8" s="1"/>
  <c r="AT26" i="8"/>
  <c r="Z26" i="8"/>
  <c r="AX26" i="8" s="1"/>
  <c r="D18" i="18"/>
  <c r="D34" i="8" s="1"/>
  <c r="AG34" i="8"/>
  <c r="AE35" i="8"/>
  <c r="AH34" i="8"/>
  <c r="C18" i="18"/>
  <c r="C34" i="8" s="1"/>
  <c r="AH35" i="8"/>
  <c r="AF34" i="8"/>
  <c r="AA18" i="18"/>
  <c r="AA34" i="8" s="1"/>
  <c r="AE34" i="8"/>
  <c r="AG35" i="8"/>
  <c r="AV63" i="8"/>
  <c r="AJ60" i="8"/>
  <c r="L63" i="8"/>
  <c r="L70" i="8" s="1"/>
  <c r="L77" i="8" s="1"/>
  <c r="S40" i="10"/>
  <c r="Q70" i="8"/>
  <c r="O70" i="8"/>
  <c r="AJ11" i="10"/>
  <c r="X40" i="10"/>
  <c r="Y40" i="10"/>
  <c r="T40" i="10"/>
  <c r="O40" i="10"/>
  <c r="P40" i="10"/>
  <c r="Q40" i="10"/>
  <c r="L40" i="10"/>
  <c r="M40" i="10"/>
  <c r="K40" i="10"/>
  <c r="X19" i="10"/>
  <c r="X9" i="10" s="1"/>
  <c r="AH18" i="10"/>
  <c r="AI18" i="10"/>
  <c r="K19" i="10"/>
  <c r="K9" i="10" s="1"/>
  <c r="AJ23" i="10"/>
  <c r="AK23" i="10"/>
  <c r="T19" i="10"/>
  <c r="T9" i="10" s="1"/>
  <c r="AJ10" i="10"/>
  <c r="AK10" i="10"/>
  <c r="AJ38" i="10"/>
  <c r="AK38" i="10"/>
  <c r="AJ37" i="10"/>
  <c r="AK37" i="10"/>
  <c r="AK36" i="10"/>
  <c r="AH36" i="10"/>
  <c r="AK34" i="10"/>
  <c r="AG34" i="10"/>
  <c r="AF38" i="10"/>
  <c r="AG38" i="10"/>
  <c r="R39" i="10"/>
  <c r="AH37" i="10"/>
  <c r="AH35" i="10"/>
  <c r="AI35" i="10"/>
  <c r="AJ35" i="10"/>
  <c r="AH34" i="10"/>
  <c r="AI34" i="10"/>
  <c r="W17" i="10"/>
  <c r="W19" i="10" s="1"/>
  <c r="W9" i="10" s="1"/>
  <c r="Y17" i="10"/>
  <c r="Y19" i="10" s="1"/>
  <c r="Y9" i="10" s="1"/>
  <c r="Y13" i="10" s="1"/>
  <c r="Y14" i="10" s="1"/>
  <c r="AJ12" i="10"/>
  <c r="AH12" i="10"/>
  <c r="AI12" i="10"/>
  <c r="S17" i="10"/>
  <c r="S19" i="10" s="1"/>
  <c r="S9" i="10" s="1"/>
  <c r="AW63" i="8"/>
  <c r="AX63" i="8"/>
  <c r="AX70" i="8" s="1"/>
  <c r="AL110" i="8"/>
  <c r="AD34" i="10"/>
  <c r="AF34" i="10"/>
  <c r="AA34" i="10"/>
  <c r="AA39" i="10" s="1"/>
  <c r="N39" i="10"/>
  <c r="V39" i="10"/>
  <c r="P19" i="10"/>
  <c r="P9" i="10" s="1"/>
  <c r="AH11" i="10"/>
  <c r="AI11" i="10"/>
  <c r="AJ110" i="8"/>
  <c r="AI110" i="8"/>
  <c r="AG110" i="8"/>
  <c r="AF110" i="8"/>
  <c r="AT63" i="8"/>
  <c r="N63" i="8"/>
  <c r="N70" i="8" s="1"/>
  <c r="V63" i="8"/>
  <c r="P59" i="9" s="1"/>
  <c r="R63" i="8"/>
  <c r="Z63" i="8"/>
  <c r="T59" i="9" s="1"/>
  <c r="T21" i="8"/>
  <c r="M21" i="8"/>
  <c r="M27" i="8" s="1"/>
  <c r="M31" i="8" s="1"/>
  <c r="M87" i="8" s="1"/>
  <c r="U21" i="8"/>
  <c r="U27" i="8" s="1"/>
  <c r="U31" i="8" s="1"/>
  <c r="U87" i="8" s="1"/>
  <c r="D19" i="10"/>
  <c r="D9" i="10" s="1"/>
  <c r="F19" i="10"/>
  <c r="F9" i="10" s="1"/>
  <c r="E19" i="10"/>
  <c r="E9" i="10" s="1"/>
  <c r="M19" i="10"/>
  <c r="M9" i="10" s="1"/>
  <c r="U19" i="10"/>
  <c r="U9" i="10" s="1"/>
  <c r="O19" i="10"/>
  <c r="O9" i="10" s="1"/>
  <c r="Q19" i="10"/>
  <c r="Q9" i="10" s="1"/>
  <c r="AB39" i="10"/>
  <c r="AC39" i="10"/>
  <c r="AE39" i="10"/>
  <c r="AD39" i="10"/>
  <c r="H19" i="10"/>
  <c r="H9" i="10" s="1"/>
  <c r="E28" i="14" s="1"/>
  <c r="G19" i="10"/>
  <c r="G9" i="10" s="1"/>
  <c r="D28" i="14" s="1"/>
  <c r="I19" i="10"/>
  <c r="I9" i="10" s="1"/>
  <c r="W10" i="9"/>
  <c r="W15" i="9" s="1"/>
  <c r="W21" i="9" s="1"/>
  <c r="AH28" i="10"/>
  <c r="AH29" i="10" s="1"/>
  <c r="AD22" i="10"/>
  <c r="AG22" i="10"/>
  <c r="AG24" i="10"/>
  <c r="AF28" i="10"/>
  <c r="V25" i="10"/>
  <c r="AX110" i="8"/>
  <c r="AT110" i="8"/>
  <c r="AN110" i="8"/>
  <c r="AW110" i="8"/>
  <c r="AP110" i="8"/>
  <c r="AV110" i="8"/>
  <c r="AR110" i="8"/>
  <c r="AQ110" i="8"/>
  <c r="AM110" i="8"/>
  <c r="R76" i="8"/>
  <c r="AG28" i="10"/>
  <c r="AM28" i="10" s="1"/>
  <c r="AA28" i="10"/>
  <c r="AI28" i="10"/>
  <c r="AI29" i="10" s="1"/>
  <c r="AE29" i="10"/>
  <c r="AB28" i="10"/>
  <c r="AB29" i="10" s="1"/>
  <c r="AJ28" i="10"/>
  <c r="AD28" i="10"/>
  <c r="AA24" i="10"/>
  <c r="AI24" i="10"/>
  <c r="AE22" i="10"/>
  <c r="AB24" i="10"/>
  <c r="AJ24" i="10"/>
  <c r="AK24" i="10"/>
  <c r="AD24" i="10"/>
  <c r="AE24" i="10"/>
  <c r="AH22" i="10"/>
  <c r="AH25" i="10" s="1"/>
  <c r="AA22" i="10"/>
  <c r="AI22" i="10"/>
  <c r="AB22" i="10"/>
  <c r="AJ22" i="10"/>
  <c r="AK22" i="10"/>
  <c r="AL90" i="8"/>
  <c r="V25" i="8"/>
  <c r="AL96" i="8"/>
  <c r="AH126" i="8"/>
  <c r="AL133" i="8"/>
  <c r="AJ126" i="8"/>
  <c r="AE109" i="8"/>
  <c r="AI46" i="8"/>
  <c r="AI55" i="8" s="1"/>
  <c r="AE114" i="8"/>
  <c r="AE115" i="8"/>
  <c r="AE17" i="8"/>
  <c r="AK76" i="8"/>
  <c r="AE123" i="8"/>
  <c r="AH99" i="8"/>
  <c r="AH100" i="8"/>
  <c r="Z25" i="8"/>
  <c r="AL19" i="8"/>
  <c r="AF46" i="8"/>
  <c r="AF55" i="8" s="1"/>
  <c r="AF76" i="8"/>
  <c r="AK64" i="9"/>
  <c r="AK65" i="9" s="1"/>
  <c r="AH101" i="8"/>
  <c r="AF10" i="8"/>
  <c r="AF11" i="8" s="1"/>
  <c r="AE26" i="8"/>
  <c r="AH46" i="8"/>
  <c r="AH55" i="8" s="1"/>
  <c r="AH76" i="8"/>
  <c r="AE91" i="8"/>
  <c r="AE24" i="8"/>
  <c r="AG46" i="8"/>
  <c r="AG55" i="8" s="1"/>
  <c r="AG76" i="8"/>
  <c r="AL97" i="8"/>
  <c r="AH91" i="8"/>
  <c r="AL101" i="8"/>
  <c r="AE13" i="8"/>
  <c r="AE30" i="8"/>
  <c r="AJ76" i="8"/>
  <c r="AE93" i="8"/>
  <c r="AE18" i="8"/>
  <c r="AL46" i="8"/>
  <c r="AL55" i="8" s="1"/>
  <c r="AL76" i="8"/>
  <c r="AE98" i="8"/>
  <c r="AE126" i="8"/>
  <c r="AA20" i="9"/>
  <c r="AE19" i="8"/>
  <c r="AE99" i="8"/>
  <c r="AJ19" i="8"/>
  <c r="AE76" i="8"/>
  <c r="AE100" i="8"/>
  <c r="Y20" i="9"/>
  <c r="AI63" i="8"/>
  <c r="AI70" i="8" s="1"/>
  <c r="AI76" i="8"/>
  <c r="AG10" i="8"/>
  <c r="AG11" i="8" s="1"/>
  <c r="AF13" i="8"/>
  <c r="AF17" i="8"/>
  <c r="AF18" i="8"/>
  <c r="AF19" i="8"/>
  <c r="AF24" i="8"/>
  <c r="AF25" i="8"/>
  <c r="AF26" i="8"/>
  <c r="AF30" i="8"/>
  <c r="AF59" i="8"/>
  <c r="AF91" i="8"/>
  <c r="AF93" i="8"/>
  <c r="AF94" i="8"/>
  <c r="AF98" i="8"/>
  <c r="AF99" i="8"/>
  <c r="AF100" i="8"/>
  <c r="AF101" i="8"/>
  <c r="AF109" i="8"/>
  <c r="AF114" i="8"/>
  <c r="AF115" i="8"/>
  <c r="AF123" i="8"/>
  <c r="AF126" i="8"/>
  <c r="AE46" i="8"/>
  <c r="AE55" i="8" s="1"/>
  <c r="AH10" i="8"/>
  <c r="AH11" i="8" s="1"/>
  <c r="AH14" i="8" s="1"/>
  <c r="AH21" i="8" s="1"/>
  <c r="AG13" i="8"/>
  <c r="AG17" i="8"/>
  <c r="AG18" i="8"/>
  <c r="AG19" i="8"/>
  <c r="AG24" i="8"/>
  <c r="AG25" i="8"/>
  <c r="AG26" i="8"/>
  <c r="AG30" i="8"/>
  <c r="AG63" i="8"/>
  <c r="AG70" i="8" s="1"/>
  <c r="AG91" i="8"/>
  <c r="AG93" i="8"/>
  <c r="AG94" i="8"/>
  <c r="AG98" i="8"/>
  <c r="AG99" i="8"/>
  <c r="AG100" i="8"/>
  <c r="AG101" i="8"/>
  <c r="AG109" i="8"/>
  <c r="AG114" i="8"/>
  <c r="AG115" i="8"/>
  <c r="AG123" i="8"/>
  <c r="AG126" i="8"/>
  <c r="AE25" i="8"/>
  <c r="AI10" i="8"/>
  <c r="AI11" i="8" s="1"/>
  <c r="AH59" i="8"/>
  <c r="AJ10" i="8"/>
  <c r="AJ11" i="8" s="1"/>
  <c r="AI13" i="8"/>
  <c r="AI17" i="8"/>
  <c r="AI18" i="8"/>
  <c r="AI19" i="8"/>
  <c r="AI24" i="8"/>
  <c r="AI25" i="8"/>
  <c r="AI30" i="8"/>
  <c r="AI90" i="8"/>
  <c r="AI92" i="8"/>
  <c r="AI96" i="8"/>
  <c r="AI97" i="8"/>
  <c r="AI101" i="8"/>
  <c r="AI102" i="8"/>
  <c r="AI109" i="8"/>
  <c r="AI114" i="8"/>
  <c r="AI115" i="8"/>
  <c r="AI123" i="8"/>
  <c r="AI126" i="8"/>
  <c r="AI133" i="8"/>
  <c r="AK10" i="8"/>
  <c r="AK11" i="8" s="1"/>
  <c r="AJ13" i="8"/>
  <c r="AJ17" i="8"/>
  <c r="AJ18" i="8"/>
  <c r="AJ24" i="8"/>
  <c r="AJ25" i="8"/>
  <c r="AJ30" i="8"/>
  <c r="AJ59" i="8"/>
  <c r="AJ90" i="8"/>
  <c r="AJ92" i="8"/>
  <c r="AJ96" i="8"/>
  <c r="AJ97" i="8"/>
  <c r="AJ101" i="8"/>
  <c r="AJ102" i="8"/>
  <c r="AJ109" i="8"/>
  <c r="AJ114" i="8"/>
  <c r="AJ115" i="8"/>
  <c r="AJ123" i="8"/>
  <c r="AJ133" i="8"/>
  <c r="AE63" i="8"/>
  <c r="AE70" i="8" s="1"/>
  <c r="AL10" i="8"/>
  <c r="AL11" i="8" s="1"/>
  <c r="AL14" i="8" s="1"/>
  <c r="AK13" i="8"/>
  <c r="AK17" i="8"/>
  <c r="AK18" i="8"/>
  <c r="AK24" i="8"/>
  <c r="AK25" i="8"/>
  <c r="AK26" i="8"/>
  <c r="AK30" i="8"/>
  <c r="AK90" i="8"/>
  <c r="AK92" i="8"/>
  <c r="AK96" i="8"/>
  <c r="AK97" i="8"/>
  <c r="AK101" i="8"/>
  <c r="AK102" i="8"/>
  <c r="AK109" i="8"/>
  <c r="AK114" i="8"/>
  <c r="AK115" i="8"/>
  <c r="AK123" i="8"/>
  <c r="AK126" i="8"/>
  <c r="AK133" i="8"/>
  <c r="AE10" i="8"/>
  <c r="AE11" i="8" s="1"/>
  <c r="AL59" i="8"/>
  <c r="AL63" i="8" s="1"/>
  <c r="AL70" i="8" s="1"/>
  <c r="AE83" i="8"/>
  <c r="AF38" i="8"/>
  <c r="AF39" i="8"/>
  <c r="AE39" i="8"/>
  <c r="AG38" i="8"/>
  <c r="AG39" i="8"/>
  <c r="AH38" i="8"/>
  <c r="AH39" i="8"/>
  <c r="AI38" i="8"/>
  <c r="AI39" i="8"/>
  <c r="AJ38" i="8"/>
  <c r="AJ39" i="8"/>
  <c r="AK38" i="8"/>
  <c r="AK39" i="8"/>
  <c r="AL38" i="8"/>
  <c r="AL39" i="8"/>
  <c r="AV123" i="8"/>
  <c r="AP123" i="8"/>
  <c r="AR123" i="8"/>
  <c r="AU123" i="8"/>
  <c r="AQ123" i="8"/>
  <c r="AS123" i="8"/>
  <c r="AX123" i="8"/>
  <c r="AM123" i="8"/>
  <c r="AN123" i="8"/>
  <c r="AL126" i="8"/>
  <c r="Z126" i="8"/>
  <c r="AT100" i="8"/>
  <c r="AQ100" i="8"/>
  <c r="AR100" i="8"/>
  <c r="AV100" i="8"/>
  <c r="AS100" i="8"/>
  <c r="AK100" i="8"/>
  <c r="AM99" i="8"/>
  <c r="AP99" i="8"/>
  <c r="AO99" i="8"/>
  <c r="AN99" i="8"/>
  <c r="AR99" i="8"/>
  <c r="AK99" i="8"/>
  <c r="AX99" i="8"/>
  <c r="AQ99" i="8"/>
  <c r="AS99" i="8"/>
  <c r="AQ101" i="8"/>
  <c r="AX101" i="8"/>
  <c r="AP101" i="8"/>
  <c r="U70" i="8"/>
  <c r="AX96" i="8"/>
  <c r="AH94" i="8"/>
  <c r="AX94" i="8"/>
  <c r="AX98" i="8"/>
  <c r="AX93" i="8"/>
  <c r="AM19" i="8"/>
  <c r="AX19" i="8"/>
  <c r="AV19" i="8"/>
  <c r="AN19" i="8"/>
  <c r="AO19" i="8"/>
  <c r="AU19" i="8"/>
  <c r="S27" i="8"/>
  <c r="S31" i="8" s="1"/>
  <c r="S87" i="8" s="1"/>
  <c r="AQ19" i="8"/>
  <c r="AR19" i="8"/>
  <c r="K27" i="8"/>
  <c r="K31" i="8" s="1"/>
  <c r="AS19" i="8"/>
  <c r="AC46" i="8"/>
  <c r="AX92" i="8"/>
  <c r="AX76" i="8"/>
  <c r="AX46" i="8"/>
  <c r="AX55" i="8" s="1"/>
  <c r="AX10" i="8"/>
  <c r="AX11" i="8" s="1"/>
  <c r="T70" i="8"/>
  <c r="AX114" i="8"/>
  <c r="AX24" i="8"/>
  <c r="AX13" i="8"/>
  <c r="AX102" i="8"/>
  <c r="AX17" i="8"/>
  <c r="AX30" i="8"/>
  <c r="AX109" i="8"/>
  <c r="AX18" i="8"/>
  <c r="AX97" i="8"/>
  <c r="AX38" i="8"/>
  <c r="AX39" i="8"/>
  <c r="AQ61" i="8"/>
  <c r="C13" i="10"/>
  <c r="AC77" i="8"/>
  <c r="AC27" i="8"/>
  <c r="AC31" i="8" s="1"/>
  <c r="AC87" i="8" s="1"/>
  <c r="AC22" i="8"/>
  <c r="AC15" i="8"/>
  <c r="AD64" i="9"/>
  <c r="AD65" i="9" s="1"/>
  <c r="AR114" i="8"/>
  <c r="AM61" i="8"/>
  <c r="AU61" i="8"/>
  <c r="AU63" i="8" s="1"/>
  <c r="Z64" i="9"/>
  <c r="Z65" i="9" s="1"/>
  <c r="AH64" i="9"/>
  <c r="S70" i="8"/>
  <c r="N65" i="9"/>
  <c r="M65" i="9"/>
  <c r="U65" i="9"/>
  <c r="O65" i="9"/>
  <c r="Q65" i="9"/>
  <c r="R65" i="9"/>
  <c r="AF65" i="9"/>
  <c r="Y64" i="9"/>
  <c r="Y65" i="9" s="1"/>
  <c r="AG64" i="9"/>
  <c r="AG65" i="9" s="1"/>
  <c r="AC65" i="9"/>
  <c r="AI65" i="9"/>
  <c r="AE65" i="9"/>
  <c r="AB65" i="9"/>
  <c r="AA65" i="9"/>
  <c r="AD39" i="9"/>
  <c r="AP114" i="8"/>
  <c r="AP115" i="8"/>
  <c r="AH62" i="9"/>
  <c r="AS114" i="8"/>
  <c r="AT114" i="8"/>
  <c r="AM115" i="8"/>
  <c r="AO115" i="8"/>
  <c r="AQ91" i="8"/>
  <c r="AL91" i="8"/>
  <c r="AQ115" i="8"/>
  <c r="AM114" i="8"/>
  <c r="AU114" i="8"/>
  <c r="AR115" i="8"/>
  <c r="AB39" i="9"/>
  <c r="AN114" i="8"/>
  <c r="AV114" i="8"/>
  <c r="AS115" i="8"/>
  <c r="AU115" i="8"/>
  <c r="AV115" i="8"/>
  <c r="AW115" i="8"/>
  <c r="Y39" i="9"/>
  <c r="Y6" i="9"/>
  <c r="T46" i="8"/>
  <c r="T55" i="8" s="1"/>
  <c r="E119" i="8"/>
  <c r="F119" i="8"/>
  <c r="C119" i="8"/>
  <c r="AB119" i="8"/>
  <c r="O119" i="8"/>
  <c r="W119" i="8"/>
  <c r="P119" i="8"/>
  <c r="X119" i="8"/>
  <c r="K119" i="8"/>
  <c r="L119" i="8"/>
  <c r="AB46" i="8"/>
  <c r="AB55" i="8" s="1"/>
  <c r="Y46" i="8"/>
  <c r="Y55" i="8" s="1"/>
  <c r="S46" i="8"/>
  <c r="S55" i="8" s="1"/>
  <c r="X46" i="8"/>
  <c r="X55" i="8" s="1"/>
  <c r="W46" i="8"/>
  <c r="W55" i="8" s="1"/>
  <c r="I70" i="8"/>
  <c r="G60" i="9" s="1"/>
  <c r="AT133" i="8"/>
  <c r="Y14" i="9"/>
  <c r="Y19" i="9"/>
  <c r="AR109" i="8"/>
  <c r="AF53" i="9"/>
  <c r="AD57" i="9"/>
  <c r="AB24" i="9"/>
  <c r="Y53" i="9"/>
  <c r="AC59" i="9"/>
  <c r="AS109" i="8"/>
  <c r="AW98" i="8"/>
  <c r="AE53" i="9"/>
  <c r="Y33" i="9"/>
  <c r="Y59" i="9"/>
  <c r="AB53" i="9"/>
  <c r="AC14" i="9"/>
  <c r="AA53" i="9"/>
  <c r="AC53" i="9"/>
  <c r="Y18" i="9"/>
  <c r="N29" i="10"/>
  <c r="N18" i="10" s="1"/>
  <c r="N25" i="10"/>
  <c r="AC29" i="10"/>
  <c r="D13" i="10"/>
  <c r="R29" i="10"/>
  <c r="R18" i="10" s="1"/>
  <c r="AG18" i="10" s="1"/>
  <c r="R25" i="10"/>
  <c r="V29" i="10"/>
  <c r="V18" i="10" s="1"/>
  <c r="AK18" i="10" s="1"/>
  <c r="AC25" i="10"/>
  <c r="AF25" i="10"/>
  <c r="AW96" i="8"/>
  <c r="AT109" i="8"/>
  <c r="AT92" i="8"/>
  <c r="AT102" i="8"/>
  <c r="AO102" i="8"/>
  <c r="AT96" i="8"/>
  <c r="AW92" i="8"/>
  <c r="AQ106" i="8"/>
  <c r="AP90" i="8"/>
  <c r="AF106" i="8"/>
  <c r="AM109" i="8"/>
  <c r="AH98" i="8"/>
  <c r="AN109" i="8"/>
  <c r="AO109" i="8"/>
  <c r="AU133" i="8"/>
  <c r="AV133" i="8"/>
  <c r="AU109" i="8"/>
  <c r="AV109" i="8"/>
  <c r="AT97" i="8"/>
  <c r="AR133" i="8"/>
  <c r="AS133" i="8"/>
  <c r="AP98" i="8"/>
  <c r="AQ133" i="8"/>
  <c r="AN90" i="8"/>
  <c r="AM90" i="8"/>
  <c r="AM97" i="8"/>
  <c r="AO98" i="8"/>
  <c r="AO90" i="8"/>
  <c r="AP96" i="8"/>
  <c r="AF92" i="8"/>
  <c r="AF96" i="8"/>
  <c r="AF97" i="8"/>
  <c r="AQ102" i="8"/>
  <c r="AU92" i="8"/>
  <c r="AV97" i="8"/>
  <c r="AR92" i="8"/>
  <c r="AR102" i="8"/>
  <c r="AS102" i="8"/>
  <c r="AQ96" i="8"/>
  <c r="AS98" i="8"/>
  <c r="AV92" i="8"/>
  <c r="AR96" i="8"/>
  <c r="AO97" i="8"/>
  <c r="AW97" i="8"/>
  <c r="AT98" i="8"/>
  <c r="AS96" i="8"/>
  <c r="AP97" i="8"/>
  <c r="AM98" i="8"/>
  <c r="AU98" i="8"/>
  <c r="AN98" i="8"/>
  <c r="AV98" i="8"/>
  <c r="AQ92" i="8"/>
  <c r="AM96" i="8"/>
  <c r="AU96" i="8"/>
  <c r="AV96" i="8"/>
  <c r="AS92" i="8"/>
  <c r="AO96" i="8"/>
  <c r="AQ98" i="8"/>
  <c r="AN30" i="8"/>
  <c r="AO30" i="8"/>
  <c r="AM10" i="8"/>
  <c r="AN10" i="8"/>
  <c r="R11" i="8"/>
  <c r="R14" i="8" s="1"/>
  <c r="R21" i="8" s="1"/>
  <c r="AO10" i="8"/>
  <c r="AP24" i="8"/>
  <c r="AT30" i="8"/>
  <c r="AU24" i="8"/>
  <c r="AR10" i="8"/>
  <c r="AM17" i="8"/>
  <c r="V11" i="8"/>
  <c r="AS10" i="8"/>
  <c r="AT10" i="8"/>
  <c r="AR13" i="8"/>
  <c r="AS13" i="8"/>
  <c r="AV24" i="8"/>
  <c r="AQ30" i="8"/>
  <c r="AT13" i="8"/>
  <c r="AM24" i="8"/>
  <c r="AT24" i="8"/>
  <c r="AO18" i="8"/>
  <c r="AP30" i="8"/>
  <c r="AM13" i="8"/>
  <c r="AP13" i="8"/>
  <c r="AS24" i="8"/>
  <c r="N14" i="8"/>
  <c r="N21" i="8" s="1"/>
  <c r="AM18" i="8"/>
  <c r="AN18" i="8"/>
  <c r="AU18" i="8"/>
  <c r="AV18" i="8"/>
  <c r="AN13" i="8"/>
  <c r="AS17" i="8"/>
  <c r="AN24" i="8"/>
  <c r="AR30" i="8"/>
  <c r="AT17" i="8"/>
  <c r="AM25" i="8"/>
  <c r="AQ24" i="8"/>
  <c r="AU30" i="8"/>
  <c r="AV30" i="8"/>
  <c r="AM26" i="8"/>
  <c r="AN26" i="8"/>
  <c r="AO26" i="8"/>
  <c r="AW10" i="8"/>
  <c r="AN25" i="8"/>
  <c r="AU10" i="8"/>
  <c r="AO25" i="8"/>
  <c r="AQ17" i="8"/>
  <c r="AU17" i="8"/>
  <c r="AV17" i="8"/>
  <c r="AU13" i="8"/>
  <c r="AV13" i="8"/>
  <c r="AQ26" i="8"/>
  <c r="AR26" i="8"/>
  <c r="AS26" i="8"/>
  <c r="AQ18" i="8"/>
  <c r="AR18" i="8"/>
  <c r="AS18" i="8"/>
  <c r="AN17" i="8"/>
  <c r="AO17" i="8"/>
  <c r="V76" i="8"/>
  <c r="V46" i="8"/>
  <c r="V55" i="8" s="1"/>
  <c r="Z46" i="8"/>
  <c r="Z55" i="8" s="1"/>
  <c r="N76" i="8"/>
  <c r="N46" i="8"/>
  <c r="N55" i="8" s="1"/>
  <c r="AQ43" i="8"/>
  <c r="R46" i="8"/>
  <c r="R55" i="8" s="1"/>
  <c r="AU42" i="8"/>
  <c r="AM45" i="8"/>
  <c r="X15" i="8"/>
  <c r="L15" i="8"/>
  <c r="P15" i="8"/>
  <c r="P27" i="8"/>
  <c r="P31" i="8" s="1"/>
  <c r="P87" i="8" s="1"/>
  <c r="Q15" i="8"/>
  <c r="Q27" i="8"/>
  <c r="Q31" i="8" s="1"/>
  <c r="Q87" i="8" s="1"/>
  <c r="O15" i="8"/>
  <c r="O27" i="8"/>
  <c r="O31" i="8" s="1"/>
  <c r="O87" i="8" s="1"/>
  <c r="W15" i="8"/>
  <c r="W27" i="8"/>
  <c r="W31" i="8" s="1"/>
  <c r="W87" i="8" s="1"/>
  <c r="K15" i="8"/>
  <c r="S15" i="8"/>
  <c r="K22" i="8"/>
  <c r="S22" i="8"/>
  <c r="F66" i="14"/>
  <c r="E66" i="14"/>
  <c r="D66" i="14"/>
  <c r="T53" i="9" l="1"/>
  <c r="L53" i="9"/>
  <c r="AH50" i="9"/>
  <c r="AH53" i="9" s="1"/>
  <c r="AH63" i="8"/>
  <c r="AH70" i="8" s="1"/>
  <c r="AF63" i="8"/>
  <c r="AF70" i="8" s="1"/>
  <c r="AF68" i="9"/>
  <c r="AF77" i="9" s="1"/>
  <c r="AE68" i="9"/>
  <c r="AE77" i="9" s="1"/>
  <c r="W68" i="9"/>
  <c r="W77" i="9" s="1"/>
  <c r="AW25" i="8"/>
  <c r="T34" i="9"/>
  <c r="AK34" i="9" s="1"/>
  <c r="AQ25" i="8"/>
  <c r="P34" i="9"/>
  <c r="AG34" i="9" s="1"/>
  <c r="L67" i="9"/>
  <c r="Z67" i="9" s="1"/>
  <c r="Z68" i="9" s="1"/>
  <c r="Z77" i="9" s="1"/>
  <c r="AC68" i="9"/>
  <c r="AC77" i="9" s="1"/>
  <c r="M60" i="9"/>
  <c r="AA60" i="9" s="1"/>
  <c r="O60" i="9"/>
  <c r="AC60" i="9" s="1"/>
  <c r="O77" i="8"/>
  <c r="O79" i="8" s="1"/>
  <c r="I60" i="9"/>
  <c r="W60" i="9"/>
  <c r="AK60" i="9" s="1"/>
  <c r="AG68" i="9"/>
  <c r="AG77" i="9" s="1"/>
  <c r="T77" i="8"/>
  <c r="N60" i="9"/>
  <c r="AB60" i="9" s="1"/>
  <c r="Q77" i="8"/>
  <c r="Q79" i="8" s="1"/>
  <c r="K60" i="9"/>
  <c r="Y60" i="9" s="1"/>
  <c r="Y68" i="9"/>
  <c r="Y77" i="9" s="1"/>
  <c r="AK68" i="9"/>
  <c r="AK77" i="9" s="1"/>
  <c r="P67" i="9"/>
  <c r="AD67" i="9" s="1"/>
  <c r="AD68" i="9" s="1"/>
  <c r="AD77" i="9" s="1"/>
  <c r="R70" i="8"/>
  <c r="L60" i="9" s="1"/>
  <c r="Z60" i="9" s="1"/>
  <c r="L59" i="9"/>
  <c r="AB68" i="9"/>
  <c r="AB77" i="9" s="1"/>
  <c r="AA68" i="9"/>
  <c r="AA77" i="9" s="1"/>
  <c r="AB133" i="8"/>
  <c r="U33" i="9"/>
  <c r="AJ26" i="8"/>
  <c r="AI26" i="8"/>
  <c r="AK44" i="18"/>
  <c r="AF44" i="18"/>
  <c r="AJ38" i="18"/>
  <c r="AL17" i="18"/>
  <c r="AN38" i="18"/>
  <c r="AS38" i="18"/>
  <c r="AC50" i="18"/>
  <c r="AC55" i="18" s="1"/>
  <c r="AJ69" i="18"/>
  <c r="AE42" i="18"/>
  <c r="AE44" i="18" s="1"/>
  <c r="AH38" i="18"/>
  <c r="AB65" i="18"/>
  <c r="AB69" i="18" s="1"/>
  <c r="X50" i="18"/>
  <c r="X55" i="18" s="1"/>
  <c r="R50" i="18"/>
  <c r="R55" i="18" s="1"/>
  <c r="AJ44" i="18"/>
  <c r="AS44" i="18"/>
  <c r="AH16" i="18"/>
  <c r="AH32" i="18"/>
  <c r="N66" i="18"/>
  <c r="AO22" i="18"/>
  <c r="AR16" i="18"/>
  <c r="AR18" i="18" s="1"/>
  <c r="AV34" i="8" s="1"/>
  <c r="AR32" i="18"/>
  <c r="AL38" i="18"/>
  <c r="AL50" i="18"/>
  <c r="AL55" i="18" s="1"/>
  <c r="AR22" i="18"/>
  <c r="AR55" i="18"/>
  <c r="AP38" i="18"/>
  <c r="AJ22" i="18"/>
  <c r="AG38" i="18"/>
  <c r="AE16" i="18"/>
  <c r="AG22" i="18"/>
  <c r="AS32" i="18"/>
  <c r="AS16" i="18"/>
  <c r="AI22" i="18"/>
  <c r="AT51" i="18"/>
  <c r="AT50" i="18" s="1"/>
  <c r="AT55" i="18" s="1"/>
  <c r="AT17" i="18"/>
  <c r="AI51" i="18"/>
  <c r="AI50" i="18" s="1"/>
  <c r="AI55" i="18" s="1"/>
  <c r="AM22" i="18"/>
  <c r="V66" i="18"/>
  <c r="AM42" i="18"/>
  <c r="AM44" i="18" s="1"/>
  <c r="AT32" i="18"/>
  <c r="AT16" i="18"/>
  <c r="AT22" i="18"/>
  <c r="AL22" i="18"/>
  <c r="AJ17" i="18"/>
  <c r="AJ51" i="18"/>
  <c r="AJ50" i="18" s="1"/>
  <c r="AJ55" i="18" s="1"/>
  <c r="AN32" i="18"/>
  <c r="AN16" i="18"/>
  <c r="AG16" i="18"/>
  <c r="AG32" i="18"/>
  <c r="AN22" i="18"/>
  <c r="AH22" i="18"/>
  <c r="AK38" i="18"/>
  <c r="AS22" i="18"/>
  <c r="AK22" i="18"/>
  <c r="AG51" i="18"/>
  <c r="AG50" i="18" s="1"/>
  <c r="AG55" i="18" s="1"/>
  <c r="AG17" i="18"/>
  <c r="AP16" i="18"/>
  <c r="AP32" i="18"/>
  <c r="AH51" i="18"/>
  <c r="AH50" i="18" s="1"/>
  <c r="AH55" i="18" s="1"/>
  <c r="AH17" i="18"/>
  <c r="AQ22" i="18"/>
  <c r="V50" i="18"/>
  <c r="V55" i="18" s="1"/>
  <c r="AQ60" i="18"/>
  <c r="AQ59" i="18" s="1"/>
  <c r="AP22" i="18"/>
  <c r="AP44" i="18"/>
  <c r="AQ51" i="18"/>
  <c r="AQ50" i="18" s="1"/>
  <c r="AQ55" i="18" s="1"/>
  <c r="AK51" i="18"/>
  <c r="AK50" i="18" s="1"/>
  <c r="AK55" i="18" s="1"/>
  <c r="AK17" i="18"/>
  <c r="AP17" i="18"/>
  <c r="AP51" i="18"/>
  <c r="AP50" i="18" s="1"/>
  <c r="AP55" i="18" s="1"/>
  <c r="AI16" i="18"/>
  <c r="AI32" i="18"/>
  <c r="AM16" i="18"/>
  <c r="AN51" i="18"/>
  <c r="AN50" i="18" s="1"/>
  <c r="AN55" i="18" s="1"/>
  <c r="AN17" i="18"/>
  <c r="AK32" i="18"/>
  <c r="AK16" i="18"/>
  <c r="AO16" i="18"/>
  <c r="AO32" i="18"/>
  <c r="N17" i="18"/>
  <c r="AT38" i="18"/>
  <c r="R66" i="18"/>
  <c r="AI42" i="18"/>
  <c r="AI17" i="18" s="1"/>
  <c r="AO51" i="18"/>
  <c r="AO50" i="18" s="1"/>
  <c r="AO23" i="18" s="1"/>
  <c r="AO24" i="18" s="1"/>
  <c r="AS35" i="8" s="1"/>
  <c r="AO17" i="18"/>
  <c r="AO44" i="18"/>
  <c r="AR44" i="18"/>
  <c r="V32" i="18"/>
  <c r="AM30" i="18"/>
  <c r="AJ16" i="18"/>
  <c r="AJ32" i="18"/>
  <c r="AS51" i="18"/>
  <c r="AS50" i="18" s="1"/>
  <c r="AS55" i="18" s="1"/>
  <c r="AS17" i="18"/>
  <c r="AQ16" i="18"/>
  <c r="AQ32" i="18"/>
  <c r="V44" i="18"/>
  <c r="Z66" i="18"/>
  <c r="AQ42" i="18"/>
  <c r="AQ17" i="18" s="1"/>
  <c r="AL69" i="18"/>
  <c r="AL32" i="18"/>
  <c r="AL16" i="18"/>
  <c r="AL18" i="18" s="1"/>
  <c r="AP34" i="8" s="1"/>
  <c r="AF16" i="18"/>
  <c r="AA50" i="18"/>
  <c r="AA55" i="18" s="1"/>
  <c r="AF52" i="18"/>
  <c r="AF38" i="18"/>
  <c r="AF51" i="18"/>
  <c r="AF50" i="18" s="1"/>
  <c r="AF55" i="18" s="1"/>
  <c r="AF17" i="18"/>
  <c r="AF32" i="18"/>
  <c r="AE17" i="18"/>
  <c r="N59" i="18"/>
  <c r="N61" i="18" s="1"/>
  <c r="AE60" i="18"/>
  <c r="AE59" i="18" s="1"/>
  <c r="AE61" i="18" s="1"/>
  <c r="AB59" i="18"/>
  <c r="AB61" i="18" s="1"/>
  <c r="AS60" i="18"/>
  <c r="AS59" i="18" s="1"/>
  <c r="AP61" i="18"/>
  <c r="T65" i="18"/>
  <c r="T69" i="18" s="1"/>
  <c r="W59" i="18"/>
  <c r="W61" i="18" s="1"/>
  <c r="AN60" i="18"/>
  <c r="AN59" i="18" s="1"/>
  <c r="AA59" i="18"/>
  <c r="AA61" i="18" s="1"/>
  <c r="AR60" i="18"/>
  <c r="AR59" i="18" s="1"/>
  <c r="AA65" i="18"/>
  <c r="AA69" i="18" s="1"/>
  <c r="O59" i="18"/>
  <c r="O61" i="18" s="1"/>
  <c r="AF60" i="18"/>
  <c r="AF59" i="18" s="1"/>
  <c r="AF61" i="18" s="1"/>
  <c r="AG61" i="18"/>
  <c r="U59" i="18"/>
  <c r="U61" i="18" s="1"/>
  <c r="AL60" i="18"/>
  <c r="AL59" i="18" s="1"/>
  <c r="T59" i="18"/>
  <c r="T61" i="18" s="1"/>
  <c r="AK60" i="18"/>
  <c r="AK59" i="18" s="1"/>
  <c r="S59" i="18"/>
  <c r="S61" i="18" s="1"/>
  <c r="AJ60" i="18"/>
  <c r="AJ59" i="18" s="1"/>
  <c r="AC65" i="18"/>
  <c r="AC69" i="18" s="1"/>
  <c r="AT66" i="18"/>
  <c r="AT65" i="18" s="1"/>
  <c r="AT69" i="18" s="1"/>
  <c r="AO61" i="18"/>
  <c r="V59" i="18"/>
  <c r="V61" i="18" s="1"/>
  <c r="AM60" i="18"/>
  <c r="AM59" i="18" s="1"/>
  <c r="AC59" i="18"/>
  <c r="AC61" i="18" s="1"/>
  <c r="AT60" i="18"/>
  <c r="AT59" i="18" s="1"/>
  <c r="Q59" i="18"/>
  <c r="Q61" i="18" s="1"/>
  <c r="AH60" i="18"/>
  <c r="AH59" i="18" s="1"/>
  <c r="S50" i="18"/>
  <c r="S55" i="18" s="1"/>
  <c r="Z18" i="18"/>
  <c r="Z34" i="8" s="1"/>
  <c r="G59" i="18"/>
  <c r="G61" i="18" s="1"/>
  <c r="R60" i="18"/>
  <c r="Y23" i="18"/>
  <c r="Y24" i="18" s="1"/>
  <c r="Y35" i="8" s="1"/>
  <c r="M50" i="18"/>
  <c r="M23" i="18" s="1"/>
  <c r="M24" i="18" s="1"/>
  <c r="M35" i="8" s="1"/>
  <c r="N50" i="18"/>
  <c r="N55" i="18" s="1"/>
  <c r="L50" i="18"/>
  <c r="L55" i="18" s="1"/>
  <c r="N18" i="18"/>
  <c r="N34" i="8" s="1"/>
  <c r="I50" i="18"/>
  <c r="I55" i="18" s="1"/>
  <c r="H50" i="18"/>
  <c r="H55" i="18" s="1"/>
  <c r="C50" i="18"/>
  <c r="C55" i="18" s="1"/>
  <c r="K50" i="18"/>
  <c r="K55" i="18" s="1"/>
  <c r="D65" i="18"/>
  <c r="D69" i="18" s="1"/>
  <c r="H65" i="18"/>
  <c r="H69" i="18" s="1"/>
  <c r="C65" i="18"/>
  <c r="C69" i="18" s="1"/>
  <c r="G65" i="18"/>
  <c r="F50" i="18"/>
  <c r="F55" i="18" s="1"/>
  <c r="E50" i="18"/>
  <c r="E55" i="18" s="1"/>
  <c r="E65" i="18"/>
  <c r="E69" i="18" s="1"/>
  <c r="D50" i="18"/>
  <c r="D55" i="18" s="1"/>
  <c r="K65" i="18"/>
  <c r="K69" i="18" s="1"/>
  <c r="X23" i="18"/>
  <c r="X24" i="18" s="1"/>
  <c r="X35" i="8" s="1"/>
  <c r="Y55" i="18"/>
  <c r="AB23" i="18"/>
  <c r="AB24" i="18" s="1"/>
  <c r="AB35" i="8" s="1"/>
  <c r="P23" i="18"/>
  <c r="P24" i="18" s="1"/>
  <c r="P35" i="8" s="1"/>
  <c r="L79" i="8"/>
  <c r="AU26" i="8"/>
  <c r="AW26" i="8"/>
  <c r="AV26" i="8"/>
  <c r="K87" i="8"/>
  <c r="K103" i="8" s="1"/>
  <c r="K127" i="8" s="1"/>
  <c r="AJ63" i="8"/>
  <c r="AJ70" i="8" s="1"/>
  <c r="AJ77" i="8" s="1"/>
  <c r="AJ79" i="8" s="1"/>
  <c r="R40" i="10"/>
  <c r="N40" i="10"/>
  <c r="AJ18" i="10"/>
  <c r="AB25" i="10"/>
  <c r="AG39" i="10"/>
  <c r="AJ39" i="10"/>
  <c r="AK39" i="10"/>
  <c r="AI39" i="10"/>
  <c r="AH39" i="10"/>
  <c r="AF39" i="10"/>
  <c r="AF111" i="8"/>
  <c r="N17" i="10"/>
  <c r="R17" i="10"/>
  <c r="V17" i="10"/>
  <c r="AF77" i="8"/>
  <c r="AF79" i="8" s="1"/>
  <c r="V14" i="8"/>
  <c r="V21" i="8" s="1"/>
  <c r="C28" i="14"/>
  <c r="D60" i="14" s="1"/>
  <c r="F28" i="14"/>
  <c r="F60" i="14" s="1"/>
  <c r="AJ25" i="10"/>
  <c r="E61" i="14"/>
  <c r="AK25" i="10"/>
  <c r="AF29" i="10"/>
  <c r="AA29" i="10"/>
  <c r="AG25" i="10"/>
  <c r="AE25" i="10"/>
  <c r="AD25" i="10"/>
  <c r="AA25" i="10"/>
  <c r="AI25" i="10"/>
  <c r="Z20" i="9"/>
  <c r="AH6" i="9"/>
  <c r="AF6" i="9"/>
  <c r="Z6" i="9"/>
  <c r="AG77" i="8"/>
  <c r="AG79" i="8" s="1"/>
  <c r="AH77" i="8"/>
  <c r="AH79" i="8" s="1"/>
  <c r="AM19" i="9"/>
  <c r="AG20" i="9"/>
  <c r="AH15" i="8"/>
  <c r="AJ14" i="8"/>
  <c r="AJ15" i="8" s="1"/>
  <c r="AL21" i="8"/>
  <c r="AL27" i="8" s="1"/>
  <c r="AI77" i="8"/>
  <c r="AI79" i="8" s="1"/>
  <c r="AT25" i="8"/>
  <c r="AR25" i="8"/>
  <c r="AS25" i="8"/>
  <c r="AE77" i="8"/>
  <c r="AE79" i="8" s="1"/>
  <c r="AE20" i="9"/>
  <c r="AE14" i="8"/>
  <c r="AE15" i="8" s="1"/>
  <c r="AF14" i="8"/>
  <c r="AF15" i="8" s="1"/>
  <c r="AF20" i="9"/>
  <c r="AD20" i="9"/>
  <c r="AK77" i="8"/>
  <c r="AK79" i="8" s="1"/>
  <c r="AL77" i="8"/>
  <c r="AL79" i="8" s="1"/>
  <c r="AL15" i="8"/>
  <c r="AG14" i="8"/>
  <c r="AG21" i="8" s="1"/>
  <c r="AG22" i="8" s="1"/>
  <c r="AC20" i="9"/>
  <c r="AK39" i="9"/>
  <c r="AB20" i="9"/>
  <c r="AU25" i="8"/>
  <c r="AV25" i="8"/>
  <c r="AX25" i="8"/>
  <c r="AJ14" i="9"/>
  <c r="AK14" i="9"/>
  <c r="AJ18" i="9"/>
  <c r="AK18" i="9"/>
  <c r="AK91" i="8"/>
  <c r="AC55" i="8"/>
  <c r="AC79" i="8" s="1"/>
  <c r="AK59" i="9"/>
  <c r="AK32" i="9"/>
  <c r="AK20" i="9"/>
  <c r="AI20" i="9"/>
  <c r="AI100" i="8"/>
  <c r="AJ20" i="9"/>
  <c r="W16" i="9"/>
  <c r="AH90" i="8"/>
  <c r="AH102" i="8"/>
  <c r="AI99" i="8"/>
  <c r="AG106" i="8"/>
  <c r="AG111" i="8" s="1"/>
  <c r="AL93" i="8"/>
  <c r="AH133" i="8"/>
  <c r="AJ106" i="8"/>
  <c r="AJ111" i="8" s="1"/>
  <c r="AG97" i="8"/>
  <c r="AE92" i="8"/>
  <c r="AH92" i="8"/>
  <c r="AJ94" i="8"/>
  <c r="AJ91" i="8"/>
  <c r="AI14" i="8"/>
  <c r="AL98" i="8"/>
  <c r="AG92" i="8"/>
  <c r="AH96" i="8"/>
  <c r="AE96" i="8"/>
  <c r="AG96" i="8"/>
  <c r="AE97" i="8"/>
  <c r="AH97" i="8"/>
  <c r="AH106" i="8"/>
  <c r="AH111" i="8" s="1"/>
  <c r="AE106" i="8"/>
  <c r="AE111" i="8" s="1"/>
  <c r="AL99" i="8"/>
  <c r="AJ99" i="8"/>
  <c r="AL100" i="8"/>
  <c r="AJ100" i="8"/>
  <c r="AK14" i="8"/>
  <c r="AI91" i="8"/>
  <c r="AH93" i="8"/>
  <c r="AI93" i="8"/>
  <c r="AH27" i="8"/>
  <c r="AH22" i="8"/>
  <c r="AU126" i="8"/>
  <c r="AW126" i="8"/>
  <c r="AX126" i="8"/>
  <c r="R126" i="8"/>
  <c r="AO126" i="8" s="1"/>
  <c r="AV126" i="8"/>
  <c r="U77" i="8"/>
  <c r="U79" i="8" s="1"/>
  <c r="AT99" i="8"/>
  <c r="AC119" i="8"/>
  <c r="AU100" i="8"/>
  <c r="AP100" i="8"/>
  <c r="AO100" i="8"/>
  <c r="AN100" i="8"/>
  <c r="AX100" i="8"/>
  <c r="AW100" i="8"/>
  <c r="AM100" i="8"/>
  <c r="AV99" i="8"/>
  <c r="AU99" i="8"/>
  <c r="AW99" i="8"/>
  <c r="AS101" i="8"/>
  <c r="AR101" i="8"/>
  <c r="AT101" i="8"/>
  <c r="AO101" i="8"/>
  <c r="AW101" i="8"/>
  <c r="AN101" i="8"/>
  <c r="AM101" i="8"/>
  <c r="AV101" i="8"/>
  <c r="AU101" i="8"/>
  <c r="AP94" i="8"/>
  <c r="AU94" i="8"/>
  <c r="AW94" i="8"/>
  <c r="AV94" i="8"/>
  <c r="S28" i="8"/>
  <c r="AW93" i="8"/>
  <c r="AV93" i="8"/>
  <c r="AU93" i="8"/>
  <c r="AR93" i="8"/>
  <c r="AP93" i="8"/>
  <c r="S103" i="8"/>
  <c r="S127" i="8" s="1"/>
  <c r="K28" i="8"/>
  <c r="R15" i="8"/>
  <c r="N15" i="8"/>
  <c r="T79" i="8"/>
  <c r="AX77" i="8"/>
  <c r="AX79" i="8" s="1"/>
  <c r="L65" i="9"/>
  <c r="AX14" i="8"/>
  <c r="AX21" i="8" s="1"/>
  <c r="S77" i="8"/>
  <c r="S79" i="8" s="1"/>
  <c r="AK29" i="10"/>
  <c r="AC28" i="8"/>
  <c r="P65" i="9"/>
  <c r="AS91" i="8"/>
  <c r="AK43" i="9"/>
  <c r="AH65" i="9"/>
  <c r="T65" i="9"/>
  <c r="AG39" i="9"/>
  <c r="AE39" i="9"/>
  <c r="AF39" i="9"/>
  <c r="AJ64" i="9"/>
  <c r="AJ65" i="9" s="1"/>
  <c r="V65" i="9"/>
  <c r="AJ39" i="9"/>
  <c r="AP92" i="8"/>
  <c r="AR91" i="8"/>
  <c r="AF28" i="9"/>
  <c r="AH39" i="9"/>
  <c r="AI39" i="9"/>
  <c r="AC39" i="9"/>
  <c r="Z39" i="9"/>
  <c r="AA39" i="9"/>
  <c r="AT91" i="8"/>
  <c r="Z38" i="9"/>
  <c r="Y119" i="8"/>
  <c r="Y38" i="9"/>
  <c r="AK38" i="9"/>
  <c r="Z50" i="9"/>
  <c r="Z53" i="9" s="1"/>
  <c r="AD50" i="9"/>
  <c r="AD53" i="9" s="1"/>
  <c r="Y10" i="9"/>
  <c r="Q119" i="8"/>
  <c r="AB59" i="9"/>
  <c r="M119" i="8"/>
  <c r="AJ59" i="9"/>
  <c r="T119" i="8"/>
  <c r="AG59" i="9"/>
  <c r="AF59" i="9"/>
  <c r="AA59" i="9"/>
  <c r="AE59" i="9"/>
  <c r="X70" i="8"/>
  <c r="P70" i="8"/>
  <c r="K70" i="8"/>
  <c r="K77" i="8" s="1"/>
  <c r="K79" i="8" s="1"/>
  <c r="W70" i="8"/>
  <c r="V70" i="8"/>
  <c r="Y70" i="8"/>
  <c r="AI18" i="9"/>
  <c r="AN92" i="8"/>
  <c r="AD19" i="9"/>
  <c r="Y28" i="9"/>
  <c r="AH18" i="9"/>
  <c r="Y24" i="9"/>
  <c r="AE19" i="9"/>
  <c r="AF14" i="9"/>
  <c r="AA24" i="9"/>
  <c r="AF19" i="9"/>
  <c r="AE33" i="9"/>
  <c r="AC35" i="9"/>
  <c r="AE14" i="9"/>
  <c r="AG18" i="9"/>
  <c r="AH33" i="9"/>
  <c r="AI32" i="9"/>
  <c r="AK35" i="9"/>
  <c r="AC19" i="9"/>
  <c r="AB19" i="9"/>
  <c r="Z19" i="9"/>
  <c r="AI14" i="9"/>
  <c r="AD59" i="9"/>
  <c r="Y35" i="9"/>
  <c r="AF33" i="9"/>
  <c r="AC34" i="9"/>
  <c r="AP133" i="8"/>
  <c r="AI19" i="9"/>
  <c r="AH19" i="9"/>
  <c r="AJ19" i="9"/>
  <c r="AB14" i="9"/>
  <c r="AA14" i="9"/>
  <c r="Z24" i="9"/>
  <c r="AJ32" i="9"/>
  <c r="AH14" i="9"/>
  <c r="AD14" i="9"/>
  <c r="AH59" i="9"/>
  <c r="AC18" i="9"/>
  <c r="AB18" i="9"/>
  <c r="AM92" i="8"/>
  <c r="AE18" i="9"/>
  <c r="AD18" i="9"/>
  <c r="AG33" i="9"/>
  <c r="Z14" i="9"/>
  <c r="AH32" i="9"/>
  <c r="AG43" i="9"/>
  <c r="AA18" i="9"/>
  <c r="Z59" i="9"/>
  <c r="AO92" i="8"/>
  <c r="AX90" i="8"/>
  <c r="AD33" i="9"/>
  <c r="AD29" i="10"/>
  <c r="AJ29" i="10"/>
  <c r="AG29" i="10"/>
  <c r="AS106" i="8"/>
  <c r="AR106" i="8"/>
  <c r="AO133" i="8"/>
  <c r="AQ97" i="8"/>
  <c r="AS97" i="8"/>
  <c r="AM102" i="8"/>
  <c r="AR97" i="8"/>
  <c r="AP102" i="8"/>
  <c r="AN102" i="8"/>
  <c r="AM133" i="8"/>
  <c r="AN133" i="8"/>
  <c r="AC32" i="9"/>
  <c r="S32" i="8"/>
  <c r="K32" i="8"/>
  <c r="X22" i="8"/>
  <c r="X27" i="8"/>
  <c r="L22" i="8"/>
  <c r="L27" i="8"/>
  <c r="T22" i="8"/>
  <c r="T27" i="8"/>
  <c r="N77" i="8"/>
  <c r="N79" i="8" s="1"/>
  <c r="P22" i="8"/>
  <c r="O22" i="8"/>
  <c r="W22" i="8"/>
  <c r="Q22" i="8"/>
  <c r="U22" i="8"/>
  <c r="M22" i="8"/>
  <c r="E29" i="14"/>
  <c r="E60" i="14"/>
  <c r="AI34" i="9" l="1"/>
  <c r="AJ34" i="9"/>
  <c r="AH34" i="9"/>
  <c r="AM34" i="9"/>
  <c r="AE34" i="9"/>
  <c r="AF34" i="9"/>
  <c r="AD34" i="9"/>
  <c r="R77" i="8"/>
  <c r="R79" i="8" s="1"/>
  <c r="AC133" i="8"/>
  <c r="W33" i="9" s="1"/>
  <c r="V33" i="9"/>
  <c r="AJ33" i="9" s="1"/>
  <c r="AW133" i="8"/>
  <c r="P60" i="9"/>
  <c r="AD60" i="9" s="1"/>
  <c r="W77" i="8"/>
  <c r="W79" i="8" s="1"/>
  <c r="Q60" i="9"/>
  <c r="AE60" i="9" s="1"/>
  <c r="AI33" i="9"/>
  <c r="P77" i="8"/>
  <c r="P79" i="8" s="1"/>
  <c r="J60" i="9"/>
  <c r="S60" i="9"/>
  <c r="AG60" i="9" s="1"/>
  <c r="X77" i="8"/>
  <c r="X79" i="8" s="1"/>
  <c r="R60" i="9"/>
  <c r="U23" i="18"/>
  <c r="U24" i="18" s="1"/>
  <c r="U35" i="8" s="1"/>
  <c r="AP23" i="18"/>
  <c r="AP24" i="18" s="1"/>
  <c r="AT35" i="8" s="1"/>
  <c r="AJ18" i="18"/>
  <c r="AN34" i="8" s="1"/>
  <c r="AT18" i="18"/>
  <c r="AX34" i="8" s="1"/>
  <c r="AF18" i="18"/>
  <c r="AJ34" i="8" s="1"/>
  <c r="AN18" i="18"/>
  <c r="AR34" i="8" s="1"/>
  <c r="AQ44" i="18"/>
  <c r="AP18" i="18"/>
  <c r="AT34" i="8" s="1"/>
  <c r="AI44" i="18"/>
  <c r="AI18" i="18"/>
  <c r="AM34" i="8" s="1"/>
  <c r="AI66" i="18"/>
  <c r="AI65" i="18" s="1"/>
  <c r="AI69" i="18" s="1"/>
  <c r="R65" i="18"/>
  <c r="R69" i="18" s="1"/>
  <c r="AQ66" i="18"/>
  <c r="AQ65" i="18" s="1"/>
  <c r="AQ69" i="18" s="1"/>
  <c r="Z65" i="18"/>
  <c r="AM17" i="18"/>
  <c r="AM18" i="18" s="1"/>
  <c r="AQ34" i="8" s="1"/>
  <c r="AM51" i="18"/>
  <c r="AM50" i="18" s="1"/>
  <c r="AM55" i="18" s="1"/>
  <c r="AM66" i="18"/>
  <c r="AM65" i="18" s="1"/>
  <c r="AM69" i="18" s="1"/>
  <c r="V65" i="18"/>
  <c r="V69" i="18" s="1"/>
  <c r="AO55" i="18"/>
  <c r="AS18" i="18"/>
  <c r="AW34" i="8" s="1"/>
  <c r="AE66" i="18"/>
  <c r="AE65" i="18" s="1"/>
  <c r="AE69" i="18" s="1"/>
  <c r="N65" i="18"/>
  <c r="N69" i="18" s="1"/>
  <c r="AG23" i="18"/>
  <c r="AG24" i="18" s="1"/>
  <c r="AK35" i="8" s="1"/>
  <c r="AQ61" i="18"/>
  <c r="AQ18" i="18"/>
  <c r="AU34" i="8" s="1"/>
  <c r="AO18" i="18"/>
  <c r="AS34" i="8" s="1"/>
  <c r="AM32" i="18"/>
  <c r="AE18" i="18"/>
  <c r="AI34" i="8" s="1"/>
  <c r="AK18" i="18"/>
  <c r="AO34" i="8" s="1"/>
  <c r="AG18" i="18"/>
  <c r="AK34" i="8" s="1"/>
  <c r="AH18" i="18"/>
  <c r="AL34" i="8" s="1"/>
  <c r="AC23" i="18"/>
  <c r="AC24" i="18" s="1"/>
  <c r="AC35" i="8" s="1"/>
  <c r="Q23" i="18"/>
  <c r="Q24" i="18" s="1"/>
  <c r="Q35" i="8" s="1"/>
  <c r="W23" i="18"/>
  <c r="W24" i="18" s="1"/>
  <c r="W35" i="8" s="1"/>
  <c r="AF23" i="18"/>
  <c r="AF24" i="18" s="1"/>
  <c r="AJ35" i="8" s="1"/>
  <c r="O23" i="18"/>
  <c r="O24" i="18" s="1"/>
  <c r="O35" i="8" s="1"/>
  <c r="R59" i="18"/>
  <c r="R61" i="18" s="1"/>
  <c r="AI60" i="18"/>
  <c r="AI59" i="18" s="1"/>
  <c r="AL23" i="18"/>
  <c r="AL24" i="18" s="1"/>
  <c r="AP35" i="8" s="1"/>
  <c r="AL61" i="18"/>
  <c r="AM61" i="18"/>
  <c r="AR23" i="18"/>
  <c r="AR24" i="18" s="1"/>
  <c r="AV35" i="8" s="1"/>
  <c r="AR61" i="18"/>
  <c r="AN23" i="18"/>
  <c r="AN24" i="18" s="1"/>
  <c r="AR35" i="8" s="1"/>
  <c r="AN61" i="18"/>
  <c r="AA23" i="18"/>
  <c r="AA24" i="18" s="1"/>
  <c r="AA35" i="8" s="1"/>
  <c r="AH23" i="18"/>
  <c r="AH24" i="18" s="1"/>
  <c r="AL35" i="8" s="1"/>
  <c r="AH61" i="18"/>
  <c r="AS23" i="18"/>
  <c r="AS24" i="18" s="1"/>
  <c r="AW35" i="8" s="1"/>
  <c r="AS61" i="18"/>
  <c r="AK23" i="18"/>
  <c r="AK24" i="18" s="1"/>
  <c r="AO35" i="8" s="1"/>
  <c r="AK61" i="18"/>
  <c r="T23" i="18"/>
  <c r="T24" i="18" s="1"/>
  <c r="T35" i="8" s="1"/>
  <c r="S23" i="18"/>
  <c r="S24" i="18" s="1"/>
  <c r="S35" i="8" s="1"/>
  <c r="AT23" i="18"/>
  <c r="AT24" i="18" s="1"/>
  <c r="AX35" i="8" s="1"/>
  <c r="AT61" i="18"/>
  <c r="AJ23" i="18"/>
  <c r="AJ24" i="18" s="1"/>
  <c r="AN35" i="8" s="1"/>
  <c r="AJ61" i="18"/>
  <c r="G23" i="18"/>
  <c r="G24" i="18" s="1"/>
  <c r="G35" i="8" s="1"/>
  <c r="M55" i="18"/>
  <c r="L23" i="18"/>
  <c r="L24" i="18" s="1"/>
  <c r="L35" i="8" s="1"/>
  <c r="N23" i="18"/>
  <c r="N24" i="18" s="1"/>
  <c r="N35" i="8" s="1"/>
  <c r="I23" i="18"/>
  <c r="I24" i="18" s="1"/>
  <c r="I35" i="8" s="1"/>
  <c r="D23" i="18"/>
  <c r="D24" i="18" s="1"/>
  <c r="D35" i="8" s="1"/>
  <c r="F23" i="18"/>
  <c r="F24" i="18" s="1"/>
  <c r="F35" i="8" s="1"/>
  <c r="G69" i="18"/>
  <c r="E23" i="18"/>
  <c r="E24" i="18" s="1"/>
  <c r="E35" i="8" s="1"/>
  <c r="H23" i="18"/>
  <c r="H24" i="18" s="1"/>
  <c r="H35" i="8" s="1"/>
  <c r="K23" i="18"/>
  <c r="K24" i="18" s="1"/>
  <c r="K35" i="8" s="1"/>
  <c r="C23" i="18"/>
  <c r="C24" i="18" s="1"/>
  <c r="C35" i="8" s="1"/>
  <c r="AM39" i="10"/>
  <c r="N19" i="10"/>
  <c r="N9" i="10" s="1"/>
  <c r="AA17" i="10"/>
  <c r="AA19" i="10" s="1"/>
  <c r="AC17" i="10"/>
  <c r="AC19" i="10" s="1"/>
  <c r="AB17" i="10"/>
  <c r="AB19" i="10" s="1"/>
  <c r="AG17" i="10"/>
  <c r="AG19" i="10" s="1"/>
  <c r="AD17" i="10"/>
  <c r="AD19" i="10" s="1"/>
  <c r="AE17" i="10"/>
  <c r="AE19" i="10" s="1"/>
  <c r="R19" i="10"/>
  <c r="R9" i="10" s="1"/>
  <c r="AF17" i="10"/>
  <c r="AF19" i="10" s="1"/>
  <c r="AJ17" i="10"/>
  <c r="AJ19" i="10" s="1"/>
  <c r="V19" i="10"/>
  <c r="V9" i="10" s="1"/>
  <c r="AJ9" i="10" s="1"/>
  <c r="AH17" i="10"/>
  <c r="AH19" i="10" s="1"/>
  <c r="AK17" i="10"/>
  <c r="AI17" i="10"/>
  <c r="AI19" i="10" s="1"/>
  <c r="V15" i="8"/>
  <c r="AU111" i="8"/>
  <c r="AW111" i="8"/>
  <c r="D29" i="14"/>
  <c r="D61" i="14"/>
  <c r="F29" i="14"/>
  <c r="F61" i="14"/>
  <c r="AM25" i="10"/>
  <c r="Z10" i="9"/>
  <c r="Z15" i="9" s="1"/>
  <c r="Z21" i="9" s="1"/>
  <c r="AD6" i="9"/>
  <c r="AD10" i="9" s="1"/>
  <c r="AD15" i="9" s="1"/>
  <c r="AD21" i="9" s="1"/>
  <c r="AE6" i="9"/>
  <c r="AG6" i="9"/>
  <c r="AH10" i="9"/>
  <c r="AH15" i="9" s="1"/>
  <c r="AH21" i="9" s="1"/>
  <c r="AV111" i="8"/>
  <c r="AX111" i="8"/>
  <c r="AM20" i="9"/>
  <c r="AM29" i="10"/>
  <c r="AI6" i="9"/>
  <c r="AC6" i="9"/>
  <c r="AB6" i="9"/>
  <c r="AB10" i="9" s="1"/>
  <c r="AB15" i="9" s="1"/>
  <c r="AB21" i="9" s="1"/>
  <c r="AF10" i="9"/>
  <c r="AA6" i="9"/>
  <c r="AJ6" i="9"/>
  <c r="AK6" i="9"/>
  <c r="AF133" i="8"/>
  <c r="AL22" i="8"/>
  <c r="AF21" i="8"/>
  <c r="AF27" i="8" s="1"/>
  <c r="AF31" i="8" s="1"/>
  <c r="AG15" i="8"/>
  <c r="AE21" i="8"/>
  <c r="AE27" i="8" s="1"/>
  <c r="AE28" i="8" s="1"/>
  <c r="AG27" i="8"/>
  <c r="AG31" i="8" s="1"/>
  <c r="AJ21" i="8"/>
  <c r="AJ27" i="8" s="1"/>
  <c r="AJ31" i="8" s="1"/>
  <c r="AK98" i="8"/>
  <c r="AE133" i="8"/>
  <c r="N119" i="8"/>
  <c r="AE119" i="8"/>
  <c r="AM18" i="9"/>
  <c r="AJ93" i="8"/>
  <c r="AE90" i="8"/>
  <c r="AK106" i="8"/>
  <c r="AK111" i="8" s="1"/>
  <c r="AJ98" i="8"/>
  <c r="AK94" i="8"/>
  <c r="AI98" i="8"/>
  <c r="AM14" i="9"/>
  <c r="AL119" i="8"/>
  <c r="AG90" i="8"/>
  <c r="W25" i="9"/>
  <c r="W22" i="9"/>
  <c r="AF102" i="8"/>
  <c r="AK93" i="8"/>
  <c r="AK15" i="8"/>
  <c r="AK21" i="8"/>
  <c r="AI15" i="8"/>
  <c r="AI21" i="8"/>
  <c r="AL94" i="8"/>
  <c r="AI94" i="8"/>
  <c r="AL106" i="8"/>
  <c r="AL111" i="8" s="1"/>
  <c r="AI106" i="8"/>
  <c r="AI111" i="8" s="1"/>
  <c r="AG102" i="8"/>
  <c r="AF90" i="8"/>
  <c r="AG133" i="8"/>
  <c r="AE102" i="8"/>
  <c r="AH31" i="8"/>
  <c r="AH28" i="8"/>
  <c r="AL31" i="8"/>
  <c r="AL28" i="8"/>
  <c r="AN126" i="8"/>
  <c r="AO119" i="8"/>
  <c r="V126" i="8"/>
  <c r="AS126" i="8" s="1"/>
  <c r="AP126" i="8"/>
  <c r="AM126" i="8"/>
  <c r="AJ35" i="9"/>
  <c r="AO94" i="8"/>
  <c r="AN94" i="8"/>
  <c r="AM94" i="8"/>
  <c r="AT94" i="8"/>
  <c r="AR94" i="8"/>
  <c r="AQ94" i="8"/>
  <c r="AS94" i="8"/>
  <c r="AS93" i="8"/>
  <c r="AM93" i="8"/>
  <c r="AO93" i="8"/>
  <c r="AN93" i="8"/>
  <c r="AT93" i="8"/>
  <c r="AQ93" i="8"/>
  <c r="X28" i="8"/>
  <c r="X31" i="8"/>
  <c r="X87" i="8" s="1"/>
  <c r="L31" i="8"/>
  <c r="L87" i="8" s="1"/>
  <c r="T31" i="8"/>
  <c r="AX15" i="8"/>
  <c r="AX22" i="8"/>
  <c r="AX27" i="8"/>
  <c r="AX31" i="8" s="1"/>
  <c r="AP91" i="8"/>
  <c r="AO91" i="8"/>
  <c r="AN91" i="8"/>
  <c r="AM91" i="8"/>
  <c r="AW119" i="8"/>
  <c r="AX119" i="8"/>
  <c r="AX91" i="8"/>
  <c r="AC32" i="8"/>
  <c r="AJ43" i="9"/>
  <c r="AI43" i="9"/>
  <c r="AF43" i="9"/>
  <c r="AH43" i="9"/>
  <c r="AD28" i="9"/>
  <c r="AS111" i="8"/>
  <c r="AE28" i="9"/>
  <c r="AG28" i="9"/>
  <c r="AW91" i="8"/>
  <c r="AV91" i="8"/>
  <c r="AU91" i="8"/>
  <c r="AU119" i="8"/>
  <c r="R119" i="8"/>
  <c r="AF40" i="9"/>
  <c r="AE40" i="9"/>
  <c r="AG40" i="9"/>
  <c r="AD40" i="9"/>
  <c r="Y40" i="9"/>
  <c r="AC40" i="9"/>
  <c r="AM119" i="8"/>
  <c r="AI38" i="9"/>
  <c r="AJ38" i="9"/>
  <c r="U119" i="8"/>
  <c r="AC38" i="9"/>
  <c r="AS119" i="8"/>
  <c r="AN119" i="8"/>
  <c r="AH38" i="9"/>
  <c r="AA38" i="9"/>
  <c r="AB38" i="9"/>
  <c r="AV119" i="8"/>
  <c r="Y15" i="9"/>
  <c r="Y21" i="9" s="1"/>
  <c r="Z119" i="8"/>
  <c r="AF60" i="9"/>
  <c r="Y77" i="8"/>
  <c r="Y79" i="8" s="1"/>
  <c r="V77" i="8"/>
  <c r="V79" i="8" s="1"/>
  <c r="AS90" i="8"/>
  <c r="AI35" i="9"/>
  <c r="AQ90" i="8"/>
  <c r="AT90" i="8"/>
  <c r="AR90" i="8"/>
  <c r="AH35" i="9"/>
  <c r="AT111" i="8"/>
  <c r="AR111" i="8"/>
  <c r="AQ111" i="8"/>
  <c r="AB32" i="9"/>
  <c r="AA32" i="9"/>
  <c r="Y32" i="9"/>
  <c r="Z32" i="9"/>
  <c r="AB34" i="9"/>
  <c r="AA34" i="9"/>
  <c r="Y34" i="9"/>
  <c r="Z34" i="9"/>
  <c r="AB35" i="9"/>
  <c r="Z35" i="9"/>
  <c r="AA35" i="9"/>
  <c r="AC33" i="9"/>
  <c r="AA33" i="9"/>
  <c r="AB33" i="9"/>
  <c r="Z33" i="9"/>
  <c r="AF32" i="9"/>
  <c r="AE32" i="9"/>
  <c r="AG32" i="9"/>
  <c r="AM32" i="9" s="1"/>
  <c r="AD32" i="9"/>
  <c r="AW90" i="8"/>
  <c r="AV90" i="8"/>
  <c r="AU90" i="8"/>
  <c r="AG35" i="9"/>
  <c r="AM35" i="9" s="1"/>
  <c r="AD35" i="9"/>
  <c r="AE35" i="9"/>
  <c r="AF24" i="9"/>
  <c r="AD24" i="9"/>
  <c r="AE24" i="9"/>
  <c r="AC24" i="9"/>
  <c r="AG24" i="9"/>
  <c r="AF35" i="9"/>
  <c r="AP106" i="8"/>
  <c r="AP111" i="8" s="1"/>
  <c r="AN106" i="8"/>
  <c r="AN111" i="8" s="1"/>
  <c r="AO106" i="8"/>
  <c r="AO111" i="8" s="1"/>
  <c r="AM106" i="8"/>
  <c r="AM111" i="8" s="1"/>
  <c r="V22" i="8"/>
  <c r="V27" i="8"/>
  <c r="N22" i="8"/>
  <c r="N27" i="8"/>
  <c r="N31" i="8" s="1"/>
  <c r="N87" i="8" s="1"/>
  <c r="R27" i="8"/>
  <c r="R22" i="8"/>
  <c r="L28" i="8"/>
  <c r="T28" i="8"/>
  <c r="O103" i="8"/>
  <c r="O127" i="8" s="1"/>
  <c r="O28" i="8"/>
  <c r="P28" i="8"/>
  <c r="P103" i="8"/>
  <c r="P127" i="8" s="1"/>
  <c r="M28" i="8"/>
  <c r="Q103" i="8"/>
  <c r="Q127" i="8" s="1"/>
  <c r="Q28" i="8"/>
  <c r="U103" i="8"/>
  <c r="U28" i="8"/>
  <c r="W103" i="8"/>
  <c r="W127" i="8" s="1"/>
  <c r="W28" i="8"/>
  <c r="H27" i="14"/>
  <c r="AK33" i="9" l="1"/>
  <c r="AM33" i="9" s="1"/>
  <c r="AX133" i="8"/>
  <c r="T87" i="8"/>
  <c r="T103" i="8" s="1"/>
  <c r="T127" i="8" s="1"/>
  <c r="AM23" i="18"/>
  <c r="AM24" i="18" s="1"/>
  <c r="AQ35" i="8" s="1"/>
  <c r="R23" i="18"/>
  <c r="R24" i="18" s="1"/>
  <c r="R35" i="8" s="1"/>
  <c r="V23" i="18"/>
  <c r="V24" i="18" s="1"/>
  <c r="V35" i="8" s="1"/>
  <c r="Z69" i="18"/>
  <c r="Z23" i="18"/>
  <c r="Z24" i="18" s="1"/>
  <c r="Z35" i="8" s="1"/>
  <c r="AQ23" i="18"/>
  <c r="AQ24" i="18" s="1"/>
  <c r="AU35" i="8" s="1"/>
  <c r="AI23" i="18"/>
  <c r="AI24" i="18" s="1"/>
  <c r="AM35" i="8" s="1"/>
  <c r="AI61" i="18"/>
  <c r="AK9" i="10"/>
  <c r="AH9" i="10"/>
  <c r="AI9" i="10"/>
  <c r="AG9" i="10"/>
  <c r="AF9" i="10"/>
  <c r="AE9" i="10"/>
  <c r="AD9" i="10"/>
  <c r="AC9" i="10"/>
  <c r="AB9" i="10"/>
  <c r="AA9" i="10"/>
  <c r="AK19" i="10"/>
  <c r="AM19" i="10" s="1"/>
  <c r="AD11" i="9"/>
  <c r="AE10" i="9"/>
  <c r="AE15" i="9" s="1"/>
  <c r="AG10" i="9"/>
  <c r="AG15" i="9" s="1"/>
  <c r="AF11" i="9"/>
  <c r="AH11" i="9"/>
  <c r="AC10" i="9"/>
  <c r="AC15" i="9" s="1"/>
  <c r="AA10" i="9"/>
  <c r="AA15" i="9" s="1"/>
  <c r="AJ119" i="8"/>
  <c r="AF15" i="9"/>
  <c r="AI10" i="9"/>
  <c r="AK10" i="9"/>
  <c r="AF119" i="8"/>
  <c r="AJ28" i="8"/>
  <c r="AF28" i="8"/>
  <c r="AF22" i="8"/>
  <c r="AE31" i="8"/>
  <c r="AE22" i="8"/>
  <c r="AG28" i="8"/>
  <c r="AJ22" i="8"/>
  <c r="AG119" i="8"/>
  <c r="AK119" i="8"/>
  <c r="AH119" i="8"/>
  <c r="AJ28" i="9"/>
  <c r="AK28" i="9"/>
  <c r="AM28" i="9" s="1"/>
  <c r="AJ24" i="9"/>
  <c r="AK24" i="9"/>
  <c r="AM24" i="9" s="1"/>
  <c r="AJ40" i="9"/>
  <c r="AK40" i="9"/>
  <c r="I27" i="14"/>
  <c r="AH22" i="9"/>
  <c r="AB16" i="9"/>
  <c r="AB22" i="9"/>
  <c r="Z16" i="9"/>
  <c r="Z25" i="9"/>
  <c r="AD16" i="9"/>
  <c r="AD22" i="9"/>
  <c r="W29" i="9"/>
  <c r="W26" i="9"/>
  <c r="AI27" i="8"/>
  <c r="AI22" i="8"/>
  <c r="M103" i="8"/>
  <c r="M127" i="8" s="1"/>
  <c r="AI119" i="8"/>
  <c r="AK22" i="8"/>
  <c r="AK27" i="8"/>
  <c r="L103" i="8"/>
  <c r="L127" i="8" s="1"/>
  <c r="AJ32" i="8"/>
  <c r="AL32" i="8"/>
  <c r="AG32" i="8"/>
  <c r="AH32" i="8"/>
  <c r="AF32" i="8"/>
  <c r="AQ126" i="8"/>
  <c r="AP119" i="8"/>
  <c r="AT126" i="8"/>
  <c r="AR126" i="8"/>
  <c r="L32" i="8"/>
  <c r="AI28" i="9"/>
  <c r="T32" i="8"/>
  <c r="R28" i="8"/>
  <c r="R31" i="8"/>
  <c r="R87" i="8" s="1"/>
  <c r="V28" i="8"/>
  <c r="V31" i="8"/>
  <c r="V87" i="8" s="1"/>
  <c r="AH28" i="9"/>
  <c r="AX28" i="8"/>
  <c r="AC28" i="9"/>
  <c r="AB28" i="9"/>
  <c r="AA28" i="9"/>
  <c r="Z28" i="9"/>
  <c r="AC103" i="8"/>
  <c r="AC127" i="8" s="1"/>
  <c r="AX32" i="8"/>
  <c r="AQ119" i="8"/>
  <c r="U127" i="8"/>
  <c r="AH40" i="9"/>
  <c r="AI40" i="9"/>
  <c r="Z40" i="9"/>
  <c r="AA40" i="9"/>
  <c r="V119" i="8"/>
  <c r="AT119" i="8"/>
  <c r="AG38" i="9"/>
  <c r="AR119" i="8"/>
  <c r="AB40" i="9"/>
  <c r="AH16" i="9"/>
  <c r="Y16" i="9"/>
  <c r="AI24" i="9"/>
  <c r="AH24" i="9"/>
  <c r="N28" i="8"/>
  <c r="X103" i="8"/>
  <c r="X127" i="8" s="1"/>
  <c r="X32" i="8"/>
  <c r="O32" i="8"/>
  <c r="U32" i="8"/>
  <c r="W32" i="8"/>
  <c r="Q32" i="8"/>
  <c r="N32" i="8"/>
  <c r="M32" i="8"/>
  <c r="P32" i="8"/>
  <c r="AF16" i="9" l="1"/>
  <c r="AF21" i="9"/>
  <c r="AE21" i="9"/>
  <c r="AE22" i="9" s="1"/>
  <c r="AA16" i="9"/>
  <c r="AA21" i="9"/>
  <c r="AA25" i="9" s="1"/>
  <c r="AA29" i="9" s="1"/>
  <c r="AA74" i="9" s="1"/>
  <c r="AC21" i="9"/>
  <c r="AC22" i="9" s="1"/>
  <c r="AG21" i="9"/>
  <c r="AG22" i="9" s="1"/>
  <c r="AG16" i="9"/>
  <c r="AI11" i="9"/>
  <c r="AC11" i="9"/>
  <c r="AG11" i="9"/>
  <c r="AF22" i="9"/>
  <c r="AE11" i="9"/>
  <c r="AI15" i="9"/>
  <c r="AI21" i="9" s="1"/>
  <c r="AC16" i="9"/>
  <c r="AM10" i="9"/>
  <c r="AK11" i="9"/>
  <c r="AK15" i="9"/>
  <c r="AK21" i="9" s="1"/>
  <c r="AE32" i="8"/>
  <c r="AE16" i="9"/>
  <c r="J27" i="14"/>
  <c r="AH25" i="9"/>
  <c r="AH29" i="9" s="1"/>
  <c r="AH74" i="9" s="1"/>
  <c r="W30" i="9"/>
  <c r="W36" i="9"/>
  <c r="W45" i="9" s="1"/>
  <c r="AK28" i="8"/>
  <c r="AK31" i="8"/>
  <c r="AI31" i="8"/>
  <c r="AI28" i="8"/>
  <c r="Z29" i="9"/>
  <c r="Z74" i="9" s="1"/>
  <c r="Z22" i="9"/>
  <c r="Z26" i="9"/>
  <c r="AD38" i="9"/>
  <c r="AE38" i="9"/>
  <c r="AF38" i="9"/>
  <c r="AB25" i="9"/>
  <c r="AD25" i="9"/>
  <c r="Y25" i="9"/>
  <c r="Y29" i="9" s="1"/>
  <c r="Y74" i="9" s="1"/>
  <c r="Y22" i="9"/>
  <c r="R32" i="8"/>
  <c r="V32" i="8"/>
  <c r="AG25" i="9" l="1"/>
  <c r="AG29" i="9" s="1"/>
  <c r="AG74" i="9" s="1"/>
  <c r="AE25" i="9"/>
  <c r="AE29" i="9" s="1"/>
  <c r="AC25" i="9"/>
  <c r="AA26" i="9"/>
  <c r="AA22" i="9"/>
  <c r="AG26" i="9"/>
  <c r="AM11" i="9"/>
  <c r="AF25" i="9"/>
  <c r="AF29" i="9" s="1"/>
  <c r="AF74" i="9" s="1"/>
  <c r="AG75" i="9" a="1"/>
  <c r="AG75" i="9" s="1"/>
  <c r="AI16" i="9"/>
  <c r="AM15" i="9"/>
  <c r="AK16" i="9"/>
  <c r="AM16" i="9" s="1"/>
  <c r="AH26" i="9"/>
  <c r="AG36" i="9"/>
  <c r="AG76" i="9" a="1"/>
  <c r="AG76" i="9" s="1"/>
  <c r="AG73" i="9"/>
  <c r="AG30" i="9"/>
  <c r="AG72" i="9"/>
  <c r="K27" i="14"/>
  <c r="W46" i="9"/>
  <c r="AK32" i="8"/>
  <c r="AI32" i="8"/>
  <c r="AA73" i="9"/>
  <c r="AA72" i="9"/>
  <c r="AH72" i="9"/>
  <c r="AH73" i="9"/>
  <c r="AH75" i="9" a="1"/>
  <c r="AH75" i="9" s="1"/>
  <c r="AA30" i="9"/>
  <c r="AH30" i="9"/>
  <c r="AH76" i="9" a="1"/>
  <c r="AH76" i="9" s="1"/>
  <c r="AH36" i="9"/>
  <c r="AA76" i="9" a="1"/>
  <c r="AA76" i="9" s="1"/>
  <c r="Z30" i="9"/>
  <c r="AA75" i="9" a="1"/>
  <c r="AA75" i="9" s="1"/>
  <c r="Z75" i="9" a="1"/>
  <c r="Z75" i="9" s="1"/>
  <c r="AA36" i="9"/>
  <c r="Z76" i="9" a="1"/>
  <c r="Z76" i="9" s="1"/>
  <c r="Z72" i="9"/>
  <c r="Z73" i="9"/>
  <c r="Z36" i="9"/>
  <c r="AE36" i="9"/>
  <c r="AE74" i="9"/>
  <c r="AE75" i="9" a="1"/>
  <c r="AE75" i="9" s="1"/>
  <c r="AE30" i="9"/>
  <c r="AE72" i="9"/>
  <c r="AE73" i="9"/>
  <c r="AE76" i="9" a="1"/>
  <c r="AE76" i="9" s="1"/>
  <c r="AE26" i="9"/>
  <c r="AD26" i="9"/>
  <c r="AD29" i="9"/>
  <c r="AB26" i="9"/>
  <c r="AB29" i="9"/>
  <c r="AB74" i="9" s="1"/>
  <c r="Y26" i="9"/>
  <c r="AQ87" i="8"/>
  <c r="V103" i="8"/>
  <c r="V127" i="8" s="1"/>
  <c r="AR87" i="8"/>
  <c r="AS87" i="8"/>
  <c r="AF76" i="9" l="1" a="1"/>
  <c r="AF76" i="9" s="1"/>
  <c r="AF26" i="9"/>
  <c r="AC29" i="9"/>
  <c r="AC26" i="9"/>
  <c r="AI22" i="9"/>
  <c r="AI25" i="9"/>
  <c r="AK25" i="9"/>
  <c r="AK22" i="9"/>
  <c r="AM22" i="9" s="1"/>
  <c r="AM21" i="9"/>
  <c r="AR127" i="8"/>
  <c r="AS127" i="8"/>
  <c r="AQ127" i="8"/>
  <c r="AD76" i="9" a="1"/>
  <c r="AD76" i="9" s="1"/>
  <c r="AD74" i="9"/>
  <c r="AB73" i="9"/>
  <c r="AB72" i="9"/>
  <c r="AD75" i="9" a="1"/>
  <c r="AD75" i="9" s="1"/>
  <c r="AB30" i="9"/>
  <c r="AB76" i="9" a="1"/>
  <c r="AB76" i="9" s="1"/>
  <c r="AB75" i="9" a="1"/>
  <c r="AB75" i="9" s="1"/>
  <c r="AD73" i="9"/>
  <c r="AB36" i="9"/>
  <c r="AF73" i="9"/>
  <c r="AF72" i="9"/>
  <c r="AF75" i="9" a="1"/>
  <c r="AF75" i="9" s="1"/>
  <c r="AD30" i="9"/>
  <c r="AF36" i="9"/>
  <c r="AD36" i="9"/>
  <c r="AF30" i="9"/>
  <c r="AD72" i="9"/>
  <c r="Y30" i="9"/>
  <c r="Y72" i="9"/>
  <c r="Y73" i="9"/>
  <c r="Y76" i="9" a="1"/>
  <c r="Y76" i="9" s="1"/>
  <c r="Y36" i="9"/>
  <c r="Y75" i="9" a="1"/>
  <c r="Y75" i="9" s="1"/>
  <c r="H10" i="12"/>
  <c r="C6" i="12"/>
  <c r="D14" i="12" s="1"/>
  <c r="E14" i="12" s="1"/>
  <c r="F14" i="12" s="1"/>
  <c r="B84" i="8"/>
  <c r="B83" i="8"/>
  <c r="I84" i="8"/>
  <c r="H84" i="8"/>
  <c r="G84" i="8"/>
  <c r="F84" i="8"/>
  <c r="E84" i="8"/>
  <c r="D84" i="8"/>
  <c r="C84" i="8"/>
  <c r="I83" i="8"/>
  <c r="H83" i="8"/>
  <c r="G83" i="8"/>
  <c r="F83" i="8"/>
  <c r="E83" i="8"/>
  <c r="D83" i="8"/>
  <c r="C83" i="8"/>
  <c r="B39" i="8"/>
  <c r="B38" i="8"/>
  <c r="AW39" i="8"/>
  <c r="AV39" i="8"/>
  <c r="AU39" i="8"/>
  <c r="AS39" i="8"/>
  <c r="AR39" i="8"/>
  <c r="AQ39" i="8"/>
  <c r="AO39" i="8"/>
  <c r="AN39" i="8"/>
  <c r="AM39" i="8"/>
  <c r="AT39" i="8"/>
  <c r="AP39" i="8"/>
  <c r="AW38" i="8"/>
  <c r="AV38" i="8"/>
  <c r="AU38" i="8"/>
  <c r="AT38" i="8"/>
  <c r="AS38" i="8"/>
  <c r="AR38" i="8"/>
  <c r="AQ38" i="8"/>
  <c r="AP38" i="8"/>
  <c r="AO38" i="8"/>
  <c r="AN38" i="8"/>
  <c r="AM38" i="8"/>
  <c r="E6" i="17"/>
  <c r="E12" i="17" s="1"/>
  <c r="Q134" i="12"/>
  <c r="O134" i="12"/>
  <c r="D134" i="12"/>
  <c r="Q133" i="12"/>
  <c r="O133" i="12"/>
  <c r="G133" i="12"/>
  <c r="E133" i="12"/>
  <c r="C133" i="12"/>
  <c r="Q132" i="12"/>
  <c r="O132" i="12"/>
  <c r="E132" i="12"/>
  <c r="C132" i="12"/>
  <c r="D132" i="12" s="1"/>
  <c r="L107" i="12"/>
  <c r="L108" i="12" s="1"/>
  <c r="D107" i="12"/>
  <c r="D108" i="12" s="1"/>
  <c r="L105" i="12"/>
  <c r="L104" i="12" s="1"/>
  <c r="D105" i="12"/>
  <c r="D104" i="12" s="1"/>
  <c r="P103" i="12"/>
  <c r="Q103" i="12" s="1"/>
  <c r="N103" i="12"/>
  <c r="M103" i="12" s="1"/>
  <c r="H103" i="12"/>
  <c r="I103" i="12" s="1"/>
  <c r="F103" i="12"/>
  <c r="E103" i="12" s="1"/>
  <c r="B132" i="12" s="1"/>
  <c r="L98" i="12"/>
  <c r="L99" i="12" s="1"/>
  <c r="D98" i="12"/>
  <c r="D99" i="12" s="1"/>
  <c r="L96" i="12"/>
  <c r="L95" i="12" s="1"/>
  <c r="D96" i="12"/>
  <c r="D95" i="12" s="1"/>
  <c r="P94" i="12"/>
  <c r="Q94" i="12" s="1"/>
  <c r="N94" i="12"/>
  <c r="M94" i="12"/>
  <c r="H94" i="12"/>
  <c r="I94" i="12" s="1"/>
  <c r="F94" i="12"/>
  <c r="E94" i="12" s="1"/>
  <c r="D40" i="12"/>
  <c r="B37" i="12"/>
  <c r="C14" i="12"/>
  <c r="E40" i="17"/>
  <c r="E41" i="17" s="1"/>
  <c r="E31" i="17"/>
  <c r="E30" i="17" s="1"/>
  <c r="C19" i="17"/>
  <c r="B48" i="16"/>
  <c r="C45" i="16"/>
  <c r="F44" i="16"/>
  <c r="F43" i="16"/>
  <c r="F42" i="16"/>
  <c r="C31" i="16"/>
  <c r="C32" i="16" s="1"/>
  <c r="C29" i="16"/>
  <c r="C28" i="16" s="1"/>
  <c r="F27" i="16"/>
  <c r="D27" i="16"/>
  <c r="D21" i="16"/>
  <c r="F45" i="16"/>
  <c r="C13" i="16"/>
  <c r="C15" i="16" s="1"/>
  <c r="C10" i="16"/>
  <c r="AC74" i="9" l="1"/>
  <c r="AC36" i="9"/>
  <c r="AC72" i="9"/>
  <c r="AC75" i="9" a="1"/>
  <c r="AC75" i="9" s="1"/>
  <c r="AC76" i="9" a="1"/>
  <c r="AC76" i="9" s="1"/>
  <c r="AC30" i="9"/>
  <c r="AC73" i="9"/>
  <c r="AI29" i="9"/>
  <c r="AI26" i="9"/>
  <c r="AM25" i="9"/>
  <c r="AK29" i="9"/>
  <c r="AK26" i="9"/>
  <c r="AM26" i="9" s="1"/>
  <c r="AM83" i="8"/>
  <c r="AP83" i="8"/>
  <c r="AQ83" i="8"/>
  <c r="AQ84" i="8"/>
  <c r="AT83" i="8"/>
  <c r="AU83" i="8"/>
  <c r="AP84" i="8"/>
  <c r="AU84" i="8"/>
  <c r="AV84" i="8"/>
  <c r="AS83" i="8"/>
  <c r="AN83" i="8"/>
  <c r="AV83" i="8"/>
  <c r="AS84" i="8"/>
  <c r="AR84" i="8"/>
  <c r="AO83" i="8"/>
  <c r="AW83" i="8"/>
  <c r="AT84" i="8"/>
  <c r="AM84" i="8"/>
  <c r="AN84" i="8"/>
  <c r="AR83" i="8"/>
  <c r="AO84" i="8"/>
  <c r="AW84" i="8"/>
  <c r="E33" i="17"/>
  <c r="E34" i="17" s="1"/>
  <c r="E43" i="17"/>
  <c r="E44" i="17" s="1"/>
  <c r="D133" i="12"/>
  <c r="C7" i="12"/>
  <c r="C10" i="12" s="1"/>
  <c r="C41" i="12" s="1"/>
  <c r="P134" i="12"/>
  <c r="P132" i="12"/>
  <c r="B133" i="12"/>
  <c r="G132" i="12"/>
  <c r="G134" i="12"/>
  <c r="P133" i="12"/>
  <c r="I42" i="16"/>
  <c r="I43" i="16"/>
  <c r="I44" i="16"/>
  <c r="G14" i="12"/>
  <c r="F40" i="12"/>
  <c r="E40" i="12"/>
  <c r="E16" i="17"/>
  <c r="E17" i="17"/>
  <c r="E13" i="17"/>
  <c r="E14" i="17"/>
  <c r="E15" i="17"/>
  <c r="E18" i="17"/>
  <c r="H45" i="16"/>
  <c r="AI74" i="9" l="1"/>
  <c r="AI30" i="9"/>
  <c r="AI76" i="9" a="1"/>
  <c r="AI76" i="9" s="1"/>
  <c r="AI36" i="9"/>
  <c r="AI75" i="9" a="1"/>
  <c r="AI75" i="9" s="1"/>
  <c r="AI72" i="9"/>
  <c r="AI73" i="9"/>
  <c r="AK76" i="9" a="1"/>
  <c r="AK76" i="9" s="1"/>
  <c r="AK36" i="9"/>
  <c r="AM36" i="9" s="1"/>
  <c r="AK74" i="9"/>
  <c r="AM29" i="9"/>
  <c r="AK75" i="9" a="1"/>
  <c r="AK75" i="9" s="1"/>
  <c r="AK30" i="9"/>
  <c r="AM30" i="9" s="1"/>
  <c r="AK73" i="9"/>
  <c r="AK72" i="9"/>
  <c r="E21" i="17"/>
  <c r="E22" i="17" s="1"/>
  <c r="E19" i="17"/>
  <c r="I65" i="12" s="1"/>
  <c r="C76" i="12" s="1"/>
  <c r="D76" i="12" s="1"/>
  <c r="G40" i="12"/>
  <c r="H14" i="12"/>
  <c r="E23" i="17" l="1"/>
  <c r="H40" i="12"/>
  <c r="I14" i="12"/>
  <c r="B48" i="12" l="1"/>
  <c r="B47" i="12"/>
  <c r="E48" i="12"/>
  <c r="I40" i="12"/>
  <c r="C190" i="14" l="1"/>
  <c r="G98" i="14"/>
  <c r="H98" i="14" s="1"/>
  <c r="I98" i="14" s="1"/>
  <c r="J98" i="14" s="1"/>
  <c r="K98" i="14" s="1"/>
  <c r="F159" i="14"/>
  <c r="E186" i="14"/>
  <c r="F186" i="14"/>
  <c r="C140" i="14"/>
  <c r="C70" i="8"/>
  <c r="C124" i="8"/>
  <c r="D76" i="8"/>
  <c r="C76" i="8"/>
  <c r="D70" i="8"/>
  <c r="D46" i="8"/>
  <c r="D55" i="8" s="1"/>
  <c r="C46" i="8"/>
  <c r="C55" i="8" s="1"/>
  <c r="D11" i="8"/>
  <c r="C11" i="8"/>
  <c r="G195" i="14"/>
  <c r="H195" i="14" s="1"/>
  <c r="F206" i="14"/>
  <c r="E206" i="14"/>
  <c r="D206" i="14"/>
  <c r="C206" i="14"/>
  <c r="G211" i="14"/>
  <c r="F203" i="14"/>
  <c r="E203" i="14"/>
  <c r="D203" i="14"/>
  <c r="C203" i="14"/>
  <c r="F152" i="14"/>
  <c r="G149" i="14" s="1"/>
  <c r="E152" i="14"/>
  <c r="D152" i="14"/>
  <c r="F138" i="14"/>
  <c r="G135" i="14" s="1"/>
  <c r="E138" i="14"/>
  <c r="F135" i="14" s="1"/>
  <c r="D138" i="14"/>
  <c r="E135" i="14" s="1"/>
  <c r="C138" i="14"/>
  <c r="D135" i="14" s="1"/>
  <c r="C146" i="14"/>
  <c r="C144" i="14" s="1"/>
  <c r="F32" i="14"/>
  <c r="F38" i="14" s="1"/>
  <c r="E32" i="14"/>
  <c r="E38" i="14" s="1"/>
  <c r="D32" i="14"/>
  <c r="D38" i="14" s="1"/>
  <c r="C32" i="14"/>
  <c r="C38" i="14" s="1"/>
  <c r="F16" i="14"/>
  <c r="E16" i="14" s="1"/>
  <c r="E200" i="14" s="1"/>
  <c r="K243" i="14"/>
  <c r="J243" i="14"/>
  <c r="I243" i="14"/>
  <c r="H243" i="14"/>
  <c r="G243" i="14"/>
  <c r="K241" i="14"/>
  <c r="K226" i="14" s="1"/>
  <c r="J241" i="14"/>
  <c r="J226" i="14" s="1"/>
  <c r="I241" i="14"/>
  <c r="I226" i="14" s="1"/>
  <c r="H241" i="14"/>
  <c r="H226" i="14" s="1"/>
  <c r="G241" i="14"/>
  <c r="K239" i="14"/>
  <c r="J239" i="14"/>
  <c r="I239" i="14"/>
  <c r="H239" i="14"/>
  <c r="G239" i="14"/>
  <c r="K237" i="14"/>
  <c r="K225" i="14" s="1"/>
  <c r="J237" i="14"/>
  <c r="J225" i="14" s="1"/>
  <c r="I237" i="14"/>
  <c r="H237" i="14"/>
  <c r="H225" i="14" s="1"/>
  <c r="G237" i="14"/>
  <c r="G225" i="14" s="1"/>
  <c r="K235" i="14"/>
  <c r="J235" i="14"/>
  <c r="I235" i="14"/>
  <c r="H235" i="14"/>
  <c r="G235" i="14"/>
  <c r="K233" i="14"/>
  <c r="J233" i="14"/>
  <c r="J224" i="14" s="1"/>
  <c r="I233" i="14"/>
  <c r="I224" i="14" s="1"/>
  <c r="H233" i="14"/>
  <c r="H224" i="14" s="1"/>
  <c r="G233" i="14"/>
  <c r="G224" i="14" s="1"/>
  <c r="H231" i="14"/>
  <c r="G231" i="14"/>
  <c r="I230" i="14"/>
  <c r="I231" i="14" s="1"/>
  <c r="H229" i="14"/>
  <c r="G229" i="14"/>
  <c r="G223" i="14" s="1"/>
  <c r="G226" i="14"/>
  <c r="F226" i="14"/>
  <c r="I225" i="14"/>
  <c r="F225" i="14"/>
  <c r="K224" i="14"/>
  <c r="F224" i="14"/>
  <c r="H223" i="14"/>
  <c r="F223" i="14"/>
  <c r="C221" i="14"/>
  <c r="G214" i="14"/>
  <c r="F196" i="14"/>
  <c r="E196" i="14"/>
  <c r="D196" i="14"/>
  <c r="C196" i="14"/>
  <c r="G185" i="14"/>
  <c r="H185" i="14" s="1"/>
  <c r="I185" i="14" s="1"/>
  <c r="J185" i="14" s="1"/>
  <c r="K185" i="14" s="1"/>
  <c r="F182" i="14"/>
  <c r="E182" i="14"/>
  <c r="D182" i="14"/>
  <c r="C182" i="14"/>
  <c r="B180" i="14"/>
  <c r="B179" i="14"/>
  <c r="B163" i="14"/>
  <c r="B162" i="14"/>
  <c r="B133" i="14"/>
  <c r="B132" i="14"/>
  <c r="B104" i="14"/>
  <c r="B103" i="14"/>
  <c r="B78" i="14"/>
  <c r="B77" i="14"/>
  <c r="H13" i="10"/>
  <c r="G13" i="10"/>
  <c r="F13" i="10"/>
  <c r="E13" i="10"/>
  <c r="X13" i="10"/>
  <c r="X14" i="10" s="1"/>
  <c r="W13" i="10"/>
  <c r="V13" i="10"/>
  <c r="U13" i="10"/>
  <c r="T13" i="10"/>
  <c r="T14" i="10" s="1"/>
  <c r="S13" i="10"/>
  <c r="S14" i="10" s="1"/>
  <c r="R13" i="10"/>
  <c r="R14" i="10" s="1"/>
  <c r="Q13" i="10"/>
  <c r="Q14" i="10" s="1"/>
  <c r="P13" i="10"/>
  <c r="P14" i="10" s="1"/>
  <c r="O13" i="10"/>
  <c r="O14" i="10" s="1"/>
  <c r="N13" i="10"/>
  <c r="N14" i="10" s="1"/>
  <c r="M13" i="10"/>
  <c r="M14" i="10" s="1"/>
  <c r="L13" i="10"/>
  <c r="L14" i="10" s="1"/>
  <c r="K13" i="10"/>
  <c r="K14" i="10" s="1"/>
  <c r="I13" i="10"/>
  <c r="Z76" i="8"/>
  <c r="AB76" i="8"/>
  <c r="V67" i="9" l="1"/>
  <c r="AJ67" i="9" s="1"/>
  <c r="T67" i="9"/>
  <c r="AH67" i="9" s="1"/>
  <c r="AH68" i="9" s="1"/>
  <c r="AH77" i="9" s="1"/>
  <c r="C14" i="10"/>
  <c r="C40" i="10"/>
  <c r="D14" i="10"/>
  <c r="D40" i="10"/>
  <c r="AA46" i="8"/>
  <c r="AA55" i="8" s="1"/>
  <c r="C14" i="8"/>
  <c r="C21" i="8" s="1"/>
  <c r="D14" i="8"/>
  <c r="D21" i="8" s="1"/>
  <c r="F73" i="14"/>
  <c r="E68" i="14"/>
  <c r="E33" i="14"/>
  <c r="F68" i="14"/>
  <c r="F33" i="14"/>
  <c r="C68" i="14"/>
  <c r="C33" i="14"/>
  <c r="D68" i="14"/>
  <c r="D33" i="14"/>
  <c r="E73" i="14"/>
  <c r="D74" i="14"/>
  <c r="E74" i="14"/>
  <c r="F74" i="14"/>
  <c r="D73" i="14"/>
  <c r="F140" i="14"/>
  <c r="F175" i="14"/>
  <c r="G172" i="14" s="1"/>
  <c r="E175" i="14"/>
  <c r="J230" i="14"/>
  <c r="K230" i="14" s="1"/>
  <c r="D146" i="14"/>
  <c r="D144" i="14" s="1"/>
  <c r="D145" i="14" s="1"/>
  <c r="D186" i="14"/>
  <c r="D187" i="14" s="1"/>
  <c r="D192" i="14" s="1"/>
  <c r="G158" i="14"/>
  <c r="H158" i="14" s="1"/>
  <c r="H122" i="14" s="1"/>
  <c r="E140" i="14"/>
  <c r="G115" i="14"/>
  <c r="D27" i="12"/>
  <c r="F10" i="9"/>
  <c r="Q10" i="9"/>
  <c r="O10" i="9"/>
  <c r="J10" i="9"/>
  <c r="R10" i="9"/>
  <c r="K10" i="9"/>
  <c r="S10" i="9"/>
  <c r="W11" i="9" s="1"/>
  <c r="C10" i="9"/>
  <c r="L10" i="9"/>
  <c r="D10" i="9"/>
  <c r="I10" i="9"/>
  <c r="M10" i="9"/>
  <c r="U10" i="9"/>
  <c r="G10" i="9"/>
  <c r="E10" i="9"/>
  <c r="F146" i="14"/>
  <c r="F144" i="14" s="1"/>
  <c r="D69" i="14"/>
  <c r="C99" i="14"/>
  <c r="E146" i="14"/>
  <c r="E144" i="14" s="1"/>
  <c r="D77" i="8"/>
  <c r="D79" i="8" s="1"/>
  <c r="C77" i="8"/>
  <c r="C79" i="8" s="1"/>
  <c r="C69" i="14"/>
  <c r="E69" i="14"/>
  <c r="D70" i="14"/>
  <c r="G89" i="14"/>
  <c r="H89" i="14" s="1"/>
  <c r="F70" i="14"/>
  <c r="C94" i="14"/>
  <c r="E180" i="14"/>
  <c r="D16" i="14"/>
  <c r="C16" i="14" s="1"/>
  <c r="C200" i="14" s="1"/>
  <c r="E78" i="14"/>
  <c r="E133" i="14"/>
  <c r="E163" i="14"/>
  <c r="D175" i="14"/>
  <c r="F69" i="14"/>
  <c r="D140" i="14"/>
  <c r="I195" i="14"/>
  <c r="J195" i="14" s="1"/>
  <c r="K195" i="14" s="1"/>
  <c r="E99" i="14"/>
  <c r="F99" i="14"/>
  <c r="D86" i="14"/>
  <c r="C86" i="14"/>
  <c r="F187" i="14"/>
  <c r="F192" i="14" s="1"/>
  <c r="C145" i="14"/>
  <c r="E70" i="14"/>
  <c r="C70" i="14"/>
  <c r="F180" i="14"/>
  <c r="F78" i="14"/>
  <c r="F15" i="14"/>
  <c r="F132" i="14" s="1"/>
  <c r="G93" i="14"/>
  <c r="G112" i="14" s="1"/>
  <c r="G83" i="14"/>
  <c r="H83" i="14" s="1"/>
  <c r="F163" i="14"/>
  <c r="G155" i="14"/>
  <c r="D99" i="14"/>
  <c r="E86" i="14"/>
  <c r="G16" i="14"/>
  <c r="F200" i="14"/>
  <c r="F133" i="14"/>
  <c r="G166" i="14"/>
  <c r="F86" i="14"/>
  <c r="G81" i="14"/>
  <c r="G90" i="14"/>
  <c r="H90" i="14" s="1"/>
  <c r="G85" i="14"/>
  <c r="I229" i="14"/>
  <c r="I223" i="14" s="1"/>
  <c r="V10" i="9"/>
  <c r="W12" i="9" s="1"/>
  <c r="T10" i="9"/>
  <c r="D190" i="14"/>
  <c r="P10" i="9"/>
  <c r="N10" i="9"/>
  <c r="E94" i="14"/>
  <c r="G92" i="14"/>
  <c r="G190" i="14" s="1"/>
  <c r="AA76" i="8"/>
  <c r="U67" i="9" l="1"/>
  <c r="AI67" i="9" s="1"/>
  <c r="AI68" i="9" s="1"/>
  <c r="AI77" i="9" s="1"/>
  <c r="D27" i="8"/>
  <c r="D31" i="8" s="1"/>
  <c r="C22" i="8"/>
  <c r="AI59" i="9"/>
  <c r="AW102" i="8"/>
  <c r="AV102" i="8"/>
  <c r="D15" i="8"/>
  <c r="C15" i="8"/>
  <c r="G210" i="14"/>
  <c r="G96" i="14"/>
  <c r="C39" i="14"/>
  <c r="C44" i="14" s="1"/>
  <c r="C47" i="14" s="1"/>
  <c r="G140" i="14"/>
  <c r="H140" i="14" s="1"/>
  <c r="I140" i="14" s="1"/>
  <c r="J140" i="14" s="1"/>
  <c r="K140" i="14" s="1"/>
  <c r="I158" i="14"/>
  <c r="J158" i="14" s="1"/>
  <c r="J120" i="14" s="1"/>
  <c r="J209" i="14" s="1"/>
  <c r="J229" i="14"/>
  <c r="J223" i="14" s="1"/>
  <c r="J231" i="14"/>
  <c r="G120" i="14"/>
  <c r="E187" i="14"/>
  <c r="E192" i="14" s="1"/>
  <c r="AJ68" i="9"/>
  <c r="AJ77" i="9" s="1"/>
  <c r="G122" i="14"/>
  <c r="H120" i="14"/>
  <c r="H209" i="14" s="1"/>
  <c r="G116" i="14"/>
  <c r="AJ10" i="9"/>
  <c r="F145" i="14"/>
  <c r="G145" i="14" s="1"/>
  <c r="H145" i="14" s="1"/>
  <c r="I145" i="14" s="1"/>
  <c r="C51" i="14"/>
  <c r="C52" i="14" s="1"/>
  <c r="C100" i="14"/>
  <c r="E145" i="14"/>
  <c r="D200" i="14"/>
  <c r="D94" i="14"/>
  <c r="D100" i="14" s="1"/>
  <c r="F199" i="14"/>
  <c r="F179" i="14"/>
  <c r="D191" i="14"/>
  <c r="D180" i="14"/>
  <c r="G118" i="14"/>
  <c r="H92" i="14"/>
  <c r="H190" i="14" s="1"/>
  <c r="F190" i="14"/>
  <c r="E190" i="14"/>
  <c r="F94" i="14"/>
  <c r="F100" i="14" s="1"/>
  <c r="G15" i="14"/>
  <c r="G103" i="14" s="1"/>
  <c r="D133" i="14"/>
  <c r="C78" i="14"/>
  <c r="D78" i="14"/>
  <c r="F162" i="14"/>
  <c r="D163" i="14"/>
  <c r="F77" i="14"/>
  <c r="E15" i="14"/>
  <c r="H93" i="14"/>
  <c r="H112" i="14" s="1"/>
  <c r="G108" i="14"/>
  <c r="H108" i="14"/>
  <c r="I89" i="14"/>
  <c r="G104" i="14"/>
  <c r="G200" i="14"/>
  <c r="G133" i="14"/>
  <c r="G222" i="14"/>
  <c r="H16" i="14"/>
  <c r="G180" i="14"/>
  <c r="G163" i="14"/>
  <c r="G78" i="14"/>
  <c r="K231" i="14"/>
  <c r="K229" i="14"/>
  <c r="K223" i="14" s="1"/>
  <c r="E100" i="14"/>
  <c r="H85" i="14"/>
  <c r="G152" i="14"/>
  <c r="I90" i="14"/>
  <c r="H81" i="14"/>
  <c r="I83" i="14"/>
  <c r="D22" i="8" l="1"/>
  <c r="C27" i="8"/>
  <c r="C31" i="8" s="1"/>
  <c r="D28" i="8"/>
  <c r="C55" i="14"/>
  <c r="C56" i="14" s="1"/>
  <c r="C71" i="14"/>
  <c r="D39" i="14"/>
  <c r="D44" i="14" s="1"/>
  <c r="D47" i="14" s="1"/>
  <c r="E51" i="14"/>
  <c r="E52" i="14" s="1"/>
  <c r="E39" i="14"/>
  <c r="E44" i="14" s="1"/>
  <c r="F51" i="14"/>
  <c r="F52" i="14" s="1"/>
  <c r="F39" i="14"/>
  <c r="G209" i="14"/>
  <c r="G203" i="14" s="1"/>
  <c r="G206" i="14" s="1"/>
  <c r="C68" i="12"/>
  <c r="C74" i="12" s="1"/>
  <c r="D74" i="12" s="1"/>
  <c r="C21" i="16"/>
  <c r="G137" i="14"/>
  <c r="G138" i="14" s="1"/>
  <c r="H135" i="14" s="1"/>
  <c r="I122" i="14"/>
  <c r="I120" i="14"/>
  <c r="I209" i="14" s="1"/>
  <c r="J89" i="14"/>
  <c r="K89" i="14" s="1"/>
  <c r="J90" i="14"/>
  <c r="K90" i="14" s="1"/>
  <c r="J83" i="14"/>
  <c r="K83" i="14" s="1"/>
  <c r="E191" i="14"/>
  <c r="H115" i="14"/>
  <c r="H116" i="14" s="1"/>
  <c r="H137" i="14"/>
  <c r="G77" i="14"/>
  <c r="G132" i="14"/>
  <c r="G199" i="14"/>
  <c r="D51" i="14"/>
  <c r="D52" i="14" s="1"/>
  <c r="I92" i="14"/>
  <c r="I190" i="14" s="1"/>
  <c r="F191" i="14"/>
  <c r="D32" i="8"/>
  <c r="D87" i="8"/>
  <c r="G221" i="14"/>
  <c r="G179" i="14"/>
  <c r="H15" i="14"/>
  <c r="H132" i="14" s="1"/>
  <c r="H118" i="14"/>
  <c r="G162" i="14"/>
  <c r="K158" i="14"/>
  <c r="J122" i="14"/>
  <c r="I137" i="14"/>
  <c r="D15" i="14"/>
  <c r="E162" i="14"/>
  <c r="E132" i="14"/>
  <c r="E199" i="14"/>
  <c r="E77" i="14"/>
  <c r="E179" i="14"/>
  <c r="I93" i="14"/>
  <c r="H96" i="14"/>
  <c r="I210" i="14"/>
  <c r="H210" i="14"/>
  <c r="I115" i="14"/>
  <c r="H149" i="14"/>
  <c r="I81" i="14"/>
  <c r="J145" i="14"/>
  <c r="H133" i="14"/>
  <c r="H222" i="14"/>
  <c r="H104" i="14"/>
  <c r="H200" i="14"/>
  <c r="I16" i="14"/>
  <c r="H180" i="14"/>
  <c r="H163" i="14"/>
  <c r="H78" i="14"/>
  <c r="H152" i="14"/>
  <c r="I85" i="14"/>
  <c r="C32" i="8" l="1"/>
  <c r="C87" i="8"/>
  <c r="E71" i="14"/>
  <c r="E47" i="14"/>
  <c r="C28" i="8"/>
  <c r="C103" i="8"/>
  <c r="D103" i="8"/>
  <c r="D127" i="8" s="1"/>
  <c r="G191" i="14"/>
  <c r="G192" i="14" s="1"/>
  <c r="D55" i="14"/>
  <c r="D56" i="14" s="1"/>
  <c r="F55" i="14"/>
  <c r="F56" i="14" s="1"/>
  <c r="E55" i="14"/>
  <c r="E56" i="14" s="1"/>
  <c r="G215" i="14"/>
  <c r="G216" i="14" s="1"/>
  <c r="H214" i="14" s="1"/>
  <c r="C202" i="14"/>
  <c r="C48" i="14"/>
  <c r="D71" i="14"/>
  <c r="D48" i="14"/>
  <c r="G45" i="16"/>
  <c r="I45" i="16" s="1"/>
  <c r="C47" i="16" s="1"/>
  <c r="C48" i="16" s="1"/>
  <c r="C37" i="16" s="1"/>
  <c r="E20" i="16"/>
  <c r="E21" i="16" s="1"/>
  <c r="E23" i="16" s="1"/>
  <c r="H138" i="14"/>
  <c r="I135" i="14" s="1"/>
  <c r="I138" i="14" s="1"/>
  <c r="I116" i="14"/>
  <c r="H103" i="14"/>
  <c r="I118" i="14"/>
  <c r="J92" i="14"/>
  <c r="K92" i="14" s="1"/>
  <c r="I15" i="14"/>
  <c r="I77" i="14" s="1"/>
  <c r="H162" i="14"/>
  <c r="H199" i="14"/>
  <c r="H221" i="14"/>
  <c r="H77" i="14"/>
  <c r="H179" i="14"/>
  <c r="K120" i="14"/>
  <c r="K209" i="14" s="1"/>
  <c r="K122" i="14"/>
  <c r="D77" i="14"/>
  <c r="D179" i="14"/>
  <c r="D199" i="14"/>
  <c r="D162" i="14"/>
  <c r="D132" i="14"/>
  <c r="C15" i="14"/>
  <c r="I108" i="14"/>
  <c r="I96" i="14"/>
  <c r="I112" i="14"/>
  <c r="J93" i="14"/>
  <c r="I149" i="14"/>
  <c r="J81" i="14"/>
  <c r="J115" i="14"/>
  <c r="K115" i="14"/>
  <c r="J137" i="14"/>
  <c r="J85" i="14"/>
  <c r="I152" i="14"/>
  <c r="I78" i="14"/>
  <c r="I222" i="14"/>
  <c r="I104" i="14"/>
  <c r="I180" i="14"/>
  <c r="I163" i="14"/>
  <c r="I133" i="14"/>
  <c r="I200" i="14"/>
  <c r="J16" i="14"/>
  <c r="K145" i="14"/>
  <c r="C127" i="8" l="1"/>
  <c r="C128" i="8" s="1"/>
  <c r="H191" i="14"/>
  <c r="H192" i="14" s="1"/>
  <c r="G217" i="14"/>
  <c r="C27" i="16"/>
  <c r="E48" i="14"/>
  <c r="C207" i="14"/>
  <c r="C204" i="14"/>
  <c r="D202" i="14"/>
  <c r="D204" i="14" s="1"/>
  <c r="E202" i="14"/>
  <c r="E204" i="14" s="1"/>
  <c r="J116" i="14"/>
  <c r="K116" i="14"/>
  <c r="J118" i="14"/>
  <c r="J15" i="14"/>
  <c r="K15" i="14" s="1"/>
  <c r="I179" i="14"/>
  <c r="I132" i="14"/>
  <c r="I199" i="14"/>
  <c r="I221" i="14"/>
  <c r="I103" i="14"/>
  <c r="I162" i="14"/>
  <c r="J190" i="14"/>
  <c r="C199" i="14"/>
  <c r="C77" i="14"/>
  <c r="J210" i="14"/>
  <c r="J108" i="14"/>
  <c r="J96" i="14"/>
  <c r="K96" i="14" s="1"/>
  <c r="K93" i="14"/>
  <c r="K112" i="14" s="1"/>
  <c r="J112" i="14"/>
  <c r="K137" i="14"/>
  <c r="K118" i="14"/>
  <c r="K190" i="14"/>
  <c r="J180" i="14"/>
  <c r="J163" i="14"/>
  <c r="J104" i="14"/>
  <c r="J78" i="14"/>
  <c r="J222" i="14"/>
  <c r="J133" i="14"/>
  <c r="J200" i="14"/>
  <c r="K16" i="14"/>
  <c r="J135" i="14"/>
  <c r="J138" i="14" s="1"/>
  <c r="K108" i="14"/>
  <c r="K210" i="14"/>
  <c r="J149" i="14"/>
  <c r="K85" i="14"/>
  <c r="K152" i="14" s="1"/>
  <c r="J152" i="14"/>
  <c r="K81" i="14"/>
  <c r="C130" i="8" l="1"/>
  <c r="D122" i="8"/>
  <c r="D124" i="8" s="1"/>
  <c r="D128" i="8" s="1"/>
  <c r="D130" i="8" s="1"/>
  <c r="I191" i="14"/>
  <c r="J191" i="14" s="1"/>
  <c r="K191" i="14" s="1"/>
  <c r="K192" i="14" s="1"/>
  <c r="D207" i="14"/>
  <c r="E207" i="14"/>
  <c r="J77" i="14"/>
  <c r="J199" i="14"/>
  <c r="J221" i="14"/>
  <c r="J103" i="14"/>
  <c r="J132" i="14"/>
  <c r="J162" i="14"/>
  <c r="J179" i="14"/>
  <c r="K149" i="14"/>
  <c r="K135" i="14"/>
  <c r="K138" i="14" s="1"/>
  <c r="K78" i="14"/>
  <c r="K180" i="14"/>
  <c r="K163" i="14"/>
  <c r="K222" i="14"/>
  <c r="K133" i="14"/>
  <c r="K200" i="14"/>
  <c r="K104" i="14"/>
  <c r="K221" i="14"/>
  <c r="K179" i="14"/>
  <c r="K162" i="14"/>
  <c r="K77" i="14"/>
  <c r="K132" i="14"/>
  <c r="K103" i="14"/>
  <c r="K199" i="14"/>
  <c r="E122" i="8" l="1"/>
  <c r="E124" i="8" s="1"/>
  <c r="I192" i="14"/>
  <c r="J192" i="14"/>
  <c r="AR11" i="8"/>
  <c r="H46" i="8"/>
  <c r="H55" i="8" s="1"/>
  <c r="G46" i="8"/>
  <c r="G55" i="8" s="1"/>
  <c r="F46" i="8"/>
  <c r="F55" i="8" s="1"/>
  <c r="E46" i="8"/>
  <c r="E55" i="8" s="1"/>
  <c r="I46" i="8"/>
  <c r="I55" i="8" s="1"/>
  <c r="AM63" i="8" l="1"/>
  <c r="AM70" i="8" s="1"/>
  <c r="AM46" i="8"/>
  <c r="AM55" i="8" s="1"/>
  <c r="AM76" i="8"/>
  <c r="AO76" i="8"/>
  <c r="AS11" i="8"/>
  <c r="AR14" i="8"/>
  <c r="AS46" i="8"/>
  <c r="AS55" i="8" s="1"/>
  <c r="AS76" i="8"/>
  <c r="AP76" i="8"/>
  <c r="AQ46" i="8"/>
  <c r="AQ55" i="8" s="1"/>
  <c r="AS63" i="8"/>
  <c r="AS70" i="8" s="1"/>
  <c r="AR63" i="8"/>
  <c r="AR70" i="8" s="1"/>
  <c r="AN63" i="8"/>
  <c r="AN70" i="8" s="1"/>
  <c r="AP11" i="8"/>
  <c r="AN46" i="8"/>
  <c r="AN55" i="8" s="1"/>
  <c r="AR46" i="8"/>
  <c r="AR55" i="8" s="1"/>
  <c r="AQ76" i="8"/>
  <c r="AQ11" i="8"/>
  <c r="AO46" i="8"/>
  <c r="AO55" i="8" s="1"/>
  <c r="AO63" i="8"/>
  <c r="AO70" i="8" s="1"/>
  <c r="AQ63" i="8"/>
  <c r="AQ70" i="8" s="1"/>
  <c r="AR76" i="8"/>
  <c r="AN76" i="8"/>
  <c r="AU76" i="8"/>
  <c r="AU46" i="8"/>
  <c r="AU55" i="8" s="1"/>
  <c r="AV76" i="8"/>
  <c r="AU11" i="8"/>
  <c r="AU70" i="8"/>
  <c r="AV70" i="8"/>
  <c r="AT11" i="8"/>
  <c r="AV11" i="8"/>
  <c r="AV46" i="8"/>
  <c r="AV55" i="8" s="1"/>
  <c r="AR21" i="8" l="1"/>
  <c r="AR27" i="8" s="1"/>
  <c r="AR31" i="8" s="1"/>
  <c r="AQ14" i="8"/>
  <c r="AJ15" i="9"/>
  <c r="AJ21" i="9" s="1"/>
  <c r="AG13" i="10"/>
  <c r="AG14" i="10" s="1"/>
  <c r="AH13" i="10"/>
  <c r="AH14" i="10" s="1"/>
  <c r="AM77" i="8"/>
  <c r="AM79" i="8" s="1"/>
  <c r="C15" i="9"/>
  <c r="C21" i="9" s="1"/>
  <c r="AU14" i="8"/>
  <c r="AS77" i="8"/>
  <c r="AS79" i="8" s="1"/>
  <c r="AQ77" i="8"/>
  <c r="AQ79" i="8" s="1"/>
  <c r="AO77" i="8"/>
  <c r="AO79" i="8" s="1"/>
  <c r="AR77" i="8"/>
  <c r="AR79" i="8" s="1"/>
  <c r="AS14" i="8"/>
  <c r="AN77" i="8"/>
  <c r="AN79" i="8" s="1"/>
  <c r="AP14" i="8"/>
  <c r="AR15" i="8"/>
  <c r="AU77" i="8"/>
  <c r="AU79" i="8" s="1"/>
  <c r="AV14" i="8"/>
  <c r="AT14" i="8"/>
  <c r="AV77" i="8"/>
  <c r="AV79" i="8" s="1"/>
  <c r="C25" i="9" l="1"/>
  <c r="AT21" i="8"/>
  <c r="AT27" i="8" s="1"/>
  <c r="AT31" i="8" s="1"/>
  <c r="AP21" i="8"/>
  <c r="AP27" i="8" s="1"/>
  <c r="AP31" i="8" s="1"/>
  <c r="AU21" i="8"/>
  <c r="AU27" i="8" s="1"/>
  <c r="AU31" i="8" s="1"/>
  <c r="AQ21" i="8"/>
  <c r="AQ22" i="8" s="1"/>
  <c r="AS21" i="8"/>
  <c r="AS27" i="8" s="1"/>
  <c r="AS31" i="8" s="1"/>
  <c r="AR22" i="8"/>
  <c r="AV21" i="8"/>
  <c r="AV22" i="8" s="1"/>
  <c r="AU15" i="8"/>
  <c r="AT15" i="8"/>
  <c r="AQ15" i="8"/>
  <c r="AV15" i="8"/>
  <c r="AS15" i="8"/>
  <c r="AJ16" i="9"/>
  <c r="AE13" i="10"/>
  <c r="AE14" i="10" s="1"/>
  <c r="AF13" i="10"/>
  <c r="AF14" i="10" s="1"/>
  <c r="AI13" i="10"/>
  <c r="AI14" i="10" s="1"/>
  <c r="AK13" i="10"/>
  <c r="AK14" i="10" s="1"/>
  <c r="AD13" i="10"/>
  <c r="AD14" i="10" s="1"/>
  <c r="C16" i="9"/>
  <c r="AR28" i="8"/>
  <c r="AP15" i="8"/>
  <c r="C22" i="9" l="1"/>
  <c r="C29" i="9"/>
  <c r="C74" i="9" s="1"/>
  <c r="C26" i="9"/>
  <c r="AP22" i="8"/>
  <c r="AU22" i="8"/>
  <c r="AT22" i="8"/>
  <c r="AS22" i="8"/>
  <c r="AQ27" i="8"/>
  <c r="AQ31" i="8" s="1"/>
  <c r="AQ32" i="8" s="1"/>
  <c r="AV27" i="8"/>
  <c r="AV31" i="8" s="1"/>
  <c r="AC13" i="10"/>
  <c r="AC14" i="10" s="1"/>
  <c r="AB13" i="10"/>
  <c r="AP28" i="8"/>
  <c r="AU28" i="8"/>
  <c r="AJ25" i="9"/>
  <c r="AJ29" i="9" s="1"/>
  <c r="AJ74" i="9" s="1"/>
  <c r="AJ22" i="9"/>
  <c r="AA13" i="10"/>
  <c r="AJ13" i="10"/>
  <c r="AM13" i="10"/>
  <c r="AM9" i="10"/>
  <c r="AR32" i="8"/>
  <c r="AP32" i="8"/>
  <c r="AS28" i="8"/>
  <c r="AT28" i="8"/>
  <c r="C36" i="9" l="1"/>
  <c r="C46" i="9" s="1"/>
  <c r="C73" i="9"/>
  <c r="C72" i="9"/>
  <c r="C75" i="9" a="1"/>
  <c r="C75" i="9" s="1"/>
  <c r="C30" i="9"/>
  <c r="C76" i="9" a="1"/>
  <c r="C76" i="9" s="1"/>
  <c r="AQ28" i="8"/>
  <c r="AV28" i="8"/>
  <c r="AJ26" i="9"/>
  <c r="AT32" i="8"/>
  <c r="AS32" i="8"/>
  <c r="AU32" i="8"/>
  <c r="AV32" i="8"/>
  <c r="AJ76" i="9" l="1" a="1"/>
  <c r="AJ76" i="9" s="1"/>
  <c r="AJ30" i="9"/>
  <c r="AJ75" i="9" a="1"/>
  <c r="AJ75" i="9" s="1"/>
  <c r="AJ72" i="9"/>
  <c r="AJ73" i="9"/>
  <c r="AJ36" i="9"/>
  <c r="AP63" i="8" l="1"/>
  <c r="AT70" i="8"/>
  <c r="AP70" i="8" l="1"/>
  <c r="AP77" i="8" s="1"/>
  <c r="E76" i="8" l="1"/>
  <c r="C67" i="9" s="1"/>
  <c r="E11" i="8"/>
  <c r="Y11" i="8"/>
  <c r="U40" i="10" s="1"/>
  <c r="I11" i="8"/>
  <c r="H11" i="8"/>
  <c r="G11" i="8"/>
  <c r="F11" i="8"/>
  <c r="I76" i="8"/>
  <c r="G67" i="9" s="1"/>
  <c r="H76" i="8"/>
  <c r="F67" i="9" s="1"/>
  <c r="G76" i="8"/>
  <c r="E67" i="9" s="1"/>
  <c r="F76" i="8"/>
  <c r="D67" i="9" s="1"/>
  <c r="AB70" i="8"/>
  <c r="V60" i="9" s="1"/>
  <c r="Z70" i="8"/>
  <c r="T60" i="9" s="1"/>
  <c r="AW11" i="8"/>
  <c r="AJ14" i="10" s="1"/>
  <c r="U68" i="9"/>
  <c r="U77" i="9" s="1"/>
  <c r="M68" i="9"/>
  <c r="M77" i="9" s="1"/>
  <c r="D11" i="9"/>
  <c r="G14" i="10" l="1"/>
  <c r="G40" i="10"/>
  <c r="U14" i="10"/>
  <c r="I14" i="10"/>
  <c r="I40" i="10"/>
  <c r="H14" i="10"/>
  <c r="H40" i="10"/>
  <c r="F14" i="10"/>
  <c r="F40" i="10"/>
  <c r="E14" i="10"/>
  <c r="E40" i="10"/>
  <c r="F70" i="8"/>
  <c r="D60" i="9" s="1"/>
  <c r="H70" i="8"/>
  <c r="F60" i="9" s="1"/>
  <c r="E70" i="8"/>
  <c r="C60" i="9" s="1"/>
  <c r="G70" i="8"/>
  <c r="C68" i="9"/>
  <c r="C77" i="9" s="1"/>
  <c r="N68" i="9"/>
  <c r="N77" i="9" s="1"/>
  <c r="V68" i="9"/>
  <c r="V77" i="9" s="1"/>
  <c r="E68" i="9"/>
  <c r="E77" i="9" s="1"/>
  <c r="O68" i="9"/>
  <c r="O77" i="9" s="1"/>
  <c r="AH60" i="9"/>
  <c r="AJ60" i="9"/>
  <c r="E14" i="8"/>
  <c r="E21" i="8" s="1"/>
  <c r="K68" i="9"/>
  <c r="G68" i="9"/>
  <c r="G77" i="9" s="1"/>
  <c r="J68" i="9"/>
  <c r="O15" i="9"/>
  <c r="O21" i="9" s="1"/>
  <c r="M11" i="9"/>
  <c r="U11" i="9"/>
  <c r="F68" i="9"/>
  <c r="F77" i="9" s="1"/>
  <c r="I68" i="9"/>
  <c r="U12" i="9"/>
  <c r="AT76" i="8"/>
  <c r="AT77" i="8" s="1"/>
  <c r="H14" i="8"/>
  <c r="H21" i="8" s="1"/>
  <c r="G14" i="8"/>
  <c r="G21" i="8" s="1"/>
  <c r="Y14" i="8"/>
  <c r="Y21" i="8" s="1"/>
  <c r="I14" i="8"/>
  <c r="I21" i="8" s="1"/>
  <c r="AB14" i="8"/>
  <c r="AB21" i="8" s="1"/>
  <c r="F14" i="8"/>
  <c r="F21" i="8" s="1"/>
  <c r="AA70" i="8"/>
  <c r="U60" i="9" s="1"/>
  <c r="AW70" i="8"/>
  <c r="AW76" i="8"/>
  <c r="G15" i="9"/>
  <c r="G21" i="9" s="1"/>
  <c r="G11" i="9"/>
  <c r="E15" i="9"/>
  <c r="E21" i="9" s="1"/>
  <c r="E11" i="9"/>
  <c r="F15" i="9"/>
  <c r="F21" i="9" s="1"/>
  <c r="F11" i="9"/>
  <c r="M12" i="9"/>
  <c r="Q68" i="9"/>
  <c r="Q77" i="9" s="1"/>
  <c r="D15" i="9"/>
  <c r="D21" i="9" s="1"/>
  <c r="R68" i="9"/>
  <c r="R77" i="9" s="1"/>
  <c r="S68" i="9"/>
  <c r="S77" i="9" s="1"/>
  <c r="D68" i="9"/>
  <c r="D77" i="9" s="1"/>
  <c r="G77" i="8" l="1"/>
  <c r="G79" i="8" s="1"/>
  <c r="E60" i="9"/>
  <c r="AB27" i="8"/>
  <c r="AB31" i="8" s="1"/>
  <c r="AB87" i="8" s="1"/>
  <c r="I27" i="8"/>
  <c r="I31" i="8" s="1"/>
  <c r="I87" i="8" s="1"/>
  <c r="Y22" i="8"/>
  <c r="E27" i="8"/>
  <c r="E31" i="8" s="1"/>
  <c r="F27" i="8"/>
  <c r="F31" i="8" s="1"/>
  <c r="G27" i="8"/>
  <c r="G31" i="8" s="1"/>
  <c r="H22" i="8"/>
  <c r="F77" i="8"/>
  <c r="F79" i="8" s="1"/>
  <c r="Y15" i="8"/>
  <c r="F15" i="8"/>
  <c r="E15" i="8"/>
  <c r="T68" i="9"/>
  <c r="T77" i="9" s="1"/>
  <c r="Z77" i="8"/>
  <c r="Z79" i="8" s="1"/>
  <c r="AT46" i="8"/>
  <c r="AP46" i="8"/>
  <c r="AB77" i="8"/>
  <c r="AB79" i="8" s="1"/>
  <c r="H77" i="8"/>
  <c r="H79" i="8" s="1"/>
  <c r="I77" i="8"/>
  <c r="I79" i="8" s="1"/>
  <c r="E77" i="8"/>
  <c r="E79" i="8" s="1"/>
  <c r="AI60" i="9"/>
  <c r="P68" i="9"/>
  <c r="P77" i="9" s="1"/>
  <c r="L68" i="9"/>
  <c r="L77" i="9" s="1"/>
  <c r="P12" i="9"/>
  <c r="T11" i="9"/>
  <c r="Q11" i="9"/>
  <c r="R12" i="9"/>
  <c r="T15" i="9"/>
  <c r="T21" i="9" s="1"/>
  <c r="O12" i="9"/>
  <c r="Q12" i="9"/>
  <c r="N12" i="9"/>
  <c r="R15" i="9"/>
  <c r="R21" i="9" s="1"/>
  <c r="P15" i="9"/>
  <c r="P21" i="9" s="1"/>
  <c r="J12" i="9"/>
  <c r="R11" i="9"/>
  <c r="N11" i="9"/>
  <c r="J15" i="9"/>
  <c r="J21" i="9" s="1"/>
  <c r="P11" i="9"/>
  <c r="AW46" i="8"/>
  <c r="AW55" i="8" s="1"/>
  <c r="H15" i="8"/>
  <c r="I15" i="8"/>
  <c r="G15" i="8"/>
  <c r="AW14" i="8"/>
  <c r="AW21" i="8" s="1"/>
  <c r="AB15" i="8"/>
  <c r="O16" i="9"/>
  <c r="F16" i="9"/>
  <c r="S11" i="9"/>
  <c r="S15" i="9"/>
  <c r="S21" i="9" s="1"/>
  <c r="S12" i="9"/>
  <c r="K15" i="9"/>
  <c r="K21" i="9" s="1"/>
  <c r="K12" i="9"/>
  <c r="U15" i="9"/>
  <c r="U21" i="9" s="1"/>
  <c r="AJ11" i="9"/>
  <c r="N15" i="9"/>
  <c r="N21" i="9" s="1"/>
  <c r="T12" i="9"/>
  <c r="D16" i="9"/>
  <c r="V11" i="9"/>
  <c r="V15" i="9"/>
  <c r="V21" i="9" s="1"/>
  <c r="V12" i="9"/>
  <c r="L15" i="9"/>
  <c r="L21" i="9" s="1"/>
  <c r="L12" i="9"/>
  <c r="O11" i="9"/>
  <c r="M15" i="9"/>
  <c r="M21" i="9" s="1"/>
  <c r="G16" i="9"/>
  <c r="Q15" i="9"/>
  <c r="Q21" i="9" s="1"/>
  <c r="E16" i="9"/>
  <c r="I15" i="9"/>
  <c r="I21" i="9" s="1"/>
  <c r="J16" i="9" l="1"/>
  <c r="R16" i="9"/>
  <c r="R22" i="9"/>
  <c r="AB22" i="8"/>
  <c r="I22" i="8"/>
  <c r="F22" i="8"/>
  <c r="E22" i="8"/>
  <c r="H27" i="8"/>
  <c r="H31" i="8" s="1"/>
  <c r="H87" i="8" s="1"/>
  <c r="H103" i="8" s="1"/>
  <c r="H127" i="8" s="1"/>
  <c r="Y27" i="8"/>
  <c r="Y31" i="8" s="1"/>
  <c r="G22" i="8"/>
  <c r="AP55" i="8"/>
  <c r="AP79" i="8" s="1"/>
  <c r="AT55" i="8"/>
  <c r="AT79" i="8" s="1"/>
  <c r="AW27" i="8"/>
  <c r="AW31" i="8" s="1"/>
  <c r="E87" i="8"/>
  <c r="G28" i="8"/>
  <c r="AB28" i="8"/>
  <c r="AW22" i="8"/>
  <c r="I28" i="8"/>
  <c r="D21" i="12"/>
  <c r="D24" i="12"/>
  <c r="D25" i="12"/>
  <c r="E28" i="8"/>
  <c r="AW77" i="8"/>
  <c r="AA77" i="8"/>
  <c r="AA79" i="8" s="1"/>
  <c r="T16" i="9"/>
  <c r="P16" i="9"/>
  <c r="J22" i="9"/>
  <c r="I32" i="8"/>
  <c r="I103" i="8"/>
  <c r="I127" i="8" s="1"/>
  <c r="F28" i="8"/>
  <c r="AW15" i="8"/>
  <c r="I16" i="9"/>
  <c r="E25" i="9"/>
  <c r="E29" i="9" s="1"/>
  <c r="E74" i="9" s="1"/>
  <c r="E22" i="9"/>
  <c r="D25" i="9"/>
  <c r="D29" i="9" s="1"/>
  <c r="D74" i="9" s="1"/>
  <c r="D22" i="9"/>
  <c r="K16" i="9"/>
  <c r="Q16" i="9"/>
  <c r="L16" i="9"/>
  <c r="F25" i="9"/>
  <c r="F29" i="9" s="1"/>
  <c r="F74" i="9" s="1"/>
  <c r="F22" i="9"/>
  <c r="O25" i="9"/>
  <c r="O29" i="9" s="1"/>
  <c r="O22" i="9"/>
  <c r="V16" i="9"/>
  <c r="S16" i="9"/>
  <c r="T25" i="9"/>
  <c r="T29" i="9" s="1"/>
  <c r="T22" i="9"/>
  <c r="P22" i="9"/>
  <c r="P25" i="9"/>
  <c r="P29" i="9" s="1"/>
  <c r="G22" i="9"/>
  <c r="G25" i="9"/>
  <c r="G29" i="9" s="1"/>
  <c r="G74" i="9" s="1"/>
  <c r="U16" i="9"/>
  <c r="M16" i="9"/>
  <c r="N16" i="9"/>
  <c r="Y87" i="8" l="1"/>
  <c r="Y103" i="8" s="1"/>
  <c r="Y127" i="8" s="1"/>
  <c r="H28" i="8"/>
  <c r="H32" i="8"/>
  <c r="Y28" i="8"/>
  <c r="AT87" i="8"/>
  <c r="D19" i="12"/>
  <c r="E103" i="8"/>
  <c r="E127" i="8" s="1"/>
  <c r="G32" i="8"/>
  <c r="G87" i="8"/>
  <c r="E32" i="8"/>
  <c r="AB103" i="8"/>
  <c r="AB127" i="8" s="1"/>
  <c r="AB32" i="8"/>
  <c r="F87" i="8"/>
  <c r="F32" i="8"/>
  <c r="AW79" i="8"/>
  <c r="R25" i="9"/>
  <c r="R29" i="9" s="1"/>
  <c r="J25" i="9"/>
  <c r="J29" i="9" s="1"/>
  <c r="AW28" i="8"/>
  <c r="Y32" i="8"/>
  <c r="G26" i="9"/>
  <c r="N25" i="9"/>
  <c r="N29" i="9" s="1"/>
  <c r="N22" i="9"/>
  <c r="T26" i="9"/>
  <c r="F26" i="9"/>
  <c r="D26" i="9"/>
  <c r="O26" i="9"/>
  <c r="S22" i="9"/>
  <c r="S25" i="9"/>
  <c r="S29" i="9" s="1"/>
  <c r="E26" i="9"/>
  <c r="U25" i="9"/>
  <c r="U29" i="9" s="1"/>
  <c r="U22" i="9"/>
  <c r="Q22" i="9"/>
  <c r="Q25" i="9"/>
  <c r="Q29" i="9" s="1"/>
  <c r="M25" i="9"/>
  <c r="M29" i="9" s="1"/>
  <c r="M22" i="9"/>
  <c r="P26" i="9"/>
  <c r="L25" i="9"/>
  <c r="L29" i="9" s="1"/>
  <c r="L22" i="9"/>
  <c r="K22" i="9"/>
  <c r="K25" i="9"/>
  <c r="K29" i="9" s="1"/>
  <c r="V25" i="9"/>
  <c r="V29" i="9" s="1"/>
  <c r="V22" i="9"/>
  <c r="I22" i="9"/>
  <c r="I25" i="9"/>
  <c r="I29" i="9" s="1"/>
  <c r="W76" i="9" l="1" a="1"/>
  <c r="W76" i="9" s="1"/>
  <c r="W72" i="9"/>
  <c r="W73" i="9"/>
  <c r="W74" i="9" a="1"/>
  <c r="W74" i="9" s="1"/>
  <c r="W75" i="9" a="1"/>
  <c r="W75" i="9" s="1"/>
  <c r="AH87" i="8"/>
  <c r="AH103" i="8" s="1"/>
  <c r="AF87" i="8"/>
  <c r="AF103" i="8" s="1"/>
  <c r="AG87" i="8"/>
  <c r="AG103" i="8" s="1"/>
  <c r="AE87" i="8"/>
  <c r="AE103" i="8" s="1"/>
  <c r="AT127" i="8"/>
  <c r="Q74" i="9" a="1"/>
  <c r="Q74" i="9" s="1"/>
  <c r="P74" i="9" a="1"/>
  <c r="P74" i="9" s="1"/>
  <c r="V74" i="9" a="1"/>
  <c r="V74" i="9" s="1"/>
  <c r="L74" i="9" a="1"/>
  <c r="L74" i="9" s="1"/>
  <c r="N74" i="9" a="1"/>
  <c r="N74" i="9" s="1"/>
  <c r="U74" i="9" a="1"/>
  <c r="U74" i="9" s="1"/>
  <c r="T74" i="9" a="1"/>
  <c r="T74" i="9" s="1"/>
  <c r="M74" i="9" a="1"/>
  <c r="M74" i="9" s="1"/>
  <c r="R74" i="9" a="1"/>
  <c r="R74" i="9" s="1"/>
  <c r="O74" i="9" a="1"/>
  <c r="O74" i="9" s="1"/>
  <c r="S74" i="9" a="1"/>
  <c r="S74" i="9" s="1"/>
  <c r="G103" i="8"/>
  <c r="G127" i="8" s="1"/>
  <c r="F103" i="8"/>
  <c r="F127" i="8" s="1"/>
  <c r="AS103" i="8"/>
  <c r="R26" i="9"/>
  <c r="J26" i="9"/>
  <c r="AT103" i="8"/>
  <c r="M26" i="9"/>
  <c r="Q26" i="9"/>
  <c r="R76" i="9" a="1"/>
  <c r="R76" i="9" s="1"/>
  <c r="J36" i="9"/>
  <c r="J45" i="9" s="1"/>
  <c r="J30" i="9"/>
  <c r="N26" i="9"/>
  <c r="D75" i="9" a="1"/>
  <c r="D75" i="9" s="1"/>
  <c r="D76" i="9" a="1"/>
  <c r="D76" i="9" s="1"/>
  <c r="D36" i="9"/>
  <c r="D45" i="9" s="1"/>
  <c r="D30" i="9"/>
  <c r="D73" i="9"/>
  <c r="D72" i="9"/>
  <c r="F76" i="9" a="1"/>
  <c r="F76" i="9" s="1"/>
  <c r="F75" i="9" a="1"/>
  <c r="F75" i="9" s="1"/>
  <c r="F30" i="9"/>
  <c r="F36" i="9"/>
  <c r="F45" i="9" s="1"/>
  <c r="F72" i="9"/>
  <c r="F73" i="9"/>
  <c r="G75" i="9" a="1"/>
  <c r="G75" i="9" s="1"/>
  <c r="G76" i="9" a="1"/>
  <c r="G76" i="9" s="1"/>
  <c r="G30" i="9"/>
  <c r="G73" i="9"/>
  <c r="G36" i="9"/>
  <c r="G45" i="9" s="1"/>
  <c r="G72" i="9"/>
  <c r="R30" i="9"/>
  <c r="R36" i="9"/>
  <c r="R45" i="9" s="1"/>
  <c r="V26" i="9"/>
  <c r="L26" i="9"/>
  <c r="U26" i="9"/>
  <c r="P36" i="9"/>
  <c r="P45" i="9" s="1"/>
  <c r="P30" i="9"/>
  <c r="O36" i="9"/>
  <c r="O45" i="9" s="1"/>
  <c r="O30" i="9"/>
  <c r="S26" i="9"/>
  <c r="I26" i="9"/>
  <c r="K26" i="9"/>
  <c r="E76" i="9" a="1"/>
  <c r="E76" i="9" s="1"/>
  <c r="E36" i="9"/>
  <c r="E45" i="9" s="1"/>
  <c r="E30" i="9"/>
  <c r="E75" i="9" a="1"/>
  <c r="E75" i="9" s="1"/>
  <c r="E73" i="9"/>
  <c r="E72" i="9"/>
  <c r="T30" i="9"/>
  <c r="T36" i="9"/>
  <c r="T45" i="9" s="1"/>
  <c r="N103" i="8" l="1"/>
  <c r="N127" i="8" s="1"/>
  <c r="AL87" i="8"/>
  <c r="AL103" i="8" s="1"/>
  <c r="AK87" i="8"/>
  <c r="AK103" i="8" s="1"/>
  <c r="AI87" i="8"/>
  <c r="AI103" i="8" s="1"/>
  <c r="AJ87" i="8"/>
  <c r="AJ103" i="8" s="1"/>
  <c r="AH127" i="8"/>
  <c r="AG127" i="8"/>
  <c r="AE127" i="8"/>
  <c r="AF127" i="8"/>
  <c r="R103" i="8"/>
  <c r="R127" i="8" s="1"/>
  <c r="AN87" i="8"/>
  <c r="AO87" i="8"/>
  <c r="AP87" i="8"/>
  <c r="AP103" i="8" s="1"/>
  <c r="AM87" i="8"/>
  <c r="AQ103" i="8"/>
  <c r="AR103" i="8"/>
  <c r="AW32" i="8"/>
  <c r="R75" i="9" a="1"/>
  <c r="R75" i="9" s="1"/>
  <c r="D46" i="9"/>
  <c r="U75" i="9" a="1"/>
  <c r="U75" i="9" s="1"/>
  <c r="S75" i="9" a="1"/>
  <c r="S75" i="9" s="1"/>
  <c r="U73" i="9"/>
  <c r="N76" i="9" a="1"/>
  <c r="N76" i="9" s="1"/>
  <c r="N75" i="9" a="1"/>
  <c r="N75" i="9" s="1"/>
  <c r="N72" i="9"/>
  <c r="K36" i="9"/>
  <c r="K45" i="9" s="1"/>
  <c r="K30" i="9"/>
  <c r="N73" i="9"/>
  <c r="M75" i="9" a="1"/>
  <c r="M75" i="9" s="1"/>
  <c r="Q36" i="9"/>
  <c r="Q45" i="9" s="1"/>
  <c r="T75" i="9" a="1"/>
  <c r="T75" i="9" s="1"/>
  <c r="T76" i="9" a="1"/>
  <c r="T76" i="9" s="1"/>
  <c r="Q30" i="9"/>
  <c r="T72" i="9"/>
  <c r="T73" i="9"/>
  <c r="I36" i="9"/>
  <c r="I45" i="9" s="1"/>
  <c r="L75" i="9" a="1"/>
  <c r="L75" i="9" s="1"/>
  <c r="L76" i="9" a="1"/>
  <c r="L76" i="9" s="1"/>
  <c r="I30" i="9"/>
  <c r="L72" i="9"/>
  <c r="L73" i="9"/>
  <c r="R73" i="9"/>
  <c r="S72" i="9"/>
  <c r="G46" i="9"/>
  <c r="J46" i="9"/>
  <c r="R72" i="9"/>
  <c r="O75" i="9" a="1"/>
  <c r="O75" i="9" s="1"/>
  <c r="L36" i="9"/>
  <c r="L45" i="9" s="1"/>
  <c r="L30" i="9"/>
  <c r="O76" i="9" a="1"/>
  <c r="O76" i="9" s="1"/>
  <c r="O72" i="9"/>
  <c r="O73" i="9"/>
  <c r="F46" i="9"/>
  <c r="M72" i="9"/>
  <c r="U36" i="9"/>
  <c r="U45" i="9" s="1"/>
  <c r="U30" i="9"/>
  <c r="Q76" i="9" a="1"/>
  <c r="Q76" i="9" s="1"/>
  <c r="N36" i="9"/>
  <c r="N45" i="9" s="1"/>
  <c r="N30" i="9"/>
  <c r="Q75" i="9" a="1"/>
  <c r="Q75" i="9" s="1"/>
  <c r="Q72" i="9"/>
  <c r="Q73" i="9"/>
  <c r="S76" i="9" a="1"/>
  <c r="S76" i="9" s="1"/>
  <c r="U72" i="9"/>
  <c r="M76" i="9" a="1"/>
  <c r="M76" i="9" s="1"/>
  <c r="E46" i="9"/>
  <c r="V76" i="9" a="1"/>
  <c r="V76" i="9" s="1"/>
  <c r="V75" i="9" a="1"/>
  <c r="V75" i="9" s="1"/>
  <c r="V72" i="9"/>
  <c r="S30" i="9"/>
  <c r="S36" i="9"/>
  <c r="S45" i="9" s="1"/>
  <c r="V73" i="9"/>
  <c r="T46" i="9"/>
  <c r="U76" i="9" a="1"/>
  <c r="U76" i="9" s="1"/>
  <c r="P75" i="9" a="1"/>
  <c r="P75" i="9" s="1"/>
  <c r="P76" i="9" a="1"/>
  <c r="P76" i="9" s="1"/>
  <c r="M36" i="9"/>
  <c r="M45" i="9" s="1"/>
  <c r="M30" i="9"/>
  <c r="P72" i="9"/>
  <c r="P73" i="9"/>
  <c r="S73" i="9"/>
  <c r="V30" i="9"/>
  <c r="V36" i="9"/>
  <c r="V45" i="9" s="1"/>
  <c r="M73" i="9"/>
  <c r="AK45" i="9" l="1"/>
  <c r="AK46" i="9" s="1"/>
  <c r="AL127" i="8"/>
  <c r="AJ127" i="8"/>
  <c r="AI127" i="8"/>
  <c r="AK127" i="8"/>
  <c r="AP127" i="8"/>
  <c r="AN127" i="8"/>
  <c r="AO127" i="8"/>
  <c r="AM127" i="8"/>
  <c r="AE45" i="9"/>
  <c r="AE46" i="9" s="1"/>
  <c r="AA45" i="9"/>
  <c r="AA46" i="9" s="1"/>
  <c r="AH45" i="9"/>
  <c r="AH46" i="9" s="1"/>
  <c r="AG45" i="9"/>
  <c r="AG46" i="9" s="1"/>
  <c r="AD45" i="9"/>
  <c r="AD46" i="9" s="1"/>
  <c r="AJ45" i="9"/>
  <c r="AJ46" i="9" s="1"/>
  <c r="AC45" i="9"/>
  <c r="AC46" i="9" s="1"/>
  <c r="AF45" i="9"/>
  <c r="AF46" i="9" s="1"/>
  <c r="AB45" i="9"/>
  <c r="AB46" i="9" s="1"/>
  <c r="AI45" i="9"/>
  <c r="AI46" i="9" s="1"/>
  <c r="U46" i="9"/>
  <c r="V46" i="9"/>
  <c r="S46" i="9"/>
  <c r="K46" i="9"/>
  <c r="R46" i="9"/>
  <c r="M46" i="9"/>
  <c r="O46" i="9"/>
  <c r="P46" i="9"/>
  <c r="I46" i="9" l="1"/>
  <c r="Z45" i="9"/>
  <c r="Z46" i="9" s="1"/>
  <c r="Y45" i="9"/>
  <c r="Y46" i="9" s="1"/>
  <c r="N46" i="9"/>
  <c r="Q46" i="9"/>
  <c r="L46" i="9"/>
  <c r="E128" i="8" l="1"/>
  <c r="E130" i="8" l="1"/>
  <c r="K122" i="8"/>
  <c r="F122" i="8"/>
  <c r="F124" i="8" s="1"/>
  <c r="F128" i="8" s="1"/>
  <c r="F130" i="8" s="1"/>
  <c r="G122" i="8" l="1"/>
  <c r="G124" i="8" s="1"/>
  <c r="G128" i="8" s="1"/>
  <c r="G130" i="8" s="1"/>
  <c r="H122" i="8" l="1"/>
  <c r="H124" i="8" s="1"/>
  <c r="H128" i="8" s="1"/>
  <c r="H130" i="8" s="1"/>
  <c r="I122" i="8" l="1"/>
  <c r="I124" i="8" s="1"/>
  <c r="I128" i="8" s="1"/>
  <c r="I130" i="8" s="1"/>
  <c r="G43" i="14" l="1"/>
  <c r="H43" i="14" s="1"/>
  <c r="I43" i="14" s="1"/>
  <c r="J43" i="14" s="1"/>
  <c r="K43" i="14" s="1"/>
  <c r="F44" i="14"/>
  <c r="F47" i="14" l="1"/>
  <c r="F48" i="14" s="1"/>
  <c r="F71" i="14"/>
  <c r="G71" i="14" s="1"/>
  <c r="F202" i="14" l="1"/>
  <c r="F207" i="14" s="1"/>
  <c r="F156" i="14"/>
  <c r="H71" i="14"/>
  <c r="G37" i="14"/>
  <c r="F204" i="14" l="1"/>
  <c r="I71" i="14"/>
  <c r="H37" i="14"/>
  <c r="J71" i="14" l="1"/>
  <c r="I37" i="14"/>
  <c r="K71" i="14" l="1"/>
  <c r="K37" i="14" s="1"/>
  <c r="J37" i="14"/>
  <c r="AE122" i="8"/>
  <c r="AE124" i="8" s="1"/>
  <c r="AE128" i="8" s="1"/>
  <c r="AE130" i="8" s="1"/>
  <c r="AF122" i="8" l="1"/>
  <c r="AF124" i="8" s="1"/>
  <c r="AF128" i="8" s="1"/>
  <c r="AF130" i="8" s="1"/>
  <c r="AG122" i="8" l="1"/>
  <c r="AG124" i="8" s="1"/>
  <c r="AG128" i="8" s="1"/>
  <c r="AG130" i="8" s="1"/>
  <c r="AH122" i="8" l="1"/>
  <c r="AH124" i="8" s="1"/>
  <c r="AH128" i="8" s="1"/>
  <c r="AH130" i="8" s="1"/>
  <c r="AI122" i="8" l="1"/>
  <c r="AI124" i="8" s="1"/>
  <c r="AI128" i="8" s="1"/>
  <c r="AI130" i="8" s="1"/>
  <c r="K124" i="8"/>
  <c r="K128" i="8" s="1"/>
  <c r="K130" i="8" s="1"/>
  <c r="AJ122" i="8" l="1"/>
  <c r="AJ124" i="8" s="1"/>
  <c r="AJ128" i="8" s="1"/>
  <c r="AJ130" i="8" s="1"/>
  <c r="L122" i="8"/>
  <c r="L124" i="8" s="1"/>
  <c r="L128" i="8" s="1"/>
  <c r="L130" i="8" s="1"/>
  <c r="G35" i="14"/>
  <c r="AK122" i="8" l="1"/>
  <c r="AK124" i="8" s="1"/>
  <c r="AK128" i="8" s="1"/>
  <c r="AK130" i="8" s="1"/>
  <c r="E17" i="12"/>
  <c r="G36" i="14"/>
  <c r="H18" i="14"/>
  <c r="H21" i="14" s="1"/>
  <c r="G144" i="14"/>
  <c r="G150" i="14" s="1"/>
  <c r="G151" i="14" s="1"/>
  <c r="G111" i="14" s="1"/>
  <c r="G28" i="14"/>
  <c r="G29" i="14" s="1"/>
  <c r="M122" i="8"/>
  <c r="M124" i="8" s="1"/>
  <c r="M128" i="8" s="1"/>
  <c r="M130" i="8" s="1"/>
  <c r="E30" i="12"/>
  <c r="AL122" i="8" l="1"/>
  <c r="AL124" i="8" s="1"/>
  <c r="AL128" i="8" s="1"/>
  <c r="AL130" i="8" s="1"/>
  <c r="G32" i="14"/>
  <c r="H35" i="14"/>
  <c r="H28" i="14"/>
  <c r="H32" i="14" s="1"/>
  <c r="H36" i="14"/>
  <c r="I18" i="14"/>
  <c r="H144" i="14"/>
  <c r="H150" i="14" s="1"/>
  <c r="H151" i="14" s="1"/>
  <c r="H111" i="14" s="1"/>
  <c r="G146" i="14"/>
  <c r="G107" i="14" s="1"/>
  <c r="N122" i="8"/>
  <c r="N124" i="8" s="1"/>
  <c r="N128" i="8" s="1"/>
  <c r="N130" i="8" s="1"/>
  <c r="F30" i="12"/>
  <c r="F17" i="12"/>
  <c r="I35" i="14" l="1"/>
  <c r="I21" i="14"/>
  <c r="H33" i="14"/>
  <c r="H38" i="14"/>
  <c r="H39" i="14" s="1"/>
  <c r="G33" i="14"/>
  <c r="G38" i="14"/>
  <c r="G39" i="14" s="1"/>
  <c r="AM122" i="8"/>
  <c r="G31" i="14"/>
  <c r="G82" i="14" s="1"/>
  <c r="G109" i="14" s="1"/>
  <c r="G30" i="12"/>
  <c r="I36" i="14"/>
  <c r="J18" i="14"/>
  <c r="H29" i="14"/>
  <c r="I28" i="14"/>
  <c r="I32" i="14" s="1"/>
  <c r="I144" i="14"/>
  <c r="I146" i="14" s="1"/>
  <c r="H146" i="14"/>
  <c r="H107" i="14" s="1"/>
  <c r="H31" i="14"/>
  <c r="O122" i="8"/>
  <c r="O124" i="8" s="1"/>
  <c r="O128" i="8" s="1"/>
  <c r="O130" i="8" s="1"/>
  <c r="J21" i="14" l="1"/>
  <c r="J28" i="14" s="1"/>
  <c r="I33" i="14"/>
  <c r="I38" i="14"/>
  <c r="I39" i="14" s="1"/>
  <c r="AN122" i="8"/>
  <c r="G17" i="12"/>
  <c r="J35" i="14"/>
  <c r="H30" i="12"/>
  <c r="J144" i="14"/>
  <c r="J150" i="14" s="1"/>
  <c r="J151" i="14" s="1"/>
  <c r="J111" i="14" s="1"/>
  <c r="I29" i="14"/>
  <c r="G88" i="14"/>
  <c r="G110" i="14" s="1"/>
  <c r="E23" i="12"/>
  <c r="G51" i="14"/>
  <c r="G52" i="14" s="1"/>
  <c r="I150" i="14"/>
  <c r="I151" i="14" s="1"/>
  <c r="I111" i="14" s="1"/>
  <c r="F21" i="12"/>
  <c r="H51" i="14"/>
  <c r="H52" i="14" s="1"/>
  <c r="H82" i="14"/>
  <c r="H109" i="14" s="1"/>
  <c r="I31" i="14"/>
  <c r="P122" i="8"/>
  <c r="P124" i="8" s="1"/>
  <c r="P128" i="8" s="1"/>
  <c r="P130" i="8" s="1"/>
  <c r="H17" i="12"/>
  <c r="I107" i="14"/>
  <c r="J32" i="14" l="1"/>
  <c r="J29" i="14"/>
  <c r="K144" i="14"/>
  <c r="K146" i="14" s="1"/>
  <c r="K21" i="14"/>
  <c r="J33" i="14"/>
  <c r="K35" i="14"/>
  <c r="AO122" i="8"/>
  <c r="K28" i="14"/>
  <c r="K32" i="14" s="1"/>
  <c r="J146" i="14"/>
  <c r="E19" i="12"/>
  <c r="G55" i="14"/>
  <c r="G56" i="14" s="1"/>
  <c r="H88" i="14"/>
  <c r="H110" i="14" s="1"/>
  <c r="F35" i="12" s="1"/>
  <c r="E21" i="12"/>
  <c r="E25" i="12"/>
  <c r="I51" i="14"/>
  <c r="I52" i="14" s="1"/>
  <c r="F23" i="12"/>
  <c r="F25" i="12"/>
  <c r="H55" i="14"/>
  <c r="H56" i="14" s="1"/>
  <c r="G25" i="12"/>
  <c r="F19" i="12"/>
  <c r="I82" i="14"/>
  <c r="I109" i="14" s="1"/>
  <c r="J31" i="14"/>
  <c r="Q122" i="8"/>
  <c r="Q124" i="8" s="1"/>
  <c r="Q128" i="8" s="1"/>
  <c r="Q130" i="8" s="1"/>
  <c r="K150" i="14"/>
  <c r="K151" i="14" s="1"/>
  <c r="K111" i="14" s="1"/>
  <c r="E35" i="12"/>
  <c r="E28" i="12"/>
  <c r="I17" i="12"/>
  <c r="I30" i="12"/>
  <c r="J107" i="14"/>
  <c r="K29" i="14" l="1"/>
  <c r="K33" i="14"/>
  <c r="AP122" i="8"/>
  <c r="G19" i="12"/>
  <c r="I88" i="14"/>
  <c r="J88" i="14" s="1"/>
  <c r="J110" i="14" s="1"/>
  <c r="I55" i="14"/>
  <c r="I56" i="14" s="1"/>
  <c r="E32" i="12"/>
  <c r="E41" i="12" s="1"/>
  <c r="E42" i="12" s="1"/>
  <c r="G21" i="12"/>
  <c r="G23" i="12"/>
  <c r="J82" i="14"/>
  <c r="J109" i="14" s="1"/>
  <c r="F28" i="12"/>
  <c r="F32" i="12" s="1"/>
  <c r="F41" i="12" s="1"/>
  <c r="F42" i="12" s="1"/>
  <c r="K31" i="14"/>
  <c r="R122" i="8"/>
  <c r="R124" i="8" s="1"/>
  <c r="R128" i="8" s="1"/>
  <c r="R130" i="8" s="1"/>
  <c r="K107" i="14"/>
  <c r="I110" i="14" l="1"/>
  <c r="G28" i="12" s="1"/>
  <c r="G32" i="12" s="1"/>
  <c r="G41" i="12" s="1"/>
  <c r="G42" i="12" s="1"/>
  <c r="AQ122" i="8"/>
  <c r="K110" i="14"/>
  <c r="G35" i="12"/>
  <c r="AM124" i="8"/>
  <c r="K82" i="14"/>
  <c r="K109" i="14" s="1"/>
  <c r="S122" i="8"/>
  <c r="S124" i="8" s="1"/>
  <c r="S128" i="8" s="1"/>
  <c r="S130" i="8" s="1"/>
  <c r="AR122" i="8" l="1"/>
  <c r="I35" i="12"/>
  <c r="T122" i="8"/>
  <c r="T124" i="8" s="1"/>
  <c r="T128" i="8" s="1"/>
  <c r="T130" i="8" s="1"/>
  <c r="H35" i="12"/>
  <c r="H28" i="12"/>
  <c r="AS122" i="8" l="1"/>
  <c r="I28" i="12"/>
  <c r="U122" i="8"/>
  <c r="U124" i="8" s="1"/>
  <c r="U128" i="8" s="1"/>
  <c r="U130" i="8" s="1"/>
  <c r="AT122" i="8" l="1"/>
  <c r="V122" i="8"/>
  <c r="V124" i="8" s="1"/>
  <c r="V128" i="8" s="1"/>
  <c r="V130" i="8" s="1"/>
  <c r="K36" i="14"/>
  <c r="K38" i="14" s="1"/>
  <c r="J36" i="14"/>
  <c r="J38" i="14" s="1"/>
  <c r="AU122" i="8" l="1"/>
  <c r="W122" i="8"/>
  <c r="W124" i="8" s="1"/>
  <c r="W128" i="8" s="1"/>
  <c r="W130" i="8" s="1"/>
  <c r="J51" i="14"/>
  <c r="J52" i="14" s="1"/>
  <c r="J55" i="14" s="1"/>
  <c r="J56" i="14" s="1"/>
  <c r="J39" i="14"/>
  <c r="K51" i="14"/>
  <c r="K52" i="14" s="1"/>
  <c r="K39" i="14"/>
  <c r="H25" i="12"/>
  <c r="H32" i="12" s="1"/>
  <c r="H41" i="12" s="1"/>
  <c r="H42" i="12" s="1"/>
  <c r="I21" i="12"/>
  <c r="AV122" i="8" l="1"/>
  <c r="AR124" i="8"/>
  <c r="AR128" i="8" s="1"/>
  <c r="AR130" i="8" s="1"/>
  <c r="X122" i="8"/>
  <c r="X124" i="8" s="1"/>
  <c r="X128" i="8" s="1"/>
  <c r="X130" i="8" s="1"/>
  <c r="K55" i="14"/>
  <c r="K56" i="14" s="1"/>
  <c r="H19" i="12"/>
  <c r="I46" i="12"/>
  <c r="I48" i="12" s="1"/>
  <c r="I49" i="12" s="1"/>
  <c r="H21" i="12"/>
  <c r="I23" i="12"/>
  <c r="H23" i="12"/>
  <c r="I25" i="12"/>
  <c r="I32" i="12" s="1"/>
  <c r="I41" i="12" s="1"/>
  <c r="I42" i="12" s="1"/>
  <c r="C50" i="12" s="1"/>
  <c r="AW122" i="8" l="1"/>
  <c r="AS124" i="8"/>
  <c r="AS128" i="8" s="1"/>
  <c r="AS130" i="8" s="1"/>
  <c r="Y122" i="8"/>
  <c r="Y124" i="8" s="1"/>
  <c r="Y128" i="8" s="1"/>
  <c r="Y130" i="8" s="1"/>
  <c r="I19" i="12"/>
  <c r="C47" i="12"/>
  <c r="C48" i="12" s="1"/>
  <c r="C55" i="12" s="1"/>
  <c r="I50" i="12"/>
  <c r="I51" i="12" s="1"/>
  <c r="D73" i="12" s="1"/>
  <c r="I55" i="12"/>
  <c r="AX122" i="8" l="1"/>
  <c r="AT124" i="8"/>
  <c r="AT128" i="8" s="1"/>
  <c r="AT130" i="8" s="1"/>
  <c r="AN124" i="8"/>
  <c r="Z122" i="8"/>
  <c r="Z124" i="8" s="1"/>
  <c r="C49" i="12"/>
  <c r="C51" i="12" s="1"/>
  <c r="C73" i="12" s="1"/>
  <c r="I53" i="12"/>
  <c r="I54" i="12" s="1"/>
  <c r="D88" i="12"/>
  <c r="D75" i="12"/>
  <c r="D77" i="12" s="1"/>
  <c r="D103" i="12" s="1"/>
  <c r="D83" i="12"/>
  <c r="D86" i="12"/>
  <c r="D81" i="12"/>
  <c r="D87" i="12"/>
  <c r="D82" i="12"/>
  <c r="L103" i="12" s="1"/>
  <c r="C75" i="12" l="1"/>
  <c r="C77" i="12" s="1"/>
  <c r="D94" i="12" s="1"/>
  <c r="C83" i="12"/>
  <c r="C86" i="12"/>
  <c r="C81" i="12"/>
  <c r="C87" i="12"/>
  <c r="C82" i="12"/>
  <c r="L94" i="12" s="1"/>
  <c r="C88" i="12"/>
  <c r="C53" i="12"/>
  <c r="C54" i="12" s="1"/>
  <c r="AA11" i="8" l="1"/>
  <c r="W40" i="10" s="1"/>
  <c r="AA14" i="8" l="1"/>
  <c r="AA21" i="8" s="1"/>
  <c r="W14" i="10"/>
  <c r="AA27" i="8" l="1"/>
  <c r="AA31" i="8" s="1"/>
  <c r="AA87" i="8" s="1"/>
  <c r="AA15" i="8"/>
  <c r="AA22" i="8" l="1"/>
  <c r="AA28" i="8"/>
  <c r="AA32" i="8" l="1"/>
  <c r="AA103" i="8" l="1"/>
  <c r="AA127" i="8" s="1"/>
  <c r="AO103" i="8"/>
  <c r="AM11" i="8"/>
  <c r="AO11" i="8"/>
  <c r="AB14" i="10" s="1"/>
  <c r="Z11" i="8"/>
  <c r="V40" i="10" s="1"/>
  <c r="AN11" i="8"/>
  <c r="AN14" i="8" l="1"/>
  <c r="AA14" i="10"/>
  <c r="Z14" i="8"/>
  <c r="Z21" i="8" s="1"/>
  <c r="V14" i="10"/>
  <c r="AO14" i="8"/>
  <c r="AO21" i="8" s="1"/>
  <c r="AM14" i="8"/>
  <c r="AM21" i="8" s="1"/>
  <c r="Z15" i="8" l="1"/>
  <c r="Z27" i="8"/>
  <c r="Z31" i="8" s="1"/>
  <c r="Z87" i="8" s="1"/>
  <c r="AN21" i="8"/>
  <c r="AN22" i="8" s="1"/>
  <c r="AN15" i="8"/>
  <c r="AO27" i="8"/>
  <c r="AO31" i="8" s="1"/>
  <c r="AO15" i="8"/>
  <c r="AM15" i="8"/>
  <c r="AM27" i="8"/>
  <c r="AM31" i="8" s="1"/>
  <c r="AN27" i="8" l="1"/>
  <c r="AN31" i="8" s="1"/>
  <c r="Z22" i="8"/>
  <c r="Z28" i="8"/>
  <c r="AM22" i="8"/>
  <c r="AO22" i="8"/>
  <c r="AN28" i="8" l="1"/>
  <c r="Z32" i="8"/>
  <c r="AX87" i="8"/>
  <c r="AX103" i="8" s="1"/>
  <c r="AO28" i="8"/>
  <c r="AM28" i="8"/>
  <c r="AN32" i="8"/>
  <c r="AW87" i="8" l="1"/>
  <c r="AU87" i="8"/>
  <c r="AU103" i="8" s="1"/>
  <c r="AV87" i="8"/>
  <c r="AV103" i="8" s="1"/>
  <c r="AN103" i="8"/>
  <c r="AN128" i="8" s="1"/>
  <c r="AN130" i="8" s="1"/>
  <c r="Z103" i="8"/>
  <c r="Z127" i="8" s="1"/>
  <c r="AM103" i="8"/>
  <c r="AM32" i="8"/>
  <c r="AO32" i="8"/>
  <c r="Z128" i="8" l="1"/>
  <c r="Z130" i="8" s="1"/>
  <c r="AX127" i="8"/>
  <c r="AW127" i="8"/>
  <c r="AV127" i="8"/>
  <c r="AU127" i="8"/>
  <c r="AM128" i="8"/>
  <c r="AM130" i="8" s="1"/>
  <c r="AU124" i="8"/>
  <c r="AW103" i="8"/>
  <c r="AO124" i="8"/>
  <c r="AO128" i="8" s="1"/>
  <c r="AO130" i="8" s="1"/>
  <c r="AA122" i="8" l="1"/>
  <c r="AA124" i="8" s="1"/>
  <c r="AA128" i="8" s="1"/>
  <c r="AA130" i="8" s="1"/>
  <c r="AU128" i="8"/>
  <c r="AU130" i="8" s="1"/>
  <c r="AV124" i="8"/>
  <c r="AV128" i="8" s="1"/>
  <c r="AV130" i="8" s="1"/>
  <c r="AP124" i="8"/>
  <c r="AP128" i="8" s="1"/>
  <c r="AP130" i="8" s="1"/>
  <c r="AB122" i="8" l="1"/>
  <c r="AB124" i="8" s="1"/>
  <c r="AB128" i="8" s="1"/>
  <c r="AB130" i="8" s="1"/>
  <c r="AW124" i="8"/>
  <c r="AW128" i="8" s="1"/>
  <c r="AW130" i="8" s="1"/>
  <c r="AQ124" i="8"/>
  <c r="AQ128" i="8" s="1"/>
  <c r="AQ130" i="8" s="1"/>
  <c r="AC122" i="8" l="1"/>
  <c r="AC124" i="8" s="1"/>
  <c r="AC128" i="8" s="1"/>
  <c r="AC130" i="8" s="1"/>
  <c r="AX124" i="8"/>
  <c r="AX128" i="8" s="1"/>
  <c r="AX130" i="8" s="1"/>
  <c r="G99" i="14" l="1"/>
  <c r="H99" i="14" l="1"/>
  <c r="I99" i="14" l="1"/>
  <c r="J99" i="14" l="1"/>
  <c r="K44" i="14"/>
  <c r="K47" i="14" s="1"/>
  <c r="H44" i="14"/>
  <c r="H47" i="14" s="1"/>
  <c r="G44" i="14"/>
  <c r="G47" i="14" s="1"/>
  <c r="I44" i="14"/>
  <c r="J44" i="14"/>
  <c r="J47" i="14" s="1"/>
  <c r="K99" i="14"/>
  <c r="I47" i="14" l="1"/>
  <c r="I106" i="14" s="1"/>
  <c r="I113" i="14" s="1"/>
  <c r="H202" i="14"/>
  <c r="H48" i="14"/>
  <c r="J202" i="14"/>
  <c r="J106" i="14"/>
  <c r="J113" i="14" s="1"/>
  <c r="J156" i="14"/>
  <c r="J48" i="14"/>
  <c r="H106" i="14"/>
  <c r="H113" i="14" s="1"/>
  <c r="H156" i="14"/>
  <c r="G48" i="14"/>
  <c r="G202" i="14"/>
  <c r="G106" i="14"/>
  <c r="G113" i="14" s="1"/>
  <c r="K156" i="14"/>
  <c r="K202" i="14"/>
  <c r="K106" i="14"/>
  <c r="K113" i="14" s="1"/>
  <c r="K48" i="14"/>
  <c r="G156" i="14"/>
  <c r="H212" i="14" l="1"/>
  <c r="H211" i="14" s="1"/>
  <c r="I48" i="14"/>
  <c r="I156" i="14"/>
  <c r="I202" i="14"/>
  <c r="I212" i="14" s="1"/>
  <c r="G207" i="14"/>
  <c r="G204" i="14"/>
  <c r="K212" i="14"/>
  <c r="H215" i="14"/>
  <c r="H216" i="14" s="1"/>
  <c r="H203" i="14"/>
  <c r="G157" i="14"/>
  <c r="G159" i="14" s="1"/>
  <c r="H155" i="14" s="1"/>
  <c r="I211" i="14" l="1"/>
  <c r="I203" i="14" s="1"/>
  <c r="J212" i="14"/>
  <c r="H206" i="14"/>
  <c r="H207" i="14" s="1"/>
  <c r="H204" i="14"/>
  <c r="G121" i="14"/>
  <c r="G169" i="14" s="1"/>
  <c r="G173" i="14" s="1"/>
  <c r="G175" i="14" s="1"/>
  <c r="H172" i="14" s="1"/>
  <c r="H157" i="14"/>
  <c r="H159" i="14" s="1"/>
  <c r="I155" i="14" s="1"/>
  <c r="I214" i="14"/>
  <c r="H217" i="14"/>
  <c r="I215" i="14"/>
  <c r="J211" i="14" l="1"/>
  <c r="G91" i="14"/>
  <c r="G94" i="14" s="1"/>
  <c r="G176" i="14"/>
  <c r="I216" i="14"/>
  <c r="I217" i="14" s="1"/>
  <c r="H121" i="14"/>
  <c r="H168" i="14" s="1"/>
  <c r="I157" i="14"/>
  <c r="I159" i="14" s="1"/>
  <c r="J155" i="14" s="1"/>
  <c r="K211" i="14"/>
  <c r="K215" i="14" s="1"/>
  <c r="J215" i="14"/>
  <c r="J203" i="14"/>
  <c r="I206" i="14"/>
  <c r="I207" i="14" s="1"/>
  <c r="I204" i="14"/>
  <c r="G186" i="14" l="1"/>
  <c r="G187" i="14" s="1"/>
  <c r="G182" i="14" s="1"/>
  <c r="G119" i="14"/>
  <c r="G123" i="14" s="1"/>
  <c r="G125" i="14" s="1"/>
  <c r="G80" i="14" s="1"/>
  <c r="J214" i="14"/>
  <c r="J216" i="14" s="1"/>
  <c r="J217" i="14" s="1"/>
  <c r="K203" i="14"/>
  <c r="J204" i="14"/>
  <c r="J206" i="14"/>
  <c r="J207" i="14" s="1"/>
  <c r="J157" i="14"/>
  <c r="J159" i="14" s="1"/>
  <c r="K155" i="14" s="1"/>
  <c r="I121" i="14"/>
  <c r="I168" i="14" s="1"/>
  <c r="G196" i="14" l="1"/>
  <c r="H166" i="14"/>
  <c r="H169" i="14" s="1"/>
  <c r="H173" i="14" s="1"/>
  <c r="H175" i="14" s="1"/>
  <c r="H91" i="14" s="1"/>
  <c r="G86" i="14"/>
  <c r="G100" i="14" s="1"/>
  <c r="K214" i="14"/>
  <c r="K216" i="14" s="1"/>
  <c r="K217" i="14" s="1"/>
  <c r="J121" i="14"/>
  <c r="J168" i="14" s="1"/>
  <c r="K157" i="14"/>
  <c r="K121" i="14" s="1"/>
  <c r="K168" i="14" s="1"/>
  <c r="K206" i="14"/>
  <c r="K207" i="14" s="1"/>
  <c r="K204" i="14"/>
  <c r="I172" i="14" l="1"/>
  <c r="H176" i="14"/>
  <c r="H94" i="14"/>
  <c r="H186" i="14"/>
  <c r="H119" i="14"/>
  <c r="H123" i="14" s="1"/>
  <c r="H125" i="14" s="1"/>
  <c r="H80" i="14" s="1"/>
  <c r="K159" i="14"/>
  <c r="H187" i="14" l="1"/>
  <c r="H182" i="14" s="1"/>
  <c r="H196" i="14"/>
  <c r="I166" i="14"/>
  <c r="I169" i="14" s="1"/>
  <c r="I173" i="14" s="1"/>
  <c r="I175" i="14" s="1"/>
  <c r="H86" i="14"/>
  <c r="H100" i="14" s="1"/>
  <c r="J172" i="14" l="1"/>
  <c r="I176" i="14"/>
  <c r="I91" i="14"/>
  <c r="I94" i="14" l="1"/>
  <c r="I186" i="14"/>
  <c r="I119" i="14"/>
  <c r="I123" i="14" s="1"/>
  <c r="I125" i="14" s="1"/>
  <c r="I80" i="14" s="1"/>
  <c r="I196" i="14" l="1"/>
  <c r="I86" i="14"/>
  <c r="I100" i="14" s="1"/>
  <c r="J166" i="14"/>
  <c r="J169" i="14" s="1"/>
  <c r="J173" i="14" s="1"/>
  <c r="J175" i="14" s="1"/>
  <c r="I187" i="14"/>
  <c r="I182" i="14" s="1"/>
  <c r="J176" i="14" l="1"/>
  <c r="J91" i="14"/>
  <c r="K172" i="14"/>
  <c r="J94" i="14" l="1"/>
  <c r="J186" i="14"/>
  <c r="J119" i="14"/>
  <c r="J123" i="14" s="1"/>
  <c r="J125" i="14" s="1"/>
  <c r="J80" i="14" s="1"/>
  <c r="J86" i="14" l="1"/>
  <c r="J100" i="14" s="1"/>
  <c r="K166" i="14"/>
  <c r="K169" i="14" s="1"/>
  <c r="K173" i="14" s="1"/>
  <c r="K175" i="14" s="1"/>
  <c r="J196" i="14"/>
  <c r="J187" i="14"/>
  <c r="J182" i="14" s="1"/>
  <c r="K91" i="14" l="1"/>
  <c r="K176" i="14"/>
  <c r="K119" i="14" l="1"/>
  <c r="K123" i="14" s="1"/>
  <c r="K125" i="14" s="1"/>
  <c r="K80" i="14" s="1"/>
  <c r="K186" i="14"/>
  <c r="K187" i="14" s="1"/>
  <c r="K182" i="14" s="1"/>
  <c r="K94" i="14"/>
  <c r="K86" i="14" l="1"/>
  <c r="K100" i="14" s="1"/>
  <c r="K196" i="14"/>
  <c r="AE53" i="18" l="1"/>
  <c r="AE50" i="18" s="1"/>
  <c r="AE55" i="18" l="1"/>
  <c r="AE23" i="18"/>
  <c r="AE24" i="18" s="1"/>
  <c r="AI35" i="8" s="1"/>
  <c r="L47" i="19" l="1"/>
  <c r="M47" i="19"/>
  <c r="N47" i="19"/>
  <c r="O47" i="19"/>
  <c r="P47" i="19"/>
  <c r="Q47" i="19"/>
  <c r="S47" i="19"/>
  <c r="L48" i="19"/>
  <c r="M48" i="19"/>
  <c r="N48" i="19"/>
  <c r="O48" i="19"/>
  <c r="P48" i="19"/>
  <c r="Q48" i="19"/>
  <c r="S48" i="19"/>
  <c r="L51" i="19"/>
  <c r="M51" i="19"/>
  <c r="N51" i="19"/>
  <c r="O51" i="19"/>
  <c r="P51" i="19"/>
  <c r="Q51" i="19"/>
  <c r="S51" i="19"/>
  <c r="L70" i="19"/>
  <c r="M70" i="19"/>
  <c r="N70" i="19"/>
  <c r="O70" i="19"/>
  <c r="P70" i="19"/>
  <c r="Q70" i="19"/>
  <c r="L76" i="19"/>
  <c r="M76" i="19"/>
  <c r="N76" i="19"/>
  <c r="O76" i="19"/>
  <c r="P76" i="19"/>
  <c r="Q76" i="19"/>
  <c r="L162" i="19"/>
  <c r="M162" i="19"/>
  <c r="N162" i="19"/>
  <c r="O162" i="19"/>
  <c r="P162" i="19"/>
  <c r="Q162" i="19"/>
  <c r="L163" i="19"/>
  <c r="M163" i="19"/>
  <c r="N163" i="19"/>
  <c r="O163" i="19"/>
  <c r="P163" i="19"/>
  <c r="Q163" i="19"/>
  <c r="L164" i="19"/>
  <c r="M164" i="19"/>
  <c r="N164" i="19"/>
  <c r="O164" i="19"/>
  <c r="P164" i="19"/>
  <c r="Q164"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2" authorId="0" shapeId="0" xr:uid="{7A2FC6D1-536F-436C-91AF-4AA7C24B849D}">
      <text>
        <r>
          <rPr>
            <sz val="9"/>
            <color indexed="81"/>
            <rFont val="Tahoma"/>
            <family val="2"/>
          </rPr>
          <t>Front cover of Apple 2019 10K
As of October 18, 2019</t>
        </r>
      </text>
    </comment>
    <comment ref="B83" authorId="0" shapeId="0" xr:uid="{6439A3EF-3E3E-42F8-8BFB-2C48CCCD7462}">
      <text>
        <r>
          <rPr>
            <sz val="9"/>
            <color indexed="81"/>
            <rFont val="Tahoma"/>
            <family val="2"/>
          </rPr>
          <t>Includes vendor non-trade receivables</t>
        </r>
      </text>
    </comment>
    <comment ref="B85" authorId="0" shapeId="0" xr:uid="{CA581457-FE45-4C85-B2B1-4F81AFEE32C2}">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41" authorId="0" shapeId="0" xr:uid="{2219FFFC-2383-4581-B375-CA03D19C612B}">
      <text>
        <r>
          <rPr>
            <sz val="9"/>
            <color indexed="81"/>
            <rFont val="Tahoma"/>
            <family val="2"/>
          </rPr>
          <t>WSP estimate</t>
        </r>
      </text>
    </comment>
    <comment ref="B157" authorId="0" shapeId="0" xr:uid="{7085AA9A-84A7-492A-B8CA-274A5CE6CD98}">
      <text>
        <r>
          <rPr>
            <sz val="9"/>
            <color indexed="81"/>
            <rFont val="Tahoma"/>
            <family val="2"/>
          </rPr>
          <t>Statement of shareholders equity schedule, p.41 Apple 2018 10K</t>
        </r>
      </text>
    </comment>
    <comment ref="B158" authorId="0" shapeId="0" xr:uid="{BBB1E183-5B22-4E4E-B78A-A975E679C8A1}">
      <text>
        <r>
          <rPr>
            <sz val="9"/>
            <color indexed="81"/>
            <rFont val="Tahoma"/>
            <family val="2"/>
          </rPr>
          <t>Statement of shareholders equity schedule, p.41 Apple 2018 10K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2" authorId="0" shapeId="0" xr:uid="{D5905C91-143E-40BF-A763-1413596C8F82}">
      <text>
        <r>
          <rPr>
            <sz val="9"/>
            <color indexed="81"/>
            <rFont val="Tahoma"/>
            <family val="2"/>
          </rPr>
          <t>Front cover of Apple 2019 10K
As of October 18, 2019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9" authorId="0" shapeId="0" xr:uid="{CCFAC4AF-C471-4ECA-8F78-B7CC16862175}">
      <text>
        <r>
          <rPr>
            <b/>
            <sz val="9"/>
            <color indexed="81"/>
            <rFont val="Tahoma"/>
            <family val="2"/>
          </rPr>
          <t>Matan Feldman:</t>
        </r>
        <r>
          <rPr>
            <sz val="9"/>
            <color indexed="81"/>
            <rFont val="Tahoma"/>
            <family val="2"/>
          </rPr>
          <t xml:space="preserve">
In practice can use the NOW() function to keep current date active</t>
        </r>
      </text>
    </comment>
    <comment ref="H9" authorId="0" shapeId="0" xr:uid="{EC1B885B-7DD0-4515-9252-EACD042D0F99}">
      <text>
        <r>
          <rPr>
            <b/>
            <sz val="9"/>
            <color indexed="81"/>
            <rFont val="Tahoma"/>
            <family val="2"/>
          </rPr>
          <t>Matan Feldman:</t>
        </r>
        <r>
          <rPr>
            <sz val="9"/>
            <color indexed="81"/>
            <rFont val="Tahoma"/>
            <family val="2"/>
          </rPr>
          <t xml:space="preserve">
Midyear convention? (1=Yes,0=No)</t>
        </r>
      </text>
    </comment>
    <comment ref="B66" authorId="0" shapeId="0" xr:uid="{C17DAE9B-4274-49A4-B943-DEF68F2CA1A3}">
      <text>
        <r>
          <rPr>
            <b/>
            <sz val="9"/>
            <color indexed="81"/>
            <rFont val="Tahoma"/>
            <family val="2"/>
          </rPr>
          <t>Matan Feldman:</t>
        </r>
        <r>
          <rPr>
            <sz val="9"/>
            <color indexed="81"/>
            <rFont val="Tahoma"/>
            <family val="2"/>
          </rPr>
          <t xml:space="preserve">
Include cash &amp; equivalents, short term and long term marketable securites and investments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<sst xmlns="http://schemas.openxmlformats.org/spreadsheetml/2006/main" count="1213" uniqueCount="651">
  <si>
    <t>FYE</t>
  </si>
  <si>
    <t>Quarterly</t>
  </si>
  <si>
    <t>1Q24</t>
  </si>
  <si>
    <t>2Q24</t>
  </si>
  <si>
    <t>3Q24</t>
  </si>
  <si>
    <t>4Q24</t>
  </si>
  <si>
    <t>1Q23</t>
  </si>
  <si>
    <t>2Q23</t>
  </si>
  <si>
    <t>3Q23</t>
  </si>
  <si>
    <t>4Q23</t>
  </si>
  <si>
    <t>LTM</t>
  </si>
  <si>
    <t>EBITDA</t>
  </si>
  <si>
    <t>Adjusted EBITDA</t>
  </si>
  <si>
    <t>Total Revenue</t>
  </si>
  <si>
    <t>Cost of Sales</t>
  </si>
  <si>
    <t>Accounts receivable</t>
  </si>
  <si>
    <t>Inventories</t>
  </si>
  <si>
    <t>Accounts payable</t>
  </si>
  <si>
    <t>Net income</t>
  </si>
  <si>
    <t>Changes in assets and liabilities:</t>
  </si>
  <si>
    <t>Cash-Flows Statement</t>
  </si>
  <si>
    <t>Other current assets</t>
  </si>
  <si>
    <t>Debt</t>
  </si>
  <si>
    <t>Total stockholders' equity</t>
  </si>
  <si>
    <t>Total Liabilities</t>
  </si>
  <si>
    <t>X</t>
  </si>
  <si>
    <t>Total Current Liabilities</t>
  </si>
  <si>
    <t>Common stock</t>
  </si>
  <si>
    <t xml:space="preserve">Beta </t>
  </si>
  <si>
    <t>Total Current Assets</t>
  </si>
  <si>
    <t>Total Assets</t>
  </si>
  <si>
    <t>Gross Profit</t>
  </si>
  <si>
    <t>Revenue</t>
  </si>
  <si>
    <t>EBIT</t>
  </si>
  <si>
    <t>Beta</t>
  </si>
  <si>
    <t>Total Debt</t>
  </si>
  <si>
    <t>Perpetuity</t>
  </si>
  <si>
    <t>Net Debt</t>
  </si>
  <si>
    <t>Variance</t>
  </si>
  <si>
    <t>FCF Analysis</t>
  </si>
  <si>
    <t>1Q22</t>
  </si>
  <si>
    <t>2Q22</t>
  </si>
  <si>
    <t>3Q22</t>
  </si>
  <si>
    <t>4Q22</t>
  </si>
  <si>
    <t>1Q25</t>
  </si>
  <si>
    <t>2Q25</t>
  </si>
  <si>
    <t>Y/Y Growth (%)</t>
  </si>
  <si>
    <t>Q/Q Growth (%)</t>
  </si>
  <si>
    <t>N/A</t>
  </si>
  <si>
    <t>(-) Cost of Sales</t>
  </si>
  <si>
    <t>Gross Margin (%)</t>
  </si>
  <si>
    <t>Earning before Interest &amp; Taxes (EBIT)</t>
  </si>
  <si>
    <t>Operating Margin (%)</t>
  </si>
  <si>
    <t>(+) Depreciation and Amortization</t>
  </si>
  <si>
    <t>EBITDA Margin (%)</t>
  </si>
  <si>
    <t xml:space="preserve">(+) Share-based Compensation </t>
  </si>
  <si>
    <t>Adj. EBITDA</t>
  </si>
  <si>
    <t>Adj. EBITDA Margin (%)</t>
  </si>
  <si>
    <t>(-) Capital Expenditures</t>
  </si>
  <si>
    <t>(-) Cash Taxes</t>
  </si>
  <si>
    <t>(+/-) Changes in NWC</t>
  </si>
  <si>
    <t>Discretionary Cash-Flows</t>
  </si>
  <si>
    <t>Free-Cash Flows</t>
  </si>
  <si>
    <t>Capitalization</t>
  </si>
  <si>
    <t>Cash &amp; Cash Equivelants</t>
  </si>
  <si>
    <t>Total Liquidity</t>
  </si>
  <si>
    <t>Balance Sheet Metrics:</t>
  </si>
  <si>
    <t>Accounts Receivable</t>
  </si>
  <si>
    <t>Accounts Payable</t>
  </si>
  <si>
    <t>Property Plant, and Equiptment</t>
  </si>
  <si>
    <t>Current Liabilities</t>
  </si>
  <si>
    <t>Total Shareholder Equity</t>
  </si>
  <si>
    <t>Total Book Capitalization</t>
  </si>
  <si>
    <t>Debt-to-Book Capitalization</t>
  </si>
  <si>
    <t>Net loss</t>
  </si>
  <si>
    <t>Total liabilities and stockholders' equity</t>
  </si>
  <si>
    <t>Cash-Flows From Operating Activities</t>
  </si>
  <si>
    <t>Net income (loss)</t>
  </si>
  <si>
    <t>Depreciation and amortization</t>
  </si>
  <si>
    <t>Net cash used in operating activities</t>
  </si>
  <si>
    <t>Cash flows from investing activities:</t>
  </si>
  <si>
    <t>Net cash used in investing activities</t>
  </si>
  <si>
    <t>Cash flows from financing activities:</t>
  </si>
  <si>
    <t>Net cash provided by financing activities</t>
  </si>
  <si>
    <t>Consolidated Revenue</t>
  </si>
  <si>
    <t>Adjustments to reconcile net income:</t>
  </si>
  <si>
    <t>Balance Check</t>
  </si>
  <si>
    <t>Net Change in Cash</t>
  </si>
  <si>
    <t>Cash paid during the period for:</t>
  </si>
  <si>
    <t xml:space="preserve">Provision for taxes </t>
  </si>
  <si>
    <t>3Q25</t>
  </si>
  <si>
    <t>Net Margin (%)</t>
  </si>
  <si>
    <t>Basic shares</t>
  </si>
  <si>
    <t>Basic EPS</t>
  </si>
  <si>
    <t>Fully Diluted Shares</t>
  </si>
  <si>
    <t>Diluted EPS</t>
  </si>
  <si>
    <t>Segment Anaysis</t>
  </si>
  <si>
    <t>Total Net Revenue</t>
  </si>
  <si>
    <t xml:space="preserve">(+/-) Other </t>
  </si>
  <si>
    <t>Credit Metrics</t>
  </si>
  <si>
    <t>Company name</t>
  </si>
  <si>
    <t>Select an operating scenario:</t>
  </si>
  <si>
    <t>Base case</t>
  </si>
  <si>
    <t>Ticker</t>
  </si>
  <si>
    <t>Circ break 1=off, 0=on</t>
  </si>
  <si>
    <t>Latest closing share price</t>
  </si>
  <si>
    <t>Latest closing share price date</t>
  </si>
  <si>
    <t>Latest fiscal year end date</t>
  </si>
  <si>
    <t>Shares outstanding (millions)</t>
  </si>
  <si>
    <t xml:space="preserve">Fiscal year  </t>
  </si>
  <si>
    <t>Fiscal year end date</t>
  </si>
  <si>
    <t>Plug = Revenue - Gross Profit</t>
  </si>
  <si>
    <t>Revenue x Gross Profit Margin forecast</t>
  </si>
  <si>
    <t>Revenue x R&amp;D % of sales forecast</t>
  </si>
  <si>
    <t>Revenue x SG&amp;A % of sales forecast</t>
  </si>
  <si>
    <t>Operating profit (EBIT)</t>
  </si>
  <si>
    <t>Interest income</t>
  </si>
  <si>
    <t>Reference from interest expense schedule</t>
  </si>
  <si>
    <t>Straight-line</t>
  </si>
  <si>
    <t>Pretax profit</t>
  </si>
  <si>
    <t>EBIT + interest income less interest expense less other expense</t>
  </si>
  <si>
    <t>Pre-tax Profit x Tax Rate forecast</t>
  </si>
  <si>
    <t>Pre-tax Profit less taxes</t>
  </si>
  <si>
    <t>Depreciation &amp; amortization</t>
  </si>
  <si>
    <t>Reference from D&amp;A schedule</t>
  </si>
  <si>
    <t>EBIT + D&amp;A</t>
  </si>
  <si>
    <t>Stock based compensation</t>
  </si>
  <si>
    <t>EBITDA + Stock-based compensation</t>
  </si>
  <si>
    <t>Growth rates &amp; margins</t>
  </si>
  <si>
    <t>Revenue growth</t>
  </si>
  <si>
    <t>Gross profit margin</t>
  </si>
  <si>
    <t>R&amp;D % of sales</t>
  </si>
  <si>
    <t>SG&amp;A % of sales</t>
  </si>
  <si>
    <t>Tax rate</t>
  </si>
  <si>
    <t>Cash &amp; equivalents, ST and LT marketable securities</t>
  </si>
  <si>
    <t>Reference from 'net change in cash' line on the cash flow statement</t>
  </si>
  <si>
    <t>Grow in-line with revenue growth</t>
  </si>
  <si>
    <t>Grow in-line with cost of sales growth</t>
  </si>
  <si>
    <t>Property, plant &amp; equipment</t>
  </si>
  <si>
    <t>Reference from PP&amp;E schedule</t>
  </si>
  <si>
    <t>Other non current assets</t>
  </si>
  <si>
    <t>Other current liabilities</t>
  </si>
  <si>
    <t>Deferred revenue (current)</t>
  </si>
  <si>
    <t>Commercial paper / revolver</t>
  </si>
  <si>
    <t>Reference EOP balance from CP/revolver schedule</t>
  </si>
  <si>
    <t>Long term debt (includes current portion)</t>
  </si>
  <si>
    <t>Other non current liabilities</t>
  </si>
  <si>
    <t>Total liabilities</t>
  </si>
  <si>
    <t>Increase by stock-based compensation forecasted in the I/S section</t>
  </si>
  <si>
    <t xml:space="preserve">Retained earnings </t>
  </si>
  <si>
    <t>Reference from Retained Earnings schedule</t>
  </si>
  <si>
    <t>Other comprehensive income</t>
  </si>
  <si>
    <t>Total equity</t>
  </si>
  <si>
    <t>Balance check</t>
  </si>
  <si>
    <t>Reference from the I/S</t>
  </si>
  <si>
    <t>Decreases / (Increases) in working capital assets</t>
  </si>
  <si>
    <t>Increases / (Decreases) in working capital liabilities</t>
  </si>
  <si>
    <t>Reference from schedule NOT the B/S: Only include 'Additions' (as outflow)</t>
  </si>
  <si>
    <t>Capital expenditures</t>
  </si>
  <si>
    <t>Long term debt</t>
  </si>
  <si>
    <t>Commercial paper/ Revolver</t>
  </si>
  <si>
    <t>Reference from B/S</t>
  </si>
  <si>
    <t>Share repurchases</t>
  </si>
  <si>
    <t>Common dividends</t>
  </si>
  <si>
    <t>Net change in cash during period</t>
  </si>
  <si>
    <t>PROPERTY, PLANT &amp; EQUIPMENT</t>
  </si>
  <si>
    <t>Forecast</t>
  </si>
  <si>
    <t>Beginning of period</t>
  </si>
  <si>
    <t xml:space="preserve">BOP = Previous year EOP </t>
  </si>
  <si>
    <t>Plus: Capital expenditures</t>
  </si>
  <si>
    <t>First two years - consensus estimates, then grow with revenue</t>
  </si>
  <si>
    <t>Less: Depreciation</t>
  </si>
  <si>
    <t>Capex x 'D&amp;A related to PP&amp;E as a % of capex' ratio (below)</t>
  </si>
  <si>
    <t>End of period</t>
  </si>
  <si>
    <t>BOP + Capex - Depreciation</t>
  </si>
  <si>
    <t>D&amp;A related to PP&amp;E as a % of capex</t>
  </si>
  <si>
    <t>Revenue x 'as % of revenue' assumption</t>
  </si>
  <si>
    <t>as % of revenue</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</si>
  <si>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</si>
  <si>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</si>
  <si>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</si>
  <si>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</si>
  <si>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</si>
  <si>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</si>
  <si>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Referenced from balance sheet</t>
  </si>
  <si>
    <t>RETAINED EARNINGS</t>
  </si>
  <si>
    <t>Plus: Net income</t>
  </si>
  <si>
    <t>Reference from income statement</t>
  </si>
  <si>
    <t>Less: Dividends</t>
  </si>
  <si>
    <t>Less: Repurchases</t>
  </si>
  <si>
    <t>BOP + net income - dividends - repurchases</t>
  </si>
  <si>
    <t>REVOLVER (MODEL PLUG)</t>
  </si>
  <si>
    <t>Revolver needs analysis</t>
  </si>
  <si>
    <t>Cash at beginning of period (BOP)</t>
  </si>
  <si>
    <t>Reference prior period EOP from B/S</t>
  </si>
  <si>
    <t>Less: Minimum cash balance</t>
  </si>
  <si>
    <t>Plus: Free cash flows generated during period</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</si>
  <si>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</si>
  <si>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</si>
  <si>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</si>
  <si>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</si>
  <si>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</si>
  <si>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</si>
  <si>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</si>
  <si>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</si>
  <si>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</si>
  <si>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</si>
  <si>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</si>
  <si>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</si>
  <si>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</si>
  <si>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</si>
  <si>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</si>
  <si>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</si>
  <si>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</si>
  <si>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</si>
  <si>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</si>
  <si>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</si>
  <si>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EARNINGS PER SHARE</t>
  </si>
  <si>
    <t>Reference from I/S</t>
  </si>
  <si>
    <t xml:space="preserve">Basic shares </t>
  </si>
  <si>
    <t>Last period basic shares + ($ shares issued - $ shares repurchased)/Current period average share price OR reference average Basic shares from schedule below</t>
  </si>
  <si>
    <t>Net income / Basic shares</t>
  </si>
  <si>
    <t>Diluted Shares</t>
  </si>
  <si>
    <t>Basic shares + Dilutive securities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</si>
  <si>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</si>
  <si>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</si>
  <si>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</si>
  <si>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</si>
  <si>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</si>
  <si>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</si>
  <si>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</si>
  <si>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</si>
  <si>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</si>
  <si>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</si>
  <si>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</si>
  <si>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</si>
  <si>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</si>
  <si>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</si>
  <si>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</si>
  <si>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</si>
  <si>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</si>
  <si>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</si>
  <si>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SCENARIO ANALYSIS</t>
  </si>
  <si>
    <t>Active case:</t>
  </si>
  <si>
    <t xml:space="preserve">Variance from </t>
  </si>
  <si>
    <t>base case</t>
  </si>
  <si>
    <t>Best case</t>
  </si>
  <si>
    <t>NM</t>
  </si>
  <si>
    <t>Weak case</t>
  </si>
  <si>
    <r>
      <t xml:space="preserve">D&amp;A </t>
    </r>
    <r>
      <rPr>
        <u/>
        <sz val="9"/>
        <color theme="1"/>
        <rFont val="Calibri"/>
        <family val="2"/>
      </rPr>
      <t>not</t>
    </r>
    <r>
      <rPr>
        <sz val="9"/>
        <color theme="1"/>
        <rFont val="Calibri"/>
        <family val="2"/>
      </rPr>
      <t xml:space="preserve"> related to PP&amp;E</t>
    </r>
  </si>
  <si>
    <r>
      <t xml:space="preserve">CFO + CFI + CFF </t>
    </r>
    <r>
      <rPr>
        <u/>
        <sz val="9"/>
        <color theme="1"/>
        <rFont val="Calibri"/>
        <family val="2"/>
      </rPr>
      <t>except revolver</t>
    </r>
  </si>
  <si>
    <t>High</t>
  </si>
  <si>
    <t>Capital Expenditures</t>
  </si>
  <si>
    <t>Adjusted Cash Position BOP</t>
  </si>
  <si>
    <t>Adjusted Cash Position EOP</t>
  </si>
  <si>
    <t xml:space="preserve">(-) Cash Interest </t>
  </si>
  <si>
    <t>WACC Buildup</t>
  </si>
  <si>
    <t>Cost of capital assumptions</t>
  </si>
  <si>
    <t>Source</t>
  </si>
  <si>
    <t>Cost of debt</t>
  </si>
  <si>
    <t>From terminal year of UFCF forecast</t>
  </si>
  <si>
    <t>Cost of debt (after tax)</t>
  </si>
  <si>
    <t>Cost of debt x (1 - tax rate)</t>
  </si>
  <si>
    <t xml:space="preserve">Risk free rate </t>
  </si>
  <si>
    <t>WSJ: 10 Year US Treasury Yield</t>
  </si>
  <si>
    <t>Bloomberg 2 year weekly adjusted beta</t>
  </si>
  <si>
    <t>Market risk premium</t>
  </si>
  <si>
    <t>Cost of equity</t>
  </si>
  <si>
    <t>RfR + Beta x MRP</t>
  </si>
  <si>
    <t>Capital weights (capital structure)</t>
  </si>
  <si>
    <t xml:space="preserve">Target </t>
  </si>
  <si>
    <t xml:space="preserve">Current </t>
  </si>
  <si>
    <t>(override)</t>
  </si>
  <si>
    <t>% of total</t>
  </si>
  <si>
    <t>Equity</t>
  </si>
  <si>
    <t>Cost of capital (WACC)</t>
  </si>
  <si>
    <t>WACC sensitivity to MRP and Beta</t>
  </si>
  <si>
    <t>Market</t>
  </si>
  <si>
    <t>Risk</t>
  </si>
  <si>
    <t>Premium</t>
  </si>
  <si>
    <t>Select Beta for model</t>
  </si>
  <si>
    <t>Observed</t>
  </si>
  <si>
    <t>Industry beta</t>
  </si>
  <si>
    <t>From schedule below</t>
  </si>
  <si>
    <t>Share price</t>
  </si>
  <si>
    <t>Dil. shares</t>
  </si>
  <si>
    <t>Market cap</t>
  </si>
  <si>
    <t>Industry average delevered beta</t>
  </si>
  <si>
    <t>Observed b</t>
  </si>
  <si>
    <t>Delev. b</t>
  </si>
  <si>
    <t>Shares - Options and Convertibles</t>
  </si>
  <si>
    <t>Current share price</t>
  </si>
  <si>
    <t xml:space="preserve">Stock options - Treasury stock method </t>
  </si>
  <si>
    <t>Outstanding</t>
  </si>
  <si>
    <t xml:space="preserve">Exercise </t>
  </si>
  <si>
    <t>In-the-$</t>
  </si>
  <si>
    <t>options</t>
  </si>
  <si>
    <t>price</t>
  </si>
  <si>
    <t>Tranche 1</t>
  </si>
  <si>
    <t>Tranche 2</t>
  </si>
  <si>
    <t>Tranche 3</t>
  </si>
  <si>
    <t>Tranche 4</t>
  </si>
  <si>
    <t>Tranche 5</t>
  </si>
  <si>
    <t>Tranche 6</t>
  </si>
  <si>
    <t>Tranche 7</t>
  </si>
  <si>
    <t>Total</t>
  </si>
  <si>
    <t>Total proceeds ($mm)</t>
  </si>
  <si>
    <t>Total shares repurchased (mm)</t>
  </si>
  <si>
    <t>Net dilutive impact of stock options</t>
  </si>
  <si>
    <t>Convertible securities "if-converted" test</t>
  </si>
  <si>
    <t>Convertible Debt</t>
  </si>
  <si>
    <t xml:space="preserve">Principal Outstanding </t>
  </si>
  <si>
    <t>Each $1,000 in principal convertible into (Conversion ratio)</t>
  </si>
  <si>
    <t>Conversion price</t>
  </si>
  <si>
    <t>Common shares convertible into</t>
  </si>
  <si>
    <t>Dilutive impact of convertible securities</t>
  </si>
  <si>
    <t>Elimination of liability from net debt</t>
  </si>
  <si>
    <t>Convertible Preferred Stock</t>
  </si>
  <si>
    <t>Convertible Preferred Par Value</t>
  </si>
  <si>
    <t>Preferred shares outstanding</t>
  </si>
  <si>
    <t>Conversion ratio</t>
  </si>
  <si>
    <t>Discounted Cash Flow Valuation</t>
  </si>
  <si>
    <t>Most recent fiscal year end</t>
  </si>
  <si>
    <t>Discount rate (WACC)</t>
  </si>
  <si>
    <t>Link from WACC</t>
  </si>
  <si>
    <t>End of first fiscal year</t>
  </si>
  <si>
    <t>Share price (Public Co)</t>
  </si>
  <si>
    <t>Source: CIQ</t>
  </si>
  <si>
    <t>Most recent quarter end date</t>
  </si>
  <si>
    <t>Share price date</t>
  </si>
  <si>
    <t xml:space="preserve">Valuation date </t>
  </si>
  <si>
    <t>Midyear adjustment?</t>
  </si>
  <si>
    <t>Portion of First Year Cash Flows</t>
  </si>
  <si>
    <t>Case active:</t>
  </si>
  <si>
    <t>Unlevered Free Cash Flows</t>
  </si>
  <si>
    <t>Actual</t>
  </si>
  <si>
    <t>Forecasts</t>
  </si>
  <si>
    <t>Fiscal year ended</t>
  </si>
  <si>
    <t>% growth</t>
  </si>
  <si>
    <t>% margin</t>
  </si>
  <si>
    <t>Tax on EBIT</t>
  </si>
  <si>
    <t>NOPAT (aka EBIAT)</t>
  </si>
  <si>
    <t>Changes in net working capital</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</si>
  <si>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</si>
  <si>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</si>
  <si>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</si>
  <si>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</si>
  <si>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</si>
  <si>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</si>
  <si>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</si>
  <si>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</si>
  <si>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</si>
  <si>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</si>
  <si>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&lt;-Stub year counts first year cash flows starting at the valuation date</t>
  </si>
  <si>
    <t>Present value of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</si>
  <si>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</si>
  <si>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</si>
  <si>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</si>
  <si>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</si>
  <si>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</si>
  <si>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</si>
  <si>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</si>
  <si>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</si>
  <si>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</si>
  <si>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</si>
  <si>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</si>
  <si>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</si>
  <si>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</si>
  <si>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</si>
  <si>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</si>
  <si>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</si>
  <si>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</si>
  <si>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Source date</t>
  </si>
  <si>
    <t>Date</t>
  </si>
  <si>
    <t>Shares</t>
  </si>
  <si>
    <t>Gross debt and equivalents</t>
  </si>
  <si>
    <t>Restricted stock / RSUs</t>
  </si>
  <si>
    <t>Convertible debt</t>
  </si>
  <si>
    <t>Options / warrants</t>
  </si>
  <si>
    <t>Preferred stock</t>
  </si>
  <si>
    <t>Noncontrolling (minority) interests</t>
  </si>
  <si>
    <t>Convertible preferred stock</t>
  </si>
  <si>
    <t>Nonoperating assets</t>
  </si>
  <si>
    <t>Net diluted shares outstanding</t>
  </si>
  <si>
    <t xml:space="preserve">Cash </t>
  </si>
  <si>
    <t xml:space="preserve">Equity investments </t>
  </si>
  <si>
    <t>Valuation</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</si>
  <si>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</si>
  <si>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</si>
  <si>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</si>
  <si>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</si>
  <si>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</si>
  <si>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</si>
  <si>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</si>
  <si>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</si>
  <si>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</si>
  <si>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</si>
  <si>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</si>
  <si>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</si>
  <si>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</si>
  <si>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</si>
  <si>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</si>
  <si>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</si>
  <si>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</si>
  <si>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</si>
  <si>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</si>
  <si>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52 Week Market High/Low</t>
  </si>
  <si>
    <t>$ mm except per share</t>
  </si>
  <si>
    <t>Actuals</t>
  </si>
  <si>
    <t>Commentary</t>
  </si>
  <si>
    <t>Income Statement</t>
  </si>
  <si>
    <t xml:space="preserve">Balance Sheet </t>
  </si>
  <si>
    <t>Cash from Operating Activities</t>
  </si>
  <si>
    <t>Cash from Investing Activities</t>
  </si>
  <si>
    <t>Cash from Financing Activities</t>
  </si>
  <si>
    <t>Supporting Schedules</t>
  </si>
  <si>
    <t>3-Statement Model</t>
  </si>
  <si>
    <t>Historical Financials</t>
  </si>
  <si>
    <t>Fiscal Period</t>
  </si>
  <si>
    <t>Fiscal Period End Date</t>
  </si>
  <si>
    <t>TOTAL DEPRECIATION &amp; AMORTIZATION</t>
  </si>
  <si>
    <t xml:space="preserve">$ and shares in millions, except per share data </t>
  </si>
  <si>
    <t>Margin (%)</t>
  </si>
  <si>
    <t xml:space="preserve">Other expense, net </t>
  </si>
  <si>
    <t xml:space="preserve">Cost of Sales </t>
  </si>
  <si>
    <t xml:space="preserve">Taxes </t>
  </si>
  <si>
    <t>Consensus</t>
  </si>
  <si>
    <t>Interest Income</t>
  </si>
  <si>
    <t>D&amp;A</t>
  </si>
  <si>
    <t>SBC</t>
  </si>
  <si>
    <t>As of 3Q25 (period ended x/xx/xx)</t>
  </si>
  <si>
    <t>Selling, General &amp; Administrative (SG&amp;A)</t>
  </si>
  <si>
    <t>Research &amp; Development (R&amp;D)</t>
  </si>
  <si>
    <t>D&amp;A related to PP&amp;E as a % of capex Step-Up</t>
  </si>
  <si>
    <t>Interest Expense</t>
  </si>
  <si>
    <t>Operating Profit</t>
  </si>
  <si>
    <t>Earning Before Taxes</t>
  </si>
  <si>
    <t>EBT Margin (%)</t>
  </si>
  <si>
    <t>1Q21</t>
  </si>
  <si>
    <t>2Q21</t>
  </si>
  <si>
    <t>3Q21</t>
  </si>
  <si>
    <t>4Q21</t>
  </si>
  <si>
    <t>Cash and Cash Equivalents</t>
  </si>
  <si>
    <t>Accounts Receivables</t>
  </si>
  <si>
    <t>Current Assets</t>
  </si>
  <si>
    <t>Non-Current Assets</t>
  </si>
  <si>
    <t>Accrued Expenses and Other Current Liabilities</t>
  </si>
  <si>
    <t>Non-Current Liabilities</t>
  </si>
  <si>
    <t>Beyond Meat, Inc.</t>
  </si>
  <si>
    <t>Foodservice</t>
  </si>
  <si>
    <t xml:space="preserve">Finance Lease Obligations </t>
  </si>
  <si>
    <t>straight-line</t>
  </si>
  <si>
    <t xml:space="preserve">Consensus estimates </t>
  </si>
  <si>
    <t>grow SBC in-line with revenue growth</t>
  </si>
  <si>
    <t>Reference from interest on cash schedule</t>
  </si>
  <si>
    <t xml:space="preserve">Straight line last historical % of revenue </t>
  </si>
  <si>
    <t>plug: EOP - D&amp;A not from PP&amp;E - BOP</t>
  </si>
  <si>
    <t>Hold last historical year's dividend payout ratio constant</t>
  </si>
  <si>
    <t>Straight-line last historical year repurchases</t>
  </si>
  <si>
    <t>assumption</t>
  </si>
  <si>
    <t>grow with net income growth rate (calculated below)</t>
  </si>
  <si>
    <t>TBD</t>
  </si>
  <si>
    <t>Market risk premium from D&amp;P - TBD</t>
  </si>
  <si>
    <t>Restructuring Charges &amp; Other Impairments</t>
  </si>
  <si>
    <t>Unrestricted Cash BOP</t>
  </si>
  <si>
    <t>BOP FX Adjustment</t>
  </si>
  <si>
    <t>EOP FX Adjustment</t>
  </si>
  <si>
    <t>Depreciation &amp; Amortization (D&amp;A)</t>
  </si>
  <si>
    <t>Stock-Based Compensation (SBC)</t>
  </si>
  <si>
    <t>straight line</t>
  </si>
  <si>
    <t>Alphabet Inc. (NASDAQ: GOOG)</t>
  </si>
  <si>
    <t>Sales and Marketing (S&amp;M)</t>
  </si>
  <si>
    <t>General and Administrative (G&amp;A)</t>
  </si>
  <si>
    <t xml:space="preserve">Interest Income </t>
  </si>
  <si>
    <t>Other Current Assets</t>
  </si>
  <si>
    <t>Goodwill</t>
  </si>
  <si>
    <t>Other non-current assets</t>
  </si>
  <si>
    <t>Operating lease assets</t>
  </si>
  <si>
    <t>Property and equipment, net</t>
  </si>
  <si>
    <t>Deferred income taxes</t>
  </si>
  <si>
    <t>Non-marketable securities</t>
  </si>
  <si>
    <t>Accrued revenue share</t>
  </si>
  <si>
    <t>Other long-term liabilities</t>
  </si>
  <si>
    <t>Income taxes payable, non-current</t>
  </si>
  <si>
    <t>Preferred Stock</t>
  </si>
  <si>
    <t>Retained earnings</t>
  </si>
  <si>
    <t>Accumulated other comprehensive income (loss)</t>
  </si>
  <si>
    <t>Depreciation of property and equipment</t>
  </si>
  <si>
    <t>Stock-based Compensation Expense</t>
  </si>
  <si>
    <t>Loss (gain) on debt and equity securities, net</t>
  </si>
  <si>
    <t>Other</t>
  </si>
  <si>
    <t xml:space="preserve">Accounts receivable, net	</t>
  </si>
  <si>
    <t>Income taxes, net</t>
  </si>
  <si>
    <t>Other assets</t>
  </si>
  <si>
    <t xml:space="preserve">Accounts payable	</t>
  </si>
  <si>
    <t xml:space="preserve">Accrued expenses and other liabilities	</t>
  </si>
  <si>
    <t>Deferred revenue</t>
  </si>
  <si>
    <t>Acquisitions, net of cash acquired, and purchases of intangible assets</t>
  </si>
  <si>
    <t>Purchases of property and equipment</t>
  </si>
  <si>
    <t>Proceeds from sale of interest in consolidated entities, net</t>
  </si>
  <si>
    <t>Dividend payments</t>
  </si>
  <si>
    <t>Repurchases of stock</t>
  </si>
  <si>
    <t>Net payments related to stock-based award activities</t>
  </si>
  <si>
    <t>Disaggregated Revenues</t>
  </si>
  <si>
    <t xml:space="preserve">Google Search &amp; other	</t>
  </si>
  <si>
    <t xml:space="preserve">Google Network	</t>
  </si>
  <si>
    <t>Google subscriptions, platforms, and devices</t>
  </si>
  <si>
    <t>Google Advertising</t>
  </si>
  <si>
    <t>Total Google Advertising Revenue</t>
  </si>
  <si>
    <t xml:space="preserve">Google Cloud	</t>
  </si>
  <si>
    <t>Other Bets</t>
  </si>
  <si>
    <t xml:space="preserve">Hedging gains (losses)	</t>
  </si>
  <si>
    <t>Google Services</t>
  </si>
  <si>
    <t>Total Google subscriptions, platforms, and devices Revenue</t>
  </si>
  <si>
    <t>Total Google Services Revenue</t>
  </si>
  <si>
    <t>Offerings Drivers</t>
  </si>
  <si>
    <t>Revenues Disaggregated by Geography</t>
  </si>
  <si>
    <t xml:space="preserve">United States	</t>
  </si>
  <si>
    <t>EMEA</t>
  </si>
  <si>
    <t>APAC</t>
  </si>
  <si>
    <t>Other Americas</t>
  </si>
  <si>
    <t>Hedging gains (losses)</t>
  </si>
  <si>
    <t>European Commission Fines</t>
  </si>
  <si>
    <t>Common Stock &amp; Additional Paid in Capital</t>
  </si>
  <si>
    <t>Cash paid for income taxes, net of refunds</t>
  </si>
  <si>
    <t>1) xxx</t>
  </si>
  <si>
    <t>Accrued Revenue Share</t>
  </si>
  <si>
    <t>Accrued Compensation and Benefits</t>
  </si>
  <si>
    <t>Long-Term Debt</t>
  </si>
  <si>
    <t>Variance Check</t>
  </si>
  <si>
    <t>Deferred Revenue, Current</t>
  </si>
  <si>
    <t>EPS Build-Up</t>
  </si>
  <si>
    <t>Class A</t>
  </si>
  <si>
    <t>Class B</t>
  </si>
  <si>
    <t>Class C</t>
  </si>
  <si>
    <t>Allocation of undistributed earnings</t>
  </si>
  <si>
    <t>($ in Bns, Including Shares)</t>
  </si>
  <si>
    <t>Net Income Per Share</t>
  </si>
  <si>
    <t>Fully Diluted EPS</t>
  </si>
  <si>
    <t>Number of shares used in basic computation</t>
  </si>
  <si>
    <t xml:space="preserve">Conversion of Class B to Class A common shares outstanding	</t>
  </si>
  <si>
    <t>Basic EPS Per Share Class</t>
  </si>
  <si>
    <t>Fully Diluted EPS Per Share Class</t>
  </si>
  <si>
    <t xml:space="preserve">Consolidated Basic EPS </t>
  </si>
  <si>
    <t>Consolidated Basic Shares</t>
  </si>
  <si>
    <t>Consolidated Allocation of undistributed earnings</t>
  </si>
  <si>
    <t>Class A Basic EPS</t>
  </si>
  <si>
    <t>Class B Basic EPS</t>
  </si>
  <si>
    <t>Class C Basic EPS</t>
  </si>
  <si>
    <t>Consolidated Basic EPS</t>
  </si>
  <si>
    <t xml:space="preserve">Consolidated Fully Diluted EPS </t>
  </si>
  <si>
    <t>Consolidated Fully Diluted Shares</t>
  </si>
  <si>
    <t>Basic Shares</t>
  </si>
  <si>
    <t>RSUs and other contingently issuable shares</t>
  </si>
  <si>
    <t>Stock Split Converter</t>
  </si>
  <si>
    <t>Adjusted RSUs and other contingently issuable shares</t>
  </si>
  <si>
    <t>Unadjusted Basic Shares</t>
  </si>
  <si>
    <t>Stock Split Adjusted Basic Shares</t>
  </si>
  <si>
    <t>Stock Split Amount</t>
  </si>
  <si>
    <t>Stock Split End Period</t>
  </si>
  <si>
    <t>YouTube ads</t>
  </si>
  <si>
    <t>`</t>
  </si>
  <si>
    <t>Other Income/Gains (Expenses/Losses)</t>
  </si>
  <si>
    <t>Cash Position Variance Check</t>
  </si>
  <si>
    <t>(-) Research &amp; Development (R&amp;D)</t>
  </si>
  <si>
    <t>(-) Sales and Marketing (S&amp;M)</t>
  </si>
  <si>
    <t>(-) General and Administrative (G&amp;A)</t>
  </si>
  <si>
    <t>Marketable securities</t>
  </si>
  <si>
    <t>Marketable Securities</t>
  </si>
  <si>
    <t>Operating Lease Liabilities</t>
  </si>
  <si>
    <t>(+/-) Proceeds / (Purchases) of Marketable Securities</t>
  </si>
  <si>
    <t>Proceeds / (Purchases) of Marketable Securities</t>
  </si>
  <si>
    <t>Proceeds / (Purchases) of Non-Marketable Securities</t>
  </si>
  <si>
    <t>Issuance / (Repayment) of Debt, net</t>
  </si>
  <si>
    <t>(+/-) Proceeds / (Purchases) of Non-Marketable Securities</t>
  </si>
  <si>
    <t>(+/-) Divestiture / Acquisitions</t>
  </si>
  <si>
    <t>(-) Share Repurchases</t>
  </si>
  <si>
    <t>(-) Dividend Payments</t>
  </si>
  <si>
    <t>Other investing activities</t>
  </si>
  <si>
    <t>(+/-) Other Investing Activities</t>
  </si>
  <si>
    <t>(+/-) Other Operating Activities</t>
  </si>
  <si>
    <t xml:space="preserve">$10Bn 4.4000% Commercial Paper Program </t>
  </si>
  <si>
    <t>$10Bn RCF due April 2025, April 2028 (CP Backstop)</t>
  </si>
  <si>
    <t xml:space="preserve">Consolidated Sr. Unsecured Notes </t>
  </si>
  <si>
    <t>LTM Total Leverage</t>
  </si>
  <si>
    <t>LTM Net Leverage</t>
  </si>
  <si>
    <t xml:space="preserve">LTM Interest Coverage </t>
  </si>
  <si>
    <t>LTM Debt Service Coverage</t>
  </si>
  <si>
    <t>LTM Fixed Charge Coverage</t>
  </si>
  <si>
    <t>GOOG</t>
  </si>
  <si>
    <t>CAGR</t>
  </si>
  <si>
    <t>Street Outlook</t>
  </si>
  <si>
    <t>5-Year(A)</t>
  </si>
  <si>
    <t>5-Year(F)</t>
  </si>
  <si>
    <t xml:space="preserve">Cost of sales </t>
  </si>
  <si>
    <t>Depreciation &amp; Amortization</t>
  </si>
  <si>
    <t>Stock Based Compensation</t>
  </si>
  <si>
    <t>BofA</t>
  </si>
  <si>
    <t>Tax Rate</t>
  </si>
  <si>
    <t>Total Advertising Revenue</t>
  </si>
  <si>
    <t>BNP Paribas</t>
  </si>
  <si>
    <t>Google Search &amp; Other</t>
  </si>
  <si>
    <t xml:space="preserve">Y/Y Growth </t>
  </si>
  <si>
    <t>Google Network</t>
  </si>
  <si>
    <t>Itabba</t>
  </si>
  <si>
    <t>Subscriptions, platf, and devices</t>
  </si>
  <si>
    <t>Cloud</t>
  </si>
  <si>
    <t>Operating Expenses</t>
  </si>
  <si>
    <t>TD Cowen</t>
  </si>
  <si>
    <t>Other Drivers</t>
  </si>
  <si>
    <t>Capex</t>
  </si>
  <si>
    <t>EBIT Margin</t>
  </si>
  <si>
    <t>Revenue Segment Drivers</t>
  </si>
  <si>
    <t>Revenue Consensus</t>
  </si>
  <si>
    <t>% of Revenue</t>
  </si>
  <si>
    <t>Gross profit</t>
  </si>
  <si>
    <t>% Margin</t>
  </si>
  <si>
    <t>BofA Estimate</t>
  </si>
  <si>
    <t>Median</t>
  </si>
  <si>
    <t>Average</t>
  </si>
  <si>
    <t>Margins</t>
  </si>
  <si>
    <t>Gross Margin</t>
  </si>
  <si>
    <t>R&amp;D as a % of Sales</t>
  </si>
  <si>
    <t>S&amp;M as a % of Sales</t>
  </si>
  <si>
    <t>G&amp;A as a % of Sales</t>
  </si>
  <si>
    <t xml:space="preserve">% of Sales </t>
  </si>
  <si>
    <t>EBITDA Margin</t>
  </si>
  <si>
    <t>Adj. EBITDA Margin</t>
  </si>
  <si>
    <t>D&amp;A as a % of Sales</t>
  </si>
  <si>
    <t>SBC as a % of Sales</t>
  </si>
  <si>
    <t>Consensus Estimate</t>
  </si>
  <si>
    <t>Alphabet Inc</t>
  </si>
  <si>
    <t>Stockholders' Equity</t>
  </si>
  <si>
    <t>Total Stockholders' Equity</t>
  </si>
  <si>
    <t>straight-Line</t>
  </si>
  <si>
    <t>Growth Assumption: Grow in-line with revenue</t>
  </si>
  <si>
    <t>Consolidated Revenue growth</t>
  </si>
  <si>
    <t>Net Change in Cash Position</t>
  </si>
  <si>
    <t>Beginning of period (BOP)</t>
  </si>
  <si>
    <t>End of period (EOP)</t>
  </si>
  <si>
    <t>Capex x 'D&amp;A related to PP&amp;E as a % of capex</t>
  </si>
  <si>
    <t>Straight line last historical % of revenue - WSP assumption</t>
  </si>
  <si>
    <t>Straight-Line</t>
  </si>
  <si>
    <t>Depreciation Waterfall</t>
  </si>
  <si>
    <t>Existing PP&amp;E</t>
  </si>
  <si>
    <t>Gross PP&amp;E</t>
  </si>
  <si>
    <t>Non-depreciable PP&amp;E (i.e. land)</t>
  </si>
  <si>
    <t>Accumulated Depreciation</t>
  </si>
  <si>
    <t>Net PP&amp;E (Excl. Land)</t>
  </si>
  <si>
    <t>Average Useful Life</t>
  </si>
  <si>
    <t>Override - If necessary for smoothing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</si>
</sst>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5" formatCode="&quot;$&quot;#,##0_);\(&quot;$&quot;#,##0\)"/>
    <numFmt numFmtId="7" formatCode="&quot;$&quot;#,##0.00_);\(&quot;$&quot;#,##0.00\)"/>
    <numFmt numFmtId="8" formatCode="&quot;$&quot;#,##0.00_);[Red]\(&quot;$&quot;#,##0.00\)"/>
    <numFmt numFmtId="41" formatCode="_(* #,##0_);_(* \(#,##0\);_(* &quot;-&quot;_);_(@_)"/>
    <numFmt numFmtId="43" formatCode="_(* #,##0.00_);_(* \(#,##0.00\);_(* &quot;-&quot;??_);_(@_)"/>
    <numFmt numFmtId="164" formatCode="_(* #,##0_);_(* \(#,##0\);_(* &quot;-&quot;??_);_(@_)"/>
    <numFmt numFmtId="165" formatCode="_(&quot;$ &quot;#,##0_);_(&quot;$ &quot;\(#,##0\)"/>
    <numFmt numFmtId="166" formatCode="0.0%"/>
    <numFmt numFmtId="167" formatCode="#,##0.0%;\(#,##0.0%\)"/>
    <numFmt numFmtId="168" formatCode="#,##0.0&quot;bps&quot;_);\(#,##0.0&quot;bps&quot;\)"/>
    <numFmt numFmtId="169" formatCode="#,##0.00&quot;bps&quot;_);\(#,##0.00&quot;bps&quot;\)"/>
    <numFmt numFmtId="170" formatCode="_(* #,##0.00&quot;x&quot;_);_(* \(#,##0.00&quot;x&quot;\);_(* &quot;-&quot;_);_(@_)"/>
    <numFmt numFmtId="171" formatCode="_(#,##0_)_%;\(#,##0\)_%;_(&quot;–&quot;_)_%;_(@_)_%"/>
    <numFmt numFmtId="172" formatCode="m/d/yy;@"/>
    <numFmt numFmtId="173" formatCode="#,##0.000_);\(#,##0.000\)"/>
    <numFmt numFmtId="174" formatCode="0\A;[Red]0\A"/>
    <numFmt numFmtId="175" formatCode="0\P_);\(0\P\)"/>
    <numFmt numFmtId="176" formatCode="0.0%_);\(0.0%\);@_)"/>
    <numFmt numFmtId="177" formatCode="_(#,##0.0%_);\(#,##0.0%\);_(&quot;–&quot;_)_%;_(@_)_%"/>
    <numFmt numFmtId="178" formatCode="0.00%_);\(0.00%\);@_)"/>
    <numFmt numFmtId="179" formatCode="_(#,##0.00%_);\(#,##0.00%\);_(&quot;–&quot;_)_%;_(@_)_%"/>
    <numFmt numFmtId="180" formatCode="0%_);\(0%\);@_)"/>
    <numFmt numFmtId="181" formatCode="#,##0.0_);\(#,##0.0\);@_)"/>
    <numFmt numFmtId="182" formatCode="0.000"/>
    <numFmt numFmtId="183" formatCode="_([$$]#,##0.00_)_%;\([$$]#,##0.00\)_%;_(&quot;–&quot;_)_%;_(@_)_%"/>
    <numFmt numFmtId="184" formatCode="_([$$]#,##0_)_%;\([$$]#,##0\)_%;_(&quot;–&quot;_)_%;_(@_)_%"/>
    <numFmt numFmtId="185" formatCode="[$$-380A]\ #,##0.00;\-[$$-380A]\ #,##0.00"/>
    <numFmt numFmtId="186" formatCode="0000\A"/>
    <numFmt numFmtId="187" formatCode="0000\P"/>
    <numFmt numFmtId="188" formatCode="#,##0_);\(#,##0\);@_)"/>
    <numFmt numFmtId="189" formatCode="0.0\x_);\(0.0\x\);@_)"/>
    <numFmt numFmtId="190" formatCode="0.000%_);\(0.000%\);@_)"/>
    <numFmt numFmtId="191" formatCode="#,##0.000_);\(#,##0.000\);@_)"/>
    <numFmt numFmtId="192" formatCode="#,##0.000"/>
    <numFmt numFmtId="193" formatCode="&quot;$&quot;#,##0.00_);\(&quot;$&quot;#,##0.00\);@_)"/>
    <numFmt numFmtId="194" formatCode="_(0.0\x_)_';_(\(0.0\x\)_';_(&quot;–&quot;_)_%;_(@_)_%"/>
    <numFmt numFmtId="195" formatCode="_(0.0_)_'_x;_(\(0.0\)_';_(&quot;–&quot;_)_%;_(@_)_%"/>
    <numFmt numFmtId="196" formatCode="#,##0.00_);\(#,##0.00\);\-_);@_)"/>
    <numFmt numFmtId="197" formatCode="#,##0.0_);\(#,##0.0\);\-_);@_)"/>
    <numFmt numFmtId="198" formatCode="General&quot;F&quot;"/>
    <numFmt numFmtId="199" formatCode="General&quot;A&quot;"/>
  </numFmts>
  <fonts count="57">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sz val="9"/>
      <color rgb="FF0000E1"/>
      <name val="Calibri"/>
      <family val="2"/>
    </font>
    <font>
      <sz val="10"/>
      <name val="Arial"/>
      <family val="2"/>
    </font>
    <font>
      <sz val="9"/>
      <color rgb="FFFF0000"/>
      <name val="Tw Cen MT"/>
      <family val="2"/>
      <scheme val="minor"/>
    </font>
    <font>
      <sz val="9"/>
      <color rgb="FFFF0000"/>
      <name val="Calibri"/>
      <family val="2"/>
    </font>
    <font>
      <sz val="8"/>
      <color rgb="FFFF0000"/>
      <name val="Calibri"/>
      <family val="2"/>
    </font>
    <font>
      <b/>
      <sz val="8"/>
      <color theme="1"/>
      <name val="Calibri"/>
      <family val="2"/>
    </font>
    <font>
      <i/>
      <sz val="8"/>
      <color theme="1"/>
      <name val="Calibri"/>
      <family val="2"/>
    </font>
    <font>
      <sz val="9"/>
      <color indexed="81"/>
      <name val="Tahoma"/>
      <family val="2"/>
    </font>
    <font>
      <sz val="7"/>
      <color rgb="FFFF0000"/>
      <name val="Calibri"/>
      <family val="2"/>
    </font>
    <font>
      <sz val="9"/>
      <color rgb="FF00B050"/>
      <name val="Calibri"/>
      <family val="2"/>
    </font>
    <font>
      <b/>
      <sz val="9"/>
      <color indexed="81"/>
      <name val="Tahoma"/>
      <family val="2"/>
    </font>
    <font>
      <sz val="9"/>
      <color rgb="FF008000"/>
      <name val="Calibri"/>
      <family val="2"/>
    </font>
    <font>
      <i/>
      <sz val="9"/>
      <color rgb="FF000000"/>
      <name val="Calibri"/>
      <family val="2"/>
    </font>
    <font>
      <sz val="9"/>
      <color rgb="FF000000"/>
      <name val="Calibri"/>
      <family val="2"/>
    </font>
    <font>
      <i/>
      <sz val="9"/>
      <color rgb="FF0000FF"/>
      <name val="Calibri"/>
      <family val="2"/>
    </font>
    <font>
      <b/>
      <sz val="9"/>
      <color rgb="FF000000"/>
      <name val="Calibri"/>
      <family val="2"/>
    </font>
    <font>
      <u/>
      <sz val="9"/>
      <color theme="1"/>
      <name val="Calibri"/>
      <family val="2"/>
    </font>
    <font>
      <b/>
      <u/>
      <sz val="9"/>
      <color theme="1"/>
      <name val="Calibri"/>
      <family val="2"/>
    </font>
    <font>
      <sz val="10"/>
      <name val="Arial Narrow MT"/>
      <family val="2"/>
    </font>
    <font>
      <u val="singleAccounting"/>
      <sz val="9"/>
      <color rgb="FF000000"/>
      <name val="Calibri"/>
      <family val="2"/>
    </font>
    <font>
      <u val="singleAccounting"/>
      <sz val="9"/>
      <color theme="1"/>
      <name val="Calibri"/>
      <family val="2"/>
    </font>
    <font>
      <u val="singleAccounting"/>
      <sz val="9"/>
      <color rgb="FF0000FF"/>
      <name val="Calibri"/>
      <family val="2"/>
    </font>
    <font>
      <sz val="10"/>
      <name val="Times New Roman"/>
      <family val="1"/>
    </font>
    <font>
      <u/>
      <sz val="11"/>
      <color theme="10"/>
      <name val="Tw Cen MT"/>
      <family val="2"/>
      <scheme val="minor"/>
    </font>
    <font>
      <u/>
      <sz val="9"/>
      <color theme="10"/>
      <name val="Calibri"/>
      <family val="2"/>
    </font>
    <font>
      <b/>
      <u/>
      <sz val="9"/>
      <color rgb="FF0070C0"/>
      <name val="Calibri"/>
      <family val="2"/>
    </font>
    <font>
      <b/>
      <u val="singleAccounting"/>
      <sz val="9"/>
      <color theme="1"/>
      <name val="Calibri"/>
      <family val="2"/>
    </font>
    <font>
      <sz val="9"/>
      <color theme="0"/>
      <name val="Calibri"/>
      <family val="2"/>
    </font>
    <font>
      <i/>
      <sz val="8"/>
      <color rgb="FFFF0000"/>
      <name val="Calibri"/>
      <family val="2"/>
    </font>
    <font>
      <sz val="9"/>
      <color rgb="FF00B03C"/>
      <name val="Calibri"/>
      <family val="2"/>
    </font>
    <font>
      <b/>
      <sz val="9"/>
      <color rgb="FF008000"/>
      <name val="Calibri"/>
      <family val="2"/>
    </font>
    <font>
      <b/>
      <u val="singleAccounting"/>
      <sz val="9"/>
      <color rgb="FF000000"/>
      <name val="Calibri"/>
      <family val="2"/>
    </font>
    <font>
      <i/>
      <sz val="8"/>
      <color rgb="FF0000FF"/>
      <name val="Calibri"/>
      <family val="2"/>
    </font>
    <font>
      <b/>
      <i/>
      <sz val="8"/>
      <name val="Calibri"/>
      <family val="2"/>
    </font>
    <font>
      <b/>
      <sz val="8"/>
      <color theme="0"/>
      <name val="Calibri"/>
      <family val="2"/>
    </font>
    <font>
      <i/>
      <sz val="7"/>
      <color rgb="FFFF0000"/>
      <name val="Calibri"/>
      <family val="2"/>
    </font>
    <font>
      <u/>
      <sz val="9"/>
      <name val="Calibri"/>
      <family val="2"/>
    </font>
    <font>
      <i/>
      <sz val="8"/>
      <color rgb="FF00B03C"/>
      <name val="Calibri"/>
      <family val="2"/>
    </font>
    <font>
      <i/>
      <sz val="8"/>
      <color rgb="FF0000CC"/>
      <name val="Calibri"/>
      <family val="2"/>
    </font>
  </fonts>
  <fills count="21">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C9DAF8"/>
        <bgColor indexed="64"/>
      </patternFill>
    </fill>
    <fill>
      <patternFill patternType="solid">
        <fgColor rgb="FFC9DAF8"/>
        <bgColor rgb="FF000000"/>
      </patternFill>
    </fill>
    <fill>
      <patternFill patternType="solid">
        <fgColor rgb="FFD2F2FF"/>
        <bgColor rgb="FF000000"/>
      </patternFill>
    </fill>
    <fill>
      <patternFill patternType="solid">
        <fgColor rgb="FFCCFFFF"/>
        <bgColor indexed="64"/>
      </patternFill>
    </fill>
    <fill>
      <patternFill patternType="solid">
        <fgColor rgb="FFC0C0C0"/>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499984740745262"/>
        <bgColor indexed="64"/>
      </patternFill>
    </fill>
    <fill>
      <patternFill patternType="solid">
        <fgColor rgb="FF0E5672"/>
        <bgColor indexed="64"/>
      </patternFill>
    </fill>
    <fill>
      <patternFill patternType="solid">
        <fgColor rgb="FF487B79"/>
        <bgColor indexed="64"/>
      </patternFill>
    </fill>
    <fill>
      <patternFill patternType="solid">
        <fgColor theme="0" tint="-0.14999847407452621"/>
        <bgColor indexed="64"/>
      </patternFill>
    </fill>
    <fill>
      <patternFill patternType="gray0625"/>
    </fill>
  </fills>
  <borders count="52">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thin">
        <color rgb="FF000000"/>
      </top>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bottom/>
      <diagonal/>
    </border>
    <border>
      <left style="hair">
        <color rgb="FF000000"/>
      </left>
      <right/>
      <top/>
      <bottom/>
      <diagonal/>
    </border>
    <border>
      <left/>
      <right/>
      <top style="thin">
        <color rgb="FF000000"/>
      </top>
      <bottom style="medium">
        <color rgb="FF000000"/>
      </bottom>
      <diagonal/>
    </border>
    <border>
      <left/>
      <right style="hair">
        <color rgb="FF000000"/>
      </right>
      <top/>
      <bottom/>
      <diagonal/>
    </border>
    <border>
      <left style="hair">
        <color rgb="FF000000"/>
      </left>
      <right style="hair">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hair">
        <color rgb="FF000000"/>
      </left>
      <right/>
      <top/>
      <bottom style="thin">
        <color rgb="FF000000"/>
      </bottom>
      <diagonal/>
    </border>
    <border>
      <left style="hair">
        <color indexed="64"/>
      </left>
      <right style="hair">
        <color indexed="64"/>
      </right>
      <top style="hair">
        <color indexed="64"/>
      </top>
      <bottom style="hair">
        <color indexed="64"/>
      </bottom>
      <diagonal/>
    </border>
    <border>
      <left style="hair">
        <color rgb="FF000000"/>
      </left>
      <right style="hair">
        <color indexed="64"/>
      </right>
      <top style="hair">
        <color indexed="64"/>
      </top>
      <bottom style="hair">
        <color rgb="FF00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rgb="FF000000"/>
      </left>
      <right style="hair">
        <color rgb="FF000000"/>
      </right>
      <top style="hair">
        <color indexed="64"/>
      </top>
      <bottom style="hair">
        <color rgb="FF000000"/>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19" fillId="0" borderId="0"/>
    <xf numFmtId="0" fontId="36" fillId="0" borderId="0" applyNumberFormat="0" applyFont="0" applyFill="0" applyBorder="0" applyAlignment="0" applyProtection="0"/>
    <xf numFmtId="37" fontId="40" fillId="0" borderId="0"/>
    <xf numFmtId="0" fontId="41" fillId="0" borderId="0" applyNumberFormat="0" applyFill="0" applyBorder="0" applyAlignment="0" applyProtection="0"/>
  </cellStyleXfs>
  <cellXfs count="584">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4" fillId="0" borderId="0" xfId="0" applyFont="1"/>
    <xf numFmtId="0" fontId="4" fillId="3" borderId="0" xfId="0" applyFont="1" applyFill="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67"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67"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5" fontId="8" fillId="4" borderId="0" xfId="0" applyNumberFormat="1" applyFont="1" applyFill="1" applyAlignment="1">
      <alignment horizontal="right" vertical="top" wrapText="1"/>
    </xf>
    <xf numFmtId="167" fontId="10" fillId="0" borderId="0" xfId="1" applyNumberFormat="1" applyFont="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15" fillId="0" borderId="0" xfId="0"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5" fontId="4" fillId="0" borderId="0" xfId="0" applyNumberFormat="1" applyFont="1" applyAlignment="1">
      <alignment wrapText="1"/>
    </xf>
    <xf numFmtId="37" fontId="8" fillId="0" borderId="0" xfId="0" applyNumberFormat="1" applyFont="1" applyAlignment="1">
      <alignment horizontal="right" vertical="top" wrapText="1"/>
    </xf>
    <xf numFmtId="165" fontId="15" fillId="0" borderId="0" xfId="0" applyNumberFormat="1" applyFont="1" applyAlignment="1">
      <alignment wrapText="1"/>
    </xf>
    <xf numFmtId="9" fontId="6" fillId="0" borderId="0" xfId="1" applyFont="1" applyFill="1" applyBorder="1" applyAlignment="1">
      <alignment horizontal="right" vertical="center" wrapText="1"/>
    </xf>
    <xf numFmtId="167" fontId="7" fillId="0" borderId="0" xfId="1" applyNumberFormat="1" applyFont="1" applyBorder="1" applyAlignment="1">
      <alignment horizontal="right" vertical="center" wrapText="1"/>
    </xf>
    <xf numFmtId="37" fontId="15" fillId="0" borderId="0" xfId="0" applyNumberFormat="1" applyFont="1"/>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3" fillId="0" borderId="0" xfId="0" applyFont="1" applyAlignment="1">
      <alignment wrapText="1"/>
    </xf>
    <xf numFmtId="0" fontId="17" fillId="0" borderId="0" xfId="0" applyFont="1" applyAlignment="1">
      <alignment wrapText="1"/>
    </xf>
    <xf numFmtId="164"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5" fillId="0" borderId="0" xfId="2" applyNumberFormat="1" applyFont="1" applyFill="1" applyBorder="1" applyAlignment="1">
      <alignment wrapText="1"/>
    </xf>
    <xf numFmtId="37" fontId="4" fillId="0" borderId="0" xfId="0" applyNumberFormat="1" applyFont="1"/>
    <xf numFmtId="37" fontId="18" fillId="0" borderId="0" xfId="2" applyNumberFormat="1" applyFont="1" applyFill="1" applyBorder="1" applyAlignment="1">
      <alignment wrapText="1"/>
    </xf>
    <xf numFmtId="37" fontId="6" fillId="0" borderId="0" xfId="2" applyNumberFormat="1" applyFont="1" applyFill="1" applyBorder="1" applyAlignment="1">
      <alignment wrapText="1"/>
    </xf>
    <xf numFmtId="164" fontId="15" fillId="0" borderId="0" xfId="2" applyNumberFormat="1" applyFont="1" applyBorder="1" applyAlignment="1">
      <alignment wrapText="1"/>
    </xf>
    <xf numFmtId="0" fontId="20" fillId="0" borderId="0" xfId="0" applyFont="1" applyAlignment="1">
      <alignment vertical="top" wrapText="1"/>
    </xf>
    <xf numFmtId="43" fontId="20" fillId="0" borderId="0" xfId="0" applyNumberFormat="1" applyFont="1" applyAlignment="1">
      <alignment wrapText="1"/>
    </xf>
    <xf numFmtId="43" fontId="22" fillId="0" borderId="0" xfId="0" applyNumberFormat="1" applyFont="1" applyAlignment="1">
      <alignment wrapText="1"/>
    </xf>
    <xf numFmtId="0" fontId="23" fillId="0" borderId="0" xfId="0" applyFont="1" applyAlignment="1">
      <alignment wrapText="1"/>
    </xf>
    <xf numFmtId="41" fontId="8" fillId="0" borderId="0" xfId="0" applyNumberFormat="1" applyFont="1" applyAlignment="1">
      <alignment horizontal="right" vertical="top" wrapText="1"/>
    </xf>
    <xf numFmtId="0" fontId="17" fillId="0" borderId="6" xfId="0" applyFont="1" applyBorder="1"/>
    <xf numFmtId="0" fontId="4" fillId="0" borderId="1" xfId="0" applyFont="1" applyBorder="1" applyAlignment="1">
      <alignment wrapText="1"/>
    </xf>
    <xf numFmtId="164" fontId="4" fillId="0" borderId="1" xfId="2" applyNumberFormat="1" applyFont="1" applyBorder="1" applyAlignment="1">
      <alignment wrapText="1"/>
    </xf>
    <xf numFmtId="167" fontId="7" fillId="5" borderId="0" xfId="1" applyNumberFormat="1" applyFont="1" applyFill="1" applyBorder="1" applyAlignment="1">
      <alignment horizontal="right" vertical="center" wrapText="1"/>
    </xf>
    <xf numFmtId="167" fontId="9" fillId="5" borderId="0" xfId="1" applyNumberFormat="1" applyFont="1" applyFill="1" applyBorder="1" applyAlignment="1">
      <alignment horizontal="right" vertical="center" wrapText="1"/>
    </xf>
    <xf numFmtId="169" fontId="9" fillId="5" borderId="0" xfId="1" applyNumberFormat="1" applyFont="1" applyFill="1" applyBorder="1" applyAlignment="1">
      <alignment horizontal="right" vertical="center" wrapText="1"/>
    </xf>
    <xf numFmtId="0" fontId="8" fillId="0" borderId="6" xfId="0" applyFont="1" applyBorder="1" applyAlignment="1">
      <alignment vertical="top" wrapText="1"/>
    </xf>
    <xf numFmtId="41" fontId="26" fillId="0" borderId="0" xfId="0" applyNumberFormat="1" applyFont="1" applyAlignment="1">
      <alignment horizontal="right" vertical="center" wrapText="1"/>
    </xf>
    <xf numFmtId="0" fontId="15" fillId="0" borderId="0" xfId="0" applyFont="1" applyAlignment="1">
      <alignment horizontal="center"/>
    </xf>
    <xf numFmtId="41" fontId="11" fillId="0" borderId="0" xfId="0" applyNumberFormat="1" applyFont="1"/>
    <xf numFmtId="41" fontId="11" fillId="0" borderId="0" xfId="0" applyNumberFormat="1" applyFont="1" applyAlignment="1">
      <alignment horizontal="right" vertical="top" wrapText="1"/>
    </xf>
    <xf numFmtId="170" fontId="4" fillId="0" borderId="0" xfId="0" applyNumberFormat="1" applyFont="1"/>
    <xf numFmtId="0" fontId="29" fillId="0" borderId="11" xfId="0" applyFont="1" applyBorder="1" applyAlignment="1">
      <alignment horizontal="left" indent="2"/>
    </xf>
    <xf numFmtId="0" fontId="29" fillId="0" borderId="12" xfId="0" applyFont="1" applyBorder="1" applyAlignment="1">
      <alignment horizontal="left" indent="2"/>
    </xf>
    <xf numFmtId="0" fontId="29" fillId="0" borderId="0" xfId="0" applyFont="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31" fillId="0" borderId="0" xfId="0" applyFont="1"/>
    <xf numFmtId="0" fontId="15" fillId="0" borderId="8" xfId="0" applyFont="1" applyBorder="1"/>
    <xf numFmtId="0" fontId="4" fillId="0" borderId="8" xfId="0" applyFont="1" applyBorder="1"/>
    <xf numFmtId="0" fontId="16" fillId="0" borderId="0" xfId="0" applyFont="1"/>
    <xf numFmtId="172" fontId="32" fillId="0" borderId="0" xfId="0" applyNumberFormat="1" applyFont="1"/>
    <xf numFmtId="172" fontId="16" fillId="0" borderId="0" xfId="0" applyNumberFormat="1" applyFont="1"/>
    <xf numFmtId="9" fontId="16" fillId="0" borderId="0" xfId="0" applyNumberFormat="1" applyFont="1"/>
    <xf numFmtId="166" fontId="16" fillId="0" borderId="0" xfId="0" applyNumberFormat="1" applyFont="1"/>
    <xf numFmtId="37" fontId="12" fillId="0" borderId="0" xfId="0" applyNumberFormat="1" applyFont="1"/>
    <xf numFmtId="37" fontId="31" fillId="0" borderId="0" xfId="0" applyNumberFormat="1" applyFont="1"/>
    <xf numFmtId="37" fontId="33" fillId="0" borderId="0" xfId="0" applyNumberFormat="1" applyFont="1"/>
    <xf numFmtId="0" fontId="4" fillId="0" borderId="0" xfId="0" applyFont="1" applyAlignment="1">
      <alignment horizontal="left"/>
    </xf>
    <xf numFmtId="0" fontId="15" fillId="0" borderId="0" xfId="0" applyFont="1" applyAlignment="1">
      <alignment horizontal="left"/>
    </xf>
    <xf numFmtId="4" fontId="4" fillId="0" borderId="0" xfId="0" applyNumberFormat="1" applyFont="1"/>
    <xf numFmtId="0" fontId="34" fillId="0" borderId="0" xfId="0" applyFont="1"/>
    <xf numFmtId="176" fontId="31" fillId="0" borderId="0" xfId="0" applyNumberFormat="1" applyFont="1"/>
    <xf numFmtId="176" fontId="12" fillId="0" borderId="0" xfId="0" applyNumberFormat="1" applyFont="1"/>
    <xf numFmtId="14" fontId="16" fillId="0" borderId="0" xfId="0" applyNumberFormat="1" applyFont="1"/>
    <xf numFmtId="174" fontId="33" fillId="0" borderId="0" xfId="0" applyNumberFormat="1" applyFont="1"/>
    <xf numFmtId="175" fontId="33" fillId="0" borderId="0" xfId="0" applyNumberFormat="1" applyFont="1"/>
    <xf numFmtId="172" fontId="30" fillId="0" borderId="8" xfId="0" applyNumberFormat="1" applyFont="1" applyBorder="1"/>
    <xf numFmtId="3" fontId="4" fillId="0" borderId="0" xfId="0" applyNumberFormat="1" applyFont="1"/>
    <xf numFmtId="0" fontId="15" fillId="0" borderId="9" xfId="0" applyFont="1" applyBorder="1" applyAlignment="1">
      <alignment horizontal="centerContinuous"/>
    </xf>
    <xf numFmtId="0" fontId="4" fillId="0" borderId="0" xfId="0" quotePrefix="1" applyFont="1" applyAlignment="1">
      <alignment horizontal="left" indent="1"/>
    </xf>
    <xf numFmtId="0" fontId="4" fillId="0" borderId="10" xfId="0" quotePrefix="1" applyFont="1" applyBorder="1" applyAlignment="1">
      <alignment horizontal="left" indent="1"/>
    </xf>
    <xf numFmtId="37" fontId="12" fillId="0" borderId="10" xfId="0" applyNumberFormat="1" applyFont="1" applyBorder="1"/>
    <xf numFmtId="37" fontId="4" fillId="0" borderId="10" xfId="0" applyNumberFormat="1" applyFont="1" applyBorder="1"/>
    <xf numFmtId="0" fontId="15" fillId="0" borderId="0" xfId="0" applyFont="1" applyAlignment="1">
      <alignment horizontal="left" indent="1"/>
    </xf>
    <xf numFmtId="176" fontId="4" fillId="0" borderId="0" xfId="0" applyNumberFormat="1" applyFont="1"/>
    <xf numFmtId="177" fontId="12" fillId="0" borderId="0" xfId="0" applyNumberFormat="1" applyFont="1"/>
    <xf numFmtId="171" fontId="4" fillId="0" borderId="0" xfId="0" applyNumberFormat="1" applyFont="1"/>
    <xf numFmtId="0" fontId="15" fillId="0" borderId="8" xfId="0" applyFont="1" applyBorder="1" applyAlignment="1">
      <alignment horizontal="left"/>
    </xf>
    <xf numFmtId="176" fontId="4" fillId="0" borderId="8" xfId="0" applyNumberFormat="1" applyFont="1" applyBorder="1"/>
    <xf numFmtId="176" fontId="31" fillId="0" borderId="8" xfId="0" applyNumberFormat="1" applyFont="1" applyBorder="1"/>
    <xf numFmtId="177" fontId="4" fillId="0" borderId="0" xfId="0" applyNumberFormat="1" applyFont="1"/>
    <xf numFmtId="37" fontId="15" fillId="0" borderId="8" xfId="0" applyNumberFormat="1" applyFont="1" applyBorder="1"/>
    <xf numFmtId="37" fontId="31" fillId="0" borderId="9" xfId="0" applyNumberFormat="1" applyFont="1" applyBorder="1"/>
    <xf numFmtId="0" fontId="4" fillId="0" borderId="10" xfId="0" applyFont="1" applyBorder="1" applyAlignment="1">
      <alignment horizontal="left" indent="1"/>
    </xf>
    <xf numFmtId="0" fontId="4" fillId="0" borderId="10" xfId="0" applyFont="1" applyBorder="1"/>
    <xf numFmtId="37" fontId="31" fillId="0" borderId="10" xfId="0" applyNumberFormat="1" applyFont="1" applyBorder="1"/>
    <xf numFmtId="37" fontId="15" fillId="0" borderId="8" xfId="0" applyNumberFormat="1" applyFont="1" applyBorder="1" applyAlignment="1">
      <alignment horizontal="left"/>
    </xf>
    <xf numFmtId="37" fontId="15" fillId="0" borderId="10" xfId="0" applyNumberFormat="1" applyFont="1" applyBorder="1"/>
    <xf numFmtId="37" fontId="4" fillId="0" borderId="12" xfId="0" applyNumberFormat="1" applyFont="1" applyBorder="1"/>
    <xf numFmtId="0" fontId="4" fillId="0" borderId="12" xfId="0" applyFont="1" applyBorder="1"/>
    <xf numFmtId="37" fontId="21" fillId="0" borderId="12" xfId="0" applyNumberFormat="1" applyFont="1" applyBorder="1" applyAlignment="1">
      <alignment horizontal="right"/>
    </xf>
    <xf numFmtId="37" fontId="21" fillId="0" borderId="0" xfId="0" applyNumberFormat="1" applyFont="1" applyAlignment="1">
      <alignment horizontal="right"/>
    </xf>
    <xf numFmtId="9" fontId="12" fillId="0" borderId="8" xfId="0" applyNumberFormat="1" applyFont="1" applyBorder="1"/>
    <xf numFmtId="3" fontId="31" fillId="0" borderId="0" xfId="0" applyNumberFormat="1" applyFont="1"/>
    <xf numFmtId="37" fontId="4" fillId="0" borderId="9" xfId="0" applyNumberFormat="1" applyFont="1" applyBorder="1"/>
    <xf numFmtId="0" fontId="34" fillId="0" borderId="0" xfId="0" applyFont="1" applyAlignment="1">
      <alignment horizontal="left" indent="1"/>
    </xf>
    <xf numFmtId="0" fontId="35" fillId="0" borderId="0" xfId="0" applyFont="1" applyAlignment="1">
      <alignment horizontal="left"/>
    </xf>
    <xf numFmtId="178" fontId="12" fillId="0" borderId="0" xfId="0" applyNumberFormat="1" applyFont="1"/>
    <xf numFmtId="0" fontId="33" fillId="0" borderId="13" xfId="0" applyFont="1" applyBorder="1" applyAlignment="1">
      <alignment horizontal="left" indent="1"/>
    </xf>
    <xf numFmtId="37" fontId="33" fillId="0" borderId="13" xfId="0" applyNumberFormat="1" applyFont="1" applyBorder="1"/>
    <xf numFmtId="0" fontId="4" fillId="0" borderId="0" xfId="0" applyFont="1" applyAlignment="1">
      <alignment horizontal="left" indent="2"/>
    </xf>
    <xf numFmtId="10" fontId="12" fillId="0" borderId="0" xfId="0" applyNumberFormat="1" applyFont="1"/>
    <xf numFmtId="179" fontId="31" fillId="0" borderId="0" xfId="0" applyNumberFormat="1" applyFont="1"/>
    <xf numFmtId="37" fontId="31" fillId="0" borderId="0" xfId="0" applyNumberFormat="1" applyFont="1" applyAlignment="1">
      <alignment horizontal="left" indent="1"/>
    </xf>
    <xf numFmtId="8" fontId="4" fillId="0" borderId="0" xfId="0" applyNumberFormat="1" applyFont="1"/>
    <xf numFmtId="9" fontId="31" fillId="0" borderId="0" xfId="0" applyNumberFormat="1" applyFont="1"/>
    <xf numFmtId="0" fontId="4" fillId="0" borderId="0" xfId="0" applyFont="1" applyAlignment="1">
      <alignment horizontal="right"/>
    </xf>
    <xf numFmtId="37" fontId="15" fillId="0" borderId="14" xfId="0" applyNumberFormat="1" applyFont="1" applyBorder="1"/>
    <xf numFmtId="171" fontId="15" fillId="0" borderId="15" xfId="0" applyNumberFormat="1" applyFont="1" applyBorder="1"/>
    <xf numFmtId="176" fontId="4" fillId="0" borderId="18" xfId="0" applyNumberFormat="1" applyFont="1" applyBorder="1" applyAlignment="1">
      <alignment horizontal="center"/>
    </xf>
    <xf numFmtId="0" fontId="4" fillId="0" borderId="18" xfId="0" applyFont="1" applyBorder="1"/>
    <xf numFmtId="177" fontId="12" fillId="0" borderId="18" xfId="0" applyNumberFormat="1" applyFont="1" applyBorder="1" applyAlignment="1">
      <alignment horizontal="center"/>
    </xf>
    <xf numFmtId="0" fontId="4" fillId="0" borderId="18" xfId="0" applyFont="1" applyBorder="1" applyAlignment="1">
      <alignment horizontal="center"/>
    </xf>
    <xf numFmtId="180" fontId="4" fillId="0" borderId="0" xfId="0" applyNumberFormat="1" applyFont="1"/>
    <xf numFmtId="177" fontId="12" fillId="0" borderId="19" xfId="0" applyNumberFormat="1" applyFont="1" applyBorder="1" applyAlignment="1">
      <alignment horizontal="center"/>
    </xf>
    <xf numFmtId="37" fontId="27" fillId="0" borderId="0" xfId="0" applyNumberFormat="1" applyFont="1"/>
    <xf numFmtId="14" fontId="3" fillId="2" borderId="0" xfId="0" quotePrefix="1" applyNumberFormat="1" applyFont="1" applyFill="1" applyAlignment="1">
      <alignment horizontal="center" vertical="center" wrapText="1"/>
    </xf>
    <xf numFmtId="41" fontId="8" fillId="6" borderId="2" xfId="0" applyNumberFormat="1" applyFont="1" applyFill="1" applyBorder="1" applyAlignment="1">
      <alignment horizontal="right" vertical="top" wrapText="1"/>
    </xf>
    <xf numFmtId="3" fontId="4" fillId="0" borderId="0" xfId="0" applyNumberFormat="1" applyFont="1" applyAlignment="1">
      <alignment wrapText="1"/>
    </xf>
    <xf numFmtId="43" fontId="22" fillId="0" borderId="20" xfId="0" applyNumberFormat="1" applyFont="1" applyBorder="1" applyAlignment="1">
      <alignment wrapText="1"/>
    </xf>
    <xf numFmtId="41" fontId="6" fillId="0" borderId="20" xfId="0" applyNumberFormat="1" applyFont="1" applyBorder="1" applyAlignment="1">
      <alignment horizontal="right" vertical="top" wrapText="1"/>
    </xf>
    <xf numFmtId="0" fontId="8" fillId="6" borderId="22" xfId="0" applyFont="1" applyFill="1" applyBorder="1" applyAlignment="1">
      <alignment horizontal="right" vertical="center" wrapText="1"/>
    </xf>
    <xf numFmtId="0" fontId="4" fillId="0" borderId="22" xfId="0" applyFont="1" applyBorder="1"/>
    <xf numFmtId="37" fontId="4" fillId="0" borderId="23" xfId="0" applyNumberFormat="1" applyFont="1" applyBorder="1" applyAlignment="1">
      <alignment wrapText="1"/>
    </xf>
    <xf numFmtId="41" fontId="8" fillId="0" borderId="25" xfId="0" applyNumberFormat="1" applyFont="1" applyBorder="1" applyAlignment="1">
      <alignment horizontal="right" vertical="top" wrapText="1"/>
    </xf>
    <xf numFmtId="41" fontId="6" fillId="0" borderId="26" xfId="0" applyNumberFormat="1" applyFont="1" applyBorder="1" applyAlignment="1">
      <alignment horizontal="right" vertical="top" wrapText="1"/>
    </xf>
    <xf numFmtId="41" fontId="27" fillId="0" borderId="0" xfId="0" applyNumberFormat="1" applyFont="1"/>
    <xf numFmtId="0" fontId="15" fillId="0" borderId="26" xfId="0" applyFont="1" applyBorder="1" applyAlignment="1">
      <alignment horizontal="left"/>
    </xf>
    <xf numFmtId="37" fontId="33" fillId="0" borderId="26" xfId="0" applyNumberFormat="1" applyFont="1" applyBorder="1"/>
    <xf numFmtId="0" fontId="15" fillId="0" borderId="26" xfId="0" applyFont="1" applyBorder="1"/>
    <xf numFmtId="0" fontId="4" fillId="0" borderId="26" xfId="0" applyFont="1" applyBorder="1"/>
    <xf numFmtId="0" fontId="4" fillId="7" borderId="26" xfId="0" applyFont="1" applyFill="1" applyBorder="1"/>
    <xf numFmtId="37" fontId="15" fillId="0" borderId="26" xfId="0" applyNumberFormat="1" applyFont="1" applyBorder="1"/>
    <xf numFmtId="37" fontId="4" fillId="6" borderId="0" xfId="0" applyNumberFormat="1" applyFont="1" applyFill="1"/>
    <xf numFmtId="8" fontId="27" fillId="0" borderId="0" xfId="0" applyNumberFormat="1" applyFont="1"/>
    <xf numFmtId="0" fontId="15" fillId="0" borderId="26" xfId="0" applyFont="1" applyBorder="1" applyAlignment="1">
      <alignment horizontal="left" indent="1"/>
    </xf>
    <xf numFmtId="37" fontId="31" fillId="6" borderId="9" xfId="0" applyNumberFormat="1" applyFont="1" applyFill="1" applyBorder="1"/>
    <xf numFmtId="37" fontId="31" fillId="6" borderId="10" xfId="0" applyNumberFormat="1" applyFont="1" applyFill="1" applyBorder="1"/>
    <xf numFmtId="37" fontId="31" fillId="6" borderId="0" xfId="0" applyNumberFormat="1" applyFont="1" applyFill="1"/>
    <xf numFmtId="176" fontId="31" fillId="6" borderId="0" xfId="0" applyNumberFormat="1" applyFont="1" applyFill="1"/>
    <xf numFmtId="37" fontId="33" fillId="6" borderId="0" xfId="0" applyNumberFormat="1" applyFont="1" applyFill="1"/>
    <xf numFmtId="37" fontId="12" fillId="6" borderId="0" xfId="0" applyNumberFormat="1" applyFont="1" applyFill="1"/>
    <xf numFmtId="37" fontId="4" fillId="6" borderId="10" xfId="0" applyNumberFormat="1" applyFont="1" applyFill="1" applyBorder="1"/>
    <xf numFmtId="37" fontId="12" fillId="6" borderId="10" xfId="0" applyNumberFormat="1" applyFont="1" applyFill="1" applyBorder="1"/>
    <xf numFmtId="179" fontId="6" fillId="6" borderId="0" xfId="0" applyNumberFormat="1" applyFont="1" applyFill="1"/>
    <xf numFmtId="177" fontId="6" fillId="6" borderId="0" xfId="0" applyNumberFormat="1" applyFont="1" applyFill="1"/>
    <xf numFmtId="179" fontId="31" fillId="6" borderId="0" xfId="0" applyNumberFormat="1" applyFont="1" applyFill="1"/>
    <xf numFmtId="0" fontId="33" fillId="0" borderId="10" xfId="0" applyFont="1" applyBorder="1"/>
    <xf numFmtId="0" fontId="31" fillId="0" borderId="10" xfId="0" applyFont="1" applyBorder="1"/>
    <xf numFmtId="0" fontId="34" fillId="0" borderId="0" xfId="0" applyFont="1" applyAlignment="1">
      <alignment horizontal="left"/>
    </xf>
    <xf numFmtId="166" fontId="31" fillId="0" borderId="0" xfId="0" applyNumberFormat="1" applyFont="1"/>
    <xf numFmtId="166" fontId="37" fillId="0" borderId="0" xfId="0" applyNumberFormat="1" applyFont="1" applyAlignment="1">
      <alignment horizontal="right"/>
    </xf>
    <xf numFmtId="0" fontId="15" fillId="0" borderId="28" xfId="0" applyFont="1" applyBorder="1"/>
    <xf numFmtId="0" fontId="15" fillId="0" borderId="29" xfId="0" applyFont="1" applyBorder="1"/>
    <xf numFmtId="0" fontId="4" fillId="0" borderId="29" xfId="0" applyFont="1" applyBorder="1"/>
    <xf numFmtId="173" fontId="12" fillId="0" borderId="0" xfId="0" applyNumberFormat="1" applyFont="1"/>
    <xf numFmtId="179" fontId="29" fillId="0" borderId="10" xfId="0" applyNumberFormat="1" applyFont="1" applyBorder="1"/>
    <xf numFmtId="173" fontId="31" fillId="0" borderId="0" xfId="0" applyNumberFormat="1" applyFont="1"/>
    <xf numFmtId="181" fontId="29" fillId="0" borderId="0" xfId="0" applyNumberFormat="1" applyFont="1"/>
    <xf numFmtId="9" fontId="12" fillId="8" borderId="0" xfId="0" applyNumberFormat="1" applyFont="1" applyFill="1"/>
    <xf numFmtId="176" fontId="15" fillId="0" borderId="30" xfId="0" applyNumberFormat="1" applyFont="1" applyBorder="1"/>
    <xf numFmtId="39" fontId="15" fillId="0" borderId="0" xfId="0" applyNumberFormat="1" applyFont="1"/>
    <xf numFmtId="0" fontId="4" fillId="0" borderId="0" xfId="0" applyFont="1" applyAlignment="1">
      <alignment horizontal="centerContinuous"/>
    </xf>
    <xf numFmtId="0" fontId="4" fillId="0" borderId="9" xfId="0" applyFont="1" applyBorder="1" applyAlignment="1">
      <alignment horizontal="centerContinuous"/>
    </xf>
    <xf numFmtId="176" fontId="4" fillId="8" borderId="0" xfId="0" applyNumberFormat="1" applyFont="1" applyFill="1"/>
    <xf numFmtId="182" fontId="31" fillId="0" borderId="31" xfId="0" applyNumberFormat="1" applyFont="1" applyBorder="1"/>
    <xf numFmtId="173" fontId="12" fillId="0" borderId="32" xfId="0" applyNumberFormat="1" applyFont="1" applyBorder="1"/>
    <xf numFmtId="182" fontId="31" fillId="0" borderId="32" xfId="0" applyNumberFormat="1" applyFont="1" applyBorder="1"/>
    <xf numFmtId="10" fontId="31" fillId="0" borderId="33" xfId="0" applyNumberFormat="1" applyFont="1" applyBorder="1"/>
    <xf numFmtId="177" fontId="4" fillId="0" borderId="9" xfId="0" applyNumberFormat="1" applyFont="1" applyBorder="1"/>
    <xf numFmtId="10" fontId="12" fillId="0" borderId="33" xfId="0" applyNumberFormat="1" applyFont="1" applyBorder="1"/>
    <xf numFmtId="10" fontId="31" fillId="0" borderId="34" xfId="0" applyNumberFormat="1" applyFont="1" applyBorder="1"/>
    <xf numFmtId="0" fontId="12" fillId="10" borderId="7" xfId="0" applyFont="1" applyFill="1" applyBorder="1" applyAlignment="1">
      <alignment horizontal="right"/>
    </xf>
    <xf numFmtId="173" fontId="4" fillId="0" borderId="0" xfId="0" applyNumberFormat="1" applyFont="1"/>
    <xf numFmtId="0" fontId="4" fillId="0" borderId="35" xfId="0" applyFont="1" applyBorder="1"/>
    <xf numFmtId="0" fontId="4" fillId="0" borderId="35" xfId="0" applyFont="1" applyBorder="1" applyAlignment="1">
      <alignment wrapText="1"/>
    </xf>
    <xf numFmtId="0" fontId="12" fillId="0" borderId="0" xfId="0" applyFont="1"/>
    <xf numFmtId="39" fontId="12" fillId="0" borderId="0" xfId="0" applyNumberFormat="1" applyFont="1"/>
    <xf numFmtId="39" fontId="29" fillId="0" borderId="0" xfId="0" applyNumberFormat="1" applyFont="1"/>
    <xf numFmtId="37" fontId="29" fillId="0" borderId="0" xfId="0" applyNumberFormat="1" applyFont="1"/>
    <xf numFmtId="176" fontId="31" fillId="0" borderId="36" xfId="0" applyNumberFormat="1" applyFont="1" applyBorder="1"/>
    <xf numFmtId="173" fontId="15" fillId="0" borderId="0" xfId="0" applyNumberFormat="1" applyFont="1"/>
    <xf numFmtId="39" fontId="4" fillId="0" borderId="0" xfId="0" applyNumberFormat="1" applyFont="1"/>
    <xf numFmtId="183" fontId="12" fillId="0" borderId="0" xfId="0" applyNumberFormat="1" applyFont="1"/>
    <xf numFmtId="173" fontId="39" fillId="0" borderId="0" xfId="0" applyNumberFormat="1" applyFont="1"/>
    <xf numFmtId="184" fontId="12" fillId="0" borderId="0" xfId="0" applyNumberFormat="1" applyFont="1"/>
    <xf numFmtId="173" fontId="37" fillId="0" borderId="0" xfId="0" applyNumberFormat="1" applyFont="1"/>
    <xf numFmtId="0" fontId="15" fillId="0" borderId="10" xfId="0" applyFont="1" applyBorder="1"/>
    <xf numFmtId="185" fontId="31" fillId="0" borderId="0" xfId="0" applyNumberFormat="1" applyFont="1"/>
    <xf numFmtId="39" fontId="31" fillId="0" borderId="0" xfId="0" applyNumberFormat="1" applyFont="1"/>
    <xf numFmtId="7" fontId="4" fillId="0" borderId="0" xfId="0" applyNumberFormat="1" applyFont="1"/>
    <xf numFmtId="37" fontId="30" fillId="0" borderId="0" xfId="0" applyNumberFormat="1" applyFont="1"/>
    <xf numFmtId="7" fontId="31" fillId="0" borderId="0" xfId="0" applyNumberFormat="1" applyFont="1"/>
    <xf numFmtId="14" fontId="12" fillId="0" borderId="0" xfId="0" applyNumberFormat="1" applyFont="1" applyAlignment="1">
      <alignment horizontal="right"/>
    </xf>
    <xf numFmtId="0" fontId="42" fillId="0" borderId="0" xfId="6" applyFont="1" applyBorder="1"/>
    <xf numFmtId="177" fontId="31" fillId="0" borderId="0" xfId="0" applyNumberFormat="1" applyFont="1"/>
    <xf numFmtId="7" fontId="29" fillId="0" borderId="0" xfId="0" applyNumberFormat="1" applyFont="1" applyAlignment="1">
      <alignment horizontal="right"/>
    </xf>
    <xf numFmtId="0" fontId="38" fillId="0" borderId="0" xfId="0" applyFont="1" applyAlignment="1">
      <alignment horizontal="centerContinuous"/>
    </xf>
    <xf numFmtId="14" fontId="4" fillId="0" borderId="0" xfId="0" applyNumberFormat="1" applyFont="1" applyAlignment="1">
      <alignment horizontal="center"/>
    </xf>
    <xf numFmtId="172" fontId="4" fillId="0" borderId="37" xfId="0" applyNumberFormat="1" applyFont="1" applyBorder="1" applyAlignment="1">
      <alignment horizontal="center"/>
    </xf>
    <xf numFmtId="172" fontId="4" fillId="0" borderId="34" xfId="0" applyNumberFormat="1" applyFont="1" applyBorder="1" applyAlignment="1">
      <alignment horizontal="center"/>
    </xf>
    <xf numFmtId="172" fontId="4" fillId="0" borderId="0" xfId="0" applyNumberFormat="1" applyFont="1" applyAlignment="1">
      <alignment horizontal="center"/>
    </xf>
    <xf numFmtId="186" fontId="15" fillId="0" borderId="37" xfId="0" applyNumberFormat="1" applyFont="1" applyBorder="1"/>
    <xf numFmtId="187" fontId="15" fillId="0" borderId="0" xfId="0" applyNumberFormat="1" applyFont="1"/>
    <xf numFmtId="188" fontId="29" fillId="0" borderId="0" xfId="0" applyNumberFormat="1" applyFont="1"/>
    <xf numFmtId="188" fontId="31" fillId="0" borderId="0" xfId="0" applyNumberFormat="1" applyFont="1"/>
    <xf numFmtId="188" fontId="4" fillId="0" borderId="0" xfId="0" applyNumberFormat="1" applyFont="1"/>
    <xf numFmtId="188" fontId="33" fillId="0" borderId="0" xfId="0" applyNumberFormat="1" applyFont="1"/>
    <xf numFmtId="14" fontId="4" fillId="0" borderId="0" xfId="0" applyNumberFormat="1" applyFont="1"/>
    <xf numFmtId="177" fontId="4" fillId="0" borderId="0" xfId="0" applyNumberFormat="1" applyFont="1" applyAlignment="1">
      <alignment horizontal="center"/>
    </xf>
    <xf numFmtId="187" fontId="4" fillId="0" borderId="0" xfId="0" applyNumberFormat="1" applyFont="1"/>
    <xf numFmtId="189" fontId="12" fillId="0" borderId="0" xfId="0" applyNumberFormat="1" applyFont="1"/>
    <xf numFmtId="188" fontId="15" fillId="0" borderId="0" xfId="0" applyNumberFormat="1" applyFont="1"/>
    <xf numFmtId="0" fontId="16" fillId="0" borderId="0" xfId="0" applyFont="1" applyAlignment="1">
      <alignment horizontal="left"/>
    </xf>
    <xf numFmtId="177" fontId="16" fillId="0" borderId="0" xfId="0" applyNumberFormat="1" applyFont="1"/>
    <xf numFmtId="190" fontId="16" fillId="0" borderId="0" xfId="0" applyNumberFormat="1" applyFont="1"/>
    <xf numFmtId="189" fontId="16" fillId="0" borderId="0" xfId="0" applyNumberFormat="1" applyFont="1"/>
    <xf numFmtId="176" fontId="4" fillId="0" borderId="0" xfId="0" quotePrefix="1" applyNumberFormat="1" applyFont="1"/>
    <xf numFmtId="0" fontId="34" fillId="0" borderId="0" xfId="0" applyFont="1" applyAlignment="1">
      <alignment horizontal="right"/>
    </xf>
    <xf numFmtId="0" fontId="34" fillId="0" borderId="0" xfId="0" applyFont="1" applyAlignment="1">
      <alignment horizontal="left" vertical="center"/>
    </xf>
    <xf numFmtId="14" fontId="31" fillId="0" borderId="0" xfId="0" applyNumberFormat="1" applyFont="1"/>
    <xf numFmtId="191" fontId="12" fillId="0" borderId="0" xfId="0" applyNumberFormat="1" applyFont="1"/>
    <xf numFmtId="0" fontId="31" fillId="0" borderId="0" xfId="0" applyFont="1" applyAlignment="1">
      <alignment horizontal="left" indent="1"/>
    </xf>
    <xf numFmtId="0" fontId="4" fillId="0" borderId="0" xfId="0" applyFont="1" applyAlignment="1">
      <alignment horizontal="left" vertical="center" indent="1"/>
    </xf>
    <xf numFmtId="188" fontId="4" fillId="0" borderId="0" xfId="0" applyNumberFormat="1" applyFont="1" applyAlignment="1">
      <alignment horizontal="right"/>
    </xf>
    <xf numFmtId="37" fontId="16" fillId="0" borderId="10" xfId="0" applyNumberFormat="1" applyFont="1" applyBorder="1" applyAlignment="1">
      <alignment horizontal="right"/>
    </xf>
    <xf numFmtId="37" fontId="4" fillId="0" borderId="0" xfId="0" applyNumberFormat="1" applyFont="1" applyAlignment="1">
      <alignment horizontal="right"/>
    </xf>
    <xf numFmtId="194" fontId="4" fillId="9" borderId="0" xfId="0" applyNumberFormat="1" applyFont="1" applyFill="1" applyAlignment="1">
      <alignment horizontal="right"/>
    </xf>
    <xf numFmtId="195" fontId="4" fillId="9" borderId="0" xfId="0" applyNumberFormat="1" applyFont="1" applyFill="1" applyAlignment="1">
      <alignment horizontal="right"/>
    </xf>
    <xf numFmtId="195" fontId="4" fillId="0" borderId="0" xfId="0" applyNumberFormat="1" applyFont="1" applyAlignment="1">
      <alignment horizontal="right"/>
    </xf>
    <xf numFmtId="194" fontId="4" fillId="0" borderId="0" xfId="0" applyNumberFormat="1" applyFont="1" applyAlignment="1">
      <alignment horizontal="right"/>
    </xf>
    <xf numFmtId="0" fontId="31" fillId="10" borderId="0" xfId="0" applyFont="1" applyFill="1"/>
    <xf numFmtId="0" fontId="44" fillId="0" borderId="0" xfId="0" applyFont="1" applyAlignment="1">
      <alignment horizontal="centerContinuous"/>
    </xf>
    <xf numFmtId="0" fontId="38" fillId="0" borderId="34" xfId="0" applyFont="1" applyBorder="1" applyAlignment="1">
      <alignment horizontal="centerContinuous"/>
    </xf>
    <xf numFmtId="0" fontId="4" fillId="0" borderId="34" xfId="0" applyFont="1" applyBorder="1" applyAlignment="1">
      <alignment horizontal="centerContinuous"/>
    </xf>
    <xf numFmtId="193" fontId="4" fillId="0" borderId="8" xfId="0" applyNumberFormat="1" applyFont="1" applyBorder="1" applyAlignment="1">
      <alignment horizontal="right"/>
    </xf>
    <xf numFmtId="166" fontId="31" fillId="11" borderId="28" xfId="0" applyNumberFormat="1" applyFont="1" applyFill="1" applyBorder="1"/>
    <xf numFmtId="166" fontId="31" fillId="11" borderId="29" xfId="0" applyNumberFormat="1" applyFont="1" applyFill="1" applyBorder="1"/>
    <xf numFmtId="166" fontId="12" fillId="11" borderId="29" xfId="0" applyNumberFormat="1" applyFont="1" applyFill="1" applyBorder="1"/>
    <xf numFmtId="166" fontId="31" fillId="11" borderId="34" xfId="0" applyNumberFormat="1" applyFont="1" applyFill="1" applyBorder="1"/>
    <xf numFmtId="189" fontId="4" fillId="0" borderId="38" xfId="0" applyNumberFormat="1" applyFont="1" applyBorder="1" applyAlignment="1">
      <alignment horizontal="right"/>
    </xf>
    <xf numFmtId="166" fontId="31" fillId="11" borderId="30" xfId="0" applyNumberFormat="1" applyFont="1" applyFill="1" applyBorder="1"/>
    <xf numFmtId="166" fontId="31" fillId="11" borderId="39" xfId="0" applyNumberFormat="1" applyFont="1" applyFill="1" applyBorder="1" applyAlignment="1">
      <alignment horizontal="right"/>
    </xf>
    <xf numFmtId="196" fontId="4" fillId="0" borderId="0" xfId="0" applyNumberFormat="1" applyFont="1"/>
    <xf numFmtId="196" fontId="4" fillId="0" borderId="34" xfId="0" applyNumberFormat="1" applyFont="1" applyBorder="1"/>
    <xf numFmtId="189" fontId="4" fillId="0" borderId="0" xfId="0" applyNumberFormat="1" applyFont="1" applyAlignment="1">
      <alignment horizontal="right"/>
    </xf>
    <xf numFmtId="166" fontId="12" fillId="11" borderId="39" xfId="0" applyNumberFormat="1" applyFont="1" applyFill="1" applyBorder="1" applyAlignment="1">
      <alignment horizontal="right"/>
    </xf>
    <xf numFmtId="0" fontId="33" fillId="10" borderId="0" xfId="0" applyFont="1" applyFill="1" applyAlignment="1">
      <alignment horizontal="center"/>
    </xf>
    <xf numFmtId="166" fontId="31" fillId="11" borderId="40" xfId="0" applyNumberFormat="1" applyFont="1" applyFill="1" applyBorder="1" applyAlignment="1">
      <alignment horizontal="right"/>
    </xf>
    <xf numFmtId="197" fontId="4" fillId="0" borderId="0" xfId="0" applyNumberFormat="1" applyFont="1"/>
    <xf numFmtId="197" fontId="4" fillId="0" borderId="34" xfId="0" applyNumberFormat="1" applyFont="1" applyBorder="1"/>
    <xf numFmtId="193" fontId="4" fillId="0" borderId="38" xfId="0" applyNumberFormat="1" applyFont="1" applyBorder="1"/>
    <xf numFmtId="189" fontId="31" fillId="11" borderId="29" xfId="0" applyNumberFormat="1" applyFont="1" applyFill="1" applyBorder="1"/>
    <xf numFmtId="189" fontId="12" fillId="11" borderId="29" xfId="0" applyNumberFormat="1" applyFont="1" applyFill="1" applyBorder="1"/>
    <xf numFmtId="189" fontId="31" fillId="11" borderId="34" xfId="0" applyNumberFormat="1" applyFont="1" applyFill="1" applyBorder="1"/>
    <xf numFmtId="189" fontId="31" fillId="11" borderId="30" xfId="0" applyNumberFormat="1" applyFont="1" applyFill="1" applyBorder="1"/>
    <xf numFmtId="0" fontId="4" fillId="0" borderId="34" xfId="0" applyFont="1" applyBorder="1"/>
    <xf numFmtId="0" fontId="15" fillId="12" borderId="0" xfId="0" applyFont="1" applyFill="1"/>
    <xf numFmtId="0" fontId="15" fillId="12" borderId="34" xfId="0" applyFont="1" applyFill="1" applyBorder="1"/>
    <xf numFmtId="179" fontId="4" fillId="0" borderId="0" xfId="0" applyNumberFormat="1" applyFont="1"/>
    <xf numFmtId="0" fontId="4" fillId="0" borderId="28" xfId="0" applyFont="1" applyBorder="1"/>
    <xf numFmtId="0" fontId="4" fillId="0" borderId="29" xfId="0" applyFont="1" applyBorder="1" applyAlignment="1">
      <alignment horizontal="right"/>
    </xf>
    <xf numFmtId="0" fontId="4" fillId="0" borderId="30" xfId="0" applyFont="1" applyBorder="1" applyAlignment="1">
      <alignment horizontal="right"/>
    </xf>
    <xf numFmtId="0" fontId="4" fillId="0" borderId="41" xfId="0" applyFont="1" applyBorder="1"/>
    <xf numFmtId="0" fontId="4" fillId="0" borderId="42" xfId="0" quotePrefix="1" applyFont="1" applyBorder="1"/>
    <xf numFmtId="39" fontId="4" fillId="0" borderId="43" xfId="0" applyNumberFormat="1" applyFont="1" applyBorder="1"/>
    <xf numFmtId="39" fontId="31" fillId="0" borderId="43" xfId="0" applyNumberFormat="1" applyFont="1" applyBorder="1"/>
    <xf numFmtId="0" fontId="4" fillId="0" borderId="42" xfId="0" applyFont="1" applyBorder="1"/>
    <xf numFmtId="0" fontId="4" fillId="0" borderId="44" xfId="0" applyFont="1" applyBorder="1"/>
    <xf numFmtId="39" fontId="4" fillId="0" borderId="8" xfId="0" applyNumberFormat="1" applyFont="1" applyBorder="1"/>
    <xf numFmtId="39" fontId="31" fillId="0" borderId="8" xfId="0" applyNumberFormat="1" applyFont="1" applyBorder="1"/>
    <xf numFmtId="39" fontId="4" fillId="0" borderId="38" xfId="0" applyNumberFormat="1" applyFont="1" applyBorder="1"/>
    <xf numFmtId="0" fontId="4" fillId="0" borderId="45" xfId="0" applyFont="1" applyBorder="1"/>
    <xf numFmtId="39" fontId="31" fillId="0" borderId="38" xfId="0" applyNumberFormat="1" applyFont="1" applyBorder="1"/>
    <xf numFmtId="192" fontId="15" fillId="0" borderId="26" xfId="0" applyNumberFormat="1" applyFont="1" applyBorder="1"/>
    <xf numFmtId="37" fontId="11" fillId="0" borderId="0" xfId="0" applyNumberFormat="1" applyFont="1" applyAlignment="1">
      <alignment horizontal="right" vertical="top" wrapText="1"/>
    </xf>
    <xf numFmtId="0" fontId="12" fillId="0" borderId="0" xfId="0" applyFont="1" applyAlignment="1">
      <alignment horizontal="center"/>
    </xf>
    <xf numFmtId="8" fontId="12" fillId="0" borderId="0" xfId="0" applyNumberFormat="1" applyFont="1" applyAlignment="1">
      <alignment horizontal="center"/>
    </xf>
    <xf numFmtId="14" fontId="12" fillId="0" borderId="0" xfId="0" applyNumberFormat="1" applyFont="1" applyAlignment="1">
      <alignment horizontal="center"/>
    </xf>
    <xf numFmtId="172" fontId="12" fillId="0" borderId="0" xfId="0" applyNumberFormat="1" applyFont="1" applyAlignment="1">
      <alignment horizontal="center"/>
    </xf>
    <xf numFmtId="0" fontId="4" fillId="0" borderId="20" xfId="0" applyFont="1" applyBorder="1"/>
    <xf numFmtId="173" fontId="12" fillId="0" borderId="20" xfId="0" applyNumberFormat="1" applyFont="1" applyBorder="1" applyAlignment="1">
      <alignment horizontal="center"/>
    </xf>
    <xf numFmtId="0" fontId="4" fillId="0" borderId="21" xfId="0" applyFont="1" applyBorder="1"/>
    <xf numFmtId="0" fontId="4" fillId="0" borderId="23" xfId="0" applyFont="1" applyBorder="1"/>
    <xf numFmtId="0" fontId="4" fillId="0" borderId="24" xfId="0" applyFont="1" applyBorder="1"/>
    <xf numFmtId="0" fontId="12" fillId="0" borderId="26" xfId="0" applyFont="1" applyBorder="1" applyAlignment="1">
      <alignment horizontal="center"/>
    </xf>
    <xf numFmtId="0" fontId="4" fillId="0" borderId="27" xfId="0" applyFont="1" applyBorder="1"/>
    <xf numFmtId="0" fontId="33" fillId="0" borderId="25" xfId="0" applyFont="1" applyBorder="1"/>
    <xf numFmtId="0" fontId="33" fillId="0" borderId="22" xfId="0" applyFont="1" applyBorder="1"/>
    <xf numFmtId="0" fontId="15" fillId="0" borderId="22" xfId="0" applyFont="1" applyBorder="1"/>
    <xf numFmtId="0" fontId="15" fillId="0" borderId="21" xfId="0" applyFont="1" applyBorder="1"/>
    <xf numFmtId="0" fontId="4" fillId="0" borderId="0" xfId="0" applyFont="1" applyAlignment="1">
      <alignment horizontal="center"/>
    </xf>
    <xf numFmtId="171" fontId="12" fillId="6" borderId="7" xfId="0" applyNumberFormat="1" applyFont="1" applyFill="1" applyBorder="1" applyAlignment="1">
      <alignment horizontal="center"/>
    </xf>
    <xf numFmtId="171" fontId="12" fillId="6" borderId="47" xfId="0" applyNumberFormat="1" applyFont="1" applyFill="1" applyBorder="1" applyAlignment="1">
      <alignment horizontal="center"/>
    </xf>
    <xf numFmtId="0" fontId="4" fillId="0" borderId="0" xfId="0" applyFont="1" applyAlignment="1">
      <alignment vertical="center"/>
    </xf>
    <xf numFmtId="0" fontId="4" fillId="0" borderId="0" xfId="0" applyFont="1" applyAlignment="1">
      <alignment horizontal="left" vertical="center"/>
    </xf>
    <xf numFmtId="199" fontId="5" fillId="2" borderId="0" xfId="0" applyNumberFormat="1" applyFont="1" applyFill="1" applyAlignment="1">
      <alignment horizontal="center" vertical="center" wrapText="1"/>
    </xf>
    <xf numFmtId="0" fontId="4" fillId="0" borderId="22" xfId="0" applyFont="1" applyBorder="1" applyAlignment="1">
      <alignment horizontal="left" indent="1"/>
    </xf>
    <xf numFmtId="176" fontId="31" fillId="0" borderId="23" xfId="0" applyNumberFormat="1" applyFont="1" applyBorder="1"/>
    <xf numFmtId="0" fontId="45" fillId="2" borderId="26" xfId="0" applyFont="1" applyFill="1" applyBorder="1"/>
    <xf numFmtId="0" fontId="45" fillId="2" borderId="27" xfId="0" applyFont="1" applyFill="1" applyBorder="1"/>
    <xf numFmtId="0" fontId="2" fillId="2" borderId="25" xfId="0" applyFont="1" applyFill="1" applyBorder="1"/>
    <xf numFmtId="0" fontId="45" fillId="0" borderId="0" xfId="0" applyFont="1"/>
    <xf numFmtId="0" fontId="45" fillId="0" borderId="23" xfId="0" applyFont="1" applyBorder="1"/>
    <xf numFmtId="0" fontId="2" fillId="0" borderId="22" xfId="0" applyFont="1" applyBorder="1"/>
    <xf numFmtId="0" fontId="3" fillId="0" borderId="0" xfId="0" applyFont="1" applyAlignment="1">
      <alignment vertical="center" wrapText="1"/>
    </xf>
    <xf numFmtId="14" fontId="3" fillId="0" borderId="0" xfId="0" applyNumberFormat="1" applyFont="1" applyAlignment="1">
      <alignment horizontal="center" vertical="center" wrapText="1"/>
    </xf>
    <xf numFmtId="0" fontId="15" fillId="13" borderId="26" xfId="0" applyFont="1" applyFill="1" applyBorder="1" applyAlignment="1">
      <alignment horizontal="left"/>
    </xf>
    <xf numFmtId="5" fontId="33" fillId="13" borderId="26" xfId="0" applyNumberFormat="1" applyFont="1" applyFill="1" applyBorder="1"/>
    <xf numFmtId="5" fontId="15" fillId="13" borderId="26" xfId="0" applyNumberFormat="1" applyFont="1" applyFill="1" applyBorder="1"/>
    <xf numFmtId="5" fontId="33" fillId="0" borderId="26" xfId="0" applyNumberFormat="1" applyFont="1" applyBorder="1"/>
    <xf numFmtId="41" fontId="6" fillId="0" borderId="0" xfId="0" applyNumberFormat="1" applyFont="1" applyAlignment="1">
      <alignment horizontal="right" vertical="center" wrapText="1"/>
    </xf>
    <xf numFmtId="41" fontId="6" fillId="0" borderId="0" xfId="0" applyNumberFormat="1" applyFont="1" applyAlignment="1">
      <alignment horizontal="right" wrapText="1"/>
    </xf>
    <xf numFmtId="41" fontId="27" fillId="0" borderId="0" xfId="0" applyNumberFormat="1" applyFont="1" applyAlignment="1">
      <alignment horizontal="right" wrapText="1"/>
    </xf>
    <xf numFmtId="0" fontId="2" fillId="14" borderId="0" xfId="0" applyFont="1" applyFill="1" applyAlignment="1">
      <alignment vertical="center" wrapText="1"/>
    </xf>
    <xf numFmtId="0" fontId="3" fillId="14" borderId="0" xfId="0" applyFont="1" applyFill="1" applyAlignment="1">
      <alignment vertical="center" wrapText="1"/>
    </xf>
    <xf numFmtId="0" fontId="2" fillId="15" borderId="0" xfId="0" applyFont="1" applyFill="1" applyAlignment="1">
      <alignment vertical="center" wrapText="1"/>
    </xf>
    <xf numFmtId="0" fontId="2" fillId="15" borderId="4" xfId="0" applyFont="1" applyFill="1" applyBorder="1" applyAlignment="1">
      <alignment horizontal="centerContinuous" vertical="center" wrapText="1"/>
    </xf>
    <xf numFmtId="0" fontId="3" fillId="15" borderId="0" xfId="0" applyFont="1" applyFill="1" applyAlignment="1">
      <alignment vertical="center" wrapText="1"/>
    </xf>
    <xf numFmtId="14" fontId="3" fillId="15" borderId="0" xfId="0" applyNumberFormat="1" applyFont="1" applyFill="1" applyAlignment="1">
      <alignment horizontal="center" vertical="center" wrapText="1"/>
    </xf>
    <xf numFmtId="167" fontId="7" fillId="0" borderId="0" xfId="1" applyNumberFormat="1" applyFont="1" applyFill="1" applyBorder="1" applyAlignment="1">
      <alignment horizontal="right" vertical="center" wrapText="1"/>
    </xf>
    <xf numFmtId="0" fontId="2" fillId="2" borderId="0" xfId="0" applyFont="1" applyFill="1" applyAlignment="1">
      <alignment horizontal="centerContinuous" vertical="center" wrapText="1"/>
    </xf>
    <xf numFmtId="0" fontId="2" fillId="14" borderId="4" xfId="0" applyFont="1" applyFill="1" applyBorder="1" applyAlignment="1">
      <alignment horizontal="centerContinuous" vertical="center" wrapText="1"/>
    </xf>
    <xf numFmtId="0" fontId="4" fillId="14" borderId="0" xfId="0" applyFont="1" applyFill="1" applyAlignment="1">
      <alignment wrapText="1"/>
    </xf>
    <xf numFmtId="0" fontId="5" fillId="14" borderId="0" xfId="0" applyFont="1" applyFill="1" applyAlignment="1">
      <alignment horizontal="center" vertical="center" wrapText="1"/>
    </xf>
    <xf numFmtId="14" fontId="3" fillId="14" borderId="0" xfId="0" applyNumberFormat="1" applyFont="1" applyFill="1" applyAlignment="1">
      <alignment horizontal="center" vertical="center" wrapText="1"/>
    </xf>
    <xf numFmtId="198" fontId="5" fillId="2" borderId="0" xfId="0" applyNumberFormat="1" applyFont="1" applyFill="1" applyAlignment="1">
      <alignment horizontal="center" vertical="center" wrapText="1"/>
    </xf>
    <xf numFmtId="0" fontId="2" fillId="16" borderId="0" xfId="0" applyFont="1" applyFill="1" applyAlignment="1">
      <alignment vertical="center" wrapText="1"/>
    </xf>
    <xf numFmtId="0" fontId="3" fillId="16" borderId="0" xfId="0" applyFont="1" applyFill="1" applyAlignment="1">
      <alignment vertical="center" wrapText="1"/>
    </xf>
    <xf numFmtId="199" fontId="5" fillId="16" borderId="0" xfId="0" applyNumberFormat="1" applyFont="1" applyFill="1" applyAlignment="1">
      <alignment horizontal="center" vertical="center" wrapText="1"/>
    </xf>
    <xf numFmtId="198" fontId="5" fillId="16" borderId="0" xfId="0" applyNumberFormat="1" applyFont="1" applyFill="1" applyAlignment="1">
      <alignment horizontal="center" vertical="center" wrapText="1"/>
    </xf>
    <xf numFmtId="14" fontId="3" fillId="16" borderId="0" xfId="0" applyNumberFormat="1" applyFont="1" applyFill="1" applyAlignment="1">
      <alignment horizontal="center" vertical="center" wrapText="1"/>
    </xf>
    <xf numFmtId="0" fontId="2" fillId="17" borderId="0" xfId="0" applyFont="1" applyFill="1" applyAlignment="1">
      <alignment vertical="center" wrapText="1"/>
    </xf>
    <xf numFmtId="0" fontId="2" fillId="17" borderId="4" xfId="0" applyFont="1" applyFill="1" applyBorder="1" applyAlignment="1">
      <alignment horizontal="centerContinuous" vertical="center" wrapText="1"/>
    </xf>
    <xf numFmtId="0" fontId="4" fillId="17" borderId="0" xfId="0" applyFont="1" applyFill="1" applyAlignment="1">
      <alignment wrapText="1"/>
    </xf>
    <xf numFmtId="0" fontId="5" fillId="17" borderId="0" xfId="0" applyFont="1" applyFill="1" applyAlignment="1">
      <alignment horizontal="center" vertical="center" wrapText="1"/>
    </xf>
    <xf numFmtId="0" fontId="3" fillId="17" borderId="0" xfId="0" applyFont="1" applyFill="1" applyAlignment="1">
      <alignment vertical="center" wrapText="1"/>
    </xf>
    <xf numFmtId="0" fontId="5" fillId="17" borderId="0" xfId="0" applyFont="1" applyFill="1" applyAlignment="1">
      <alignment vertical="center" wrapText="1"/>
    </xf>
    <xf numFmtId="14" fontId="3" fillId="17" borderId="0" xfId="0" applyNumberFormat="1" applyFont="1" applyFill="1" applyAlignment="1">
      <alignment horizontal="center" vertical="center" wrapText="1"/>
    </xf>
    <xf numFmtId="14" fontId="3" fillId="17" borderId="0" xfId="0" applyNumberFormat="1" applyFont="1" applyFill="1" applyAlignment="1">
      <alignment vertical="center" wrapText="1"/>
    </xf>
    <xf numFmtId="0" fontId="2" fillId="18" borderId="0" xfId="0" applyFont="1" applyFill="1" applyAlignment="1">
      <alignment vertical="center" wrapText="1"/>
    </xf>
    <xf numFmtId="0" fontId="2" fillId="18" borderId="4" xfId="0" applyFont="1" applyFill="1" applyBorder="1" applyAlignment="1">
      <alignment horizontal="centerContinuous" vertical="center" wrapText="1"/>
    </xf>
    <xf numFmtId="0" fontId="3" fillId="18" borderId="0" xfId="0" applyFont="1" applyFill="1" applyAlignment="1">
      <alignment vertical="center" wrapText="1"/>
    </xf>
    <xf numFmtId="198" fontId="5" fillId="18" borderId="0" xfId="0" applyNumberFormat="1" applyFont="1" applyFill="1" applyAlignment="1">
      <alignment horizontal="center" vertical="center" wrapText="1"/>
    </xf>
    <xf numFmtId="14" fontId="3" fillId="18" borderId="0" xfId="0" applyNumberFormat="1" applyFont="1" applyFill="1" applyAlignment="1">
      <alignment horizontal="center" vertical="center" wrapText="1"/>
    </xf>
    <xf numFmtId="199" fontId="5" fillId="15" borderId="0" xfId="0" applyNumberFormat="1" applyFont="1" applyFill="1" applyAlignment="1">
      <alignment horizontal="center" vertical="center" wrapText="1"/>
    </xf>
    <xf numFmtId="198" fontId="5" fillId="15" borderId="0" xfId="0" applyNumberFormat="1" applyFont="1" applyFill="1" applyAlignment="1">
      <alignment horizontal="center" vertical="center" wrapText="1"/>
    </xf>
    <xf numFmtId="14" fontId="12" fillId="0" borderId="0" xfId="5" applyNumberFormat="1" applyFont="1" applyAlignment="1">
      <alignment horizontal="right"/>
    </xf>
    <xf numFmtId="14" fontId="31" fillId="0" borderId="0" xfId="5" applyNumberFormat="1" applyFont="1" applyAlignment="1">
      <alignment horizontal="right"/>
    </xf>
    <xf numFmtId="7" fontId="12" fillId="0" borderId="0" xfId="0" applyNumberFormat="1" applyFont="1"/>
    <xf numFmtId="0" fontId="43" fillId="0" borderId="0" xfId="0" applyFont="1" applyAlignment="1">
      <alignment horizontal="center"/>
    </xf>
    <xf numFmtId="177" fontId="31" fillId="0" borderId="20" xfId="0" applyNumberFormat="1" applyFont="1" applyBorder="1"/>
    <xf numFmtId="7" fontId="29" fillId="0" borderId="20" xfId="0" applyNumberFormat="1" applyFont="1" applyBorder="1" applyAlignment="1">
      <alignment horizontal="right"/>
    </xf>
    <xf numFmtId="0" fontId="42" fillId="0" borderId="23" xfId="6" applyFont="1" applyBorder="1"/>
    <xf numFmtId="0" fontId="4" fillId="0" borderId="25" xfId="0" applyFont="1" applyBorder="1"/>
    <xf numFmtId="14" fontId="12" fillId="0" borderId="26" xfId="5" applyNumberFormat="1" applyFont="1" applyBorder="1" applyAlignment="1">
      <alignment horizontal="right"/>
    </xf>
    <xf numFmtId="176" fontId="29" fillId="0" borderId="26" xfId="0" applyNumberFormat="1" applyFont="1" applyBorder="1"/>
    <xf numFmtId="0" fontId="6" fillId="0" borderId="0" xfId="0" applyFont="1" applyAlignment="1">
      <alignment vertical="center" wrapText="1"/>
    </xf>
    <xf numFmtId="0" fontId="16" fillId="0" borderId="22" xfId="0" applyFont="1" applyBorder="1" applyAlignment="1">
      <alignment horizontal="left" indent="2"/>
    </xf>
    <xf numFmtId="176" fontId="27" fillId="0" borderId="0" xfId="0" applyNumberFormat="1" applyFont="1"/>
    <xf numFmtId="0" fontId="24" fillId="0" borderId="0" xfId="0" applyFont="1" applyAlignment="1">
      <alignment horizontal="left" vertical="center" indent="1"/>
    </xf>
    <xf numFmtId="167" fontId="10" fillId="0" borderId="0" xfId="1" applyNumberFormat="1" applyFont="1" applyFill="1" applyAlignment="1">
      <alignment horizontal="right" vertical="center"/>
    </xf>
    <xf numFmtId="0" fontId="16" fillId="0" borderId="0" xfId="0" applyFont="1" applyAlignment="1">
      <alignment horizontal="left" vertical="center" indent="1"/>
    </xf>
    <xf numFmtId="0" fontId="2" fillId="2" borderId="0" xfId="0" applyFont="1" applyFill="1" applyAlignment="1">
      <alignment horizontal="centerContinuous" vertical="center"/>
    </xf>
    <xf numFmtId="0" fontId="34" fillId="0" borderId="22" xfId="0" applyFont="1" applyBorder="1" applyAlignment="1">
      <alignment horizontal="left" indent="1"/>
    </xf>
    <xf numFmtId="37" fontId="47" fillId="6" borderId="0" xfId="0" applyNumberFormat="1" applyFont="1" applyFill="1"/>
    <xf numFmtId="0" fontId="15" fillId="6" borderId="26" xfId="0" applyFont="1" applyFill="1" applyBorder="1"/>
    <xf numFmtId="7" fontId="33" fillId="6" borderId="26" xfId="0" applyNumberFormat="1" applyFont="1" applyFill="1" applyBorder="1"/>
    <xf numFmtId="173" fontId="29" fillId="0" borderId="0" xfId="0" applyNumberFormat="1" applyFont="1" applyAlignment="1">
      <alignment horizontal="right" vertical="center"/>
    </xf>
    <xf numFmtId="0" fontId="15" fillId="0" borderId="48" xfId="0" applyFont="1" applyBorder="1"/>
    <xf numFmtId="0" fontId="15" fillId="0" borderId="49" xfId="0" applyFont="1" applyBorder="1"/>
    <xf numFmtId="7" fontId="48" fillId="0" borderId="50" xfId="0" applyNumberFormat="1" applyFont="1" applyBorder="1"/>
    <xf numFmtId="0" fontId="2" fillId="2" borderId="0" xfId="0" applyFont="1" applyFill="1" applyAlignment="1">
      <alignment horizontal="centerContinuous"/>
    </xf>
    <xf numFmtId="0" fontId="2" fillId="2" borderId="0" xfId="0" applyFont="1" applyFill="1" applyAlignment="1">
      <alignment horizontal="left" vertical="center" wrapText="1"/>
    </xf>
    <xf numFmtId="0" fontId="3" fillId="2" borderId="4" xfId="0" applyFont="1" applyFill="1" applyBorder="1" applyAlignment="1">
      <alignment horizontal="left" vertical="center" wrapText="1"/>
    </xf>
    <xf numFmtId="0" fontId="2" fillId="0" borderId="0" xfId="0" applyFont="1" applyAlignment="1">
      <alignment horizontal="centerContinuous" vertical="center"/>
    </xf>
    <xf numFmtId="0" fontId="44" fillId="0" borderId="0" xfId="0" applyFont="1" applyAlignment="1">
      <alignment horizontal="center"/>
    </xf>
    <xf numFmtId="173" fontId="33" fillId="6" borderId="26" xfId="0" applyNumberFormat="1" applyFont="1" applyFill="1" applyBorder="1"/>
    <xf numFmtId="0" fontId="4" fillId="6" borderId="26" xfId="0" applyFont="1" applyFill="1" applyBorder="1"/>
    <xf numFmtId="173" fontId="11" fillId="0" borderId="0" xfId="0" applyNumberFormat="1" applyFont="1" applyAlignment="1">
      <alignment horizontal="right" vertical="center"/>
    </xf>
    <xf numFmtId="0" fontId="2" fillId="2" borderId="0" xfId="0" applyFont="1" applyFill="1" applyAlignment="1">
      <alignment horizontal="left" vertical="center"/>
    </xf>
    <xf numFmtId="0" fontId="15" fillId="7" borderId="26" xfId="0" applyFont="1" applyFill="1" applyBorder="1"/>
    <xf numFmtId="188" fontId="15" fillId="7" borderId="26" xfId="0" applyNumberFormat="1" applyFont="1" applyFill="1" applyBorder="1"/>
    <xf numFmtId="188" fontId="31" fillId="0" borderId="0" xfId="0" applyNumberFormat="1" applyFont="1" applyAlignment="1">
      <alignment vertical="center"/>
    </xf>
    <xf numFmtId="0" fontId="15" fillId="7" borderId="26" xfId="0" applyFont="1" applyFill="1" applyBorder="1" applyAlignment="1">
      <alignment vertical="center"/>
    </xf>
    <xf numFmtId="0" fontId="33" fillId="7" borderId="26" xfId="0" applyFont="1" applyFill="1" applyBorder="1" applyAlignment="1">
      <alignment vertical="center"/>
    </xf>
    <xf numFmtId="188" fontId="33" fillId="7" borderId="26" xfId="0" applyNumberFormat="1" applyFont="1" applyFill="1" applyBorder="1" applyAlignment="1">
      <alignment vertical="center"/>
    </xf>
    <xf numFmtId="0" fontId="2" fillId="0" borderId="0" xfId="0" applyFont="1" applyAlignment="1">
      <alignment horizontal="left" vertical="center" wrapText="1"/>
    </xf>
    <xf numFmtId="0" fontId="2" fillId="0" borderId="0" xfId="0" applyFont="1" applyAlignment="1">
      <alignment horizontal="centerContinuous" vertical="center" wrapText="1"/>
    </xf>
    <xf numFmtId="188" fontId="49" fillId="0" borderId="10" xfId="0" applyNumberFormat="1" applyFont="1" applyBorder="1" applyAlignment="1">
      <alignment horizontal="center"/>
    </xf>
    <xf numFmtId="188" fontId="49" fillId="0" borderId="0" xfId="0" applyNumberFormat="1" applyFont="1" applyAlignment="1">
      <alignment horizontal="center"/>
    </xf>
    <xf numFmtId="14" fontId="47" fillId="0" borderId="0" xfId="0" applyNumberFormat="1" applyFont="1" applyAlignment="1">
      <alignment horizontal="center"/>
    </xf>
    <xf numFmtId="0" fontId="2" fillId="0" borderId="0" xfId="0" applyFont="1" applyAlignment="1">
      <alignment horizontal="left" vertical="center"/>
    </xf>
    <xf numFmtId="37" fontId="15" fillId="7" borderId="26" xfId="0" applyNumberFormat="1" applyFont="1" applyFill="1" applyBorder="1"/>
    <xf numFmtId="193" fontId="15" fillId="6" borderId="26" xfId="0" applyNumberFormat="1" applyFont="1" applyFill="1" applyBorder="1" applyAlignment="1">
      <alignment horizontal="right"/>
    </xf>
    <xf numFmtId="188" fontId="29" fillId="0" borderId="37" xfId="0" applyNumberFormat="1" applyFont="1" applyBorder="1"/>
    <xf numFmtId="0" fontId="4" fillId="0" borderId="37" xfId="0" applyFont="1" applyBorder="1"/>
    <xf numFmtId="177" fontId="31" fillId="0" borderId="37" xfId="0" applyNumberFormat="1" applyFont="1" applyBorder="1"/>
    <xf numFmtId="188" fontId="31" fillId="0" borderId="37" xfId="0" applyNumberFormat="1" applyFont="1" applyBorder="1"/>
    <xf numFmtId="176" fontId="29" fillId="0" borderId="34" xfId="0" applyNumberFormat="1" applyFont="1" applyBorder="1" applyAlignment="1">
      <alignment vertical="center"/>
    </xf>
    <xf numFmtId="176" fontId="29" fillId="0" borderId="0" xfId="0" applyNumberFormat="1" applyFont="1" applyAlignment="1">
      <alignment vertical="center"/>
    </xf>
    <xf numFmtId="0" fontId="37" fillId="0" borderId="10" xfId="0" applyFont="1" applyBorder="1" applyAlignment="1">
      <alignment horizontal="centerContinuous"/>
    </xf>
    <xf numFmtId="188" fontId="33" fillId="6" borderId="26" xfId="0" applyNumberFormat="1" applyFont="1" applyFill="1" applyBorder="1"/>
    <xf numFmtId="188" fontId="33" fillId="7" borderId="51" xfId="0" applyNumberFormat="1" applyFont="1" applyFill="1" applyBorder="1"/>
    <xf numFmtId="188" fontId="33" fillId="7" borderId="26" xfId="0" applyNumberFormat="1" applyFont="1" applyFill="1" applyBorder="1"/>
    <xf numFmtId="167" fontId="10" fillId="20" borderId="0" xfId="1" applyNumberFormat="1" applyFont="1" applyFill="1" applyAlignment="1">
      <alignment horizontal="right" vertical="center"/>
    </xf>
    <xf numFmtId="177" fontId="50" fillId="19" borderId="46" xfId="0" applyNumberFormat="1" applyFont="1" applyFill="1" applyBorder="1" applyAlignment="1">
      <alignment horizontal="center" vertical="center"/>
    </xf>
    <xf numFmtId="41" fontId="22" fillId="0" borderId="0" xfId="0" applyNumberFormat="1" applyFont="1" applyAlignment="1">
      <alignment horizontal="right" vertical="center" wrapText="1"/>
    </xf>
    <xf numFmtId="0" fontId="46" fillId="0" borderId="0" xfId="0" applyFont="1" applyAlignment="1">
      <alignment horizontal="left" vertical="center" indent="1"/>
    </xf>
    <xf numFmtId="167" fontId="10" fillId="20" borderId="0" xfId="1" applyNumberFormat="1" applyFont="1" applyFill="1" applyBorder="1" applyAlignment="1">
      <alignment horizontal="right" vertical="center" wrapText="1"/>
    </xf>
    <xf numFmtId="0" fontId="22" fillId="0" borderId="1" xfId="0" applyFont="1" applyBorder="1" applyAlignment="1">
      <alignment vertical="top" wrapText="1"/>
    </xf>
    <xf numFmtId="43" fontId="22" fillId="0" borderId="1" xfId="0" applyNumberFormat="1" applyFont="1" applyBorder="1" applyAlignment="1">
      <alignment wrapText="1"/>
    </xf>
    <xf numFmtId="0" fontId="23" fillId="0" borderId="1" xfId="0" applyFont="1" applyBorder="1" applyAlignment="1">
      <alignment wrapText="1"/>
    </xf>
    <xf numFmtId="0" fontId="14" fillId="0" borderId="1" xfId="0" applyFont="1" applyBorder="1" applyAlignment="1">
      <alignment wrapText="1"/>
    </xf>
    <xf numFmtId="0" fontId="6" fillId="0" borderId="0" xfId="0" applyFont="1" applyAlignment="1">
      <alignment wrapText="1"/>
    </xf>
    <xf numFmtId="41" fontId="11" fillId="0" borderId="0" xfId="0" applyNumberFormat="1" applyFont="1" applyAlignment="1">
      <alignment horizontal="right" wrapText="1"/>
    </xf>
    <xf numFmtId="0" fontId="4" fillId="0" borderId="0" xfId="0" applyFont="1" applyAlignment="1">
      <alignment vertical="center" wrapText="1"/>
    </xf>
    <xf numFmtId="41" fontId="11" fillId="0" borderId="0" xfId="0" applyNumberFormat="1" applyFont="1" applyAlignment="1">
      <alignment horizontal="right" vertical="center" wrapText="1"/>
    </xf>
    <xf numFmtId="37" fontId="4" fillId="0" borderId="0" xfId="0" applyNumberFormat="1" applyFont="1" applyAlignment="1">
      <alignment vertical="center" wrapText="1"/>
    </xf>
    <xf numFmtId="41" fontId="6" fillId="0" borderId="0" xfId="0" applyNumberFormat="1" applyFont="1"/>
    <xf numFmtId="41" fontId="47" fillId="0" borderId="0" xfId="0" applyNumberFormat="1" applyFont="1"/>
    <xf numFmtId="0" fontId="14" fillId="3" borderId="0" xfId="0" applyFont="1" applyFill="1"/>
    <xf numFmtId="167" fontId="10" fillId="3" borderId="0" xfId="1" applyNumberFormat="1" applyFont="1" applyFill="1" applyBorder="1" applyAlignment="1">
      <alignment horizontal="right" vertical="center" wrapText="1"/>
    </xf>
    <xf numFmtId="167" fontId="51" fillId="3" borderId="0" xfId="1" applyNumberFormat="1" applyFont="1" applyFill="1" applyBorder="1" applyAlignment="1">
      <alignment horizontal="right" vertical="center" wrapText="1"/>
    </xf>
    <xf numFmtId="168" fontId="51" fillId="3" borderId="0" xfId="1" applyNumberFormat="1" applyFont="1" applyFill="1" applyBorder="1" applyAlignment="1">
      <alignment horizontal="right" vertical="center" wrapText="1"/>
    </xf>
    <xf numFmtId="0" fontId="14" fillId="0" borderId="0" xfId="0" applyFont="1"/>
    <xf numFmtId="176" fontId="6" fillId="0" borderId="34" xfId="0" applyNumberFormat="1" applyFont="1" applyBorder="1" applyAlignment="1">
      <alignment vertical="center"/>
    </xf>
    <xf numFmtId="0" fontId="24" fillId="0" borderId="0" xfId="0" applyFont="1" applyAlignment="1">
      <alignment horizontal="left" wrapText="1"/>
    </xf>
    <xf numFmtId="41" fontId="11" fillId="0" borderId="26" xfId="0" applyNumberFormat="1" applyFont="1" applyBorder="1" applyAlignment="1">
      <alignment horizontal="right" vertical="top" wrapText="1"/>
    </xf>
    <xf numFmtId="41" fontId="7" fillId="0" borderId="22" xfId="0" applyNumberFormat="1" applyFont="1" applyBorder="1" applyAlignment="1">
      <alignment horizontal="right" vertical="top" wrapText="1"/>
    </xf>
    <xf numFmtId="176" fontId="30" fillId="0" borderId="0" xfId="0" applyNumberFormat="1" applyFont="1"/>
    <xf numFmtId="41" fontId="31" fillId="0" borderId="0" xfId="0" applyNumberFormat="1" applyFont="1"/>
    <xf numFmtId="176" fontId="6" fillId="0" borderId="0" xfId="0" applyNumberFormat="1" applyFont="1"/>
    <xf numFmtId="3" fontId="0" fillId="0" borderId="0" xfId="0" applyNumberFormat="1"/>
    <xf numFmtId="0" fontId="53" fillId="0" borderId="0" xfId="0" applyFont="1" applyAlignment="1">
      <alignment horizontal="right" vertical="center" wrapText="1"/>
    </xf>
    <xf numFmtId="0" fontId="8" fillId="0" borderId="1" xfId="0" applyFont="1" applyBorder="1" applyAlignment="1">
      <alignment horizontal="left" vertical="center" wrapText="1"/>
    </xf>
    <xf numFmtId="0" fontId="54" fillId="0" borderId="0" xfId="0" applyFont="1" applyAlignment="1">
      <alignment horizontal="left" vertical="top" wrapText="1"/>
    </xf>
    <xf numFmtId="0" fontId="6" fillId="0" borderId="0" xfId="0" applyFont="1" applyAlignment="1">
      <alignment horizontal="left" vertical="top" indent="1"/>
    </xf>
    <xf numFmtId="0" fontId="6" fillId="0" borderId="0" xfId="0" applyFont="1" applyAlignment="1">
      <alignment horizontal="left" vertical="top" wrapText="1" indent="1"/>
    </xf>
    <xf numFmtId="7" fontId="8" fillId="7" borderId="2" xfId="0" applyNumberFormat="1" applyFont="1" applyFill="1" applyBorder="1" applyAlignment="1">
      <alignment horizontal="right" vertical="top" wrapText="1"/>
    </xf>
    <xf numFmtId="0" fontId="8" fillId="7" borderId="0" xfId="0" applyFont="1" applyFill="1" applyAlignment="1">
      <alignment vertical="top" wrapText="1"/>
    </xf>
    <xf numFmtId="14" fontId="3" fillId="2" borderId="0" xfId="0" applyNumberFormat="1" applyFont="1" applyFill="1" applyAlignment="1">
      <alignment horizontal="left" vertical="center" wrapText="1"/>
    </xf>
    <xf numFmtId="7" fontId="8" fillId="6" borderId="2" xfId="0" applyNumberFormat="1" applyFont="1" applyFill="1" applyBorder="1" applyAlignment="1">
      <alignment horizontal="right" vertical="top" wrapText="1"/>
    </xf>
    <xf numFmtId="7" fontId="8" fillId="0" borderId="0" xfId="0" applyNumberFormat="1" applyFont="1" applyAlignment="1">
      <alignment horizontal="right" vertical="top" wrapText="1"/>
    </xf>
    <xf numFmtId="0" fontId="6" fillId="0" borderId="0" xfId="0" applyFont="1" applyAlignment="1">
      <alignment horizontal="left" vertical="top" indent="2"/>
    </xf>
    <xf numFmtId="0" fontId="6" fillId="0" borderId="0" xfId="0" applyFont="1" applyAlignment="1">
      <alignment horizontal="left" vertical="center" wrapText="1" indent="1"/>
    </xf>
    <xf numFmtId="0" fontId="8" fillId="6" borderId="0" xfId="0" applyFont="1" applyFill="1" applyAlignment="1">
      <alignment vertical="top" wrapText="1"/>
    </xf>
    <xf numFmtId="7" fontId="27" fillId="0" borderId="0" xfId="0" applyNumberFormat="1" applyFont="1" applyAlignment="1">
      <alignment horizontal="right"/>
    </xf>
    <xf numFmtId="14" fontId="3" fillId="0" borderId="0" xfId="0" applyNumberFormat="1" applyFont="1" applyAlignment="1">
      <alignment horizontal="left" vertical="center" wrapText="1"/>
    </xf>
    <xf numFmtId="14" fontId="3" fillId="0" borderId="0" xfId="0" quotePrefix="1" applyNumberFormat="1" applyFont="1" applyAlignment="1">
      <alignment horizontal="center" vertical="center" wrapText="1"/>
    </xf>
    <xf numFmtId="0" fontId="0" fillId="0" borderId="0" xfId="0" applyAlignment="1">
      <alignment vertical="center"/>
    </xf>
    <xf numFmtId="5" fontId="6" fillId="0" borderId="0" xfId="0" applyNumberFormat="1" applyFont="1" applyAlignment="1">
      <alignment horizontal="right" vertical="top" wrapText="1"/>
    </xf>
    <xf numFmtId="171" fontId="12" fillId="6" borderId="0" xfId="0" applyNumberFormat="1" applyFont="1" applyFill="1" applyAlignment="1">
      <alignment horizontal="right"/>
    </xf>
    <xf numFmtId="170" fontId="11" fillId="6" borderId="0" xfId="0" applyNumberFormat="1" applyFont="1" applyFill="1" applyAlignment="1">
      <alignment horizontal="center"/>
    </xf>
    <xf numFmtId="170" fontId="11" fillId="6" borderId="0" xfId="0" applyNumberFormat="1" applyFont="1" applyFill="1" applyAlignment="1">
      <alignment horizontal="right"/>
    </xf>
    <xf numFmtId="41" fontId="8" fillId="6" borderId="0" xfId="0" applyNumberFormat="1" applyFont="1" applyFill="1" applyAlignment="1">
      <alignment horizontal="right" vertical="top" wrapText="1"/>
    </xf>
    <xf numFmtId="41" fontId="6" fillId="6" borderId="0" xfId="0" applyNumberFormat="1" applyFont="1" applyFill="1" applyAlignment="1">
      <alignment horizontal="right" vertical="top" wrapText="1"/>
    </xf>
    <xf numFmtId="41" fontId="6" fillId="0" borderId="23" xfId="0" applyNumberFormat="1" applyFont="1" applyBorder="1" applyAlignment="1">
      <alignment horizontal="right" vertical="top" wrapText="1"/>
    </xf>
    <xf numFmtId="41" fontId="8" fillId="6" borderId="23" xfId="0" applyNumberFormat="1" applyFont="1" applyFill="1" applyBorder="1" applyAlignment="1">
      <alignment horizontal="right" vertical="top" wrapText="1"/>
    </xf>
    <xf numFmtId="41" fontId="8" fillId="0" borderId="23" xfId="0" applyNumberFormat="1" applyFont="1" applyBorder="1" applyAlignment="1">
      <alignment horizontal="right" vertical="top" wrapText="1"/>
    </xf>
    <xf numFmtId="41" fontId="6" fillId="6" borderId="23" xfId="0" applyNumberFormat="1" applyFont="1" applyFill="1" applyBorder="1" applyAlignment="1">
      <alignment horizontal="right" vertical="top" wrapText="1"/>
    </xf>
    <xf numFmtId="43" fontId="22" fillId="0" borderId="24" xfId="0" applyNumberFormat="1" applyFont="1" applyBorder="1" applyAlignment="1">
      <alignment wrapText="1"/>
    </xf>
    <xf numFmtId="0" fontId="8" fillId="0" borderId="22" xfId="0" applyFont="1" applyBorder="1" applyAlignment="1">
      <alignment horizontal="right" vertical="center" wrapText="1"/>
    </xf>
    <xf numFmtId="0" fontId="46" fillId="0" borderId="21" xfId="0" applyFont="1" applyBorder="1" applyAlignment="1">
      <alignment horizontal="right" vertical="top" wrapText="1"/>
    </xf>
    <xf numFmtId="0" fontId="46" fillId="0" borderId="0" xfId="0" applyFont="1" applyAlignment="1">
      <alignment vertical="top" wrapText="1"/>
    </xf>
    <xf numFmtId="41" fontId="6" fillId="0" borderId="27" xfId="0" applyNumberFormat="1" applyFont="1" applyBorder="1" applyAlignment="1">
      <alignment horizontal="right" vertical="top" wrapText="1"/>
    </xf>
    <xf numFmtId="41" fontId="27" fillId="0" borderId="0" xfId="0" applyNumberFormat="1" applyFont="1" applyAlignment="1">
      <alignment vertical="center"/>
    </xf>
    <xf numFmtId="41" fontId="4" fillId="0" borderId="0" xfId="0" applyNumberFormat="1" applyFont="1" applyAlignment="1">
      <alignment vertical="center"/>
    </xf>
    <xf numFmtId="0" fontId="2" fillId="2" borderId="4" xfId="0" applyFont="1" applyFill="1" applyBorder="1" applyAlignment="1">
      <alignment horizontal="centerContinuous" vertical="center"/>
    </xf>
    <xf numFmtId="199" fontId="5" fillId="2" borderId="0" xfId="0" applyNumberFormat="1" applyFont="1" applyFill="1" applyAlignment="1">
      <alignment horizontal="center" vertical="center"/>
    </xf>
    <xf numFmtId="198" fontId="5" fillId="2" borderId="0" xfId="0" applyNumberFormat="1" applyFont="1" applyFill="1" applyAlignment="1">
      <alignment horizontal="center" vertical="center"/>
    </xf>
    <xf numFmtId="14" fontId="3" fillId="2" borderId="0" xfId="0" applyNumberFormat="1" applyFont="1" applyFill="1" applyAlignment="1">
      <alignment horizontal="center" vertical="center"/>
    </xf>
    <xf numFmtId="167" fontId="4" fillId="0" borderId="0" xfId="1" applyNumberFormat="1" applyFont="1" applyAlignment="1">
      <alignment horizontal="center"/>
    </xf>
    <xf numFmtId="37" fontId="6" fillId="0" borderId="0" xfId="0" applyNumberFormat="1" applyFont="1"/>
    <xf numFmtId="37" fontId="15" fillId="0" borderId="2" xfId="0" applyNumberFormat="1" applyFont="1" applyBorder="1"/>
    <xf numFmtId="167" fontId="15" fillId="0" borderId="0" xfId="1" applyNumberFormat="1" applyFont="1" applyAlignment="1">
      <alignment horizontal="center"/>
    </xf>
    <xf numFmtId="166" fontId="15" fillId="0" borderId="0" xfId="1" applyNumberFormat="1" applyFont="1" applyAlignment="1">
      <alignment horizontal="center"/>
    </xf>
    <xf numFmtId="166" fontId="4" fillId="0" borderId="0" xfId="1" applyNumberFormat="1" applyFont="1" applyAlignment="1">
      <alignment horizontal="center"/>
    </xf>
    <xf numFmtId="0" fontId="2" fillId="2" borderId="0" xfId="0" applyFont="1" applyFill="1" applyAlignment="1">
      <alignment vertical="center"/>
    </xf>
    <xf numFmtId="0" fontId="3" fillId="2" borderId="0" xfId="0" applyFont="1" applyFill="1" applyAlignment="1">
      <alignment vertical="center"/>
    </xf>
    <xf numFmtId="0" fontId="15" fillId="0" borderId="20" xfId="0" applyFont="1" applyBorder="1"/>
    <xf numFmtId="0" fontId="16" fillId="0" borderId="0" xfId="0" applyFont="1" applyAlignment="1">
      <alignment horizontal="left" indent="1"/>
    </xf>
    <xf numFmtId="0" fontId="4" fillId="6" borderId="0" xfId="0" applyFont="1" applyFill="1"/>
    <xf numFmtId="0" fontId="16" fillId="6" borderId="0" xfId="0" applyFont="1" applyFill="1" applyAlignment="1">
      <alignment horizontal="left" indent="1"/>
    </xf>
    <xf numFmtId="166" fontId="4" fillId="6" borderId="0" xfId="1" applyNumberFormat="1" applyFont="1" applyFill="1"/>
    <xf numFmtId="3" fontId="11" fillId="0" borderId="0" xfId="0" applyNumberFormat="1" applyFont="1"/>
    <xf numFmtId="177" fontId="11" fillId="6" borderId="0" xfId="0" applyNumberFormat="1" applyFont="1" applyFill="1"/>
    <xf numFmtId="177" fontId="4" fillId="6" borderId="0" xfId="1" applyNumberFormat="1" applyFont="1" applyFill="1"/>
    <xf numFmtId="3" fontId="6" fillId="0" borderId="0" xfId="0" applyNumberFormat="1" applyFont="1"/>
    <xf numFmtId="9" fontId="11" fillId="0" borderId="0" xfId="1" applyFont="1"/>
    <xf numFmtId="166" fontId="11" fillId="0" borderId="0" xfId="1" applyNumberFormat="1" applyFont="1"/>
    <xf numFmtId="9" fontId="6" fillId="0" borderId="0" xfId="1" applyFont="1"/>
    <xf numFmtId="166" fontId="6" fillId="0" borderId="0" xfId="1" applyNumberFormat="1" applyFont="1"/>
    <xf numFmtId="0" fontId="4" fillId="7" borderId="21" xfId="0" applyFont="1" applyFill="1" applyBorder="1"/>
    <xf numFmtId="3" fontId="4" fillId="7" borderId="20" xfId="0" applyNumberFormat="1" applyFont="1" applyFill="1" applyBorder="1"/>
    <xf numFmtId="3" fontId="4" fillId="7" borderId="24" xfId="0" applyNumberFormat="1" applyFont="1" applyFill="1" applyBorder="1"/>
    <xf numFmtId="0" fontId="4" fillId="7" borderId="25" xfId="0" applyFont="1" applyFill="1" applyBorder="1"/>
    <xf numFmtId="3" fontId="4" fillId="7" borderId="26" xfId="0" applyNumberFormat="1" applyFont="1" applyFill="1" applyBorder="1"/>
    <xf numFmtId="3" fontId="4" fillId="7" borderId="27" xfId="0" applyNumberFormat="1" applyFont="1" applyFill="1" applyBorder="1"/>
    <xf numFmtId="0" fontId="2" fillId="2" borderId="0" xfId="0" applyFont="1" applyFill="1"/>
    <xf numFmtId="9" fontId="4" fillId="7" borderId="26" xfId="1" applyFont="1" applyFill="1" applyBorder="1"/>
    <xf numFmtId="9" fontId="4" fillId="7" borderId="27" xfId="1" applyFont="1" applyFill="1" applyBorder="1"/>
    <xf numFmtId="9" fontId="4" fillId="7" borderId="20" xfId="1" applyFont="1" applyFill="1" applyBorder="1"/>
    <xf numFmtId="9" fontId="4" fillId="7" borderId="24" xfId="1" applyFont="1" applyFill="1" applyBorder="1"/>
    <xf numFmtId="9" fontId="4" fillId="0" borderId="0" xfId="1" applyFont="1" applyFill="1" applyBorder="1"/>
    <xf numFmtId="0" fontId="16" fillId="0" borderId="21" xfId="0" applyFont="1" applyBorder="1" applyAlignment="1">
      <alignment horizontal="left" indent="2"/>
    </xf>
    <xf numFmtId="167" fontId="10" fillId="0" borderId="0" xfId="1" applyNumberFormat="1" applyFont="1" applyFill="1" applyBorder="1" applyAlignment="1">
      <alignment horizontal="right" vertical="center"/>
    </xf>
    <xf numFmtId="167" fontId="56" fillId="0" borderId="0" xfId="1" applyNumberFormat="1" applyFont="1" applyFill="1" applyBorder="1" applyAlignment="1">
      <alignment horizontal="right" vertical="center"/>
    </xf>
    <xf numFmtId="167" fontId="55" fillId="0" borderId="0" xfId="1" applyNumberFormat="1" applyFont="1" applyFill="1" applyBorder="1" applyAlignment="1">
      <alignment horizontal="right" vertical="center"/>
    </xf>
    <xf numFmtId="167" fontId="56" fillId="0" borderId="23" xfId="1" applyNumberFormat="1" applyFont="1" applyFill="1" applyBorder="1" applyAlignment="1">
      <alignment horizontal="right" vertical="center"/>
    </xf>
    <xf numFmtId="167" fontId="10" fillId="0" borderId="23" xfId="1" applyNumberFormat="1" applyFont="1" applyFill="1" applyBorder="1" applyAlignment="1">
      <alignment horizontal="right" vertical="center"/>
    </xf>
    <xf numFmtId="167" fontId="55" fillId="0" borderId="23" xfId="1" applyNumberFormat="1" applyFont="1" applyFill="1" applyBorder="1" applyAlignment="1">
      <alignment horizontal="right" vertical="center"/>
    </xf>
    <xf numFmtId="167" fontId="10" fillId="0" borderId="20" xfId="1" applyNumberFormat="1" applyFont="1" applyFill="1" applyBorder="1" applyAlignment="1">
      <alignment horizontal="right" vertical="center"/>
    </xf>
    <xf numFmtId="167" fontId="10" fillId="0" borderId="24" xfId="1" applyNumberFormat="1" applyFont="1" applyFill="1" applyBorder="1" applyAlignment="1">
      <alignment horizontal="right" vertical="center"/>
    </xf>
    <xf numFmtId="0" fontId="2" fillId="17" borderId="4" xfId="0" applyFont="1" applyFill="1" applyBorder="1" applyAlignment="1">
      <alignment horizontal="centerContinuous" vertical="center"/>
    </xf>
    <xf numFmtId="37" fontId="6" fillId="6" borderId="0" xfId="0" applyNumberFormat="1" applyFont="1" applyFill="1"/>
    <xf numFmtId="0" fontId="16" fillId="0" borderId="22" xfId="0" applyFont="1" applyBorder="1" applyAlignment="1">
      <alignment horizontal="left" indent="1"/>
    </xf>
    <xf numFmtId="164" fontId="4" fillId="0" borderId="0" xfId="0" applyNumberFormat="1" applyFont="1"/>
    <xf numFmtId="41" fontId="27" fillId="6" borderId="0" xfId="0" applyNumberFormat="1" applyFont="1" applyFill="1"/>
    <xf numFmtId="41" fontId="4" fillId="6" borderId="0" xfId="0" applyNumberFormat="1" applyFont="1" applyFill="1"/>
    <xf numFmtId="41" fontId="4" fillId="0" borderId="26" xfId="0" applyNumberFormat="1" applyFont="1" applyBorder="1"/>
    <xf numFmtId="41" fontId="15" fillId="0" borderId="26" xfId="0" applyNumberFormat="1" applyFont="1" applyBorder="1"/>
    <xf numFmtId="41" fontId="15" fillId="0" borderId="0" xfId="0" applyNumberFormat="1" applyFont="1"/>
    <xf numFmtId="0" fontId="4" fillId="0" borderId="6" xfId="0" applyFont="1" applyBorder="1"/>
    <xf numFmtId="0" fontId="15" fillId="0" borderId="2" xfId="0" applyFont="1" applyBorder="1"/>
    <xf numFmtId="0" fontId="4" fillId="0" borderId="2" xfId="0" applyFont="1" applyBorder="1"/>
    <xf numFmtId="0" fontId="15" fillId="0" borderId="6" xfId="0" applyFont="1" applyBorder="1" applyAlignment="1">
      <alignment horizontal="left"/>
    </xf>
    <xf numFmtId="41" fontId="15" fillId="0" borderId="2" xfId="0" applyNumberFormat="1" applyFont="1" applyBorder="1"/>
    <xf numFmtId="0" fontId="15" fillId="0" borderId="2" xfId="0" applyFont="1" applyBorder="1" applyAlignment="1">
      <alignment horizontal="left"/>
    </xf>
    <xf numFmtId="0" fontId="24" fillId="0" borderId="3" xfId="0" applyFont="1" applyBorder="1" applyAlignment="1">
      <alignment horizontal="left" wrapText="1"/>
    </xf>
    <xf numFmtId="0" fontId="2" fillId="2" borderId="0" xfId="0" applyFont="1" applyFill="1" applyAlignment="1">
      <alignment horizontal="center" vertical="center" wrapText="1"/>
    </xf>
    <xf numFmtId="0" fontId="5" fillId="17" borderId="0" xfId="0" applyFont="1" applyFill="1" applyAlignment="1">
      <alignment horizontal="center" vertical="center" wrapText="1"/>
    </xf>
    <xf numFmtId="0" fontId="5" fillId="14" borderId="0" xfId="0" applyFont="1" applyFill="1" applyAlignment="1">
      <alignment horizontal="center" vertical="center" wrapText="1"/>
    </xf>
    <xf numFmtId="0" fontId="52" fillId="2" borderId="0" xfId="0" applyFont="1" applyFill="1" applyAlignment="1">
      <alignment horizontal="center" vertical="center" wrapText="1"/>
    </xf>
  </cellXfs>
  <cellStyles count="7">
    <cellStyle name="%" xfId="3" xr:uid="{B2D0E839-0EB6-4A26-A036-4291FCE77A81}"/>
    <cellStyle name="******************************************" xfId="4" xr:uid="{7C8B12D3-B631-462E-992D-9CE2477EE747}"/>
    <cellStyle name="Comma" xfId="2" builtinId="3"/>
    <cellStyle name="Hyperlink" xfId="6" builtinId="8"/>
    <cellStyle name="Normal" xfId="0" builtinId="0"/>
    <cellStyle name="Normal_DCF_Model" xfId="5" xr:uid="{82C2EF57-1428-4F27-93CB-A7C5310C2F37}"/>
    <cellStyle name="Percent" xfId="1" builtinId="5"/>
  </cellStyles>
  <dxfs count="5">
    <dxf>
      <font>
        <b/>
        <i val="0"/>
      </font>
      <fill>
        <patternFill patternType="solid">
          <bgColor theme="2"/>
        </patternFill>
      </fill>
      <border>
        <left/>
        <right/>
        <top/>
        <bottom/>
      </border>
    </dxf>
    <dxf>
      <font>
        <color rgb="FF9C0006"/>
      </font>
      <fill>
        <patternFill>
          <bgColor rgb="FFFFC7CE"/>
        </patternFill>
      </fill>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CC"/>
      <color rgb="FF00B03C"/>
      <color rgb="FF487B79"/>
      <color rgb="FF0E56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Empty'!$C$128:$C$130</c:f>
              <c:numCache>
                <c:formatCode>General</c:formatCode>
                <c:ptCount val="3"/>
                <c:pt idx="0">
                  <c:v>20.680633001583054</c:v>
                </c:pt>
                <c:pt idx="1">
                  <c:v>20.680633001583054</c:v>
                </c:pt>
                <c:pt idx="2">
                  <c:v>169.5</c:v>
                </c:pt>
              </c:numCache>
            </c:numRef>
          </c:val>
          <c:extLst>
            <c:ext xmlns:c16="http://schemas.microsoft.com/office/drawing/2014/chart" uri="{C3380CC4-5D6E-409C-BE32-E72D297353CC}">
              <c16:uniqueId val="{00000000-798B-4D7B-A8BB-5FCC91725BB4}"/>
            </c:ext>
          </c:extLst>
        </c:ser>
        <c:ser>
          <c:idx val="1"/>
          <c:order val="1"/>
          <c:invertIfNegative val="0"/>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Empty'!$D$128:$D$130</c:f>
              <c:numCache>
                <c:formatCode>General</c:formatCode>
                <c:ptCount val="3"/>
                <c:pt idx="0">
                  <c:v>0</c:v>
                </c:pt>
                <c:pt idx="1">
                  <c:v>0</c:v>
                </c:pt>
                <c:pt idx="2">
                  <c:v>158.35000000000002</c:v>
                </c:pt>
              </c:numCache>
            </c:numRef>
          </c:val>
          <c:extLst>
            <c:ext xmlns:c16="http://schemas.microsoft.com/office/drawing/2014/chart" uri="{C3380CC4-5D6E-409C-BE32-E72D297353CC}">
              <c16:uniqueId val="{00000001-798B-4D7B-A8BB-5FCC91725BB4}"/>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Empty'!$E$128:$E$130</c:f>
              <c:numCache>
                <c:formatCode>General</c:formatCode>
                <c:ptCount val="3"/>
                <c:pt idx="0">
                  <c:v>20.680633001583054</c:v>
                </c:pt>
                <c:pt idx="1">
                  <c:v>20.680633001583054</c:v>
                </c:pt>
                <c:pt idx="2">
                  <c:v>327.85</c:v>
                </c:pt>
              </c:numCache>
            </c:numRef>
          </c:val>
          <c:extLst>
            <c:ext xmlns:c16="http://schemas.microsoft.com/office/drawing/2014/chart" uri="{C3380CC4-5D6E-409C-BE32-E72D297353CC}">
              <c16:uniqueId val="{00000002-798B-4D7B-A8BB-5FCC91725BB4}"/>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General" sourceLinked="1"/>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Empty'!$O$128:$O$130</c:f>
              <c:numCache>
                <c:formatCode>General</c:formatCode>
                <c:ptCount val="3"/>
                <c:pt idx="0">
                  <c:v>0</c:v>
                </c:pt>
                <c:pt idx="1">
                  <c:v>0</c:v>
                </c:pt>
                <c:pt idx="2">
                  <c:v>0</c:v>
                </c:pt>
              </c:numCache>
            </c:numRef>
          </c:val>
          <c:extLst>
            <c:ext xmlns:c16="http://schemas.microsoft.com/office/drawing/2014/chart" uri="{C3380CC4-5D6E-409C-BE32-E72D297353CC}">
              <c16:uniqueId val="{00000000-54D9-436E-9E1B-1B378FFDFC98}"/>
            </c:ext>
          </c:extLst>
        </c:ser>
        <c:ser>
          <c:idx val="1"/>
          <c:order val="1"/>
          <c:spPr>
            <a:solidFill>
              <a:schemeClr val="tx2"/>
            </a:solidFill>
          </c:spPr>
          <c:invertIfNegative val="0"/>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Empty'!$P$128:$P$130</c:f>
              <c:numCache>
                <c:formatCode>General</c:formatCode>
                <c:ptCount val="3"/>
                <c:pt idx="0">
                  <c:v>0</c:v>
                </c:pt>
                <c:pt idx="1">
                  <c:v>0</c:v>
                </c:pt>
                <c:pt idx="2">
                  <c:v>0</c:v>
                </c:pt>
              </c:numCache>
            </c:numRef>
          </c:val>
          <c:extLst>
            <c:ext xmlns:c16="http://schemas.microsoft.com/office/drawing/2014/chart" uri="{C3380CC4-5D6E-409C-BE32-E72D297353CC}">
              <c16:uniqueId val="{00000001-54D9-436E-9E1B-1B378FFDFC98}"/>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Empty'!$Q$128:$Q$130</c:f>
              <c:numCache>
                <c:formatCode>General</c:formatCode>
                <c:ptCount val="3"/>
                <c:pt idx="0">
                  <c:v>0</c:v>
                </c:pt>
                <c:pt idx="1">
                  <c:v>0</c:v>
                </c:pt>
                <c:pt idx="2">
                  <c:v>0</c:v>
                </c:pt>
              </c:numCache>
            </c:numRef>
          </c:val>
          <c:extLst>
            <c:ext xmlns:c16="http://schemas.microsoft.com/office/drawing/2014/chart" uri="{C3380CC4-5D6E-409C-BE32-E72D297353CC}">
              <c16:uniqueId val="{00000002-54D9-436E-9E1B-1B378FFDFC98}"/>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110</xdr:row>
      <xdr:rowOff>149424</xdr:rowOff>
    </xdr:from>
    <xdr:to>
      <xdr:col>4</xdr:col>
      <xdr:colOff>654844</xdr:colOff>
      <xdr:row>129</xdr:row>
      <xdr:rowOff>53578</xdr:rowOff>
    </xdr:to>
    <xdr:graphicFrame macro="">
      <xdr:nvGraphicFramePr>
        <xdr:cNvPr id="2" name="Chart 1">
          <a:extLst>
            <a:ext uri="{FF2B5EF4-FFF2-40B4-BE49-F238E27FC236}">
              <a16:creationId xmlns:a16="http://schemas.microsoft.com/office/drawing/2014/main" id="{5AB26EB3-2259-42F5-8869-FD56CD6E6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110</xdr:row>
      <xdr:rowOff>149424</xdr:rowOff>
    </xdr:from>
    <xdr:to>
      <xdr:col>15</xdr:col>
      <xdr:colOff>657225</xdr:colOff>
      <xdr:row>129</xdr:row>
      <xdr:rowOff>47228</xdr:rowOff>
    </xdr:to>
    <xdr:graphicFrame macro="">
      <xdr:nvGraphicFramePr>
        <xdr:cNvPr id="3" name="Chart 2">
          <a:extLst>
            <a:ext uri="{FF2B5EF4-FFF2-40B4-BE49-F238E27FC236}">
              <a16:creationId xmlns:a16="http://schemas.microsoft.com/office/drawing/2014/main" id="{5E518025-7C3E-418F-9001-E2CCB020E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AppData\Local\Temp\4819e2e9-aa78-4b81-b055-71c9923ae613_DCF-Modeling-Course-DL-Kit%20(7).zip.613\DCF%20Model.xlsx" TargetMode="External"/><Relationship Id="rId1" Type="http://schemas.openxmlformats.org/officeDocument/2006/relationships/externalLinkPath" Target="/Users/Felix/AppData/Local/Temp/4819e2e9-aa78-4b81-b055-71c9923ae613_DCF-Modeling-Course-DL-Kit%20(7).zip.613/DC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 "/>
      <sheetName val="Simple DCF Empty"/>
      <sheetName val="Simple DCF Done"/>
      <sheetName val="WACC Empty"/>
      <sheetName val="WACC Done"/>
      <sheetName val="Shares Empty"/>
      <sheetName val="Shares"/>
      <sheetName val="DCF 1-Pager"/>
      <sheetName val="2019 FSM Update Complete"/>
      <sheetName val="Integrated DCF Empty"/>
      <sheetName val="Integrated DCF"/>
    </sheetNames>
    <sheetDataSet>
      <sheetData sheetId="0"/>
      <sheetData sheetId="1" refreshError="1"/>
      <sheetData sheetId="2">
        <row r="5">
          <cell r="H5">
            <v>273.52</v>
          </cell>
        </row>
      </sheetData>
      <sheetData sheetId="3" refreshError="1"/>
      <sheetData sheetId="4"/>
      <sheetData sheetId="5" refreshError="1"/>
      <sheetData sheetId="6">
        <row r="25">
          <cell r="E25">
            <v>14543</v>
          </cell>
        </row>
      </sheetData>
      <sheetData sheetId="7" refreshError="1"/>
      <sheetData sheetId="8"/>
      <sheetData sheetId="9">
        <row r="128">
          <cell r="B128" t="str">
            <v>DCF Value at 11.0x-15.0x Exit EBITDA Range at 9.0% WACC</v>
          </cell>
          <cell r="C128">
            <v>20.680633001583054</v>
          </cell>
          <cell r="D128">
            <v>0</v>
          </cell>
          <cell r="E128">
            <v>20.680633001583054</v>
          </cell>
          <cell r="G128" t="str">
            <v>LTM EBITDA Purchase Multiple at 2.0%-4.0% Perpetuity Growth at 9.0% WACC</v>
          </cell>
          <cell r="O128" t="e">
            <v>#DIV/0!</v>
          </cell>
          <cell r="P128" t="e">
            <v>#DIV/0!</v>
          </cell>
          <cell r="Q128" t="e">
            <v>#DIV/0!</v>
          </cell>
        </row>
        <row r="129">
          <cell r="B129" t="str">
            <v>DCF Value at 2.0%-4.0% Perpetuity Range at 9.0% WACC</v>
          </cell>
          <cell r="C129">
            <v>20.680633001583054</v>
          </cell>
          <cell r="D129">
            <v>0</v>
          </cell>
          <cell r="E129">
            <v>20.680633001583054</v>
          </cell>
          <cell r="G129" t="e">
            <v>#DIV/0!</v>
          </cell>
          <cell r="O129" t="e">
            <v>#DIV/0!</v>
          </cell>
          <cell r="P129" t="e">
            <v>#DIV/0!</v>
          </cell>
          <cell r="Q129" t="e">
            <v>#DIV/0!</v>
          </cell>
        </row>
        <row r="130">
          <cell r="B130" t="str">
            <v>52 Week Market High/Low</v>
          </cell>
          <cell r="C130">
            <v>169.5</v>
          </cell>
          <cell r="D130">
            <v>158.35000000000002</v>
          </cell>
          <cell r="E130">
            <v>327.85</v>
          </cell>
          <cell r="G130" t="str">
            <v>LTM EBITDA Purchase Multiple at 7.0%-11.0% WACC at 13.0x Exit EBITDA</v>
          </cell>
          <cell r="O130" t="e">
            <v>#DIV/0!</v>
          </cell>
          <cell r="P130" t="e">
            <v>#DIV/0!</v>
          </cell>
          <cell r="Q130" t="e">
            <v>#DIV/0!</v>
          </cell>
        </row>
      </sheetData>
      <sheetData sheetId="10" refreshError="1"/>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AZ148"/>
  <sheetViews>
    <sheetView showGridLines="0" zoomScale="130" zoomScaleNormal="130" workbookViewId="0">
      <selection activeCell="B2" sqref="B2"/>
    </sheetView>
  </sheetViews>
  <sheetFormatPr defaultRowHeight="12" outlineLevelRow="1" outlineLevelCol="3"/>
  <cols>
    <col min="1" max="1" width="1.625" style="5" bestFit="1" customWidth="1"/>
    <col min="2" max="2" width="49.125" style="5" bestFit="1" customWidth="1"/>
    <col min="3" max="4" width="8.625" style="5" customWidth="1" outlineLevel="2"/>
    <col min="5" max="6" width="8.625" style="5" customWidth="1" outlineLevel="1"/>
    <col min="7" max="9" width="8.625" style="5" bestFit="1" customWidth="1"/>
    <col min="10" max="10" width="1.5" style="5" customWidth="1"/>
    <col min="11" max="13" width="8" style="5" customWidth="1" outlineLevel="3"/>
    <col min="14" max="14" width="8.625" style="5" customWidth="1" outlineLevel="3"/>
    <col min="15" max="15" width="8" style="5" customWidth="1" outlineLevel="3" collapsed="1"/>
    <col min="16" max="17" width="8" style="5" customWidth="1" outlineLevel="3"/>
    <col min="18" max="18" width="8.625" style="5" customWidth="1" outlineLevel="3"/>
    <col min="19" max="19" width="8.375" style="5" customWidth="1" outlineLevel="2"/>
    <col min="20" max="21" width="8" style="5" customWidth="1" outlineLevel="2"/>
    <col min="22" max="22" width="8.625" style="5" customWidth="1" outlineLevel="2"/>
    <col min="23" max="24" width="8.25" style="5" customWidth="1" outlineLevel="1"/>
    <col min="25" max="25" width="8.25" style="5" bestFit="1" customWidth="1"/>
    <col min="26" max="26" width="8.625" style="5" bestFit="1" customWidth="1"/>
    <col min="27" max="27" width="8.25" style="5" bestFit="1" customWidth="1"/>
    <col min="28" max="29" width="8.625" style="5" bestFit="1" customWidth="1"/>
    <col min="30" max="30" width="1.5" style="5" customWidth="1"/>
    <col min="31" max="39" width="8.625" style="5" hidden="1" customWidth="1" outlineLevel="1"/>
    <col min="40" max="42" width="8" style="5" hidden="1" customWidth="1" outlineLevel="1"/>
    <col min="43" max="43" width="8.625" style="5" hidden="1" customWidth="1" outlineLevel="1"/>
    <col min="44" max="45" width="8.25" style="5" hidden="1" customWidth="1" outlineLevel="1"/>
    <col min="46" max="46" width="8.25" style="5" customWidth="1" collapsed="1"/>
    <col min="47" max="47" width="8.625" style="5" hidden="1" customWidth="1" outlineLevel="1"/>
    <col min="48" max="48" width="8.25" style="5" hidden="1" customWidth="1" outlineLevel="1"/>
    <col min="49" max="49" width="8.625" style="5" hidden="1" customWidth="1" outlineLevel="1"/>
    <col min="50" max="50" width="8.625" style="5" bestFit="1" customWidth="1" collapsed="1"/>
    <col min="51" max="51" width="1.25" style="5" customWidth="1"/>
    <col min="52" max="52" width="8" style="5" bestFit="1" customWidth="1"/>
    <col min="53" max="53" width="1.375" style="5" customWidth="1"/>
    <col min="54" max="16384" width="9" style="5"/>
  </cols>
  <sheetData>
    <row r="2" spans="1:52" ht="12.75" customHeight="1">
      <c r="B2" s="1" t="s">
        <v>470</v>
      </c>
      <c r="C2" s="371"/>
      <c r="D2" s="371"/>
      <c r="E2" s="371"/>
      <c r="F2" s="371"/>
      <c r="G2" s="371"/>
      <c r="H2" s="371"/>
      <c r="I2" s="371"/>
      <c r="J2" s="3"/>
      <c r="K2" s="371"/>
      <c r="L2" s="371"/>
      <c r="M2" s="371"/>
      <c r="N2" s="371"/>
      <c r="O2" s="371"/>
      <c r="P2" s="371"/>
      <c r="Q2" s="371"/>
      <c r="R2" s="371"/>
      <c r="S2" s="371"/>
      <c r="T2" s="371"/>
      <c r="U2" s="371"/>
      <c r="V2" s="371"/>
      <c r="W2" s="371"/>
      <c r="X2" s="371"/>
      <c r="Y2" s="371"/>
      <c r="Z2" s="371"/>
      <c r="AA2" s="371"/>
      <c r="AB2" s="371"/>
      <c r="AC2" s="371"/>
      <c r="AD2" s="3"/>
      <c r="AE2" s="371"/>
      <c r="AF2" s="371"/>
      <c r="AG2" s="371"/>
      <c r="AH2" s="371"/>
      <c r="AI2" s="371"/>
      <c r="AJ2" s="371"/>
      <c r="AK2" s="371"/>
      <c r="AL2" s="371"/>
      <c r="AM2" s="371"/>
      <c r="AN2" s="371"/>
      <c r="AO2" s="371"/>
      <c r="AP2" s="371"/>
      <c r="AQ2" s="371"/>
      <c r="AR2" s="371"/>
      <c r="AS2" s="371"/>
      <c r="AT2" s="371"/>
      <c r="AU2" s="371"/>
      <c r="AV2" s="371"/>
      <c r="AW2" s="371"/>
      <c r="AX2" s="371"/>
      <c r="AY2" s="3"/>
      <c r="AZ2" s="1"/>
    </row>
    <row r="3" spans="1:52" ht="12.75" customHeight="1">
      <c r="B3" s="6" t="s">
        <v>417</v>
      </c>
      <c r="C3" s="7"/>
      <c r="D3" s="7"/>
      <c r="E3" s="7"/>
      <c r="F3" s="7"/>
      <c r="G3" s="7"/>
      <c r="H3" s="7"/>
      <c r="I3" s="7"/>
      <c r="J3" s="3"/>
      <c r="K3" s="4"/>
      <c r="L3" s="4"/>
      <c r="M3" s="4"/>
      <c r="N3" s="4"/>
      <c r="O3" s="4"/>
      <c r="P3" s="4"/>
      <c r="Q3" s="4"/>
      <c r="R3" s="4"/>
      <c r="S3" s="4"/>
      <c r="T3" s="4"/>
      <c r="U3" s="4"/>
      <c r="V3" s="4"/>
      <c r="W3" s="4"/>
      <c r="X3" s="4"/>
      <c r="Y3" s="4"/>
      <c r="Z3" s="4"/>
      <c r="AA3" s="4"/>
      <c r="AB3" s="4"/>
      <c r="AC3" s="4"/>
      <c r="AD3" s="3"/>
      <c r="AE3" s="4"/>
      <c r="AF3" s="4"/>
      <c r="AG3" s="4"/>
      <c r="AH3" s="4"/>
      <c r="AI3" s="4"/>
      <c r="AJ3" s="4"/>
      <c r="AK3" s="4"/>
      <c r="AL3" s="4"/>
      <c r="AM3" s="4"/>
      <c r="AN3" s="4"/>
      <c r="AO3" s="4"/>
      <c r="AP3" s="4"/>
      <c r="AQ3" s="4"/>
      <c r="AR3" s="4"/>
      <c r="AS3" s="4"/>
      <c r="AT3" s="4"/>
      <c r="AU3" s="4"/>
      <c r="AV3" s="4"/>
      <c r="AW3" s="4"/>
      <c r="AX3" s="4"/>
      <c r="AY3" s="3"/>
      <c r="AZ3" s="1"/>
    </row>
    <row r="4" spans="1:52" ht="12.75" customHeight="1">
      <c r="B4" s="6" t="s">
        <v>407</v>
      </c>
      <c r="C4" s="3"/>
      <c r="D4" s="3"/>
      <c r="E4" s="3"/>
      <c r="F4" s="3"/>
      <c r="G4" s="3"/>
      <c r="H4" s="166"/>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1"/>
    </row>
    <row r="6" spans="1:52" ht="12.75" customHeight="1">
      <c r="A6" s="5" t="s">
        <v>25</v>
      </c>
      <c r="B6" s="1" t="s">
        <v>410</v>
      </c>
      <c r="C6" s="2"/>
      <c r="D6" s="2"/>
      <c r="E6" s="2"/>
      <c r="F6" s="2"/>
      <c r="G6" s="2" t="s">
        <v>0</v>
      </c>
      <c r="H6" s="2"/>
      <c r="I6" s="2"/>
      <c r="J6" s="3"/>
      <c r="K6" s="2"/>
      <c r="L6" s="2"/>
      <c r="M6" s="2"/>
      <c r="N6" s="2"/>
      <c r="O6" s="2" t="s">
        <v>1</v>
      </c>
      <c r="P6" s="2"/>
      <c r="Q6" s="2"/>
      <c r="R6" s="2"/>
      <c r="S6" s="2"/>
      <c r="T6" s="2"/>
      <c r="U6" s="2"/>
      <c r="V6" s="2"/>
      <c r="W6" s="2"/>
      <c r="X6" s="2"/>
      <c r="Y6" s="2" t="s">
        <v>1</v>
      </c>
      <c r="Z6" s="2"/>
      <c r="AA6" s="2"/>
      <c r="AB6" s="2"/>
      <c r="AC6" s="2"/>
      <c r="AD6" s="3"/>
      <c r="AE6" s="2" t="s">
        <v>10</v>
      </c>
      <c r="AF6" s="2"/>
      <c r="AG6" s="2"/>
      <c r="AH6" s="2"/>
      <c r="AI6" s="2"/>
      <c r="AJ6" s="2"/>
      <c r="AK6" s="2"/>
      <c r="AL6" s="2"/>
      <c r="AM6" s="2"/>
      <c r="AN6" s="2"/>
      <c r="AO6" s="2"/>
      <c r="AP6" s="2"/>
      <c r="AQ6" s="2"/>
      <c r="AR6" s="2"/>
      <c r="AS6" s="2" t="s">
        <v>10</v>
      </c>
      <c r="AT6" s="2" t="s">
        <v>10</v>
      </c>
      <c r="AU6" s="2"/>
      <c r="AV6" s="2"/>
      <c r="AW6" s="2"/>
      <c r="AX6" s="2"/>
      <c r="AY6" s="41"/>
      <c r="AZ6" s="580" t="s">
        <v>38</v>
      </c>
    </row>
    <row r="7" spans="1:52" ht="12.75" customHeight="1">
      <c r="B7" s="6" t="s">
        <v>418</v>
      </c>
      <c r="C7" s="7">
        <v>2018</v>
      </c>
      <c r="D7" s="7">
        <v>2019</v>
      </c>
      <c r="E7" s="7">
        <v>2020</v>
      </c>
      <c r="F7" s="7">
        <v>2021</v>
      </c>
      <c r="G7" s="7">
        <v>2022</v>
      </c>
      <c r="H7" s="7">
        <v>2023</v>
      </c>
      <c r="I7" s="7">
        <v>2024</v>
      </c>
      <c r="J7" s="3"/>
      <c r="K7" s="4" t="s">
        <v>438</v>
      </c>
      <c r="L7" s="4" t="s">
        <v>439</v>
      </c>
      <c r="M7" s="4" t="s">
        <v>440</v>
      </c>
      <c r="N7" s="4" t="s">
        <v>441</v>
      </c>
      <c r="O7" s="4" t="s">
        <v>40</v>
      </c>
      <c r="P7" s="4" t="s">
        <v>41</v>
      </c>
      <c r="Q7" s="4" t="s">
        <v>42</v>
      </c>
      <c r="R7" s="4" t="s">
        <v>43</v>
      </c>
      <c r="S7" s="4" t="s">
        <v>6</v>
      </c>
      <c r="T7" s="4" t="s">
        <v>7</v>
      </c>
      <c r="U7" s="4" t="s">
        <v>8</v>
      </c>
      <c r="V7" s="4" t="s">
        <v>9</v>
      </c>
      <c r="W7" s="4" t="s">
        <v>2</v>
      </c>
      <c r="X7" s="4" t="s">
        <v>3</v>
      </c>
      <c r="Y7" s="4" t="s">
        <v>4</v>
      </c>
      <c r="Z7" s="4" t="s">
        <v>5</v>
      </c>
      <c r="AA7" s="4" t="s">
        <v>44</v>
      </c>
      <c r="AB7" s="4" t="s">
        <v>45</v>
      </c>
      <c r="AC7" s="4" t="s">
        <v>90</v>
      </c>
      <c r="AD7" s="3"/>
      <c r="AE7" s="4" t="e">
        <f>#REF!</f>
        <v>#REF!</v>
      </c>
      <c r="AF7" s="4" t="str">
        <f t="shared" ref="AF7:AN8" si="0">K7</f>
        <v>1Q21</v>
      </c>
      <c r="AG7" s="4" t="str">
        <f t="shared" si="0"/>
        <v>2Q21</v>
      </c>
      <c r="AH7" s="4" t="str">
        <f t="shared" si="0"/>
        <v>3Q21</v>
      </c>
      <c r="AI7" s="4" t="str">
        <f t="shared" si="0"/>
        <v>4Q21</v>
      </c>
      <c r="AJ7" s="4" t="str">
        <f t="shared" si="0"/>
        <v>1Q22</v>
      </c>
      <c r="AK7" s="4" t="str">
        <f t="shared" si="0"/>
        <v>2Q22</v>
      </c>
      <c r="AL7" s="4" t="str">
        <f t="shared" si="0"/>
        <v>3Q22</v>
      </c>
      <c r="AM7" s="4" t="str">
        <f t="shared" si="0"/>
        <v>4Q22</v>
      </c>
      <c r="AN7" s="4" t="str">
        <f t="shared" si="0"/>
        <v>1Q23</v>
      </c>
      <c r="AO7" s="4" t="str">
        <f t="shared" ref="AO7:AX8" si="1">T7</f>
        <v>2Q23</v>
      </c>
      <c r="AP7" s="4" t="str">
        <f t="shared" si="1"/>
        <v>3Q23</v>
      </c>
      <c r="AQ7" s="4" t="str">
        <f t="shared" si="1"/>
        <v>4Q23</v>
      </c>
      <c r="AR7" s="4" t="str">
        <f t="shared" si="1"/>
        <v>1Q24</v>
      </c>
      <c r="AS7" s="4" t="str">
        <f t="shared" si="1"/>
        <v>2Q24</v>
      </c>
      <c r="AT7" s="4" t="str">
        <f t="shared" si="1"/>
        <v>3Q24</v>
      </c>
      <c r="AU7" s="4" t="str">
        <f t="shared" si="1"/>
        <v>4Q24</v>
      </c>
      <c r="AV7" s="4" t="str">
        <f t="shared" si="1"/>
        <v>1Q25</v>
      </c>
      <c r="AW7" s="4" t="str">
        <f t="shared" si="1"/>
        <v>2Q25</v>
      </c>
      <c r="AX7" s="4" t="str">
        <f t="shared" si="1"/>
        <v>3Q25</v>
      </c>
      <c r="AY7" s="41"/>
      <c r="AZ7" s="580"/>
    </row>
    <row r="8" spans="1:52" ht="12.75" customHeight="1">
      <c r="B8" s="6" t="s">
        <v>419</v>
      </c>
      <c r="C8" s="3">
        <v>43465</v>
      </c>
      <c r="D8" s="3">
        <v>43830</v>
      </c>
      <c r="E8" s="3">
        <v>44196</v>
      </c>
      <c r="F8" s="3">
        <v>44561</v>
      </c>
      <c r="G8" s="3">
        <v>44926</v>
      </c>
      <c r="H8" s="166">
        <v>45291</v>
      </c>
      <c r="I8" s="3">
        <v>45657</v>
      </c>
      <c r="J8" s="3"/>
      <c r="K8" s="3">
        <v>44286</v>
      </c>
      <c r="L8" s="3">
        <v>44377</v>
      </c>
      <c r="M8" s="3">
        <v>44469</v>
      </c>
      <c r="N8" s="3">
        <f>F8</f>
        <v>44561</v>
      </c>
      <c r="O8" s="3">
        <v>44651</v>
      </c>
      <c r="P8" s="3">
        <v>44742</v>
      </c>
      <c r="Q8" s="3">
        <v>44834</v>
      </c>
      <c r="R8" s="3">
        <f>G8</f>
        <v>44926</v>
      </c>
      <c r="S8" s="3">
        <v>45016</v>
      </c>
      <c r="T8" s="3">
        <v>45107</v>
      </c>
      <c r="U8" s="3">
        <v>45199</v>
      </c>
      <c r="V8" s="3">
        <f>H8</f>
        <v>45291</v>
      </c>
      <c r="W8" s="3">
        <v>45382</v>
      </c>
      <c r="X8" s="3">
        <v>45473</v>
      </c>
      <c r="Y8" s="3">
        <v>45565</v>
      </c>
      <c r="Z8" s="3">
        <f>I8</f>
        <v>45657</v>
      </c>
      <c r="AA8" s="3">
        <v>45747</v>
      </c>
      <c r="AB8" s="3">
        <v>45838</v>
      </c>
      <c r="AC8" s="3">
        <v>45930</v>
      </c>
      <c r="AD8" s="3"/>
      <c r="AE8" s="3" t="e">
        <f>#REF!</f>
        <v>#REF!</v>
      </c>
      <c r="AF8" s="3">
        <f t="shared" si="0"/>
        <v>44286</v>
      </c>
      <c r="AG8" s="3">
        <f t="shared" si="0"/>
        <v>44377</v>
      </c>
      <c r="AH8" s="3">
        <f t="shared" si="0"/>
        <v>44469</v>
      </c>
      <c r="AI8" s="3">
        <f t="shared" si="0"/>
        <v>44561</v>
      </c>
      <c r="AJ8" s="3">
        <f t="shared" si="0"/>
        <v>44651</v>
      </c>
      <c r="AK8" s="3">
        <f t="shared" si="0"/>
        <v>44742</v>
      </c>
      <c r="AL8" s="3">
        <f t="shared" si="0"/>
        <v>44834</v>
      </c>
      <c r="AM8" s="3">
        <f t="shared" si="0"/>
        <v>44926</v>
      </c>
      <c r="AN8" s="3">
        <f t="shared" si="0"/>
        <v>45016</v>
      </c>
      <c r="AO8" s="3">
        <f t="shared" si="1"/>
        <v>45107</v>
      </c>
      <c r="AP8" s="3">
        <f t="shared" si="1"/>
        <v>45199</v>
      </c>
      <c r="AQ8" s="3">
        <f t="shared" si="1"/>
        <v>45291</v>
      </c>
      <c r="AR8" s="3">
        <f t="shared" si="1"/>
        <v>45382</v>
      </c>
      <c r="AS8" s="3">
        <f t="shared" si="1"/>
        <v>45473</v>
      </c>
      <c r="AT8" s="3">
        <f t="shared" si="1"/>
        <v>45565</v>
      </c>
      <c r="AU8" s="3">
        <f t="shared" si="1"/>
        <v>45657</v>
      </c>
      <c r="AV8" s="3">
        <f t="shared" si="1"/>
        <v>45747</v>
      </c>
      <c r="AW8" s="3">
        <f t="shared" si="1"/>
        <v>45838</v>
      </c>
      <c r="AX8" s="3">
        <f t="shared" si="1"/>
        <v>45930</v>
      </c>
      <c r="AY8" s="41"/>
      <c r="AZ8" s="580"/>
    </row>
    <row r="9" spans="1:52" ht="5.0999999999999996" customHeight="1">
      <c r="AZ9" s="370"/>
    </row>
    <row r="10" spans="1:52" ht="12.75" customHeight="1">
      <c r="B10" s="10" t="s">
        <v>84</v>
      </c>
      <c r="C10" s="325">
        <v>136819</v>
      </c>
      <c r="D10" s="325">
        <v>161857</v>
      </c>
      <c r="E10" s="325">
        <v>182527</v>
      </c>
      <c r="F10" s="325">
        <v>257637</v>
      </c>
      <c r="G10" s="325">
        <v>282836</v>
      </c>
      <c r="H10" s="325">
        <v>307394</v>
      </c>
      <c r="I10" s="325">
        <v>350018</v>
      </c>
      <c r="J10" s="12"/>
      <c r="K10" s="325">
        <v>55314</v>
      </c>
      <c r="L10" s="325">
        <v>61880</v>
      </c>
      <c r="M10" s="325">
        <v>65118</v>
      </c>
      <c r="N10" s="34">
        <f>SUM(F10-SUM(K10:M10))</f>
        <v>75325</v>
      </c>
      <c r="O10" s="325">
        <v>68011</v>
      </c>
      <c r="P10" s="325">
        <v>69685</v>
      </c>
      <c r="Q10" s="325">
        <v>69092</v>
      </c>
      <c r="R10" s="34">
        <f>SUM(G10-SUM(O10:Q10))</f>
        <v>76048</v>
      </c>
      <c r="S10" s="325">
        <v>69787</v>
      </c>
      <c r="T10" s="325">
        <v>74604</v>
      </c>
      <c r="U10" s="325">
        <v>76693</v>
      </c>
      <c r="V10" s="34">
        <f>SUM(H10-SUM(S10:U10))</f>
        <v>86310</v>
      </c>
      <c r="W10" s="325">
        <v>80539</v>
      </c>
      <c r="X10" s="325">
        <v>84742</v>
      </c>
      <c r="Y10" s="325">
        <v>88268</v>
      </c>
      <c r="Z10" s="34">
        <f>SUM(I10-SUM(W10:Y10))</f>
        <v>96469</v>
      </c>
      <c r="AA10" s="89">
        <v>90234</v>
      </c>
      <c r="AB10" s="89">
        <v>96428</v>
      </c>
      <c r="AC10" s="89">
        <v>102346</v>
      </c>
      <c r="AE10" s="34" t="e">
        <f>SUM(#REF!)</f>
        <v>#REF!</v>
      </c>
      <c r="AF10" s="34">
        <f>SUM(K10:K10)</f>
        <v>55314</v>
      </c>
      <c r="AG10" s="34">
        <f>SUM(K10:L10)</f>
        <v>117194</v>
      </c>
      <c r="AH10" s="34">
        <f>SUM(K10:M10)</f>
        <v>182312</v>
      </c>
      <c r="AI10" s="34">
        <f t="shared" ref="AI10:AX10" si="2">SUM(K10:N10)</f>
        <v>257637</v>
      </c>
      <c r="AJ10" s="34">
        <f t="shared" si="2"/>
        <v>270334</v>
      </c>
      <c r="AK10" s="34">
        <f t="shared" si="2"/>
        <v>278139</v>
      </c>
      <c r="AL10" s="34">
        <f t="shared" si="2"/>
        <v>282113</v>
      </c>
      <c r="AM10" s="34">
        <f t="shared" si="2"/>
        <v>282836</v>
      </c>
      <c r="AN10" s="34">
        <f t="shared" si="2"/>
        <v>284612</v>
      </c>
      <c r="AO10" s="34">
        <f t="shared" si="2"/>
        <v>289531</v>
      </c>
      <c r="AP10" s="34">
        <f t="shared" si="2"/>
        <v>297132</v>
      </c>
      <c r="AQ10" s="34">
        <f t="shared" si="2"/>
        <v>307394</v>
      </c>
      <c r="AR10" s="34">
        <f t="shared" si="2"/>
        <v>318146</v>
      </c>
      <c r="AS10" s="34">
        <f t="shared" si="2"/>
        <v>328284</v>
      </c>
      <c r="AT10" s="34">
        <f t="shared" si="2"/>
        <v>339859</v>
      </c>
      <c r="AU10" s="34">
        <f t="shared" si="2"/>
        <v>350018</v>
      </c>
      <c r="AV10" s="34">
        <f t="shared" si="2"/>
        <v>359713</v>
      </c>
      <c r="AW10" s="34">
        <f t="shared" si="2"/>
        <v>371399</v>
      </c>
      <c r="AX10" s="34">
        <f t="shared" si="2"/>
        <v>385477</v>
      </c>
      <c r="AY10" s="43"/>
      <c r="AZ10" s="13">
        <f>SUM(AX10/AT10)-1</f>
        <v>0.13422625265183497</v>
      </c>
    </row>
    <row r="11" spans="1:52" ht="12.75" customHeight="1">
      <c r="B11" s="14" t="s">
        <v>13</v>
      </c>
      <c r="C11" s="15">
        <f t="shared" ref="C11:I11" si="3">+SUM(C10:C10)</f>
        <v>136819</v>
      </c>
      <c r="D11" s="15">
        <f t="shared" si="3"/>
        <v>161857</v>
      </c>
      <c r="E11" s="15">
        <f t="shared" si="3"/>
        <v>182527</v>
      </c>
      <c r="F11" s="15">
        <f t="shared" si="3"/>
        <v>257637</v>
      </c>
      <c r="G11" s="15">
        <f t="shared" si="3"/>
        <v>282836</v>
      </c>
      <c r="H11" s="15">
        <f t="shared" si="3"/>
        <v>307394</v>
      </c>
      <c r="I11" s="15">
        <f t="shared" si="3"/>
        <v>350018</v>
      </c>
      <c r="J11" s="12"/>
      <c r="K11" s="15">
        <f t="shared" ref="K11:AB11" si="4">+SUM(K10:K10)</f>
        <v>55314</v>
      </c>
      <c r="L11" s="15">
        <f t="shared" si="4"/>
        <v>61880</v>
      </c>
      <c r="M11" s="15">
        <f t="shared" si="4"/>
        <v>65118</v>
      </c>
      <c r="N11" s="15">
        <f t="shared" si="4"/>
        <v>75325</v>
      </c>
      <c r="O11" s="15">
        <f t="shared" si="4"/>
        <v>68011</v>
      </c>
      <c r="P11" s="15">
        <f t="shared" si="4"/>
        <v>69685</v>
      </c>
      <c r="Q11" s="15">
        <f t="shared" si="4"/>
        <v>69092</v>
      </c>
      <c r="R11" s="15">
        <f t="shared" si="4"/>
        <v>76048</v>
      </c>
      <c r="S11" s="15">
        <f t="shared" si="4"/>
        <v>69787</v>
      </c>
      <c r="T11" s="15">
        <f t="shared" si="4"/>
        <v>74604</v>
      </c>
      <c r="U11" s="15">
        <f t="shared" si="4"/>
        <v>76693</v>
      </c>
      <c r="V11" s="15">
        <f t="shared" si="4"/>
        <v>86310</v>
      </c>
      <c r="W11" s="15">
        <f t="shared" si="4"/>
        <v>80539</v>
      </c>
      <c r="X11" s="15">
        <f t="shared" si="4"/>
        <v>84742</v>
      </c>
      <c r="Y11" s="15">
        <f t="shared" si="4"/>
        <v>88268</v>
      </c>
      <c r="Z11" s="15">
        <f t="shared" si="4"/>
        <v>96469</v>
      </c>
      <c r="AA11" s="15">
        <f t="shared" si="4"/>
        <v>90234</v>
      </c>
      <c r="AB11" s="15">
        <f t="shared" si="4"/>
        <v>96428</v>
      </c>
      <c r="AC11" s="15">
        <f>+SUM(AC10:AC10)</f>
        <v>102346</v>
      </c>
      <c r="AE11" s="15" t="e">
        <f t="shared" ref="AE11:AL11" si="5">+SUM(AE10:AE10)</f>
        <v>#REF!</v>
      </c>
      <c r="AF11" s="15">
        <f t="shared" si="5"/>
        <v>55314</v>
      </c>
      <c r="AG11" s="15">
        <f t="shared" si="5"/>
        <v>117194</v>
      </c>
      <c r="AH11" s="15">
        <f t="shared" si="5"/>
        <v>182312</v>
      </c>
      <c r="AI11" s="15">
        <f t="shared" si="5"/>
        <v>257637</v>
      </c>
      <c r="AJ11" s="15">
        <f t="shared" si="5"/>
        <v>270334</v>
      </c>
      <c r="AK11" s="15">
        <f t="shared" si="5"/>
        <v>278139</v>
      </c>
      <c r="AL11" s="15">
        <f t="shared" si="5"/>
        <v>282113</v>
      </c>
      <c r="AM11" s="15">
        <f t="shared" ref="AM11:AW11" si="6">+SUM(AM10:AM10)</f>
        <v>282836</v>
      </c>
      <c r="AN11" s="15">
        <f t="shared" si="6"/>
        <v>284612</v>
      </c>
      <c r="AO11" s="15">
        <f t="shared" si="6"/>
        <v>289531</v>
      </c>
      <c r="AP11" s="15">
        <f t="shared" si="6"/>
        <v>297132</v>
      </c>
      <c r="AQ11" s="15">
        <f t="shared" si="6"/>
        <v>307394</v>
      </c>
      <c r="AR11" s="15">
        <f t="shared" si="6"/>
        <v>318146</v>
      </c>
      <c r="AS11" s="15">
        <f t="shared" si="6"/>
        <v>328284</v>
      </c>
      <c r="AT11" s="15">
        <f t="shared" si="6"/>
        <v>339859</v>
      </c>
      <c r="AU11" s="15">
        <f t="shared" si="6"/>
        <v>350018</v>
      </c>
      <c r="AV11" s="15">
        <f t="shared" si="6"/>
        <v>359713</v>
      </c>
      <c r="AW11" s="15">
        <f t="shared" si="6"/>
        <v>371399</v>
      </c>
      <c r="AX11" s="15">
        <f>+SUM(AX10:AX10)</f>
        <v>385477</v>
      </c>
      <c r="AY11" s="43"/>
      <c r="AZ11" s="16">
        <f>SUM(AX11/AT11)-1</f>
        <v>0.13422625265183497</v>
      </c>
    </row>
    <row r="12" spans="1:52" s="22" customFormat="1" ht="5.0999999999999996" customHeight="1">
      <c r="B12" s="20"/>
      <c r="C12" s="21"/>
      <c r="D12" s="21"/>
      <c r="E12" s="21"/>
      <c r="F12" s="21"/>
      <c r="G12" s="21"/>
      <c r="H12" s="21"/>
      <c r="I12" s="21"/>
      <c r="K12" s="23"/>
      <c r="L12" s="23"/>
      <c r="M12" s="23"/>
      <c r="N12" s="23"/>
      <c r="O12" s="23"/>
      <c r="P12" s="23"/>
      <c r="Q12" s="23"/>
      <c r="R12" s="23"/>
      <c r="S12" s="23"/>
      <c r="T12" s="23"/>
      <c r="U12" s="23"/>
      <c r="V12" s="23"/>
      <c r="W12" s="23"/>
      <c r="X12" s="23"/>
      <c r="Y12" s="23"/>
      <c r="Z12" s="23"/>
      <c r="AA12" s="24"/>
      <c r="AB12" s="23"/>
      <c r="AC12" s="23"/>
      <c r="AZ12" s="82"/>
    </row>
    <row r="13" spans="1:52" ht="12.75" customHeight="1">
      <c r="B13" s="10" t="s">
        <v>14</v>
      </c>
      <c r="C13" s="89">
        <v>-59549</v>
      </c>
      <c r="D13" s="89">
        <v>-71896</v>
      </c>
      <c r="E13" s="89">
        <v>-84732</v>
      </c>
      <c r="F13" s="89">
        <v>-110939</v>
      </c>
      <c r="G13" s="89">
        <v>-126203</v>
      </c>
      <c r="H13" s="89">
        <v>-133332</v>
      </c>
      <c r="I13" s="89">
        <v>-146306</v>
      </c>
      <c r="J13" s="26"/>
      <c r="K13" s="89">
        <v>-24103</v>
      </c>
      <c r="L13" s="89">
        <v>-26227</v>
      </c>
      <c r="M13" s="89">
        <v>-27621</v>
      </c>
      <c r="N13" s="34">
        <f>SUM(F13-SUM(K13:M13))</f>
        <v>-32988</v>
      </c>
      <c r="O13" s="89">
        <v>-29599</v>
      </c>
      <c r="P13" s="89">
        <v>-30104</v>
      </c>
      <c r="Q13" s="89">
        <v>-31158</v>
      </c>
      <c r="R13" s="34">
        <f>SUM(G13-SUM(O13:Q13))</f>
        <v>-35342</v>
      </c>
      <c r="S13" s="89">
        <v>-30612</v>
      </c>
      <c r="T13" s="89">
        <v>-31916</v>
      </c>
      <c r="U13" s="89">
        <v>-33229</v>
      </c>
      <c r="V13" s="34">
        <f>SUM(H13-SUM(S13:U13))</f>
        <v>-37575</v>
      </c>
      <c r="W13" s="89">
        <v>-33712</v>
      </c>
      <c r="X13" s="89">
        <v>-35507</v>
      </c>
      <c r="Y13" s="89">
        <v>-36474</v>
      </c>
      <c r="Z13" s="34">
        <f>SUM(I13-SUM(W13:Y13))</f>
        <v>-40613</v>
      </c>
      <c r="AA13" s="89">
        <v>-36361</v>
      </c>
      <c r="AB13" s="89">
        <v>-39039</v>
      </c>
      <c r="AC13" s="89">
        <v>-41369</v>
      </c>
      <c r="AE13" s="34" t="e">
        <f>SUM(#REF!)</f>
        <v>#REF!</v>
      </c>
      <c r="AF13" s="34">
        <f>SUM(K13:K13)</f>
        <v>-24103</v>
      </c>
      <c r="AG13" s="34">
        <f>SUM(K13:L13)</f>
        <v>-50330</v>
      </c>
      <c r="AH13" s="34">
        <f>SUM(K13:M13)</f>
        <v>-77951</v>
      </c>
      <c r="AI13" s="34">
        <f t="shared" ref="AI13:AX13" si="7">SUM(K13:N13)</f>
        <v>-110939</v>
      </c>
      <c r="AJ13" s="34">
        <f t="shared" si="7"/>
        <v>-116435</v>
      </c>
      <c r="AK13" s="34">
        <f t="shared" si="7"/>
        <v>-120312</v>
      </c>
      <c r="AL13" s="34">
        <f t="shared" si="7"/>
        <v>-123849</v>
      </c>
      <c r="AM13" s="34">
        <f t="shared" si="7"/>
        <v>-126203</v>
      </c>
      <c r="AN13" s="34">
        <f t="shared" si="7"/>
        <v>-127216</v>
      </c>
      <c r="AO13" s="34">
        <f t="shared" si="7"/>
        <v>-129028</v>
      </c>
      <c r="AP13" s="34">
        <f t="shared" si="7"/>
        <v>-131099</v>
      </c>
      <c r="AQ13" s="34">
        <f t="shared" si="7"/>
        <v>-133332</v>
      </c>
      <c r="AR13" s="34">
        <f t="shared" si="7"/>
        <v>-136432</v>
      </c>
      <c r="AS13" s="34">
        <f t="shared" si="7"/>
        <v>-140023</v>
      </c>
      <c r="AT13" s="34">
        <f t="shared" si="7"/>
        <v>-143268</v>
      </c>
      <c r="AU13" s="34">
        <f t="shared" si="7"/>
        <v>-146306</v>
      </c>
      <c r="AV13" s="34">
        <f t="shared" si="7"/>
        <v>-148955</v>
      </c>
      <c r="AW13" s="34">
        <f t="shared" si="7"/>
        <v>-152487</v>
      </c>
      <c r="AX13" s="34">
        <f t="shared" si="7"/>
        <v>-157382</v>
      </c>
      <c r="AY13" s="12"/>
      <c r="AZ13" s="82">
        <f>SUM(AX13/AT13)-1</f>
        <v>9.8514671803892062E-2</v>
      </c>
    </row>
    <row r="14" spans="1:52" ht="12.75" customHeight="1">
      <c r="B14" s="27" t="s">
        <v>31</v>
      </c>
      <c r="C14" s="28">
        <f t="shared" ref="C14:I14" si="8">+SUM(C11+SUM(C13:C13))</f>
        <v>77270</v>
      </c>
      <c r="D14" s="28">
        <f t="shared" si="8"/>
        <v>89961</v>
      </c>
      <c r="E14" s="28">
        <f t="shared" si="8"/>
        <v>97795</v>
      </c>
      <c r="F14" s="28">
        <f t="shared" si="8"/>
        <v>146698</v>
      </c>
      <c r="G14" s="28">
        <f t="shared" si="8"/>
        <v>156633</v>
      </c>
      <c r="H14" s="28">
        <f t="shared" si="8"/>
        <v>174062</v>
      </c>
      <c r="I14" s="28">
        <f t="shared" si="8"/>
        <v>203712</v>
      </c>
      <c r="K14" s="28">
        <f t="shared" ref="K14:X14" si="9">+SUM(K11+SUM(K13:K13))</f>
        <v>31211</v>
      </c>
      <c r="L14" s="28">
        <f t="shared" si="9"/>
        <v>35653</v>
      </c>
      <c r="M14" s="28">
        <f t="shared" si="9"/>
        <v>37497</v>
      </c>
      <c r="N14" s="28">
        <f t="shared" si="9"/>
        <v>42337</v>
      </c>
      <c r="O14" s="28">
        <f t="shared" si="9"/>
        <v>38412</v>
      </c>
      <c r="P14" s="28">
        <f t="shared" si="9"/>
        <v>39581</v>
      </c>
      <c r="Q14" s="28">
        <f t="shared" si="9"/>
        <v>37934</v>
      </c>
      <c r="R14" s="28">
        <f t="shared" si="9"/>
        <v>40706</v>
      </c>
      <c r="S14" s="28">
        <f t="shared" si="9"/>
        <v>39175</v>
      </c>
      <c r="T14" s="28">
        <f t="shared" si="9"/>
        <v>42688</v>
      </c>
      <c r="U14" s="28">
        <f t="shared" si="9"/>
        <v>43464</v>
      </c>
      <c r="V14" s="28">
        <f t="shared" si="9"/>
        <v>48735</v>
      </c>
      <c r="W14" s="28">
        <f t="shared" si="9"/>
        <v>46827</v>
      </c>
      <c r="X14" s="28">
        <f t="shared" si="9"/>
        <v>49235</v>
      </c>
      <c r="Y14" s="28">
        <f>+SUM(Y11+SUM(Y13:Y13))</f>
        <v>51794</v>
      </c>
      <c r="Z14" s="28">
        <f>+SUM(Z11+SUM(Z13:Z13))</f>
        <v>55856</v>
      </c>
      <c r="AA14" s="28">
        <f>+SUM(AA11+SUM(AA13:AA13))</f>
        <v>53873</v>
      </c>
      <c r="AB14" s="28">
        <f>+SUM(AB11+SUM(AB13:AB13))</f>
        <v>57389</v>
      </c>
      <c r="AC14" s="28">
        <f>+SUM(AC11+SUM(AC13:AC13))</f>
        <v>60977</v>
      </c>
      <c r="AE14" s="28" t="e">
        <f t="shared" ref="AE14:AL14" si="10">+SUM(AE11+SUM(AE13:AE13))</f>
        <v>#REF!</v>
      </c>
      <c r="AF14" s="28">
        <f t="shared" si="10"/>
        <v>31211</v>
      </c>
      <c r="AG14" s="28">
        <f t="shared" si="10"/>
        <v>66864</v>
      </c>
      <c r="AH14" s="28">
        <f t="shared" si="10"/>
        <v>104361</v>
      </c>
      <c r="AI14" s="28">
        <f t="shared" si="10"/>
        <v>146698</v>
      </c>
      <c r="AJ14" s="28">
        <f t="shared" si="10"/>
        <v>153899</v>
      </c>
      <c r="AK14" s="28">
        <f t="shared" si="10"/>
        <v>157827</v>
      </c>
      <c r="AL14" s="28">
        <f t="shared" si="10"/>
        <v>158264</v>
      </c>
      <c r="AM14" s="28">
        <f t="shared" ref="AM14:AW14" si="11">+SUM(AM11+SUM(AM13:AM13))</f>
        <v>156633</v>
      </c>
      <c r="AN14" s="28">
        <f t="shared" si="11"/>
        <v>157396</v>
      </c>
      <c r="AO14" s="28">
        <f t="shared" si="11"/>
        <v>160503</v>
      </c>
      <c r="AP14" s="28">
        <f t="shared" si="11"/>
        <v>166033</v>
      </c>
      <c r="AQ14" s="28">
        <f t="shared" si="11"/>
        <v>174062</v>
      </c>
      <c r="AR14" s="28">
        <f t="shared" si="11"/>
        <v>181714</v>
      </c>
      <c r="AS14" s="28">
        <f t="shared" si="11"/>
        <v>188261</v>
      </c>
      <c r="AT14" s="28">
        <f t="shared" si="11"/>
        <v>196591</v>
      </c>
      <c r="AU14" s="28">
        <f t="shared" si="11"/>
        <v>203712</v>
      </c>
      <c r="AV14" s="28">
        <f t="shared" si="11"/>
        <v>210758</v>
      </c>
      <c r="AW14" s="28">
        <f t="shared" si="11"/>
        <v>218912</v>
      </c>
      <c r="AX14" s="28">
        <f>+SUM(AX11+SUM(AX13:AX13))</f>
        <v>228095</v>
      </c>
      <c r="AY14" s="45"/>
      <c r="AZ14" s="83">
        <f>SUM(AX14/AT14)-1</f>
        <v>0.16025148658890798</v>
      </c>
    </row>
    <row r="15" spans="1:52" ht="12.75" customHeight="1">
      <c r="B15" s="17" t="s">
        <v>50</v>
      </c>
      <c r="C15" s="19">
        <f t="shared" ref="C15:I15" si="12">C14/C11</f>
        <v>0.5647607422945643</v>
      </c>
      <c r="D15" s="19">
        <f t="shared" si="12"/>
        <v>0.5558054331910266</v>
      </c>
      <c r="E15" s="19">
        <f t="shared" si="12"/>
        <v>0.53578374706207854</v>
      </c>
      <c r="F15" s="19">
        <f t="shared" si="12"/>
        <v>0.5693980290098084</v>
      </c>
      <c r="G15" s="19">
        <f t="shared" si="12"/>
        <v>0.55379442503783116</v>
      </c>
      <c r="H15" s="19">
        <f t="shared" si="12"/>
        <v>0.56625047984020505</v>
      </c>
      <c r="I15" s="19">
        <f t="shared" si="12"/>
        <v>0.58200435406179107</v>
      </c>
      <c r="J15" s="29"/>
      <c r="K15" s="19">
        <f t="shared" ref="K15:X15" si="13">K14/K11</f>
        <v>0.56425136493473627</v>
      </c>
      <c r="L15" s="19">
        <f t="shared" si="13"/>
        <v>0.57616354234001288</v>
      </c>
      <c r="M15" s="19">
        <f t="shared" si="13"/>
        <v>0.57583156730857832</v>
      </c>
      <c r="N15" s="19">
        <f t="shared" si="13"/>
        <v>0.56205774975107869</v>
      </c>
      <c r="O15" s="19">
        <f t="shared" si="13"/>
        <v>0.5647909896928438</v>
      </c>
      <c r="P15" s="19">
        <f t="shared" si="13"/>
        <v>0.56799885197675248</v>
      </c>
      <c r="Q15" s="19">
        <f t="shared" si="13"/>
        <v>0.54903606785156023</v>
      </c>
      <c r="R15" s="19">
        <f t="shared" si="13"/>
        <v>0.53526719966337055</v>
      </c>
      <c r="S15" s="19">
        <f t="shared" si="13"/>
        <v>0.56135096794531936</v>
      </c>
      <c r="T15" s="19">
        <f t="shared" si="13"/>
        <v>0.5721945204010509</v>
      </c>
      <c r="U15" s="19">
        <f t="shared" si="13"/>
        <v>0.56672708069836886</v>
      </c>
      <c r="V15" s="19">
        <f t="shared" si="13"/>
        <v>0.56465067778936395</v>
      </c>
      <c r="W15" s="19">
        <f t="shared" si="13"/>
        <v>0.58142018152696207</v>
      </c>
      <c r="X15" s="19">
        <f t="shared" si="13"/>
        <v>0.58099879634655782</v>
      </c>
      <c r="Y15" s="19">
        <f>Y14/Y11</f>
        <v>0.58678116644763678</v>
      </c>
      <c r="Z15" s="19">
        <f>Z14/Z11</f>
        <v>0.5790046543449191</v>
      </c>
      <c r="AA15" s="19">
        <f>AA14/AA11</f>
        <v>0.5970365937451515</v>
      </c>
      <c r="AB15" s="19">
        <f>AB14/AB11</f>
        <v>0.59514871199236741</v>
      </c>
      <c r="AC15" s="19">
        <f>AC14/AC11</f>
        <v>0.59579270318331934</v>
      </c>
      <c r="AD15" s="30"/>
      <c r="AE15" s="19" t="e">
        <f t="shared" ref="AE15:AL15" si="14">AE14/AE11</f>
        <v>#REF!</v>
      </c>
      <c r="AF15" s="19">
        <f t="shared" si="14"/>
        <v>0.56425136493473627</v>
      </c>
      <c r="AG15" s="19">
        <f t="shared" si="14"/>
        <v>0.5705411539839923</v>
      </c>
      <c r="AH15" s="19">
        <f t="shared" si="14"/>
        <v>0.57243077800693321</v>
      </c>
      <c r="AI15" s="19">
        <f t="shared" si="14"/>
        <v>0.5693980290098084</v>
      </c>
      <c r="AJ15" s="19">
        <f t="shared" si="14"/>
        <v>0.56929206093203222</v>
      </c>
      <c r="AK15" s="19">
        <f t="shared" si="14"/>
        <v>0.56743930193176795</v>
      </c>
      <c r="AL15" s="19">
        <f t="shared" si="14"/>
        <v>0.56099506226228502</v>
      </c>
      <c r="AM15" s="19">
        <f t="shared" ref="AM15:AW15" si="15">AM14/AM11</f>
        <v>0.55379442503783116</v>
      </c>
      <c r="AN15" s="19">
        <f t="shared" si="15"/>
        <v>0.55301954942166875</v>
      </c>
      <c r="AO15" s="19">
        <f t="shared" si="15"/>
        <v>0.55435514677184827</v>
      </c>
      <c r="AP15" s="19">
        <f t="shared" si="15"/>
        <v>0.55878532100211353</v>
      </c>
      <c r="AQ15" s="19">
        <f t="shared" si="15"/>
        <v>0.56625047984020505</v>
      </c>
      <c r="AR15" s="19">
        <f t="shared" si="15"/>
        <v>0.57116543976664802</v>
      </c>
      <c r="AS15" s="19">
        <f t="shared" si="15"/>
        <v>0.57346992238427708</v>
      </c>
      <c r="AT15" s="19">
        <f t="shared" si="15"/>
        <v>0.57844870961192729</v>
      </c>
      <c r="AU15" s="19">
        <f t="shared" si="15"/>
        <v>0.58200435406179107</v>
      </c>
      <c r="AV15" s="19">
        <f t="shared" si="15"/>
        <v>0.58590598616118961</v>
      </c>
      <c r="AW15" s="19">
        <f t="shared" si="15"/>
        <v>0.58942538886749829</v>
      </c>
      <c r="AX15" s="19">
        <f>AX14/AX11</f>
        <v>0.59172142566223151</v>
      </c>
      <c r="AY15" s="45"/>
      <c r="AZ15" s="84">
        <f>SUM(AX15-AT15)*1000</f>
        <v>13.272716050304222</v>
      </c>
    </row>
    <row r="16" spans="1:52" ht="5.0999999999999996" customHeight="1">
      <c r="B16" s="31"/>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E16" s="32"/>
      <c r="AF16" s="32"/>
      <c r="AG16" s="32"/>
      <c r="AH16" s="32"/>
      <c r="AI16" s="32"/>
      <c r="AJ16" s="32"/>
      <c r="AK16" s="32"/>
      <c r="AL16" s="32"/>
      <c r="AM16" s="32"/>
      <c r="AN16" s="32"/>
      <c r="AO16" s="32"/>
      <c r="AP16" s="32"/>
      <c r="AQ16" s="32"/>
      <c r="AR16" s="32"/>
      <c r="AS16" s="32"/>
      <c r="AT16" s="32"/>
      <c r="AU16" s="32"/>
      <c r="AV16" s="32"/>
      <c r="AW16" s="32"/>
      <c r="AX16" s="32"/>
      <c r="AY16" s="45"/>
      <c r="AZ16" s="82"/>
    </row>
    <row r="17" spans="2:52" ht="12.75" customHeight="1">
      <c r="B17" s="10" t="s">
        <v>432</v>
      </c>
      <c r="C17" s="89">
        <v>-21419</v>
      </c>
      <c r="D17" s="89">
        <v>-26018</v>
      </c>
      <c r="E17" s="89">
        <v>-27573</v>
      </c>
      <c r="F17" s="89">
        <v>-31562</v>
      </c>
      <c r="G17" s="89">
        <v>-39500</v>
      </c>
      <c r="H17" s="89">
        <v>-45427</v>
      </c>
      <c r="I17" s="89">
        <v>-49326</v>
      </c>
      <c r="J17" s="34"/>
      <c r="K17" s="89">
        <v>-7485</v>
      </c>
      <c r="L17" s="89">
        <v>-7675</v>
      </c>
      <c r="M17" s="89">
        <v>-7694</v>
      </c>
      <c r="N17" s="34">
        <f>SUM(F17-SUM(K17:M17))</f>
        <v>-8708</v>
      </c>
      <c r="O17" s="89">
        <v>-9119</v>
      </c>
      <c r="P17" s="89">
        <v>-9841</v>
      </c>
      <c r="Q17" s="89">
        <v>-10273</v>
      </c>
      <c r="R17" s="34">
        <f>SUM(G17-SUM(O17:Q17))</f>
        <v>-10267</v>
      </c>
      <c r="S17" s="89">
        <v>-11468</v>
      </c>
      <c r="T17" s="89">
        <v>-10588</v>
      </c>
      <c r="U17" s="89">
        <v>-11258</v>
      </c>
      <c r="V17" s="34">
        <f>SUM(H17-SUM(S17:U17))</f>
        <v>-12113</v>
      </c>
      <c r="W17" s="89">
        <v>-11903</v>
      </c>
      <c r="X17" s="89">
        <v>-11860</v>
      </c>
      <c r="Y17" s="89">
        <v>-12447</v>
      </c>
      <c r="Z17" s="34">
        <f>SUM(I17-SUM(W17:Y17))</f>
        <v>-13116</v>
      </c>
      <c r="AA17" s="89">
        <v>-13556</v>
      </c>
      <c r="AB17" s="89">
        <v>-13808</v>
      </c>
      <c r="AC17" s="89">
        <v>-15151</v>
      </c>
      <c r="AE17" s="34" t="e">
        <f>SUM(#REF!)</f>
        <v>#REF!</v>
      </c>
      <c r="AF17" s="34">
        <f>SUM(K17:K17)</f>
        <v>-7485</v>
      </c>
      <c r="AG17" s="34">
        <f>SUM(K17:L17)</f>
        <v>-15160</v>
      </c>
      <c r="AH17" s="34">
        <f>SUM(K17:M17)</f>
        <v>-22854</v>
      </c>
      <c r="AI17" s="34">
        <f t="shared" ref="AI17:AN19" si="16">SUM(K17:N17)</f>
        <v>-31562</v>
      </c>
      <c r="AJ17" s="34">
        <f t="shared" si="16"/>
        <v>-33196</v>
      </c>
      <c r="AK17" s="34">
        <f t="shared" si="16"/>
        <v>-35362</v>
      </c>
      <c r="AL17" s="34">
        <f t="shared" si="16"/>
        <v>-37941</v>
      </c>
      <c r="AM17" s="34">
        <f t="shared" si="16"/>
        <v>-39500</v>
      </c>
      <c r="AN17" s="34">
        <f t="shared" si="16"/>
        <v>-41849</v>
      </c>
      <c r="AO17" s="34">
        <f t="shared" ref="AO17:AX19" si="17">SUM(Q17:T17)</f>
        <v>-42596</v>
      </c>
      <c r="AP17" s="34">
        <f t="shared" si="17"/>
        <v>-43581</v>
      </c>
      <c r="AQ17" s="34">
        <f t="shared" si="17"/>
        <v>-45427</v>
      </c>
      <c r="AR17" s="34">
        <f t="shared" si="17"/>
        <v>-45862</v>
      </c>
      <c r="AS17" s="34">
        <f t="shared" si="17"/>
        <v>-47134</v>
      </c>
      <c r="AT17" s="34">
        <f t="shared" si="17"/>
        <v>-48323</v>
      </c>
      <c r="AU17" s="34">
        <f t="shared" si="17"/>
        <v>-49326</v>
      </c>
      <c r="AV17" s="34">
        <f t="shared" si="17"/>
        <v>-50979</v>
      </c>
      <c r="AW17" s="34">
        <f t="shared" si="17"/>
        <v>-52927</v>
      </c>
      <c r="AX17" s="34">
        <f t="shared" si="17"/>
        <v>-55631</v>
      </c>
      <c r="AY17" s="12"/>
      <c r="AZ17" s="82">
        <f>SUM(AX17/AT17)-1</f>
        <v>0.15123233242969181</v>
      </c>
    </row>
    <row r="18" spans="2:52" ht="12.75" customHeight="1">
      <c r="B18" s="10" t="s">
        <v>471</v>
      </c>
      <c r="C18" s="89">
        <v>-16333</v>
      </c>
      <c r="D18" s="89">
        <v>-18464</v>
      </c>
      <c r="E18" s="89">
        <v>-17946</v>
      </c>
      <c r="F18" s="89">
        <v>-22912</v>
      </c>
      <c r="G18" s="89">
        <v>-26567</v>
      </c>
      <c r="H18" s="89">
        <v>-27917</v>
      </c>
      <c r="I18" s="89">
        <v>-27808</v>
      </c>
      <c r="J18" s="34"/>
      <c r="K18" s="89">
        <v>-4516</v>
      </c>
      <c r="L18" s="89">
        <v>-5276</v>
      </c>
      <c r="M18" s="89">
        <v>-5516</v>
      </c>
      <c r="N18" s="34">
        <f>SUM(F18-SUM(K18:M18))</f>
        <v>-7604</v>
      </c>
      <c r="O18" s="89">
        <v>-5825</v>
      </c>
      <c r="P18" s="89">
        <v>-6630</v>
      </c>
      <c r="Q18" s="89">
        <v>-6929</v>
      </c>
      <c r="R18" s="34">
        <f>SUM(G18-SUM(O18:Q18))</f>
        <v>-7183</v>
      </c>
      <c r="S18" s="89">
        <v>-6533</v>
      </c>
      <c r="T18" s="89">
        <v>-6781</v>
      </c>
      <c r="U18" s="89">
        <v>-6884</v>
      </c>
      <c r="V18" s="34">
        <f>SUM(H18-SUM(S18:U18))</f>
        <v>-7719</v>
      </c>
      <c r="W18" s="89">
        <v>-6426</v>
      </c>
      <c r="X18" s="89">
        <v>-6792</v>
      </c>
      <c r="Y18" s="89">
        <v>-7227</v>
      </c>
      <c r="Z18" s="34">
        <f>SUM(I18-SUM(W18:Y18))</f>
        <v>-7363</v>
      </c>
      <c r="AA18" s="89">
        <v>-6172</v>
      </c>
      <c r="AB18" s="89">
        <v>-7101</v>
      </c>
      <c r="AC18" s="89">
        <v>-7205</v>
      </c>
      <c r="AE18" s="34" t="e">
        <f>SUM(#REF!)</f>
        <v>#REF!</v>
      </c>
      <c r="AF18" s="34">
        <f>SUM(K18:K18)</f>
        <v>-4516</v>
      </c>
      <c r="AG18" s="34">
        <f>SUM(K18:L18)</f>
        <v>-9792</v>
      </c>
      <c r="AH18" s="34">
        <f>SUM(K18:M18)</f>
        <v>-15308</v>
      </c>
      <c r="AI18" s="34">
        <f t="shared" si="16"/>
        <v>-22912</v>
      </c>
      <c r="AJ18" s="34">
        <f t="shared" si="16"/>
        <v>-24221</v>
      </c>
      <c r="AK18" s="34">
        <f t="shared" si="16"/>
        <v>-25575</v>
      </c>
      <c r="AL18" s="34">
        <f t="shared" si="16"/>
        <v>-26988</v>
      </c>
      <c r="AM18" s="34">
        <f t="shared" si="16"/>
        <v>-26567</v>
      </c>
      <c r="AN18" s="34">
        <f t="shared" si="16"/>
        <v>-27275</v>
      </c>
      <c r="AO18" s="34">
        <f t="shared" si="17"/>
        <v>-27426</v>
      </c>
      <c r="AP18" s="34">
        <f t="shared" si="17"/>
        <v>-27381</v>
      </c>
      <c r="AQ18" s="34">
        <f t="shared" si="17"/>
        <v>-27917</v>
      </c>
      <c r="AR18" s="34">
        <f t="shared" si="17"/>
        <v>-27810</v>
      </c>
      <c r="AS18" s="34">
        <f t="shared" si="17"/>
        <v>-27821</v>
      </c>
      <c r="AT18" s="34">
        <f t="shared" si="17"/>
        <v>-28164</v>
      </c>
      <c r="AU18" s="34">
        <f t="shared" si="17"/>
        <v>-27808</v>
      </c>
      <c r="AV18" s="34">
        <f t="shared" si="17"/>
        <v>-27554</v>
      </c>
      <c r="AW18" s="34">
        <f t="shared" si="17"/>
        <v>-27863</v>
      </c>
      <c r="AX18" s="34">
        <f t="shared" si="17"/>
        <v>-27841</v>
      </c>
      <c r="AY18" s="12"/>
      <c r="AZ18" s="82">
        <f>SUM(AX18/AT18)-1</f>
        <v>-1.1468541400369237E-2</v>
      </c>
    </row>
    <row r="19" spans="2:52" ht="12.75" customHeight="1">
      <c r="B19" s="10" t="s">
        <v>472</v>
      </c>
      <c r="C19" s="89">
        <v>-6923</v>
      </c>
      <c r="D19" s="89">
        <v>-9551</v>
      </c>
      <c r="E19" s="89">
        <v>-11052</v>
      </c>
      <c r="F19" s="89">
        <v>-13510</v>
      </c>
      <c r="G19" s="89">
        <v>-15724</v>
      </c>
      <c r="H19" s="89">
        <v>-16425</v>
      </c>
      <c r="I19" s="89">
        <v>-14188</v>
      </c>
      <c r="J19" s="34"/>
      <c r="K19" s="89">
        <v>-2773</v>
      </c>
      <c r="L19" s="89">
        <v>-3341</v>
      </c>
      <c r="M19" s="89">
        <v>-3256</v>
      </c>
      <c r="N19" s="34">
        <f>SUM(F19-SUM(K19:M19))</f>
        <v>-4140</v>
      </c>
      <c r="O19" s="89">
        <v>-3374</v>
      </c>
      <c r="P19" s="89">
        <v>-3657</v>
      </c>
      <c r="Q19" s="89">
        <v>-3597</v>
      </c>
      <c r="R19" s="34">
        <f>SUM(G19-SUM(O19:Q19))</f>
        <v>-5096</v>
      </c>
      <c r="S19" s="89">
        <v>-3759</v>
      </c>
      <c r="T19" s="89">
        <v>-3481</v>
      </c>
      <c r="U19" s="89">
        <v>-3979</v>
      </c>
      <c r="V19" s="34">
        <f>SUM(H19-SUM(S19:U19))</f>
        <v>-5206</v>
      </c>
      <c r="W19" s="89">
        <v>-3026</v>
      </c>
      <c r="X19" s="89">
        <v>-3158</v>
      </c>
      <c r="Y19" s="89">
        <v>-3599</v>
      </c>
      <c r="Z19" s="34">
        <f>SUM(I19-SUM(W19:Y19))</f>
        <v>-4405</v>
      </c>
      <c r="AA19" s="89">
        <v>-3539</v>
      </c>
      <c r="AB19" s="89">
        <v>-5209</v>
      </c>
      <c r="AC19" s="89">
        <v>-7393</v>
      </c>
      <c r="AE19" s="34" t="e">
        <f>SUM(#REF!)</f>
        <v>#REF!</v>
      </c>
      <c r="AF19" s="34">
        <f>SUM(K19:K19)</f>
        <v>-2773</v>
      </c>
      <c r="AG19" s="34">
        <f>SUM(K19:L19)</f>
        <v>-6114</v>
      </c>
      <c r="AH19" s="34">
        <f>SUM(K19:M19)</f>
        <v>-9370</v>
      </c>
      <c r="AI19" s="34">
        <f t="shared" si="16"/>
        <v>-13510</v>
      </c>
      <c r="AJ19" s="34">
        <f t="shared" si="16"/>
        <v>-14111</v>
      </c>
      <c r="AK19" s="34">
        <f t="shared" si="16"/>
        <v>-14427</v>
      </c>
      <c r="AL19" s="34">
        <f t="shared" si="16"/>
        <v>-14768</v>
      </c>
      <c r="AM19" s="34">
        <f t="shared" si="16"/>
        <v>-15724</v>
      </c>
      <c r="AN19" s="34">
        <f t="shared" si="16"/>
        <v>-16109</v>
      </c>
      <c r="AO19" s="34">
        <f t="shared" si="17"/>
        <v>-15933</v>
      </c>
      <c r="AP19" s="34">
        <f t="shared" si="17"/>
        <v>-16315</v>
      </c>
      <c r="AQ19" s="34">
        <f t="shared" si="17"/>
        <v>-16425</v>
      </c>
      <c r="AR19" s="34">
        <f t="shared" si="17"/>
        <v>-15692</v>
      </c>
      <c r="AS19" s="34">
        <f t="shared" si="17"/>
        <v>-15369</v>
      </c>
      <c r="AT19" s="34">
        <f t="shared" si="17"/>
        <v>-14989</v>
      </c>
      <c r="AU19" s="34">
        <f t="shared" si="17"/>
        <v>-14188</v>
      </c>
      <c r="AV19" s="34">
        <f t="shared" si="17"/>
        <v>-14701</v>
      </c>
      <c r="AW19" s="34">
        <f t="shared" si="17"/>
        <v>-16752</v>
      </c>
      <c r="AX19" s="34">
        <f t="shared" si="17"/>
        <v>-20546</v>
      </c>
      <c r="AY19" s="12"/>
      <c r="AZ19" s="82">
        <f>SUM(AX19/AT19)-1</f>
        <v>0.37073854159717134</v>
      </c>
    </row>
    <row r="20" spans="2:52" ht="12.75" hidden="1" customHeight="1" outlineLevel="1">
      <c r="B20" s="10" t="s">
        <v>522</v>
      </c>
      <c r="C20" s="89">
        <v>-5071</v>
      </c>
      <c r="D20" s="89">
        <v>-1697</v>
      </c>
      <c r="E20" s="89">
        <v>0</v>
      </c>
      <c r="F20" s="89">
        <v>0</v>
      </c>
      <c r="G20" s="89">
        <v>0</v>
      </c>
      <c r="H20" s="89">
        <v>0</v>
      </c>
      <c r="I20" s="89">
        <v>0</v>
      </c>
      <c r="J20" s="34"/>
      <c r="K20" s="89">
        <v>0</v>
      </c>
      <c r="L20" s="89"/>
      <c r="M20" s="89"/>
      <c r="N20" s="34">
        <f>SUM(F20-SUM(K20:M20))</f>
        <v>0</v>
      </c>
      <c r="O20" s="89"/>
      <c r="P20" s="89"/>
      <c r="Q20" s="89"/>
      <c r="R20" s="34">
        <f>SUM(G20-SUM(O20:Q20))</f>
        <v>0</v>
      </c>
      <c r="S20" s="89"/>
      <c r="T20" s="89"/>
      <c r="U20" s="89"/>
      <c r="V20" s="34">
        <f>SUM(H20-SUM(S20:U20))</f>
        <v>0</v>
      </c>
      <c r="W20" s="89">
        <v>0</v>
      </c>
      <c r="X20" s="89"/>
      <c r="Y20" s="89"/>
      <c r="Z20" s="34">
        <f>SUM(I20-SUM(W20:Y20))</f>
        <v>0</v>
      </c>
      <c r="AA20" s="89"/>
      <c r="AB20" s="89"/>
      <c r="AC20" s="89"/>
      <c r="AE20" s="34"/>
      <c r="AF20" s="34"/>
      <c r="AG20" s="34"/>
      <c r="AH20" s="34"/>
      <c r="AI20" s="34"/>
      <c r="AJ20" s="34"/>
      <c r="AK20" s="34"/>
      <c r="AL20" s="34"/>
      <c r="AM20" s="34"/>
      <c r="AN20" s="34"/>
      <c r="AO20" s="34"/>
      <c r="AP20" s="34"/>
      <c r="AQ20" s="34"/>
      <c r="AR20" s="34"/>
      <c r="AS20" s="34"/>
      <c r="AT20" s="34"/>
      <c r="AU20" s="34"/>
      <c r="AV20" s="34"/>
      <c r="AW20" s="34"/>
      <c r="AX20" s="34"/>
      <c r="AY20" s="12"/>
      <c r="AZ20" s="82" t="e">
        <f>SUM(AX20/AT20)-1</f>
        <v>#DIV/0!</v>
      </c>
    </row>
    <row r="21" spans="2:52" ht="12.75" customHeight="1" collapsed="1">
      <c r="B21" s="27" t="s">
        <v>435</v>
      </c>
      <c r="C21" s="28">
        <f>+SUM(C14+SUM(C17:C20))</f>
        <v>27524</v>
      </c>
      <c r="D21" s="28">
        <f t="shared" ref="D21:I21" si="18">+SUM(D14+SUM(D17:D20))</f>
        <v>34231</v>
      </c>
      <c r="E21" s="28">
        <f t="shared" si="18"/>
        <v>41224</v>
      </c>
      <c r="F21" s="28">
        <f t="shared" si="18"/>
        <v>78714</v>
      </c>
      <c r="G21" s="28">
        <f t="shared" si="18"/>
        <v>74842</v>
      </c>
      <c r="H21" s="28">
        <f t="shared" si="18"/>
        <v>84293</v>
      </c>
      <c r="I21" s="28">
        <f t="shared" si="18"/>
        <v>112390</v>
      </c>
      <c r="J21" s="34"/>
      <c r="K21" s="28">
        <f t="shared" ref="K21:AC21" si="19">+SUM(K14+SUM(K17:K20))</f>
        <v>16437</v>
      </c>
      <c r="L21" s="28">
        <f t="shared" si="19"/>
        <v>19361</v>
      </c>
      <c r="M21" s="28">
        <f t="shared" si="19"/>
        <v>21031</v>
      </c>
      <c r="N21" s="28">
        <f t="shared" si="19"/>
        <v>21885</v>
      </c>
      <c r="O21" s="28">
        <f t="shared" si="19"/>
        <v>20094</v>
      </c>
      <c r="P21" s="28">
        <f t="shared" si="19"/>
        <v>19453</v>
      </c>
      <c r="Q21" s="28">
        <f t="shared" si="19"/>
        <v>17135</v>
      </c>
      <c r="R21" s="28">
        <f t="shared" si="19"/>
        <v>18160</v>
      </c>
      <c r="S21" s="28">
        <f t="shared" si="19"/>
        <v>17415</v>
      </c>
      <c r="T21" s="28">
        <f t="shared" si="19"/>
        <v>21838</v>
      </c>
      <c r="U21" s="28">
        <f t="shared" si="19"/>
        <v>21343</v>
      </c>
      <c r="V21" s="28">
        <f t="shared" si="19"/>
        <v>23697</v>
      </c>
      <c r="W21" s="28">
        <f t="shared" si="19"/>
        <v>25472</v>
      </c>
      <c r="X21" s="28">
        <f t="shared" si="19"/>
        <v>27425</v>
      </c>
      <c r="Y21" s="28">
        <f t="shared" si="19"/>
        <v>28521</v>
      </c>
      <c r="Z21" s="28">
        <f t="shared" si="19"/>
        <v>30972</v>
      </c>
      <c r="AA21" s="28">
        <f t="shared" si="19"/>
        <v>30606</v>
      </c>
      <c r="AB21" s="28">
        <f t="shared" si="19"/>
        <v>31271</v>
      </c>
      <c r="AC21" s="28">
        <f t="shared" si="19"/>
        <v>31228</v>
      </c>
      <c r="AE21" s="28" t="e">
        <f t="shared" ref="AE21:AX21" si="20">+SUM(AE14+SUM(AE17:AE19))</f>
        <v>#REF!</v>
      </c>
      <c r="AF21" s="28">
        <f t="shared" si="20"/>
        <v>16437</v>
      </c>
      <c r="AG21" s="28">
        <f t="shared" si="20"/>
        <v>35798</v>
      </c>
      <c r="AH21" s="28">
        <f t="shared" si="20"/>
        <v>56829</v>
      </c>
      <c r="AI21" s="28">
        <f t="shared" si="20"/>
        <v>78714</v>
      </c>
      <c r="AJ21" s="28">
        <f t="shared" si="20"/>
        <v>82371</v>
      </c>
      <c r="AK21" s="28">
        <f t="shared" si="20"/>
        <v>82463</v>
      </c>
      <c r="AL21" s="28">
        <f t="shared" si="20"/>
        <v>78567</v>
      </c>
      <c r="AM21" s="28">
        <f t="shared" si="20"/>
        <v>74842</v>
      </c>
      <c r="AN21" s="28">
        <f t="shared" si="20"/>
        <v>72163</v>
      </c>
      <c r="AO21" s="28">
        <f t="shared" si="20"/>
        <v>74548</v>
      </c>
      <c r="AP21" s="28">
        <f t="shared" si="20"/>
        <v>78756</v>
      </c>
      <c r="AQ21" s="28">
        <f t="shared" si="20"/>
        <v>84293</v>
      </c>
      <c r="AR21" s="28">
        <f t="shared" si="20"/>
        <v>92350</v>
      </c>
      <c r="AS21" s="28">
        <f t="shared" si="20"/>
        <v>97937</v>
      </c>
      <c r="AT21" s="28">
        <f t="shared" si="20"/>
        <v>105115</v>
      </c>
      <c r="AU21" s="28">
        <f t="shared" si="20"/>
        <v>112390</v>
      </c>
      <c r="AV21" s="28">
        <f t="shared" si="20"/>
        <v>117524</v>
      </c>
      <c r="AW21" s="28">
        <f t="shared" si="20"/>
        <v>121370</v>
      </c>
      <c r="AX21" s="28">
        <f t="shared" si="20"/>
        <v>124077</v>
      </c>
      <c r="AY21" s="12"/>
      <c r="AZ21" s="83">
        <f>SUM(AX21/AT21)-1</f>
        <v>0.18039290301098787</v>
      </c>
    </row>
    <row r="22" spans="2:52" ht="12.75" customHeight="1">
      <c r="B22" s="17" t="s">
        <v>52</v>
      </c>
      <c r="C22" s="19">
        <f t="shared" ref="C22:I22" si="21">C21/C11</f>
        <v>0.20117089000796673</v>
      </c>
      <c r="D22" s="19">
        <f t="shared" si="21"/>
        <v>0.21148915400631421</v>
      </c>
      <c r="E22" s="19">
        <f t="shared" si="21"/>
        <v>0.22585151785763202</v>
      </c>
      <c r="F22" s="19">
        <f t="shared" si="21"/>
        <v>0.3055228868524319</v>
      </c>
      <c r="G22" s="19">
        <f t="shared" si="21"/>
        <v>0.26461270842467011</v>
      </c>
      <c r="H22" s="19">
        <f t="shared" si="21"/>
        <v>0.27421810445226646</v>
      </c>
      <c r="I22" s="19">
        <f t="shared" si="21"/>
        <v>0.32109777211457696</v>
      </c>
      <c r="J22" s="34"/>
      <c r="K22" s="19">
        <f t="shared" ref="K22:AC22" si="22">K21/K11</f>
        <v>0.29715804317171057</v>
      </c>
      <c r="L22" s="19">
        <f t="shared" si="22"/>
        <v>0.312879767291532</v>
      </c>
      <c r="M22" s="19">
        <f t="shared" si="22"/>
        <v>0.32296753585798088</v>
      </c>
      <c r="N22" s="19">
        <f t="shared" si="22"/>
        <v>0.29054098904746101</v>
      </c>
      <c r="O22" s="19">
        <f t="shared" si="22"/>
        <v>0.29545220626075192</v>
      </c>
      <c r="P22" s="19">
        <f t="shared" si="22"/>
        <v>0.279156202913109</v>
      </c>
      <c r="Q22" s="19">
        <f t="shared" si="22"/>
        <v>0.24800266311584554</v>
      </c>
      <c r="R22" s="19">
        <f t="shared" si="22"/>
        <v>0.23879654954765411</v>
      </c>
      <c r="S22" s="19">
        <f t="shared" si="22"/>
        <v>0.24954504420594092</v>
      </c>
      <c r="T22" s="19">
        <f t="shared" si="22"/>
        <v>0.29271888906761029</v>
      </c>
      <c r="U22" s="19">
        <f t="shared" si="22"/>
        <v>0.27829136948613303</v>
      </c>
      <c r="V22" s="19">
        <f t="shared" si="22"/>
        <v>0.27455683003128256</v>
      </c>
      <c r="W22" s="19">
        <f t="shared" si="22"/>
        <v>0.31626913669154072</v>
      </c>
      <c r="X22" s="19">
        <f t="shared" si="22"/>
        <v>0.32362936914398999</v>
      </c>
      <c r="Y22" s="19">
        <f t="shared" si="22"/>
        <v>0.32311823084243441</v>
      </c>
      <c r="Z22" s="19">
        <f t="shared" si="22"/>
        <v>0.32105650519856122</v>
      </c>
      <c r="AA22" s="19">
        <f t="shared" si="22"/>
        <v>0.33918478622248821</v>
      </c>
      <c r="AB22" s="19">
        <f t="shared" si="22"/>
        <v>0.32429377359273243</v>
      </c>
      <c r="AC22" s="19">
        <f t="shared" si="22"/>
        <v>0.30512184159615424</v>
      </c>
      <c r="AE22" s="19" t="e">
        <f t="shared" ref="AE22:AL22" si="23">AE21/AE11</f>
        <v>#REF!</v>
      </c>
      <c r="AF22" s="19">
        <f t="shared" si="23"/>
        <v>0.29715804317171057</v>
      </c>
      <c r="AG22" s="19">
        <f t="shared" si="23"/>
        <v>0.30545932385617008</v>
      </c>
      <c r="AH22" s="19">
        <f t="shared" si="23"/>
        <v>0.31171288779674405</v>
      </c>
      <c r="AI22" s="19">
        <f t="shared" si="23"/>
        <v>0.3055228868524319</v>
      </c>
      <c r="AJ22" s="19">
        <f t="shared" si="23"/>
        <v>0.30470085153920706</v>
      </c>
      <c r="AK22" s="19">
        <f t="shared" si="23"/>
        <v>0.29648125577499018</v>
      </c>
      <c r="AL22" s="19">
        <f t="shared" si="23"/>
        <v>0.27849478754966983</v>
      </c>
      <c r="AM22" s="19">
        <f t="shared" ref="AM22:AX22" si="24">AM21/AM11</f>
        <v>0.26461270842467011</v>
      </c>
      <c r="AN22" s="19">
        <f t="shared" si="24"/>
        <v>0.2535486908492966</v>
      </c>
      <c r="AO22" s="19">
        <f t="shared" si="24"/>
        <v>0.25747847380764061</v>
      </c>
      <c r="AP22" s="19">
        <f t="shared" si="24"/>
        <v>0.2650539154315254</v>
      </c>
      <c r="AQ22" s="19">
        <f t="shared" si="24"/>
        <v>0.27421810445226646</v>
      </c>
      <c r="AR22" s="19">
        <f t="shared" si="24"/>
        <v>0.29027553387438471</v>
      </c>
      <c r="AS22" s="19">
        <f t="shared" si="24"/>
        <v>0.29833010442178115</v>
      </c>
      <c r="AT22" s="19">
        <f t="shared" si="24"/>
        <v>0.30929002910030334</v>
      </c>
      <c r="AU22" s="19">
        <f t="shared" si="24"/>
        <v>0.32109777211457696</v>
      </c>
      <c r="AV22" s="19">
        <f t="shared" si="24"/>
        <v>0.32671602082771545</v>
      </c>
      <c r="AW22" s="19">
        <f t="shared" si="24"/>
        <v>0.32679140223856284</v>
      </c>
      <c r="AX22" s="19">
        <f t="shared" si="24"/>
        <v>0.32187912638108113</v>
      </c>
      <c r="AY22" s="12"/>
      <c r="AZ22" s="84">
        <f>SUM(AX22-AT22)*1000</f>
        <v>12.589097280777784</v>
      </c>
    </row>
    <row r="23" spans="2:52" ht="5.0999999999999996" customHeight="1">
      <c r="B23" s="17"/>
      <c r="C23" s="19"/>
      <c r="D23" s="19"/>
      <c r="E23" s="19"/>
      <c r="F23" s="19"/>
      <c r="G23" s="19"/>
      <c r="H23" s="19"/>
      <c r="I23" s="19"/>
      <c r="J23" s="34"/>
      <c r="K23" s="89"/>
      <c r="L23" s="89"/>
      <c r="M23" s="89"/>
      <c r="N23" s="89"/>
      <c r="O23" s="89"/>
      <c r="P23" s="89"/>
      <c r="Q23" s="89"/>
      <c r="R23" s="89"/>
      <c r="S23" s="89"/>
      <c r="T23" s="89"/>
      <c r="U23" s="89"/>
      <c r="V23" s="89"/>
      <c r="W23" s="89"/>
      <c r="X23" s="89"/>
      <c r="Y23" s="89"/>
      <c r="Z23" s="89"/>
      <c r="AA23" s="34"/>
      <c r="AB23" s="89"/>
      <c r="AC23" s="89"/>
      <c r="AE23" s="34"/>
      <c r="AF23" s="34"/>
      <c r="AG23" s="34"/>
      <c r="AH23" s="34"/>
      <c r="AI23" s="34"/>
      <c r="AJ23" s="34"/>
      <c r="AK23" s="34"/>
      <c r="AL23" s="34"/>
      <c r="AM23" s="34"/>
      <c r="AN23" s="34"/>
      <c r="AO23" s="34"/>
      <c r="AP23" s="34"/>
      <c r="AQ23" s="34"/>
      <c r="AR23" s="34"/>
      <c r="AS23" s="34"/>
      <c r="AT23" s="34"/>
      <c r="AU23" s="34"/>
      <c r="AV23" s="34"/>
      <c r="AW23" s="34"/>
      <c r="AX23" s="34"/>
      <c r="AY23" s="12"/>
      <c r="AZ23" s="82"/>
    </row>
    <row r="24" spans="2:52" ht="12.75" customHeight="1">
      <c r="B24" s="10" t="s">
        <v>473</v>
      </c>
      <c r="C24" s="89">
        <v>1878</v>
      </c>
      <c r="D24" s="89">
        <v>2427</v>
      </c>
      <c r="E24" s="89">
        <v>1865</v>
      </c>
      <c r="F24" s="89">
        <v>1499</v>
      </c>
      <c r="G24" s="89">
        <v>2174</v>
      </c>
      <c r="H24" s="89">
        <v>3865</v>
      </c>
      <c r="I24" s="89">
        <v>4482</v>
      </c>
      <c r="J24" s="34"/>
      <c r="K24" s="89">
        <v>345</v>
      </c>
      <c r="L24" s="89">
        <v>389</v>
      </c>
      <c r="M24" s="89">
        <v>387</v>
      </c>
      <c r="N24" s="34">
        <f>SUM(F24-SUM(K24:M24))</f>
        <v>378</v>
      </c>
      <c r="O24" s="89">
        <v>414</v>
      </c>
      <c r="P24" s="89">
        <v>486</v>
      </c>
      <c r="Q24" s="89">
        <v>615</v>
      </c>
      <c r="R24" s="34">
        <f>SUM(G24-SUM(O24:Q24))</f>
        <v>659</v>
      </c>
      <c r="S24" s="89">
        <v>797</v>
      </c>
      <c r="T24" s="89">
        <v>892</v>
      </c>
      <c r="U24" s="89">
        <v>1066</v>
      </c>
      <c r="V24" s="34">
        <f>SUM(H24-SUM(S24:U24))</f>
        <v>1110</v>
      </c>
      <c r="W24" s="89">
        <v>1061</v>
      </c>
      <c r="X24" s="89">
        <v>1090</v>
      </c>
      <c r="Y24" s="89">
        <v>1243</v>
      </c>
      <c r="Z24" s="34">
        <f>SUM(I24-SUM(W24:Y24))</f>
        <v>1088</v>
      </c>
      <c r="AA24" s="89">
        <v>1001</v>
      </c>
      <c r="AB24" s="89">
        <v>1050</v>
      </c>
      <c r="AC24" s="89">
        <v>1076</v>
      </c>
      <c r="AE24" s="34" t="e">
        <f>SUM(#REF!)</f>
        <v>#REF!</v>
      </c>
      <c r="AF24" s="34">
        <f>SUM(K24:K24)</f>
        <v>345</v>
      </c>
      <c r="AG24" s="34">
        <f>SUM(K24:L24)</f>
        <v>734</v>
      </c>
      <c r="AH24" s="34">
        <f>SUM(K24:M24)</f>
        <v>1121</v>
      </c>
      <c r="AI24" s="34">
        <f t="shared" ref="AI24:AN26" si="25">SUM(K24:N24)</f>
        <v>1499</v>
      </c>
      <c r="AJ24" s="34">
        <f t="shared" si="25"/>
        <v>1568</v>
      </c>
      <c r="AK24" s="34">
        <f t="shared" si="25"/>
        <v>1665</v>
      </c>
      <c r="AL24" s="34">
        <f t="shared" si="25"/>
        <v>1893</v>
      </c>
      <c r="AM24" s="34">
        <f t="shared" si="25"/>
        <v>2174</v>
      </c>
      <c r="AN24" s="34">
        <f t="shared" si="25"/>
        <v>2557</v>
      </c>
      <c r="AO24" s="34">
        <f t="shared" ref="AO24:AX26" si="26">SUM(Q24:T24)</f>
        <v>2963</v>
      </c>
      <c r="AP24" s="34">
        <f t="shared" si="26"/>
        <v>3414</v>
      </c>
      <c r="AQ24" s="34">
        <f t="shared" si="26"/>
        <v>3865</v>
      </c>
      <c r="AR24" s="34">
        <f t="shared" si="26"/>
        <v>4129</v>
      </c>
      <c r="AS24" s="34">
        <f t="shared" si="26"/>
        <v>4327</v>
      </c>
      <c r="AT24" s="34">
        <f t="shared" si="26"/>
        <v>4504</v>
      </c>
      <c r="AU24" s="34">
        <f t="shared" si="26"/>
        <v>4482</v>
      </c>
      <c r="AV24" s="34">
        <f t="shared" si="26"/>
        <v>4422</v>
      </c>
      <c r="AW24" s="34">
        <f t="shared" si="26"/>
        <v>4382</v>
      </c>
      <c r="AX24" s="34">
        <f t="shared" si="26"/>
        <v>4215</v>
      </c>
      <c r="AY24" s="12"/>
      <c r="AZ24" s="82">
        <f>SUM(AX24/AT24)-1</f>
        <v>-6.4165186500888094E-2</v>
      </c>
    </row>
    <row r="25" spans="2:52" ht="12.75" customHeight="1">
      <c r="B25" s="10" t="s">
        <v>434</v>
      </c>
      <c r="C25" s="89">
        <v>-114</v>
      </c>
      <c r="D25" s="89">
        <v>-100</v>
      </c>
      <c r="E25" s="89">
        <v>-135</v>
      </c>
      <c r="F25" s="89">
        <v>-346</v>
      </c>
      <c r="G25" s="89">
        <v>-357</v>
      </c>
      <c r="H25" s="89">
        <v>-308</v>
      </c>
      <c r="I25" s="89">
        <v>-268</v>
      </c>
      <c r="J25" s="34"/>
      <c r="K25" s="89">
        <v>-76</v>
      </c>
      <c r="L25" s="89">
        <v>-76</v>
      </c>
      <c r="M25" s="89">
        <v>-77</v>
      </c>
      <c r="N25" s="34">
        <f>SUM(F25-SUM(K25:M25))</f>
        <v>-117</v>
      </c>
      <c r="O25" s="89">
        <v>-83</v>
      </c>
      <c r="P25" s="89">
        <v>-83</v>
      </c>
      <c r="Q25" s="89">
        <v>-101</v>
      </c>
      <c r="R25" s="34">
        <f>SUM(G25-SUM(O25:Q25))</f>
        <v>-90</v>
      </c>
      <c r="S25" s="89">
        <v>-80</v>
      </c>
      <c r="T25" s="89">
        <v>-43</v>
      </c>
      <c r="U25" s="89">
        <v>-116</v>
      </c>
      <c r="V25" s="34">
        <f>SUM(H25-SUM(S25:U25))</f>
        <v>-69</v>
      </c>
      <c r="W25" s="89">
        <v>-94</v>
      </c>
      <c r="X25" s="89">
        <v>-67</v>
      </c>
      <c r="Y25" s="89">
        <v>-54</v>
      </c>
      <c r="Z25" s="34">
        <f>SUM(I25-SUM(W25:Y25))</f>
        <v>-53</v>
      </c>
      <c r="AA25" s="89">
        <v>-34</v>
      </c>
      <c r="AB25" s="89">
        <v>-261</v>
      </c>
      <c r="AC25" s="89">
        <v>-143</v>
      </c>
      <c r="AE25" s="34" t="e">
        <f>SUM(#REF!)</f>
        <v>#REF!</v>
      </c>
      <c r="AF25" s="34">
        <f>SUM(K25:K25)</f>
        <v>-76</v>
      </c>
      <c r="AG25" s="34">
        <f>SUM(K25:L25)</f>
        <v>-152</v>
      </c>
      <c r="AH25" s="34">
        <f>SUM(K25:M25)</f>
        <v>-229</v>
      </c>
      <c r="AI25" s="34">
        <f t="shared" si="25"/>
        <v>-346</v>
      </c>
      <c r="AJ25" s="34">
        <f t="shared" si="25"/>
        <v>-353</v>
      </c>
      <c r="AK25" s="34">
        <f t="shared" si="25"/>
        <v>-360</v>
      </c>
      <c r="AL25" s="34">
        <f t="shared" si="25"/>
        <v>-384</v>
      </c>
      <c r="AM25" s="34">
        <f t="shared" si="25"/>
        <v>-357</v>
      </c>
      <c r="AN25" s="34">
        <f t="shared" si="25"/>
        <v>-354</v>
      </c>
      <c r="AO25" s="34">
        <f t="shared" si="26"/>
        <v>-314</v>
      </c>
      <c r="AP25" s="34">
        <f t="shared" si="26"/>
        <v>-329</v>
      </c>
      <c r="AQ25" s="34">
        <f t="shared" si="26"/>
        <v>-308</v>
      </c>
      <c r="AR25" s="34">
        <f t="shared" si="26"/>
        <v>-322</v>
      </c>
      <c r="AS25" s="34">
        <f t="shared" si="26"/>
        <v>-346</v>
      </c>
      <c r="AT25" s="34">
        <f t="shared" si="26"/>
        <v>-284</v>
      </c>
      <c r="AU25" s="34">
        <f t="shared" si="26"/>
        <v>-268</v>
      </c>
      <c r="AV25" s="34">
        <f t="shared" si="26"/>
        <v>-208</v>
      </c>
      <c r="AW25" s="34">
        <f t="shared" si="26"/>
        <v>-402</v>
      </c>
      <c r="AX25" s="34">
        <f t="shared" si="26"/>
        <v>-491</v>
      </c>
      <c r="AY25" s="12"/>
      <c r="AZ25" s="82">
        <f>SUM(AX25/AT25)-1</f>
        <v>0.72887323943661975</v>
      </c>
    </row>
    <row r="26" spans="2:52" ht="12.75" customHeight="1">
      <c r="B26" s="10" t="s">
        <v>562</v>
      </c>
      <c r="C26" s="89">
        <f>-80+1190+5460-1203-120+378</f>
        <v>5625</v>
      </c>
      <c r="D26" s="89">
        <f>103+149+2649-326+390+102</f>
        <v>3067</v>
      </c>
      <c r="E26" s="89">
        <f>-344+725+5592-609+401-637</f>
        <v>5128</v>
      </c>
      <c r="F26" s="89">
        <f>-240-110+12380-1908+334+411</f>
        <v>10867</v>
      </c>
      <c r="G26" s="89">
        <f>-654-2064-3455+798-337+381</f>
        <v>-5331</v>
      </c>
      <c r="H26" s="89">
        <f>-1238-1215+392+257-628+299</f>
        <v>-2133</v>
      </c>
      <c r="I26" s="89">
        <f>-409-1043+3714+218-188+919</f>
        <v>3211</v>
      </c>
      <c r="J26" s="34"/>
      <c r="K26" s="89">
        <f>113-86+4837-665+5+373</f>
        <v>4577</v>
      </c>
      <c r="L26" s="89">
        <f>-51+111+2772-523+92-90</f>
        <v>2311</v>
      </c>
      <c r="M26" s="89">
        <f>-139+37+2121-492+188+8</f>
        <v>1723</v>
      </c>
      <c r="N26" s="34">
        <f>SUM(F26-SUM(K26:M26))</f>
        <v>2256</v>
      </c>
      <c r="O26" s="89">
        <f>-73-367-1070+233-89-125</f>
        <v>-1491</v>
      </c>
      <c r="P26" s="89">
        <f>-260-790-251+318-118+259</f>
        <v>-842</v>
      </c>
      <c r="Q26" s="89">
        <f>-136-731-647+54-99+143</f>
        <v>-1416</v>
      </c>
      <c r="R26" s="34">
        <f>SUM(G26-SUM(O26:Q26))</f>
        <v>-1582</v>
      </c>
      <c r="S26" s="89">
        <f>-210-293+377+118-51+132</f>
        <v>73</v>
      </c>
      <c r="T26" s="89">
        <f>-268-304-205+5-106+94</f>
        <v>-784</v>
      </c>
      <c r="U26" s="89">
        <f>-311-503-366+179-215+120</f>
        <v>-1096</v>
      </c>
      <c r="V26" s="34">
        <f>SUM(H26-SUM(S26:U26))</f>
        <v>-326</v>
      </c>
      <c r="W26" s="89">
        <f>-238-462+2243+104-26+255</f>
        <v>1876</v>
      </c>
      <c r="X26" s="89">
        <f>-173-310-714+128+32+140</f>
        <v>-897</v>
      </c>
      <c r="Y26" s="89">
        <f>23+160+1821+29-107+70</f>
        <v>1996</v>
      </c>
      <c r="Z26" s="34">
        <f>SUM(I26-SUM(W26:Y26))</f>
        <v>236</v>
      </c>
      <c r="AA26" s="89">
        <f>-106+202+9758-40-22+424</f>
        <v>10216</v>
      </c>
      <c r="AB26" s="89">
        <f>-69+165+1286-83+419+155</f>
        <v>1873</v>
      </c>
      <c r="AC26" s="89">
        <f>-143+122+10734-174-30+1317</f>
        <v>11826</v>
      </c>
      <c r="AE26" s="34" t="e">
        <f>SUM(#REF!)</f>
        <v>#REF!</v>
      </c>
      <c r="AF26" s="34">
        <f>SUM(K26:K26)</f>
        <v>4577</v>
      </c>
      <c r="AG26" s="34">
        <f>SUM(K26:L26)</f>
        <v>6888</v>
      </c>
      <c r="AH26" s="34">
        <f>SUM(K26:M26)</f>
        <v>8611</v>
      </c>
      <c r="AI26" s="34">
        <f t="shared" si="25"/>
        <v>10867</v>
      </c>
      <c r="AJ26" s="34">
        <f t="shared" si="25"/>
        <v>4799</v>
      </c>
      <c r="AK26" s="34">
        <f t="shared" si="25"/>
        <v>1646</v>
      </c>
      <c r="AL26" s="34">
        <f t="shared" si="25"/>
        <v>-1493</v>
      </c>
      <c r="AM26" s="34">
        <f t="shared" si="25"/>
        <v>-5331</v>
      </c>
      <c r="AN26" s="34">
        <f t="shared" si="25"/>
        <v>-3767</v>
      </c>
      <c r="AO26" s="34">
        <f t="shared" si="26"/>
        <v>-3709</v>
      </c>
      <c r="AP26" s="34">
        <f t="shared" si="26"/>
        <v>-3389</v>
      </c>
      <c r="AQ26" s="34">
        <f t="shared" si="26"/>
        <v>-2133</v>
      </c>
      <c r="AR26" s="34">
        <f t="shared" si="26"/>
        <v>-330</v>
      </c>
      <c r="AS26" s="34">
        <f t="shared" si="26"/>
        <v>-443</v>
      </c>
      <c r="AT26" s="34">
        <f t="shared" si="26"/>
        <v>2649</v>
      </c>
      <c r="AU26" s="34">
        <f t="shared" si="26"/>
        <v>3211</v>
      </c>
      <c r="AV26" s="34">
        <f t="shared" si="26"/>
        <v>11551</v>
      </c>
      <c r="AW26" s="34">
        <f t="shared" si="26"/>
        <v>14321</v>
      </c>
      <c r="AX26" s="34">
        <f t="shared" si="26"/>
        <v>24151</v>
      </c>
      <c r="AY26" s="12"/>
      <c r="AZ26" s="82">
        <f>SUM(AX26/AT26)-1</f>
        <v>8.1170252925632322</v>
      </c>
    </row>
    <row r="27" spans="2:52" ht="12.75" customHeight="1">
      <c r="B27" s="27" t="s">
        <v>436</v>
      </c>
      <c r="C27" s="28">
        <f t="shared" ref="C27:I27" si="27">SUM(C21+SUM(C24:C26))</f>
        <v>34913</v>
      </c>
      <c r="D27" s="28">
        <f t="shared" si="27"/>
        <v>39625</v>
      </c>
      <c r="E27" s="28">
        <f t="shared" si="27"/>
        <v>48082</v>
      </c>
      <c r="F27" s="28">
        <f t="shared" si="27"/>
        <v>90734</v>
      </c>
      <c r="G27" s="28">
        <f t="shared" si="27"/>
        <v>71328</v>
      </c>
      <c r="H27" s="28">
        <f t="shared" si="27"/>
        <v>85717</v>
      </c>
      <c r="I27" s="28">
        <f t="shared" si="27"/>
        <v>119815</v>
      </c>
      <c r="K27" s="28">
        <f t="shared" ref="K27:AC27" si="28">SUM(K21+SUM(K24:K26))</f>
        <v>21283</v>
      </c>
      <c r="L27" s="28">
        <f t="shared" si="28"/>
        <v>21985</v>
      </c>
      <c r="M27" s="28">
        <f t="shared" si="28"/>
        <v>23064</v>
      </c>
      <c r="N27" s="28">
        <f t="shared" si="28"/>
        <v>24402</v>
      </c>
      <c r="O27" s="28">
        <f t="shared" si="28"/>
        <v>18934</v>
      </c>
      <c r="P27" s="28">
        <f t="shared" si="28"/>
        <v>19014</v>
      </c>
      <c r="Q27" s="28">
        <f t="shared" si="28"/>
        <v>16233</v>
      </c>
      <c r="R27" s="28">
        <f t="shared" si="28"/>
        <v>17147</v>
      </c>
      <c r="S27" s="28">
        <f t="shared" si="28"/>
        <v>18205</v>
      </c>
      <c r="T27" s="28">
        <f t="shared" si="28"/>
        <v>21903</v>
      </c>
      <c r="U27" s="28">
        <f t="shared" si="28"/>
        <v>21197</v>
      </c>
      <c r="V27" s="28">
        <f t="shared" si="28"/>
        <v>24412</v>
      </c>
      <c r="W27" s="28">
        <f t="shared" si="28"/>
        <v>28315</v>
      </c>
      <c r="X27" s="28">
        <f t="shared" si="28"/>
        <v>27551</v>
      </c>
      <c r="Y27" s="28">
        <f t="shared" si="28"/>
        <v>31706</v>
      </c>
      <c r="Z27" s="28">
        <f t="shared" si="28"/>
        <v>32243</v>
      </c>
      <c r="AA27" s="28">
        <f t="shared" si="28"/>
        <v>41789</v>
      </c>
      <c r="AB27" s="28">
        <f t="shared" si="28"/>
        <v>33933</v>
      </c>
      <c r="AC27" s="28">
        <f t="shared" si="28"/>
        <v>43987</v>
      </c>
      <c r="AE27" s="28" t="e">
        <f t="shared" ref="AE27:AX27" si="29">SUM(AE21+SUM(AE24:AE26))</f>
        <v>#REF!</v>
      </c>
      <c r="AF27" s="28">
        <f t="shared" si="29"/>
        <v>21283</v>
      </c>
      <c r="AG27" s="28">
        <f t="shared" si="29"/>
        <v>43268</v>
      </c>
      <c r="AH27" s="28">
        <f t="shared" si="29"/>
        <v>66332</v>
      </c>
      <c r="AI27" s="28">
        <f t="shared" si="29"/>
        <v>90734</v>
      </c>
      <c r="AJ27" s="28">
        <f t="shared" si="29"/>
        <v>88385</v>
      </c>
      <c r="AK27" s="28">
        <f t="shared" si="29"/>
        <v>85414</v>
      </c>
      <c r="AL27" s="28">
        <f t="shared" si="29"/>
        <v>78583</v>
      </c>
      <c r="AM27" s="28">
        <f t="shared" si="29"/>
        <v>71328</v>
      </c>
      <c r="AN27" s="28">
        <f t="shared" si="29"/>
        <v>70599</v>
      </c>
      <c r="AO27" s="28">
        <f t="shared" si="29"/>
        <v>73488</v>
      </c>
      <c r="AP27" s="28">
        <f t="shared" si="29"/>
        <v>78452</v>
      </c>
      <c r="AQ27" s="28">
        <f t="shared" si="29"/>
        <v>85717</v>
      </c>
      <c r="AR27" s="28">
        <f t="shared" si="29"/>
        <v>95827</v>
      </c>
      <c r="AS27" s="28">
        <f t="shared" si="29"/>
        <v>101475</v>
      </c>
      <c r="AT27" s="28">
        <f t="shared" si="29"/>
        <v>111984</v>
      </c>
      <c r="AU27" s="28">
        <f t="shared" si="29"/>
        <v>119815</v>
      </c>
      <c r="AV27" s="28">
        <f t="shared" si="29"/>
        <v>133289</v>
      </c>
      <c r="AW27" s="28">
        <f t="shared" si="29"/>
        <v>139671</v>
      </c>
      <c r="AX27" s="28">
        <f t="shared" si="29"/>
        <v>151952</v>
      </c>
      <c r="AY27" s="45"/>
      <c r="AZ27" s="83">
        <f>SUM(AX27/AT27)-1</f>
        <v>0.35690812973281894</v>
      </c>
    </row>
    <row r="28" spans="2:52" ht="12.75" customHeight="1">
      <c r="B28" s="17" t="s">
        <v>437</v>
      </c>
      <c r="C28" s="19">
        <f t="shared" ref="C28:I28" si="30">C27/C11</f>
        <v>0.255176547116994</v>
      </c>
      <c r="D28" s="19">
        <f t="shared" si="30"/>
        <v>0.24481486744471972</v>
      </c>
      <c r="E28" s="19">
        <f t="shared" si="30"/>
        <v>0.26342404137470071</v>
      </c>
      <c r="F28" s="19">
        <f t="shared" si="30"/>
        <v>0.35217767634307184</v>
      </c>
      <c r="G28" s="19">
        <f t="shared" si="30"/>
        <v>0.25218854742677738</v>
      </c>
      <c r="H28" s="19">
        <f t="shared" si="30"/>
        <v>0.2788505956524851</v>
      </c>
      <c r="I28" s="19">
        <f t="shared" si="30"/>
        <v>0.34231096686456125</v>
      </c>
      <c r="J28" s="29"/>
      <c r="K28" s="19">
        <f t="shared" ref="K28:AC28" si="31">K27/K11</f>
        <v>0.38476696677152256</v>
      </c>
      <c r="L28" s="19">
        <f t="shared" si="31"/>
        <v>0.35528442146089206</v>
      </c>
      <c r="M28" s="19">
        <f t="shared" si="31"/>
        <v>0.35418778218004238</v>
      </c>
      <c r="N28" s="19">
        <f t="shared" si="31"/>
        <v>0.32395618984400931</v>
      </c>
      <c r="O28" s="19">
        <f t="shared" si="31"/>
        <v>0.27839614180059108</v>
      </c>
      <c r="P28" s="19">
        <f t="shared" si="31"/>
        <v>0.27285642534261317</v>
      </c>
      <c r="Q28" s="19">
        <f t="shared" si="31"/>
        <v>0.23494760609043014</v>
      </c>
      <c r="R28" s="19">
        <f t="shared" si="31"/>
        <v>0.22547601514832738</v>
      </c>
      <c r="S28" s="19">
        <f t="shared" si="31"/>
        <v>0.26086520412111136</v>
      </c>
      <c r="T28" s="19">
        <f t="shared" si="31"/>
        <v>0.29359015602380567</v>
      </c>
      <c r="U28" s="19">
        <f t="shared" si="31"/>
        <v>0.27638767553753274</v>
      </c>
      <c r="V28" s="19">
        <f t="shared" si="31"/>
        <v>0.28284092225698065</v>
      </c>
      <c r="W28" s="19">
        <f t="shared" si="31"/>
        <v>0.35156880517513256</v>
      </c>
      <c r="X28" s="19">
        <f t="shared" si="31"/>
        <v>0.32511623516084115</v>
      </c>
      <c r="Y28" s="19">
        <f t="shared" si="31"/>
        <v>0.35920152263560973</v>
      </c>
      <c r="Z28" s="19">
        <f t="shared" si="31"/>
        <v>0.33423172210762009</v>
      </c>
      <c r="AA28" s="19">
        <f t="shared" si="31"/>
        <v>0.46311811512290268</v>
      </c>
      <c r="AB28" s="19">
        <f t="shared" si="31"/>
        <v>0.35189986311029992</v>
      </c>
      <c r="AC28" s="19">
        <f t="shared" si="31"/>
        <v>0.42978719246477637</v>
      </c>
      <c r="AD28" s="30"/>
      <c r="AE28" s="19" t="e">
        <f t="shared" ref="AE28:AX28" si="32">AE27/AE11</f>
        <v>#REF!</v>
      </c>
      <c r="AF28" s="19">
        <f t="shared" si="32"/>
        <v>0.38476696677152256</v>
      </c>
      <c r="AG28" s="19">
        <f t="shared" si="32"/>
        <v>0.36919978838507089</v>
      </c>
      <c r="AH28" s="19">
        <f t="shared" si="32"/>
        <v>0.36383781649041202</v>
      </c>
      <c r="AI28" s="19">
        <f t="shared" si="32"/>
        <v>0.35217767634307184</v>
      </c>
      <c r="AJ28" s="19">
        <f t="shared" si="32"/>
        <v>0.32694740580171194</v>
      </c>
      <c r="AK28" s="19">
        <f t="shared" si="32"/>
        <v>0.3070910587871532</v>
      </c>
      <c r="AL28" s="19">
        <f t="shared" si="32"/>
        <v>0.27855150241215398</v>
      </c>
      <c r="AM28" s="19">
        <f t="shared" si="32"/>
        <v>0.25218854742677738</v>
      </c>
      <c r="AN28" s="19">
        <f t="shared" si="32"/>
        <v>0.24805349036583138</v>
      </c>
      <c r="AO28" s="19">
        <f t="shared" si="32"/>
        <v>0.25381738052229297</v>
      </c>
      <c r="AP28" s="19">
        <f t="shared" si="32"/>
        <v>0.26403080112542576</v>
      </c>
      <c r="AQ28" s="19">
        <f t="shared" si="32"/>
        <v>0.2788505956524851</v>
      </c>
      <c r="AR28" s="19">
        <f t="shared" si="32"/>
        <v>0.30120447844700232</v>
      </c>
      <c r="AS28" s="19">
        <f t="shared" si="32"/>
        <v>0.30910735826296742</v>
      </c>
      <c r="AT28" s="19">
        <f t="shared" si="32"/>
        <v>0.32950135203128356</v>
      </c>
      <c r="AU28" s="19">
        <f t="shared" si="32"/>
        <v>0.34231096686456125</v>
      </c>
      <c r="AV28" s="19">
        <f t="shared" si="32"/>
        <v>0.37054262703877816</v>
      </c>
      <c r="AW28" s="19">
        <f t="shared" si="32"/>
        <v>0.37606724843093275</v>
      </c>
      <c r="AX28" s="19">
        <f t="shared" si="32"/>
        <v>0.39419213078860738</v>
      </c>
      <c r="AY28" s="46"/>
      <c r="AZ28" s="84">
        <f>SUM(AX28-AT28)*1000</f>
        <v>64.690778757323812</v>
      </c>
    </row>
    <row r="29" spans="2:52" ht="5.0999999999999996" customHeight="1">
      <c r="B29" s="31"/>
      <c r="C29" s="47"/>
      <c r="D29" s="47"/>
      <c r="E29" s="47"/>
      <c r="F29" s="47"/>
      <c r="G29" s="47"/>
      <c r="H29" s="47"/>
      <c r="I29" s="47"/>
      <c r="J29" s="32"/>
      <c r="K29" s="47"/>
      <c r="L29" s="47"/>
      <c r="M29" s="47"/>
      <c r="N29" s="47"/>
      <c r="O29" s="47"/>
      <c r="P29" s="47"/>
      <c r="Q29" s="47"/>
      <c r="R29" s="47"/>
      <c r="S29" s="47"/>
      <c r="T29" s="47"/>
      <c r="U29" s="47"/>
      <c r="V29" s="47"/>
      <c r="W29" s="47"/>
      <c r="X29" s="47"/>
      <c r="Y29" s="47"/>
      <c r="Z29" s="47"/>
      <c r="AA29" s="47"/>
      <c r="AB29" s="47"/>
      <c r="AC29" s="47"/>
      <c r="AE29" s="47"/>
      <c r="AF29" s="47"/>
      <c r="AG29" s="47"/>
      <c r="AH29" s="47"/>
      <c r="AI29" s="47"/>
      <c r="AJ29" s="47"/>
      <c r="AK29" s="47"/>
      <c r="AL29" s="47"/>
      <c r="AM29" s="47"/>
      <c r="AN29" s="47"/>
      <c r="AO29" s="47"/>
      <c r="AP29" s="47"/>
      <c r="AQ29" s="47"/>
      <c r="AR29" s="47"/>
      <c r="AS29" s="47"/>
      <c r="AT29" s="47"/>
      <c r="AU29" s="47"/>
      <c r="AV29" s="47"/>
      <c r="AW29" s="47"/>
      <c r="AX29" s="47"/>
      <c r="AY29" s="46"/>
      <c r="AZ29" s="82"/>
    </row>
    <row r="30" spans="2:52" ht="12.75" customHeight="1">
      <c r="B30" s="49" t="s">
        <v>89</v>
      </c>
      <c r="C30" s="89">
        <v>-4177</v>
      </c>
      <c r="D30" s="89">
        <v>-5282</v>
      </c>
      <c r="E30" s="89">
        <v>-7813</v>
      </c>
      <c r="F30" s="89">
        <v>-14701</v>
      </c>
      <c r="G30" s="89">
        <v>-11356</v>
      </c>
      <c r="H30" s="89">
        <v>-11922</v>
      </c>
      <c r="I30" s="89">
        <v>-19697</v>
      </c>
      <c r="J30" s="34"/>
      <c r="K30" s="89">
        <v>-3353</v>
      </c>
      <c r="L30" s="89">
        <v>-3460</v>
      </c>
      <c r="M30" s="89">
        <v>-4128</v>
      </c>
      <c r="N30" s="34">
        <f>SUM(F30-SUM(K30:M30))</f>
        <v>-3760</v>
      </c>
      <c r="O30" s="89">
        <v>-2498</v>
      </c>
      <c r="P30" s="89">
        <v>-3012</v>
      </c>
      <c r="Q30" s="89">
        <v>-2323</v>
      </c>
      <c r="R30" s="34">
        <f>SUM(G30-SUM(O30:Q30))</f>
        <v>-3523</v>
      </c>
      <c r="S30" s="89">
        <v>-3154</v>
      </c>
      <c r="T30" s="89">
        <v>-3535</v>
      </c>
      <c r="U30" s="89">
        <v>-1508</v>
      </c>
      <c r="V30" s="34">
        <f>SUM(H30-SUM(S30:U30))</f>
        <v>-3725</v>
      </c>
      <c r="W30" s="89">
        <v>-4653</v>
      </c>
      <c r="X30" s="89">
        <v>-3932</v>
      </c>
      <c r="Y30" s="89">
        <v>-5405</v>
      </c>
      <c r="Z30" s="34">
        <f>SUM(I30-SUM(W30:Y30))</f>
        <v>-5707</v>
      </c>
      <c r="AA30" s="89">
        <v>-7249</v>
      </c>
      <c r="AB30" s="89">
        <v>-5737</v>
      </c>
      <c r="AC30" s="89">
        <v>-9008</v>
      </c>
      <c r="AD30" s="34"/>
      <c r="AE30" s="34" t="e">
        <f>SUM(#REF!)</f>
        <v>#REF!</v>
      </c>
      <c r="AF30" s="34">
        <f>SUM(K30:K30)</f>
        <v>-3353</v>
      </c>
      <c r="AG30" s="34">
        <f>SUM(K30:L30)</f>
        <v>-6813</v>
      </c>
      <c r="AH30" s="34">
        <f>SUM(K30:M30)</f>
        <v>-10941</v>
      </c>
      <c r="AI30" s="34">
        <f t="shared" ref="AI30:AN30" si="33">SUM(K30:N30)</f>
        <v>-14701</v>
      </c>
      <c r="AJ30" s="34">
        <f t="shared" si="33"/>
        <v>-13846</v>
      </c>
      <c r="AK30" s="34">
        <f t="shared" si="33"/>
        <v>-13398</v>
      </c>
      <c r="AL30" s="34">
        <f t="shared" si="33"/>
        <v>-11593</v>
      </c>
      <c r="AM30" s="34">
        <f t="shared" si="33"/>
        <v>-11356</v>
      </c>
      <c r="AN30" s="34">
        <f t="shared" si="33"/>
        <v>-12012</v>
      </c>
      <c r="AO30" s="34">
        <f t="shared" ref="AO30:AX30" si="34">SUM(Q30:T30)</f>
        <v>-12535</v>
      </c>
      <c r="AP30" s="34">
        <f t="shared" si="34"/>
        <v>-11720</v>
      </c>
      <c r="AQ30" s="34">
        <f t="shared" si="34"/>
        <v>-11922</v>
      </c>
      <c r="AR30" s="34">
        <f t="shared" si="34"/>
        <v>-13421</v>
      </c>
      <c r="AS30" s="34">
        <f t="shared" si="34"/>
        <v>-13818</v>
      </c>
      <c r="AT30" s="34">
        <f t="shared" si="34"/>
        <v>-17715</v>
      </c>
      <c r="AU30" s="34">
        <f t="shared" si="34"/>
        <v>-19697</v>
      </c>
      <c r="AV30" s="34">
        <f t="shared" si="34"/>
        <v>-22293</v>
      </c>
      <c r="AW30" s="34">
        <f t="shared" si="34"/>
        <v>-24098</v>
      </c>
      <c r="AX30" s="34">
        <f t="shared" si="34"/>
        <v>-27701</v>
      </c>
      <c r="AY30" s="46"/>
      <c r="AZ30" s="82">
        <f>SUM(AX30/AT30)-1</f>
        <v>0.56370307648885132</v>
      </c>
    </row>
    <row r="31" spans="2:52" ht="12.75" customHeight="1">
      <c r="B31" s="14" t="s">
        <v>74</v>
      </c>
      <c r="C31" s="15">
        <f t="shared" ref="C31:I31" si="35">SUM(C27+SUM(C30:C30))</f>
        <v>30736</v>
      </c>
      <c r="D31" s="15">
        <f t="shared" si="35"/>
        <v>34343</v>
      </c>
      <c r="E31" s="15">
        <f t="shared" si="35"/>
        <v>40269</v>
      </c>
      <c r="F31" s="15">
        <f t="shared" si="35"/>
        <v>76033</v>
      </c>
      <c r="G31" s="15">
        <f t="shared" si="35"/>
        <v>59972</v>
      </c>
      <c r="H31" s="15">
        <f t="shared" si="35"/>
        <v>73795</v>
      </c>
      <c r="I31" s="15">
        <f t="shared" si="35"/>
        <v>100118</v>
      </c>
      <c r="J31" s="12"/>
      <c r="K31" s="15">
        <f t="shared" ref="K31:AC31" si="36">SUM(K27+SUM(K30:K30))</f>
        <v>17930</v>
      </c>
      <c r="L31" s="15">
        <f t="shared" si="36"/>
        <v>18525</v>
      </c>
      <c r="M31" s="15">
        <f t="shared" si="36"/>
        <v>18936</v>
      </c>
      <c r="N31" s="15">
        <f t="shared" si="36"/>
        <v>20642</v>
      </c>
      <c r="O31" s="15">
        <f t="shared" si="36"/>
        <v>16436</v>
      </c>
      <c r="P31" s="15">
        <f t="shared" si="36"/>
        <v>16002</v>
      </c>
      <c r="Q31" s="15">
        <f t="shared" si="36"/>
        <v>13910</v>
      </c>
      <c r="R31" s="15">
        <f t="shared" si="36"/>
        <v>13624</v>
      </c>
      <c r="S31" s="15">
        <f t="shared" si="36"/>
        <v>15051</v>
      </c>
      <c r="T31" s="15">
        <f t="shared" si="36"/>
        <v>18368</v>
      </c>
      <c r="U31" s="15">
        <f t="shared" si="36"/>
        <v>19689</v>
      </c>
      <c r="V31" s="15">
        <f t="shared" si="36"/>
        <v>20687</v>
      </c>
      <c r="W31" s="15">
        <f t="shared" si="36"/>
        <v>23662</v>
      </c>
      <c r="X31" s="15">
        <f t="shared" si="36"/>
        <v>23619</v>
      </c>
      <c r="Y31" s="15">
        <f t="shared" si="36"/>
        <v>26301</v>
      </c>
      <c r="Z31" s="15">
        <f t="shared" si="36"/>
        <v>26536</v>
      </c>
      <c r="AA31" s="15">
        <f t="shared" si="36"/>
        <v>34540</v>
      </c>
      <c r="AB31" s="15">
        <f t="shared" si="36"/>
        <v>28196</v>
      </c>
      <c r="AC31" s="15">
        <f t="shared" si="36"/>
        <v>34979</v>
      </c>
      <c r="AD31" s="34"/>
      <c r="AE31" s="15" t="e">
        <f t="shared" ref="AE31:AX31" si="37">SUM(AE27+SUM(AE30:AE30))</f>
        <v>#REF!</v>
      </c>
      <c r="AF31" s="15">
        <f t="shared" si="37"/>
        <v>17930</v>
      </c>
      <c r="AG31" s="15">
        <f t="shared" si="37"/>
        <v>36455</v>
      </c>
      <c r="AH31" s="15">
        <f t="shared" si="37"/>
        <v>55391</v>
      </c>
      <c r="AI31" s="15">
        <f t="shared" si="37"/>
        <v>76033</v>
      </c>
      <c r="AJ31" s="15">
        <f t="shared" si="37"/>
        <v>74539</v>
      </c>
      <c r="AK31" s="15">
        <f t="shared" si="37"/>
        <v>72016</v>
      </c>
      <c r="AL31" s="15">
        <f t="shared" si="37"/>
        <v>66990</v>
      </c>
      <c r="AM31" s="15">
        <f t="shared" si="37"/>
        <v>59972</v>
      </c>
      <c r="AN31" s="15">
        <f t="shared" si="37"/>
        <v>58587</v>
      </c>
      <c r="AO31" s="15">
        <f t="shared" si="37"/>
        <v>60953</v>
      </c>
      <c r="AP31" s="15">
        <f t="shared" si="37"/>
        <v>66732</v>
      </c>
      <c r="AQ31" s="15">
        <f t="shared" si="37"/>
        <v>73795</v>
      </c>
      <c r="AR31" s="15">
        <f t="shared" si="37"/>
        <v>82406</v>
      </c>
      <c r="AS31" s="15">
        <f t="shared" si="37"/>
        <v>87657</v>
      </c>
      <c r="AT31" s="15">
        <f t="shared" si="37"/>
        <v>94269</v>
      </c>
      <c r="AU31" s="15">
        <f t="shared" si="37"/>
        <v>100118</v>
      </c>
      <c r="AV31" s="15">
        <f t="shared" si="37"/>
        <v>110996</v>
      </c>
      <c r="AW31" s="15">
        <f t="shared" si="37"/>
        <v>115573</v>
      </c>
      <c r="AX31" s="15">
        <f t="shared" si="37"/>
        <v>124251</v>
      </c>
      <c r="AY31" s="38"/>
      <c r="AZ31" s="83">
        <f>SUM(AX31/AT31)-1</f>
        <v>0.31804729020144484</v>
      </c>
    </row>
    <row r="32" spans="2:52" ht="12.75" customHeight="1">
      <c r="B32" s="17" t="s">
        <v>91</v>
      </c>
      <c r="C32" s="19">
        <f t="shared" ref="C32:I32" si="38">C31/C11</f>
        <v>0.22464716157843576</v>
      </c>
      <c r="D32" s="19">
        <f t="shared" si="38"/>
        <v>0.21218112284300339</v>
      </c>
      <c r="E32" s="19">
        <f t="shared" si="38"/>
        <v>0.22061941520980458</v>
      </c>
      <c r="F32" s="19">
        <f t="shared" si="38"/>
        <v>0.29511677282377918</v>
      </c>
      <c r="G32" s="19">
        <f t="shared" si="38"/>
        <v>0.21203807153261961</v>
      </c>
      <c r="H32" s="19">
        <f t="shared" si="38"/>
        <v>0.24006649446638517</v>
      </c>
      <c r="I32" s="19">
        <f t="shared" si="38"/>
        <v>0.28603671811164</v>
      </c>
      <c r="J32" s="29"/>
      <c r="K32" s="19">
        <f t="shared" ref="K32:AC32" si="39">K31/K11</f>
        <v>0.32414940159814876</v>
      </c>
      <c r="L32" s="19">
        <f t="shared" si="39"/>
        <v>0.29936974789915966</v>
      </c>
      <c r="M32" s="19">
        <f t="shared" si="39"/>
        <v>0.29079517184188702</v>
      </c>
      <c r="N32" s="19">
        <f t="shared" si="39"/>
        <v>0.2740391636242947</v>
      </c>
      <c r="O32" s="19">
        <f t="shared" si="39"/>
        <v>0.24166678919586537</v>
      </c>
      <c r="P32" s="19">
        <f t="shared" si="39"/>
        <v>0.22963335007533903</v>
      </c>
      <c r="Q32" s="19">
        <f t="shared" si="39"/>
        <v>0.20132576854049672</v>
      </c>
      <c r="R32" s="19">
        <f t="shared" si="39"/>
        <v>0.17915001051967178</v>
      </c>
      <c r="S32" s="19">
        <f t="shared" si="39"/>
        <v>0.21567054035851949</v>
      </c>
      <c r="T32" s="19">
        <f t="shared" si="39"/>
        <v>0.2462066377137955</v>
      </c>
      <c r="U32" s="19">
        <f t="shared" si="39"/>
        <v>0.25672486406842865</v>
      </c>
      <c r="V32" s="19">
        <f t="shared" si="39"/>
        <v>0.23968253968253969</v>
      </c>
      <c r="W32" s="19">
        <f t="shared" si="39"/>
        <v>0.29379555246526529</v>
      </c>
      <c r="X32" s="19">
        <f t="shared" si="39"/>
        <v>0.27871657501593072</v>
      </c>
      <c r="Y32" s="19">
        <f t="shared" si="39"/>
        <v>0.29796755336022113</v>
      </c>
      <c r="Z32" s="19">
        <f t="shared" si="39"/>
        <v>0.27507282132083882</v>
      </c>
      <c r="AA32" s="19">
        <f t="shared" si="39"/>
        <v>0.38278254316554733</v>
      </c>
      <c r="AB32" s="19">
        <f t="shared" si="39"/>
        <v>0.29240469573153027</v>
      </c>
      <c r="AC32" s="19">
        <f t="shared" si="39"/>
        <v>0.34177202821800556</v>
      </c>
      <c r="AD32" s="30"/>
      <c r="AE32" s="19" t="e">
        <f t="shared" ref="AE32:AX32" si="40">AE31/AE11</f>
        <v>#REF!</v>
      </c>
      <c r="AF32" s="19">
        <f t="shared" si="40"/>
        <v>0.32414940159814876</v>
      </c>
      <c r="AG32" s="19">
        <f t="shared" si="40"/>
        <v>0.31106541290509754</v>
      </c>
      <c r="AH32" s="19">
        <f t="shared" si="40"/>
        <v>0.30382531045679934</v>
      </c>
      <c r="AI32" s="19">
        <f t="shared" si="40"/>
        <v>0.29511677282377918</v>
      </c>
      <c r="AJ32" s="19">
        <f t="shared" si="40"/>
        <v>0.27572928303506034</v>
      </c>
      <c r="AK32" s="19">
        <f t="shared" si="40"/>
        <v>0.25892089926259892</v>
      </c>
      <c r="AL32" s="19">
        <f t="shared" si="40"/>
        <v>0.23745803986345898</v>
      </c>
      <c r="AM32" s="19">
        <f t="shared" si="40"/>
        <v>0.21203807153261961</v>
      </c>
      <c r="AN32" s="19">
        <f t="shared" si="40"/>
        <v>0.20584866414627634</v>
      </c>
      <c r="AO32" s="19">
        <f t="shared" si="40"/>
        <v>0.21052322549226163</v>
      </c>
      <c r="AP32" s="19">
        <f t="shared" si="40"/>
        <v>0.22458705221921571</v>
      </c>
      <c r="AQ32" s="19">
        <f t="shared" si="40"/>
        <v>0.24006649446638517</v>
      </c>
      <c r="AR32" s="19">
        <f t="shared" si="40"/>
        <v>0.25901944390311366</v>
      </c>
      <c r="AS32" s="19">
        <f t="shared" si="40"/>
        <v>0.26701575465146032</v>
      </c>
      <c r="AT32" s="19">
        <f t="shared" si="40"/>
        <v>0.27737679449418728</v>
      </c>
      <c r="AU32" s="19">
        <f t="shared" si="40"/>
        <v>0.28603671811164</v>
      </c>
      <c r="AV32" s="19">
        <f t="shared" si="40"/>
        <v>0.30856821966400994</v>
      </c>
      <c r="AW32" s="19">
        <f t="shared" si="40"/>
        <v>0.31118285186551392</v>
      </c>
      <c r="AX32" s="19">
        <f t="shared" si="40"/>
        <v>0.32233051517989403</v>
      </c>
      <c r="AY32" s="46"/>
      <c r="AZ32" s="84">
        <f>SUM(AX32-AT32)*1000</f>
        <v>44.953720685706742</v>
      </c>
    </row>
    <row r="33" spans="1:52" ht="5.0999999999999996" customHeight="1">
      <c r="B33" s="17"/>
      <c r="C33" s="19"/>
      <c r="D33" s="19"/>
      <c r="E33" s="19"/>
      <c r="F33" s="19"/>
      <c r="G33" s="19"/>
      <c r="H33" s="19"/>
      <c r="I33" s="19"/>
      <c r="J33" s="29"/>
      <c r="K33" s="19"/>
      <c r="L33" s="19"/>
      <c r="M33" s="19"/>
      <c r="N33" s="19"/>
      <c r="O33" s="19"/>
      <c r="P33" s="19"/>
      <c r="Q33" s="19"/>
      <c r="R33" s="19"/>
      <c r="S33" s="19"/>
      <c r="T33" s="19"/>
      <c r="U33" s="19"/>
      <c r="V33" s="19"/>
      <c r="W33" s="19"/>
      <c r="X33" s="19"/>
      <c r="Y33" s="19"/>
      <c r="Z33" s="19"/>
      <c r="AA33" s="19"/>
      <c r="AB33" s="19"/>
      <c r="AC33" s="19"/>
      <c r="AD33" s="30"/>
      <c r="AE33" s="19"/>
      <c r="AF33" s="19"/>
      <c r="AG33" s="19"/>
      <c r="AH33" s="19"/>
      <c r="AI33" s="19"/>
      <c r="AJ33" s="19"/>
      <c r="AK33" s="19"/>
      <c r="AL33" s="19"/>
      <c r="AM33" s="19"/>
      <c r="AN33" s="19"/>
      <c r="AO33" s="19"/>
      <c r="AP33" s="19"/>
      <c r="AQ33" s="19"/>
      <c r="AR33" s="19"/>
      <c r="AS33" s="19"/>
      <c r="AT33" s="19"/>
      <c r="AU33" s="19"/>
      <c r="AV33" s="19"/>
      <c r="AW33" s="19"/>
      <c r="AX33" s="19"/>
      <c r="AY33" s="46"/>
      <c r="AZ33" s="84"/>
    </row>
    <row r="34" spans="1:52" ht="12.75" customHeight="1">
      <c r="B34" s="49" t="s">
        <v>93</v>
      </c>
      <c r="C34" s="497">
        <f>EPS!C18</f>
        <v>1.3075276428768332</v>
      </c>
      <c r="D34" s="497">
        <f>EPS!D18</f>
        <v>1.3475748909948737</v>
      </c>
      <c r="E34" s="497">
        <f>EPS!E18</f>
        <v>1.4113478408680689</v>
      </c>
      <c r="F34" s="497">
        <f>EPS!F18</f>
        <v>5.6940762375496146</v>
      </c>
      <c r="G34" s="497">
        <f>EPS!G18</f>
        <v>4.5909821633621677</v>
      </c>
      <c r="H34" s="497">
        <f>EPS!H18</f>
        <v>5.8428345209817891</v>
      </c>
      <c r="I34" s="497">
        <f>EPS!I18</f>
        <v>8.127120707849663</v>
      </c>
      <c r="J34" s="29"/>
      <c r="K34" s="497">
        <f>EPS!K18</f>
        <v>1.3316597843201332</v>
      </c>
      <c r="L34" s="497">
        <f>EPS!L18</f>
        <v>1.3846160745517655</v>
      </c>
      <c r="M34" s="497">
        <f>EPS!M18</f>
        <v>1.4221383746045861</v>
      </c>
      <c r="N34" s="497">
        <f>EPS!N18</f>
        <v>1.545869841983075</v>
      </c>
      <c r="O34" s="497">
        <f>EPS!O18</f>
        <v>1.2448289912765027</v>
      </c>
      <c r="P34" s="497">
        <f>EPS!P18</f>
        <v>1.2184573212518084</v>
      </c>
      <c r="Q34" s="497">
        <f>EPS!Q18</f>
        <v>1.0685205100629898</v>
      </c>
      <c r="R34" s="497">
        <f>EPS!R18</f>
        <v>1.0429457245655669</v>
      </c>
      <c r="S34" s="497">
        <f>EPS!S18</f>
        <v>1.1776073859635396</v>
      </c>
      <c r="T34" s="497">
        <f>EPS!T18</f>
        <v>1.4499526365645721</v>
      </c>
      <c r="U34" s="497">
        <f>EPS!U18</f>
        <v>1.5649789364915347</v>
      </c>
      <c r="V34" s="497">
        <f>EPS!V18</f>
        <v>1.6379255740300871</v>
      </c>
      <c r="W34" s="497">
        <f>EPS!W18</f>
        <v>1.9059202577527186</v>
      </c>
      <c r="X34" s="497">
        <f>EPS!X18</f>
        <v>1.9135542412703557</v>
      </c>
      <c r="Y34" s="497">
        <f>EPS!Y18</f>
        <v>2.1400325467860051</v>
      </c>
      <c r="Z34" s="497">
        <f>EPS!Z18</f>
        <v>2.1540709473171522</v>
      </c>
      <c r="AA34" s="497">
        <f>EPS!AA18</f>
        <v>2.8350980874989742</v>
      </c>
      <c r="AB34" s="497">
        <f>EPS!AB18</f>
        <v>2.3260188087774294</v>
      </c>
      <c r="AC34" s="497">
        <f>EPS!AC18</f>
        <v>2.8941750786033427</v>
      </c>
      <c r="AD34" s="497"/>
      <c r="AE34" s="497" t="e">
        <f>EPS!#REF!</f>
        <v>#REF!</v>
      </c>
      <c r="AF34" s="497" t="e">
        <f>EPS!#REF!</f>
        <v>#REF!</v>
      </c>
      <c r="AG34" s="497" t="e">
        <f>EPS!#REF!</f>
        <v>#REF!</v>
      </c>
      <c r="AH34" s="497" t="e">
        <f>EPS!#REF!</f>
        <v>#REF!</v>
      </c>
      <c r="AI34" s="497">
        <f>EPS!AE18</f>
        <v>5.6940762375496146</v>
      </c>
      <c r="AJ34" s="497">
        <f>EPS!AF18</f>
        <v>5.6454312594767115</v>
      </c>
      <c r="AK34" s="497">
        <f>EPS!AG18</f>
        <v>5.4835909540851286</v>
      </c>
      <c r="AL34" s="497">
        <f>EPS!AH18</f>
        <v>5.1459517591027808</v>
      </c>
      <c r="AM34" s="497">
        <f>EPS!AI18</f>
        <v>4.5909821633621677</v>
      </c>
      <c r="AN34" s="497">
        <f>EPS!AJ18</f>
        <v>4.5839136217823331</v>
      </c>
      <c r="AO34" s="497">
        <f>EPS!AK18</f>
        <v>4.8115724660562043</v>
      </c>
      <c r="AP34" s="497">
        <f>EPS!AL18</f>
        <v>5.3041888562117476</v>
      </c>
      <c r="AQ34" s="497">
        <f>EPS!AM18</f>
        <v>5.8428345209817891</v>
      </c>
      <c r="AR34" s="497">
        <f>EPS!AN18</f>
        <v>6.6376157873540071</v>
      </c>
      <c r="AS34" s="497">
        <f>EPS!AO18</f>
        <v>7.1017580815036867</v>
      </c>
      <c r="AT34" s="497">
        <f>EPS!AP18</f>
        <v>7.670382424735557</v>
      </c>
      <c r="AU34" s="497">
        <f>EPS!AQ18</f>
        <v>8.127120707849663</v>
      </c>
      <c r="AV34" s="497">
        <f>EPS!AR18</f>
        <v>9.1107280636953138</v>
      </c>
      <c r="AW34" s="497">
        <f>EPS!AS18</f>
        <v>9.5341527800692951</v>
      </c>
      <c r="AX34" s="497">
        <f>EPS!AT18</f>
        <v>10.280572563296376</v>
      </c>
      <c r="AY34" s="46"/>
      <c r="AZ34" s="83">
        <f>SUM(AX34/AT34)-1</f>
        <v>0.34029465468937259</v>
      </c>
    </row>
    <row r="35" spans="1:52" ht="12.75" customHeight="1">
      <c r="B35" s="49" t="s">
        <v>538</v>
      </c>
      <c r="C35" s="497">
        <f>EPS!C24</f>
        <v>2.1851658803784315</v>
      </c>
      <c r="D35" s="497">
        <f>EPS!D24</f>
        <v>2.4581154045925087</v>
      </c>
      <c r="E35" s="497">
        <f>EPS!E24</f>
        <v>2.9306747043821004</v>
      </c>
      <c r="F35" s="497">
        <f>EPS!F24</f>
        <v>5.6098431207682431</v>
      </c>
      <c r="G35" s="497">
        <f>EPS!G24</f>
        <v>4.0336483931947074</v>
      </c>
      <c r="H35" s="497">
        <f>EPS!H24</f>
        <v>5.1398970482830517</v>
      </c>
      <c r="I35" s="497">
        <f>EPS!I24</f>
        <v>6.8015242934264846</v>
      </c>
      <c r="J35" s="29"/>
      <c r="K35" s="497">
        <f>EPS!K24</f>
        <v>1.3143777192541397</v>
      </c>
      <c r="L35" s="497">
        <f>EPS!L24</f>
        <v>1.362945744129358</v>
      </c>
      <c r="M35" s="497">
        <f>EPS!M24</f>
        <v>1.3995259882286617</v>
      </c>
      <c r="N35" s="497">
        <f>EPS!N24</f>
        <v>1.522803668506453</v>
      </c>
      <c r="O35" s="497">
        <f>EPS!O24</f>
        <v>1.2311012995621315</v>
      </c>
      <c r="P35" s="497">
        <f>EPS!P24</f>
        <v>1.2086931898626645</v>
      </c>
      <c r="Q35" s="497">
        <f>EPS!Q24</f>
        <v>1.0620798169074523</v>
      </c>
      <c r="R35" s="497">
        <f>EPS!R24</f>
        <v>1.036380464189093</v>
      </c>
      <c r="S35" s="497">
        <f>EPS!S24</f>
        <v>1.1737195388880781</v>
      </c>
      <c r="T35" s="497">
        <f>EPS!T24</f>
        <v>1.4419065804935369</v>
      </c>
      <c r="U35" s="497">
        <f>EPS!U24</f>
        <v>1.5508068675852922</v>
      </c>
      <c r="V35" s="497">
        <f>EPS!V24</f>
        <v>1.6262960511802338</v>
      </c>
      <c r="W35" s="497">
        <f>EPS!W24</f>
        <v>1.8888474171394447</v>
      </c>
      <c r="X35" s="497">
        <f>EPS!X24</f>
        <v>1.8904273632213158</v>
      </c>
      <c r="Y35" s="497">
        <f>EPS!Y24</f>
        <v>2.1179614573923518</v>
      </c>
      <c r="Z35" s="497">
        <f>EPS!Z24</f>
        <v>2.1328025238488695</v>
      </c>
      <c r="AA35" s="497">
        <f>EPS!AA24</f>
        <v>2.8102661596958174</v>
      </c>
      <c r="AB35" s="497">
        <f>EPS!AB24</f>
        <v>2.3115708812260536</v>
      </c>
      <c r="AC35" s="497">
        <f>EPS!AC24</f>
        <v>2.8664929491109747</v>
      </c>
      <c r="AD35" s="497"/>
      <c r="AE35" s="497" t="e">
        <f>EPS!#REF!</f>
        <v>#REF!</v>
      </c>
      <c r="AF35" s="497" t="e">
        <f>EPS!#REF!</f>
        <v>#REF!</v>
      </c>
      <c r="AG35" s="497" t="e">
        <f>EPS!#REF!</f>
        <v>#REF!</v>
      </c>
      <c r="AH35" s="497" t="e">
        <f>EPS!#REF!</f>
        <v>#REF!</v>
      </c>
      <c r="AI35" s="497">
        <f>EPS!AE24</f>
        <v>5.6114444416854861</v>
      </c>
      <c r="AJ35" s="497">
        <f>EPS!AF24</f>
        <v>5.5841942194096532</v>
      </c>
      <c r="AK35" s="497">
        <f>EPS!AG24</f>
        <v>5.438977771485205</v>
      </c>
      <c r="AL35" s="497">
        <f>EPS!AH24</f>
        <v>5.1118581032756403</v>
      </c>
      <c r="AM35" s="497">
        <f>EPS!AI24</f>
        <v>4.5574540794532252</v>
      </c>
      <c r="AN35" s="497">
        <f>EPS!AJ24</f>
        <v>4.5650080256821832</v>
      </c>
      <c r="AO35" s="497">
        <f>EPS!AK24</f>
        <v>4.7831227967097529</v>
      </c>
      <c r="AP35" s="497">
        <f>EPS!AL24</f>
        <v>5.2555449119445878</v>
      </c>
      <c r="AQ35" s="497">
        <f>EPS!AM24</f>
        <v>5.8005735715861464</v>
      </c>
      <c r="AR35" s="497">
        <f>EPS!AN24</f>
        <v>6.5764407285756938</v>
      </c>
      <c r="AS35" s="497">
        <f>EPS!AO24</f>
        <v>7.0146695606616269</v>
      </c>
      <c r="AT35" s="497">
        <f>EPS!AP24</f>
        <v>7.5889792231255644</v>
      </c>
      <c r="AU35" s="497">
        <f>EPS!AQ24</f>
        <v>8.0440171261173283</v>
      </c>
      <c r="AV35" s="497">
        <f>EPS!AR24</f>
        <v>9.0298098859315594</v>
      </c>
      <c r="AW35" s="497">
        <f>EPS!AS24</f>
        <v>9.4750957854406135</v>
      </c>
      <c r="AX35" s="497">
        <f>EPS!AT24</f>
        <v>10.186771919068056</v>
      </c>
      <c r="AY35" s="46"/>
      <c r="AZ35" s="83">
        <f>SUM(AX35/AT35)-1</f>
        <v>0.3423112146659133</v>
      </c>
    </row>
    <row r="36" spans="1:52">
      <c r="B36" s="17"/>
      <c r="C36" s="19"/>
      <c r="D36" s="19"/>
      <c r="E36" s="19"/>
      <c r="F36" s="19"/>
      <c r="G36" s="19"/>
      <c r="H36" s="19"/>
      <c r="I36" s="19"/>
      <c r="J36" s="29"/>
      <c r="K36" s="19"/>
      <c r="L36" s="19"/>
      <c r="M36" s="19"/>
      <c r="N36" s="19"/>
      <c r="O36" s="19"/>
      <c r="P36" s="19"/>
      <c r="Q36" s="19"/>
      <c r="R36" s="19"/>
      <c r="S36" s="19"/>
      <c r="T36" s="19"/>
      <c r="U36" s="19"/>
      <c r="V36" s="19"/>
      <c r="W36" s="19"/>
      <c r="X36" s="19"/>
      <c r="Y36" s="19"/>
      <c r="Z36" s="19"/>
      <c r="AA36" s="19"/>
      <c r="AB36" s="19"/>
      <c r="AC36" s="19"/>
      <c r="AD36" s="30"/>
      <c r="AE36" s="19"/>
      <c r="AF36" s="19"/>
      <c r="AG36" s="19"/>
      <c r="AH36" s="19"/>
      <c r="AI36" s="19"/>
      <c r="AJ36" s="19"/>
      <c r="AK36" s="19"/>
      <c r="AL36" s="19"/>
      <c r="AM36" s="19"/>
      <c r="AN36" s="19"/>
      <c r="AO36" s="19"/>
      <c r="AP36" s="19"/>
      <c r="AQ36" s="19"/>
      <c r="AR36" s="19"/>
      <c r="AS36" s="19"/>
      <c r="AT36" s="19"/>
      <c r="AU36" s="19"/>
      <c r="AV36" s="19"/>
      <c r="AW36" s="19"/>
      <c r="AX36" s="19"/>
      <c r="AY36" s="46"/>
    </row>
    <row r="37" spans="1:52" ht="12.75" customHeight="1">
      <c r="A37" s="5" t="s">
        <v>25</v>
      </c>
      <c r="B37" s="382" t="s">
        <v>411</v>
      </c>
      <c r="C37" s="383"/>
      <c r="D37" s="383"/>
      <c r="E37" s="383"/>
      <c r="F37" s="383"/>
      <c r="G37" s="383"/>
      <c r="H37" s="383"/>
      <c r="I37" s="383"/>
      <c r="J37" s="384"/>
      <c r="K37" s="383"/>
      <c r="L37" s="383"/>
      <c r="M37" s="383"/>
      <c r="N37" s="383"/>
      <c r="O37" s="383"/>
      <c r="P37" s="383"/>
      <c r="Q37" s="383"/>
      <c r="R37" s="383"/>
      <c r="S37" s="383"/>
      <c r="T37" s="383"/>
      <c r="U37" s="383"/>
      <c r="V37" s="383"/>
      <c r="W37" s="383"/>
      <c r="X37" s="383"/>
      <c r="Y37" s="383"/>
      <c r="Z37" s="383"/>
      <c r="AA37" s="383"/>
      <c r="AB37" s="383"/>
      <c r="AC37" s="383"/>
      <c r="AD37" s="382"/>
      <c r="AE37" s="383"/>
      <c r="AF37" s="383"/>
      <c r="AG37" s="383"/>
      <c r="AH37" s="383"/>
      <c r="AI37" s="383"/>
      <c r="AJ37" s="383"/>
      <c r="AK37" s="383"/>
      <c r="AL37" s="383"/>
      <c r="AM37" s="383"/>
      <c r="AN37" s="383"/>
      <c r="AO37" s="383"/>
      <c r="AP37" s="383"/>
      <c r="AQ37" s="383"/>
      <c r="AR37" s="383"/>
      <c r="AS37" s="383" t="s">
        <v>10</v>
      </c>
      <c r="AT37" s="383"/>
      <c r="AU37" s="383"/>
      <c r="AV37" s="383"/>
      <c r="AW37" s="383"/>
      <c r="AX37" s="383"/>
      <c r="AY37" s="384"/>
      <c r="AZ37" s="581" t="s">
        <v>38</v>
      </c>
    </row>
    <row r="38" spans="1:52" ht="12.75" customHeight="1">
      <c r="B38" s="386" t="str">
        <f t="shared" ref="B38:I39" si="41">B7</f>
        <v>Fiscal Period</v>
      </c>
      <c r="C38" s="385">
        <f t="shared" si="41"/>
        <v>2018</v>
      </c>
      <c r="D38" s="385">
        <f t="shared" si="41"/>
        <v>2019</v>
      </c>
      <c r="E38" s="385">
        <f t="shared" si="41"/>
        <v>2020</v>
      </c>
      <c r="F38" s="385">
        <f t="shared" si="41"/>
        <v>2021</v>
      </c>
      <c r="G38" s="385">
        <f t="shared" si="41"/>
        <v>2022</v>
      </c>
      <c r="H38" s="385">
        <f t="shared" si="41"/>
        <v>2023</v>
      </c>
      <c r="I38" s="385">
        <f t="shared" si="41"/>
        <v>2024</v>
      </c>
      <c r="J38" s="384"/>
      <c r="K38" s="385" t="str">
        <f t="shared" ref="K38:AC38" si="42">K7</f>
        <v>1Q21</v>
      </c>
      <c r="L38" s="385" t="str">
        <f t="shared" si="42"/>
        <v>2Q21</v>
      </c>
      <c r="M38" s="385" t="str">
        <f t="shared" si="42"/>
        <v>3Q21</v>
      </c>
      <c r="N38" s="385" t="str">
        <f t="shared" si="42"/>
        <v>4Q21</v>
      </c>
      <c r="O38" s="385" t="str">
        <f t="shared" si="42"/>
        <v>1Q22</v>
      </c>
      <c r="P38" s="385" t="str">
        <f t="shared" si="42"/>
        <v>2Q22</v>
      </c>
      <c r="Q38" s="385" t="str">
        <f t="shared" si="42"/>
        <v>3Q22</v>
      </c>
      <c r="R38" s="385" t="str">
        <f t="shared" si="42"/>
        <v>4Q22</v>
      </c>
      <c r="S38" s="385" t="str">
        <f t="shared" si="42"/>
        <v>1Q23</v>
      </c>
      <c r="T38" s="385" t="str">
        <f t="shared" si="42"/>
        <v>2Q23</v>
      </c>
      <c r="U38" s="385" t="str">
        <f t="shared" si="42"/>
        <v>3Q23</v>
      </c>
      <c r="V38" s="385" t="str">
        <f t="shared" si="42"/>
        <v>4Q23</v>
      </c>
      <c r="W38" s="385" t="str">
        <f t="shared" si="42"/>
        <v>1Q24</v>
      </c>
      <c r="X38" s="385" t="str">
        <f t="shared" si="42"/>
        <v>2Q24</v>
      </c>
      <c r="Y38" s="385" t="str">
        <f t="shared" si="42"/>
        <v>3Q24</v>
      </c>
      <c r="Z38" s="385" t="str">
        <f t="shared" si="42"/>
        <v>4Q24</v>
      </c>
      <c r="AA38" s="385" t="str">
        <f t="shared" si="42"/>
        <v>1Q25</v>
      </c>
      <c r="AB38" s="385" t="str">
        <f t="shared" si="42"/>
        <v>2Q25</v>
      </c>
      <c r="AC38" s="385" t="str">
        <f t="shared" si="42"/>
        <v>3Q25</v>
      </c>
      <c r="AD38" s="387"/>
      <c r="AE38" s="385" t="e">
        <f t="shared" ref="AE38:AX38" si="43">AE7</f>
        <v>#REF!</v>
      </c>
      <c r="AF38" s="385" t="str">
        <f t="shared" si="43"/>
        <v>1Q21</v>
      </c>
      <c r="AG38" s="385" t="str">
        <f t="shared" si="43"/>
        <v>2Q21</v>
      </c>
      <c r="AH38" s="385" t="str">
        <f t="shared" si="43"/>
        <v>3Q21</v>
      </c>
      <c r="AI38" s="385" t="str">
        <f t="shared" si="43"/>
        <v>4Q21</v>
      </c>
      <c r="AJ38" s="385" t="str">
        <f t="shared" si="43"/>
        <v>1Q22</v>
      </c>
      <c r="AK38" s="385" t="str">
        <f t="shared" si="43"/>
        <v>2Q22</v>
      </c>
      <c r="AL38" s="385" t="str">
        <f t="shared" si="43"/>
        <v>3Q22</v>
      </c>
      <c r="AM38" s="385" t="str">
        <f t="shared" si="43"/>
        <v>4Q22</v>
      </c>
      <c r="AN38" s="385" t="str">
        <f t="shared" si="43"/>
        <v>1Q23</v>
      </c>
      <c r="AO38" s="385" t="str">
        <f t="shared" si="43"/>
        <v>2Q23</v>
      </c>
      <c r="AP38" s="385" t="str">
        <f t="shared" si="43"/>
        <v>3Q23</v>
      </c>
      <c r="AQ38" s="385" t="str">
        <f t="shared" si="43"/>
        <v>4Q23</v>
      </c>
      <c r="AR38" s="385" t="str">
        <f t="shared" si="43"/>
        <v>1Q24</v>
      </c>
      <c r="AS38" s="385" t="str">
        <f t="shared" si="43"/>
        <v>2Q24</v>
      </c>
      <c r="AT38" s="385" t="str">
        <f t="shared" si="43"/>
        <v>3Q24</v>
      </c>
      <c r="AU38" s="385" t="str">
        <f t="shared" si="43"/>
        <v>4Q24</v>
      </c>
      <c r="AV38" s="385" t="str">
        <f t="shared" si="43"/>
        <v>1Q25</v>
      </c>
      <c r="AW38" s="385" t="str">
        <f t="shared" si="43"/>
        <v>2Q25</v>
      </c>
      <c r="AX38" s="385" t="str">
        <f t="shared" si="43"/>
        <v>3Q25</v>
      </c>
      <c r="AY38" s="384"/>
      <c r="AZ38" s="581"/>
    </row>
    <row r="39" spans="1:52" ht="12.75" customHeight="1">
      <c r="B39" s="386" t="str">
        <f t="shared" si="41"/>
        <v>Fiscal Period End Date</v>
      </c>
      <c r="C39" s="388">
        <f t="shared" si="41"/>
        <v>43465</v>
      </c>
      <c r="D39" s="388">
        <f t="shared" si="41"/>
        <v>43830</v>
      </c>
      <c r="E39" s="388">
        <f t="shared" si="41"/>
        <v>44196</v>
      </c>
      <c r="F39" s="388">
        <f t="shared" si="41"/>
        <v>44561</v>
      </c>
      <c r="G39" s="388">
        <f t="shared" si="41"/>
        <v>44926</v>
      </c>
      <c r="H39" s="388">
        <f t="shared" si="41"/>
        <v>45291</v>
      </c>
      <c r="I39" s="388">
        <f t="shared" si="41"/>
        <v>45657</v>
      </c>
      <c r="J39" s="384"/>
      <c r="K39" s="388">
        <f t="shared" ref="K39:AC39" si="44">K8</f>
        <v>44286</v>
      </c>
      <c r="L39" s="388">
        <f t="shared" si="44"/>
        <v>44377</v>
      </c>
      <c r="M39" s="388">
        <f t="shared" si="44"/>
        <v>44469</v>
      </c>
      <c r="N39" s="388">
        <f t="shared" si="44"/>
        <v>44561</v>
      </c>
      <c r="O39" s="388">
        <f t="shared" si="44"/>
        <v>44651</v>
      </c>
      <c r="P39" s="388">
        <f t="shared" si="44"/>
        <v>44742</v>
      </c>
      <c r="Q39" s="388">
        <f t="shared" si="44"/>
        <v>44834</v>
      </c>
      <c r="R39" s="388">
        <f t="shared" si="44"/>
        <v>44926</v>
      </c>
      <c r="S39" s="388">
        <f t="shared" si="44"/>
        <v>45016</v>
      </c>
      <c r="T39" s="388">
        <f t="shared" si="44"/>
        <v>45107</v>
      </c>
      <c r="U39" s="388">
        <f t="shared" si="44"/>
        <v>45199</v>
      </c>
      <c r="V39" s="388">
        <f t="shared" si="44"/>
        <v>45291</v>
      </c>
      <c r="W39" s="388">
        <f t="shared" si="44"/>
        <v>45382</v>
      </c>
      <c r="X39" s="388">
        <f t="shared" si="44"/>
        <v>45473</v>
      </c>
      <c r="Y39" s="388">
        <f t="shared" si="44"/>
        <v>45565</v>
      </c>
      <c r="Z39" s="388">
        <f t="shared" si="44"/>
        <v>45657</v>
      </c>
      <c r="AA39" s="388">
        <f t="shared" si="44"/>
        <v>45747</v>
      </c>
      <c r="AB39" s="388">
        <f t="shared" si="44"/>
        <v>45838</v>
      </c>
      <c r="AC39" s="388">
        <f t="shared" si="44"/>
        <v>45930</v>
      </c>
      <c r="AD39" s="389"/>
      <c r="AE39" s="388" t="e">
        <f t="shared" ref="AE39:AX39" si="45">AE8</f>
        <v>#REF!</v>
      </c>
      <c r="AF39" s="388">
        <f t="shared" si="45"/>
        <v>44286</v>
      </c>
      <c r="AG39" s="388">
        <f t="shared" si="45"/>
        <v>44377</v>
      </c>
      <c r="AH39" s="388">
        <f t="shared" si="45"/>
        <v>44469</v>
      </c>
      <c r="AI39" s="388">
        <f t="shared" si="45"/>
        <v>44561</v>
      </c>
      <c r="AJ39" s="388">
        <f t="shared" si="45"/>
        <v>44651</v>
      </c>
      <c r="AK39" s="388">
        <f t="shared" si="45"/>
        <v>44742</v>
      </c>
      <c r="AL39" s="388">
        <f t="shared" si="45"/>
        <v>44834</v>
      </c>
      <c r="AM39" s="388">
        <f t="shared" si="45"/>
        <v>44926</v>
      </c>
      <c r="AN39" s="388">
        <f t="shared" si="45"/>
        <v>45016</v>
      </c>
      <c r="AO39" s="388">
        <f t="shared" si="45"/>
        <v>45107</v>
      </c>
      <c r="AP39" s="388">
        <f t="shared" si="45"/>
        <v>45199</v>
      </c>
      <c r="AQ39" s="388">
        <f t="shared" si="45"/>
        <v>45291</v>
      </c>
      <c r="AR39" s="388">
        <f t="shared" si="45"/>
        <v>45382</v>
      </c>
      <c r="AS39" s="388">
        <f t="shared" si="45"/>
        <v>45473</v>
      </c>
      <c r="AT39" s="388">
        <f t="shared" si="45"/>
        <v>45565</v>
      </c>
      <c r="AU39" s="388">
        <f t="shared" si="45"/>
        <v>45657</v>
      </c>
      <c r="AV39" s="388">
        <f t="shared" si="45"/>
        <v>45747</v>
      </c>
      <c r="AW39" s="388">
        <f t="shared" si="45"/>
        <v>45838</v>
      </c>
      <c r="AX39" s="388">
        <f t="shared" si="45"/>
        <v>45930</v>
      </c>
      <c r="AY39" s="384"/>
      <c r="AZ39" s="581"/>
    </row>
    <row r="40" spans="1:52" ht="5.0999999999999996" customHeight="1">
      <c r="B40" s="51"/>
      <c r="C40" s="52"/>
      <c r="D40" s="52"/>
      <c r="E40" s="52"/>
      <c r="F40" s="52"/>
      <c r="G40" s="52"/>
      <c r="H40" s="52"/>
      <c r="I40" s="52"/>
    </row>
    <row r="41" spans="1:52">
      <c r="B41" s="85" t="s">
        <v>444</v>
      </c>
      <c r="C41" s="52"/>
      <c r="D41" s="52"/>
      <c r="E41" s="52"/>
      <c r="F41" s="52"/>
      <c r="G41" s="52"/>
      <c r="H41" s="52"/>
      <c r="I41" s="52"/>
    </row>
    <row r="42" spans="1:52" s="466" customFormat="1" ht="12.75" customHeight="1">
      <c r="B42" s="407" t="s">
        <v>442</v>
      </c>
      <c r="C42" s="467">
        <v>16701</v>
      </c>
      <c r="D42" s="467">
        <v>18498</v>
      </c>
      <c r="E42" s="467">
        <v>26465</v>
      </c>
      <c r="F42" s="467">
        <v>20945</v>
      </c>
      <c r="G42" s="467">
        <v>21879</v>
      </c>
      <c r="H42" s="467">
        <v>24048</v>
      </c>
      <c r="I42" s="467">
        <v>23466</v>
      </c>
      <c r="K42" s="467">
        <v>26622</v>
      </c>
      <c r="L42" s="467">
        <v>23630</v>
      </c>
      <c r="M42" s="467">
        <v>23719</v>
      </c>
      <c r="N42" s="361">
        <f>F42</f>
        <v>20945</v>
      </c>
      <c r="O42" s="467">
        <v>20886</v>
      </c>
      <c r="P42" s="467">
        <v>17936</v>
      </c>
      <c r="Q42" s="467">
        <v>21984</v>
      </c>
      <c r="R42" s="361">
        <f>G42</f>
        <v>21879</v>
      </c>
      <c r="S42" s="467">
        <v>25924</v>
      </c>
      <c r="T42" s="467">
        <v>25929</v>
      </c>
      <c r="U42" s="467">
        <v>30702</v>
      </c>
      <c r="V42" s="361">
        <f>H42</f>
        <v>24048</v>
      </c>
      <c r="W42" s="467">
        <v>24493</v>
      </c>
      <c r="X42" s="467">
        <v>27225</v>
      </c>
      <c r="Y42" s="467">
        <v>19959</v>
      </c>
      <c r="Z42" s="361">
        <f>I42</f>
        <v>23466</v>
      </c>
      <c r="AA42" s="467">
        <v>23264</v>
      </c>
      <c r="AB42" s="467">
        <v>21036</v>
      </c>
      <c r="AC42" s="467">
        <v>23090</v>
      </c>
      <c r="AE42" s="361" t="e">
        <f>#REF!</f>
        <v>#REF!</v>
      </c>
      <c r="AF42" s="361">
        <f t="shared" ref="AF42:AN45" si="46">K42</f>
        <v>26622</v>
      </c>
      <c r="AG42" s="361">
        <f t="shared" si="46"/>
        <v>23630</v>
      </c>
      <c r="AH42" s="361">
        <f t="shared" si="46"/>
        <v>23719</v>
      </c>
      <c r="AI42" s="361">
        <f t="shared" si="46"/>
        <v>20945</v>
      </c>
      <c r="AJ42" s="361">
        <f t="shared" si="46"/>
        <v>20886</v>
      </c>
      <c r="AK42" s="361">
        <f t="shared" si="46"/>
        <v>17936</v>
      </c>
      <c r="AL42" s="361">
        <f t="shared" si="46"/>
        <v>21984</v>
      </c>
      <c r="AM42" s="361">
        <f t="shared" si="46"/>
        <v>21879</v>
      </c>
      <c r="AN42" s="361">
        <f t="shared" si="46"/>
        <v>25924</v>
      </c>
      <c r="AO42" s="361">
        <f t="shared" ref="AO42:AX45" si="47">T42</f>
        <v>25929</v>
      </c>
      <c r="AP42" s="361">
        <f t="shared" si="47"/>
        <v>30702</v>
      </c>
      <c r="AQ42" s="361">
        <f t="shared" si="47"/>
        <v>24048</v>
      </c>
      <c r="AR42" s="361">
        <f t="shared" si="47"/>
        <v>24493</v>
      </c>
      <c r="AS42" s="361">
        <f t="shared" si="47"/>
        <v>27225</v>
      </c>
      <c r="AT42" s="361">
        <f t="shared" si="47"/>
        <v>19959</v>
      </c>
      <c r="AU42" s="361">
        <f t="shared" si="47"/>
        <v>23466</v>
      </c>
      <c r="AV42" s="361">
        <f t="shared" si="47"/>
        <v>23264</v>
      </c>
      <c r="AW42" s="361">
        <f t="shared" si="47"/>
        <v>21036</v>
      </c>
      <c r="AX42" s="361">
        <f t="shared" si="47"/>
        <v>23090</v>
      </c>
      <c r="AY42" s="468"/>
      <c r="AZ42" s="82">
        <f>SUM(AX42/AT42)-1</f>
        <v>0.15687158675284341</v>
      </c>
    </row>
    <row r="43" spans="1:52" s="466" customFormat="1" ht="12.75" customHeight="1">
      <c r="B43" s="407" t="s">
        <v>567</v>
      </c>
      <c r="C43" s="467">
        <v>92439</v>
      </c>
      <c r="D43" s="467">
        <v>101177</v>
      </c>
      <c r="E43" s="467">
        <v>110229</v>
      </c>
      <c r="F43" s="467">
        <v>118704</v>
      </c>
      <c r="G43" s="467">
        <v>91883</v>
      </c>
      <c r="H43" s="467">
        <v>86868</v>
      </c>
      <c r="I43" s="467">
        <v>72191</v>
      </c>
      <c r="K43" s="467">
        <v>108482</v>
      </c>
      <c r="L43" s="467">
        <v>112233</v>
      </c>
      <c r="M43" s="467">
        <v>118284</v>
      </c>
      <c r="N43" s="361">
        <f>F43</f>
        <v>118704</v>
      </c>
      <c r="O43" s="467">
        <v>113084</v>
      </c>
      <c r="P43" s="467">
        <v>107061</v>
      </c>
      <c r="Q43" s="467">
        <v>94275</v>
      </c>
      <c r="R43" s="361">
        <f>G43</f>
        <v>91883</v>
      </c>
      <c r="S43" s="467">
        <v>89178</v>
      </c>
      <c r="T43" s="467">
        <v>92403</v>
      </c>
      <c r="U43" s="467">
        <v>89233</v>
      </c>
      <c r="V43" s="361">
        <f>H43</f>
        <v>86868</v>
      </c>
      <c r="W43" s="467">
        <v>83597</v>
      </c>
      <c r="X43" s="467">
        <v>73500</v>
      </c>
      <c r="Y43" s="467">
        <v>73271</v>
      </c>
      <c r="Z43" s="361">
        <f>I43</f>
        <v>72191</v>
      </c>
      <c r="AA43" s="467">
        <v>72064</v>
      </c>
      <c r="AB43" s="467">
        <v>74112</v>
      </c>
      <c r="AC43" s="467">
        <v>75406</v>
      </c>
      <c r="AE43" s="361" t="e">
        <f>#REF!</f>
        <v>#REF!</v>
      </c>
      <c r="AF43" s="361">
        <f t="shared" si="46"/>
        <v>108482</v>
      </c>
      <c r="AG43" s="361">
        <f t="shared" si="46"/>
        <v>112233</v>
      </c>
      <c r="AH43" s="361">
        <f t="shared" si="46"/>
        <v>118284</v>
      </c>
      <c r="AI43" s="361">
        <f t="shared" si="46"/>
        <v>118704</v>
      </c>
      <c r="AJ43" s="361">
        <f t="shared" si="46"/>
        <v>113084</v>
      </c>
      <c r="AK43" s="361">
        <f t="shared" si="46"/>
        <v>107061</v>
      </c>
      <c r="AL43" s="361">
        <f t="shared" si="46"/>
        <v>94275</v>
      </c>
      <c r="AM43" s="361">
        <f t="shared" si="46"/>
        <v>91883</v>
      </c>
      <c r="AN43" s="361">
        <f t="shared" si="46"/>
        <v>89178</v>
      </c>
      <c r="AO43" s="361">
        <f t="shared" si="47"/>
        <v>92403</v>
      </c>
      <c r="AP43" s="361">
        <f t="shared" si="47"/>
        <v>89233</v>
      </c>
      <c r="AQ43" s="361">
        <f t="shared" si="47"/>
        <v>86868</v>
      </c>
      <c r="AR43" s="361">
        <f t="shared" si="47"/>
        <v>83597</v>
      </c>
      <c r="AS43" s="361">
        <f t="shared" si="47"/>
        <v>73500</v>
      </c>
      <c r="AT43" s="361">
        <f t="shared" si="47"/>
        <v>73271</v>
      </c>
      <c r="AU43" s="361">
        <f t="shared" si="47"/>
        <v>72191</v>
      </c>
      <c r="AV43" s="361">
        <f t="shared" si="47"/>
        <v>72064</v>
      </c>
      <c r="AW43" s="361">
        <f t="shared" si="47"/>
        <v>74112</v>
      </c>
      <c r="AX43" s="361">
        <f t="shared" si="47"/>
        <v>75406</v>
      </c>
      <c r="AY43" s="468"/>
      <c r="AZ43" s="82">
        <f>SUM(AX43/AT43)-1</f>
        <v>2.9138404007042373E-2</v>
      </c>
    </row>
    <row r="44" spans="1:52" s="466" customFormat="1" ht="12.75" customHeight="1">
      <c r="B44" s="407" t="s">
        <v>443</v>
      </c>
      <c r="C44" s="467">
        <v>20838</v>
      </c>
      <c r="D44" s="467">
        <v>25326</v>
      </c>
      <c r="E44" s="467">
        <v>30930</v>
      </c>
      <c r="F44" s="467">
        <v>39304</v>
      </c>
      <c r="G44" s="467">
        <v>40258</v>
      </c>
      <c r="H44" s="467">
        <v>47964</v>
      </c>
      <c r="I44" s="467">
        <v>52340</v>
      </c>
      <c r="K44" s="467">
        <v>28006</v>
      </c>
      <c r="L44" s="467">
        <v>31967</v>
      </c>
      <c r="M44" s="467">
        <v>34047</v>
      </c>
      <c r="N44" s="361">
        <f>F44</f>
        <v>39304</v>
      </c>
      <c r="O44" s="467">
        <v>34703</v>
      </c>
      <c r="P44" s="467">
        <v>35707</v>
      </c>
      <c r="Q44" s="467">
        <v>34697</v>
      </c>
      <c r="R44" s="361">
        <f>G44</f>
        <v>40258</v>
      </c>
      <c r="S44" s="467">
        <v>36036</v>
      </c>
      <c r="T44" s="467">
        <v>38804</v>
      </c>
      <c r="U44" s="467">
        <v>41020</v>
      </c>
      <c r="V44" s="361">
        <f>H44</f>
        <v>47964</v>
      </c>
      <c r="W44" s="467">
        <v>44552</v>
      </c>
      <c r="X44" s="467">
        <v>47087</v>
      </c>
      <c r="Y44" s="467">
        <v>49104</v>
      </c>
      <c r="Z44" s="361">
        <f>I44</f>
        <v>52340</v>
      </c>
      <c r="AA44" s="467">
        <v>51000</v>
      </c>
      <c r="AB44" s="467">
        <v>55048</v>
      </c>
      <c r="AC44" s="467">
        <v>57148</v>
      </c>
      <c r="AE44" s="361" t="e">
        <f>#REF!</f>
        <v>#REF!</v>
      </c>
      <c r="AF44" s="361">
        <f t="shared" si="46"/>
        <v>28006</v>
      </c>
      <c r="AG44" s="361">
        <f t="shared" si="46"/>
        <v>31967</v>
      </c>
      <c r="AH44" s="361">
        <f t="shared" si="46"/>
        <v>34047</v>
      </c>
      <c r="AI44" s="361">
        <f t="shared" si="46"/>
        <v>39304</v>
      </c>
      <c r="AJ44" s="361">
        <f t="shared" si="46"/>
        <v>34703</v>
      </c>
      <c r="AK44" s="361">
        <f t="shared" si="46"/>
        <v>35707</v>
      </c>
      <c r="AL44" s="361">
        <f t="shared" si="46"/>
        <v>34697</v>
      </c>
      <c r="AM44" s="361">
        <f t="shared" si="46"/>
        <v>40258</v>
      </c>
      <c r="AN44" s="361">
        <f t="shared" si="46"/>
        <v>36036</v>
      </c>
      <c r="AO44" s="361">
        <f t="shared" si="47"/>
        <v>38804</v>
      </c>
      <c r="AP44" s="361">
        <f t="shared" si="47"/>
        <v>41020</v>
      </c>
      <c r="AQ44" s="361">
        <f t="shared" si="47"/>
        <v>47964</v>
      </c>
      <c r="AR44" s="361">
        <f t="shared" si="47"/>
        <v>44552</v>
      </c>
      <c r="AS44" s="361">
        <f t="shared" si="47"/>
        <v>47087</v>
      </c>
      <c r="AT44" s="361">
        <f t="shared" si="47"/>
        <v>49104</v>
      </c>
      <c r="AU44" s="361">
        <f t="shared" si="47"/>
        <v>52340</v>
      </c>
      <c r="AV44" s="361">
        <f t="shared" si="47"/>
        <v>51000</v>
      </c>
      <c r="AW44" s="361">
        <f t="shared" si="47"/>
        <v>55048</v>
      </c>
      <c r="AX44" s="361">
        <f t="shared" si="47"/>
        <v>57148</v>
      </c>
      <c r="AY44" s="468"/>
      <c r="AZ44" s="82">
        <f>SUM(AX44/AT44)-1</f>
        <v>0.16381557510589762</v>
      </c>
    </row>
    <row r="45" spans="1:52" s="466" customFormat="1" ht="12.75" customHeight="1">
      <c r="B45" s="407" t="s">
        <v>474</v>
      </c>
      <c r="C45" s="467">
        <f>4236+1107+355</f>
        <v>5698</v>
      </c>
      <c r="D45" s="467">
        <f>2166+999+4412</f>
        <v>7577</v>
      </c>
      <c r="E45" s="467">
        <f>454+728+5490</f>
        <v>6672</v>
      </c>
      <c r="F45" s="467">
        <f>1170+8020</f>
        <v>9190</v>
      </c>
      <c r="G45" s="467">
        <f>8105+2670</f>
        <v>10775</v>
      </c>
      <c r="H45" s="467">
        <v>12650</v>
      </c>
      <c r="I45" s="467">
        <v>15714</v>
      </c>
      <c r="K45" s="467">
        <f>493+888+7646</f>
        <v>9027</v>
      </c>
      <c r="L45" s="467">
        <f>6076+884+907</f>
        <v>7867</v>
      </c>
      <c r="M45" s="467">
        <f>1278+753+6029</f>
        <v>8060</v>
      </c>
      <c r="N45" s="361">
        <f>F45</f>
        <v>9190</v>
      </c>
      <c r="O45" s="467">
        <f>6892+919+1369</f>
        <v>9180</v>
      </c>
      <c r="P45" s="467">
        <f>8321+1980+1366</f>
        <v>11667</v>
      </c>
      <c r="Q45" s="467">
        <f>10518+3156+1479</f>
        <v>15153</v>
      </c>
      <c r="R45" s="361">
        <f>G45</f>
        <v>10775</v>
      </c>
      <c r="S45" s="467">
        <f>8532+2315</f>
        <v>10847</v>
      </c>
      <c r="T45" s="467">
        <f>9421+2231</f>
        <v>11652</v>
      </c>
      <c r="U45" s="467">
        <f>12398+2957</f>
        <v>15355</v>
      </c>
      <c r="V45" s="361">
        <f>H45</f>
        <v>12650</v>
      </c>
      <c r="W45" s="467">
        <v>12829</v>
      </c>
      <c r="X45" s="467">
        <v>14183</v>
      </c>
      <c r="Y45" s="467">
        <v>15207</v>
      </c>
      <c r="Z45" s="361">
        <f>I45</f>
        <v>15714</v>
      </c>
      <c r="AA45" s="467">
        <v>15724</v>
      </c>
      <c r="AB45" s="467">
        <v>16020</v>
      </c>
      <c r="AC45" s="467">
        <v>18303</v>
      </c>
      <c r="AE45" s="361" t="e">
        <f>#REF!</f>
        <v>#REF!</v>
      </c>
      <c r="AF45" s="361">
        <f t="shared" si="46"/>
        <v>9027</v>
      </c>
      <c r="AG45" s="361">
        <f t="shared" si="46"/>
        <v>7867</v>
      </c>
      <c r="AH45" s="361">
        <f t="shared" si="46"/>
        <v>8060</v>
      </c>
      <c r="AI45" s="361">
        <f t="shared" si="46"/>
        <v>9190</v>
      </c>
      <c r="AJ45" s="361">
        <f t="shared" si="46"/>
        <v>9180</v>
      </c>
      <c r="AK45" s="361">
        <f t="shared" si="46"/>
        <v>11667</v>
      </c>
      <c r="AL45" s="361">
        <f t="shared" si="46"/>
        <v>15153</v>
      </c>
      <c r="AM45" s="361">
        <f t="shared" si="46"/>
        <v>10775</v>
      </c>
      <c r="AN45" s="361">
        <f t="shared" si="46"/>
        <v>10847</v>
      </c>
      <c r="AO45" s="361">
        <f t="shared" si="47"/>
        <v>11652</v>
      </c>
      <c r="AP45" s="361">
        <f t="shared" si="47"/>
        <v>15355</v>
      </c>
      <c r="AQ45" s="361">
        <f t="shared" si="47"/>
        <v>12650</v>
      </c>
      <c r="AR45" s="361">
        <f t="shared" si="47"/>
        <v>12829</v>
      </c>
      <c r="AS45" s="361">
        <f t="shared" si="47"/>
        <v>14183</v>
      </c>
      <c r="AT45" s="361">
        <f t="shared" si="47"/>
        <v>15207</v>
      </c>
      <c r="AU45" s="361">
        <f t="shared" si="47"/>
        <v>15714</v>
      </c>
      <c r="AV45" s="361">
        <f t="shared" si="47"/>
        <v>15724</v>
      </c>
      <c r="AW45" s="361">
        <f t="shared" si="47"/>
        <v>16020</v>
      </c>
      <c r="AX45" s="361">
        <f t="shared" si="47"/>
        <v>18303</v>
      </c>
      <c r="AY45" s="468"/>
      <c r="AZ45" s="82">
        <f>SUM(AX45/AT45)-1</f>
        <v>0.20359045176563417</v>
      </c>
    </row>
    <row r="46" spans="1:52" ht="12.75" customHeight="1">
      <c r="B46" s="27" t="s">
        <v>29</v>
      </c>
      <c r="C46" s="28">
        <f t="shared" ref="C46:I46" si="48">SUM(C42:C45)</f>
        <v>135676</v>
      </c>
      <c r="D46" s="28">
        <f t="shared" si="48"/>
        <v>152578</v>
      </c>
      <c r="E46" s="28">
        <f t="shared" si="48"/>
        <v>174296</v>
      </c>
      <c r="F46" s="28">
        <f t="shared" si="48"/>
        <v>188143</v>
      </c>
      <c r="G46" s="28">
        <f t="shared" si="48"/>
        <v>164795</v>
      </c>
      <c r="H46" s="28">
        <f t="shared" si="48"/>
        <v>171530</v>
      </c>
      <c r="I46" s="28">
        <f t="shared" si="48"/>
        <v>163711</v>
      </c>
      <c r="J46" s="53"/>
      <c r="K46" s="28">
        <f t="shared" ref="K46:AC46" si="49">SUM(K42:K45)</f>
        <v>172137</v>
      </c>
      <c r="L46" s="28">
        <f t="shared" si="49"/>
        <v>175697</v>
      </c>
      <c r="M46" s="28">
        <f t="shared" si="49"/>
        <v>184110</v>
      </c>
      <c r="N46" s="28">
        <f t="shared" si="49"/>
        <v>188143</v>
      </c>
      <c r="O46" s="28">
        <f t="shared" si="49"/>
        <v>177853</v>
      </c>
      <c r="P46" s="28">
        <f t="shared" si="49"/>
        <v>172371</v>
      </c>
      <c r="Q46" s="28">
        <f t="shared" si="49"/>
        <v>166109</v>
      </c>
      <c r="R46" s="28">
        <f t="shared" si="49"/>
        <v>164795</v>
      </c>
      <c r="S46" s="28">
        <f t="shared" si="49"/>
        <v>161985</v>
      </c>
      <c r="T46" s="28">
        <f t="shared" si="49"/>
        <v>168788</v>
      </c>
      <c r="U46" s="28">
        <f t="shared" si="49"/>
        <v>176310</v>
      </c>
      <c r="V46" s="28">
        <f t="shared" si="49"/>
        <v>171530</v>
      </c>
      <c r="W46" s="28">
        <f t="shared" si="49"/>
        <v>165471</v>
      </c>
      <c r="X46" s="28">
        <f t="shared" si="49"/>
        <v>161995</v>
      </c>
      <c r="Y46" s="28">
        <f t="shared" si="49"/>
        <v>157541</v>
      </c>
      <c r="Z46" s="28">
        <f t="shared" si="49"/>
        <v>163711</v>
      </c>
      <c r="AA46" s="28">
        <f t="shared" si="49"/>
        <v>162052</v>
      </c>
      <c r="AB46" s="28">
        <f t="shared" si="49"/>
        <v>166216</v>
      </c>
      <c r="AC46" s="28">
        <f t="shared" si="49"/>
        <v>173947</v>
      </c>
      <c r="AD46" s="53"/>
      <c r="AE46" s="28" t="e">
        <f t="shared" ref="AE46:AX46" si="50">SUM(AE42:AE45)</f>
        <v>#REF!</v>
      </c>
      <c r="AF46" s="28">
        <f t="shared" si="50"/>
        <v>172137</v>
      </c>
      <c r="AG46" s="28">
        <f t="shared" si="50"/>
        <v>175697</v>
      </c>
      <c r="AH46" s="28">
        <f t="shared" si="50"/>
        <v>184110</v>
      </c>
      <c r="AI46" s="28">
        <f t="shared" si="50"/>
        <v>188143</v>
      </c>
      <c r="AJ46" s="28">
        <f t="shared" si="50"/>
        <v>177853</v>
      </c>
      <c r="AK46" s="28">
        <f t="shared" si="50"/>
        <v>172371</v>
      </c>
      <c r="AL46" s="28">
        <f t="shared" si="50"/>
        <v>166109</v>
      </c>
      <c r="AM46" s="28">
        <f t="shared" si="50"/>
        <v>164795</v>
      </c>
      <c r="AN46" s="28">
        <f t="shared" si="50"/>
        <v>161985</v>
      </c>
      <c r="AO46" s="28">
        <f t="shared" si="50"/>
        <v>168788</v>
      </c>
      <c r="AP46" s="28">
        <f t="shared" si="50"/>
        <v>176310</v>
      </c>
      <c r="AQ46" s="28">
        <f t="shared" si="50"/>
        <v>171530</v>
      </c>
      <c r="AR46" s="28">
        <f t="shared" si="50"/>
        <v>165471</v>
      </c>
      <c r="AS46" s="28">
        <f t="shared" si="50"/>
        <v>161995</v>
      </c>
      <c r="AT46" s="28">
        <f t="shared" si="50"/>
        <v>157541</v>
      </c>
      <c r="AU46" s="28">
        <f t="shared" si="50"/>
        <v>163711</v>
      </c>
      <c r="AV46" s="28">
        <f t="shared" si="50"/>
        <v>162052</v>
      </c>
      <c r="AW46" s="28">
        <f t="shared" si="50"/>
        <v>166216</v>
      </c>
      <c r="AX46" s="28">
        <f t="shared" si="50"/>
        <v>173947</v>
      </c>
      <c r="AY46" s="45"/>
      <c r="AZ46" s="83">
        <f>SUM(AX46/AT46)-1</f>
        <v>0.10413797043309359</v>
      </c>
    </row>
    <row r="47" spans="1:52" ht="5.0999999999999996" customHeight="1">
      <c r="B47" s="27"/>
      <c r="C47" s="54"/>
      <c r="D47" s="54"/>
      <c r="E47" s="54"/>
      <c r="F47" s="54"/>
      <c r="G47" s="54"/>
      <c r="H47" s="44"/>
      <c r="I47" s="44"/>
      <c r="K47" s="44"/>
      <c r="L47" s="44"/>
      <c r="M47" s="44"/>
      <c r="N47" s="44"/>
      <c r="O47" s="44"/>
      <c r="P47" s="44"/>
      <c r="Q47" s="44"/>
      <c r="R47" s="44"/>
      <c r="S47" s="44"/>
      <c r="T47" s="44"/>
      <c r="U47" s="44"/>
      <c r="V47" s="44"/>
      <c r="W47" s="44"/>
      <c r="X47" s="44"/>
      <c r="Y47" s="44"/>
      <c r="Z47" s="44"/>
      <c r="AA47" s="44"/>
      <c r="AB47" s="44"/>
      <c r="AC47" s="44"/>
      <c r="AE47" s="45"/>
      <c r="AF47" s="45"/>
      <c r="AG47" s="45"/>
      <c r="AH47" s="45"/>
      <c r="AI47" s="45"/>
      <c r="AJ47" s="45"/>
      <c r="AK47" s="45"/>
      <c r="AL47" s="45"/>
      <c r="AM47" s="45"/>
      <c r="AN47" s="45"/>
      <c r="AO47" s="45"/>
      <c r="AP47" s="45"/>
      <c r="AQ47" s="45"/>
      <c r="AR47" s="45"/>
      <c r="AS47" s="45"/>
      <c r="AT47" s="45"/>
      <c r="AU47" s="45"/>
      <c r="AV47" s="45"/>
      <c r="AW47" s="45"/>
      <c r="AX47" s="45"/>
      <c r="AY47" s="45"/>
      <c r="AZ47" s="42"/>
    </row>
    <row r="48" spans="1:52" ht="12.75" customHeight="1">
      <c r="B48" s="85" t="s">
        <v>445</v>
      </c>
      <c r="C48" s="89"/>
      <c r="D48" s="89"/>
      <c r="E48" s="89"/>
      <c r="F48" s="89"/>
      <c r="G48" s="89"/>
      <c r="H48" s="89"/>
      <c r="I48" s="89"/>
      <c r="K48" s="89"/>
      <c r="L48" s="89"/>
      <c r="M48" s="89"/>
      <c r="N48" s="89"/>
      <c r="O48" s="89"/>
      <c r="P48" s="89"/>
      <c r="Q48" s="89"/>
      <c r="R48" s="89"/>
      <c r="S48" s="89"/>
      <c r="T48" s="89"/>
      <c r="U48" s="89"/>
      <c r="V48" s="89"/>
      <c r="W48" s="89"/>
      <c r="X48" s="89"/>
      <c r="Y48" s="89"/>
      <c r="Z48" s="89"/>
      <c r="AA48" s="34"/>
      <c r="AB48" s="89"/>
      <c r="AC48" s="89"/>
      <c r="AE48" s="34"/>
      <c r="AF48" s="34"/>
      <c r="AG48" s="34"/>
      <c r="AH48" s="34"/>
      <c r="AI48" s="34"/>
      <c r="AJ48" s="34"/>
      <c r="AK48" s="34"/>
      <c r="AL48" s="34"/>
      <c r="AM48" s="34"/>
      <c r="AN48" s="34"/>
      <c r="AO48" s="34"/>
      <c r="AP48" s="34"/>
      <c r="AQ48" s="34"/>
      <c r="AR48" s="34"/>
      <c r="AS48" s="34"/>
      <c r="AT48" s="34"/>
      <c r="AU48" s="34"/>
      <c r="AV48" s="34"/>
      <c r="AW48" s="34"/>
      <c r="AX48" s="34"/>
      <c r="AY48" s="12"/>
      <c r="AZ48" s="82"/>
    </row>
    <row r="49" spans="2:52" ht="12.75" customHeight="1">
      <c r="B49" s="10" t="s">
        <v>480</v>
      </c>
      <c r="C49" s="89">
        <v>13859</v>
      </c>
      <c r="D49" s="89">
        <v>13078</v>
      </c>
      <c r="E49" s="89">
        <v>20703</v>
      </c>
      <c r="F49" s="89">
        <v>29549</v>
      </c>
      <c r="G49" s="89">
        <v>30492</v>
      </c>
      <c r="H49" s="89">
        <v>31008</v>
      </c>
      <c r="I49" s="89">
        <v>37982</v>
      </c>
      <c r="K49" s="89">
        <v>25294</v>
      </c>
      <c r="L49" s="89">
        <v>25532</v>
      </c>
      <c r="M49" s="89">
        <v>26101</v>
      </c>
      <c r="N49" s="34">
        <f t="shared" ref="N49:N54" si="51">F49</f>
        <v>29549</v>
      </c>
      <c r="O49" s="89">
        <v>30544</v>
      </c>
      <c r="P49" s="89">
        <v>30665</v>
      </c>
      <c r="Q49" s="89">
        <v>30419</v>
      </c>
      <c r="R49" s="34">
        <f t="shared" ref="R49:R54" si="52">G49</f>
        <v>30492</v>
      </c>
      <c r="S49" s="89">
        <v>31213</v>
      </c>
      <c r="T49" s="89">
        <v>31224</v>
      </c>
      <c r="U49" s="89">
        <v>30907</v>
      </c>
      <c r="V49" s="34">
        <f t="shared" ref="V49:V54" si="53">H49</f>
        <v>31008</v>
      </c>
      <c r="W49" s="89">
        <v>33994</v>
      </c>
      <c r="X49" s="89">
        <v>34172</v>
      </c>
      <c r="Y49" s="89">
        <v>36177</v>
      </c>
      <c r="Z49" s="34">
        <f t="shared" ref="Z49:Z54" si="54">I49</f>
        <v>37982</v>
      </c>
      <c r="AA49" s="89">
        <v>51029</v>
      </c>
      <c r="AB49" s="89">
        <v>52574</v>
      </c>
      <c r="AC49" s="89">
        <v>63800</v>
      </c>
      <c r="AE49" s="34" t="e">
        <f>#REF!</f>
        <v>#REF!</v>
      </c>
      <c r="AF49" s="34">
        <f t="shared" ref="AF49:AN54" si="55">K49</f>
        <v>25294</v>
      </c>
      <c r="AG49" s="34">
        <f t="shared" si="55"/>
        <v>25532</v>
      </c>
      <c r="AH49" s="34">
        <f t="shared" si="55"/>
        <v>26101</v>
      </c>
      <c r="AI49" s="34">
        <f t="shared" si="55"/>
        <v>29549</v>
      </c>
      <c r="AJ49" s="34">
        <f t="shared" si="55"/>
        <v>30544</v>
      </c>
      <c r="AK49" s="34">
        <f t="shared" si="55"/>
        <v>30665</v>
      </c>
      <c r="AL49" s="34">
        <f t="shared" si="55"/>
        <v>30419</v>
      </c>
      <c r="AM49" s="34">
        <f t="shared" si="55"/>
        <v>30492</v>
      </c>
      <c r="AN49" s="34">
        <f t="shared" si="55"/>
        <v>31213</v>
      </c>
      <c r="AO49" s="34">
        <f t="shared" ref="AO49:AX54" si="56">T49</f>
        <v>31224</v>
      </c>
      <c r="AP49" s="34">
        <f t="shared" si="56"/>
        <v>30907</v>
      </c>
      <c r="AQ49" s="34">
        <f t="shared" si="56"/>
        <v>31008</v>
      </c>
      <c r="AR49" s="34">
        <f t="shared" si="56"/>
        <v>33994</v>
      </c>
      <c r="AS49" s="34">
        <f t="shared" si="56"/>
        <v>34172</v>
      </c>
      <c r="AT49" s="34">
        <f t="shared" si="56"/>
        <v>36177</v>
      </c>
      <c r="AU49" s="34">
        <f t="shared" si="56"/>
        <v>37982</v>
      </c>
      <c r="AV49" s="34">
        <f t="shared" si="56"/>
        <v>51029</v>
      </c>
      <c r="AW49" s="34">
        <f t="shared" si="56"/>
        <v>52574</v>
      </c>
      <c r="AX49" s="34">
        <f t="shared" si="56"/>
        <v>63800</v>
      </c>
      <c r="AY49" s="12"/>
      <c r="AZ49" s="82">
        <f t="shared" ref="AZ49:AZ55" si="57">SUM(AX49/AT49)-1</f>
        <v>0.76355142770268403</v>
      </c>
    </row>
    <row r="50" spans="2:52" ht="12.75" customHeight="1">
      <c r="B50" s="10" t="s">
        <v>479</v>
      </c>
      <c r="C50" s="89">
        <v>737</v>
      </c>
      <c r="D50" s="89">
        <v>721</v>
      </c>
      <c r="E50" s="89">
        <v>1084</v>
      </c>
      <c r="F50" s="89">
        <v>1284</v>
      </c>
      <c r="G50" s="89">
        <v>5261</v>
      </c>
      <c r="H50" s="89">
        <v>12169</v>
      </c>
      <c r="I50" s="89">
        <v>17180</v>
      </c>
      <c r="K50" s="89">
        <v>1129</v>
      </c>
      <c r="L50" s="89">
        <v>1153</v>
      </c>
      <c r="M50" s="89">
        <v>1195</v>
      </c>
      <c r="N50" s="34">
        <f t="shared" si="51"/>
        <v>1284</v>
      </c>
      <c r="O50" s="89">
        <v>1388</v>
      </c>
      <c r="P50" s="89">
        <v>1490</v>
      </c>
      <c r="Q50" s="89">
        <v>2991</v>
      </c>
      <c r="R50" s="34">
        <f t="shared" si="52"/>
        <v>5261</v>
      </c>
      <c r="S50" s="89">
        <v>6885</v>
      </c>
      <c r="T50" s="89">
        <v>9357</v>
      </c>
      <c r="U50" s="89">
        <v>10983</v>
      </c>
      <c r="V50" s="34">
        <f t="shared" si="53"/>
        <v>12169</v>
      </c>
      <c r="W50" s="89">
        <v>11687</v>
      </c>
      <c r="X50" s="89">
        <v>14958</v>
      </c>
      <c r="Y50" s="89">
        <v>15915</v>
      </c>
      <c r="Z50" s="34">
        <f t="shared" si="54"/>
        <v>17180</v>
      </c>
      <c r="AA50" s="89">
        <v>18386</v>
      </c>
      <c r="AB50" s="89">
        <v>19289</v>
      </c>
      <c r="AC50" s="89">
        <v>10331</v>
      </c>
      <c r="AE50" s="34" t="e">
        <f>#REF!</f>
        <v>#REF!</v>
      </c>
      <c r="AF50" s="34">
        <f t="shared" si="55"/>
        <v>1129</v>
      </c>
      <c r="AG50" s="34">
        <f t="shared" si="55"/>
        <v>1153</v>
      </c>
      <c r="AH50" s="34">
        <f t="shared" si="55"/>
        <v>1195</v>
      </c>
      <c r="AI50" s="34">
        <f t="shared" si="55"/>
        <v>1284</v>
      </c>
      <c r="AJ50" s="34">
        <f t="shared" si="55"/>
        <v>1388</v>
      </c>
      <c r="AK50" s="34">
        <f t="shared" si="55"/>
        <v>1490</v>
      </c>
      <c r="AL50" s="34">
        <f t="shared" si="55"/>
        <v>2991</v>
      </c>
      <c r="AM50" s="34">
        <f t="shared" si="55"/>
        <v>5261</v>
      </c>
      <c r="AN50" s="34">
        <f t="shared" si="55"/>
        <v>6885</v>
      </c>
      <c r="AO50" s="34">
        <f t="shared" si="56"/>
        <v>9357</v>
      </c>
      <c r="AP50" s="34">
        <f t="shared" si="56"/>
        <v>10983</v>
      </c>
      <c r="AQ50" s="34">
        <f t="shared" si="56"/>
        <v>12169</v>
      </c>
      <c r="AR50" s="34">
        <f t="shared" si="56"/>
        <v>11687</v>
      </c>
      <c r="AS50" s="34">
        <f t="shared" si="56"/>
        <v>14958</v>
      </c>
      <c r="AT50" s="34">
        <f t="shared" si="56"/>
        <v>15915</v>
      </c>
      <c r="AU50" s="34">
        <f t="shared" si="56"/>
        <v>17180</v>
      </c>
      <c r="AV50" s="34">
        <f t="shared" si="56"/>
        <v>18386</v>
      </c>
      <c r="AW50" s="34">
        <f t="shared" si="56"/>
        <v>19289</v>
      </c>
      <c r="AX50" s="34">
        <f t="shared" si="56"/>
        <v>10331</v>
      </c>
      <c r="AY50" s="12"/>
      <c r="AZ50" s="82">
        <f t="shared" si="57"/>
        <v>-0.35086396481306947</v>
      </c>
    </row>
    <row r="51" spans="2:52" ht="12.75" customHeight="1">
      <c r="B51" s="10" t="s">
        <v>478</v>
      </c>
      <c r="C51" s="89">
        <v>59719</v>
      </c>
      <c r="D51" s="89">
        <v>73646</v>
      </c>
      <c r="E51" s="89">
        <v>84749</v>
      </c>
      <c r="F51" s="89">
        <v>97599</v>
      </c>
      <c r="G51" s="89">
        <v>112668</v>
      </c>
      <c r="H51" s="89">
        <v>134345</v>
      </c>
      <c r="I51" s="89">
        <v>171036</v>
      </c>
      <c r="K51" s="89">
        <v>87606</v>
      </c>
      <c r="L51" s="89">
        <v>91697</v>
      </c>
      <c r="M51" s="89">
        <v>94631</v>
      </c>
      <c r="N51" s="34">
        <f t="shared" si="51"/>
        <v>97599</v>
      </c>
      <c r="O51" s="89">
        <v>104218</v>
      </c>
      <c r="P51" s="89">
        <v>106223</v>
      </c>
      <c r="Q51" s="89">
        <v>108363</v>
      </c>
      <c r="R51" s="34">
        <f t="shared" si="52"/>
        <v>112668</v>
      </c>
      <c r="S51" s="89">
        <v>117560</v>
      </c>
      <c r="T51" s="89">
        <v>121208</v>
      </c>
      <c r="U51" s="89">
        <v>125705</v>
      </c>
      <c r="V51" s="34">
        <f t="shared" si="53"/>
        <v>134345</v>
      </c>
      <c r="W51" s="89">
        <v>143182</v>
      </c>
      <c r="X51" s="89">
        <v>151155</v>
      </c>
      <c r="Y51" s="89">
        <v>161270</v>
      </c>
      <c r="Z51" s="34">
        <f t="shared" si="54"/>
        <v>171036</v>
      </c>
      <c r="AA51" s="89">
        <v>185062</v>
      </c>
      <c r="AB51" s="89">
        <v>203231</v>
      </c>
      <c r="AC51" s="89">
        <v>223787</v>
      </c>
      <c r="AE51" s="34" t="e">
        <f>#REF!</f>
        <v>#REF!</v>
      </c>
      <c r="AF51" s="34">
        <f t="shared" si="55"/>
        <v>87606</v>
      </c>
      <c r="AG51" s="34">
        <f t="shared" si="55"/>
        <v>91697</v>
      </c>
      <c r="AH51" s="34">
        <f t="shared" si="55"/>
        <v>94631</v>
      </c>
      <c r="AI51" s="34">
        <f t="shared" si="55"/>
        <v>97599</v>
      </c>
      <c r="AJ51" s="34">
        <f t="shared" si="55"/>
        <v>104218</v>
      </c>
      <c r="AK51" s="34">
        <f t="shared" si="55"/>
        <v>106223</v>
      </c>
      <c r="AL51" s="34">
        <f t="shared" si="55"/>
        <v>108363</v>
      </c>
      <c r="AM51" s="34">
        <f t="shared" si="55"/>
        <v>112668</v>
      </c>
      <c r="AN51" s="34">
        <f t="shared" si="55"/>
        <v>117560</v>
      </c>
      <c r="AO51" s="34">
        <f t="shared" si="56"/>
        <v>121208</v>
      </c>
      <c r="AP51" s="34">
        <f t="shared" si="56"/>
        <v>125705</v>
      </c>
      <c r="AQ51" s="34">
        <f t="shared" si="56"/>
        <v>134345</v>
      </c>
      <c r="AR51" s="34">
        <f t="shared" si="56"/>
        <v>143182</v>
      </c>
      <c r="AS51" s="34">
        <f t="shared" si="56"/>
        <v>151155</v>
      </c>
      <c r="AT51" s="34">
        <f t="shared" si="56"/>
        <v>161270</v>
      </c>
      <c r="AU51" s="34">
        <f t="shared" si="56"/>
        <v>171036</v>
      </c>
      <c r="AV51" s="34">
        <f t="shared" si="56"/>
        <v>185062</v>
      </c>
      <c r="AW51" s="34">
        <f t="shared" si="56"/>
        <v>203231</v>
      </c>
      <c r="AX51" s="34">
        <f t="shared" si="56"/>
        <v>223787</v>
      </c>
      <c r="AY51" s="12"/>
      <c r="AZ51" s="82">
        <f t="shared" si="57"/>
        <v>0.38765424443479879</v>
      </c>
    </row>
    <row r="52" spans="2:52" ht="12.75" customHeight="1">
      <c r="B52" s="10" t="s">
        <v>477</v>
      </c>
      <c r="C52" s="89">
        <v>0</v>
      </c>
      <c r="D52" s="89">
        <v>10941</v>
      </c>
      <c r="E52" s="89">
        <v>12211</v>
      </c>
      <c r="F52" s="89">
        <v>12959</v>
      </c>
      <c r="G52" s="89">
        <v>14381</v>
      </c>
      <c r="H52" s="89">
        <v>14091</v>
      </c>
      <c r="I52" s="89">
        <v>13588</v>
      </c>
      <c r="K52" s="89">
        <v>12598</v>
      </c>
      <c r="L52" s="89">
        <v>12978</v>
      </c>
      <c r="M52" s="89">
        <v>12918</v>
      </c>
      <c r="N52" s="34">
        <f t="shared" si="51"/>
        <v>12959</v>
      </c>
      <c r="O52" s="89">
        <v>12992</v>
      </c>
      <c r="P52" s="89">
        <v>13398</v>
      </c>
      <c r="Q52" s="89">
        <v>13677</v>
      </c>
      <c r="R52" s="34">
        <f t="shared" si="52"/>
        <v>14381</v>
      </c>
      <c r="S52" s="89">
        <v>14447</v>
      </c>
      <c r="T52" s="89">
        <v>14469</v>
      </c>
      <c r="U52" s="89">
        <v>14199</v>
      </c>
      <c r="V52" s="34">
        <f t="shared" si="53"/>
        <v>14091</v>
      </c>
      <c r="W52" s="89">
        <v>13768</v>
      </c>
      <c r="X52" s="89">
        <v>13606</v>
      </c>
      <c r="Y52" s="89">
        <v>13561</v>
      </c>
      <c r="Z52" s="34">
        <f t="shared" si="54"/>
        <v>13588</v>
      </c>
      <c r="AA52" s="89">
        <v>13722</v>
      </c>
      <c r="AB52" s="89">
        <v>14255</v>
      </c>
      <c r="AC52" s="89">
        <v>14524</v>
      </c>
      <c r="AE52" s="34" t="e">
        <f>#REF!</f>
        <v>#REF!</v>
      </c>
      <c r="AF52" s="34">
        <f t="shared" si="55"/>
        <v>12598</v>
      </c>
      <c r="AG52" s="34">
        <f t="shared" si="55"/>
        <v>12978</v>
      </c>
      <c r="AH52" s="34">
        <f t="shared" si="55"/>
        <v>12918</v>
      </c>
      <c r="AI52" s="34">
        <f t="shared" si="55"/>
        <v>12959</v>
      </c>
      <c r="AJ52" s="34">
        <f t="shared" si="55"/>
        <v>12992</v>
      </c>
      <c r="AK52" s="34">
        <f t="shared" si="55"/>
        <v>13398</v>
      </c>
      <c r="AL52" s="34">
        <f t="shared" si="55"/>
        <v>13677</v>
      </c>
      <c r="AM52" s="34">
        <f t="shared" si="55"/>
        <v>14381</v>
      </c>
      <c r="AN52" s="34">
        <f t="shared" si="55"/>
        <v>14447</v>
      </c>
      <c r="AO52" s="34">
        <f t="shared" si="56"/>
        <v>14469</v>
      </c>
      <c r="AP52" s="34">
        <f t="shared" si="56"/>
        <v>14199</v>
      </c>
      <c r="AQ52" s="34">
        <f t="shared" si="56"/>
        <v>14091</v>
      </c>
      <c r="AR52" s="34">
        <f t="shared" si="56"/>
        <v>13768</v>
      </c>
      <c r="AS52" s="34">
        <f t="shared" si="56"/>
        <v>13606</v>
      </c>
      <c r="AT52" s="34">
        <f t="shared" si="56"/>
        <v>13561</v>
      </c>
      <c r="AU52" s="34">
        <f t="shared" si="56"/>
        <v>13588</v>
      </c>
      <c r="AV52" s="34">
        <f t="shared" si="56"/>
        <v>13722</v>
      </c>
      <c r="AW52" s="34">
        <f t="shared" si="56"/>
        <v>14255</v>
      </c>
      <c r="AX52" s="34">
        <f t="shared" si="56"/>
        <v>14524</v>
      </c>
      <c r="AY52" s="12"/>
      <c r="AZ52" s="82">
        <f t="shared" si="57"/>
        <v>7.1012462207801885E-2</v>
      </c>
    </row>
    <row r="53" spans="2:52" ht="12.75" customHeight="1">
      <c r="B53" s="10" t="s">
        <v>475</v>
      </c>
      <c r="C53" s="89">
        <v>17888</v>
      </c>
      <c r="D53" s="89">
        <v>20624</v>
      </c>
      <c r="E53" s="89">
        <v>21175</v>
      </c>
      <c r="F53" s="89">
        <v>22956</v>
      </c>
      <c r="G53" s="89">
        <v>28960</v>
      </c>
      <c r="H53" s="89">
        <v>29198</v>
      </c>
      <c r="I53" s="89">
        <v>31885</v>
      </c>
      <c r="K53" s="89">
        <v>22341</v>
      </c>
      <c r="L53" s="89">
        <v>22406</v>
      </c>
      <c r="M53" s="89">
        <v>22623</v>
      </c>
      <c r="N53" s="34">
        <f t="shared" si="51"/>
        <v>22956</v>
      </c>
      <c r="O53" s="89">
        <v>23010</v>
      </c>
      <c r="P53" s="89">
        <v>23949</v>
      </c>
      <c r="Q53" s="89">
        <v>28834</v>
      </c>
      <c r="R53" s="34">
        <f t="shared" si="52"/>
        <v>28960</v>
      </c>
      <c r="S53" s="89">
        <v>28994</v>
      </c>
      <c r="T53" s="89">
        <v>29210</v>
      </c>
      <c r="U53" s="89">
        <v>29146</v>
      </c>
      <c r="V53" s="34">
        <f t="shared" si="53"/>
        <v>29198</v>
      </c>
      <c r="W53" s="89">
        <v>29183</v>
      </c>
      <c r="X53" s="89">
        <v>29185</v>
      </c>
      <c r="Y53" s="89">
        <v>31935</v>
      </c>
      <c r="Z53" s="34">
        <f t="shared" si="54"/>
        <v>31885</v>
      </c>
      <c r="AA53" s="89">
        <v>32173</v>
      </c>
      <c r="AB53" s="89">
        <v>32335</v>
      </c>
      <c r="AC53" s="89">
        <v>33269</v>
      </c>
      <c r="AE53" s="34" t="e">
        <f>#REF!</f>
        <v>#REF!</v>
      </c>
      <c r="AF53" s="34">
        <f t="shared" si="55"/>
        <v>22341</v>
      </c>
      <c r="AG53" s="34">
        <f t="shared" si="55"/>
        <v>22406</v>
      </c>
      <c r="AH53" s="34">
        <f t="shared" si="55"/>
        <v>22623</v>
      </c>
      <c r="AI53" s="34">
        <f t="shared" si="55"/>
        <v>22956</v>
      </c>
      <c r="AJ53" s="34">
        <f t="shared" si="55"/>
        <v>23010</v>
      </c>
      <c r="AK53" s="34">
        <f t="shared" si="55"/>
        <v>23949</v>
      </c>
      <c r="AL53" s="34">
        <f t="shared" si="55"/>
        <v>28834</v>
      </c>
      <c r="AM53" s="34">
        <f t="shared" si="55"/>
        <v>28960</v>
      </c>
      <c r="AN53" s="34">
        <f t="shared" si="55"/>
        <v>28994</v>
      </c>
      <c r="AO53" s="34">
        <f t="shared" si="56"/>
        <v>29210</v>
      </c>
      <c r="AP53" s="34">
        <f t="shared" si="56"/>
        <v>29146</v>
      </c>
      <c r="AQ53" s="34">
        <f t="shared" si="56"/>
        <v>29198</v>
      </c>
      <c r="AR53" s="34">
        <f t="shared" si="56"/>
        <v>29183</v>
      </c>
      <c r="AS53" s="34">
        <f t="shared" si="56"/>
        <v>29185</v>
      </c>
      <c r="AT53" s="34">
        <f t="shared" si="56"/>
        <v>31935</v>
      </c>
      <c r="AU53" s="34">
        <f t="shared" si="56"/>
        <v>31885</v>
      </c>
      <c r="AV53" s="34">
        <f t="shared" si="56"/>
        <v>32173</v>
      </c>
      <c r="AW53" s="34">
        <f t="shared" si="56"/>
        <v>32335</v>
      </c>
      <c r="AX53" s="34">
        <f t="shared" si="56"/>
        <v>33269</v>
      </c>
      <c r="AY53" s="12"/>
      <c r="AZ53" s="82">
        <f t="shared" si="57"/>
        <v>4.1772350086112464E-2</v>
      </c>
    </row>
    <row r="54" spans="2:52" ht="12.75" customHeight="1">
      <c r="B54" s="10" t="s">
        <v>476</v>
      </c>
      <c r="C54" s="89">
        <f>2693+2220</f>
        <v>4913</v>
      </c>
      <c r="D54" s="89">
        <f>1979+2342</f>
        <v>4321</v>
      </c>
      <c r="E54" s="89">
        <f>1445+3953</f>
        <v>5398</v>
      </c>
      <c r="F54" s="89">
        <f>5361+1417</f>
        <v>6778</v>
      </c>
      <c r="G54" s="89">
        <f>2084+6623</f>
        <v>8707</v>
      </c>
      <c r="H54" s="89">
        <v>10051</v>
      </c>
      <c r="I54" s="89">
        <v>14874</v>
      </c>
      <c r="K54" s="89">
        <f>1823+4167</f>
        <v>5990</v>
      </c>
      <c r="L54" s="89">
        <f>4298+1626</f>
        <v>5924</v>
      </c>
      <c r="M54" s="89">
        <f>4276+1549</f>
        <v>5825</v>
      </c>
      <c r="N54" s="34">
        <f t="shared" si="51"/>
        <v>6778</v>
      </c>
      <c r="O54" s="89">
        <f>1313+5778</f>
        <v>7091</v>
      </c>
      <c r="P54" s="89">
        <f>5712+1377</f>
        <v>7089</v>
      </c>
      <c r="Q54" s="89">
        <f>2192+5670</f>
        <v>7862</v>
      </c>
      <c r="R54" s="34">
        <f t="shared" si="52"/>
        <v>8707</v>
      </c>
      <c r="S54" s="89">
        <f>1968+6439</f>
        <v>8407</v>
      </c>
      <c r="T54" s="89">
        <f>6822+1966</f>
        <v>8788</v>
      </c>
      <c r="U54" s="89">
        <f>7628+1833</f>
        <v>9461</v>
      </c>
      <c r="V54" s="34">
        <f t="shared" si="53"/>
        <v>10051</v>
      </c>
      <c r="W54" s="89">
        <f>10065</f>
        <v>10065</v>
      </c>
      <c r="X54" s="89">
        <f>9699</f>
        <v>9699</v>
      </c>
      <c r="Y54" s="89">
        <f>13867</f>
        <v>13867</v>
      </c>
      <c r="Z54" s="34">
        <f t="shared" si="54"/>
        <v>14874</v>
      </c>
      <c r="AA54" s="89">
        <v>12950</v>
      </c>
      <c r="AB54" s="89">
        <v>14153</v>
      </c>
      <c r="AC54" s="89">
        <v>16811</v>
      </c>
      <c r="AE54" s="34" t="e">
        <f>#REF!</f>
        <v>#REF!</v>
      </c>
      <c r="AF54" s="34">
        <f t="shared" si="55"/>
        <v>5990</v>
      </c>
      <c r="AG54" s="34">
        <f t="shared" si="55"/>
        <v>5924</v>
      </c>
      <c r="AH54" s="34">
        <f t="shared" si="55"/>
        <v>5825</v>
      </c>
      <c r="AI54" s="34">
        <f t="shared" si="55"/>
        <v>6778</v>
      </c>
      <c r="AJ54" s="34">
        <f t="shared" si="55"/>
        <v>7091</v>
      </c>
      <c r="AK54" s="34">
        <f t="shared" si="55"/>
        <v>7089</v>
      </c>
      <c r="AL54" s="34">
        <f t="shared" si="55"/>
        <v>7862</v>
      </c>
      <c r="AM54" s="34">
        <f t="shared" si="55"/>
        <v>8707</v>
      </c>
      <c r="AN54" s="34">
        <f t="shared" si="55"/>
        <v>8407</v>
      </c>
      <c r="AO54" s="34">
        <f t="shared" si="56"/>
        <v>8788</v>
      </c>
      <c r="AP54" s="34">
        <f t="shared" si="56"/>
        <v>9461</v>
      </c>
      <c r="AQ54" s="34">
        <f t="shared" si="56"/>
        <v>10051</v>
      </c>
      <c r="AR54" s="34">
        <f t="shared" si="56"/>
        <v>10065</v>
      </c>
      <c r="AS54" s="34">
        <f t="shared" si="56"/>
        <v>9699</v>
      </c>
      <c r="AT54" s="34">
        <f t="shared" si="56"/>
        <v>13867</v>
      </c>
      <c r="AU54" s="34">
        <f t="shared" si="56"/>
        <v>14874</v>
      </c>
      <c r="AV54" s="34">
        <f t="shared" si="56"/>
        <v>12950</v>
      </c>
      <c r="AW54" s="34">
        <f t="shared" si="56"/>
        <v>14153</v>
      </c>
      <c r="AX54" s="34">
        <f t="shared" si="56"/>
        <v>16811</v>
      </c>
      <c r="AY54" s="12"/>
      <c r="AZ54" s="82">
        <f t="shared" si="57"/>
        <v>0.21230258888007492</v>
      </c>
    </row>
    <row r="55" spans="2:52" ht="12.75" customHeight="1">
      <c r="B55" s="14" t="s">
        <v>30</v>
      </c>
      <c r="C55" s="15">
        <f>SUM(C49:C54)+C46</f>
        <v>232792</v>
      </c>
      <c r="D55" s="15">
        <f t="shared" ref="D55:I55" si="58">SUM(D49:D54)+D46</f>
        <v>275909</v>
      </c>
      <c r="E55" s="15">
        <f t="shared" si="58"/>
        <v>319616</v>
      </c>
      <c r="F55" s="15">
        <f t="shared" si="58"/>
        <v>359268</v>
      </c>
      <c r="G55" s="15">
        <f t="shared" si="58"/>
        <v>365264</v>
      </c>
      <c r="H55" s="15">
        <f t="shared" si="58"/>
        <v>402392</v>
      </c>
      <c r="I55" s="15">
        <f t="shared" si="58"/>
        <v>450256</v>
      </c>
      <c r="K55" s="15">
        <f t="shared" ref="K55:AB55" si="59">SUM(K49:K54)+K46</f>
        <v>327095</v>
      </c>
      <c r="L55" s="15">
        <f t="shared" si="59"/>
        <v>335387</v>
      </c>
      <c r="M55" s="15">
        <f t="shared" si="59"/>
        <v>347403</v>
      </c>
      <c r="N55" s="15">
        <f t="shared" si="59"/>
        <v>359268</v>
      </c>
      <c r="O55" s="15">
        <f t="shared" si="59"/>
        <v>357096</v>
      </c>
      <c r="P55" s="15">
        <f t="shared" si="59"/>
        <v>355185</v>
      </c>
      <c r="Q55" s="15">
        <f t="shared" si="59"/>
        <v>358255</v>
      </c>
      <c r="R55" s="15">
        <f t="shared" si="59"/>
        <v>365264</v>
      </c>
      <c r="S55" s="15">
        <f t="shared" si="59"/>
        <v>369491</v>
      </c>
      <c r="T55" s="15">
        <f t="shared" si="59"/>
        <v>383044</v>
      </c>
      <c r="U55" s="15">
        <f t="shared" si="59"/>
        <v>396711</v>
      </c>
      <c r="V55" s="15">
        <f t="shared" si="59"/>
        <v>402392</v>
      </c>
      <c r="W55" s="15">
        <f t="shared" si="59"/>
        <v>407350</v>
      </c>
      <c r="X55" s="15">
        <f t="shared" si="59"/>
        <v>414770</v>
      </c>
      <c r="Y55" s="15">
        <f t="shared" si="59"/>
        <v>430266</v>
      </c>
      <c r="Z55" s="15">
        <f t="shared" si="59"/>
        <v>450256</v>
      </c>
      <c r="AA55" s="15">
        <f t="shared" si="59"/>
        <v>475374</v>
      </c>
      <c r="AB55" s="15">
        <f t="shared" si="59"/>
        <v>502053</v>
      </c>
      <c r="AC55" s="15">
        <f>SUM(AC49:AC54)+AC46</f>
        <v>536469</v>
      </c>
      <c r="AE55" s="15" t="e">
        <f t="shared" ref="AE55:AL55" si="60">SUM(AE49:AE54)+AE46</f>
        <v>#REF!</v>
      </c>
      <c r="AF55" s="15">
        <f t="shared" si="60"/>
        <v>327095</v>
      </c>
      <c r="AG55" s="15">
        <f t="shared" si="60"/>
        <v>335387</v>
      </c>
      <c r="AH55" s="15">
        <f t="shared" si="60"/>
        <v>347403</v>
      </c>
      <c r="AI55" s="15">
        <f t="shared" si="60"/>
        <v>359268</v>
      </c>
      <c r="AJ55" s="15">
        <f t="shared" si="60"/>
        <v>357096</v>
      </c>
      <c r="AK55" s="15">
        <f t="shared" si="60"/>
        <v>355185</v>
      </c>
      <c r="AL55" s="15">
        <f t="shared" si="60"/>
        <v>358255</v>
      </c>
      <c r="AM55" s="15">
        <f t="shared" ref="AM55:AW55" si="61">SUM(AM49:AM54)+AM46</f>
        <v>365264</v>
      </c>
      <c r="AN55" s="15">
        <f t="shared" si="61"/>
        <v>369491</v>
      </c>
      <c r="AO55" s="15">
        <f t="shared" si="61"/>
        <v>383044</v>
      </c>
      <c r="AP55" s="15">
        <f t="shared" si="61"/>
        <v>396711</v>
      </c>
      <c r="AQ55" s="15">
        <f t="shared" si="61"/>
        <v>402392</v>
      </c>
      <c r="AR55" s="15">
        <f t="shared" si="61"/>
        <v>407350</v>
      </c>
      <c r="AS55" s="15">
        <f t="shared" si="61"/>
        <v>414770</v>
      </c>
      <c r="AT55" s="15">
        <f t="shared" si="61"/>
        <v>430266</v>
      </c>
      <c r="AU55" s="15">
        <f t="shared" si="61"/>
        <v>450256</v>
      </c>
      <c r="AV55" s="15">
        <f t="shared" si="61"/>
        <v>475374</v>
      </c>
      <c r="AW55" s="15">
        <f t="shared" si="61"/>
        <v>502053</v>
      </c>
      <c r="AX55" s="36">
        <f>SUM(AX49:AX54)+AX46</f>
        <v>536469</v>
      </c>
      <c r="AY55" s="45"/>
      <c r="AZ55" s="83">
        <f t="shared" si="57"/>
        <v>0.24683103010695717</v>
      </c>
    </row>
    <row r="56" spans="2:52" ht="12.75" customHeight="1">
      <c r="B56" s="27"/>
      <c r="C56" s="55"/>
      <c r="D56" s="55"/>
      <c r="E56" s="55"/>
      <c r="F56" s="55"/>
      <c r="G56" s="55"/>
      <c r="H56" s="44"/>
      <c r="I56" s="44"/>
      <c r="K56" s="44"/>
      <c r="L56" s="44"/>
      <c r="M56" s="44"/>
      <c r="N56" s="44"/>
      <c r="O56" s="44"/>
      <c r="P56" s="44"/>
      <c r="Q56" s="44"/>
      <c r="R56" s="44"/>
      <c r="S56" s="44"/>
      <c r="T56" s="44"/>
      <c r="U56" s="44"/>
      <c r="V56" s="44"/>
      <c r="W56" s="44"/>
      <c r="X56" s="44"/>
      <c r="Y56" s="44"/>
      <c r="Z56" s="44"/>
      <c r="AA56" s="44"/>
      <c r="AB56" s="44"/>
      <c r="AC56" s="44"/>
      <c r="AE56" s="45"/>
      <c r="AF56" s="45"/>
      <c r="AG56" s="45"/>
      <c r="AH56" s="45"/>
      <c r="AI56" s="45"/>
      <c r="AJ56" s="45"/>
      <c r="AK56" s="45"/>
      <c r="AL56" s="45"/>
      <c r="AM56" s="45"/>
      <c r="AN56" s="45"/>
      <c r="AO56" s="45"/>
      <c r="AP56" s="45"/>
      <c r="AQ56" s="45"/>
      <c r="AR56" s="45"/>
      <c r="AS56" s="45"/>
      <c r="AT56" s="45"/>
      <c r="AU56" s="45"/>
      <c r="AV56" s="45"/>
      <c r="AW56" s="45"/>
      <c r="AX56" s="45"/>
      <c r="AY56" s="45"/>
      <c r="AZ56" s="42"/>
    </row>
    <row r="57" spans="2:52" ht="12.75" customHeight="1">
      <c r="B57" s="85" t="s">
        <v>70</v>
      </c>
      <c r="C57" s="55"/>
      <c r="D57" s="55"/>
      <c r="E57" s="55"/>
      <c r="F57" s="55"/>
      <c r="G57" s="55"/>
      <c r="H57" s="44"/>
      <c r="I57" s="44"/>
      <c r="K57" s="44"/>
      <c r="L57" s="44"/>
      <c r="M57" s="44"/>
      <c r="N57" s="44"/>
      <c r="O57" s="44"/>
      <c r="P57" s="44"/>
      <c r="Q57" s="44"/>
      <c r="R57" s="44"/>
      <c r="S57" s="44"/>
      <c r="T57" s="44"/>
      <c r="U57" s="44"/>
      <c r="V57" s="44"/>
      <c r="W57" s="44"/>
      <c r="X57" s="44"/>
      <c r="Y57" s="44"/>
      <c r="Z57" s="44"/>
      <c r="AA57" s="44"/>
      <c r="AB57" s="44"/>
      <c r="AC57" s="44"/>
      <c r="AE57" s="45"/>
      <c r="AF57" s="45"/>
      <c r="AG57" s="45"/>
      <c r="AH57" s="45"/>
      <c r="AI57" s="45"/>
      <c r="AJ57" s="45"/>
      <c r="AK57" s="45"/>
      <c r="AL57" s="45"/>
      <c r="AM57" s="45"/>
      <c r="AN57" s="45"/>
      <c r="AO57" s="45"/>
      <c r="AP57" s="45"/>
      <c r="AQ57" s="45"/>
      <c r="AR57" s="45"/>
      <c r="AS57" s="45"/>
      <c r="AT57" s="45"/>
      <c r="AU57" s="45"/>
      <c r="AV57" s="45"/>
      <c r="AW57" s="45"/>
      <c r="AX57" s="45"/>
      <c r="AY57" s="45"/>
      <c r="AZ57" s="42"/>
    </row>
    <row r="58" spans="2:52" ht="12.75" customHeight="1">
      <c r="B58" s="464" t="s">
        <v>68</v>
      </c>
      <c r="C58" s="465">
        <v>4378</v>
      </c>
      <c r="D58" s="465">
        <v>5561</v>
      </c>
      <c r="E58" s="465">
        <v>5589</v>
      </c>
      <c r="F58" s="465">
        <v>6037</v>
      </c>
      <c r="G58" s="465">
        <v>5128</v>
      </c>
      <c r="H58" s="465">
        <v>7493</v>
      </c>
      <c r="I58" s="465">
        <v>7987</v>
      </c>
      <c r="K58" s="465">
        <v>4801</v>
      </c>
      <c r="L58" s="465">
        <v>4708</v>
      </c>
      <c r="M58" s="465">
        <v>4616</v>
      </c>
      <c r="N58" s="362">
        <f>F58</f>
        <v>6037</v>
      </c>
      <c r="O58" s="465">
        <v>3436</v>
      </c>
      <c r="P58" s="465">
        <v>4409</v>
      </c>
      <c r="Q58" s="465">
        <v>6303</v>
      </c>
      <c r="R58" s="362">
        <f>G58</f>
        <v>5128</v>
      </c>
      <c r="S58" s="465">
        <v>4184</v>
      </c>
      <c r="T58" s="465">
        <v>5313</v>
      </c>
      <c r="U58" s="465">
        <v>5803</v>
      </c>
      <c r="V58" s="362">
        <f>H58</f>
        <v>7493</v>
      </c>
      <c r="W58" s="465">
        <v>6198</v>
      </c>
      <c r="X58" s="465">
        <v>6092</v>
      </c>
      <c r="Y58" s="465">
        <v>7049</v>
      </c>
      <c r="Z58" s="362">
        <f>I58</f>
        <v>7987</v>
      </c>
      <c r="AA58" s="465">
        <v>8497</v>
      </c>
      <c r="AB58" s="465">
        <v>8347</v>
      </c>
      <c r="AC58" s="465">
        <v>10546</v>
      </c>
      <c r="AE58" s="362" t="e">
        <f>#REF!</f>
        <v>#REF!</v>
      </c>
      <c r="AF58" s="362">
        <f t="shared" ref="AF58:AN62" si="62">K58</f>
        <v>4801</v>
      </c>
      <c r="AG58" s="362">
        <f t="shared" si="62"/>
        <v>4708</v>
      </c>
      <c r="AH58" s="362">
        <f t="shared" si="62"/>
        <v>4616</v>
      </c>
      <c r="AI58" s="362">
        <f t="shared" si="62"/>
        <v>6037</v>
      </c>
      <c r="AJ58" s="362">
        <f t="shared" si="62"/>
        <v>3436</v>
      </c>
      <c r="AK58" s="362">
        <f t="shared" si="62"/>
        <v>4409</v>
      </c>
      <c r="AL58" s="362">
        <f t="shared" si="62"/>
        <v>6303</v>
      </c>
      <c r="AM58" s="362">
        <f t="shared" si="62"/>
        <v>5128</v>
      </c>
      <c r="AN58" s="362">
        <f t="shared" si="62"/>
        <v>4184</v>
      </c>
      <c r="AO58" s="362">
        <f t="shared" ref="AO58:AX62" si="63">T58</f>
        <v>5313</v>
      </c>
      <c r="AP58" s="362">
        <f t="shared" si="63"/>
        <v>5803</v>
      </c>
      <c r="AQ58" s="362">
        <f t="shared" si="63"/>
        <v>7493</v>
      </c>
      <c r="AR58" s="362">
        <f t="shared" si="63"/>
        <v>6198</v>
      </c>
      <c r="AS58" s="362">
        <f t="shared" si="63"/>
        <v>6092</v>
      </c>
      <c r="AT58" s="362">
        <f t="shared" si="63"/>
        <v>7049</v>
      </c>
      <c r="AU58" s="362">
        <f t="shared" si="63"/>
        <v>7987</v>
      </c>
      <c r="AV58" s="362">
        <f t="shared" si="63"/>
        <v>8497</v>
      </c>
      <c r="AW58" s="362">
        <f t="shared" si="63"/>
        <v>8347</v>
      </c>
      <c r="AX58" s="362">
        <f t="shared" si="63"/>
        <v>10546</v>
      </c>
      <c r="AY58" s="12"/>
      <c r="AZ58" s="82">
        <f t="shared" ref="AZ58:AZ63" si="64">SUM(AX58/AT58)-1</f>
        <v>0.49609873740956156</v>
      </c>
    </row>
    <row r="59" spans="2:52" ht="12.75" customHeight="1">
      <c r="B59" s="464" t="s">
        <v>527</v>
      </c>
      <c r="C59" s="465">
        <v>6839</v>
      </c>
      <c r="D59" s="465">
        <v>8495</v>
      </c>
      <c r="E59" s="465">
        <v>11086</v>
      </c>
      <c r="F59" s="465">
        <v>13889</v>
      </c>
      <c r="G59" s="465">
        <v>14028</v>
      </c>
      <c r="H59" s="465">
        <v>15140</v>
      </c>
      <c r="I59" s="465">
        <v>15069</v>
      </c>
      <c r="K59" s="465">
        <v>8375</v>
      </c>
      <c r="L59" s="465">
        <v>10088</v>
      </c>
      <c r="M59" s="465">
        <v>12170</v>
      </c>
      <c r="N59" s="362">
        <f>F59</f>
        <v>13889</v>
      </c>
      <c r="O59" s="465">
        <v>9803</v>
      </c>
      <c r="P59" s="465">
        <v>10852</v>
      </c>
      <c r="Q59" s="465">
        <v>12366</v>
      </c>
      <c r="R59" s="362">
        <f>G59</f>
        <v>14028</v>
      </c>
      <c r="S59" s="465">
        <v>9954</v>
      </c>
      <c r="T59" s="465">
        <v>11260</v>
      </c>
      <c r="U59" s="465">
        <v>12562</v>
      </c>
      <c r="V59" s="362">
        <f>H59</f>
        <v>15140</v>
      </c>
      <c r="W59" s="465">
        <v>9703</v>
      </c>
      <c r="X59" s="465">
        <v>11373</v>
      </c>
      <c r="Y59" s="465">
        <v>12908</v>
      </c>
      <c r="Z59" s="362">
        <f>I59</f>
        <v>15069</v>
      </c>
      <c r="AA59" s="465">
        <v>9984</v>
      </c>
      <c r="AB59" s="465">
        <v>12168</v>
      </c>
      <c r="AC59" s="465">
        <v>13944</v>
      </c>
      <c r="AE59" s="362" t="e">
        <f>#REF!</f>
        <v>#REF!</v>
      </c>
      <c r="AF59" s="362">
        <f t="shared" si="62"/>
        <v>8375</v>
      </c>
      <c r="AG59" s="362">
        <f t="shared" si="62"/>
        <v>10088</v>
      </c>
      <c r="AH59" s="362">
        <f t="shared" si="62"/>
        <v>12170</v>
      </c>
      <c r="AI59" s="362">
        <f t="shared" si="62"/>
        <v>13889</v>
      </c>
      <c r="AJ59" s="362">
        <f t="shared" si="62"/>
        <v>9803</v>
      </c>
      <c r="AK59" s="362">
        <f t="shared" si="62"/>
        <v>10852</v>
      </c>
      <c r="AL59" s="362">
        <f t="shared" si="62"/>
        <v>12366</v>
      </c>
      <c r="AM59" s="362">
        <f t="shared" si="62"/>
        <v>14028</v>
      </c>
      <c r="AN59" s="362">
        <f t="shared" si="62"/>
        <v>9954</v>
      </c>
      <c r="AO59" s="362">
        <f t="shared" si="63"/>
        <v>11260</v>
      </c>
      <c r="AP59" s="362">
        <f t="shared" si="63"/>
        <v>12562</v>
      </c>
      <c r="AQ59" s="362">
        <f t="shared" si="63"/>
        <v>15140</v>
      </c>
      <c r="AR59" s="362">
        <f t="shared" si="63"/>
        <v>9703</v>
      </c>
      <c r="AS59" s="362">
        <f t="shared" si="63"/>
        <v>11373</v>
      </c>
      <c r="AT59" s="362">
        <f t="shared" si="63"/>
        <v>12908</v>
      </c>
      <c r="AU59" s="362">
        <f t="shared" si="63"/>
        <v>15069</v>
      </c>
      <c r="AV59" s="362">
        <f t="shared" si="63"/>
        <v>9984</v>
      </c>
      <c r="AW59" s="362">
        <f t="shared" si="63"/>
        <v>12168</v>
      </c>
      <c r="AX59" s="362">
        <f t="shared" si="63"/>
        <v>13944</v>
      </c>
      <c r="AY59" s="12"/>
      <c r="AZ59" s="82">
        <f t="shared" si="64"/>
        <v>8.0260303687635481E-2</v>
      </c>
    </row>
    <row r="60" spans="2:52" ht="12.75" customHeight="1">
      <c r="B60" s="464" t="s">
        <v>446</v>
      </c>
      <c r="C60" s="465">
        <f>16958+69</f>
        <v>17027</v>
      </c>
      <c r="D60" s="465">
        <f>23067+274</f>
        <v>23341</v>
      </c>
      <c r="E60" s="465">
        <f>28631+1485</f>
        <v>30116</v>
      </c>
      <c r="F60" s="465">
        <v>32044</v>
      </c>
      <c r="G60" s="465">
        <v>37866</v>
      </c>
      <c r="H60" s="465">
        <f>46168</f>
        <v>46168</v>
      </c>
      <c r="I60" s="465">
        <f>51228</f>
        <v>51228</v>
      </c>
      <c r="K60" s="465">
        <f>30732+1893</f>
        <v>32625</v>
      </c>
      <c r="L60" s="465">
        <f>28981+1811</f>
        <v>30792</v>
      </c>
      <c r="M60" s="465">
        <f>30113+4170</f>
        <v>34283</v>
      </c>
      <c r="N60" s="362">
        <f>F60</f>
        <v>32044</v>
      </c>
      <c r="O60" s="465">
        <f>33051+4344</f>
        <v>37395</v>
      </c>
      <c r="P60" s="465">
        <f>32976+1956</f>
        <v>34932</v>
      </c>
      <c r="Q60" s="465">
        <f>35038+1025</f>
        <v>36063</v>
      </c>
      <c r="R60" s="362">
        <f>G60</f>
        <v>37866</v>
      </c>
      <c r="S60" s="465">
        <v>43185</v>
      </c>
      <c r="T60" s="465">
        <v>49300</v>
      </c>
      <c r="U60" s="465">
        <v>55602</v>
      </c>
      <c r="V60" s="362">
        <f>H60</f>
        <v>46168</v>
      </c>
      <c r="W60" s="465">
        <v>48603</v>
      </c>
      <c r="X60" s="465">
        <v>47298</v>
      </c>
      <c r="Y60" s="465">
        <v>46585</v>
      </c>
      <c r="Z60" s="362">
        <f>I60</f>
        <v>51228</v>
      </c>
      <c r="AA60" s="465">
        <v>58300</v>
      </c>
      <c r="AB60" s="465">
        <v>52039</v>
      </c>
      <c r="AC60" s="465">
        <v>59437</v>
      </c>
      <c r="AE60" s="362" t="e">
        <f>#REF!</f>
        <v>#REF!</v>
      </c>
      <c r="AF60" s="362">
        <f t="shared" si="62"/>
        <v>32625</v>
      </c>
      <c r="AG60" s="362">
        <f t="shared" si="62"/>
        <v>30792</v>
      </c>
      <c r="AH60" s="362">
        <f t="shared" si="62"/>
        <v>34283</v>
      </c>
      <c r="AI60" s="362">
        <f t="shared" si="62"/>
        <v>32044</v>
      </c>
      <c r="AJ60" s="362">
        <f t="shared" si="62"/>
        <v>37395</v>
      </c>
      <c r="AK60" s="362">
        <f t="shared" si="62"/>
        <v>34932</v>
      </c>
      <c r="AL60" s="362">
        <f t="shared" si="62"/>
        <v>36063</v>
      </c>
      <c r="AM60" s="362">
        <f t="shared" si="62"/>
        <v>37866</v>
      </c>
      <c r="AN60" s="362">
        <f t="shared" si="62"/>
        <v>43185</v>
      </c>
      <c r="AO60" s="362">
        <f t="shared" si="63"/>
        <v>49300</v>
      </c>
      <c r="AP60" s="362">
        <f t="shared" si="63"/>
        <v>55602</v>
      </c>
      <c r="AQ60" s="362">
        <f t="shared" si="63"/>
        <v>46168</v>
      </c>
      <c r="AR60" s="362">
        <f t="shared" si="63"/>
        <v>48603</v>
      </c>
      <c r="AS60" s="362">
        <f t="shared" si="63"/>
        <v>47298</v>
      </c>
      <c r="AT60" s="362">
        <f t="shared" si="63"/>
        <v>46585</v>
      </c>
      <c r="AU60" s="362">
        <f t="shared" si="63"/>
        <v>51228</v>
      </c>
      <c r="AV60" s="362">
        <f t="shared" si="63"/>
        <v>58300</v>
      </c>
      <c r="AW60" s="362">
        <f t="shared" si="63"/>
        <v>52039</v>
      </c>
      <c r="AX60" s="362">
        <f t="shared" si="63"/>
        <v>59437</v>
      </c>
      <c r="AY60" s="12"/>
      <c r="AZ60" s="82">
        <f t="shared" si="64"/>
        <v>0.27588279489105938</v>
      </c>
    </row>
    <row r="61" spans="2:52" ht="12.75" customHeight="1">
      <c r="B61" s="464" t="s">
        <v>526</v>
      </c>
      <c r="C61" s="465">
        <v>4592</v>
      </c>
      <c r="D61" s="465">
        <v>5916</v>
      </c>
      <c r="E61" s="465">
        <v>7500</v>
      </c>
      <c r="F61" s="465">
        <v>8996</v>
      </c>
      <c r="G61" s="465">
        <v>8370</v>
      </c>
      <c r="H61" s="465">
        <v>8876</v>
      </c>
      <c r="I61" s="465">
        <v>9802</v>
      </c>
      <c r="K61" s="465">
        <v>6962</v>
      </c>
      <c r="L61" s="465">
        <v>7438</v>
      </c>
      <c r="M61" s="465">
        <v>7745</v>
      </c>
      <c r="N61" s="362">
        <f>F61</f>
        <v>8996</v>
      </c>
      <c r="O61" s="465">
        <v>8116</v>
      </c>
      <c r="P61" s="465">
        <v>7889</v>
      </c>
      <c r="Q61" s="465">
        <v>7662</v>
      </c>
      <c r="R61" s="362">
        <f>G61</f>
        <v>8370</v>
      </c>
      <c r="S61" s="465">
        <v>7816</v>
      </c>
      <c r="T61" s="465">
        <v>7990</v>
      </c>
      <c r="U61" s="465">
        <v>8025</v>
      </c>
      <c r="V61" s="362">
        <f>H61</f>
        <v>8876</v>
      </c>
      <c r="W61" s="465">
        <v>8520</v>
      </c>
      <c r="X61" s="465">
        <v>8899</v>
      </c>
      <c r="Y61" s="465">
        <v>9365</v>
      </c>
      <c r="Z61" s="362">
        <f>I61</f>
        <v>9802</v>
      </c>
      <c r="AA61" s="465">
        <v>9965</v>
      </c>
      <c r="AB61" s="465">
        <v>9787</v>
      </c>
      <c r="AC61" s="465">
        <v>10081</v>
      </c>
      <c r="AE61" s="362" t="e">
        <f>#REF!</f>
        <v>#REF!</v>
      </c>
      <c r="AF61" s="362">
        <f t="shared" si="62"/>
        <v>6962</v>
      </c>
      <c r="AG61" s="362">
        <f t="shared" si="62"/>
        <v>7438</v>
      </c>
      <c r="AH61" s="362">
        <f t="shared" si="62"/>
        <v>7745</v>
      </c>
      <c r="AI61" s="362">
        <f t="shared" si="62"/>
        <v>8996</v>
      </c>
      <c r="AJ61" s="362">
        <f t="shared" si="62"/>
        <v>8116</v>
      </c>
      <c r="AK61" s="362">
        <f t="shared" si="62"/>
        <v>7889</v>
      </c>
      <c r="AL61" s="362">
        <f t="shared" si="62"/>
        <v>7662</v>
      </c>
      <c r="AM61" s="362">
        <f t="shared" si="62"/>
        <v>8370</v>
      </c>
      <c r="AN61" s="362">
        <f t="shared" si="62"/>
        <v>7816</v>
      </c>
      <c r="AO61" s="362">
        <f t="shared" si="63"/>
        <v>7990</v>
      </c>
      <c r="AP61" s="362">
        <f t="shared" si="63"/>
        <v>8025</v>
      </c>
      <c r="AQ61" s="362">
        <f t="shared" si="63"/>
        <v>8876</v>
      </c>
      <c r="AR61" s="362">
        <f t="shared" si="63"/>
        <v>8520</v>
      </c>
      <c r="AS61" s="362">
        <f t="shared" si="63"/>
        <v>8899</v>
      </c>
      <c r="AT61" s="362">
        <f t="shared" si="63"/>
        <v>9365</v>
      </c>
      <c r="AU61" s="362">
        <f t="shared" si="63"/>
        <v>9802</v>
      </c>
      <c r="AV61" s="362">
        <f t="shared" si="63"/>
        <v>9965</v>
      </c>
      <c r="AW61" s="362">
        <f t="shared" si="63"/>
        <v>9787</v>
      </c>
      <c r="AX61" s="362">
        <f t="shared" si="63"/>
        <v>10081</v>
      </c>
      <c r="AY61" s="12"/>
      <c r="AZ61" s="82">
        <f t="shared" si="64"/>
        <v>7.6454885210891721E-2</v>
      </c>
    </row>
    <row r="62" spans="2:52" ht="12.75" customHeight="1">
      <c r="B62" s="464" t="s">
        <v>530</v>
      </c>
      <c r="C62" s="465">
        <v>1784</v>
      </c>
      <c r="D62" s="465">
        <v>1908</v>
      </c>
      <c r="E62" s="465">
        <v>2543</v>
      </c>
      <c r="F62" s="465">
        <v>3288</v>
      </c>
      <c r="G62" s="465">
        <v>3908</v>
      </c>
      <c r="H62" s="465">
        <v>4137</v>
      </c>
      <c r="I62" s="465">
        <v>5036</v>
      </c>
      <c r="K62" s="465">
        <v>2690</v>
      </c>
      <c r="L62" s="465">
        <v>2715</v>
      </c>
      <c r="M62" s="465">
        <v>2968</v>
      </c>
      <c r="N62" s="362">
        <f>F62</f>
        <v>3288</v>
      </c>
      <c r="O62" s="465">
        <v>3198</v>
      </c>
      <c r="P62" s="465">
        <v>3272</v>
      </c>
      <c r="Q62" s="465">
        <v>3585</v>
      </c>
      <c r="R62" s="362">
        <f>G62</f>
        <v>3908</v>
      </c>
      <c r="S62" s="465">
        <v>3715</v>
      </c>
      <c r="T62" s="465">
        <v>3846</v>
      </c>
      <c r="U62" s="465">
        <v>4303</v>
      </c>
      <c r="V62" s="362">
        <f>H62</f>
        <v>4137</v>
      </c>
      <c r="W62" s="465">
        <v>3973</v>
      </c>
      <c r="X62" s="465">
        <v>4251</v>
      </c>
      <c r="Y62" s="465">
        <v>4896</v>
      </c>
      <c r="Z62" s="362">
        <f>I62</f>
        <v>5036</v>
      </c>
      <c r="AA62" s="465">
        <v>4908</v>
      </c>
      <c r="AB62" s="465">
        <v>4969</v>
      </c>
      <c r="AC62" s="465">
        <v>5542</v>
      </c>
      <c r="AE62" s="362" t="e">
        <f>#REF!</f>
        <v>#REF!</v>
      </c>
      <c r="AF62" s="362">
        <f t="shared" si="62"/>
        <v>2690</v>
      </c>
      <c r="AG62" s="362">
        <f t="shared" si="62"/>
        <v>2715</v>
      </c>
      <c r="AH62" s="362">
        <f t="shared" si="62"/>
        <v>2968</v>
      </c>
      <c r="AI62" s="362">
        <f t="shared" si="62"/>
        <v>3288</v>
      </c>
      <c r="AJ62" s="362">
        <f t="shared" si="62"/>
        <v>3198</v>
      </c>
      <c r="AK62" s="362">
        <f t="shared" si="62"/>
        <v>3272</v>
      </c>
      <c r="AL62" s="362">
        <f t="shared" si="62"/>
        <v>3585</v>
      </c>
      <c r="AM62" s="362">
        <f t="shared" si="62"/>
        <v>3908</v>
      </c>
      <c r="AN62" s="362">
        <f t="shared" si="62"/>
        <v>3715</v>
      </c>
      <c r="AO62" s="362">
        <f t="shared" si="63"/>
        <v>3846</v>
      </c>
      <c r="AP62" s="362">
        <f t="shared" si="63"/>
        <v>4303</v>
      </c>
      <c r="AQ62" s="362">
        <f t="shared" si="63"/>
        <v>4137</v>
      </c>
      <c r="AR62" s="362">
        <f t="shared" si="63"/>
        <v>3973</v>
      </c>
      <c r="AS62" s="362">
        <f t="shared" si="63"/>
        <v>4251</v>
      </c>
      <c r="AT62" s="362">
        <f t="shared" si="63"/>
        <v>4896</v>
      </c>
      <c r="AU62" s="362">
        <f t="shared" si="63"/>
        <v>5036</v>
      </c>
      <c r="AV62" s="362">
        <f t="shared" si="63"/>
        <v>4908</v>
      </c>
      <c r="AW62" s="362">
        <f t="shared" si="63"/>
        <v>4969</v>
      </c>
      <c r="AX62" s="362">
        <f t="shared" si="63"/>
        <v>5542</v>
      </c>
      <c r="AY62" s="12"/>
      <c r="AZ62" s="82">
        <f t="shared" si="64"/>
        <v>0.13194444444444442</v>
      </c>
    </row>
    <row r="63" spans="2:52" ht="12.75" customHeight="1">
      <c r="B63" s="27" t="s">
        <v>26</v>
      </c>
      <c r="C63" s="28">
        <f t="shared" ref="C63:I63" si="65">SUM(C58:C62)</f>
        <v>34620</v>
      </c>
      <c r="D63" s="28">
        <f t="shared" si="65"/>
        <v>45221</v>
      </c>
      <c r="E63" s="28">
        <f t="shared" si="65"/>
        <v>56834</v>
      </c>
      <c r="F63" s="28">
        <f t="shared" si="65"/>
        <v>64254</v>
      </c>
      <c r="G63" s="28">
        <f t="shared" si="65"/>
        <v>69300</v>
      </c>
      <c r="H63" s="28">
        <f t="shared" si="65"/>
        <v>81814</v>
      </c>
      <c r="I63" s="28">
        <f t="shared" si="65"/>
        <v>89122</v>
      </c>
      <c r="K63" s="28">
        <f t="shared" ref="K63:AC63" si="66">SUM(K58:K62)</f>
        <v>55453</v>
      </c>
      <c r="L63" s="28">
        <f t="shared" si="66"/>
        <v>55741</v>
      </c>
      <c r="M63" s="28">
        <f t="shared" si="66"/>
        <v>61782</v>
      </c>
      <c r="N63" s="28">
        <f t="shared" si="66"/>
        <v>64254</v>
      </c>
      <c r="O63" s="28">
        <f t="shared" si="66"/>
        <v>61948</v>
      </c>
      <c r="P63" s="28">
        <f t="shared" si="66"/>
        <v>61354</v>
      </c>
      <c r="Q63" s="28">
        <f t="shared" si="66"/>
        <v>65979</v>
      </c>
      <c r="R63" s="28">
        <f t="shared" si="66"/>
        <v>69300</v>
      </c>
      <c r="S63" s="28">
        <f t="shared" si="66"/>
        <v>68854</v>
      </c>
      <c r="T63" s="28">
        <f t="shared" si="66"/>
        <v>77709</v>
      </c>
      <c r="U63" s="28">
        <f t="shared" si="66"/>
        <v>86295</v>
      </c>
      <c r="V63" s="28">
        <f t="shared" si="66"/>
        <v>81814</v>
      </c>
      <c r="W63" s="28">
        <f t="shared" si="66"/>
        <v>76997</v>
      </c>
      <c r="X63" s="28">
        <f t="shared" si="66"/>
        <v>77913</v>
      </c>
      <c r="Y63" s="28">
        <f t="shared" si="66"/>
        <v>80803</v>
      </c>
      <c r="Z63" s="28">
        <f t="shared" si="66"/>
        <v>89122</v>
      </c>
      <c r="AA63" s="28">
        <f t="shared" si="66"/>
        <v>91654</v>
      </c>
      <c r="AB63" s="28">
        <f t="shared" si="66"/>
        <v>87310</v>
      </c>
      <c r="AC63" s="28">
        <f t="shared" si="66"/>
        <v>99550</v>
      </c>
      <c r="AD63" s="53"/>
      <c r="AE63" s="28" t="e">
        <f t="shared" ref="AE63:AX63" si="67">SUM(AE58:AE62)</f>
        <v>#REF!</v>
      </c>
      <c r="AF63" s="28">
        <f t="shared" si="67"/>
        <v>55453</v>
      </c>
      <c r="AG63" s="28">
        <f t="shared" si="67"/>
        <v>55741</v>
      </c>
      <c r="AH63" s="28">
        <f t="shared" si="67"/>
        <v>61782</v>
      </c>
      <c r="AI63" s="28">
        <f t="shared" si="67"/>
        <v>64254</v>
      </c>
      <c r="AJ63" s="28">
        <f t="shared" si="67"/>
        <v>61948</v>
      </c>
      <c r="AK63" s="28">
        <f t="shared" si="67"/>
        <v>61354</v>
      </c>
      <c r="AL63" s="28">
        <f t="shared" si="67"/>
        <v>65979</v>
      </c>
      <c r="AM63" s="28">
        <f t="shared" si="67"/>
        <v>69300</v>
      </c>
      <c r="AN63" s="28">
        <f t="shared" si="67"/>
        <v>68854</v>
      </c>
      <c r="AO63" s="28">
        <f t="shared" si="67"/>
        <v>77709</v>
      </c>
      <c r="AP63" s="28">
        <f t="shared" si="67"/>
        <v>86295</v>
      </c>
      <c r="AQ63" s="28">
        <f t="shared" si="67"/>
        <v>81814</v>
      </c>
      <c r="AR63" s="28">
        <f t="shared" si="67"/>
        <v>76997</v>
      </c>
      <c r="AS63" s="28">
        <f t="shared" si="67"/>
        <v>77913</v>
      </c>
      <c r="AT63" s="28">
        <f t="shared" si="67"/>
        <v>80803</v>
      </c>
      <c r="AU63" s="28">
        <f t="shared" si="67"/>
        <v>89122</v>
      </c>
      <c r="AV63" s="28">
        <f t="shared" si="67"/>
        <v>91654</v>
      </c>
      <c r="AW63" s="28">
        <f t="shared" si="67"/>
        <v>87310</v>
      </c>
      <c r="AX63" s="28">
        <f t="shared" si="67"/>
        <v>99550</v>
      </c>
      <c r="AY63" s="45"/>
      <c r="AZ63" s="83">
        <f t="shared" si="64"/>
        <v>0.23200871254780142</v>
      </c>
    </row>
    <row r="64" spans="2:52" ht="5.0999999999999996" customHeight="1">
      <c r="B64" s="27"/>
      <c r="C64" s="55"/>
      <c r="D64" s="55"/>
      <c r="E64" s="55"/>
      <c r="F64" s="55"/>
      <c r="G64" s="55"/>
      <c r="H64" s="44"/>
      <c r="I64" s="44"/>
      <c r="K64" s="44"/>
      <c r="L64" s="44"/>
      <c r="M64" s="44"/>
      <c r="N64" s="44"/>
      <c r="O64" s="44"/>
      <c r="P64" s="44"/>
      <c r="Q64" s="44"/>
      <c r="R64" s="44"/>
      <c r="S64" s="44"/>
      <c r="T64" s="44"/>
      <c r="U64" s="44"/>
      <c r="V64" s="44"/>
      <c r="W64" s="44"/>
      <c r="X64" s="44"/>
      <c r="Y64" s="44"/>
      <c r="Z64" s="44"/>
      <c r="AA64" s="44"/>
      <c r="AB64" s="44"/>
      <c r="AC64" s="44"/>
      <c r="AE64" s="45"/>
      <c r="AF64" s="45"/>
      <c r="AG64" s="45"/>
      <c r="AH64" s="45"/>
      <c r="AI64" s="45"/>
      <c r="AJ64" s="45"/>
      <c r="AK64" s="45"/>
      <c r="AL64" s="45"/>
      <c r="AM64" s="45"/>
      <c r="AN64" s="45"/>
      <c r="AO64" s="45"/>
      <c r="AP64" s="45"/>
      <c r="AQ64" s="45"/>
      <c r="AR64" s="45"/>
      <c r="AS64" s="45"/>
      <c r="AT64" s="45"/>
      <c r="AU64" s="45"/>
      <c r="AV64" s="45"/>
      <c r="AW64" s="45"/>
      <c r="AX64" s="45"/>
      <c r="AY64" s="45"/>
      <c r="AZ64" s="42"/>
    </row>
    <row r="65" spans="2:52">
      <c r="B65" s="85" t="s">
        <v>447</v>
      </c>
      <c r="C65" s="55"/>
      <c r="D65" s="55"/>
      <c r="E65" s="55"/>
      <c r="F65" s="55"/>
      <c r="G65" s="55"/>
      <c r="H65" s="44"/>
      <c r="I65" s="44"/>
      <c r="K65" s="44"/>
      <c r="L65" s="44"/>
      <c r="M65" s="44"/>
      <c r="N65" s="44"/>
      <c r="O65" s="44"/>
      <c r="P65" s="44"/>
      <c r="Q65" s="44"/>
      <c r="R65" s="44"/>
      <c r="S65" s="44"/>
      <c r="T65" s="44"/>
      <c r="U65" s="44"/>
      <c r="V65" s="44"/>
      <c r="W65" s="44"/>
      <c r="X65" s="44"/>
      <c r="Y65" s="44"/>
      <c r="Z65" s="44"/>
      <c r="AA65" s="44"/>
      <c r="AB65" s="44"/>
      <c r="AC65" s="44"/>
      <c r="AE65" s="45"/>
      <c r="AF65" s="45"/>
      <c r="AG65" s="45"/>
      <c r="AH65" s="45"/>
      <c r="AI65" s="45"/>
      <c r="AJ65" s="45"/>
      <c r="AK65" s="45"/>
      <c r="AL65" s="45"/>
      <c r="AM65" s="45"/>
      <c r="AN65" s="45"/>
      <c r="AO65" s="45"/>
      <c r="AP65" s="45"/>
      <c r="AQ65" s="45"/>
      <c r="AR65" s="45"/>
      <c r="AS65" s="45"/>
      <c r="AT65" s="45"/>
      <c r="AU65" s="45"/>
      <c r="AV65" s="45"/>
      <c r="AW65" s="45"/>
      <c r="AX65" s="45"/>
      <c r="AY65" s="45"/>
      <c r="AZ65" s="42"/>
    </row>
    <row r="66" spans="2:52" ht="12.75" customHeight="1">
      <c r="B66" s="464" t="s">
        <v>528</v>
      </c>
      <c r="C66" s="465">
        <v>4012</v>
      </c>
      <c r="D66" s="465">
        <v>4554</v>
      </c>
      <c r="E66" s="465">
        <v>13932</v>
      </c>
      <c r="F66" s="465">
        <v>14817</v>
      </c>
      <c r="G66" s="465">
        <v>14701</v>
      </c>
      <c r="H66" s="465">
        <v>11870</v>
      </c>
      <c r="I66" s="465">
        <v>10883</v>
      </c>
      <c r="J66" s="56"/>
      <c r="K66" s="465">
        <v>13887</v>
      </c>
      <c r="L66" s="465">
        <v>14328</v>
      </c>
      <c r="M66" s="465">
        <v>14288</v>
      </c>
      <c r="N66" s="362">
        <f>F66</f>
        <v>14817</v>
      </c>
      <c r="O66" s="465">
        <v>14791</v>
      </c>
      <c r="P66" s="465">
        <v>14734</v>
      </c>
      <c r="Q66" s="465">
        <v>14653</v>
      </c>
      <c r="R66" s="362">
        <f>G66</f>
        <v>14701</v>
      </c>
      <c r="S66" s="465">
        <v>13697</v>
      </c>
      <c r="T66" s="465">
        <v>13705</v>
      </c>
      <c r="U66" s="465">
        <v>13781</v>
      </c>
      <c r="V66" s="362">
        <f>H66</f>
        <v>11870</v>
      </c>
      <c r="W66" s="465">
        <v>13228</v>
      </c>
      <c r="X66" s="465">
        <v>13238</v>
      </c>
      <c r="Y66" s="465">
        <v>12297</v>
      </c>
      <c r="Z66" s="362">
        <f>I66</f>
        <v>10883</v>
      </c>
      <c r="AA66" s="465">
        <v>10886</v>
      </c>
      <c r="AB66" s="465">
        <v>23607</v>
      </c>
      <c r="AC66" s="465">
        <v>21607</v>
      </c>
      <c r="AD66" s="465"/>
      <c r="AE66" s="362" t="e">
        <f>#REF!</f>
        <v>#REF!</v>
      </c>
      <c r="AF66" s="362">
        <f t="shared" ref="AF66:AN69" si="68">K66</f>
        <v>13887</v>
      </c>
      <c r="AG66" s="362">
        <f t="shared" si="68"/>
        <v>14328</v>
      </c>
      <c r="AH66" s="362">
        <f t="shared" si="68"/>
        <v>14288</v>
      </c>
      <c r="AI66" s="362">
        <f t="shared" si="68"/>
        <v>14817</v>
      </c>
      <c r="AJ66" s="362">
        <f t="shared" si="68"/>
        <v>14791</v>
      </c>
      <c r="AK66" s="362">
        <f t="shared" si="68"/>
        <v>14734</v>
      </c>
      <c r="AL66" s="362">
        <f t="shared" si="68"/>
        <v>14653</v>
      </c>
      <c r="AM66" s="362">
        <f t="shared" si="68"/>
        <v>14701</v>
      </c>
      <c r="AN66" s="362">
        <f t="shared" si="68"/>
        <v>13697</v>
      </c>
      <c r="AO66" s="362">
        <f t="shared" ref="AO66:AX69" si="69">T66</f>
        <v>13705</v>
      </c>
      <c r="AP66" s="362">
        <f t="shared" si="69"/>
        <v>13781</v>
      </c>
      <c r="AQ66" s="362">
        <f t="shared" si="69"/>
        <v>11870</v>
      </c>
      <c r="AR66" s="362">
        <f t="shared" si="69"/>
        <v>13228</v>
      </c>
      <c r="AS66" s="362">
        <f t="shared" si="69"/>
        <v>13238</v>
      </c>
      <c r="AT66" s="362">
        <f t="shared" si="69"/>
        <v>12297</v>
      </c>
      <c r="AU66" s="362">
        <f t="shared" si="69"/>
        <v>10883</v>
      </c>
      <c r="AV66" s="362">
        <f t="shared" si="69"/>
        <v>10886</v>
      </c>
      <c r="AW66" s="362">
        <f t="shared" si="69"/>
        <v>23607</v>
      </c>
      <c r="AX66" s="362">
        <f t="shared" si="69"/>
        <v>21607</v>
      </c>
      <c r="AY66" s="45"/>
      <c r="AZ66" s="82">
        <f t="shared" ref="AZ66:AZ77" si="70">SUM(AX66/AT66)-1</f>
        <v>0.75709522647800287</v>
      </c>
    </row>
    <row r="67" spans="2:52" ht="12.75" customHeight="1">
      <c r="B67" s="464" t="s">
        <v>483</v>
      </c>
      <c r="C67" s="465">
        <f>11327+1264</f>
        <v>12591</v>
      </c>
      <c r="D67" s="465">
        <f>9885+1701</f>
        <v>11586</v>
      </c>
      <c r="E67" s="465">
        <f>8849+3561</f>
        <v>12410</v>
      </c>
      <c r="F67" s="465">
        <f>9176+5257</f>
        <v>14433</v>
      </c>
      <c r="G67" s="465">
        <f>9258+514</f>
        <v>9772</v>
      </c>
      <c r="H67" s="465">
        <v>8474</v>
      </c>
      <c r="I67" s="465">
        <v>8782</v>
      </c>
      <c r="J67" s="56"/>
      <c r="K67" s="465">
        <f>9278+4406</f>
        <v>13684</v>
      </c>
      <c r="L67" s="465">
        <f>8651+4703</f>
        <v>13354</v>
      </c>
      <c r="M67" s="465">
        <f>8984+3551</f>
        <v>12535</v>
      </c>
      <c r="N67" s="362">
        <f>F67</f>
        <v>14433</v>
      </c>
      <c r="O67" s="465">
        <f>9406+2843</f>
        <v>12249</v>
      </c>
      <c r="P67" s="465">
        <f>8163+924</f>
        <v>9087</v>
      </c>
      <c r="Q67" s="465">
        <f>8572+476</f>
        <v>9048</v>
      </c>
      <c r="R67" s="362">
        <f>G67</f>
        <v>9772</v>
      </c>
      <c r="S67" s="465">
        <f>9722+542</f>
        <v>10264</v>
      </c>
      <c r="T67" s="465">
        <f>8753+558</f>
        <v>9311</v>
      </c>
      <c r="U67" s="465">
        <f>8038+528</f>
        <v>8566</v>
      </c>
      <c r="V67" s="362">
        <f>H67</f>
        <v>8474</v>
      </c>
      <c r="W67" s="465">
        <f>9234+486</f>
        <v>9720</v>
      </c>
      <c r="X67" s="465">
        <f>7703+717</f>
        <v>8420</v>
      </c>
      <c r="Y67" s="465">
        <f>1015+8219</f>
        <v>9234</v>
      </c>
      <c r="Z67" s="362">
        <f>I67</f>
        <v>8782</v>
      </c>
      <c r="AA67" s="465">
        <v>9773</v>
      </c>
      <c r="AB67" s="465">
        <v>10027</v>
      </c>
      <c r="AC67" s="465">
        <v>10072</v>
      </c>
      <c r="AD67" s="465"/>
      <c r="AE67" s="362" t="e">
        <f>#REF!</f>
        <v>#REF!</v>
      </c>
      <c r="AF67" s="362">
        <f t="shared" si="68"/>
        <v>13684</v>
      </c>
      <c r="AG67" s="362">
        <f t="shared" si="68"/>
        <v>13354</v>
      </c>
      <c r="AH67" s="362">
        <f t="shared" si="68"/>
        <v>12535</v>
      </c>
      <c r="AI67" s="362">
        <f t="shared" si="68"/>
        <v>14433</v>
      </c>
      <c r="AJ67" s="362">
        <f t="shared" si="68"/>
        <v>12249</v>
      </c>
      <c r="AK67" s="362">
        <f t="shared" si="68"/>
        <v>9087</v>
      </c>
      <c r="AL67" s="362">
        <f t="shared" si="68"/>
        <v>9048</v>
      </c>
      <c r="AM67" s="362">
        <f t="shared" si="68"/>
        <v>9772</v>
      </c>
      <c r="AN67" s="362">
        <f t="shared" si="68"/>
        <v>10264</v>
      </c>
      <c r="AO67" s="362">
        <f t="shared" si="69"/>
        <v>9311</v>
      </c>
      <c r="AP67" s="362">
        <f t="shared" si="69"/>
        <v>8566</v>
      </c>
      <c r="AQ67" s="362">
        <f t="shared" si="69"/>
        <v>8474</v>
      </c>
      <c r="AR67" s="362">
        <f t="shared" si="69"/>
        <v>9720</v>
      </c>
      <c r="AS67" s="362">
        <f t="shared" si="69"/>
        <v>8420</v>
      </c>
      <c r="AT67" s="362">
        <f t="shared" si="69"/>
        <v>9234</v>
      </c>
      <c r="AU67" s="362">
        <f t="shared" si="69"/>
        <v>8782</v>
      </c>
      <c r="AV67" s="362">
        <f t="shared" si="69"/>
        <v>9773</v>
      </c>
      <c r="AW67" s="362">
        <f t="shared" si="69"/>
        <v>10027</v>
      </c>
      <c r="AX67" s="362">
        <f t="shared" si="69"/>
        <v>10072</v>
      </c>
      <c r="AY67" s="45"/>
      <c r="AZ67" s="82">
        <f t="shared" si="70"/>
        <v>9.075157028373404E-2</v>
      </c>
    </row>
    <row r="68" spans="2:52" ht="12.75" customHeight="1">
      <c r="B68" s="464" t="s">
        <v>569</v>
      </c>
      <c r="C68" s="465">
        <v>0</v>
      </c>
      <c r="D68" s="465">
        <v>10214</v>
      </c>
      <c r="E68" s="465">
        <v>11146</v>
      </c>
      <c r="F68" s="465">
        <v>11389</v>
      </c>
      <c r="G68" s="465">
        <v>12501</v>
      </c>
      <c r="H68" s="465">
        <v>12460</v>
      </c>
      <c r="I68" s="465">
        <v>11691</v>
      </c>
      <c r="J68" s="56"/>
      <c r="K68" s="465">
        <v>11382</v>
      </c>
      <c r="L68" s="465">
        <v>11619</v>
      </c>
      <c r="M68" s="465">
        <v>11471</v>
      </c>
      <c r="N68" s="362">
        <f>F68</f>
        <v>11389</v>
      </c>
      <c r="O68" s="465">
        <v>11363</v>
      </c>
      <c r="P68" s="465">
        <v>11697</v>
      </c>
      <c r="Q68" s="465">
        <v>11984</v>
      </c>
      <c r="R68" s="362">
        <f>G68</f>
        <v>12501</v>
      </c>
      <c r="S68" s="465">
        <v>12799</v>
      </c>
      <c r="T68" s="465">
        <v>12746</v>
      </c>
      <c r="U68" s="465">
        <v>12550</v>
      </c>
      <c r="V68" s="362">
        <f>H68</f>
        <v>12460</v>
      </c>
      <c r="W68" s="465">
        <v>11957</v>
      </c>
      <c r="X68" s="465">
        <v>11708</v>
      </c>
      <c r="Y68" s="465">
        <v>11654</v>
      </c>
      <c r="Z68" s="362">
        <f>I68</f>
        <v>11691</v>
      </c>
      <c r="AA68" s="465">
        <v>11678</v>
      </c>
      <c r="AB68" s="465">
        <v>11952</v>
      </c>
      <c r="AC68" s="465">
        <v>12106</v>
      </c>
      <c r="AE68" s="362" t="e">
        <f>#REF!</f>
        <v>#REF!</v>
      </c>
      <c r="AF68" s="362">
        <f t="shared" si="68"/>
        <v>11382</v>
      </c>
      <c r="AG68" s="362">
        <f t="shared" si="68"/>
        <v>11619</v>
      </c>
      <c r="AH68" s="362">
        <f t="shared" si="68"/>
        <v>11471</v>
      </c>
      <c r="AI68" s="362">
        <f t="shared" si="68"/>
        <v>11389</v>
      </c>
      <c r="AJ68" s="362">
        <f t="shared" si="68"/>
        <v>11363</v>
      </c>
      <c r="AK68" s="362">
        <f t="shared" si="68"/>
        <v>11697</v>
      </c>
      <c r="AL68" s="362">
        <f t="shared" si="68"/>
        <v>11984</v>
      </c>
      <c r="AM68" s="362">
        <f t="shared" si="68"/>
        <v>12501</v>
      </c>
      <c r="AN68" s="362">
        <f t="shared" si="68"/>
        <v>12799</v>
      </c>
      <c r="AO68" s="362">
        <f t="shared" si="69"/>
        <v>12746</v>
      </c>
      <c r="AP68" s="362">
        <f t="shared" si="69"/>
        <v>12550</v>
      </c>
      <c r="AQ68" s="362">
        <f t="shared" si="69"/>
        <v>12460</v>
      </c>
      <c r="AR68" s="362">
        <f t="shared" si="69"/>
        <v>11957</v>
      </c>
      <c r="AS68" s="362">
        <f t="shared" si="69"/>
        <v>11708</v>
      </c>
      <c r="AT68" s="362">
        <f t="shared" si="69"/>
        <v>11654</v>
      </c>
      <c r="AU68" s="362">
        <f t="shared" si="69"/>
        <v>11691</v>
      </c>
      <c r="AV68" s="362">
        <f t="shared" si="69"/>
        <v>11678</v>
      </c>
      <c r="AW68" s="362">
        <f t="shared" si="69"/>
        <v>11952</v>
      </c>
      <c r="AX68" s="362">
        <f t="shared" si="69"/>
        <v>12106</v>
      </c>
      <c r="AY68" s="45"/>
      <c r="AZ68" s="82">
        <f t="shared" si="70"/>
        <v>3.8784966535095222E-2</v>
      </c>
    </row>
    <row r="69" spans="2:52" ht="12.75" customHeight="1">
      <c r="B69" s="464" t="s">
        <v>482</v>
      </c>
      <c r="C69" s="465">
        <f>396+3545</f>
        <v>3941</v>
      </c>
      <c r="D69" s="465">
        <f>358+2534</f>
        <v>2892</v>
      </c>
      <c r="E69" s="465">
        <f>481+2269</f>
        <v>2750</v>
      </c>
      <c r="F69" s="465">
        <f>535+2205</f>
        <v>2740</v>
      </c>
      <c r="G69" s="465">
        <f>599+2247</f>
        <v>2846</v>
      </c>
      <c r="H69" s="465">
        <v>4395</v>
      </c>
      <c r="I69" s="465">
        <v>4694</v>
      </c>
      <c r="J69" s="56"/>
      <c r="K69" s="465">
        <f>530+2146</f>
        <v>2676</v>
      </c>
      <c r="L69" s="465">
        <f>510+2270</f>
        <v>2780</v>
      </c>
      <c r="M69" s="465">
        <f>510+2250</f>
        <v>2760</v>
      </c>
      <c r="N69" s="362">
        <f>F69</f>
        <v>2740</v>
      </c>
      <c r="O69" s="465">
        <f>2242+499</f>
        <v>2741</v>
      </c>
      <c r="P69" s="465">
        <f>2422+472</f>
        <v>2894</v>
      </c>
      <c r="Q69" s="465">
        <f>2371+594</f>
        <v>2965</v>
      </c>
      <c r="R69" s="362">
        <f>G69</f>
        <v>2846</v>
      </c>
      <c r="S69" s="465">
        <f>610+2373</f>
        <v>2983</v>
      </c>
      <c r="T69" s="465">
        <f>1765+667</f>
        <v>2432</v>
      </c>
      <c r="U69" s="465">
        <f>1433+884</f>
        <v>2317</v>
      </c>
      <c r="V69" s="362">
        <f>H69</f>
        <v>4395</v>
      </c>
      <c r="W69" s="465">
        <f>1683+921</f>
        <v>2604</v>
      </c>
      <c r="X69" s="465">
        <f>1753+985</f>
        <v>2738</v>
      </c>
      <c r="Y69" s="465">
        <f>1453+706</f>
        <v>2159</v>
      </c>
      <c r="Z69" s="362">
        <f>I69</f>
        <v>4694</v>
      </c>
      <c r="AA69" s="465">
        <v>6116</v>
      </c>
      <c r="AB69" s="465">
        <v>6241</v>
      </c>
      <c r="AC69" s="465">
        <v>6267</v>
      </c>
      <c r="AE69" s="362" t="e">
        <f>#REF!</f>
        <v>#REF!</v>
      </c>
      <c r="AF69" s="362">
        <f t="shared" si="68"/>
        <v>2676</v>
      </c>
      <c r="AG69" s="362">
        <f t="shared" si="68"/>
        <v>2780</v>
      </c>
      <c r="AH69" s="362">
        <f t="shared" si="68"/>
        <v>2760</v>
      </c>
      <c r="AI69" s="362">
        <f t="shared" si="68"/>
        <v>2740</v>
      </c>
      <c r="AJ69" s="362">
        <f t="shared" si="68"/>
        <v>2741</v>
      </c>
      <c r="AK69" s="362">
        <f t="shared" si="68"/>
        <v>2894</v>
      </c>
      <c r="AL69" s="362">
        <f t="shared" si="68"/>
        <v>2965</v>
      </c>
      <c r="AM69" s="362">
        <f t="shared" si="68"/>
        <v>2846</v>
      </c>
      <c r="AN69" s="362">
        <f t="shared" si="68"/>
        <v>2983</v>
      </c>
      <c r="AO69" s="362">
        <f t="shared" si="69"/>
        <v>2432</v>
      </c>
      <c r="AP69" s="362">
        <f t="shared" si="69"/>
        <v>2317</v>
      </c>
      <c r="AQ69" s="362">
        <f t="shared" si="69"/>
        <v>4395</v>
      </c>
      <c r="AR69" s="362">
        <f t="shared" si="69"/>
        <v>2604</v>
      </c>
      <c r="AS69" s="362">
        <f t="shared" si="69"/>
        <v>2738</v>
      </c>
      <c r="AT69" s="362">
        <f t="shared" si="69"/>
        <v>2159</v>
      </c>
      <c r="AU69" s="362">
        <f t="shared" si="69"/>
        <v>4694</v>
      </c>
      <c r="AV69" s="362">
        <f t="shared" si="69"/>
        <v>6116</v>
      </c>
      <c r="AW69" s="362">
        <f t="shared" si="69"/>
        <v>6241</v>
      </c>
      <c r="AX69" s="362">
        <f t="shared" si="69"/>
        <v>6267</v>
      </c>
      <c r="AY69" s="12"/>
      <c r="AZ69" s="82">
        <f t="shared" si="70"/>
        <v>1.9027327466419637</v>
      </c>
    </row>
    <row r="70" spans="2:52" ht="12.75" customHeight="1">
      <c r="B70" s="14" t="s">
        <v>24</v>
      </c>
      <c r="C70" s="15">
        <f t="shared" ref="C70:I70" si="71">SUM(C66:C69)+C63</f>
        <v>55164</v>
      </c>
      <c r="D70" s="15">
        <f t="shared" si="71"/>
        <v>74467</v>
      </c>
      <c r="E70" s="15">
        <f t="shared" si="71"/>
        <v>97072</v>
      </c>
      <c r="F70" s="15">
        <f t="shared" si="71"/>
        <v>107633</v>
      </c>
      <c r="G70" s="15">
        <f t="shared" si="71"/>
        <v>109120</v>
      </c>
      <c r="H70" s="15">
        <f t="shared" si="71"/>
        <v>119013</v>
      </c>
      <c r="I70" s="15">
        <f t="shared" si="71"/>
        <v>125172</v>
      </c>
      <c r="K70" s="15">
        <f t="shared" ref="K70:AC70" si="72">SUM(K66:K69)+K63</f>
        <v>97082</v>
      </c>
      <c r="L70" s="15">
        <f t="shared" si="72"/>
        <v>97822</v>
      </c>
      <c r="M70" s="15">
        <f t="shared" si="72"/>
        <v>102836</v>
      </c>
      <c r="N70" s="15">
        <f t="shared" si="72"/>
        <v>107633</v>
      </c>
      <c r="O70" s="15">
        <f t="shared" si="72"/>
        <v>103092</v>
      </c>
      <c r="P70" s="15">
        <f t="shared" si="72"/>
        <v>99766</v>
      </c>
      <c r="Q70" s="15">
        <f t="shared" si="72"/>
        <v>104629</v>
      </c>
      <c r="R70" s="15">
        <f t="shared" si="72"/>
        <v>109120</v>
      </c>
      <c r="S70" s="15">
        <f t="shared" si="72"/>
        <v>108597</v>
      </c>
      <c r="T70" s="15">
        <f t="shared" si="72"/>
        <v>115903</v>
      </c>
      <c r="U70" s="15">
        <f t="shared" si="72"/>
        <v>123509</v>
      </c>
      <c r="V70" s="15">
        <f t="shared" si="72"/>
        <v>119013</v>
      </c>
      <c r="W70" s="15">
        <f t="shared" si="72"/>
        <v>114506</v>
      </c>
      <c r="X70" s="15">
        <f t="shared" si="72"/>
        <v>114017</v>
      </c>
      <c r="Y70" s="15">
        <f t="shared" si="72"/>
        <v>116147</v>
      </c>
      <c r="Z70" s="15">
        <f t="shared" si="72"/>
        <v>125172</v>
      </c>
      <c r="AA70" s="15">
        <f t="shared" si="72"/>
        <v>130107</v>
      </c>
      <c r="AB70" s="15">
        <f t="shared" si="72"/>
        <v>139137</v>
      </c>
      <c r="AC70" s="15">
        <f t="shared" si="72"/>
        <v>149602</v>
      </c>
      <c r="AE70" s="15" t="e">
        <f t="shared" ref="AE70:AX70" si="73">SUM(AE66:AE69)+AE63</f>
        <v>#REF!</v>
      </c>
      <c r="AF70" s="15">
        <f t="shared" si="73"/>
        <v>97082</v>
      </c>
      <c r="AG70" s="15">
        <f t="shared" si="73"/>
        <v>97822</v>
      </c>
      <c r="AH70" s="15">
        <f t="shared" si="73"/>
        <v>102836</v>
      </c>
      <c r="AI70" s="15">
        <f t="shared" si="73"/>
        <v>107633</v>
      </c>
      <c r="AJ70" s="15">
        <f t="shared" si="73"/>
        <v>103092</v>
      </c>
      <c r="AK70" s="15">
        <f t="shared" si="73"/>
        <v>99766</v>
      </c>
      <c r="AL70" s="15">
        <f t="shared" si="73"/>
        <v>104629</v>
      </c>
      <c r="AM70" s="15">
        <f t="shared" si="73"/>
        <v>109120</v>
      </c>
      <c r="AN70" s="15">
        <f t="shared" si="73"/>
        <v>108597</v>
      </c>
      <c r="AO70" s="15">
        <f t="shared" si="73"/>
        <v>115903</v>
      </c>
      <c r="AP70" s="15">
        <f t="shared" si="73"/>
        <v>123509</v>
      </c>
      <c r="AQ70" s="15">
        <f t="shared" si="73"/>
        <v>119013</v>
      </c>
      <c r="AR70" s="15">
        <f t="shared" si="73"/>
        <v>114506</v>
      </c>
      <c r="AS70" s="15">
        <f t="shared" si="73"/>
        <v>114017</v>
      </c>
      <c r="AT70" s="15">
        <f t="shared" si="73"/>
        <v>116147</v>
      </c>
      <c r="AU70" s="15">
        <f t="shared" si="73"/>
        <v>125172</v>
      </c>
      <c r="AV70" s="15">
        <f t="shared" si="73"/>
        <v>130107</v>
      </c>
      <c r="AW70" s="15">
        <f t="shared" si="73"/>
        <v>139137</v>
      </c>
      <c r="AX70" s="15">
        <f t="shared" si="73"/>
        <v>149602</v>
      </c>
      <c r="AY70" s="45"/>
      <c r="AZ70" s="83">
        <f t="shared" si="70"/>
        <v>0.28804015600919519</v>
      </c>
    </row>
    <row r="71" spans="2:52" ht="5.0999999999999996" customHeight="1">
      <c r="B71" s="27"/>
      <c r="C71" s="54"/>
      <c r="D71" s="54"/>
      <c r="E71" s="54"/>
      <c r="F71" s="54"/>
      <c r="G71" s="54"/>
      <c r="H71" s="44"/>
      <c r="I71" s="44"/>
      <c r="K71" s="44"/>
      <c r="L71" s="44"/>
      <c r="M71" s="44"/>
      <c r="N71" s="44"/>
      <c r="O71" s="44"/>
      <c r="P71" s="44"/>
      <c r="Q71" s="44"/>
      <c r="R71" s="44"/>
      <c r="S71" s="44"/>
      <c r="T71" s="44"/>
      <c r="U71" s="44"/>
      <c r="V71" s="44"/>
      <c r="W71" s="44"/>
      <c r="X71" s="44"/>
      <c r="Y71" s="44"/>
      <c r="Z71" s="44"/>
      <c r="AA71" s="44"/>
      <c r="AB71" s="44"/>
      <c r="AC71" s="44"/>
      <c r="AE71" s="45"/>
      <c r="AF71" s="45"/>
      <c r="AG71" s="45"/>
      <c r="AH71" s="45"/>
      <c r="AI71" s="45"/>
      <c r="AJ71" s="45"/>
      <c r="AK71" s="45"/>
      <c r="AL71" s="45"/>
      <c r="AM71" s="45"/>
      <c r="AN71" s="45"/>
      <c r="AO71" s="45"/>
      <c r="AP71" s="45"/>
      <c r="AQ71" s="45"/>
      <c r="AR71" s="45"/>
      <c r="AS71" s="45"/>
      <c r="AT71" s="45"/>
      <c r="AU71" s="45"/>
      <c r="AV71" s="45"/>
      <c r="AW71" s="45"/>
      <c r="AX71" s="45"/>
      <c r="AY71" s="45"/>
      <c r="AZ71" s="42"/>
    </row>
    <row r="72" spans="2:52" ht="12.75" customHeight="1">
      <c r="B72" s="10" t="s">
        <v>484</v>
      </c>
      <c r="C72" s="89">
        <v>0</v>
      </c>
      <c r="D72" s="89">
        <v>0</v>
      </c>
      <c r="E72" s="89">
        <v>0</v>
      </c>
      <c r="F72" s="89">
        <v>0</v>
      </c>
      <c r="G72" s="89">
        <v>0</v>
      </c>
      <c r="H72" s="89">
        <v>0</v>
      </c>
      <c r="I72" s="89">
        <v>0</v>
      </c>
      <c r="J72" s="34"/>
      <c r="K72" s="89">
        <v>0</v>
      </c>
      <c r="L72" s="89">
        <v>0</v>
      </c>
      <c r="M72" s="89">
        <v>0</v>
      </c>
      <c r="N72" s="34">
        <f>F72</f>
        <v>0</v>
      </c>
      <c r="O72" s="89">
        <v>0</v>
      </c>
      <c r="P72" s="89">
        <v>0</v>
      </c>
      <c r="Q72" s="89">
        <v>0</v>
      </c>
      <c r="R72" s="362">
        <f>G72</f>
        <v>0</v>
      </c>
      <c r="S72" s="89">
        <v>0</v>
      </c>
      <c r="T72" s="89">
        <v>0</v>
      </c>
      <c r="U72" s="89">
        <v>0</v>
      </c>
      <c r="V72" s="34">
        <f>H72</f>
        <v>0</v>
      </c>
      <c r="W72" s="89">
        <v>0</v>
      </c>
      <c r="X72" s="89">
        <v>0</v>
      </c>
      <c r="Y72" s="89">
        <v>0</v>
      </c>
      <c r="Z72" s="34">
        <f>I72</f>
        <v>0</v>
      </c>
      <c r="AA72" s="89">
        <v>0</v>
      </c>
      <c r="AB72" s="89">
        <v>0</v>
      </c>
      <c r="AC72" s="89">
        <v>0</v>
      </c>
      <c r="AE72" s="34" t="e">
        <f>#REF!</f>
        <v>#REF!</v>
      </c>
      <c r="AF72" s="34">
        <f t="shared" ref="AF72:AN75" si="74">K72</f>
        <v>0</v>
      </c>
      <c r="AG72" s="34">
        <f t="shared" si="74"/>
        <v>0</v>
      </c>
      <c r="AH72" s="34">
        <f t="shared" si="74"/>
        <v>0</v>
      </c>
      <c r="AI72" s="34">
        <f t="shared" si="74"/>
        <v>0</v>
      </c>
      <c r="AJ72" s="34">
        <f t="shared" si="74"/>
        <v>0</v>
      </c>
      <c r="AK72" s="34">
        <f t="shared" si="74"/>
        <v>0</v>
      </c>
      <c r="AL72" s="34">
        <f t="shared" si="74"/>
        <v>0</v>
      </c>
      <c r="AM72" s="34">
        <f t="shared" si="74"/>
        <v>0</v>
      </c>
      <c r="AN72" s="34">
        <f t="shared" si="74"/>
        <v>0</v>
      </c>
      <c r="AO72" s="34">
        <f t="shared" ref="AO72:AX75" si="75">T72</f>
        <v>0</v>
      </c>
      <c r="AP72" s="34">
        <f t="shared" si="75"/>
        <v>0</v>
      </c>
      <c r="AQ72" s="34">
        <f t="shared" si="75"/>
        <v>0</v>
      </c>
      <c r="AR72" s="34">
        <f t="shared" si="75"/>
        <v>0</v>
      </c>
      <c r="AS72" s="34">
        <f t="shared" si="75"/>
        <v>0</v>
      </c>
      <c r="AT72" s="34">
        <f t="shared" si="75"/>
        <v>0</v>
      </c>
      <c r="AU72" s="34">
        <f t="shared" si="75"/>
        <v>0</v>
      </c>
      <c r="AV72" s="34">
        <f t="shared" si="75"/>
        <v>0</v>
      </c>
      <c r="AW72" s="34">
        <f t="shared" si="75"/>
        <v>0</v>
      </c>
      <c r="AX72" s="34">
        <f t="shared" si="75"/>
        <v>0</v>
      </c>
      <c r="AY72" s="12"/>
      <c r="AZ72" s="82" t="e">
        <f t="shared" si="70"/>
        <v>#DIV/0!</v>
      </c>
    </row>
    <row r="73" spans="2:52" ht="12.75" customHeight="1">
      <c r="B73" s="10" t="s">
        <v>523</v>
      </c>
      <c r="C73" s="89">
        <v>45049</v>
      </c>
      <c r="D73" s="89">
        <v>50552</v>
      </c>
      <c r="E73" s="89">
        <v>58510</v>
      </c>
      <c r="F73" s="89">
        <v>61774</v>
      </c>
      <c r="G73" s="89">
        <v>68184</v>
      </c>
      <c r="H73" s="89">
        <v>76534</v>
      </c>
      <c r="I73" s="89">
        <v>84800</v>
      </c>
      <c r="J73" s="34"/>
      <c r="K73" s="89">
        <v>59436</v>
      </c>
      <c r="L73" s="89">
        <v>60436</v>
      </c>
      <c r="M73" s="89">
        <v>61193</v>
      </c>
      <c r="N73" s="34">
        <f>F73</f>
        <v>61774</v>
      </c>
      <c r="O73" s="89">
        <v>62832</v>
      </c>
      <c r="P73" s="89">
        <v>64402</v>
      </c>
      <c r="Q73" s="89">
        <v>66258</v>
      </c>
      <c r="R73" s="362">
        <f>G73</f>
        <v>68184</v>
      </c>
      <c r="S73" s="89">
        <v>70269</v>
      </c>
      <c r="T73" s="89">
        <v>72248</v>
      </c>
      <c r="U73" s="89">
        <v>74591</v>
      </c>
      <c r="V73" s="34">
        <f>H73</f>
        <v>76534</v>
      </c>
      <c r="W73" s="89">
        <v>77913</v>
      </c>
      <c r="X73" s="89">
        <v>79732</v>
      </c>
      <c r="Y73" s="89">
        <v>82030</v>
      </c>
      <c r="Z73" s="34">
        <f>I73</f>
        <v>84800</v>
      </c>
      <c r="AA73" s="89">
        <v>86725</v>
      </c>
      <c r="AB73" s="89">
        <v>89283</v>
      </c>
      <c r="AC73" s="89">
        <v>91695</v>
      </c>
      <c r="AE73" s="34" t="e">
        <f>#REF!</f>
        <v>#REF!</v>
      </c>
      <c r="AF73" s="34">
        <f t="shared" si="74"/>
        <v>59436</v>
      </c>
      <c r="AG73" s="34">
        <f t="shared" si="74"/>
        <v>60436</v>
      </c>
      <c r="AH73" s="34">
        <f t="shared" si="74"/>
        <v>61193</v>
      </c>
      <c r="AI73" s="34">
        <f t="shared" si="74"/>
        <v>61774</v>
      </c>
      <c r="AJ73" s="34">
        <f t="shared" si="74"/>
        <v>62832</v>
      </c>
      <c r="AK73" s="34">
        <f t="shared" si="74"/>
        <v>64402</v>
      </c>
      <c r="AL73" s="34">
        <f t="shared" si="74"/>
        <v>66258</v>
      </c>
      <c r="AM73" s="34">
        <f t="shared" si="74"/>
        <v>68184</v>
      </c>
      <c r="AN73" s="34">
        <f t="shared" si="74"/>
        <v>70269</v>
      </c>
      <c r="AO73" s="34">
        <f t="shared" si="75"/>
        <v>72248</v>
      </c>
      <c r="AP73" s="34">
        <f t="shared" si="75"/>
        <v>74591</v>
      </c>
      <c r="AQ73" s="34">
        <f t="shared" si="75"/>
        <v>76534</v>
      </c>
      <c r="AR73" s="34">
        <f t="shared" si="75"/>
        <v>77913</v>
      </c>
      <c r="AS73" s="34">
        <f t="shared" si="75"/>
        <v>79732</v>
      </c>
      <c r="AT73" s="34">
        <f t="shared" si="75"/>
        <v>82030</v>
      </c>
      <c r="AU73" s="34">
        <f t="shared" si="75"/>
        <v>84800</v>
      </c>
      <c r="AV73" s="34">
        <f t="shared" si="75"/>
        <v>86725</v>
      </c>
      <c r="AW73" s="34">
        <f t="shared" si="75"/>
        <v>89283</v>
      </c>
      <c r="AX73" s="34">
        <f t="shared" si="75"/>
        <v>91695</v>
      </c>
      <c r="AY73" s="12"/>
      <c r="AZ73" s="82">
        <f t="shared" si="70"/>
        <v>0.1178227477752043</v>
      </c>
    </row>
    <row r="74" spans="2:52" ht="12.75" customHeight="1">
      <c r="B74" s="10" t="s">
        <v>486</v>
      </c>
      <c r="C74" s="89">
        <v>-2306</v>
      </c>
      <c r="D74" s="89">
        <v>-1232</v>
      </c>
      <c r="E74" s="89">
        <v>633</v>
      </c>
      <c r="F74" s="89">
        <v>-1623</v>
      </c>
      <c r="G74" s="89">
        <v>-7603</v>
      </c>
      <c r="H74" s="89">
        <v>-4402</v>
      </c>
      <c r="I74" s="89">
        <v>-4800</v>
      </c>
      <c r="J74" s="34"/>
      <c r="K74" s="89">
        <v>-3</v>
      </c>
      <c r="L74" s="89">
        <v>190</v>
      </c>
      <c r="M74" s="89">
        <v>-408</v>
      </c>
      <c r="N74" s="34">
        <f>F74</f>
        <v>-1623</v>
      </c>
      <c r="O74" s="89">
        <v>-4049</v>
      </c>
      <c r="P74" s="89">
        <v>-5828</v>
      </c>
      <c r="Q74" s="89">
        <v>-8852</v>
      </c>
      <c r="R74" s="362">
        <f>G74</f>
        <v>-7603</v>
      </c>
      <c r="S74" s="89">
        <v>-6000</v>
      </c>
      <c r="T74" s="89">
        <v>-5991</v>
      </c>
      <c r="U74" s="89">
        <v>-7036</v>
      </c>
      <c r="V74" s="34">
        <f>H74</f>
        <v>-4402</v>
      </c>
      <c r="W74" s="89">
        <v>-4839</v>
      </c>
      <c r="X74" s="89">
        <v>-5012</v>
      </c>
      <c r="Y74" s="89">
        <v>-3228</v>
      </c>
      <c r="Z74" s="34">
        <f>I74</f>
        <v>-4800</v>
      </c>
      <c r="AA74" s="89">
        <v>-4086</v>
      </c>
      <c r="AB74" s="89">
        <v>-2127</v>
      </c>
      <c r="AC74" s="89">
        <v>-2054</v>
      </c>
      <c r="AE74" s="34" t="e">
        <f>#REF!</f>
        <v>#REF!</v>
      </c>
      <c r="AF74" s="34">
        <f t="shared" si="74"/>
        <v>-3</v>
      </c>
      <c r="AG74" s="34">
        <f t="shared" si="74"/>
        <v>190</v>
      </c>
      <c r="AH74" s="34">
        <f t="shared" si="74"/>
        <v>-408</v>
      </c>
      <c r="AI74" s="34">
        <f t="shared" si="74"/>
        <v>-1623</v>
      </c>
      <c r="AJ74" s="34">
        <f t="shared" si="74"/>
        <v>-4049</v>
      </c>
      <c r="AK74" s="34">
        <f t="shared" si="74"/>
        <v>-5828</v>
      </c>
      <c r="AL74" s="34">
        <f t="shared" si="74"/>
        <v>-8852</v>
      </c>
      <c r="AM74" s="34">
        <f t="shared" si="74"/>
        <v>-7603</v>
      </c>
      <c r="AN74" s="34">
        <f t="shared" si="74"/>
        <v>-6000</v>
      </c>
      <c r="AO74" s="34">
        <f t="shared" si="75"/>
        <v>-5991</v>
      </c>
      <c r="AP74" s="34">
        <f t="shared" si="75"/>
        <v>-7036</v>
      </c>
      <c r="AQ74" s="34">
        <f t="shared" si="75"/>
        <v>-4402</v>
      </c>
      <c r="AR74" s="34">
        <f t="shared" si="75"/>
        <v>-4839</v>
      </c>
      <c r="AS74" s="34">
        <f t="shared" si="75"/>
        <v>-5012</v>
      </c>
      <c r="AT74" s="34">
        <f t="shared" si="75"/>
        <v>-3228</v>
      </c>
      <c r="AU74" s="34">
        <f t="shared" si="75"/>
        <v>-4800</v>
      </c>
      <c r="AV74" s="34">
        <f t="shared" si="75"/>
        <v>-4086</v>
      </c>
      <c r="AW74" s="34">
        <f t="shared" si="75"/>
        <v>-2127</v>
      </c>
      <c r="AX74" s="34">
        <f t="shared" si="75"/>
        <v>-2054</v>
      </c>
      <c r="AY74" s="12"/>
      <c r="AZ74" s="82">
        <f t="shared" si="70"/>
        <v>-0.36369268897149942</v>
      </c>
    </row>
    <row r="75" spans="2:52" ht="12.75" customHeight="1">
      <c r="B75" s="10" t="s">
        <v>485</v>
      </c>
      <c r="C75" s="89">
        <v>134885</v>
      </c>
      <c r="D75" s="89">
        <v>152122</v>
      </c>
      <c r="E75" s="89">
        <v>163401</v>
      </c>
      <c r="F75" s="89">
        <v>191484</v>
      </c>
      <c r="G75" s="89">
        <v>195563</v>
      </c>
      <c r="H75" s="89">
        <v>211247</v>
      </c>
      <c r="I75" s="89">
        <v>245084</v>
      </c>
      <c r="J75" s="34"/>
      <c r="K75" s="89">
        <v>170580</v>
      </c>
      <c r="L75" s="89">
        <v>176939</v>
      </c>
      <c r="M75" s="89">
        <v>183782</v>
      </c>
      <c r="N75" s="34">
        <f>F75</f>
        <v>191484</v>
      </c>
      <c r="O75" s="89">
        <v>195221</v>
      </c>
      <c r="P75" s="89">
        <v>196845</v>
      </c>
      <c r="Q75" s="89">
        <v>196220</v>
      </c>
      <c r="R75" s="362">
        <f>G75</f>
        <v>195563</v>
      </c>
      <c r="S75" s="89">
        <v>196625</v>
      </c>
      <c r="T75" s="89">
        <v>200884</v>
      </c>
      <c r="U75" s="89">
        <v>205647</v>
      </c>
      <c r="V75" s="34">
        <f>H75</f>
        <v>211247</v>
      </c>
      <c r="W75" s="89">
        <v>219770</v>
      </c>
      <c r="X75" s="89">
        <v>226033</v>
      </c>
      <c r="Y75" s="89">
        <v>235317</v>
      </c>
      <c r="Z75" s="34">
        <f>I75</f>
        <v>245084</v>
      </c>
      <c r="AA75" s="89">
        <v>262628</v>
      </c>
      <c r="AB75" s="89">
        <v>275760</v>
      </c>
      <c r="AC75" s="89">
        <v>297226</v>
      </c>
      <c r="AE75" s="34" t="e">
        <f>#REF!</f>
        <v>#REF!</v>
      </c>
      <c r="AF75" s="34">
        <f t="shared" si="74"/>
        <v>170580</v>
      </c>
      <c r="AG75" s="34">
        <f t="shared" si="74"/>
        <v>176939</v>
      </c>
      <c r="AH75" s="34">
        <f t="shared" si="74"/>
        <v>183782</v>
      </c>
      <c r="AI75" s="34">
        <f t="shared" si="74"/>
        <v>191484</v>
      </c>
      <c r="AJ75" s="34">
        <f t="shared" si="74"/>
        <v>195221</v>
      </c>
      <c r="AK75" s="34">
        <f t="shared" si="74"/>
        <v>196845</v>
      </c>
      <c r="AL75" s="34">
        <f t="shared" si="74"/>
        <v>196220</v>
      </c>
      <c r="AM75" s="34">
        <f t="shared" si="74"/>
        <v>195563</v>
      </c>
      <c r="AN75" s="34">
        <f t="shared" si="74"/>
        <v>196625</v>
      </c>
      <c r="AO75" s="34">
        <f t="shared" si="75"/>
        <v>200884</v>
      </c>
      <c r="AP75" s="34">
        <f t="shared" si="75"/>
        <v>205647</v>
      </c>
      <c r="AQ75" s="34">
        <f t="shared" si="75"/>
        <v>211247</v>
      </c>
      <c r="AR75" s="34">
        <f t="shared" si="75"/>
        <v>219770</v>
      </c>
      <c r="AS75" s="34">
        <f t="shared" si="75"/>
        <v>226033</v>
      </c>
      <c r="AT75" s="34">
        <f t="shared" si="75"/>
        <v>235317</v>
      </c>
      <c r="AU75" s="34">
        <f t="shared" si="75"/>
        <v>245084</v>
      </c>
      <c r="AV75" s="34">
        <f t="shared" si="75"/>
        <v>262628</v>
      </c>
      <c r="AW75" s="34">
        <f t="shared" si="75"/>
        <v>275760</v>
      </c>
      <c r="AX75" s="34">
        <f t="shared" si="75"/>
        <v>297226</v>
      </c>
      <c r="AY75" s="12"/>
      <c r="AZ75" s="82">
        <f t="shared" si="70"/>
        <v>0.26308766472460543</v>
      </c>
    </row>
    <row r="76" spans="2:52" ht="12.75" customHeight="1">
      <c r="B76" s="14" t="s">
        <v>23</v>
      </c>
      <c r="C76" s="15">
        <f t="shared" ref="C76:I76" si="76">SUM(C72:C75)</f>
        <v>177628</v>
      </c>
      <c r="D76" s="15">
        <f t="shared" si="76"/>
        <v>201442</v>
      </c>
      <c r="E76" s="15">
        <f t="shared" si="76"/>
        <v>222544</v>
      </c>
      <c r="F76" s="15">
        <f t="shared" si="76"/>
        <v>251635</v>
      </c>
      <c r="G76" s="15">
        <f t="shared" si="76"/>
        <v>256144</v>
      </c>
      <c r="H76" s="15">
        <f t="shared" si="76"/>
        <v>283379</v>
      </c>
      <c r="I76" s="15">
        <f t="shared" si="76"/>
        <v>325084</v>
      </c>
      <c r="J76" s="57"/>
      <c r="K76" s="15">
        <f t="shared" ref="K76:AC76" si="77">SUM(K72:K75)</f>
        <v>230013</v>
      </c>
      <c r="L76" s="15">
        <f t="shared" si="77"/>
        <v>237565</v>
      </c>
      <c r="M76" s="15">
        <f t="shared" si="77"/>
        <v>244567</v>
      </c>
      <c r="N76" s="15">
        <f t="shared" si="77"/>
        <v>251635</v>
      </c>
      <c r="O76" s="15">
        <f t="shared" si="77"/>
        <v>254004</v>
      </c>
      <c r="P76" s="15">
        <f t="shared" si="77"/>
        <v>255419</v>
      </c>
      <c r="Q76" s="15">
        <f t="shared" si="77"/>
        <v>253626</v>
      </c>
      <c r="R76" s="15">
        <f t="shared" si="77"/>
        <v>256144</v>
      </c>
      <c r="S76" s="15">
        <f t="shared" si="77"/>
        <v>260894</v>
      </c>
      <c r="T76" s="15">
        <f t="shared" si="77"/>
        <v>267141</v>
      </c>
      <c r="U76" s="15">
        <f t="shared" si="77"/>
        <v>273202</v>
      </c>
      <c r="V76" s="15">
        <f t="shared" si="77"/>
        <v>283379</v>
      </c>
      <c r="W76" s="15">
        <f t="shared" si="77"/>
        <v>292844</v>
      </c>
      <c r="X76" s="15">
        <f t="shared" si="77"/>
        <v>300753</v>
      </c>
      <c r="Y76" s="15">
        <f t="shared" si="77"/>
        <v>314119</v>
      </c>
      <c r="Z76" s="15">
        <f t="shared" si="77"/>
        <v>325084</v>
      </c>
      <c r="AA76" s="15">
        <f t="shared" si="77"/>
        <v>345267</v>
      </c>
      <c r="AB76" s="15">
        <f t="shared" si="77"/>
        <v>362916</v>
      </c>
      <c r="AC76" s="15">
        <f t="shared" si="77"/>
        <v>386867</v>
      </c>
      <c r="AE76" s="15" t="e">
        <f t="shared" ref="AE76:AX76" si="78">SUM(AE72:AE75)</f>
        <v>#REF!</v>
      </c>
      <c r="AF76" s="15">
        <f t="shared" si="78"/>
        <v>230013</v>
      </c>
      <c r="AG76" s="15">
        <f t="shared" si="78"/>
        <v>237565</v>
      </c>
      <c r="AH76" s="15">
        <f t="shared" si="78"/>
        <v>244567</v>
      </c>
      <c r="AI76" s="15">
        <f t="shared" si="78"/>
        <v>251635</v>
      </c>
      <c r="AJ76" s="15">
        <f t="shared" si="78"/>
        <v>254004</v>
      </c>
      <c r="AK76" s="15">
        <f t="shared" si="78"/>
        <v>255419</v>
      </c>
      <c r="AL76" s="15">
        <f t="shared" si="78"/>
        <v>253626</v>
      </c>
      <c r="AM76" s="15">
        <f t="shared" si="78"/>
        <v>256144</v>
      </c>
      <c r="AN76" s="15">
        <f t="shared" si="78"/>
        <v>260894</v>
      </c>
      <c r="AO76" s="15">
        <f t="shared" si="78"/>
        <v>267141</v>
      </c>
      <c r="AP76" s="15">
        <f t="shared" si="78"/>
        <v>273202</v>
      </c>
      <c r="AQ76" s="15">
        <f t="shared" si="78"/>
        <v>283379</v>
      </c>
      <c r="AR76" s="15">
        <f t="shared" si="78"/>
        <v>292844</v>
      </c>
      <c r="AS76" s="15">
        <f t="shared" si="78"/>
        <v>300753</v>
      </c>
      <c r="AT76" s="15">
        <f t="shared" si="78"/>
        <v>314119</v>
      </c>
      <c r="AU76" s="15">
        <f t="shared" si="78"/>
        <v>325084</v>
      </c>
      <c r="AV76" s="15">
        <f t="shared" si="78"/>
        <v>345267</v>
      </c>
      <c r="AW76" s="15">
        <f t="shared" si="78"/>
        <v>362916</v>
      </c>
      <c r="AX76" s="15">
        <f t="shared" si="78"/>
        <v>386867</v>
      </c>
      <c r="AY76" s="45"/>
      <c r="AZ76" s="82">
        <f t="shared" si="70"/>
        <v>0.23159375905309765</v>
      </c>
    </row>
    <row r="77" spans="2:52" ht="12.75" customHeight="1">
      <c r="B77" s="27" t="s">
        <v>75</v>
      </c>
      <c r="C77" s="34">
        <f t="shared" ref="C77:I77" si="79">SUM(C76+C70)</f>
        <v>232792</v>
      </c>
      <c r="D77" s="34">
        <f t="shared" si="79"/>
        <v>275909</v>
      </c>
      <c r="E77" s="34">
        <f t="shared" si="79"/>
        <v>319616</v>
      </c>
      <c r="F77" s="34">
        <f t="shared" si="79"/>
        <v>359268</v>
      </c>
      <c r="G77" s="34">
        <f t="shared" si="79"/>
        <v>365264</v>
      </c>
      <c r="H77" s="34">
        <f t="shared" si="79"/>
        <v>402392</v>
      </c>
      <c r="I77" s="34">
        <f t="shared" si="79"/>
        <v>450256</v>
      </c>
      <c r="J77" s="34"/>
      <c r="K77" s="34">
        <f t="shared" ref="K77:AC77" si="80">SUM(K76+K70)</f>
        <v>327095</v>
      </c>
      <c r="L77" s="34">
        <f t="shared" si="80"/>
        <v>335387</v>
      </c>
      <c r="M77" s="34">
        <f t="shared" si="80"/>
        <v>347403</v>
      </c>
      <c r="N77" s="34">
        <f t="shared" si="80"/>
        <v>359268</v>
      </c>
      <c r="O77" s="34">
        <f t="shared" si="80"/>
        <v>357096</v>
      </c>
      <c r="P77" s="34">
        <f t="shared" si="80"/>
        <v>355185</v>
      </c>
      <c r="Q77" s="34">
        <f t="shared" si="80"/>
        <v>358255</v>
      </c>
      <c r="R77" s="34">
        <f t="shared" si="80"/>
        <v>365264</v>
      </c>
      <c r="S77" s="34">
        <f t="shared" si="80"/>
        <v>369491</v>
      </c>
      <c r="T77" s="34">
        <f t="shared" si="80"/>
        <v>383044</v>
      </c>
      <c r="U77" s="34">
        <f t="shared" si="80"/>
        <v>396711</v>
      </c>
      <c r="V77" s="34">
        <f t="shared" si="80"/>
        <v>402392</v>
      </c>
      <c r="W77" s="34">
        <f t="shared" si="80"/>
        <v>407350</v>
      </c>
      <c r="X77" s="34">
        <f t="shared" si="80"/>
        <v>414770</v>
      </c>
      <c r="Y77" s="34">
        <f t="shared" si="80"/>
        <v>430266</v>
      </c>
      <c r="Z77" s="34">
        <f t="shared" si="80"/>
        <v>450256</v>
      </c>
      <c r="AA77" s="34">
        <f t="shared" si="80"/>
        <v>475374</v>
      </c>
      <c r="AB77" s="34">
        <f t="shared" si="80"/>
        <v>502053</v>
      </c>
      <c r="AC77" s="34">
        <f t="shared" si="80"/>
        <v>536469</v>
      </c>
      <c r="AD77" s="34"/>
      <c r="AE77" s="34" t="e">
        <f t="shared" ref="AE77:AX77" si="81">SUM(AE76+AE70)</f>
        <v>#REF!</v>
      </c>
      <c r="AF77" s="34">
        <f t="shared" si="81"/>
        <v>327095</v>
      </c>
      <c r="AG77" s="34">
        <f t="shared" si="81"/>
        <v>335387</v>
      </c>
      <c r="AH77" s="34">
        <f t="shared" si="81"/>
        <v>347403</v>
      </c>
      <c r="AI77" s="34">
        <f t="shared" si="81"/>
        <v>359268</v>
      </c>
      <c r="AJ77" s="34">
        <f t="shared" si="81"/>
        <v>357096</v>
      </c>
      <c r="AK77" s="34">
        <f t="shared" si="81"/>
        <v>355185</v>
      </c>
      <c r="AL77" s="34">
        <f t="shared" si="81"/>
        <v>358255</v>
      </c>
      <c r="AM77" s="34">
        <f t="shared" si="81"/>
        <v>365264</v>
      </c>
      <c r="AN77" s="34">
        <f t="shared" si="81"/>
        <v>369491</v>
      </c>
      <c r="AO77" s="34">
        <f t="shared" si="81"/>
        <v>383044</v>
      </c>
      <c r="AP77" s="34">
        <f t="shared" si="81"/>
        <v>396711</v>
      </c>
      <c r="AQ77" s="34">
        <f t="shared" si="81"/>
        <v>402392</v>
      </c>
      <c r="AR77" s="34">
        <f t="shared" si="81"/>
        <v>407350</v>
      </c>
      <c r="AS77" s="34">
        <f t="shared" si="81"/>
        <v>414770</v>
      </c>
      <c r="AT77" s="34">
        <f t="shared" si="81"/>
        <v>430266</v>
      </c>
      <c r="AU77" s="34">
        <f t="shared" si="81"/>
        <v>450256</v>
      </c>
      <c r="AV77" s="34">
        <f t="shared" si="81"/>
        <v>475374</v>
      </c>
      <c r="AW77" s="34">
        <f t="shared" si="81"/>
        <v>502053</v>
      </c>
      <c r="AX77" s="34">
        <f t="shared" si="81"/>
        <v>536469</v>
      </c>
      <c r="AY77" s="12"/>
      <c r="AZ77" s="83">
        <f t="shared" si="70"/>
        <v>0.24683103010695717</v>
      </c>
    </row>
    <row r="78" spans="2:52" ht="5.0999999999999996" customHeight="1">
      <c r="B78" s="27"/>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12"/>
    </row>
    <row r="79" spans="2:52" ht="12.75" customHeight="1">
      <c r="B79" s="514" t="s">
        <v>86</v>
      </c>
      <c r="C79" s="76">
        <f t="shared" ref="C79:I79" si="82">C77-C55</f>
        <v>0</v>
      </c>
      <c r="D79" s="76">
        <f t="shared" si="82"/>
        <v>0</v>
      </c>
      <c r="E79" s="76">
        <f t="shared" si="82"/>
        <v>0</v>
      </c>
      <c r="F79" s="76">
        <f t="shared" si="82"/>
        <v>0</v>
      </c>
      <c r="G79" s="76">
        <f t="shared" si="82"/>
        <v>0</v>
      </c>
      <c r="H79" s="76">
        <f t="shared" si="82"/>
        <v>0</v>
      </c>
      <c r="I79" s="76">
        <f t="shared" si="82"/>
        <v>0</v>
      </c>
      <c r="J79" s="77"/>
      <c r="K79" s="76">
        <f t="shared" ref="K79:AC79" si="83">K77-K55</f>
        <v>0</v>
      </c>
      <c r="L79" s="76">
        <f t="shared" si="83"/>
        <v>0</v>
      </c>
      <c r="M79" s="76">
        <f t="shared" si="83"/>
        <v>0</v>
      </c>
      <c r="N79" s="76">
        <f t="shared" si="83"/>
        <v>0</v>
      </c>
      <c r="O79" s="76">
        <f t="shared" si="83"/>
        <v>0</v>
      </c>
      <c r="P79" s="76">
        <f t="shared" si="83"/>
        <v>0</v>
      </c>
      <c r="Q79" s="76">
        <f t="shared" si="83"/>
        <v>0</v>
      </c>
      <c r="R79" s="76">
        <f t="shared" si="83"/>
        <v>0</v>
      </c>
      <c r="S79" s="76">
        <f t="shared" si="83"/>
        <v>0</v>
      </c>
      <c r="T79" s="76">
        <f t="shared" si="83"/>
        <v>0</v>
      </c>
      <c r="U79" s="76">
        <f t="shared" si="83"/>
        <v>0</v>
      </c>
      <c r="V79" s="76">
        <f t="shared" si="83"/>
        <v>0</v>
      </c>
      <c r="W79" s="76">
        <f t="shared" si="83"/>
        <v>0</v>
      </c>
      <c r="X79" s="76">
        <f t="shared" si="83"/>
        <v>0</v>
      </c>
      <c r="Y79" s="76">
        <f t="shared" si="83"/>
        <v>0</v>
      </c>
      <c r="Z79" s="76">
        <f t="shared" si="83"/>
        <v>0</v>
      </c>
      <c r="AA79" s="76">
        <f t="shared" si="83"/>
        <v>0</v>
      </c>
      <c r="AB79" s="76">
        <f t="shared" si="83"/>
        <v>0</v>
      </c>
      <c r="AC79" s="76">
        <f t="shared" si="83"/>
        <v>0</v>
      </c>
      <c r="AD79" s="30"/>
      <c r="AE79" s="76" t="e">
        <f t="shared" ref="AE79:AX79" si="84">AE77-AE55</f>
        <v>#REF!</v>
      </c>
      <c r="AF79" s="76">
        <f t="shared" si="84"/>
        <v>0</v>
      </c>
      <c r="AG79" s="76">
        <f t="shared" si="84"/>
        <v>0</v>
      </c>
      <c r="AH79" s="76">
        <f t="shared" si="84"/>
        <v>0</v>
      </c>
      <c r="AI79" s="76">
        <f t="shared" si="84"/>
        <v>0</v>
      </c>
      <c r="AJ79" s="76">
        <f t="shared" si="84"/>
        <v>0</v>
      </c>
      <c r="AK79" s="76">
        <f t="shared" si="84"/>
        <v>0</v>
      </c>
      <c r="AL79" s="76">
        <f t="shared" si="84"/>
        <v>0</v>
      </c>
      <c r="AM79" s="76">
        <f t="shared" si="84"/>
        <v>0</v>
      </c>
      <c r="AN79" s="76">
        <f t="shared" si="84"/>
        <v>0</v>
      </c>
      <c r="AO79" s="76">
        <f t="shared" si="84"/>
        <v>0</v>
      </c>
      <c r="AP79" s="76">
        <f t="shared" si="84"/>
        <v>0</v>
      </c>
      <c r="AQ79" s="76">
        <f t="shared" si="84"/>
        <v>0</v>
      </c>
      <c r="AR79" s="76">
        <f t="shared" si="84"/>
        <v>0</v>
      </c>
      <c r="AS79" s="76">
        <f t="shared" si="84"/>
        <v>0</v>
      </c>
      <c r="AT79" s="76">
        <f t="shared" si="84"/>
        <v>0</v>
      </c>
      <c r="AU79" s="76">
        <f t="shared" si="84"/>
        <v>0</v>
      </c>
      <c r="AV79" s="76">
        <f t="shared" si="84"/>
        <v>0</v>
      </c>
      <c r="AW79" s="76">
        <f t="shared" si="84"/>
        <v>0</v>
      </c>
      <c r="AX79" s="76">
        <f t="shared" si="84"/>
        <v>0</v>
      </c>
    </row>
    <row r="80" spans="2:52" ht="5.0999999999999996" customHeight="1" thickBot="1">
      <c r="B80" s="460"/>
      <c r="C80" s="461"/>
      <c r="D80" s="461"/>
      <c r="E80" s="461"/>
      <c r="F80" s="461"/>
      <c r="G80" s="461"/>
      <c r="H80" s="461"/>
      <c r="I80" s="461"/>
      <c r="J80" s="462"/>
      <c r="K80" s="461"/>
      <c r="L80" s="461"/>
      <c r="M80" s="461"/>
      <c r="N80" s="461"/>
      <c r="O80" s="461"/>
      <c r="P80" s="461"/>
      <c r="Q80" s="461"/>
      <c r="R80" s="461"/>
      <c r="S80" s="461"/>
      <c r="T80" s="461"/>
      <c r="U80" s="461"/>
      <c r="V80" s="461"/>
      <c r="W80" s="461"/>
      <c r="X80" s="461"/>
      <c r="Y80" s="461"/>
      <c r="Z80" s="461"/>
      <c r="AA80" s="461"/>
      <c r="AB80" s="461"/>
      <c r="AC80" s="461"/>
      <c r="AD80" s="463"/>
      <c r="AE80" s="461"/>
      <c r="AF80" s="461"/>
      <c r="AG80" s="461"/>
      <c r="AH80" s="461"/>
      <c r="AI80" s="461"/>
      <c r="AJ80" s="461"/>
      <c r="AK80" s="461"/>
      <c r="AL80" s="461"/>
      <c r="AM80" s="461"/>
      <c r="AN80" s="461"/>
      <c r="AO80" s="461"/>
      <c r="AP80" s="461"/>
      <c r="AQ80" s="461"/>
      <c r="AR80" s="461"/>
      <c r="AS80" s="461"/>
      <c r="AT80" s="461"/>
      <c r="AU80" s="461"/>
      <c r="AV80" s="461"/>
      <c r="AW80" s="461"/>
      <c r="AX80" s="461"/>
      <c r="AY80" s="80"/>
      <c r="AZ80" s="80"/>
    </row>
    <row r="81" spans="1:52">
      <c r="B81" s="74"/>
      <c r="C81" s="75"/>
      <c r="D81" s="75"/>
      <c r="E81" s="75"/>
      <c r="F81" s="58"/>
      <c r="G81" s="26"/>
      <c r="H81" s="26"/>
      <c r="I81" s="26"/>
      <c r="J81" s="58"/>
    </row>
    <row r="82" spans="1:52" ht="12.75" customHeight="1">
      <c r="A82" s="5" t="s">
        <v>25</v>
      </c>
      <c r="B82" s="364" t="s">
        <v>20</v>
      </c>
      <c r="C82" s="372"/>
      <c r="D82" s="372"/>
      <c r="E82" s="372"/>
      <c r="F82" s="372"/>
      <c r="G82" s="372"/>
      <c r="H82" s="372"/>
      <c r="I82" s="372"/>
      <c r="J82" s="373"/>
      <c r="K82" s="372"/>
      <c r="L82" s="372"/>
      <c r="M82" s="372"/>
      <c r="N82" s="372"/>
      <c r="O82" s="372"/>
      <c r="P82" s="372"/>
      <c r="Q82" s="372"/>
      <c r="R82" s="372"/>
      <c r="S82" s="372"/>
      <c r="T82" s="372"/>
      <c r="U82" s="372"/>
      <c r="V82" s="372"/>
      <c r="W82" s="372"/>
      <c r="X82" s="372"/>
      <c r="Y82" s="372"/>
      <c r="Z82" s="372"/>
      <c r="AA82" s="372"/>
      <c r="AB82" s="372"/>
      <c r="AC82" s="372"/>
      <c r="AD82" s="364"/>
      <c r="AE82" s="372"/>
      <c r="AF82" s="372"/>
      <c r="AG82" s="372"/>
      <c r="AH82" s="372"/>
      <c r="AI82" s="372"/>
      <c r="AJ82" s="372"/>
      <c r="AK82" s="372"/>
      <c r="AL82" s="372"/>
      <c r="AM82" s="372"/>
      <c r="AN82" s="372"/>
      <c r="AO82" s="372"/>
      <c r="AP82" s="372"/>
      <c r="AQ82" s="372"/>
      <c r="AR82" s="372"/>
      <c r="AS82" s="372" t="s">
        <v>10</v>
      </c>
      <c r="AT82" s="372"/>
      <c r="AU82" s="372"/>
      <c r="AV82" s="372"/>
      <c r="AW82" s="372"/>
      <c r="AX82" s="372"/>
      <c r="AY82" s="373"/>
      <c r="AZ82" s="582" t="s">
        <v>38</v>
      </c>
    </row>
    <row r="83" spans="1:52" ht="12.75" customHeight="1">
      <c r="B83" s="365" t="str">
        <f t="shared" ref="B83:I84" si="85">B7</f>
        <v>Fiscal Period</v>
      </c>
      <c r="C83" s="374">
        <f t="shared" si="85"/>
        <v>2018</v>
      </c>
      <c r="D83" s="374">
        <f t="shared" si="85"/>
        <v>2019</v>
      </c>
      <c r="E83" s="374">
        <f t="shared" si="85"/>
        <v>2020</v>
      </c>
      <c r="F83" s="374">
        <f t="shared" si="85"/>
        <v>2021</v>
      </c>
      <c r="G83" s="374">
        <f t="shared" si="85"/>
        <v>2022</v>
      </c>
      <c r="H83" s="374">
        <f t="shared" si="85"/>
        <v>2023</v>
      </c>
      <c r="I83" s="374">
        <f t="shared" si="85"/>
        <v>2024</v>
      </c>
      <c r="J83" s="373"/>
      <c r="K83" s="374" t="str">
        <f t="shared" ref="K83:AC83" si="86">K7</f>
        <v>1Q21</v>
      </c>
      <c r="L83" s="374" t="str">
        <f t="shared" si="86"/>
        <v>2Q21</v>
      </c>
      <c r="M83" s="374" t="str">
        <f t="shared" si="86"/>
        <v>3Q21</v>
      </c>
      <c r="N83" s="374" t="str">
        <f t="shared" si="86"/>
        <v>4Q21</v>
      </c>
      <c r="O83" s="374" t="str">
        <f t="shared" si="86"/>
        <v>1Q22</v>
      </c>
      <c r="P83" s="374" t="str">
        <f t="shared" si="86"/>
        <v>2Q22</v>
      </c>
      <c r="Q83" s="374" t="str">
        <f t="shared" si="86"/>
        <v>3Q22</v>
      </c>
      <c r="R83" s="374" t="str">
        <f t="shared" si="86"/>
        <v>4Q22</v>
      </c>
      <c r="S83" s="374" t="str">
        <f t="shared" si="86"/>
        <v>1Q23</v>
      </c>
      <c r="T83" s="374" t="str">
        <f t="shared" si="86"/>
        <v>2Q23</v>
      </c>
      <c r="U83" s="374" t="str">
        <f t="shared" si="86"/>
        <v>3Q23</v>
      </c>
      <c r="V83" s="374" t="str">
        <f t="shared" si="86"/>
        <v>4Q23</v>
      </c>
      <c r="W83" s="374" t="str">
        <f t="shared" si="86"/>
        <v>1Q24</v>
      </c>
      <c r="X83" s="374" t="str">
        <f t="shared" si="86"/>
        <v>2Q24</v>
      </c>
      <c r="Y83" s="374" t="str">
        <f t="shared" si="86"/>
        <v>3Q24</v>
      </c>
      <c r="Z83" s="374" t="str">
        <f t="shared" si="86"/>
        <v>4Q24</v>
      </c>
      <c r="AA83" s="374" t="str">
        <f t="shared" si="86"/>
        <v>1Q25</v>
      </c>
      <c r="AB83" s="374" t="str">
        <f t="shared" si="86"/>
        <v>2Q25</v>
      </c>
      <c r="AC83" s="374" t="str">
        <f t="shared" si="86"/>
        <v>3Q25</v>
      </c>
      <c r="AD83" s="374"/>
      <c r="AE83" s="374" t="e">
        <f t="shared" ref="AE83:AX83" si="87">AE7</f>
        <v>#REF!</v>
      </c>
      <c r="AF83" s="374" t="str">
        <f t="shared" si="87"/>
        <v>1Q21</v>
      </c>
      <c r="AG83" s="374" t="str">
        <f t="shared" si="87"/>
        <v>2Q21</v>
      </c>
      <c r="AH83" s="374" t="str">
        <f t="shared" si="87"/>
        <v>3Q21</v>
      </c>
      <c r="AI83" s="374" t="str">
        <f t="shared" si="87"/>
        <v>4Q21</v>
      </c>
      <c r="AJ83" s="374" t="str">
        <f t="shared" si="87"/>
        <v>1Q22</v>
      </c>
      <c r="AK83" s="374" t="str">
        <f t="shared" si="87"/>
        <v>2Q22</v>
      </c>
      <c r="AL83" s="374" t="str">
        <f t="shared" si="87"/>
        <v>3Q22</v>
      </c>
      <c r="AM83" s="374" t="str">
        <f t="shared" si="87"/>
        <v>4Q22</v>
      </c>
      <c r="AN83" s="374" t="str">
        <f t="shared" si="87"/>
        <v>1Q23</v>
      </c>
      <c r="AO83" s="374" t="str">
        <f t="shared" si="87"/>
        <v>2Q23</v>
      </c>
      <c r="AP83" s="374" t="str">
        <f t="shared" si="87"/>
        <v>3Q23</v>
      </c>
      <c r="AQ83" s="374" t="str">
        <f t="shared" si="87"/>
        <v>4Q23</v>
      </c>
      <c r="AR83" s="374" t="str">
        <f t="shared" si="87"/>
        <v>1Q24</v>
      </c>
      <c r="AS83" s="374" t="str">
        <f t="shared" si="87"/>
        <v>2Q24</v>
      </c>
      <c r="AT83" s="374" t="str">
        <f t="shared" si="87"/>
        <v>3Q24</v>
      </c>
      <c r="AU83" s="374" t="str">
        <f t="shared" si="87"/>
        <v>4Q24</v>
      </c>
      <c r="AV83" s="374" t="str">
        <f t="shared" si="87"/>
        <v>1Q25</v>
      </c>
      <c r="AW83" s="374" t="str">
        <f t="shared" si="87"/>
        <v>2Q25</v>
      </c>
      <c r="AX83" s="374" t="str">
        <f t="shared" si="87"/>
        <v>3Q25</v>
      </c>
      <c r="AY83" s="373"/>
      <c r="AZ83" s="582"/>
    </row>
    <row r="84" spans="1:52" ht="12.75" customHeight="1">
      <c r="B84" s="365" t="str">
        <f t="shared" si="85"/>
        <v>Fiscal Period End Date</v>
      </c>
      <c r="C84" s="375">
        <f t="shared" si="85"/>
        <v>43465</v>
      </c>
      <c r="D84" s="375">
        <f t="shared" si="85"/>
        <v>43830</v>
      </c>
      <c r="E84" s="375">
        <f t="shared" si="85"/>
        <v>44196</v>
      </c>
      <c r="F84" s="375">
        <f t="shared" si="85"/>
        <v>44561</v>
      </c>
      <c r="G84" s="375">
        <f t="shared" si="85"/>
        <v>44926</v>
      </c>
      <c r="H84" s="375">
        <f t="shared" si="85"/>
        <v>45291</v>
      </c>
      <c r="I84" s="375">
        <f t="shared" si="85"/>
        <v>45657</v>
      </c>
      <c r="J84" s="373"/>
      <c r="K84" s="375">
        <f t="shared" ref="K84:AC84" si="88">K8</f>
        <v>44286</v>
      </c>
      <c r="L84" s="375">
        <f t="shared" si="88"/>
        <v>44377</v>
      </c>
      <c r="M84" s="375">
        <f t="shared" si="88"/>
        <v>44469</v>
      </c>
      <c r="N84" s="375">
        <f t="shared" si="88"/>
        <v>44561</v>
      </c>
      <c r="O84" s="375">
        <f t="shared" si="88"/>
        <v>44651</v>
      </c>
      <c r="P84" s="375">
        <f t="shared" si="88"/>
        <v>44742</v>
      </c>
      <c r="Q84" s="375">
        <f t="shared" si="88"/>
        <v>44834</v>
      </c>
      <c r="R84" s="375">
        <f t="shared" si="88"/>
        <v>44926</v>
      </c>
      <c r="S84" s="375">
        <f t="shared" si="88"/>
        <v>45016</v>
      </c>
      <c r="T84" s="375">
        <f t="shared" si="88"/>
        <v>45107</v>
      </c>
      <c r="U84" s="375">
        <f t="shared" si="88"/>
        <v>45199</v>
      </c>
      <c r="V84" s="375">
        <f t="shared" si="88"/>
        <v>45291</v>
      </c>
      <c r="W84" s="375">
        <f t="shared" si="88"/>
        <v>45382</v>
      </c>
      <c r="X84" s="375">
        <f t="shared" si="88"/>
        <v>45473</v>
      </c>
      <c r="Y84" s="375">
        <f t="shared" si="88"/>
        <v>45565</v>
      </c>
      <c r="Z84" s="375">
        <f t="shared" si="88"/>
        <v>45657</v>
      </c>
      <c r="AA84" s="375">
        <f t="shared" si="88"/>
        <v>45747</v>
      </c>
      <c r="AB84" s="375">
        <f t="shared" si="88"/>
        <v>45838</v>
      </c>
      <c r="AC84" s="375">
        <f t="shared" si="88"/>
        <v>45930</v>
      </c>
      <c r="AD84" s="375"/>
      <c r="AE84" s="375" t="e">
        <f t="shared" ref="AE84:AX84" si="89">AE8</f>
        <v>#REF!</v>
      </c>
      <c r="AF84" s="375">
        <f t="shared" si="89"/>
        <v>44286</v>
      </c>
      <c r="AG84" s="375">
        <f t="shared" si="89"/>
        <v>44377</v>
      </c>
      <c r="AH84" s="375">
        <f t="shared" si="89"/>
        <v>44469</v>
      </c>
      <c r="AI84" s="375">
        <f t="shared" si="89"/>
        <v>44561</v>
      </c>
      <c r="AJ84" s="375">
        <f t="shared" si="89"/>
        <v>44651</v>
      </c>
      <c r="AK84" s="375">
        <f t="shared" si="89"/>
        <v>44742</v>
      </c>
      <c r="AL84" s="375">
        <f t="shared" si="89"/>
        <v>44834</v>
      </c>
      <c r="AM84" s="375">
        <f t="shared" si="89"/>
        <v>44926</v>
      </c>
      <c r="AN84" s="375">
        <f t="shared" si="89"/>
        <v>45016</v>
      </c>
      <c r="AO84" s="375">
        <f t="shared" si="89"/>
        <v>45107</v>
      </c>
      <c r="AP84" s="375">
        <f t="shared" si="89"/>
        <v>45199</v>
      </c>
      <c r="AQ84" s="375">
        <f t="shared" si="89"/>
        <v>45291</v>
      </c>
      <c r="AR84" s="375">
        <f t="shared" si="89"/>
        <v>45382</v>
      </c>
      <c r="AS84" s="375">
        <f t="shared" si="89"/>
        <v>45473</v>
      </c>
      <c r="AT84" s="375">
        <f t="shared" si="89"/>
        <v>45565</v>
      </c>
      <c r="AU84" s="375">
        <f t="shared" si="89"/>
        <v>45657</v>
      </c>
      <c r="AV84" s="375">
        <f t="shared" si="89"/>
        <v>45747</v>
      </c>
      <c r="AW84" s="375">
        <f t="shared" si="89"/>
        <v>45838</v>
      </c>
      <c r="AX84" s="375">
        <f t="shared" si="89"/>
        <v>45930</v>
      </c>
      <c r="AY84" s="373"/>
      <c r="AZ84" s="582"/>
    </row>
    <row r="85" spans="1:52" ht="5.0999999999999996" customHeight="1">
      <c r="B85" s="59"/>
      <c r="C85" s="52"/>
      <c r="D85" s="52"/>
      <c r="E85" s="52"/>
      <c r="F85" s="52"/>
      <c r="G85" s="52"/>
      <c r="H85" s="52"/>
      <c r="I85" s="52"/>
    </row>
    <row r="86" spans="1:52" ht="12.75" customHeight="1">
      <c r="B86" s="60" t="s">
        <v>76</v>
      </c>
      <c r="C86" s="61"/>
      <c r="D86" s="61"/>
      <c r="E86" s="61"/>
      <c r="F86" s="61"/>
      <c r="G86" s="61"/>
      <c r="H86" s="61"/>
      <c r="I86" s="61"/>
    </row>
    <row r="87" spans="1:52" ht="12.75" customHeight="1">
      <c r="B87" s="62" t="s">
        <v>77</v>
      </c>
      <c r="C87" s="501">
        <f t="shared" ref="C87:I87" si="90">C31</f>
        <v>30736</v>
      </c>
      <c r="D87" s="34">
        <f t="shared" si="90"/>
        <v>34343</v>
      </c>
      <c r="E87" s="34">
        <f t="shared" si="90"/>
        <v>40269</v>
      </c>
      <c r="F87" s="34">
        <f t="shared" si="90"/>
        <v>76033</v>
      </c>
      <c r="G87" s="34">
        <f t="shared" si="90"/>
        <v>59972</v>
      </c>
      <c r="H87" s="34">
        <f t="shared" si="90"/>
        <v>73795</v>
      </c>
      <c r="I87" s="34">
        <f t="shared" si="90"/>
        <v>100118</v>
      </c>
      <c r="J87" s="34"/>
      <c r="K87" s="34">
        <f t="shared" ref="K87:AC87" si="91">K31</f>
        <v>17930</v>
      </c>
      <c r="L87" s="34">
        <f t="shared" si="91"/>
        <v>18525</v>
      </c>
      <c r="M87" s="34">
        <f t="shared" si="91"/>
        <v>18936</v>
      </c>
      <c r="N87" s="34">
        <f t="shared" si="91"/>
        <v>20642</v>
      </c>
      <c r="O87" s="501">
        <f t="shared" si="91"/>
        <v>16436</v>
      </c>
      <c r="P87" s="34">
        <f t="shared" si="91"/>
        <v>16002</v>
      </c>
      <c r="Q87" s="34">
        <f t="shared" si="91"/>
        <v>13910</v>
      </c>
      <c r="R87" s="34">
        <f t="shared" si="91"/>
        <v>13624</v>
      </c>
      <c r="S87" s="34">
        <f t="shared" si="91"/>
        <v>15051</v>
      </c>
      <c r="T87" s="34">
        <f t="shared" si="91"/>
        <v>18368</v>
      </c>
      <c r="U87" s="34">
        <f t="shared" si="91"/>
        <v>19689</v>
      </c>
      <c r="V87" s="34">
        <f t="shared" si="91"/>
        <v>20687</v>
      </c>
      <c r="W87" s="34">
        <f t="shared" si="91"/>
        <v>23662</v>
      </c>
      <c r="X87" s="34">
        <f t="shared" si="91"/>
        <v>23619</v>
      </c>
      <c r="Y87" s="34">
        <f t="shared" si="91"/>
        <v>26301</v>
      </c>
      <c r="Z87" s="34">
        <f t="shared" si="91"/>
        <v>26536</v>
      </c>
      <c r="AA87" s="34">
        <f t="shared" si="91"/>
        <v>34540</v>
      </c>
      <c r="AB87" s="34">
        <f t="shared" si="91"/>
        <v>28196</v>
      </c>
      <c r="AC87" s="34">
        <f t="shared" si="91"/>
        <v>34979</v>
      </c>
      <c r="AE87" s="34" t="e">
        <f>SUM(#REF!)</f>
        <v>#REF!</v>
      </c>
      <c r="AF87" s="34">
        <f>SUM(K87:K87)</f>
        <v>17930</v>
      </c>
      <c r="AG87" s="34">
        <f>SUM(K87:L87)</f>
        <v>36455</v>
      </c>
      <c r="AH87" s="34">
        <f>SUM(K87:M87)</f>
        <v>55391</v>
      </c>
      <c r="AI87" s="34">
        <f t="shared" ref="AI87:AX87" si="92">SUM(K87:N87)</f>
        <v>76033</v>
      </c>
      <c r="AJ87" s="34">
        <f t="shared" si="92"/>
        <v>74539</v>
      </c>
      <c r="AK87" s="34">
        <f t="shared" si="92"/>
        <v>72016</v>
      </c>
      <c r="AL87" s="34">
        <f t="shared" si="92"/>
        <v>66990</v>
      </c>
      <c r="AM87" s="34">
        <f t="shared" si="92"/>
        <v>59972</v>
      </c>
      <c r="AN87" s="34">
        <f t="shared" si="92"/>
        <v>58587</v>
      </c>
      <c r="AO87" s="34">
        <f t="shared" si="92"/>
        <v>60953</v>
      </c>
      <c r="AP87" s="34">
        <f t="shared" si="92"/>
        <v>66732</v>
      </c>
      <c r="AQ87" s="34">
        <f t="shared" si="92"/>
        <v>73795</v>
      </c>
      <c r="AR87" s="34">
        <f t="shared" si="92"/>
        <v>82406</v>
      </c>
      <c r="AS87" s="34">
        <f t="shared" si="92"/>
        <v>87657</v>
      </c>
      <c r="AT87" s="34">
        <f t="shared" si="92"/>
        <v>94269</v>
      </c>
      <c r="AU87" s="34">
        <f t="shared" si="92"/>
        <v>100118</v>
      </c>
      <c r="AV87" s="34">
        <f t="shared" si="92"/>
        <v>110996</v>
      </c>
      <c r="AW87" s="34">
        <f t="shared" si="92"/>
        <v>115573</v>
      </c>
      <c r="AX87" s="34">
        <f t="shared" si="92"/>
        <v>124251</v>
      </c>
      <c r="AY87" s="12"/>
      <c r="AZ87" s="82">
        <f>SUM(AX87/AT87)-1</f>
        <v>0.31804729020144484</v>
      </c>
    </row>
    <row r="88" spans="1:52" ht="5.0999999999999996" customHeight="1">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E88" s="34"/>
      <c r="AF88" s="34"/>
      <c r="AG88" s="34"/>
      <c r="AH88" s="34"/>
      <c r="AI88" s="34"/>
      <c r="AJ88" s="34"/>
      <c r="AK88" s="34"/>
      <c r="AL88" s="34"/>
      <c r="AM88" s="34"/>
      <c r="AN88" s="34"/>
      <c r="AO88" s="34"/>
      <c r="AP88" s="34"/>
      <c r="AQ88" s="34"/>
      <c r="AR88" s="34"/>
      <c r="AS88" s="34"/>
      <c r="AT88" s="34"/>
      <c r="AU88" s="34"/>
      <c r="AV88" s="34"/>
      <c r="AW88" s="34"/>
      <c r="AX88" s="34"/>
      <c r="AY88" s="12"/>
      <c r="AZ88" s="82"/>
    </row>
    <row r="89" spans="1:52" ht="12.75" customHeight="1">
      <c r="B89" s="38" t="s">
        <v>85</v>
      </c>
      <c r="C89" s="34"/>
      <c r="D89" s="34"/>
      <c r="E89" s="34"/>
      <c r="F89" s="34"/>
      <c r="G89" s="34"/>
      <c r="H89" s="34"/>
      <c r="I89" s="34"/>
      <c r="J89" s="34"/>
      <c r="K89" s="89"/>
      <c r="L89" s="89"/>
      <c r="M89" s="89"/>
      <c r="N89" s="34"/>
      <c r="O89" s="89"/>
      <c r="P89" s="89"/>
      <c r="Q89" s="89"/>
      <c r="R89" s="34"/>
      <c r="S89" s="89"/>
      <c r="T89" s="89"/>
      <c r="U89" s="89"/>
      <c r="V89" s="34"/>
      <c r="W89" s="89"/>
      <c r="X89" s="89"/>
      <c r="Y89" s="89"/>
      <c r="Z89" s="34"/>
      <c r="AA89" s="89"/>
      <c r="AB89" s="89"/>
      <c r="AC89" s="89"/>
      <c r="AE89" s="34"/>
      <c r="AF89" s="34"/>
      <c r="AG89" s="34"/>
      <c r="AH89" s="34"/>
      <c r="AI89" s="34"/>
      <c r="AJ89" s="34"/>
      <c r="AK89" s="34"/>
      <c r="AL89" s="34"/>
      <c r="AM89" s="34"/>
      <c r="AN89" s="34"/>
      <c r="AO89" s="34"/>
      <c r="AP89" s="34"/>
      <c r="AQ89" s="34"/>
      <c r="AR89" s="34"/>
      <c r="AS89" s="34"/>
      <c r="AT89" s="34"/>
      <c r="AU89" s="34"/>
      <c r="AV89" s="34"/>
      <c r="AW89" s="34"/>
      <c r="AX89" s="34"/>
      <c r="AY89" s="64"/>
      <c r="AZ89" s="82"/>
    </row>
    <row r="90" spans="1:52" ht="12.75" customHeight="1">
      <c r="B90" s="65" t="s">
        <v>487</v>
      </c>
      <c r="C90" s="89">
        <f>8164+871</f>
        <v>9035</v>
      </c>
      <c r="D90" s="89">
        <f>10856+925</f>
        <v>11781</v>
      </c>
      <c r="E90" s="89">
        <f>12905+792</f>
        <v>13697</v>
      </c>
      <c r="F90" s="89">
        <f>11555+886</f>
        <v>12441</v>
      </c>
      <c r="G90" s="89">
        <v>13475</v>
      </c>
      <c r="H90" s="89">
        <v>11946</v>
      </c>
      <c r="I90" s="89">
        <v>15311</v>
      </c>
      <c r="J90" s="34"/>
      <c r="K90" s="89">
        <f>2525+228</f>
        <v>2753</v>
      </c>
      <c r="L90" s="89">
        <f>5255+443 -K90</f>
        <v>2945</v>
      </c>
      <c r="M90" s="89">
        <f>8340+662-L90-K90</f>
        <v>3304</v>
      </c>
      <c r="N90" s="34">
        <f>SUM(F90-SUM(K90:M90))</f>
        <v>3439</v>
      </c>
      <c r="O90" s="89">
        <f>3591+191</f>
        <v>3782</v>
      </c>
      <c r="P90" s="89">
        <f>7289+392-O90</f>
        <v>3899</v>
      </c>
      <c r="Q90" s="89">
        <f>11222+505-P90-O90</f>
        <v>4046</v>
      </c>
      <c r="R90" s="34">
        <f>SUM(G90-SUM(O90:Q90))</f>
        <v>1748</v>
      </c>
      <c r="S90" s="89">
        <f>3060+126</f>
        <v>3186</v>
      </c>
      <c r="T90" s="89">
        <f>6339+244-S90</f>
        <v>3397</v>
      </c>
      <c r="U90" s="89">
        <f>10010+373-T90-S90</f>
        <v>3800</v>
      </c>
      <c r="V90" s="34">
        <f>SUM(H90-SUM(S90:U90))</f>
        <v>1563</v>
      </c>
      <c r="W90" s="89">
        <v>3413</v>
      </c>
      <c r="X90" s="89">
        <f>7121-W90</f>
        <v>3708</v>
      </c>
      <c r="Y90" s="89">
        <f>11106-X90-W90</f>
        <v>3985</v>
      </c>
      <c r="Z90" s="34">
        <f>SUM(I90-SUM(W90:Y90))</f>
        <v>4205</v>
      </c>
      <c r="AA90" s="89">
        <v>4487</v>
      </c>
      <c r="AB90" s="89">
        <f>9485-AA90</f>
        <v>4998</v>
      </c>
      <c r="AC90" s="89">
        <f>15096-AB90-AA90</f>
        <v>5611</v>
      </c>
      <c r="AE90" s="34" t="e">
        <f>SUM(#REF!)</f>
        <v>#REF!</v>
      </c>
      <c r="AF90" s="34">
        <f>SUM(K90:K90)</f>
        <v>2753</v>
      </c>
      <c r="AG90" s="34">
        <f>SUM(K90:L90)</f>
        <v>5698</v>
      </c>
      <c r="AH90" s="34">
        <f>SUM(K90:M90)</f>
        <v>9002</v>
      </c>
      <c r="AI90" s="34">
        <f t="shared" ref="AI90:AN94" si="93">SUM(K90:N90)</f>
        <v>12441</v>
      </c>
      <c r="AJ90" s="34">
        <f t="shared" si="93"/>
        <v>13470</v>
      </c>
      <c r="AK90" s="34">
        <f t="shared" si="93"/>
        <v>14424</v>
      </c>
      <c r="AL90" s="34">
        <f t="shared" si="93"/>
        <v>15166</v>
      </c>
      <c r="AM90" s="34">
        <f t="shared" si="93"/>
        <v>13475</v>
      </c>
      <c r="AN90" s="34">
        <f t="shared" si="93"/>
        <v>12879</v>
      </c>
      <c r="AO90" s="34">
        <f t="shared" ref="AO90:AX94" si="94">SUM(Q90:T90)</f>
        <v>12377</v>
      </c>
      <c r="AP90" s="34">
        <f t="shared" si="94"/>
        <v>12131</v>
      </c>
      <c r="AQ90" s="34">
        <f t="shared" si="94"/>
        <v>11946</v>
      </c>
      <c r="AR90" s="34">
        <f t="shared" si="94"/>
        <v>12173</v>
      </c>
      <c r="AS90" s="34">
        <f t="shared" si="94"/>
        <v>12484</v>
      </c>
      <c r="AT90" s="34">
        <f t="shared" si="94"/>
        <v>12669</v>
      </c>
      <c r="AU90" s="34">
        <f t="shared" si="94"/>
        <v>15311</v>
      </c>
      <c r="AV90" s="34">
        <f t="shared" si="94"/>
        <v>16385</v>
      </c>
      <c r="AW90" s="34">
        <f t="shared" si="94"/>
        <v>17675</v>
      </c>
      <c r="AX90" s="34">
        <f t="shared" si="94"/>
        <v>19301</v>
      </c>
      <c r="AY90" s="12"/>
      <c r="AZ90" s="82">
        <f t="shared" ref="AZ90:AZ103" si="95">SUM(AX90/AT90)-1</f>
        <v>0.52348251637856191</v>
      </c>
    </row>
    <row r="91" spans="1:52" ht="12.75" customHeight="1">
      <c r="B91" s="65" t="s">
        <v>488</v>
      </c>
      <c r="C91" s="89">
        <v>9353</v>
      </c>
      <c r="D91" s="89">
        <v>10794</v>
      </c>
      <c r="E91" s="89">
        <v>12991</v>
      </c>
      <c r="F91" s="89">
        <v>15376</v>
      </c>
      <c r="G91" s="89">
        <v>19362</v>
      </c>
      <c r="H91" s="89">
        <v>22460</v>
      </c>
      <c r="I91" s="89">
        <v>22785</v>
      </c>
      <c r="J91" s="34"/>
      <c r="K91" s="89">
        <v>3745</v>
      </c>
      <c r="L91" s="89">
        <f>7548-K91</f>
        <v>3803</v>
      </c>
      <c r="M91" s="89">
        <f>11422-L91-K91</f>
        <v>3874</v>
      </c>
      <c r="N91" s="34">
        <f>SUM(F91-SUM(K91:M91))</f>
        <v>3954</v>
      </c>
      <c r="O91" s="89">
        <v>4504</v>
      </c>
      <c r="P91" s="89">
        <f>9286-O91</f>
        <v>4782</v>
      </c>
      <c r="Q91" s="89">
        <f>14262-P91-O91</f>
        <v>4976</v>
      </c>
      <c r="R91" s="34">
        <f>SUM(G91-SUM(O91:Q91))</f>
        <v>5100</v>
      </c>
      <c r="S91" s="89">
        <v>5284</v>
      </c>
      <c r="T91" s="89">
        <f>11058-S91</f>
        <v>5774</v>
      </c>
      <c r="U91" s="89">
        <f>16801-T91-S91</f>
        <v>5743</v>
      </c>
      <c r="V91" s="34">
        <f>SUM(H91-SUM(S91:U91))</f>
        <v>5659</v>
      </c>
      <c r="W91" s="89">
        <v>5264</v>
      </c>
      <c r="X91" s="89">
        <f>11129-W91</f>
        <v>5865</v>
      </c>
      <c r="Y91" s="89">
        <f>16975-X91-W91</f>
        <v>5846</v>
      </c>
      <c r="Z91" s="34">
        <f>SUM(I91-SUM(W91:Y91))</f>
        <v>5810</v>
      </c>
      <c r="AA91" s="89">
        <v>5516</v>
      </c>
      <c r="AB91" s="89">
        <f>11514-AA91</f>
        <v>5998</v>
      </c>
      <c r="AC91" s="89">
        <f>17882-AB91-AA91</f>
        <v>6368</v>
      </c>
      <c r="AE91" s="34" t="e">
        <f>SUM(#REF!)</f>
        <v>#REF!</v>
      </c>
      <c r="AF91" s="34">
        <f>SUM(K91:K91)</f>
        <v>3745</v>
      </c>
      <c r="AG91" s="34">
        <f>SUM(K91:L91)</f>
        <v>7548</v>
      </c>
      <c r="AH91" s="34">
        <f>SUM(K91:M91)</f>
        <v>11422</v>
      </c>
      <c r="AI91" s="34">
        <f t="shared" si="93"/>
        <v>15376</v>
      </c>
      <c r="AJ91" s="34">
        <f t="shared" si="93"/>
        <v>16135</v>
      </c>
      <c r="AK91" s="34">
        <f t="shared" si="93"/>
        <v>17114</v>
      </c>
      <c r="AL91" s="34">
        <f t="shared" si="93"/>
        <v>18216</v>
      </c>
      <c r="AM91" s="34">
        <f t="shared" si="93"/>
        <v>19362</v>
      </c>
      <c r="AN91" s="34">
        <f t="shared" si="93"/>
        <v>20142</v>
      </c>
      <c r="AO91" s="34">
        <f t="shared" si="94"/>
        <v>21134</v>
      </c>
      <c r="AP91" s="34">
        <f t="shared" si="94"/>
        <v>21901</v>
      </c>
      <c r="AQ91" s="34">
        <f t="shared" si="94"/>
        <v>22460</v>
      </c>
      <c r="AR91" s="34">
        <f t="shared" si="94"/>
        <v>22440</v>
      </c>
      <c r="AS91" s="34">
        <f t="shared" si="94"/>
        <v>22531</v>
      </c>
      <c r="AT91" s="34">
        <f t="shared" si="94"/>
        <v>22634</v>
      </c>
      <c r="AU91" s="34">
        <f t="shared" si="94"/>
        <v>22785</v>
      </c>
      <c r="AV91" s="34">
        <f t="shared" si="94"/>
        <v>23037</v>
      </c>
      <c r="AW91" s="34">
        <f t="shared" si="94"/>
        <v>23170</v>
      </c>
      <c r="AX91" s="34">
        <f t="shared" si="94"/>
        <v>23692</v>
      </c>
      <c r="AY91" s="12"/>
      <c r="AZ91" s="82">
        <f t="shared" si="95"/>
        <v>4.6743836705840813E-2</v>
      </c>
    </row>
    <row r="92" spans="1:52" ht="12.75" customHeight="1">
      <c r="B92" s="65" t="s">
        <v>479</v>
      </c>
      <c r="C92" s="89">
        <v>778</v>
      </c>
      <c r="D92" s="89">
        <v>173</v>
      </c>
      <c r="E92" s="89">
        <v>1390</v>
      </c>
      <c r="F92" s="89">
        <v>1808</v>
      </c>
      <c r="G92" s="89">
        <v>-8081</v>
      </c>
      <c r="H92" s="89">
        <v>-7763</v>
      </c>
      <c r="I92" s="89">
        <v>-5257</v>
      </c>
      <c r="J92" s="34"/>
      <c r="K92" s="89">
        <v>1100</v>
      </c>
      <c r="L92" s="89">
        <f>1479-K92</f>
        <v>379</v>
      </c>
      <c r="M92" s="89">
        <f>192-L92-K92</f>
        <v>-1287</v>
      </c>
      <c r="N92" s="34">
        <f>SUM(F92-SUM(K92:M92))</f>
        <v>1616</v>
      </c>
      <c r="O92" s="89">
        <v>-2090</v>
      </c>
      <c r="P92" s="89">
        <f>-4237-O92</f>
        <v>-2147</v>
      </c>
      <c r="Q92" s="89">
        <f>-6157-P92-O92</f>
        <v>-1920</v>
      </c>
      <c r="R92" s="34">
        <f>SUM(G92-SUM(O92:Q92))</f>
        <v>-1924</v>
      </c>
      <c r="S92" s="89">
        <v>-1854</v>
      </c>
      <c r="T92" s="89">
        <f>-4269-S92</f>
        <v>-2415</v>
      </c>
      <c r="U92" s="89">
        <f>-6093-T92-S92</f>
        <v>-1824</v>
      </c>
      <c r="V92" s="34">
        <f>SUM(H92-SUM(S92:U92))</f>
        <v>-1670</v>
      </c>
      <c r="W92" s="89">
        <v>419</v>
      </c>
      <c r="X92" s="89">
        <f>-2738-W92</f>
        <v>-3157</v>
      </c>
      <c r="Y92" s="89">
        <f>-3809-X92-W92</f>
        <v>-1071</v>
      </c>
      <c r="Z92" s="34">
        <f>SUM(I92-SUM(W92:Y92))</f>
        <v>-1448</v>
      </c>
      <c r="AA92" s="89">
        <v>-1152</v>
      </c>
      <c r="AB92" s="89">
        <f>-1596-AA92</f>
        <v>-444</v>
      </c>
      <c r="AC92" s="89">
        <f>7130-AB92-AA92</f>
        <v>8726</v>
      </c>
      <c r="AE92" s="34" t="e">
        <f>SUM(#REF!)</f>
        <v>#REF!</v>
      </c>
      <c r="AF92" s="34">
        <f>SUM(K92:K92)</f>
        <v>1100</v>
      </c>
      <c r="AG92" s="34">
        <f>SUM(K92:L92)</f>
        <v>1479</v>
      </c>
      <c r="AH92" s="34">
        <f>SUM(K92:M92)</f>
        <v>192</v>
      </c>
      <c r="AI92" s="34">
        <f t="shared" si="93"/>
        <v>1808</v>
      </c>
      <c r="AJ92" s="34">
        <f t="shared" si="93"/>
        <v>-1382</v>
      </c>
      <c r="AK92" s="34">
        <f t="shared" si="93"/>
        <v>-3908</v>
      </c>
      <c r="AL92" s="34">
        <f t="shared" si="93"/>
        <v>-4541</v>
      </c>
      <c r="AM92" s="34">
        <f t="shared" si="93"/>
        <v>-8081</v>
      </c>
      <c r="AN92" s="34">
        <f t="shared" si="93"/>
        <v>-7845</v>
      </c>
      <c r="AO92" s="34">
        <f t="shared" si="94"/>
        <v>-8113</v>
      </c>
      <c r="AP92" s="34">
        <f t="shared" si="94"/>
        <v>-8017</v>
      </c>
      <c r="AQ92" s="34">
        <f t="shared" si="94"/>
        <v>-7763</v>
      </c>
      <c r="AR92" s="34">
        <f t="shared" si="94"/>
        <v>-5490</v>
      </c>
      <c r="AS92" s="34">
        <f t="shared" si="94"/>
        <v>-6232</v>
      </c>
      <c r="AT92" s="34">
        <f t="shared" si="94"/>
        <v>-5479</v>
      </c>
      <c r="AU92" s="34">
        <f t="shared" si="94"/>
        <v>-5257</v>
      </c>
      <c r="AV92" s="34">
        <f t="shared" si="94"/>
        <v>-6828</v>
      </c>
      <c r="AW92" s="34">
        <f t="shared" si="94"/>
        <v>-4115</v>
      </c>
      <c r="AX92" s="34">
        <f t="shared" si="94"/>
        <v>5682</v>
      </c>
      <c r="AY92" s="12"/>
      <c r="AZ92" s="82">
        <f t="shared" si="95"/>
        <v>-2.0370505566709252</v>
      </c>
    </row>
    <row r="93" spans="1:52" ht="12.75" customHeight="1">
      <c r="B93" s="65" t="s">
        <v>489</v>
      </c>
      <c r="C93" s="89">
        <v>-6650</v>
      </c>
      <c r="D93" s="89">
        <v>-2798</v>
      </c>
      <c r="E93" s="89">
        <v>-6317</v>
      </c>
      <c r="F93" s="89">
        <v>-12270</v>
      </c>
      <c r="G93" s="89">
        <v>5519</v>
      </c>
      <c r="H93" s="89">
        <v>823</v>
      </c>
      <c r="I93" s="89">
        <v>-2671</v>
      </c>
      <c r="J93" s="34"/>
      <c r="K93" s="89">
        <v>-4751</v>
      </c>
      <c r="L93" s="89">
        <f>-7634-K93</f>
        <v>-2883</v>
      </c>
      <c r="M93" s="89">
        <f>-9792-L93-K93</f>
        <v>-2158</v>
      </c>
      <c r="N93" s="34">
        <f>SUM(F93-SUM(K93:M93))</f>
        <v>-2478</v>
      </c>
      <c r="O93" s="89">
        <v>1437</v>
      </c>
      <c r="P93" s="89">
        <f>2478-O93</f>
        <v>1041</v>
      </c>
      <c r="Q93" s="89">
        <f>3856-P93-O93</f>
        <v>1378</v>
      </c>
      <c r="R93" s="34">
        <f>SUM(G93-SUM(O93:Q93))</f>
        <v>1663</v>
      </c>
      <c r="S93" s="89">
        <v>-84</v>
      </c>
      <c r="T93" s="89">
        <f>425-S93</f>
        <v>509</v>
      </c>
      <c r="U93" s="89">
        <f>1294-T93-S93</f>
        <v>869</v>
      </c>
      <c r="V93" s="34">
        <f>SUM(H93-SUM(S93:U93))</f>
        <v>-471</v>
      </c>
      <c r="W93" s="89">
        <v>-1781</v>
      </c>
      <c r="X93" s="89">
        <f>-757-W93</f>
        <v>1024</v>
      </c>
      <c r="Y93" s="89">
        <f>-2738-X93-W93</f>
        <v>-1981</v>
      </c>
      <c r="Z93" s="34">
        <f>SUM(I93-SUM(W93:Y93))</f>
        <v>67</v>
      </c>
      <c r="AA93" s="89">
        <v>-9960</v>
      </c>
      <c r="AB93" s="89">
        <f>-11411-AA93</f>
        <v>-1451</v>
      </c>
      <c r="AC93" s="89">
        <f>-22266-AB93-AA93</f>
        <v>-10855</v>
      </c>
      <c r="AE93" s="34" t="e">
        <f>SUM(#REF!)</f>
        <v>#REF!</v>
      </c>
      <c r="AF93" s="34">
        <f>SUM(K93:K93)</f>
        <v>-4751</v>
      </c>
      <c r="AG93" s="34">
        <f>SUM(K93:L93)</f>
        <v>-7634</v>
      </c>
      <c r="AH93" s="34">
        <f>SUM(K93:M93)</f>
        <v>-9792</v>
      </c>
      <c r="AI93" s="34">
        <f t="shared" si="93"/>
        <v>-12270</v>
      </c>
      <c r="AJ93" s="34">
        <f t="shared" si="93"/>
        <v>-6082</v>
      </c>
      <c r="AK93" s="34">
        <f t="shared" si="93"/>
        <v>-2158</v>
      </c>
      <c r="AL93" s="34">
        <f t="shared" si="93"/>
        <v>1378</v>
      </c>
      <c r="AM93" s="34">
        <f t="shared" si="93"/>
        <v>5519</v>
      </c>
      <c r="AN93" s="34">
        <f t="shared" si="93"/>
        <v>3998</v>
      </c>
      <c r="AO93" s="34">
        <f t="shared" si="94"/>
        <v>3466</v>
      </c>
      <c r="AP93" s="34">
        <f t="shared" si="94"/>
        <v>2957</v>
      </c>
      <c r="AQ93" s="34">
        <f t="shared" si="94"/>
        <v>823</v>
      </c>
      <c r="AR93" s="34">
        <f t="shared" si="94"/>
        <v>-874</v>
      </c>
      <c r="AS93" s="34">
        <f t="shared" si="94"/>
        <v>-359</v>
      </c>
      <c r="AT93" s="34">
        <f t="shared" si="94"/>
        <v>-3209</v>
      </c>
      <c r="AU93" s="34">
        <f t="shared" si="94"/>
        <v>-2671</v>
      </c>
      <c r="AV93" s="34">
        <f t="shared" si="94"/>
        <v>-10850</v>
      </c>
      <c r="AW93" s="34">
        <f t="shared" si="94"/>
        <v>-13325</v>
      </c>
      <c r="AX93" s="34">
        <f t="shared" si="94"/>
        <v>-22199</v>
      </c>
      <c r="AY93" s="12"/>
      <c r="AZ93" s="82">
        <f t="shared" si="95"/>
        <v>5.9177313804923655</v>
      </c>
    </row>
    <row r="94" spans="1:52" ht="12.75" customHeight="1">
      <c r="B94" s="65" t="s">
        <v>490</v>
      </c>
      <c r="C94" s="89">
        <v>-189</v>
      </c>
      <c r="D94" s="89">
        <v>-592</v>
      </c>
      <c r="E94" s="89">
        <v>1267</v>
      </c>
      <c r="F94" s="89">
        <v>-213</v>
      </c>
      <c r="G94" s="89">
        <v>3483</v>
      </c>
      <c r="H94" s="89">
        <v>4330</v>
      </c>
      <c r="I94" s="89">
        <v>3419</v>
      </c>
      <c r="J94" s="34"/>
      <c r="K94" s="89">
        <v>-255</v>
      </c>
      <c r="L94" s="89">
        <f>-263-K94</f>
        <v>-8</v>
      </c>
      <c r="M94" s="89">
        <f>-199-L94-K94</f>
        <v>64</v>
      </c>
      <c r="N94" s="34">
        <f>SUM(F94-SUM(K94:M94))</f>
        <v>-14</v>
      </c>
      <c r="O94" s="89">
        <v>140</v>
      </c>
      <c r="P94" s="89">
        <f>202-O94</f>
        <v>62</v>
      </c>
      <c r="Q94" s="89">
        <f>369-P94-O94</f>
        <v>167</v>
      </c>
      <c r="R94" s="34">
        <f>SUM(G94-SUM(O94:Q94))</f>
        <v>3114</v>
      </c>
      <c r="S94" s="89">
        <v>553</v>
      </c>
      <c r="T94" s="89">
        <f>650-S94</f>
        <v>97</v>
      </c>
      <c r="U94" s="89">
        <f>912-T94-S94</f>
        <v>262</v>
      </c>
      <c r="V94" s="34">
        <f>SUM(H94-SUM(S94:U94))</f>
        <v>3418</v>
      </c>
      <c r="W94" s="89">
        <v>334</v>
      </c>
      <c r="X94" s="89">
        <f>1185-W94</f>
        <v>851</v>
      </c>
      <c r="Y94" s="89">
        <f>2592-X94-W94</f>
        <v>1407</v>
      </c>
      <c r="Z94" s="34">
        <f>SUM(I94-SUM(W94:Y94))</f>
        <v>827</v>
      </c>
      <c r="AA94" s="89">
        <v>481</v>
      </c>
      <c r="AB94" s="89">
        <f>1041-AA94</f>
        <v>560</v>
      </c>
      <c r="AC94" s="89">
        <f>843-AB94-AA94</f>
        <v>-198</v>
      </c>
      <c r="AE94" s="34" t="e">
        <f>SUM(#REF!)</f>
        <v>#REF!</v>
      </c>
      <c r="AF94" s="34">
        <f>SUM(K94:K94)</f>
        <v>-255</v>
      </c>
      <c r="AG94" s="34">
        <f>SUM(K94:L94)</f>
        <v>-263</v>
      </c>
      <c r="AH94" s="34">
        <f>SUM(K94:M94)</f>
        <v>-199</v>
      </c>
      <c r="AI94" s="34">
        <f t="shared" si="93"/>
        <v>-213</v>
      </c>
      <c r="AJ94" s="34">
        <f t="shared" si="93"/>
        <v>182</v>
      </c>
      <c r="AK94" s="34">
        <f t="shared" si="93"/>
        <v>252</v>
      </c>
      <c r="AL94" s="34">
        <f t="shared" si="93"/>
        <v>355</v>
      </c>
      <c r="AM94" s="34">
        <f t="shared" si="93"/>
        <v>3483</v>
      </c>
      <c r="AN94" s="34">
        <f t="shared" si="93"/>
        <v>3896</v>
      </c>
      <c r="AO94" s="34">
        <f t="shared" si="94"/>
        <v>3931</v>
      </c>
      <c r="AP94" s="34">
        <f t="shared" si="94"/>
        <v>4026</v>
      </c>
      <c r="AQ94" s="34">
        <f t="shared" si="94"/>
        <v>4330</v>
      </c>
      <c r="AR94" s="34">
        <f t="shared" si="94"/>
        <v>4111</v>
      </c>
      <c r="AS94" s="34">
        <f t="shared" si="94"/>
        <v>4865</v>
      </c>
      <c r="AT94" s="34">
        <f t="shared" si="94"/>
        <v>6010</v>
      </c>
      <c r="AU94" s="34">
        <f t="shared" si="94"/>
        <v>3419</v>
      </c>
      <c r="AV94" s="34">
        <f t="shared" si="94"/>
        <v>3566</v>
      </c>
      <c r="AW94" s="34">
        <f t="shared" si="94"/>
        <v>3275</v>
      </c>
      <c r="AX94" s="34">
        <f t="shared" si="94"/>
        <v>1670</v>
      </c>
      <c r="AY94" s="12"/>
      <c r="AZ94" s="82">
        <f t="shared" si="95"/>
        <v>-0.72212978369384362</v>
      </c>
    </row>
    <row r="95" spans="1:52" ht="12.75" customHeight="1">
      <c r="B95" s="38" t="s">
        <v>19</v>
      </c>
      <c r="C95" s="89"/>
      <c r="D95" s="89"/>
      <c r="E95" s="89"/>
      <c r="F95" s="89"/>
      <c r="G95" s="89"/>
      <c r="H95" s="89"/>
      <c r="I95" s="89"/>
      <c r="J95" s="34"/>
      <c r="K95" s="89"/>
      <c r="L95" s="89"/>
      <c r="M95" s="89"/>
      <c r="N95" s="34"/>
      <c r="O95" s="89"/>
      <c r="P95" s="89"/>
      <c r="Q95" s="89"/>
      <c r="R95" s="34"/>
      <c r="S95" s="89"/>
      <c r="T95" s="89"/>
      <c r="U95" s="89"/>
      <c r="V95" s="34"/>
      <c r="W95" s="89"/>
      <c r="X95" s="89"/>
      <c r="Y95" s="89"/>
      <c r="Z95" s="34"/>
      <c r="AA95" s="89"/>
      <c r="AB95" s="89"/>
      <c r="AC95" s="89"/>
      <c r="AE95" s="34"/>
      <c r="AF95" s="34"/>
      <c r="AG95" s="34"/>
      <c r="AH95" s="34"/>
      <c r="AI95" s="34"/>
      <c r="AJ95" s="34"/>
      <c r="AK95" s="34"/>
      <c r="AL95" s="34"/>
      <c r="AM95" s="34"/>
      <c r="AN95" s="34"/>
      <c r="AO95" s="34"/>
      <c r="AP95" s="34"/>
      <c r="AQ95" s="34"/>
      <c r="AR95" s="34"/>
      <c r="AS95" s="34"/>
      <c r="AT95" s="34"/>
      <c r="AU95" s="34"/>
      <c r="AV95" s="34"/>
      <c r="AW95" s="34"/>
      <c r="AX95" s="34"/>
      <c r="AY95" s="64"/>
      <c r="AZ95" s="82"/>
    </row>
    <row r="96" spans="1:52" ht="12.75" customHeight="1">
      <c r="B96" s="65" t="s">
        <v>491</v>
      </c>
      <c r="C96" s="89">
        <v>-2169</v>
      </c>
      <c r="D96" s="89">
        <v>-4340</v>
      </c>
      <c r="E96" s="89">
        <v>-6524</v>
      </c>
      <c r="F96" s="89">
        <v>-9095</v>
      </c>
      <c r="G96" s="89">
        <v>-2317</v>
      </c>
      <c r="H96" s="89">
        <v>-7833</v>
      </c>
      <c r="I96" s="89">
        <v>-5891</v>
      </c>
      <c r="J96" s="34"/>
      <c r="K96" s="89">
        <v>2794</v>
      </c>
      <c r="L96" s="89">
        <f>-867-K96</f>
        <v>-3661</v>
      </c>
      <c r="M96" s="89">
        <f>-3276-L96-K96</f>
        <v>-2409</v>
      </c>
      <c r="N96" s="34">
        <f t="shared" ref="N96:N102" si="96">SUM(F96-SUM(K96:M96))</f>
        <v>-5819</v>
      </c>
      <c r="O96" s="89">
        <v>4364</v>
      </c>
      <c r="P96" s="89">
        <f>2395-O96</f>
        <v>-1969</v>
      </c>
      <c r="Q96" s="89">
        <f>2298-P96-O96</f>
        <v>-97</v>
      </c>
      <c r="R96" s="34">
        <f t="shared" ref="R96:R102" si="97">SUM(G96-SUM(O96:Q96))</f>
        <v>-4615</v>
      </c>
      <c r="S96" s="89">
        <v>4454</v>
      </c>
      <c r="T96" s="89">
        <f>1506-S96</f>
        <v>-2948</v>
      </c>
      <c r="U96" s="89">
        <f>-1315-T96-S96</f>
        <v>-2821</v>
      </c>
      <c r="V96" s="34">
        <f t="shared" ref="V96:V102" si="98">SUM(H96-SUM(S96:U96))</f>
        <v>-6518</v>
      </c>
      <c r="W96" s="89">
        <v>3167</v>
      </c>
      <c r="X96" s="89">
        <f>110-W96</f>
        <v>-3057</v>
      </c>
      <c r="Y96" s="89">
        <f>-1321-X96-W96</f>
        <v>-1431</v>
      </c>
      <c r="Z96" s="34">
        <f t="shared" ref="Z96:Z102" si="99">SUM(I96-SUM(W96:Y96))</f>
        <v>-4570</v>
      </c>
      <c r="AA96" s="89">
        <v>1638</v>
      </c>
      <c r="AB96" s="89">
        <f>-1201-AA96</f>
        <v>-2839</v>
      </c>
      <c r="AC96" s="89">
        <f>-3582-AB96-AA96</f>
        <v>-2381</v>
      </c>
      <c r="AE96" s="34" t="e">
        <f>SUM(#REF!)</f>
        <v>#REF!</v>
      </c>
      <c r="AF96" s="34">
        <f t="shared" ref="AF96:AF102" si="100">SUM(K96:K96)</f>
        <v>2794</v>
      </c>
      <c r="AG96" s="34">
        <f t="shared" ref="AG96:AG102" si="101">SUM(K96:L96)</f>
        <v>-867</v>
      </c>
      <c r="AH96" s="34">
        <f t="shared" ref="AH96:AH102" si="102">SUM(K96:M96)</f>
        <v>-3276</v>
      </c>
      <c r="AI96" s="34">
        <f t="shared" ref="AI96:AN102" si="103">SUM(K96:N96)</f>
        <v>-9095</v>
      </c>
      <c r="AJ96" s="34">
        <f t="shared" si="103"/>
        <v>-7525</v>
      </c>
      <c r="AK96" s="34">
        <f t="shared" si="103"/>
        <v>-5833</v>
      </c>
      <c r="AL96" s="34">
        <f t="shared" si="103"/>
        <v>-3521</v>
      </c>
      <c r="AM96" s="34">
        <f t="shared" si="103"/>
        <v>-2317</v>
      </c>
      <c r="AN96" s="34">
        <f t="shared" si="103"/>
        <v>-2227</v>
      </c>
      <c r="AO96" s="34">
        <f t="shared" ref="AO96:AX102" si="104">SUM(Q96:T96)</f>
        <v>-3206</v>
      </c>
      <c r="AP96" s="34">
        <f t="shared" si="104"/>
        <v>-5930</v>
      </c>
      <c r="AQ96" s="34">
        <f t="shared" si="104"/>
        <v>-7833</v>
      </c>
      <c r="AR96" s="34">
        <f t="shared" si="104"/>
        <v>-9120</v>
      </c>
      <c r="AS96" s="34">
        <f t="shared" si="104"/>
        <v>-9229</v>
      </c>
      <c r="AT96" s="34">
        <f t="shared" si="104"/>
        <v>-7839</v>
      </c>
      <c r="AU96" s="34">
        <f t="shared" si="104"/>
        <v>-5891</v>
      </c>
      <c r="AV96" s="34">
        <f t="shared" si="104"/>
        <v>-7420</v>
      </c>
      <c r="AW96" s="34">
        <f t="shared" si="104"/>
        <v>-7202</v>
      </c>
      <c r="AX96" s="34">
        <f t="shared" si="104"/>
        <v>-8152</v>
      </c>
      <c r="AY96" s="64"/>
      <c r="AZ96" s="82">
        <f t="shared" si="95"/>
        <v>3.9928562316622118E-2</v>
      </c>
    </row>
    <row r="97" spans="2:52" ht="12.75" customHeight="1">
      <c r="B97" s="65" t="s">
        <v>492</v>
      </c>
      <c r="C97" s="89">
        <v>-2251</v>
      </c>
      <c r="D97" s="89">
        <v>-3128</v>
      </c>
      <c r="E97" s="89">
        <v>1209</v>
      </c>
      <c r="F97" s="89">
        <v>-625</v>
      </c>
      <c r="G97" s="89">
        <v>584</v>
      </c>
      <c r="H97" s="89">
        <v>523</v>
      </c>
      <c r="I97" s="89">
        <v>-2418</v>
      </c>
      <c r="J97" s="34"/>
      <c r="K97" s="89">
        <v>785</v>
      </c>
      <c r="L97" s="89">
        <f>-297-K97</f>
        <v>-1082</v>
      </c>
      <c r="M97" s="89">
        <f>2744-L97-K97</f>
        <v>3041</v>
      </c>
      <c r="N97" s="34">
        <f t="shared" si="96"/>
        <v>-3369</v>
      </c>
      <c r="O97" s="89">
        <v>3820</v>
      </c>
      <c r="P97" s="89">
        <f>-253-O97</f>
        <v>-4073</v>
      </c>
      <c r="Q97" s="89">
        <f>-862-P97-O97</f>
        <v>-609</v>
      </c>
      <c r="R97" s="34">
        <f t="shared" si="97"/>
        <v>1446</v>
      </c>
      <c r="S97" s="89">
        <v>4069</v>
      </c>
      <c r="T97" s="89">
        <f>8520-S97</f>
        <v>4451</v>
      </c>
      <c r="U97" s="89">
        <f>10392-T97-S97</f>
        <v>1872</v>
      </c>
      <c r="V97" s="34">
        <f t="shared" si="98"/>
        <v>-9869</v>
      </c>
      <c r="W97" s="89">
        <v>3011</v>
      </c>
      <c r="X97" s="89">
        <f>-889-W97</f>
        <v>-3900</v>
      </c>
      <c r="Y97" s="89">
        <f>-2797-X97-W97</f>
        <v>-1908</v>
      </c>
      <c r="Z97" s="34">
        <f t="shared" si="99"/>
        <v>379</v>
      </c>
      <c r="AA97" s="89">
        <v>7197</v>
      </c>
      <c r="AB97" s="89">
        <f>-2434-AA97</f>
        <v>-9631</v>
      </c>
      <c r="AC97" s="89">
        <f>-3292-AB97-AA97</f>
        <v>-858</v>
      </c>
      <c r="AE97" s="34" t="e">
        <f>SUM(#REF!)</f>
        <v>#REF!</v>
      </c>
      <c r="AF97" s="34">
        <f t="shared" si="100"/>
        <v>785</v>
      </c>
      <c r="AG97" s="34">
        <f t="shared" si="101"/>
        <v>-297</v>
      </c>
      <c r="AH97" s="34">
        <f t="shared" si="102"/>
        <v>2744</v>
      </c>
      <c r="AI97" s="34">
        <f t="shared" si="103"/>
        <v>-625</v>
      </c>
      <c r="AJ97" s="34">
        <f t="shared" si="103"/>
        <v>2410</v>
      </c>
      <c r="AK97" s="34">
        <f t="shared" si="103"/>
        <v>-581</v>
      </c>
      <c r="AL97" s="34">
        <f t="shared" si="103"/>
        <v>-4231</v>
      </c>
      <c r="AM97" s="34">
        <f t="shared" si="103"/>
        <v>584</v>
      </c>
      <c r="AN97" s="34">
        <f t="shared" si="103"/>
        <v>833</v>
      </c>
      <c r="AO97" s="34">
        <f t="shared" si="104"/>
        <v>9357</v>
      </c>
      <c r="AP97" s="34">
        <f t="shared" si="104"/>
        <v>11838</v>
      </c>
      <c r="AQ97" s="34">
        <f t="shared" si="104"/>
        <v>523</v>
      </c>
      <c r="AR97" s="34">
        <f t="shared" si="104"/>
        <v>-535</v>
      </c>
      <c r="AS97" s="34">
        <f t="shared" si="104"/>
        <v>-8886</v>
      </c>
      <c r="AT97" s="34">
        <f t="shared" si="104"/>
        <v>-12666</v>
      </c>
      <c r="AU97" s="34">
        <f t="shared" si="104"/>
        <v>-2418</v>
      </c>
      <c r="AV97" s="34">
        <f t="shared" si="104"/>
        <v>1768</v>
      </c>
      <c r="AW97" s="34">
        <f t="shared" si="104"/>
        <v>-3963</v>
      </c>
      <c r="AX97" s="34">
        <f t="shared" si="104"/>
        <v>-2913</v>
      </c>
      <c r="AY97" s="64"/>
      <c r="AZ97" s="82">
        <f t="shared" si="95"/>
        <v>-0.7700142112742776</v>
      </c>
    </row>
    <row r="98" spans="2:52" ht="12.75" customHeight="1">
      <c r="B98" s="65" t="s">
        <v>493</v>
      </c>
      <c r="C98" s="89">
        <v>-1207</v>
      </c>
      <c r="D98" s="89">
        <v>-621</v>
      </c>
      <c r="E98" s="89">
        <v>-1330</v>
      </c>
      <c r="F98" s="89">
        <v>-1846</v>
      </c>
      <c r="G98" s="89">
        <v>-5046</v>
      </c>
      <c r="H98" s="89">
        <v>-2143</v>
      </c>
      <c r="I98" s="89">
        <v>-1397</v>
      </c>
      <c r="J98" s="34"/>
      <c r="K98" s="89">
        <v>7</v>
      </c>
      <c r="L98" s="89">
        <f>-192-K98</f>
        <v>-199</v>
      </c>
      <c r="M98" s="89">
        <f>-1447-L98-K98</f>
        <v>-1255</v>
      </c>
      <c r="N98" s="34">
        <f t="shared" si="96"/>
        <v>-399</v>
      </c>
      <c r="O98" s="89">
        <v>-776</v>
      </c>
      <c r="P98" s="89">
        <f>-1621-O98</f>
        <v>-845</v>
      </c>
      <c r="Q98" s="89">
        <f>-4268-P98-O98</f>
        <v>-2647</v>
      </c>
      <c r="R98" s="34">
        <f t="shared" si="97"/>
        <v>-778</v>
      </c>
      <c r="S98" s="89">
        <v>-746</v>
      </c>
      <c r="T98" s="89">
        <f>-1259-S98</f>
        <v>-513</v>
      </c>
      <c r="U98" s="89">
        <f>-2883-T98-S98</f>
        <v>-1624</v>
      </c>
      <c r="V98" s="34">
        <f t="shared" si="98"/>
        <v>740</v>
      </c>
      <c r="W98" s="89">
        <v>-1000</v>
      </c>
      <c r="X98" s="89">
        <f>-1532-W98</f>
        <v>-532</v>
      </c>
      <c r="Y98" s="89">
        <f>-2334-X98-W98</f>
        <v>-802</v>
      </c>
      <c r="Z98" s="34">
        <f t="shared" si="99"/>
        <v>937</v>
      </c>
      <c r="AA98" s="89">
        <v>-1288</v>
      </c>
      <c r="AB98" s="89">
        <f>-2767-AA98</f>
        <v>-1479</v>
      </c>
      <c r="AC98" s="89">
        <f>-4060-AB98-AA98</f>
        <v>-1293</v>
      </c>
      <c r="AE98" s="34" t="e">
        <f>SUM(#REF!)</f>
        <v>#REF!</v>
      </c>
      <c r="AF98" s="34">
        <f t="shared" si="100"/>
        <v>7</v>
      </c>
      <c r="AG98" s="34">
        <f t="shared" si="101"/>
        <v>-192</v>
      </c>
      <c r="AH98" s="34">
        <f t="shared" si="102"/>
        <v>-1447</v>
      </c>
      <c r="AI98" s="34">
        <f t="shared" si="103"/>
        <v>-1846</v>
      </c>
      <c r="AJ98" s="34">
        <f t="shared" si="103"/>
        <v>-2629</v>
      </c>
      <c r="AK98" s="34">
        <f t="shared" si="103"/>
        <v>-3275</v>
      </c>
      <c r="AL98" s="34">
        <f t="shared" si="103"/>
        <v>-4667</v>
      </c>
      <c r="AM98" s="34">
        <f t="shared" si="103"/>
        <v>-5046</v>
      </c>
      <c r="AN98" s="34">
        <f t="shared" si="103"/>
        <v>-5016</v>
      </c>
      <c r="AO98" s="34">
        <f t="shared" si="104"/>
        <v>-4684</v>
      </c>
      <c r="AP98" s="34">
        <f t="shared" si="104"/>
        <v>-3661</v>
      </c>
      <c r="AQ98" s="34">
        <f t="shared" si="104"/>
        <v>-2143</v>
      </c>
      <c r="AR98" s="34">
        <f t="shared" si="104"/>
        <v>-2397</v>
      </c>
      <c r="AS98" s="34">
        <f t="shared" si="104"/>
        <v>-2416</v>
      </c>
      <c r="AT98" s="34">
        <f t="shared" si="104"/>
        <v>-1594</v>
      </c>
      <c r="AU98" s="34">
        <f t="shared" si="104"/>
        <v>-1397</v>
      </c>
      <c r="AV98" s="34">
        <f t="shared" si="104"/>
        <v>-1685</v>
      </c>
      <c r="AW98" s="34">
        <f t="shared" si="104"/>
        <v>-2632</v>
      </c>
      <c r="AX98" s="34">
        <f t="shared" si="104"/>
        <v>-3123</v>
      </c>
      <c r="AY98" s="64"/>
      <c r="AZ98" s="82">
        <f t="shared" si="95"/>
        <v>0.95922208281053956</v>
      </c>
    </row>
    <row r="99" spans="2:52" ht="12.75" customHeight="1">
      <c r="B99" s="65" t="s">
        <v>494</v>
      </c>
      <c r="C99" s="89">
        <v>1067</v>
      </c>
      <c r="D99" s="89">
        <v>428</v>
      </c>
      <c r="E99" s="89">
        <v>694</v>
      </c>
      <c r="F99" s="89">
        <v>283</v>
      </c>
      <c r="G99" s="89">
        <v>707</v>
      </c>
      <c r="H99" s="89">
        <v>664</v>
      </c>
      <c r="I99" s="89">
        <v>359</v>
      </c>
      <c r="J99" s="34"/>
      <c r="K99" s="89">
        <v>-982</v>
      </c>
      <c r="L99" s="89">
        <f>-1112-K99</f>
        <v>-130</v>
      </c>
      <c r="M99" s="89">
        <f>-874-L99-K99</f>
        <v>238</v>
      </c>
      <c r="N99" s="34">
        <f t="shared" si="96"/>
        <v>1157</v>
      </c>
      <c r="O99" s="89">
        <v>-2373</v>
      </c>
      <c r="P99" s="89">
        <f>-1172-O99</f>
        <v>1201</v>
      </c>
      <c r="Q99" s="89">
        <f>735-P99-O99</f>
        <v>1907</v>
      </c>
      <c r="R99" s="34">
        <f t="shared" si="97"/>
        <v>-28</v>
      </c>
      <c r="S99" s="89">
        <v>-1105</v>
      </c>
      <c r="T99" s="89">
        <f>14-S99</f>
        <v>1119</v>
      </c>
      <c r="U99" s="89">
        <f>237-T99-S99</f>
        <v>223</v>
      </c>
      <c r="V99" s="34">
        <f t="shared" si="98"/>
        <v>427</v>
      </c>
      <c r="W99" s="89">
        <v>-2124</v>
      </c>
      <c r="X99" s="89">
        <f>-563-W99</f>
        <v>1561</v>
      </c>
      <c r="Y99" s="89">
        <f>-42-X99-W99</f>
        <v>521</v>
      </c>
      <c r="Z99" s="34">
        <f t="shared" si="99"/>
        <v>401</v>
      </c>
      <c r="AA99" s="89">
        <v>-880</v>
      </c>
      <c r="AB99" s="89">
        <f>-327-AA99</f>
        <v>553</v>
      </c>
      <c r="AC99" s="89">
        <f>-771-AB99-AA99</f>
        <v>-444</v>
      </c>
      <c r="AE99" s="34" t="e">
        <f>SUM(#REF!)</f>
        <v>#REF!</v>
      </c>
      <c r="AF99" s="34">
        <f t="shared" si="100"/>
        <v>-982</v>
      </c>
      <c r="AG99" s="34">
        <f t="shared" si="101"/>
        <v>-1112</v>
      </c>
      <c r="AH99" s="34">
        <f t="shared" si="102"/>
        <v>-874</v>
      </c>
      <c r="AI99" s="34">
        <f t="shared" si="103"/>
        <v>283</v>
      </c>
      <c r="AJ99" s="34">
        <f t="shared" si="103"/>
        <v>-1108</v>
      </c>
      <c r="AK99" s="34">
        <f t="shared" si="103"/>
        <v>223</v>
      </c>
      <c r="AL99" s="34">
        <f t="shared" si="103"/>
        <v>1892</v>
      </c>
      <c r="AM99" s="34">
        <f t="shared" si="103"/>
        <v>707</v>
      </c>
      <c r="AN99" s="34">
        <f t="shared" si="103"/>
        <v>1975</v>
      </c>
      <c r="AO99" s="34">
        <f t="shared" si="104"/>
        <v>1893</v>
      </c>
      <c r="AP99" s="34">
        <f t="shared" si="104"/>
        <v>209</v>
      </c>
      <c r="AQ99" s="34">
        <f t="shared" si="104"/>
        <v>664</v>
      </c>
      <c r="AR99" s="34">
        <f t="shared" si="104"/>
        <v>-355</v>
      </c>
      <c r="AS99" s="34">
        <f t="shared" si="104"/>
        <v>87</v>
      </c>
      <c r="AT99" s="34">
        <f t="shared" si="104"/>
        <v>385</v>
      </c>
      <c r="AU99" s="34">
        <f t="shared" si="104"/>
        <v>359</v>
      </c>
      <c r="AV99" s="34">
        <f t="shared" si="104"/>
        <v>1603</v>
      </c>
      <c r="AW99" s="34">
        <f t="shared" si="104"/>
        <v>595</v>
      </c>
      <c r="AX99" s="34">
        <f t="shared" si="104"/>
        <v>-370</v>
      </c>
      <c r="AY99" s="64"/>
      <c r="AZ99" s="82">
        <f t="shared" si="95"/>
        <v>-1.9610389610389611</v>
      </c>
    </row>
    <row r="100" spans="2:52" ht="12.75" customHeight="1">
      <c r="B100" s="65" t="s">
        <v>495</v>
      </c>
      <c r="C100" s="89">
        <v>8614</v>
      </c>
      <c r="D100" s="89">
        <v>7170</v>
      </c>
      <c r="E100" s="89">
        <v>5504</v>
      </c>
      <c r="F100" s="89">
        <v>7304</v>
      </c>
      <c r="G100" s="89">
        <v>3915</v>
      </c>
      <c r="H100" s="89">
        <v>3937</v>
      </c>
      <c r="I100" s="89">
        <v>-1161</v>
      </c>
      <c r="J100" s="34"/>
      <c r="K100" s="89">
        <v>-3530</v>
      </c>
      <c r="L100" s="89">
        <f>201-K100</f>
        <v>3731</v>
      </c>
      <c r="M100" s="89">
        <f>2763-L100-K100</f>
        <v>2562</v>
      </c>
      <c r="N100" s="34">
        <f t="shared" si="96"/>
        <v>4541</v>
      </c>
      <c r="O100" s="89">
        <v>-3216</v>
      </c>
      <c r="P100" s="89">
        <f>-1719-O100</f>
        <v>1497</v>
      </c>
      <c r="Q100" s="89">
        <f>491-P100-O100</f>
        <v>2210</v>
      </c>
      <c r="R100" s="34">
        <f t="shared" si="97"/>
        <v>3424</v>
      </c>
      <c r="S100" s="89">
        <v>-4496</v>
      </c>
      <c r="T100" s="89">
        <f>-4037-S100</f>
        <v>459</v>
      </c>
      <c r="U100" s="89">
        <f>-380-T100-S100</f>
        <v>3657</v>
      </c>
      <c r="V100" s="34">
        <f t="shared" si="98"/>
        <v>4317</v>
      </c>
      <c r="W100" s="89">
        <v>-5054</v>
      </c>
      <c r="X100" s="89">
        <f>-5176-W100</f>
        <v>-122</v>
      </c>
      <c r="Y100" s="89">
        <f>-6366-X100-W100</f>
        <v>-1190</v>
      </c>
      <c r="Z100" s="34">
        <f t="shared" si="99"/>
        <v>5205</v>
      </c>
      <c r="AA100" s="89">
        <v>-5045</v>
      </c>
      <c r="AB100" s="89">
        <f>-1560-AA100</f>
        <v>3485</v>
      </c>
      <c r="AC100" s="89">
        <f>6199-AB100-AA100</f>
        <v>7759</v>
      </c>
      <c r="AE100" s="34" t="e">
        <f>SUM(#REF!)</f>
        <v>#REF!</v>
      </c>
      <c r="AF100" s="34">
        <f t="shared" si="100"/>
        <v>-3530</v>
      </c>
      <c r="AG100" s="34">
        <f t="shared" si="101"/>
        <v>201</v>
      </c>
      <c r="AH100" s="34">
        <f t="shared" si="102"/>
        <v>2763</v>
      </c>
      <c r="AI100" s="34">
        <f t="shared" si="103"/>
        <v>7304</v>
      </c>
      <c r="AJ100" s="34">
        <f t="shared" si="103"/>
        <v>7618</v>
      </c>
      <c r="AK100" s="34">
        <f t="shared" si="103"/>
        <v>5384</v>
      </c>
      <c r="AL100" s="34">
        <f t="shared" si="103"/>
        <v>5032</v>
      </c>
      <c r="AM100" s="34">
        <f t="shared" si="103"/>
        <v>3915</v>
      </c>
      <c r="AN100" s="34">
        <f t="shared" si="103"/>
        <v>2635</v>
      </c>
      <c r="AO100" s="34">
        <f t="shared" si="104"/>
        <v>1597</v>
      </c>
      <c r="AP100" s="34">
        <f t="shared" si="104"/>
        <v>3044</v>
      </c>
      <c r="AQ100" s="34">
        <f t="shared" si="104"/>
        <v>3937</v>
      </c>
      <c r="AR100" s="34">
        <f t="shared" si="104"/>
        <v>3379</v>
      </c>
      <c r="AS100" s="34">
        <f t="shared" si="104"/>
        <v>2798</v>
      </c>
      <c r="AT100" s="34">
        <f t="shared" si="104"/>
        <v>-2049</v>
      </c>
      <c r="AU100" s="34">
        <f t="shared" si="104"/>
        <v>-1161</v>
      </c>
      <c r="AV100" s="34">
        <f t="shared" si="104"/>
        <v>-1152</v>
      </c>
      <c r="AW100" s="34">
        <f t="shared" si="104"/>
        <v>2455</v>
      </c>
      <c r="AX100" s="34">
        <f t="shared" si="104"/>
        <v>11404</v>
      </c>
      <c r="AY100" s="64"/>
      <c r="AZ100" s="82">
        <f t="shared" si="95"/>
        <v>-6.5656417764763297</v>
      </c>
    </row>
    <row r="101" spans="2:52" ht="12.75" customHeight="1">
      <c r="B101" s="65" t="s">
        <v>481</v>
      </c>
      <c r="C101" s="89">
        <v>483</v>
      </c>
      <c r="D101" s="89">
        <v>1273</v>
      </c>
      <c r="E101" s="89">
        <v>1639</v>
      </c>
      <c r="F101" s="89">
        <v>1682</v>
      </c>
      <c r="G101" s="89">
        <v>-445</v>
      </c>
      <c r="H101" s="89">
        <v>482</v>
      </c>
      <c r="I101" s="89">
        <v>1059</v>
      </c>
      <c r="J101" s="34"/>
      <c r="K101" s="89">
        <v>-444</v>
      </c>
      <c r="L101" s="89">
        <f>29 -K101</f>
        <v>473</v>
      </c>
      <c r="M101" s="89">
        <f>386-L101-K101</f>
        <v>357</v>
      </c>
      <c r="N101" s="34">
        <f t="shared" si="96"/>
        <v>1296</v>
      </c>
      <c r="O101" s="89">
        <v>-828</v>
      </c>
      <c r="P101" s="89">
        <f>-942-O101</f>
        <v>-114</v>
      </c>
      <c r="Q101" s="89">
        <f>-1022-P101-O101</f>
        <v>-80</v>
      </c>
      <c r="R101" s="34">
        <f t="shared" si="97"/>
        <v>577</v>
      </c>
      <c r="S101" s="89">
        <v>-602</v>
      </c>
      <c r="T101" s="89">
        <f>-418-S101</f>
        <v>184</v>
      </c>
      <c r="U101" s="89">
        <f>-315-T101-S101</f>
        <v>103</v>
      </c>
      <c r="V101" s="34">
        <f t="shared" si="98"/>
        <v>797</v>
      </c>
      <c r="W101" s="89">
        <v>-322</v>
      </c>
      <c r="X101" s="89">
        <f>97 -W101</f>
        <v>419</v>
      </c>
      <c r="Y101" s="89">
        <f>478-X101-W101</f>
        <v>381</v>
      </c>
      <c r="Z101" s="34">
        <f t="shared" si="99"/>
        <v>581</v>
      </c>
      <c r="AA101" s="89">
        <v>116</v>
      </c>
      <c r="AB101" s="89">
        <f>-219-AA101</f>
        <v>-335</v>
      </c>
      <c r="AC101" s="89">
        <f>100-AB101-AA101</f>
        <v>319</v>
      </c>
      <c r="AE101" s="34" t="e">
        <f>SUM(#REF!)</f>
        <v>#REF!</v>
      </c>
      <c r="AF101" s="34">
        <f t="shared" si="100"/>
        <v>-444</v>
      </c>
      <c r="AG101" s="34">
        <f t="shared" si="101"/>
        <v>29</v>
      </c>
      <c r="AH101" s="34">
        <f t="shared" si="102"/>
        <v>386</v>
      </c>
      <c r="AI101" s="34">
        <f t="shared" si="103"/>
        <v>1682</v>
      </c>
      <c r="AJ101" s="34">
        <f t="shared" si="103"/>
        <v>1298</v>
      </c>
      <c r="AK101" s="34">
        <f t="shared" si="103"/>
        <v>711</v>
      </c>
      <c r="AL101" s="34">
        <f t="shared" si="103"/>
        <v>274</v>
      </c>
      <c r="AM101" s="34">
        <f t="shared" si="103"/>
        <v>-445</v>
      </c>
      <c r="AN101" s="34">
        <f t="shared" si="103"/>
        <v>-219</v>
      </c>
      <c r="AO101" s="34">
        <f t="shared" si="104"/>
        <v>79</v>
      </c>
      <c r="AP101" s="34">
        <f t="shared" si="104"/>
        <v>262</v>
      </c>
      <c r="AQ101" s="34">
        <f t="shared" si="104"/>
        <v>482</v>
      </c>
      <c r="AR101" s="34">
        <f t="shared" si="104"/>
        <v>762</v>
      </c>
      <c r="AS101" s="34">
        <f t="shared" si="104"/>
        <v>997</v>
      </c>
      <c r="AT101" s="34">
        <f t="shared" si="104"/>
        <v>1275</v>
      </c>
      <c r="AU101" s="34">
        <f t="shared" si="104"/>
        <v>1059</v>
      </c>
      <c r="AV101" s="34">
        <f t="shared" si="104"/>
        <v>1497</v>
      </c>
      <c r="AW101" s="34">
        <f t="shared" si="104"/>
        <v>743</v>
      </c>
      <c r="AX101" s="34">
        <f t="shared" si="104"/>
        <v>681</v>
      </c>
      <c r="AY101" s="64"/>
      <c r="AZ101" s="82">
        <f t="shared" si="95"/>
        <v>-0.46588235294117653</v>
      </c>
    </row>
    <row r="102" spans="2:52" ht="12.75" customHeight="1">
      <c r="B102" s="65" t="s">
        <v>496</v>
      </c>
      <c r="C102" s="89">
        <v>371</v>
      </c>
      <c r="D102" s="89">
        <v>37</v>
      </c>
      <c r="E102" s="89">
        <v>635</v>
      </c>
      <c r="F102" s="89">
        <v>774</v>
      </c>
      <c r="G102" s="89">
        <v>367</v>
      </c>
      <c r="H102" s="89">
        <v>525</v>
      </c>
      <c r="I102" s="89">
        <v>1043</v>
      </c>
      <c r="J102" s="34"/>
      <c r="K102" s="89">
        <v>137</v>
      </c>
      <c r="L102" s="89">
        <f>134 -K102</f>
        <v>-3</v>
      </c>
      <c r="M102" s="89">
        <f>406-L102-K102</f>
        <v>272</v>
      </c>
      <c r="N102" s="34">
        <f t="shared" si="96"/>
        <v>368</v>
      </c>
      <c r="O102" s="89">
        <v>-94</v>
      </c>
      <c r="P102" s="89">
        <f>-8-O102</f>
        <v>86</v>
      </c>
      <c r="Q102" s="89">
        <f>104-P102-O102</f>
        <v>112</v>
      </c>
      <c r="R102" s="34">
        <f t="shared" si="97"/>
        <v>263</v>
      </c>
      <c r="S102" s="89">
        <v>-201</v>
      </c>
      <c r="T102" s="89">
        <f>-17-S102</f>
        <v>184</v>
      </c>
      <c r="U102" s="89">
        <f>690-T102-S102</f>
        <v>707</v>
      </c>
      <c r="V102" s="34">
        <f t="shared" si="98"/>
        <v>-165</v>
      </c>
      <c r="W102" s="89">
        <v>-141</v>
      </c>
      <c r="X102" s="89">
        <f>220 -W102</f>
        <v>361</v>
      </c>
      <c r="Y102" s="89">
        <f>860-X102-W102</f>
        <v>640</v>
      </c>
      <c r="Z102" s="34">
        <f t="shared" si="99"/>
        <v>183</v>
      </c>
      <c r="AA102" s="89">
        <v>500</v>
      </c>
      <c r="AB102" s="89">
        <f>636-AA102</f>
        <v>136</v>
      </c>
      <c r="AC102" s="89">
        <f>1317-AB102-AA102</f>
        <v>681</v>
      </c>
      <c r="AE102" s="34" t="e">
        <f>SUM(#REF!)</f>
        <v>#REF!</v>
      </c>
      <c r="AF102" s="34">
        <f t="shared" si="100"/>
        <v>137</v>
      </c>
      <c r="AG102" s="34">
        <f t="shared" si="101"/>
        <v>134</v>
      </c>
      <c r="AH102" s="34">
        <f t="shared" si="102"/>
        <v>406</v>
      </c>
      <c r="AI102" s="34">
        <f t="shared" si="103"/>
        <v>774</v>
      </c>
      <c r="AJ102" s="34">
        <f t="shared" si="103"/>
        <v>543</v>
      </c>
      <c r="AK102" s="34">
        <f t="shared" si="103"/>
        <v>632</v>
      </c>
      <c r="AL102" s="34">
        <f t="shared" si="103"/>
        <v>472</v>
      </c>
      <c r="AM102" s="34">
        <f t="shared" si="103"/>
        <v>367</v>
      </c>
      <c r="AN102" s="34">
        <f t="shared" si="103"/>
        <v>260</v>
      </c>
      <c r="AO102" s="34">
        <f t="shared" si="104"/>
        <v>358</v>
      </c>
      <c r="AP102" s="34">
        <f t="shared" si="104"/>
        <v>953</v>
      </c>
      <c r="AQ102" s="34">
        <f t="shared" si="104"/>
        <v>525</v>
      </c>
      <c r="AR102" s="34">
        <f t="shared" si="104"/>
        <v>585</v>
      </c>
      <c r="AS102" s="34">
        <f t="shared" si="104"/>
        <v>762</v>
      </c>
      <c r="AT102" s="34">
        <f t="shared" si="104"/>
        <v>695</v>
      </c>
      <c r="AU102" s="34">
        <f t="shared" si="104"/>
        <v>1043</v>
      </c>
      <c r="AV102" s="34">
        <f t="shared" si="104"/>
        <v>1684</v>
      </c>
      <c r="AW102" s="34">
        <f t="shared" si="104"/>
        <v>1459</v>
      </c>
      <c r="AX102" s="34">
        <f t="shared" si="104"/>
        <v>1500</v>
      </c>
      <c r="AY102" s="64"/>
      <c r="AZ102" s="82">
        <f t="shared" si="95"/>
        <v>1.1582733812949639</v>
      </c>
    </row>
    <row r="103" spans="2:52" ht="12.75" customHeight="1">
      <c r="B103" s="14" t="s">
        <v>79</v>
      </c>
      <c r="C103" s="36">
        <f t="shared" ref="C103:I103" si="105">SUM(C87:C102)</f>
        <v>47971</v>
      </c>
      <c r="D103" s="36">
        <f t="shared" si="105"/>
        <v>54520</v>
      </c>
      <c r="E103" s="36">
        <f t="shared" si="105"/>
        <v>65124</v>
      </c>
      <c r="F103" s="15">
        <f t="shared" si="105"/>
        <v>91652</v>
      </c>
      <c r="G103" s="15">
        <f t="shared" si="105"/>
        <v>91495</v>
      </c>
      <c r="H103" s="15">
        <f t="shared" si="105"/>
        <v>101746</v>
      </c>
      <c r="I103" s="15">
        <f t="shared" si="105"/>
        <v>125299</v>
      </c>
      <c r="K103" s="15">
        <f t="shared" ref="K103:AC103" si="106">SUM(K87:K102)</f>
        <v>19289</v>
      </c>
      <c r="L103" s="15">
        <f t="shared" si="106"/>
        <v>21890</v>
      </c>
      <c r="M103" s="15">
        <f t="shared" si="106"/>
        <v>25539</v>
      </c>
      <c r="N103" s="15">
        <f t="shared" si="106"/>
        <v>24934</v>
      </c>
      <c r="O103" s="15">
        <f t="shared" si="106"/>
        <v>25106</v>
      </c>
      <c r="P103" s="15">
        <f t="shared" si="106"/>
        <v>19422</v>
      </c>
      <c r="Q103" s="15">
        <f t="shared" si="106"/>
        <v>23353</v>
      </c>
      <c r="R103" s="15">
        <f t="shared" si="106"/>
        <v>23614</v>
      </c>
      <c r="S103" s="15">
        <f t="shared" si="106"/>
        <v>23509</v>
      </c>
      <c r="T103" s="15">
        <f t="shared" si="106"/>
        <v>28666</v>
      </c>
      <c r="U103" s="15">
        <f t="shared" si="106"/>
        <v>30656</v>
      </c>
      <c r="V103" s="15">
        <f t="shared" si="106"/>
        <v>18915</v>
      </c>
      <c r="W103" s="15">
        <f t="shared" si="106"/>
        <v>28848</v>
      </c>
      <c r="X103" s="15">
        <f t="shared" si="106"/>
        <v>26640</v>
      </c>
      <c r="Y103" s="15">
        <f t="shared" si="106"/>
        <v>30698</v>
      </c>
      <c r="Z103" s="15">
        <f t="shared" si="106"/>
        <v>39113</v>
      </c>
      <c r="AA103" s="15">
        <f t="shared" si="106"/>
        <v>36150</v>
      </c>
      <c r="AB103" s="15">
        <f t="shared" si="106"/>
        <v>27747</v>
      </c>
      <c r="AC103" s="15">
        <f t="shared" si="106"/>
        <v>48414</v>
      </c>
      <c r="AE103" s="15" t="e">
        <f t="shared" ref="AE103:AX103" si="107">SUM(AE87:AE102)</f>
        <v>#REF!</v>
      </c>
      <c r="AF103" s="15">
        <f t="shared" si="107"/>
        <v>19289</v>
      </c>
      <c r="AG103" s="15">
        <f t="shared" si="107"/>
        <v>41179</v>
      </c>
      <c r="AH103" s="15">
        <f t="shared" si="107"/>
        <v>66718</v>
      </c>
      <c r="AI103" s="15">
        <f t="shared" si="107"/>
        <v>91652</v>
      </c>
      <c r="AJ103" s="15">
        <f t="shared" si="107"/>
        <v>97469</v>
      </c>
      <c r="AK103" s="15">
        <f t="shared" si="107"/>
        <v>95001</v>
      </c>
      <c r="AL103" s="15">
        <f t="shared" si="107"/>
        <v>92815</v>
      </c>
      <c r="AM103" s="15">
        <f t="shared" si="107"/>
        <v>91495</v>
      </c>
      <c r="AN103" s="15">
        <f t="shared" si="107"/>
        <v>89898</v>
      </c>
      <c r="AO103" s="15">
        <f t="shared" si="107"/>
        <v>99142</v>
      </c>
      <c r="AP103" s="15">
        <f t="shared" si="107"/>
        <v>106445</v>
      </c>
      <c r="AQ103" s="15">
        <f t="shared" si="107"/>
        <v>101746</v>
      </c>
      <c r="AR103" s="15">
        <f t="shared" si="107"/>
        <v>107085</v>
      </c>
      <c r="AS103" s="15">
        <f t="shared" si="107"/>
        <v>105059</v>
      </c>
      <c r="AT103" s="15">
        <f t="shared" si="107"/>
        <v>105101</v>
      </c>
      <c r="AU103" s="15">
        <f t="shared" si="107"/>
        <v>125299</v>
      </c>
      <c r="AV103" s="15">
        <f t="shared" si="107"/>
        <v>132601</v>
      </c>
      <c r="AW103" s="15">
        <f t="shared" si="107"/>
        <v>133708</v>
      </c>
      <c r="AX103" s="15">
        <f t="shared" si="107"/>
        <v>151424</v>
      </c>
      <c r="AY103" s="45"/>
      <c r="AZ103" s="83">
        <f t="shared" si="95"/>
        <v>0.44074747147981475</v>
      </c>
    </row>
    <row r="104" spans="2:52" ht="12.75" customHeight="1">
      <c r="B104" s="58"/>
      <c r="C104" s="66"/>
      <c r="D104" s="66"/>
      <c r="E104" s="66"/>
      <c r="F104" s="66"/>
      <c r="G104" s="66"/>
      <c r="H104" s="66"/>
      <c r="I104" s="66"/>
      <c r="K104" s="66"/>
      <c r="L104" s="66"/>
      <c r="M104" s="66"/>
      <c r="N104" s="66"/>
      <c r="O104" s="66"/>
      <c r="P104" s="66"/>
      <c r="Q104" s="66"/>
      <c r="R104" s="66"/>
      <c r="S104" s="66"/>
      <c r="T104" s="66"/>
      <c r="U104" s="66"/>
      <c r="V104" s="66"/>
      <c r="W104" s="66"/>
      <c r="X104" s="66"/>
      <c r="Y104" s="66"/>
      <c r="Z104" s="66"/>
      <c r="AA104" s="66"/>
      <c r="AB104" s="66"/>
      <c r="AC104" s="66"/>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2"/>
    </row>
    <row r="105" spans="2:52" ht="12.75" customHeight="1">
      <c r="B105" s="58" t="s">
        <v>80</v>
      </c>
      <c r="C105" s="64"/>
      <c r="D105" s="64"/>
      <c r="E105" s="63"/>
      <c r="F105" s="63"/>
      <c r="G105" s="63"/>
      <c r="H105" s="63"/>
      <c r="I105" s="63"/>
      <c r="K105" s="89"/>
      <c r="L105" s="89"/>
      <c r="M105" s="89"/>
      <c r="N105" s="34"/>
      <c r="O105" s="89"/>
      <c r="P105" s="89"/>
      <c r="Q105" s="89"/>
      <c r="R105" s="34"/>
      <c r="S105" s="89"/>
      <c r="T105" s="89"/>
      <c r="U105" s="89"/>
      <c r="V105" s="34"/>
      <c r="W105" s="89"/>
      <c r="X105" s="89"/>
      <c r="Y105" s="89"/>
      <c r="Z105" s="34"/>
      <c r="AA105" s="63"/>
      <c r="AB105" s="63"/>
      <c r="AC105" s="63"/>
      <c r="AE105" s="63"/>
      <c r="AF105" s="63"/>
      <c r="AG105" s="63"/>
      <c r="AH105" s="63"/>
      <c r="AI105" s="63"/>
      <c r="AJ105" s="63"/>
      <c r="AK105" s="63"/>
      <c r="AL105" s="63"/>
      <c r="AM105" s="63"/>
      <c r="AN105" s="63"/>
      <c r="AO105" s="63"/>
      <c r="AP105" s="63"/>
      <c r="AQ105" s="63"/>
      <c r="AR105" s="63"/>
      <c r="AS105" s="63"/>
      <c r="AT105" s="63"/>
      <c r="AU105" s="63"/>
      <c r="AV105" s="63"/>
      <c r="AW105" s="63"/>
      <c r="AX105" s="63"/>
      <c r="AY105" s="64"/>
      <c r="AZ105" s="42"/>
    </row>
    <row r="106" spans="2:52" ht="12.75" customHeight="1">
      <c r="B106" s="65" t="s">
        <v>498</v>
      </c>
      <c r="C106" s="89">
        <v>-25139</v>
      </c>
      <c r="D106" s="89">
        <v>-23548</v>
      </c>
      <c r="E106" s="89">
        <v>-22281</v>
      </c>
      <c r="F106" s="89">
        <v>-24640</v>
      </c>
      <c r="G106" s="89">
        <v>-31485</v>
      </c>
      <c r="H106" s="89">
        <v>-32251</v>
      </c>
      <c r="I106" s="89">
        <v>-52535</v>
      </c>
      <c r="J106" s="34"/>
      <c r="K106" s="89">
        <v>-5942</v>
      </c>
      <c r="L106" s="89">
        <f>-11438-K106</f>
        <v>-5496</v>
      </c>
      <c r="M106" s="89">
        <f>-18257-L106-K106</f>
        <v>-6819</v>
      </c>
      <c r="N106" s="34">
        <f>SUM(F106-SUM(K106:M106))</f>
        <v>-6383</v>
      </c>
      <c r="O106" s="89">
        <v>-9786</v>
      </c>
      <c r="P106" s="89">
        <f>-16614-O106</f>
        <v>-6828</v>
      </c>
      <c r="Q106" s="89">
        <f>-23890-P106-O106</f>
        <v>-7276</v>
      </c>
      <c r="R106" s="34">
        <f>SUM(G106-SUM(O106:Q106))</f>
        <v>-7595</v>
      </c>
      <c r="S106" s="89">
        <v>-6289</v>
      </c>
      <c r="T106" s="89">
        <f>-13177-S106</f>
        <v>-6888</v>
      </c>
      <c r="U106" s="89">
        <f>-21232-T106-S106</f>
        <v>-8055</v>
      </c>
      <c r="V106" s="34">
        <f>SUM(H106-SUM(S106:U106))</f>
        <v>-11019</v>
      </c>
      <c r="W106" s="89">
        <v>-12012</v>
      </c>
      <c r="X106" s="89">
        <f>-25198-W106</f>
        <v>-13186</v>
      </c>
      <c r="Y106" s="89">
        <f>-38259-X106-W106</f>
        <v>-13061</v>
      </c>
      <c r="Z106" s="34">
        <f>SUM(I106-SUM(W106:Y106))</f>
        <v>-14276</v>
      </c>
      <c r="AA106" s="89">
        <v>-17197</v>
      </c>
      <c r="AB106" s="89">
        <f>-39643-AA106</f>
        <v>-22446</v>
      </c>
      <c r="AC106" s="89">
        <f>-63596-AB106-AA106</f>
        <v>-23953</v>
      </c>
      <c r="AD106" s="34"/>
      <c r="AE106" s="34" t="e">
        <f>SUM(#REF!)</f>
        <v>#REF!</v>
      </c>
      <c r="AF106" s="34">
        <f>SUM(K106:K106)</f>
        <v>-5942</v>
      </c>
      <c r="AG106" s="34">
        <f>SUM(K106:L106)</f>
        <v>-11438</v>
      </c>
      <c r="AH106" s="34">
        <f>SUM(K106:M106)</f>
        <v>-18257</v>
      </c>
      <c r="AI106" s="34">
        <f t="shared" ref="AI106:AN110" si="108">SUM(K106:N106)</f>
        <v>-24640</v>
      </c>
      <c r="AJ106" s="34">
        <f t="shared" si="108"/>
        <v>-28484</v>
      </c>
      <c r="AK106" s="34">
        <f t="shared" si="108"/>
        <v>-29816</v>
      </c>
      <c r="AL106" s="34">
        <f t="shared" si="108"/>
        <v>-30273</v>
      </c>
      <c r="AM106" s="34">
        <f t="shared" si="108"/>
        <v>-31485</v>
      </c>
      <c r="AN106" s="34">
        <f t="shared" si="108"/>
        <v>-27988</v>
      </c>
      <c r="AO106" s="34">
        <f t="shared" ref="AO106:AX110" si="109">SUM(Q106:T106)</f>
        <v>-28048</v>
      </c>
      <c r="AP106" s="34">
        <f t="shared" si="109"/>
        <v>-28827</v>
      </c>
      <c r="AQ106" s="34">
        <f t="shared" si="109"/>
        <v>-32251</v>
      </c>
      <c r="AR106" s="34">
        <f t="shared" si="109"/>
        <v>-37974</v>
      </c>
      <c r="AS106" s="34">
        <f t="shared" si="109"/>
        <v>-44272</v>
      </c>
      <c r="AT106" s="34">
        <f t="shared" ref="AT106:AX108" si="110">SUM(V106:Y106)</f>
        <v>-49278</v>
      </c>
      <c r="AU106" s="34">
        <f t="shared" si="110"/>
        <v>-52535</v>
      </c>
      <c r="AV106" s="34">
        <f t="shared" si="110"/>
        <v>-57720</v>
      </c>
      <c r="AW106" s="34">
        <f t="shared" si="110"/>
        <v>-66980</v>
      </c>
      <c r="AX106" s="34">
        <f t="shared" si="110"/>
        <v>-77872</v>
      </c>
      <c r="AY106" s="64"/>
      <c r="AZ106" s="82">
        <f t="shared" ref="AZ106:AZ119" si="111">SUM(AX106/AT106)-1</f>
        <v>0.58025893908031989</v>
      </c>
    </row>
    <row r="107" spans="2:52" ht="12.75" customHeight="1">
      <c r="B107" s="65" t="s">
        <v>571</v>
      </c>
      <c r="C107" s="89">
        <f>-50158+48507</f>
        <v>-1651</v>
      </c>
      <c r="D107" s="89">
        <f>-100315+97825</f>
        <v>-2490</v>
      </c>
      <c r="E107" s="89">
        <f>-136576+132906</f>
        <v>-3670</v>
      </c>
      <c r="F107" s="89">
        <f>-135196+128294</f>
        <v>-6902</v>
      </c>
      <c r="G107" s="89">
        <f>-78874+97822</f>
        <v>18948</v>
      </c>
      <c r="H107" s="89">
        <f>-77858+86672</f>
        <v>8814</v>
      </c>
      <c r="I107" s="89">
        <f>-86679+103428</f>
        <v>16749</v>
      </c>
      <c r="J107" s="34"/>
      <c r="K107" s="89">
        <f>-36426+39248</f>
        <v>2822</v>
      </c>
      <c r="L107" s="89">
        <f>-60609+60667-K107</f>
        <v>-2764</v>
      </c>
      <c r="M107" s="89">
        <f>-95106+92126-L107-K107</f>
        <v>-3038</v>
      </c>
      <c r="N107" s="34">
        <f>SUM(F107-SUM(K107:M107))</f>
        <v>-3922</v>
      </c>
      <c r="O107" s="89">
        <f>-28462+29779</f>
        <v>1317</v>
      </c>
      <c r="P107" s="89">
        <f>-50199+55374-O107</f>
        <v>3858</v>
      </c>
      <c r="Q107" s="89">
        <f>-67253+84087-P107-O107</f>
        <v>11659</v>
      </c>
      <c r="R107" s="34">
        <f>SUM(G107-SUM(O107:Q107))</f>
        <v>2114</v>
      </c>
      <c r="S107" s="89">
        <f>-14227+18327</f>
        <v>4100</v>
      </c>
      <c r="T107" s="89">
        <f>-35589+37049-S107</f>
        <v>-2640</v>
      </c>
      <c r="U107" s="89">
        <f>-49422+52642-T107-S107</f>
        <v>1760</v>
      </c>
      <c r="V107" s="34">
        <f>SUM(H107-SUM(S107:U107))</f>
        <v>5594</v>
      </c>
      <c r="W107" s="89">
        <f>-20684+24985</f>
        <v>4301</v>
      </c>
      <c r="X107" s="89">
        <f>-43011+58577-W107</f>
        <v>11265</v>
      </c>
      <c r="Y107" s="89">
        <f>-65034+81779-X107-W107</f>
        <v>1179</v>
      </c>
      <c r="Z107" s="34">
        <f>SUM(I107-SUM(W107:Y107))</f>
        <v>4</v>
      </c>
      <c r="AA107" s="89">
        <f>-18453+20345</f>
        <v>1892</v>
      </c>
      <c r="AB107" s="89">
        <f>-39870+40930-AA107</f>
        <v>-832</v>
      </c>
      <c r="AC107" s="89">
        <f>-60834+61301-AB107-AA107</f>
        <v>-593</v>
      </c>
      <c r="AD107" s="34"/>
      <c r="AE107" s="34"/>
      <c r="AF107" s="34"/>
      <c r="AG107" s="34"/>
      <c r="AH107" s="34"/>
      <c r="AI107" s="34"/>
      <c r="AJ107" s="34"/>
      <c r="AK107" s="34"/>
      <c r="AL107" s="34"/>
      <c r="AM107" s="34"/>
      <c r="AN107" s="34"/>
      <c r="AO107" s="34"/>
      <c r="AP107" s="34"/>
      <c r="AQ107" s="34"/>
      <c r="AR107" s="34"/>
      <c r="AS107" s="34"/>
      <c r="AT107" s="34">
        <f t="shared" si="110"/>
        <v>22339</v>
      </c>
      <c r="AU107" s="34">
        <f t="shared" si="110"/>
        <v>16749</v>
      </c>
      <c r="AV107" s="34">
        <f t="shared" si="110"/>
        <v>14340</v>
      </c>
      <c r="AW107" s="34">
        <f t="shared" si="110"/>
        <v>2243</v>
      </c>
      <c r="AX107" s="34">
        <f t="shared" si="110"/>
        <v>471</v>
      </c>
      <c r="AY107" s="64"/>
      <c r="AZ107" s="82">
        <f t="shared" si="111"/>
        <v>-0.97891579748422042</v>
      </c>
    </row>
    <row r="108" spans="2:52" ht="12.75" customHeight="1">
      <c r="B108" s="65" t="s">
        <v>572</v>
      </c>
      <c r="C108" s="89">
        <f>-2073+1752</f>
        <v>-321</v>
      </c>
      <c r="D108" s="89">
        <f>-1932+405</f>
        <v>-1527</v>
      </c>
      <c r="E108" s="89">
        <f>-7175+1023</f>
        <v>-6152</v>
      </c>
      <c r="F108" s="89">
        <f>-2838+934</f>
        <v>-1904</v>
      </c>
      <c r="G108" s="89">
        <f>-2531+150</f>
        <v>-2381</v>
      </c>
      <c r="H108" s="89">
        <f>-3027+947</f>
        <v>-2080</v>
      </c>
      <c r="I108" s="89">
        <f>-5034+882</f>
        <v>-4152</v>
      </c>
      <c r="J108" s="34"/>
      <c r="K108" s="89">
        <f>-646+19</f>
        <v>-627</v>
      </c>
      <c r="L108" s="89">
        <f>-1412+256 -K108</f>
        <v>-529</v>
      </c>
      <c r="M108" s="89">
        <f>-2068+590-L108-K108</f>
        <v>-322</v>
      </c>
      <c r="N108" s="34">
        <f>SUM(F108-SUM(K108:M108))</f>
        <v>-426</v>
      </c>
      <c r="O108" s="89">
        <f>-776+12</f>
        <v>-764</v>
      </c>
      <c r="P108" s="89">
        <f>-1264+125-O108</f>
        <v>-375</v>
      </c>
      <c r="Q108" s="89">
        <f>-1628+131-P108-O108</f>
        <v>-358</v>
      </c>
      <c r="R108" s="34">
        <f>SUM(G108-SUM(O108:Q108))</f>
        <v>-884</v>
      </c>
      <c r="S108" s="89">
        <f>-626+36</f>
        <v>-590</v>
      </c>
      <c r="T108" s="89">
        <f>-1513+181-S108</f>
        <v>-742</v>
      </c>
      <c r="U108" s="89">
        <f>-2176+743-T108-S108</f>
        <v>-101</v>
      </c>
      <c r="V108" s="34">
        <f>SUM(H108-SUM(S108:U108))</f>
        <v>-647</v>
      </c>
      <c r="W108" s="89">
        <f>-1206+313</f>
        <v>-893</v>
      </c>
      <c r="X108" s="89">
        <f>-2199+605 -W108</f>
        <v>-701</v>
      </c>
      <c r="Y108" s="89">
        <f>-3234+732-X108-W108</f>
        <v>-908</v>
      </c>
      <c r="Z108" s="34">
        <f>SUM(I108-SUM(W108:Y108))</f>
        <v>-1650</v>
      </c>
      <c r="AA108" s="89">
        <f>-958+259</f>
        <v>-699</v>
      </c>
      <c r="AB108" s="89">
        <f>-2312+873-AA108</f>
        <v>-740</v>
      </c>
      <c r="AC108" s="89">
        <f>-3312+1196-AB108-AA108</f>
        <v>-677</v>
      </c>
      <c r="AD108" s="34"/>
      <c r="AE108" s="34"/>
      <c r="AF108" s="34"/>
      <c r="AG108" s="34"/>
      <c r="AH108" s="34"/>
      <c r="AI108" s="34"/>
      <c r="AJ108" s="34"/>
      <c r="AK108" s="34"/>
      <c r="AL108" s="34"/>
      <c r="AM108" s="34"/>
      <c r="AN108" s="34"/>
      <c r="AO108" s="34"/>
      <c r="AP108" s="34"/>
      <c r="AQ108" s="34"/>
      <c r="AR108" s="34"/>
      <c r="AS108" s="34"/>
      <c r="AT108" s="34">
        <f t="shared" si="110"/>
        <v>-3149</v>
      </c>
      <c r="AU108" s="34">
        <f t="shared" si="110"/>
        <v>-4152</v>
      </c>
      <c r="AV108" s="34">
        <f t="shared" si="110"/>
        <v>-3958</v>
      </c>
      <c r="AW108" s="34">
        <f t="shared" si="110"/>
        <v>-3997</v>
      </c>
      <c r="AX108" s="34">
        <f t="shared" si="110"/>
        <v>-3766</v>
      </c>
      <c r="AY108" s="64"/>
      <c r="AZ108" s="82">
        <f t="shared" si="111"/>
        <v>0.19593521752937448</v>
      </c>
    </row>
    <row r="109" spans="2:52" ht="12.75" customHeight="1">
      <c r="B109" s="65" t="s">
        <v>497</v>
      </c>
      <c r="C109" s="89">
        <v>-1491</v>
      </c>
      <c r="D109" s="89">
        <v>-2515</v>
      </c>
      <c r="E109" s="89">
        <v>-738</v>
      </c>
      <c r="F109" s="89">
        <v>-2618</v>
      </c>
      <c r="G109" s="89">
        <v>-6969</v>
      </c>
      <c r="H109" s="89">
        <v>-495</v>
      </c>
      <c r="I109" s="89">
        <v>-2931</v>
      </c>
      <c r="J109" s="34"/>
      <c r="K109" s="89">
        <v>-1666</v>
      </c>
      <c r="L109" s="89">
        <f>-1974-K109</f>
        <v>-308</v>
      </c>
      <c r="M109" s="89">
        <f>-2233-L109-K109</f>
        <v>-259</v>
      </c>
      <c r="N109" s="34">
        <f>SUM(F109-SUM(K109:M109))</f>
        <v>-385</v>
      </c>
      <c r="O109" s="89">
        <v>-173</v>
      </c>
      <c r="P109" s="89">
        <f>-1236-O109</f>
        <v>-1063</v>
      </c>
      <c r="Q109" s="89">
        <f>-6885-P109-O109</f>
        <v>-5649</v>
      </c>
      <c r="R109" s="34">
        <f>SUM(G109-SUM(O109:Q109))</f>
        <v>-84</v>
      </c>
      <c r="S109" s="89">
        <v>-42</v>
      </c>
      <c r="T109" s="89">
        <f>-340-S109</f>
        <v>-298</v>
      </c>
      <c r="U109" s="89">
        <f>-466-T109-S109</f>
        <v>-126</v>
      </c>
      <c r="V109" s="34">
        <f>SUM(H109-SUM(S109:U109))</f>
        <v>-29</v>
      </c>
      <c r="W109" s="89">
        <v>-61</v>
      </c>
      <c r="X109" s="89">
        <f>-87-W109</f>
        <v>-26</v>
      </c>
      <c r="Y109" s="89">
        <f>-2840-X109-W109</f>
        <v>-2753</v>
      </c>
      <c r="Z109" s="34">
        <f>SUM(I109-SUM(W109:Y109))</f>
        <v>-91</v>
      </c>
      <c r="AA109" s="89">
        <v>-340</v>
      </c>
      <c r="AB109" s="89">
        <f>-353-AA109</f>
        <v>-13</v>
      </c>
      <c r="AC109" s="89">
        <f>-1425-AB109-AA109</f>
        <v>-1072</v>
      </c>
      <c r="AD109" s="34"/>
      <c r="AE109" s="34" t="e">
        <f>SUM(#REF!)</f>
        <v>#REF!</v>
      </c>
      <c r="AF109" s="34">
        <f>SUM(K109:K109)</f>
        <v>-1666</v>
      </c>
      <c r="AG109" s="34">
        <f>SUM(K109:L109)</f>
        <v>-1974</v>
      </c>
      <c r="AH109" s="34">
        <f>SUM(K109:M109)</f>
        <v>-2233</v>
      </c>
      <c r="AI109" s="34">
        <f t="shared" si="108"/>
        <v>-2618</v>
      </c>
      <c r="AJ109" s="34">
        <f t="shared" si="108"/>
        <v>-1125</v>
      </c>
      <c r="AK109" s="34">
        <f t="shared" si="108"/>
        <v>-1880</v>
      </c>
      <c r="AL109" s="34">
        <f t="shared" si="108"/>
        <v>-7270</v>
      </c>
      <c r="AM109" s="34">
        <f t="shared" si="108"/>
        <v>-6969</v>
      </c>
      <c r="AN109" s="34">
        <f t="shared" si="108"/>
        <v>-6838</v>
      </c>
      <c r="AO109" s="34">
        <f t="shared" si="109"/>
        <v>-6073</v>
      </c>
      <c r="AP109" s="34">
        <f t="shared" si="109"/>
        <v>-550</v>
      </c>
      <c r="AQ109" s="34">
        <f t="shared" si="109"/>
        <v>-495</v>
      </c>
      <c r="AR109" s="34">
        <f t="shared" si="109"/>
        <v>-514</v>
      </c>
      <c r="AS109" s="34">
        <f t="shared" si="109"/>
        <v>-242</v>
      </c>
      <c r="AT109" s="34">
        <f t="shared" si="109"/>
        <v>-2869</v>
      </c>
      <c r="AU109" s="34">
        <f t="shared" si="109"/>
        <v>-2931</v>
      </c>
      <c r="AV109" s="34">
        <f t="shared" si="109"/>
        <v>-3210</v>
      </c>
      <c r="AW109" s="34">
        <f t="shared" si="109"/>
        <v>-3197</v>
      </c>
      <c r="AX109" s="34">
        <f t="shared" si="109"/>
        <v>-1516</v>
      </c>
      <c r="AY109" s="64"/>
      <c r="AZ109" s="82">
        <f t="shared" si="111"/>
        <v>-0.47159288950853961</v>
      </c>
    </row>
    <row r="110" spans="2:52" ht="12.75" customHeight="1">
      <c r="B110" s="65" t="s">
        <v>578</v>
      </c>
      <c r="C110" s="89">
        <v>98</v>
      </c>
      <c r="D110" s="89">
        <v>589</v>
      </c>
      <c r="E110" s="89">
        <v>68</v>
      </c>
      <c r="F110" s="89">
        <v>541</v>
      </c>
      <c r="G110" s="89">
        <v>1589</v>
      </c>
      <c r="H110" s="89">
        <v>-1051</v>
      </c>
      <c r="I110" s="89">
        <v>-2667</v>
      </c>
      <c r="J110" s="34"/>
      <c r="K110" s="89">
        <v>30</v>
      </c>
      <c r="L110" s="89">
        <f>53 -K110</f>
        <v>23</v>
      </c>
      <c r="M110" s="89">
        <f>441-L110-K110</f>
        <v>388</v>
      </c>
      <c r="N110" s="34">
        <f>SUM(F110-SUM(K110:M110))</f>
        <v>100</v>
      </c>
      <c r="O110" s="89">
        <v>355</v>
      </c>
      <c r="P110" s="89">
        <f>576-O110</f>
        <v>221</v>
      </c>
      <c r="Q110" s="89">
        <f>1367-P110-O110</f>
        <v>791</v>
      </c>
      <c r="R110" s="34">
        <f>SUM(G110-SUM(O110:Q110))</f>
        <v>222</v>
      </c>
      <c r="S110" s="89">
        <v>-125</v>
      </c>
      <c r="T110" s="89">
        <f>-357-S110</f>
        <v>-232</v>
      </c>
      <c r="U110" s="89">
        <f>-985-T110-S110</f>
        <v>-628</v>
      </c>
      <c r="V110" s="34">
        <f>SUM(H110-SUM(S110:U110))</f>
        <v>-66</v>
      </c>
      <c r="W110" s="89">
        <v>101</v>
      </c>
      <c r="X110" s="89">
        <f>-32-W110</f>
        <v>-133</v>
      </c>
      <c r="Y110" s="89">
        <f>-2500-X110-W110</f>
        <v>-2468</v>
      </c>
      <c r="Z110" s="34">
        <f>SUM(I110-SUM(W110:Y110))</f>
        <v>-167</v>
      </c>
      <c r="AA110" s="89">
        <v>150</v>
      </c>
      <c r="AB110" s="89">
        <f>-363-AA110</f>
        <v>-513</v>
      </c>
      <c r="AC110" s="89">
        <f>-1845-AB110-AA110</f>
        <v>-1482</v>
      </c>
      <c r="AD110" s="34"/>
      <c r="AE110" s="34" t="e">
        <f>SUM(#REF!)</f>
        <v>#REF!</v>
      </c>
      <c r="AF110" s="34">
        <f>SUM(K110:K110)</f>
        <v>30</v>
      </c>
      <c r="AG110" s="34">
        <f>SUM(K110:L110)</f>
        <v>53</v>
      </c>
      <c r="AH110" s="34">
        <f>SUM(K110:M110)</f>
        <v>441</v>
      </c>
      <c r="AI110" s="34">
        <f t="shared" si="108"/>
        <v>541</v>
      </c>
      <c r="AJ110" s="34">
        <f t="shared" si="108"/>
        <v>866</v>
      </c>
      <c r="AK110" s="34">
        <f t="shared" si="108"/>
        <v>1064</v>
      </c>
      <c r="AL110" s="34">
        <f t="shared" si="108"/>
        <v>1467</v>
      </c>
      <c r="AM110" s="34">
        <f t="shared" si="108"/>
        <v>1589</v>
      </c>
      <c r="AN110" s="34">
        <f t="shared" si="108"/>
        <v>1109</v>
      </c>
      <c r="AO110" s="34">
        <f t="shared" si="109"/>
        <v>656</v>
      </c>
      <c r="AP110" s="34">
        <f t="shared" si="109"/>
        <v>-763</v>
      </c>
      <c r="AQ110" s="34">
        <f t="shared" si="109"/>
        <v>-1051</v>
      </c>
      <c r="AR110" s="34">
        <f t="shared" si="109"/>
        <v>-825</v>
      </c>
      <c r="AS110" s="34">
        <f t="shared" si="109"/>
        <v>-726</v>
      </c>
      <c r="AT110" s="34">
        <f t="shared" si="109"/>
        <v>-2566</v>
      </c>
      <c r="AU110" s="34">
        <f t="shared" si="109"/>
        <v>-2667</v>
      </c>
      <c r="AV110" s="34">
        <f t="shared" si="109"/>
        <v>-2618</v>
      </c>
      <c r="AW110" s="34">
        <f t="shared" si="109"/>
        <v>-2998</v>
      </c>
      <c r="AX110" s="34">
        <f t="shared" si="109"/>
        <v>-2012</v>
      </c>
      <c r="AY110" s="64"/>
      <c r="AZ110" s="82">
        <f t="shared" si="111"/>
        <v>-0.21590023382696799</v>
      </c>
    </row>
    <row r="111" spans="2:52" ht="12.75" customHeight="1">
      <c r="B111" s="14" t="s">
        <v>81</v>
      </c>
      <c r="C111" s="15">
        <f t="shared" ref="C111:I111" si="112">SUM(C106:C110)</f>
        <v>-28504</v>
      </c>
      <c r="D111" s="15">
        <f t="shared" si="112"/>
        <v>-29491</v>
      </c>
      <c r="E111" s="15">
        <f t="shared" si="112"/>
        <v>-32773</v>
      </c>
      <c r="F111" s="15">
        <f t="shared" si="112"/>
        <v>-35523</v>
      </c>
      <c r="G111" s="15">
        <f t="shared" si="112"/>
        <v>-20298</v>
      </c>
      <c r="H111" s="15">
        <f t="shared" si="112"/>
        <v>-27063</v>
      </c>
      <c r="I111" s="15">
        <f t="shared" si="112"/>
        <v>-45536</v>
      </c>
      <c r="K111" s="15">
        <f t="shared" ref="K111:AC111" si="113">SUM(K106:K110)</f>
        <v>-5383</v>
      </c>
      <c r="L111" s="15">
        <f t="shared" si="113"/>
        <v>-9074</v>
      </c>
      <c r="M111" s="15">
        <f t="shared" si="113"/>
        <v>-10050</v>
      </c>
      <c r="N111" s="15">
        <f t="shared" si="113"/>
        <v>-11016</v>
      </c>
      <c r="O111" s="15">
        <f t="shared" si="113"/>
        <v>-9051</v>
      </c>
      <c r="P111" s="15">
        <f t="shared" si="113"/>
        <v>-4187</v>
      </c>
      <c r="Q111" s="15">
        <f t="shared" si="113"/>
        <v>-833</v>
      </c>
      <c r="R111" s="15">
        <f t="shared" si="113"/>
        <v>-6227</v>
      </c>
      <c r="S111" s="15">
        <f t="shared" si="113"/>
        <v>-2946</v>
      </c>
      <c r="T111" s="15">
        <f t="shared" si="113"/>
        <v>-10800</v>
      </c>
      <c r="U111" s="15">
        <f t="shared" si="113"/>
        <v>-7150</v>
      </c>
      <c r="V111" s="15">
        <f t="shared" si="113"/>
        <v>-6167</v>
      </c>
      <c r="W111" s="15">
        <f t="shared" si="113"/>
        <v>-8564</v>
      </c>
      <c r="X111" s="15">
        <f t="shared" si="113"/>
        <v>-2781</v>
      </c>
      <c r="Y111" s="15">
        <f t="shared" si="113"/>
        <v>-18011</v>
      </c>
      <c r="Z111" s="15">
        <f t="shared" si="113"/>
        <v>-16180</v>
      </c>
      <c r="AA111" s="15">
        <f t="shared" si="113"/>
        <v>-16194</v>
      </c>
      <c r="AB111" s="15">
        <f t="shared" si="113"/>
        <v>-24544</v>
      </c>
      <c r="AC111" s="15">
        <f t="shared" si="113"/>
        <v>-27777</v>
      </c>
      <c r="AE111" s="15" t="e">
        <f t="shared" ref="AE111:AX111" si="114">SUM(AE106:AE110)</f>
        <v>#REF!</v>
      </c>
      <c r="AF111" s="15">
        <f t="shared" si="114"/>
        <v>-7578</v>
      </c>
      <c r="AG111" s="15">
        <f t="shared" si="114"/>
        <v>-13359</v>
      </c>
      <c r="AH111" s="15">
        <f t="shared" si="114"/>
        <v>-20049</v>
      </c>
      <c r="AI111" s="15">
        <f t="shared" si="114"/>
        <v>-26717</v>
      </c>
      <c r="AJ111" s="15">
        <f t="shared" si="114"/>
        <v>-28743</v>
      </c>
      <c r="AK111" s="15">
        <f t="shared" si="114"/>
        <v>-30632</v>
      </c>
      <c r="AL111" s="15">
        <f t="shared" si="114"/>
        <v>-36076</v>
      </c>
      <c r="AM111" s="15">
        <f t="shared" si="114"/>
        <v>-36865</v>
      </c>
      <c r="AN111" s="15">
        <f t="shared" si="114"/>
        <v>-33717</v>
      </c>
      <c r="AO111" s="15">
        <f t="shared" si="114"/>
        <v>-33465</v>
      </c>
      <c r="AP111" s="15">
        <f t="shared" si="114"/>
        <v>-30140</v>
      </c>
      <c r="AQ111" s="15">
        <f t="shared" si="114"/>
        <v>-33797</v>
      </c>
      <c r="AR111" s="15">
        <f t="shared" si="114"/>
        <v>-39313</v>
      </c>
      <c r="AS111" s="15">
        <f t="shared" si="114"/>
        <v>-45240</v>
      </c>
      <c r="AT111" s="15">
        <f t="shared" si="114"/>
        <v>-35523</v>
      </c>
      <c r="AU111" s="15">
        <f t="shared" si="114"/>
        <v>-45536</v>
      </c>
      <c r="AV111" s="15">
        <f t="shared" si="114"/>
        <v>-53166</v>
      </c>
      <c r="AW111" s="15">
        <f t="shared" si="114"/>
        <v>-74929</v>
      </c>
      <c r="AX111" s="15">
        <f t="shared" si="114"/>
        <v>-84695</v>
      </c>
      <c r="AY111" s="45"/>
      <c r="AZ111" s="83">
        <f t="shared" si="111"/>
        <v>1.3842299355347238</v>
      </c>
    </row>
    <row r="112" spans="2:52" ht="5.0999999999999996" customHeight="1">
      <c r="B112" s="57"/>
      <c r="C112" s="66"/>
      <c r="D112" s="66"/>
      <c r="E112" s="66"/>
      <c r="F112" s="66"/>
      <c r="G112" s="66"/>
      <c r="H112" s="66"/>
      <c r="I112" s="66"/>
      <c r="K112" s="66"/>
      <c r="L112" s="66"/>
      <c r="M112" s="66"/>
      <c r="N112" s="66"/>
      <c r="O112" s="66"/>
      <c r="P112" s="66"/>
      <c r="Q112" s="66"/>
      <c r="R112" s="66"/>
      <c r="S112" s="66"/>
      <c r="T112" s="66"/>
      <c r="U112" s="66"/>
      <c r="V112" s="66"/>
      <c r="W112" s="66"/>
      <c r="X112" s="66"/>
      <c r="Y112" s="66"/>
      <c r="Z112" s="66"/>
      <c r="AA112" s="66"/>
      <c r="AB112" s="66"/>
      <c r="AC112" s="66"/>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2"/>
    </row>
    <row r="113" spans="2:52" ht="12.75" customHeight="1">
      <c r="B113" s="58" t="s">
        <v>82</v>
      </c>
      <c r="C113" s="68"/>
      <c r="D113" s="68"/>
      <c r="E113" s="68"/>
      <c r="F113" s="68"/>
      <c r="G113" s="68"/>
      <c r="H113" s="68"/>
      <c r="I113" s="68"/>
      <c r="K113" s="68"/>
      <c r="L113" s="68"/>
      <c r="M113" s="68"/>
      <c r="N113" s="68"/>
      <c r="O113" s="68"/>
      <c r="P113" s="68"/>
      <c r="Q113" s="68"/>
      <c r="R113" s="68"/>
      <c r="S113" s="68"/>
      <c r="T113" s="68"/>
      <c r="U113" s="68"/>
      <c r="V113" s="68"/>
      <c r="W113" s="68"/>
      <c r="X113" s="68"/>
      <c r="Y113" s="68"/>
      <c r="Z113" s="68"/>
      <c r="AA113" s="68"/>
      <c r="AB113" s="68"/>
      <c r="AC113" s="68"/>
      <c r="AD113" s="34"/>
      <c r="AE113" s="34" t="e">
        <f>SUM(#REF!)</f>
        <v>#REF!</v>
      </c>
      <c r="AF113" s="34">
        <f>SUM(K113:K113)</f>
        <v>0</v>
      </c>
      <c r="AG113" s="34">
        <f>SUM(K113:L113)</f>
        <v>0</v>
      </c>
      <c r="AH113" s="34">
        <f>SUM(K113:M113)</f>
        <v>0</v>
      </c>
      <c r="AI113" s="34">
        <f t="shared" ref="AI113:AX116" si="115">SUM(K113:N113)</f>
        <v>0</v>
      </c>
      <c r="AJ113" s="34">
        <f t="shared" si="115"/>
        <v>0</v>
      </c>
      <c r="AK113" s="34">
        <f t="shared" si="115"/>
        <v>0</v>
      </c>
      <c r="AL113" s="34">
        <f t="shared" si="115"/>
        <v>0</v>
      </c>
      <c r="AM113" s="34">
        <f t="shared" si="115"/>
        <v>0</v>
      </c>
      <c r="AN113" s="34">
        <f t="shared" si="115"/>
        <v>0</v>
      </c>
      <c r="AO113" s="34">
        <f t="shared" si="115"/>
        <v>0</v>
      </c>
      <c r="AP113" s="34">
        <f t="shared" si="115"/>
        <v>0</v>
      </c>
      <c r="AQ113" s="34">
        <f t="shared" si="115"/>
        <v>0</v>
      </c>
      <c r="AR113" s="34">
        <f t="shared" si="115"/>
        <v>0</v>
      </c>
      <c r="AS113" s="34">
        <f t="shared" si="115"/>
        <v>0</v>
      </c>
      <c r="AT113" s="34">
        <f t="shared" si="115"/>
        <v>0</v>
      </c>
      <c r="AU113" s="34">
        <f t="shared" si="115"/>
        <v>0</v>
      </c>
      <c r="AV113" s="34">
        <f t="shared" si="115"/>
        <v>0</v>
      </c>
      <c r="AW113" s="34">
        <f t="shared" si="115"/>
        <v>0</v>
      </c>
      <c r="AX113" s="34">
        <f t="shared" si="115"/>
        <v>0</v>
      </c>
      <c r="AY113" s="69"/>
      <c r="AZ113" s="82" t="e">
        <f t="shared" si="111"/>
        <v>#DIV/0!</v>
      </c>
    </row>
    <row r="114" spans="2:52" ht="12.75" customHeight="1">
      <c r="B114" s="119" t="s">
        <v>502</v>
      </c>
      <c r="C114" s="89">
        <v>-4993</v>
      </c>
      <c r="D114" s="89">
        <v>-4765</v>
      </c>
      <c r="E114" s="89">
        <v>-5720</v>
      </c>
      <c r="F114" s="89">
        <v>-10162</v>
      </c>
      <c r="G114" s="89">
        <v>-9300</v>
      </c>
      <c r="H114" s="89">
        <v>-9837</v>
      </c>
      <c r="I114" s="89">
        <v>-12190</v>
      </c>
      <c r="K114" s="89">
        <v>-2184</v>
      </c>
      <c r="L114" s="89">
        <f>-4637-K114</f>
        <v>-2453</v>
      </c>
      <c r="M114" s="89">
        <f>-7239-L114-K114</f>
        <v>-2602</v>
      </c>
      <c r="N114" s="34">
        <f>SUM(F114-SUM(K114:M114))</f>
        <v>-2923</v>
      </c>
      <c r="O114" s="89">
        <v>-2916</v>
      </c>
      <c r="P114" s="89">
        <f>-5180-O114</f>
        <v>-2264</v>
      </c>
      <c r="Q114" s="89">
        <f>-7221-P114-O114</f>
        <v>-2041</v>
      </c>
      <c r="R114" s="34">
        <f>SUM(G114-SUM(O114:Q114))</f>
        <v>-2079</v>
      </c>
      <c r="S114" s="89">
        <v>-1989</v>
      </c>
      <c r="T114" s="89">
        <f>-4725-S114</f>
        <v>-2736</v>
      </c>
      <c r="U114" s="89">
        <f>-7157-T114-S114</f>
        <v>-2432</v>
      </c>
      <c r="V114" s="34">
        <f>SUM(H114-SUM(S114:U114))</f>
        <v>-2680</v>
      </c>
      <c r="W114" s="89">
        <v>-2929</v>
      </c>
      <c r="X114" s="89">
        <f>-6138-W114</f>
        <v>-3209</v>
      </c>
      <c r="Y114" s="89">
        <f>-9141-X114-W114</f>
        <v>-3003</v>
      </c>
      <c r="Z114" s="34">
        <f>SUM(I114-SUM(W114:Y114))</f>
        <v>-3049</v>
      </c>
      <c r="AA114" s="89">
        <v>-3110</v>
      </c>
      <c r="AB114" s="89">
        <f>-5731-AA114</f>
        <v>-2621</v>
      </c>
      <c r="AC114" s="89">
        <f>-9001-AB114-AA114</f>
        <v>-3270</v>
      </c>
      <c r="AD114" s="34"/>
      <c r="AE114" s="34" t="e">
        <f>SUM(#REF!)</f>
        <v>#REF!</v>
      </c>
      <c r="AF114" s="34">
        <f>SUM(K114:K114)</f>
        <v>-2184</v>
      </c>
      <c r="AG114" s="34">
        <f>SUM(K114:L114)</f>
        <v>-4637</v>
      </c>
      <c r="AH114" s="34">
        <f>SUM(K114:M114)</f>
        <v>-7239</v>
      </c>
      <c r="AI114" s="34">
        <f t="shared" si="115"/>
        <v>-10162</v>
      </c>
      <c r="AJ114" s="34">
        <f t="shared" si="115"/>
        <v>-10894</v>
      </c>
      <c r="AK114" s="34">
        <f t="shared" si="115"/>
        <v>-10705</v>
      </c>
      <c r="AL114" s="34">
        <f t="shared" si="115"/>
        <v>-10144</v>
      </c>
      <c r="AM114" s="34">
        <f t="shared" si="115"/>
        <v>-9300</v>
      </c>
      <c r="AN114" s="34">
        <f t="shared" si="115"/>
        <v>-8373</v>
      </c>
      <c r="AO114" s="34">
        <f t="shared" si="115"/>
        <v>-8845</v>
      </c>
      <c r="AP114" s="34">
        <f t="shared" si="115"/>
        <v>-9236</v>
      </c>
      <c r="AQ114" s="34">
        <f t="shared" si="115"/>
        <v>-9837</v>
      </c>
      <c r="AR114" s="34">
        <f t="shared" si="115"/>
        <v>-10777</v>
      </c>
      <c r="AS114" s="34">
        <f t="shared" si="115"/>
        <v>-11250</v>
      </c>
      <c r="AT114" s="34">
        <f t="shared" si="115"/>
        <v>-11821</v>
      </c>
      <c r="AU114" s="34">
        <f t="shared" si="115"/>
        <v>-12190</v>
      </c>
      <c r="AV114" s="34">
        <f t="shared" si="115"/>
        <v>-12371</v>
      </c>
      <c r="AW114" s="34">
        <f t="shared" si="115"/>
        <v>-11783</v>
      </c>
      <c r="AX114" s="34">
        <f t="shared" si="115"/>
        <v>-12050</v>
      </c>
      <c r="AY114" s="69"/>
      <c r="AZ114" s="82">
        <f t="shared" si="111"/>
        <v>1.9372303527620316E-2</v>
      </c>
    </row>
    <row r="115" spans="2:52" ht="12.75" customHeight="1">
      <c r="B115" s="119" t="s">
        <v>501</v>
      </c>
      <c r="C115" s="89">
        <v>-9075</v>
      </c>
      <c r="D115" s="89">
        <v>-18396</v>
      </c>
      <c r="E115" s="89">
        <v>-31149</v>
      </c>
      <c r="F115" s="89">
        <v>-50274</v>
      </c>
      <c r="G115" s="89">
        <v>-59296</v>
      </c>
      <c r="H115" s="89">
        <v>-61504</v>
      </c>
      <c r="I115" s="89">
        <v>-62222</v>
      </c>
      <c r="K115" s="89">
        <v>-11395</v>
      </c>
      <c r="L115" s="89">
        <f>-24191-K115</f>
        <v>-12796</v>
      </c>
      <c r="M115" s="89">
        <f>-36801-L115-K115</f>
        <v>-12610</v>
      </c>
      <c r="N115" s="34">
        <f>SUM(F115-SUM(K115:M115))</f>
        <v>-13473</v>
      </c>
      <c r="O115" s="89">
        <v>-13300</v>
      </c>
      <c r="P115" s="89">
        <f>-28497-O115</f>
        <v>-15197</v>
      </c>
      <c r="Q115" s="89">
        <f>-43889-P115-O115</f>
        <v>-15392</v>
      </c>
      <c r="R115" s="34">
        <f>SUM(G115-SUM(O115:Q115))</f>
        <v>-15407</v>
      </c>
      <c r="S115" s="89">
        <v>-14557</v>
      </c>
      <c r="T115" s="89">
        <f>-29526-S115</f>
        <v>-14969</v>
      </c>
      <c r="U115" s="89">
        <f>-45313-T115-S115</f>
        <v>-15787</v>
      </c>
      <c r="V115" s="34">
        <f>SUM(H115-SUM(S115:U115))</f>
        <v>-16191</v>
      </c>
      <c r="W115" s="89">
        <v>-15696</v>
      </c>
      <c r="X115" s="89">
        <f>-31380-W115</f>
        <v>-15684</v>
      </c>
      <c r="Y115" s="89">
        <f>-46671-X115-W115</f>
        <v>-15291</v>
      </c>
      <c r="Z115" s="34">
        <f>SUM(I115-SUM(W115:Y115))</f>
        <v>-15551</v>
      </c>
      <c r="AA115" s="89">
        <v>-15068</v>
      </c>
      <c r="AB115" s="89">
        <f>-28706-AA115</f>
        <v>-13638</v>
      </c>
      <c r="AC115" s="89">
        <f>-40210-AB115-AA115</f>
        <v>-11504</v>
      </c>
      <c r="AD115" s="34"/>
      <c r="AE115" s="34" t="e">
        <f>SUM(#REF!)</f>
        <v>#REF!</v>
      </c>
      <c r="AF115" s="34">
        <f>SUM(K115:K115)</f>
        <v>-11395</v>
      </c>
      <c r="AG115" s="34">
        <f>SUM(K115:L115)</f>
        <v>-24191</v>
      </c>
      <c r="AH115" s="34">
        <f>SUM(K115:M115)</f>
        <v>-36801</v>
      </c>
      <c r="AI115" s="34">
        <f t="shared" si="115"/>
        <v>-50274</v>
      </c>
      <c r="AJ115" s="34">
        <f t="shared" si="115"/>
        <v>-52179</v>
      </c>
      <c r="AK115" s="34">
        <f t="shared" si="115"/>
        <v>-54580</v>
      </c>
      <c r="AL115" s="34">
        <f t="shared" si="115"/>
        <v>-57362</v>
      </c>
      <c r="AM115" s="34">
        <f t="shared" si="115"/>
        <v>-59296</v>
      </c>
      <c r="AN115" s="34">
        <f t="shared" si="115"/>
        <v>-60553</v>
      </c>
      <c r="AO115" s="34">
        <f t="shared" si="115"/>
        <v>-60325</v>
      </c>
      <c r="AP115" s="34">
        <f t="shared" si="115"/>
        <v>-60720</v>
      </c>
      <c r="AQ115" s="34">
        <f t="shared" si="115"/>
        <v>-61504</v>
      </c>
      <c r="AR115" s="34">
        <f t="shared" si="115"/>
        <v>-62643</v>
      </c>
      <c r="AS115" s="34">
        <f t="shared" si="115"/>
        <v>-63358</v>
      </c>
      <c r="AT115" s="34">
        <f t="shared" si="115"/>
        <v>-62862</v>
      </c>
      <c r="AU115" s="34">
        <f t="shared" si="115"/>
        <v>-62222</v>
      </c>
      <c r="AV115" s="34">
        <f t="shared" si="115"/>
        <v>-61594</v>
      </c>
      <c r="AW115" s="34">
        <f t="shared" si="115"/>
        <v>-59548</v>
      </c>
      <c r="AX115" s="34">
        <f t="shared" si="115"/>
        <v>-55761</v>
      </c>
      <c r="AY115" s="69"/>
      <c r="AZ115" s="82">
        <f t="shared" si="111"/>
        <v>-0.11296172568483343</v>
      </c>
    </row>
    <row r="116" spans="2:52" ht="12.75" customHeight="1">
      <c r="B116" s="119" t="s">
        <v>500</v>
      </c>
      <c r="C116" s="89">
        <v>0</v>
      </c>
      <c r="D116" s="89">
        <v>0</v>
      </c>
      <c r="E116" s="89">
        <v>0</v>
      </c>
      <c r="F116" s="89">
        <v>0</v>
      </c>
      <c r="G116" s="89">
        <v>0</v>
      </c>
      <c r="H116" s="89">
        <v>0</v>
      </c>
      <c r="I116" s="89">
        <v>-7363</v>
      </c>
      <c r="K116" s="89">
        <v>0</v>
      </c>
      <c r="L116" s="89">
        <v>0</v>
      </c>
      <c r="M116" s="89">
        <v>0</v>
      </c>
      <c r="N116" s="34">
        <f>SUM(F116-SUM(K116:M116))</f>
        <v>0</v>
      </c>
      <c r="O116" s="89">
        <v>0</v>
      </c>
      <c r="P116" s="89">
        <v>0</v>
      </c>
      <c r="Q116" s="89">
        <v>0</v>
      </c>
      <c r="R116" s="34">
        <f>SUM(G116-SUM(O116:Q116))</f>
        <v>0</v>
      </c>
      <c r="S116" s="89">
        <v>0</v>
      </c>
      <c r="T116" s="89">
        <v>0</v>
      </c>
      <c r="U116" s="89">
        <v>0</v>
      </c>
      <c r="V116" s="34">
        <f>SUM(H116-SUM(S116:U116))</f>
        <v>0</v>
      </c>
      <c r="W116" s="89">
        <v>0</v>
      </c>
      <c r="X116" s="89">
        <f>-2466-W116</f>
        <v>-2466</v>
      </c>
      <c r="Y116" s="89">
        <f>-4921-X116-W116</f>
        <v>-2455</v>
      </c>
      <c r="Z116" s="34">
        <f>SUM(I116-SUM(W116:Y116))</f>
        <v>-2442</v>
      </c>
      <c r="AA116" s="89">
        <v>-2434</v>
      </c>
      <c r="AB116" s="89">
        <f>-4977-AA116</f>
        <v>-2543</v>
      </c>
      <c r="AC116" s="89">
        <f>-7513-AB116-AA116</f>
        <v>-2536</v>
      </c>
      <c r="AD116" s="34"/>
      <c r="AE116" s="34" t="e">
        <f>SUM(#REF!)</f>
        <v>#REF!</v>
      </c>
      <c r="AF116" s="34">
        <f>SUM(K116:K116)</f>
        <v>0</v>
      </c>
      <c r="AG116" s="34">
        <f>SUM(K116:L116)</f>
        <v>0</v>
      </c>
      <c r="AH116" s="34">
        <f>SUM(K116:M116)</f>
        <v>0</v>
      </c>
      <c r="AI116" s="34">
        <f t="shared" si="115"/>
        <v>0</v>
      </c>
      <c r="AJ116" s="34">
        <f t="shared" si="115"/>
        <v>0</v>
      </c>
      <c r="AK116" s="34">
        <f t="shared" si="115"/>
        <v>0</v>
      </c>
      <c r="AL116" s="34">
        <f t="shared" si="115"/>
        <v>0</v>
      </c>
      <c r="AM116" s="34">
        <f t="shared" si="115"/>
        <v>0</v>
      </c>
      <c r="AN116" s="34">
        <f t="shared" si="115"/>
        <v>0</v>
      </c>
      <c r="AO116" s="34">
        <f t="shared" si="115"/>
        <v>0</v>
      </c>
      <c r="AP116" s="34">
        <f t="shared" si="115"/>
        <v>0</v>
      </c>
      <c r="AQ116" s="34">
        <f t="shared" si="115"/>
        <v>0</v>
      </c>
      <c r="AR116" s="34">
        <f t="shared" si="115"/>
        <v>0</v>
      </c>
      <c r="AS116" s="34">
        <f t="shared" si="115"/>
        <v>-2466</v>
      </c>
      <c r="AT116" s="34">
        <f t="shared" si="115"/>
        <v>-4921</v>
      </c>
      <c r="AU116" s="34">
        <f t="shared" si="115"/>
        <v>-7363</v>
      </c>
      <c r="AV116" s="34">
        <f t="shared" si="115"/>
        <v>-9797</v>
      </c>
      <c r="AW116" s="34">
        <f t="shared" si="115"/>
        <v>-9874</v>
      </c>
      <c r="AX116" s="34">
        <f t="shared" si="115"/>
        <v>-9955</v>
      </c>
      <c r="AY116" s="69"/>
      <c r="AZ116" s="82">
        <f t="shared" si="111"/>
        <v>1.0229628124364964</v>
      </c>
    </row>
    <row r="117" spans="2:52" ht="12.75" customHeight="1">
      <c r="B117" s="119" t="s">
        <v>573</v>
      </c>
      <c r="C117" s="89">
        <f>6766-6827</f>
        <v>-61</v>
      </c>
      <c r="D117" s="89">
        <f>317-585</f>
        <v>-268</v>
      </c>
      <c r="E117" s="89">
        <f>11761-2100</f>
        <v>9661</v>
      </c>
      <c r="F117" s="89">
        <f>20199-21435</f>
        <v>-1236</v>
      </c>
      <c r="G117" s="89">
        <f>52872-54068</f>
        <v>-1196</v>
      </c>
      <c r="H117" s="89">
        <f>10790-11550</f>
        <v>-760</v>
      </c>
      <c r="I117" s="89">
        <f>13589-12701</f>
        <v>888</v>
      </c>
      <c r="K117" s="89">
        <f>-937+900</f>
        <v>-37</v>
      </c>
      <c r="L117" s="89">
        <f>-8678+7599-K117</f>
        <v>-1042</v>
      </c>
      <c r="M117" s="89">
        <f>-15070+13949-L117-K117</f>
        <v>-42</v>
      </c>
      <c r="N117" s="34">
        <f>SUM(F117-SUM(K117:M117))</f>
        <v>-115</v>
      </c>
      <c r="O117" s="89">
        <f>-16420+16422</f>
        <v>2</v>
      </c>
      <c r="P117" s="89">
        <f>-29582+29228-O117</f>
        <v>-356</v>
      </c>
      <c r="Q117" s="89">
        <f>-45350+44322-P117-O117</f>
        <v>-674</v>
      </c>
      <c r="R117" s="34">
        <f>SUM(G117-SUM(O117:Q117))</f>
        <v>-168</v>
      </c>
      <c r="S117" s="89">
        <f>-6952+6927</f>
        <v>-25</v>
      </c>
      <c r="T117" s="89">
        <f>-8207+8050-S117</f>
        <v>-132</v>
      </c>
      <c r="U117" s="89">
        <f>-9621+9298-T117-S117</f>
        <v>-166</v>
      </c>
      <c r="V117" s="34">
        <f>SUM(H117-SUM(S117:U117))</f>
        <v>-437</v>
      </c>
      <c r="W117" s="89">
        <f>-3079+1982</f>
        <v>-1097</v>
      </c>
      <c r="X117" s="89">
        <f>-5502+4875-W117</f>
        <v>470</v>
      </c>
      <c r="Y117" s="89">
        <f>-8951+8694-X117-W117</f>
        <v>370</v>
      </c>
      <c r="Z117" s="34">
        <f>SUM(I117-SUM(W117:Y117))</f>
        <v>1145</v>
      </c>
      <c r="AA117" s="89">
        <f>-4521+4532</f>
        <v>11</v>
      </c>
      <c r="AB117" s="89">
        <f>-18397+31378-AA117</f>
        <v>12970</v>
      </c>
      <c r="AC117" s="89">
        <f>-26094+38002-AB117-AA117</f>
        <v>-1073</v>
      </c>
      <c r="AD117" s="34"/>
      <c r="AE117" s="34"/>
      <c r="AF117" s="34"/>
      <c r="AG117" s="34"/>
      <c r="AH117" s="34"/>
      <c r="AI117" s="34"/>
      <c r="AJ117" s="34"/>
      <c r="AK117" s="34"/>
      <c r="AL117" s="34"/>
      <c r="AM117" s="34"/>
      <c r="AN117" s="34"/>
      <c r="AO117" s="34"/>
      <c r="AP117" s="34"/>
      <c r="AQ117" s="34"/>
      <c r="AR117" s="34"/>
      <c r="AS117" s="34"/>
      <c r="AT117" s="34">
        <f t="shared" ref="AT117:AX118" si="116">SUM(V117:Y117)</f>
        <v>-694</v>
      </c>
      <c r="AU117" s="34">
        <f t="shared" si="116"/>
        <v>888</v>
      </c>
      <c r="AV117" s="34">
        <f t="shared" si="116"/>
        <v>1996</v>
      </c>
      <c r="AW117" s="34">
        <f t="shared" si="116"/>
        <v>14496</v>
      </c>
      <c r="AX117" s="34">
        <f t="shared" si="116"/>
        <v>13053</v>
      </c>
      <c r="AY117" s="69"/>
      <c r="AZ117" s="82">
        <f t="shared" si="111"/>
        <v>-19.808357348703169</v>
      </c>
    </row>
    <row r="118" spans="2:52" ht="12.75" customHeight="1">
      <c r="B118" s="119" t="s">
        <v>499</v>
      </c>
      <c r="C118" s="89">
        <v>950</v>
      </c>
      <c r="D118" s="89">
        <v>220</v>
      </c>
      <c r="E118" s="89">
        <v>2800</v>
      </c>
      <c r="F118" s="89">
        <v>310</v>
      </c>
      <c r="G118" s="89">
        <v>35</v>
      </c>
      <c r="H118" s="89">
        <v>8</v>
      </c>
      <c r="I118" s="89">
        <v>1154</v>
      </c>
      <c r="K118" s="89">
        <v>10</v>
      </c>
      <c r="L118" s="89">
        <f>310 -K118</f>
        <v>300</v>
      </c>
      <c r="M118" s="89">
        <f>310-L118-K118</f>
        <v>0</v>
      </c>
      <c r="N118" s="34">
        <f>SUM(F118-SUM(K118:M118))</f>
        <v>0</v>
      </c>
      <c r="O118" s="89">
        <v>0</v>
      </c>
      <c r="P118" s="89">
        <v>0</v>
      </c>
      <c r="Q118" s="89">
        <f>10-P118-O118</f>
        <v>10</v>
      </c>
      <c r="R118" s="34">
        <f>SUM(G118-SUM(O118:Q118))</f>
        <v>25</v>
      </c>
      <c r="S118" s="89">
        <v>3</v>
      </c>
      <c r="T118" s="89">
        <f>5-S118</f>
        <v>2</v>
      </c>
      <c r="U118" s="89">
        <f>8-T118-S118</f>
        <v>3</v>
      </c>
      <c r="V118" s="34">
        <f>SUM(H118-SUM(S118:U118))</f>
        <v>0</v>
      </c>
      <c r="W118" s="89">
        <v>8</v>
      </c>
      <c r="X118" s="89">
        <f>8-W118</f>
        <v>0</v>
      </c>
      <c r="Y118" s="89">
        <f>293-X118-W118</f>
        <v>285</v>
      </c>
      <c r="Z118" s="34">
        <f>SUM(I118-SUM(W118:Y118))</f>
        <v>861</v>
      </c>
      <c r="AA118" s="89">
        <v>400</v>
      </c>
      <c r="AB118" s="89">
        <f>400-AA118</f>
        <v>0</v>
      </c>
      <c r="AC118" s="89">
        <f>400-AB118-AA118</f>
        <v>0</v>
      </c>
      <c r="AD118" s="34"/>
      <c r="AE118" s="34" t="e">
        <f>SUM(#REF!)</f>
        <v>#REF!</v>
      </c>
      <c r="AF118" s="34">
        <f>SUM(K118:K118)</f>
        <v>10</v>
      </c>
      <c r="AG118" s="34">
        <f>SUM(K118:L118)</f>
        <v>310</v>
      </c>
      <c r="AH118" s="34">
        <f>SUM(K118:M118)</f>
        <v>310</v>
      </c>
      <c r="AI118" s="34">
        <f t="shared" ref="AI118:AS118" si="117">SUM(K118:N118)</f>
        <v>310</v>
      </c>
      <c r="AJ118" s="34">
        <f t="shared" si="117"/>
        <v>300</v>
      </c>
      <c r="AK118" s="34">
        <f t="shared" si="117"/>
        <v>0</v>
      </c>
      <c r="AL118" s="34">
        <f t="shared" si="117"/>
        <v>10</v>
      </c>
      <c r="AM118" s="34">
        <f t="shared" si="117"/>
        <v>35</v>
      </c>
      <c r="AN118" s="34">
        <f t="shared" si="117"/>
        <v>38</v>
      </c>
      <c r="AO118" s="34">
        <f t="shared" si="117"/>
        <v>40</v>
      </c>
      <c r="AP118" s="34">
        <f t="shared" si="117"/>
        <v>33</v>
      </c>
      <c r="AQ118" s="34">
        <f t="shared" si="117"/>
        <v>8</v>
      </c>
      <c r="AR118" s="34">
        <f t="shared" si="117"/>
        <v>13</v>
      </c>
      <c r="AS118" s="34">
        <f t="shared" si="117"/>
        <v>11</v>
      </c>
      <c r="AT118" s="34">
        <f t="shared" si="116"/>
        <v>293</v>
      </c>
      <c r="AU118" s="34">
        <f t="shared" si="116"/>
        <v>1154</v>
      </c>
      <c r="AV118" s="34">
        <f t="shared" si="116"/>
        <v>1546</v>
      </c>
      <c r="AW118" s="34">
        <f t="shared" si="116"/>
        <v>1546</v>
      </c>
      <c r="AX118" s="34">
        <f t="shared" si="116"/>
        <v>1261</v>
      </c>
      <c r="AY118" s="69"/>
      <c r="AZ118" s="82">
        <f t="shared" si="111"/>
        <v>3.3037542662116044</v>
      </c>
    </row>
    <row r="119" spans="2:52" ht="12.75" customHeight="1">
      <c r="B119" s="14" t="s">
        <v>83</v>
      </c>
      <c r="C119" s="36">
        <f t="shared" ref="C119:I119" si="118">SUM(C114:C118)</f>
        <v>-13179</v>
      </c>
      <c r="D119" s="36">
        <f t="shared" si="118"/>
        <v>-23209</v>
      </c>
      <c r="E119" s="36">
        <f t="shared" si="118"/>
        <v>-24408</v>
      </c>
      <c r="F119" s="36">
        <f t="shared" si="118"/>
        <v>-61362</v>
      </c>
      <c r="G119" s="36">
        <f t="shared" si="118"/>
        <v>-69757</v>
      </c>
      <c r="H119" s="36">
        <f t="shared" si="118"/>
        <v>-72093</v>
      </c>
      <c r="I119" s="36">
        <f t="shared" si="118"/>
        <v>-79733</v>
      </c>
      <c r="J119" s="34"/>
      <c r="K119" s="36">
        <f t="shared" ref="K119:AC119" si="119">SUM(K114:K118)</f>
        <v>-13606</v>
      </c>
      <c r="L119" s="36">
        <f t="shared" si="119"/>
        <v>-15991</v>
      </c>
      <c r="M119" s="36">
        <f t="shared" si="119"/>
        <v>-15254</v>
      </c>
      <c r="N119" s="36">
        <f t="shared" si="119"/>
        <v>-16511</v>
      </c>
      <c r="O119" s="36">
        <f t="shared" si="119"/>
        <v>-16214</v>
      </c>
      <c r="P119" s="36">
        <f t="shared" si="119"/>
        <v>-17817</v>
      </c>
      <c r="Q119" s="36">
        <f t="shared" si="119"/>
        <v>-18097</v>
      </c>
      <c r="R119" s="36">
        <f t="shared" si="119"/>
        <v>-17629</v>
      </c>
      <c r="S119" s="36">
        <f t="shared" si="119"/>
        <v>-16568</v>
      </c>
      <c r="T119" s="36">
        <f t="shared" si="119"/>
        <v>-17835</v>
      </c>
      <c r="U119" s="36">
        <f t="shared" si="119"/>
        <v>-18382</v>
      </c>
      <c r="V119" s="36">
        <f t="shared" si="119"/>
        <v>-19308</v>
      </c>
      <c r="W119" s="36">
        <f t="shared" si="119"/>
        <v>-19714</v>
      </c>
      <c r="X119" s="36">
        <f t="shared" si="119"/>
        <v>-20889</v>
      </c>
      <c r="Y119" s="36">
        <f t="shared" si="119"/>
        <v>-20094</v>
      </c>
      <c r="Z119" s="36">
        <f t="shared" si="119"/>
        <v>-19036</v>
      </c>
      <c r="AA119" s="36">
        <f t="shared" si="119"/>
        <v>-20201</v>
      </c>
      <c r="AB119" s="36">
        <f t="shared" si="119"/>
        <v>-5832</v>
      </c>
      <c r="AC119" s="36">
        <f t="shared" si="119"/>
        <v>-18383</v>
      </c>
      <c r="AD119" s="34"/>
      <c r="AE119" s="36" t="e">
        <f t="shared" ref="AE119:AX119" si="120">SUM(AE114:AE118)</f>
        <v>#REF!</v>
      </c>
      <c r="AF119" s="36">
        <f t="shared" si="120"/>
        <v>-13569</v>
      </c>
      <c r="AG119" s="36">
        <f t="shared" si="120"/>
        <v>-28518</v>
      </c>
      <c r="AH119" s="36">
        <f t="shared" si="120"/>
        <v>-43730</v>
      </c>
      <c r="AI119" s="36">
        <f t="shared" si="120"/>
        <v>-60126</v>
      </c>
      <c r="AJ119" s="36">
        <f t="shared" si="120"/>
        <v>-62773</v>
      </c>
      <c r="AK119" s="36">
        <f t="shared" si="120"/>
        <v>-65285</v>
      </c>
      <c r="AL119" s="36">
        <f t="shared" si="120"/>
        <v>-67496</v>
      </c>
      <c r="AM119" s="36">
        <f t="shared" si="120"/>
        <v>-68561</v>
      </c>
      <c r="AN119" s="36">
        <f t="shared" si="120"/>
        <v>-68888</v>
      </c>
      <c r="AO119" s="36">
        <f t="shared" si="120"/>
        <v>-69130</v>
      </c>
      <c r="AP119" s="36">
        <f t="shared" si="120"/>
        <v>-69923</v>
      </c>
      <c r="AQ119" s="36">
        <f t="shared" si="120"/>
        <v>-71333</v>
      </c>
      <c r="AR119" s="36">
        <f t="shared" si="120"/>
        <v>-73407</v>
      </c>
      <c r="AS119" s="36">
        <f t="shared" si="120"/>
        <v>-77063</v>
      </c>
      <c r="AT119" s="36">
        <f t="shared" si="120"/>
        <v>-80005</v>
      </c>
      <c r="AU119" s="36">
        <f t="shared" si="120"/>
        <v>-79733</v>
      </c>
      <c r="AV119" s="36">
        <f t="shared" si="120"/>
        <v>-80220</v>
      </c>
      <c r="AW119" s="36">
        <f t="shared" si="120"/>
        <v>-65163</v>
      </c>
      <c r="AX119" s="36">
        <f t="shared" si="120"/>
        <v>-63452</v>
      </c>
      <c r="AY119" s="45"/>
      <c r="AZ119" s="83">
        <f t="shared" si="111"/>
        <v>-0.20689956877695148</v>
      </c>
    </row>
    <row r="120" spans="2:52" ht="5.0999999999999996" customHeight="1">
      <c r="B120" s="8"/>
      <c r="C120" s="71"/>
      <c r="D120" s="71"/>
      <c r="E120" s="71"/>
      <c r="F120" s="71"/>
      <c r="G120" s="71"/>
      <c r="H120" s="71"/>
      <c r="I120" s="71"/>
      <c r="J120" s="34"/>
      <c r="K120" s="71"/>
      <c r="L120" s="71"/>
      <c r="M120" s="71"/>
      <c r="N120" s="71"/>
      <c r="O120" s="71"/>
      <c r="P120" s="71"/>
      <c r="Q120" s="71"/>
      <c r="R120" s="71"/>
      <c r="S120" s="71"/>
      <c r="T120" s="71"/>
      <c r="U120" s="71"/>
      <c r="V120" s="71"/>
      <c r="W120" s="71"/>
      <c r="X120" s="71"/>
      <c r="Y120" s="71"/>
      <c r="Z120" s="71"/>
      <c r="AA120" s="71"/>
      <c r="AB120" s="71"/>
      <c r="AC120" s="71"/>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50"/>
    </row>
    <row r="121" spans="2:52" ht="5.0999999999999996" customHeight="1">
      <c r="B121" s="78"/>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12"/>
      <c r="AZ121" s="50"/>
    </row>
    <row r="122" spans="2:52">
      <c r="B122" s="174" t="s">
        <v>464</v>
      </c>
      <c r="C122" s="478">
        <v>10715</v>
      </c>
      <c r="D122" s="175">
        <f t="shared" ref="D122:I122" si="121">C128</f>
        <v>16701</v>
      </c>
      <c r="E122" s="175">
        <f t="shared" si="121"/>
        <v>18498</v>
      </c>
      <c r="F122" s="175">
        <f t="shared" si="121"/>
        <v>26465</v>
      </c>
      <c r="G122" s="175">
        <f t="shared" si="121"/>
        <v>20945</v>
      </c>
      <c r="H122" s="175">
        <f t="shared" si="121"/>
        <v>21879</v>
      </c>
      <c r="I122" s="175">
        <f t="shared" si="121"/>
        <v>24048</v>
      </c>
      <c r="J122" s="175"/>
      <c r="K122" s="175">
        <f>E128</f>
        <v>26465</v>
      </c>
      <c r="L122" s="175">
        <f t="shared" ref="L122:AC122" si="122">K128</f>
        <v>26622</v>
      </c>
      <c r="M122" s="175">
        <f t="shared" si="122"/>
        <v>23630</v>
      </c>
      <c r="N122" s="175">
        <f t="shared" si="122"/>
        <v>23719</v>
      </c>
      <c r="O122" s="175">
        <f t="shared" si="122"/>
        <v>20945</v>
      </c>
      <c r="P122" s="175">
        <f t="shared" si="122"/>
        <v>20886</v>
      </c>
      <c r="Q122" s="175">
        <f t="shared" si="122"/>
        <v>17936</v>
      </c>
      <c r="R122" s="175">
        <f t="shared" si="122"/>
        <v>21984</v>
      </c>
      <c r="S122" s="175">
        <f t="shared" si="122"/>
        <v>21879</v>
      </c>
      <c r="T122" s="175">
        <f t="shared" si="122"/>
        <v>25924</v>
      </c>
      <c r="U122" s="175">
        <f t="shared" si="122"/>
        <v>25929</v>
      </c>
      <c r="V122" s="175">
        <f t="shared" si="122"/>
        <v>30702</v>
      </c>
      <c r="W122" s="175">
        <f t="shared" si="122"/>
        <v>24048</v>
      </c>
      <c r="X122" s="175">
        <f t="shared" si="122"/>
        <v>24493</v>
      </c>
      <c r="Y122" s="175">
        <f t="shared" si="122"/>
        <v>27225</v>
      </c>
      <c r="Z122" s="175">
        <f t="shared" si="122"/>
        <v>19959</v>
      </c>
      <c r="AA122" s="175">
        <f t="shared" si="122"/>
        <v>23466</v>
      </c>
      <c r="AB122" s="175">
        <f t="shared" si="122"/>
        <v>23264</v>
      </c>
      <c r="AC122" s="175">
        <f t="shared" si="122"/>
        <v>21036</v>
      </c>
      <c r="AD122" s="175"/>
      <c r="AE122" s="175" t="e">
        <f>#REF!</f>
        <v>#REF!</v>
      </c>
      <c r="AF122" s="175" t="e">
        <f>#REF!</f>
        <v>#REF!</v>
      </c>
      <c r="AG122" s="175" t="e">
        <f>#REF!</f>
        <v>#REF!</v>
      </c>
      <c r="AH122" s="175" t="e">
        <f>#REF!</f>
        <v>#REF!</v>
      </c>
      <c r="AI122" s="175" t="e">
        <f>#REF!</f>
        <v>#REF!</v>
      </c>
      <c r="AJ122" s="175">
        <f t="shared" ref="AJ122:AX122" si="123">K128</f>
        <v>26622</v>
      </c>
      <c r="AK122" s="175">
        <f t="shared" si="123"/>
        <v>23630</v>
      </c>
      <c r="AL122" s="175">
        <f t="shared" si="123"/>
        <v>23719</v>
      </c>
      <c r="AM122" s="175">
        <f t="shared" si="123"/>
        <v>20945</v>
      </c>
      <c r="AN122" s="175">
        <f t="shared" si="123"/>
        <v>20886</v>
      </c>
      <c r="AO122" s="175">
        <f t="shared" si="123"/>
        <v>17936</v>
      </c>
      <c r="AP122" s="175">
        <f t="shared" si="123"/>
        <v>21984</v>
      </c>
      <c r="AQ122" s="175">
        <f t="shared" si="123"/>
        <v>21879</v>
      </c>
      <c r="AR122" s="175">
        <f t="shared" si="123"/>
        <v>25924</v>
      </c>
      <c r="AS122" s="175">
        <f t="shared" si="123"/>
        <v>25929</v>
      </c>
      <c r="AT122" s="175">
        <f t="shared" si="123"/>
        <v>30702</v>
      </c>
      <c r="AU122" s="175">
        <f t="shared" si="123"/>
        <v>24048</v>
      </c>
      <c r="AV122" s="175">
        <f t="shared" si="123"/>
        <v>24493</v>
      </c>
      <c r="AW122" s="175">
        <f t="shared" si="123"/>
        <v>27225</v>
      </c>
      <c r="AX122" s="515">
        <f t="shared" si="123"/>
        <v>19959</v>
      </c>
      <c r="AY122" s="12"/>
      <c r="AZ122" s="50"/>
    </row>
    <row r="123" spans="2:52">
      <c r="B123" s="479" t="s">
        <v>465</v>
      </c>
      <c r="C123" s="89">
        <v>0</v>
      </c>
      <c r="D123" s="89">
        <v>0</v>
      </c>
      <c r="E123" s="89">
        <v>0</v>
      </c>
      <c r="F123" s="89">
        <v>0</v>
      </c>
      <c r="G123" s="89">
        <v>0</v>
      </c>
      <c r="H123" s="89">
        <v>0</v>
      </c>
      <c r="I123" s="89">
        <v>0</v>
      </c>
      <c r="J123" s="34"/>
      <c r="K123" s="89">
        <v>0</v>
      </c>
      <c r="L123" s="34">
        <v>0</v>
      </c>
      <c r="M123" s="34">
        <v>0</v>
      </c>
      <c r="N123" s="34">
        <f>SUM(F123-SUM(K123:M123))</f>
        <v>0</v>
      </c>
      <c r="O123" s="89">
        <v>0</v>
      </c>
      <c r="P123" s="34">
        <v>0</v>
      </c>
      <c r="Q123" s="34">
        <v>0</v>
      </c>
      <c r="R123" s="34">
        <f>SUM(G123-SUM(O123:Q123))</f>
        <v>0</v>
      </c>
      <c r="S123" s="34"/>
      <c r="T123" s="34">
        <v>0</v>
      </c>
      <c r="U123" s="34">
        <v>0</v>
      </c>
      <c r="V123" s="34">
        <f>SUM(H123-SUM(S123:U123))</f>
        <v>0</v>
      </c>
      <c r="W123" s="34">
        <v>0</v>
      </c>
      <c r="X123" s="34">
        <v>0</v>
      </c>
      <c r="Y123" s="34">
        <v>0</v>
      </c>
      <c r="Z123" s="34">
        <f>SUM(I123-SUM(W123:Y123))</f>
        <v>0</v>
      </c>
      <c r="AA123" s="34">
        <v>0</v>
      </c>
      <c r="AB123" s="34">
        <v>0</v>
      </c>
      <c r="AC123" s="89">
        <v>0</v>
      </c>
      <c r="AD123" s="34"/>
      <c r="AE123" s="34" t="e">
        <f>SUM(#REF!)</f>
        <v>#REF!</v>
      </c>
      <c r="AF123" s="34">
        <f>SUM(K123:K123)</f>
        <v>0</v>
      </c>
      <c r="AG123" s="34">
        <f>SUM(K123:L123)</f>
        <v>0</v>
      </c>
      <c r="AH123" s="34">
        <f>SUM(K123:M123)</f>
        <v>0</v>
      </c>
      <c r="AI123" s="34">
        <f t="shared" ref="AI123:AX123" si="124">SUM(K123:N123)</f>
        <v>0</v>
      </c>
      <c r="AJ123" s="34">
        <f t="shared" si="124"/>
        <v>0</v>
      </c>
      <c r="AK123" s="34">
        <f t="shared" si="124"/>
        <v>0</v>
      </c>
      <c r="AL123" s="34">
        <f t="shared" si="124"/>
        <v>0</v>
      </c>
      <c r="AM123" s="34">
        <f t="shared" si="124"/>
        <v>0</v>
      </c>
      <c r="AN123" s="34">
        <f t="shared" si="124"/>
        <v>0</v>
      </c>
      <c r="AO123" s="34">
        <f t="shared" si="124"/>
        <v>0</v>
      </c>
      <c r="AP123" s="34">
        <f t="shared" si="124"/>
        <v>0</v>
      </c>
      <c r="AQ123" s="34">
        <f t="shared" si="124"/>
        <v>0</v>
      </c>
      <c r="AR123" s="34">
        <f t="shared" si="124"/>
        <v>0</v>
      </c>
      <c r="AS123" s="34">
        <f t="shared" si="124"/>
        <v>0</v>
      </c>
      <c r="AT123" s="34">
        <f t="shared" si="124"/>
        <v>0</v>
      </c>
      <c r="AU123" s="34">
        <f t="shared" si="124"/>
        <v>0</v>
      </c>
      <c r="AV123" s="34">
        <f t="shared" si="124"/>
        <v>0</v>
      </c>
      <c r="AW123" s="34">
        <f t="shared" si="124"/>
        <v>0</v>
      </c>
      <c r="AX123" s="507">
        <f t="shared" si="124"/>
        <v>0</v>
      </c>
      <c r="AY123" s="12"/>
      <c r="AZ123" s="50"/>
    </row>
    <row r="124" spans="2:52">
      <c r="B124" s="171" t="s">
        <v>253</v>
      </c>
      <c r="C124" s="167">
        <f t="shared" ref="C124:I124" si="125">SUM(C122:C123)</f>
        <v>10715</v>
      </c>
      <c r="D124" s="167">
        <f t="shared" si="125"/>
        <v>16701</v>
      </c>
      <c r="E124" s="167">
        <f t="shared" si="125"/>
        <v>18498</v>
      </c>
      <c r="F124" s="167">
        <f t="shared" si="125"/>
        <v>26465</v>
      </c>
      <c r="G124" s="167">
        <f t="shared" si="125"/>
        <v>20945</v>
      </c>
      <c r="H124" s="167">
        <f t="shared" si="125"/>
        <v>21879</v>
      </c>
      <c r="I124" s="167">
        <f t="shared" si="125"/>
        <v>24048</v>
      </c>
      <c r="J124" s="34"/>
      <c r="K124" s="167">
        <f t="shared" ref="K124:AC124" si="126">SUM(K122:K123)</f>
        <v>26465</v>
      </c>
      <c r="L124" s="167">
        <f t="shared" si="126"/>
        <v>26622</v>
      </c>
      <c r="M124" s="167">
        <f t="shared" si="126"/>
        <v>23630</v>
      </c>
      <c r="N124" s="167">
        <f t="shared" si="126"/>
        <v>23719</v>
      </c>
      <c r="O124" s="167">
        <f t="shared" si="126"/>
        <v>20945</v>
      </c>
      <c r="P124" s="167">
        <f t="shared" si="126"/>
        <v>20886</v>
      </c>
      <c r="Q124" s="167">
        <f t="shared" si="126"/>
        <v>17936</v>
      </c>
      <c r="R124" s="167">
        <f t="shared" si="126"/>
        <v>21984</v>
      </c>
      <c r="S124" s="167">
        <f t="shared" si="126"/>
        <v>21879</v>
      </c>
      <c r="T124" s="167">
        <f t="shared" si="126"/>
        <v>25924</v>
      </c>
      <c r="U124" s="167">
        <f t="shared" si="126"/>
        <v>25929</v>
      </c>
      <c r="V124" s="167">
        <f t="shared" si="126"/>
        <v>30702</v>
      </c>
      <c r="W124" s="167">
        <f t="shared" si="126"/>
        <v>24048</v>
      </c>
      <c r="X124" s="167">
        <f t="shared" si="126"/>
        <v>24493</v>
      </c>
      <c r="Y124" s="167">
        <f t="shared" si="126"/>
        <v>27225</v>
      </c>
      <c r="Z124" s="167">
        <f t="shared" si="126"/>
        <v>19959</v>
      </c>
      <c r="AA124" s="167">
        <f t="shared" si="126"/>
        <v>23466</v>
      </c>
      <c r="AB124" s="167">
        <f t="shared" si="126"/>
        <v>23264</v>
      </c>
      <c r="AC124" s="167">
        <f t="shared" si="126"/>
        <v>21036</v>
      </c>
      <c r="AD124" s="34"/>
      <c r="AE124" s="505" t="e">
        <f t="shared" ref="AE124:AL124" si="127">SUM(AE122:AE123)</f>
        <v>#REF!</v>
      </c>
      <c r="AF124" s="505" t="e">
        <f t="shared" si="127"/>
        <v>#REF!</v>
      </c>
      <c r="AG124" s="505" t="e">
        <f t="shared" si="127"/>
        <v>#REF!</v>
      </c>
      <c r="AH124" s="505" t="e">
        <f t="shared" si="127"/>
        <v>#REF!</v>
      </c>
      <c r="AI124" s="505" t="e">
        <f t="shared" si="127"/>
        <v>#REF!</v>
      </c>
      <c r="AJ124" s="505">
        <f t="shared" si="127"/>
        <v>26622</v>
      </c>
      <c r="AK124" s="505">
        <f t="shared" si="127"/>
        <v>23630</v>
      </c>
      <c r="AL124" s="505">
        <f t="shared" si="127"/>
        <v>23719</v>
      </c>
      <c r="AM124" s="505">
        <f t="shared" ref="AM124:AX124" si="128">SUM(AM122:AM123)</f>
        <v>20945</v>
      </c>
      <c r="AN124" s="505">
        <f t="shared" si="128"/>
        <v>20886</v>
      </c>
      <c r="AO124" s="505">
        <f t="shared" si="128"/>
        <v>17936</v>
      </c>
      <c r="AP124" s="505">
        <f t="shared" si="128"/>
        <v>21984</v>
      </c>
      <c r="AQ124" s="505">
        <f t="shared" si="128"/>
        <v>21879</v>
      </c>
      <c r="AR124" s="505">
        <f t="shared" si="128"/>
        <v>25924</v>
      </c>
      <c r="AS124" s="505">
        <f t="shared" si="128"/>
        <v>25929</v>
      </c>
      <c r="AT124" s="505">
        <f t="shared" si="128"/>
        <v>30702</v>
      </c>
      <c r="AU124" s="505">
        <f t="shared" si="128"/>
        <v>24048</v>
      </c>
      <c r="AV124" s="505">
        <f t="shared" si="128"/>
        <v>24493</v>
      </c>
      <c r="AW124" s="505">
        <f t="shared" si="128"/>
        <v>27225</v>
      </c>
      <c r="AX124" s="508">
        <f t="shared" si="128"/>
        <v>19959</v>
      </c>
      <c r="AY124" s="12"/>
      <c r="AZ124" s="50"/>
    </row>
    <row r="125" spans="2:52" ht="5.0999999999999996" customHeight="1">
      <c r="B125" s="512"/>
      <c r="C125" s="78"/>
      <c r="D125" s="78"/>
      <c r="E125" s="78"/>
      <c r="F125" s="78"/>
      <c r="G125" s="78"/>
      <c r="H125" s="78"/>
      <c r="I125" s="78"/>
      <c r="J125" s="34"/>
      <c r="K125" s="78"/>
      <c r="L125" s="78"/>
      <c r="M125" s="78"/>
      <c r="N125" s="78"/>
      <c r="O125" s="78"/>
      <c r="P125" s="78"/>
      <c r="Q125" s="78"/>
      <c r="R125" s="78"/>
      <c r="S125" s="78"/>
      <c r="T125" s="78"/>
      <c r="U125" s="78"/>
      <c r="V125" s="78"/>
      <c r="W125" s="78"/>
      <c r="X125" s="78"/>
      <c r="Y125" s="78"/>
      <c r="Z125" s="78"/>
      <c r="AA125" s="78"/>
      <c r="AB125" s="78"/>
      <c r="AC125" s="78"/>
      <c r="AD125" s="34"/>
      <c r="AE125" s="78"/>
      <c r="AF125" s="78"/>
      <c r="AG125" s="78"/>
      <c r="AH125" s="78"/>
      <c r="AI125" s="78"/>
      <c r="AJ125" s="78"/>
      <c r="AK125" s="78"/>
      <c r="AL125" s="78"/>
      <c r="AM125" s="78"/>
      <c r="AN125" s="78"/>
      <c r="AO125" s="78"/>
      <c r="AP125" s="78"/>
      <c r="AQ125" s="78"/>
      <c r="AR125" s="78"/>
      <c r="AS125" s="78"/>
      <c r="AT125" s="78"/>
      <c r="AU125" s="78"/>
      <c r="AV125" s="78"/>
      <c r="AW125" s="78"/>
      <c r="AX125" s="509"/>
      <c r="AY125" s="12"/>
      <c r="AZ125" s="50"/>
    </row>
    <row r="126" spans="2:52">
      <c r="B126" s="479" t="s">
        <v>466</v>
      </c>
      <c r="C126" s="89">
        <v>-302</v>
      </c>
      <c r="D126" s="89">
        <v>-23</v>
      </c>
      <c r="E126" s="89">
        <v>24</v>
      </c>
      <c r="F126" s="89">
        <v>-287</v>
      </c>
      <c r="G126" s="89">
        <v>-506</v>
      </c>
      <c r="H126" s="89">
        <v>-421</v>
      </c>
      <c r="I126" s="89">
        <v>-612</v>
      </c>
      <c r="J126" s="34"/>
      <c r="K126" s="89">
        <v>-143</v>
      </c>
      <c r="L126" s="89">
        <f>40 -K126</f>
        <v>183</v>
      </c>
      <c r="M126" s="89">
        <f>-106-L126-K126</f>
        <v>-146</v>
      </c>
      <c r="N126" s="34">
        <f>SUM(F126-SUM(K126:M126))</f>
        <v>-181</v>
      </c>
      <c r="O126" s="89">
        <v>100</v>
      </c>
      <c r="P126" s="89">
        <f>-268-O126</f>
        <v>-368</v>
      </c>
      <c r="Q126" s="89">
        <f>-643-P126-O126</f>
        <v>-375</v>
      </c>
      <c r="R126" s="34">
        <f>SUM(G126-SUM(O126:Q126))</f>
        <v>137</v>
      </c>
      <c r="S126" s="89">
        <v>50</v>
      </c>
      <c r="T126" s="89">
        <f>24-S126</f>
        <v>-26</v>
      </c>
      <c r="U126" s="89">
        <f>-327-T126-S126</f>
        <v>-351</v>
      </c>
      <c r="V126" s="34">
        <f>SUM(H126-SUM(S126:U126))</f>
        <v>-94</v>
      </c>
      <c r="W126" s="89">
        <v>-125</v>
      </c>
      <c r="X126" s="89">
        <f>-363-W126</f>
        <v>-238</v>
      </c>
      <c r="Y126" s="89">
        <f>-222-X126-W126</f>
        <v>141</v>
      </c>
      <c r="Z126" s="34">
        <f>SUM(I126-SUM(W126:Y126))</f>
        <v>-390</v>
      </c>
      <c r="AA126" s="89">
        <v>43</v>
      </c>
      <c r="AB126" s="89">
        <f>444 -AA126</f>
        <v>401</v>
      </c>
      <c r="AC126" s="89">
        <f>244 -AB126-AA126</f>
        <v>-200</v>
      </c>
      <c r="AD126" s="34"/>
      <c r="AE126" s="34" t="e">
        <f>SUM(#REF!)</f>
        <v>#REF!</v>
      </c>
      <c r="AF126" s="34">
        <f>SUM(K126:K126)</f>
        <v>-143</v>
      </c>
      <c r="AG126" s="34">
        <f>SUM(K126:L126)</f>
        <v>40</v>
      </c>
      <c r="AH126" s="34">
        <f>SUM(K126:M126)</f>
        <v>-106</v>
      </c>
      <c r="AI126" s="34">
        <f t="shared" ref="AI126:AN127" si="129">SUM(K126:N126)</f>
        <v>-287</v>
      </c>
      <c r="AJ126" s="34">
        <f t="shared" si="129"/>
        <v>-44</v>
      </c>
      <c r="AK126" s="34">
        <f t="shared" si="129"/>
        <v>-595</v>
      </c>
      <c r="AL126" s="34">
        <f t="shared" si="129"/>
        <v>-824</v>
      </c>
      <c r="AM126" s="34">
        <f t="shared" si="129"/>
        <v>-506</v>
      </c>
      <c r="AN126" s="34">
        <f t="shared" si="129"/>
        <v>-556</v>
      </c>
      <c r="AO126" s="34">
        <f t="shared" ref="AO126:AX127" si="130">SUM(Q126:T126)</f>
        <v>-214</v>
      </c>
      <c r="AP126" s="34">
        <f t="shared" si="130"/>
        <v>-190</v>
      </c>
      <c r="AQ126" s="34">
        <f t="shared" si="130"/>
        <v>-421</v>
      </c>
      <c r="AR126" s="34">
        <f t="shared" si="130"/>
        <v>-596</v>
      </c>
      <c r="AS126" s="34">
        <f t="shared" si="130"/>
        <v>-808</v>
      </c>
      <c r="AT126" s="34">
        <f t="shared" si="130"/>
        <v>-316</v>
      </c>
      <c r="AU126" s="34">
        <f t="shared" si="130"/>
        <v>-612</v>
      </c>
      <c r="AV126" s="34">
        <f t="shared" si="130"/>
        <v>-444</v>
      </c>
      <c r="AW126" s="34">
        <f t="shared" si="130"/>
        <v>195</v>
      </c>
      <c r="AX126" s="507">
        <f t="shared" si="130"/>
        <v>-146</v>
      </c>
      <c r="AY126" s="12"/>
      <c r="AZ126" s="50"/>
    </row>
    <row r="127" spans="2:52">
      <c r="B127" s="479" t="s">
        <v>87</v>
      </c>
      <c r="C127" s="34">
        <f t="shared" ref="C127:I127" si="131">+C119+C111+C103</f>
        <v>6288</v>
      </c>
      <c r="D127" s="34">
        <f t="shared" si="131"/>
        <v>1820</v>
      </c>
      <c r="E127" s="34">
        <f t="shared" si="131"/>
        <v>7943</v>
      </c>
      <c r="F127" s="34">
        <f t="shared" si="131"/>
        <v>-5233</v>
      </c>
      <c r="G127" s="34">
        <f t="shared" si="131"/>
        <v>1440</v>
      </c>
      <c r="H127" s="34">
        <f t="shared" si="131"/>
        <v>2590</v>
      </c>
      <c r="I127" s="34">
        <f t="shared" si="131"/>
        <v>30</v>
      </c>
      <c r="J127" s="34"/>
      <c r="K127" s="34">
        <f t="shared" ref="K127:AC127" si="132">+K119+K111+K103</f>
        <v>300</v>
      </c>
      <c r="L127" s="34">
        <f t="shared" si="132"/>
        <v>-3175</v>
      </c>
      <c r="M127" s="34">
        <f t="shared" si="132"/>
        <v>235</v>
      </c>
      <c r="N127" s="34">
        <f t="shared" si="132"/>
        <v>-2593</v>
      </c>
      <c r="O127" s="34">
        <f t="shared" si="132"/>
        <v>-159</v>
      </c>
      <c r="P127" s="34">
        <f t="shared" si="132"/>
        <v>-2582</v>
      </c>
      <c r="Q127" s="34">
        <f t="shared" si="132"/>
        <v>4423</v>
      </c>
      <c r="R127" s="34">
        <f t="shared" si="132"/>
        <v>-242</v>
      </c>
      <c r="S127" s="34">
        <f t="shared" si="132"/>
        <v>3995</v>
      </c>
      <c r="T127" s="34">
        <f t="shared" si="132"/>
        <v>31</v>
      </c>
      <c r="U127" s="34">
        <f t="shared" si="132"/>
        <v>5124</v>
      </c>
      <c r="V127" s="34">
        <f t="shared" si="132"/>
        <v>-6560</v>
      </c>
      <c r="W127" s="34">
        <f t="shared" si="132"/>
        <v>570</v>
      </c>
      <c r="X127" s="34">
        <f t="shared" si="132"/>
        <v>2970</v>
      </c>
      <c r="Y127" s="34">
        <f t="shared" si="132"/>
        <v>-7407</v>
      </c>
      <c r="Z127" s="34">
        <f t="shared" si="132"/>
        <v>3897</v>
      </c>
      <c r="AA127" s="34">
        <f t="shared" si="132"/>
        <v>-245</v>
      </c>
      <c r="AB127" s="34">
        <f t="shared" si="132"/>
        <v>-2629</v>
      </c>
      <c r="AC127" s="34">
        <f t="shared" si="132"/>
        <v>2254</v>
      </c>
      <c r="AD127" s="34"/>
      <c r="AE127" s="34" t="e">
        <f>SUM(#REF!)</f>
        <v>#REF!</v>
      </c>
      <c r="AF127" s="34">
        <f>SUM(K127:K127)</f>
        <v>300</v>
      </c>
      <c r="AG127" s="34">
        <f>SUM(K127:L127)</f>
        <v>-2875</v>
      </c>
      <c r="AH127" s="34">
        <f>SUM(K127:M127)</f>
        <v>-2640</v>
      </c>
      <c r="AI127" s="34">
        <f t="shared" si="129"/>
        <v>-5233</v>
      </c>
      <c r="AJ127" s="34">
        <f t="shared" si="129"/>
        <v>-5692</v>
      </c>
      <c r="AK127" s="34">
        <f t="shared" si="129"/>
        <v>-5099</v>
      </c>
      <c r="AL127" s="34">
        <f t="shared" si="129"/>
        <v>-911</v>
      </c>
      <c r="AM127" s="34">
        <f t="shared" si="129"/>
        <v>1440</v>
      </c>
      <c r="AN127" s="34">
        <f t="shared" si="129"/>
        <v>5594</v>
      </c>
      <c r="AO127" s="34">
        <f t="shared" si="130"/>
        <v>8207</v>
      </c>
      <c r="AP127" s="34">
        <f t="shared" si="130"/>
        <v>8908</v>
      </c>
      <c r="AQ127" s="34">
        <f t="shared" si="130"/>
        <v>2590</v>
      </c>
      <c r="AR127" s="34">
        <f t="shared" si="130"/>
        <v>-835</v>
      </c>
      <c r="AS127" s="34">
        <f t="shared" si="130"/>
        <v>2104</v>
      </c>
      <c r="AT127" s="34">
        <f t="shared" si="130"/>
        <v>-10427</v>
      </c>
      <c r="AU127" s="34">
        <f t="shared" si="130"/>
        <v>30</v>
      </c>
      <c r="AV127" s="34">
        <f t="shared" si="130"/>
        <v>-785</v>
      </c>
      <c r="AW127" s="34">
        <f t="shared" si="130"/>
        <v>-6384</v>
      </c>
      <c r="AX127" s="507">
        <f t="shared" si="130"/>
        <v>3277</v>
      </c>
      <c r="AY127" s="12"/>
      <c r="AZ127" s="50"/>
    </row>
    <row r="128" spans="2:52">
      <c r="B128" s="171" t="s">
        <v>254</v>
      </c>
      <c r="C128" s="167">
        <f t="shared" ref="C128:I128" si="133">SUM(C124:C127)</f>
        <v>16701</v>
      </c>
      <c r="D128" s="167">
        <f t="shared" si="133"/>
        <v>18498</v>
      </c>
      <c r="E128" s="167">
        <f t="shared" si="133"/>
        <v>26465</v>
      </c>
      <c r="F128" s="167">
        <f t="shared" si="133"/>
        <v>20945</v>
      </c>
      <c r="G128" s="167">
        <f t="shared" si="133"/>
        <v>21879</v>
      </c>
      <c r="H128" s="167">
        <f t="shared" si="133"/>
        <v>24048</v>
      </c>
      <c r="I128" s="167">
        <f t="shared" si="133"/>
        <v>23466</v>
      </c>
      <c r="J128" s="34"/>
      <c r="K128" s="167">
        <f t="shared" ref="K128:AC128" si="134">SUM(K124:K127)</f>
        <v>26622</v>
      </c>
      <c r="L128" s="167">
        <f t="shared" si="134"/>
        <v>23630</v>
      </c>
      <c r="M128" s="167">
        <f t="shared" si="134"/>
        <v>23719</v>
      </c>
      <c r="N128" s="167">
        <f t="shared" si="134"/>
        <v>20945</v>
      </c>
      <c r="O128" s="167">
        <f t="shared" si="134"/>
        <v>20886</v>
      </c>
      <c r="P128" s="167">
        <f t="shared" si="134"/>
        <v>17936</v>
      </c>
      <c r="Q128" s="167">
        <f t="shared" si="134"/>
        <v>21984</v>
      </c>
      <c r="R128" s="167">
        <f t="shared" si="134"/>
        <v>21879</v>
      </c>
      <c r="S128" s="167">
        <f t="shared" si="134"/>
        <v>25924</v>
      </c>
      <c r="T128" s="167">
        <f t="shared" si="134"/>
        <v>25929</v>
      </c>
      <c r="U128" s="167">
        <f t="shared" si="134"/>
        <v>30702</v>
      </c>
      <c r="V128" s="167">
        <f t="shared" si="134"/>
        <v>24048</v>
      </c>
      <c r="W128" s="167">
        <f t="shared" si="134"/>
        <v>24493</v>
      </c>
      <c r="X128" s="167">
        <f t="shared" si="134"/>
        <v>27225</v>
      </c>
      <c r="Y128" s="167">
        <f t="shared" si="134"/>
        <v>19959</v>
      </c>
      <c r="Z128" s="167">
        <f t="shared" si="134"/>
        <v>23466</v>
      </c>
      <c r="AA128" s="167">
        <f t="shared" si="134"/>
        <v>23264</v>
      </c>
      <c r="AB128" s="167">
        <f t="shared" si="134"/>
        <v>21036</v>
      </c>
      <c r="AC128" s="167">
        <f t="shared" si="134"/>
        <v>23090</v>
      </c>
      <c r="AD128" s="34"/>
      <c r="AE128" s="506" t="e">
        <f t="shared" ref="AE128:AL128" si="135">SUM(AE124:AE127)</f>
        <v>#REF!</v>
      </c>
      <c r="AF128" s="506" t="e">
        <f t="shared" si="135"/>
        <v>#REF!</v>
      </c>
      <c r="AG128" s="506" t="e">
        <f t="shared" si="135"/>
        <v>#REF!</v>
      </c>
      <c r="AH128" s="506" t="e">
        <f t="shared" si="135"/>
        <v>#REF!</v>
      </c>
      <c r="AI128" s="506" t="e">
        <f t="shared" si="135"/>
        <v>#REF!</v>
      </c>
      <c r="AJ128" s="506">
        <f t="shared" si="135"/>
        <v>20886</v>
      </c>
      <c r="AK128" s="506">
        <f t="shared" si="135"/>
        <v>17936</v>
      </c>
      <c r="AL128" s="506">
        <f t="shared" si="135"/>
        <v>21984</v>
      </c>
      <c r="AM128" s="506">
        <f t="shared" ref="AM128:AX128" si="136">SUM(AM124:AM127)</f>
        <v>21879</v>
      </c>
      <c r="AN128" s="506">
        <f t="shared" si="136"/>
        <v>25924</v>
      </c>
      <c r="AO128" s="506">
        <f t="shared" si="136"/>
        <v>25929</v>
      </c>
      <c r="AP128" s="506">
        <f t="shared" si="136"/>
        <v>30702</v>
      </c>
      <c r="AQ128" s="506">
        <f t="shared" si="136"/>
        <v>24048</v>
      </c>
      <c r="AR128" s="506">
        <f t="shared" si="136"/>
        <v>24493</v>
      </c>
      <c r="AS128" s="506">
        <f t="shared" si="136"/>
        <v>27225</v>
      </c>
      <c r="AT128" s="506">
        <f t="shared" si="136"/>
        <v>19959</v>
      </c>
      <c r="AU128" s="506">
        <f t="shared" si="136"/>
        <v>23466</v>
      </c>
      <c r="AV128" s="506">
        <f t="shared" si="136"/>
        <v>23264</v>
      </c>
      <c r="AW128" s="506">
        <f t="shared" si="136"/>
        <v>21036</v>
      </c>
      <c r="AX128" s="510">
        <f t="shared" si="136"/>
        <v>23090</v>
      </c>
      <c r="AY128" s="12"/>
      <c r="AZ128" s="50"/>
    </row>
    <row r="129" spans="2:52" ht="5.0999999999999996" customHeight="1">
      <c r="B129" s="172"/>
      <c r="C129" s="71"/>
      <c r="D129" s="71"/>
      <c r="E129" s="71"/>
      <c r="F129" s="71"/>
      <c r="G129" s="71"/>
      <c r="H129" s="71"/>
      <c r="I129" s="71"/>
      <c r="J129" s="34"/>
      <c r="K129" s="71"/>
      <c r="L129" s="71"/>
      <c r="M129" s="71"/>
      <c r="N129" s="71"/>
      <c r="O129" s="71"/>
      <c r="P129" s="71"/>
      <c r="Q129" s="71"/>
      <c r="R129" s="71"/>
      <c r="S129" s="71"/>
      <c r="T129" s="71"/>
      <c r="U129" s="71"/>
      <c r="V129" s="71"/>
      <c r="W129" s="71"/>
      <c r="X129" s="71"/>
      <c r="Y129" s="71"/>
      <c r="Z129" s="71"/>
      <c r="AA129" s="71"/>
      <c r="AB129" s="71"/>
      <c r="AC129" s="71"/>
      <c r="AE129" s="12"/>
      <c r="AF129" s="12"/>
      <c r="AG129" s="12"/>
      <c r="AH129" s="12"/>
      <c r="AI129" s="12"/>
      <c r="AJ129" s="12"/>
      <c r="AK129" s="12"/>
      <c r="AL129" s="12"/>
      <c r="AM129" s="12"/>
      <c r="AN129" s="12"/>
      <c r="AO129" s="12"/>
      <c r="AP129" s="12"/>
      <c r="AQ129" s="12"/>
      <c r="AR129" s="12"/>
      <c r="AS129" s="12"/>
      <c r="AT129" s="12"/>
      <c r="AU129" s="12"/>
      <c r="AV129" s="12"/>
      <c r="AW129" s="173"/>
      <c r="AX129" s="173"/>
      <c r="AY129" s="12"/>
      <c r="AZ129" s="50"/>
    </row>
    <row r="130" spans="2:52">
      <c r="B130" s="513" t="s">
        <v>563</v>
      </c>
      <c r="C130" s="169">
        <f t="shared" ref="C130:I130" si="137">C128-C42</f>
        <v>0</v>
      </c>
      <c r="D130" s="169">
        <f t="shared" si="137"/>
        <v>0</v>
      </c>
      <c r="E130" s="169">
        <f t="shared" si="137"/>
        <v>0</v>
      </c>
      <c r="F130" s="169">
        <f t="shared" si="137"/>
        <v>0</v>
      </c>
      <c r="G130" s="169">
        <f t="shared" si="137"/>
        <v>0</v>
      </c>
      <c r="H130" s="169">
        <f t="shared" si="137"/>
        <v>0</v>
      </c>
      <c r="I130" s="169">
        <f t="shared" si="137"/>
        <v>0</v>
      </c>
      <c r="J130" s="170"/>
      <c r="K130" s="169">
        <f t="shared" ref="K130:AC130" si="138">K128-K42</f>
        <v>0</v>
      </c>
      <c r="L130" s="169">
        <f t="shared" si="138"/>
        <v>0</v>
      </c>
      <c r="M130" s="169">
        <f t="shared" si="138"/>
        <v>0</v>
      </c>
      <c r="N130" s="169">
        <f t="shared" si="138"/>
        <v>0</v>
      </c>
      <c r="O130" s="169">
        <f t="shared" si="138"/>
        <v>0</v>
      </c>
      <c r="P130" s="169">
        <f t="shared" si="138"/>
        <v>0</v>
      </c>
      <c r="Q130" s="169">
        <f t="shared" si="138"/>
        <v>0</v>
      </c>
      <c r="R130" s="169">
        <f t="shared" si="138"/>
        <v>0</v>
      </c>
      <c r="S130" s="169">
        <f t="shared" si="138"/>
        <v>0</v>
      </c>
      <c r="T130" s="169">
        <f t="shared" si="138"/>
        <v>0</v>
      </c>
      <c r="U130" s="169">
        <f t="shared" si="138"/>
        <v>0</v>
      </c>
      <c r="V130" s="169">
        <f t="shared" si="138"/>
        <v>0</v>
      </c>
      <c r="W130" s="169">
        <f t="shared" si="138"/>
        <v>0</v>
      </c>
      <c r="X130" s="169">
        <f t="shared" si="138"/>
        <v>0</v>
      </c>
      <c r="Y130" s="169">
        <f t="shared" si="138"/>
        <v>0</v>
      </c>
      <c r="Z130" s="169">
        <f t="shared" si="138"/>
        <v>0</v>
      </c>
      <c r="AA130" s="169">
        <f t="shared" si="138"/>
        <v>0</v>
      </c>
      <c r="AB130" s="169">
        <f t="shared" si="138"/>
        <v>0</v>
      </c>
      <c r="AC130" s="169">
        <f t="shared" si="138"/>
        <v>0</v>
      </c>
      <c r="AD130" s="169"/>
      <c r="AE130" s="169" t="e">
        <f t="shared" ref="AE130:AX130" si="139">AE128-AE42</f>
        <v>#REF!</v>
      </c>
      <c r="AF130" s="169" t="e">
        <f t="shared" si="139"/>
        <v>#REF!</v>
      </c>
      <c r="AG130" s="169" t="e">
        <f t="shared" si="139"/>
        <v>#REF!</v>
      </c>
      <c r="AH130" s="169" t="e">
        <f t="shared" si="139"/>
        <v>#REF!</v>
      </c>
      <c r="AI130" s="169" t="e">
        <f t="shared" si="139"/>
        <v>#REF!</v>
      </c>
      <c r="AJ130" s="169">
        <f t="shared" si="139"/>
        <v>0</v>
      </c>
      <c r="AK130" s="169">
        <f t="shared" si="139"/>
        <v>0</v>
      </c>
      <c r="AL130" s="169">
        <f t="shared" si="139"/>
        <v>0</v>
      </c>
      <c r="AM130" s="169">
        <f t="shared" si="139"/>
        <v>0</v>
      </c>
      <c r="AN130" s="169">
        <f t="shared" si="139"/>
        <v>0</v>
      </c>
      <c r="AO130" s="169">
        <f t="shared" si="139"/>
        <v>0</v>
      </c>
      <c r="AP130" s="169">
        <f t="shared" si="139"/>
        <v>0</v>
      </c>
      <c r="AQ130" s="169">
        <f t="shared" si="139"/>
        <v>0</v>
      </c>
      <c r="AR130" s="169">
        <f t="shared" si="139"/>
        <v>0</v>
      </c>
      <c r="AS130" s="169">
        <f t="shared" si="139"/>
        <v>0</v>
      </c>
      <c r="AT130" s="169">
        <f t="shared" si="139"/>
        <v>0</v>
      </c>
      <c r="AU130" s="169">
        <f t="shared" si="139"/>
        <v>0</v>
      </c>
      <c r="AV130" s="169">
        <f t="shared" si="139"/>
        <v>0</v>
      </c>
      <c r="AW130" s="169">
        <f t="shared" si="139"/>
        <v>0</v>
      </c>
      <c r="AX130" s="511">
        <f t="shared" si="139"/>
        <v>0</v>
      </c>
      <c r="AY130" s="12"/>
      <c r="AZ130" s="50"/>
    </row>
    <row r="131" spans="2:52" ht="5.0999999999999996" customHeight="1">
      <c r="B131" s="8"/>
      <c r="C131" s="71"/>
      <c r="D131" s="71"/>
      <c r="E131" s="71"/>
      <c r="F131" s="71"/>
      <c r="G131" s="71"/>
      <c r="H131" s="71"/>
      <c r="I131" s="71"/>
      <c r="J131" s="34"/>
      <c r="K131" s="71"/>
      <c r="L131" s="71"/>
      <c r="M131" s="71"/>
      <c r="N131" s="71"/>
      <c r="O131" s="71"/>
      <c r="P131" s="71"/>
      <c r="Q131" s="71"/>
      <c r="R131" s="71"/>
      <c r="S131" s="71"/>
      <c r="T131" s="71"/>
      <c r="U131" s="71"/>
      <c r="V131" s="71"/>
      <c r="W131" s="71"/>
      <c r="X131" s="71"/>
      <c r="Y131" s="71"/>
      <c r="Z131" s="71"/>
      <c r="AA131" s="71"/>
      <c r="AB131" s="71"/>
      <c r="AC131" s="71"/>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50"/>
    </row>
    <row r="132" spans="2:52" ht="12.75" customHeight="1">
      <c r="B132" s="79" t="s">
        <v>88</v>
      </c>
      <c r="C132" s="67"/>
      <c r="D132" s="67"/>
      <c r="E132" s="67"/>
      <c r="F132" s="67"/>
      <c r="G132" s="67"/>
      <c r="H132" s="67"/>
      <c r="I132" s="67"/>
      <c r="J132" s="12"/>
      <c r="K132" s="67"/>
      <c r="L132" s="67"/>
      <c r="M132" s="67"/>
      <c r="N132" s="67"/>
      <c r="O132" s="67"/>
      <c r="P132" s="67"/>
      <c r="Q132" s="67"/>
      <c r="R132" s="67"/>
      <c r="S132" s="67"/>
      <c r="T132" s="67"/>
      <c r="U132" s="67"/>
      <c r="V132" s="67"/>
      <c r="W132" s="67"/>
      <c r="X132" s="67"/>
      <c r="Y132" s="67"/>
      <c r="Z132" s="67"/>
      <c r="AA132" s="89"/>
      <c r="AB132" s="67"/>
      <c r="AC132" s="67"/>
      <c r="AE132" s="67"/>
      <c r="AF132" s="67"/>
      <c r="AG132" s="67"/>
      <c r="AH132" s="67"/>
      <c r="AI132" s="67"/>
      <c r="AJ132" s="67"/>
      <c r="AK132" s="67"/>
      <c r="AL132" s="67"/>
      <c r="AM132" s="67"/>
      <c r="AN132" s="67"/>
      <c r="AO132" s="67"/>
      <c r="AP132" s="67"/>
      <c r="AQ132" s="67"/>
      <c r="AR132" s="67"/>
      <c r="AS132" s="67"/>
      <c r="AT132" s="67"/>
      <c r="AU132" s="67"/>
      <c r="AV132" s="67"/>
      <c r="AW132" s="67"/>
      <c r="AX132" s="67"/>
      <c r="AY132" s="72"/>
      <c r="AZ132" s="50"/>
    </row>
    <row r="133" spans="2:52" ht="12.75" customHeight="1">
      <c r="B133" s="8" t="s">
        <v>524</v>
      </c>
      <c r="C133" s="89">
        <v>5671</v>
      </c>
      <c r="D133" s="89">
        <v>8203</v>
      </c>
      <c r="E133" s="89">
        <v>4990</v>
      </c>
      <c r="F133" s="89">
        <v>13412</v>
      </c>
      <c r="G133" s="89">
        <v>18892</v>
      </c>
      <c r="H133" s="89">
        <v>19164</v>
      </c>
      <c r="I133" s="89">
        <v>18900</v>
      </c>
      <c r="J133" s="34"/>
      <c r="K133" s="34">
        <f>$F$133/4</f>
        <v>3353</v>
      </c>
      <c r="L133" s="34">
        <f>$F$133/4</f>
        <v>3353</v>
      </c>
      <c r="M133" s="34">
        <f>$F$133/4</f>
        <v>3353</v>
      </c>
      <c r="N133" s="34">
        <f>SUM(F133-SUM(K133:M133))</f>
        <v>3353</v>
      </c>
      <c r="O133" s="34">
        <f>$G$133/4</f>
        <v>4723</v>
      </c>
      <c r="P133" s="34">
        <f>$G$133/4</f>
        <v>4723</v>
      </c>
      <c r="Q133" s="34">
        <f>$G$133/4</f>
        <v>4723</v>
      </c>
      <c r="R133" s="34">
        <f>SUM(G133-SUM(O133:Q133))</f>
        <v>4723</v>
      </c>
      <c r="S133" s="34">
        <f>$H$133/4</f>
        <v>4791</v>
      </c>
      <c r="T133" s="34">
        <f>$H$133/4</f>
        <v>4791</v>
      </c>
      <c r="U133" s="34">
        <f>$H$133/4</f>
        <v>4791</v>
      </c>
      <c r="V133" s="34">
        <f>SUM(H133-SUM(S133:U133))</f>
        <v>4791</v>
      </c>
      <c r="W133" s="34">
        <f>$I$133/4</f>
        <v>4725</v>
      </c>
      <c r="X133" s="34">
        <f>$I$133/4</f>
        <v>4725</v>
      </c>
      <c r="Y133" s="34">
        <f>$I$133/4</f>
        <v>4725</v>
      </c>
      <c r="Z133" s="34">
        <f>SUM(I133-SUM(W133:Y133))</f>
        <v>4725</v>
      </c>
      <c r="AA133" s="34">
        <f>Z133</f>
        <v>4725</v>
      </c>
      <c r="AB133" s="34">
        <f>AA133</f>
        <v>4725</v>
      </c>
      <c r="AC133" s="34">
        <f>AB133</f>
        <v>4725</v>
      </c>
      <c r="AD133" s="34"/>
      <c r="AE133" s="34" t="e">
        <f>SUM(#REF!)</f>
        <v>#REF!</v>
      </c>
      <c r="AF133" s="34">
        <f>SUM(K133:K133)</f>
        <v>3353</v>
      </c>
      <c r="AG133" s="34">
        <f>SUM(K133:L133)</f>
        <v>6706</v>
      </c>
      <c r="AH133" s="34">
        <f>SUM(K133:M133)</f>
        <v>10059</v>
      </c>
      <c r="AI133" s="34">
        <f t="shared" ref="AI133:AN133" si="140">SUM(K133:N133)</f>
        <v>13412</v>
      </c>
      <c r="AJ133" s="34">
        <f t="shared" si="140"/>
        <v>14782</v>
      </c>
      <c r="AK133" s="34">
        <f t="shared" si="140"/>
        <v>16152</v>
      </c>
      <c r="AL133" s="34">
        <f t="shared" si="140"/>
        <v>17522</v>
      </c>
      <c r="AM133" s="34">
        <f t="shared" si="140"/>
        <v>18892</v>
      </c>
      <c r="AN133" s="34">
        <f t="shared" si="140"/>
        <v>18960</v>
      </c>
      <c r="AO133" s="34">
        <f t="shared" ref="AO133:AX133" si="141">SUM(Q133:T133)</f>
        <v>19028</v>
      </c>
      <c r="AP133" s="34">
        <f t="shared" si="141"/>
        <v>19096</v>
      </c>
      <c r="AQ133" s="34">
        <f t="shared" si="141"/>
        <v>19164</v>
      </c>
      <c r="AR133" s="34">
        <f t="shared" si="141"/>
        <v>19098</v>
      </c>
      <c r="AS133" s="34">
        <f t="shared" si="141"/>
        <v>19032</v>
      </c>
      <c r="AT133" s="34">
        <f t="shared" si="141"/>
        <v>18966</v>
      </c>
      <c r="AU133" s="34">
        <f t="shared" si="141"/>
        <v>18900</v>
      </c>
      <c r="AV133" s="34">
        <f t="shared" si="141"/>
        <v>18900</v>
      </c>
      <c r="AW133" s="34">
        <f t="shared" si="141"/>
        <v>18900</v>
      </c>
      <c r="AX133" s="34">
        <f t="shared" si="141"/>
        <v>18900</v>
      </c>
      <c r="AY133" s="12"/>
      <c r="AZ133" s="50"/>
    </row>
    <row r="134" spans="2:52" ht="5.0999999999999996" customHeight="1" thickBot="1">
      <c r="B134" s="80"/>
      <c r="C134" s="81"/>
      <c r="D134" s="81"/>
      <c r="E134" s="81"/>
      <c r="F134" s="81"/>
      <c r="G134" s="81"/>
      <c r="H134" s="81"/>
      <c r="I134" s="81"/>
      <c r="J134" s="80"/>
      <c r="K134" s="80"/>
      <c r="L134" s="80"/>
      <c r="M134" s="80"/>
      <c r="N134" s="80"/>
      <c r="O134" s="80"/>
      <c r="P134" s="80"/>
      <c r="Q134" s="80"/>
      <c r="R134" s="80"/>
      <c r="S134" s="80"/>
      <c r="T134" s="80"/>
      <c r="U134" s="80"/>
      <c r="V134" s="80"/>
      <c r="W134" s="80"/>
      <c r="X134" s="80"/>
      <c r="Y134" s="80"/>
      <c r="Z134" s="80"/>
      <c r="AA134" s="80"/>
      <c r="AB134" s="80"/>
      <c r="AC134" s="80"/>
      <c r="AD134" s="80"/>
      <c r="AE134" s="80"/>
      <c r="AF134" s="80"/>
      <c r="AG134" s="80"/>
      <c r="AH134" s="80"/>
      <c r="AI134" s="80"/>
      <c r="AJ134" s="80"/>
      <c r="AK134" s="80"/>
      <c r="AL134" s="80"/>
      <c r="AM134" s="80"/>
      <c r="AN134" s="80"/>
      <c r="AO134" s="80"/>
      <c r="AP134" s="80"/>
      <c r="AQ134" s="80"/>
      <c r="AR134" s="80"/>
      <c r="AS134" s="80"/>
      <c r="AT134" s="80"/>
      <c r="AU134" s="80"/>
      <c r="AV134" s="80"/>
      <c r="AW134" s="80"/>
      <c r="AX134" s="80"/>
      <c r="AZ134" s="50"/>
    </row>
    <row r="135" spans="2:52" ht="12.75" customHeight="1">
      <c r="B135" s="579" t="s">
        <v>525</v>
      </c>
      <c r="C135" s="579"/>
      <c r="D135" s="579"/>
      <c r="E135" s="579"/>
      <c r="F135" s="579"/>
      <c r="G135" s="579"/>
      <c r="H135" s="579"/>
      <c r="I135" s="579"/>
      <c r="J135" s="579"/>
      <c r="K135" s="579"/>
      <c r="L135" s="579"/>
      <c r="M135" s="579"/>
      <c r="N135" s="579"/>
      <c r="O135" s="579"/>
      <c r="P135" s="579"/>
      <c r="Q135" s="579"/>
      <c r="R135" s="579"/>
      <c r="S135" s="579"/>
      <c r="T135" s="579"/>
      <c r="U135" s="579"/>
      <c r="V135" s="579"/>
      <c r="W135" s="579"/>
      <c r="X135" s="579"/>
      <c r="Y135" s="579"/>
      <c r="Z135" s="579"/>
      <c r="AA135" s="579"/>
      <c r="AB135" s="579"/>
      <c r="AC135" s="579"/>
      <c r="AD135" s="579"/>
      <c r="AE135" s="579"/>
      <c r="AF135" s="579"/>
      <c r="AG135" s="579"/>
      <c r="AH135" s="579"/>
      <c r="AI135" s="579"/>
      <c r="AJ135" s="579"/>
      <c r="AK135" s="579"/>
      <c r="AL135" s="579"/>
      <c r="AM135" s="579"/>
      <c r="AN135" s="579"/>
      <c r="AO135" s="579"/>
      <c r="AP135" s="579"/>
      <c r="AQ135" s="579"/>
      <c r="AR135" s="579"/>
      <c r="AS135" s="579"/>
      <c r="AT135" s="579"/>
      <c r="AU135" s="579"/>
      <c r="AV135" s="579"/>
      <c r="AW135" s="579"/>
      <c r="AX135" s="477"/>
      <c r="AZ135" s="50"/>
    </row>
    <row r="136" spans="2:52" ht="12.75" customHeight="1">
      <c r="B136" s="58"/>
      <c r="C136" s="73"/>
      <c r="D136" s="73"/>
      <c r="E136" s="73"/>
      <c r="F136" s="73"/>
      <c r="G136" s="73"/>
      <c r="H136" s="73"/>
      <c r="I136" s="73"/>
    </row>
    <row r="137" spans="2:52" ht="12.75" customHeight="1">
      <c r="C137" s="61"/>
      <c r="D137" s="61"/>
      <c r="E137" s="61"/>
      <c r="F137" s="61"/>
      <c r="G137" s="61"/>
      <c r="H137" s="61"/>
      <c r="I137" s="61"/>
    </row>
    <row r="138" spans="2:52" ht="12.75" customHeight="1">
      <c r="C138" s="61"/>
      <c r="D138" s="61"/>
      <c r="E138" s="61"/>
      <c r="F138" s="61"/>
      <c r="G138" s="61"/>
      <c r="H138" s="61"/>
      <c r="I138" s="61"/>
    </row>
    <row r="139" spans="2:52" ht="12.75" customHeight="1">
      <c r="C139" s="61"/>
      <c r="D139" s="61"/>
      <c r="E139" s="61"/>
      <c r="F139" s="61"/>
      <c r="G139" s="61"/>
      <c r="H139" s="61"/>
      <c r="I139" s="61"/>
    </row>
    <row r="140" spans="2:52" ht="12.75" customHeight="1">
      <c r="C140" s="61"/>
      <c r="D140" s="61"/>
      <c r="E140" s="61"/>
      <c r="F140" s="61"/>
      <c r="G140" s="61"/>
      <c r="H140" s="61"/>
      <c r="I140" s="61"/>
    </row>
    <row r="141" spans="2:52" ht="12.75" customHeight="1">
      <c r="C141" s="61"/>
      <c r="D141" s="61"/>
      <c r="E141" s="61"/>
      <c r="F141" s="61"/>
      <c r="G141" s="61"/>
      <c r="H141" s="61"/>
      <c r="I141" s="61"/>
      <c r="K141" s="168"/>
      <c r="L141" s="168"/>
      <c r="M141" s="168"/>
      <c r="N141" s="168"/>
      <c r="O141" s="168"/>
      <c r="P141" s="168"/>
      <c r="Q141" s="168"/>
      <c r="R141" s="168"/>
      <c r="S141" s="168"/>
      <c r="T141" s="168"/>
      <c r="U141" s="168"/>
      <c r="V141" s="168"/>
      <c r="W141" s="168"/>
      <c r="X141" s="168"/>
    </row>
    <row r="142" spans="2:52" ht="12.75" customHeight="1">
      <c r="C142" s="61"/>
      <c r="D142" s="61"/>
      <c r="E142" s="61"/>
      <c r="F142" s="61"/>
      <c r="G142" s="61"/>
      <c r="H142" s="61"/>
      <c r="I142" s="61"/>
    </row>
    <row r="143" spans="2:52" ht="12.75" customHeight="1">
      <c r="C143" s="61"/>
      <c r="D143" s="61"/>
      <c r="E143" s="61"/>
      <c r="F143" s="61"/>
      <c r="G143" s="61"/>
      <c r="H143" s="61"/>
      <c r="I143" s="61"/>
      <c r="K143" s="168"/>
      <c r="L143" s="168"/>
      <c r="M143" s="168"/>
      <c r="N143" s="168"/>
      <c r="O143" s="168"/>
      <c r="P143" s="168"/>
      <c r="Q143" s="168"/>
      <c r="R143" s="168"/>
      <c r="S143" s="168"/>
      <c r="T143" s="168"/>
      <c r="U143" s="168"/>
      <c r="V143" s="168"/>
      <c r="W143" s="168"/>
      <c r="X143" s="168"/>
    </row>
    <row r="144" spans="2:52">
      <c r="K144" s="168"/>
      <c r="L144" s="168"/>
      <c r="M144" s="168"/>
      <c r="N144" s="168"/>
      <c r="O144" s="168"/>
      <c r="P144" s="168"/>
      <c r="Q144" s="168"/>
      <c r="R144" s="168"/>
      <c r="S144" s="168"/>
      <c r="T144" s="168"/>
      <c r="U144" s="168"/>
      <c r="V144" s="168"/>
      <c r="W144" s="168"/>
      <c r="X144" s="168"/>
    </row>
    <row r="145" spans="11:24">
      <c r="K145" s="168"/>
      <c r="L145" s="168"/>
      <c r="M145" s="168"/>
      <c r="N145" s="168"/>
      <c r="O145" s="168"/>
      <c r="P145" s="168"/>
      <c r="Q145" s="168"/>
      <c r="R145" s="168"/>
      <c r="S145" s="168"/>
      <c r="T145" s="168"/>
      <c r="U145" s="168"/>
      <c r="V145" s="168"/>
      <c r="W145" s="168"/>
      <c r="X145" s="168"/>
    </row>
    <row r="147" spans="11:24">
      <c r="K147" s="168"/>
      <c r="L147" s="168"/>
      <c r="M147" s="168"/>
      <c r="N147" s="168"/>
      <c r="O147" s="168"/>
      <c r="P147" s="168"/>
      <c r="Q147" s="168"/>
      <c r="R147" s="168"/>
      <c r="S147" s="168"/>
      <c r="T147" s="168"/>
      <c r="U147" s="168"/>
      <c r="V147" s="168"/>
      <c r="W147" s="168"/>
      <c r="X147" s="168"/>
    </row>
    <row r="148" spans="11:24">
      <c r="K148" s="168"/>
      <c r="L148" s="168"/>
      <c r="M148" s="168"/>
      <c r="N148" s="168"/>
      <c r="O148" s="168"/>
      <c r="P148" s="168"/>
      <c r="Q148" s="168"/>
      <c r="R148" s="168"/>
      <c r="S148" s="168"/>
      <c r="T148" s="168"/>
      <c r="U148" s="168"/>
      <c r="V148" s="168"/>
      <c r="W148" s="168"/>
      <c r="X148" s="168"/>
    </row>
  </sheetData>
  <mergeCells count="4">
    <mergeCell ref="B135:AW135"/>
    <mergeCell ref="AZ6:AZ8"/>
    <mergeCell ref="AZ37:AZ39"/>
    <mergeCell ref="AZ82:AZ84"/>
  </mergeCells>
  <dataValidations count="1">
    <dataValidation type="list" allowBlank="1" showInputMessage="1" showErrorMessage="1" sqref="B4" xr:uid="{95A5AB56-0215-4703-953B-CB353CAB6883}">
      <formula1>"$ bns except per share, $ mm except per share,$ in thousands except per share"</formula1>
    </dataValidation>
  </dataValidations>
  <pageMargins left="0.7" right="0.7" top="0.75" bottom="0.75" header="0.3" footer="0.3"/>
  <ignoredErrors>
    <ignoredError sqref="AW14:AW16 AW32 J46 AI22:AU30 W106 Z106:AA106 W109:W110 Z109:AA110 AM106:AS106" formulaRange="1"/>
    <ignoredError sqref="AZ112:AZ113 AZ104:AZ105 C15:I16 C22:I23 G17:I17 G18:I18 G19:I19 C27:I29 G24:I24 G25:I25 G26:I26 C31:I33 G30:I30 K15:AC16 K21:AC23 N17 N18 N19 K31:AC33 N30 L20:V20 K27:AC29 N24 N26 Z17 Z18 Z19 X20:AC20 Z30 Z24 Z25 Z26 N25 K34:AC35 C34:I35 AT34:AX35 R17 R18 R19 V19 R30 R26 R24 R25 V30 V26 V25 V24 V17 V18" evalError="1"/>
    <ignoredError sqref="K88:R8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0DE3B-E141-483B-A529-0B7542C29209}">
  <sheetPr>
    <tabColor theme="5" tint="-0.249977111117893"/>
  </sheetPr>
  <dimension ref="A1:AT73"/>
  <sheetViews>
    <sheetView showGridLines="0" zoomScale="115" zoomScaleNormal="115" workbookViewId="0">
      <selection activeCell="C22" sqref="C22"/>
    </sheetView>
  </sheetViews>
  <sheetFormatPr defaultRowHeight="14.25" outlineLevelRow="1" outlineLevelCol="1"/>
  <cols>
    <col min="1" max="1" width="1.75" bestFit="1" customWidth="1"/>
    <col min="2" max="2" width="47" bestFit="1" customWidth="1"/>
    <col min="3" max="6" width="8.625" customWidth="1" outlineLevel="1"/>
    <col min="7" max="9" width="8.625" bestFit="1" customWidth="1"/>
    <col min="10" max="10" width="1.625" customWidth="1"/>
    <col min="11" max="12" width="7.125" hidden="1" customWidth="1" outlineLevel="1"/>
    <col min="13" max="13" width="7.875" hidden="1" customWidth="1" outlineLevel="1"/>
    <col min="14" max="14" width="8.625" hidden="1" customWidth="1" outlineLevel="1"/>
    <col min="15" max="16" width="7.125" hidden="1" customWidth="1" outlineLevel="1"/>
    <col min="17" max="17" width="7.875" hidden="1" customWidth="1" outlineLevel="1"/>
    <col min="18" max="18" width="8.625" hidden="1" customWidth="1" outlineLevel="1"/>
    <col min="19" max="20" width="7.125" hidden="1" customWidth="1" outlineLevel="1"/>
    <col min="21" max="21" width="7.875" hidden="1" customWidth="1" outlineLevel="1"/>
    <col min="22" max="22" width="8.625" hidden="1" customWidth="1" outlineLevel="1"/>
    <col min="23" max="24" width="7.875" hidden="1" customWidth="1" outlineLevel="1"/>
    <col min="25" max="25" width="7.875" bestFit="1" customWidth="1" collapsed="1"/>
    <col min="26" max="26" width="8.625" bestFit="1" customWidth="1"/>
    <col min="27" max="29" width="7.875" bestFit="1" customWidth="1"/>
    <col min="30" max="30" width="1.625" customWidth="1"/>
    <col min="31" max="31" width="8.625" hidden="1" customWidth="1" outlineLevel="1"/>
    <col min="32" max="33" width="7.125" hidden="1" customWidth="1" outlineLevel="1"/>
    <col min="34" max="34" width="7.875" hidden="1" customWidth="1" outlineLevel="1"/>
    <col min="35" max="35" width="8.625" hidden="1" customWidth="1" outlineLevel="1"/>
    <col min="36" max="37" width="7.125" hidden="1" customWidth="1" outlineLevel="1"/>
    <col min="38" max="38" width="7.875" hidden="1" customWidth="1" outlineLevel="1"/>
    <col min="39" max="39" width="8.625" hidden="1" customWidth="1" outlineLevel="1"/>
    <col min="40" max="41" width="7.875" hidden="1" customWidth="1" outlineLevel="1"/>
    <col min="42" max="42" width="7.875" bestFit="1" customWidth="1" collapsed="1"/>
    <col min="43" max="43" width="8.625" hidden="1" customWidth="1" outlineLevel="1"/>
    <col min="44" max="45" width="7.875" hidden="1" customWidth="1" outlineLevel="1"/>
    <col min="46" max="46" width="7.875" bestFit="1" customWidth="1" collapsed="1"/>
  </cols>
  <sheetData>
    <row r="1" spans="1:46" s="5" customFormat="1" ht="12"/>
    <row r="2" spans="1:46" s="5" customFormat="1" ht="12.75" customHeight="1">
      <c r="B2" s="1" t="s">
        <v>470</v>
      </c>
      <c r="C2" s="371"/>
      <c r="D2" s="371"/>
      <c r="E2" s="371"/>
      <c r="F2" s="371"/>
      <c r="G2" s="371"/>
      <c r="H2" s="371"/>
      <c r="I2" s="371"/>
      <c r="J2" s="3"/>
      <c r="K2" s="371"/>
      <c r="L2" s="371"/>
      <c r="M2" s="371"/>
      <c r="N2" s="371"/>
      <c r="O2" s="371"/>
      <c r="P2" s="371"/>
      <c r="Q2" s="371"/>
      <c r="R2" s="371"/>
      <c r="S2" s="371"/>
      <c r="T2" s="371"/>
      <c r="U2" s="371"/>
      <c r="V2" s="371"/>
      <c r="W2" s="371"/>
      <c r="X2" s="371"/>
      <c r="Y2" s="371"/>
      <c r="Z2" s="371"/>
      <c r="AA2" s="371"/>
      <c r="AB2" s="371"/>
      <c r="AC2" s="371"/>
      <c r="AD2" s="3"/>
      <c r="AE2" s="371"/>
      <c r="AF2" s="371"/>
      <c r="AG2" s="371"/>
      <c r="AH2" s="371"/>
      <c r="AI2" s="371"/>
      <c r="AJ2" s="371"/>
      <c r="AK2" s="371"/>
      <c r="AL2" s="371"/>
      <c r="AM2" s="371"/>
      <c r="AN2" s="371"/>
      <c r="AO2" s="371"/>
      <c r="AP2" s="371"/>
      <c r="AQ2" s="371"/>
      <c r="AR2" s="371"/>
      <c r="AS2" s="371"/>
      <c r="AT2" s="371"/>
    </row>
    <row r="3" spans="1:46" s="5" customFormat="1" ht="12.75" customHeight="1">
      <c r="B3" s="6" t="s">
        <v>531</v>
      </c>
      <c r="C3" s="7"/>
      <c r="D3" s="7"/>
      <c r="E3" s="7"/>
      <c r="F3" s="7"/>
      <c r="G3" s="7"/>
      <c r="H3" s="7"/>
      <c r="I3" s="7"/>
      <c r="J3" s="3"/>
      <c r="K3" s="4"/>
      <c r="L3" s="4"/>
      <c r="M3" s="4"/>
      <c r="N3" s="4"/>
      <c r="O3" s="4"/>
      <c r="P3" s="4"/>
      <c r="Q3" s="4"/>
      <c r="R3" s="4"/>
      <c r="S3" s="4"/>
      <c r="T3" s="4"/>
      <c r="U3" s="4"/>
      <c r="V3" s="4"/>
      <c r="W3" s="4"/>
      <c r="X3" s="4"/>
      <c r="Y3" s="4"/>
      <c r="Z3" s="4"/>
      <c r="AA3" s="4"/>
      <c r="AB3" s="4"/>
      <c r="AC3" s="4"/>
      <c r="AD3" s="3"/>
      <c r="AE3" s="4"/>
      <c r="AF3" s="4"/>
      <c r="AG3" s="4"/>
      <c r="AH3" s="4"/>
      <c r="AI3" s="4"/>
      <c r="AJ3" s="4"/>
      <c r="AK3" s="4"/>
      <c r="AL3" s="4"/>
      <c r="AM3" s="4"/>
      <c r="AN3" s="4"/>
      <c r="AO3" s="4"/>
      <c r="AP3" s="4"/>
      <c r="AQ3" s="4"/>
      <c r="AR3" s="4"/>
      <c r="AS3" s="4"/>
      <c r="AT3" s="4"/>
    </row>
    <row r="4" spans="1:46" s="5" customFormat="1" ht="12.75" customHeight="1">
      <c r="B4" s="491" t="s">
        <v>536</v>
      </c>
      <c r="C4" s="3"/>
      <c r="D4" s="3"/>
      <c r="E4" s="3"/>
      <c r="F4" s="3"/>
      <c r="G4" s="3"/>
      <c r="H4" s="166"/>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5.0999999999999996" customHeight="1">
      <c r="B5" s="498"/>
      <c r="C5" s="356"/>
      <c r="D5" s="356"/>
      <c r="E5" s="356"/>
      <c r="F5" s="356"/>
      <c r="G5" s="356"/>
      <c r="H5" s="499"/>
      <c r="I5" s="356"/>
      <c r="J5" s="356"/>
      <c r="K5" s="356"/>
      <c r="L5" s="356"/>
      <c r="M5" s="356"/>
      <c r="N5" s="356"/>
      <c r="O5" s="356"/>
      <c r="P5" s="356"/>
      <c r="Q5" s="356"/>
      <c r="R5" s="356"/>
      <c r="S5" s="356"/>
      <c r="T5" s="356"/>
      <c r="U5" s="356"/>
      <c r="V5" s="356"/>
      <c r="W5" s="356"/>
      <c r="X5" s="356"/>
      <c r="Y5" s="356"/>
      <c r="Z5" s="356"/>
      <c r="AA5" s="356"/>
      <c r="AB5" s="356"/>
      <c r="AC5" s="356"/>
      <c r="AD5" s="356"/>
      <c r="AE5" s="356"/>
      <c r="AF5" s="356"/>
      <c r="AG5" s="356"/>
      <c r="AH5" s="356"/>
      <c r="AI5" s="356"/>
      <c r="AJ5" s="356"/>
      <c r="AK5" s="356"/>
      <c r="AL5" s="356"/>
      <c r="AM5" s="356"/>
      <c r="AN5" s="356"/>
      <c r="AO5" s="356"/>
      <c r="AP5" s="356"/>
      <c r="AQ5" s="356"/>
      <c r="AR5" s="356"/>
      <c r="AS5" s="356"/>
      <c r="AT5" s="356"/>
    </row>
    <row r="6" spans="1:46" s="5" customFormat="1" ht="12.75" customHeight="1">
      <c r="B6" s="38" t="s">
        <v>554</v>
      </c>
      <c r="C6" s="502">
        <v>1</v>
      </c>
      <c r="D6" s="356"/>
      <c r="E6" s="356"/>
      <c r="F6" s="356"/>
      <c r="G6" s="356"/>
      <c r="H6" s="499"/>
      <c r="I6" s="356"/>
      <c r="J6" s="356"/>
      <c r="K6" s="356"/>
      <c r="L6" s="356"/>
      <c r="M6" s="356"/>
      <c r="N6" s="356"/>
      <c r="O6" s="356"/>
      <c r="P6" s="356"/>
      <c r="Q6" s="356"/>
      <c r="R6" s="356"/>
      <c r="S6" s="356"/>
      <c r="T6" s="356"/>
      <c r="U6" s="356"/>
      <c r="V6" s="356"/>
      <c r="W6" s="356"/>
      <c r="X6" s="356"/>
      <c r="Y6" s="356"/>
      <c r="Z6" s="356"/>
      <c r="AA6" s="356"/>
      <c r="AB6" s="356"/>
      <c r="AC6" s="356"/>
      <c r="AD6" s="356"/>
      <c r="AE6" s="356"/>
      <c r="AF6" s="356"/>
      <c r="AG6" s="356"/>
      <c r="AH6" s="356"/>
      <c r="AI6" s="356"/>
      <c r="AJ6" s="356"/>
      <c r="AK6" s="356"/>
      <c r="AL6" s="356"/>
      <c r="AM6" s="356"/>
      <c r="AN6" s="356"/>
      <c r="AO6" s="356"/>
      <c r="AP6" s="356"/>
      <c r="AQ6" s="356"/>
      <c r="AR6" s="356"/>
      <c r="AS6" s="356"/>
      <c r="AT6" s="356"/>
    </row>
    <row r="7" spans="1:46" s="5" customFormat="1" ht="12.75" customHeight="1">
      <c r="B7" s="123" t="s">
        <v>558</v>
      </c>
      <c r="C7" s="503">
        <v>20</v>
      </c>
      <c r="D7" s="356"/>
      <c r="E7" s="356"/>
      <c r="F7" s="356"/>
      <c r="G7" s="356"/>
      <c r="H7" s="499"/>
      <c r="I7" s="356"/>
      <c r="J7" s="356"/>
      <c r="K7" s="356"/>
      <c r="L7" s="356"/>
      <c r="M7" s="356"/>
      <c r="N7" s="356"/>
      <c r="O7" s="356"/>
      <c r="P7" s="356"/>
      <c r="Q7" s="356"/>
      <c r="R7" s="356"/>
      <c r="S7" s="356"/>
      <c r="T7" s="356"/>
      <c r="U7" s="356"/>
      <c r="V7" s="356"/>
      <c r="W7" s="356"/>
      <c r="X7" s="356"/>
      <c r="Y7" s="356"/>
      <c r="Z7" s="356"/>
      <c r="AA7" s="356"/>
      <c r="AB7" s="356"/>
      <c r="AC7" s="356"/>
      <c r="AD7" s="356"/>
      <c r="AE7" s="356"/>
      <c r="AF7" s="356"/>
      <c r="AG7" s="356"/>
      <c r="AH7" s="356"/>
      <c r="AI7" s="356"/>
      <c r="AJ7" s="356"/>
      <c r="AK7" s="356"/>
      <c r="AL7" s="356"/>
      <c r="AM7" s="356"/>
      <c r="AN7" s="356"/>
      <c r="AO7" s="356"/>
      <c r="AP7" s="356"/>
      <c r="AQ7" s="356"/>
      <c r="AR7" s="356"/>
      <c r="AS7" s="356"/>
      <c r="AT7" s="356"/>
    </row>
    <row r="8" spans="1:46" s="5" customFormat="1" ht="12.75" customHeight="1">
      <c r="B8" s="123" t="s">
        <v>559</v>
      </c>
      <c r="C8" s="504" t="s">
        <v>41</v>
      </c>
      <c r="D8" s="356"/>
      <c r="E8" s="356"/>
      <c r="F8" s="356"/>
      <c r="G8" s="356"/>
      <c r="H8" s="499"/>
      <c r="I8" s="356"/>
      <c r="J8" s="356"/>
      <c r="K8" s="356"/>
      <c r="L8" s="356"/>
      <c r="M8" s="356"/>
      <c r="N8" s="356"/>
      <c r="O8" s="356"/>
      <c r="P8" s="356"/>
      <c r="Q8" s="356"/>
      <c r="R8" s="356"/>
      <c r="S8" s="356"/>
      <c r="T8" s="356"/>
      <c r="U8" s="356"/>
      <c r="V8" s="356"/>
      <c r="W8" s="356"/>
      <c r="X8" s="356"/>
      <c r="Y8" s="356"/>
      <c r="Z8" s="356"/>
      <c r="AA8" s="356"/>
      <c r="AB8" s="356"/>
      <c r="AC8" s="356"/>
      <c r="AD8" s="356"/>
      <c r="AE8" s="356"/>
      <c r="AF8" s="356"/>
      <c r="AG8" s="356"/>
      <c r="AH8" s="356"/>
      <c r="AI8" s="356"/>
      <c r="AJ8" s="356"/>
      <c r="AK8" s="356"/>
      <c r="AL8" s="356"/>
      <c r="AM8" s="356"/>
      <c r="AN8" s="356"/>
      <c r="AO8" s="356"/>
      <c r="AP8" s="356"/>
      <c r="AQ8" s="356"/>
      <c r="AR8" s="356"/>
      <c r="AS8" s="356"/>
      <c r="AT8" s="356"/>
    </row>
    <row r="9" spans="1:46" s="5" customFormat="1" ht="5.0999999999999996" customHeight="1"/>
    <row r="10" spans="1:46" s="5" customFormat="1" ht="12.75" customHeight="1">
      <c r="B10" s="1" t="s">
        <v>537</v>
      </c>
      <c r="C10" s="2"/>
      <c r="D10" s="2"/>
      <c r="E10" s="2"/>
      <c r="F10" s="2"/>
      <c r="G10" s="2" t="s">
        <v>0</v>
      </c>
      <c r="H10" s="2"/>
      <c r="I10" s="2"/>
      <c r="J10" s="3"/>
      <c r="K10" s="2"/>
      <c r="L10" s="2"/>
      <c r="M10" s="2"/>
      <c r="N10" s="2"/>
      <c r="O10" s="2" t="s">
        <v>1</v>
      </c>
      <c r="P10" s="2"/>
      <c r="Q10" s="2"/>
      <c r="R10" s="2"/>
      <c r="S10" s="2"/>
      <c r="T10" s="2"/>
      <c r="U10" s="2"/>
      <c r="V10" s="2"/>
      <c r="W10" s="2"/>
      <c r="X10" s="2"/>
      <c r="Y10" s="2" t="s">
        <v>1</v>
      </c>
      <c r="Z10" s="2"/>
      <c r="AA10" s="2"/>
      <c r="AB10" s="2"/>
      <c r="AC10" s="2"/>
      <c r="AD10" s="3"/>
      <c r="AE10" s="2"/>
      <c r="AF10" s="2"/>
      <c r="AG10" s="2"/>
      <c r="AH10" s="2"/>
      <c r="AI10" s="2"/>
      <c r="AJ10" s="2"/>
      <c r="AK10" s="2"/>
      <c r="AL10" s="2"/>
      <c r="AM10" s="2"/>
      <c r="AN10" s="2"/>
      <c r="AO10" s="2" t="s">
        <v>10</v>
      </c>
      <c r="AP10" s="2" t="s">
        <v>10</v>
      </c>
      <c r="AQ10" s="2"/>
      <c r="AR10" s="2"/>
      <c r="AS10" s="2"/>
      <c r="AT10" s="2"/>
    </row>
    <row r="11" spans="1:46" s="5" customFormat="1" ht="12.75" customHeight="1">
      <c r="B11" s="6" t="s">
        <v>418</v>
      </c>
      <c r="C11" s="7">
        <v>2018</v>
      </c>
      <c r="D11" s="7">
        <v>2019</v>
      </c>
      <c r="E11" s="7">
        <v>2020</v>
      </c>
      <c r="F11" s="7">
        <v>2021</v>
      </c>
      <c r="G11" s="7">
        <v>2022</v>
      </c>
      <c r="H11" s="7">
        <v>2023</v>
      </c>
      <c r="I11" s="7">
        <v>2024</v>
      </c>
      <c r="J11" s="3"/>
      <c r="K11" s="4" t="s">
        <v>438</v>
      </c>
      <c r="L11" s="4" t="s">
        <v>439</v>
      </c>
      <c r="M11" s="4" t="s">
        <v>440</v>
      </c>
      <c r="N11" s="4" t="s">
        <v>441</v>
      </c>
      <c r="O11" s="4" t="s">
        <v>40</v>
      </c>
      <c r="P11" s="4" t="s">
        <v>41</v>
      </c>
      <c r="Q11" s="4" t="s">
        <v>42</v>
      </c>
      <c r="R11" s="4" t="s">
        <v>43</v>
      </c>
      <c r="S11" s="4" t="s">
        <v>6</v>
      </c>
      <c r="T11" s="4" t="s">
        <v>7</v>
      </c>
      <c r="U11" s="4" t="s">
        <v>8</v>
      </c>
      <c r="V11" s="4" t="s">
        <v>9</v>
      </c>
      <c r="W11" s="4" t="s">
        <v>2</v>
      </c>
      <c r="X11" s="4" t="s">
        <v>3</v>
      </c>
      <c r="Y11" s="4" t="s">
        <v>4</v>
      </c>
      <c r="Z11" s="4" t="s">
        <v>5</v>
      </c>
      <c r="AA11" s="4" t="s">
        <v>44</v>
      </c>
      <c r="AB11" s="4" t="s">
        <v>45</v>
      </c>
      <c r="AC11" s="4" t="s">
        <v>90</v>
      </c>
      <c r="AD11" s="3"/>
      <c r="AE11" s="4" t="str">
        <f t="shared" ref="AE11:AT12" si="0">N11</f>
        <v>4Q21</v>
      </c>
      <c r="AF11" s="4" t="str">
        <f t="shared" si="0"/>
        <v>1Q22</v>
      </c>
      <c r="AG11" s="4" t="str">
        <f t="shared" si="0"/>
        <v>2Q22</v>
      </c>
      <c r="AH11" s="4" t="str">
        <f t="shared" si="0"/>
        <v>3Q22</v>
      </c>
      <c r="AI11" s="4" t="str">
        <f t="shared" si="0"/>
        <v>4Q22</v>
      </c>
      <c r="AJ11" s="4" t="str">
        <f t="shared" si="0"/>
        <v>1Q23</v>
      </c>
      <c r="AK11" s="4" t="str">
        <f t="shared" si="0"/>
        <v>2Q23</v>
      </c>
      <c r="AL11" s="4" t="str">
        <f t="shared" si="0"/>
        <v>3Q23</v>
      </c>
      <c r="AM11" s="4" t="str">
        <f t="shared" si="0"/>
        <v>4Q23</v>
      </c>
      <c r="AN11" s="4" t="str">
        <f t="shared" si="0"/>
        <v>1Q24</v>
      </c>
      <c r="AO11" s="4" t="str">
        <f t="shared" si="0"/>
        <v>2Q24</v>
      </c>
      <c r="AP11" s="4" t="str">
        <f t="shared" si="0"/>
        <v>3Q24</v>
      </c>
      <c r="AQ11" s="4" t="str">
        <f t="shared" si="0"/>
        <v>4Q24</v>
      </c>
      <c r="AR11" s="4" t="str">
        <f t="shared" si="0"/>
        <v>1Q25</v>
      </c>
      <c r="AS11" s="4" t="str">
        <f t="shared" si="0"/>
        <v>2Q25</v>
      </c>
      <c r="AT11" s="4" t="str">
        <f t="shared" si="0"/>
        <v>3Q25</v>
      </c>
    </row>
    <row r="12" spans="1:46" s="5" customFormat="1" ht="12.75" customHeight="1">
      <c r="B12" s="6" t="s">
        <v>419</v>
      </c>
      <c r="C12" s="3">
        <v>43465</v>
      </c>
      <c r="D12" s="3">
        <v>43830</v>
      </c>
      <c r="E12" s="3">
        <v>44196</v>
      </c>
      <c r="F12" s="3">
        <v>44561</v>
      </c>
      <c r="G12" s="3">
        <v>44926</v>
      </c>
      <c r="H12" s="166">
        <v>45291</v>
      </c>
      <c r="I12" s="3">
        <v>45657</v>
      </c>
      <c r="J12" s="3"/>
      <c r="K12" s="3">
        <v>44289</v>
      </c>
      <c r="L12" s="3">
        <v>44380</v>
      </c>
      <c r="M12" s="3">
        <v>44471</v>
      </c>
      <c r="N12" s="3">
        <v>44561</v>
      </c>
      <c r="O12" s="3">
        <v>44653</v>
      </c>
      <c r="P12" s="3">
        <v>44744</v>
      </c>
      <c r="Q12" s="3">
        <v>44835</v>
      </c>
      <c r="R12" s="3">
        <v>44926</v>
      </c>
      <c r="S12" s="3">
        <v>45017</v>
      </c>
      <c r="T12" s="3">
        <v>45108</v>
      </c>
      <c r="U12" s="3">
        <v>45199</v>
      </c>
      <c r="V12" s="3">
        <v>45291</v>
      </c>
      <c r="W12" s="3">
        <v>45381</v>
      </c>
      <c r="X12" s="3">
        <v>45472</v>
      </c>
      <c r="Y12" s="3">
        <v>45563</v>
      </c>
      <c r="Z12" s="3">
        <v>45657</v>
      </c>
      <c r="AA12" s="3">
        <v>45745</v>
      </c>
      <c r="AB12" s="3">
        <v>45836</v>
      </c>
      <c r="AC12" s="3">
        <v>45927</v>
      </c>
      <c r="AD12" s="3"/>
      <c r="AE12" s="3">
        <f t="shared" si="0"/>
        <v>44561</v>
      </c>
      <c r="AF12" s="3">
        <f t="shared" si="0"/>
        <v>44653</v>
      </c>
      <c r="AG12" s="3">
        <f t="shared" si="0"/>
        <v>44744</v>
      </c>
      <c r="AH12" s="3">
        <f t="shared" si="0"/>
        <v>44835</v>
      </c>
      <c r="AI12" s="3">
        <f t="shared" si="0"/>
        <v>44926</v>
      </c>
      <c r="AJ12" s="3">
        <f t="shared" si="0"/>
        <v>45017</v>
      </c>
      <c r="AK12" s="3">
        <f t="shared" si="0"/>
        <v>45108</v>
      </c>
      <c r="AL12" s="3">
        <f t="shared" si="0"/>
        <v>45199</v>
      </c>
      <c r="AM12" s="3">
        <f t="shared" si="0"/>
        <v>45291</v>
      </c>
      <c r="AN12" s="3">
        <f t="shared" si="0"/>
        <v>45381</v>
      </c>
      <c r="AO12" s="3">
        <f t="shared" si="0"/>
        <v>45472</v>
      </c>
      <c r="AP12" s="3">
        <f t="shared" si="0"/>
        <v>45563</v>
      </c>
      <c r="AQ12" s="3">
        <f t="shared" si="0"/>
        <v>45657</v>
      </c>
      <c r="AR12" s="3">
        <f t="shared" si="0"/>
        <v>45745</v>
      </c>
      <c r="AS12" s="3">
        <f t="shared" si="0"/>
        <v>45836</v>
      </c>
      <c r="AT12" s="3">
        <f t="shared" si="0"/>
        <v>45927</v>
      </c>
    </row>
    <row r="13" spans="1:46" ht="5.0999999999999996" customHeight="1"/>
    <row r="14" spans="1:46" ht="15" thickBot="1">
      <c r="A14" s="5" t="s">
        <v>25</v>
      </c>
      <c r="B14" s="485" t="s">
        <v>543</v>
      </c>
    </row>
    <row r="15" spans="1:46" ht="5.0999999999999996" customHeight="1"/>
    <row r="16" spans="1:46">
      <c r="B16" s="487" t="s">
        <v>545</v>
      </c>
      <c r="C16" s="34">
        <f>C29+C35+C41</f>
        <v>30736</v>
      </c>
      <c r="D16" s="34">
        <f t="shared" ref="D16:I16" si="1">D29+D35+D41</f>
        <v>34343</v>
      </c>
      <c r="E16" s="34">
        <f t="shared" si="1"/>
        <v>40269</v>
      </c>
      <c r="F16" s="34">
        <f t="shared" si="1"/>
        <v>76033</v>
      </c>
      <c r="G16" s="34">
        <f t="shared" si="1"/>
        <v>59972</v>
      </c>
      <c r="H16" s="34">
        <f t="shared" si="1"/>
        <v>73795</v>
      </c>
      <c r="I16" s="34">
        <f t="shared" si="1"/>
        <v>100118</v>
      </c>
      <c r="K16" s="34">
        <f t="shared" ref="K16:AC16" si="2">K29+K35+K41</f>
        <v>17930</v>
      </c>
      <c r="L16" s="34">
        <f t="shared" si="2"/>
        <v>18525</v>
      </c>
      <c r="M16" s="34">
        <f t="shared" si="2"/>
        <v>18936</v>
      </c>
      <c r="N16" s="34">
        <f t="shared" si="2"/>
        <v>20642</v>
      </c>
      <c r="O16" s="34">
        <f t="shared" si="2"/>
        <v>16436</v>
      </c>
      <c r="P16" s="34">
        <f t="shared" si="2"/>
        <v>16002</v>
      </c>
      <c r="Q16" s="34">
        <f t="shared" si="2"/>
        <v>13910</v>
      </c>
      <c r="R16" s="34">
        <f t="shared" si="2"/>
        <v>13624</v>
      </c>
      <c r="S16" s="34">
        <f t="shared" si="2"/>
        <v>15051</v>
      </c>
      <c r="T16" s="34">
        <f t="shared" si="2"/>
        <v>18368</v>
      </c>
      <c r="U16" s="34">
        <f t="shared" si="2"/>
        <v>19689</v>
      </c>
      <c r="V16" s="34">
        <f t="shared" si="2"/>
        <v>20687</v>
      </c>
      <c r="W16" s="34">
        <f t="shared" si="2"/>
        <v>23662</v>
      </c>
      <c r="X16" s="34">
        <f t="shared" si="2"/>
        <v>23619</v>
      </c>
      <c r="Y16" s="34">
        <f t="shared" si="2"/>
        <v>26301</v>
      </c>
      <c r="Z16" s="34">
        <f t="shared" si="2"/>
        <v>26536</v>
      </c>
      <c r="AA16" s="34">
        <f t="shared" si="2"/>
        <v>34540</v>
      </c>
      <c r="AB16" s="34">
        <f t="shared" si="2"/>
        <v>28196</v>
      </c>
      <c r="AC16" s="34">
        <f t="shared" si="2"/>
        <v>34979</v>
      </c>
      <c r="AE16" s="34">
        <f t="shared" ref="AE16:AT16" si="3">AE29+AE35+AE41</f>
        <v>76033</v>
      </c>
      <c r="AF16" s="34">
        <f t="shared" si="3"/>
        <v>74539</v>
      </c>
      <c r="AG16" s="34">
        <f t="shared" si="3"/>
        <v>72016</v>
      </c>
      <c r="AH16" s="34">
        <f t="shared" si="3"/>
        <v>66990</v>
      </c>
      <c r="AI16" s="34">
        <f t="shared" si="3"/>
        <v>59972</v>
      </c>
      <c r="AJ16" s="34">
        <f t="shared" si="3"/>
        <v>58587</v>
      </c>
      <c r="AK16" s="34">
        <f t="shared" si="3"/>
        <v>60953</v>
      </c>
      <c r="AL16" s="34">
        <f t="shared" si="3"/>
        <v>66732</v>
      </c>
      <c r="AM16" s="34">
        <f t="shared" si="3"/>
        <v>73795</v>
      </c>
      <c r="AN16" s="34">
        <f t="shared" si="3"/>
        <v>82406</v>
      </c>
      <c r="AO16" s="34">
        <f t="shared" si="3"/>
        <v>87657</v>
      </c>
      <c r="AP16" s="34">
        <f t="shared" si="3"/>
        <v>94269</v>
      </c>
      <c r="AQ16" s="34">
        <f t="shared" si="3"/>
        <v>100118</v>
      </c>
      <c r="AR16" s="34">
        <f t="shared" si="3"/>
        <v>110996</v>
      </c>
      <c r="AS16" s="34">
        <f t="shared" si="3"/>
        <v>115573</v>
      </c>
      <c r="AT16" s="34">
        <f t="shared" si="3"/>
        <v>124251</v>
      </c>
    </row>
    <row r="17" spans="1:46">
      <c r="B17" s="495" t="s">
        <v>544</v>
      </c>
      <c r="C17" s="34">
        <f>IF($C$6=1,C30+C35+C41,C31+C37+C43)</f>
        <v>23506.959999999999</v>
      </c>
      <c r="D17" s="34">
        <f>IF($C$6=1,D30+D35+D41,D31+D37+D43)</f>
        <v>25485.040000000001</v>
      </c>
      <c r="E17" s="34">
        <f>IF($C$6=1,E30+E35+E41,E31+E37+E43)</f>
        <v>28532.3</v>
      </c>
      <c r="F17" s="34">
        <f>IF($C$6=1,F30+F36+F42,F31+F37+F43)</f>
        <v>13353</v>
      </c>
      <c r="G17" s="34">
        <f>IF($C$6=1,G30+G36+G42,G31+G37+G43)</f>
        <v>13063</v>
      </c>
      <c r="H17" s="34">
        <f>IF($C$6=1,H30+H36+H42,H31+H37+H43)</f>
        <v>12630</v>
      </c>
      <c r="I17" s="34">
        <f>IF($C$6=1,I30+I36+I42,I31+I37+I43)</f>
        <v>12319</v>
      </c>
      <c r="K17" s="34">
        <f t="shared" ref="K17:AC17" si="4">IF($C$6=1,K30+K36+K42,K31+K37+K43)</f>
        <v>13464.4</v>
      </c>
      <c r="L17" s="34">
        <f t="shared" si="4"/>
        <v>13379.16</v>
      </c>
      <c r="M17" s="34">
        <f t="shared" si="4"/>
        <v>13315.16</v>
      </c>
      <c r="N17" s="34">
        <f t="shared" si="4"/>
        <v>13353</v>
      </c>
      <c r="O17" s="34">
        <f t="shared" si="4"/>
        <v>13203.42</v>
      </c>
      <c r="P17" s="34">
        <f t="shared" si="4"/>
        <v>13133</v>
      </c>
      <c r="Q17" s="34">
        <f t="shared" si="4"/>
        <v>13018</v>
      </c>
      <c r="R17" s="34">
        <f t="shared" si="4"/>
        <v>13063</v>
      </c>
      <c r="S17" s="34">
        <f t="shared" si="4"/>
        <v>12781</v>
      </c>
      <c r="T17" s="34">
        <f t="shared" si="4"/>
        <v>12668</v>
      </c>
      <c r="U17" s="34">
        <f t="shared" si="4"/>
        <v>12581</v>
      </c>
      <c r="V17" s="34">
        <f t="shared" si="4"/>
        <v>12630</v>
      </c>
      <c r="W17" s="34">
        <f t="shared" si="4"/>
        <v>12415</v>
      </c>
      <c r="X17" s="34">
        <f t="shared" si="4"/>
        <v>12343</v>
      </c>
      <c r="Y17" s="34">
        <f t="shared" si="4"/>
        <v>12290</v>
      </c>
      <c r="Z17" s="34">
        <f t="shared" si="4"/>
        <v>12319</v>
      </c>
      <c r="AA17" s="34">
        <f t="shared" si="4"/>
        <v>12183</v>
      </c>
      <c r="AB17" s="34">
        <f t="shared" si="4"/>
        <v>12122</v>
      </c>
      <c r="AC17" s="34">
        <f t="shared" si="4"/>
        <v>12086</v>
      </c>
      <c r="AE17" s="34">
        <f t="shared" ref="AE17:AT17" si="5">IF($C$6=1,AE30+AE36+AE42,AE31+AE37+AE43)</f>
        <v>13353</v>
      </c>
      <c r="AF17" s="34">
        <f t="shared" si="5"/>
        <v>13203.42</v>
      </c>
      <c r="AG17" s="34">
        <f t="shared" si="5"/>
        <v>13133</v>
      </c>
      <c r="AH17" s="34">
        <f t="shared" si="5"/>
        <v>13018</v>
      </c>
      <c r="AI17" s="34">
        <f t="shared" si="5"/>
        <v>13063</v>
      </c>
      <c r="AJ17" s="34">
        <f t="shared" si="5"/>
        <v>12781</v>
      </c>
      <c r="AK17" s="34">
        <f t="shared" si="5"/>
        <v>12668</v>
      </c>
      <c r="AL17" s="34">
        <f t="shared" si="5"/>
        <v>12581</v>
      </c>
      <c r="AM17" s="34">
        <f t="shared" si="5"/>
        <v>12630</v>
      </c>
      <c r="AN17" s="34">
        <f t="shared" si="5"/>
        <v>12415</v>
      </c>
      <c r="AO17" s="34">
        <f t="shared" si="5"/>
        <v>12343</v>
      </c>
      <c r="AP17" s="34">
        <f t="shared" si="5"/>
        <v>12290</v>
      </c>
      <c r="AQ17" s="34">
        <f t="shared" si="5"/>
        <v>12319</v>
      </c>
      <c r="AR17" s="34">
        <f t="shared" si="5"/>
        <v>12183</v>
      </c>
      <c r="AS17" s="34">
        <f t="shared" si="5"/>
        <v>12122</v>
      </c>
      <c r="AT17" s="34">
        <f t="shared" si="5"/>
        <v>12086</v>
      </c>
    </row>
    <row r="18" spans="1:46">
      <c r="B18" s="496" t="s">
        <v>549</v>
      </c>
      <c r="C18" s="492">
        <f t="shared" ref="C18:I18" si="6">C16/C17</f>
        <v>1.3075276428768332</v>
      </c>
      <c r="D18" s="492">
        <f t="shared" si="6"/>
        <v>1.3475748909948737</v>
      </c>
      <c r="E18" s="492">
        <f t="shared" si="6"/>
        <v>1.4113478408680689</v>
      </c>
      <c r="F18" s="492">
        <f t="shared" si="6"/>
        <v>5.6940762375496146</v>
      </c>
      <c r="G18" s="492">
        <f t="shared" si="6"/>
        <v>4.5909821633621677</v>
      </c>
      <c r="H18" s="492">
        <f t="shared" si="6"/>
        <v>5.8428345209817891</v>
      </c>
      <c r="I18" s="492">
        <f t="shared" si="6"/>
        <v>8.127120707849663</v>
      </c>
      <c r="K18" s="492">
        <f t="shared" ref="K18:AC18" si="7">K16/K17</f>
        <v>1.3316597843201332</v>
      </c>
      <c r="L18" s="492">
        <f t="shared" si="7"/>
        <v>1.3846160745517655</v>
      </c>
      <c r="M18" s="492">
        <f t="shared" si="7"/>
        <v>1.4221383746045861</v>
      </c>
      <c r="N18" s="492">
        <f t="shared" si="7"/>
        <v>1.545869841983075</v>
      </c>
      <c r="O18" s="492">
        <f t="shared" si="7"/>
        <v>1.2448289912765027</v>
      </c>
      <c r="P18" s="492">
        <f t="shared" si="7"/>
        <v>1.2184573212518084</v>
      </c>
      <c r="Q18" s="492">
        <f t="shared" si="7"/>
        <v>1.0685205100629898</v>
      </c>
      <c r="R18" s="492">
        <f t="shared" si="7"/>
        <v>1.0429457245655669</v>
      </c>
      <c r="S18" s="492">
        <f t="shared" si="7"/>
        <v>1.1776073859635396</v>
      </c>
      <c r="T18" s="492">
        <f t="shared" si="7"/>
        <v>1.4499526365645721</v>
      </c>
      <c r="U18" s="492">
        <f t="shared" si="7"/>
        <v>1.5649789364915347</v>
      </c>
      <c r="V18" s="492">
        <f t="shared" si="7"/>
        <v>1.6379255740300871</v>
      </c>
      <c r="W18" s="492">
        <f t="shared" si="7"/>
        <v>1.9059202577527186</v>
      </c>
      <c r="X18" s="492">
        <f t="shared" si="7"/>
        <v>1.9135542412703557</v>
      </c>
      <c r="Y18" s="492">
        <f t="shared" si="7"/>
        <v>2.1400325467860051</v>
      </c>
      <c r="Z18" s="492">
        <f t="shared" si="7"/>
        <v>2.1540709473171522</v>
      </c>
      <c r="AA18" s="492">
        <f t="shared" si="7"/>
        <v>2.8350980874989742</v>
      </c>
      <c r="AB18" s="492">
        <f t="shared" si="7"/>
        <v>2.3260188087774294</v>
      </c>
      <c r="AC18" s="492">
        <f t="shared" si="7"/>
        <v>2.8941750786033427</v>
      </c>
      <c r="AE18" s="492">
        <f t="shared" ref="AE18:AT18" si="8">AE16/AE17</f>
        <v>5.6940762375496146</v>
      </c>
      <c r="AF18" s="492">
        <f t="shared" si="8"/>
        <v>5.6454312594767115</v>
      </c>
      <c r="AG18" s="492">
        <f t="shared" si="8"/>
        <v>5.4835909540851286</v>
      </c>
      <c r="AH18" s="492">
        <f t="shared" si="8"/>
        <v>5.1459517591027808</v>
      </c>
      <c r="AI18" s="492">
        <f t="shared" si="8"/>
        <v>4.5909821633621677</v>
      </c>
      <c r="AJ18" s="492">
        <f t="shared" si="8"/>
        <v>4.5839136217823331</v>
      </c>
      <c r="AK18" s="492">
        <f t="shared" si="8"/>
        <v>4.8115724660562043</v>
      </c>
      <c r="AL18" s="492">
        <f t="shared" si="8"/>
        <v>5.3041888562117476</v>
      </c>
      <c r="AM18" s="492">
        <f t="shared" si="8"/>
        <v>5.8428345209817891</v>
      </c>
      <c r="AN18" s="492">
        <f t="shared" si="8"/>
        <v>6.6376157873540071</v>
      </c>
      <c r="AO18" s="492">
        <f t="shared" si="8"/>
        <v>7.1017580815036867</v>
      </c>
      <c r="AP18" s="492">
        <f t="shared" si="8"/>
        <v>7.670382424735557</v>
      </c>
      <c r="AQ18" s="492">
        <f t="shared" si="8"/>
        <v>8.127120707849663</v>
      </c>
      <c r="AR18" s="492">
        <f t="shared" si="8"/>
        <v>9.1107280636953138</v>
      </c>
      <c r="AS18" s="492">
        <f t="shared" si="8"/>
        <v>9.5341527800692951</v>
      </c>
      <c r="AT18" s="492">
        <f t="shared" si="8"/>
        <v>10.280572563296376</v>
      </c>
    </row>
    <row r="20" spans="1:46" ht="15" thickBot="1">
      <c r="A20" s="5" t="s">
        <v>25</v>
      </c>
      <c r="B20" s="485" t="s">
        <v>550</v>
      </c>
    </row>
    <row r="21" spans="1:46" ht="5.0999999999999996" customHeight="1"/>
    <row r="22" spans="1:46">
      <c r="B22" s="487" t="s">
        <v>545</v>
      </c>
      <c r="C22" s="34">
        <f t="shared" ref="C22:I23" si="9">+C49+C58+C64</f>
        <v>32784</v>
      </c>
      <c r="D22" s="34">
        <f t="shared" si="9"/>
        <v>36630</v>
      </c>
      <c r="E22" s="34">
        <f t="shared" si="9"/>
        <v>42976</v>
      </c>
      <c r="F22" s="34">
        <f t="shared" si="9"/>
        <v>81130</v>
      </c>
      <c r="G22" s="34">
        <f t="shared" si="9"/>
        <v>64014</v>
      </c>
      <c r="H22" s="34">
        <f t="shared" si="9"/>
        <v>78882</v>
      </c>
      <c r="I22" s="34">
        <f t="shared" si="9"/>
        <v>107090</v>
      </c>
      <c r="K22" s="34">
        <f t="shared" ref="K22:AT22" si="10">+K49+K58+K64</f>
        <v>19135</v>
      </c>
      <c r="L22" s="34">
        <f t="shared" si="10"/>
        <v>19771</v>
      </c>
      <c r="M22" s="34">
        <f t="shared" si="10"/>
        <v>20207</v>
      </c>
      <c r="N22" s="34">
        <f t="shared" si="10"/>
        <v>22017</v>
      </c>
      <c r="O22" s="34">
        <f t="shared" si="10"/>
        <v>17533</v>
      </c>
      <c r="P22" s="34">
        <f t="shared" si="10"/>
        <v>17074</v>
      </c>
      <c r="Q22" s="34">
        <f t="shared" si="10"/>
        <v>14850</v>
      </c>
      <c r="R22" s="34">
        <f t="shared" si="10"/>
        <v>14557</v>
      </c>
      <c r="S22" s="34">
        <f t="shared" si="10"/>
        <v>16087</v>
      </c>
      <c r="T22" s="34">
        <f t="shared" si="10"/>
        <v>19633</v>
      </c>
      <c r="U22" s="34">
        <f t="shared" si="10"/>
        <v>21046</v>
      </c>
      <c r="V22" s="34">
        <f t="shared" si="10"/>
        <v>22116</v>
      </c>
      <c r="W22" s="34">
        <f t="shared" si="10"/>
        <v>25303</v>
      </c>
      <c r="X22" s="34">
        <f t="shared" si="10"/>
        <v>25258</v>
      </c>
      <c r="Y22" s="34">
        <f t="shared" si="10"/>
        <v>28135</v>
      </c>
      <c r="Z22" s="34">
        <f t="shared" si="10"/>
        <v>28394</v>
      </c>
      <c r="AA22" s="34">
        <f t="shared" si="10"/>
        <v>36955</v>
      </c>
      <c r="AB22" s="34">
        <f t="shared" si="10"/>
        <v>30166</v>
      </c>
      <c r="AC22" s="34">
        <f t="shared" si="10"/>
        <v>37402</v>
      </c>
      <c r="AE22" s="34">
        <f t="shared" si="10"/>
        <v>81130</v>
      </c>
      <c r="AF22" s="34">
        <f t="shared" si="10"/>
        <v>79528</v>
      </c>
      <c r="AG22" s="34">
        <f t="shared" si="10"/>
        <v>76831</v>
      </c>
      <c r="AH22" s="34">
        <f t="shared" si="10"/>
        <v>71474</v>
      </c>
      <c r="AI22" s="34">
        <f t="shared" si="10"/>
        <v>64014</v>
      </c>
      <c r="AJ22" s="34">
        <f t="shared" si="10"/>
        <v>62568</v>
      </c>
      <c r="AK22" s="34">
        <f t="shared" si="10"/>
        <v>65127</v>
      </c>
      <c r="AL22" s="34">
        <f t="shared" si="10"/>
        <v>71323</v>
      </c>
      <c r="AM22" s="34">
        <f t="shared" si="10"/>
        <v>78882</v>
      </c>
      <c r="AN22" s="34">
        <f t="shared" si="10"/>
        <v>88098</v>
      </c>
      <c r="AO22" s="34">
        <f t="shared" si="10"/>
        <v>93723</v>
      </c>
      <c r="AP22" s="34">
        <f t="shared" si="10"/>
        <v>100812</v>
      </c>
      <c r="AQ22" s="34">
        <f t="shared" si="10"/>
        <v>107090</v>
      </c>
      <c r="AR22" s="34">
        <f t="shared" si="10"/>
        <v>118742</v>
      </c>
      <c r="AS22" s="34">
        <f t="shared" si="10"/>
        <v>123650</v>
      </c>
      <c r="AT22" s="34">
        <f t="shared" si="10"/>
        <v>132917</v>
      </c>
    </row>
    <row r="23" spans="1:46">
      <c r="B23" s="495" t="s">
        <v>551</v>
      </c>
      <c r="C23" s="34">
        <f t="shared" si="9"/>
        <v>15002.98</v>
      </c>
      <c r="D23" s="34">
        <f t="shared" si="9"/>
        <v>14901.66</v>
      </c>
      <c r="E23" s="34">
        <f t="shared" si="9"/>
        <v>14664.2</v>
      </c>
      <c r="F23" s="34">
        <f t="shared" si="9"/>
        <v>14462.080000000002</v>
      </c>
      <c r="G23" s="34">
        <f t="shared" si="9"/>
        <v>15870</v>
      </c>
      <c r="H23" s="34">
        <f t="shared" si="9"/>
        <v>15347</v>
      </c>
      <c r="I23" s="34">
        <f t="shared" si="9"/>
        <v>15745</v>
      </c>
      <c r="K23" s="34">
        <f t="shared" ref="K23:AT23" si="11">+K50+K59+K65</f>
        <v>14558.22</v>
      </c>
      <c r="L23" s="34">
        <f t="shared" si="11"/>
        <v>14506.080000000002</v>
      </c>
      <c r="M23" s="34">
        <f t="shared" si="11"/>
        <v>14438.46</v>
      </c>
      <c r="N23" s="34">
        <f t="shared" si="11"/>
        <v>14458.2</v>
      </c>
      <c r="O23" s="34">
        <f t="shared" si="11"/>
        <v>14241.720000000001</v>
      </c>
      <c r="P23" s="34">
        <f t="shared" si="11"/>
        <v>14126</v>
      </c>
      <c r="Q23" s="34">
        <f t="shared" si="11"/>
        <v>13982</v>
      </c>
      <c r="R23" s="34">
        <f t="shared" si="11"/>
        <v>14046</v>
      </c>
      <c r="S23" s="34">
        <f t="shared" si="11"/>
        <v>13706</v>
      </c>
      <c r="T23" s="34">
        <f t="shared" si="11"/>
        <v>13616</v>
      </c>
      <c r="U23" s="34">
        <f t="shared" si="11"/>
        <v>13571</v>
      </c>
      <c r="V23" s="34">
        <f t="shared" si="11"/>
        <v>13599</v>
      </c>
      <c r="W23" s="34">
        <f t="shared" si="11"/>
        <v>13396</v>
      </c>
      <c r="X23" s="34">
        <f t="shared" si="11"/>
        <v>13361</v>
      </c>
      <c r="Y23" s="34">
        <f t="shared" si="11"/>
        <v>13284</v>
      </c>
      <c r="Z23" s="34">
        <f t="shared" si="11"/>
        <v>13313</v>
      </c>
      <c r="AA23" s="34">
        <f t="shared" si="11"/>
        <v>13150</v>
      </c>
      <c r="AB23" s="34">
        <f t="shared" si="11"/>
        <v>13050</v>
      </c>
      <c r="AC23" s="34">
        <f t="shared" si="11"/>
        <v>13048</v>
      </c>
      <c r="AE23" s="34">
        <f t="shared" si="11"/>
        <v>14457.953000000001</v>
      </c>
      <c r="AF23" s="34">
        <f t="shared" si="11"/>
        <v>14241.625</v>
      </c>
      <c r="AG23" s="34">
        <f t="shared" si="11"/>
        <v>14126</v>
      </c>
      <c r="AH23" s="34">
        <f t="shared" si="11"/>
        <v>13982</v>
      </c>
      <c r="AI23" s="34">
        <f t="shared" si="11"/>
        <v>14046</v>
      </c>
      <c r="AJ23" s="34">
        <f t="shared" si="11"/>
        <v>13706</v>
      </c>
      <c r="AK23" s="34">
        <f t="shared" si="11"/>
        <v>13616</v>
      </c>
      <c r="AL23" s="34">
        <f t="shared" si="11"/>
        <v>13571</v>
      </c>
      <c r="AM23" s="34">
        <f t="shared" si="11"/>
        <v>13599</v>
      </c>
      <c r="AN23" s="34">
        <f t="shared" si="11"/>
        <v>13396</v>
      </c>
      <c r="AO23" s="34">
        <f t="shared" si="11"/>
        <v>13361</v>
      </c>
      <c r="AP23" s="34">
        <f t="shared" si="11"/>
        <v>13284</v>
      </c>
      <c r="AQ23" s="34">
        <f t="shared" si="11"/>
        <v>13313</v>
      </c>
      <c r="AR23" s="34">
        <f t="shared" si="11"/>
        <v>13150</v>
      </c>
      <c r="AS23" s="34">
        <f t="shared" si="11"/>
        <v>13050</v>
      </c>
      <c r="AT23" s="34">
        <f t="shared" si="11"/>
        <v>13048</v>
      </c>
    </row>
    <row r="24" spans="1:46">
      <c r="B24" s="496" t="s">
        <v>549</v>
      </c>
      <c r="C24" s="492">
        <f t="shared" ref="C24:I24" si="12">C22/C23</f>
        <v>2.1851658803784315</v>
      </c>
      <c r="D24" s="492">
        <f t="shared" si="12"/>
        <v>2.4581154045925087</v>
      </c>
      <c r="E24" s="492">
        <f t="shared" si="12"/>
        <v>2.9306747043821004</v>
      </c>
      <c r="F24" s="492">
        <f t="shared" si="12"/>
        <v>5.6098431207682431</v>
      </c>
      <c r="G24" s="492">
        <f t="shared" si="12"/>
        <v>4.0336483931947074</v>
      </c>
      <c r="H24" s="492">
        <f t="shared" si="12"/>
        <v>5.1398970482830517</v>
      </c>
      <c r="I24" s="492">
        <f t="shared" si="12"/>
        <v>6.8015242934264846</v>
      </c>
      <c r="K24" s="492">
        <f t="shared" ref="K24:AC24" si="13">K22/K23</f>
        <v>1.3143777192541397</v>
      </c>
      <c r="L24" s="492">
        <f t="shared" si="13"/>
        <v>1.362945744129358</v>
      </c>
      <c r="M24" s="492">
        <f t="shared" si="13"/>
        <v>1.3995259882286617</v>
      </c>
      <c r="N24" s="492">
        <f t="shared" si="13"/>
        <v>1.522803668506453</v>
      </c>
      <c r="O24" s="492">
        <f t="shared" si="13"/>
        <v>1.2311012995621315</v>
      </c>
      <c r="P24" s="492">
        <f t="shared" si="13"/>
        <v>1.2086931898626645</v>
      </c>
      <c r="Q24" s="492">
        <f t="shared" si="13"/>
        <v>1.0620798169074523</v>
      </c>
      <c r="R24" s="492">
        <f t="shared" si="13"/>
        <v>1.036380464189093</v>
      </c>
      <c r="S24" s="492">
        <f t="shared" si="13"/>
        <v>1.1737195388880781</v>
      </c>
      <c r="T24" s="492">
        <f t="shared" si="13"/>
        <v>1.4419065804935369</v>
      </c>
      <c r="U24" s="492">
        <f t="shared" si="13"/>
        <v>1.5508068675852922</v>
      </c>
      <c r="V24" s="492">
        <f t="shared" si="13"/>
        <v>1.6262960511802338</v>
      </c>
      <c r="W24" s="492">
        <f t="shared" si="13"/>
        <v>1.8888474171394447</v>
      </c>
      <c r="X24" s="492">
        <f t="shared" si="13"/>
        <v>1.8904273632213158</v>
      </c>
      <c r="Y24" s="492">
        <f t="shared" si="13"/>
        <v>2.1179614573923518</v>
      </c>
      <c r="Z24" s="492">
        <f t="shared" si="13"/>
        <v>2.1328025238488695</v>
      </c>
      <c r="AA24" s="492">
        <f t="shared" si="13"/>
        <v>2.8102661596958174</v>
      </c>
      <c r="AB24" s="492">
        <f t="shared" si="13"/>
        <v>2.3115708812260536</v>
      </c>
      <c r="AC24" s="492">
        <f t="shared" si="13"/>
        <v>2.8664929491109747</v>
      </c>
      <c r="AE24" s="492">
        <f t="shared" ref="AE24:AT24" si="14">AE22/AE23</f>
        <v>5.6114444416854861</v>
      </c>
      <c r="AF24" s="492">
        <f t="shared" si="14"/>
        <v>5.5841942194096532</v>
      </c>
      <c r="AG24" s="492">
        <f t="shared" si="14"/>
        <v>5.438977771485205</v>
      </c>
      <c r="AH24" s="492">
        <f t="shared" si="14"/>
        <v>5.1118581032756403</v>
      </c>
      <c r="AI24" s="492">
        <f t="shared" si="14"/>
        <v>4.5574540794532252</v>
      </c>
      <c r="AJ24" s="492">
        <f t="shared" si="14"/>
        <v>4.5650080256821832</v>
      </c>
      <c r="AK24" s="492">
        <f t="shared" si="14"/>
        <v>4.7831227967097529</v>
      </c>
      <c r="AL24" s="492">
        <f t="shared" si="14"/>
        <v>5.2555449119445878</v>
      </c>
      <c r="AM24" s="492">
        <f t="shared" si="14"/>
        <v>5.8005735715861464</v>
      </c>
      <c r="AN24" s="492">
        <f t="shared" si="14"/>
        <v>6.5764407285756938</v>
      </c>
      <c r="AO24" s="492">
        <f t="shared" si="14"/>
        <v>7.0146695606616269</v>
      </c>
      <c r="AP24" s="492">
        <f t="shared" si="14"/>
        <v>7.5889792231255644</v>
      </c>
      <c r="AQ24" s="492">
        <f t="shared" si="14"/>
        <v>8.0440171261173283</v>
      </c>
      <c r="AR24" s="492">
        <f t="shared" si="14"/>
        <v>9.0298098859315594</v>
      </c>
      <c r="AS24" s="492">
        <f t="shared" si="14"/>
        <v>9.4750957854406135</v>
      </c>
      <c r="AT24" s="492">
        <f t="shared" si="14"/>
        <v>10.186771919068056</v>
      </c>
    </row>
    <row r="26" spans="1:46" s="8" customFormat="1" ht="12">
      <c r="A26" s="38" t="s">
        <v>25</v>
      </c>
      <c r="B26" s="1" t="s">
        <v>541</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ht="5.0999999999999996" customHeight="1"/>
    <row r="28" spans="1:46">
      <c r="B28" s="486" t="s">
        <v>532</v>
      </c>
      <c r="C28" s="467"/>
      <c r="K28" s="89"/>
    </row>
    <row r="29" spans="1:46">
      <c r="B29" s="487" t="s">
        <v>535</v>
      </c>
      <c r="C29" s="467">
        <v>13200</v>
      </c>
      <c r="D29" s="467">
        <v>14846</v>
      </c>
      <c r="E29" s="467">
        <v>17733</v>
      </c>
      <c r="F29" s="467">
        <v>34200</v>
      </c>
      <c r="G29" s="467">
        <v>27518</v>
      </c>
      <c r="H29" s="467">
        <v>34601</v>
      </c>
      <c r="I29" s="467">
        <v>47594</v>
      </c>
      <c r="J29" s="500"/>
      <c r="K29" s="467">
        <v>8011</v>
      </c>
      <c r="L29" s="467">
        <v>8321</v>
      </c>
      <c r="M29" s="467">
        <v>8548</v>
      </c>
      <c r="N29" s="361">
        <f>SUM(F29-SUM(K29:M29))</f>
        <v>9320</v>
      </c>
      <c r="O29" s="467">
        <v>7481</v>
      </c>
      <c r="P29" s="467">
        <v>7329</v>
      </c>
      <c r="Q29" s="467">
        <v>6393</v>
      </c>
      <c r="R29" s="361">
        <f>SUM(G29-SUM(O29:Q29))</f>
        <v>6315</v>
      </c>
      <c r="S29" s="467">
        <v>7006</v>
      </c>
      <c r="T29" s="467">
        <v>8600</v>
      </c>
      <c r="U29" s="467">
        <v>9271</v>
      </c>
      <c r="V29" s="361">
        <f>SUM(H29-SUM(S29:U29))</f>
        <v>9724</v>
      </c>
      <c r="W29" s="467">
        <v>11213</v>
      </c>
      <c r="X29" s="467">
        <v>11219</v>
      </c>
      <c r="Y29" s="467">
        <v>12521</v>
      </c>
      <c r="Z29" s="361">
        <f>SUM(I29-SUM(W29:Y29))</f>
        <v>12641</v>
      </c>
      <c r="AA29" s="467">
        <v>16534</v>
      </c>
      <c r="AB29" s="467">
        <v>13536</v>
      </c>
      <c r="AC29" s="467">
        <v>16839</v>
      </c>
      <c r="AE29" s="361">
        <f>SUM(K29:N29)</f>
        <v>34200</v>
      </c>
      <c r="AF29" s="361">
        <f t="shared" ref="AF29:AT29" si="15">SUM(L29:O29)</f>
        <v>33670</v>
      </c>
      <c r="AG29" s="361">
        <f t="shared" si="15"/>
        <v>32678</v>
      </c>
      <c r="AH29" s="361">
        <f t="shared" si="15"/>
        <v>30523</v>
      </c>
      <c r="AI29" s="361">
        <f t="shared" si="15"/>
        <v>27518</v>
      </c>
      <c r="AJ29" s="361">
        <f t="shared" si="15"/>
        <v>27043</v>
      </c>
      <c r="AK29" s="361">
        <f t="shared" si="15"/>
        <v>28314</v>
      </c>
      <c r="AL29" s="361">
        <f t="shared" si="15"/>
        <v>31192</v>
      </c>
      <c r="AM29" s="361">
        <f t="shared" si="15"/>
        <v>34601</v>
      </c>
      <c r="AN29" s="361">
        <f t="shared" si="15"/>
        <v>38808</v>
      </c>
      <c r="AO29" s="361">
        <f t="shared" si="15"/>
        <v>41427</v>
      </c>
      <c r="AP29" s="361">
        <f t="shared" si="15"/>
        <v>44677</v>
      </c>
      <c r="AQ29" s="361">
        <f t="shared" si="15"/>
        <v>47594</v>
      </c>
      <c r="AR29" s="361">
        <f t="shared" si="15"/>
        <v>52915</v>
      </c>
      <c r="AS29" s="361">
        <f t="shared" si="15"/>
        <v>55232</v>
      </c>
      <c r="AT29" s="361">
        <f t="shared" si="15"/>
        <v>59550</v>
      </c>
    </row>
    <row r="30" spans="1:46">
      <c r="B30" s="488" t="s">
        <v>557</v>
      </c>
      <c r="C30" s="361">
        <f>IF($C$6=1,C31*20,C31)</f>
        <v>5970.96</v>
      </c>
      <c r="D30" s="361">
        <f>IF($C$6=1,D31*20,D31)</f>
        <v>5988.04</v>
      </c>
      <c r="E30" s="361">
        <f>IF($C$6=1,E31*20,E31)</f>
        <v>5996.3</v>
      </c>
      <c r="F30" s="361">
        <f>IF($C$6=1,F31*20,F31)</f>
        <v>6006.2</v>
      </c>
      <c r="G30" s="361">
        <f>G31</f>
        <v>5994</v>
      </c>
      <c r="H30" s="361">
        <f>H31</f>
        <v>5922</v>
      </c>
      <c r="I30" s="361">
        <f>I31</f>
        <v>5855</v>
      </c>
      <c r="J30" s="500"/>
      <c r="K30" s="361">
        <f>IF($C$6=1,K31*20,K31)</f>
        <v>6016</v>
      </c>
      <c r="L30" s="361">
        <f>IF($C$6=1,L31*20,L31)</f>
        <v>6009.7000000000007</v>
      </c>
      <c r="M30" s="361">
        <f>IF($C$6=1,M31*20,M31)</f>
        <v>6010.38</v>
      </c>
      <c r="N30" s="361">
        <f>IF($C$6=1,N31*20,N31)</f>
        <v>6006.2</v>
      </c>
      <c r="O30" s="361">
        <f>IF($C$6=1,O31*20,O31)</f>
        <v>6009.56</v>
      </c>
      <c r="P30" s="361">
        <f>P31</f>
        <v>6015</v>
      </c>
      <c r="Q30" s="361">
        <f t="shared" ref="Q30:AC30" si="16">Q31</f>
        <v>5983</v>
      </c>
      <c r="R30" s="361">
        <f t="shared" si="16"/>
        <v>5994</v>
      </c>
      <c r="S30" s="361">
        <f t="shared" si="16"/>
        <v>5949</v>
      </c>
      <c r="T30" s="361">
        <f t="shared" si="16"/>
        <v>5931</v>
      </c>
      <c r="U30" s="361">
        <f t="shared" si="16"/>
        <v>5924</v>
      </c>
      <c r="V30" s="361">
        <f t="shared" si="16"/>
        <v>5922</v>
      </c>
      <c r="W30" s="361">
        <f t="shared" si="16"/>
        <v>5883</v>
      </c>
      <c r="X30" s="361">
        <f t="shared" si="16"/>
        <v>5862</v>
      </c>
      <c r="Y30" s="361">
        <f t="shared" si="16"/>
        <v>5850</v>
      </c>
      <c r="Z30" s="361">
        <f t="shared" si="16"/>
        <v>5855</v>
      </c>
      <c r="AA30" s="361">
        <f t="shared" si="16"/>
        <v>5831</v>
      </c>
      <c r="AB30" s="361">
        <f t="shared" si="16"/>
        <v>5819</v>
      </c>
      <c r="AC30" s="361">
        <f t="shared" si="16"/>
        <v>5818</v>
      </c>
      <c r="AE30" s="361">
        <f>N30</f>
        <v>6006.2</v>
      </c>
      <c r="AF30" s="361">
        <f t="shared" ref="AF30:AT31" si="17">O30</f>
        <v>6009.56</v>
      </c>
      <c r="AG30" s="361">
        <f t="shared" si="17"/>
        <v>6015</v>
      </c>
      <c r="AH30" s="361">
        <f t="shared" si="17"/>
        <v>5983</v>
      </c>
      <c r="AI30" s="361">
        <f t="shared" si="17"/>
        <v>5994</v>
      </c>
      <c r="AJ30" s="361">
        <f t="shared" si="17"/>
        <v>5949</v>
      </c>
      <c r="AK30" s="361">
        <f t="shared" si="17"/>
        <v>5931</v>
      </c>
      <c r="AL30" s="361">
        <f t="shared" si="17"/>
        <v>5924</v>
      </c>
      <c r="AM30" s="361">
        <f t="shared" si="17"/>
        <v>5922</v>
      </c>
      <c r="AN30" s="361">
        <f t="shared" si="17"/>
        <v>5883</v>
      </c>
      <c r="AO30" s="361">
        <f t="shared" si="17"/>
        <v>5862</v>
      </c>
      <c r="AP30" s="361">
        <f t="shared" si="17"/>
        <v>5850</v>
      </c>
      <c r="AQ30" s="361">
        <f t="shared" si="17"/>
        <v>5855</v>
      </c>
      <c r="AR30" s="361">
        <f t="shared" si="17"/>
        <v>5831</v>
      </c>
      <c r="AS30" s="361">
        <f t="shared" si="17"/>
        <v>5819</v>
      </c>
      <c r="AT30" s="361">
        <f t="shared" si="17"/>
        <v>5818</v>
      </c>
    </row>
    <row r="31" spans="1:46" outlineLevel="1">
      <c r="B31" s="488" t="s">
        <v>556</v>
      </c>
      <c r="C31" s="467">
        <v>298.548</v>
      </c>
      <c r="D31" s="467">
        <v>299.40199999999999</v>
      </c>
      <c r="E31" s="467">
        <v>299.815</v>
      </c>
      <c r="F31" s="467">
        <v>300.31</v>
      </c>
      <c r="G31" s="467">
        <v>5994</v>
      </c>
      <c r="H31" s="467">
        <v>5922</v>
      </c>
      <c r="I31" s="467">
        <v>5855</v>
      </c>
      <c r="J31" s="500"/>
      <c r="K31" s="467">
        <v>300.8</v>
      </c>
      <c r="L31" s="467">
        <v>300.48500000000001</v>
      </c>
      <c r="M31" s="467">
        <v>300.51900000000001</v>
      </c>
      <c r="N31" s="361">
        <f>F31</f>
        <v>300.31</v>
      </c>
      <c r="O31" s="467">
        <v>300.47800000000001</v>
      </c>
      <c r="P31" s="467">
        <v>6015</v>
      </c>
      <c r="Q31" s="467">
        <v>5983</v>
      </c>
      <c r="R31" s="361">
        <f>G31</f>
        <v>5994</v>
      </c>
      <c r="S31" s="467">
        <v>5949</v>
      </c>
      <c r="T31" s="467">
        <v>5931</v>
      </c>
      <c r="U31" s="467">
        <v>5924</v>
      </c>
      <c r="V31" s="361">
        <f>H31</f>
        <v>5922</v>
      </c>
      <c r="W31" s="467">
        <v>5883</v>
      </c>
      <c r="X31" s="467">
        <v>5862</v>
      </c>
      <c r="Y31" s="467">
        <v>5850</v>
      </c>
      <c r="Z31" s="361">
        <f>I31</f>
        <v>5855</v>
      </c>
      <c r="AA31" s="467">
        <v>5831</v>
      </c>
      <c r="AB31" s="467">
        <v>5819</v>
      </c>
      <c r="AC31" s="467">
        <v>5818</v>
      </c>
      <c r="AE31" s="361">
        <f>N31</f>
        <v>300.31</v>
      </c>
      <c r="AF31" s="361">
        <f t="shared" si="17"/>
        <v>300.47800000000001</v>
      </c>
      <c r="AG31" s="361">
        <f t="shared" si="17"/>
        <v>6015</v>
      </c>
      <c r="AH31" s="361">
        <f t="shared" si="17"/>
        <v>5983</v>
      </c>
      <c r="AI31" s="361">
        <f t="shared" si="17"/>
        <v>5994</v>
      </c>
      <c r="AJ31" s="361">
        <f t="shared" si="17"/>
        <v>5949</v>
      </c>
      <c r="AK31" s="361">
        <f t="shared" si="17"/>
        <v>5931</v>
      </c>
      <c r="AL31" s="361">
        <f t="shared" si="17"/>
        <v>5924</v>
      </c>
      <c r="AM31" s="361">
        <f t="shared" si="17"/>
        <v>5922</v>
      </c>
      <c r="AN31" s="361">
        <f t="shared" si="17"/>
        <v>5883</v>
      </c>
      <c r="AO31" s="361">
        <f t="shared" si="17"/>
        <v>5862</v>
      </c>
      <c r="AP31" s="361">
        <f t="shared" si="17"/>
        <v>5850</v>
      </c>
      <c r="AQ31" s="361">
        <f t="shared" si="17"/>
        <v>5855</v>
      </c>
      <c r="AR31" s="361">
        <f t="shared" si="17"/>
        <v>5831</v>
      </c>
      <c r="AS31" s="361">
        <f t="shared" si="17"/>
        <v>5819</v>
      </c>
      <c r="AT31" s="361">
        <f t="shared" si="17"/>
        <v>5818</v>
      </c>
    </row>
    <row r="32" spans="1:46">
      <c r="B32" s="490" t="s">
        <v>546</v>
      </c>
      <c r="C32" s="489">
        <f t="shared" ref="C32:I32" si="18">IF($C$6=1, C29/C30,C29/C31)</f>
        <v>2.2106997869689295</v>
      </c>
      <c r="D32" s="489">
        <f t="shared" si="18"/>
        <v>2.4792753555420473</v>
      </c>
      <c r="E32" s="489">
        <f t="shared" si="18"/>
        <v>2.9573236829378118</v>
      </c>
      <c r="F32" s="489">
        <f t="shared" si="18"/>
        <v>5.6941160800506143</v>
      </c>
      <c r="G32" s="489">
        <f t="shared" si="18"/>
        <v>4.5909242575909239</v>
      </c>
      <c r="H32" s="489">
        <f t="shared" si="18"/>
        <v>5.8427895981087472</v>
      </c>
      <c r="I32" s="489">
        <f t="shared" si="18"/>
        <v>8.1287788215200685</v>
      </c>
      <c r="K32" s="489">
        <f t="shared" ref="K32:AC32" si="19">IF($C$6=1, K29/K30,K29/K31)</f>
        <v>1.3316156914893618</v>
      </c>
      <c r="L32" s="489">
        <f t="shared" si="19"/>
        <v>1.3845949049037387</v>
      </c>
      <c r="M32" s="489">
        <f t="shared" si="19"/>
        <v>1.4222062498544186</v>
      </c>
      <c r="N32" s="489">
        <f t="shared" si="19"/>
        <v>1.5517298791249043</v>
      </c>
      <c r="O32" s="489">
        <f t="shared" si="19"/>
        <v>1.2448498725364252</v>
      </c>
      <c r="P32" s="489">
        <f t="shared" si="19"/>
        <v>1.2184538653366583</v>
      </c>
      <c r="Q32" s="489">
        <f t="shared" si="19"/>
        <v>1.0685274945679426</v>
      </c>
      <c r="R32" s="489">
        <f t="shared" si="19"/>
        <v>1.0535535535535536</v>
      </c>
      <c r="S32" s="489">
        <f t="shared" si="19"/>
        <v>1.1776769204908388</v>
      </c>
      <c r="T32" s="489">
        <f t="shared" si="19"/>
        <v>1.4500084302815714</v>
      </c>
      <c r="U32" s="489">
        <f t="shared" si="19"/>
        <v>1.5649898717083053</v>
      </c>
      <c r="V32" s="489">
        <f t="shared" si="19"/>
        <v>1.6420128335021953</v>
      </c>
      <c r="W32" s="489">
        <f t="shared" si="19"/>
        <v>1.9060003399626042</v>
      </c>
      <c r="X32" s="489">
        <f t="shared" si="19"/>
        <v>1.9138519276697372</v>
      </c>
      <c r="Y32" s="489">
        <f t="shared" si="19"/>
        <v>2.1403418803418806</v>
      </c>
      <c r="Z32" s="489">
        <f t="shared" si="19"/>
        <v>2.159009393680615</v>
      </c>
      <c r="AA32" s="489">
        <f t="shared" si="19"/>
        <v>2.8355342136854742</v>
      </c>
      <c r="AB32" s="489">
        <f t="shared" si="19"/>
        <v>2.3261728819384775</v>
      </c>
      <c r="AC32" s="489">
        <f t="shared" si="19"/>
        <v>2.8942935716741149</v>
      </c>
      <c r="AE32" s="489">
        <f t="shared" ref="AE32:AT32" si="20">IF($C$6=1, AE29/AE30,AE29/AE31)</f>
        <v>5.6941160800506143</v>
      </c>
      <c r="AF32" s="489">
        <f t="shared" si="20"/>
        <v>5.6027396348484748</v>
      </c>
      <c r="AG32" s="489">
        <f t="shared" si="20"/>
        <v>5.432751454696592</v>
      </c>
      <c r="AH32" s="489">
        <f t="shared" si="20"/>
        <v>5.101621260237339</v>
      </c>
      <c r="AI32" s="489">
        <f t="shared" si="20"/>
        <v>4.5909242575909239</v>
      </c>
      <c r="AJ32" s="489">
        <f t="shared" si="20"/>
        <v>4.545806017818121</v>
      </c>
      <c r="AK32" s="489">
        <f t="shared" si="20"/>
        <v>4.7738998482549313</v>
      </c>
      <c r="AL32" s="489">
        <f t="shared" si="20"/>
        <v>5.265361242403781</v>
      </c>
      <c r="AM32" s="489">
        <f t="shared" si="20"/>
        <v>5.8427895981087472</v>
      </c>
      <c r="AN32" s="489">
        <f t="shared" si="20"/>
        <v>6.5966343702192756</v>
      </c>
      <c r="AO32" s="489">
        <f t="shared" si="20"/>
        <v>7.0670419651995902</v>
      </c>
      <c r="AP32" s="489">
        <f t="shared" si="20"/>
        <v>7.6370940170940171</v>
      </c>
      <c r="AQ32" s="489">
        <f t="shared" si="20"/>
        <v>8.1287788215200685</v>
      </c>
      <c r="AR32" s="489">
        <f t="shared" si="20"/>
        <v>9.0747727662493567</v>
      </c>
      <c r="AS32" s="489">
        <f t="shared" si="20"/>
        <v>9.4916652345763879</v>
      </c>
      <c r="AT32" s="489">
        <f t="shared" si="20"/>
        <v>10.235476108628395</v>
      </c>
    </row>
    <row r="33" spans="1:46">
      <c r="B33" s="49"/>
    </row>
    <row r="34" spans="1:46">
      <c r="B34" s="486" t="s">
        <v>533</v>
      </c>
      <c r="K34" s="89"/>
    </row>
    <row r="35" spans="1:46">
      <c r="B35" s="487" t="s">
        <v>535</v>
      </c>
      <c r="C35" s="467">
        <v>2072</v>
      </c>
      <c r="D35" s="467">
        <v>2307</v>
      </c>
      <c r="E35" s="467">
        <v>2732</v>
      </c>
      <c r="F35" s="467">
        <v>5174</v>
      </c>
      <c r="G35" s="467">
        <v>4072</v>
      </c>
      <c r="H35" s="467">
        <v>5124</v>
      </c>
      <c r="I35" s="467">
        <v>7039</v>
      </c>
      <c r="K35" s="467">
        <v>1221</v>
      </c>
      <c r="L35" s="467">
        <v>1265</v>
      </c>
      <c r="M35" s="467">
        <v>1291</v>
      </c>
      <c r="N35" s="361">
        <f>SUM(F35-SUM(K35:M35))</f>
        <v>1397</v>
      </c>
      <c r="O35" s="467">
        <v>1109</v>
      </c>
      <c r="P35" s="467">
        <v>1081</v>
      </c>
      <c r="Q35" s="467">
        <v>946</v>
      </c>
      <c r="R35" s="361">
        <f>SUM(G35-SUM(O35:Q35))</f>
        <v>936</v>
      </c>
      <c r="S35" s="467">
        <v>1040</v>
      </c>
      <c r="T35" s="467">
        <v>1275</v>
      </c>
      <c r="U35" s="467">
        <v>1369</v>
      </c>
      <c r="V35" s="361">
        <f>SUM(H35-SUM(S35:U35))</f>
        <v>1440</v>
      </c>
      <c r="W35" s="467">
        <v>1656</v>
      </c>
      <c r="X35" s="467">
        <v>1657</v>
      </c>
      <c r="Y35" s="467">
        <v>1851</v>
      </c>
      <c r="Z35" s="361">
        <f>SUM(I35-SUM(W35:Y35))</f>
        <v>1875</v>
      </c>
      <c r="AA35" s="467">
        <v>2435</v>
      </c>
      <c r="AB35" s="467">
        <v>1981</v>
      </c>
      <c r="AC35" s="467">
        <v>2445</v>
      </c>
      <c r="AE35" s="361">
        <f>SUM(K35:N35)</f>
        <v>5174</v>
      </c>
      <c r="AF35" s="361">
        <f t="shared" ref="AF35:AT35" si="21">SUM(L35:O35)</f>
        <v>5062</v>
      </c>
      <c r="AG35" s="361">
        <f t="shared" si="21"/>
        <v>4878</v>
      </c>
      <c r="AH35" s="361">
        <f t="shared" si="21"/>
        <v>4533</v>
      </c>
      <c r="AI35" s="361">
        <f t="shared" si="21"/>
        <v>4072</v>
      </c>
      <c r="AJ35" s="361">
        <f t="shared" si="21"/>
        <v>4003</v>
      </c>
      <c r="AK35" s="361">
        <f t="shared" si="21"/>
        <v>4197</v>
      </c>
      <c r="AL35" s="361">
        <f t="shared" si="21"/>
        <v>4620</v>
      </c>
      <c r="AM35" s="361">
        <f t="shared" si="21"/>
        <v>5124</v>
      </c>
      <c r="AN35" s="361">
        <f t="shared" si="21"/>
        <v>5740</v>
      </c>
      <c r="AO35" s="361">
        <f t="shared" si="21"/>
        <v>6122</v>
      </c>
      <c r="AP35" s="361">
        <f t="shared" si="21"/>
        <v>6604</v>
      </c>
      <c r="AQ35" s="361">
        <f t="shared" si="21"/>
        <v>7039</v>
      </c>
      <c r="AR35" s="361">
        <f t="shared" si="21"/>
        <v>7818</v>
      </c>
      <c r="AS35" s="361">
        <f t="shared" si="21"/>
        <v>8142</v>
      </c>
      <c r="AT35" s="361">
        <f t="shared" si="21"/>
        <v>8736</v>
      </c>
    </row>
    <row r="36" spans="1:46">
      <c r="B36" s="488" t="s">
        <v>557</v>
      </c>
      <c r="C36" s="361">
        <f>IF($C$6=1,C37*20,C37)</f>
        <v>937.28</v>
      </c>
      <c r="D36" s="361">
        <f>IF($C$6=1,D37*20,D37)</f>
        <v>930.54</v>
      </c>
      <c r="E36" s="361">
        <f>IF($C$6=1,E37*20,E37)</f>
        <v>923.6400000000001</v>
      </c>
      <c r="F36" s="361">
        <f>IF($C$6=1,F37*20,F37)</f>
        <v>908.6</v>
      </c>
      <c r="G36" s="361">
        <f>G37</f>
        <v>887</v>
      </c>
      <c r="H36" s="361">
        <f>H37</f>
        <v>877</v>
      </c>
      <c r="I36" s="361">
        <f>I37</f>
        <v>866</v>
      </c>
      <c r="K36" s="361">
        <f>IF($C$6=1,K37*20,K37)</f>
        <v>916.80000000000007</v>
      </c>
      <c r="L36" s="361">
        <f>IF($C$6=1,L37*20,L37)</f>
        <v>913.84</v>
      </c>
      <c r="M36" s="361">
        <f>IF($C$6=1,M37*20,M37)</f>
        <v>908.08</v>
      </c>
      <c r="N36" s="361">
        <f>IF($C$6=1,N37*20,N37)</f>
        <v>908.6</v>
      </c>
      <c r="O36" s="361">
        <f>IF($C$6=1,O37*20,O37)</f>
        <v>890.69999999999993</v>
      </c>
      <c r="P36" s="361">
        <f>P37</f>
        <v>887</v>
      </c>
      <c r="Q36" s="361">
        <f t="shared" ref="Q36:AC36" si="22">Q37</f>
        <v>885</v>
      </c>
      <c r="R36" s="361">
        <f t="shared" si="22"/>
        <v>887</v>
      </c>
      <c r="S36" s="361">
        <f t="shared" si="22"/>
        <v>883</v>
      </c>
      <c r="T36" s="361">
        <f t="shared" si="22"/>
        <v>879</v>
      </c>
      <c r="U36" s="361">
        <f t="shared" si="22"/>
        <v>875</v>
      </c>
      <c r="V36" s="361">
        <f t="shared" si="22"/>
        <v>877</v>
      </c>
      <c r="W36" s="361">
        <f t="shared" si="22"/>
        <v>869</v>
      </c>
      <c r="X36" s="361">
        <f t="shared" si="22"/>
        <v>866</v>
      </c>
      <c r="Y36" s="361">
        <f t="shared" si="22"/>
        <v>865</v>
      </c>
      <c r="Z36" s="361">
        <f t="shared" si="22"/>
        <v>866</v>
      </c>
      <c r="AA36" s="361">
        <f t="shared" si="22"/>
        <v>859</v>
      </c>
      <c r="AB36" s="361">
        <f t="shared" si="22"/>
        <v>852</v>
      </c>
      <c r="AC36" s="361">
        <f t="shared" si="22"/>
        <v>845</v>
      </c>
      <c r="AE36" s="361">
        <f>N36</f>
        <v>908.6</v>
      </c>
      <c r="AF36" s="361">
        <f t="shared" ref="AF36:AT37" si="23">O36</f>
        <v>890.69999999999993</v>
      </c>
      <c r="AG36" s="361">
        <f t="shared" si="23"/>
        <v>887</v>
      </c>
      <c r="AH36" s="361">
        <f t="shared" si="23"/>
        <v>885</v>
      </c>
      <c r="AI36" s="361">
        <f t="shared" si="23"/>
        <v>887</v>
      </c>
      <c r="AJ36" s="361">
        <f t="shared" si="23"/>
        <v>883</v>
      </c>
      <c r="AK36" s="361">
        <f t="shared" si="23"/>
        <v>879</v>
      </c>
      <c r="AL36" s="361">
        <f t="shared" si="23"/>
        <v>875</v>
      </c>
      <c r="AM36" s="361">
        <f t="shared" si="23"/>
        <v>877</v>
      </c>
      <c r="AN36" s="361">
        <f t="shared" si="23"/>
        <v>869</v>
      </c>
      <c r="AO36" s="361">
        <f t="shared" si="23"/>
        <v>866</v>
      </c>
      <c r="AP36" s="361">
        <f t="shared" si="23"/>
        <v>865</v>
      </c>
      <c r="AQ36" s="361">
        <f t="shared" si="23"/>
        <v>866</v>
      </c>
      <c r="AR36" s="361">
        <f t="shared" si="23"/>
        <v>859</v>
      </c>
      <c r="AS36" s="361">
        <f t="shared" si="23"/>
        <v>852</v>
      </c>
      <c r="AT36" s="361">
        <f t="shared" si="23"/>
        <v>845</v>
      </c>
    </row>
    <row r="37" spans="1:46" outlineLevel="1">
      <c r="B37" s="488" t="s">
        <v>556</v>
      </c>
      <c r="C37" s="467">
        <v>46.863999999999997</v>
      </c>
      <c r="D37" s="467">
        <v>46.527000000000001</v>
      </c>
      <c r="E37" s="467">
        <v>46.182000000000002</v>
      </c>
      <c r="F37" s="467">
        <v>45.43</v>
      </c>
      <c r="G37" s="467">
        <v>887</v>
      </c>
      <c r="H37" s="467">
        <v>877</v>
      </c>
      <c r="I37" s="467">
        <v>866</v>
      </c>
      <c r="K37" s="467">
        <v>45.84</v>
      </c>
      <c r="L37" s="467">
        <v>45.692</v>
      </c>
      <c r="M37" s="467">
        <v>45.404000000000003</v>
      </c>
      <c r="N37" s="361">
        <f>F37</f>
        <v>45.43</v>
      </c>
      <c r="O37" s="467">
        <v>44.534999999999997</v>
      </c>
      <c r="P37" s="467">
        <v>887</v>
      </c>
      <c r="Q37" s="467">
        <v>885</v>
      </c>
      <c r="R37" s="361">
        <f>G37</f>
        <v>887</v>
      </c>
      <c r="S37" s="467">
        <v>883</v>
      </c>
      <c r="T37" s="467">
        <v>879</v>
      </c>
      <c r="U37" s="467">
        <v>875</v>
      </c>
      <c r="V37" s="361">
        <f>H37</f>
        <v>877</v>
      </c>
      <c r="W37" s="467">
        <v>869</v>
      </c>
      <c r="X37" s="467">
        <v>866</v>
      </c>
      <c r="Y37" s="467">
        <v>865</v>
      </c>
      <c r="Z37" s="361">
        <f>I37</f>
        <v>866</v>
      </c>
      <c r="AA37" s="467">
        <v>859</v>
      </c>
      <c r="AB37" s="467">
        <v>852</v>
      </c>
      <c r="AC37" s="467">
        <v>845</v>
      </c>
      <c r="AE37" s="361">
        <f>N37</f>
        <v>45.43</v>
      </c>
      <c r="AF37" s="361">
        <f t="shared" si="23"/>
        <v>44.534999999999997</v>
      </c>
      <c r="AG37" s="361">
        <f t="shared" si="23"/>
        <v>887</v>
      </c>
      <c r="AH37" s="361">
        <f t="shared" si="23"/>
        <v>885</v>
      </c>
      <c r="AI37" s="361">
        <f t="shared" si="23"/>
        <v>887</v>
      </c>
      <c r="AJ37" s="361">
        <f t="shared" si="23"/>
        <v>883</v>
      </c>
      <c r="AK37" s="361">
        <f t="shared" si="23"/>
        <v>879</v>
      </c>
      <c r="AL37" s="361">
        <f t="shared" si="23"/>
        <v>875</v>
      </c>
      <c r="AM37" s="361">
        <f t="shared" si="23"/>
        <v>877</v>
      </c>
      <c r="AN37" s="361">
        <f t="shared" si="23"/>
        <v>869</v>
      </c>
      <c r="AO37" s="361">
        <f t="shared" si="23"/>
        <v>866</v>
      </c>
      <c r="AP37" s="361">
        <f t="shared" si="23"/>
        <v>865</v>
      </c>
      <c r="AQ37" s="361">
        <f t="shared" si="23"/>
        <v>866</v>
      </c>
      <c r="AR37" s="361">
        <f t="shared" si="23"/>
        <v>859</v>
      </c>
      <c r="AS37" s="361">
        <f t="shared" si="23"/>
        <v>852</v>
      </c>
      <c r="AT37" s="361">
        <f t="shared" si="23"/>
        <v>845</v>
      </c>
    </row>
    <row r="38" spans="1:46">
      <c r="B38" s="490" t="s">
        <v>547</v>
      </c>
      <c r="C38" s="489">
        <f t="shared" ref="C38:I38" si="24">IF($C$6=1, C35/C36,C35/C37)</f>
        <v>2.2106520996927279</v>
      </c>
      <c r="D38" s="489">
        <f t="shared" si="24"/>
        <v>2.47920562254175</v>
      </c>
      <c r="E38" s="489">
        <f t="shared" si="24"/>
        <v>2.957862370620588</v>
      </c>
      <c r="F38" s="489">
        <f t="shared" si="24"/>
        <v>5.6944750165089149</v>
      </c>
      <c r="G38" s="489">
        <f t="shared" si="24"/>
        <v>4.5907553551296507</v>
      </c>
      <c r="H38" s="489">
        <f t="shared" si="24"/>
        <v>5.8426453819840365</v>
      </c>
      <c r="I38" s="489">
        <f t="shared" si="24"/>
        <v>8.128175519630485</v>
      </c>
      <c r="K38" s="489">
        <f t="shared" ref="K38:AC38" si="25">IF($C$6=1, K35/K36,K35/K37)</f>
        <v>1.331806282722513</v>
      </c>
      <c r="L38" s="489">
        <f t="shared" si="25"/>
        <v>1.3842685809332049</v>
      </c>
      <c r="M38" s="489">
        <f t="shared" si="25"/>
        <v>1.4216809091709981</v>
      </c>
      <c r="N38" s="489">
        <f t="shared" si="25"/>
        <v>1.5375302663438257</v>
      </c>
      <c r="O38" s="489">
        <f t="shared" si="25"/>
        <v>1.245088132929157</v>
      </c>
      <c r="P38" s="489">
        <f t="shared" si="25"/>
        <v>1.2187147688838782</v>
      </c>
      <c r="Q38" s="489">
        <f t="shared" si="25"/>
        <v>1.0689265536723165</v>
      </c>
      <c r="R38" s="489">
        <f t="shared" si="25"/>
        <v>1.0552423900789176</v>
      </c>
      <c r="S38" s="489">
        <f t="shared" si="25"/>
        <v>1.1778029445073612</v>
      </c>
      <c r="T38" s="489">
        <f t="shared" si="25"/>
        <v>1.4505119453924915</v>
      </c>
      <c r="U38" s="489">
        <f t="shared" si="25"/>
        <v>1.5645714285714285</v>
      </c>
      <c r="V38" s="489">
        <f t="shared" si="25"/>
        <v>1.6419612314709235</v>
      </c>
      <c r="W38" s="489">
        <f t="shared" si="25"/>
        <v>1.905638665132336</v>
      </c>
      <c r="X38" s="489">
        <f t="shared" si="25"/>
        <v>1.9133949191685913</v>
      </c>
      <c r="Y38" s="489">
        <f t="shared" si="25"/>
        <v>2.1398843930635838</v>
      </c>
      <c r="Z38" s="489">
        <f t="shared" si="25"/>
        <v>2.1651270207852193</v>
      </c>
      <c r="AA38" s="489">
        <f t="shared" si="25"/>
        <v>2.8346915017462164</v>
      </c>
      <c r="AB38" s="489">
        <f t="shared" si="25"/>
        <v>2.325117370892019</v>
      </c>
      <c r="AC38" s="489">
        <f t="shared" si="25"/>
        <v>2.8934911242603549</v>
      </c>
      <c r="AE38" s="489">
        <f t="shared" ref="AE38:AT38" si="26">IF($C$6=1, AE35/AE36,AE35/AE37)</f>
        <v>5.6944750165089149</v>
      </c>
      <c r="AF38" s="489">
        <f t="shared" si="26"/>
        <v>5.6831705400247001</v>
      </c>
      <c r="AG38" s="489">
        <f t="shared" si="26"/>
        <v>5.499436302142052</v>
      </c>
      <c r="AH38" s="489">
        <f t="shared" si="26"/>
        <v>5.1220338983050846</v>
      </c>
      <c r="AI38" s="489">
        <f t="shared" si="26"/>
        <v>4.5907553551296507</v>
      </c>
      <c r="AJ38" s="489">
        <f t="shared" si="26"/>
        <v>4.5334088335220839</v>
      </c>
      <c r="AK38" s="489">
        <f t="shared" si="26"/>
        <v>4.774744027303754</v>
      </c>
      <c r="AL38" s="489">
        <f t="shared" si="26"/>
        <v>5.28</v>
      </c>
      <c r="AM38" s="489">
        <f t="shared" si="26"/>
        <v>5.8426453819840365</v>
      </c>
      <c r="AN38" s="489">
        <f t="shared" si="26"/>
        <v>6.6052934407364789</v>
      </c>
      <c r="AO38" s="489">
        <f t="shared" si="26"/>
        <v>7.0692840646651272</v>
      </c>
      <c r="AP38" s="489">
        <f t="shared" si="26"/>
        <v>7.6346820809248559</v>
      </c>
      <c r="AQ38" s="489">
        <f t="shared" si="26"/>
        <v>8.128175519630485</v>
      </c>
      <c r="AR38" s="489">
        <f t="shared" si="26"/>
        <v>9.1012805587892895</v>
      </c>
      <c r="AS38" s="489">
        <f t="shared" si="26"/>
        <v>9.556338028169014</v>
      </c>
      <c r="AT38" s="489">
        <f t="shared" si="26"/>
        <v>10.338461538461539</v>
      </c>
    </row>
    <row r="39" spans="1:46">
      <c r="B39" s="49"/>
    </row>
    <row r="40" spans="1:46">
      <c r="B40" s="486" t="s">
        <v>534</v>
      </c>
      <c r="K40" s="89"/>
    </row>
    <row r="41" spans="1:46">
      <c r="B41" s="487" t="s">
        <v>535</v>
      </c>
      <c r="C41" s="467">
        <v>15464</v>
      </c>
      <c r="D41" s="467">
        <v>17190</v>
      </c>
      <c r="E41" s="467">
        <v>19804</v>
      </c>
      <c r="F41" s="467">
        <v>36659</v>
      </c>
      <c r="G41" s="467">
        <v>28382</v>
      </c>
      <c r="H41" s="467">
        <v>34070</v>
      </c>
      <c r="I41" s="467">
        <v>45485</v>
      </c>
      <c r="K41" s="467">
        <v>8698</v>
      </c>
      <c r="L41" s="467">
        <v>8939</v>
      </c>
      <c r="M41" s="467">
        <v>9097</v>
      </c>
      <c r="N41" s="361">
        <f>SUM(F41-SUM(K41:M41))</f>
        <v>9925</v>
      </c>
      <c r="O41" s="467">
        <v>7846</v>
      </c>
      <c r="P41" s="467">
        <v>7592</v>
      </c>
      <c r="Q41" s="467">
        <v>6571</v>
      </c>
      <c r="R41" s="361">
        <f>SUM(G41-SUM(O41:Q41))</f>
        <v>6373</v>
      </c>
      <c r="S41" s="467">
        <v>7005</v>
      </c>
      <c r="T41" s="467">
        <v>8493</v>
      </c>
      <c r="U41" s="467">
        <v>9049</v>
      </c>
      <c r="V41" s="361">
        <f>SUM(H41-SUM(S41:U41))</f>
        <v>9523</v>
      </c>
      <c r="W41" s="467">
        <v>10793</v>
      </c>
      <c r="X41" s="467">
        <v>10743</v>
      </c>
      <c r="Y41" s="467">
        <v>11929</v>
      </c>
      <c r="Z41" s="361">
        <f>SUM(I41-SUM(W41:Y41))</f>
        <v>12020</v>
      </c>
      <c r="AA41" s="465">
        <v>15571</v>
      </c>
      <c r="AB41" s="465">
        <v>12679</v>
      </c>
      <c r="AC41" s="465">
        <v>15695</v>
      </c>
      <c r="AE41" s="361">
        <f>SUM(K41:N41)</f>
        <v>36659</v>
      </c>
      <c r="AF41" s="361">
        <f t="shared" ref="AF41:AT41" si="27">SUM(L41:O41)</f>
        <v>35807</v>
      </c>
      <c r="AG41" s="361">
        <f t="shared" si="27"/>
        <v>34460</v>
      </c>
      <c r="AH41" s="361">
        <f t="shared" si="27"/>
        <v>31934</v>
      </c>
      <c r="AI41" s="361">
        <f t="shared" si="27"/>
        <v>28382</v>
      </c>
      <c r="AJ41" s="361">
        <f t="shared" si="27"/>
        <v>27541</v>
      </c>
      <c r="AK41" s="361">
        <f t="shared" si="27"/>
        <v>28442</v>
      </c>
      <c r="AL41" s="361">
        <f t="shared" si="27"/>
        <v>30920</v>
      </c>
      <c r="AM41" s="361">
        <f t="shared" si="27"/>
        <v>34070</v>
      </c>
      <c r="AN41" s="361">
        <f t="shared" si="27"/>
        <v>37858</v>
      </c>
      <c r="AO41" s="361">
        <f t="shared" si="27"/>
        <v>40108</v>
      </c>
      <c r="AP41" s="361">
        <f t="shared" si="27"/>
        <v>42988</v>
      </c>
      <c r="AQ41" s="361">
        <f t="shared" si="27"/>
        <v>45485</v>
      </c>
      <c r="AR41" s="361">
        <f t="shared" si="27"/>
        <v>50263</v>
      </c>
      <c r="AS41" s="361">
        <f t="shared" si="27"/>
        <v>52199</v>
      </c>
      <c r="AT41" s="361">
        <f t="shared" si="27"/>
        <v>55965</v>
      </c>
    </row>
    <row r="42" spans="1:46">
      <c r="B42" s="488" t="s">
        <v>557</v>
      </c>
      <c r="C42" s="361">
        <f>IF($C$6=1,C43*20,C43)</f>
        <v>6994.56</v>
      </c>
      <c r="D42" s="361">
        <f>IF($C$6=1,D43*20,D43)</f>
        <v>6933.3399999999992</v>
      </c>
      <c r="E42" s="361">
        <f>IF($C$6=1,E43*20,E43)</f>
        <v>6696.38</v>
      </c>
      <c r="F42" s="361">
        <f>IF($C$6=1,F43*20,F43)</f>
        <v>6438.2000000000007</v>
      </c>
      <c r="G42" s="361">
        <f>G43</f>
        <v>6182</v>
      </c>
      <c r="H42" s="361">
        <f>H43</f>
        <v>5831</v>
      </c>
      <c r="I42" s="361">
        <f>I43</f>
        <v>5598</v>
      </c>
      <c r="K42" s="361">
        <f>IF($C$6=1,K43*20,K43)</f>
        <v>6531.5999999999995</v>
      </c>
      <c r="L42" s="361">
        <f>IF($C$6=1,L43*20,L43)</f>
        <v>6455.62</v>
      </c>
      <c r="M42" s="361">
        <f>IF($C$6=1,M43*20,M43)</f>
        <v>6396.7</v>
      </c>
      <c r="N42" s="361">
        <f>IF($C$6=1,N43*20,N43)</f>
        <v>6438.2000000000007</v>
      </c>
      <c r="O42" s="361">
        <f>IF($C$6=1,O43*20,O43)</f>
        <v>6303.16</v>
      </c>
      <c r="P42" s="361">
        <f>P43</f>
        <v>6231</v>
      </c>
      <c r="Q42" s="361">
        <f t="shared" ref="Q42:AC42" si="28">Q43</f>
        <v>6150</v>
      </c>
      <c r="R42" s="361">
        <f t="shared" si="28"/>
        <v>6182</v>
      </c>
      <c r="S42" s="361">
        <f t="shared" si="28"/>
        <v>5949</v>
      </c>
      <c r="T42" s="361">
        <f t="shared" si="28"/>
        <v>5858</v>
      </c>
      <c r="U42" s="361">
        <f t="shared" si="28"/>
        <v>5782</v>
      </c>
      <c r="V42" s="361">
        <f t="shared" si="28"/>
        <v>5831</v>
      </c>
      <c r="W42" s="361">
        <f t="shared" si="28"/>
        <v>5663</v>
      </c>
      <c r="X42" s="361">
        <f t="shared" si="28"/>
        <v>5615</v>
      </c>
      <c r="Y42" s="361">
        <f t="shared" si="28"/>
        <v>5575</v>
      </c>
      <c r="Z42" s="361">
        <f t="shared" si="28"/>
        <v>5598</v>
      </c>
      <c r="AA42" s="361">
        <f t="shared" si="28"/>
        <v>5493</v>
      </c>
      <c r="AB42" s="361">
        <f t="shared" si="28"/>
        <v>5451</v>
      </c>
      <c r="AC42" s="361">
        <f t="shared" si="28"/>
        <v>5423</v>
      </c>
      <c r="AE42" s="361">
        <f>N42</f>
        <v>6438.2000000000007</v>
      </c>
      <c r="AF42" s="361">
        <f t="shared" ref="AF42:AT43" si="29">O42</f>
        <v>6303.16</v>
      </c>
      <c r="AG42" s="361">
        <f t="shared" si="29"/>
        <v>6231</v>
      </c>
      <c r="AH42" s="361">
        <f t="shared" si="29"/>
        <v>6150</v>
      </c>
      <c r="AI42" s="361">
        <f t="shared" si="29"/>
        <v>6182</v>
      </c>
      <c r="AJ42" s="361">
        <f t="shared" si="29"/>
        <v>5949</v>
      </c>
      <c r="AK42" s="361">
        <f t="shared" si="29"/>
        <v>5858</v>
      </c>
      <c r="AL42" s="361">
        <f t="shared" si="29"/>
        <v>5782</v>
      </c>
      <c r="AM42" s="361">
        <f t="shared" si="29"/>
        <v>5831</v>
      </c>
      <c r="AN42" s="361">
        <f t="shared" si="29"/>
        <v>5663</v>
      </c>
      <c r="AO42" s="361">
        <f t="shared" si="29"/>
        <v>5615</v>
      </c>
      <c r="AP42" s="361">
        <f t="shared" si="29"/>
        <v>5575</v>
      </c>
      <c r="AQ42" s="361">
        <f t="shared" si="29"/>
        <v>5598</v>
      </c>
      <c r="AR42" s="361">
        <f t="shared" si="29"/>
        <v>5493</v>
      </c>
      <c r="AS42" s="361">
        <f t="shared" si="29"/>
        <v>5451</v>
      </c>
      <c r="AT42" s="361">
        <f t="shared" si="29"/>
        <v>5423</v>
      </c>
    </row>
    <row r="43" spans="1:46" outlineLevel="1">
      <c r="B43" s="488" t="s">
        <v>556</v>
      </c>
      <c r="C43" s="467">
        <v>349.72800000000001</v>
      </c>
      <c r="D43" s="467">
        <v>346.66699999999997</v>
      </c>
      <c r="E43" s="467">
        <v>334.81900000000002</v>
      </c>
      <c r="F43" s="467">
        <v>321.91000000000003</v>
      </c>
      <c r="G43" s="467">
        <v>6182</v>
      </c>
      <c r="H43" s="467">
        <v>5831</v>
      </c>
      <c r="I43" s="467">
        <v>5598</v>
      </c>
      <c r="K43" s="467">
        <v>326.58</v>
      </c>
      <c r="L43" s="467">
        <v>322.78100000000001</v>
      </c>
      <c r="M43" s="467">
        <v>319.83499999999998</v>
      </c>
      <c r="N43" s="361">
        <f>F43</f>
        <v>321.91000000000003</v>
      </c>
      <c r="O43" s="467">
        <v>315.15800000000002</v>
      </c>
      <c r="P43" s="467">
        <v>6231</v>
      </c>
      <c r="Q43" s="467">
        <v>6150</v>
      </c>
      <c r="R43" s="361">
        <f>G43</f>
        <v>6182</v>
      </c>
      <c r="S43" s="467">
        <v>5949</v>
      </c>
      <c r="T43" s="467">
        <v>5858</v>
      </c>
      <c r="U43" s="467">
        <v>5782</v>
      </c>
      <c r="V43" s="361">
        <f>H43</f>
        <v>5831</v>
      </c>
      <c r="W43" s="467">
        <v>5663</v>
      </c>
      <c r="X43" s="467">
        <v>5615</v>
      </c>
      <c r="Y43" s="467">
        <v>5575</v>
      </c>
      <c r="Z43" s="361">
        <f>I43</f>
        <v>5598</v>
      </c>
      <c r="AA43" s="465">
        <v>5493</v>
      </c>
      <c r="AB43" s="465">
        <v>5451</v>
      </c>
      <c r="AC43" s="465">
        <v>5423</v>
      </c>
      <c r="AE43" s="361">
        <f>N43</f>
        <v>321.91000000000003</v>
      </c>
      <c r="AF43" s="361">
        <f t="shared" si="29"/>
        <v>315.15800000000002</v>
      </c>
      <c r="AG43" s="361">
        <f t="shared" si="29"/>
        <v>6231</v>
      </c>
      <c r="AH43" s="361">
        <f t="shared" si="29"/>
        <v>6150</v>
      </c>
      <c r="AI43" s="361">
        <f t="shared" si="29"/>
        <v>6182</v>
      </c>
      <c r="AJ43" s="361">
        <f t="shared" si="29"/>
        <v>5949</v>
      </c>
      <c r="AK43" s="361">
        <f t="shared" si="29"/>
        <v>5858</v>
      </c>
      <c r="AL43" s="361">
        <f t="shared" si="29"/>
        <v>5782</v>
      </c>
      <c r="AM43" s="361">
        <f t="shared" si="29"/>
        <v>5831</v>
      </c>
      <c r="AN43" s="361">
        <f t="shared" si="29"/>
        <v>5663</v>
      </c>
      <c r="AO43" s="361">
        <f t="shared" si="29"/>
        <v>5615</v>
      </c>
      <c r="AP43" s="361">
        <f t="shared" si="29"/>
        <v>5575</v>
      </c>
      <c r="AQ43" s="361">
        <f t="shared" si="29"/>
        <v>5598</v>
      </c>
      <c r="AR43" s="361">
        <f t="shared" si="29"/>
        <v>5493</v>
      </c>
      <c r="AS43" s="361">
        <f t="shared" si="29"/>
        <v>5451</v>
      </c>
      <c r="AT43" s="361">
        <f t="shared" si="29"/>
        <v>5423</v>
      </c>
    </row>
    <row r="44" spans="1:46">
      <c r="B44" s="490" t="s">
        <v>548</v>
      </c>
      <c r="C44" s="489">
        <f t="shared" ref="C44:I44" si="30">IF($C$6=1, C41/C42,C41/C43)</f>
        <v>2.210861011986458</v>
      </c>
      <c r="D44" s="489">
        <f t="shared" si="30"/>
        <v>2.4793245391110204</v>
      </c>
      <c r="E44" s="489">
        <f t="shared" si="30"/>
        <v>2.9574187844775834</v>
      </c>
      <c r="F44" s="489">
        <f t="shared" si="30"/>
        <v>5.6939827902208684</v>
      </c>
      <c r="G44" s="489">
        <f t="shared" si="30"/>
        <v>4.5910708508573279</v>
      </c>
      <c r="H44" s="489">
        <f t="shared" si="30"/>
        <v>5.8429085920082322</v>
      </c>
      <c r="I44" s="489">
        <f t="shared" si="30"/>
        <v>8.1252232940335833</v>
      </c>
      <c r="K44" s="489">
        <f t="shared" ref="K44:AC44" si="31">IF($C$6=1, K41/K42,K41/K43)</f>
        <v>1.3316798334251945</v>
      </c>
      <c r="L44" s="489">
        <f t="shared" si="31"/>
        <v>1.3846849721637891</v>
      </c>
      <c r="M44" s="489">
        <f t="shared" si="31"/>
        <v>1.4221395407006738</v>
      </c>
      <c r="N44" s="489">
        <f t="shared" si="31"/>
        <v>1.5415799447050416</v>
      </c>
      <c r="O44" s="489">
        <f t="shared" si="31"/>
        <v>1.2447724633358506</v>
      </c>
      <c r="P44" s="489">
        <f t="shared" si="31"/>
        <v>1.2184240089873215</v>
      </c>
      <c r="Q44" s="489">
        <f t="shared" si="31"/>
        <v>1.0684552845528454</v>
      </c>
      <c r="R44" s="489">
        <f t="shared" si="31"/>
        <v>1.0308961501132319</v>
      </c>
      <c r="S44" s="489">
        <f t="shared" si="31"/>
        <v>1.1775088250126071</v>
      </c>
      <c r="T44" s="489">
        <f t="shared" si="31"/>
        <v>1.4498122226015706</v>
      </c>
      <c r="U44" s="489">
        <f t="shared" si="31"/>
        <v>1.565029401591145</v>
      </c>
      <c r="V44" s="489">
        <f t="shared" si="31"/>
        <v>1.6331675527353799</v>
      </c>
      <c r="W44" s="489">
        <f t="shared" si="31"/>
        <v>1.9058802754723645</v>
      </c>
      <c r="X44" s="489">
        <f t="shared" si="31"/>
        <v>1.9132680320569901</v>
      </c>
      <c r="Y44" s="489">
        <f t="shared" si="31"/>
        <v>2.1397309417040358</v>
      </c>
      <c r="Z44" s="489">
        <f t="shared" si="31"/>
        <v>2.1471954269381923</v>
      </c>
      <c r="AA44" s="489">
        <f t="shared" si="31"/>
        <v>2.8346987074458401</v>
      </c>
      <c r="AB44" s="489">
        <f t="shared" si="31"/>
        <v>2.3259952302329849</v>
      </c>
      <c r="AC44" s="489">
        <f t="shared" si="31"/>
        <v>2.8941545270145674</v>
      </c>
      <c r="AE44" s="489">
        <f t="shared" ref="AE44:AT44" si="32">IF($C$6=1, AE41/AE42,AE41/AE43)</f>
        <v>5.6939827902208684</v>
      </c>
      <c r="AF44" s="489">
        <f t="shared" si="32"/>
        <v>5.6808013758178442</v>
      </c>
      <c r="AG44" s="489">
        <f t="shared" si="32"/>
        <v>5.5304124538597339</v>
      </c>
      <c r="AH44" s="489">
        <f t="shared" si="32"/>
        <v>5.1925203252032519</v>
      </c>
      <c r="AI44" s="489">
        <f t="shared" si="32"/>
        <v>4.5910708508573279</v>
      </c>
      <c r="AJ44" s="489">
        <f t="shared" si="32"/>
        <v>4.6295175659774754</v>
      </c>
      <c r="AK44" s="489">
        <f t="shared" si="32"/>
        <v>4.8552406964834418</v>
      </c>
      <c r="AL44" s="489">
        <f t="shared" si="32"/>
        <v>5.3476305776547903</v>
      </c>
      <c r="AM44" s="489">
        <f t="shared" si="32"/>
        <v>5.8429085920082322</v>
      </c>
      <c r="AN44" s="489">
        <f t="shared" si="32"/>
        <v>6.6851492141974216</v>
      </c>
      <c r="AO44" s="489">
        <f t="shared" si="32"/>
        <v>7.1430097951914515</v>
      </c>
      <c r="AP44" s="489">
        <f t="shared" si="32"/>
        <v>7.7108520179372197</v>
      </c>
      <c r="AQ44" s="489">
        <f t="shared" si="32"/>
        <v>8.1252232940335833</v>
      </c>
      <c r="AR44" s="489">
        <f t="shared" si="32"/>
        <v>9.150373202257418</v>
      </c>
      <c r="AS44" s="489">
        <f t="shared" si="32"/>
        <v>9.5760410933773628</v>
      </c>
      <c r="AT44" s="489">
        <f t="shared" si="32"/>
        <v>10.319933616079661</v>
      </c>
    </row>
    <row r="45" spans="1:46">
      <c r="B45" s="49"/>
    </row>
    <row r="46" spans="1:46" s="8" customFormat="1" ht="12">
      <c r="A46" s="38" t="s">
        <v>25</v>
      </c>
      <c r="B46" s="1" t="s">
        <v>542</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ht="5.0999999999999996" customHeight="1">
      <c r="B47" s="49"/>
    </row>
    <row r="48" spans="1:46">
      <c r="A48" s="5"/>
      <c r="B48" s="486" t="s">
        <v>532</v>
      </c>
      <c r="K48" s="89"/>
    </row>
    <row r="49" spans="2:46">
      <c r="B49" s="487" t="s">
        <v>535</v>
      </c>
      <c r="C49" s="467">
        <v>15126</v>
      </c>
      <c r="D49" s="467">
        <v>17027</v>
      </c>
      <c r="E49" s="467">
        <v>20285</v>
      </c>
      <c r="F49" s="467">
        <v>38793</v>
      </c>
      <c r="G49" s="467">
        <v>31360</v>
      </c>
      <c r="H49" s="467">
        <v>39438</v>
      </c>
      <c r="I49" s="467">
        <v>54113</v>
      </c>
      <c r="K49" s="467">
        <v>9113</v>
      </c>
      <c r="L49" s="467">
        <v>9437</v>
      </c>
      <c r="M49" s="467">
        <v>9683</v>
      </c>
      <c r="N49" s="361">
        <f>SUM(F49-SUM(K49:M49))</f>
        <v>10560</v>
      </c>
      <c r="O49" s="467">
        <v>8495</v>
      </c>
      <c r="P49" s="467">
        <v>8342</v>
      </c>
      <c r="Q49" s="467">
        <v>7294</v>
      </c>
      <c r="R49" s="361">
        <f>SUM(G49-SUM(O49:Q49))</f>
        <v>7229</v>
      </c>
      <c r="S49" s="467">
        <v>8019</v>
      </c>
      <c r="T49" s="467">
        <v>9800</v>
      </c>
      <c r="U49" s="467">
        <v>10544</v>
      </c>
      <c r="V49" s="361">
        <f>SUM(H49-SUM(S49:U49))</f>
        <v>11075</v>
      </c>
      <c r="W49" s="467">
        <v>12754</v>
      </c>
      <c r="X49" s="467">
        <v>12736</v>
      </c>
      <c r="Y49" s="467">
        <v>14237</v>
      </c>
      <c r="Z49" s="361">
        <f>SUM(I49-SUM(W49:Y49))</f>
        <v>14386</v>
      </c>
      <c r="AA49" s="467">
        <v>18813</v>
      </c>
      <c r="AB49" s="467">
        <v>15429</v>
      </c>
      <c r="AC49" s="467">
        <v>19113</v>
      </c>
      <c r="AE49" s="361">
        <f>SUM(K49:N49)</f>
        <v>38793</v>
      </c>
      <c r="AF49" s="361">
        <f t="shared" ref="AF49:AT49" si="33">SUM(L49:O49)</f>
        <v>38175</v>
      </c>
      <c r="AG49" s="361">
        <f t="shared" si="33"/>
        <v>37080</v>
      </c>
      <c r="AH49" s="361">
        <f t="shared" si="33"/>
        <v>34691</v>
      </c>
      <c r="AI49" s="361">
        <f t="shared" si="33"/>
        <v>31360</v>
      </c>
      <c r="AJ49" s="361">
        <f t="shared" si="33"/>
        <v>30884</v>
      </c>
      <c r="AK49" s="361">
        <f t="shared" si="33"/>
        <v>32342</v>
      </c>
      <c r="AL49" s="361">
        <f t="shared" si="33"/>
        <v>35592</v>
      </c>
      <c r="AM49" s="361">
        <f t="shared" si="33"/>
        <v>39438</v>
      </c>
      <c r="AN49" s="361">
        <f t="shared" si="33"/>
        <v>44173</v>
      </c>
      <c r="AO49" s="361">
        <f t="shared" si="33"/>
        <v>47109</v>
      </c>
      <c r="AP49" s="361">
        <f t="shared" si="33"/>
        <v>50802</v>
      </c>
      <c r="AQ49" s="361">
        <f t="shared" si="33"/>
        <v>54113</v>
      </c>
      <c r="AR49" s="361">
        <f t="shared" si="33"/>
        <v>60172</v>
      </c>
      <c r="AS49" s="361">
        <f t="shared" si="33"/>
        <v>62865</v>
      </c>
      <c r="AT49" s="361">
        <f t="shared" si="33"/>
        <v>67741</v>
      </c>
    </row>
    <row r="50" spans="2:46">
      <c r="B50" s="487" t="s">
        <v>94</v>
      </c>
      <c r="C50" s="34">
        <f>SUM(C51:C53)</f>
        <v>6922.0199999999995</v>
      </c>
      <c r="D50" s="34">
        <f t="shared" ref="D50:K50" si="34">SUM(D51:D53)</f>
        <v>6926.84</v>
      </c>
      <c r="E50" s="34">
        <f t="shared" si="34"/>
        <v>6921.68</v>
      </c>
      <c r="F50" s="34">
        <f t="shared" si="34"/>
        <v>6915.1</v>
      </c>
      <c r="G50" s="34">
        <f t="shared" si="34"/>
        <v>6881</v>
      </c>
      <c r="H50" s="34">
        <f t="shared" si="34"/>
        <v>6799</v>
      </c>
      <c r="I50" s="34">
        <f t="shared" si="34"/>
        <v>6721</v>
      </c>
      <c r="K50" s="34">
        <f t="shared" si="34"/>
        <v>6933.16</v>
      </c>
      <c r="L50" s="34">
        <f t="shared" ref="L50:AC50" si="35">SUM(L51:L53)</f>
        <v>6923.8400000000011</v>
      </c>
      <c r="M50" s="34">
        <f t="shared" si="35"/>
        <v>6918.74</v>
      </c>
      <c r="N50" s="34">
        <f t="shared" si="35"/>
        <v>6915.06</v>
      </c>
      <c r="O50" s="34">
        <f t="shared" si="35"/>
        <v>6900.3600000000006</v>
      </c>
      <c r="P50" s="34">
        <f t="shared" si="35"/>
        <v>6902</v>
      </c>
      <c r="Q50" s="34">
        <f t="shared" si="35"/>
        <v>6868</v>
      </c>
      <c r="R50" s="34">
        <f t="shared" si="35"/>
        <v>6881</v>
      </c>
      <c r="S50" s="34">
        <f t="shared" si="35"/>
        <v>6832</v>
      </c>
      <c r="T50" s="34">
        <f t="shared" si="35"/>
        <v>6810</v>
      </c>
      <c r="U50" s="34">
        <f t="shared" si="35"/>
        <v>6799</v>
      </c>
      <c r="V50" s="34">
        <f t="shared" si="35"/>
        <v>6799</v>
      </c>
      <c r="W50" s="34">
        <f t="shared" si="35"/>
        <v>6752</v>
      </c>
      <c r="X50" s="34">
        <f t="shared" si="35"/>
        <v>6728</v>
      </c>
      <c r="Y50" s="34">
        <f t="shared" si="35"/>
        <v>6715</v>
      </c>
      <c r="Z50" s="34">
        <f t="shared" si="35"/>
        <v>6721</v>
      </c>
      <c r="AA50" s="34">
        <f t="shared" si="35"/>
        <v>6690</v>
      </c>
      <c r="AB50" s="34">
        <f t="shared" si="35"/>
        <v>6671</v>
      </c>
      <c r="AC50" s="34">
        <f t="shared" si="35"/>
        <v>6663</v>
      </c>
      <c r="AE50" s="34">
        <f>SUM(AE51:AE53)</f>
        <v>6914.8130000000001</v>
      </c>
      <c r="AF50" s="34">
        <f t="shared" ref="AF50:AT50" si="36">SUM(AF51:AF53)</f>
        <v>6900.2650000000003</v>
      </c>
      <c r="AG50" s="34">
        <f t="shared" si="36"/>
        <v>6902</v>
      </c>
      <c r="AH50" s="34">
        <f t="shared" si="36"/>
        <v>6868</v>
      </c>
      <c r="AI50" s="34">
        <f t="shared" si="36"/>
        <v>6881</v>
      </c>
      <c r="AJ50" s="34">
        <f t="shared" si="36"/>
        <v>6832</v>
      </c>
      <c r="AK50" s="34">
        <f t="shared" si="36"/>
        <v>6810</v>
      </c>
      <c r="AL50" s="34">
        <f t="shared" si="36"/>
        <v>6799</v>
      </c>
      <c r="AM50" s="34">
        <f t="shared" si="36"/>
        <v>6799</v>
      </c>
      <c r="AN50" s="34">
        <f t="shared" si="36"/>
        <v>6752</v>
      </c>
      <c r="AO50" s="34">
        <f t="shared" si="36"/>
        <v>6728</v>
      </c>
      <c r="AP50" s="34">
        <f t="shared" si="36"/>
        <v>6715</v>
      </c>
      <c r="AQ50" s="34">
        <f t="shared" si="36"/>
        <v>6721</v>
      </c>
      <c r="AR50" s="34">
        <f t="shared" si="36"/>
        <v>6690</v>
      </c>
      <c r="AS50" s="34">
        <f t="shared" si="36"/>
        <v>6671</v>
      </c>
      <c r="AT50" s="34">
        <f t="shared" si="36"/>
        <v>6663</v>
      </c>
    </row>
    <row r="51" spans="2:46">
      <c r="B51" s="494" t="s">
        <v>539</v>
      </c>
      <c r="C51" s="361">
        <f t="shared" ref="C51:I51" si="37">IF($C$6=1,C30,C31)</f>
        <v>5970.96</v>
      </c>
      <c r="D51" s="361">
        <f t="shared" si="37"/>
        <v>5988.04</v>
      </c>
      <c r="E51" s="361">
        <f t="shared" si="37"/>
        <v>5996.3</v>
      </c>
      <c r="F51" s="361">
        <f t="shared" si="37"/>
        <v>6006.2</v>
      </c>
      <c r="G51" s="361">
        <f t="shared" si="37"/>
        <v>5994</v>
      </c>
      <c r="H51" s="361">
        <f t="shared" si="37"/>
        <v>5922</v>
      </c>
      <c r="I51" s="361">
        <f t="shared" si="37"/>
        <v>5855</v>
      </c>
      <c r="K51" s="361">
        <f t="shared" ref="K51:AC51" si="38">IF($C$6=1,K30,K31)</f>
        <v>6016</v>
      </c>
      <c r="L51" s="361">
        <f t="shared" si="38"/>
        <v>6009.7000000000007</v>
      </c>
      <c r="M51" s="361">
        <f t="shared" si="38"/>
        <v>6010.38</v>
      </c>
      <c r="N51" s="361">
        <f t="shared" si="38"/>
        <v>6006.2</v>
      </c>
      <c r="O51" s="361">
        <f t="shared" si="38"/>
        <v>6009.56</v>
      </c>
      <c r="P51" s="361">
        <f t="shared" si="38"/>
        <v>6015</v>
      </c>
      <c r="Q51" s="361">
        <f t="shared" si="38"/>
        <v>5983</v>
      </c>
      <c r="R51" s="361">
        <f t="shared" si="38"/>
        <v>5994</v>
      </c>
      <c r="S51" s="361">
        <f t="shared" si="38"/>
        <v>5949</v>
      </c>
      <c r="T51" s="361">
        <f t="shared" si="38"/>
        <v>5931</v>
      </c>
      <c r="U51" s="361">
        <f t="shared" si="38"/>
        <v>5924</v>
      </c>
      <c r="V51" s="361">
        <f t="shared" si="38"/>
        <v>5922</v>
      </c>
      <c r="W51" s="361">
        <f t="shared" si="38"/>
        <v>5883</v>
      </c>
      <c r="X51" s="361">
        <f t="shared" si="38"/>
        <v>5862</v>
      </c>
      <c r="Y51" s="361">
        <f t="shared" si="38"/>
        <v>5850</v>
      </c>
      <c r="Z51" s="361">
        <f t="shared" si="38"/>
        <v>5855</v>
      </c>
      <c r="AA51" s="361">
        <f t="shared" si="38"/>
        <v>5831</v>
      </c>
      <c r="AB51" s="361">
        <f t="shared" si="38"/>
        <v>5819</v>
      </c>
      <c r="AC51" s="361">
        <f t="shared" si="38"/>
        <v>5818</v>
      </c>
      <c r="AE51" s="361">
        <f t="shared" ref="AE51:AT51" si="39">IF($C$6=1,AE30,AE31)</f>
        <v>6006.2</v>
      </c>
      <c r="AF51" s="361">
        <f t="shared" si="39"/>
        <v>6009.56</v>
      </c>
      <c r="AG51" s="361">
        <f t="shared" si="39"/>
        <v>6015</v>
      </c>
      <c r="AH51" s="361">
        <f t="shared" si="39"/>
        <v>5983</v>
      </c>
      <c r="AI51" s="361">
        <f t="shared" si="39"/>
        <v>5994</v>
      </c>
      <c r="AJ51" s="361">
        <f t="shared" si="39"/>
        <v>5949</v>
      </c>
      <c r="AK51" s="361">
        <f t="shared" si="39"/>
        <v>5931</v>
      </c>
      <c r="AL51" s="361">
        <f t="shared" si="39"/>
        <v>5924</v>
      </c>
      <c r="AM51" s="361">
        <f t="shared" si="39"/>
        <v>5922</v>
      </c>
      <c r="AN51" s="361">
        <f t="shared" si="39"/>
        <v>5883</v>
      </c>
      <c r="AO51" s="361">
        <f t="shared" si="39"/>
        <v>5862</v>
      </c>
      <c r="AP51" s="361">
        <f t="shared" si="39"/>
        <v>5850</v>
      </c>
      <c r="AQ51" s="361">
        <f t="shared" si="39"/>
        <v>5855</v>
      </c>
      <c r="AR51" s="361">
        <f t="shared" si="39"/>
        <v>5831</v>
      </c>
      <c r="AS51" s="361">
        <f t="shared" si="39"/>
        <v>5819</v>
      </c>
      <c r="AT51" s="361">
        <f t="shared" si="39"/>
        <v>5818</v>
      </c>
    </row>
    <row r="52" spans="2:46">
      <c r="B52" s="494" t="s">
        <v>540</v>
      </c>
      <c r="C52" s="361">
        <f t="shared" ref="C52:I52" si="40">IF($C$6=1,C36,C37)</f>
        <v>937.28</v>
      </c>
      <c r="D52" s="361">
        <f t="shared" si="40"/>
        <v>930.54</v>
      </c>
      <c r="E52" s="361">
        <f t="shared" si="40"/>
        <v>923.6400000000001</v>
      </c>
      <c r="F52" s="361">
        <f t="shared" si="40"/>
        <v>908.6</v>
      </c>
      <c r="G52" s="361">
        <f t="shared" si="40"/>
        <v>887</v>
      </c>
      <c r="H52" s="361">
        <f t="shared" si="40"/>
        <v>877</v>
      </c>
      <c r="I52" s="361">
        <f t="shared" si="40"/>
        <v>866</v>
      </c>
      <c r="K52" s="361">
        <f t="shared" ref="K52:AC52" si="41">IF($C$6=1,K36,K37)</f>
        <v>916.80000000000007</v>
      </c>
      <c r="L52" s="361">
        <f t="shared" si="41"/>
        <v>913.84</v>
      </c>
      <c r="M52" s="361">
        <f t="shared" si="41"/>
        <v>908.08</v>
      </c>
      <c r="N52" s="361">
        <f t="shared" si="41"/>
        <v>908.6</v>
      </c>
      <c r="O52" s="361">
        <f t="shared" si="41"/>
        <v>890.69999999999993</v>
      </c>
      <c r="P52" s="361">
        <f t="shared" si="41"/>
        <v>887</v>
      </c>
      <c r="Q52" s="361">
        <f t="shared" si="41"/>
        <v>885</v>
      </c>
      <c r="R52" s="361">
        <f t="shared" si="41"/>
        <v>887</v>
      </c>
      <c r="S52" s="361">
        <f t="shared" si="41"/>
        <v>883</v>
      </c>
      <c r="T52" s="361">
        <f t="shared" si="41"/>
        <v>879</v>
      </c>
      <c r="U52" s="361">
        <f t="shared" si="41"/>
        <v>875</v>
      </c>
      <c r="V52" s="361">
        <f t="shared" si="41"/>
        <v>877</v>
      </c>
      <c r="W52" s="361">
        <f t="shared" si="41"/>
        <v>869</v>
      </c>
      <c r="X52" s="361">
        <f t="shared" si="41"/>
        <v>866</v>
      </c>
      <c r="Y52" s="361">
        <f t="shared" si="41"/>
        <v>865</v>
      </c>
      <c r="Z52" s="361">
        <f t="shared" si="41"/>
        <v>866</v>
      </c>
      <c r="AA52" s="361">
        <f t="shared" si="41"/>
        <v>859</v>
      </c>
      <c r="AB52" s="361">
        <f t="shared" si="41"/>
        <v>852</v>
      </c>
      <c r="AC52" s="361">
        <f t="shared" si="41"/>
        <v>845</v>
      </c>
      <c r="AE52" s="361">
        <f t="shared" ref="AE52:AT52" si="42">IF($C$6=1,AE36,AE37)</f>
        <v>908.6</v>
      </c>
      <c r="AF52" s="361">
        <f t="shared" si="42"/>
        <v>890.69999999999993</v>
      </c>
      <c r="AG52" s="361">
        <f t="shared" si="42"/>
        <v>887</v>
      </c>
      <c r="AH52" s="361">
        <f t="shared" si="42"/>
        <v>885</v>
      </c>
      <c r="AI52" s="361">
        <f t="shared" si="42"/>
        <v>887</v>
      </c>
      <c r="AJ52" s="361">
        <f t="shared" si="42"/>
        <v>883</v>
      </c>
      <c r="AK52" s="361">
        <f t="shared" si="42"/>
        <v>879</v>
      </c>
      <c r="AL52" s="361">
        <f t="shared" si="42"/>
        <v>875</v>
      </c>
      <c r="AM52" s="361">
        <f t="shared" si="42"/>
        <v>877</v>
      </c>
      <c r="AN52" s="361">
        <f t="shared" si="42"/>
        <v>869</v>
      </c>
      <c r="AO52" s="361">
        <f t="shared" si="42"/>
        <v>866</v>
      </c>
      <c r="AP52" s="361">
        <f t="shared" si="42"/>
        <v>865</v>
      </c>
      <c r="AQ52" s="361">
        <f t="shared" si="42"/>
        <v>866</v>
      </c>
      <c r="AR52" s="361">
        <f t="shared" si="42"/>
        <v>859</v>
      </c>
      <c r="AS52" s="361">
        <f t="shared" si="42"/>
        <v>852</v>
      </c>
      <c r="AT52" s="361">
        <f t="shared" si="42"/>
        <v>845</v>
      </c>
    </row>
    <row r="53" spans="2:46">
      <c r="B53" s="494" t="s">
        <v>555</v>
      </c>
      <c r="C53" s="361">
        <f t="shared" ref="C53:I53" si="43">IF($C$6=1,C54*20,C54)</f>
        <v>13.78</v>
      </c>
      <c r="D53" s="361">
        <f t="shared" si="43"/>
        <v>8.26</v>
      </c>
      <c r="E53" s="361">
        <f t="shared" si="43"/>
        <v>1.7399999999999998</v>
      </c>
      <c r="F53" s="361">
        <f t="shared" si="43"/>
        <v>0.3</v>
      </c>
      <c r="G53" s="361">
        <f t="shared" si="43"/>
        <v>0</v>
      </c>
      <c r="H53" s="361">
        <f t="shared" si="43"/>
        <v>0</v>
      </c>
      <c r="I53" s="361">
        <f t="shared" si="43"/>
        <v>0</v>
      </c>
      <c r="K53" s="361">
        <f t="shared" ref="K53:P53" si="44">IF($C$6=1,K54*20,K54)</f>
        <v>0.36</v>
      </c>
      <c r="L53" s="361">
        <f t="shared" si="44"/>
        <v>0.3</v>
      </c>
      <c r="M53" s="361">
        <f t="shared" si="44"/>
        <v>0.28000000000000003</v>
      </c>
      <c r="N53" s="361">
        <f t="shared" si="44"/>
        <v>0.25999999999999995</v>
      </c>
      <c r="O53" s="361">
        <f t="shared" si="44"/>
        <v>0.1</v>
      </c>
      <c r="P53" s="361">
        <f t="shared" si="44"/>
        <v>0</v>
      </c>
      <c r="Q53" s="361">
        <f>Q54</f>
        <v>0</v>
      </c>
      <c r="R53" s="361">
        <f t="shared" ref="R53:AE53" si="45">R54</f>
        <v>0</v>
      </c>
      <c r="S53" s="361">
        <f t="shared" si="45"/>
        <v>0</v>
      </c>
      <c r="T53" s="361">
        <f t="shared" si="45"/>
        <v>0</v>
      </c>
      <c r="U53" s="361">
        <f t="shared" si="45"/>
        <v>0</v>
      </c>
      <c r="V53" s="361">
        <f t="shared" si="45"/>
        <v>0</v>
      </c>
      <c r="W53" s="361">
        <f t="shared" si="45"/>
        <v>0</v>
      </c>
      <c r="X53" s="361">
        <f t="shared" si="45"/>
        <v>0</v>
      </c>
      <c r="Y53" s="361">
        <f t="shared" si="45"/>
        <v>0</v>
      </c>
      <c r="Z53" s="361">
        <f t="shared" si="45"/>
        <v>0</v>
      </c>
      <c r="AA53" s="361">
        <f t="shared" si="45"/>
        <v>0</v>
      </c>
      <c r="AB53" s="361">
        <f t="shared" si="45"/>
        <v>0</v>
      </c>
      <c r="AC53" s="361">
        <f t="shared" si="45"/>
        <v>0</v>
      </c>
      <c r="AE53" s="361">
        <f t="shared" si="45"/>
        <v>1.2999999999999998E-2</v>
      </c>
      <c r="AF53" s="361">
        <f t="shared" ref="AF53:AT53" si="46">AF54</f>
        <v>5.0000000000000001E-3</v>
      </c>
      <c r="AG53" s="361">
        <f t="shared" si="46"/>
        <v>0</v>
      </c>
      <c r="AH53" s="361">
        <f t="shared" si="46"/>
        <v>0</v>
      </c>
      <c r="AI53" s="361">
        <f t="shared" si="46"/>
        <v>0</v>
      </c>
      <c r="AJ53" s="361">
        <f t="shared" si="46"/>
        <v>0</v>
      </c>
      <c r="AK53" s="361">
        <f t="shared" si="46"/>
        <v>0</v>
      </c>
      <c r="AL53" s="361">
        <f t="shared" si="46"/>
        <v>0</v>
      </c>
      <c r="AM53" s="361">
        <f t="shared" si="46"/>
        <v>0</v>
      </c>
      <c r="AN53" s="361">
        <f t="shared" si="46"/>
        <v>0</v>
      </c>
      <c r="AO53" s="361">
        <f t="shared" si="46"/>
        <v>0</v>
      </c>
      <c r="AP53" s="361">
        <f t="shared" si="46"/>
        <v>0</v>
      </c>
      <c r="AQ53" s="361">
        <f t="shared" si="46"/>
        <v>0</v>
      </c>
      <c r="AR53" s="361">
        <f t="shared" si="46"/>
        <v>0</v>
      </c>
      <c r="AS53" s="361">
        <f t="shared" si="46"/>
        <v>0</v>
      </c>
      <c r="AT53" s="361">
        <f t="shared" si="46"/>
        <v>0</v>
      </c>
    </row>
    <row r="54" spans="2:46" outlineLevel="1">
      <c r="B54" s="494" t="s">
        <v>553</v>
      </c>
      <c r="C54" s="467">
        <v>0.68899999999999995</v>
      </c>
      <c r="D54" s="467">
        <v>0.41299999999999998</v>
      </c>
      <c r="E54" s="467">
        <v>8.6999999999999994E-2</v>
      </c>
      <c r="F54" s="467">
        <v>1.4999999999999999E-2</v>
      </c>
      <c r="G54" s="467">
        <v>0</v>
      </c>
      <c r="H54" s="467">
        <v>0</v>
      </c>
      <c r="I54" s="467">
        <v>0</v>
      </c>
      <c r="K54" s="467">
        <v>1.7999999999999999E-2</v>
      </c>
      <c r="L54" s="467">
        <v>1.4999999999999999E-2</v>
      </c>
      <c r="M54" s="467">
        <v>1.4E-2</v>
      </c>
      <c r="N54" s="361">
        <f>SUM(F54*4)-SUM(K54:M54)</f>
        <v>1.2999999999999998E-2</v>
      </c>
      <c r="O54" s="467">
        <v>5.0000000000000001E-3</v>
      </c>
      <c r="P54" s="467">
        <v>0</v>
      </c>
      <c r="Q54" s="467">
        <v>0</v>
      </c>
      <c r="R54" s="361">
        <f>G54</f>
        <v>0</v>
      </c>
      <c r="S54" s="467">
        <v>0</v>
      </c>
      <c r="T54" s="467">
        <v>0</v>
      </c>
      <c r="U54" s="467">
        <v>0</v>
      </c>
      <c r="V54" s="361">
        <f>H54</f>
        <v>0</v>
      </c>
      <c r="W54" s="467">
        <v>0</v>
      </c>
      <c r="X54" s="467">
        <v>0</v>
      </c>
      <c r="Y54" s="467">
        <v>0</v>
      </c>
      <c r="Z54" s="361">
        <f>I54</f>
        <v>0</v>
      </c>
      <c r="AA54" s="467">
        <v>0</v>
      </c>
      <c r="AB54" s="467">
        <v>0</v>
      </c>
      <c r="AC54" s="467">
        <v>0</v>
      </c>
      <c r="AE54" s="361">
        <f>N54</f>
        <v>1.2999999999999998E-2</v>
      </c>
      <c r="AF54" s="361">
        <f t="shared" ref="AF54:AT54" si="47">O54</f>
        <v>5.0000000000000001E-3</v>
      </c>
      <c r="AG54" s="361">
        <f t="shared" si="47"/>
        <v>0</v>
      </c>
      <c r="AH54" s="361">
        <f t="shared" si="47"/>
        <v>0</v>
      </c>
      <c r="AI54" s="361">
        <f t="shared" si="47"/>
        <v>0</v>
      </c>
      <c r="AJ54" s="361">
        <f t="shared" si="47"/>
        <v>0</v>
      </c>
      <c r="AK54" s="361">
        <f t="shared" si="47"/>
        <v>0</v>
      </c>
      <c r="AL54" s="361">
        <f t="shared" si="47"/>
        <v>0</v>
      </c>
      <c r="AM54" s="361">
        <f t="shared" si="47"/>
        <v>0</v>
      </c>
      <c r="AN54" s="361">
        <f t="shared" si="47"/>
        <v>0</v>
      </c>
      <c r="AO54" s="361">
        <f t="shared" si="47"/>
        <v>0</v>
      </c>
      <c r="AP54" s="361">
        <f t="shared" si="47"/>
        <v>0</v>
      </c>
      <c r="AQ54" s="361">
        <f t="shared" si="47"/>
        <v>0</v>
      </c>
      <c r="AR54" s="361">
        <f t="shared" si="47"/>
        <v>0</v>
      </c>
      <c r="AS54" s="361">
        <f t="shared" si="47"/>
        <v>0</v>
      </c>
      <c r="AT54" s="361">
        <f t="shared" si="47"/>
        <v>0</v>
      </c>
    </row>
    <row r="55" spans="2:46">
      <c r="B55" s="490" t="s">
        <v>538</v>
      </c>
      <c r="C55" s="489">
        <f t="shared" ref="C55:I55" si="48">C49/C50</f>
        <v>2.1852002739084835</v>
      </c>
      <c r="D55" s="489">
        <f t="shared" si="48"/>
        <v>2.4581194310825714</v>
      </c>
      <c r="E55" s="489">
        <f t="shared" si="48"/>
        <v>2.9306468949734743</v>
      </c>
      <c r="F55" s="489">
        <f t="shared" si="48"/>
        <v>5.6098971815302736</v>
      </c>
      <c r="G55" s="489">
        <f t="shared" si="48"/>
        <v>4.5574771108850456</v>
      </c>
      <c r="H55" s="489">
        <f t="shared" si="48"/>
        <v>5.80055890572143</v>
      </c>
      <c r="I55" s="489">
        <f t="shared" si="48"/>
        <v>8.0513316470763279</v>
      </c>
      <c r="K55" s="489">
        <f t="shared" ref="K55:AT55" si="49">K49/K50</f>
        <v>1.314407860196505</v>
      </c>
      <c r="L55" s="489">
        <f t="shared" si="49"/>
        <v>1.3629719924203907</v>
      </c>
      <c r="M55" s="489">
        <f t="shared" si="49"/>
        <v>1.3995322847801768</v>
      </c>
      <c r="N55" s="489">
        <f t="shared" si="49"/>
        <v>1.5271017171217602</v>
      </c>
      <c r="O55" s="489">
        <f t="shared" si="49"/>
        <v>1.2310951892365034</v>
      </c>
      <c r="P55" s="489">
        <f t="shared" si="49"/>
        <v>1.2086351782092146</v>
      </c>
      <c r="Q55" s="489">
        <f t="shared" si="49"/>
        <v>1.0620267909143855</v>
      </c>
      <c r="R55" s="489">
        <f t="shared" si="49"/>
        <v>1.0505740444702805</v>
      </c>
      <c r="S55" s="489">
        <f t="shared" si="49"/>
        <v>1.1737412177985949</v>
      </c>
      <c r="T55" s="489">
        <f t="shared" si="49"/>
        <v>1.4390602055800295</v>
      </c>
      <c r="U55" s="489">
        <f t="shared" si="49"/>
        <v>1.5508162965141932</v>
      </c>
      <c r="V55" s="489">
        <f t="shared" si="49"/>
        <v>1.6289160170613326</v>
      </c>
      <c r="W55" s="489">
        <f t="shared" si="49"/>
        <v>1.8889218009478672</v>
      </c>
      <c r="X55" s="489">
        <f t="shared" si="49"/>
        <v>1.8929845422116527</v>
      </c>
      <c r="Y55" s="489">
        <f t="shared" si="49"/>
        <v>2.1201787043931497</v>
      </c>
      <c r="Z55" s="489">
        <f t="shared" si="49"/>
        <v>2.1404552893914595</v>
      </c>
      <c r="AA55" s="489">
        <f t="shared" si="49"/>
        <v>2.8121076233183855</v>
      </c>
      <c r="AB55" s="489">
        <f t="shared" si="49"/>
        <v>2.3128466496777094</v>
      </c>
      <c r="AC55" s="489">
        <f t="shared" si="49"/>
        <v>2.8685276902296262</v>
      </c>
      <c r="AE55" s="489">
        <f t="shared" si="49"/>
        <v>5.6101300208696898</v>
      </c>
      <c r="AF55" s="489">
        <f t="shared" si="49"/>
        <v>5.5323962195654799</v>
      </c>
      <c r="AG55" s="489">
        <f t="shared" si="49"/>
        <v>5.3723558388872794</v>
      </c>
      <c r="AH55" s="489">
        <f t="shared" si="49"/>
        <v>5.0511065812463602</v>
      </c>
      <c r="AI55" s="489">
        <f t="shared" si="49"/>
        <v>4.5574771108850456</v>
      </c>
      <c r="AJ55" s="489">
        <f t="shared" si="49"/>
        <v>4.5204918032786887</v>
      </c>
      <c r="AK55" s="489">
        <f t="shared" si="49"/>
        <v>4.7491923641703373</v>
      </c>
      <c r="AL55" s="489">
        <f t="shared" si="49"/>
        <v>5.2348874834534493</v>
      </c>
      <c r="AM55" s="489">
        <f t="shared" si="49"/>
        <v>5.80055890572143</v>
      </c>
      <c r="AN55" s="489">
        <f t="shared" si="49"/>
        <v>6.5422097156398102</v>
      </c>
      <c r="AO55" s="489">
        <f t="shared" si="49"/>
        <v>7.0019322235434007</v>
      </c>
      <c r="AP55" s="489">
        <f t="shared" si="49"/>
        <v>7.5654504839910643</v>
      </c>
      <c r="AQ55" s="489">
        <f t="shared" si="49"/>
        <v>8.0513316470763279</v>
      </c>
      <c r="AR55" s="489">
        <f t="shared" si="49"/>
        <v>8.9943198804185354</v>
      </c>
      <c r="AS55" s="489">
        <f t="shared" si="49"/>
        <v>9.4236246439814124</v>
      </c>
      <c r="AT55" s="489">
        <f t="shared" si="49"/>
        <v>10.166741707939366</v>
      </c>
    </row>
    <row r="57" spans="2:46">
      <c r="B57" s="486" t="s">
        <v>533</v>
      </c>
      <c r="K57" s="89"/>
    </row>
    <row r="58" spans="2:46">
      <c r="B58" s="487" t="s">
        <v>535</v>
      </c>
      <c r="C58" s="467">
        <v>2048</v>
      </c>
      <c r="D58" s="467">
        <v>2287</v>
      </c>
      <c r="E58" s="467">
        <v>2707</v>
      </c>
      <c r="F58" s="467">
        <v>5097</v>
      </c>
      <c r="G58" s="467">
        <v>4042</v>
      </c>
      <c r="H58" s="467">
        <v>5087</v>
      </c>
      <c r="I58" s="467">
        <v>6972</v>
      </c>
      <c r="K58" s="89">
        <v>1205</v>
      </c>
      <c r="L58" s="89">
        <v>1246</v>
      </c>
      <c r="M58" s="89">
        <v>1271</v>
      </c>
      <c r="N58" s="361">
        <f>SUM(F58-SUM(K58:M58))</f>
        <v>1375</v>
      </c>
      <c r="O58" s="89">
        <v>1097</v>
      </c>
      <c r="P58" s="89">
        <v>1072</v>
      </c>
      <c r="Q58" s="89">
        <v>940</v>
      </c>
      <c r="R58" s="361">
        <f>SUM(G58-SUM(O58:Q58))</f>
        <v>933</v>
      </c>
      <c r="S58" s="89">
        <v>1036</v>
      </c>
      <c r="T58" s="89">
        <v>1265</v>
      </c>
      <c r="U58" s="89">
        <v>1357</v>
      </c>
      <c r="V58" s="361">
        <f>SUM(H58-SUM(S58:U58))</f>
        <v>1429</v>
      </c>
      <c r="W58" s="89">
        <v>1641</v>
      </c>
      <c r="X58" s="89">
        <v>1639</v>
      </c>
      <c r="Y58" s="89">
        <v>1834</v>
      </c>
      <c r="Z58" s="361">
        <f>SUM(I58-SUM(W58:Y58))</f>
        <v>1858</v>
      </c>
      <c r="AA58" s="89">
        <v>2415</v>
      </c>
      <c r="AB58" s="89">
        <v>1970</v>
      </c>
      <c r="AC58" s="89">
        <v>2423</v>
      </c>
      <c r="AE58" s="361">
        <f>SUM(K58:N58)</f>
        <v>5097</v>
      </c>
      <c r="AF58" s="361">
        <f t="shared" ref="AF58:AT58" si="50">SUM(L58:O58)</f>
        <v>4989</v>
      </c>
      <c r="AG58" s="361">
        <f t="shared" si="50"/>
        <v>4815</v>
      </c>
      <c r="AH58" s="361">
        <f t="shared" si="50"/>
        <v>4484</v>
      </c>
      <c r="AI58" s="361">
        <f t="shared" si="50"/>
        <v>4042</v>
      </c>
      <c r="AJ58" s="361">
        <f t="shared" si="50"/>
        <v>3981</v>
      </c>
      <c r="AK58" s="361">
        <f t="shared" si="50"/>
        <v>4174</v>
      </c>
      <c r="AL58" s="361">
        <f t="shared" si="50"/>
        <v>4591</v>
      </c>
      <c r="AM58" s="361">
        <f t="shared" si="50"/>
        <v>5087</v>
      </c>
      <c r="AN58" s="361">
        <f t="shared" si="50"/>
        <v>5692</v>
      </c>
      <c r="AO58" s="361">
        <f t="shared" si="50"/>
        <v>6066</v>
      </c>
      <c r="AP58" s="361">
        <f t="shared" si="50"/>
        <v>6543</v>
      </c>
      <c r="AQ58" s="361">
        <f t="shared" si="50"/>
        <v>6972</v>
      </c>
      <c r="AR58" s="361">
        <f t="shared" si="50"/>
        <v>7746</v>
      </c>
      <c r="AS58" s="361">
        <f t="shared" si="50"/>
        <v>8077</v>
      </c>
      <c r="AT58" s="361">
        <f t="shared" si="50"/>
        <v>8666</v>
      </c>
    </row>
    <row r="59" spans="2:46">
      <c r="B59" s="487" t="s">
        <v>94</v>
      </c>
      <c r="C59" s="34">
        <f t="shared" ref="C59:I59" si="51">SUM(C60:C60)</f>
        <v>937.28</v>
      </c>
      <c r="D59" s="34">
        <f t="shared" si="51"/>
        <v>930.54</v>
      </c>
      <c r="E59" s="34">
        <f t="shared" si="51"/>
        <v>923.6400000000001</v>
      </c>
      <c r="F59" s="34">
        <f t="shared" si="51"/>
        <v>908.6</v>
      </c>
      <c r="G59" s="34">
        <f t="shared" si="51"/>
        <v>887</v>
      </c>
      <c r="H59" s="34">
        <f t="shared" si="51"/>
        <v>877</v>
      </c>
      <c r="I59" s="34">
        <f t="shared" si="51"/>
        <v>866</v>
      </c>
      <c r="K59" s="34">
        <f t="shared" ref="K59:AE59" si="52">SUM(K60:K60)</f>
        <v>916.80000000000007</v>
      </c>
      <c r="L59" s="34">
        <f t="shared" si="52"/>
        <v>913.84</v>
      </c>
      <c r="M59" s="34">
        <f t="shared" si="52"/>
        <v>908.08</v>
      </c>
      <c r="N59" s="34">
        <f t="shared" si="52"/>
        <v>908.6</v>
      </c>
      <c r="O59" s="34">
        <f t="shared" si="52"/>
        <v>890.69999999999993</v>
      </c>
      <c r="P59" s="34">
        <f t="shared" si="52"/>
        <v>887</v>
      </c>
      <c r="Q59" s="34">
        <f t="shared" si="52"/>
        <v>885</v>
      </c>
      <c r="R59" s="34">
        <f t="shared" si="52"/>
        <v>887</v>
      </c>
      <c r="S59" s="34">
        <f t="shared" si="52"/>
        <v>883</v>
      </c>
      <c r="T59" s="34">
        <f t="shared" si="52"/>
        <v>879</v>
      </c>
      <c r="U59" s="34">
        <f t="shared" si="52"/>
        <v>875</v>
      </c>
      <c r="V59" s="34">
        <f t="shared" si="52"/>
        <v>877</v>
      </c>
      <c r="W59" s="34">
        <f t="shared" si="52"/>
        <v>869</v>
      </c>
      <c r="X59" s="34">
        <f t="shared" si="52"/>
        <v>866</v>
      </c>
      <c r="Y59" s="34">
        <f t="shared" si="52"/>
        <v>865</v>
      </c>
      <c r="Z59" s="34">
        <f t="shared" si="52"/>
        <v>866</v>
      </c>
      <c r="AA59" s="34">
        <f t="shared" si="52"/>
        <v>859</v>
      </c>
      <c r="AB59" s="34">
        <f t="shared" si="52"/>
        <v>852</v>
      </c>
      <c r="AC59" s="34">
        <f t="shared" si="52"/>
        <v>845</v>
      </c>
      <c r="AE59" s="34">
        <f t="shared" si="52"/>
        <v>908.6</v>
      </c>
      <c r="AF59" s="34">
        <f t="shared" ref="AF59:AT59" si="53">SUM(AF60:AF60)</f>
        <v>890.69999999999993</v>
      </c>
      <c r="AG59" s="34">
        <f t="shared" si="53"/>
        <v>887</v>
      </c>
      <c r="AH59" s="34">
        <f t="shared" si="53"/>
        <v>885</v>
      </c>
      <c r="AI59" s="34">
        <f t="shared" si="53"/>
        <v>887</v>
      </c>
      <c r="AJ59" s="34">
        <f t="shared" si="53"/>
        <v>883</v>
      </c>
      <c r="AK59" s="34">
        <f t="shared" si="53"/>
        <v>879</v>
      </c>
      <c r="AL59" s="34">
        <f t="shared" si="53"/>
        <v>875</v>
      </c>
      <c r="AM59" s="34">
        <f t="shared" si="53"/>
        <v>877</v>
      </c>
      <c r="AN59" s="34">
        <f t="shared" si="53"/>
        <v>869</v>
      </c>
      <c r="AO59" s="34">
        <f t="shared" si="53"/>
        <v>866</v>
      </c>
      <c r="AP59" s="34">
        <f t="shared" si="53"/>
        <v>865</v>
      </c>
      <c r="AQ59" s="34">
        <f t="shared" si="53"/>
        <v>866</v>
      </c>
      <c r="AR59" s="34">
        <f t="shared" si="53"/>
        <v>859</v>
      </c>
      <c r="AS59" s="34">
        <f t="shared" si="53"/>
        <v>852</v>
      </c>
      <c r="AT59" s="34">
        <f t="shared" si="53"/>
        <v>845</v>
      </c>
    </row>
    <row r="60" spans="2:46">
      <c r="B60" s="494" t="s">
        <v>539</v>
      </c>
      <c r="C60" s="361">
        <f t="shared" ref="C60:I60" si="54">IF($C$6=1,C36,C37)</f>
        <v>937.28</v>
      </c>
      <c r="D60" s="361">
        <f t="shared" si="54"/>
        <v>930.54</v>
      </c>
      <c r="E60" s="361">
        <f t="shared" si="54"/>
        <v>923.6400000000001</v>
      </c>
      <c r="F60" s="361">
        <f t="shared" si="54"/>
        <v>908.6</v>
      </c>
      <c r="G60" s="361">
        <f t="shared" si="54"/>
        <v>887</v>
      </c>
      <c r="H60" s="361">
        <f t="shared" si="54"/>
        <v>877</v>
      </c>
      <c r="I60" s="361">
        <f t="shared" si="54"/>
        <v>866</v>
      </c>
      <c r="K60" s="361">
        <f t="shared" ref="K60:Q60" si="55">IF($C$6=1,K36,K37)</f>
        <v>916.80000000000007</v>
      </c>
      <c r="L60" s="361">
        <f t="shared" si="55"/>
        <v>913.84</v>
      </c>
      <c r="M60" s="361">
        <f t="shared" si="55"/>
        <v>908.08</v>
      </c>
      <c r="N60" s="361">
        <f t="shared" si="55"/>
        <v>908.6</v>
      </c>
      <c r="O60" s="361">
        <f t="shared" si="55"/>
        <v>890.69999999999993</v>
      </c>
      <c r="P60" s="361">
        <f t="shared" si="55"/>
        <v>887</v>
      </c>
      <c r="Q60" s="361">
        <f t="shared" si="55"/>
        <v>885</v>
      </c>
      <c r="R60" s="361">
        <f>G60</f>
        <v>887</v>
      </c>
      <c r="S60" s="361">
        <f t="shared" ref="S60:AC60" si="56">IF($C$6=1,S36,S37)</f>
        <v>883</v>
      </c>
      <c r="T60" s="361">
        <f t="shared" si="56"/>
        <v>879</v>
      </c>
      <c r="U60" s="361">
        <f t="shared" si="56"/>
        <v>875</v>
      </c>
      <c r="V60" s="361">
        <f t="shared" si="56"/>
        <v>877</v>
      </c>
      <c r="W60" s="361">
        <f t="shared" si="56"/>
        <v>869</v>
      </c>
      <c r="X60" s="361">
        <f t="shared" si="56"/>
        <v>866</v>
      </c>
      <c r="Y60" s="361">
        <f t="shared" si="56"/>
        <v>865</v>
      </c>
      <c r="Z60" s="361">
        <f t="shared" si="56"/>
        <v>866</v>
      </c>
      <c r="AA60" s="361">
        <f t="shared" si="56"/>
        <v>859</v>
      </c>
      <c r="AB60" s="361">
        <f t="shared" si="56"/>
        <v>852</v>
      </c>
      <c r="AC60" s="361">
        <f t="shared" si="56"/>
        <v>845</v>
      </c>
      <c r="AE60" s="361">
        <f>N60</f>
        <v>908.6</v>
      </c>
      <c r="AF60" s="361">
        <f t="shared" ref="AF60:AT60" si="57">O60</f>
        <v>890.69999999999993</v>
      </c>
      <c r="AG60" s="361">
        <f t="shared" si="57"/>
        <v>887</v>
      </c>
      <c r="AH60" s="361">
        <f t="shared" si="57"/>
        <v>885</v>
      </c>
      <c r="AI60" s="361">
        <f t="shared" si="57"/>
        <v>887</v>
      </c>
      <c r="AJ60" s="361">
        <f t="shared" si="57"/>
        <v>883</v>
      </c>
      <c r="AK60" s="361">
        <f t="shared" si="57"/>
        <v>879</v>
      </c>
      <c r="AL60" s="361">
        <f t="shared" si="57"/>
        <v>875</v>
      </c>
      <c r="AM60" s="361">
        <f t="shared" si="57"/>
        <v>877</v>
      </c>
      <c r="AN60" s="361">
        <f t="shared" si="57"/>
        <v>869</v>
      </c>
      <c r="AO60" s="361">
        <f t="shared" si="57"/>
        <v>866</v>
      </c>
      <c r="AP60" s="361">
        <f t="shared" si="57"/>
        <v>865</v>
      </c>
      <c r="AQ60" s="361">
        <f t="shared" si="57"/>
        <v>866</v>
      </c>
      <c r="AR60" s="361">
        <f t="shared" si="57"/>
        <v>859</v>
      </c>
      <c r="AS60" s="361">
        <f t="shared" si="57"/>
        <v>852</v>
      </c>
      <c r="AT60" s="361">
        <f t="shared" si="57"/>
        <v>845</v>
      </c>
    </row>
    <row r="61" spans="2:46">
      <c r="B61" s="490" t="s">
        <v>538</v>
      </c>
      <c r="C61" s="489">
        <f t="shared" ref="C61:I61" si="58">C58/C59</f>
        <v>2.1850460908159781</v>
      </c>
      <c r="D61" s="489">
        <f t="shared" si="58"/>
        <v>2.4577127259440754</v>
      </c>
      <c r="E61" s="489">
        <f t="shared" si="58"/>
        <v>2.9307955480490233</v>
      </c>
      <c r="F61" s="489">
        <f t="shared" si="58"/>
        <v>5.6097292537970507</v>
      </c>
      <c r="G61" s="489">
        <f t="shared" si="58"/>
        <v>4.5569334836527622</v>
      </c>
      <c r="H61" s="489">
        <f t="shared" si="58"/>
        <v>5.8004561003420756</v>
      </c>
      <c r="I61" s="489">
        <f t="shared" si="58"/>
        <v>8.0508083140877602</v>
      </c>
      <c r="K61" s="489">
        <f t="shared" ref="K61:AT61" si="59">K58/K59</f>
        <v>1.3143542757417102</v>
      </c>
      <c r="L61" s="489">
        <f t="shared" si="59"/>
        <v>1.3634771951326272</v>
      </c>
      <c r="M61" s="489">
        <f t="shared" si="59"/>
        <v>1.3996564179367457</v>
      </c>
      <c r="N61" s="489">
        <f t="shared" si="59"/>
        <v>1.513317191283293</v>
      </c>
      <c r="O61" s="489">
        <f t="shared" si="59"/>
        <v>1.23161558324913</v>
      </c>
      <c r="P61" s="489">
        <f t="shared" si="59"/>
        <v>1.2085682074408117</v>
      </c>
      <c r="Q61" s="489">
        <f t="shared" si="59"/>
        <v>1.0621468926553672</v>
      </c>
      <c r="R61" s="489">
        <f t="shared" si="59"/>
        <v>1.0518602029312289</v>
      </c>
      <c r="S61" s="489">
        <f t="shared" si="59"/>
        <v>1.1732729331823331</v>
      </c>
      <c r="T61" s="489">
        <f t="shared" si="59"/>
        <v>1.4391353811149032</v>
      </c>
      <c r="U61" s="489">
        <f t="shared" si="59"/>
        <v>1.5508571428571429</v>
      </c>
      <c r="V61" s="489">
        <f t="shared" si="59"/>
        <v>1.629418472063854</v>
      </c>
      <c r="W61" s="489">
        <f t="shared" si="59"/>
        <v>1.8883774453394706</v>
      </c>
      <c r="X61" s="489">
        <f t="shared" si="59"/>
        <v>1.8926096997690531</v>
      </c>
      <c r="Y61" s="489">
        <f t="shared" si="59"/>
        <v>2.1202312138728323</v>
      </c>
      <c r="Z61" s="489">
        <f t="shared" si="59"/>
        <v>2.1454965357967666</v>
      </c>
      <c r="AA61" s="489">
        <f t="shared" si="59"/>
        <v>2.8114086146682187</v>
      </c>
      <c r="AB61" s="489">
        <f t="shared" si="59"/>
        <v>2.312206572769953</v>
      </c>
      <c r="AC61" s="489">
        <f t="shared" si="59"/>
        <v>2.867455621301775</v>
      </c>
      <c r="AE61" s="489">
        <f t="shared" si="59"/>
        <v>5.6097292537970507</v>
      </c>
      <c r="AF61" s="489">
        <f t="shared" si="59"/>
        <v>5.6012125294712032</v>
      </c>
      <c r="AG61" s="489">
        <f t="shared" si="59"/>
        <v>5.4284103720405863</v>
      </c>
      <c r="AH61" s="489">
        <f t="shared" si="59"/>
        <v>5.0666666666666664</v>
      </c>
      <c r="AI61" s="489">
        <f t="shared" si="59"/>
        <v>4.5569334836527622</v>
      </c>
      <c r="AJ61" s="489">
        <f t="shared" si="59"/>
        <v>4.508493771234428</v>
      </c>
      <c r="AK61" s="489">
        <f t="shared" si="59"/>
        <v>4.7485779294653012</v>
      </c>
      <c r="AL61" s="489">
        <f t="shared" si="59"/>
        <v>5.2468571428571424</v>
      </c>
      <c r="AM61" s="489">
        <f t="shared" si="59"/>
        <v>5.8004561003420756</v>
      </c>
      <c r="AN61" s="489">
        <f t="shared" si="59"/>
        <v>6.5500575373993097</v>
      </c>
      <c r="AO61" s="489">
        <f t="shared" si="59"/>
        <v>7.0046189376443415</v>
      </c>
      <c r="AP61" s="489">
        <f t="shared" si="59"/>
        <v>7.5641618497109828</v>
      </c>
      <c r="AQ61" s="489">
        <f t="shared" si="59"/>
        <v>8.0508083140877602</v>
      </c>
      <c r="AR61" s="489">
        <f t="shared" si="59"/>
        <v>9.0174621653084976</v>
      </c>
      <c r="AS61" s="489">
        <f t="shared" si="59"/>
        <v>9.4800469483568079</v>
      </c>
      <c r="AT61" s="489">
        <f t="shared" si="59"/>
        <v>10.255621301775149</v>
      </c>
    </row>
    <row r="62" spans="2:46">
      <c r="B62" s="27"/>
      <c r="C62" s="493"/>
      <c r="D62" s="493"/>
      <c r="E62" s="493"/>
      <c r="F62" s="493"/>
      <c r="G62" s="493"/>
      <c r="H62" s="493"/>
      <c r="I62" s="493"/>
      <c r="K62" s="493"/>
      <c r="L62" s="493"/>
      <c r="M62" s="493"/>
      <c r="N62" s="493"/>
      <c r="O62" s="493"/>
      <c r="P62" s="493"/>
      <c r="Q62" s="493"/>
      <c r="R62" s="493"/>
      <c r="S62" s="493"/>
      <c r="T62" s="493"/>
      <c r="U62" s="493"/>
      <c r="V62" s="493"/>
      <c r="W62" s="493"/>
      <c r="X62" s="493"/>
      <c r="Y62" s="493"/>
      <c r="Z62" s="493"/>
      <c r="AA62" s="493"/>
      <c r="AB62" s="493"/>
      <c r="AC62" s="493"/>
    </row>
    <row r="63" spans="2:46">
      <c r="B63" s="486" t="s">
        <v>534</v>
      </c>
      <c r="K63" s="89"/>
    </row>
    <row r="64" spans="2:46">
      <c r="B64" s="487" t="s">
        <v>535</v>
      </c>
      <c r="C64" s="467">
        <v>15610</v>
      </c>
      <c r="D64" s="467">
        <v>17316</v>
      </c>
      <c r="E64" s="467">
        <v>19984</v>
      </c>
      <c r="F64" s="467">
        <v>37240</v>
      </c>
      <c r="G64" s="467">
        <v>28612</v>
      </c>
      <c r="H64" s="467">
        <v>34357</v>
      </c>
      <c r="I64" s="467">
        <v>46005</v>
      </c>
      <c r="K64" s="467">
        <v>8817</v>
      </c>
      <c r="L64" s="467">
        <v>9088</v>
      </c>
      <c r="M64" s="467">
        <v>9253</v>
      </c>
      <c r="N64" s="361">
        <f>SUM(F64-SUM(K64:M64))</f>
        <v>10082</v>
      </c>
      <c r="O64" s="467">
        <v>7941</v>
      </c>
      <c r="P64" s="467">
        <v>7660</v>
      </c>
      <c r="Q64" s="467">
        <v>6616</v>
      </c>
      <c r="R64" s="361">
        <f>SUM(G64-SUM(O64:Q64))</f>
        <v>6395</v>
      </c>
      <c r="S64" s="467">
        <v>7032</v>
      </c>
      <c r="T64" s="467">
        <v>8568</v>
      </c>
      <c r="U64" s="467">
        <v>9145</v>
      </c>
      <c r="V64" s="361">
        <f>SUM(H64-SUM(S64:U64))</f>
        <v>9612</v>
      </c>
      <c r="W64" s="467">
        <v>10908</v>
      </c>
      <c r="X64" s="467">
        <v>10883</v>
      </c>
      <c r="Y64" s="467">
        <v>12064</v>
      </c>
      <c r="Z64" s="361">
        <f>SUM(I64-SUM(W64:Y64))</f>
        <v>12150</v>
      </c>
      <c r="AA64" s="467">
        <v>15727</v>
      </c>
      <c r="AB64" s="467">
        <v>12767</v>
      </c>
      <c r="AC64" s="467">
        <v>15866</v>
      </c>
      <c r="AE64" s="361">
        <f>SUM(K64:N64)</f>
        <v>37240</v>
      </c>
      <c r="AF64" s="361">
        <f t="shared" ref="AF64:AT64" si="60">SUM(L64:O64)</f>
        <v>36364</v>
      </c>
      <c r="AG64" s="361">
        <f t="shared" si="60"/>
        <v>34936</v>
      </c>
      <c r="AH64" s="361">
        <f t="shared" si="60"/>
        <v>32299</v>
      </c>
      <c r="AI64" s="361">
        <f t="shared" si="60"/>
        <v>28612</v>
      </c>
      <c r="AJ64" s="361">
        <f t="shared" si="60"/>
        <v>27703</v>
      </c>
      <c r="AK64" s="361">
        <f t="shared" si="60"/>
        <v>28611</v>
      </c>
      <c r="AL64" s="361">
        <f t="shared" si="60"/>
        <v>31140</v>
      </c>
      <c r="AM64" s="361">
        <f t="shared" si="60"/>
        <v>34357</v>
      </c>
      <c r="AN64" s="361">
        <f t="shared" si="60"/>
        <v>38233</v>
      </c>
      <c r="AO64" s="361">
        <f t="shared" si="60"/>
        <v>40548</v>
      </c>
      <c r="AP64" s="361">
        <f t="shared" si="60"/>
        <v>43467</v>
      </c>
      <c r="AQ64" s="361">
        <f t="shared" si="60"/>
        <v>46005</v>
      </c>
      <c r="AR64" s="361">
        <f t="shared" si="60"/>
        <v>50824</v>
      </c>
      <c r="AS64" s="361">
        <f t="shared" si="60"/>
        <v>52708</v>
      </c>
      <c r="AT64" s="361">
        <f t="shared" si="60"/>
        <v>56510</v>
      </c>
    </row>
    <row r="65" spans="2:46">
      <c r="B65" s="487" t="s">
        <v>94</v>
      </c>
      <c r="C65" s="34">
        <f>SUM(C66:C67)</f>
        <v>7143.68</v>
      </c>
      <c r="D65" s="34">
        <f t="shared" ref="D65:K65" si="61">SUM(D66:D67)</f>
        <v>7044.2799999999988</v>
      </c>
      <c r="E65" s="34">
        <f t="shared" si="61"/>
        <v>6818.88</v>
      </c>
      <c r="F65" s="34">
        <f t="shared" si="61"/>
        <v>6638.380000000001</v>
      </c>
      <c r="G65" s="34">
        <f t="shared" si="61"/>
        <v>8102</v>
      </c>
      <c r="H65" s="34">
        <f t="shared" si="61"/>
        <v>7671</v>
      </c>
      <c r="I65" s="34">
        <f t="shared" si="61"/>
        <v>8158</v>
      </c>
      <c r="K65" s="34">
        <f t="shared" si="61"/>
        <v>6708.2599999999993</v>
      </c>
      <c r="L65" s="34">
        <f t="shared" ref="L65:AC65" si="62">SUM(L66:L67)</f>
        <v>6668.4</v>
      </c>
      <c r="M65" s="34">
        <f t="shared" si="62"/>
        <v>6611.6399999999994</v>
      </c>
      <c r="N65" s="34">
        <f t="shared" si="62"/>
        <v>6634.5400000000009</v>
      </c>
      <c r="O65" s="34">
        <f t="shared" si="62"/>
        <v>6450.66</v>
      </c>
      <c r="P65" s="34">
        <f t="shared" si="62"/>
        <v>6337</v>
      </c>
      <c r="Q65" s="34">
        <f t="shared" si="62"/>
        <v>6229</v>
      </c>
      <c r="R65" s="34">
        <f t="shared" si="62"/>
        <v>6278</v>
      </c>
      <c r="S65" s="34">
        <f t="shared" si="62"/>
        <v>5991</v>
      </c>
      <c r="T65" s="34">
        <f t="shared" si="62"/>
        <v>5927</v>
      </c>
      <c r="U65" s="34">
        <f t="shared" si="62"/>
        <v>5897</v>
      </c>
      <c r="V65" s="34">
        <f t="shared" si="62"/>
        <v>5923</v>
      </c>
      <c r="W65" s="34">
        <f t="shared" si="62"/>
        <v>5775</v>
      </c>
      <c r="X65" s="34">
        <f t="shared" si="62"/>
        <v>5767</v>
      </c>
      <c r="Y65" s="34">
        <f t="shared" si="62"/>
        <v>5704</v>
      </c>
      <c r="Z65" s="34">
        <f t="shared" si="62"/>
        <v>5726</v>
      </c>
      <c r="AA65" s="34">
        <f t="shared" si="62"/>
        <v>5601</v>
      </c>
      <c r="AB65" s="34">
        <f t="shared" si="62"/>
        <v>5527</v>
      </c>
      <c r="AC65" s="34">
        <f t="shared" si="62"/>
        <v>5540</v>
      </c>
      <c r="AE65" s="34">
        <f>SUM(AE66:AE67)</f>
        <v>6634.5400000000009</v>
      </c>
      <c r="AF65" s="34">
        <f t="shared" ref="AF65:AT65" si="63">SUM(AF66:AF67)</f>
        <v>6450.66</v>
      </c>
      <c r="AG65" s="34">
        <f t="shared" si="63"/>
        <v>6337</v>
      </c>
      <c r="AH65" s="34">
        <f t="shared" si="63"/>
        <v>6229</v>
      </c>
      <c r="AI65" s="34">
        <f t="shared" si="63"/>
        <v>6278</v>
      </c>
      <c r="AJ65" s="34">
        <f t="shared" si="63"/>
        <v>5991</v>
      </c>
      <c r="AK65" s="34">
        <f t="shared" si="63"/>
        <v>5927</v>
      </c>
      <c r="AL65" s="34">
        <f t="shared" si="63"/>
        <v>5897</v>
      </c>
      <c r="AM65" s="34">
        <f t="shared" si="63"/>
        <v>5923</v>
      </c>
      <c r="AN65" s="34">
        <f t="shared" si="63"/>
        <v>5775</v>
      </c>
      <c r="AO65" s="34">
        <f t="shared" si="63"/>
        <v>5767</v>
      </c>
      <c r="AP65" s="34">
        <f t="shared" si="63"/>
        <v>5704</v>
      </c>
      <c r="AQ65" s="34">
        <f t="shared" si="63"/>
        <v>5726</v>
      </c>
      <c r="AR65" s="34">
        <f t="shared" si="63"/>
        <v>5601</v>
      </c>
      <c r="AS65" s="34">
        <f t="shared" si="63"/>
        <v>5527</v>
      </c>
      <c r="AT65" s="34">
        <f t="shared" si="63"/>
        <v>5540</v>
      </c>
    </row>
    <row r="66" spans="2:46">
      <c r="B66" s="494" t="s">
        <v>552</v>
      </c>
      <c r="C66" s="361">
        <f t="shared" ref="C66:I66" si="64">IF($C$6=1,C42,C43)</f>
        <v>6994.56</v>
      </c>
      <c r="D66" s="361">
        <f t="shared" si="64"/>
        <v>6933.3399999999992</v>
      </c>
      <c r="E66" s="361">
        <f t="shared" si="64"/>
        <v>6696.38</v>
      </c>
      <c r="F66" s="361">
        <f t="shared" si="64"/>
        <v>6438.2000000000007</v>
      </c>
      <c r="G66" s="361">
        <f t="shared" si="64"/>
        <v>6182</v>
      </c>
      <c r="H66" s="361">
        <f t="shared" si="64"/>
        <v>5831</v>
      </c>
      <c r="I66" s="361">
        <f t="shared" si="64"/>
        <v>5598</v>
      </c>
      <c r="K66" s="361">
        <f t="shared" ref="K66:AC66" si="65">IF($C$6=1,K42,K43)</f>
        <v>6531.5999999999995</v>
      </c>
      <c r="L66" s="361">
        <f t="shared" si="65"/>
        <v>6455.62</v>
      </c>
      <c r="M66" s="361">
        <f t="shared" si="65"/>
        <v>6396.7</v>
      </c>
      <c r="N66" s="361">
        <f t="shared" si="65"/>
        <v>6438.2000000000007</v>
      </c>
      <c r="O66" s="361">
        <f t="shared" si="65"/>
        <v>6303.16</v>
      </c>
      <c r="P66" s="361">
        <f t="shared" si="65"/>
        <v>6231</v>
      </c>
      <c r="Q66" s="361">
        <f t="shared" si="65"/>
        <v>6150</v>
      </c>
      <c r="R66" s="361">
        <f t="shared" si="65"/>
        <v>6182</v>
      </c>
      <c r="S66" s="361">
        <f t="shared" si="65"/>
        <v>5949</v>
      </c>
      <c r="T66" s="361">
        <f t="shared" si="65"/>
        <v>5858</v>
      </c>
      <c r="U66" s="361">
        <f t="shared" si="65"/>
        <v>5782</v>
      </c>
      <c r="V66" s="361">
        <f t="shared" si="65"/>
        <v>5831</v>
      </c>
      <c r="W66" s="361">
        <f t="shared" si="65"/>
        <v>5663</v>
      </c>
      <c r="X66" s="361">
        <f t="shared" si="65"/>
        <v>5615</v>
      </c>
      <c r="Y66" s="361">
        <f t="shared" si="65"/>
        <v>5575</v>
      </c>
      <c r="Z66" s="361">
        <f t="shared" si="65"/>
        <v>5598</v>
      </c>
      <c r="AA66" s="361">
        <f t="shared" si="65"/>
        <v>5493</v>
      </c>
      <c r="AB66" s="361">
        <f t="shared" si="65"/>
        <v>5451</v>
      </c>
      <c r="AC66" s="361">
        <f t="shared" si="65"/>
        <v>5423</v>
      </c>
      <c r="AE66" s="361">
        <f>N66</f>
        <v>6438.2000000000007</v>
      </c>
      <c r="AF66" s="361">
        <f t="shared" ref="AF66:AT68" si="66">O66</f>
        <v>6303.16</v>
      </c>
      <c r="AG66" s="361">
        <f t="shared" si="66"/>
        <v>6231</v>
      </c>
      <c r="AH66" s="361">
        <f t="shared" si="66"/>
        <v>6150</v>
      </c>
      <c r="AI66" s="361">
        <f t="shared" si="66"/>
        <v>6182</v>
      </c>
      <c r="AJ66" s="361">
        <f t="shared" si="66"/>
        <v>5949</v>
      </c>
      <c r="AK66" s="361">
        <f t="shared" si="66"/>
        <v>5858</v>
      </c>
      <c r="AL66" s="361">
        <f t="shared" si="66"/>
        <v>5782</v>
      </c>
      <c r="AM66" s="361">
        <f t="shared" si="66"/>
        <v>5831</v>
      </c>
      <c r="AN66" s="361">
        <f t="shared" si="66"/>
        <v>5663</v>
      </c>
      <c r="AO66" s="361">
        <f t="shared" si="66"/>
        <v>5615</v>
      </c>
      <c r="AP66" s="361">
        <f t="shared" si="66"/>
        <v>5575</v>
      </c>
      <c r="AQ66" s="361">
        <f t="shared" si="66"/>
        <v>5598</v>
      </c>
      <c r="AR66" s="361">
        <f t="shared" si="66"/>
        <v>5493</v>
      </c>
      <c r="AS66" s="361">
        <f t="shared" si="66"/>
        <v>5451</v>
      </c>
      <c r="AT66" s="361">
        <f t="shared" si="66"/>
        <v>5423</v>
      </c>
    </row>
    <row r="67" spans="2:46">
      <c r="B67" s="494" t="s">
        <v>555</v>
      </c>
      <c r="C67" s="361">
        <f t="shared" ref="C67:I67" si="67">IF($C$6=1,C68*20,C68)</f>
        <v>149.12</v>
      </c>
      <c r="D67" s="361">
        <f t="shared" si="67"/>
        <v>110.94</v>
      </c>
      <c r="E67" s="361">
        <f t="shared" si="67"/>
        <v>122.5</v>
      </c>
      <c r="F67" s="361">
        <f t="shared" si="67"/>
        <v>200.18</v>
      </c>
      <c r="G67" s="361">
        <f t="shared" si="67"/>
        <v>1920</v>
      </c>
      <c r="H67" s="361">
        <f t="shared" si="67"/>
        <v>1840</v>
      </c>
      <c r="I67" s="361">
        <f t="shared" si="67"/>
        <v>2560</v>
      </c>
      <c r="K67" s="361">
        <f>IF($C$6=1,K68*20,K68)</f>
        <v>176.66</v>
      </c>
      <c r="L67" s="361">
        <f>IF($C$6=1,L68*20,L68)</f>
        <v>212.77999999999997</v>
      </c>
      <c r="M67" s="361">
        <f>IF($C$6=1,M68*20,M68)</f>
        <v>214.94</v>
      </c>
      <c r="N67" s="361">
        <f>IF($C$6=1,N68*20,N68)</f>
        <v>196.34</v>
      </c>
      <c r="O67" s="361">
        <f>IF($C$6=1,O68*20,O68)</f>
        <v>147.5</v>
      </c>
      <c r="P67" s="361">
        <f>P68</f>
        <v>106</v>
      </c>
      <c r="Q67" s="361">
        <f t="shared" ref="Q67:AC67" si="68">Q68</f>
        <v>79</v>
      </c>
      <c r="R67" s="361">
        <f t="shared" si="68"/>
        <v>96</v>
      </c>
      <c r="S67" s="361">
        <f t="shared" si="68"/>
        <v>42</v>
      </c>
      <c r="T67" s="361">
        <f t="shared" si="68"/>
        <v>69</v>
      </c>
      <c r="U67" s="361">
        <f t="shared" si="68"/>
        <v>115</v>
      </c>
      <c r="V67" s="361">
        <f t="shared" si="68"/>
        <v>92</v>
      </c>
      <c r="W67" s="361">
        <f t="shared" si="68"/>
        <v>112</v>
      </c>
      <c r="X67" s="361">
        <f t="shared" si="68"/>
        <v>152</v>
      </c>
      <c r="Y67" s="361">
        <f t="shared" si="68"/>
        <v>129</v>
      </c>
      <c r="Z67" s="361">
        <f t="shared" si="68"/>
        <v>128</v>
      </c>
      <c r="AA67" s="361">
        <f t="shared" si="68"/>
        <v>108</v>
      </c>
      <c r="AB67" s="361">
        <f t="shared" si="68"/>
        <v>76</v>
      </c>
      <c r="AC67" s="361">
        <f t="shared" si="68"/>
        <v>117</v>
      </c>
      <c r="AE67" s="361">
        <f>N67</f>
        <v>196.34</v>
      </c>
      <c r="AF67" s="361">
        <f t="shared" si="66"/>
        <v>147.5</v>
      </c>
      <c r="AG67" s="361">
        <f t="shared" si="66"/>
        <v>106</v>
      </c>
      <c r="AH67" s="361">
        <f t="shared" si="66"/>
        <v>79</v>
      </c>
      <c r="AI67" s="361">
        <f t="shared" si="66"/>
        <v>96</v>
      </c>
      <c r="AJ67" s="361">
        <f t="shared" si="66"/>
        <v>42</v>
      </c>
      <c r="AK67" s="361">
        <f t="shared" si="66"/>
        <v>69</v>
      </c>
      <c r="AL67" s="361">
        <f t="shared" si="66"/>
        <v>115</v>
      </c>
      <c r="AM67" s="361">
        <f t="shared" si="66"/>
        <v>92</v>
      </c>
      <c r="AN67" s="361">
        <f t="shared" si="66"/>
        <v>112</v>
      </c>
      <c r="AO67" s="361">
        <f t="shared" si="66"/>
        <v>152</v>
      </c>
      <c r="AP67" s="361">
        <f t="shared" si="66"/>
        <v>129</v>
      </c>
      <c r="AQ67" s="361">
        <f t="shared" si="66"/>
        <v>128</v>
      </c>
      <c r="AR67" s="361">
        <f t="shared" si="66"/>
        <v>108</v>
      </c>
      <c r="AS67" s="361">
        <f t="shared" si="66"/>
        <v>76</v>
      </c>
      <c r="AT67" s="361">
        <f t="shared" si="66"/>
        <v>117</v>
      </c>
    </row>
    <row r="68" spans="2:46" outlineLevel="1">
      <c r="B68" s="494" t="s">
        <v>553</v>
      </c>
      <c r="C68" s="467">
        <v>7.4560000000000004</v>
      </c>
      <c r="D68" s="467">
        <v>5.5469999999999997</v>
      </c>
      <c r="E68" s="467">
        <v>6.125</v>
      </c>
      <c r="F68" s="467">
        <v>10.009</v>
      </c>
      <c r="G68" s="467">
        <v>96</v>
      </c>
      <c r="H68" s="467">
        <v>92</v>
      </c>
      <c r="I68" s="467">
        <v>128</v>
      </c>
      <c r="K68" s="467">
        <v>8.8330000000000002</v>
      </c>
      <c r="L68" s="467">
        <v>10.638999999999999</v>
      </c>
      <c r="M68" s="467">
        <v>10.747</v>
      </c>
      <c r="N68" s="361">
        <f>SUM(F68*4)-SUM(K68:M68)</f>
        <v>9.8170000000000002</v>
      </c>
      <c r="O68" s="467">
        <v>7.375</v>
      </c>
      <c r="P68" s="467">
        <v>106</v>
      </c>
      <c r="Q68" s="467">
        <v>79</v>
      </c>
      <c r="R68" s="361">
        <f>G68</f>
        <v>96</v>
      </c>
      <c r="S68" s="467">
        <v>42</v>
      </c>
      <c r="T68" s="467">
        <v>69</v>
      </c>
      <c r="U68" s="467">
        <v>115</v>
      </c>
      <c r="V68" s="361">
        <f>H68</f>
        <v>92</v>
      </c>
      <c r="W68" s="467">
        <v>112</v>
      </c>
      <c r="X68" s="467">
        <v>152</v>
      </c>
      <c r="Y68" s="467">
        <v>129</v>
      </c>
      <c r="Z68" s="361">
        <f>I68</f>
        <v>128</v>
      </c>
      <c r="AA68" s="467">
        <v>108</v>
      </c>
      <c r="AB68" s="467">
        <v>76</v>
      </c>
      <c r="AC68" s="467">
        <v>117</v>
      </c>
      <c r="AE68" s="361">
        <f>N68</f>
        <v>9.8170000000000002</v>
      </c>
      <c r="AF68" s="361">
        <f t="shared" si="66"/>
        <v>7.375</v>
      </c>
      <c r="AG68" s="361">
        <f t="shared" si="66"/>
        <v>106</v>
      </c>
      <c r="AH68" s="361">
        <f t="shared" si="66"/>
        <v>79</v>
      </c>
      <c r="AI68" s="361">
        <f t="shared" si="66"/>
        <v>96</v>
      </c>
      <c r="AJ68" s="361">
        <f t="shared" si="66"/>
        <v>42</v>
      </c>
      <c r="AK68" s="361">
        <f t="shared" si="66"/>
        <v>69</v>
      </c>
      <c r="AL68" s="361">
        <f t="shared" si="66"/>
        <v>115</v>
      </c>
      <c r="AM68" s="361">
        <f t="shared" si="66"/>
        <v>92</v>
      </c>
      <c r="AN68" s="361">
        <f t="shared" si="66"/>
        <v>112</v>
      </c>
      <c r="AO68" s="361">
        <f t="shared" si="66"/>
        <v>152</v>
      </c>
      <c r="AP68" s="361">
        <f t="shared" si="66"/>
        <v>129</v>
      </c>
      <c r="AQ68" s="361">
        <f t="shared" si="66"/>
        <v>128</v>
      </c>
      <c r="AR68" s="361">
        <f t="shared" si="66"/>
        <v>108</v>
      </c>
      <c r="AS68" s="361">
        <f t="shared" si="66"/>
        <v>76</v>
      </c>
      <c r="AT68" s="361">
        <f t="shared" si="66"/>
        <v>117</v>
      </c>
    </row>
    <row r="69" spans="2:46">
      <c r="B69" s="490" t="s">
        <v>538</v>
      </c>
      <c r="C69" s="489">
        <f t="shared" ref="C69:I69" si="69">C64/C65</f>
        <v>2.1851482709191901</v>
      </c>
      <c r="D69" s="489">
        <f t="shared" si="69"/>
        <v>2.4581646385436131</v>
      </c>
      <c r="E69" s="489">
        <f t="shared" si="69"/>
        <v>2.930686564362476</v>
      </c>
      <c r="F69" s="489">
        <f t="shared" si="69"/>
        <v>5.6098023915473343</v>
      </c>
      <c r="G69" s="489">
        <f t="shared" si="69"/>
        <v>3.5314737101950135</v>
      </c>
      <c r="H69" s="489">
        <f t="shared" si="69"/>
        <v>4.4788163212097514</v>
      </c>
      <c r="I69" s="489">
        <f t="shared" si="69"/>
        <v>5.6392498161314046</v>
      </c>
      <c r="K69" s="489">
        <f t="shared" ref="K69:AT69" si="70">K64/K65</f>
        <v>1.3143497717739028</v>
      </c>
      <c r="L69" s="489">
        <f t="shared" si="70"/>
        <v>1.3628456601283667</v>
      </c>
      <c r="M69" s="489">
        <f t="shared" si="70"/>
        <v>1.3995014852593306</v>
      </c>
      <c r="N69" s="489">
        <f t="shared" si="70"/>
        <v>1.5196230635432146</v>
      </c>
      <c r="O69" s="489">
        <f t="shared" si="70"/>
        <v>1.2310368241389253</v>
      </c>
      <c r="P69" s="489">
        <f t="shared" si="70"/>
        <v>1.20877386776077</v>
      </c>
      <c r="Q69" s="489">
        <f t="shared" si="70"/>
        <v>1.0621287526087655</v>
      </c>
      <c r="R69" s="489">
        <f t="shared" si="70"/>
        <v>1.0186365084421791</v>
      </c>
      <c r="S69" s="489">
        <f t="shared" si="70"/>
        <v>1.1737606409614421</v>
      </c>
      <c r="T69" s="489">
        <f t="shared" si="70"/>
        <v>1.4455879871773241</v>
      </c>
      <c r="U69" s="489">
        <f t="shared" si="70"/>
        <v>1.5507885365440055</v>
      </c>
      <c r="V69" s="489">
        <f t="shared" si="70"/>
        <v>1.622826270471045</v>
      </c>
      <c r="W69" s="489">
        <f t="shared" si="70"/>
        <v>1.8888311688311687</v>
      </c>
      <c r="X69" s="489">
        <f t="shared" si="70"/>
        <v>1.8871163516559737</v>
      </c>
      <c r="Y69" s="489">
        <f t="shared" si="70"/>
        <v>2.1150070126227209</v>
      </c>
      <c r="Z69" s="489">
        <f t="shared" si="70"/>
        <v>2.1219001047851904</v>
      </c>
      <c r="AA69" s="489">
        <f t="shared" si="70"/>
        <v>2.807891447955722</v>
      </c>
      <c r="AB69" s="489">
        <f t="shared" si="70"/>
        <v>2.3099330559073636</v>
      </c>
      <c r="AC69" s="489">
        <f t="shared" si="70"/>
        <v>2.8638989169675089</v>
      </c>
      <c r="AE69" s="489">
        <f t="shared" si="70"/>
        <v>5.6130492845020141</v>
      </c>
      <c r="AF69" s="489">
        <f t="shared" si="70"/>
        <v>5.6372526222123005</v>
      </c>
      <c r="AG69" s="489">
        <f t="shared" si="70"/>
        <v>5.5130187786018618</v>
      </c>
      <c r="AH69" s="489">
        <f t="shared" si="70"/>
        <v>5.1852624819393158</v>
      </c>
      <c r="AI69" s="489">
        <f t="shared" si="70"/>
        <v>4.5575023892959541</v>
      </c>
      <c r="AJ69" s="489">
        <f t="shared" si="70"/>
        <v>4.6241028208980133</v>
      </c>
      <c r="AK69" s="489">
        <f t="shared" si="70"/>
        <v>4.8272313143242789</v>
      </c>
      <c r="AL69" s="489">
        <f t="shared" si="70"/>
        <v>5.280651178565372</v>
      </c>
      <c r="AM69" s="489">
        <f t="shared" si="70"/>
        <v>5.8006078001013002</v>
      </c>
      <c r="AN69" s="489">
        <f t="shared" si="70"/>
        <v>6.6204329004329008</v>
      </c>
      <c r="AO69" s="489">
        <f t="shared" si="70"/>
        <v>7.0310386682850705</v>
      </c>
      <c r="AP69" s="489">
        <f t="shared" si="70"/>
        <v>7.6204417952314163</v>
      </c>
      <c r="AQ69" s="489">
        <f t="shared" si="70"/>
        <v>8.0344044708347884</v>
      </c>
      <c r="AR69" s="489">
        <f t="shared" si="70"/>
        <v>9.0740939118014641</v>
      </c>
      <c r="AS69" s="489">
        <f t="shared" si="70"/>
        <v>9.5364573909896873</v>
      </c>
      <c r="AT69" s="489">
        <f t="shared" si="70"/>
        <v>10.200361010830324</v>
      </c>
    </row>
    <row r="72" spans="2:46">
      <c r="F72" s="483"/>
    </row>
    <row r="73" spans="2:46">
      <c r="F73" s="483"/>
    </row>
  </sheetData>
  <dataValidations count="1">
    <dataValidation type="list" allowBlank="1" showInputMessage="1" showErrorMessage="1" sqref="C6" xr:uid="{0F016773-3555-4BCA-8A5C-A96AB5BAF205}">
      <formula1>"0,1"</formula1>
    </dataValidation>
  </dataValidations>
  <pageMargins left="0.7" right="0.7" top="0.75" bottom="0.75" header="0.3" footer="0.3"/>
  <ignoredErrors>
    <ignoredError sqref="M55:U57 H18:I24 M69:U69 M61:U63 H69:I69 H61:I63 H59:I59 H55:I57 J50 D58 C55:G57 J55:K57 J60 C59:G59 J59:K59 J66 J65 D64 C61:G63 J61:K63 C69:G69 J69:K69 D54 D49 G49:K49 G58:K58 G64:K64 D68 G68:K68 G54:J54 J52 J51 AB55:AC57 AB59:AC63 AB65:AC67 AB69:AC69"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M40"/>
  <sheetViews>
    <sheetView showGridLines="0" zoomScaleNormal="100" workbookViewId="0">
      <selection activeCell="B10" sqref="B10:B12"/>
    </sheetView>
  </sheetViews>
  <sheetFormatPr defaultRowHeight="12" outlineLevelCol="2"/>
  <cols>
    <col min="1" max="1" width="1.5" style="8" customWidth="1"/>
    <col min="2" max="2" width="46.5" style="8" bestFit="1" customWidth="1"/>
    <col min="3" max="5" width="8.625" style="8" hidden="1" customWidth="1" outlineLevel="2"/>
    <col min="6" max="6" width="8.625" style="8" customWidth="1" outlineLevel="1" collapsed="1"/>
    <col min="7" max="9" width="8.625" style="8" bestFit="1" customWidth="1"/>
    <col min="10" max="10" width="1.5" style="8" customWidth="1"/>
    <col min="11" max="13" width="7.875" style="8" customWidth="1" outlineLevel="1"/>
    <col min="14" max="14" width="8.75" style="8" customWidth="1" outlineLevel="1"/>
    <col min="15" max="17" width="8" style="8" customWidth="1" outlineLevel="1"/>
    <col min="18" max="18" width="8.75" style="8" customWidth="1" outlineLevel="1"/>
    <col min="19" max="19" width="8.5" style="8" customWidth="1"/>
    <col min="20" max="20" width="8.25" style="8" bestFit="1" customWidth="1"/>
    <col min="21" max="21" width="8.5" style="8" bestFit="1" customWidth="1"/>
    <col min="22" max="25" width="9.125" style="8" bestFit="1" customWidth="1"/>
    <col min="26" max="26" width="1.5" style="8" customWidth="1"/>
    <col min="27" max="32" width="8.75" style="8" hidden="1" customWidth="1" outlineLevel="1"/>
    <col min="33" max="33" width="8.75" style="8" bestFit="1" customWidth="1" collapsed="1"/>
    <col min="34" max="36" width="8.75" style="8" hidden="1" customWidth="1" outlineLevel="1"/>
    <col min="37" max="37" width="8.75" style="8" bestFit="1" customWidth="1" collapsed="1"/>
    <col min="38" max="38" width="1.5" style="8" customWidth="1"/>
    <col min="39" max="39" width="9.875" style="8" bestFit="1" customWidth="1"/>
    <col min="40" max="16384" width="9" style="8"/>
  </cols>
  <sheetData>
    <row r="2" spans="1:39" s="5" customFormat="1" ht="12.75" customHeight="1">
      <c r="B2" s="1" t="str">
        <f>'Historical Financials'!B2</f>
        <v>Alphabet Inc. (NASDAQ: GOOG)</v>
      </c>
      <c r="C2" s="2" t="s">
        <v>0</v>
      </c>
      <c r="D2" s="2"/>
      <c r="E2" s="2"/>
      <c r="F2" s="2"/>
      <c r="G2" s="2" t="s">
        <v>0</v>
      </c>
      <c r="H2" s="2"/>
      <c r="I2" s="2"/>
      <c r="J2" s="3"/>
      <c r="K2" s="2" t="s">
        <v>1</v>
      </c>
      <c r="L2" s="2"/>
      <c r="M2" s="2"/>
      <c r="N2" s="2"/>
      <c r="O2" s="2"/>
      <c r="P2" s="2"/>
      <c r="Q2" s="2"/>
      <c r="R2" s="2"/>
      <c r="S2" s="2" t="s">
        <v>1</v>
      </c>
      <c r="T2" s="2" t="s">
        <v>1</v>
      </c>
      <c r="U2" s="2"/>
      <c r="V2" s="2"/>
      <c r="W2" s="2"/>
      <c r="X2" s="2"/>
      <c r="Y2" s="2"/>
      <c r="Z2" s="3"/>
      <c r="AA2" s="2" t="s">
        <v>10</v>
      </c>
      <c r="AB2" s="2"/>
      <c r="AC2" s="2"/>
      <c r="AD2" s="2"/>
      <c r="AE2" s="2" t="s">
        <v>10</v>
      </c>
      <c r="AF2" s="2"/>
      <c r="AG2" s="2" t="s">
        <v>10</v>
      </c>
      <c r="AH2" s="2"/>
      <c r="AI2" s="2"/>
      <c r="AJ2" s="2"/>
      <c r="AK2" s="2"/>
      <c r="AL2" s="3"/>
      <c r="AM2" s="580" t="s">
        <v>38</v>
      </c>
    </row>
    <row r="3" spans="1:39" s="5" customFormat="1" ht="12.75" customHeight="1">
      <c r="B3" s="6" t="s">
        <v>96</v>
      </c>
      <c r="C3" s="7">
        <f>'Historical Financials'!C7</f>
        <v>2018</v>
      </c>
      <c r="D3" s="7">
        <f>'Historical Financials'!D7</f>
        <v>2019</v>
      </c>
      <c r="E3" s="7">
        <f>'Historical Financials'!E7</f>
        <v>2020</v>
      </c>
      <c r="F3" s="7">
        <f>'Historical Financials'!F7</f>
        <v>2021</v>
      </c>
      <c r="G3" s="7">
        <f>'Historical Financials'!G7</f>
        <v>2022</v>
      </c>
      <c r="H3" s="7">
        <f>'Historical Financials'!H7</f>
        <v>2023</v>
      </c>
      <c r="I3" s="7">
        <f>'Historical Financials'!I7</f>
        <v>2024</v>
      </c>
      <c r="J3" s="3"/>
      <c r="K3" s="7" t="str">
        <f>'Historical Financials'!O7</f>
        <v>1Q22</v>
      </c>
      <c r="L3" s="7" t="str">
        <f>'Historical Financials'!P7</f>
        <v>2Q22</v>
      </c>
      <c r="M3" s="7" t="str">
        <f>'Historical Financials'!Q7</f>
        <v>3Q22</v>
      </c>
      <c r="N3" s="7" t="str">
        <f>'Historical Financials'!R7</f>
        <v>4Q22</v>
      </c>
      <c r="O3" s="7" t="str">
        <f>'Historical Financials'!S7</f>
        <v>1Q23</v>
      </c>
      <c r="P3" s="7" t="str">
        <f>'Historical Financials'!T7</f>
        <v>2Q23</v>
      </c>
      <c r="Q3" s="7" t="str">
        <f>'Historical Financials'!U7</f>
        <v>3Q23</v>
      </c>
      <c r="R3" s="7" t="str">
        <f>'Historical Financials'!V7</f>
        <v>4Q23</v>
      </c>
      <c r="S3" s="7" t="str">
        <f>'Historical Financials'!W7</f>
        <v>1Q24</v>
      </c>
      <c r="T3" s="7" t="str">
        <f>'Historical Financials'!X7</f>
        <v>2Q24</v>
      </c>
      <c r="U3" s="7" t="str">
        <f>'Historical Financials'!Y7</f>
        <v>3Q24</v>
      </c>
      <c r="V3" s="7" t="str">
        <f>'Historical Financials'!Z7</f>
        <v>4Q24</v>
      </c>
      <c r="W3" s="7" t="str">
        <f>'Historical Financials'!AA7</f>
        <v>1Q25</v>
      </c>
      <c r="X3" s="7" t="str">
        <f>'Historical Financials'!AB7</f>
        <v>2Q25</v>
      </c>
      <c r="Y3" s="7" t="str">
        <f>'Historical Financials'!AC7</f>
        <v>3Q25</v>
      </c>
      <c r="Z3" s="4"/>
      <c r="AA3" s="4" t="str">
        <f t="shared" ref="AA3:AJ4" si="0">O3</f>
        <v>1Q23</v>
      </c>
      <c r="AB3" s="4" t="str">
        <f t="shared" si="0"/>
        <v>2Q23</v>
      </c>
      <c r="AC3" s="4" t="str">
        <f t="shared" si="0"/>
        <v>3Q23</v>
      </c>
      <c r="AD3" s="4" t="str">
        <f t="shared" si="0"/>
        <v>4Q23</v>
      </c>
      <c r="AE3" s="4" t="str">
        <f t="shared" si="0"/>
        <v>1Q24</v>
      </c>
      <c r="AF3" s="4" t="str">
        <f t="shared" si="0"/>
        <v>2Q24</v>
      </c>
      <c r="AG3" s="4" t="str">
        <f t="shared" si="0"/>
        <v>3Q24</v>
      </c>
      <c r="AH3" s="4" t="str">
        <f t="shared" si="0"/>
        <v>4Q24</v>
      </c>
      <c r="AI3" s="4" t="str">
        <f t="shared" si="0"/>
        <v>1Q25</v>
      </c>
      <c r="AJ3" s="4" t="str">
        <f t="shared" si="0"/>
        <v>2Q25</v>
      </c>
      <c r="AK3" s="4" t="str">
        <f>Y3</f>
        <v>3Q25</v>
      </c>
      <c r="AL3" s="3"/>
      <c r="AM3" s="580"/>
    </row>
    <row r="4" spans="1:39" s="5" customFormat="1" ht="12.75" customHeight="1">
      <c r="B4" s="6" t="s">
        <v>407</v>
      </c>
      <c r="C4" s="3">
        <f>'Historical Financials'!C8</f>
        <v>43465</v>
      </c>
      <c r="D4" s="3">
        <f>'Historical Financials'!D8</f>
        <v>43830</v>
      </c>
      <c r="E4" s="3">
        <f>'Historical Financials'!E8</f>
        <v>44196</v>
      </c>
      <c r="F4" s="3">
        <f>'Historical Financials'!F8</f>
        <v>44561</v>
      </c>
      <c r="G4" s="3">
        <f>'Historical Financials'!G8</f>
        <v>44926</v>
      </c>
      <c r="H4" s="3">
        <f>'Historical Financials'!H8</f>
        <v>45291</v>
      </c>
      <c r="I4" s="3">
        <f>'Historical Financials'!I8</f>
        <v>45657</v>
      </c>
      <c r="J4" s="3"/>
      <c r="K4" s="3">
        <f>'Historical Financials'!O8</f>
        <v>44651</v>
      </c>
      <c r="L4" s="3">
        <f>'Historical Financials'!P8</f>
        <v>44742</v>
      </c>
      <c r="M4" s="3">
        <f>'Historical Financials'!Q8</f>
        <v>44834</v>
      </c>
      <c r="N4" s="3">
        <f>'Historical Financials'!R8</f>
        <v>44926</v>
      </c>
      <c r="O4" s="3">
        <f>'Historical Financials'!S8</f>
        <v>45016</v>
      </c>
      <c r="P4" s="3">
        <f>'Historical Financials'!T8</f>
        <v>45107</v>
      </c>
      <c r="Q4" s="3">
        <f>'Historical Financials'!U8</f>
        <v>45199</v>
      </c>
      <c r="R4" s="3">
        <f>'Historical Financials'!V8</f>
        <v>45291</v>
      </c>
      <c r="S4" s="3">
        <f>'Historical Financials'!W8</f>
        <v>45382</v>
      </c>
      <c r="T4" s="3">
        <f>'Historical Financials'!X8</f>
        <v>45473</v>
      </c>
      <c r="U4" s="3">
        <f>'Historical Financials'!Y8</f>
        <v>45565</v>
      </c>
      <c r="V4" s="3">
        <f>'Historical Financials'!Z8</f>
        <v>45657</v>
      </c>
      <c r="W4" s="3">
        <f>'Historical Financials'!AA8</f>
        <v>45747</v>
      </c>
      <c r="X4" s="3">
        <f>'Historical Financials'!AB8</f>
        <v>45838</v>
      </c>
      <c r="Y4" s="3">
        <f>'Historical Financials'!AC8</f>
        <v>45930</v>
      </c>
      <c r="Z4" s="3"/>
      <c r="AA4" s="3">
        <f t="shared" si="0"/>
        <v>45016</v>
      </c>
      <c r="AB4" s="3">
        <f t="shared" si="0"/>
        <v>45107</v>
      </c>
      <c r="AC4" s="3">
        <f t="shared" si="0"/>
        <v>45199</v>
      </c>
      <c r="AD4" s="3">
        <f t="shared" si="0"/>
        <v>45291</v>
      </c>
      <c r="AE4" s="3">
        <f t="shared" si="0"/>
        <v>45382</v>
      </c>
      <c r="AF4" s="3">
        <f t="shared" si="0"/>
        <v>45473</v>
      </c>
      <c r="AG4" s="3">
        <f t="shared" si="0"/>
        <v>45565</v>
      </c>
      <c r="AH4" s="3">
        <f t="shared" si="0"/>
        <v>45657</v>
      </c>
      <c r="AI4" s="3">
        <f t="shared" si="0"/>
        <v>45747</v>
      </c>
      <c r="AJ4" s="3">
        <f t="shared" si="0"/>
        <v>45838</v>
      </c>
      <c r="AK4" s="3">
        <f>Y4</f>
        <v>45930</v>
      </c>
      <c r="AL4" s="3"/>
      <c r="AM4" s="580"/>
    </row>
    <row r="5" spans="1:39" ht="5.0999999999999996" customHeight="1"/>
    <row r="6" spans="1:39">
      <c r="A6" s="38" t="s">
        <v>25</v>
      </c>
      <c r="B6" s="1" t="s">
        <v>515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spans="1:39" ht="5.0999999999999996" customHeight="1"/>
    <row r="8" spans="1:39" ht="12.75" customHeight="1">
      <c r="A8" s="87"/>
      <c r="B8" s="85" t="s">
        <v>503</v>
      </c>
      <c r="C8" s="27"/>
      <c r="D8" s="27"/>
      <c r="E8" s="11"/>
      <c r="F8" s="11"/>
      <c r="G8" s="11"/>
      <c r="H8" s="11"/>
      <c r="I8" s="11"/>
      <c r="J8" s="11"/>
      <c r="K8" s="11"/>
      <c r="L8" s="11"/>
      <c r="M8" s="11"/>
      <c r="N8" s="11"/>
      <c r="O8" s="11"/>
      <c r="P8" s="11"/>
      <c r="Q8" s="11"/>
      <c r="R8" s="11"/>
      <c r="S8" s="11"/>
      <c r="T8" s="11"/>
      <c r="U8" s="11"/>
      <c r="V8" s="11"/>
      <c r="W8" s="11"/>
      <c r="X8" s="11"/>
      <c r="Y8" s="11"/>
      <c r="Z8" s="5"/>
      <c r="AA8" s="12"/>
      <c r="AB8" s="12"/>
      <c r="AC8" s="12"/>
      <c r="AD8" s="12"/>
      <c r="AE8" s="12"/>
      <c r="AF8" s="12"/>
      <c r="AG8" s="12"/>
      <c r="AH8" s="12"/>
      <c r="AI8" s="12"/>
      <c r="AJ8" s="12"/>
      <c r="AM8" s="13"/>
    </row>
    <row r="9" spans="1:39" ht="12.75" customHeight="1">
      <c r="B9" s="10" t="s">
        <v>512</v>
      </c>
      <c r="C9" s="469">
        <f>+C19</f>
        <v>130524</v>
      </c>
      <c r="D9" s="469">
        <f>+D19</f>
        <v>151825</v>
      </c>
      <c r="E9" s="469">
        <f>+E19</f>
        <v>168635</v>
      </c>
      <c r="F9" s="469">
        <f>+F19</f>
        <v>237529</v>
      </c>
      <c r="G9" s="469">
        <f>+G19</f>
        <v>253528</v>
      </c>
      <c r="H9" s="469">
        <f t="shared" ref="H9:Y9" si="1">+H19</f>
        <v>272543</v>
      </c>
      <c r="I9" s="469">
        <f t="shared" si="1"/>
        <v>304930</v>
      </c>
      <c r="J9" s="88"/>
      <c r="K9" s="469">
        <f t="shared" si="1"/>
        <v>61472</v>
      </c>
      <c r="L9" s="469">
        <f t="shared" si="1"/>
        <v>62841</v>
      </c>
      <c r="M9" s="469">
        <f t="shared" si="1"/>
        <v>61377</v>
      </c>
      <c r="N9" s="469">
        <f t="shared" si="1"/>
        <v>67838</v>
      </c>
      <c r="O9" s="469">
        <f t="shared" si="1"/>
        <v>61961</v>
      </c>
      <c r="P9" s="469">
        <f t="shared" si="1"/>
        <v>66285</v>
      </c>
      <c r="Q9" s="469">
        <f t="shared" si="1"/>
        <v>67986</v>
      </c>
      <c r="R9" s="469">
        <f t="shared" si="1"/>
        <v>76311</v>
      </c>
      <c r="S9" s="469">
        <f t="shared" si="1"/>
        <v>70398</v>
      </c>
      <c r="T9" s="469">
        <f t="shared" si="1"/>
        <v>73928</v>
      </c>
      <c r="U9" s="469">
        <f t="shared" si="1"/>
        <v>76510</v>
      </c>
      <c r="V9" s="469">
        <f t="shared" si="1"/>
        <v>84094</v>
      </c>
      <c r="W9" s="469">
        <f t="shared" si="1"/>
        <v>77264</v>
      </c>
      <c r="X9" s="469">
        <f t="shared" si="1"/>
        <v>82543</v>
      </c>
      <c r="Y9" s="469">
        <f t="shared" si="1"/>
        <v>87052</v>
      </c>
      <c r="Z9" s="12"/>
      <c r="AA9" s="12">
        <f t="shared" ref="AA9:AF9" si="2">SUM(L9:O9)</f>
        <v>254017</v>
      </c>
      <c r="AB9" s="12">
        <f t="shared" si="2"/>
        <v>257461</v>
      </c>
      <c r="AC9" s="12">
        <f t="shared" si="2"/>
        <v>264070</v>
      </c>
      <c r="AD9" s="12">
        <f t="shared" si="2"/>
        <v>272543</v>
      </c>
      <c r="AE9" s="12">
        <f t="shared" si="2"/>
        <v>280980</v>
      </c>
      <c r="AF9" s="12">
        <f t="shared" si="2"/>
        <v>288623</v>
      </c>
      <c r="AG9" s="469">
        <f t="shared" ref="AG9:AK12" si="3">SUM(R9:U9)</f>
        <v>297147</v>
      </c>
      <c r="AH9" s="469">
        <f t="shared" si="3"/>
        <v>304930</v>
      </c>
      <c r="AI9" s="469">
        <f t="shared" si="3"/>
        <v>311796</v>
      </c>
      <c r="AJ9" s="469">
        <f t="shared" si="3"/>
        <v>320411</v>
      </c>
      <c r="AK9" s="469">
        <f t="shared" si="3"/>
        <v>330953</v>
      </c>
      <c r="AM9" s="13">
        <f>SUM(AK9/AG9)-1</f>
        <v>0.1137686061107801</v>
      </c>
    </row>
    <row r="10" spans="1:39" ht="12.75" customHeight="1">
      <c r="B10" s="10" t="s">
        <v>509</v>
      </c>
      <c r="C10" s="88">
        <v>5838</v>
      </c>
      <c r="D10" s="88">
        <v>8918</v>
      </c>
      <c r="E10" s="88">
        <v>13059</v>
      </c>
      <c r="F10" s="88">
        <v>19206</v>
      </c>
      <c r="G10" s="88">
        <v>26280</v>
      </c>
      <c r="H10" s="88">
        <v>33088</v>
      </c>
      <c r="I10" s="88">
        <v>43229</v>
      </c>
      <c r="J10" s="88"/>
      <c r="K10" s="88">
        <v>5821</v>
      </c>
      <c r="L10" s="88">
        <v>6276</v>
      </c>
      <c r="M10" s="88">
        <v>6868</v>
      </c>
      <c r="N10" s="469">
        <f>SUM(G10-SUM(K10:M10))</f>
        <v>7315</v>
      </c>
      <c r="O10" s="88">
        <v>7454</v>
      </c>
      <c r="P10" s="88">
        <v>8031</v>
      </c>
      <c r="Q10" s="88">
        <v>8411</v>
      </c>
      <c r="R10" s="469">
        <f>SUM(H10-SUM(O10:Q10))</f>
        <v>9192</v>
      </c>
      <c r="S10" s="88">
        <v>9574</v>
      </c>
      <c r="T10" s="88">
        <v>10347</v>
      </c>
      <c r="U10" s="88">
        <v>11353</v>
      </c>
      <c r="V10" s="469">
        <f>SUM(I10-SUM(S10:U10))</f>
        <v>11955</v>
      </c>
      <c r="W10" s="88">
        <v>12260</v>
      </c>
      <c r="X10" s="88">
        <v>13624</v>
      </c>
      <c r="Y10" s="88">
        <v>15157</v>
      </c>
      <c r="Z10" s="12"/>
      <c r="AA10" s="12"/>
      <c r="AB10" s="12"/>
      <c r="AC10" s="12"/>
      <c r="AD10" s="12"/>
      <c r="AE10" s="12"/>
      <c r="AF10" s="12"/>
      <c r="AG10" s="469">
        <f t="shared" si="3"/>
        <v>40466</v>
      </c>
      <c r="AH10" s="469">
        <f t="shared" si="3"/>
        <v>43229</v>
      </c>
      <c r="AI10" s="469">
        <f t="shared" si="3"/>
        <v>45915</v>
      </c>
      <c r="AJ10" s="469">
        <f t="shared" si="3"/>
        <v>49192</v>
      </c>
      <c r="AK10" s="469">
        <f t="shared" si="3"/>
        <v>52996</v>
      </c>
      <c r="AM10" s="13">
        <f>SUM(AK10/AG10)-1</f>
        <v>0.30964266297632581</v>
      </c>
    </row>
    <row r="11" spans="1:39" ht="12.75" customHeight="1">
      <c r="B11" s="10" t="s">
        <v>510</v>
      </c>
      <c r="C11" s="88">
        <v>595</v>
      </c>
      <c r="D11" s="88">
        <v>659</v>
      </c>
      <c r="E11" s="88">
        <v>657</v>
      </c>
      <c r="F11" s="88">
        <v>753</v>
      </c>
      <c r="G11" s="88">
        <v>1068</v>
      </c>
      <c r="H11" s="88">
        <v>1527</v>
      </c>
      <c r="I11" s="88">
        <v>1648</v>
      </c>
      <c r="J11" s="88"/>
      <c r="K11" s="88">
        <v>440</v>
      </c>
      <c r="L11" s="88">
        <v>193</v>
      </c>
      <c r="M11" s="88">
        <v>209</v>
      </c>
      <c r="N11" s="469">
        <f>SUM(G11-SUM(K11:M11))</f>
        <v>226</v>
      </c>
      <c r="O11" s="88">
        <v>288</v>
      </c>
      <c r="P11" s="88">
        <v>285</v>
      </c>
      <c r="Q11" s="88">
        <v>297</v>
      </c>
      <c r="R11" s="469">
        <f>SUM(H11-SUM(O11:Q11))</f>
        <v>657</v>
      </c>
      <c r="S11" s="88">
        <v>495</v>
      </c>
      <c r="T11" s="88">
        <v>365</v>
      </c>
      <c r="U11" s="88">
        <v>388</v>
      </c>
      <c r="V11" s="469">
        <f>SUM(I11-SUM(S11:U11))</f>
        <v>400</v>
      </c>
      <c r="W11" s="88">
        <v>450</v>
      </c>
      <c r="X11" s="88">
        <v>373</v>
      </c>
      <c r="Y11" s="88">
        <v>344</v>
      </c>
      <c r="Z11" s="12"/>
      <c r="AA11" s="12"/>
      <c r="AB11" s="12"/>
      <c r="AC11" s="12"/>
      <c r="AD11" s="12"/>
      <c r="AE11" s="12"/>
      <c r="AF11" s="12"/>
      <c r="AG11" s="469">
        <f t="shared" si="3"/>
        <v>1905</v>
      </c>
      <c r="AH11" s="469">
        <f t="shared" si="3"/>
        <v>1648</v>
      </c>
      <c r="AI11" s="469">
        <f t="shared" si="3"/>
        <v>1603</v>
      </c>
      <c r="AJ11" s="469">
        <f t="shared" si="3"/>
        <v>1611</v>
      </c>
      <c r="AK11" s="469">
        <f t="shared" si="3"/>
        <v>1567</v>
      </c>
      <c r="AM11" s="13">
        <f>SUM(AK11/AG11)-1</f>
        <v>-0.17742782152230974</v>
      </c>
    </row>
    <row r="12" spans="1:39" ht="12.75" customHeight="1">
      <c r="B12" s="10" t="s">
        <v>511</v>
      </c>
      <c r="C12" s="88">
        <v>-138</v>
      </c>
      <c r="D12" s="88">
        <v>455</v>
      </c>
      <c r="E12" s="88">
        <v>176</v>
      </c>
      <c r="F12" s="88">
        <v>149</v>
      </c>
      <c r="G12" s="88">
        <v>1960</v>
      </c>
      <c r="H12" s="88">
        <v>236</v>
      </c>
      <c r="I12" s="88">
        <v>211</v>
      </c>
      <c r="J12" s="88"/>
      <c r="K12" s="88">
        <v>278</v>
      </c>
      <c r="L12" s="88">
        <v>375</v>
      </c>
      <c r="M12" s="88">
        <v>638</v>
      </c>
      <c r="N12" s="469">
        <f>SUM(G12-SUM(K12:M12))</f>
        <v>669</v>
      </c>
      <c r="O12" s="88">
        <v>84</v>
      </c>
      <c r="P12" s="88">
        <v>3</v>
      </c>
      <c r="Q12" s="88">
        <v>-1</v>
      </c>
      <c r="R12" s="469">
        <f>SUM(H12-SUM(O12:Q12))</f>
        <v>150</v>
      </c>
      <c r="S12" s="88">
        <v>72</v>
      </c>
      <c r="T12" s="88">
        <v>102</v>
      </c>
      <c r="U12" s="88">
        <v>17</v>
      </c>
      <c r="V12" s="469">
        <f>SUM(I12-SUM(S12:U12))</f>
        <v>20</v>
      </c>
      <c r="W12" s="88">
        <v>260</v>
      </c>
      <c r="X12" s="88">
        <v>-112</v>
      </c>
      <c r="Y12" s="88">
        <v>-207</v>
      </c>
      <c r="Z12" s="12"/>
      <c r="AA12" s="12"/>
      <c r="AB12" s="12"/>
      <c r="AC12" s="12"/>
      <c r="AD12" s="12"/>
      <c r="AE12" s="12"/>
      <c r="AF12" s="12"/>
      <c r="AG12" s="469">
        <f t="shared" si="3"/>
        <v>341</v>
      </c>
      <c r="AH12" s="469">
        <f t="shared" si="3"/>
        <v>211</v>
      </c>
      <c r="AI12" s="469">
        <f t="shared" si="3"/>
        <v>399</v>
      </c>
      <c r="AJ12" s="469">
        <f t="shared" si="3"/>
        <v>185</v>
      </c>
      <c r="AK12" s="469">
        <f t="shared" si="3"/>
        <v>-39</v>
      </c>
      <c r="AM12" s="13">
        <f>SUM(AK12/AG12)-1</f>
        <v>-1.1143695014662756</v>
      </c>
    </row>
    <row r="13" spans="1:39" ht="12.75" customHeight="1">
      <c r="B13" s="14" t="s">
        <v>97</v>
      </c>
      <c r="C13" s="36">
        <f t="shared" ref="C13:I13" si="4">SUM(C9:C12)</f>
        <v>136819</v>
      </c>
      <c r="D13" s="36">
        <f t="shared" si="4"/>
        <v>161857</v>
      </c>
      <c r="E13" s="36">
        <f t="shared" si="4"/>
        <v>182527</v>
      </c>
      <c r="F13" s="36">
        <f t="shared" si="4"/>
        <v>257637</v>
      </c>
      <c r="G13" s="36">
        <f t="shared" si="4"/>
        <v>282836</v>
      </c>
      <c r="H13" s="36">
        <f t="shared" si="4"/>
        <v>307394</v>
      </c>
      <c r="I13" s="36">
        <f t="shared" si="4"/>
        <v>350018</v>
      </c>
      <c r="J13" s="12"/>
      <c r="K13" s="36">
        <f t="shared" ref="K13:Y13" si="5">SUM(K9:K12)</f>
        <v>68011</v>
      </c>
      <c r="L13" s="36">
        <f t="shared" si="5"/>
        <v>69685</v>
      </c>
      <c r="M13" s="36">
        <f t="shared" si="5"/>
        <v>69092</v>
      </c>
      <c r="N13" s="36">
        <f t="shared" si="5"/>
        <v>76048</v>
      </c>
      <c r="O13" s="36">
        <f t="shared" si="5"/>
        <v>69787</v>
      </c>
      <c r="P13" s="36">
        <f t="shared" si="5"/>
        <v>74604</v>
      </c>
      <c r="Q13" s="36">
        <f t="shared" si="5"/>
        <v>76693</v>
      </c>
      <c r="R13" s="36">
        <f t="shared" si="5"/>
        <v>86310</v>
      </c>
      <c r="S13" s="36">
        <f t="shared" si="5"/>
        <v>80539</v>
      </c>
      <c r="T13" s="36">
        <f t="shared" si="5"/>
        <v>84742</v>
      </c>
      <c r="U13" s="36">
        <f t="shared" si="5"/>
        <v>88268</v>
      </c>
      <c r="V13" s="36">
        <f t="shared" si="5"/>
        <v>96469</v>
      </c>
      <c r="W13" s="36">
        <f t="shared" si="5"/>
        <v>90234</v>
      </c>
      <c r="X13" s="36">
        <f t="shared" si="5"/>
        <v>96428</v>
      </c>
      <c r="Y13" s="36">
        <f t="shared" si="5"/>
        <v>102346</v>
      </c>
      <c r="Z13" s="5"/>
      <c r="AA13" s="36">
        <f t="shared" ref="AA13:AK13" si="6">SUM(AA9:AA12)</f>
        <v>254017</v>
      </c>
      <c r="AB13" s="36">
        <f t="shared" si="6"/>
        <v>257461</v>
      </c>
      <c r="AC13" s="36">
        <f t="shared" si="6"/>
        <v>264070</v>
      </c>
      <c r="AD13" s="36">
        <f t="shared" si="6"/>
        <v>272543</v>
      </c>
      <c r="AE13" s="36">
        <f t="shared" si="6"/>
        <v>280980</v>
      </c>
      <c r="AF13" s="36">
        <f t="shared" si="6"/>
        <v>288623</v>
      </c>
      <c r="AG13" s="36">
        <f t="shared" si="6"/>
        <v>339859</v>
      </c>
      <c r="AH13" s="36">
        <f t="shared" si="6"/>
        <v>350018</v>
      </c>
      <c r="AI13" s="36">
        <f t="shared" si="6"/>
        <v>359713</v>
      </c>
      <c r="AJ13" s="36">
        <f t="shared" si="6"/>
        <v>371399</v>
      </c>
      <c r="AK13" s="36">
        <f t="shared" si="6"/>
        <v>385477</v>
      </c>
      <c r="AM13" s="16">
        <f>SUM(AK13/AG13)-1</f>
        <v>0.13422625265183497</v>
      </c>
    </row>
    <row r="14" spans="1:39">
      <c r="B14" s="484" t="s">
        <v>529</v>
      </c>
      <c r="C14" s="86">
        <f>+C13-'Historical Financials'!C11</f>
        <v>0</v>
      </c>
      <c r="D14" s="86">
        <f>+D13-'Historical Financials'!D11</f>
        <v>0</v>
      </c>
      <c r="E14" s="86">
        <f>+E13-'Historical Financials'!E11</f>
        <v>0</v>
      </c>
      <c r="F14" s="86">
        <f>+F13-'Historical Financials'!F11</f>
        <v>0</v>
      </c>
      <c r="G14" s="86">
        <f>+G13-'Historical Financials'!G11</f>
        <v>0</v>
      </c>
      <c r="H14" s="86">
        <f>+H13-'Historical Financials'!H11</f>
        <v>0</v>
      </c>
      <c r="I14" s="86">
        <f>+I13-'Historical Financials'!I11</f>
        <v>0</v>
      </c>
      <c r="J14" s="12"/>
      <c r="K14" s="86">
        <f>K13-'Historical Financials'!O11</f>
        <v>0</v>
      </c>
      <c r="L14" s="86">
        <f>L13-'Historical Financials'!P11</f>
        <v>0</v>
      </c>
      <c r="M14" s="86">
        <f>M13-'Historical Financials'!Q11</f>
        <v>0</v>
      </c>
      <c r="N14" s="86">
        <f>N13-'Historical Financials'!R11</f>
        <v>0</v>
      </c>
      <c r="O14" s="86">
        <f>O13-'Historical Financials'!S11</f>
        <v>0</v>
      </c>
      <c r="P14" s="86">
        <f>P13-'Historical Financials'!T11</f>
        <v>0</v>
      </c>
      <c r="Q14" s="86">
        <f>Q13-'Historical Financials'!U11</f>
        <v>0</v>
      </c>
      <c r="R14" s="86">
        <f>R13-'Historical Financials'!V11</f>
        <v>0</v>
      </c>
      <c r="S14" s="86">
        <f>S13-'Historical Financials'!W11</f>
        <v>0</v>
      </c>
      <c r="T14" s="86">
        <f>T13-'Historical Financials'!X11</f>
        <v>0</v>
      </c>
      <c r="U14" s="86">
        <f>U13-'Historical Financials'!Y11</f>
        <v>0</v>
      </c>
      <c r="V14" s="86">
        <f>V13-'Historical Financials'!Z11</f>
        <v>0</v>
      </c>
      <c r="W14" s="86">
        <f>W13-'Historical Financials'!AA11</f>
        <v>0</v>
      </c>
      <c r="X14" s="86">
        <f>X13-'Historical Financials'!AB11</f>
        <v>0</v>
      </c>
      <c r="Y14" s="86">
        <f>Y13-'Historical Financials'!AC11</f>
        <v>0</v>
      </c>
      <c r="Z14" s="86"/>
      <c r="AA14" s="86">
        <f>+AA13-'Historical Financials'!AN11</f>
        <v>-30595</v>
      </c>
      <c r="AB14" s="86">
        <f>+AB13-'Historical Financials'!AO11</f>
        <v>-32070</v>
      </c>
      <c r="AC14" s="86">
        <f>+AC13-'Historical Financials'!AP11</f>
        <v>-33062</v>
      </c>
      <c r="AD14" s="86">
        <f>+AD13-'Historical Financials'!AQ11</f>
        <v>-34851</v>
      </c>
      <c r="AE14" s="86">
        <f>+AE13-'Historical Financials'!AR11</f>
        <v>-37166</v>
      </c>
      <c r="AF14" s="86">
        <f>+AF13-'Historical Financials'!AS11</f>
        <v>-39661</v>
      </c>
      <c r="AG14" s="86">
        <f>+AG13-'Historical Financials'!AT11</f>
        <v>0</v>
      </c>
      <c r="AH14" s="86">
        <f>+AH13-'Historical Financials'!AU11</f>
        <v>0</v>
      </c>
      <c r="AI14" s="86">
        <f>+AI13-'Historical Financials'!AV11</f>
        <v>0</v>
      </c>
      <c r="AJ14" s="86">
        <f>+AJ13-'Historical Financials'!AW11</f>
        <v>0</v>
      </c>
      <c r="AK14" s="86">
        <f>AK13-'Historical Financials'!AX11</f>
        <v>0</v>
      </c>
      <c r="AM14" s="9"/>
    </row>
    <row r="15" spans="1:39" ht="5.0999999999999996" customHeight="1">
      <c r="B15" s="20"/>
      <c r="C15" s="20"/>
      <c r="D15" s="20"/>
      <c r="E15" s="21"/>
      <c r="F15" s="21"/>
      <c r="G15" s="21"/>
      <c r="H15" s="21"/>
      <c r="I15" s="21"/>
      <c r="J15" s="22"/>
      <c r="K15" s="23"/>
      <c r="L15" s="23"/>
      <c r="M15" s="23"/>
      <c r="N15" s="24"/>
      <c r="O15" s="23"/>
      <c r="P15" s="23"/>
      <c r="Q15" s="23"/>
      <c r="R15" s="24"/>
      <c r="S15" s="23"/>
      <c r="T15" s="23"/>
      <c r="U15" s="23"/>
      <c r="V15" s="23"/>
      <c r="W15" s="23"/>
      <c r="X15" s="23"/>
      <c r="Y15" s="23"/>
      <c r="Z15" s="22"/>
      <c r="AA15" s="22"/>
      <c r="AB15" s="22"/>
      <c r="AC15" s="22"/>
      <c r="AD15" s="22"/>
      <c r="AE15" s="22"/>
      <c r="AF15" s="22"/>
      <c r="AG15" s="22"/>
      <c r="AH15" s="22"/>
      <c r="AI15" s="22"/>
      <c r="AJ15" s="22"/>
      <c r="AK15" s="22"/>
      <c r="AM15" s="9"/>
    </row>
    <row r="16" spans="1:39" ht="12.75" customHeight="1">
      <c r="A16" s="87"/>
      <c r="B16" s="85" t="s">
        <v>512</v>
      </c>
      <c r="C16" s="27"/>
      <c r="D16" s="27"/>
      <c r="E16" s="11"/>
      <c r="F16" s="11"/>
      <c r="G16" s="11"/>
      <c r="H16" s="11"/>
      <c r="I16" s="11"/>
      <c r="J16" s="11"/>
      <c r="K16" s="11"/>
      <c r="L16" s="11"/>
      <c r="M16" s="11"/>
      <c r="N16" s="11"/>
      <c r="O16" s="11"/>
      <c r="P16" s="11"/>
      <c r="Q16" s="11"/>
      <c r="R16" s="11"/>
      <c r="S16" s="11"/>
      <c r="T16" s="11"/>
      <c r="U16" s="11"/>
      <c r="V16" s="11"/>
      <c r="W16" s="11"/>
      <c r="X16" s="11"/>
      <c r="Y16" s="11"/>
      <c r="Z16" s="5"/>
      <c r="AA16" s="12"/>
      <c r="AB16" s="12"/>
      <c r="AC16" s="12"/>
      <c r="AD16" s="12"/>
      <c r="AE16" s="12"/>
      <c r="AF16" s="12"/>
      <c r="AG16" s="12"/>
      <c r="AH16" s="12"/>
      <c r="AI16" s="12"/>
      <c r="AJ16" s="12"/>
      <c r="AM16" s="13"/>
    </row>
    <row r="17" spans="1:39" ht="12.75" customHeight="1">
      <c r="B17" s="10" t="s">
        <v>507</v>
      </c>
      <c r="C17" s="469">
        <f t="shared" ref="C17:I17" si="7">+C25</f>
        <v>116461</v>
      </c>
      <c r="D17" s="469">
        <f t="shared" si="7"/>
        <v>134811</v>
      </c>
      <c r="E17" s="469">
        <f t="shared" si="7"/>
        <v>146924</v>
      </c>
      <c r="F17" s="469">
        <f t="shared" si="7"/>
        <v>209497</v>
      </c>
      <c r="G17" s="469">
        <f t="shared" si="7"/>
        <v>224473</v>
      </c>
      <c r="H17" s="469">
        <f t="shared" si="7"/>
        <v>237855</v>
      </c>
      <c r="I17" s="469">
        <f t="shared" si="7"/>
        <v>264590</v>
      </c>
      <c r="J17" s="88"/>
      <c r="K17" s="469">
        <f t="shared" ref="K17:Y17" si="8">+K25</f>
        <v>54661</v>
      </c>
      <c r="L17" s="469">
        <f t="shared" si="8"/>
        <v>56288</v>
      </c>
      <c r="M17" s="469">
        <f t="shared" si="8"/>
        <v>54482</v>
      </c>
      <c r="N17" s="469">
        <f t="shared" si="8"/>
        <v>59042</v>
      </c>
      <c r="O17" s="469">
        <f t="shared" si="8"/>
        <v>54548</v>
      </c>
      <c r="P17" s="469">
        <f t="shared" si="8"/>
        <v>58143</v>
      </c>
      <c r="Q17" s="469">
        <f t="shared" si="8"/>
        <v>59647</v>
      </c>
      <c r="R17" s="469">
        <f t="shared" si="8"/>
        <v>65517</v>
      </c>
      <c r="S17" s="469">
        <f t="shared" si="8"/>
        <v>61659</v>
      </c>
      <c r="T17" s="469">
        <f t="shared" si="8"/>
        <v>64616</v>
      </c>
      <c r="U17" s="469">
        <f t="shared" si="8"/>
        <v>65854</v>
      </c>
      <c r="V17" s="469">
        <f t="shared" si="8"/>
        <v>72461</v>
      </c>
      <c r="W17" s="469">
        <f t="shared" si="8"/>
        <v>66885</v>
      </c>
      <c r="X17" s="469">
        <f t="shared" si="8"/>
        <v>71340</v>
      </c>
      <c r="Y17" s="469">
        <f t="shared" si="8"/>
        <v>74182</v>
      </c>
      <c r="Z17" s="12"/>
      <c r="AA17" s="12">
        <f t="shared" ref="AA17:AK17" si="9">SUM(L17:O17)</f>
        <v>224360</v>
      </c>
      <c r="AB17" s="12">
        <f t="shared" si="9"/>
        <v>226215</v>
      </c>
      <c r="AC17" s="12">
        <f t="shared" si="9"/>
        <v>231380</v>
      </c>
      <c r="AD17" s="12">
        <f t="shared" si="9"/>
        <v>237855</v>
      </c>
      <c r="AE17" s="12">
        <f t="shared" si="9"/>
        <v>244966</v>
      </c>
      <c r="AF17" s="12">
        <f t="shared" si="9"/>
        <v>251439</v>
      </c>
      <c r="AG17" s="12">
        <f t="shared" si="9"/>
        <v>257646</v>
      </c>
      <c r="AH17" s="12">
        <f t="shared" si="9"/>
        <v>264590</v>
      </c>
      <c r="AI17" s="12">
        <f t="shared" si="9"/>
        <v>269816</v>
      </c>
      <c r="AJ17" s="12">
        <f t="shared" si="9"/>
        <v>276540</v>
      </c>
      <c r="AK17" s="12">
        <f t="shared" si="9"/>
        <v>284868</v>
      </c>
      <c r="AM17" s="13">
        <f>SUM(AK17/AG17)-1</f>
        <v>0.10565659858876142</v>
      </c>
    </row>
    <row r="18" spans="1:39" ht="12.75" customHeight="1">
      <c r="B18" s="10" t="s">
        <v>506</v>
      </c>
      <c r="C18" s="469">
        <f t="shared" ref="C18:I18" si="10">+C29</f>
        <v>14063</v>
      </c>
      <c r="D18" s="469">
        <f t="shared" si="10"/>
        <v>17014</v>
      </c>
      <c r="E18" s="469">
        <f t="shared" si="10"/>
        <v>21711</v>
      </c>
      <c r="F18" s="469">
        <f t="shared" si="10"/>
        <v>28032</v>
      </c>
      <c r="G18" s="469">
        <f t="shared" si="10"/>
        <v>29055</v>
      </c>
      <c r="H18" s="469">
        <f t="shared" si="10"/>
        <v>34688</v>
      </c>
      <c r="I18" s="469">
        <f t="shared" si="10"/>
        <v>40340</v>
      </c>
      <c r="J18" s="88"/>
      <c r="K18" s="469">
        <f t="shared" ref="K18:Y18" si="11">+K29</f>
        <v>6811</v>
      </c>
      <c r="L18" s="469">
        <f t="shared" si="11"/>
        <v>6553</v>
      </c>
      <c r="M18" s="469">
        <f t="shared" si="11"/>
        <v>6895</v>
      </c>
      <c r="N18" s="469">
        <f t="shared" si="11"/>
        <v>8796</v>
      </c>
      <c r="O18" s="469">
        <f t="shared" si="11"/>
        <v>7413</v>
      </c>
      <c r="P18" s="469">
        <f t="shared" si="11"/>
        <v>8142</v>
      </c>
      <c r="Q18" s="469">
        <f t="shared" si="11"/>
        <v>8339</v>
      </c>
      <c r="R18" s="469">
        <f t="shared" si="11"/>
        <v>10794</v>
      </c>
      <c r="S18" s="469">
        <f t="shared" si="11"/>
        <v>8739</v>
      </c>
      <c r="T18" s="469">
        <f t="shared" si="11"/>
        <v>9312</v>
      </c>
      <c r="U18" s="469">
        <f t="shared" si="11"/>
        <v>10656</v>
      </c>
      <c r="V18" s="469">
        <f t="shared" si="11"/>
        <v>11633</v>
      </c>
      <c r="W18" s="469">
        <f t="shared" si="11"/>
        <v>10379</v>
      </c>
      <c r="X18" s="469">
        <f t="shared" si="11"/>
        <v>11203</v>
      </c>
      <c r="Y18" s="469">
        <f t="shared" si="11"/>
        <v>12870</v>
      </c>
      <c r="Z18" s="12"/>
      <c r="AA18" s="12"/>
      <c r="AB18" s="12"/>
      <c r="AC18" s="12"/>
      <c r="AD18" s="12"/>
      <c r="AE18" s="12"/>
      <c r="AF18" s="12"/>
      <c r="AG18" s="12">
        <f>SUM(R18:U18)</f>
        <v>39501</v>
      </c>
      <c r="AH18" s="12">
        <f>SUM(S18:V18)</f>
        <v>40340</v>
      </c>
      <c r="AI18" s="12">
        <f>SUM(T18:W18)</f>
        <v>41980</v>
      </c>
      <c r="AJ18" s="12">
        <f>SUM(U18:X18)</f>
        <v>43871</v>
      </c>
      <c r="AK18" s="12">
        <f>SUM(V18:Y18)</f>
        <v>46085</v>
      </c>
      <c r="AM18" s="13">
        <f>SUM(AK18/AG18)-1</f>
        <v>0.16667932457406143</v>
      </c>
    </row>
    <row r="19" spans="1:39" ht="12.75" customHeight="1">
      <c r="B19" s="14" t="s">
        <v>514</v>
      </c>
      <c r="C19" s="36">
        <f t="shared" ref="C19:I19" si="12">SUM(C17:C18)</f>
        <v>130524</v>
      </c>
      <c r="D19" s="36">
        <f t="shared" si="12"/>
        <v>151825</v>
      </c>
      <c r="E19" s="36">
        <f t="shared" si="12"/>
        <v>168635</v>
      </c>
      <c r="F19" s="36">
        <f t="shared" si="12"/>
        <v>237529</v>
      </c>
      <c r="G19" s="36">
        <f t="shared" si="12"/>
        <v>253528</v>
      </c>
      <c r="H19" s="36">
        <f t="shared" si="12"/>
        <v>272543</v>
      </c>
      <c r="I19" s="36">
        <f t="shared" si="12"/>
        <v>304930</v>
      </c>
      <c r="J19" s="12"/>
      <c r="K19" s="36">
        <f t="shared" ref="K19:Y19" si="13">SUM(K17:K18)</f>
        <v>61472</v>
      </c>
      <c r="L19" s="36">
        <f t="shared" si="13"/>
        <v>62841</v>
      </c>
      <c r="M19" s="36">
        <f t="shared" si="13"/>
        <v>61377</v>
      </c>
      <c r="N19" s="36">
        <f t="shared" si="13"/>
        <v>67838</v>
      </c>
      <c r="O19" s="36">
        <f t="shared" si="13"/>
        <v>61961</v>
      </c>
      <c r="P19" s="36">
        <f t="shared" si="13"/>
        <v>66285</v>
      </c>
      <c r="Q19" s="36">
        <f t="shared" si="13"/>
        <v>67986</v>
      </c>
      <c r="R19" s="36">
        <f t="shared" si="13"/>
        <v>76311</v>
      </c>
      <c r="S19" s="36">
        <f t="shared" si="13"/>
        <v>70398</v>
      </c>
      <c r="T19" s="36">
        <f t="shared" si="13"/>
        <v>73928</v>
      </c>
      <c r="U19" s="36">
        <f t="shared" si="13"/>
        <v>76510</v>
      </c>
      <c r="V19" s="36">
        <f t="shared" si="13"/>
        <v>84094</v>
      </c>
      <c r="W19" s="36">
        <f t="shared" si="13"/>
        <v>77264</v>
      </c>
      <c r="X19" s="36">
        <f t="shared" si="13"/>
        <v>82543</v>
      </c>
      <c r="Y19" s="36">
        <f t="shared" si="13"/>
        <v>87052</v>
      </c>
      <c r="Z19" s="5"/>
      <c r="AA19" s="36">
        <f t="shared" ref="AA19:AK19" si="14">SUM(AA17:AA18)</f>
        <v>224360</v>
      </c>
      <c r="AB19" s="36">
        <f t="shared" si="14"/>
        <v>226215</v>
      </c>
      <c r="AC19" s="36">
        <f t="shared" si="14"/>
        <v>231380</v>
      </c>
      <c r="AD19" s="36">
        <f t="shared" si="14"/>
        <v>237855</v>
      </c>
      <c r="AE19" s="36">
        <f t="shared" si="14"/>
        <v>244966</v>
      </c>
      <c r="AF19" s="36">
        <f t="shared" si="14"/>
        <v>251439</v>
      </c>
      <c r="AG19" s="36">
        <f t="shared" si="14"/>
        <v>297147</v>
      </c>
      <c r="AH19" s="36">
        <f t="shared" si="14"/>
        <v>304930</v>
      </c>
      <c r="AI19" s="36">
        <f t="shared" si="14"/>
        <v>311796</v>
      </c>
      <c r="AJ19" s="36">
        <f t="shared" si="14"/>
        <v>320411</v>
      </c>
      <c r="AK19" s="36">
        <f t="shared" si="14"/>
        <v>330953</v>
      </c>
      <c r="AM19" s="16">
        <f>SUM(AK19/AG19)-1</f>
        <v>0.1137686061107801</v>
      </c>
    </row>
    <row r="20" spans="1:39">
      <c r="B20" s="20"/>
      <c r="C20" s="20"/>
      <c r="D20" s="20"/>
      <c r="E20" s="21"/>
      <c r="F20" s="21"/>
      <c r="G20" s="21"/>
      <c r="H20" s="21"/>
      <c r="I20" s="21"/>
      <c r="J20" s="22"/>
      <c r="K20" s="23"/>
      <c r="L20" s="23"/>
      <c r="M20" s="23"/>
      <c r="N20" s="24"/>
      <c r="O20" s="23"/>
      <c r="P20" s="23"/>
      <c r="Q20" s="23"/>
      <c r="R20" s="24"/>
      <c r="S20" s="23"/>
      <c r="T20" s="23"/>
      <c r="U20" s="23"/>
      <c r="V20" s="23"/>
      <c r="W20" s="23"/>
      <c r="X20" s="23"/>
      <c r="Y20" s="23"/>
      <c r="Z20" s="22"/>
      <c r="AA20" s="22"/>
      <c r="AB20" s="22"/>
      <c r="AC20" s="22"/>
      <c r="AD20" s="22"/>
      <c r="AE20" s="22"/>
      <c r="AF20" s="22"/>
      <c r="AG20" s="22"/>
      <c r="AH20" s="22"/>
      <c r="AI20" s="22"/>
      <c r="AJ20" s="22"/>
      <c r="AK20" s="22"/>
      <c r="AM20" s="9"/>
    </row>
    <row r="21" spans="1:39" ht="12.75" customHeight="1">
      <c r="A21" s="87"/>
      <c r="B21" s="85" t="s">
        <v>507</v>
      </c>
      <c r="C21" s="27"/>
      <c r="D21" s="27"/>
      <c r="E21" s="11"/>
      <c r="F21" s="11"/>
      <c r="G21" s="11"/>
      <c r="H21" s="11"/>
      <c r="I21" s="11"/>
      <c r="J21" s="11"/>
      <c r="K21" s="11"/>
      <c r="L21" s="11"/>
      <c r="M21" s="11"/>
      <c r="N21" s="11"/>
      <c r="O21" s="11"/>
      <c r="P21" s="11"/>
      <c r="Q21" s="11"/>
      <c r="R21" s="11"/>
      <c r="S21" s="11"/>
      <c r="T21" s="11"/>
      <c r="U21" s="11"/>
      <c r="V21" s="11"/>
      <c r="W21" s="11"/>
      <c r="X21" s="11"/>
      <c r="Y21" s="11"/>
      <c r="Z21" s="5"/>
      <c r="AA21" s="12"/>
      <c r="AB21" s="12"/>
      <c r="AC21" s="12"/>
      <c r="AD21" s="12"/>
      <c r="AE21" s="12"/>
      <c r="AF21" s="12"/>
      <c r="AG21" s="12"/>
      <c r="AH21" s="12"/>
      <c r="AI21" s="12"/>
      <c r="AJ21" s="12"/>
      <c r="AM21" s="13"/>
    </row>
    <row r="22" spans="1:39" ht="12.75" customHeight="1">
      <c r="B22" s="10" t="s">
        <v>504</v>
      </c>
      <c r="C22" s="88">
        <v>85296</v>
      </c>
      <c r="D22" s="88">
        <v>98115</v>
      </c>
      <c r="E22" s="88">
        <v>104062</v>
      </c>
      <c r="F22" s="88">
        <v>148951</v>
      </c>
      <c r="G22" s="88">
        <v>162450</v>
      </c>
      <c r="H22" s="88">
        <v>175033</v>
      </c>
      <c r="I22" s="88">
        <v>198084</v>
      </c>
      <c r="J22" s="88"/>
      <c r="K22" s="88">
        <v>39618</v>
      </c>
      <c r="L22" s="88">
        <v>40689</v>
      </c>
      <c r="M22" s="88">
        <v>39539</v>
      </c>
      <c r="N22" s="469">
        <f>SUM(G22-SUM(K22:M22))</f>
        <v>42604</v>
      </c>
      <c r="O22" s="88">
        <v>40359</v>
      </c>
      <c r="P22" s="88">
        <v>42628</v>
      </c>
      <c r="Q22" s="88">
        <v>44026</v>
      </c>
      <c r="R22" s="469">
        <f>SUM(H22-SUM(O22:Q22))</f>
        <v>48020</v>
      </c>
      <c r="S22" s="88">
        <v>46156</v>
      </c>
      <c r="T22" s="88">
        <v>48509</v>
      </c>
      <c r="U22" s="88">
        <v>49385</v>
      </c>
      <c r="V22" s="469">
        <f>SUM(I22-SUM(S22:U22))</f>
        <v>54034</v>
      </c>
      <c r="W22" s="88">
        <v>50702</v>
      </c>
      <c r="X22" s="88">
        <v>54190</v>
      </c>
      <c r="Y22" s="88">
        <v>56567</v>
      </c>
      <c r="Z22" s="12"/>
      <c r="AA22" s="12">
        <f t="shared" ref="AA22:AK22" si="15">SUM(L22:O22)</f>
        <v>163191</v>
      </c>
      <c r="AB22" s="12">
        <f t="shared" si="15"/>
        <v>165130</v>
      </c>
      <c r="AC22" s="12">
        <f t="shared" si="15"/>
        <v>169617</v>
      </c>
      <c r="AD22" s="12">
        <f t="shared" si="15"/>
        <v>175033</v>
      </c>
      <c r="AE22" s="12">
        <f t="shared" si="15"/>
        <v>180830</v>
      </c>
      <c r="AF22" s="12">
        <f t="shared" si="15"/>
        <v>186711</v>
      </c>
      <c r="AG22" s="12">
        <f t="shared" si="15"/>
        <v>192070</v>
      </c>
      <c r="AH22" s="12">
        <f t="shared" si="15"/>
        <v>198084</v>
      </c>
      <c r="AI22" s="12">
        <f t="shared" si="15"/>
        <v>202630</v>
      </c>
      <c r="AJ22" s="12">
        <f t="shared" si="15"/>
        <v>208311</v>
      </c>
      <c r="AK22" s="12">
        <f t="shared" si="15"/>
        <v>215493</v>
      </c>
      <c r="AM22" s="13">
        <f>SUM(AK22/AG22)-1</f>
        <v>0.12195033060863225</v>
      </c>
    </row>
    <row r="23" spans="1:39" ht="12.75" customHeight="1">
      <c r="B23" s="10" t="s">
        <v>560</v>
      </c>
      <c r="C23" s="88">
        <v>11155</v>
      </c>
      <c r="D23" s="88">
        <v>15149</v>
      </c>
      <c r="E23" s="88">
        <v>19772</v>
      </c>
      <c r="F23" s="88">
        <v>28845</v>
      </c>
      <c r="G23" s="88">
        <v>29243</v>
      </c>
      <c r="H23" s="88">
        <v>31510</v>
      </c>
      <c r="I23" s="88">
        <v>36147</v>
      </c>
      <c r="J23" s="88"/>
      <c r="K23" s="88">
        <v>6869</v>
      </c>
      <c r="L23" s="88">
        <v>7340</v>
      </c>
      <c r="M23" s="88">
        <v>7071</v>
      </c>
      <c r="N23" s="469">
        <f>SUM(G23-SUM(K23:M23))</f>
        <v>7963</v>
      </c>
      <c r="O23" s="88">
        <v>6693</v>
      </c>
      <c r="P23" s="88">
        <v>7665</v>
      </c>
      <c r="Q23" s="88">
        <v>7952</v>
      </c>
      <c r="R23" s="469">
        <f>SUM(H23-SUM(O23:Q23))</f>
        <v>9200</v>
      </c>
      <c r="S23" s="88">
        <v>8090</v>
      </c>
      <c r="T23" s="88">
        <v>8663</v>
      </c>
      <c r="U23" s="88">
        <v>8921</v>
      </c>
      <c r="V23" s="469">
        <f>SUM(I23-SUM(S23:U23))</f>
        <v>10473</v>
      </c>
      <c r="W23" s="88">
        <v>8927</v>
      </c>
      <c r="X23" s="88">
        <v>9796</v>
      </c>
      <c r="Y23" s="88">
        <v>10261</v>
      </c>
      <c r="Z23" s="12"/>
      <c r="AA23" s="12"/>
      <c r="AB23" s="12"/>
      <c r="AC23" s="12"/>
      <c r="AD23" s="12"/>
      <c r="AE23" s="12"/>
      <c r="AF23" s="12"/>
      <c r="AG23" s="12">
        <f t="shared" ref="AG23:AK24" si="16">SUM(R23:U23)</f>
        <v>34874</v>
      </c>
      <c r="AH23" s="12">
        <f t="shared" si="16"/>
        <v>36147</v>
      </c>
      <c r="AI23" s="12">
        <f t="shared" si="16"/>
        <v>36984</v>
      </c>
      <c r="AJ23" s="12">
        <f t="shared" si="16"/>
        <v>38117</v>
      </c>
      <c r="AK23" s="12">
        <f t="shared" si="16"/>
        <v>39457</v>
      </c>
      <c r="AM23" s="13">
        <f>SUM(AK23/AG23)-1</f>
        <v>0.13141595457934274</v>
      </c>
    </row>
    <row r="24" spans="1:39" ht="12.75" customHeight="1">
      <c r="B24" s="10" t="s">
        <v>603</v>
      </c>
      <c r="C24" s="88">
        <v>20010</v>
      </c>
      <c r="D24" s="88">
        <v>21547</v>
      </c>
      <c r="E24" s="88">
        <v>23090</v>
      </c>
      <c r="F24" s="88">
        <v>31701</v>
      </c>
      <c r="G24" s="88">
        <v>32780</v>
      </c>
      <c r="H24" s="88">
        <v>31312</v>
      </c>
      <c r="I24" s="88">
        <v>30359</v>
      </c>
      <c r="J24" s="88"/>
      <c r="K24" s="88">
        <v>8174</v>
      </c>
      <c r="L24" s="88">
        <v>8259</v>
      </c>
      <c r="M24" s="88">
        <v>7872</v>
      </c>
      <c r="N24" s="469">
        <f>SUM(G24-SUM(K24:M24))</f>
        <v>8475</v>
      </c>
      <c r="O24" s="88">
        <v>7496</v>
      </c>
      <c r="P24" s="88">
        <v>7850</v>
      </c>
      <c r="Q24" s="88">
        <v>7669</v>
      </c>
      <c r="R24" s="469">
        <f>SUM(H24-SUM(O24:Q24))</f>
        <v>8297</v>
      </c>
      <c r="S24" s="88">
        <v>7413</v>
      </c>
      <c r="T24" s="88">
        <v>7444</v>
      </c>
      <c r="U24" s="88">
        <v>7548</v>
      </c>
      <c r="V24" s="469">
        <f>SUM(I24-SUM(S24:U24))</f>
        <v>7954</v>
      </c>
      <c r="W24" s="88">
        <v>7256</v>
      </c>
      <c r="X24" s="88">
        <v>7354</v>
      </c>
      <c r="Y24" s="88">
        <v>7354</v>
      </c>
      <c r="Z24" s="12"/>
      <c r="AA24" s="12">
        <f t="shared" ref="AA24:AF24" si="17">SUM(L24:O24)</f>
        <v>32102</v>
      </c>
      <c r="AB24" s="12">
        <f t="shared" si="17"/>
        <v>31693</v>
      </c>
      <c r="AC24" s="12">
        <f t="shared" si="17"/>
        <v>31490</v>
      </c>
      <c r="AD24" s="12">
        <f t="shared" si="17"/>
        <v>31312</v>
      </c>
      <c r="AE24" s="12">
        <f t="shared" si="17"/>
        <v>31229</v>
      </c>
      <c r="AF24" s="12">
        <f t="shared" si="17"/>
        <v>30823</v>
      </c>
      <c r="AG24" s="12">
        <f t="shared" si="16"/>
        <v>30702</v>
      </c>
      <c r="AH24" s="12">
        <f t="shared" si="16"/>
        <v>30359</v>
      </c>
      <c r="AI24" s="12">
        <f t="shared" si="16"/>
        <v>30202</v>
      </c>
      <c r="AJ24" s="12">
        <f t="shared" si="16"/>
        <v>30112</v>
      </c>
      <c r="AK24" s="12">
        <f t="shared" si="16"/>
        <v>29918</v>
      </c>
      <c r="AM24" s="13">
        <f>SUM(AK24/AG24)-1</f>
        <v>-2.5535795713634291E-2</v>
      </c>
    </row>
    <row r="25" spans="1:39" ht="12.75" customHeight="1">
      <c r="B25" s="14" t="s">
        <v>508</v>
      </c>
      <c r="C25" s="36">
        <f t="shared" ref="C25:I25" si="18">SUM(C22:C24)</f>
        <v>116461</v>
      </c>
      <c r="D25" s="36">
        <f t="shared" si="18"/>
        <v>134811</v>
      </c>
      <c r="E25" s="36">
        <f t="shared" si="18"/>
        <v>146924</v>
      </c>
      <c r="F25" s="36">
        <f t="shared" si="18"/>
        <v>209497</v>
      </c>
      <c r="G25" s="36">
        <f t="shared" si="18"/>
        <v>224473</v>
      </c>
      <c r="H25" s="36">
        <f t="shared" si="18"/>
        <v>237855</v>
      </c>
      <c r="I25" s="36">
        <f t="shared" si="18"/>
        <v>264590</v>
      </c>
      <c r="J25" s="12"/>
      <c r="K25" s="36">
        <f t="shared" ref="K25:X25" si="19">SUM(K22:K24)</f>
        <v>54661</v>
      </c>
      <c r="L25" s="36">
        <f t="shared" si="19"/>
        <v>56288</v>
      </c>
      <c r="M25" s="36">
        <f t="shared" si="19"/>
        <v>54482</v>
      </c>
      <c r="N25" s="36">
        <f t="shared" si="19"/>
        <v>59042</v>
      </c>
      <c r="O25" s="36">
        <f t="shared" si="19"/>
        <v>54548</v>
      </c>
      <c r="P25" s="36">
        <f t="shared" si="19"/>
        <v>58143</v>
      </c>
      <c r="Q25" s="36">
        <f t="shared" si="19"/>
        <v>59647</v>
      </c>
      <c r="R25" s="36">
        <f t="shared" si="19"/>
        <v>65517</v>
      </c>
      <c r="S25" s="36">
        <f t="shared" si="19"/>
        <v>61659</v>
      </c>
      <c r="T25" s="36">
        <f t="shared" si="19"/>
        <v>64616</v>
      </c>
      <c r="U25" s="36">
        <f t="shared" si="19"/>
        <v>65854</v>
      </c>
      <c r="V25" s="36">
        <f t="shared" si="19"/>
        <v>72461</v>
      </c>
      <c r="W25" s="36">
        <f t="shared" si="19"/>
        <v>66885</v>
      </c>
      <c r="X25" s="36">
        <f t="shared" si="19"/>
        <v>71340</v>
      </c>
      <c r="Y25" s="36">
        <f>SUM(Y22:Y24)</f>
        <v>74182</v>
      </c>
      <c r="Z25" s="5"/>
      <c r="AA25" s="36">
        <f t="shared" ref="AA25:AK25" si="20">SUM(AA22:AA24)</f>
        <v>195293</v>
      </c>
      <c r="AB25" s="36">
        <f t="shared" si="20"/>
        <v>196823</v>
      </c>
      <c r="AC25" s="36">
        <f t="shared" si="20"/>
        <v>201107</v>
      </c>
      <c r="AD25" s="36">
        <f t="shared" si="20"/>
        <v>206345</v>
      </c>
      <c r="AE25" s="36">
        <f t="shared" si="20"/>
        <v>212059</v>
      </c>
      <c r="AF25" s="36">
        <f t="shared" si="20"/>
        <v>217534</v>
      </c>
      <c r="AG25" s="36">
        <f t="shared" si="20"/>
        <v>257646</v>
      </c>
      <c r="AH25" s="36">
        <f t="shared" si="20"/>
        <v>264590</v>
      </c>
      <c r="AI25" s="36">
        <f t="shared" si="20"/>
        <v>269816</v>
      </c>
      <c r="AJ25" s="36">
        <f t="shared" si="20"/>
        <v>276540</v>
      </c>
      <c r="AK25" s="36">
        <f t="shared" si="20"/>
        <v>284868</v>
      </c>
      <c r="AM25" s="16">
        <f>SUM(AK25/AG25)-1</f>
        <v>0.10565659858876142</v>
      </c>
    </row>
    <row r="26" spans="1:39" ht="12.75" customHeight="1">
      <c r="B26" s="27"/>
      <c r="C26" s="78"/>
      <c r="D26" s="78"/>
      <c r="E26" s="78"/>
      <c r="F26" s="78"/>
      <c r="G26" s="78"/>
      <c r="H26" s="78"/>
      <c r="I26" s="78"/>
      <c r="J26" s="12"/>
      <c r="K26" s="78"/>
      <c r="L26" s="78"/>
      <c r="M26" s="78"/>
      <c r="N26" s="78"/>
      <c r="O26" s="78"/>
      <c r="P26" s="78"/>
      <c r="Q26" s="78"/>
      <c r="R26" s="78"/>
      <c r="S26" s="78"/>
      <c r="T26" s="78"/>
      <c r="U26" s="78"/>
      <c r="V26" s="78"/>
      <c r="W26" s="78"/>
      <c r="X26" s="78"/>
      <c r="Y26" s="78"/>
      <c r="Z26" s="5"/>
      <c r="AA26" s="78"/>
      <c r="AB26" s="78"/>
      <c r="AC26" s="78"/>
      <c r="AD26" s="78"/>
      <c r="AE26" s="78"/>
      <c r="AF26" s="78"/>
      <c r="AG26" s="78"/>
      <c r="AH26" s="78"/>
      <c r="AI26" s="78"/>
      <c r="AJ26" s="78"/>
      <c r="AK26" s="78"/>
      <c r="AM26" s="13" t="s">
        <v>561</v>
      </c>
    </row>
    <row r="27" spans="1:39" ht="12.75" customHeight="1">
      <c r="A27" s="87"/>
      <c r="B27" s="85" t="s">
        <v>506</v>
      </c>
      <c r="C27" s="27"/>
      <c r="D27" s="27"/>
      <c r="E27" s="11"/>
      <c r="F27" s="11"/>
      <c r="G27" s="11"/>
      <c r="H27" s="11"/>
      <c r="I27" s="11"/>
      <c r="J27" s="11"/>
      <c r="K27" s="11"/>
      <c r="L27" s="11"/>
      <c r="M27" s="11"/>
      <c r="N27" s="11"/>
      <c r="O27" s="11"/>
      <c r="P27" s="11"/>
      <c r="Q27" s="11"/>
      <c r="R27" s="11"/>
      <c r="S27" s="11"/>
      <c r="T27" s="11"/>
      <c r="U27" s="11"/>
      <c r="V27" s="11"/>
      <c r="W27" s="11"/>
      <c r="X27" s="11"/>
      <c r="Y27" s="11"/>
      <c r="Z27" s="5"/>
      <c r="AA27" s="12"/>
      <c r="AB27" s="12"/>
      <c r="AC27" s="12"/>
      <c r="AD27" s="12"/>
      <c r="AE27" s="12"/>
      <c r="AF27" s="12"/>
      <c r="AG27" s="12"/>
      <c r="AH27" s="12"/>
      <c r="AI27" s="12"/>
      <c r="AJ27" s="12"/>
      <c r="AM27" s="13"/>
    </row>
    <row r="28" spans="1:39" ht="12.75" customHeight="1">
      <c r="B28" s="10" t="s">
        <v>506</v>
      </c>
      <c r="C28" s="88">
        <v>14063</v>
      </c>
      <c r="D28" s="88">
        <v>17014</v>
      </c>
      <c r="E28" s="88">
        <v>21711</v>
      </c>
      <c r="F28" s="88">
        <v>28032</v>
      </c>
      <c r="G28" s="88">
        <v>29055</v>
      </c>
      <c r="H28" s="88">
        <v>34688</v>
      </c>
      <c r="I28" s="88">
        <v>40340</v>
      </c>
      <c r="J28" s="88"/>
      <c r="K28" s="88">
        <v>6811</v>
      </c>
      <c r="L28" s="88">
        <v>6553</v>
      </c>
      <c r="M28" s="88">
        <v>6895</v>
      </c>
      <c r="N28" s="469">
        <f>SUM(G28-SUM(K28:M28))</f>
        <v>8796</v>
      </c>
      <c r="O28" s="88">
        <v>7413</v>
      </c>
      <c r="P28" s="88">
        <v>8142</v>
      </c>
      <c r="Q28" s="88">
        <v>8339</v>
      </c>
      <c r="R28" s="469">
        <f>SUM(H28-SUM(O28:Q28))</f>
        <v>10794</v>
      </c>
      <c r="S28" s="88">
        <v>8739</v>
      </c>
      <c r="T28" s="88">
        <v>9312</v>
      </c>
      <c r="U28" s="88">
        <v>10656</v>
      </c>
      <c r="V28" s="469">
        <f>SUM(I28-SUM(S28:U28))</f>
        <v>11633</v>
      </c>
      <c r="W28" s="88">
        <v>10379</v>
      </c>
      <c r="X28" s="88">
        <v>11203</v>
      </c>
      <c r="Y28" s="88">
        <v>12870</v>
      </c>
      <c r="Z28" s="12"/>
      <c r="AA28" s="12">
        <f t="shared" ref="AA28:AK28" si="21">SUM(L28:O28)</f>
        <v>29657</v>
      </c>
      <c r="AB28" s="12">
        <f t="shared" si="21"/>
        <v>31246</v>
      </c>
      <c r="AC28" s="12">
        <f t="shared" si="21"/>
        <v>32690</v>
      </c>
      <c r="AD28" s="12">
        <f t="shared" si="21"/>
        <v>34688</v>
      </c>
      <c r="AE28" s="12">
        <f t="shared" si="21"/>
        <v>36014</v>
      </c>
      <c r="AF28" s="12">
        <f t="shared" si="21"/>
        <v>37184</v>
      </c>
      <c r="AG28" s="12">
        <f t="shared" si="21"/>
        <v>39501</v>
      </c>
      <c r="AH28" s="12">
        <f t="shared" si="21"/>
        <v>40340</v>
      </c>
      <c r="AI28" s="12">
        <f t="shared" si="21"/>
        <v>41980</v>
      </c>
      <c r="AJ28" s="12">
        <f t="shared" si="21"/>
        <v>43871</v>
      </c>
      <c r="AK28" s="12">
        <f t="shared" si="21"/>
        <v>46085</v>
      </c>
      <c r="AM28" s="13">
        <f>SUM(AK28/AG28)-1</f>
        <v>0.16667932457406143</v>
      </c>
    </row>
    <row r="29" spans="1:39" ht="12.75" customHeight="1">
      <c r="B29" s="14" t="s">
        <v>513</v>
      </c>
      <c r="C29" s="36">
        <f t="shared" ref="C29:I29" si="22">SUM(C28:C28)</f>
        <v>14063</v>
      </c>
      <c r="D29" s="36">
        <f t="shared" si="22"/>
        <v>17014</v>
      </c>
      <c r="E29" s="36">
        <f t="shared" si="22"/>
        <v>21711</v>
      </c>
      <c r="F29" s="36">
        <f t="shared" si="22"/>
        <v>28032</v>
      </c>
      <c r="G29" s="36">
        <f t="shared" si="22"/>
        <v>29055</v>
      </c>
      <c r="H29" s="36">
        <f t="shared" si="22"/>
        <v>34688</v>
      </c>
      <c r="I29" s="36">
        <f t="shared" si="22"/>
        <v>40340</v>
      </c>
      <c r="J29" s="12"/>
      <c r="K29" s="36">
        <f t="shared" ref="K29:Y29" si="23">SUM(K28:K28)</f>
        <v>6811</v>
      </c>
      <c r="L29" s="36">
        <f t="shared" si="23"/>
        <v>6553</v>
      </c>
      <c r="M29" s="36">
        <f t="shared" si="23"/>
        <v>6895</v>
      </c>
      <c r="N29" s="36">
        <f t="shared" si="23"/>
        <v>8796</v>
      </c>
      <c r="O29" s="36">
        <f t="shared" si="23"/>
        <v>7413</v>
      </c>
      <c r="P29" s="36">
        <f t="shared" si="23"/>
        <v>8142</v>
      </c>
      <c r="Q29" s="36">
        <f t="shared" si="23"/>
        <v>8339</v>
      </c>
      <c r="R29" s="36">
        <f t="shared" si="23"/>
        <v>10794</v>
      </c>
      <c r="S29" s="36">
        <f t="shared" si="23"/>
        <v>8739</v>
      </c>
      <c r="T29" s="36">
        <f t="shared" si="23"/>
        <v>9312</v>
      </c>
      <c r="U29" s="36">
        <f t="shared" si="23"/>
        <v>10656</v>
      </c>
      <c r="V29" s="36">
        <f t="shared" si="23"/>
        <v>11633</v>
      </c>
      <c r="W29" s="36">
        <f t="shared" si="23"/>
        <v>10379</v>
      </c>
      <c r="X29" s="36">
        <f t="shared" si="23"/>
        <v>11203</v>
      </c>
      <c r="Y29" s="36">
        <f t="shared" si="23"/>
        <v>12870</v>
      </c>
      <c r="Z29" s="5"/>
      <c r="AA29" s="36">
        <f t="shared" ref="AA29:AK29" si="24">SUM(AA28:AA28)</f>
        <v>29657</v>
      </c>
      <c r="AB29" s="36">
        <f t="shared" si="24"/>
        <v>31246</v>
      </c>
      <c r="AC29" s="36">
        <f t="shared" si="24"/>
        <v>32690</v>
      </c>
      <c r="AD29" s="36">
        <f t="shared" si="24"/>
        <v>34688</v>
      </c>
      <c r="AE29" s="36">
        <f t="shared" si="24"/>
        <v>36014</v>
      </c>
      <c r="AF29" s="36">
        <f t="shared" si="24"/>
        <v>37184</v>
      </c>
      <c r="AG29" s="36">
        <f t="shared" si="24"/>
        <v>39501</v>
      </c>
      <c r="AH29" s="36">
        <f t="shared" si="24"/>
        <v>40340</v>
      </c>
      <c r="AI29" s="36">
        <f t="shared" si="24"/>
        <v>41980</v>
      </c>
      <c r="AJ29" s="36">
        <f t="shared" si="24"/>
        <v>43871</v>
      </c>
      <c r="AK29" s="36">
        <f t="shared" si="24"/>
        <v>46085</v>
      </c>
      <c r="AM29" s="16">
        <f>SUM(AK29/AG29)-1</f>
        <v>0.16667932457406143</v>
      </c>
    </row>
    <row r="31" spans="1:39">
      <c r="A31" s="38" t="s">
        <v>25</v>
      </c>
      <c r="B31" s="1" t="s">
        <v>516</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spans="1:39" ht="5.0999999999999996" customHeight="1"/>
    <row r="33" spans="1:39" ht="12.75" customHeight="1">
      <c r="A33" s="87"/>
      <c r="B33" s="85" t="s">
        <v>507</v>
      </c>
      <c r="C33" s="27"/>
      <c r="D33" s="27"/>
      <c r="E33" s="11"/>
      <c r="F33" s="11"/>
      <c r="G33" s="11"/>
      <c r="H33" s="11"/>
      <c r="I33" s="11"/>
      <c r="J33" s="11"/>
      <c r="K33" s="11"/>
      <c r="L33" s="11"/>
      <c r="M33" s="11"/>
      <c r="N33" s="11"/>
      <c r="O33" s="11"/>
      <c r="P33" s="11"/>
      <c r="Q33" s="11"/>
      <c r="R33" s="11"/>
      <c r="S33" s="11"/>
      <c r="T33" s="11"/>
      <c r="U33" s="11"/>
      <c r="V33" s="11"/>
      <c r="W33" s="11"/>
      <c r="X33" s="11"/>
      <c r="Y33" s="11"/>
      <c r="Z33" s="5"/>
      <c r="AA33" s="12"/>
      <c r="AB33" s="12"/>
      <c r="AC33" s="12"/>
      <c r="AD33" s="12"/>
      <c r="AE33" s="12"/>
      <c r="AF33" s="12"/>
      <c r="AG33" s="12"/>
      <c r="AH33" s="12"/>
      <c r="AI33" s="12"/>
      <c r="AJ33" s="12"/>
      <c r="AM33" s="13"/>
    </row>
    <row r="34" spans="1:39" ht="12.75" customHeight="1">
      <c r="B34" s="10" t="s">
        <v>517</v>
      </c>
      <c r="C34" s="88">
        <v>63269</v>
      </c>
      <c r="D34" s="88">
        <v>74843</v>
      </c>
      <c r="E34" s="88">
        <v>85014</v>
      </c>
      <c r="F34" s="88">
        <v>117854</v>
      </c>
      <c r="G34" s="88">
        <v>134814</v>
      </c>
      <c r="H34" s="88">
        <v>146286</v>
      </c>
      <c r="I34" s="88">
        <v>170447</v>
      </c>
      <c r="J34" s="88"/>
      <c r="K34" s="88">
        <v>31733</v>
      </c>
      <c r="L34" s="88">
        <v>32727</v>
      </c>
      <c r="M34" s="88">
        <v>33372</v>
      </c>
      <c r="N34" s="469">
        <f>SUM(G34-SUM(K34:M34))</f>
        <v>36982</v>
      </c>
      <c r="O34" s="88">
        <v>32864</v>
      </c>
      <c r="P34" s="88">
        <v>35073</v>
      </c>
      <c r="Q34" s="88">
        <v>36354</v>
      </c>
      <c r="R34" s="469">
        <f>SUM(H34-SUM(O34:Q34))</f>
        <v>41995</v>
      </c>
      <c r="S34" s="88">
        <v>38737</v>
      </c>
      <c r="T34" s="88">
        <v>41196</v>
      </c>
      <c r="U34" s="88">
        <v>43139</v>
      </c>
      <c r="V34" s="469">
        <f>SUM(I34-SUM(S34:U34))</f>
        <v>47375</v>
      </c>
      <c r="W34" s="88">
        <v>43964</v>
      </c>
      <c r="X34" s="88">
        <v>46063</v>
      </c>
      <c r="Y34" s="88">
        <v>48758</v>
      </c>
      <c r="Z34" s="12"/>
      <c r="AA34" s="12">
        <f t="shared" ref="AA34:AK34" si="25">SUM(L34:O34)</f>
        <v>135945</v>
      </c>
      <c r="AB34" s="12">
        <f t="shared" si="25"/>
        <v>138291</v>
      </c>
      <c r="AC34" s="12">
        <f t="shared" si="25"/>
        <v>141273</v>
      </c>
      <c r="AD34" s="12">
        <f t="shared" si="25"/>
        <v>146286</v>
      </c>
      <c r="AE34" s="12">
        <f t="shared" si="25"/>
        <v>152159</v>
      </c>
      <c r="AF34" s="12">
        <f t="shared" si="25"/>
        <v>158282</v>
      </c>
      <c r="AG34" s="12">
        <f t="shared" si="25"/>
        <v>165067</v>
      </c>
      <c r="AH34" s="12">
        <f t="shared" si="25"/>
        <v>170447</v>
      </c>
      <c r="AI34" s="12">
        <f t="shared" si="25"/>
        <v>175674</v>
      </c>
      <c r="AJ34" s="12">
        <f t="shared" si="25"/>
        <v>180541</v>
      </c>
      <c r="AK34" s="12">
        <f t="shared" si="25"/>
        <v>186160</v>
      </c>
      <c r="AM34" s="13">
        <f t="shared" ref="AM34:AM39" si="26">SUM(AK34/AG34)-1</f>
        <v>0.12778447539483961</v>
      </c>
    </row>
    <row r="35" spans="1:39" ht="12.75" customHeight="1">
      <c r="B35" s="10" t="s">
        <v>518</v>
      </c>
      <c r="C35" s="88">
        <v>44739</v>
      </c>
      <c r="D35" s="88">
        <v>50645</v>
      </c>
      <c r="E35" s="88">
        <v>55370</v>
      </c>
      <c r="F35" s="88">
        <v>79107</v>
      </c>
      <c r="G35" s="88">
        <v>82062</v>
      </c>
      <c r="H35" s="88">
        <v>91038</v>
      </c>
      <c r="I35" s="88">
        <v>102127</v>
      </c>
      <c r="J35" s="88"/>
      <c r="K35" s="88">
        <v>20317</v>
      </c>
      <c r="L35" s="88">
        <v>20533</v>
      </c>
      <c r="M35" s="88">
        <v>19450</v>
      </c>
      <c r="N35" s="469">
        <f>SUM(G35-SUM(K35:M35))</f>
        <v>21762</v>
      </c>
      <c r="O35" s="88">
        <v>21078</v>
      </c>
      <c r="P35" s="88">
        <v>22289</v>
      </c>
      <c r="Q35" s="88">
        <v>22661</v>
      </c>
      <c r="R35" s="469">
        <f>SUM(H35-SUM(O35:Q35))</f>
        <v>25010</v>
      </c>
      <c r="S35" s="88">
        <v>23788</v>
      </c>
      <c r="T35" s="88">
        <v>24683</v>
      </c>
      <c r="U35" s="88">
        <v>25472</v>
      </c>
      <c r="V35" s="469">
        <f>SUM(I35-SUM(S35:U35))</f>
        <v>28184</v>
      </c>
      <c r="W35" s="88">
        <v>25923</v>
      </c>
      <c r="X35" s="88">
        <v>28262</v>
      </c>
      <c r="Y35" s="88">
        <v>29911</v>
      </c>
      <c r="Z35" s="12"/>
      <c r="AA35" s="12"/>
      <c r="AB35" s="12"/>
      <c r="AC35" s="12"/>
      <c r="AD35" s="12"/>
      <c r="AE35" s="12"/>
      <c r="AF35" s="12"/>
      <c r="AG35" s="12">
        <f t="shared" ref="AG35:AK38" si="27">SUM(R35:U35)</f>
        <v>98953</v>
      </c>
      <c r="AH35" s="12">
        <f t="shared" si="27"/>
        <v>102127</v>
      </c>
      <c r="AI35" s="12">
        <f t="shared" si="27"/>
        <v>104262</v>
      </c>
      <c r="AJ35" s="12">
        <f t="shared" si="27"/>
        <v>107841</v>
      </c>
      <c r="AK35" s="12">
        <f t="shared" si="27"/>
        <v>112280</v>
      </c>
      <c r="AM35" s="13">
        <f t="shared" si="26"/>
        <v>0.13468010065384584</v>
      </c>
    </row>
    <row r="36" spans="1:39" ht="12.75" customHeight="1">
      <c r="B36" s="10" t="s">
        <v>519</v>
      </c>
      <c r="C36" s="88">
        <v>21341</v>
      </c>
      <c r="D36" s="88">
        <v>26928</v>
      </c>
      <c r="E36" s="88">
        <v>32550</v>
      </c>
      <c r="F36" s="88">
        <v>46123</v>
      </c>
      <c r="G36" s="88">
        <v>47024</v>
      </c>
      <c r="H36" s="88">
        <v>51514</v>
      </c>
      <c r="I36" s="88">
        <v>56815</v>
      </c>
      <c r="J36" s="88"/>
      <c r="K36" s="88">
        <v>11841</v>
      </c>
      <c r="L36" s="88">
        <v>11710</v>
      </c>
      <c r="M36" s="88">
        <v>11494</v>
      </c>
      <c r="N36" s="469">
        <f>SUM(G36-SUM(K36:M36))</f>
        <v>11979</v>
      </c>
      <c r="O36" s="88">
        <v>11681</v>
      </c>
      <c r="P36" s="88">
        <v>12728</v>
      </c>
      <c r="Q36" s="88">
        <v>13126</v>
      </c>
      <c r="R36" s="469">
        <f>SUM(H36-SUM(O36:Q36))</f>
        <v>13979</v>
      </c>
      <c r="S36" s="88">
        <v>13289</v>
      </c>
      <c r="T36" s="88">
        <v>13823</v>
      </c>
      <c r="U36" s="88">
        <v>14547</v>
      </c>
      <c r="V36" s="469">
        <f>SUM(I36-SUM(S36:U36))</f>
        <v>15156</v>
      </c>
      <c r="W36" s="88">
        <v>14854</v>
      </c>
      <c r="X36" s="88">
        <v>16480</v>
      </c>
      <c r="Y36" s="88">
        <v>17819</v>
      </c>
      <c r="Z36" s="12"/>
      <c r="AA36" s="12"/>
      <c r="AB36" s="12"/>
      <c r="AC36" s="12"/>
      <c r="AD36" s="12"/>
      <c r="AE36" s="12"/>
      <c r="AF36" s="12"/>
      <c r="AG36" s="12">
        <f t="shared" si="27"/>
        <v>55638</v>
      </c>
      <c r="AH36" s="12">
        <f t="shared" si="27"/>
        <v>56815</v>
      </c>
      <c r="AI36" s="12">
        <f t="shared" si="27"/>
        <v>58380</v>
      </c>
      <c r="AJ36" s="12">
        <f t="shared" si="27"/>
        <v>61037</v>
      </c>
      <c r="AK36" s="12">
        <f t="shared" si="27"/>
        <v>64309</v>
      </c>
      <c r="AM36" s="13">
        <f t="shared" si="26"/>
        <v>0.15584672346238193</v>
      </c>
    </row>
    <row r="37" spans="1:39" ht="12.75" customHeight="1">
      <c r="B37" s="10" t="s">
        <v>520</v>
      </c>
      <c r="C37" s="88">
        <v>7608</v>
      </c>
      <c r="D37" s="88">
        <v>8986</v>
      </c>
      <c r="E37" s="88">
        <v>9417</v>
      </c>
      <c r="F37" s="88">
        <v>14404</v>
      </c>
      <c r="G37" s="88">
        <v>16976</v>
      </c>
      <c r="H37" s="88">
        <v>18320</v>
      </c>
      <c r="I37" s="88">
        <v>20418</v>
      </c>
      <c r="J37" s="88"/>
      <c r="K37" s="88">
        <v>3842</v>
      </c>
      <c r="L37" s="88">
        <v>4340</v>
      </c>
      <c r="M37" s="88">
        <v>4138</v>
      </c>
      <c r="N37" s="469">
        <f>SUM(G37-SUM(K37:M37))</f>
        <v>4656</v>
      </c>
      <c r="O37" s="88">
        <v>4080</v>
      </c>
      <c r="P37" s="88">
        <v>4511</v>
      </c>
      <c r="Q37" s="88">
        <v>4553</v>
      </c>
      <c r="R37" s="469">
        <f>SUM(H37-SUM(O37:Q37))</f>
        <v>5176</v>
      </c>
      <c r="S37" s="88">
        <v>4653</v>
      </c>
      <c r="T37" s="88">
        <v>4938</v>
      </c>
      <c r="U37" s="88">
        <v>5093</v>
      </c>
      <c r="V37" s="469">
        <f>SUM(I37-SUM(S37:U37))</f>
        <v>5734</v>
      </c>
      <c r="W37" s="88">
        <v>5233</v>
      </c>
      <c r="X37" s="88">
        <v>5735</v>
      </c>
      <c r="Y37" s="88">
        <v>6065</v>
      </c>
      <c r="Z37" s="12"/>
      <c r="AA37" s="12"/>
      <c r="AB37" s="12"/>
      <c r="AC37" s="12"/>
      <c r="AD37" s="12"/>
      <c r="AE37" s="12"/>
      <c r="AF37" s="12"/>
      <c r="AG37" s="12">
        <f t="shared" si="27"/>
        <v>19860</v>
      </c>
      <c r="AH37" s="12">
        <f t="shared" si="27"/>
        <v>20418</v>
      </c>
      <c r="AI37" s="12">
        <f t="shared" si="27"/>
        <v>20998</v>
      </c>
      <c r="AJ37" s="12">
        <f t="shared" si="27"/>
        <v>21795</v>
      </c>
      <c r="AK37" s="12">
        <f t="shared" si="27"/>
        <v>22767</v>
      </c>
      <c r="AM37" s="13">
        <f t="shared" si="26"/>
        <v>0.14637462235649545</v>
      </c>
    </row>
    <row r="38" spans="1:39" ht="12.75" customHeight="1">
      <c r="B38" s="10" t="s">
        <v>521</v>
      </c>
      <c r="C38" s="88">
        <v>-138</v>
      </c>
      <c r="D38" s="88">
        <v>455</v>
      </c>
      <c r="E38" s="88">
        <v>176</v>
      </c>
      <c r="F38" s="88">
        <v>149</v>
      </c>
      <c r="G38" s="88">
        <v>1960</v>
      </c>
      <c r="H38" s="88">
        <v>236</v>
      </c>
      <c r="I38" s="88">
        <v>211</v>
      </c>
      <c r="J38" s="88"/>
      <c r="K38" s="88">
        <v>278</v>
      </c>
      <c r="L38" s="88">
        <v>375</v>
      </c>
      <c r="M38" s="88">
        <v>638</v>
      </c>
      <c r="N38" s="469">
        <f>SUM(G38-SUM(K38:M38))</f>
        <v>669</v>
      </c>
      <c r="O38" s="88">
        <v>84</v>
      </c>
      <c r="P38" s="88">
        <v>3</v>
      </c>
      <c r="Q38" s="88">
        <v>-1</v>
      </c>
      <c r="R38" s="469">
        <f>SUM(H38-SUM(O38:Q38))</f>
        <v>150</v>
      </c>
      <c r="S38" s="88">
        <v>72</v>
      </c>
      <c r="T38" s="88">
        <v>102</v>
      </c>
      <c r="U38" s="88">
        <v>17</v>
      </c>
      <c r="V38" s="469">
        <f>SUM(I38-SUM(S38:U38))</f>
        <v>20</v>
      </c>
      <c r="W38" s="88">
        <v>260</v>
      </c>
      <c r="X38" s="88">
        <v>-112</v>
      </c>
      <c r="Y38" s="88">
        <v>-207</v>
      </c>
      <c r="Z38" s="12"/>
      <c r="AA38" s="12">
        <f t="shared" ref="AA38:AF38" si="28">SUM(L38:O38)</f>
        <v>1766</v>
      </c>
      <c r="AB38" s="12">
        <f t="shared" si="28"/>
        <v>1394</v>
      </c>
      <c r="AC38" s="12">
        <f t="shared" si="28"/>
        <v>755</v>
      </c>
      <c r="AD38" s="12">
        <f t="shared" si="28"/>
        <v>236</v>
      </c>
      <c r="AE38" s="12">
        <f t="shared" si="28"/>
        <v>224</v>
      </c>
      <c r="AF38" s="12">
        <f t="shared" si="28"/>
        <v>323</v>
      </c>
      <c r="AG38" s="12">
        <f t="shared" si="27"/>
        <v>341</v>
      </c>
      <c r="AH38" s="12">
        <f t="shared" si="27"/>
        <v>211</v>
      </c>
      <c r="AI38" s="12">
        <f t="shared" si="27"/>
        <v>399</v>
      </c>
      <c r="AJ38" s="12">
        <f t="shared" si="27"/>
        <v>185</v>
      </c>
      <c r="AK38" s="12">
        <f t="shared" si="27"/>
        <v>-39</v>
      </c>
      <c r="AM38" s="13">
        <f t="shared" si="26"/>
        <v>-1.1143695014662756</v>
      </c>
    </row>
    <row r="39" spans="1:39" ht="12.75" customHeight="1">
      <c r="B39" s="14" t="s">
        <v>508</v>
      </c>
      <c r="C39" s="36">
        <f t="shared" ref="C39:I39" si="29">SUM(C34:C38)</f>
        <v>136819</v>
      </c>
      <c r="D39" s="36">
        <f t="shared" si="29"/>
        <v>161857</v>
      </c>
      <c r="E39" s="36">
        <f t="shared" si="29"/>
        <v>182527</v>
      </c>
      <c r="F39" s="36">
        <f t="shared" si="29"/>
        <v>257637</v>
      </c>
      <c r="G39" s="36">
        <f t="shared" si="29"/>
        <v>282836</v>
      </c>
      <c r="H39" s="36">
        <f t="shared" si="29"/>
        <v>307394</v>
      </c>
      <c r="I39" s="36">
        <f t="shared" si="29"/>
        <v>350018</v>
      </c>
      <c r="J39" s="12"/>
      <c r="K39" s="36">
        <f t="shared" ref="K39:Y39" si="30">SUM(K34:K38)</f>
        <v>68011</v>
      </c>
      <c r="L39" s="36">
        <f t="shared" si="30"/>
        <v>69685</v>
      </c>
      <c r="M39" s="36">
        <f t="shared" si="30"/>
        <v>69092</v>
      </c>
      <c r="N39" s="36">
        <f t="shared" si="30"/>
        <v>76048</v>
      </c>
      <c r="O39" s="36">
        <f t="shared" si="30"/>
        <v>69787</v>
      </c>
      <c r="P39" s="36">
        <f t="shared" si="30"/>
        <v>74604</v>
      </c>
      <c r="Q39" s="36">
        <f t="shared" si="30"/>
        <v>76693</v>
      </c>
      <c r="R39" s="36">
        <f t="shared" si="30"/>
        <v>86310</v>
      </c>
      <c r="S39" s="36">
        <f t="shared" si="30"/>
        <v>80539</v>
      </c>
      <c r="T39" s="36">
        <f t="shared" si="30"/>
        <v>84742</v>
      </c>
      <c r="U39" s="36">
        <f t="shared" si="30"/>
        <v>88268</v>
      </c>
      <c r="V39" s="36">
        <f t="shared" si="30"/>
        <v>96469</v>
      </c>
      <c r="W39" s="36">
        <f t="shared" si="30"/>
        <v>90234</v>
      </c>
      <c r="X39" s="36">
        <f t="shared" si="30"/>
        <v>96428</v>
      </c>
      <c r="Y39" s="36">
        <f t="shared" si="30"/>
        <v>102346</v>
      </c>
      <c r="Z39" s="5"/>
      <c r="AA39" s="36">
        <f t="shared" ref="AA39:AK39" si="31">SUM(AA34:AA38)</f>
        <v>137711</v>
      </c>
      <c r="AB39" s="36">
        <f t="shared" si="31"/>
        <v>139685</v>
      </c>
      <c r="AC39" s="36">
        <f t="shared" si="31"/>
        <v>142028</v>
      </c>
      <c r="AD39" s="36">
        <f t="shared" si="31"/>
        <v>146522</v>
      </c>
      <c r="AE39" s="36">
        <f t="shared" si="31"/>
        <v>152383</v>
      </c>
      <c r="AF39" s="36">
        <f t="shared" si="31"/>
        <v>158605</v>
      </c>
      <c r="AG39" s="36">
        <f t="shared" si="31"/>
        <v>339859</v>
      </c>
      <c r="AH39" s="36">
        <f t="shared" si="31"/>
        <v>350018</v>
      </c>
      <c r="AI39" s="36">
        <f t="shared" si="31"/>
        <v>359713</v>
      </c>
      <c r="AJ39" s="36">
        <f t="shared" si="31"/>
        <v>371399</v>
      </c>
      <c r="AK39" s="36">
        <f t="shared" si="31"/>
        <v>385477</v>
      </c>
      <c r="AM39" s="16">
        <f t="shared" si="26"/>
        <v>0.13422625265183497</v>
      </c>
    </row>
    <row r="40" spans="1:39">
      <c r="B40" s="484" t="s">
        <v>529</v>
      </c>
      <c r="C40" s="86">
        <f>+C39-'Historical Financials'!C11</f>
        <v>0</v>
      </c>
      <c r="D40" s="86">
        <f>+D39-'Historical Financials'!D11</f>
        <v>0</v>
      </c>
      <c r="E40" s="86">
        <f>+E39-'Historical Financials'!E11</f>
        <v>0</v>
      </c>
      <c r="F40" s="86">
        <f>+F39-'Historical Financials'!F11</f>
        <v>0</v>
      </c>
      <c r="G40" s="86">
        <f>+G39-'Historical Financials'!G11</f>
        <v>0</v>
      </c>
      <c r="H40" s="86">
        <f>+H39-'Historical Financials'!H11</f>
        <v>0</v>
      </c>
      <c r="I40" s="86">
        <f>+I39-'Historical Financials'!I11</f>
        <v>0</v>
      </c>
      <c r="J40" s="12"/>
      <c r="K40" s="86">
        <f>+K39-'Historical Financials'!O11</f>
        <v>0</v>
      </c>
      <c r="L40" s="86">
        <f>+L39-'Historical Financials'!P11</f>
        <v>0</v>
      </c>
      <c r="M40" s="86">
        <f>+M39-'Historical Financials'!Q11</f>
        <v>0</v>
      </c>
      <c r="N40" s="86">
        <f>+N39-'Historical Financials'!R11</f>
        <v>0</v>
      </c>
      <c r="O40" s="86">
        <f>+O39-'Historical Financials'!S11</f>
        <v>0</v>
      </c>
      <c r="P40" s="86">
        <f>+P39-'Historical Financials'!T11</f>
        <v>0</v>
      </c>
      <c r="Q40" s="86">
        <f>+Q39-'Historical Financials'!U11</f>
        <v>0</v>
      </c>
      <c r="R40" s="86">
        <f>+R39-'Historical Financials'!V11</f>
        <v>0</v>
      </c>
      <c r="S40" s="86">
        <f>+S39-'Historical Financials'!W11</f>
        <v>0</v>
      </c>
      <c r="T40" s="86">
        <f>+T39-'Historical Financials'!X11</f>
        <v>0</v>
      </c>
      <c r="U40" s="86">
        <f>+U39-'Historical Financials'!Y11</f>
        <v>0</v>
      </c>
      <c r="V40" s="86">
        <f>+V39-'Historical Financials'!Z11</f>
        <v>0</v>
      </c>
      <c r="W40" s="86">
        <f>+W39-'Historical Financials'!AA11</f>
        <v>0</v>
      </c>
      <c r="X40" s="86">
        <f>+X39-'Historical Financials'!AB11</f>
        <v>0</v>
      </c>
      <c r="Y40" s="86">
        <f>+Y39-'Historical Financials'!AC11</f>
        <v>0</v>
      </c>
      <c r="Z40" s="86"/>
      <c r="AA40" s="86">
        <f>+AA39-'Historical Financials'!AN11</f>
        <v>-146901</v>
      </c>
      <c r="AB40" s="86">
        <f>+AB39-'Historical Financials'!AO11</f>
        <v>-149846</v>
      </c>
      <c r="AC40" s="86">
        <f>+AC39-'Historical Financials'!AP11</f>
        <v>-155104</v>
      </c>
      <c r="AD40" s="86">
        <f>+AD39-'Historical Financials'!AQ11</f>
        <v>-160872</v>
      </c>
      <c r="AE40" s="86">
        <f>+AE39-'Historical Financials'!AR11</f>
        <v>-165763</v>
      </c>
      <c r="AF40" s="86">
        <f>+AF39-'Historical Financials'!AS11</f>
        <v>-169679</v>
      </c>
      <c r="AG40" s="86">
        <f>+AG39-'Historical Financials'!AT11</f>
        <v>0</v>
      </c>
      <c r="AH40" s="86">
        <f>+AH39-'Historical Financials'!AU11</f>
        <v>0</v>
      </c>
      <c r="AI40" s="86">
        <f>+AI39-'Historical Financials'!AV11</f>
        <v>0</v>
      </c>
      <c r="AJ40" s="86">
        <f>+AJ39-'Historical Financials'!AW11</f>
        <v>0</v>
      </c>
      <c r="AK40" s="86">
        <f>+AK39-'Historical Financials'!AX11</f>
        <v>0</v>
      </c>
      <c r="AM40" s="9"/>
    </row>
  </sheetData>
  <mergeCells count="1">
    <mergeCell ref="AM2:AM4"/>
  </mergeCells>
  <dataValidations count="1">
    <dataValidation type="list" allowBlank="1" showInputMessage="1" showErrorMessage="1" sqref="B4" xr:uid="{62176FD9-E514-4BEC-85E1-6C6963572068}">
      <formula1>"$ bns except per share, $ mm except per share,$ in thousands except per share"</formula1>
    </dataValidation>
  </dataValidations>
  <pageMargins left="0.7" right="0.7" top="0.75" bottom="0.75" header="0.3" footer="0.3"/>
  <ignoredErrors>
    <ignoredError sqref="AG34:AK38 AG2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M78"/>
  <sheetViews>
    <sheetView showGridLines="0" zoomScale="115" zoomScaleNormal="115" workbookViewId="0">
      <selection activeCell="F7" sqref="F7"/>
    </sheetView>
  </sheetViews>
  <sheetFormatPr defaultRowHeight="12" outlineLevelCol="1"/>
  <cols>
    <col min="1" max="1" width="1.5" style="8" customWidth="1"/>
    <col min="2" max="2" width="41.625" style="8" customWidth="1"/>
    <col min="3" max="4" width="8.625" style="8" hidden="1" customWidth="1" outlineLevel="1"/>
    <col min="5" max="5" width="9" style="8" bestFit="1" customWidth="1" collapsed="1"/>
    <col min="6" max="6" width="9.25" style="8" bestFit="1" customWidth="1"/>
    <col min="7" max="7" width="9" style="8"/>
    <col min="8" max="8" width="1.5" style="8" customWidth="1"/>
    <col min="9" max="11" width="7.875" style="8" hidden="1" customWidth="1" outlineLevel="1"/>
    <col min="12" max="12" width="9" style="8" hidden="1" customWidth="1" outlineLevel="1"/>
    <col min="13" max="13" width="8.5" style="8" hidden="1" customWidth="1" outlineLevel="1"/>
    <col min="14" max="14" width="7.875" style="8" hidden="1" customWidth="1" outlineLevel="1"/>
    <col min="15" max="15" width="9" style="8" hidden="1" customWidth="1" outlineLevel="1"/>
    <col min="16" max="16" width="9.25" style="8" hidden="1" customWidth="1" outlineLevel="1"/>
    <col min="17" max="17" width="9.75" style="8" hidden="1" customWidth="1" outlineLevel="1"/>
    <col min="18" max="18" width="9" style="8" hidden="1" customWidth="1" outlineLevel="1"/>
    <col min="19" max="19" width="9" style="8" bestFit="1" customWidth="1" collapsed="1"/>
    <col min="20" max="21" width="9" style="8" bestFit="1" customWidth="1"/>
    <col min="22" max="23" width="8.5" style="8" bestFit="1" customWidth="1"/>
    <col min="24" max="24" width="1.625" style="8" customWidth="1"/>
    <col min="25" max="25" width="9" style="8" hidden="1" customWidth="1" outlineLevel="1"/>
    <col min="26" max="26" width="8.625" style="8" hidden="1" customWidth="1" outlineLevel="1"/>
    <col min="27" max="27" width="8.5" style="8" hidden="1" customWidth="1" outlineLevel="1"/>
    <col min="28" max="29" width="8.25" style="8" hidden="1" customWidth="1" outlineLevel="1"/>
    <col min="30" max="30" width="9.25" style="8" hidden="1" customWidth="1" outlineLevel="1"/>
    <col min="31" max="31" width="9.75" style="8" hidden="1" customWidth="1" outlineLevel="1"/>
    <col min="32" max="32" width="9" style="8" hidden="1" customWidth="1" outlineLevel="1"/>
    <col min="33" max="33" width="9" style="8" customWidth="1" collapsed="1"/>
    <col min="34" max="35" width="9" style="8" hidden="1" customWidth="1" outlineLevel="1"/>
    <col min="36" max="36" width="8.5" style="8" hidden="1" customWidth="1" outlineLevel="1"/>
    <col min="37" max="37" width="8.5" style="8" bestFit="1" customWidth="1" collapsed="1"/>
    <col min="38" max="38" width="1.5" style="8" customWidth="1"/>
    <col min="39" max="39" width="8.375" style="475" bestFit="1" customWidth="1"/>
    <col min="40" max="16384" width="9" style="8"/>
  </cols>
  <sheetData>
    <row r="2" spans="2:39" s="5" customFormat="1" ht="12.75" customHeight="1">
      <c r="B2" s="1" t="str">
        <f>'Historical Financials'!B2</f>
        <v>Alphabet Inc. (NASDAQ: GOOG)</v>
      </c>
      <c r="C2" s="2" t="s">
        <v>0</v>
      </c>
      <c r="D2" s="2"/>
      <c r="E2" s="2" t="s">
        <v>0</v>
      </c>
      <c r="F2" s="2"/>
      <c r="G2" s="2"/>
      <c r="H2" s="3"/>
      <c r="I2" s="2" t="s">
        <v>1</v>
      </c>
      <c r="J2" s="2"/>
      <c r="K2" s="2"/>
      <c r="L2" s="2"/>
      <c r="M2" s="2"/>
      <c r="N2" s="2"/>
      <c r="O2" s="2"/>
      <c r="P2" s="2"/>
      <c r="Q2" s="2"/>
      <c r="R2" s="2"/>
      <c r="S2" s="2" t="s">
        <v>1</v>
      </c>
      <c r="T2" s="2"/>
      <c r="U2" s="2"/>
      <c r="V2" s="2"/>
      <c r="W2" s="2"/>
      <c r="X2" s="3"/>
      <c r="Y2" s="2" t="s">
        <v>10</v>
      </c>
      <c r="Z2" s="2"/>
      <c r="AA2" s="2"/>
      <c r="AB2" s="2"/>
      <c r="AC2" s="2"/>
      <c r="AD2" s="2"/>
      <c r="AE2" s="2"/>
      <c r="AF2" s="2" t="s">
        <v>10</v>
      </c>
      <c r="AG2" s="2" t="s">
        <v>10</v>
      </c>
      <c r="AH2" s="2"/>
      <c r="AI2" s="2"/>
      <c r="AJ2" s="2"/>
      <c r="AK2" s="2"/>
      <c r="AL2" s="3"/>
      <c r="AM2" s="583" t="s">
        <v>38</v>
      </c>
    </row>
    <row r="3" spans="2:39" s="5" customFormat="1" ht="12.75" customHeight="1">
      <c r="B3" s="6" t="s">
        <v>39</v>
      </c>
      <c r="C3" s="7">
        <f>'Historical Financials'!E7</f>
        <v>2020</v>
      </c>
      <c r="D3" s="7">
        <f>'Historical Financials'!F7</f>
        <v>2021</v>
      </c>
      <c r="E3" s="7">
        <f>'Historical Financials'!G7</f>
        <v>2022</v>
      </c>
      <c r="F3" s="7">
        <f>'Historical Financials'!H7</f>
        <v>2023</v>
      </c>
      <c r="G3" s="7">
        <f>'Historical Financials'!I7</f>
        <v>2024</v>
      </c>
      <c r="H3" s="3"/>
      <c r="I3" s="7" t="str">
        <f>'Historical Financials'!O7</f>
        <v>1Q22</v>
      </c>
      <c r="J3" s="7" t="str">
        <f>'Historical Financials'!P7</f>
        <v>2Q22</v>
      </c>
      <c r="K3" s="7" t="str">
        <f>'Historical Financials'!Q7</f>
        <v>3Q22</v>
      </c>
      <c r="L3" s="7" t="str">
        <f>'Historical Financials'!R7</f>
        <v>4Q22</v>
      </c>
      <c r="M3" s="7" t="str">
        <f>'Historical Financials'!S7</f>
        <v>1Q23</v>
      </c>
      <c r="N3" s="7" t="str">
        <f>'Historical Financials'!T7</f>
        <v>2Q23</v>
      </c>
      <c r="O3" s="7" t="str">
        <f>'Historical Financials'!U7</f>
        <v>3Q23</v>
      </c>
      <c r="P3" s="7" t="str">
        <f>'Historical Financials'!V7</f>
        <v>4Q23</v>
      </c>
      <c r="Q3" s="7" t="str">
        <f>'Historical Financials'!W7</f>
        <v>1Q24</v>
      </c>
      <c r="R3" s="7" t="str">
        <f>'Historical Financials'!X7</f>
        <v>2Q24</v>
      </c>
      <c r="S3" s="7" t="str">
        <f>'Historical Financials'!Y7</f>
        <v>3Q24</v>
      </c>
      <c r="T3" s="7" t="str">
        <f>'Historical Financials'!Z7</f>
        <v>4Q24</v>
      </c>
      <c r="U3" s="7" t="str">
        <f>'Historical Financials'!AA7</f>
        <v>1Q25</v>
      </c>
      <c r="V3" s="7" t="str">
        <f>'Historical Financials'!AB7</f>
        <v>2Q25</v>
      </c>
      <c r="W3" s="7" t="str">
        <f>'Historical Financials'!AC7</f>
        <v>3Q25</v>
      </c>
      <c r="X3" s="3"/>
      <c r="Y3" s="4" t="str">
        <f t="shared" ref="Y3:AK4" si="0">K3</f>
        <v>3Q22</v>
      </c>
      <c r="Z3" s="4" t="str">
        <f t="shared" si="0"/>
        <v>4Q22</v>
      </c>
      <c r="AA3" s="4" t="str">
        <f t="shared" si="0"/>
        <v>1Q23</v>
      </c>
      <c r="AB3" s="4" t="str">
        <f t="shared" si="0"/>
        <v>2Q23</v>
      </c>
      <c r="AC3" s="4" t="str">
        <f t="shared" si="0"/>
        <v>3Q23</v>
      </c>
      <c r="AD3" s="4" t="str">
        <f t="shared" si="0"/>
        <v>4Q23</v>
      </c>
      <c r="AE3" s="4" t="str">
        <f t="shared" si="0"/>
        <v>1Q24</v>
      </c>
      <c r="AF3" s="4" t="str">
        <f t="shared" si="0"/>
        <v>2Q24</v>
      </c>
      <c r="AG3" s="4" t="str">
        <f t="shared" si="0"/>
        <v>3Q24</v>
      </c>
      <c r="AH3" s="4" t="str">
        <f t="shared" si="0"/>
        <v>4Q24</v>
      </c>
      <c r="AI3" s="4" t="str">
        <f t="shared" si="0"/>
        <v>1Q25</v>
      </c>
      <c r="AJ3" s="4" t="str">
        <f t="shared" si="0"/>
        <v>2Q25</v>
      </c>
      <c r="AK3" s="4" t="str">
        <f t="shared" si="0"/>
        <v>3Q25</v>
      </c>
      <c r="AL3" s="3"/>
      <c r="AM3" s="583"/>
    </row>
    <row r="4" spans="2:39" s="5" customFormat="1" ht="12.75" customHeight="1">
      <c r="B4" s="6" t="s">
        <v>407</v>
      </c>
      <c r="C4" s="3">
        <f>'Historical Financials'!E8</f>
        <v>44196</v>
      </c>
      <c r="D4" s="3">
        <f>'Historical Financials'!F8</f>
        <v>44561</v>
      </c>
      <c r="E4" s="3">
        <f>'Historical Financials'!G8</f>
        <v>44926</v>
      </c>
      <c r="F4" s="3">
        <f>'Historical Financials'!H8</f>
        <v>45291</v>
      </c>
      <c r="G4" s="3">
        <f>'Historical Financials'!I8</f>
        <v>45657</v>
      </c>
      <c r="H4" s="3"/>
      <c r="I4" s="3">
        <f>'Historical Financials'!O8</f>
        <v>44651</v>
      </c>
      <c r="J4" s="3">
        <f>'Historical Financials'!P8</f>
        <v>44742</v>
      </c>
      <c r="K4" s="3">
        <f>'Historical Financials'!Q8</f>
        <v>44834</v>
      </c>
      <c r="L4" s="3">
        <f>'Historical Financials'!R8</f>
        <v>44926</v>
      </c>
      <c r="M4" s="3">
        <f>'Historical Financials'!S8</f>
        <v>45016</v>
      </c>
      <c r="N4" s="3">
        <f>'Historical Financials'!T8</f>
        <v>45107</v>
      </c>
      <c r="O4" s="3">
        <f>'Historical Financials'!U8</f>
        <v>45199</v>
      </c>
      <c r="P4" s="3">
        <f>'Historical Financials'!V8</f>
        <v>45291</v>
      </c>
      <c r="Q4" s="3">
        <f>'Historical Financials'!W8</f>
        <v>45382</v>
      </c>
      <c r="R4" s="3">
        <f>'Historical Financials'!X8</f>
        <v>45473</v>
      </c>
      <c r="S4" s="3">
        <f>'Historical Financials'!Y8</f>
        <v>45565</v>
      </c>
      <c r="T4" s="3">
        <f>'Historical Financials'!Z8</f>
        <v>45657</v>
      </c>
      <c r="U4" s="3">
        <f>'Historical Financials'!AA8</f>
        <v>45747</v>
      </c>
      <c r="V4" s="3">
        <f>'Historical Financials'!AB8</f>
        <v>45838</v>
      </c>
      <c r="W4" s="3">
        <f>'Historical Financials'!AC8</f>
        <v>45930</v>
      </c>
      <c r="X4" s="3"/>
      <c r="Y4" s="3">
        <f t="shared" si="0"/>
        <v>44834</v>
      </c>
      <c r="Z4" s="3">
        <f t="shared" si="0"/>
        <v>44926</v>
      </c>
      <c r="AA4" s="3">
        <f t="shared" si="0"/>
        <v>45016</v>
      </c>
      <c r="AB4" s="3">
        <f t="shared" si="0"/>
        <v>45107</v>
      </c>
      <c r="AC4" s="3">
        <f t="shared" si="0"/>
        <v>45199</v>
      </c>
      <c r="AD4" s="3">
        <f t="shared" si="0"/>
        <v>45291</v>
      </c>
      <c r="AE4" s="3">
        <f t="shared" si="0"/>
        <v>45382</v>
      </c>
      <c r="AF4" s="3">
        <f t="shared" si="0"/>
        <v>45473</v>
      </c>
      <c r="AG4" s="3">
        <f t="shared" si="0"/>
        <v>45565</v>
      </c>
      <c r="AH4" s="3">
        <f t="shared" si="0"/>
        <v>45657</v>
      </c>
      <c r="AI4" s="3">
        <f t="shared" si="0"/>
        <v>45747</v>
      </c>
      <c r="AJ4" s="3">
        <f t="shared" si="0"/>
        <v>45838</v>
      </c>
      <c r="AK4" s="3">
        <f t="shared" si="0"/>
        <v>45930</v>
      </c>
      <c r="AL4" s="3"/>
      <c r="AM4" s="583"/>
    </row>
    <row r="5" spans="2:39" ht="5.0999999999999996" customHeight="1">
      <c r="AM5" s="471"/>
    </row>
    <row r="6" spans="2:39" ht="12.75" customHeight="1">
      <c r="B6" s="10" t="str">
        <f>'Revenue Drivers'!B9</f>
        <v>Google Services</v>
      </c>
      <c r="C6" s="176">
        <f>'Revenue Drivers'!E9</f>
        <v>168635</v>
      </c>
      <c r="D6" s="176">
        <f>'Revenue Drivers'!F9</f>
        <v>237529</v>
      </c>
      <c r="E6" s="176">
        <f>'Revenue Drivers'!G9</f>
        <v>253528</v>
      </c>
      <c r="F6" s="176">
        <f>'Revenue Drivers'!H9</f>
        <v>272543</v>
      </c>
      <c r="G6" s="176">
        <f>'Revenue Drivers'!I9</f>
        <v>304930</v>
      </c>
      <c r="H6" s="11"/>
      <c r="I6" s="516">
        <f>'Revenue Drivers'!K9</f>
        <v>61472</v>
      </c>
      <c r="J6" s="516">
        <f>'Revenue Drivers'!L9</f>
        <v>62841</v>
      </c>
      <c r="K6" s="516">
        <f>'Revenue Drivers'!M9</f>
        <v>61377</v>
      </c>
      <c r="L6" s="516">
        <f>'Revenue Drivers'!N9</f>
        <v>67838</v>
      </c>
      <c r="M6" s="516">
        <f>'Revenue Drivers'!O9</f>
        <v>61961</v>
      </c>
      <c r="N6" s="516">
        <f>'Revenue Drivers'!P9</f>
        <v>66285</v>
      </c>
      <c r="O6" s="516">
        <f>'Revenue Drivers'!Q9</f>
        <v>67986</v>
      </c>
      <c r="P6" s="516">
        <f>'Revenue Drivers'!R9</f>
        <v>76311</v>
      </c>
      <c r="Q6" s="516">
        <f>'Revenue Drivers'!S9</f>
        <v>70398</v>
      </c>
      <c r="R6" s="516">
        <f>'Revenue Drivers'!T9</f>
        <v>73928</v>
      </c>
      <c r="S6" s="516">
        <f>'Revenue Drivers'!U9</f>
        <v>76510</v>
      </c>
      <c r="T6" s="516">
        <f>'Revenue Drivers'!V9</f>
        <v>84094</v>
      </c>
      <c r="U6" s="516">
        <f>'Revenue Drivers'!W9</f>
        <v>77264</v>
      </c>
      <c r="V6" s="516">
        <f>'Revenue Drivers'!X9</f>
        <v>82543</v>
      </c>
      <c r="W6" s="516">
        <f>'Revenue Drivers'!Y9</f>
        <v>87052</v>
      </c>
      <c r="X6" s="5"/>
      <c r="Y6" s="11">
        <f t="shared" ref="Y6:AK6" si="1">SUM(H6:K6)</f>
        <v>185690</v>
      </c>
      <c r="Z6" s="11">
        <f t="shared" si="1"/>
        <v>253528</v>
      </c>
      <c r="AA6" s="11">
        <f t="shared" si="1"/>
        <v>254017</v>
      </c>
      <c r="AB6" s="11">
        <f t="shared" si="1"/>
        <v>257461</v>
      </c>
      <c r="AC6" s="11">
        <f t="shared" si="1"/>
        <v>264070</v>
      </c>
      <c r="AD6" s="11">
        <f t="shared" si="1"/>
        <v>272543</v>
      </c>
      <c r="AE6" s="11">
        <f t="shared" si="1"/>
        <v>280980</v>
      </c>
      <c r="AF6" s="11">
        <f t="shared" si="1"/>
        <v>288623</v>
      </c>
      <c r="AG6" s="517">
        <f t="shared" si="1"/>
        <v>297147</v>
      </c>
      <c r="AH6" s="517">
        <f t="shared" si="1"/>
        <v>304930</v>
      </c>
      <c r="AI6" s="517">
        <f t="shared" si="1"/>
        <v>311796</v>
      </c>
      <c r="AJ6" s="517">
        <f t="shared" si="1"/>
        <v>320411</v>
      </c>
      <c r="AK6" s="517">
        <f t="shared" si="1"/>
        <v>330953</v>
      </c>
      <c r="AM6" s="472">
        <f>SUM(AK6/AG6)-1</f>
        <v>0.1137686061107801</v>
      </c>
    </row>
    <row r="7" spans="2:39" ht="12.75" customHeight="1">
      <c r="B7" s="10" t="str">
        <f>'Revenue Drivers'!B10</f>
        <v xml:space="preserve">Google Cloud	</v>
      </c>
      <c r="C7" s="176">
        <f>'Revenue Drivers'!E10</f>
        <v>13059</v>
      </c>
      <c r="D7" s="176">
        <f>'Revenue Drivers'!F10</f>
        <v>19206</v>
      </c>
      <c r="E7" s="176">
        <f>'Revenue Drivers'!G10</f>
        <v>26280</v>
      </c>
      <c r="F7" s="176">
        <f>'Revenue Drivers'!H10</f>
        <v>33088</v>
      </c>
      <c r="G7" s="176">
        <f>'Revenue Drivers'!I10</f>
        <v>43229</v>
      </c>
      <c r="H7" s="11"/>
      <c r="I7" s="516">
        <f>'Revenue Drivers'!K10</f>
        <v>5821</v>
      </c>
      <c r="J7" s="516">
        <f>'Revenue Drivers'!L10</f>
        <v>6276</v>
      </c>
      <c r="K7" s="516">
        <f>'Revenue Drivers'!M10</f>
        <v>6868</v>
      </c>
      <c r="L7" s="516">
        <f>'Revenue Drivers'!N10</f>
        <v>7315</v>
      </c>
      <c r="M7" s="516">
        <f>'Revenue Drivers'!O10</f>
        <v>7454</v>
      </c>
      <c r="N7" s="516">
        <f>'Revenue Drivers'!P10</f>
        <v>8031</v>
      </c>
      <c r="O7" s="516">
        <f>'Revenue Drivers'!Q10</f>
        <v>8411</v>
      </c>
      <c r="P7" s="516">
        <f>'Revenue Drivers'!R10</f>
        <v>9192</v>
      </c>
      <c r="Q7" s="516">
        <f>'Revenue Drivers'!S10</f>
        <v>9574</v>
      </c>
      <c r="R7" s="516">
        <f>'Revenue Drivers'!T10</f>
        <v>10347</v>
      </c>
      <c r="S7" s="516">
        <f>'Revenue Drivers'!U10</f>
        <v>11353</v>
      </c>
      <c r="T7" s="516">
        <f>'Revenue Drivers'!V10</f>
        <v>11955</v>
      </c>
      <c r="U7" s="516">
        <f>'Revenue Drivers'!W10</f>
        <v>12260</v>
      </c>
      <c r="V7" s="516">
        <f>'Revenue Drivers'!X10</f>
        <v>13624</v>
      </c>
      <c r="W7" s="516">
        <f>'Revenue Drivers'!Y10</f>
        <v>15157</v>
      </c>
      <c r="X7" s="5"/>
      <c r="Y7" s="11"/>
      <c r="Z7" s="11"/>
      <c r="AA7" s="11"/>
      <c r="AB7" s="11"/>
      <c r="AC7" s="11"/>
      <c r="AD7" s="11"/>
      <c r="AE7" s="11"/>
      <c r="AF7" s="11"/>
      <c r="AG7" s="517">
        <f t="shared" ref="AG7:AK9" si="2">SUM(P7:S7)</f>
        <v>40466</v>
      </c>
      <c r="AH7" s="517">
        <f t="shared" si="2"/>
        <v>43229</v>
      </c>
      <c r="AI7" s="517">
        <f t="shared" si="2"/>
        <v>45915</v>
      </c>
      <c r="AJ7" s="517">
        <f t="shared" si="2"/>
        <v>49192</v>
      </c>
      <c r="AK7" s="517">
        <f t="shared" si="2"/>
        <v>52996</v>
      </c>
      <c r="AM7" s="472">
        <f>SUM(AK7/AG7)-1</f>
        <v>0.30964266297632581</v>
      </c>
    </row>
    <row r="8" spans="2:39" ht="12.75" customHeight="1">
      <c r="B8" s="10" t="str">
        <f>'Revenue Drivers'!B11</f>
        <v>Other Bets</v>
      </c>
      <c r="C8" s="176">
        <f>'Revenue Drivers'!E11</f>
        <v>657</v>
      </c>
      <c r="D8" s="176">
        <f>'Revenue Drivers'!F11</f>
        <v>753</v>
      </c>
      <c r="E8" s="176">
        <f>'Revenue Drivers'!G11</f>
        <v>1068</v>
      </c>
      <c r="F8" s="176">
        <f>'Revenue Drivers'!H11</f>
        <v>1527</v>
      </c>
      <c r="G8" s="176">
        <f>'Revenue Drivers'!I11</f>
        <v>1648</v>
      </c>
      <c r="H8" s="11"/>
      <c r="I8" s="516">
        <f>'Revenue Drivers'!K11</f>
        <v>440</v>
      </c>
      <c r="J8" s="516">
        <f>'Revenue Drivers'!L11</f>
        <v>193</v>
      </c>
      <c r="K8" s="516">
        <f>'Revenue Drivers'!M11</f>
        <v>209</v>
      </c>
      <c r="L8" s="516">
        <f>'Revenue Drivers'!N11</f>
        <v>226</v>
      </c>
      <c r="M8" s="516">
        <f>'Revenue Drivers'!O11</f>
        <v>288</v>
      </c>
      <c r="N8" s="516">
        <f>'Revenue Drivers'!P11</f>
        <v>285</v>
      </c>
      <c r="O8" s="516">
        <f>'Revenue Drivers'!Q11</f>
        <v>297</v>
      </c>
      <c r="P8" s="516">
        <f>'Revenue Drivers'!R11</f>
        <v>657</v>
      </c>
      <c r="Q8" s="516">
        <f>'Revenue Drivers'!S11</f>
        <v>495</v>
      </c>
      <c r="R8" s="516">
        <f>'Revenue Drivers'!T11</f>
        <v>365</v>
      </c>
      <c r="S8" s="516">
        <f>'Revenue Drivers'!U11</f>
        <v>388</v>
      </c>
      <c r="T8" s="516">
        <f>'Revenue Drivers'!V11</f>
        <v>400</v>
      </c>
      <c r="U8" s="516">
        <f>'Revenue Drivers'!W11</f>
        <v>450</v>
      </c>
      <c r="V8" s="516">
        <f>'Revenue Drivers'!X11</f>
        <v>373</v>
      </c>
      <c r="W8" s="516">
        <f>'Revenue Drivers'!Y11</f>
        <v>344</v>
      </c>
      <c r="X8" s="5"/>
      <c r="Y8" s="11"/>
      <c r="Z8" s="11"/>
      <c r="AA8" s="11"/>
      <c r="AB8" s="11"/>
      <c r="AC8" s="11"/>
      <c r="AD8" s="11"/>
      <c r="AE8" s="11"/>
      <c r="AF8" s="11"/>
      <c r="AG8" s="517">
        <f t="shared" si="2"/>
        <v>1905</v>
      </c>
      <c r="AH8" s="517">
        <f t="shared" si="2"/>
        <v>1648</v>
      </c>
      <c r="AI8" s="517">
        <f t="shared" si="2"/>
        <v>1603</v>
      </c>
      <c r="AJ8" s="517">
        <f t="shared" si="2"/>
        <v>1611</v>
      </c>
      <c r="AK8" s="517">
        <f t="shared" si="2"/>
        <v>1567</v>
      </c>
      <c r="AM8" s="472">
        <f>SUM(AK8/AG8)-1</f>
        <v>-0.17742782152230974</v>
      </c>
    </row>
    <row r="9" spans="2:39" ht="12.75" customHeight="1">
      <c r="B9" s="10" t="str">
        <f>'Revenue Drivers'!B12</f>
        <v xml:space="preserve">Hedging gains (losses)	</v>
      </c>
      <c r="C9" s="176">
        <f>'Revenue Drivers'!E12</f>
        <v>176</v>
      </c>
      <c r="D9" s="176">
        <f>'Revenue Drivers'!F12</f>
        <v>149</v>
      </c>
      <c r="E9" s="176">
        <f>'Revenue Drivers'!G12</f>
        <v>1960</v>
      </c>
      <c r="F9" s="176">
        <f>'Revenue Drivers'!H12</f>
        <v>236</v>
      </c>
      <c r="G9" s="176">
        <f>'Revenue Drivers'!I12</f>
        <v>211</v>
      </c>
      <c r="H9" s="11"/>
      <c r="I9" s="516">
        <f>'Revenue Drivers'!K12</f>
        <v>278</v>
      </c>
      <c r="J9" s="516">
        <f>'Revenue Drivers'!L12</f>
        <v>375</v>
      </c>
      <c r="K9" s="516">
        <f>'Revenue Drivers'!M12</f>
        <v>638</v>
      </c>
      <c r="L9" s="516">
        <f>'Revenue Drivers'!N12</f>
        <v>669</v>
      </c>
      <c r="M9" s="516">
        <f>'Revenue Drivers'!O12</f>
        <v>84</v>
      </c>
      <c r="N9" s="516">
        <f>'Revenue Drivers'!P12</f>
        <v>3</v>
      </c>
      <c r="O9" s="516">
        <f>'Revenue Drivers'!Q12</f>
        <v>-1</v>
      </c>
      <c r="P9" s="516">
        <f>'Revenue Drivers'!R12</f>
        <v>150</v>
      </c>
      <c r="Q9" s="516">
        <f>'Revenue Drivers'!S12</f>
        <v>72</v>
      </c>
      <c r="R9" s="516">
        <f>'Revenue Drivers'!T12</f>
        <v>102</v>
      </c>
      <c r="S9" s="516">
        <f>'Revenue Drivers'!U12</f>
        <v>17</v>
      </c>
      <c r="T9" s="516">
        <f>'Revenue Drivers'!V12</f>
        <v>20</v>
      </c>
      <c r="U9" s="516">
        <f>'Revenue Drivers'!W12</f>
        <v>260</v>
      </c>
      <c r="V9" s="516">
        <f>'Revenue Drivers'!X12</f>
        <v>-112</v>
      </c>
      <c r="W9" s="516">
        <f>'Revenue Drivers'!Y12</f>
        <v>-207</v>
      </c>
      <c r="X9" s="5"/>
      <c r="Y9" s="11"/>
      <c r="Z9" s="11"/>
      <c r="AA9" s="11"/>
      <c r="AB9" s="11"/>
      <c r="AC9" s="11"/>
      <c r="AD9" s="11"/>
      <c r="AE9" s="11"/>
      <c r="AF9" s="11"/>
      <c r="AG9" s="517">
        <f t="shared" si="2"/>
        <v>341</v>
      </c>
      <c r="AH9" s="517">
        <f t="shared" si="2"/>
        <v>211</v>
      </c>
      <c r="AI9" s="517">
        <f t="shared" si="2"/>
        <v>399</v>
      </c>
      <c r="AJ9" s="517">
        <f t="shared" si="2"/>
        <v>185</v>
      </c>
      <c r="AK9" s="517">
        <f t="shared" si="2"/>
        <v>-39</v>
      </c>
      <c r="AM9" s="472">
        <f>SUM(AK9/AG9)-1</f>
        <v>-1.1143695014662756</v>
      </c>
    </row>
    <row r="10" spans="2:39" ht="12.75" customHeight="1">
      <c r="B10" s="14" t="s">
        <v>13</v>
      </c>
      <c r="C10" s="15">
        <f>SUM(C6:C9)</f>
        <v>182527</v>
      </c>
      <c r="D10" s="15">
        <f>SUM(D6:D9)</f>
        <v>257637</v>
      </c>
      <c r="E10" s="15">
        <f>SUM(E6:E9)</f>
        <v>282836</v>
      </c>
      <c r="F10" s="15">
        <f>SUM(F6:F9)</f>
        <v>307394</v>
      </c>
      <c r="G10" s="15">
        <f>SUM(G6:G9)</f>
        <v>350018</v>
      </c>
      <c r="H10" s="11"/>
      <c r="I10" s="15">
        <f t="shared" ref="I10:W10" si="3">SUM(I6:I9)</f>
        <v>68011</v>
      </c>
      <c r="J10" s="15">
        <f t="shared" si="3"/>
        <v>69685</v>
      </c>
      <c r="K10" s="15">
        <f t="shared" si="3"/>
        <v>69092</v>
      </c>
      <c r="L10" s="15">
        <f t="shared" si="3"/>
        <v>76048</v>
      </c>
      <c r="M10" s="15">
        <f t="shared" si="3"/>
        <v>69787</v>
      </c>
      <c r="N10" s="15">
        <f t="shared" si="3"/>
        <v>74604</v>
      </c>
      <c r="O10" s="15">
        <f t="shared" si="3"/>
        <v>76693</v>
      </c>
      <c r="P10" s="15">
        <f t="shared" si="3"/>
        <v>86310</v>
      </c>
      <c r="Q10" s="15">
        <f t="shared" si="3"/>
        <v>80539</v>
      </c>
      <c r="R10" s="15">
        <f t="shared" si="3"/>
        <v>84742</v>
      </c>
      <c r="S10" s="15">
        <f t="shared" si="3"/>
        <v>88268</v>
      </c>
      <c r="T10" s="15">
        <f t="shared" si="3"/>
        <v>96469</v>
      </c>
      <c r="U10" s="15">
        <f t="shared" si="3"/>
        <v>90234</v>
      </c>
      <c r="V10" s="15">
        <f t="shared" si="3"/>
        <v>96428</v>
      </c>
      <c r="W10" s="15">
        <f t="shared" si="3"/>
        <v>102346</v>
      </c>
      <c r="X10" s="5"/>
      <c r="Y10" s="15">
        <f t="shared" ref="Y10:AK10" si="4">SUM(Y6:Y9)</f>
        <v>185690</v>
      </c>
      <c r="Z10" s="15">
        <f t="shared" si="4"/>
        <v>253528</v>
      </c>
      <c r="AA10" s="15">
        <f t="shared" si="4"/>
        <v>254017</v>
      </c>
      <c r="AB10" s="15">
        <f t="shared" si="4"/>
        <v>257461</v>
      </c>
      <c r="AC10" s="15">
        <f t="shared" si="4"/>
        <v>264070</v>
      </c>
      <c r="AD10" s="15">
        <f t="shared" si="4"/>
        <v>272543</v>
      </c>
      <c r="AE10" s="15">
        <f t="shared" si="4"/>
        <v>280980</v>
      </c>
      <c r="AF10" s="15">
        <f t="shared" si="4"/>
        <v>288623</v>
      </c>
      <c r="AG10" s="15">
        <f t="shared" si="4"/>
        <v>339859</v>
      </c>
      <c r="AH10" s="15">
        <f t="shared" si="4"/>
        <v>350018</v>
      </c>
      <c r="AI10" s="15">
        <f t="shared" si="4"/>
        <v>359713</v>
      </c>
      <c r="AJ10" s="15">
        <f t="shared" si="4"/>
        <v>371399</v>
      </c>
      <c r="AK10" s="15">
        <f t="shared" si="4"/>
        <v>385477</v>
      </c>
      <c r="AM10" s="473">
        <f>SUM(AK10/AG10)-1</f>
        <v>0.13422625265183497</v>
      </c>
    </row>
    <row r="11" spans="2:39" ht="12.75" customHeight="1">
      <c r="B11" s="17" t="s">
        <v>46</v>
      </c>
      <c r="C11" s="18"/>
      <c r="D11" s="19">
        <f>SUM(D10/C10)-1</f>
        <v>0.41150076427049154</v>
      </c>
      <c r="E11" s="19">
        <f>SUM(E10/D10)-1</f>
        <v>9.7808156437157789E-2</v>
      </c>
      <c r="F11" s="19">
        <f>SUM(F10/E10)-1</f>
        <v>8.6827702272695095E-2</v>
      </c>
      <c r="G11" s="19">
        <f>SUM(G10/F10)-1</f>
        <v>0.13866243322901561</v>
      </c>
      <c r="H11" s="12"/>
      <c r="I11" s="18"/>
      <c r="J11" s="18"/>
      <c r="K11" s="18"/>
      <c r="L11" s="18"/>
      <c r="M11" s="19">
        <f>SUM(M10/I10)-1</f>
        <v>2.6113422828660138E-2</v>
      </c>
      <c r="N11" s="19">
        <f t="shared" ref="N11:W11" si="5">SUM(N10/J10)-1</f>
        <v>7.0589079428858392E-2</v>
      </c>
      <c r="O11" s="19">
        <f t="shared" si="5"/>
        <v>0.11001273664100042</v>
      </c>
      <c r="P11" s="19">
        <f t="shared" si="5"/>
        <v>0.13494108983799702</v>
      </c>
      <c r="Q11" s="19">
        <f t="shared" si="5"/>
        <v>0.15406880937710454</v>
      </c>
      <c r="R11" s="19">
        <f t="shared" si="5"/>
        <v>0.13589083695244231</v>
      </c>
      <c r="S11" s="19">
        <f t="shared" si="5"/>
        <v>0.15092642092498654</v>
      </c>
      <c r="T11" s="19">
        <f t="shared" si="5"/>
        <v>0.11770362646275045</v>
      </c>
      <c r="U11" s="19">
        <f t="shared" si="5"/>
        <v>0.12037646357665222</v>
      </c>
      <c r="V11" s="19">
        <f t="shared" si="5"/>
        <v>0.13790092280097244</v>
      </c>
      <c r="W11" s="19">
        <f t="shared" si="5"/>
        <v>0.1594915484660353</v>
      </c>
      <c r="X11" s="5"/>
      <c r="Y11" s="459"/>
      <c r="Z11" s="459"/>
      <c r="AA11" s="459"/>
      <c r="AB11" s="459"/>
      <c r="AC11" s="19">
        <f t="shared" ref="AC11:AK11" si="6">SUM(AC10/Y10)-1</f>
        <v>0.42210135171522434</v>
      </c>
      <c r="AD11" s="19">
        <f t="shared" si="6"/>
        <v>7.5001577735003711E-2</v>
      </c>
      <c r="AE11" s="19">
        <f t="shared" si="6"/>
        <v>0.10614643901786103</v>
      </c>
      <c r="AF11" s="19">
        <f t="shared" si="6"/>
        <v>0.12103580736499886</v>
      </c>
      <c r="AG11" s="19">
        <f t="shared" si="6"/>
        <v>0.28700344605597006</v>
      </c>
      <c r="AH11" s="19">
        <f t="shared" si="6"/>
        <v>0.28426706978348371</v>
      </c>
      <c r="AI11" s="19">
        <f t="shared" si="6"/>
        <v>0.28020855576909387</v>
      </c>
      <c r="AJ11" s="19">
        <f t="shared" si="6"/>
        <v>0.2867962705674878</v>
      </c>
      <c r="AK11" s="19">
        <f t="shared" si="6"/>
        <v>0.13422625265183497</v>
      </c>
      <c r="AM11" s="474">
        <f>SUM(AK11-AG11)*10000</f>
        <v>-1527.771934041351</v>
      </c>
    </row>
    <row r="12" spans="2:39" ht="12.75" customHeight="1">
      <c r="B12" s="17" t="s">
        <v>47</v>
      </c>
      <c r="C12" s="19" t="s">
        <v>48</v>
      </c>
      <c r="D12" s="19" t="s">
        <v>48</v>
      </c>
      <c r="E12" s="19" t="s">
        <v>48</v>
      </c>
      <c r="F12" s="19" t="s">
        <v>48</v>
      </c>
      <c r="G12" s="19" t="s">
        <v>48</v>
      </c>
      <c r="H12" s="12"/>
      <c r="I12" s="18"/>
      <c r="J12" s="19">
        <f>SUM(J10/I10)-1</f>
        <v>2.4613665436473475E-2</v>
      </c>
      <c r="K12" s="19">
        <f t="shared" ref="K12:W12" si="7">SUM(K10/J10)-1</f>
        <v>-8.5097223218769669E-3</v>
      </c>
      <c r="L12" s="19">
        <f t="shared" si="7"/>
        <v>0.10067735772593056</v>
      </c>
      <c r="M12" s="19">
        <f t="shared" si="7"/>
        <v>-8.2329581317062916E-2</v>
      </c>
      <c r="N12" s="19">
        <f t="shared" si="7"/>
        <v>6.9024316849843004E-2</v>
      </c>
      <c r="O12" s="19">
        <f t="shared" si="7"/>
        <v>2.8001179561417677E-2</v>
      </c>
      <c r="P12" s="19">
        <f t="shared" si="7"/>
        <v>0.12539605961430644</v>
      </c>
      <c r="Q12" s="19">
        <f t="shared" si="7"/>
        <v>-6.6863631097207721E-2</v>
      </c>
      <c r="R12" s="19">
        <f t="shared" si="7"/>
        <v>5.218589751548941E-2</v>
      </c>
      <c r="S12" s="19">
        <f t="shared" si="7"/>
        <v>4.1608647423945655E-2</v>
      </c>
      <c r="T12" s="19">
        <f t="shared" si="7"/>
        <v>9.2910227942176071E-2</v>
      </c>
      <c r="U12" s="19">
        <f t="shared" si="7"/>
        <v>-6.463216162705121E-2</v>
      </c>
      <c r="V12" s="19">
        <f t="shared" si="7"/>
        <v>6.8643748476184152E-2</v>
      </c>
      <c r="W12" s="19">
        <f t="shared" si="7"/>
        <v>6.1372215539055031E-2</v>
      </c>
      <c r="X12" s="5"/>
      <c r="Y12" s="19" t="s">
        <v>48</v>
      </c>
      <c r="Z12" s="19" t="s">
        <v>48</v>
      </c>
      <c r="AA12" s="19" t="s">
        <v>48</v>
      </c>
      <c r="AB12" s="19" t="s">
        <v>48</v>
      </c>
      <c r="AC12" s="19" t="s">
        <v>48</v>
      </c>
      <c r="AD12" s="19" t="s">
        <v>48</v>
      </c>
      <c r="AE12" s="19" t="s">
        <v>48</v>
      </c>
      <c r="AF12" s="19" t="s">
        <v>48</v>
      </c>
      <c r="AG12" s="19" t="s">
        <v>48</v>
      </c>
      <c r="AH12" s="19" t="s">
        <v>48</v>
      </c>
      <c r="AI12" s="19" t="s">
        <v>48</v>
      </c>
      <c r="AJ12" s="19" t="s">
        <v>48</v>
      </c>
      <c r="AK12" s="19" t="s">
        <v>48</v>
      </c>
      <c r="AM12" s="471"/>
    </row>
    <row r="13" spans="2:39" ht="5.0999999999999996" customHeight="1">
      <c r="B13" s="20"/>
      <c r="C13" s="176"/>
      <c r="D13" s="21"/>
      <c r="E13" s="21"/>
      <c r="F13" s="21"/>
      <c r="G13" s="21"/>
      <c r="H13" s="22"/>
      <c r="I13" s="23"/>
      <c r="J13" s="23"/>
      <c r="K13" s="23"/>
      <c r="L13" s="24"/>
      <c r="M13" s="23"/>
      <c r="N13" s="23"/>
      <c r="O13" s="23"/>
      <c r="P13" s="24"/>
      <c r="Q13" s="23"/>
      <c r="R13" s="23"/>
      <c r="S13" s="23"/>
      <c r="T13" s="23"/>
      <c r="U13" s="23"/>
      <c r="V13" s="23"/>
      <c r="W13" s="23"/>
      <c r="X13" s="22"/>
      <c r="Y13" s="22"/>
      <c r="Z13" s="22"/>
      <c r="AA13" s="22"/>
      <c r="AB13" s="22"/>
      <c r="AC13" s="22"/>
      <c r="AD13" s="22"/>
      <c r="AE13" s="22"/>
      <c r="AF13" s="22"/>
      <c r="AG13" s="22"/>
      <c r="AH13" s="22"/>
      <c r="AI13" s="22"/>
      <c r="AJ13" s="22"/>
      <c r="AK13" s="22"/>
      <c r="AM13" s="471"/>
    </row>
    <row r="14" spans="2:39" ht="12.75" customHeight="1">
      <c r="B14" s="25" t="s">
        <v>49</v>
      </c>
      <c r="C14" s="516">
        <f>'Historical Financials'!E13</f>
        <v>-84732</v>
      </c>
      <c r="D14" s="516">
        <f>'Historical Financials'!F13</f>
        <v>-110939</v>
      </c>
      <c r="E14" s="516">
        <f>'Historical Financials'!G13</f>
        <v>-126203</v>
      </c>
      <c r="F14" s="516">
        <f>'Historical Financials'!H13</f>
        <v>-133332</v>
      </c>
      <c r="G14" s="516">
        <f>'Historical Financials'!I13</f>
        <v>-146306</v>
      </c>
      <c r="H14" s="11"/>
      <c r="I14" s="516">
        <f>'Historical Financials'!O13</f>
        <v>-29599</v>
      </c>
      <c r="J14" s="516">
        <f>'Historical Financials'!P13</f>
        <v>-30104</v>
      </c>
      <c r="K14" s="516">
        <f>'Historical Financials'!Q13</f>
        <v>-31158</v>
      </c>
      <c r="L14" s="516">
        <f>'Historical Financials'!R13</f>
        <v>-35342</v>
      </c>
      <c r="M14" s="516">
        <f>'Historical Financials'!S13</f>
        <v>-30612</v>
      </c>
      <c r="N14" s="516">
        <f>'Historical Financials'!T13</f>
        <v>-31916</v>
      </c>
      <c r="O14" s="516">
        <f>'Historical Financials'!U13</f>
        <v>-33229</v>
      </c>
      <c r="P14" s="516">
        <f>'Historical Financials'!V13</f>
        <v>-37575</v>
      </c>
      <c r="Q14" s="516">
        <f>'Historical Financials'!W13</f>
        <v>-33712</v>
      </c>
      <c r="R14" s="516">
        <f>'Historical Financials'!X13</f>
        <v>-35507</v>
      </c>
      <c r="S14" s="516">
        <f>'Historical Financials'!Y13</f>
        <v>-36474</v>
      </c>
      <c r="T14" s="516">
        <f>'Historical Financials'!Z13</f>
        <v>-40613</v>
      </c>
      <c r="U14" s="516">
        <f>'Historical Financials'!AA13</f>
        <v>-36361</v>
      </c>
      <c r="V14" s="516">
        <f>'Historical Financials'!AB13</f>
        <v>-39039</v>
      </c>
      <c r="W14" s="516">
        <f>'Historical Financials'!AC13</f>
        <v>-41369</v>
      </c>
      <c r="X14" s="5"/>
      <c r="Y14" s="11">
        <f t="shared" ref="Y14:AK14" si="8">SUM(H14:K14)</f>
        <v>-90861</v>
      </c>
      <c r="Z14" s="11">
        <f t="shared" si="8"/>
        <v>-126203</v>
      </c>
      <c r="AA14" s="11">
        <f t="shared" si="8"/>
        <v>-127216</v>
      </c>
      <c r="AB14" s="11">
        <f t="shared" si="8"/>
        <v>-129028</v>
      </c>
      <c r="AC14" s="11">
        <f t="shared" si="8"/>
        <v>-131099</v>
      </c>
      <c r="AD14" s="11">
        <f t="shared" si="8"/>
        <v>-133332</v>
      </c>
      <c r="AE14" s="11">
        <f t="shared" si="8"/>
        <v>-136432</v>
      </c>
      <c r="AF14" s="11">
        <f t="shared" si="8"/>
        <v>-140023</v>
      </c>
      <c r="AG14" s="517">
        <f t="shared" si="8"/>
        <v>-143268</v>
      </c>
      <c r="AH14" s="517">
        <f t="shared" si="8"/>
        <v>-146306</v>
      </c>
      <c r="AI14" s="517">
        <f t="shared" si="8"/>
        <v>-148955</v>
      </c>
      <c r="AJ14" s="517">
        <f t="shared" si="8"/>
        <v>-152487</v>
      </c>
      <c r="AK14" s="517">
        <f t="shared" si="8"/>
        <v>-157382</v>
      </c>
      <c r="AM14" s="472">
        <f>SUM(AK14/AG14)-1</f>
        <v>9.8514671803892062E-2</v>
      </c>
    </row>
    <row r="15" spans="2:39" ht="12.75" customHeight="1">
      <c r="B15" s="27" t="s">
        <v>31</v>
      </c>
      <c r="C15" s="28">
        <f>+C10+C14</f>
        <v>97795</v>
      </c>
      <c r="D15" s="28">
        <f>+D10+D14</f>
        <v>146698</v>
      </c>
      <c r="E15" s="28">
        <f>+E10+E14</f>
        <v>156633</v>
      </c>
      <c r="F15" s="28">
        <f>+F10+F14</f>
        <v>174062</v>
      </c>
      <c r="G15" s="28">
        <f>+G10+G14</f>
        <v>203712</v>
      </c>
      <c r="H15" s="5"/>
      <c r="I15" s="28">
        <f t="shared" ref="I15:V15" si="9">+I10+I14</f>
        <v>38412</v>
      </c>
      <c r="J15" s="28">
        <f t="shared" si="9"/>
        <v>39581</v>
      </c>
      <c r="K15" s="28">
        <f t="shared" si="9"/>
        <v>37934</v>
      </c>
      <c r="L15" s="28">
        <f t="shared" si="9"/>
        <v>40706</v>
      </c>
      <c r="M15" s="28">
        <f t="shared" si="9"/>
        <v>39175</v>
      </c>
      <c r="N15" s="28">
        <f t="shared" si="9"/>
        <v>42688</v>
      </c>
      <c r="O15" s="28">
        <f t="shared" si="9"/>
        <v>43464</v>
      </c>
      <c r="P15" s="28">
        <f t="shared" si="9"/>
        <v>48735</v>
      </c>
      <c r="Q15" s="28">
        <f t="shared" si="9"/>
        <v>46827</v>
      </c>
      <c r="R15" s="28">
        <f t="shared" si="9"/>
        <v>49235</v>
      </c>
      <c r="S15" s="28">
        <f t="shared" si="9"/>
        <v>51794</v>
      </c>
      <c r="T15" s="28">
        <f t="shared" si="9"/>
        <v>55856</v>
      </c>
      <c r="U15" s="28">
        <f t="shared" si="9"/>
        <v>53873</v>
      </c>
      <c r="V15" s="28">
        <f t="shared" si="9"/>
        <v>57389</v>
      </c>
      <c r="W15" s="28">
        <f>+W10+W14</f>
        <v>60977</v>
      </c>
      <c r="X15" s="5"/>
      <c r="Y15" s="28">
        <f t="shared" ref="Y15:AI15" si="10">+Y10+Y14</f>
        <v>94829</v>
      </c>
      <c r="Z15" s="28">
        <f t="shared" si="10"/>
        <v>127325</v>
      </c>
      <c r="AA15" s="28">
        <f t="shared" si="10"/>
        <v>126801</v>
      </c>
      <c r="AB15" s="28">
        <f t="shared" si="10"/>
        <v>128433</v>
      </c>
      <c r="AC15" s="28">
        <f t="shared" si="10"/>
        <v>132971</v>
      </c>
      <c r="AD15" s="28">
        <f t="shared" si="10"/>
        <v>139211</v>
      </c>
      <c r="AE15" s="28">
        <f t="shared" si="10"/>
        <v>144548</v>
      </c>
      <c r="AF15" s="28">
        <f t="shared" si="10"/>
        <v>148600</v>
      </c>
      <c r="AG15" s="28">
        <f t="shared" si="10"/>
        <v>196591</v>
      </c>
      <c r="AH15" s="28">
        <f t="shared" si="10"/>
        <v>203712</v>
      </c>
      <c r="AI15" s="28">
        <f t="shared" si="10"/>
        <v>210758</v>
      </c>
      <c r="AJ15" s="28">
        <f>+AJ10+AJ14</f>
        <v>218912</v>
      </c>
      <c r="AK15" s="28">
        <f>+AK10+AK14</f>
        <v>228095</v>
      </c>
      <c r="AM15" s="473">
        <f>SUM(AK15/AG15)-1</f>
        <v>0.16025148658890798</v>
      </c>
    </row>
    <row r="16" spans="2:39" ht="12.75" customHeight="1">
      <c r="B16" s="17" t="s">
        <v>50</v>
      </c>
      <c r="C16" s="19">
        <f>C15/C10</f>
        <v>0.53578374706207854</v>
      </c>
      <c r="D16" s="19">
        <f>D15/D10</f>
        <v>0.5693980290098084</v>
      </c>
      <c r="E16" s="19">
        <f>E15/E10</f>
        <v>0.55379442503783116</v>
      </c>
      <c r="F16" s="19">
        <f>F15/F10</f>
        <v>0.56625047984020505</v>
      </c>
      <c r="G16" s="19">
        <f>G15/G10</f>
        <v>0.58200435406179107</v>
      </c>
      <c r="H16" s="29"/>
      <c r="I16" s="19">
        <f t="shared" ref="I16:V16" si="11">I15/I10</f>
        <v>0.5647909896928438</v>
      </c>
      <c r="J16" s="19">
        <f t="shared" si="11"/>
        <v>0.56799885197675248</v>
      </c>
      <c r="K16" s="19">
        <f t="shared" si="11"/>
        <v>0.54903606785156023</v>
      </c>
      <c r="L16" s="19">
        <f t="shared" si="11"/>
        <v>0.53526719966337055</v>
      </c>
      <c r="M16" s="19">
        <f t="shared" si="11"/>
        <v>0.56135096794531936</v>
      </c>
      <c r="N16" s="19">
        <f t="shared" si="11"/>
        <v>0.5721945204010509</v>
      </c>
      <c r="O16" s="19">
        <f t="shared" si="11"/>
        <v>0.56672708069836886</v>
      </c>
      <c r="P16" s="19">
        <f t="shared" si="11"/>
        <v>0.56465067778936395</v>
      </c>
      <c r="Q16" s="19">
        <f t="shared" si="11"/>
        <v>0.58142018152696207</v>
      </c>
      <c r="R16" s="19">
        <f t="shared" si="11"/>
        <v>0.58099879634655782</v>
      </c>
      <c r="S16" s="19">
        <f t="shared" si="11"/>
        <v>0.58678116644763678</v>
      </c>
      <c r="T16" s="19">
        <f t="shared" si="11"/>
        <v>0.5790046543449191</v>
      </c>
      <c r="U16" s="19">
        <f t="shared" si="11"/>
        <v>0.5970365937451515</v>
      </c>
      <c r="V16" s="19">
        <f t="shared" si="11"/>
        <v>0.59514871199236741</v>
      </c>
      <c r="W16" s="19">
        <f>W15/W10</f>
        <v>0.59579270318331934</v>
      </c>
      <c r="X16" s="30"/>
      <c r="Y16" s="19">
        <f t="shared" ref="Y16:AI16" si="12">Y15/Y10</f>
        <v>0.51068447412353923</v>
      </c>
      <c r="Z16" s="19">
        <f t="shared" si="12"/>
        <v>0.5022127733425894</v>
      </c>
      <c r="AA16" s="19">
        <f t="shared" si="12"/>
        <v>0.49918312553884187</v>
      </c>
      <c r="AB16" s="19">
        <f t="shared" si="12"/>
        <v>0.4988444851841638</v>
      </c>
      <c r="AC16" s="19">
        <f t="shared" si="12"/>
        <v>0.50354451471200823</v>
      </c>
      <c r="AD16" s="19">
        <f t="shared" si="12"/>
        <v>0.51078545403844533</v>
      </c>
      <c r="AE16" s="19">
        <f t="shared" si="12"/>
        <v>0.51444230906114319</v>
      </c>
      <c r="AF16" s="19">
        <f t="shared" si="12"/>
        <v>0.51485848321166361</v>
      </c>
      <c r="AG16" s="19">
        <f t="shared" si="12"/>
        <v>0.57844870961192729</v>
      </c>
      <c r="AH16" s="19">
        <f t="shared" si="12"/>
        <v>0.58200435406179107</v>
      </c>
      <c r="AI16" s="19">
        <f t="shared" si="12"/>
        <v>0.58590598616118961</v>
      </c>
      <c r="AJ16" s="19">
        <f>AJ15/AJ10</f>
        <v>0.58942538886749829</v>
      </c>
      <c r="AK16" s="19">
        <f>AK15/AK10</f>
        <v>0.59172142566223151</v>
      </c>
      <c r="AM16" s="474">
        <f>SUM(AK16-AG16)*10000</f>
        <v>132.72716050304223</v>
      </c>
    </row>
    <row r="17" spans="2:39" ht="5.0999999999999996" customHeight="1">
      <c r="B17" s="31"/>
      <c r="C17" s="32"/>
      <c r="D17" s="32"/>
      <c r="E17" s="32"/>
      <c r="F17" s="32"/>
      <c r="G17" s="32"/>
      <c r="H17" s="32"/>
      <c r="I17" s="32"/>
      <c r="J17" s="32"/>
      <c r="K17" s="32"/>
      <c r="L17" s="32"/>
      <c r="M17" s="32"/>
      <c r="N17" s="32"/>
      <c r="O17" s="32"/>
      <c r="P17" s="32"/>
      <c r="Q17" s="32"/>
      <c r="R17" s="32"/>
      <c r="S17" s="32"/>
      <c r="T17" s="32"/>
      <c r="U17" s="32"/>
      <c r="V17" s="32"/>
      <c r="W17" s="32"/>
      <c r="X17" s="5"/>
      <c r="Y17" s="32"/>
      <c r="Z17" s="32"/>
      <c r="AA17" s="32"/>
      <c r="AB17" s="32"/>
      <c r="AC17" s="32"/>
      <c r="AD17" s="32"/>
      <c r="AE17" s="32"/>
      <c r="AF17" s="32"/>
      <c r="AG17" s="32"/>
      <c r="AH17" s="32"/>
      <c r="AI17" s="32"/>
      <c r="AJ17" s="32"/>
      <c r="AK17" s="32"/>
      <c r="AM17" s="471"/>
    </row>
    <row r="18" spans="2:39" ht="12.75" customHeight="1">
      <c r="B18" s="25" t="s">
        <v>564</v>
      </c>
      <c r="C18" s="516">
        <f>'Historical Financials'!E17</f>
        <v>-27573</v>
      </c>
      <c r="D18" s="516">
        <f>'Historical Financials'!F17</f>
        <v>-31562</v>
      </c>
      <c r="E18" s="516">
        <f>'Historical Financials'!G17</f>
        <v>-39500</v>
      </c>
      <c r="F18" s="516">
        <f>'Historical Financials'!H17</f>
        <v>-45427</v>
      </c>
      <c r="G18" s="516">
        <f>'Historical Financials'!I17</f>
        <v>-49326</v>
      </c>
      <c r="H18" s="176"/>
      <c r="I18" s="516">
        <f>'Historical Financials'!O17</f>
        <v>-9119</v>
      </c>
      <c r="J18" s="516">
        <f>'Historical Financials'!P17</f>
        <v>-9841</v>
      </c>
      <c r="K18" s="516">
        <f>'Historical Financials'!Q17</f>
        <v>-10273</v>
      </c>
      <c r="L18" s="516">
        <f>'Historical Financials'!R17</f>
        <v>-10267</v>
      </c>
      <c r="M18" s="516">
        <f>'Historical Financials'!S17</f>
        <v>-11468</v>
      </c>
      <c r="N18" s="516">
        <f>'Historical Financials'!T17</f>
        <v>-10588</v>
      </c>
      <c r="O18" s="516">
        <f>'Historical Financials'!U17</f>
        <v>-11258</v>
      </c>
      <c r="P18" s="516">
        <f>'Historical Financials'!V17</f>
        <v>-12113</v>
      </c>
      <c r="Q18" s="516">
        <f>'Historical Financials'!W17</f>
        <v>-11903</v>
      </c>
      <c r="R18" s="516">
        <f>'Historical Financials'!X17</f>
        <v>-11860</v>
      </c>
      <c r="S18" s="516">
        <f>'Historical Financials'!Y17</f>
        <v>-12447</v>
      </c>
      <c r="T18" s="516">
        <f>'Historical Financials'!Z17</f>
        <v>-13116</v>
      </c>
      <c r="U18" s="516">
        <f>'Historical Financials'!AA17</f>
        <v>-13556</v>
      </c>
      <c r="V18" s="516">
        <f>'Historical Financials'!AB17</f>
        <v>-13808</v>
      </c>
      <c r="W18" s="516">
        <f>'Historical Financials'!AC17</f>
        <v>-15151</v>
      </c>
      <c r="X18" s="5"/>
      <c r="Y18" s="11">
        <f t="shared" ref="Y18:AK20" si="13">SUM(H18:K18)</f>
        <v>-29233</v>
      </c>
      <c r="Z18" s="11">
        <f t="shared" si="13"/>
        <v>-39500</v>
      </c>
      <c r="AA18" s="11">
        <f t="shared" si="13"/>
        <v>-41849</v>
      </c>
      <c r="AB18" s="11">
        <f t="shared" si="13"/>
        <v>-42596</v>
      </c>
      <c r="AC18" s="11">
        <f t="shared" si="13"/>
        <v>-43581</v>
      </c>
      <c r="AD18" s="11">
        <f t="shared" si="13"/>
        <v>-45427</v>
      </c>
      <c r="AE18" s="11">
        <f t="shared" si="13"/>
        <v>-45862</v>
      </c>
      <c r="AF18" s="11">
        <f t="shared" si="13"/>
        <v>-47134</v>
      </c>
      <c r="AG18" s="517">
        <f t="shared" si="13"/>
        <v>-48323</v>
      </c>
      <c r="AH18" s="517">
        <f t="shared" si="13"/>
        <v>-49326</v>
      </c>
      <c r="AI18" s="517">
        <f t="shared" si="13"/>
        <v>-50979</v>
      </c>
      <c r="AJ18" s="517">
        <f t="shared" si="13"/>
        <v>-52927</v>
      </c>
      <c r="AK18" s="517">
        <f t="shared" si="13"/>
        <v>-55631</v>
      </c>
      <c r="AM18" s="472">
        <f>SUM(AK18/AG18)-1</f>
        <v>0.15123233242969181</v>
      </c>
    </row>
    <row r="19" spans="2:39" ht="12.75" customHeight="1">
      <c r="B19" s="25" t="s">
        <v>565</v>
      </c>
      <c r="C19" s="516">
        <f>'Historical Financials'!E18</f>
        <v>-17946</v>
      </c>
      <c r="D19" s="516">
        <f>'Historical Financials'!F18</f>
        <v>-22912</v>
      </c>
      <c r="E19" s="516">
        <f>'Historical Financials'!G18</f>
        <v>-26567</v>
      </c>
      <c r="F19" s="516">
        <f>'Historical Financials'!H18</f>
        <v>-27917</v>
      </c>
      <c r="G19" s="516">
        <f>'Historical Financials'!I18</f>
        <v>-27808</v>
      </c>
      <c r="H19" s="176"/>
      <c r="I19" s="516">
        <f>'Historical Financials'!O18</f>
        <v>-5825</v>
      </c>
      <c r="J19" s="516">
        <f>'Historical Financials'!P18</f>
        <v>-6630</v>
      </c>
      <c r="K19" s="516">
        <f>'Historical Financials'!Q18</f>
        <v>-6929</v>
      </c>
      <c r="L19" s="516">
        <f>'Historical Financials'!R18</f>
        <v>-7183</v>
      </c>
      <c r="M19" s="516">
        <f>'Historical Financials'!S18</f>
        <v>-6533</v>
      </c>
      <c r="N19" s="516">
        <f>'Historical Financials'!T18</f>
        <v>-6781</v>
      </c>
      <c r="O19" s="516">
        <f>'Historical Financials'!U18</f>
        <v>-6884</v>
      </c>
      <c r="P19" s="516">
        <f>'Historical Financials'!V18</f>
        <v>-7719</v>
      </c>
      <c r="Q19" s="516">
        <f>'Historical Financials'!W18</f>
        <v>-6426</v>
      </c>
      <c r="R19" s="516">
        <f>'Historical Financials'!X18</f>
        <v>-6792</v>
      </c>
      <c r="S19" s="516">
        <f>'Historical Financials'!Y18</f>
        <v>-7227</v>
      </c>
      <c r="T19" s="516">
        <f>'Historical Financials'!Z18</f>
        <v>-7363</v>
      </c>
      <c r="U19" s="516">
        <f>'Historical Financials'!AA18</f>
        <v>-6172</v>
      </c>
      <c r="V19" s="516">
        <f>'Historical Financials'!AB18</f>
        <v>-7101</v>
      </c>
      <c r="W19" s="516">
        <f>'Historical Financials'!AC18</f>
        <v>-7205</v>
      </c>
      <c r="X19" s="5"/>
      <c r="Y19" s="11">
        <f t="shared" si="13"/>
        <v>-19384</v>
      </c>
      <c r="Z19" s="11">
        <f t="shared" si="13"/>
        <v>-26567</v>
      </c>
      <c r="AA19" s="11">
        <f t="shared" si="13"/>
        <v>-27275</v>
      </c>
      <c r="AB19" s="11">
        <f t="shared" si="13"/>
        <v>-27426</v>
      </c>
      <c r="AC19" s="11">
        <f t="shared" si="13"/>
        <v>-27381</v>
      </c>
      <c r="AD19" s="11">
        <f t="shared" si="13"/>
        <v>-27917</v>
      </c>
      <c r="AE19" s="11">
        <f t="shared" si="13"/>
        <v>-27810</v>
      </c>
      <c r="AF19" s="11">
        <f t="shared" si="13"/>
        <v>-27821</v>
      </c>
      <c r="AG19" s="517">
        <f t="shared" si="13"/>
        <v>-28164</v>
      </c>
      <c r="AH19" s="517">
        <f t="shared" si="13"/>
        <v>-27808</v>
      </c>
      <c r="AI19" s="517">
        <f t="shared" si="13"/>
        <v>-27554</v>
      </c>
      <c r="AJ19" s="517">
        <f t="shared" si="13"/>
        <v>-27863</v>
      </c>
      <c r="AK19" s="517">
        <f t="shared" si="13"/>
        <v>-27841</v>
      </c>
      <c r="AM19" s="472">
        <f>SUM(AK19/AG19)-1</f>
        <v>-1.1468541400369237E-2</v>
      </c>
    </row>
    <row r="20" spans="2:39" ht="12.75" customHeight="1">
      <c r="B20" s="25" t="s">
        <v>566</v>
      </c>
      <c r="C20" s="516">
        <f>'Historical Financials'!E19</f>
        <v>-11052</v>
      </c>
      <c r="D20" s="516">
        <f>'Historical Financials'!F19</f>
        <v>-13510</v>
      </c>
      <c r="E20" s="516">
        <f>'Historical Financials'!G19</f>
        <v>-15724</v>
      </c>
      <c r="F20" s="516">
        <f>'Historical Financials'!H19</f>
        <v>-16425</v>
      </c>
      <c r="G20" s="516">
        <f>'Historical Financials'!I19</f>
        <v>-14188</v>
      </c>
      <c r="H20" s="176"/>
      <c r="I20" s="516">
        <f>'Historical Financials'!O19</f>
        <v>-3374</v>
      </c>
      <c r="J20" s="516">
        <f>'Historical Financials'!P19</f>
        <v>-3657</v>
      </c>
      <c r="K20" s="516">
        <f>'Historical Financials'!Q19</f>
        <v>-3597</v>
      </c>
      <c r="L20" s="516">
        <f>'Historical Financials'!R19</f>
        <v>-5096</v>
      </c>
      <c r="M20" s="516">
        <f>'Historical Financials'!S19</f>
        <v>-3759</v>
      </c>
      <c r="N20" s="516">
        <f>'Historical Financials'!T19</f>
        <v>-3481</v>
      </c>
      <c r="O20" s="516">
        <f>'Historical Financials'!U19</f>
        <v>-3979</v>
      </c>
      <c r="P20" s="516">
        <f>'Historical Financials'!V19</f>
        <v>-5206</v>
      </c>
      <c r="Q20" s="516">
        <f>'Historical Financials'!W19</f>
        <v>-3026</v>
      </c>
      <c r="R20" s="516">
        <f>'Historical Financials'!X19</f>
        <v>-3158</v>
      </c>
      <c r="S20" s="516">
        <f>'Historical Financials'!Y19</f>
        <v>-3599</v>
      </c>
      <c r="T20" s="516">
        <f>'Historical Financials'!Z19</f>
        <v>-4405</v>
      </c>
      <c r="U20" s="516">
        <f>'Historical Financials'!AA19</f>
        <v>-3539</v>
      </c>
      <c r="V20" s="516">
        <f>'Historical Financials'!AB19</f>
        <v>-5209</v>
      </c>
      <c r="W20" s="516">
        <f>'Historical Financials'!AC19</f>
        <v>-7393</v>
      </c>
      <c r="X20" s="5"/>
      <c r="Y20" s="11">
        <f t="shared" si="13"/>
        <v>-10628</v>
      </c>
      <c r="Z20" s="11">
        <f t="shared" si="13"/>
        <v>-15724</v>
      </c>
      <c r="AA20" s="11">
        <f t="shared" si="13"/>
        <v>-16109</v>
      </c>
      <c r="AB20" s="11">
        <f t="shared" si="13"/>
        <v>-15933</v>
      </c>
      <c r="AC20" s="11">
        <f t="shared" si="13"/>
        <v>-16315</v>
      </c>
      <c r="AD20" s="11">
        <f t="shared" si="13"/>
        <v>-16425</v>
      </c>
      <c r="AE20" s="11">
        <f t="shared" si="13"/>
        <v>-15692</v>
      </c>
      <c r="AF20" s="11">
        <f t="shared" si="13"/>
        <v>-15369</v>
      </c>
      <c r="AG20" s="517">
        <f t="shared" si="13"/>
        <v>-14989</v>
      </c>
      <c r="AH20" s="517">
        <f t="shared" si="13"/>
        <v>-14188</v>
      </c>
      <c r="AI20" s="517">
        <f t="shared" si="13"/>
        <v>-14701</v>
      </c>
      <c r="AJ20" s="517">
        <f t="shared" si="13"/>
        <v>-16752</v>
      </c>
      <c r="AK20" s="517">
        <f t="shared" si="13"/>
        <v>-20546</v>
      </c>
      <c r="AM20" s="472">
        <f>SUM(AK20/AG20)-1</f>
        <v>0.37073854159717134</v>
      </c>
    </row>
    <row r="21" spans="2:39" ht="12.75" customHeight="1">
      <c r="B21" s="14" t="s">
        <v>51</v>
      </c>
      <c r="C21" s="15">
        <f>SUM(C15+SUM(C18:C20))</f>
        <v>41224</v>
      </c>
      <c r="D21" s="15">
        <f>SUM(D15+SUM(D18:D20))</f>
        <v>78714</v>
      </c>
      <c r="E21" s="15">
        <f>SUM(E15+SUM(E18:E20))</f>
        <v>74842</v>
      </c>
      <c r="F21" s="15">
        <f>SUM(F15+SUM(F18:F20))</f>
        <v>84293</v>
      </c>
      <c r="G21" s="15">
        <f>SUM(G15+SUM(G18:G20))</f>
        <v>112390</v>
      </c>
      <c r="H21" s="12"/>
      <c r="I21" s="15">
        <f t="shared" ref="I21:W21" si="14">SUM(I15+SUM(I18:I20))</f>
        <v>20094</v>
      </c>
      <c r="J21" s="15">
        <f t="shared" si="14"/>
        <v>19453</v>
      </c>
      <c r="K21" s="15">
        <f t="shared" si="14"/>
        <v>17135</v>
      </c>
      <c r="L21" s="15">
        <f t="shared" si="14"/>
        <v>18160</v>
      </c>
      <c r="M21" s="15">
        <f t="shared" si="14"/>
        <v>17415</v>
      </c>
      <c r="N21" s="15">
        <f t="shared" si="14"/>
        <v>21838</v>
      </c>
      <c r="O21" s="15">
        <f t="shared" si="14"/>
        <v>21343</v>
      </c>
      <c r="P21" s="15">
        <f t="shared" si="14"/>
        <v>23697</v>
      </c>
      <c r="Q21" s="15">
        <f t="shared" si="14"/>
        <v>25472</v>
      </c>
      <c r="R21" s="15">
        <f t="shared" si="14"/>
        <v>27425</v>
      </c>
      <c r="S21" s="15">
        <f t="shared" si="14"/>
        <v>28521</v>
      </c>
      <c r="T21" s="15">
        <f t="shared" si="14"/>
        <v>30972</v>
      </c>
      <c r="U21" s="15">
        <f t="shared" si="14"/>
        <v>30606</v>
      </c>
      <c r="V21" s="15">
        <f t="shared" si="14"/>
        <v>31271</v>
      </c>
      <c r="W21" s="15">
        <f t="shared" si="14"/>
        <v>31228</v>
      </c>
      <c r="X21" s="5"/>
      <c r="Y21" s="15">
        <f t="shared" ref="Y21:AK21" si="15">SUM(Y15+SUM(Y18:Y20))</f>
        <v>35584</v>
      </c>
      <c r="Z21" s="15">
        <f t="shared" si="15"/>
        <v>45534</v>
      </c>
      <c r="AA21" s="15">
        <f t="shared" si="15"/>
        <v>41568</v>
      </c>
      <c r="AB21" s="15">
        <f t="shared" si="15"/>
        <v>42478</v>
      </c>
      <c r="AC21" s="15">
        <f t="shared" si="15"/>
        <v>45694</v>
      </c>
      <c r="AD21" s="15">
        <f t="shared" si="15"/>
        <v>49442</v>
      </c>
      <c r="AE21" s="15">
        <f t="shared" si="15"/>
        <v>55184</v>
      </c>
      <c r="AF21" s="15">
        <f t="shared" si="15"/>
        <v>58276</v>
      </c>
      <c r="AG21" s="15">
        <f t="shared" si="15"/>
        <v>105115</v>
      </c>
      <c r="AH21" s="15">
        <f t="shared" si="15"/>
        <v>112390</v>
      </c>
      <c r="AI21" s="15">
        <f t="shared" si="15"/>
        <v>117524</v>
      </c>
      <c r="AJ21" s="15">
        <f t="shared" si="15"/>
        <v>121370</v>
      </c>
      <c r="AK21" s="15">
        <f t="shared" si="15"/>
        <v>124077</v>
      </c>
      <c r="AM21" s="473">
        <f>SUM(AK21/AG21)-1</f>
        <v>0.18039290301098787</v>
      </c>
    </row>
    <row r="22" spans="2:39" ht="12.75" customHeight="1">
      <c r="B22" s="17" t="s">
        <v>52</v>
      </c>
      <c r="C22" s="19">
        <f>C21/C10</f>
        <v>0.22585151785763202</v>
      </c>
      <c r="D22" s="19">
        <f>D21/D10</f>
        <v>0.3055228868524319</v>
      </c>
      <c r="E22" s="19">
        <f>E21/E10</f>
        <v>0.26461270842467011</v>
      </c>
      <c r="F22" s="19">
        <f>F21/F10</f>
        <v>0.27421810445226646</v>
      </c>
      <c r="G22" s="19">
        <f>G21/G10</f>
        <v>0.32109777211457696</v>
      </c>
      <c r="H22" s="29"/>
      <c r="I22" s="19">
        <f t="shared" ref="I22:W22" si="16">I21/I10</f>
        <v>0.29545220626075192</v>
      </c>
      <c r="J22" s="19">
        <f t="shared" si="16"/>
        <v>0.279156202913109</v>
      </c>
      <c r="K22" s="19">
        <f t="shared" si="16"/>
        <v>0.24800266311584554</v>
      </c>
      <c r="L22" s="19">
        <f t="shared" si="16"/>
        <v>0.23879654954765411</v>
      </c>
      <c r="M22" s="19">
        <f t="shared" si="16"/>
        <v>0.24954504420594092</v>
      </c>
      <c r="N22" s="19">
        <f t="shared" si="16"/>
        <v>0.29271888906761029</v>
      </c>
      <c r="O22" s="19">
        <f t="shared" si="16"/>
        <v>0.27829136948613303</v>
      </c>
      <c r="P22" s="19">
        <f t="shared" si="16"/>
        <v>0.27455683003128256</v>
      </c>
      <c r="Q22" s="19">
        <f t="shared" si="16"/>
        <v>0.31626913669154072</v>
      </c>
      <c r="R22" s="19">
        <f t="shared" si="16"/>
        <v>0.32362936914398999</v>
      </c>
      <c r="S22" s="19">
        <f t="shared" si="16"/>
        <v>0.32311823084243441</v>
      </c>
      <c r="T22" s="19">
        <f t="shared" si="16"/>
        <v>0.32105650519856122</v>
      </c>
      <c r="U22" s="19">
        <f t="shared" si="16"/>
        <v>0.33918478622248821</v>
      </c>
      <c r="V22" s="19">
        <f t="shared" si="16"/>
        <v>0.32429377359273243</v>
      </c>
      <c r="W22" s="19">
        <f t="shared" si="16"/>
        <v>0.30512184159615424</v>
      </c>
      <c r="X22" s="30"/>
      <c r="Y22" s="19">
        <f t="shared" ref="Y22:AK22" si="17">Y21/Y10</f>
        <v>0.1916312133125101</v>
      </c>
      <c r="Z22" s="19">
        <f t="shared" si="17"/>
        <v>0.17960146413808337</v>
      </c>
      <c r="AA22" s="19">
        <f t="shared" si="17"/>
        <v>0.16364259085021868</v>
      </c>
      <c r="AB22" s="19">
        <f t="shared" si="17"/>
        <v>0.16498809528433434</v>
      </c>
      <c r="AC22" s="19">
        <f t="shared" si="17"/>
        <v>0.17303745219070701</v>
      </c>
      <c r="AD22" s="19">
        <f t="shared" si="17"/>
        <v>0.1814099059597935</v>
      </c>
      <c r="AE22" s="19">
        <f t="shared" si="17"/>
        <v>0.19639832016513631</v>
      </c>
      <c r="AF22" s="19">
        <f t="shared" si="17"/>
        <v>0.20191045065708554</v>
      </c>
      <c r="AG22" s="19">
        <f t="shared" si="17"/>
        <v>0.30929002910030334</v>
      </c>
      <c r="AH22" s="19">
        <f t="shared" si="17"/>
        <v>0.32109777211457696</v>
      </c>
      <c r="AI22" s="19">
        <f t="shared" si="17"/>
        <v>0.32671602082771545</v>
      </c>
      <c r="AJ22" s="19">
        <f t="shared" si="17"/>
        <v>0.32679140223856284</v>
      </c>
      <c r="AK22" s="19">
        <f t="shared" si="17"/>
        <v>0.32187912638108113</v>
      </c>
      <c r="AM22" s="474">
        <f>SUM(AK22-AG22)*10000</f>
        <v>125.89097280777783</v>
      </c>
    </row>
    <row r="23" spans="2:39" ht="5.0999999999999996" customHeight="1">
      <c r="AM23" s="471"/>
    </row>
    <row r="24" spans="2:39" ht="12.75" customHeight="1">
      <c r="B24" s="33" t="s">
        <v>53</v>
      </c>
      <c r="C24" s="176">
        <f>'Historical Financials'!E90</f>
        <v>13697</v>
      </c>
      <c r="D24" s="176">
        <f>'Historical Financials'!F90</f>
        <v>12441</v>
      </c>
      <c r="E24" s="176">
        <f>'Historical Financials'!G90</f>
        <v>13475</v>
      </c>
      <c r="F24" s="176">
        <f>'Historical Financials'!H90</f>
        <v>11946</v>
      </c>
      <c r="G24" s="176">
        <f>'Historical Financials'!I90</f>
        <v>15311</v>
      </c>
      <c r="I24" s="176">
        <f>'Historical Financials'!O90</f>
        <v>3782</v>
      </c>
      <c r="J24" s="176">
        <f>'Historical Financials'!P90</f>
        <v>3899</v>
      </c>
      <c r="K24" s="176">
        <f>'Historical Financials'!Q90</f>
        <v>4046</v>
      </c>
      <c r="L24" s="176">
        <f>'Historical Financials'!R90</f>
        <v>1748</v>
      </c>
      <c r="M24" s="176">
        <f>'Historical Financials'!S90</f>
        <v>3186</v>
      </c>
      <c r="N24" s="176">
        <f>'Historical Financials'!T90</f>
        <v>3397</v>
      </c>
      <c r="O24" s="176">
        <f>'Historical Financials'!U90</f>
        <v>3800</v>
      </c>
      <c r="P24" s="176">
        <f>'Historical Financials'!V90</f>
        <v>1563</v>
      </c>
      <c r="Q24" s="176">
        <f>'Historical Financials'!W90</f>
        <v>3413</v>
      </c>
      <c r="R24" s="176">
        <f>'Historical Financials'!X90</f>
        <v>3708</v>
      </c>
      <c r="S24" s="176">
        <f>'Historical Financials'!Y90</f>
        <v>3985</v>
      </c>
      <c r="T24" s="176">
        <f>'Historical Financials'!Z90</f>
        <v>4205</v>
      </c>
      <c r="U24" s="176">
        <f>'Historical Financials'!AA90</f>
        <v>4487</v>
      </c>
      <c r="V24" s="176">
        <f>'Historical Financials'!AB90</f>
        <v>4998</v>
      </c>
      <c r="W24" s="176">
        <f>'Historical Financials'!AC90</f>
        <v>5611</v>
      </c>
      <c r="Y24" s="11">
        <f t="shared" ref="Y24:AK24" si="18">SUM(H24:K24)</f>
        <v>11727</v>
      </c>
      <c r="Z24" s="11">
        <f t="shared" si="18"/>
        <v>13475</v>
      </c>
      <c r="AA24" s="11">
        <f t="shared" si="18"/>
        <v>12879</v>
      </c>
      <c r="AB24" s="11">
        <f t="shared" si="18"/>
        <v>12377</v>
      </c>
      <c r="AC24" s="11">
        <f t="shared" si="18"/>
        <v>12131</v>
      </c>
      <c r="AD24" s="11">
        <f t="shared" si="18"/>
        <v>11946</v>
      </c>
      <c r="AE24" s="11">
        <f t="shared" si="18"/>
        <v>12173</v>
      </c>
      <c r="AF24" s="11">
        <f t="shared" si="18"/>
        <v>12484</v>
      </c>
      <c r="AG24" s="11">
        <f t="shared" si="18"/>
        <v>12669</v>
      </c>
      <c r="AH24" s="11">
        <f t="shared" si="18"/>
        <v>15311</v>
      </c>
      <c r="AI24" s="11">
        <f t="shared" si="18"/>
        <v>16385</v>
      </c>
      <c r="AJ24" s="11">
        <f t="shared" si="18"/>
        <v>17675</v>
      </c>
      <c r="AK24" s="11">
        <f t="shared" si="18"/>
        <v>19301</v>
      </c>
      <c r="AM24" s="472">
        <f>SUM(AK24/AG24)-1</f>
        <v>0.52348251637856191</v>
      </c>
    </row>
    <row r="25" spans="2:39" ht="12.75" customHeight="1">
      <c r="B25" s="27" t="s">
        <v>11</v>
      </c>
      <c r="C25" s="28">
        <f>SUM(C21+C24)</f>
        <v>54921</v>
      </c>
      <c r="D25" s="28">
        <f>SUM(D21+D24)</f>
        <v>91155</v>
      </c>
      <c r="E25" s="28">
        <f>SUM(E21+E24)</f>
        <v>88317</v>
      </c>
      <c r="F25" s="28">
        <f>SUM(F21+F24)</f>
        <v>96239</v>
      </c>
      <c r="G25" s="28">
        <f>SUM(G21+G24)</f>
        <v>127701</v>
      </c>
      <c r="I25" s="28">
        <f t="shared" ref="I25:R25" si="19">SUM(I21+I24)</f>
        <v>23876</v>
      </c>
      <c r="J25" s="28">
        <f t="shared" si="19"/>
        <v>23352</v>
      </c>
      <c r="K25" s="28">
        <f t="shared" si="19"/>
        <v>21181</v>
      </c>
      <c r="L25" s="28">
        <f t="shared" si="19"/>
        <v>19908</v>
      </c>
      <c r="M25" s="28">
        <f t="shared" si="19"/>
        <v>20601</v>
      </c>
      <c r="N25" s="28">
        <f t="shared" si="19"/>
        <v>25235</v>
      </c>
      <c r="O25" s="28">
        <f t="shared" si="19"/>
        <v>25143</v>
      </c>
      <c r="P25" s="28">
        <f t="shared" si="19"/>
        <v>25260</v>
      </c>
      <c r="Q25" s="28">
        <f t="shared" si="19"/>
        <v>28885</v>
      </c>
      <c r="R25" s="28">
        <f t="shared" si="19"/>
        <v>31133</v>
      </c>
      <c r="S25" s="28">
        <f>SUM(S21+S24)</f>
        <v>32506</v>
      </c>
      <c r="T25" s="28">
        <f>SUM(T21+T24)</f>
        <v>35177</v>
      </c>
      <c r="U25" s="28">
        <f>SUM(U21+U24)</f>
        <v>35093</v>
      </c>
      <c r="V25" s="28">
        <f>SUM(V21+V24)</f>
        <v>36269</v>
      </c>
      <c r="W25" s="28">
        <f>SUM(W21+W24)</f>
        <v>36839</v>
      </c>
      <c r="Y25" s="28">
        <f t="shared" ref="Y25:AI25" si="20">SUM(Y21+Y24)</f>
        <v>47311</v>
      </c>
      <c r="Z25" s="28">
        <f t="shared" si="20"/>
        <v>59009</v>
      </c>
      <c r="AA25" s="28">
        <f t="shared" si="20"/>
        <v>54447</v>
      </c>
      <c r="AB25" s="28">
        <f t="shared" si="20"/>
        <v>54855</v>
      </c>
      <c r="AC25" s="28">
        <f t="shared" si="20"/>
        <v>57825</v>
      </c>
      <c r="AD25" s="28">
        <f t="shared" si="20"/>
        <v>61388</v>
      </c>
      <c r="AE25" s="28">
        <f t="shared" si="20"/>
        <v>67357</v>
      </c>
      <c r="AF25" s="28">
        <f t="shared" si="20"/>
        <v>70760</v>
      </c>
      <c r="AG25" s="28">
        <f t="shared" si="20"/>
        <v>117784</v>
      </c>
      <c r="AH25" s="28">
        <f t="shared" si="20"/>
        <v>127701</v>
      </c>
      <c r="AI25" s="28">
        <f t="shared" si="20"/>
        <v>133909</v>
      </c>
      <c r="AJ25" s="28">
        <f>SUM(AJ21+AJ24)</f>
        <v>139045</v>
      </c>
      <c r="AK25" s="28">
        <f>SUM(AK21+AK24)</f>
        <v>143378</v>
      </c>
      <c r="AM25" s="473">
        <f>SUM(AK25/AG25)-1</f>
        <v>0.21729606737757257</v>
      </c>
    </row>
    <row r="26" spans="2:39" ht="12.75" customHeight="1">
      <c r="B26" s="17" t="s">
        <v>54</v>
      </c>
      <c r="C26" s="19">
        <f>C25/C10</f>
        <v>0.30089247070296449</v>
      </c>
      <c r="D26" s="19">
        <f>D25/D10</f>
        <v>0.35381175840426649</v>
      </c>
      <c r="E26" s="19">
        <f>E25/E10</f>
        <v>0.3122551584663904</v>
      </c>
      <c r="F26" s="19">
        <f>F25/F10</f>
        <v>0.31308028133275212</v>
      </c>
      <c r="G26" s="19">
        <f>G25/G10</f>
        <v>0.3648412367363964</v>
      </c>
      <c r="I26" s="19">
        <f t="shared" ref="I26:W26" si="21">I25/I10</f>
        <v>0.35106085780241431</v>
      </c>
      <c r="J26" s="19">
        <f t="shared" si="21"/>
        <v>0.3351079859367152</v>
      </c>
      <c r="K26" s="19">
        <f t="shared" si="21"/>
        <v>0.30656226480634519</v>
      </c>
      <c r="L26" s="19">
        <f t="shared" si="21"/>
        <v>0.26178203240058912</v>
      </c>
      <c r="M26" s="19">
        <f t="shared" si="21"/>
        <v>0.29519824609167894</v>
      </c>
      <c r="N26" s="19">
        <f t="shared" si="21"/>
        <v>0.33825264060908261</v>
      </c>
      <c r="O26" s="19">
        <f t="shared" si="21"/>
        <v>0.32783956814833165</v>
      </c>
      <c r="P26" s="19">
        <f t="shared" si="21"/>
        <v>0.29266597149808826</v>
      </c>
      <c r="Q26" s="19">
        <f t="shared" si="21"/>
        <v>0.35864612175467786</v>
      </c>
      <c r="R26" s="19">
        <f t="shared" si="21"/>
        <v>0.36738571192560948</v>
      </c>
      <c r="S26" s="19">
        <f t="shared" si="21"/>
        <v>0.36826482983640729</v>
      </c>
      <c r="T26" s="19">
        <f t="shared" si="21"/>
        <v>0.36464563745866546</v>
      </c>
      <c r="U26" s="19">
        <f t="shared" si="21"/>
        <v>0.38891105348316601</v>
      </c>
      <c r="V26" s="19">
        <f t="shared" si="21"/>
        <v>0.37612519185298876</v>
      </c>
      <c r="W26" s="19">
        <f t="shared" si="21"/>
        <v>0.35994567447677484</v>
      </c>
      <c r="Y26" s="19">
        <f t="shared" ref="Y26:AK26" si="22">Y25/Y10</f>
        <v>0.25478485648123217</v>
      </c>
      <c r="Z26" s="19">
        <f t="shared" si="22"/>
        <v>0.23275141207282823</v>
      </c>
      <c r="AA26" s="19">
        <f t="shared" si="22"/>
        <v>0.21434392186349732</v>
      </c>
      <c r="AB26" s="19">
        <f t="shared" si="22"/>
        <v>0.21306139570653421</v>
      </c>
      <c r="AC26" s="19">
        <f t="shared" si="22"/>
        <v>0.21897602908319763</v>
      </c>
      <c r="AD26" s="19">
        <f t="shared" si="22"/>
        <v>0.22524152152137461</v>
      </c>
      <c r="AE26" s="19">
        <f t="shared" si="22"/>
        <v>0.2397216883763969</v>
      </c>
      <c r="AF26" s="19">
        <f t="shared" si="22"/>
        <v>0.24516410681061454</v>
      </c>
      <c r="AG26" s="19">
        <f t="shared" si="22"/>
        <v>0.34656725289016915</v>
      </c>
      <c r="AH26" s="19">
        <f t="shared" si="22"/>
        <v>0.3648412367363964</v>
      </c>
      <c r="AI26" s="19">
        <f t="shared" si="22"/>
        <v>0.37226622335028203</v>
      </c>
      <c r="AJ26" s="19">
        <f t="shared" si="22"/>
        <v>0.37438172962231991</v>
      </c>
      <c r="AK26" s="19">
        <f t="shared" si="22"/>
        <v>0.37194955859882689</v>
      </c>
      <c r="AM26" s="474">
        <f>SUM(AK26-AG26)*10000</f>
        <v>253.82305708657736</v>
      </c>
    </row>
    <row r="27" spans="2:39" ht="5.0999999999999996" customHeight="1">
      <c r="AM27" s="471"/>
    </row>
    <row r="28" spans="2:39" ht="12.75" customHeight="1">
      <c r="B28" s="33" t="s">
        <v>55</v>
      </c>
      <c r="C28" s="516">
        <f>'Historical Financials'!E91</f>
        <v>12991</v>
      </c>
      <c r="D28" s="516">
        <f>'Historical Financials'!F91</f>
        <v>15376</v>
      </c>
      <c r="E28" s="516">
        <f>'Historical Financials'!G91</f>
        <v>19362</v>
      </c>
      <c r="F28" s="516">
        <f>'Historical Financials'!H91</f>
        <v>22460</v>
      </c>
      <c r="G28" s="516">
        <f>'Historical Financials'!I91</f>
        <v>22785</v>
      </c>
      <c r="I28" s="516">
        <f>'Historical Financials'!O91</f>
        <v>4504</v>
      </c>
      <c r="J28" s="516">
        <f>'Historical Financials'!P91</f>
        <v>4782</v>
      </c>
      <c r="K28" s="516">
        <f>'Historical Financials'!Q91</f>
        <v>4976</v>
      </c>
      <c r="L28" s="516">
        <f>'Historical Financials'!R91</f>
        <v>5100</v>
      </c>
      <c r="M28" s="516">
        <f>'Historical Financials'!S91</f>
        <v>5284</v>
      </c>
      <c r="N28" s="516">
        <f>'Historical Financials'!T91</f>
        <v>5774</v>
      </c>
      <c r="O28" s="516">
        <f>'Historical Financials'!U91</f>
        <v>5743</v>
      </c>
      <c r="P28" s="516">
        <f>'Historical Financials'!V91</f>
        <v>5659</v>
      </c>
      <c r="Q28" s="516">
        <f>'Historical Financials'!W91</f>
        <v>5264</v>
      </c>
      <c r="R28" s="516">
        <f>'Historical Financials'!X91</f>
        <v>5865</v>
      </c>
      <c r="S28" s="516">
        <f>'Historical Financials'!Y91</f>
        <v>5846</v>
      </c>
      <c r="T28" s="516">
        <f>'Historical Financials'!Z91</f>
        <v>5810</v>
      </c>
      <c r="U28" s="516">
        <f>'Historical Financials'!AA91</f>
        <v>5516</v>
      </c>
      <c r="V28" s="516">
        <f>'Historical Financials'!AB91</f>
        <v>5998</v>
      </c>
      <c r="W28" s="516">
        <f>'Historical Financials'!AC91</f>
        <v>6368</v>
      </c>
      <c r="Y28" s="11">
        <f t="shared" ref="Y28:AK28" si="23">SUM(H28:K28)</f>
        <v>14262</v>
      </c>
      <c r="Z28" s="11">
        <f t="shared" si="23"/>
        <v>19362</v>
      </c>
      <c r="AA28" s="11">
        <f t="shared" si="23"/>
        <v>20142</v>
      </c>
      <c r="AB28" s="11">
        <f t="shared" si="23"/>
        <v>21134</v>
      </c>
      <c r="AC28" s="11">
        <f t="shared" si="23"/>
        <v>21901</v>
      </c>
      <c r="AD28" s="11">
        <f t="shared" si="23"/>
        <v>22460</v>
      </c>
      <c r="AE28" s="11">
        <f t="shared" si="23"/>
        <v>22440</v>
      </c>
      <c r="AF28" s="11">
        <f t="shared" si="23"/>
        <v>22531</v>
      </c>
      <c r="AG28" s="517">
        <f t="shared" si="23"/>
        <v>22634</v>
      </c>
      <c r="AH28" s="517">
        <f t="shared" si="23"/>
        <v>22785</v>
      </c>
      <c r="AI28" s="517">
        <f t="shared" si="23"/>
        <v>23037</v>
      </c>
      <c r="AJ28" s="517">
        <f t="shared" si="23"/>
        <v>23170</v>
      </c>
      <c r="AK28" s="517">
        <f t="shared" si="23"/>
        <v>23692</v>
      </c>
      <c r="AM28" s="472">
        <f>SUM(AK28/AG28)-1</f>
        <v>4.6743836705840813E-2</v>
      </c>
    </row>
    <row r="29" spans="2:39" ht="12.75" customHeight="1">
      <c r="B29" s="14" t="s">
        <v>56</v>
      </c>
      <c r="C29" s="15">
        <f>+SUM(C25+SUM(C28:C28))</f>
        <v>67912</v>
      </c>
      <c r="D29" s="15">
        <f>+SUM(D25+SUM(D28:D28))</f>
        <v>106531</v>
      </c>
      <c r="E29" s="15">
        <f>+SUM(E25+SUM(E28:E28))</f>
        <v>107679</v>
      </c>
      <c r="F29" s="15">
        <f>+SUM(F25+SUM(F28:F28))</f>
        <v>118699</v>
      </c>
      <c r="G29" s="15">
        <f>+SUM(G25+SUM(G28:G28))</f>
        <v>150486</v>
      </c>
      <c r="H29" s="12"/>
      <c r="I29" s="15">
        <f t="shared" ref="I29:W29" si="24">+SUM(I25+SUM(I28:I28))</f>
        <v>28380</v>
      </c>
      <c r="J29" s="15">
        <f t="shared" si="24"/>
        <v>28134</v>
      </c>
      <c r="K29" s="15">
        <f t="shared" si="24"/>
        <v>26157</v>
      </c>
      <c r="L29" s="15">
        <f t="shared" si="24"/>
        <v>25008</v>
      </c>
      <c r="M29" s="15">
        <f t="shared" si="24"/>
        <v>25885</v>
      </c>
      <c r="N29" s="15">
        <f t="shared" si="24"/>
        <v>31009</v>
      </c>
      <c r="O29" s="15">
        <f t="shared" si="24"/>
        <v>30886</v>
      </c>
      <c r="P29" s="15">
        <f t="shared" si="24"/>
        <v>30919</v>
      </c>
      <c r="Q29" s="15">
        <f t="shared" si="24"/>
        <v>34149</v>
      </c>
      <c r="R29" s="15">
        <f t="shared" si="24"/>
        <v>36998</v>
      </c>
      <c r="S29" s="15">
        <f t="shared" si="24"/>
        <v>38352</v>
      </c>
      <c r="T29" s="15">
        <f t="shared" si="24"/>
        <v>40987</v>
      </c>
      <c r="U29" s="15">
        <f t="shared" si="24"/>
        <v>40609</v>
      </c>
      <c r="V29" s="15">
        <f t="shared" si="24"/>
        <v>42267</v>
      </c>
      <c r="W29" s="15">
        <f t="shared" si="24"/>
        <v>43207</v>
      </c>
      <c r="Y29" s="15">
        <f t="shared" ref="Y29:AK29" si="25">+SUM(Y25+SUM(Y28:Y28))</f>
        <v>61573</v>
      </c>
      <c r="Z29" s="15">
        <f t="shared" si="25"/>
        <v>78371</v>
      </c>
      <c r="AA29" s="15">
        <f t="shared" si="25"/>
        <v>74589</v>
      </c>
      <c r="AB29" s="15">
        <f t="shared" si="25"/>
        <v>75989</v>
      </c>
      <c r="AC29" s="15">
        <f t="shared" si="25"/>
        <v>79726</v>
      </c>
      <c r="AD29" s="15">
        <f t="shared" si="25"/>
        <v>83848</v>
      </c>
      <c r="AE29" s="15">
        <f t="shared" si="25"/>
        <v>89797</v>
      </c>
      <c r="AF29" s="15">
        <f t="shared" si="25"/>
        <v>93291</v>
      </c>
      <c r="AG29" s="15">
        <f t="shared" si="25"/>
        <v>140418</v>
      </c>
      <c r="AH29" s="15">
        <f t="shared" si="25"/>
        <v>150486</v>
      </c>
      <c r="AI29" s="15">
        <f t="shared" si="25"/>
        <v>156946</v>
      </c>
      <c r="AJ29" s="15">
        <f t="shared" si="25"/>
        <v>162215</v>
      </c>
      <c r="AK29" s="15">
        <f t="shared" si="25"/>
        <v>167070</v>
      </c>
      <c r="AM29" s="473">
        <f>SUM(AK29/AG29)-1</f>
        <v>0.18980472588984321</v>
      </c>
    </row>
    <row r="30" spans="2:39" ht="12.75" customHeight="1">
      <c r="B30" s="17" t="s">
        <v>57</v>
      </c>
      <c r="C30" s="19">
        <f>C29/C10</f>
        <v>0.37206550263796589</v>
      </c>
      <c r="D30" s="19">
        <f>D29/D10</f>
        <v>0.41349262722357427</v>
      </c>
      <c r="E30" s="19">
        <f>E29/E10</f>
        <v>0.38071179057828564</v>
      </c>
      <c r="F30" s="19">
        <f>F29/F10</f>
        <v>0.38614611866204285</v>
      </c>
      <c r="G30" s="19">
        <f>G29/G10</f>
        <v>0.42993788890857043</v>
      </c>
      <c r="I30" s="19">
        <f t="shared" ref="I30:W30" si="26">I29/I10</f>
        <v>0.41728543912014232</v>
      </c>
      <c r="J30" s="19">
        <f t="shared" si="26"/>
        <v>0.40373107555427995</v>
      </c>
      <c r="K30" s="19">
        <f t="shared" si="26"/>
        <v>0.37858218028136398</v>
      </c>
      <c r="L30" s="19">
        <f t="shared" si="26"/>
        <v>0.32884494003787079</v>
      </c>
      <c r="M30" s="19">
        <f t="shared" si="26"/>
        <v>0.37091435367618608</v>
      </c>
      <c r="N30" s="19">
        <f t="shared" si="26"/>
        <v>0.41564795453326897</v>
      </c>
      <c r="O30" s="19">
        <f t="shared" si="26"/>
        <v>0.40272254312649136</v>
      </c>
      <c r="P30" s="19">
        <f t="shared" si="26"/>
        <v>0.35823195458231955</v>
      </c>
      <c r="Q30" s="19">
        <f t="shared" si="26"/>
        <v>0.42400576118402267</v>
      </c>
      <c r="R30" s="19">
        <f t="shared" si="26"/>
        <v>0.43659578485284745</v>
      </c>
      <c r="S30" s="19">
        <f t="shared" si="26"/>
        <v>0.43449494720623555</v>
      </c>
      <c r="T30" s="19">
        <f t="shared" si="26"/>
        <v>0.42487223875027214</v>
      </c>
      <c r="U30" s="19">
        <f t="shared" si="26"/>
        <v>0.45004100449941264</v>
      </c>
      <c r="V30" s="19">
        <f t="shared" si="26"/>
        <v>0.4383270419380263</v>
      </c>
      <c r="W30" s="19">
        <f t="shared" si="26"/>
        <v>0.42216598596916344</v>
      </c>
      <c r="Y30" s="19">
        <f t="shared" ref="Y30:AK30" si="27">Y29/Y10</f>
        <v>0.3315902848834078</v>
      </c>
      <c r="Z30" s="19">
        <f t="shared" si="27"/>
        <v>0.30912167492347986</v>
      </c>
      <c r="AA30" s="19">
        <f t="shared" si="27"/>
        <v>0.29363782738950545</v>
      </c>
      <c r="AB30" s="19">
        <f t="shared" si="27"/>
        <v>0.29514761459017091</v>
      </c>
      <c r="AC30" s="19">
        <f t="shared" si="27"/>
        <v>0.30191237171961982</v>
      </c>
      <c r="AD30" s="19">
        <f t="shared" si="27"/>
        <v>0.30765053587874208</v>
      </c>
      <c r="AE30" s="19">
        <f t="shared" si="27"/>
        <v>0.31958502384511356</v>
      </c>
      <c r="AF30" s="19">
        <f t="shared" si="27"/>
        <v>0.32322787858209501</v>
      </c>
      <c r="AG30" s="19">
        <f t="shared" si="27"/>
        <v>0.41316545979362029</v>
      </c>
      <c r="AH30" s="19">
        <f t="shared" si="27"/>
        <v>0.42993788890857043</v>
      </c>
      <c r="AI30" s="19">
        <f t="shared" si="27"/>
        <v>0.43630894629885492</v>
      </c>
      <c r="AJ30" s="19">
        <f t="shared" si="27"/>
        <v>0.43676746571746289</v>
      </c>
      <c r="AK30" s="19">
        <f t="shared" si="27"/>
        <v>0.4334110725153511</v>
      </c>
      <c r="AM30" s="474">
        <f>SUM(AK30-AG30)*10000</f>
        <v>202.45612721730811</v>
      </c>
    </row>
    <row r="31" spans="2:39" ht="5.0999999999999996" customHeight="1">
      <c r="AM31" s="471"/>
    </row>
    <row r="32" spans="2:39" ht="12.75" customHeight="1">
      <c r="B32" s="25" t="s">
        <v>58</v>
      </c>
      <c r="C32" s="516">
        <f>'Historical Financials'!C106</f>
        <v>-25139</v>
      </c>
      <c r="D32" s="516">
        <f>'Historical Financials'!D106</f>
        <v>-23548</v>
      </c>
      <c r="E32" s="516">
        <f>'Historical Financials'!E106</f>
        <v>-22281</v>
      </c>
      <c r="F32" s="516">
        <f>'Historical Financials'!F106</f>
        <v>-24640</v>
      </c>
      <c r="G32" s="516">
        <f>'Historical Financials'!G106</f>
        <v>-31485</v>
      </c>
      <c r="I32" s="516">
        <f>'Historical Financials'!O106</f>
        <v>-9786</v>
      </c>
      <c r="J32" s="516">
        <f>'Historical Financials'!P106</f>
        <v>-6828</v>
      </c>
      <c r="K32" s="516">
        <f>'Historical Financials'!Q106</f>
        <v>-7276</v>
      </c>
      <c r="L32" s="516">
        <f>'Historical Financials'!R106</f>
        <v>-7595</v>
      </c>
      <c r="M32" s="516">
        <f>'Historical Financials'!S106</f>
        <v>-6289</v>
      </c>
      <c r="N32" s="516">
        <f>'Historical Financials'!T106</f>
        <v>-6888</v>
      </c>
      <c r="O32" s="516">
        <f>'Historical Financials'!U106</f>
        <v>-8055</v>
      </c>
      <c r="P32" s="516">
        <f>'Historical Financials'!V106</f>
        <v>-11019</v>
      </c>
      <c r="Q32" s="516">
        <f>'Historical Financials'!W106</f>
        <v>-12012</v>
      </c>
      <c r="R32" s="516">
        <f>'Historical Financials'!X106</f>
        <v>-13186</v>
      </c>
      <c r="S32" s="516">
        <f>'Historical Financials'!Y106</f>
        <v>-13061</v>
      </c>
      <c r="T32" s="516">
        <f>'Historical Financials'!Z106</f>
        <v>-14276</v>
      </c>
      <c r="U32" s="516">
        <f>'Historical Financials'!AA106</f>
        <v>-17197</v>
      </c>
      <c r="V32" s="516">
        <f>'Historical Financials'!AB106</f>
        <v>-22446</v>
      </c>
      <c r="W32" s="516">
        <f>'Historical Financials'!AC106</f>
        <v>-23953</v>
      </c>
      <c r="Y32" s="11">
        <f t="shared" ref="Y32:AK35" si="28">SUM(H32:K32)</f>
        <v>-23890</v>
      </c>
      <c r="Z32" s="11">
        <f t="shared" si="28"/>
        <v>-31485</v>
      </c>
      <c r="AA32" s="11">
        <f t="shared" si="28"/>
        <v>-27988</v>
      </c>
      <c r="AB32" s="11">
        <f t="shared" si="28"/>
        <v>-28048</v>
      </c>
      <c r="AC32" s="11">
        <f t="shared" si="28"/>
        <v>-28827</v>
      </c>
      <c r="AD32" s="11">
        <f t="shared" si="28"/>
        <v>-32251</v>
      </c>
      <c r="AE32" s="11">
        <f t="shared" si="28"/>
        <v>-37974</v>
      </c>
      <c r="AF32" s="11">
        <f t="shared" si="28"/>
        <v>-44272</v>
      </c>
      <c r="AG32" s="517">
        <f t="shared" si="28"/>
        <v>-49278</v>
      </c>
      <c r="AH32" s="517">
        <f t="shared" si="28"/>
        <v>-52535</v>
      </c>
      <c r="AI32" s="517">
        <f t="shared" si="28"/>
        <v>-57720</v>
      </c>
      <c r="AJ32" s="517">
        <f t="shared" si="28"/>
        <v>-66980</v>
      </c>
      <c r="AK32" s="517">
        <f t="shared" si="28"/>
        <v>-77872</v>
      </c>
      <c r="AM32" s="472">
        <f>SUM(AK32/AG32)-1</f>
        <v>0.58025893908031989</v>
      </c>
    </row>
    <row r="33" spans="1:39" ht="12.75" customHeight="1">
      <c r="B33" s="25" t="s">
        <v>59</v>
      </c>
      <c r="C33" s="516">
        <f>-'Historical Financials'!E133</f>
        <v>-4990</v>
      </c>
      <c r="D33" s="516">
        <f>-'Historical Financials'!F133</f>
        <v>-13412</v>
      </c>
      <c r="E33" s="516">
        <f>-'Historical Financials'!G133</f>
        <v>-18892</v>
      </c>
      <c r="F33" s="516">
        <f>-'Historical Financials'!H133</f>
        <v>-19164</v>
      </c>
      <c r="G33" s="516">
        <f>-'Historical Financials'!I133</f>
        <v>-18900</v>
      </c>
      <c r="I33" s="516">
        <f>-'Historical Financials'!O133</f>
        <v>-4723</v>
      </c>
      <c r="J33" s="516">
        <f>-'Historical Financials'!P133</f>
        <v>-4723</v>
      </c>
      <c r="K33" s="516">
        <f>-'Historical Financials'!Q133</f>
        <v>-4723</v>
      </c>
      <c r="L33" s="516">
        <f>-'Historical Financials'!R133</f>
        <v>-4723</v>
      </c>
      <c r="M33" s="516">
        <f>-'Historical Financials'!S133</f>
        <v>-4791</v>
      </c>
      <c r="N33" s="516">
        <f>-'Historical Financials'!T133</f>
        <v>-4791</v>
      </c>
      <c r="O33" s="516">
        <f>-'Historical Financials'!U133</f>
        <v>-4791</v>
      </c>
      <c r="P33" s="516">
        <f>-'Historical Financials'!V133</f>
        <v>-4791</v>
      </c>
      <c r="Q33" s="516">
        <f>-'Historical Financials'!W133</f>
        <v>-4725</v>
      </c>
      <c r="R33" s="516">
        <f>-'Historical Financials'!X133</f>
        <v>-4725</v>
      </c>
      <c r="S33" s="516">
        <f>-'Historical Financials'!Y133</f>
        <v>-4725</v>
      </c>
      <c r="T33" s="516">
        <f>-'Historical Financials'!Z133</f>
        <v>-4725</v>
      </c>
      <c r="U33" s="516">
        <f>-'Historical Financials'!AA133</f>
        <v>-4725</v>
      </c>
      <c r="V33" s="516">
        <f>-'Historical Financials'!AB133</f>
        <v>-4725</v>
      </c>
      <c r="W33" s="516">
        <f>-'Historical Financials'!AC133</f>
        <v>-4725</v>
      </c>
      <c r="Y33" s="11">
        <f t="shared" si="28"/>
        <v>-14169</v>
      </c>
      <c r="Z33" s="11">
        <f t="shared" si="28"/>
        <v>-18892</v>
      </c>
      <c r="AA33" s="11">
        <f t="shared" si="28"/>
        <v>-18960</v>
      </c>
      <c r="AB33" s="11">
        <f t="shared" si="28"/>
        <v>-19028</v>
      </c>
      <c r="AC33" s="11">
        <f t="shared" si="28"/>
        <v>-19096</v>
      </c>
      <c r="AD33" s="11">
        <f t="shared" si="28"/>
        <v>-19164</v>
      </c>
      <c r="AE33" s="11">
        <f t="shared" si="28"/>
        <v>-19098</v>
      </c>
      <c r="AF33" s="11">
        <f t="shared" si="28"/>
        <v>-19032</v>
      </c>
      <c r="AG33" s="517">
        <f t="shared" si="28"/>
        <v>-18966</v>
      </c>
      <c r="AH33" s="517">
        <f t="shared" si="28"/>
        <v>-18900</v>
      </c>
      <c r="AI33" s="517">
        <f t="shared" si="28"/>
        <v>-18900</v>
      </c>
      <c r="AJ33" s="517">
        <f t="shared" si="28"/>
        <v>-18900</v>
      </c>
      <c r="AK33" s="517">
        <f t="shared" si="28"/>
        <v>-18900</v>
      </c>
      <c r="AM33" s="472">
        <f>SUM(AK33/AG33)-1</f>
        <v>-3.4799114204365766E-3</v>
      </c>
    </row>
    <row r="34" spans="1:39" ht="12.75" customHeight="1">
      <c r="B34" s="25" t="s">
        <v>255</v>
      </c>
      <c r="C34" s="516">
        <f>'Historical Financials'!E25</f>
        <v>-135</v>
      </c>
      <c r="D34" s="516">
        <f>'Historical Financials'!F25</f>
        <v>-346</v>
      </c>
      <c r="E34" s="516">
        <f>'Historical Financials'!G25</f>
        <v>-357</v>
      </c>
      <c r="F34" s="516">
        <f>'Historical Financials'!H25</f>
        <v>-308</v>
      </c>
      <c r="G34" s="516">
        <f>'Historical Financials'!I25</f>
        <v>-268</v>
      </c>
      <c r="I34" s="516">
        <f>'Historical Financials'!O25</f>
        <v>-83</v>
      </c>
      <c r="J34" s="516">
        <f>'Historical Financials'!P25</f>
        <v>-83</v>
      </c>
      <c r="K34" s="516">
        <f>'Historical Financials'!Q25</f>
        <v>-101</v>
      </c>
      <c r="L34" s="516">
        <f>'Historical Financials'!R25</f>
        <v>-90</v>
      </c>
      <c r="M34" s="516">
        <f>'Historical Financials'!S25</f>
        <v>-80</v>
      </c>
      <c r="N34" s="516">
        <f>'Historical Financials'!T25</f>
        <v>-43</v>
      </c>
      <c r="O34" s="516">
        <f>'Historical Financials'!U25</f>
        <v>-116</v>
      </c>
      <c r="P34" s="516">
        <f>'Historical Financials'!V25</f>
        <v>-69</v>
      </c>
      <c r="Q34" s="516">
        <f>'Historical Financials'!W25</f>
        <v>-94</v>
      </c>
      <c r="R34" s="516">
        <f>'Historical Financials'!X25</f>
        <v>-67</v>
      </c>
      <c r="S34" s="516">
        <f>'Historical Financials'!Y25</f>
        <v>-54</v>
      </c>
      <c r="T34" s="516">
        <f>'Historical Financials'!Z25</f>
        <v>-53</v>
      </c>
      <c r="U34" s="516">
        <f>'Historical Financials'!AA25</f>
        <v>-34</v>
      </c>
      <c r="V34" s="516">
        <f>'Historical Financials'!AB25</f>
        <v>-261</v>
      </c>
      <c r="W34" s="516">
        <f>'Historical Financials'!AC25</f>
        <v>-143</v>
      </c>
      <c r="Y34" s="11">
        <f t="shared" si="28"/>
        <v>-267</v>
      </c>
      <c r="Z34" s="11">
        <f t="shared" si="28"/>
        <v>-357</v>
      </c>
      <c r="AA34" s="11">
        <f t="shared" si="28"/>
        <v>-354</v>
      </c>
      <c r="AB34" s="11">
        <f t="shared" si="28"/>
        <v>-314</v>
      </c>
      <c r="AC34" s="11">
        <f t="shared" si="28"/>
        <v>-329</v>
      </c>
      <c r="AD34" s="11">
        <f t="shared" si="28"/>
        <v>-308</v>
      </c>
      <c r="AE34" s="11">
        <f t="shared" si="28"/>
        <v>-322</v>
      </c>
      <c r="AF34" s="11">
        <f t="shared" si="28"/>
        <v>-346</v>
      </c>
      <c r="AG34" s="517">
        <f t="shared" si="28"/>
        <v>-284</v>
      </c>
      <c r="AH34" s="517">
        <f t="shared" si="28"/>
        <v>-268</v>
      </c>
      <c r="AI34" s="517">
        <f t="shared" si="28"/>
        <v>-208</v>
      </c>
      <c r="AJ34" s="517">
        <f t="shared" si="28"/>
        <v>-402</v>
      </c>
      <c r="AK34" s="517">
        <f t="shared" si="28"/>
        <v>-491</v>
      </c>
      <c r="AM34" s="472">
        <f>SUM(AK34/AG34)-1</f>
        <v>0.72887323943661975</v>
      </c>
    </row>
    <row r="35" spans="1:39" ht="12.75" customHeight="1">
      <c r="B35" s="25" t="s">
        <v>60</v>
      </c>
      <c r="C35" s="516">
        <f>SUM('Historical Financials'!E96:E102)</f>
        <v>1827</v>
      </c>
      <c r="D35" s="516">
        <f>SUM('Historical Financials'!F96:F102)</f>
        <v>-1523</v>
      </c>
      <c r="E35" s="516">
        <f>SUM('Historical Financials'!G96:G102)</f>
        <v>-2235</v>
      </c>
      <c r="F35" s="516">
        <f>SUM('Historical Financials'!H96:H102)</f>
        <v>-3845</v>
      </c>
      <c r="G35" s="516">
        <f>SUM('Historical Financials'!I96:I102)</f>
        <v>-8406</v>
      </c>
      <c r="I35" s="516">
        <f>SUM('Historical Financials'!O96:O102)</f>
        <v>897</v>
      </c>
      <c r="J35" s="516">
        <f>SUM('Historical Financials'!P96:P102)</f>
        <v>-4217</v>
      </c>
      <c r="K35" s="516">
        <f>SUM('Historical Financials'!Q96:Q102)</f>
        <v>796</v>
      </c>
      <c r="L35" s="516">
        <f>SUM('Historical Financials'!R96:R102)</f>
        <v>289</v>
      </c>
      <c r="M35" s="516">
        <f>SUM('Historical Financials'!S96:S102)</f>
        <v>1373</v>
      </c>
      <c r="N35" s="516">
        <f>SUM('Historical Financials'!T96:T102)</f>
        <v>2936</v>
      </c>
      <c r="O35" s="516">
        <f>SUM('Historical Financials'!U96:U102)</f>
        <v>2117</v>
      </c>
      <c r="P35" s="516">
        <f>SUM('Historical Financials'!V96:V102)</f>
        <v>-10271</v>
      </c>
      <c r="Q35" s="516">
        <f>SUM('Historical Financials'!W96:W102)</f>
        <v>-2463</v>
      </c>
      <c r="R35" s="516">
        <f>SUM('Historical Financials'!X96:X102)</f>
        <v>-5270</v>
      </c>
      <c r="S35" s="516">
        <f>SUM('Historical Financials'!Y96:Y102)</f>
        <v>-3789</v>
      </c>
      <c r="T35" s="516">
        <f>SUM('Historical Financials'!Z96:Z102)</f>
        <v>3116</v>
      </c>
      <c r="U35" s="516">
        <f>SUM('Historical Financials'!AA96:AA102)</f>
        <v>2238</v>
      </c>
      <c r="V35" s="516">
        <f>SUM('Historical Financials'!AB96:AB102)</f>
        <v>-10110</v>
      </c>
      <c r="W35" s="516">
        <f>SUM('Historical Financials'!AC96:AC102)</f>
        <v>3783</v>
      </c>
      <c r="Y35" s="11">
        <f t="shared" si="28"/>
        <v>-2524</v>
      </c>
      <c r="Z35" s="11">
        <f t="shared" si="28"/>
        <v>-2235</v>
      </c>
      <c r="AA35" s="11">
        <f t="shared" si="28"/>
        <v>-1759</v>
      </c>
      <c r="AB35" s="11">
        <f t="shared" si="28"/>
        <v>5394</v>
      </c>
      <c r="AC35" s="11">
        <f t="shared" si="28"/>
        <v>6715</v>
      </c>
      <c r="AD35" s="11">
        <f t="shared" si="28"/>
        <v>-3845</v>
      </c>
      <c r="AE35" s="11">
        <f t="shared" si="28"/>
        <v>-7681</v>
      </c>
      <c r="AF35" s="11">
        <f t="shared" si="28"/>
        <v>-15887</v>
      </c>
      <c r="AG35" s="517">
        <f t="shared" si="28"/>
        <v>-21793</v>
      </c>
      <c r="AH35" s="517">
        <f t="shared" si="28"/>
        <v>-8406</v>
      </c>
      <c r="AI35" s="517">
        <f t="shared" si="28"/>
        <v>-3705</v>
      </c>
      <c r="AJ35" s="517">
        <f t="shared" si="28"/>
        <v>-8545</v>
      </c>
      <c r="AK35" s="517">
        <f t="shared" si="28"/>
        <v>-973</v>
      </c>
      <c r="AM35" s="472">
        <f>SUM(AK35/AG35)-1</f>
        <v>-0.95535263616757671</v>
      </c>
    </row>
    <row r="36" spans="1:39" ht="12.75" customHeight="1">
      <c r="B36" s="14" t="s">
        <v>61</v>
      </c>
      <c r="C36" s="15">
        <f>SUM(C29+SUM(C32:C35))</f>
        <v>39475</v>
      </c>
      <c r="D36" s="15">
        <f>SUM(D29+SUM(D32:D35))</f>
        <v>67702</v>
      </c>
      <c r="E36" s="15">
        <f>SUM(E29+SUM(E32:E35))</f>
        <v>63914</v>
      </c>
      <c r="F36" s="15">
        <f>SUM(F29+SUM(F32:F35))</f>
        <v>70742</v>
      </c>
      <c r="G36" s="15">
        <f>SUM(G29+SUM(G32:G35))</f>
        <v>91427</v>
      </c>
      <c r="I36" s="15">
        <f t="shared" ref="I36:V36" si="29">SUM(I29+SUM(I32:I35))</f>
        <v>14685</v>
      </c>
      <c r="J36" s="15">
        <f t="shared" si="29"/>
        <v>12283</v>
      </c>
      <c r="K36" s="15">
        <f t="shared" si="29"/>
        <v>14853</v>
      </c>
      <c r="L36" s="15">
        <f t="shared" si="29"/>
        <v>12889</v>
      </c>
      <c r="M36" s="15">
        <f t="shared" si="29"/>
        <v>16098</v>
      </c>
      <c r="N36" s="15">
        <f t="shared" si="29"/>
        <v>22223</v>
      </c>
      <c r="O36" s="15">
        <f t="shared" si="29"/>
        <v>20041</v>
      </c>
      <c r="P36" s="15">
        <f t="shared" si="29"/>
        <v>4769</v>
      </c>
      <c r="Q36" s="15">
        <f t="shared" si="29"/>
        <v>14855</v>
      </c>
      <c r="R36" s="15">
        <f t="shared" si="29"/>
        <v>13750</v>
      </c>
      <c r="S36" s="15">
        <f t="shared" si="29"/>
        <v>16723</v>
      </c>
      <c r="T36" s="15">
        <f t="shared" si="29"/>
        <v>25049</v>
      </c>
      <c r="U36" s="15">
        <f t="shared" si="29"/>
        <v>20891</v>
      </c>
      <c r="V36" s="15">
        <f t="shared" si="29"/>
        <v>4725</v>
      </c>
      <c r="W36" s="15">
        <f>SUM(W29+SUM(W32:W35))</f>
        <v>18169</v>
      </c>
      <c r="Y36" s="15">
        <f t="shared" ref="Y36:AI36" si="30">SUM(Y29+SUM(Y32:Y35))</f>
        <v>20723</v>
      </c>
      <c r="Z36" s="15">
        <f t="shared" si="30"/>
        <v>25402</v>
      </c>
      <c r="AA36" s="15">
        <f t="shared" si="30"/>
        <v>25528</v>
      </c>
      <c r="AB36" s="15">
        <f t="shared" si="30"/>
        <v>33993</v>
      </c>
      <c r="AC36" s="15">
        <f t="shared" si="30"/>
        <v>38189</v>
      </c>
      <c r="AD36" s="15">
        <f t="shared" si="30"/>
        <v>28280</v>
      </c>
      <c r="AE36" s="15">
        <f t="shared" si="30"/>
        <v>24722</v>
      </c>
      <c r="AF36" s="15">
        <f t="shared" si="30"/>
        <v>13754</v>
      </c>
      <c r="AG36" s="15">
        <f t="shared" si="30"/>
        <v>50097</v>
      </c>
      <c r="AH36" s="15">
        <f t="shared" si="30"/>
        <v>70377</v>
      </c>
      <c r="AI36" s="15">
        <f t="shared" si="30"/>
        <v>76413</v>
      </c>
      <c r="AJ36" s="15">
        <f>SUM(AJ29+SUM(AJ32:AJ35))</f>
        <v>67388</v>
      </c>
      <c r="AK36" s="15">
        <f>SUM(AK29+SUM(AK32:AK35))</f>
        <v>68834</v>
      </c>
      <c r="AM36" s="473">
        <f>SUM(AK36/AG36)-1</f>
        <v>0.37401441204064123</v>
      </c>
    </row>
    <row r="37" spans="1:39" ht="5.0999999999999996" customHeight="1"/>
    <row r="38" spans="1:39" ht="12.75" customHeight="1">
      <c r="B38" s="33" t="s">
        <v>570</v>
      </c>
      <c r="C38" s="516">
        <f>'Historical Financials'!E107</f>
        <v>-3670</v>
      </c>
      <c r="D38" s="516">
        <f>'Historical Financials'!F107</f>
        <v>-6902</v>
      </c>
      <c r="E38" s="516">
        <f>'Historical Financials'!G107</f>
        <v>18948</v>
      </c>
      <c r="F38" s="516">
        <f>'Historical Financials'!H107</f>
        <v>8814</v>
      </c>
      <c r="G38" s="516">
        <f>'Historical Financials'!I107</f>
        <v>16749</v>
      </c>
      <c r="H38" s="34"/>
      <c r="I38" s="516">
        <f>'Historical Financials'!O107</f>
        <v>1317</v>
      </c>
      <c r="J38" s="516">
        <f>'Historical Financials'!P107</f>
        <v>3858</v>
      </c>
      <c r="K38" s="516">
        <f>'Historical Financials'!Q107</f>
        <v>11659</v>
      </c>
      <c r="L38" s="516">
        <f>'Historical Financials'!R107</f>
        <v>2114</v>
      </c>
      <c r="M38" s="516">
        <f>'Historical Financials'!S107</f>
        <v>4100</v>
      </c>
      <c r="N38" s="516">
        <f>'Historical Financials'!T107</f>
        <v>-2640</v>
      </c>
      <c r="O38" s="516">
        <f>'Historical Financials'!U107</f>
        <v>1760</v>
      </c>
      <c r="P38" s="516">
        <f>'Historical Financials'!V107</f>
        <v>5594</v>
      </c>
      <c r="Q38" s="516">
        <f>'Historical Financials'!W107</f>
        <v>4301</v>
      </c>
      <c r="R38" s="516">
        <f>'Historical Financials'!X107</f>
        <v>11265</v>
      </c>
      <c r="S38" s="516">
        <f>'Historical Financials'!Y107</f>
        <v>1179</v>
      </c>
      <c r="T38" s="516">
        <f>'Historical Financials'!Z107</f>
        <v>4</v>
      </c>
      <c r="U38" s="516">
        <f>'Historical Financials'!AA107</f>
        <v>1892</v>
      </c>
      <c r="V38" s="516">
        <f>'Historical Financials'!AB107</f>
        <v>-832</v>
      </c>
      <c r="W38" s="516">
        <f>'Historical Financials'!AC107</f>
        <v>-593</v>
      </c>
      <c r="Y38" s="11">
        <f t="shared" ref="Y38:AK40" si="31">SUM(H38:K38)</f>
        <v>16834</v>
      </c>
      <c r="Z38" s="11">
        <f t="shared" si="31"/>
        <v>18948</v>
      </c>
      <c r="AA38" s="11">
        <f t="shared" si="31"/>
        <v>21731</v>
      </c>
      <c r="AB38" s="11">
        <f t="shared" si="31"/>
        <v>15233</v>
      </c>
      <c r="AC38" s="11">
        <f t="shared" si="31"/>
        <v>5334</v>
      </c>
      <c r="AD38" s="11">
        <f t="shared" si="31"/>
        <v>8814</v>
      </c>
      <c r="AE38" s="11">
        <f t="shared" si="31"/>
        <v>9015</v>
      </c>
      <c r="AF38" s="11">
        <f t="shared" si="31"/>
        <v>22920</v>
      </c>
      <c r="AG38" s="517">
        <f t="shared" si="31"/>
        <v>22339</v>
      </c>
      <c r="AH38" s="517">
        <f t="shared" si="31"/>
        <v>16749</v>
      </c>
      <c r="AI38" s="517">
        <f t="shared" si="31"/>
        <v>14340</v>
      </c>
      <c r="AJ38" s="517">
        <f t="shared" si="31"/>
        <v>2243</v>
      </c>
      <c r="AK38" s="517">
        <f t="shared" si="31"/>
        <v>471</v>
      </c>
    </row>
    <row r="39" spans="1:39" ht="12.75" customHeight="1">
      <c r="B39" s="33" t="s">
        <v>574</v>
      </c>
      <c r="C39" s="516">
        <f>'Historical Financials'!E108</f>
        <v>-6152</v>
      </c>
      <c r="D39" s="516">
        <f>'Historical Financials'!F108</f>
        <v>-1904</v>
      </c>
      <c r="E39" s="516">
        <f>'Historical Financials'!G108</f>
        <v>-2381</v>
      </c>
      <c r="F39" s="516">
        <f>'Historical Financials'!H108</f>
        <v>-2080</v>
      </c>
      <c r="G39" s="516">
        <f>'Historical Financials'!I108</f>
        <v>-4152</v>
      </c>
      <c r="H39" s="34"/>
      <c r="I39" s="516">
        <f>'Historical Financials'!O108</f>
        <v>-764</v>
      </c>
      <c r="J39" s="516">
        <f>'Historical Financials'!P108</f>
        <v>-375</v>
      </c>
      <c r="K39" s="516">
        <f>'Historical Financials'!Q108</f>
        <v>-358</v>
      </c>
      <c r="L39" s="516">
        <f>'Historical Financials'!R108</f>
        <v>-884</v>
      </c>
      <c r="M39" s="516">
        <f>'Historical Financials'!S108</f>
        <v>-590</v>
      </c>
      <c r="N39" s="516">
        <f>'Historical Financials'!T108</f>
        <v>-742</v>
      </c>
      <c r="O39" s="516">
        <f>'Historical Financials'!U108</f>
        <v>-101</v>
      </c>
      <c r="P39" s="516">
        <f>'Historical Financials'!V108</f>
        <v>-647</v>
      </c>
      <c r="Q39" s="516">
        <f>'Historical Financials'!W108</f>
        <v>-893</v>
      </c>
      <c r="R39" s="516">
        <f>'Historical Financials'!X108</f>
        <v>-701</v>
      </c>
      <c r="S39" s="516">
        <f>'Historical Financials'!Y108</f>
        <v>-908</v>
      </c>
      <c r="T39" s="516">
        <f>'Historical Financials'!Z108</f>
        <v>-1650</v>
      </c>
      <c r="U39" s="516">
        <f>'Historical Financials'!AA108</f>
        <v>-699</v>
      </c>
      <c r="V39" s="516">
        <f>'Historical Financials'!AB108</f>
        <v>-740</v>
      </c>
      <c r="W39" s="516">
        <f>'Historical Financials'!AC108</f>
        <v>-677</v>
      </c>
      <c r="Y39" s="11">
        <f t="shared" si="31"/>
        <v>-1497</v>
      </c>
      <c r="Z39" s="11">
        <f t="shared" si="31"/>
        <v>-2381</v>
      </c>
      <c r="AA39" s="11">
        <f t="shared" si="31"/>
        <v>-2207</v>
      </c>
      <c r="AB39" s="11">
        <f t="shared" si="31"/>
        <v>-2574</v>
      </c>
      <c r="AC39" s="11">
        <f t="shared" si="31"/>
        <v>-2317</v>
      </c>
      <c r="AD39" s="11">
        <f t="shared" si="31"/>
        <v>-2080</v>
      </c>
      <c r="AE39" s="11">
        <f t="shared" si="31"/>
        <v>-2383</v>
      </c>
      <c r="AF39" s="11">
        <f t="shared" si="31"/>
        <v>-2342</v>
      </c>
      <c r="AG39" s="517">
        <f t="shared" si="31"/>
        <v>-3149</v>
      </c>
      <c r="AH39" s="517">
        <f t="shared" si="31"/>
        <v>-4152</v>
      </c>
      <c r="AI39" s="517">
        <f t="shared" si="31"/>
        <v>-3958</v>
      </c>
      <c r="AJ39" s="517">
        <f t="shared" si="31"/>
        <v>-3997</v>
      </c>
      <c r="AK39" s="517">
        <f t="shared" si="31"/>
        <v>-3766</v>
      </c>
    </row>
    <row r="40" spans="1:39" ht="12.75" customHeight="1">
      <c r="B40" s="33" t="s">
        <v>575</v>
      </c>
      <c r="C40" s="516">
        <f>'Historical Financials'!E109+'Historical Financials'!E118</f>
        <v>2062</v>
      </c>
      <c r="D40" s="516">
        <f>'Historical Financials'!F109+'Historical Financials'!F118</f>
        <v>-2308</v>
      </c>
      <c r="E40" s="516">
        <f>'Historical Financials'!G109+'Historical Financials'!G118</f>
        <v>-6934</v>
      </c>
      <c r="F40" s="516">
        <f>'Historical Financials'!H109+'Historical Financials'!H118</f>
        <v>-487</v>
      </c>
      <c r="G40" s="516">
        <f>'Historical Financials'!I109+'Historical Financials'!I118</f>
        <v>-1777</v>
      </c>
      <c r="H40" s="34"/>
      <c r="I40" s="516">
        <f>'Historical Financials'!O109+'Historical Financials'!O118</f>
        <v>-173</v>
      </c>
      <c r="J40" s="516">
        <f>'Historical Financials'!P109+'Historical Financials'!P118</f>
        <v>-1063</v>
      </c>
      <c r="K40" s="516">
        <f>'Historical Financials'!Q109+'Historical Financials'!Q118</f>
        <v>-5639</v>
      </c>
      <c r="L40" s="516">
        <f>'Historical Financials'!R109+'Historical Financials'!R118</f>
        <v>-59</v>
      </c>
      <c r="M40" s="516">
        <f>'Historical Financials'!S109+'Historical Financials'!S118</f>
        <v>-39</v>
      </c>
      <c r="N40" s="516">
        <f>'Historical Financials'!T109+'Historical Financials'!T118</f>
        <v>-296</v>
      </c>
      <c r="O40" s="516">
        <f>'Historical Financials'!U109+'Historical Financials'!U118</f>
        <v>-123</v>
      </c>
      <c r="P40" s="516">
        <f>'Historical Financials'!V109+'Historical Financials'!V118</f>
        <v>-29</v>
      </c>
      <c r="Q40" s="516">
        <f>'Historical Financials'!W109+'Historical Financials'!W118</f>
        <v>-53</v>
      </c>
      <c r="R40" s="516">
        <f>'Historical Financials'!X109+'Historical Financials'!X118</f>
        <v>-26</v>
      </c>
      <c r="S40" s="516">
        <f>'Historical Financials'!Y109+'Historical Financials'!Y118</f>
        <v>-2468</v>
      </c>
      <c r="T40" s="516">
        <f>'Historical Financials'!Z109+'Historical Financials'!Z118</f>
        <v>770</v>
      </c>
      <c r="U40" s="516">
        <f>'Historical Financials'!AA109+'Historical Financials'!AA118</f>
        <v>60</v>
      </c>
      <c r="V40" s="516">
        <f>'Historical Financials'!AB109+'Historical Financials'!AB118</f>
        <v>-13</v>
      </c>
      <c r="W40" s="516">
        <f>'Historical Financials'!AC109+'Historical Financials'!AC118</f>
        <v>-1072</v>
      </c>
      <c r="Y40" s="11">
        <f t="shared" si="31"/>
        <v>-6875</v>
      </c>
      <c r="Z40" s="11">
        <f t="shared" si="31"/>
        <v>-6934</v>
      </c>
      <c r="AA40" s="11">
        <f t="shared" si="31"/>
        <v>-6800</v>
      </c>
      <c r="AB40" s="11">
        <f t="shared" si="31"/>
        <v>-6033</v>
      </c>
      <c r="AC40" s="11">
        <f t="shared" si="31"/>
        <v>-517</v>
      </c>
      <c r="AD40" s="11">
        <f t="shared" si="31"/>
        <v>-487</v>
      </c>
      <c r="AE40" s="11">
        <f t="shared" si="31"/>
        <v>-501</v>
      </c>
      <c r="AF40" s="11">
        <f t="shared" si="31"/>
        <v>-231</v>
      </c>
      <c r="AG40" s="517">
        <f t="shared" si="31"/>
        <v>-2576</v>
      </c>
      <c r="AH40" s="517">
        <f t="shared" si="31"/>
        <v>-1777</v>
      </c>
      <c r="AI40" s="517">
        <f t="shared" si="31"/>
        <v>-1664</v>
      </c>
      <c r="AJ40" s="517">
        <f t="shared" si="31"/>
        <v>-1651</v>
      </c>
      <c r="AK40" s="517">
        <f t="shared" si="31"/>
        <v>-255</v>
      </c>
    </row>
    <row r="41" spans="1:39" ht="12.75" customHeight="1">
      <c r="B41" s="33" t="s">
        <v>576</v>
      </c>
      <c r="C41" s="516">
        <f>'Historical Financials'!E115</f>
        <v>-31149</v>
      </c>
      <c r="D41" s="516">
        <f>'Historical Financials'!F115</f>
        <v>-50274</v>
      </c>
      <c r="E41" s="516">
        <f>'Historical Financials'!G115</f>
        <v>-59296</v>
      </c>
      <c r="F41" s="516">
        <f>'Historical Financials'!H115</f>
        <v>-61504</v>
      </c>
      <c r="G41" s="516">
        <f>'Historical Financials'!I115</f>
        <v>-62222</v>
      </c>
      <c r="H41" s="34"/>
      <c r="I41" s="516">
        <f>'Historical Financials'!O115</f>
        <v>-13300</v>
      </c>
      <c r="J41" s="516">
        <f>'Historical Financials'!P115</f>
        <v>-15197</v>
      </c>
      <c r="K41" s="516">
        <f>'Historical Financials'!Q115</f>
        <v>-15392</v>
      </c>
      <c r="L41" s="516">
        <f>'Historical Financials'!R115</f>
        <v>-15407</v>
      </c>
      <c r="M41" s="516">
        <f>'Historical Financials'!S115</f>
        <v>-14557</v>
      </c>
      <c r="N41" s="516">
        <f>'Historical Financials'!T115</f>
        <v>-14969</v>
      </c>
      <c r="O41" s="516">
        <f>'Historical Financials'!U115</f>
        <v>-15787</v>
      </c>
      <c r="P41" s="516">
        <f>'Historical Financials'!V115</f>
        <v>-16191</v>
      </c>
      <c r="Q41" s="516">
        <f>'Historical Financials'!W115</f>
        <v>-15696</v>
      </c>
      <c r="R41" s="516">
        <f>'Historical Financials'!X115</f>
        <v>-15684</v>
      </c>
      <c r="S41" s="516">
        <f>'Historical Financials'!Y115</f>
        <v>-15291</v>
      </c>
      <c r="T41" s="516">
        <f>'Historical Financials'!Z115</f>
        <v>-15551</v>
      </c>
      <c r="U41" s="516">
        <f>'Historical Financials'!AA115</f>
        <v>-15068</v>
      </c>
      <c r="V41" s="516">
        <f>'Historical Financials'!AB115</f>
        <v>-13638</v>
      </c>
      <c r="W41" s="516">
        <f>'Historical Financials'!AC115</f>
        <v>-11504</v>
      </c>
      <c r="Y41" s="11"/>
      <c r="Z41" s="11"/>
      <c r="AA41" s="11"/>
      <c r="AB41" s="11"/>
      <c r="AC41" s="11"/>
      <c r="AD41" s="11"/>
      <c r="AE41" s="11"/>
      <c r="AF41" s="11"/>
      <c r="AG41" s="517">
        <f t="shared" ref="AG41:AK42" si="32">SUM(P41:S41)</f>
        <v>-62862</v>
      </c>
      <c r="AH41" s="517">
        <f t="shared" si="32"/>
        <v>-62222</v>
      </c>
      <c r="AI41" s="517">
        <f t="shared" si="32"/>
        <v>-61594</v>
      </c>
      <c r="AJ41" s="517">
        <f t="shared" si="32"/>
        <v>-59548</v>
      </c>
      <c r="AK41" s="517">
        <f t="shared" si="32"/>
        <v>-55761</v>
      </c>
    </row>
    <row r="42" spans="1:39" ht="12.75" customHeight="1">
      <c r="B42" s="33" t="s">
        <v>577</v>
      </c>
      <c r="C42" s="516">
        <f>'Historical Financials'!E116</f>
        <v>0</v>
      </c>
      <c r="D42" s="516">
        <f>'Historical Financials'!F116</f>
        <v>0</v>
      </c>
      <c r="E42" s="516">
        <f>'Historical Financials'!G116</f>
        <v>0</v>
      </c>
      <c r="F42" s="516">
        <f>'Historical Financials'!H116</f>
        <v>0</v>
      </c>
      <c r="G42" s="516">
        <f>'Historical Financials'!I116</f>
        <v>-7363</v>
      </c>
      <c r="H42" s="34"/>
      <c r="I42" s="516">
        <f>'Historical Financials'!O116</f>
        <v>0</v>
      </c>
      <c r="J42" s="516">
        <f>'Historical Financials'!P116</f>
        <v>0</v>
      </c>
      <c r="K42" s="516">
        <f>'Historical Financials'!Q116</f>
        <v>0</v>
      </c>
      <c r="L42" s="516">
        <f>'Historical Financials'!R116</f>
        <v>0</v>
      </c>
      <c r="M42" s="516">
        <f>'Historical Financials'!S116</f>
        <v>0</v>
      </c>
      <c r="N42" s="516">
        <f>'Historical Financials'!T116</f>
        <v>0</v>
      </c>
      <c r="O42" s="516">
        <f>'Historical Financials'!U116</f>
        <v>0</v>
      </c>
      <c r="P42" s="516">
        <f>'Historical Financials'!V116</f>
        <v>0</v>
      </c>
      <c r="Q42" s="516">
        <f>'Historical Financials'!W116</f>
        <v>0</v>
      </c>
      <c r="R42" s="516">
        <f>'Historical Financials'!X116</f>
        <v>-2466</v>
      </c>
      <c r="S42" s="516">
        <f>'Historical Financials'!Y116</f>
        <v>-2455</v>
      </c>
      <c r="T42" s="516">
        <f>'Historical Financials'!Z116</f>
        <v>-2442</v>
      </c>
      <c r="U42" s="516">
        <f>'Historical Financials'!AA116</f>
        <v>-2434</v>
      </c>
      <c r="V42" s="516">
        <f>'Historical Financials'!AB116</f>
        <v>-2543</v>
      </c>
      <c r="W42" s="516">
        <f>'Historical Financials'!AC116</f>
        <v>-2536</v>
      </c>
      <c r="Y42" s="11"/>
      <c r="Z42" s="11"/>
      <c r="AA42" s="11"/>
      <c r="AB42" s="11"/>
      <c r="AC42" s="11"/>
      <c r="AD42" s="11"/>
      <c r="AE42" s="11"/>
      <c r="AF42" s="11"/>
      <c r="AG42" s="517">
        <f t="shared" si="32"/>
        <v>-4921</v>
      </c>
      <c r="AH42" s="517">
        <f t="shared" si="32"/>
        <v>-7363</v>
      </c>
      <c r="AI42" s="517">
        <f t="shared" si="32"/>
        <v>-9797</v>
      </c>
      <c r="AJ42" s="517">
        <f t="shared" si="32"/>
        <v>-9874</v>
      </c>
      <c r="AK42" s="517">
        <f t="shared" si="32"/>
        <v>-9955</v>
      </c>
    </row>
    <row r="43" spans="1:39" ht="12.75" customHeight="1">
      <c r="B43" s="33" t="s">
        <v>579</v>
      </c>
      <c r="C43" s="516">
        <f>'Historical Financials'!E110</f>
        <v>68</v>
      </c>
      <c r="D43" s="516">
        <f>'Historical Financials'!F110</f>
        <v>541</v>
      </c>
      <c r="E43" s="516">
        <f>'Historical Financials'!G110</f>
        <v>1589</v>
      </c>
      <c r="F43" s="516">
        <f>'Historical Financials'!H110</f>
        <v>-1051</v>
      </c>
      <c r="G43" s="516">
        <f>'Historical Financials'!I110</f>
        <v>-2667</v>
      </c>
      <c r="H43" s="34"/>
      <c r="I43" s="516">
        <f>'Historical Financials'!O110</f>
        <v>355</v>
      </c>
      <c r="J43" s="516">
        <f>'Historical Financials'!P110</f>
        <v>221</v>
      </c>
      <c r="K43" s="516">
        <f>'Historical Financials'!Q110</f>
        <v>791</v>
      </c>
      <c r="L43" s="516">
        <f>'Historical Financials'!R110</f>
        <v>222</v>
      </c>
      <c r="M43" s="516">
        <f>'Historical Financials'!S110</f>
        <v>-125</v>
      </c>
      <c r="N43" s="516">
        <f>'Historical Financials'!T110</f>
        <v>-232</v>
      </c>
      <c r="O43" s="516">
        <f>'Historical Financials'!U110</f>
        <v>-628</v>
      </c>
      <c r="P43" s="516">
        <f>'Historical Financials'!V110</f>
        <v>-66</v>
      </c>
      <c r="Q43" s="516">
        <f>'Historical Financials'!W110</f>
        <v>101</v>
      </c>
      <c r="R43" s="516">
        <f>'Historical Financials'!X110</f>
        <v>-133</v>
      </c>
      <c r="S43" s="516">
        <f>'Historical Financials'!Y110</f>
        <v>-2468</v>
      </c>
      <c r="T43" s="516">
        <f>'Historical Financials'!Z110</f>
        <v>-167</v>
      </c>
      <c r="U43" s="516">
        <f>'Historical Financials'!AA110</f>
        <v>150</v>
      </c>
      <c r="V43" s="516">
        <f>'Historical Financials'!AB110</f>
        <v>-513</v>
      </c>
      <c r="W43" s="516">
        <f>'Historical Financials'!AC110</f>
        <v>-1482</v>
      </c>
      <c r="Y43" s="11"/>
      <c r="Z43" s="11"/>
      <c r="AA43" s="11"/>
      <c r="AB43" s="11"/>
      <c r="AC43" s="11"/>
      <c r="AD43" s="11"/>
      <c r="AE43" s="11"/>
      <c r="AF43" s="11">
        <f t="shared" ref="AF43:AK45" si="33">SUM(O43:R43)</f>
        <v>-726</v>
      </c>
      <c r="AG43" s="517">
        <f t="shared" si="33"/>
        <v>-2566</v>
      </c>
      <c r="AH43" s="517">
        <f t="shared" si="33"/>
        <v>-2667</v>
      </c>
      <c r="AI43" s="517">
        <f t="shared" si="33"/>
        <v>-2618</v>
      </c>
      <c r="AJ43" s="517">
        <f t="shared" si="33"/>
        <v>-2998</v>
      </c>
      <c r="AK43" s="517">
        <f t="shared" si="33"/>
        <v>-2012</v>
      </c>
    </row>
    <row r="44" spans="1:39" ht="12.75" customHeight="1">
      <c r="B44" s="33" t="s">
        <v>580</v>
      </c>
      <c r="C44" s="516">
        <f>'Historical Financials'!E92+'Historical Financials'!E93+'Historical Financials'!E94</f>
        <v>-3660</v>
      </c>
      <c r="D44" s="516">
        <f>'Historical Financials'!F92+'Historical Financials'!F93+'Historical Financials'!F94</f>
        <v>-10675</v>
      </c>
      <c r="E44" s="516">
        <f>'Historical Financials'!G92+'Historical Financials'!G93+'Historical Financials'!G94</f>
        <v>921</v>
      </c>
      <c r="F44" s="516">
        <f>'Historical Financials'!H92+'Historical Financials'!H93+'Historical Financials'!H94</f>
        <v>-2610</v>
      </c>
      <c r="G44" s="516">
        <f>'Historical Financials'!I92+'Historical Financials'!I93+'Historical Financials'!I94</f>
        <v>-4509</v>
      </c>
      <c r="H44" s="34"/>
      <c r="I44" s="516">
        <f>'Historical Financials'!O92+'Historical Financials'!O93+'Historical Financials'!O94</f>
        <v>-513</v>
      </c>
      <c r="J44" s="516">
        <f>'Historical Financials'!P92+'Historical Financials'!P93+'Historical Financials'!P94</f>
        <v>-1044</v>
      </c>
      <c r="K44" s="516">
        <f>'Historical Financials'!Q92+'Historical Financials'!Q93+'Historical Financials'!Q94</f>
        <v>-375</v>
      </c>
      <c r="L44" s="516">
        <f>'Historical Financials'!R92+'Historical Financials'!R93+'Historical Financials'!R94</f>
        <v>2853</v>
      </c>
      <c r="M44" s="516">
        <f>'Historical Financials'!S92+'Historical Financials'!S93+'Historical Financials'!S94</f>
        <v>-1385</v>
      </c>
      <c r="N44" s="516">
        <f>'Historical Financials'!T92+'Historical Financials'!T93+'Historical Financials'!T94</f>
        <v>-1809</v>
      </c>
      <c r="O44" s="516">
        <f>'Historical Financials'!U92+'Historical Financials'!U93+'Historical Financials'!U94</f>
        <v>-693</v>
      </c>
      <c r="P44" s="516">
        <f>'Historical Financials'!V92+'Historical Financials'!V93+'Historical Financials'!V94</f>
        <v>1277</v>
      </c>
      <c r="Q44" s="516">
        <f>'Historical Financials'!W92+'Historical Financials'!W93+'Historical Financials'!W94</f>
        <v>-1028</v>
      </c>
      <c r="R44" s="516">
        <f>'Historical Financials'!X92+'Historical Financials'!X93+'Historical Financials'!X94</f>
        <v>-1282</v>
      </c>
      <c r="S44" s="516">
        <f>'Historical Financials'!Y92+'Historical Financials'!Y93+'Historical Financials'!Y94</f>
        <v>-1645</v>
      </c>
      <c r="T44" s="516">
        <f>'Historical Financials'!Z92+'Historical Financials'!Z93+'Historical Financials'!Z94</f>
        <v>-554</v>
      </c>
      <c r="U44" s="516">
        <f>'Historical Financials'!AA92+'Historical Financials'!AA93+'Historical Financials'!AA94</f>
        <v>-10631</v>
      </c>
      <c r="V44" s="516">
        <f>'Historical Financials'!AB92+'Historical Financials'!AB93+'Historical Financials'!AB94</f>
        <v>-1335</v>
      </c>
      <c r="W44" s="516">
        <f>'Historical Financials'!AC92+'Historical Financials'!AC93+'Historical Financials'!AC94</f>
        <v>-2327</v>
      </c>
      <c r="Y44" s="11"/>
      <c r="Z44" s="11"/>
      <c r="AA44" s="11"/>
      <c r="AB44" s="11"/>
      <c r="AC44" s="11"/>
      <c r="AD44" s="11"/>
      <c r="AE44" s="11"/>
      <c r="AF44" s="11"/>
      <c r="AG44" s="517">
        <f>SUM(P44:S44)</f>
        <v>-2678</v>
      </c>
      <c r="AH44" s="517">
        <f>SUM(Q44:T44)</f>
        <v>-4509</v>
      </c>
      <c r="AI44" s="517">
        <f>SUM(R44:U44)</f>
        <v>-14112</v>
      </c>
      <c r="AJ44" s="517">
        <f>SUM(S44:V44)</f>
        <v>-14165</v>
      </c>
      <c r="AK44" s="517">
        <f>SUM(T44:W44)</f>
        <v>-14847</v>
      </c>
    </row>
    <row r="45" spans="1:39" ht="12.75" customHeight="1">
      <c r="B45" s="33" t="s">
        <v>98</v>
      </c>
      <c r="C45" s="361"/>
      <c r="D45" s="361">
        <f>SUM(D50-C50)-SUM(D36:D43)</f>
        <v>-12375</v>
      </c>
      <c r="E45" s="361">
        <f>SUM(E50-D50)-SUM(E36:E43)</f>
        <v>-14906</v>
      </c>
      <c r="F45" s="361">
        <f>SUM(F50-E50)-SUM(F36:F43)</f>
        <v>-12265</v>
      </c>
      <c r="G45" s="361">
        <f>SUM(G50-F50)-SUM(G36:G44)</f>
        <v>-26068</v>
      </c>
      <c r="H45" s="34"/>
      <c r="I45" s="361">
        <f>SUM(I50-D50)-SUM(I36:I44)</f>
        <v>-1666</v>
      </c>
      <c r="J45" s="361">
        <f>SUM(J50-I50)-SUM(J36:J44)</f>
        <v>-1633</v>
      </c>
      <c r="K45" s="361">
        <f t="shared" ref="K45:W45" si="34">SUM(K50-J50)-SUM(K36:K44)</f>
        <v>-1491</v>
      </c>
      <c r="L45" s="361">
        <f t="shared" si="34"/>
        <v>-1833</v>
      </c>
      <c r="M45" s="361">
        <f t="shared" si="34"/>
        <v>543</v>
      </c>
      <c r="N45" s="361">
        <f>SUM(N50-M50)-SUM(N36:N44)</f>
        <v>-1530</v>
      </c>
      <c r="O45" s="361">
        <f t="shared" si="34"/>
        <v>304</v>
      </c>
      <c r="P45" s="361">
        <f t="shared" si="34"/>
        <v>-1361</v>
      </c>
      <c r="Q45" s="361">
        <f t="shared" si="34"/>
        <v>-1142</v>
      </c>
      <c r="R45" s="361">
        <f t="shared" si="34"/>
        <v>-1991</v>
      </c>
      <c r="S45" s="361">
        <f t="shared" si="34"/>
        <v>67</v>
      </c>
      <c r="T45" s="361">
        <f t="shared" si="34"/>
        <v>-1952</v>
      </c>
      <c r="U45" s="361">
        <f t="shared" si="34"/>
        <v>5637</v>
      </c>
      <c r="V45" s="361">
        <f t="shared" si="34"/>
        <v>12661</v>
      </c>
      <c r="W45" s="361">
        <f t="shared" si="34"/>
        <v>4076</v>
      </c>
      <c r="Y45" s="11">
        <f t="shared" ref="Y45:AE45" si="35">SUM(H45:K45)</f>
        <v>-4790</v>
      </c>
      <c r="Z45" s="11">
        <f t="shared" si="35"/>
        <v>-6623</v>
      </c>
      <c r="AA45" s="11">
        <f t="shared" si="35"/>
        <v>-4414</v>
      </c>
      <c r="AB45" s="11">
        <f t="shared" si="35"/>
        <v>-4311</v>
      </c>
      <c r="AC45" s="11">
        <f t="shared" si="35"/>
        <v>-2516</v>
      </c>
      <c r="AD45" s="11">
        <f t="shared" si="35"/>
        <v>-2044</v>
      </c>
      <c r="AE45" s="11">
        <f t="shared" si="35"/>
        <v>-3729</v>
      </c>
      <c r="AF45" s="11">
        <f t="shared" si="33"/>
        <v>-4190</v>
      </c>
      <c r="AG45" s="517">
        <f t="shared" si="33"/>
        <v>-4427</v>
      </c>
      <c r="AH45" s="517">
        <f t="shared" si="33"/>
        <v>-5018</v>
      </c>
      <c r="AI45" s="517">
        <f t="shared" si="33"/>
        <v>1761</v>
      </c>
      <c r="AJ45" s="517">
        <f t="shared" si="33"/>
        <v>16413</v>
      </c>
      <c r="AK45" s="517">
        <f t="shared" si="33"/>
        <v>20422</v>
      </c>
    </row>
    <row r="46" spans="1:39" ht="12.75" customHeight="1">
      <c r="B46" s="14" t="s">
        <v>62</v>
      </c>
      <c r="C46" s="15">
        <f>SUM(C36+SUM(C38:C45))</f>
        <v>-3026</v>
      </c>
      <c r="D46" s="15">
        <f>SUM(D36+SUM(D38:D45))</f>
        <v>-16195</v>
      </c>
      <c r="E46" s="15">
        <f>SUM(E36+SUM(E38:E45))</f>
        <v>1855</v>
      </c>
      <c r="F46" s="15">
        <f>SUM(F36+SUM(F38:F45))</f>
        <v>-441</v>
      </c>
      <c r="G46" s="15">
        <f>SUM(G36+SUM(G38:G45))</f>
        <v>-582</v>
      </c>
      <c r="I46" s="15">
        <f t="shared" ref="I46:V46" si="36">SUM(I36+SUM(I38:I45))</f>
        <v>-59</v>
      </c>
      <c r="J46" s="15">
        <f t="shared" si="36"/>
        <v>-2950</v>
      </c>
      <c r="K46" s="15">
        <f t="shared" si="36"/>
        <v>4048</v>
      </c>
      <c r="L46" s="15">
        <f t="shared" si="36"/>
        <v>-105</v>
      </c>
      <c r="M46" s="15">
        <f t="shared" si="36"/>
        <v>4045</v>
      </c>
      <c r="N46" s="15">
        <f t="shared" si="36"/>
        <v>5</v>
      </c>
      <c r="O46" s="15">
        <f t="shared" si="36"/>
        <v>4773</v>
      </c>
      <c r="P46" s="15">
        <f t="shared" si="36"/>
        <v>-6654</v>
      </c>
      <c r="Q46" s="15">
        <f t="shared" si="36"/>
        <v>445</v>
      </c>
      <c r="R46" s="15">
        <f t="shared" si="36"/>
        <v>2732</v>
      </c>
      <c r="S46" s="15">
        <f t="shared" si="36"/>
        <v>-7266</v>
      </c>
      <c r="T46" s="15">
        <f t="shared" si="36"/>
        <v>3507</v>
      </c>
      <c r="U46" s="15">
        <f t="shared" si="36"/>
        <v>-202</v>
      </c>
      <c r="V46" s="15">
        <f t="shared" si="36"/>
        <v>-2228</v>
      </c>
      <c r="W46" s="15">
        <f>SUM(W36+SUM(W38:W45))</f>
        <v>2054</v>
      </c>
      <c r="Y46" s="15">
        <f t="shared" ref="Y46:AJ46" si="37">SUM(Y36+SUM(Y38:Y45))</f>
        <v>24395</v>
      </c>
      <c r="Z46" s="15">
        <f t="shared" si="37"/>
        <v>28412</v>
      </c>
      <c r="AA46" s="15">
        <f t="shared" si="37"/>
        <v>33838</v>
      </c>
      <c r="AB46" s="15">
        <f t="shared" si="37"/>
        <v>36308</v>
      </c>
      <c r="AC46" s="15">
        <f t="shared" si="37"/>
        <v>38173</v>
      </c>
      <c r="AD46" s="15">
        <f t="shared" si="37"/>
        <v>32483</v>
      </c>
      <c r="AE46" s="15">
        <f t="shared" si="37"/>
        <v>27124</v>
      </c>
      <c r="AF46" s="15">
        <f t="shared" si="37"/>
        <v>29185</v>
      </c>
      <c r="AG46" s="15">
        <f t="shared" si="37"/>
        <v>-10743</v>
      </c>
      <c r="AH46" s="15">
        <f t="shared" si="37"/>
        <v>-582</v>
      </c>
      <c r="AI46" s="15">
        <f t="shared" si="37"/>
        <v>-1229</v>
      </c>
      <c r="AJ46" s="15">
        <f t="shared" si="37"/>
        <v>-6189</v>
      </c>
      <c r="AK46" s="15">
        <f>SUM(AK36+SUM(AK38:AK45))</f>
        <v>3131</v>
      </c>
    </row>
    <row r="47" spans="1:39" ht="5.0999999999999996" customHeight="1"/>
    <row r="48" spans="1:39" ht="12.75" customHeight="1">
      <c r="A48" s="5"/>
      <c r="B48" s="35" t="s">
        <v>63</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row>
    <row r="49" spans="2:37" ht="5.0999999999999996" customHeight="1"/>
    <row r="50" spans="2:37" ht="12.75" customHeight="1">
      <c r="B50" s="8" t="s">
        <v>64</v>
      </c>
      <c r="C50" s="176">
        <f>'Historical Financials'!E42</f>
        <v>26465</v>
      </c>
      <c r="D50" s="176">
        <f>'Historical Financials'!F42</f>
        <v>20945</v>
      </c>
      <c r="E50" s="176">
        <f>'Historical Financials'!G42</f>
        <v>21879</v>
      </c>
      <c r="F50" s="176">
        <f>'Historical Financials'!H42</f>
        <v>24048</v>
      </c>
      <c r="G50" s="176">
        <f>'Historical Financials'!I42</f>
        <v>23466</v>
      </c>
      <c r="H50" s="34"/>
      <c r="I50" s="176">
        <f>'Historical Financials'!O42</f>
        <v>20886</v>
      </c>
      <c r="J50" s="176">
        <f>'Historical Financials'!P42</f>
        <v>17936</v>
      </c>
      <c r="K50" s="176">
        <f>'Historical Financials'!Q42</f>
        <v>21984</v>
      </c>
      <c r="L50" s="176">
        <f>'Historical Financials'!R42</f>
        <v>21879</v>
      </c>
      <c r="M50" s="176">
        <f>'Historical Financials'!S42</f>
        <v>25924</v>
      </c>
      <c r="N50" s="176">
        <f>'Historical Financials'!T42</f>
        <v>25929</v>
      </c>
      <c r="O50" s="176">
        <f>'Historical Financials'!U42</f>
        <v>30702</v>
      </c>
      <c r="P50" s="176">
        <f>'Historical Financials'!V42</f>
        <v>24048</v>
      </c>
      <c r="Q50" s="176">
        <f>'Historical Financials'!W42</f>
        <v>24493</v>
      </c>
      <c r="R50" s="176">
        <f>'Historical Financials'!X42</f>
        <v>27225</v>
      </c>
      <c r="S50" s="176">
        <f>'Historical Financials'!Y42</f>
        <v>19959</v>
      </c>
      <c r="T50" s="176">
        <f>'Historical Financials'!Z42</f>
        <v>23466</v>
      </c>
      <c r="U50" s="176">
        <f>'Historical Financials'!AA42</f>
        <v>23264</v>
      </c>
      <c r="V50" s="176">
        <f>'Historical Financials'!AB42</f>
        <v>21036</v>
      </c>
      <c r="W50" s="176">
        <f>'Historical Financials'!AC42</f>
        <v>23090</v>
      </c>
      <c r="Y50" s="11">
        <f t="shared" ref="Y50:AK50" si="38">K50</f>
        <v>21984</v>
      </c>
      <c r="Z50" s="11">
        <f t="shared" si="38"/>
        <v>21879</v>
      </c>
      <c r="AA50" s="11">
        <f t="shared" si="38"/>
        <v>25924</v>
      </c>
      <c r="AB50" s="11">
        <f t="shared" si="38"/>
        <v>25929</v>
      </c>
      <c r="AC50" s="11">
        <f t="shared" si="38"/>
        <v>30702</v>
      </c>
      <c r="AD50" s="11">
        <f t="shared" si="38"/>
        <v>24048</v>
      </c>
      <c r="AE50" s="11">
        <f t="shared" si="38"/>
        <v>24493</v>
      </c>
      <c r="AF50" s="11">
        <f t="shared" si="38"/>
        <v>27225</v>
      </c>
      <c r="AG50" s="11">
        <f t="shared" si="38"/>
        <v>19959</v>
      </c>
      <c r="AH50" s="11">
        <f t="shared" si="38"/>
        <v>23466</v>
      </c>
      <c r="AI50" s="11">
        <f t="shared" si="38"/>
        <v>23264</v>
      </c>
      <c r="AJ50" s="11">
        <f t="shared" si="38"/>
        <v>21036</v>
      </c>
      <c r="AK50" s="11">
        <f t="shared" si="38"/>
        <v>23090</v>
      </c>
    </row>
    <row r="51" spans="2:37" ht="12.75" customHeight="1">
      <c r="B51" s="8" t="s">
        <v>568</v>
      </c>
      <c r="C51" s="176">
        <f>'Historical Financials'!E43</f>
        <v>110229</v>
      </c>
      <c r="D51" s="176">
        <f>'Historical Financials'!F43</f>
        <v>118704</v>
      </c>
      <c r="E51" s="176">
        <f>'Historical Financials'!G43</f>
        <v>91883</v>
      </c>
      <c r="F51" s="176">
        <f>'Historical Financials'!H43</f>
        <v>86868</v>
      </c>
      <c r="G51" s="176">
        <f>'Historical Financials'!I43</f>
        <v>72191</v>
      </c>
      <c r="H51" s="34"/>
      <c r="I51" s="176">
        <f>'Historical Financials'!O43</f>
        <v>113084</v>
      </c>
      <c r="J51" s="176">
        <f>'Historical Financials'!P43</f>
        <v>107061</v>
      </c>
      <c r="K51" s="176">
        <f>'Historical Financials'!Q43</f>
        <v>94275</v>
      </c>
      <c r="L51" s="176">
        <f>'Historical Financials'!R43</f>
        <v>91883</v>
      </c>
      <c r="M51" s="176">
        <f>'Historical Financials'!S43</f>
        <v>89178</v>
      </c>
      <c r="N51" s="176">
        <f>'Historical Financials'!T43</f>
        <v>92403</v>
      </c>
      <c r="O51" s="176">
        <f>'Historical Financials'!U43</f>
        <v>89233</v>
      </c>
      <c r="P51" s="176">
        <f>'Historical Financials'!V43</f>
        <v>86868</v>
      </c>
      <c r="Q51" s="176">
        <f>'Historical Financials'!W43</f>
        <v>83597</v>
      </c>
      <c r="R51" s="176">
        <f>'Historical Financials'!X43</f>
        <v>73500</v>
      </c>
      <c r="S51" s="176">
        <f>'Historical Financials'!Y43</f>
        <v>73271</v>
      </c>
      <c r="T51" s="176">
        <f>'Historical Financials'!Z43</f>
        <v>72191</v>
      </c>
      <c r="U51" s="176">
        <f>'Historical Financials'!AA43</f>
        <v>72064</v>
      </c>
      <c r="V51" s="176">
        <f>'Historical Financials'!AB43</f>
        <v>74112</v>
      </c>
      <c r="W51" s="176">
        <f>'Historical Financials'!AC43</f>
        <v>75406</v>
      </c>
      <c r="Y51" s="11"/>
      <c r="Z51" s="11"/>
      <c r="AA51" s="11"/>
      <c r="AB51" s="11"/>
      <c r="AC51" s="11"/>
      <c r="AD51" s="11"/>
      <c r="AE51" s="11"/>
      <c r="AF51" s="11"/>
      <c r="AG51" s="11">
        <f t="shared" ref="AG51:AK52" si="39">S51</f>
        <v>73271</v>
      </c>
      <c r="AH51" s="11">
        <f t="shared" si="39"/>
        <v>72191</v>
      </c>
      <c r="AI51" s="11">
        <f t="shared" si="39"/>
        <v>72064</v>
      </c>
      <c r="AJ51" s="11">
        <f t="shared" si="39"/>
        <v>74112</v>
      </c>
      <c r="AK51" s="11">
        <f t="shared" si="39"/>
        <v>75406</v>
      </c>
    </row>
    <row r="52" spans="2:37" ht="12.75" customHeight="1">
      <c r="B52" s="33" t="s">
        <v>582</v>
      </c>
      <c r="C52" s="88">
        <v>4000</v>
      </c>
      <c r="D52" s="88">
        <v>10000</v>
      </c>
      <c r="E52" s="88">
        <v>10000</v>
      </c>
      <c r="F52" s="88">
        <v>10000</v>
      </c>
      <c r="G52" s="88">
        <v>10000</v>
      </c>
      <c r="H52" s="176"/>
      <c r="I52" s="88">
        <v>10000</v>
      </c>
      <c r="J52" s="88">
        <v>10000</v>
      </c>
      <c r="K52" s="88">
        <v>10000</v>
      </c>
      <c r="L52" s="469">
        <f>E52</f>
        <v>10000</v>
      </c>
      <c r="M52" s="88">
        <v>10000</v>
      </c>
      <c r="N52" s="88">
        <v>10000</v>
      </c>
      <c r="O52" s="88">
        <v>10000</v>
      </c>
      <c r="P52" s="469">
        <f>F52</f>
        <v>10000</v>
      </c>
      <c r="Q52" s="88">
        <v>10000</v>
      </c>
      <c r="R52" s="88">
        <v>10000</v>
      </c>
      <c r="S52" s="88">
        <v>10000</v>
      </c>
      <c r="T52" s="469">
        <f>G52</f>
        <v>10000</v>
      </c>
      <c r="U52" s="88">
        <v>10000</v>
      </c>
      <c r="V52" s="88">
        <v>10000</v>
      </c>
      <c r="W52" s="88">
        <v>10000</v>
      </c>
      <c r="Y52" s="11"/>
      <c r="Z52" s="11"/>
      <c r="AA52" s="11"/>
      <c r="AB52" s="11"/>
      <c r="AC52" s="11"/>
      <c r="AD52" s="11"/>
      <c r="AE52" s="11"/>
      <c r="AF52" s="11"/>
      <c r="AG52" s="11">
        <f t="shared" si="39"/>
        <v>10000</v>
      </c>
      <c r="AH52" s="11">
        <f t="shared" si="39"/>
        <v>10000</v>
      </c>
      <c r="AI52" s="11">
        <f t="shared" si="39"/>
        <v>10000</v>
      </c>
      <c r="AJ52" s="11">
        <f t="shared" si="39"/>
        <v>10000</v>
      </c>
      <c r="AK52" s="11">
        <f t="shared" si="39"/>
        <v>10000</v>
      </c>
    </row>
    <row r="53" spans="2:37" ht="12.75" customHeight="1">
      <c r="B53" s="14" t="s">
        <v>65</v>
      </c>
      <c r="C53" s="15">
        <f>SUM(C50:C52)</f>
        <v>140694</v>
      </c>
      <c r="D53" s="15">
        <f>SUM(D50:D52)</f>
        <v>149649</v>
      </c>
      <c r="E53" s="15">
        <f>SUM(E50:E52)</f>
        <v>123762</v>
      </c>
      <c r="F53" s="15">
        <f>SUM(F50:F52)</f>
        <v>120916</v>
      </c>
      <c r="G53" s="15">
        <f>SUM(G50:G52)</f>
        <v>105657</v>
      </c>
      <c r="H53" s="34"/>
      <c r="I53" s="15">
        <f t="shared" ref="I53:W53" si="40">SUM(I50:I52)</f>
        <v>143970</v>
      </c>
      <c r="J53" s="15">
        <f t="shared" si="40"/>
        <v>134997</v>
      </c>
      <c r="K53" s="15">
        <f t="shared" si="40"/>
        <v>126259</v>
      </c>
      <c r="L53" s="15">
        <f t="shared" si="40"/>
        <v>123762</v>
      </c>
      <c r="M53" s="15">
        <f t="shared" si="40"/>
        <v>125102</v>
      </c>
      <c r="N53" s="15">
        <f t="shared" si="40"/>
        <v>128332</v>
      </c>
      <c r="O53" s="15">
        <f t="shared" si="40"/>
        <v>129935</v>
      </c>
      <c r="P53" s="15">
        <f t="shared" si="40"/>
        <v>120916</v>
      </c>
      <c r="Q53" s="15">
        <f t="shared" si="40"/>
        <v>118090</v>
      </c>
      <c r="R53" s="15">
        <f t="shared" si="40"/>
        <v>110725</v>
      </c>
      <c r="S53" s="15">
        <f t="shared" si="40"/>
        <v>103230</v>
      </c>
      <c r="T53" s="15">
        <f t="shared" si="40"/>
        <v>105657</v>
      </c>
      <c r="U53" s="15">
        <f t="shared" si="40"/>
        <v>105328</v>
      </c>
      <c r="V53" s="15">
        <f t="shared" si="40"/>
        <v>105148</v>
      </c>
      <c r="W53" s="15">
        <f t="shared" si="40"/>
        <v>108496</v>
      </c>
      <c r="Y53" s="15">
        <f t="shared" ref="Y53:AF53" si="41">SUM(Y50:Y50)</f>
        <v>21984</v>
      </c>
      <c r="Z53" s="15">
        <f t="shared" si="41"/>
        <v>21879</v>
      </c>
      <c r="AA53" s="15">
        <f t="shared" si="41"/>
        <v>25924</v>
      </c>
      <c r="AB53" s="15">
        <f t="shared" si="41"/>
        <v>25929</v>
      </c>
      <c r="AC53" s="15">
        <f t="shared" si="41"/>
        <v>30702</v>
      </c>
      <c r="AD53" s="15">
        <f t="shared" si="41"/>
        <v>24048</v>
      </c>
      <c r="AE53" s="15">
        <f t="shared" si="41"/>
        <v>24493</v>
      </c>
      <c r="AF53" s="15">
        <f t="shared" si="41"/>
        <v>27225</v>
      </c>
      <c r="AG53" s="15">
        <f>SUM(AG50:AG52)</f>
        <v>103230</v>
      </c>
      <c r="AH53" s="15">
        <f>SUM(AH50:AH52)</f>
        <v>105657</v>
      </c>
      <c r="AI53" s="15">
        <f>SUM(AI50:AI52)</f>
        <v>105328</v>
      </c>
      <c r="AJ53" s="15">
        <f>SUM(AJ50:AJ52)</f>
        <v>105148</v>
      </c>
      <c r="AK53" s="15">
        <f>SUM(AK50:AK52)</f>
        <v>108496</v>
      </c>
    </row>
    <row r="54" spans="2:37" ht="5.0999999999999996" customHeight="1"/>
    <row r="55" spans="2:37" ht="12.75" customHeight="1">
      <c r="B55" s="37" t="s">
        <v>66</v>
      </c>
    </row>
    <row r="56" spans="2:37" ht="12.75" customHeight="1">
      <c r="B56" s="8" t="s">
        <v>67</v>
      </c>
      <c r="C56" s="176">
        <f>'Historical Financials'!E44</f>
        <v>30930</v>
      </c>
      <c r="D56" s="176">
        <f>'Historical Financials'!F44</f>
        <v>39304</v>
      </c>
      <c r="E56" s="176">
        <f>'Historical Financials'!G44</f>
        <v>40258</v>
      </c>
      <c r="F56" s="176">
        <f>'Historical Financials'!H44</f>
        <v>47964</v>
      </c>
      <c r="G56" s="176">
        <f>'Historical Financials'!I44</f>
        <v>52340</v>
      </c>
      <c r="I56" s="176">
        <f>'Historical Financials'!O44</f>
        <v>34703</v>
      </c>
      <c r="J56" s="176">
        <f>'Historical Financials'!P44</f>
        <v>35707</v>
      </c>
      <c r="K56" s="176">
        <f>'Historical Financials'!Q44</f>
        <v>34697</v>
      </c>
      <c r="L56" s="176">
        <f>'Historical Financials'!R44</f>
        <v>40258</v>
      </c>
      <c r="M56" s="176">
        <f>'Historical Financials'!S44</f>
        <v>36036</v>
      </c>
      <c r="N56" s="176">
        <f>'Historical Financials'!T44</f>
        <v>38804</v>
      </c>
      <c r="O56" s="176">
        <f>'Historical Financials'!U44</f>
        <v>41020</v>
      </c>
      <c r="P56" s="176">
        <f>'Historical Financials'!V44</f>
        <v>47964</v>
      </c>
      <c r="Q56" s="176">
        <f>'Historical Financials'!W44</f>
        <v>44552</v>
      </c>
      <c r="R56" s="176">
        <f>'Historical Financials'!X44</f>
        <v>47087</v>
      </c>
      <c r="S56" s="176">
        <f>'Historical Financials'!Y44</f>
        <v>49104</v>
      </c>
      <c r="T56" s="176">
        <f>'Historical Financials'!Z44</f>
        <v>52340</v>
      </c>
      <c r="U56" s="176">
        <f>'Historical Financials'!AA44</f>
        <v>51000</v>
      </c>
      <c r="V56" s="176">
        <f>'Historical Financials'!AB44</f>
        <v>55048</v>
      </c>
      <c r="W56" s="176">
        <f>'Historical Financials'!AC44</f>
        <v>57148</v>
      </c>
      <c r="X56" s="11"/>
      <c r="Y56" s="11">
        <f t="shared" ref="Y56:AI60" si="42">K56</f>
        <v>34697</v>
      </c>
      <c r="Z56" s="11">
        <f t="shared" si="42"/>
        <v>40258</v>
      </c>
      <c r="AA56" s="11">
        <f t="shared" si="42"/>
        <v>36036</v>
      </c>
      <c r="AB56" s="11">
        <f t="shared" si="42"/>
        <v>38804</v>
      </c>
      <c r="AC56" s="11">
        <f t="shared" si="42"/>
        <v>41020</v>
      </c>
      <c r="AD56" s="11">
        <f t="shared" si="42"/>
        <v>47964</v>
      </c>
      <c r="AE56" s="11">
        <f t="shared" si="42"/>
        <v>44552</v>
      </c>
      <c r="AF56" s="11">
        <f t="shared" si="42"/>
        <v>47087</v>
      </c>
      <c r="AG56" s="11">
        <f t="shared" si="42"/>
        <v>49104</v>
      </c>
      <c r="AH56" s="11">
        <f t="shared" si="42"/>
        <v>52340</v>
      </c>
      <c r="AI56" s="11">
        <f t="shared" si="42"/>
        <v>51000</v>
      </c>
      <c r="AJ56" s="11">
        <f t="shared" ref="AJ56:AK60" si="43">V56</f>
        <v>55048</v>
      </c>
      <c r="AK56" s="11">
        <f t="shared" si="43"/>
        <v>57148</v>
      </c>
    </row>
    <row r="57" spans="2:37" ht="12.75" customHeight="1">
      <c r="B57" s="8" t="s">
        <v>68</v>
      </c>
      <c r="C57" s="176">
        <f>'Historical Financials'!E58</f>
        <v>5589</v>
      </c>
      <c r="D57" s="176">
        <f>'Historical Financials'!F58</f>
        <v>6037</v>
      </c>
      <c r="E57" s="176">
        <f>'Historical Financials'!G58</f>
        <v>5128</v>
      </c>
      <c r="F57" s="176">
        <f>'Historical Financials'!H58</f>
        <v>7493</v>
      </c>
      <c r="G57" s="176">
        <f>'Historical Financials'!I58</f>
        <v>7987</v>
      </c>
      <c r="H57" s="176"/>
      <c r="I57" s="176">
        <f>'Historical Financials'!O58</f>
        <v>3436</v>
      </c>
      <c r="J57" s="176">
        <f>'Historical Financials'!P58</f>
        <v>4409</v>
      </c>
      <c r="K57" s="176">
        <f>'Historical Financials'!Q58</f>
        <v>6303</v>
      </c>
      <c r="L57" s="176">
        <f>'Historical Financials'!R58</f>
        <v>5128</v>
      </c>
      <c r="M57" s="176">
        <f>'Historical Financials'!S58</f>
        <v>4184</v>
      </c>
      <c r="N57" s="176">
        <f>'Historical Financials'!T58</f>
        <v>5313</v>
      </c>
      <c r="O57" s="176">
        <f>'Historical Financials'!U58</f>
        <v>5803</v>
      </c>
      <c r="P57" s="176">
        <f>'Historical Financials'!V58</f>
        <v>7493</v>
      </c>
      <c r="Q57" s="176">
        <f>'Historical Financials'!W58</f>
        <v>6198</v>
      </c>
      <c r="R57" s="176">
        <f>'Historical Financials'!X58</f>
        <v>6092</v>
      </c>
      <c r="S57" s="176">
        <f>'Historical Financials'!Y58</f>
        <v>7049</v>
      </c>
      <c r="T57" s="176">
        <f>'Historical Financials'!Z58</f>
        <v>7987</v>
      </c>
      <c r="U57" s="176">
        <f>'Historical Financials'!AA58</f>
        <v>8497</v>
      </c>
      <c r="V57" s="176">
        <f>'Historical Financials'!AB58</f>
        <v>8347</v>
      </c>
      <c r="W57" s="176">
        <f>'Historical Financials'!AC58</f>
        <v>10546</v>
      </c>
      <c r="Y57" s="11">
        <f t="shared" si="42"/>
        <v>6303</v>
      </c>
      <c r="Z57" s="11">
        <f t="shared" si="42"/>
        <v>5128</v>
      </c>
      <c r="AA57" s="11">
        <f t="shared" si="42"/>
        <v>4184</v>
      </c>
      <c r="AB57" s="11">
        <f t="shared" si="42"/>
        <v>5313</v>
      </c>
      <c r="AC57" s="11">
        <f t="shared" si="42"/>
        <v>5803</v>
      </c>
      <c r="AD57" s="11">
        <f t="shared" si="42"/>
        <v>7493</v>
      </c>
      <c r="AE57" s="11">
        <f t="shared" si="42"/>
        <v>6198</v>
      </c>
      <c r="AF57" s="11">
        <f t="shared" si="42"/>
        <v>6092</v>
      </c>
      <c r="AG57" s="11">
        <f t="shared" si="42"/>
        <v>7049</v>
      </c>
      <c r="AH57" s="11">
        <f t="shared" si="42"/>
        <v>7987</v>
      </c>
      <c r="AI57" s="11">
        <f t="shared" si="42"/>
        <v>8497</v>
      </c>
      <c r="AJ57" s="11">
        <f t="shared" si="43"/>
        <v>8347</v>
      </c>
      <c r="AK57" s="11">
        <f t="shared" si="43"/>
        <v>10546</v>
      </c>
    </row>
    <row r="58" spans="2:37" ht="12.75" customHeight="1">
      <c r="B58" s="8" t="s">
        <v>69</v>
      </c>
      <c r="C58" s="176">
        <f>'Historical Financials'!E51</f>
        <v>84749</v>
      </c>
      <c r="D58" s="176">
        <f>'Historical Financials'!F51</f>
        <v>97599</v>
      </c>
      <c r="E58" s="176">
        <f>'Historical Financials'!G51</f>
        <v>112668</v>
      </c>
      <c r="F58" s="176">
        <f>'Historical Financials'!H51</f>
        <v>134345</v>
      </c>
      <c r="G58" s="176">
        <f>'Historical Financials'!I51</f>
        <v>171036</v>
      </c>
      <c r="H58" s="176"/>
      <c r="I58" s="176">
        <f>'Historical Financials'!O51</f>
        <v>104218</v>
      </c>
      <c r="J58" s="176">
        <f>'Historical Financials'!P51</f>
        <v>106223</v>
      </c>
      <c r="K58" s="176">
        <f>'Historical Financials'!Q51</f>
        <v>108363</v>
      </c>
      <c r="L58" s="176">
        <f>'Historical Financials'!R51</f>
        <v>112668</v>
      </c>
      <c r="M58" s="176">
        <f>'Historical Financials'!S51</f>
        <v>117560</v>
      </c>
      <c r="N58" s="176">
        <f>'Historical Financials'!T51</f>
        <v>121208</v>
      </c>
      <c r="O58" s="176">
        <f>'Historical Financials'!U51</f>
        <v>125705</v>
      </c>
      <c r="P58" s="176">
        <f>'Historical Financials'!V51</f>
        <v>134345</v>
      </c>
      <c r="Q58" s="176">
        <f>'Historical Financials'!W51</f>
        <v>143182</v>
      </c>
      <c r="R58" s="176">
        <f>'Historical Financials'!X51</f>
        <v>151155</v>
      </c>
      <c r="S58" s="176">
        <f>'Historical Financials'!Y51</f>
        <v>161270</v>
      </c>
      <c r="T58" s="176">
        <f>'Historical Financials'!Z51</f>
        <v>171036</v>
      </c>
      <c r="U58" s="176">
        <f>'Historical Financials'!AA51</f>
        <v>185062</v>
      </c>
      <c r="V58" s="176">
        <f>'Historical Financials'!AB51</f>
        <v>203231</v>
      </c>
      <c r="W58" s="176">
        <f>'Historical Financials'!AC51</f>
        <v>223787</v>
      </c>
      <c r="Y58" s="11">
        <f t="shared" si="42"/>
        <v>108363</v>
      </c>
      <c r="Z58" s="11">
        <f t="shared" si="42"/>
        <v>112668</v>
      </c>
      <c r="AA58" s="11">
        <f t="shared" si="42"/>
        <v>117560</v>
      </c>
      <c r="AB58" s="11">
        <f t="shared" si="42"/>
        <v>121208</v>
      </c>
      <c r="AC58" s="11">
        <f t="shared" si="42"/>
        <v>125705</v>
      </c>
      <c r="AD58" s="11">
        <f t="shared" si="42"/>
        <v>134345</v>
      </c>
      <c r="AE58" s="11">
        <f t="shared" si="42"/>
        <v>143182</v>
      </c>
      <c r="AF58" s="11">
        <f t="shared" si="42"/>
        <v>151155</v>
      </c>
      <c r="AG58" s="11">
        <f t="shared" si="42"/>
        <v>161270</v>
      </c>
      <c r="AH58" s="11">
        <f t="shared" si="42"/>
        <v>171036</v>
      </c>
      <c r="AI58" s="11">
        <f t="shared" si="42"/>
        <v>185062</v>
      </c>
      <c r="AJ58" s="11">
        <f t="shared" si="43"/>
        <v>203231</v>
      </c>
      <c r="AK58" s="11">
        <f t="shared" si="43"/>
        <v>223787</v>
      </c>
    </row>
    <row r="59" spans="2:37" ht="12.75" customHeight="1">
      <c r="B59" s="8" t="s">
        <v>70</v>
      </c>
      <c r="C59" s="176">
        <f>'Historical Financials'!E63</f>
        <v>56834</v>
      </c>
      <c r="D59" s="176">
        <f>'Historical Financials'!F63</f>
        <v>64254</v>
      </c>
      <c r="E59" s="176">
        <f>'Historical Financials'!G63</f>
        <v>69300</v>
      </c>
      <c r="F59" s="176">
        <f>'Historical Financials'!H63</f>
        <v>81814</v>
      </c>
      <c r="G59" s="176">
        <f>'Historical Financials'!I63</f>
        <v>89122</v>
      </c>
      <c r="H59" s="176"/>
      <c r="I59" s="176">
        <f>'Historical Financials'!O63</f>
        <v>61948</v>
      </c>
      <c r="J59" s="176">
        <f>'Historical Financials'!P63</f>
        <v>61354</v>
      </c>
      <c r="K59" s="176">
        <f>'Historical Financials'!Q63</f>
        <v>65979</v>
      </c>
      <c r="L59" s="176">
        <f>'Historical Financials'!R63</f>
        <v>69300</v>
      </c>
      <c r="M59" s="176">
        <f>'Historical Financials'!S63</f>
        <v>68854</v>
      </c>
      <c r="N59" s="176">
        <f>'Historical Financials'!T63</f>
        <v>77709</v>
      </c>
      <c r="O59" s="176">
        <f>'Historical Financials'!U63</f>
        <v>86295</v>
      </c>
      <c r="P59" s="176">
        <f>'Historical Financials'!V63</f>
        <v>81814</v>
      </c>
      <c r="Q59" s="176">
        <f>'Historical Financials'!W63</f>
        <v>76997</v>
      </c>
      <c r="R59" s="176">
        <f>'Historical Financials'!X63</f>
        <v>77913</v>
      </c>
      <c r="S59" s="176">
        <f>'Historical Financials'!Y63</f>
        <v>80803</v>
      </c>
      <c r="T59" s="176">
        <f>'Historical Financials'!Z63</f>
        <v>89122</v>
      </c>
      <c r="U59" s="176">
        <f>'Historical Financials'!AA63</f>
        <v>91654</v>
      </c>
      <c r="V59" s="176">
        <f>'Historical Financials'!AB63</f>
        <v>87310</v>
      </c>
      <c r="W59" s="176">
        <f>'Historical Financials'!AC63</f>
        <v>99550</v>
      </c>
      <c r="Y59" s="11">
        <f t="shared" si="42"/>
        <v>65979</v>
      </c>
      <c r="Z59" s="11">
        <f t="shared" si="42"/>
        <v>69300</v>
      </c>
      <c r="AA59" s="11">
        <f t="shared" si="42"/>
        <v>68854</v>
      </c>
      <c r="AB59" s="11">
        <f t="shared" si="42"/>
        <v>77709</v>
      </c>
      <c r="AC59" s="11">
        <f t="shared" si="42"/>
        <v>86295</v>
      </c>
      <c r="AD59" s="11">
        <f t="shared" si="42"/>
        <v>81814</v>
      </c>
      <c r="AE59" s="11">
        <f t="shared" si="42"/>
        <v>76997</v>
      </c>
      <c r="AF59" s="11">
        <f t="shared" si="42"/>
        <v>77913</v>
      </c>
      <c r="AG59" s="11">
        <f t="shared" si="42"/>
        <v>80803</v>
      </c>
      <c r="AH59" s="11">
        <f t="shared" si="42"/>
        <v>89122</v>
      </c>
      <c r="AI59" s="11">
        <f t="shared" si="42"/>
        <v>91654</v>
      </c>
      <c r="AJ59" s="11">
        <f t="shared" si="43"/>
        <v>87310</v>
      </c>
      <c r="AK59" s="11">
        <f t="shared" si="43"/>
        <v>99550</v>
      </c>
    </row>
    <row r="60" spans="2:37" ht="12.75" customHeight="1">
      <c r="B60" s="8" t="s">
        <v>24</v>
      </c>
      <c r="C60" s="176">
        <f>'Historical Financials'!E70</f>
        <v>97072</v>
      </c>
      <c r="D60" s="176">
        <f>'Historical Financials'!F70</f>
        <v>107633</v>
      </c>
      <c r="E60" s="176">
        <f>'Historical Financials'!G70</f>
        <v>109120</v>
      </c>
      <c r="F60" s="176">
        <f>'Historical Financials'!H70</f>
        <v>119013</v>
      </c>
      <c r="G60" s="176">
        <f>'Historical Financials'!I70</f>
        <v>125172</v>
      </c>
      <c r="H60" s="176"/>
      <c r="I60" s="176">
        <f>'Historical Financials'!O70</f>
        <v>103092</v>
      </c>
      <c r="J60" s="176">
        <f>'Historical Financials'!P70</f>
        <v>99766</v>
      </c>
      <c r="K60" s="176">
        <f>'Historical Financials'!Q70</f>
        <v>104629</v>
      </c>
      <c r="L60" s="176">
        <f>'Historical Financials'!R70</f>
        <v>109120</v>
      </c>
      <c r="M60" s="176">
        <f>'Historical Financials'!S70</f>
        <v>108597</v>
      </c>
      <c r="N60" s="176">
        <f>'Historical Financials'!T70</f>
        <v>115903</v>
      </c>
      <c r="O60" s="176">
        <f>'Historical Financials'!U70</f>
        <v>123509</v>
      </c>
      <c r="P60" s="176">
        <f>'Historical Financials'!V70</f>
        <v>119013</v>
      </c>
      <c r="Q60" s="176">
        <f>'Historical Financials'!W70</f>
        <v>114506</v>
      </c>
      <c r="R60" s="176">
        <f>'Historical Financials'!X70</f>
        <v>114017</v>
      </c>
      <c r="S60" s="176">
        <f>'Historical Financials'!Y70</f>
        <v>116147</v>
      </c>
      <c r="T60" s="176">
        <f>'Historical Financials'!Z70</f>
        <v>125172</v>
      </c>
      <c r="U60" s="176">
        <f>'Historical Financials'!AA70</f>
        <v>130107</v>
      </c>
      <c r="V60" s="176">
        <f>'Historical Financials'!AB70</f>
        <v>139137</v>
      </c>
      <c r="W60" s="176">
        <f>'Historical Financials'!AC70</f>
        <v>149602</v>
      </c>
      <c r="Y60" s="11">
        <f t="shared" si="42"/>
        <v>104629</v>
      </c>
      <c r="Z60" s="11">
        <f t="shared" si="42"/>
        <v>109120</v>
      </c>
      <c r="AA60" s="11">
        <f t="shared" si="42"/>
        <v>108597</v>
      </c>
      <c r="AB60" s="11">
        <f t="shared" si="42"/>
        <v>115903</v>
      </c>
      <c r="AC60" s="11">
        <f t="shared" si="42"/>
        <v>123509</v>
      </c>
      <c r="AD60" s="11">
        <f t="shared" si="42"/>
        <v>119013</v>
      </c>
      <c r="AE60" s="11">
        <f t="shared" si="42"/>
        <v>114506</v>
      </c>
      <c r="AF60" s="11">
        <f t="shared" si="42"/>
        <v>114017</v>
      </c>
      <c r="AG60" s="11">
        <f t="shared" si="42"/>
        <v>116147</v>
      </c>
      <c r="AH60" s="11">
        <f t="shared" si="42"/>
        <v>125172</v>
      </c>
      <c r="AI60" s="11">
        <f t="shared" si="42"/>
        <v>130107</v>
      </c>
      <c r="AJ60" s="11">
        <f t="shared" si="43"/>
        <v>139137</v>
      </c>
      <c r="AK60" s="11">
        <f t="shared" si="43"/>
        <v>149602</v>
      </c>
    </row>
    <row r="61" spans="2:37" ht="5.0999999999999996" customHeight="1">
      <c r="G61" s="11"/>
    </row>
    <row r="62" spans="2:37" ht="12.75" customHeight="1">
      <c r="B62" s="33" t="s">
        <v>581</v>
      </c>
      <c r="C62" s="88">
        <v>0</v>
      </c>
      <c r="D62" s="88">
        <v>0</v>
      </c>
      <c r="E62" s="88">
        <v>0</v>
      </c>
      <c r="F62" s="88">
        <v>0</v>
      </c>
      <c r="G62" s="88">
        <v>2300</v>
      </c>
      <c r="I62" s="88">
        <v>0</v>
      </c>
      <c r="J62" s="88">
        <v>0</v>
      </c>
      <c r="K62" s="88">
        <v>0</v>
      </c>
      <c r="L62" s="469">
        <f>E62</f>
        <v>0</v>
      </c>
      <c r="M62" s="88">
        <v>0</v>
      </c>
      <c r="N62" s="88">
        <v>0</v>
      </c>
      <c r="O62" s="88">
        <v>0</v>
      </c>
      <c r="P62" s="469">
        <f>F62</f>
        <v>0</v>
      </c>
      <c r="Q62" s="88">
        <v>0</v>
      </c>
      <c r="R62" s="88">
        <v>0</v>
      </c>
      <c r="S62" s="88">
        <v>0</v>
      </c>
      <c r="T62" s="469">
        <f>G62</f>
        <v>2300</v>
      </c>
      <c r="U62" s="88">
        <v>2500</v>
      </c>
      <c r="V62" s="88">
        <v>3000</v>
      </c>
      <c r="W62" s="88">
        <v>3000</v>
      </c>
      <c r="Y62" s="11">
        <f t="shared" ref="Y62:AK64" si="44">K62</f>
        <v>0</v>
      </c>
      <c r="Z62" s="11">
        <f t="shared" si="44"/>
        <v>0</v>
      </c>
      <c r="AA62" s="11">
        <f t="shared" si="44"/>
        <v>0</v>
      </c>
      <c r="AB62" s="11">
        <f t="shared" si="44"/>
        <v>0</v>
      </c>
      <c r="AC62" s="11">
        <f t="shared" si="44"/>
        <v>0</v>
      </c>
      <c r="AD62" s="11">
        <f t="shared" si="44"/>
        <v>0</v>
      </c>
      <c r="AE62" s="11">
        <f t="shared" si="44"/>
        <v>0</v>
      </c>
      <c r="AF62" s="11">
        <f t="shared" si="44"/>
        <v>0</v>
      </c>
      <c r="AG62" s="11">
        <f t="shared" si="44"/>
        <v>0</v>
      </c>
      <c r="AH62" s="11">
        <f t="shared" si="44"/>
        <v>2300</v>
      </c>
      <c r="AI62" s="11">
        <f t="shared" si="44"/>
        <v>2500</v>
      </c>
      <c r="AJ62" s="11">
        <f t="shared" si="44"/>
        <v>3000</v>
      </c>
      <c r="AK62" s="11">
        <f t="shared" si="44"/>
        <v>3000</v>
      </c>
    </row>
    <row r="63" spans="2:37" ht="12.75" customHeight="1">
      <c r="B63" s="33" t="s">
        <v>583</v>
      </c>
      <c r="C63" s="88">
        <v>14000</v>
      </c>
      <c r="D63" s="88">
        <v>13000</v>
      </c>
      <c r="E63" s="88">
        <v>13000</v>
      </c>
      <c r="F63" s="88">
        <f>10000+2000+1000</f>
        <v>13000</v>
      </c>
      <c r="G63" s="88">
        <f>10000+2000+2000</f>
        <v>14000</v>
      </c>
      <c r="I63" s="88">
        <v>13000</v>
      </c>
      <c r="J63" s="88">
        <v>13000</v>
      </c>
      <c r="K63" s="88">
        <v>13000</v>
      </c>
      <c r="L63" s="469">
        <f>E63</f>
        <v>13000</v>
      </c>
      <c r="M63" s="88">
        <v>13000</v>
      </c>
      <c r="N63" s="88">
        <v>13000</v>
      </c>
      <c r="O63" s="88">
        <v>13000</v>
      </c>
      <c r="P63" s="469">
        <f>F63</f>
        <v>13000</v>
      </c>
      <c r="Q63" s="88">
        <v>12000</v>
      </c>
      <c r="R63" s="88">
        <v>12000</v>
      </c>
      <c r="S63" s="88">
        <v>12000</v>
      </c>
      <c r="T63" s="469">
        <f>G63</f>
        <v>14000</v>
      </c>
      <c r="U63" s="88">
        <v>12000</v>
      </c>
      <c r="V63" s="88">
        <f>2000+10000+5000+7903</f>
        <v>24903</v>
      </c>
      <c r="W63" s="88">
        <f>2000+9000+5000+7892</f>
        <v>23892</v>
      </c>
      <c r="Y63" s="11"/>
      <c r="Z63" s="11"/>
      <c r="AA63" s="11"/>
      <c r="AB63" s="11"/>
      <c r="AC63" s="11"/>
      <c r="AD63" s="11"/>
      <c r="AE63" s="11"/>
      <c r="AF63" s="11"/>
      <c r="AG63" s="11">
        <f>S63</f>
        <v>12000</v>
      </c>
      <c r="AH63" s="11">
        <f>T63</f>
        <v>14000</v>
      </c>
      <c r="AI63" s="11">
        <f>U63</f>
        <v>12000</v>
      </c>
      <c r="AJ63" s="11">
        <f>V63</f>
        <v>24903</v>
      </c>
      <c r="AK63" s="11">
        <f>W63</f>
        <v>23892</v>
      </c>
    </row>
    <row r="64" spans="2:37" ht="12.75" customHeight="1">
      <c r="B64" s="33" t="s">
        <v>450</v>
      </c>
      <c r="C64" s="88">
        <v>1201</v>
      </c>
      <c r="D64" s="88">
        <v>2086</v>
      </c>
      <c r="E64" s="88">
        <v>2142</v>
      </c>
      <c r="F64" s="88">
        <v>1666</v>
      </c>
      <c r="G64" s="88">
        <v>1677</v>
      </c>
      <c r="I64" s="88">
        <v>2125</v>
      </c>
      <c r="J64" s="88">
        <v>1966</v>
      </c>
      <c r="K64" s="88">
        <v>2213</v>
      </c>
      <c r="L64" s="469">
        <f>E64</f>
        <v>2142</v>
      </c>
      <c r="M64" s="88">
        <v>2208</v>
      </c>
      <c r="N64" s="88">
        <v>2159</v>
      </c>
      <c r="O64" s="88">
        <v>2314</v>
      </c>
      <c r="P64" s="469">
        <f>F64</f>
        <v>1666</v>
      </c>
      <c r="Q64" s="88">
        <v>1672</v>
      </c>
      <c r="R64" s="88">
        <v>2280</v>
      </c>
      <c r="S64" s="88">
        <v>2785</v>
      </c>
      <c r="T64" s="469">
        <f>G64</f>
        <v>1677</v>
      </c>
      <c r="U64" s="88">
        <v>2061</v>
      </c>
      <c r="V64" s="88">
        <v>2102</v>
      </c>
      <c r="W64" s="88">
        <v>2388</v>
      </c>
      <c r="X64" s="470"/>
      <c r="Y64" s="11">
        <f t="shared" si="44"/>
        <v>2213</v>
      </c>
      <c r="Z64" s="11">
        <f t="shared" si="44"/>
        <v>2142</v>
      </c>
      <c r="AA64" s="11">
        <f t="shared" si="44"/>
        <v>2208</v>
      </c>
      <c r="AB64" s="11">
        <f t="shared" si="44"/>
        <v>2159</v>
      </c>
      <c r="AC64" s="11">
        <f t="shared" si="44"/>
        <v>2314</v>
      </c>
      <c r="AD64" s="11">
        <f t="shared" si="44"/>
        <v>1666</v>
      </c>
      <c r="AE64" s="11">
        <f t="shared" si="44"/>
        <v>1672</v>
      </c>
      <c r="AF64" s="11">
        <f t="shared" si="44"/>
        <v>2280</v>
      </c>
      <c r="AG64" s="11">
        <f t="shared" si="44"/>
        <v>2785</v>
      </c>
      <c r="AH64" s="11">
        <f t="shared" si="44"/>
        <v>1677</v>
      </c>
      <c r="AI64" s="11">
        <f t="shared" si="44"/>
        <v>2061</v>
      </c>
      <c r="AJ64" s="11">
        <f t="shared" si="44"/>
        <v>2102</v>
      </c>
      <c r="AK64" s="11">
        <f t="shared" si="44"/>
        <v>2388</v>
      </c>
    </row>
    <row r="65" spans="1:37" ht="12.75" customHeight="1">
      <c r="B65" s="14" t="s">
        <v>35</v>
      </c>
      <c r="C65" s="15">
        <f>SUM(C62:C64)</f>
        <v>15201</v>
      </c>
      <c r="D65" s="15">
        <f>SUM(D62:D64)</f>
        <v>15086</v>
      </c>
      <c r="E65" s="15">
        <f>SUM(E62:E64)</f>
        <v>15142</v>
      </c>
      <c r="F65" s="15">
        <f>SUM(F62:F64)</f>
        <v>14666</v>
      </c>
      <c r="G65" s="15">
        <f>SUM(G62:G64)</f>
        <v>17977</v>
      </c>
      <c r="I65" s="15">
        <f t="shared" ref="I65:W65" si="45">SUM(I62:I64)</f>
        <v>15125</v>
      </c>
      <c r="J65" s="15">
        <f t="shared" si="45"/>
        <v>14966</v>
      </c>
      <c r="K65" s="15">
        <f t="shared" si="45"/>
        <v>15213</v>
      </c>
      <c r="L65" s="15">
        <f t="shared" si="45"/>
        <v>15142</v>
      </c>
      <c r="M65" s="15">
        <f t="shared" si="45"/>
        <v>15208</v>
      </c>
      <c r="N65" s="15">
        <f t="shared" si="45"/>
        <v>15159</v>
      </c>
      <c r="O65" s="15">
        <f t="shared" si="45"/>
        <v>15314</v>
      </c>
      <c r="P65" s="15">
        <f t="shared" si="45"/>
        <v>14666</v>
      </c>
      <c r="Q65" s="15">
        <f t="shared" si="45"/>
        <v>13672</v>
      </c>
      <c r="R65" s="15">
        <f t="shared" si="45"/>
        <v>14280</v>
      </c>
      <c r="S65" s="15">
        <f t="shared" si="45"/>
        <v>14785</v>
      </c>
      <c r="T65" s="15">
        <f t="shared" si="45"/>
        <v>17977</v>
      </c>
      <c r="U65" s="15">
        <f t="shared" si="45"/>
        <v>16561</v>
      </c>
      <c r="V65" s="15">
        <f t="shared" si="45"/>
        <v>30005</v>
      </c>
      <c r="W65" s="15">
        <f t="shared" si="45"/>
        <v>29280</v>
      </c>
      <c r="Y65" s="15">
        <f t="shared" ref="Y65:AK65" si="46">SUM(Y62:Y64)</f>
        <v>2213</v>
      </c>
      <c r="Z65" s="15">
        <f t="shared" si="46"/>
        <v>2142</v>
      </c>
      <c r="AA65" s="15">
        <f t="shared" si="46"/>
        <v>2208</v>
      </c>
      <c r="AB65" s="15">
        <f t="shared" si="46"/>
        <v>2159</v>
      </c>
      <c r="AC65" s="15">
        <f t="shared" si="46"/>
        <v>2314</v>
      </c>
      <c r="AD65" s="15">
        <f t="shared" si="46"/>
        <v>1666</v>
      </c>
      <c r="AE65" s="15">
        <f t="shared" si="46"/>
        <v>1672</v>
      </c>
      <c r="AF65" s="15">
        <f t="shared" si="46"/>
        <v>2280</v>
      </c>
      <c r="AG65" s="15">
        <f t="shared" si="46"/>
        <v>14785</v>
      </c>
      <c r="AH65" s="15">
        <f t="shared" si="46"/>
        <v>17977</v>
      </c>
      <c r="AI65" s="15">
        <f t="shared" si="46"/>
        <v>16561</v>
      </c>
      <c r="AJ65" s="15">
        <f t="shared" si="46"/>
        <v>30005</v>
      </c>
      <c r="AK65" s="15">
        <f t="shared" si="46"/>
        <v>29280</v>
      </c>
    </row>
    <row r="66" spans="1:37" ht="5.0999999999999996" customHeight="1"/>
    <row r="67" spans="1:37" ht="12.75" customHeight="1">
      <c r="B67" s="8" t="s">
        <v>71</v>
      </c>
      <c r="C67" s="516">
        <f>'Historical Financials'!E76</f>
        <v>222544</v>
      </c>
      <c r="D67" s="516">
        <f>'Historical Financials'!F76</f>
        <v>251635</v>
      </c>
      <c r="E67" s="516">
        <f>'Historical Financials'!G76</f>
        <v>256144</v>
      </c>
      <c r="F67" s="516">
        <f>'Historical Financials'!H76</f>
        <v>283379</v>
      </c>
      <c r="G67" s="516">
        <f>'Historical Financials'!I76</f>
        <v>325084</v>
      </c>
      <c r="I67" s="516">
        <f>'Historical Financials'!O76</f>
        <v>254004</v>
      </c>
      <c r="J67" s="516">
        <f>'Historical Financials'!P76</f>
        <v>255419</v>
      </c>
      <c r="K67" s="516">
        <f>'Historical Financials'!Q76</f>
        <v>253626</v>
      </c>
      <c r="L67" s="516">
        <f>'Historical Financials'!R76</f>
        <v>256144</v>
      </c>
      <c r="M67" s="516">
        <f>'Historical Financials'!S76</f>
        <v>260894</v>
      </c>
      <c r="N67" s="516">
        <f>'Historical Financials'!T76</f>
        <v>267141</v>
      </c>
      <c r="O67" s="516">
        <f>'Historical Financials'!U76</f>
        <v>273202</v>
      </c>
      <c r="P67" s="516">
        <f>'Historical Financials'!V76</f>
        <v>283379</v>
      </c>
      <c r="Q67" s="516">
        <f>'Historical Financials'!W76</f>
        <v>292844</v>
      </c>
      <c r="R67" s="516">
        <f>'Historical Financials'!X76</f>
        <v>300753</v>
      </c>
      <c r="S67" s="516">
        <f>'Historical Financials'!Y76</f>
        <v>314119</v>
      </c>
      <c r="T67" s="516">
        <f>'Historical Financials'!Z76</f>
        <v>325084</v>
      </c>
      <c r="U67" s="516">
        <f>'Historical Financials'!AA76</f>
        <v>345267</v>
      </c>
      <c r="V67" s="516">
        <f>'Historical Financials'!AB76</f>
        <v>362916</v>
      </c>
      <c r="W67" s="516">
        <f>'Historical Financials'!AC76</f>
        <v>386867</v>
      </c>
      <c r="Y67" s="11">
        <f t="shared" ref="Y67:AK67" si="47">K67</f>
        <v>253626</v>
      </c>
      <c r="Z67" s="11">
        <f t="shared" si="47"/>
        <v>256144</v>
      </c>
      <c r="AA67" s="11">
        <f t="shared" si="47"/>
        <v>260894</v>
      </c>
      <c r="AB67" s="11">
        <f t="shared" si="47"/>
        <v>267141</v>
      </c>
      <c r="AC67" s="11">
        <f t="shared" si="47"/>
        <v>273202</v>
      </c>
      <c r="AD67" s="11">
        <f t="shared" si="47"/>
        <v>283379</v>
      </c>
      <c r="AE67" s="11">
        <f t="shared" si="47"/>
        <v>292844</v>
      </c>
      <c r="AF67" s="11">
        <f t="shared" si="47"/>
        <v>300753</v>
      </c>
      <c r="AG67" s="517">
        <f t="shared" si="47"/>
        <v>314119</v>
      </c>
      <c r="AH67" s="517">
        <f t="shared" si="47"/>
        <v>325084</v>
      </c>
      <c r="AI67" s="517">
        <f t="shared" si="47"/>
        <v>345267</v>
      </c>
      <c r="AJ67" s="517">
        <f t="shared" si="47"/>
        <v>362916</v>
      </c>
      <c r="AK67" s="517">
        <f t="shared" si="47"/>
        <v>386867</v>
      </c>
    </row>
    <row r="68" spans="1:37" ht="12.75" customHeight="1">
      <c r="B68" s="14" t="s">
        <v>72</v>
      </c>
      <c r="C68" s="15">
        <f>SUM(C65:C67)</f>
        <v>237745</v>
      </c>
      <c r="D68" s="15">
        <f>SUM(D65:D67)</f>
        <v>266721</v>
      </c>
      <c r="E68" s="15">
        <f>SUM(E65:E67)</f>
        <v>271286</v>
      </c>
      <c r="F68" s="15">
        <f>SUM(F65:F67)</f>
        <v>298045</v>
      </c>
      <c r="G68" s="15">
        <f>SUM(G65:G67)</f>
        <v>343061</v>
      </c>
      <c r="I68" s="15">
        <f t="shared" ref="I68:R68" si="48">SUM(I65:I67)</f>
        <v>269129</v>
      </c>
      <c r="J68" s="15">
        <f t="shared" si="48"/>
        <v>270385</v>
      </c>
      <c r="K68" s="15">
        <f t="shared" si="48"/>
        <v>268839</v>
      </c>
      <c r="L68" s="15">
        <f t="shared" si="48"/>
        <v>271286</v>
      </c>
      <c r="M68" s="15">
        <f t="shared" si="48"/>
        <v>276102</v>
      </c>
      <c r="N68" s="15">
        <f t="shared" si="48"/>
        <v>282300</v>
      </c>
      <c r="O68" s="15">
        <f t="shared" si="48"/>
        <v>288516</v>
      </c>
      <c r="P68" s="15">
        <f t="shared" si="48"/>
        <v>298045</v>
      </c>
      <c r="Q68" s="15">
        <f t="shared" si="48"/>
        <v>306516</v>
      </c>
      <c r="R68" s="15">
        <f t="shared" si="48"/>
        <v>315033</v>
      </c>
      <c r="S68" s="15">
        <f>SUM(S65:S67)</f>
        <v>328904</v>
      </c>
      <c r="T68" s="15">
        <f>SUM(T65:T67)</f>
        <v>343061</v>
      </c>
      <c r="U68" s="15">
        <f>SUM(U65:U67)</f>
        <v>361828</v>
      </c>
      <c r="V68" s="15">
        <f>SUM(V65:V67)</f>
        <v>392921</v>
      </c>
      <c r="W68" s="15">
        <f>SUM(W65:W67)</f>
        <v>416147</v>
      </c>
      <c r="Y68" s="15">
        <f t="shared" ref="Y68:AI68" si="49">SUM(Y65:Y67)</f>
        <v>255839</v>
      </c>
      <c r="Z68" s="15">
        <f t="shared" si="49"/>
        <v>258286</v>
      </c>
      <c r="AA68" s="15">
        <f t="shared" si="49"/>
        <v>263102</v>
      </c>
      <c r="AB68" s="15">
        <f t="shared" si="49"/>
        <v>269300</v>
      </c>
      <c r="AC68" s="15">
        <f t="shared" si="49"/>
        <v>275516</v>
      </c>
      <c r="AD68" s="15">
        <f t="shared" si="49"/>
        <v>285045</v>
      </c>
      <c r="AE68" s="15">
        <f t="shared" si="49"/>
        <v>294516</v>
      </c>
      <c r="AF68" s="15">
        <f t="shared" si="49"/>
        <v>303033</v>
      </c>
      <c r="AG68" s="15">
        <f t="shared" si="49"/>
        <v>328904</v>
      </c>
      <c r="AH68" s="15">
        <f t="shared" si="49"/>
        <v>343061</v>
      </c>
      <c r="AI68" s="15">
        <f t="shared" si="49"/>
        <v>361828</v>
      </c>
      <c r="AJ68" s="15">
        <f>SUM(AJ65:AJ67)</f>
        <v>392921</v>
      </c>
      <c r="AK68" s="15">
        <f>SUM(AK65:AK67)</f>
        <v>416147</v>
      </c>
    </row>
    <row r="69" spans="1:37" ht="5.0999999999999996" customHeight="1"/>
    <row r="70" spans="1:37" ht="12.75" customHeight="1">
      <c r="A70" s="5"/>
      <c r="B70" s="35" t="s">
        <v>99</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row>
    <row r="71" spans="1:37" ht="5.0999999999999996" customHeight="1"/>
    <row r="72" spans="1:37" ht="12.75" customHeight="1">
      <c r="B72" s="33" t="s">
        <v>584</v>
      </c>
      <c r="C72" s="90">
        <f>C65/C29</f>
        <v>0.22383378489810343</v>
      </c>
      <c r="D72" s="90">
        <f>D65/D29</f>
        <v>0.1416113619509814</v>
      </c>
      <c r="E72" s="90">
        <f>E65/E29</f>
        <v>0.14062166253401312</v>
      </c>
      <c r="F72" s="90">
        <f>F65/F29</f>
        <v>0.12355622204062376</v>
      </c>
      <c r="G72" s="90">
        <f>G65/G29</f>
        <v>0.1194596175059474</v>
      </c>
      <c r="I72" s="39"/>
      <c r="J72" s="39"/>
      <c r="K72" s="39"/>
      <c r="L72" s="90">
        <f t="shared" ref="L72:W72" si="50">SUM(L65/SUM(I29:L29))</f>
        <v>0.14062166253401312</v>
      </c>
      <c r="M72" s="90">
        <f t="shared" si="50"/>
        <v>0.14458472771524186</v>
      </c>
      <c r="N72" s="90">
        <f t="shared" si="50"/>
        <v>0.14028447422241552</v>
      </c>
      <c r="O72" s="90">
        <f t="shared" si="50"/>
        <v>0.13577685569386813</v>
      </c>
      <c r="P72" s="90">
        <f t="shared" si="50"/>
        <v>0.12355622204062376</v>
      </c>
      <c r="Q72" s="90">
        <f t="shared" si="50"/>
        <v>0.10768491607791246</v>
      </c>
      <c r="R72" s="90">
        <f t="shared" si="50"/>
        <v>0.10740718454780673</v>
      </c>
      <c r="S72" s="90">
        <f t="shared" si="50"/>
        <v>0.10529276873335328</v>
      </c>
      <c r="T72" s="90">
        <f t="shared" si="50"/>
        <v>0.1194596175059474</v>
      </c>
      <c r="U72" s="90">
        <f t="shared" si="50"/>
        <v>0.10552037006358875</v>
      </c>
      <c r="V72" s="90">
        <f t="shared" si="50"/>
        <v>0.18497056375797552</v>
      </c>
      <c r="W72" s="90">
        <f t="shared" si="50"/>
        <v>0.17525588076854012</v>
      </c>
      <c r="X72" s="90"/>
      <c r="Y72" s="90">
        <f t="shared" ref="Y72:AK72" si="51">Y65/Y29</f>
        <v>3.5941078069933248E-2</v>
      </c>
      <c r="Z72" s="90">
        <f t="shared" si="51"/>
        <v>2.7331538451723213E-2</v>
      </c>
      <c r="AA72" s="90">
        <f t="shared" si="51"/>
        <v>2.960222016651249E-2</v>
      </c>
      <c r="AB72" s="90">
        <f t="shared" si="51"/>
        <v>2.8412007001013304E-2</v>
      </c>
      <c r="AC72" s="90">
        <f t="shared" si="51"/>
        <v>2.9024408599453128E-2</v>
      </c>
      <c r="AD72" s="90">
        <f t="shared" si="51"/>
        <v>1.9869287281747926E-2</v>
      </c>
      <c r="AE72" s="90">
        <f t="shared" si="51"/>
        <v>1.8619775716337963E-2</v>
      </c>
      <c r="AF72" s="90">
        <f t="shared" si="51"/>
        <v>2.4439656558510468E-2</v>
      </c>
      <c r="AG72" s="90">
        <f t="shared" si="51"/>
        <v>0.10529276873335328</v>
      </c>
      <c r="AH72" s="90">
        <f t="shared" si="51"/>
        <v>0.1194596175059474</v>
      </c>
      <c r="AI72" s="90">
        <f t="shared" si="51"/>
        <v>0.10552037006358875</v>
      </c>
      <c r="AJ72" s="90">
        <f t="shared" si="51"/>
        <v>0.18497056375797552</v>
      </c>
      <c r="AK72" s="90">
        <f t="shared" si="51"/>
        <v>0.17525588076854012</v>
      </c>
    </row>
    <row r="73" spans="1:37" ht="12.75" customHeight="1">
      <c r="B73" s="33" t="s">
        <v>585</v>
      </c>
      <c r="C73" s="90">
        <f>SUM(C65-C50)/C29</f>
        <v>-0.1658617033808458</v>
      </c>
      <c r="D73" s="90">
        <f>SUM(D65-D50)/D29</f>
        <v>-5.4998075677502326E-2</v>
      </c>
      <c r="E73" s="90">
        <f>SUM(E65-E50)/E29</f>
        <v>-6.2565588462002802E-2</v>
      </c>
      <c r="F73" s="90">
        <f>SUM(F65-F50)/F29</f>
        <v>-7.9040261501781811E-2</v>
      </c>
      <c r="G73" s="90">
        <f>SUM(G65-G50)/G29</f>
        <v>-3.6475153834908229E-2</v>
      </c>
      <c r="I73" s="39"/>
      <c r="J73" s="39"/>
      <c r="K73" s="39"/>
      <c r="L73" s="90">
        <f t="shared" ref="L73:W73" si="52">SUM(L65-L50)/SUM(I29:L29)</f>
        <v>-6.2565588462002802E-2</v>
      </c>
      <c r="M73" s="90">
        <f t="shared" si="52"/>
        <v>-0.101878612716763</v>
      </c>
      <c r="N73" s="90">
        <f t="shared" si="52"/>
        <v>-9.9667774086378738E-2</v>
      </c>
      <c r="O73" s="90">
        <f t="shared" si="52"/>
        <v>-0.13643295386033974</v>
      </c>
      <c r="P73" s="90">
        <f t="shared" si="52"/>
        <v>-7.9040261501781811E-2</v>
      </c>
      <c r="Q73" s="90">
        <f t="shared" si="52"/>
        <v>-8.5229555067224308E-2</v>
      </c>
      <c r="R73" s="90">
        <f t="shared" si="52"/>
        <v>-9.7365966664660936E-2</v>
      </c>
      <c r="S73" s="90">
        <f t="shared" si="52"/>
        <v>-3.6847127861100427E-2</v>
      </c>
      <c r="T73" s="90">
        <f t="shared" si="52"/>
        <v>-3.6475153834908229E-2</v>
      </c>
      <c r="U73" s="90">
        <f t="shared" si="52"/>
        <v>-4.2708957220954975E-2</v>
      </c>
      <c r="V73" s="90">
        <f t="shared" si="52"/>
        <v>5.5290817741885767E-2</v>
      </c>
      <c r="W73" s="90">
        <f t="shared" si="52"/>
        <v>3.7050338181600528E-2</v>
      </c>
      <c r="X73" s="90"/>
      <c r="Y73" s="90">
        <f t="shared" ref="Y73:AK73" si="53">SUM(Y65-Y50)/Y29</f>
        <v>-0.32109853344810224</v>
      </c>
      <c r="Z73" s="90">
        <f t="shared" si="53"/>
        <v>-0.25184060430516392</v>
      </c>
      <c r="AA73" s="90">
        <f t="shared" si="53"/>
        <v>-0.31795573073777633</v>
      </c>
      <c r="AB73" s="90">
        <f t="shared" si="53"/>
        <v>-0.31280843279948412</v>
      </c>
      <c r="AC73" s="90">
        <f t="shared" si="53"/>
        <v>-0.35606953816822617</v>
      </c>
      <c r="AD73" s="90">
        <f t="shared" si="53"/>
        <v>-0.26693540692681994</v>
      </c>
      <c r="AE73" s="90">
        <f t="shared" si="53"/>
        <v>-0.25413989331492143</v>
      </c>
      <c r="AF73" s="90">
        <f t="shared" si="53"/>
        <v>-0.26738913721580859</v>
      </c>
      <c r="AG73" s="90">
        <f t="shared" si="53"/>
        <v>-3.6847127861100427E-2</v>
      </c>
      <c r="AH73" s="90">
        <f t="shared" si="53"/>
        <v>-3.6475153834908229E-2</v>
      </c>
      <c r="AI73" s="90">
        <f t="shared" si="53"/>
        <v>-4.2708957220954975E-2</v>
      </c>
      <c r="AJ73" s="90">
        <f t="shared" si="53"/>
        <v>5.5290817741885767E-2</v>
      </c>
      <c r="AK73" s="90">
        <f t="shared" si="53"/>
        <v>3.7050338181600528E-2</v>
      </c>
    </row>
    <row r="74" spans="1:37" ht="12.75" customHeight="1">
      <c r="B74" s="33" t="s">
        <v>586</v>
      </c>
      <c r="C74" s="90">
        <f>C29/-C34</f>
        <v>503.05185185185184</v>
      </c>
      <c r="D74" s="90">
        <f>D29/-D34</f>
        <v>307.89306358381504</v>
      </c>
      <c r="E74" s="90">
        <f>E29/-E34</f>
        <v>301.62184873949582</v>
      </c>
      <c r="F74" s="90">
        <f>F29/-F34</f>
        <v>385.38636363636363</v>
      </c>
      <c r="G74" s="90">
        <f>G29/-G34</f>
        <v>561.51492537313436</v>
      </c>
      <c r="I74" s="39"/>
      <c r="J74" s="39"/>
      <c r="K74" s="39"/>
      <c r="L74" s="90" cm="1">
        <f t="array" ref="L74">SUM(I29:L29)/SUM(-I34:L34)</f>
        <v>301.62184873949582</v>
      </c>
      <c r="M74" s="90" cm="1">
        <f t="array" ref="M74">SUM(J29:M29)/SUM(-J34:M34)</f>
        <v>297.12994350282486</v>
      </c>
      <c r="N74" s="90" cm="1">
        <f t="array" ref="N74">SUM(K29:N29)/SUM(-K34:N34)</f>
        <v>344.13694267515922</v>
      </c>
      <c r="O74" s="90" cm="1">
        <f t="array" ref="O74">SUM(L29:O29)/SUM(-L34:O34)</f>
        <v>342.82066869300911</v>
      </c>
      <c r="P74" s="90" cm="1">
        <f t="array" ref="P74">SUM(M29:P29)/SUM(-M34:P34)</f>
        <v>385.38636363636363</v>
      </c>
      <c r="Q74" s="90" cm="1">
        <f t="array" ref="Q74">SUM(N29:Q29)/SUM(-N34:Q34)</f>
        <v>394.29503105590061</v>
      </c>
      <c r="R74" s="90" cm="1">
        <f t="array" ref="R74">SUM(O29:R29)/SUM(-O34:R34)</f>
        <v>384.25433526011562</v>
      </c>
      <c r="S74" s="90" cm="1">
        <f t="array" ref="S74">SUM(P29:S29)/SUM(-P34:S34)</f>
        <v>494.42957746478874</v>
      </c>
      <c r="T74" s="90" cm="1">
        <f t="array" ref="T74">SUM(Q29:T29)/SUM(-Q34:T34)</f>
        <v>561.51492537313436</v>
      </c>
      <c r="U74" s="90" cm="1">
        <f t="array" ref="U74">SUM(R29:U29)/SUM(-R34:U34)</f>
        <v>754.54807692307691</v>
      </c>
      <c r="V74" s="90" cm="1">
        <f t="array" ref="V74">SUM(S29:V29)/SUM(-S34:V34)</f>
        <v>403.51990049751242</v>
      </c>
      <c r="W74" s="90" cm="1">
        <f t="array" ref="W74">SUM(T29:W29)/SUM(-T34:W34)</f>
        <v>340.26476578411405</v>
      </c>
      <c r="X74" s="90"/>
      <c r="Y74" s="90">
        <f t="shared" ref="Y74:AK74" si="54">Y29/-Y34</f>
        <v>230.61048689138576</v>
      </c>
      <c r="Z74" s="90">
        <f t="shared" si="54"/>
        <v>219.52661064425772</v>
      </c>
      <c r="AA74" s="90">
        <f t="shared" si="54"/>
        <v>210.70338983050848</v>
      </c>
      <c r="AB74" s="90">
        <f t="shared" si="54"/>
        <v>242.00318471337579</v>
      </c>
      <c r="AC74" s="90">
        <f t="shared" si="54"/>
        <v>242.32826747720364</v>
      </c>
      <c r="AD74" s="90">
        <f t="shared" si="54"/>
        <v>272.23376623376623</v>
      </c>
      <c r="AE74" s="90">
        <f t="shared" si="54"/>
        <v>278.8726708074534</v>
      </c>
      <c r="AF74" s="90">
        <f t="shared" si="54"/>
        <v>269.62716763005778</v>
      </c>
      <c r="AG74" s="90">
        <f t="shared" si="54"/>
        <v>494.42957746478874</v>
      </c>
      <c r="AH74" s="90">
        <f t="shared" si="54"/>
        <v>561.51492537313436</v>
      </c>
      <c r="AI74" s="90">
        <f t="shared" si="54"/>
        <v>754.54807692307691</v>
      </c>
      <c r="AJ74" s="90">
        <f t="shared" si="54"/>
        <v>403.51990049751242</v>
      </c>
      <c r="AK74" s="90">
        <f t="shared" si="54"/>
        <v>340.26476578411405</v>
      </c>
    </row>
    <row r="75" spans="1:37" ht="12.75" customHeight="1">
      <c r="B75" s="33" t="s">
        <v>587</v>
      </c>
      <c r="C75" s="90" cm="1">
        <f t="array" ref="C75">SUM(C29+C32)/SUM(-C33:C34)</f>
        <v>8.3459512195121945</v>
      </c>
      <c r="D75" s="90" cm="1">
        <f t="array" ref="D75">SUM(D29+D32)/SUM(-D33:D34)</f>
        <v>6.0316179677278674</v>
      </c>
      <c r="E75" s="90" cm="1">
        <f t="array" ref="E75">SUM(E29+E32)/SUM(-E33:E34)</f>
        <v>4.4364902072834953</v>
      </c>
      <c r="F75" s="90" cm="1">
        <f t="array" ref="F75">SUM(F29+F32)/SUM(-F33:F34)</f>
        <v>4.8304745275267047</v>
      </c>
      <c r="G75" s="90" cm="1">
        <f t="array" ref="G75">SUM(G29+G32)/SUM(-G33:G34)</f>
        <v>6.2083159432387314</v>
      </c>
      <c r="I75" s="39"/>
      <c r="J75" s="39"/>
      <c r="K75" s="39"/>
      <c r="L75" s="90" cm="1">
        <f t="array" ref="L75">SUM(I29:L29+I32:L32)/SUM(-I33:L34)</f>
        <v>3.9583354979479455</v>
      </c>
      <c r="M75" s="90" cm="1">
        <f t="array" ref="M75">SUM(J29:M29+J32:M32)/SUM(-J33:M34)</f>
        <v>3.9968934451693072</v>
      </c>
      <c r="N75" s="90" cm="1">
        <f t="array" ref="N75">SUM(K29:N29+K32:N32)/SUM(-K33:N34)</f>
        <v>4.1366456416089337</v>
      </c>
      <c r="O75" s="90" cm="1">
        <f t="array" ref="O75">SUM(L29:O29+L32:O32)/SUM(-L33:O34)</f>
        <v>4.3223166023166026</v>
      </c>
      <c r="P75" s="90" cm="1">
        <f t="array" ref="P75">SUM(M29:P29+M32:P32)/SUM(-M33:P34)</f>
        <v>4.4396055875102709</v>
      </c>
      <c r="Q75" s="90" cm="1">
        <f t="array" ref="Q75">SUM(N29:Q29+N32:Q32)/SUM(-N33:Q34)</f>
        <v>4.5823377960865086</v>
      </c>
      <c r="R75" s="90" cm="1">
        <f t="array" ref="R75">SUM(O29:R29+O32:R32)/SUM(-O33:R34)</f>
        <v>4.5763236660130042</v>
      </c>
      <c r="S75" s="90" cm="1">
        <f t="array" ref="S75">SUM(P29:S29+P32:S32)/SUM(-P33:S34)</f>
        <v>4.7345454545454544</v>
      </c>
      <c r="T75" s="90" cm="1">
        <f t="array" ref="T75">SUM(Q29:T29+Q32:T32)/SUM(-Q33:T34)</f>
        <v>5.110131469115192</v>
      </c>
      <c r="U75" s="90" cm="1">
        <f t="array" ref="U75">SUM(R29:U29+R32:U32)/SUM(-R33:U34)</f>
        <v>5.1929034959179399</v>
      </c>
      <c r="V75" s="90" cm="1">
        <f t="array" ref="V75">SUM(S29:V29+S32:V32)/SUM(-S33:V34)</f>
        <v>4.9339446689462232</v>
      </c>
      <c r="W75" s="90" cm="1">
        <f t="array" ref="W75">SUM(T29:W29+T32:W32)/SUM(-T33:W34)</f>
        <v>4.5999690578103243</v>
      </c>
      <c r="X75" s="90"/>
      <c r="Y75" s="90" cm="1">
        <f t="array" ref="Y75">SUM(Y29+Y32)/SUM(-Y33:Y34)</f>
        <v>2.6103491271820447</v>
      </c>
      <c r="Z75" s="90" cm="1">
        <f t="array" ref="Z75">SUM(Z29+Z32)/SUM(-Z33:Z34)</f>
        <v>2.4357628967738583</v>
      </c>
      <c r="AA75" s="90" cm="1">
        <f t="array" ref="AA75">SUM(AA29+AA32)/SUM(-AA33:AA34)</f>
        <v>2.4128093610852233</v>
      </c>
      <c r="AB75" s="90" cm="1">
        <f t="array" ref="AB75">SUM(AB29+AB32)/SUM(-AB33:AB34)</f>
        <v>2.478595801881915</v>
      </c>
      <c r="AC75" s="90" cm="1">
        <f t="array" ref="AC75">SUM(AC29+AC32)/SUM(-AC33:AC34)</f>
        <v>2.6202831402831404</v>
      </c>
      <c r="AD75" s="90" cm="1">
        <f t="array" ref="AD75">SUM(AD29+AD32)/SUM(-AD33:AD34)</f>
        <v>2.6498048479868528</v>
      </c>
      <c r="AE75" s="90" cm="1">
        <f t="array" ref="AE75">SUM(AE29+AE32)/SUM(-AE33:AE34)</f>
        <v>2.6685375901132851</v>
      </c>
      <c r="AF75" s="90" cm="1">
        <f t="array" ref="AF75">SUM(AF29+AF32)/SUM(-AF33:AF34)</f>
        <v>2.5296212199401382</v>
      </c>
      <c r="AG75" s="90" cm="1">
        <f t="array" ref="AG75">SUM(AG29+AG32)/SUM(-AG33:AG34)</f>
        <v>4.7345454545454544</v>
      </c>
      <c r="AH75" s="90" cm="1">
        <f t="array" ref="AH75">SUM(AH29+AH32)/SUM(-AH33:AH34)</f>
        <v>5.110131469115192</v>
      </c>
      <c r="AI75" s="90" cm="1">
        <f t="array" ref="AI75">SUM(AI29+AI32)/SUM(-AI33:AI34)</f>
        <v>5.1929034959179399</v>
      </c>
      <c r="AJ75" s="90" cm="1">
        <f t="array" ref="AJ75">SUM(AJ29+AJ32)/SUM(-AJ33:AJ34)</f>
        <v>4.9339446689462232</v>
      </c>
      <c r="AK75" s="90" cm="1">
        <f t="array" ref="AK75">SUM(AK29+AK32)/SUM(-AK33:AK34)</f>
        <v>4.5999690578103243</v>
      </c>
    </row>
    <row r="76" spans="1:37" ht="12.75" customHeight="1">
      <c r="B76" s="33" t="s">
        <v>588</v>
      </c>
      <c r="C76" s="90" cm="1">
        <f t="array" ref="C76">SUM(C29)/SUM(-C32:C34)</f>
        <v>2.2439862542955327</v>
      </c>
      <c r="D76" s="90" cm="1">
        <f t="array" ref="D76">SUM(D29)/SUM(-D32:D34)</f>
        <v>2.8555996354473812</v>
      </c>
      <c r="E76" s="90" cm="1">
        <f t="array" ref="E76">SUM(E29)/SUM(-E32:E34)</f>
        <v>2.592800385263665</v>
      </c>
      <c r="F76" s="90" cm="1">
        <f t="array" ref="F76">SUM(F29)/SUM(-F32:F34)</f>
        <v>2.6908550961189701</v>
      </c>
      <c r="G76" s="90" cm="1">
        <f t="array" ref="G76">SUM(G29)/SUM(-G32:G34)</f>
        <v>2.9709197875742799</v>
      </c>
      <c r="I76" s="39"/>
      <c r="J76" s="39"/>
      <c r="K76" s="39"/>
      <c r="L76" s="90" cm="1">
        <f t="array" ref="L76">SUM(I29:L29)/SUM(-I32:L34)</f>
        <v>2.1224228328142862</v>
      </c>
      <c r="M76" s="90" cm="1">
        <f t="array" ref="M76">SUM(J29:M29)/SUM(-J32:M34)</f>
        <v>2.2236691894634477</v>
      </c>
      <c r="N76" s="90" cm="1">
        <f t="array" ref="N76">SUM(K29:N29)/SUM(-K32:N34)</f>
        <v>2.2802067946824223</v>
      </c>
      <c r="O76" s="90" cm="1">
        <f t="array" ref="O76">SUM(L29:O29)/SUM(-L32:O34)</f>
        <v>2.337478239243969</v>
      </c>
      <c r="P76" s="90" cm="1">
        <f t="array" ref="P76">SUM(M29:P29)/SUM(-M32:P34)</f>
        <v>2.2948978210853972</v>
      </c>
      <c r="Q76" s="90" cm="1">
        <f t="array" ref="Q76">SUM(N29:Q29)/SUM(-N32:Q34)</f>
        <v>2.2121301878245112</v>
      </c>
      <c r="R76" s="90" cm="1">
        <f t="array" ref="R76">SUM(O29:R29)/SUM(-O32:R34)</f>
        <v>2.0887981146897094</v>
      </c>
      <c r="S76" s="90" cm="1">
        <f t="array" ref="S76">SUM(P29:S29)/SUM(-P32:S34)</f>
        <v>2.0490602381508287</v>
      </c>
      <c r="T76" s="90" cm="1">
        <f t="array" ref="T76">SUM(Q29:T29)/SUM(-Q32:T34)</f>
        <v>2.0987406384670098</v>
      </c>
      <c r="U76" s="90" cm="1">
        <f t="array" ref="U76">SUM(R29:U29)/SUM(-R32:U34)</f>
        <v>2.0428229291404176</v>
      </c>
      <c r="V76" s="90" cm="1">
        <f t="array" ref="V76">SUM(S29:V29)/SUM(-S32:V34)</f>
        <v>1.8800560951299228</v>
      </c>
      <c r="W76" s="90" cm="1">
        <f t="array" ref="W76">SUM(T29:W29)/SUM(-T32:W34)</f>
        <v>1.7177138274575121</v>
      </c>
      <c r="X76" s="90"/>
      <c r="Y76" s="90" cm="1">
        <f t="array" ref="Y76">SUM(Y29)/SUM(-Y32:Y34)</f>
        <v>1.6065595157334447</v>
      </c>
      <c r="Z76" s="90" cm="1">
        <f t="array" ref="Z76">SUM(Z29)/SUM(-Z32:Z34)</f>
        <v>1.5447431702605747</v>
      </c>
      <c r="AA76" s="90" cm="1">
        <f t="array" ref="AA76">SUM(AA29)/SUM(-AA32:AA34)</f>
        <v>1.5768677857173059</v>
      </c>
      <c r="AB76" s="90" cm="1">
        <f t="array" ref="AB76">SUM(AB29)/SUM(-AB32:AB34)</f>
        <v>1.6034817472040515</v>
      </c>
      <c r="AC76" s="90" cm="1">
        <f t="array" ref="AC76">SUM(AC29)/SUM(-AC32:AC34)</f>
        <v>1.6522838431567604</v>
      </c>
      <c r="AD76" s="90" cm="1">
        <f t="array" ref="AD76">SUM(AD29)/SUM(-AD32:AD34)</f>
        <v>1.6210969974672775</v>
      </c>
      <c r="AE76" s="90" cm="1">
        <f t="array" ref="AE76">SUM(AE29)/SUM(-AE32:AE34)</f>
        <v>1.5645712095340976</v>
      </c>
      <c r="AF76" s="90" cm="1">
        <f t="array" ref="AF76">SUM(AF29)/SUM(-AF32:AF34)</f>
        <v>1.4656873527101335</v>
      </c>
      <c r="AG76" s="90" cm="1">
        <f t="array" ref="AG76">SUM(AG29)/SUM(-AG32:AG34)</f>
        <v>2.0490602381508287</v>
      </c>
      <c r="AH76" s="90" cm="1">
        <f t="array" ref="AH76">SUM(AH29)/SUM(-AH32:AH34)</f>
        <v>2.0987406384670098</v>
      </c>
      <c r="AI76" s="90" cm="1">
        <f t="array" ref="AI76">SUM(AI29)/SUM(-AI32:AI34)</f>
        <v>2.0428229291404176</v>
      </c>
      <c r="AJ76" s="90" cm="1">
        <f t="array" ref="AJ76">SUM(AJ29)/SUM(-AJ32:AJ34)</f>
        <v>1.8800560951299228</v>
      </c>
      <c r="AK76" s="90" cm="1">
        <f t="array" ref="AK76">SUM(AK29)/SUM(-AK32:AK34)</f>
        <v>1.7177138274575121</v>
      </c>
    </row>
    <row r="77" spans="1:37" ht="12.75" customHeight="1">
      <c r="B77" s="8" t="s">
        <v>73</v>
      </c>
      <c r="C77" s="90">
        <f>C68/C65</f>
        <v>15.640089467798171</v>
      </c>
      <c r="D77" s="90">
        <f>D68/D65</f>
        <v>17.680034469044148</v>
      </c>
      <c r="E77" s="90">
        <f>E68/E65</f>
        <v>17.916127327961959</v>
      </c>
      <c r="F77" s="90">
        <f>F68/F65</f>
        <v>20.32217373516978</v>
      </c>
      <c r="G77" s="90">
        <f>G68/G65</f>
        <v>19.083328697780498</v>
      </c>
      <c r="I77" s="39"/>
      <c r="J77" s="39"/>
      <c r="K77" s="39"/>
      <c r="L77" s="90">
        <f t="shared" ref="L77:V77" si="55">L68/L65</f>
        <v>17.916127327961959</v>
      </c>
      <c r="M77" s="90">
        <f t="shared" si="55"/>
        <v>18.155049973698052</v>
      </c>
      <c r="N77" s="90">
        <f t="shared" si="55"/>
        <v>18.622600435384921</v>
      </c>
      <c r="O77" s="90">
        <f t="shared" si="55"/>
        <v>18.840015671934179</v>
      </c>
      <c r="P77" s="90">
        <f t="shared" si="55"/>
        <v>20.32217373516978</v>
      </c>
      <c r="Q77" s="90">
        <f t="shared" si="55"/>
        <v>22.419251023990636</v>
      </c>
      <c r="R77" s="90">
        <f t="shared" si="55"/>
        <v>22.061134453781513</v>
      </c>
      <c r="S77" s="90">
        <f t="shared" si="55"/>
        <v>22.245789651673995</v>
      </c>
      <c r="T77" s="90">
        <f t="shared" si="55"/>
        <v>19.083328697780498</v>
      </c>
      <c r="U77" s="90">
        <f t="shared" si="55"/>
        <v>21.848197572610349</v>
      </c>
      <c r="V77" s="90">
        <f t="shared" si="55"/>
        <v>13.095184135977338</v>
      </c>
      <c r="W77" s="90">
        <f>W68/W65</f>
        <v>14.212670765027323</v>
      </c>
      <c r="X77" s="90"/>
      <c r="Y77" s="90">
        <f t="shared" ref="Y77:AI77" si="56">Y68/Y65</f>
        <v>115.60732037957524</v>
      </c>
      <c r="Z77" s="90">
        <f t="shared" si="56"/>
        <v>120.58169934640523</v>
      </c>
      <c r="AA77" s="90">
        <f t="shared" si="56"/>
        <v>119.15851449275362</v>
      </c>
      <c r="AB77" s="90">
        <f t="shared" si="56"/>
        <v>124.73367299675776</v>
      </c>
      <c r="AC77" s="90">
        <f t="shared" si="56"/>
        <v>119.06482281763181</v>
      </c>
      <c r="AD77" s="90">
        <f t="shared" si="56"/>
        <v>171.09543817527012</v>
      </c>
      <c r="AE77" s="90">
        <f t="shared" si="56"/>
        <v>176.14593301435406</v>
      </c>
      <c r="AF77" s="90">
        <f t="shared" si="56"/>
        <v>132.9092105263158</v>
      </c>
      <c r="AG77" s="90">
        <f t="shared" si="56"/>
        <v>22.245789651673995</v>
      </c>
      <c r="AH77" s="90">
        <f t="shared" si="56"/>
        <v>19.083328697780498</v>
      </c>
      <c r="AI77" s="90">
        <f t="shared" si="56"/>
        <v>21.848197572610349</v>
      </c>
      <c r="AJ77" s="90">
        <f>AJ68/AJ65</f>
        <v>13.095184135977338</v>
      </c>
      <c r="AK77" s="90">
        <f>AK68/AK65</f>
        <v>14.212670765027323</v>
      </c>
    </row>
    <row r="78" spans="1:37" ht="5.0999999999999996" customHeight="1" thickBot="1">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row>
  </sheetData>
  <mergeCells count="1">
    <mergeCell ref="AM2:AM4"/>
  </mergeCells>
  <dataValidations disablePrompts="1" count="1">
    <dataValidation type="list" allowBlank="1" showInputMessage="1" showErrorMessage="1" sqref="B4" xr:uid="{060857CB-86CD-4220-87C0-9A83C6E53284}">
      <formula1>"$ bns except per share, $ mm except per share,$ in thousands except per share"</formula1>
    </dataValidation>
  </dataValidations>
  <pageMargins left="0.7" right="0.7" top="0.75" bottom="0.75" header="0.3" footer="0.3"/>
  <ignoredErrors>
    <ignoredError sqref="C36:V37 AL37:AM37 H32:H34 H39 H40 AL39:AM40 AL35 AL36 H35 AL38:AM38 H38" formulaRange="1"/>
    <ignoredError sqref="C72:AK77 D11:AK13 AM21:AM28 C22:AK23 H14 X14:AK14 D15:AK17 AM10:AM20 C16:C17 H21 H19:H20 H18 X18:AK18 X19:AK20 C25:AK27 H24 X24:AK24 C29:AK30 H28 AM29:AM36 X28:AK28" evalError="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1C5D-AED5-4BFE-BA26-5AB41D553B0B}">
  <sheetPr>
    <tabColor theme="8" tint="-0.249977111117893"/>
  </sheetPr>
  <dimension ref="A2:T243"/>
  <sheetViews>
    <sheetView showGridLines="0" zoomScale="115" zoomScaleNormal="115" workbookViewId="0">
      <selection activeCell="B3" sqref="B3"/>
    </sheetView>
  </sheetViews>
  <sheetFormatPr defaultColWidth="7.75" defaultRowHeight="12"/>
  <cols>
    <col min="1" max="1" width="1.5" style="8" customWidth="1"/>
    <col min="2" max="2" width="40.875" style="8" bestFit="1" customWidth="1"/>
    <col min="3" max="3" width="8.875" style="8" bestFit="1" customWidth="1"/>
    <col min="4" max="6" width="10" style="8" customWidth="1"/>
    <col min="7" max="7" width="11.375" style="8" bestFit="1" customWidth="1"/>
    <col min="8" max="11" width="10" style="8" customWidth="1"/>
    <col min="12" max="12" width="1.625" style="8" customWidth="1"/>
    <col min="13" max="13" width="10.375" style="8" customWidth="1"/>
    <col min="14" max="16" width="9" style="8" bestFit="1" customWidth="1"/>
    <col min="17" max="18" width="8.25" style="8" bestFit="1" customWidth="1"/>
    <col min="19" max="16384" width="7.75" style="8"/>
  </cols>
  <sheetData>
    <row r="2" spans="1:19">
      <c r="B2" s="1" t="s">
        <v>470</v>
      </c>
      <c r="C2" s="1"/>
      <c r="D2" s="1"/>
      <c r="E2" s="1"/>
      <c r="F2" s="1"/>
      <c r="G2" s="1"/>
      <c r="H2" s="1"/>
      <c r="I2" s="1"/>
      <c r="J2" s="1"/>
      <c r="K2" s="1"/>
    </row>
    <row r="3" spans="1:19">
      <c r="B3" s="6" t="s">
        <v>416</v>
      </c>
      <c r="C3" s="1"/>
      <c r="D3" s="1"/>
      <c r="E3" s="1"/>
      <c r="F3" s="1"/>
      <c r="G3" s="1"/>
      <c r="H3" s="1"/>
      <c r="I3" s="1"/>
      <c r="J3" s="1"/>
      <c r="K3" s="1"/>
    </row>
    <row r="4" spans="1:19">
      <c r="B4" s="6" t="s">
        <v>407</v>
      </c>
      <c r="C4" s="6"/>
      <c r="D4" s="6"/>
      <c r="E4" s="6"/>
      <c r="F4" s="6"/>
      <c r="G4" s="6"/>
      <c r="H4" s="6"/>
      <c r="I4" s="6"/>
      <c r="J4" s="6"/>
      <c r="K4" s="6"/>
    </row>
    <row r="5" spans="1:19" ht="5.0999999999999996" customHeight="1"/>
    <row r="6" spans="1:19">
      <c r="B6" s="337" t="s">
        <v>100</v>
      </c>
      <c r="C6" s="335" t="s">
        <v>448</v>
      </c>
      <c r="D6" s="180"/>
      <c r="E6" s="180"/>
      <c r="F6" s="180"/>
      <c r="G6" s="180"/>
      <c r="H6" s="180"/>
      <c r="I6" s="179" t="s">
        <v>101</v>
      </c>
      <c r="J6" s="180"/>
      <c r="K6" s="343" t="s">
        <v>102</v>
      </c>
    </row>
    <row r="7" spans="1:19">
      <c r="B7" s="338" t="s">
        <v>103</v>
      </c>
      <c r="C7" s="326" t="s">
        <v>589</v>
      </c>
      <c r="K7" s="333"/>
    </row>
    <row r="8" spans="1:19">
      <c r="B8" s="339" t="s">
        <v>104</v>
      </c>
      <c r="C8" s="342">
        <v>0</v>
      </c>
      <c r="K8" s="333"/>
    </row>
    <row r="9" spans="1:19">
      <c r="B9" s="339" t="s">
        <v>105</v>
      </c>
      <c r="C9" s="327"/>
      <c r="K9" s="333"/>
    </row>
    <row r="10" spans="1:19">
      <c r="B10" s="339" t="s">
        <v>106</v>
      </c>
      <c r="C10" s="328">
        <f ca="1">NOW()</f>
        <v>45986.348036342592</v>
      </c>
      <c r="K10" s="333"/>
      <c r="O10" s="70"/>
    </row>
    <row r="11" spans="1:19">
      <c r="B11" s="338" t="s">
        <v>107</v>
      </c>
      <c r="C11" s="329">
        <f>'Historical Financials'!I8</f>
        <v>45657</v>
      </c>
      <c r="K11" s="333"/>
    </row>
    <row r="12" spans="1:19">
      <c r="B12" s="340" t="s">
        <v>108</v>
      </c>
      <c r="C12" s="331">
        <v>4443.2650000000003</v>
      </c>
      <c r="D12" s="330"/>
      <c r="E12" s="330"/>
      <c r="F12" s="330"/>
      <c r="G12" s="330"/>
      <c r="H12" s="330"/>
      <c r="I12" s="330"/>
      <c r="J12" s="330"/>
      <c r="K12" s="334"/>
    </row>
    <row r="14" spans="1:19">
      <c r="A14" s="341" t="s">
        <v>25</v>
      </c>
      <c r="B14" s="1" t="s">
        <v>410</v>
      </c>
      <c r="C14" s="2" t="s">
        <v>408</v>
      </c>
      <c r="D14" s="2"/>
      <c r="E14" s="2"/>
      <c r="F14" s="2"/>
      <c r="G14" s="2" t="s">
        <v>166</v>
      </c>
      <c r="H14" s="2"/>
      <c r="I14" s="2"/>
      <c r="J14" s="2"/>
      <c r="K14" s="2"/>
    </row>
    <row r="15" spans="1:19">
      <c r="B15" s="6" t="s">
        <v>109</v>
      </c>
      <c r="C15" s="346">
        <f>D15-1</f>
        <v>2021</v>
      </c>
      <c r="D15" s="346">
        <f>E15-1</f>
        <v>2022</v>
      </c>
      <c r="E15" s="346">
        <f>F15-1</f>
        <v>2023</v>
      </c>
      <c r="F15" s="346">
        <f>YEAR(C11)</f>
        <v>2024</v>
      </c>
      <c r="G15" s="376">
        <f>F15+1</f>
        <v>2025</v>
      </c>
      <c r="H15" s="376">
        <f>G15+1</f>
        <v>2026</v>
      </c>
      <c r="I15" s="376">
        <f>H15+1</f>
        <v>2027</v>
      </c>
      <c r="J15" s="376">
        <f>I15+1</f>
        <v>2028</v>
      </c>
      <c r="K15" s="376">
        <f>J15+1</f>
        <v>2029</v>
      </c>
    </row>
    <row r="16" spans="1:19">
      <c r="B16" s="6" t="s">
        <v>110</v>
      </c>
      <c r="C16" s="3">
        <f>EOMONTH(D16,-12)</f>
        <v>44561</v>
      </c>
      <c r="D16" s="3">
        <f>EOMONTH(E16,-12)</f>
        <v>44926</v>
      </c>
      <c r="E16" s="3">
        <f>EOMONTH(F16,-12)</f>
        <v>45291</v>
      </c>
      <c r="F16" s="3">
        <f>C11</f>
        <v>45657</v>
      </c>
      <c r="G16" s="3">
        <f>EOMONTH(F16,12)</f>
        <v>46022</v>
      </c>
      <c r="H16" s="3">
        <f>EOMONTH(G16,12)</f>
        <v>46387</v>
      </c>
      <c r="I16" s="3">
        <f>EOMONTH(H16,12)</f>
        <v>46752</v>
      </c>
      <c r="J16" s="3">
        <f>EOMONTH(I16,12)</f>
        <v>47118</v>
      </c>
      <c r="K16" s="3">
        <f>EOMONTH(J16,12)</f>
        <v>47483</v>
      </c>
      <c r="M16" s="1" t="s">
        <v>409</v>
      </c>
      <c r="N16" s="1"/>
      <c r="O16" s="1"/>
      <c r="P16" s="1"/>
      <c r="Q16" s="1"/>
      <c r="R16" s="1"/>
      <c r="S16" s="1"/>
    </row>
    <row r="17" spans="2:13" ht="5.0999999999999996" customHeight="1">
      <c r="B17" s="99"/>
      <c r="C17" s="99"/>
      <c r="D17" s="100"/>
      <c r="E17" s="101"/>
      <c r="F17" s="101"/>
      <c r="G17" s="102"/>
      <c r="H17" s="103"/>
      <c r="I17" s="103"/>
      <c r="J17" s="101"/>
      <c r="K17" s="101"/>
    </row>
    <row r="18" spans="2:13" ht="12.75" customHeight="1">
      <c r="B18" s="8" t="s">
        <v>601</v>
      </c>
      <c r="C18" s="165">
        <f>'Revenue Drivers'!F22</f>
        <v>148951</v>
      </c>
      <c r="D18" s="165">
        <f>'Revenue Drivers'!G22</f>
        <v>162450</v>
      </c>
      <c r="E18" s="165">
        <f>'Revenue Drivers'!H22</f>
        <v>175033</v>
      </c>
      <c r="F18" s="165">
        <f>'Revenue Drivers'!I22</f>
        <v>198084</v>
      </c>
      <c r="G18" s="481">
        <f>F18*(1+G61)</f>
        <v>198084</v>
      </c>
      <c r="H18" s="481">
        <f>G18*(1+H61)</f>
        <v>198084</v>
      </c>
      <c r="I18" s="481">
        <f>H18*(1+I61)</f>
        <v>198084</v>
      </c>
      <c r="J18" s="481">
        <f>I18*(1+J61)</f>
        <v>198084</v>
      </c>
      <c r="K18" s="481">
        <f>J18*(1+K61)</f>
        <v>198084</v>
      </c>
    </row>
    <row r="19" spans="2:13" ht="12.75" customHeight="1">
      <c r="B19" s="8" t="s">
        <v>560</v>
      </c>
      <c r="C19" s="165">
        <f>'Revenue Drivers'!F23</f>
        <v>28845</v>
      </c>
      <c r="D19" s="165">
        <f>'Revenue Drivers'!G23</f>
        <v>29243</v>
      </c>
      <c r="E19" s="165">
        <f>'Revenue Drivers'!H23</f>
        <v>31510</v>
      </c>
      <c r="F19" s="165">
        <f>'Revenue Drivers'!I23</f>
        <v>36147</v>
      </c>
      <c r="G19" s="481"/>
      <c r="H19" s="481"/>
      <c r="I19" s="481"/>
      <c r="J19" s="481"/>
      <c r="K19" s="481"/>
    </row>
    <row r="20" spans="2:13" ht="12.75" customHeight="1">
      <c r="B20" s="8" t="s">
        <v>505</v>
      </c>
      <c r="C20" s="165">
        <f>'Revenue Drivers'!F24</f>
        <v>31701</v>
      </c>
      <c r="D20" s="165">
        <f>'Revenue Drivers'!G24</f>
        <v>32780</v>
      </c>
      <c r="E20" s="165">
        <f>'Revenue Drivers'!H24</f>
        <v>31312</v>
      </c>
      <c r="F20" s="165">
        <f>'Revenue Drivers'!I24</f>
        <v>30359</v>
      </c>
      <c r="G20" s="481"/>
      <c r="H20" s="481"/>
      <c r="I20" s="481"/>
      <c r="J20" s="481"/>
      <c r="K20" s="481"/>
    </row>
    <row r="21" spans="2:13" ht="12.75" customHeight="1">
      <c r="B21" s="123" t="s">
        <v>599</v>
      </c>
      <c r="C21" s="524">
        <f t="shared" ref="C21:K21" si="0">SUM(C18:C20)</f>
        <v>209497</v>
      </c>
      <c r="D21" s="524">
        <f t="shared" si="0"/>
        <v>224473</v>
      </c>
      <c r="E21" s="524">
        <f t="shared" si="0"/>
        <v>237855</v>
      </c>
      <c r="F21" s="524">
        <f t="shared" si="0"/>
        <v>264590</v>
      </c>
      <c r="G21" s="524">
        <f t="shared" si="0"/>
        <v>198084</v>
      </c>
      <c r="H21" s="524">
        <f t="shared" si="0"/>
        <v>198084</v>
      </c>
      <c r="I21" s="524">
        <f t="shared" si="0"/>
        <v>198084</v>
      </c>
      <c r="J21" s="524">
        <f t="shared" si="0"/>
        <v>198084</v>
      </c>
      <c r="K21" s="524">
        <f t="shared" si="0"/>
        <v>198084</v>
      </c>
    </row>
    <row r="22" spans="2:13" ht="12.75" customHeight="1">
      <c r="C22" s="165"/>
      <c r="D22" s="165"/>
      <c r="E22" s="165"/>
      <c r="F22" s="165"/>
      <c r="G22" s="481"/>
      <c r="H22" s="481"/>
      <c r="I22" s="481"/>
      <c r="J22" s="481"/>
      <c r="K22" s="481"/>
    </row>
    <row r="23" spans="2:13" ht="12.75" customHeight="1">
      <c r="C23" s="165"/>
      <c r="D23" s="165"/>
      <c r="E23" s="165"/>
      <c r="F23" s="165"/>
      <c r="G23" s="481"/>
      <c r="H23" s="481"/>
      <c r="I23" s="481"/>
      <c r="J23" s="481"/>
      <c r="K23" s="481"/>
    </row>
    <row r="24" spans="2:13" ht="12.75" customHeight="1">
      <c r="C24" s="165"/>
      <c r="D24" s="165"/>
      <c r="E24" s="165"/>
      <c r="F24" s="165"/>
      <c r="G24" s="481"/>
      <c r="H24" s="481"/>
      <c r="I24" s="481"/>
      <c r="J24" s="481"/>
      <c r="K24" s="481"/>
    </row>
    <row r="25" spans="2:13" ht="12.75" customHeight="1">
      <c r="C25" s="165"/>
      <c r="D25" s="165"/>
      <c r="E25" s="165"/>
      <c r="F25" s="165"/>
      <c r="G25" s="481"/>
      <c r="H25" s="481"/>
      <c r="I25" s="481"/>
      <c r="J25" s="481"/>
      <c r="K25" s="481"/>
    </row>
    <row r="26" spans="2:13" ht="12.75" customHeight="1">
      <c r="C26" s="165"/>
      <c r="D26" s="165"/>
      <c r="E26" s="165"/>
      <c r="F26" s="165"/>
      <c r="G26" s="481"/>
      <c r="H26" s="481"/>
      <c r="I26" s="481"/>
      <c r="J26" s="481"/>
      <c r="K26" s="481"/>
    </row>
    <row r="27" spans="2:13" ht="12.75" customHeight="1">
      <c r="C27" s="165"/>
      <c r="D27" s="165"/>
      <c r="E27" s="165"/>
      <c r="F27" s="165"/>
      <c r="G27" s="481">
        <f>F27*(1+G66)</f>
        <v>0</v>
      </c>
      <c r="H27" s="481">
        <f>G27*(1+H66)</f>
        <v>0</v>
      </c>
      <c r="I27" s="481">
        <f>H27*(1+I66)</f>
        <v>0</v>
      </c>
      <c r="J27" s="481">
        <f>I27*(1+J66)</f>
        <v>0</v>
      </c>
      <c r="K27" s="481">
        <f>J27*(1+K66)</f>
        <v>0</v>
      </c>
    </row>
    <row r="28" spans="2:13" ht="12.75" customHeight="1">
      <c r="B28" s="177" t="s">
        <v>97</v>
      </c>
      <c r="C28" s="360">
        <f t="shared" ref="C28:K28" si="1">SUM(C18:C27)</f>
        <v>418994</v>
      </c>
      <c r="D28" s="360">
        <f t="shared" si="1"/>
        <v>448946</v>
      </c>
      <c r="E28" s="360">
        <f t="shared" si="1"/>
        <v>475710</v>
      </c>
      <c r="F28" s="360">
        <f t="shared" si="1"/>
        <v>529180</v>
      </c>
      <c r="G28" s="360">
        <f t="shared" si="1"/>
        <v>396168</v>
      </c>
      <c r="H28" s="360">
        <f t="shared" si="1"/>
        <v>396168</v>
      </c>
      <c r="I28" s="360">
        <f t="shared" si="1"/>
        <v>396168</v>
      </c>
      <c r="J28" s="360">
        <f t="shared" si="1"/>
        <v>396168</v>
      </c>
      <c r="K28" s="360">
        <f t="shared" si="1"/>
        <v>396168</v>
      </c>
    </row>
    <row r="29" spans="2:13" ht="12.75" customHeight="1">
      <c r="B29" s="410" t="s">
        <v>46</v>
      </c>
      <c r="C29" s="455"/>
      <c r="D29" s="411">
        <f>SUM(D28/C28)-1</f>
        <v>7.14855105323704E-2</v>
      </c>
      <c r="E29" s="411">
        <f t="shared" ref="E29:K29" si="2">SUM(E28/D28)-1</f>
        <v>5.9615187572670258E-2</v>
      </c>
      <c r="F29" s="411">
        <f t="shared" si="2"/>
        <v>0.11240041201572382</v>
      </c>
      <c r="G29" s="411">
        <f t="shared" si="2"/>
        <v>-0.25135492649004121</v>
      </c>
      <c r="H29" s="411">
        <f t="shared" si="2"/>
        <v>0</v>
      </c>
      <c r="I29" s="411">
        <f t="shared" si="2"/>
        <v>0</v>
      </c>
      <c r="J29" s="411">
        <f t="shared" si="2"/>
        <v>0</v>
      </c>
      <c r="K29" s="411">
        <f t="shared" si="2"/>
        <v>0</v>
      </c>
    </row>
    <row r="30" spans="2:13" ht="5.0999999999999996" customHeight="1">
      <c r="C30" s="165"/>
      <c r="D30" s="165"/>
      <c r="E30" s="165"/>
      <c r="F30" s="165"/>
      <c r="G30" s="105"/>
      <c r="H30" s="105"/>
      <c r="I30" s="105"/>
      <c r="J30" s="105"/>
      <c r="K30" s="105"/>
    </row>
    <row r="31" spans="2:13" ht="12.75" customHeight="1">
      <c r="B31" s="8" t="s">
        <v>424</v>
      </c>
      <c r="C31" s="165">
        <f>'Historical Financials'!E13</f>
        <v>-84732</v>
      </c>
      <c r="D31" s="165">
        <f>'Historical Financials'!F13</f>
        <v>-110939</v>
      </c>
      <c r="E31" s="165">
        <f>'Historical Financials'!G13</f>
        <v>-126203</v>
      </c>
      <c r="F31" s="165">
        <f>'Historical Financials'!H13</f>
        <v>-133332</v>
      </c>
      <c r="G31" s="481">
        <f>+G32-G28</f>
        <v>-396168</v>
      </c>
      <c r="H31" s="481">
        <f>+H32-H28</f>
        <v>-396168</v>
      </c>
      <c r="I31" s="481">
        <f>+I32-I28</f>
        <v>-396168</v>
      </c>
      <c r="J31" s="481">
        <f>+J32-J28</f>
        <v>-396168</v>
      </c>
      <c r="K31" s="481">
        <f>+K32-K28</f>
        <v>-396168</v>
      </c>
      <c r="M31" s="8" t="s">
        <v>111</v>
      </c>
    </row>
    <row r="32" spans="2:13" ht="12.75" customHeight="1">
      <c r="B32" s="177" t="s">
        <v>31</v>
      </c>
      <c r="C32" s="360">
        <f>+C31+C28</f>
        <v>334262</v>
      </c>
      <c r="D32" s="360">
        <f>+D31+D28</f>
        <v>338007</v>
      </c>
      <c r="E32" s="360">
        <f>+E31+E28</f>
        <v>349507</v>
      </c>
      <c r="F32" s="360">
        <f>+F31+F28</f>
        <v>395848</v>
      </c>
      <c r="G32" s="360">
        <f>G68*G28</f>
        <v>0</v>
      </c>
      <c r="H32" s="360">
        <f>H68*H28</f>
        <v>0</v>
      </c>
      <c r="I32" s="360">
        <f>I68*I28</f>
        <v>0</v>
      </c>
      <c r="J32" s="360">
        <f>J68*J28</f>
        <v>0</v>
      </c>
      <c r="K32" s="360">
        <f>K68*K28</f>
        <v>0</v>
      </c>
      <c r="M32" s="33" t="s">
        <v>112</v>
      </c>
    </row>
    <row r="33" spans="2:14" ht="12.75" customHeight="1">
      <c r="B33" s="410" t="s">
        <v>422</v>
      </c>
      <c r="C33" s="411">
        <f>C32/C28</f>
        <v>0.79777276046912371</v>
      </c>
      <c r="D33" s="411">
        <f t="shared" ref="D33:K33" si="3">D32/D28</f>
        <v>0.75289010259585787</v>
      </c>
      <c r="E33" s="411">
        <f t="shared" si="3"/>
        <v>0.73470601837253791</v>
      </c>
      <c r="F33" s="411">
        <f t="shared" si="3"/>
        <v>0.7480403643372765</v>
      </c>
      <c r="G33" s="411">
        <f t="shared" si="3"/>
        <v>0</v>
      </c>
      <c r="H33" s="411">
        <f t="shared" si="3"/>
        <v>0</v>
      </c>
      <c r="I33" s="411">
        <f t="shared" si="3"/>
        <v>0</v>
      </c>
      <c r="J33" s="411">
        <f t="shared" si="3"/>
        <v>0</v>
      </c>
      <c r="K33" s="411">
        <f t="shared" si="3"/>
        <v>0</v>
      </c>
      <c r="M33" s="33"/>
    </row>
    <row r="34" spans="2:14" ht="5.0999999999999996" customHeight="1">
      <c r="B34" s="38"/>
      <c r="C34" s="106"/>
      <c r="D34" s="106"/>
      <c r="E34" s="106"/>
      <c r="F34" s="106"/>
      <c r="G34" s="106"/>
      <c r="H34" s="106"/>
      <c r="I34" s="106"/>
      <c r="J34" s="106"/>
      <c r="K34" s="106"/>
      <c r="M34" s="33"/>
    </row>
    <row r="35" spans="2:14" ht="12.75" customHeight="1">
      <c r="B35" s="8" t="s">
        <v>431</v>
      </c>
      <c r="C35" s="165"/>
      <c r="D35" s="165"/>
      <c r="E35" s="165"/>
      <c r="F35" s="165"/>
      <c r="G35" s="481">
        <f>-G69*G18</f>
        <v>0</v>
      </c>
      <c r="H35" s="481">
        <f>-H69*H18</f>
        <v>0</v>
      </c>
      <c r="I35" s="481">
        <f>-I69*I18</f>
        <v>0</v>
      </c>
      <c r="J35" s="481">
        <f>-J69*J18</f>
        <v>0</v>
      </c>
      <c r="K35" s="481">
        <f>-K69*K18</f>
        <v>0</v>
      </c>
      <c r="M35" s="33" t="s">
        <v>114</v>
      </c>
    </row>
    <row r="36" spans="2:14" ht="12.75" customHeight="1">
      <c r="B36" s="8" t="s">
        <v>432</v>
      </c>
      <c r="C36" s="165"/>
      <c r="D36" s="165"/>
      <c r="E36" s="165"/>
      <c r="F36" s="165"/>
      <c r="G36" s="481">
        <f>-G18*G70</f>
        <v>0</v>
      </c>
      <c r="H36" s="481">
        <f>-H18*H70</f>
        <v>0</v>
      </c>
      <c r="I36" s="481">
        <f>-I18*I70</f>
        <v>0</v>
      </c>
      <c r="J36" s="481">
        <f>-J18*J70</f>
        <v>0</v>
      </c>
      <c r="K36" s="481">
        <f>-K18*K70</f>
        <v>0</v>
      </c>
      <c r="M36" s="33" t="s">
        <v>113</v>
      </c>
    </row>
    <row r="37" spans="2:14" ht="12.75" customHeight="1">
      <c r="B37" s="8" t="s">
        <v>463</v>
      </c>
      <c r="C37" s="165"/>
      <c r="D37" s="165"/>
      <c r="E37" s="165"/>
      <c r="F37" s="165"/>
      <c r="G37" s="481">
        <f>-G27*G71</f>
        <v>0</v>
      </c>
      <c r="H37" s="481">
        <f>-H27*H71</f>
        <v>0</v>
      </c>
      <c r="I37" s="481">
        <f>-I27*I71</f>
        <v>0</v>
      </c>
      <c r="J37" s="481">
        <f>-J27*J71</f>
        <v>0</v>
      </c>
      <c r="K37" s="481">
        <f>-K27*K71</f>
        <v>0</v>
      </c>
      <c r="M37" s="33" t="s">
        <v>426</v>
      </c>
    </row>
    <row r="38" spans="2:14" ht="12.75" customHeight="1">
      <c r="B38" s="179" t="s">
        <v>115</v>
      </c>
      <c r="C38" s="360">
        <f>C32+C35+C36+C37</f>
        <v>334262</v>
      </c>
      <c r="D38" s="360">
        <f t="shared" ref="D38:K38" si="4">D32+D35+D36+D37</f>
        <v>338007</v>
      </c>
      <c r="E38" s="360">
        <f t="shared" si="4"/>
        <v>349507</v>
      </c>
      <c r="F38" s="360">
        <f t="shared" si="4"/>
        <v>395848</v>
      </c>
      <c r="G38" s="360">
        <f t="shared" si="4"/>
        <v>0</v>
      </c>
      <c r="H38" s="360">
        <f t="shared" si="4"/>
        <v>0</v>
      </c>
      <c r="I38" s="360">
        <f t="shared" si="4"/>
        <v>0</v>
      </c>
      <c r="J38" s="360">
        <f t="shared" si="4"/>
        <v>0</v>
      </c>
      <c r="K38" s="360">
        <f t="shared" si="4"/>
        <v>0</v>
      </c>
      <c r="M38" s="38"/>
    </row>
    <row r="39" spans="2:14" ht="12.75" customHeight="1">
      <c r="B39" s="410" t="s">
        <v>422</v>
      </c>
      <c r="C39" s="411">
        <f>C38/C28</f>
        <v>0.79777276046912371</v>
      </c>
      <c r="D39" s="411">
        <f t="shared" ref="D39:K39" si="5">D38/D28</f>
        <v>0.75289010259585787</v>
      </c>
      <c r="E39" s="411">
        <f t="shared" si="5"/>
        <v>0.73470601837253791</v>
      </c>
      <c r="F39" s="411">
        <f t="shared" si="5"/>
        <v>0.7480403643372765</v>
      </c>
      <c r="G39" s="411">
        <f t="shared" si="5"/>
        <v>0</v>
      </c>
      <c r="H39" s="411">
        <f t="shared" si="5"/>
        <v>0</v>
      </c>
      <c r="I39" s="411">
        <f t="shared" si="5"/>
        <v>0</v>
      </c>
      <c r="J39" s="411">
        <f t="shared" si="5"/>
        <v>0</v>
      </c>
      <c r="K39" s="411">
        <f t="shared" si="5"/>
        <v>0</v>
      </c>
      <c r="M39" s="38"/>
    </row>
    <row r="40" spans="2:14" ht="5.0999999999999996" customHeight="1">
      <c r="B40" s="38"/>
      <c r="C40" s="106"/>
      <c r="D40" s="106"/>
      <c r="E40" s="106"/>
      <c r="F40" s="106"/>
      <c r="G40" s="106"/>
      <c r="H40" s="106"/>
      <c r="I40" s="106"/>
      <c r="J40" s="106"/>
      <c r="K40" s="106"/>
      <c r="M40" s="33"/>
    </row>
    <row r="41" spans="2:14" ht="12.75" customHeight="1">
      <c r="B41" s="8" t="s">
        <v>427</v>
      </c>
      <c r="C41" s="165"/>
      <c r="D41" s="165"/>
      <c r="E41" s="165"/>
      <c r="F41" s="165"/>
      <c r="G41" s="481"/>
      <c r="H41" s="481"/>
      <c r="I41" s="481"/>
      <c r="J41" s="481"/>
      <c r="K41" s="481"/>
      <c r="M41" s="8" t="s">
        <v>454</v>
      </c>
    </row>
    <row r="42" spans="2:14" ht="12.75" customHeight="1">
      <c r="B42" s="8" t="s">
        <v>212</v>
      </c>
      <c r="C42" s="165"/>
      <c r="D42" s="165"/>
      <c r="E42" s="165"/>
      <c r="F42" s="165"/>
      <c r="G42" s="481"/>
      <c r="H42" s="481"/>
      <c r="I42" s="481"/>
      <c r="J42" s="481"/>
      <c r="K42" s="481"/>
      <c r="M42" s="8" t="s">
        <v>117</v>
      </c>
    </row>
    <row r="43" spans="2:14" ht="12.75" customHeight="1">
      <c r="B43" s="8" t="s">
        <v>423</v>
      </c>
      <c r="C43" s="165"/>
      <c r="D43" s="165"/>
      <c r="E43" s="165"/>
      <c r="F43" s="165"/>
      <c r="G43" s="11">
        <f>F43</f>
        <v>0</v>
      </c>
      <c r="H43" s="11">
        <f>G43</f>
        <v>0</v>
      </c>
      <c r="I43" s="11">
        <f>H43</f>
        <v>0</v>
      </c>
      <c r="J43" s="11">
        <f>I43</f>
        <v>0</v>
      </c>
      <c r="K43" s="11">
        <f>J43</f>
        <v>0</v>
      </c>
      <c r="M43" s="8" t="s">
        <v>118</v>
      </c>
    </row>
    <row r="44" spans="2:14" ht="12.75" customHeight="1">
      <c r="B44" s="179" t="s">
        <v>119</v>
      </c>
      <c r="C44" s="360">
        <f t="shared" ref="C44:K44" si="6">SUM(C38:C43)</f>
        <v>334262.79777276044</v>
      </c>
      <c r="D44" s="360">
        <f t="shared" si="6"/>
        <v>338007.75289010262</v>
      </c>
      <c r="E44" s="360">
        <f t="shared" si="6"/>
        <v>349507.73470601835</v>
      </c>
      <c r="F44" s="360">
        <f t="shared" si="6"/>
        <v>395848.74804036436</v>
      </c>
      <c r="G44" s="360">
        <f t="shared" si="6"/>
        <v>0</v>
      </c>
      <c r="H44" s="360">
        <f t="shared" si="6"/>
        <v>0</v>
      </c>
      <c r="I44" s="360">
        <f t="shared" si="6"/>
        <v>0</v>
      </c>
      <c r="J44" s="360">
        <f t="shared" si="6"/>
        <v>0</v>
      </c>
      <c r="K44" s="360">
        <f t="shared" si="6"/>
        <v>0</v>
      </c>
      <c r="M44" s="38" t="s">
        <v>120</v>
      </c>
      <c r="N44" s="38"/>
    </row>
    <row r="45" spans="2:14" ht="5.0999999999999996" customHeight="1">
      <c r="B45" s="38"/>
      <c r="C45" s="106"/>
      <c r="D45" s="106"/>
      <c r="E45" s="106"/>
      <c r="F45" s="106"/>
      <c r="G45" s="106"/>
      <c r="H45" s="106"/>
      <c r="I45" s="106"/>
      <c r="J45" s="106"/>
      <c r="K45" s="106"/>
      <c r="M45" s="33"/>
    </row>
    <row r="46" spans="2:14" ht="12.75" customHeight="1">
      <c r="B46" s="8" t="s">
        <v>425</v>
      </c>
      <c r="C46" s="165"/>
      <c r="D46" s="165"/>
      <c r="E46" s="165"/>
      <c r="F46" s="165"/>
      <c r="G46" s="481">
        <v>0</v>
      </c>
      <c r="H46" s="481">
        <v>0</v>
      </c>
      <c r="I46" s="481">
        <v>0</v>
      </c>
      <c r="J46" s="481">
        <v>0</v>
      </c>
      <c r="K46" s="481">
        <v>0</v>
      </c>
      <c r="M46" s="8" t="s">
        <v>121</v>
      </c>
    </row>
    <row r="47" spans="2:14" ht="12.75" customHeight="1">
      <c r="B47" s="177" t="s">
        <v>18</v>
      </c>
      <c r="C47" s="360">
        <f t="shared" ref="C47:K47" si="7">SUM(C44:C46)</f>
        <v>334262.79777276044</v>
      </c>
      <c r="D47" s="360">
        <f t="shared" si="7"/>
        <v>338007.75289010262</v>
      </c>
      <c r="E47" s="360">
        <f t="shared" si="7"/>
        <v>349507.73470601835</v>
      </c>
      <c r="F47" s="360">
        <f t="shared" si="7"/>
        <v>395848.74804036436</v>
      </c>
      <c r="G47" s="360">
        <f t="shared" si="7"/>
        <v>0</v>
      </c>
      <c r="H47" s="360">
        <f t="shared" si="7"/>
        <v>0</v>
      </c>
      <c r="I47" s="360">
        <f t="shared" si="7"/>
        <v>0</v>
      </c>
      <c r="J47" s="360">
        <f t="shared" si="7"/>
        <v>0</v>
      </c>
      <c r="K47" s="360">
        <f t="shared" si="7"/>
        <v>0</v>
      </c>
      <c r="M47" s="38" t="s">
        <v>122</v>
      </c>
    </row>
    <row r="48" spans="2:14" ht="12.75" customHeight="1">
      <c r="B48" s="410" t="s">
        <v>422</v>
      </c>
      <c r="C48" s="411">
        <f t="shared" ref="C48:K48" si="8">C47/C28</f>
        <v>0.79777466448865719</v>
      </c>
      <c r="D48" s="411">
        <f t="shared" si="8"/>
        <v>0.75289177961292142</v>
      </c>
      <c r="E48" s="411">
        <f t="shared" si="8"/>
        <v>0.73470756281351735</v>
      </c>
      <c r="F48" s="411">
        <f t="shared" si="8"/>
        <v>0.74804177792124482</v>
      </c>
      <c r="G48" s="411">
        <f t="shared" si="8"/>
        <v>0</v>
      </c>
      <c r="H48" s="411">
        <f t="shared" si="8"/>
        <v>0</v>
      </c>
      <c r="I48" s="411">
        <f t="shared" si="8"/>
        <v>0</v>
      </c>
      <c r="J48" s="411">
        <f t="shared" si="8"/>
        <v>0</v>
      </c>
      <c r="K48" s="411">
        <f t="shared" si="8"/>
        <v>0</v>
      </c>
      <c r="M48" s="38"/>
    </row>
    <row r="49" spans="2:20" ht="5.0999999999999996" customHeight="1">
      <c r="B49" s="38"/>
      <c r="C49" s="106"/>
      <c r="D49" s="106"/>
      <c r="E49" s="106"/>
      <c r="F49" s="106"/>
      <c r="G49" s="106"/>
      <c r="H49" s="106"/>
      <c r="I49" s="106"/>
      <c r="J49" s="106"/>
      <c r="K49" s="106"/>
      <c r="M49" s="33"/>
    </row>
    <row r="50" spans="2:20" ht="12.75" customHeight="1">
      <c r="B50" s="107" t="s">
        <v>467</v>
      </c>
      <c r="C50" s="165"/>
      <c r="D50" s="165"/>
      <c r="E50" s="165"/>
      <c r="F50" s="165"/>
      <c r="G50" s="70"/>
      <c r="H50" s="70"/>
      <c r="I50" s="70"/>
      <c r="J50" s="70"/>
      <c r="K50" s="70"/>
      <c r="M50" s="8" t="s">
        <v>124</v>
      </c>
    </row>
    <row r="51" spans="2:20" ht="12.75" customHeight="1">
      <c r="B51" s="177" t="s">
        <v>11</v>
      </c>
      <c r="C51" s="360">
        <f t="shared" ref="C51:K51" si="9">C38+C50</f>
        <v>334262</v>
      </c>
      <c r="D51" s="360">
        <f t="shared" si="9"/>
        <v>338007</v>
      </c>
      <c r="E51" s="360">
        <f t="shared" si="9"/>
        <v>349507</v>
      </c>
      <c r="F51" s="360">
        <f t="shared" si="9"/>
        <v>395848</v>
      </c>
      <c r="G51" s="360">
        <f t="shared" si="9"/>
        <v>0</v>
      </c>
      <c r="H51" s="360">
        <f t="shared" si="9"/>
        <v>0</v>
      </c>
      <c r="I51" s="360">
        <f t="shared" si="9"/>
        <v>0</v>
      </c>
      <c r="J51" s="360">
        <f t="shared" si="9"/>
        <v>0</v>
      </c>
      <c r="K51" s="360">
        <f t="shared" si="9"/>
        <v>0</v>
      </c>
      <c r="M51" s="38" t="s">
        <v>125</v>
      </c>
    </row>
    <row r="52" spans="2:20" ht="12.75" customHeight="1">
      <c r="B52" s="410" t="s">
        <v>422</v>
      </c>
      <c r="C52" s="411">
        <f t="shared" ref="C52:K52" si="10">C51/C28</f>
        <v>0.79777276046912371</v>
      </c>
      <c r="D52" s="411">
        <f t="shared" si="10"/>
        <v>0.75289010259585787</v>
      </c>
      <c r="E52" s="411">
        <f t="shared" si="10"/>
        <v>0.73470601837253791</v>
      </c>
      <c r="F52" s="411">
        <f t="shared" si="10"/>
        <v>0.7480403643372765</v>
      </c>
      <c r="G52" s="411">
        <f t="shared" si="10"/>
        <v>0</v>
      </c>
      <c r="H52" s="411">
        <f t="shared" si="10"/>
        <v>0</v>
      </c>
      <c r="I52" s="411">
        <f t="shared" si="10"/>
        <v>0</v>
      </c>
      <c r="J52" s="411">
        <f t="shared" si="10"/>
        <v>0</v>
      </c>
      <c r="K52" s="411">
        <f t="shared" si="10"/>
        <v>0</v>
      </c>
      <c r="M52" s="38"/>
    </row>
    <row r="53" spans="2:20" ht="5.0999999999999996" customHeight="1">
      <c r="B53" s="38"/>
      <c r="C53" s="106"/>
      <c r="D53" s="106"/>
      <c r="E53" s="106"/>
      <c r="F53" s="106"/>
      <c r="G53" s="106"/>
      <c r="H53" s="106"/>
      <c r="I53" s="106"/>
      <c r="J53" s="106"/>
      <c r="K53" s="106"/>
      <c r="M53" s="33"/>
    </row>
    <row r="54" spans="2:20" ht="12.75" customHeight="1">
      <c r="B54" s="107" t="s">
        <v>468</v>
      </c>
      <c r="C54" s="165"/>
      <c r="D54" s="165"/>
      <c r="E54" s="165"/>
      <c r="F54" s="165"/>
      <c r="G54" s="70">
        <f>+(F54*G60)+F54</f>
        <v>0</v>
      </c>
      <c r="H54" s="70">
        <f>+(G54*H60)+G54</f>
        <v>0</v>
      </c>
      <c r="I54" s="70">
        <f>+(H54*I60)+H54</f>
        <v>0</v>
      </c>
      <c r="J54" s="70">
        <f>+(I54*J60)+I54</f>
        <v>0</v>
      </c>
      <c r="K54" s="70">
        <f>+(J54*K60)+J54</f>
        <v>0</v>
      </c>
      <c r="M54" s="8" t="s">
        <v>453</v>
      </c>
    </row>
    <row r="55" spans="2:20" ht="12.75" customHeight="1">
      <c r="B55" s="357" t="s">
        <v>12</v>
      </c>
      <c r="C55" s="358">
        <f t="shared" ref="C55:K55" si="11">SUM(C51:C54)</f>
        <v>334262.79777276044</v>
      </c>
      <c r="D55" s="358">
        <f t="shared" si="11"/>
        <v>338007.75289010262</v>
      </c>
      <c r="E55" s="358">
        <f t="shared" si="11"/>
        <v>349507.73470601835</v>
      </c>
      <c r="F55" s="358">
        <f t="shared" si="11"/>
        <v>395848.74804036436</v>
      </c>
      <c r="G55" s="359">
        <f t="shared" si="11"/>
        <v>0</v>
      </c>
      <c r="H55" s="359">
        <f t="shared" si="11"/>
        <v>0</v>
      </c>
      <c r="I55" s="359">
        <f t="shared" si="11"/>
        <v>0</v>
      </c>
      <c r="J55" s="359">
        <f t="shared" si="11"/>
        <v>0</v>
      </c>
      <c r="K55" s="359">
        <f t="shared" si="11"/>
        <v>0</v>
      </c>
      <c r="M55" s="38" t="s">
        <v>127</v>
      </c>
    </row>
    <row r="56" spans="2:20" ht="12.75" customHeight="1">
      <c r="B56" s="410" t="s">
        <v>422</v>
      </c>
      <c r="C56" s="411">
        <f t="shared" ref="C56:K56" si="12">C55/C28</f>
        <v>0.79777466448865719</v>
      </c>
      <c r="D56" s="411">
        <f t="shared" si="12"/>
        <v>0.75289177961292142</v>
      </c>
      <c r="E56" s="411">
        <f t="shared" si="12"/>
        <v>0.73470756281351735</v>
      </c>
      <c r="F56" s="411">
        <f t="shared" si="12"/>
        <v>0.74804177792124482</v>
      </c>
      <c r="G56" s="411">
        <f t="shared" si="12"/>
        <v>0</v>
      </c>
      <c r="H56" s="411">
        <f t="shared" si="12"/>
        <v>0</v>
      </c>
      <c r="I56" s="411">
        <f t="shared" si="12"/>
        <v>0</v>
      </c>
      <c r="J56" s="411">
        <f t="shared" si="12"/>
        <v>0</v>
      </c>
      <c r="K56" s="411">
        <f t="shared" si="12"/>
        <v>0</v>
      </c>
      <c r="M56" s="38"/>
    </row>
    <row r="57" spans="2:20">
      <c r="B57" s="65"/>
      <c r="G57" s="109"/>
    </row>
    <row r="58" spans="2:20">
      <c r="B58" s="351" t="s">
        <v>128</v>
      </c>
      <c r="C58" s="349"/>
      <c r="D58" s="349"/>
      <c r="E58" s="349"/>
      <c r="F58" s="349"/>
      <c r="G58" s="349"/>
      <c r="H58" s="349"/>
      <c r="I58" s="349"/>
      <c r="J58" s="349"/>
      <c r="K58" s="350"/>
    </row>
    <row r="59" spans="2:20" ht="5.0999999999999996" customHeight="1">
      <c r="B59" s="354"/>
      <c r="C59" s="352"/>
      <c r="D59" s="352"/>
      <c r="E59" s="352"/>
      <c r="F59" s="352"/>
      <c r="G59" s="352"/>
      <c r="H59" s="352"/>
      <c r="I59" s="352"/>
      <c r="J59" s="352"/>
      <c r="K59" s="353"/>
    </row>
    <row r="60" spans="2:20">
      <c r="B60" s="414" t="s">
        <v>129</v>
      </c>
      <c r="C60" s="111"/>
      <c r="D60" s="111">
        <f>D28/C28-1</f>
        <v>7.14855105323704E-2</v>
      </c>
      <c r="E60" s="111">
        <f>E28/D28-1</f>
        <v>5.9615187572670258E-2</v>
      </c>
      <c r="F60" s="111">
        <f>F28/E28-1</f>
        <v>0.11240041201572382</v>
      </c>
      <c r="G60" s="409"/>
      <c r="H60" s="409"/>
      <c r="I60" s="409"/>
      <c r="J60" s="409"/>
      <c r="K60" s="409"/>
      <c r="M60" s="8" t="s">
        <v>452</v>
      </c>
      <c r="O60" s="112"/>
      <c r="P60" s="112"/>
      <c r="Q60" s="112"/>
      <c r="R60" s="112"/>
      <c r="S60" s="112"/>
      <c r="T60" s="112"/>
    </row>
    <row r="61" spans="2:20">
      <c r="B61" s="408" t="s">
        <v>601</v>
      </c>
      <c r="C61" s="111"/>
      <c r="D61" s="480">
        <f>SUM(D18/C18)-1</f>
        <v>9.0627118985438182E-2</v>
      </c>
      <c r="E61" s="480">
        <f>SUM(E18/D18)-1</f>
        <v>7.7457679285934056E-2</v>
      </c>
      <c r="F61" s="480">
        <f>SUM(F18/E18)-1</f>
        <v>0.13169516605440124</v>
      </c>
      <c r="G61" s="409"/>
      <c r="H61" s="409"/>
      <c r="I61" s="409"/>
      <c r="J61" s="409"/>
      <c r="K61" s="409"/>
      <c r="M61" s="8" t="s">
        <v>452</v>
      </c>
      <c r="O61" s="112"/>
      <c r="P61" s="112"/>
      <c r="Q61" s="112"/>
      <c r="R61" s="112"/>
      <c r="S61" s="112"/>
      <c r="T61" s="112"/>
    </row>
    <row r="62" spans="2:20">
      <c r="B62" s="408"/>
      <c r="C62" s="111"/>
      <c r="D62" s="480"/>
      <c r="E62" s="480"/>
      <c r="F62" s="480"/>
      <c r="G62" s="409"/>
      <c r="H62" s="409"/>
      <c r="I62" s="409"/>
      <c r="J62" s="409"/>
      <c r="K62" s="409"/>
      <c r="O62" s="112"/>
      <c r="P62" s="112"/>
      <c r="Q62" s="112"/>
      <c r="R62" s="112"/>
      <c r="S62" s="112"/>
      <c r="T62" s="112"/>
    </row>
    <row r="63" spans="2:20">
      <c r="B63" s="408"/>
      <c r="C63" s="111"/>
      <c r="D63" s="480"/>
      <c r="E63" s="480"/>
      <c r="F63" s="480"/>
      <c r="G63" s="409"/>
      <c r="H63" s="409"/>
      <c r="I63" s="409"/>
      <c r="J63" s="409"/>
      <c r="K63" s="409"/>
      <c r="O63" s="112"/>
      <c r="P63" s="112"/>
      <c r="Q63" s="112"/>
      <c r="R63" s="112"/>
      <c r="S63" s="112"/>
      <c r="T63" s="112"/>
    </row>
    <row r="64" spans="2:20">
      <c r="B64" s="408"/>
      <c r="C64" s="111"/>
      <c r="D64" s="480"/>
      <c r="E64" s="480"/>
      <c r="F64" s="480"/>
      <c r="G64" s="409"/>
      <c r="H64" s="409"/>
      <c r="I64" s="409"/>
      <c r="J64" s="409"/>
      <c r="K64" s="409"/>
      <c r="O64" s="112"/>
      <c r="P64" s="112"/>
      <c r="Q64" s="112"/>
      <c r="R64" s="112"/>
      <c r="S64" s="112"/>
      <c r="T64" s="112"/>
    </row>
    <row r="65" spans="1:20">
      <c r="B65" s="408"/>
      <c r="C65" s="111"/>
      <c r="D65" s="480"/>
      <c r="E65" s="480"/>
      <c r="F65" s="480"/>
      <c r="G65" s="409"/>
      <c r="H65" s="409"/>
      <c r="I65" s="409"/>
      <c r="J65" s="409"/>
      <c r="K65" s="409"/>
      <c r="O65" s="112"/>
      <c r="P65" s="112"/>
      <c r="Q65" s="112"/>
      <c r="R65" s="112"/>
      <c r="S65" s="112"/>
      <c r="T65" s="112"/>
    </row>
    <row r="66" spans="1:20">
      <c r="B66" s="408" t="s">
        <v>449</v>
      </c>
      <c r="C66" s="111"/>
      <c r="D66" s="480" t="e">
        <f>SUM(D27/C27)-1</f>
        <v>#DIV/0!</v>
      </c>
      <c r="E66" s="480" t="e">
        <f>SUM(E27/D27)-1</f>
        <v>#DIV/0!</v>
      </c>
      <c r="F66" s="480" t="e">
        <f>SUM(F27/E27)-1</f>
        <v>#DIV/0!</v>
      </c>
      <c r="G66" s="409"/>
      <c r="H66" s="409"/>
      <c r="I66" s="409"/>
      <c r="J66" s="409"/>
      <c r="K66" s="409"/>
      <c r="M66" s="8" t="s">
        <v>452</v>
      </c>
      <c r="O66" s="112"/>
      <c r="P66" s="112"/>
      <c r="Q66" s="112"/>
      <c r="R66" s="112"/>
      <c r="S66" s="112"/>
      <c r="T66" s="112"/>
    </row>
    <row r="67" spans="1:20" ht="5.0999999999999996" customHeight="1">
      <c r="B67" s="347"/>
      <c r="C67" s="111"/>
      <c r="D67" s="111"/>
      <c r="E67" s="111"/>
      <c r="F67" s="111"/>
      <c r="G67" s="111"/>
      <c r="H67" s="111"/>
      <c r="I67" s="111"/>
      <c r="J67" s="111"/>
      <c r="K67" s="348"/>
      <c r="O67" s="112"/>
      <c r="P67" s="112"/>
      <c r="Q67" s="112"/>
      <c r="R67" s="112"/>
      <c r="S67" s="112"/>
      <c r="T67" s="112"/>
    </row>
    <row r="68" spans="1:20">
      <c r="B68" s="347" t="s">
        <v>130</v>
      </c>
      <c r="C68" s="111">
        <f>C32/C28</f>
        <v>0.79777276046912371</v>
      </c>
      <c r="D68" s="111">
        <f>D32/D28</f>
        <v>0.75289010259585787</v>
      </c>
      <c r="E68" s="111">
        <f>E32/E28</f>
        <v>0.73470601837253791</v>
      </c>
      <c r="F68" s="111">
        <f>F32/F28</f>
        <v>0.7480403643372765</v>
      </c>
      <c r="G68" s="409"/>
      <c r="H68" s="409"/>
      <c r="I68" s="409"/>
      <c r="J68" s="409"/>
      <c r="K68" s="409"/>
      <c r="M68" s="8" t="s">
        <v>617</v>
      </c>
      <c r="O68" s="112"/>
      <c r="P68" s="112"/>
      <c r="Q68" s="112"/>
      <c r="R68" s="112"/>
      <c r="S68" s="112"/>
      <c r="T68" s="112"/>
    </row>
    <row r="69" spans="1:20">
      <c r="B69" s="347" t="s">
        <v>131</v>
      </c>
      <c r="C69" s="111">
        <f>-C35/C18</f>
        <v>0</v>
      </c>
      <c r="D69" s="111">
        <f>-D35/D18</f>
        <v>0</v>
      </c>
      <c r="E69" s="111">
        <f>-E35/E18</f>
        <v>0</v>
      </c>
      <c r="F69" s="111">
        <f>-F35/F18</f>
        <v>0</v>
      </c>
      <c r="G69" s="409"/>
      <c r="H69" s="409"/>
      <c r="I69" s="409"/>
      <c r="J69" s="409"/>
      <c r="K69" s="409"/>
      <c r="M69" s="8" t="s">
        <v>452</v>
      </c>
      <c r="O69" s="112"/>
      <c r="P69" s="112"/>
      <c r="Q69" s="112"/>
      <c r="R69" s="112"/>
      <c r="S69" s="112"/>
      <c r="T69" s="112"/>
    </row>
    <row r="70" spans="1:20">
      <c r="B70" s="347" t="s">
        <v>132</v>
      </c>
      <c r="C70" s="111">
        <f>-C36/C18</f>
        <v>0</v>
      </c>
      <c r="D70" s="111">
        <f>-D36/D18</f>
        <v>0</v>
      </c>
      <c r="E70" s="111">
        <f>-E36/E18</f>
        <v>0</v>
      </c>
      <c r="F70" s="111">
        <f>-F36/F18</f>
        <v>0</v>
      </c>
      <c r="G70" s="409"/>
      <c r="H70" s="409"/>
      <c r="I70" s="409"/>
      <c r="J70" s="409"/>
      <c r="K70" s="409"/>
      <c r="M70" s="8" t="s">
        <v>452</v>
      </c>
      <c r="O70" s="112"/>
      <c r="P70" s="112"/>
      <c r="Q70" s="112"/>
      <c r="R70" s="112"/>
      <c r="S70" s="112"/>
      <c r="T70" s="112"/>
    </row>
    <row r="71" spans="1:20">
      <c r="B71" s="347" t="s">
        <v>133</v>
      </c>
      <c r="C71" s="111">
        <f>-(C46/C44)</f>
        <v>0</v>
      </c>
      <c r="D71" s="111">
        <f>-(D46/D44)</f>
        <v>0</v>
      </c>
      <c r="E71" s="111">
        <f>-(E46/E44)</f>
        <v>0</v>
      </c>
      <c r="F71" s="111">
        <f>-(F46/F44)</f>
        <v>0</v>
      </c>
      <c r="G71" s="482">
        <f>F71</f>
        <v>0</v>
      </c>
      <c r="H71" s="482">
        <f>G71</f>
        <v>0</v>
      </c>
      <c r="I71" s="482">
        <f>H71</f>
        <v>0</v>
      </c>
      <c r="J71" s="482">
        <f>I71</f>
        <v>0</v>
      </c>
      <c r="K71" s="482">
        <f>J71</f>
        <v>0</v>
      </c>
      <c r="M71" s="8" t="s">
        <v>469</v>
      </c>
      <c r="O71" s="112"/>
      <c r="P71" s="112"/>
      <c r="Q71" s="112"/>
      <c r="R71" s="112"/>
      <c r="S71" s="112"/>
      <c r="T71" s="112"/>
    </row>
    <row r="72" spans="1:20" ht="5.0999999999999996" customHeight="1">
      <c r="B72" s="65"/>
      <c r="C72" s="65"/>
      <c r="G72" s="109"/>
    </row>
    <row r="73" spans="1:20">
      <c r="B73" s="347" t="s">
        <v>428</v>
      </c>
      <c r="C73" s="111"/>
      <c r="D73" s="111" t="e">
        <f>D50/C50-1</f>
        <v>#DIV/0!</v>
      </c>
      <c r="E73" s="111" t="e">
        <f>E50/D50-1</f>
        <v>#DIV/0!</v>
      </c>
      <c r="F73" s="111" t="e">
        <f>F50/E50-1</f>
        <v>#DIV/0!</v>
      </c>
      <c r="G73" s="409"/>
      <c r="H73" s="409"/>
      <c r="I73" s="409"/>
      <c r="J73" s="409"/>
      <c r="K73" s="409"/>
      <c r="M73" s="8" t="s">
        <v>452</v>
      </c>
    </row>
    <row r="74" spans="1:20">
      <c r="B74" s="347" t="s">
        <v>429</v>
      </c>
      <c r="C74" s="111"/>
      <c r="D74" s="111" t="e">
        <f>D54/C54-1</f>
        <v>#DIV/0!</v>
      </c>
      <c r="E74" s="111" t="e">
        <f>E54/D54-1</f>
        <v>#DIV/0!</v>
      </c>
      <c r="F74" s="111" t="e">
        <f>F54/E54-1</f>
        <v>#DIV/0!</v>
      </c>
      <c r="G74" s="409"/>
      <c r="H74" s="409"/>
      <c r="I74" s="409"/>
      <c r="J74" s="409"/>
      <c r="K74" s="409"/>
      <c r="M74" s="8" t="s">
        <v>452</v>
      </c>
    </row>
    <row r="75" spans="1:20">
      <c r="B75" s="65"/>
      <c r="C75" s="65"/>
      <c r="G75" s="109"/>
    </row>
    <row r="76" spans="1:20">
      <c r="A76" s="341" t="s">
        <v>25</v>
      </c>
      <c r="B76" s="377" t="s">
        <v>411</v>
      </c>
      <c r="C76" s="383" t="s">
        <v>408</v>
      </c>
      <c r="D76" s="383"/>
      <c r="E76" s="383"/>
      <c r="F76" s="383"/>
      <c r="G76" s="383" t="s">
        <v>166</v>
      </c>
      <c r="H76" s="383"/>
      <c r="I76" s="383"/>
      <c r="J76" s="383"/>
      <c r="K76" s="383"/>
    </row>
    <row r="77" spans="1:20">
      <c r="B77" s="378" t="str">
        <f t="shared" ref="B77:K77" si="13">B15</f>
        <v xml:space="preserve">Fiscal year  </v>
      </c>
      <c r="C77" s="379">
        <f t="shared" si="13"/>
        <v>2021</v>
      </c>
      <c r="D77" s="379">
        <f t="shared" si="13"/>
        <v>2022</v>
      </c>
      <c r="E77" s="379">
        <f t="shared" si="13"/>
        <v>2023</v>
      </c>
      <c r="F77" s="379">
        <f t="shared" si="13"/>
        <v>2024</v>
      </c>
      <c r="G77" s="380">
        <f t="shared" si="13"/>
        <v>2025</v>
      </c>
      <c r="H77" s="380">
        <f t="shared" si="13"/>
        <v>2026</v>
      </c>
      <c r="I77" s="380">
        <f t="shared" si="13"/>
        <v>2027</v>
      </c>
      <c r="J77" s="380">
        <f t="shared" si="13"/>
        <v>2028</v>
      </c>
      <c r="K77" s="380">
        <f t="shared" si="13"/>
        <v>2029</v>
      </c>
    </row>
    <row r="78" spans="1:20">
      <c r="B78" s="378" t="str">
        <f t="shared" ref="B78:K78" si="14">B16</f>
        <v>Fiscal year end date</v>
      </c>
      <c r="C78" s="381">
        <f t="shared" si="14"/>
        <v>44561</v>
      </c>
      <c r="D78" s="381">
        <f t="shared" si="14"/>
        <v>44926</v>
      </c>
      <c r="E78" s="381">
        <f t="shared" si="14"/>
        <v>45291</v>
      </c>
      <c r="F78" s="381">
        <f t="shared" si="14"/>
        <v>45657</v>
      </c>
      <c r="G78" s="381">
        <f t="shared" si="14"/>
        <v>46022</v>
      </c>
      <c r="H78" s="381">
        <f t="shared" si="14"/>
        <v>46387</v>
      </c>
      <c r="I78" s="381">
        <f t="shared" si="14"/>
        <v>46752</v>
      </c>
      <c r="J78" s="381">
        <f t="shared" si="14"/>
        <v>47118</v>
      </c>
      <c r="K78" s="381">
        <f t="shared" si="14"/>
        <v>47483</v>
      </c>
    </row>
    <row r="79" spans="1:20" ht="5.0999999999999996" customHeight="1">
      <c r="B79" s="355"/>
      <c r="C79" s="356"/>
      <c r="D79" s="356"/>
      <c r="E79" s="356"/>
      <c r="F79" s="356"/>
      <c r="G79" s="356"/>
      <c r="H79" s="356"/>
      <c r="I79" s="356"/>
      <c r="J79" s="356"/>
      <c r="K79" s="356"/>
    </row>
    <row r="80" spans="1:20" ht="12.75" customHeight="1">
      <c r="B80" s="8" t="s">
        <v>134</v>
      </c>
      <c r="C80" s="363"/>
      <c r="D80" s="363"/>
      <c r="E80" s="363"/>
      <c r="F80" s="363"/>
      <c r="G80" s="362">
        <f>+F80+G125</f>
        <v>0</v>
      </c>
      <c r="H80" s="362" t="e">
        <f>+G80+H125</f>
        <v>#DIV/0!</v>
      </c>
      <c r="I80" s="362" t="e">
        <f>+H80+I125</f>
        <v>#DIV/0!</v>
      </c>
      <c r="J80" s="362" t="e">
        <f>+I80+J125</f>
        <v>#DIV/0!</v>
      </c>
      <c r="K80" s="362" t="e">
        <f>+J80+K125</f>
        <v>#DIV/0!</v>
      </c>
      <c r="M80" s="8" t="s">
        <v>135</v>
      </c>
    </row>
    <row r="81" spans="2:14" ht="12.75" customHeight="1">
      <c r="B81" s="8" t="s">
        <v>15</v>
      </c>
      <c r="C81" s="363"/>
      <c r="D81" s="363"/>
      <c r="E81" s="363"/>
      <c r="F81" s="363"/>
      <c r="G81" s="362">
        <f>F81*(1+G60)</f>
        <v>0</v>
      </c>
      <c r="H81" s="362">
        <f>G81*(1+H60)</f>
        <v>0</v>
      </c>
      <c r="I81" s="362">
        <f>H81*(1+I60)</f>
        <v>0</v>
      </c>
      <c r="J81" s="362">
        <f>I81*(1+J60)</f>
        <v>0</v>
      </c>
      <c r="K81" s="362">
        <f>J81*(1+K60)</f>
        <v>0</v>
      </c>
      <c r="M81" s="8" t="s">
        <v>136</v>
      </c>
    </row>
    <row r="82" spans="2:14" ht="12.75" customHeight="1">
      <c r="B82" s="8" t="s">
        <v>16</v>
      </c>
      <c r="C82" s="363"/>
      <c r="D82" s="363"/>
      <c r="E82" s="363"/>
      <c r="F82" s="363"/>
      <c r="G82" s="362">
        <f>F82*G31/F31</f>
        <v>0</v>
      </c>
      <c r="H82" s="362">
        <f>G82*H31/G31</f>
        <v>0</v>
      </c>
      <c r="I82" s="362">
        <f>H82*I31/H31</f>
        <v>0</v>
      </c>
      <c r="J82" s="362">
        <f>I82*J31/I31</f>
        <v>0</v>
      </c>
      <c r="K82" s="362">
        <f>J82*K31/J31</f>
        <v>0</v>
      </c>
      <c r="M82" s="8" t="s">
        <v>137</v>
      </c>
    </row>
    <row r="83" spans="2:14" ht="12.75" customHeight="1">
      <c r="B83" s="8" t="s">
        <v>21</v>
      </c>
      <c r="C83" s="363"/>
      <c r="D83" s="363"/>
      <c r="E83" s="363"/>
      <c r="F83" s="363"/>
      <c r="G83" s="362">
        <f>F83*(1+G60)</f>
        <v>0</v>
      </c>
      <c r="H83" s="362">
        <f>G83*(1+H60)</f>
        <v>0</v>
      </c>
      <c r="I83" s="362">
        <f>H83*(1+I60)</f>
        <v>0</v>
      </c>
      <c r="J83" s="362">
        <f>I83*(1+J60)</f>
        <v>0</v>
      </c>
      <c r="K83" s="362">
        <f>J83*(1+K60)</f>
        <v>0</v>
      </c>
      <c r="M83" s="8" t="s">
        <v>136</v>
      </c>
      <c r="N83" s="70"/>
    </row>
    <row r="84" spans="2:14" ht="12.75" customHeight="1">
      <c r="B84" s="8" t="s">
        <v>138</v>
      </c>
      <c r="C84" s="363"/>
      <c r="D84" s="363"/>
      <c r="E84" s="363"/>
      <c r="F84" s="363"/>
      <c r="G84" s="362"/>
      <c r="H84" s="362"/>
      <c r="I84" s="362"/>
      <c r="J84" s="362"/>
      <c r="K84" s="362"/>
      <c r="M84" s="8" t="s">
        <v>139</v>
      </c>
    </row>
    <row r="85" spans="2:14" ht="12.75" customHeight="1">
      <c r="B85" s="8" t="s">
        <v>140</v>
      </c>
      <c r="C85" s="363"/>
      <c r="D85" s="363"/>
      <c r="E85" s="363"/>
      <c r="F85" s="363"/>
      <c r="G85" s="362">
        <f>F85*(1+G60)</f>
        <v>0</v>
      </c>
      <c r="H85" s="362">
        <f>G85*(1+H60)</f>
        <v>0</v>
      </c>
      <c r="I85" s="362">
        <f>H85*(1+I60)</f>
        <v>0</v>
      </c>
      <c r="J85" s="362">
        <f>I85*(1+J60)</f>
        <v>0</v>
      </c>
      <c r="K85" s="362">
        <f>J85*(1+K60)</f>
        <v>0</v>
      </c>
      <c r="M85" s="8" t="s">
        <v>136</v>
      </c>
    </row>
    <row r="86" spans="2:14" ht="12.75" customHeight="1">
      <c r="B86" s="357" t="s">
        <v>30</v>
      </c>
      <c r="C86" s="358">
        <f>SUM(C80:C85)</f>
        <v>0</v>
      </c>
      <c r="D86" s="358">
        <f>SUM(D80:D85)</f>
        <v>0</v>
      </c>
      <c r="E86" s="358">
        <f>SUM(E80:E85)</f>
        <v>0</v>
      </c>
      <c r="F86" s="358">
        <f t="shared" ref="F86:K86" si="15">SUM(F80:F85)</f>
        <v>0</v>
      </c>
      <c r="G86" s="359">
        <f t="shared" si="15"/>
        <v>0</v>
      </c>
      <c r="H86" s="359" t="e">
        <f t="shared" si="15"/>
        <v>#DIV/0!</v>
      </c>
      <c r="I86" s="359" t="e">
        <f t="shared" si="15"/>
        <v>#DIV/0!</v>
      </c>
      <c r="J86" s="359" t="e">
        <f t="shared" si="15"/>
        <v>#DIV/0!</v>
      </c>
      <c r="K86" s="359" t="e">
        <f t="shared" si="15"/>
        <v>#DIV/0!</v>
      </c>
    </row>
    <row r="87" spans="2:14" ht="5.0999999999999996" customHeight="1">
      <c r="B87" s="107"/>
      <c r="C87" s="107"/>
      <c r="D87" s="70"/>
      <c r="E87" s="70"/>
      <c r="F87" s="70"/>
      <c r="G87" s="70"/>
      <c r="H87" s="70"/>
      <c r="I87" s="70"/>
      <c r="J87" s="70"/>
      <c r="K87" s="70"/>
    </row>
    <row r="88" spans="2:14" ht="12.75" customHeight="1">
      <c r="B88" s="107" t="s">
        <v>17</v>
      </c>
      <c r="C88" s="363"/>
      <c r="D88" s="363"/>
      <c r="E88" s="363"/>
      <c r="F88" s="363"/>
      <c r="G88" s="362">
        <f>F88*G31/F31</f>
        <v>0</v>
      </c>
      <c r="H88" s="362">
        <f>G88*H31/G31</f>
        <v>0</v>
      </c>
      <c r="I88" s="362">
        <f>H88*I31/H31</f>
        <v>0</v>
      </c>
      <c r="J88" s="362">
        <f>I88*J31/I31</f>
        <v>0</v>
      </c>
      <c r="K88" s="362">
        <f>J88*K31/J31</f>
        <v>0</v>
      </c>
      <c r="M88" s="8" t="s">
        <v>137</v>
      </c>
    </row>
    <row r="89" spans="2:14" ht="12.75" customHeight="1">
      <c r="B89" s="107" t="s">
        <v>141</v>
      </c>
      <c r="C89" s="363"/>
      <c r="D89" s="363"/>
      <c r="E89" s="363"/>
      <c r="F89" s="363"/>
      <c r="G89" s="362">
        <f>F89*(1+G60)</f>
        <v>0</v>
      </c>
      <c r="H89" s="362">
        <f>G89*(1+H60)</f>
        <v>0</v>
      </c>
      <c r="I89" s="362">
        <f>H89*(1+I60)</f>
        <v>0</v>
      </c>
      <c r="J89" s="362">
        <f>I89*(1+J60)</f>
        <v>0</v>
      </c>
      <c r="K89" s="362">
        <f>J89*(1+K60)</f>
        <v>0</v>
      </c>
      <c r="M89" s="8" t="s">
        <v>136</v>
      </c>
    </row>
    <row r="90" spans="2:14" ht="12.75" customHeight="1">
      <c r="B90" s="107" t="s">
        <v>142</v>
      </c>
      <c r="C90" s="363"/>
      <c r="D90" s="363"/>
      <c r="E90" s="363"/>
      <c r="F90" s="363"/>
      <c r="G90" s="362">
        <f>F90*(1+G60)</f>
        <v>0</v>
      </c>
      <c r="H90" s="362">
        <f>G90*(1+H60)</f>
        <v>0</v>
      </c>
      <c r="I90" s="362">
        <f>H90*(1+I60)</f>
        <v>0</v>
      </c>
      <c r="J90" s="362">
        <f>I90*(1+J60)</f>
        <v>0</v>
      </c>
      <c r="K90" s="362">
        <f>J90*(1+K60)</f>
        <v>0</v>
      </c>
      <c r="M90" s="8" t="s">
        <v>136</v>
      </c>
      <c r="N90" s="70"/>
    </row>
    <row r="91" spans="2:14" ht="12.75" customHeight="1">
      <c r="B91" s="107" t="s">
        <v>143</v>
      </c>
      <c r="C91" s="363"/>
      <c r="D91" s="363"/>
      <c r="E91" s="363"/>
      <c r="F91" s="363"/>
      <c r="G91" s="362">
        <f>G175</f>
        <v>0</v>
      </c>
      <c r="H91" s="362" t="e">
        <f>H175</f>
        <v>#DIV/0!</v>
      </c>
      <c r="I91" s="362" t="e">
        <f>I175</f>
        <v>#DIV/0!</v>
      </c>
      <c r="J91" s="362" t="e">
        <f>J175</f>
        <v>#DIV/0!</v>
      </c>
      <c r="K91" s="362" t="e">
        <f>K175</f>
        <v>#DIV/0!</v>
      </c>
      <c r="M91" s="8" t="s">
        <v>144</v>
      </c>
    </row>
    <row r="92" spans="2:14" ht="12.75" customHeight="1">
      <c r="B92" s="107" t="s">
        <v>145</v>
      </c>
      <c r="C92" s="363"/>
      <c r="D92" s="363"/>
      <c r="E92" s="363"/>
      <c r="F92" s="363"/>
      <c r="G92" s="362">
        <f>F92</f>
        <v>0</v>
      </c>
      <c r="H92" s="362">
        <f>G92</f>
        <v>0</v>
      </c>
      <c r="I92" s="362">
        <f>H92</f>
        <v>0</v>
      </c>
      <c r="J92" s="362">
        <f>I92</f>
        <v>0</v>
      </c>
      <c r="K92" s="362">
        <f>J92</f>
        <v>0</v>
      </c>
      <c r="M92" s="8" t="s">
        <v>451</v>
      </c>
    </row>
    <row r="93" spans="2:14" ht="12.75" customHeight="1">
      <c r="B93" s="107" t="s">
        <v>146</v>
      </c>
      <c r="C93" s="363"/>
      <c r="D93" s="363"/>
      <c r="E93" s="363"/>
      <c r="F93" s="363"/>
      <c r="G93" s="362">
        <f>F93*(1+G60)</f>
        <v>0</v>
      </c>
      <c r="H93" s="362">
        <f>G93*(1+H60)</f>
        <v>0</v>
      </c>
      <c r="I93" s="362">
        <f>H93*(1+I60)</f>
        <v>0</v>
      </c>
      <c r="J93" s="362">
        <f>I93*(1+J60)</f>
        <v>0</v>
      </c>
      <c r="K93" s="362">
        <f>J93*(1+K60)</f>
        <v>0</v>
      </c>
      <c r="M93" s="8" t="s">
        <v>136</v>
      </c>
    </row>
    <row r="94" spans="2:14" ht="12.75" customHeight="1">
      <c r="B94" s="357" t="s">
        <v>147</v>
      </c>
      <c r="C94" s="358">
        <f>SUM(C88:C93)</f>
        <v>0</v>
      </c>
      <c r="D94" s="358">
        <f>SUM(D88:D93)</f>
        <v>0</v>
      </c>
      <c r="E94" s="358">
        <f>SUM(E88:E93)</f>
        <v>0</v>
      </c>
      <c r="F94" s="358">
        <f t="shared" ref="F94:K94" si="16">SUM(F88:F93)</f>
        <v>0</v>
      </c>
      <c r="G94" s="359">
        <f t="shared" si="16"/>
        <v>0</v>
      </c>
      <c r="H94" s="359" t="e">
        <f t="shared" si="16"/>
        <v>#DIV/0!</v>
      </c>
      <c r="I94" s="359" t="e">
        <f t="shared" si="16"/>
        <v>#DIV/0!</v>
      </c>
      <c r="J94" s="359" t="e">
        <f t="shared" si="16"/>
        <v>#DIV/0!</v>
      </c>
      <c r="K94" s="359" t="e">
        <f t="shared" si="16"/>
        <v>#DIV/0!</v>
      </c>
    </row>
    <row r="95" spans="2:14" ht="5.0999999999999996" customHeight="1">
      <c r="B95" s="108"/>
      <c r="C95" s="108"/>
      <c r="D95" s="106"/>
      <c r="E95" s="106"/>
      <c r="F95" s="106"/>
      <c r="G95" s="70"/>
      <c r="H95" s="70"/>
      <c r="I95" s="70"/>
      <c r="J95" s="70"/>
      <c r="K95" s="70"/>
    </row>
    <row r="96" spans="2:14" ht="12.75" customHeight="1">
      <c r="B96" s="107" t="s">
        <v>27</v>
      </c>
      <c r="C96" s="363"/>
      <c r="D96" s="363"/>
      <c r="E96" s="363"/>
      <c r="F96" s="363"/>
      <c r="G96" s="362">
        <f>F96+G54</f>
        <v>0</v>
      </c>
      <c r="H96" s="362">
        <f>G96+H54</f>
        <v>0</v>
      </c>
      <c r="I96" s="362">
        <f>H96+I54</f>
        <v>0</v>
      </c>
      <c r="J96" s="362">
        <f>I96+J54</f>
        <v>0</v>
      </c>
      <c r="K96" s="362">
        <f>J96+K54</f>
        <v>0</v>
      </c>
      <c r="M96" s="8" t="s">
        <v>148</v>
      </c>
    </row>
    <row r="97" spans="1:14" ht="12.75" customHeight="1">
      <c r="B97" s="107" t="s">
        <v>149</v>
      </c>
      <c r="C97" s="363"/>
      <c r="D97" s="363"/>
      <c r="E97" s="363"/>
      <c r="F97" s="363"/>
      <c r="G97" s="362"/>
      <c r="H97" s="362"/>
      <c r="I97" s="362"/>
      <c r="J97" s="362"/>
      <c r="K97" s="362"/>
      <c r="M97" s="8" t="s">
        <v>150</v>
      </c>
      <c r="N97" s="70"/>
    </row>
    <row r="98" spans="1:14" ht="12.75" customHeight="1">
      <c r="B98" s="107" t="s">
        <v>151</v>
      </c>
      <c r="C98" s="363"/>
      <c r="D98" s="363"/>
      <c r="E98" s="363"/>
      <c r="F98" s="363"/>
      <c r="G98" s="362">
        <f>F98</f>
        <v>0</v>
      </c>
      <c r="H98" s="362">
        <f>G98</f>
        <v>0</v>
      </c>
      <c r="I98" s="362">
        <f>H98</f>
        <v>0</v>
      </c>
      <c r="J98" s="362">
        <f>I98</f>
        <v>0</v>
      </c>
      <c r="K98" s="362">
        <f>J98</f>
        <v>0</v>
      </c>
      <c r="M98" s="8" t="s">
        <v>451</v>
      </c>
    </row>
    <row r="99" spans="1:14" ht="12.75" customHeight="1">
      <c r="B99" s="357" t="s">
        <v>152</v>
      </c>
      <c r="C99" s="358">
        <f t="shared" ref="C99:K99" si="17">SUM(C96:C98)</f>
        <v>0</v>
      </c>
      <c r="D99" s="358">
        <f t="shared" si="17"/>
        <v>0</v>
      </c>
      <c r="E99" s="358">
        <f t="shared" si="17"/>
        <v>0</v>
      </c>
      <c r="F99" s="358">
        <f t="shared" si="17"/>
        <v>0</v>
      </c>
      <c r="G99" s="359">
        <f t="shared" si="17"/>
        <v>0</v>
      </c>
      <c r="H99" s="359">
        <f t="shared" si="17"/>
        <v>0</v>
      </c>
      <c r="I99" s="359">
        <f t="shared" si="17"/>
        <v>0</v>
      </c>
      <c r="J99" s="359">
        <f t="shared" si="17"/>
        <v>0</v>
      </c>
      <c r="K99" s="359">
        <f t="shared" si="17"/>
        <v>0</v>
      </c>
    </row>
    <row r="100" spans="1:14">
      <c r="B100" s="458" t="s">
        <v>153</v>
      </c>
      <c r="C100" s="457">
        <f t="shared" ref="C100:K100" si="18">ROUND(C86-C94-C99,3)</f>
        <v>0</v>
      </c>
      <c r="D100" s="457">
        <f t="shared" si="18"/>
        <v>0</v>
      </c>
      <c r="E100" s="457">
        <f t="shared" si="18"/>
        <v>0</v>
      </c>
      <c r="F100" s="457">
        <f t="shared" si="18"/>
        <v>0</v>
      </c>
      <c r="G100" s="457">
        <f t="shared" si="18"/>
        <v>0</v>
      </c>
      <c r="H100" s="457" t="e">
        <f t="shared" si="18"/>
        <v>#DIV/0!</v>
      </c>
      <c r="I100" s="457" t="e">
        <f t="shared" si="18"/>
        <v>#DIV/0!</v>
      </c>
      <c r="J100" s="457" t="e">
        <f t="shared" si="18"/>
        <v>#DIV/0!</v>
      </c>
      <c r="K100" s="457" t="e">
        <f t="shared" si="18"/>
        <v>#DIV/0!</v>
      </c>
    </row>
    <row r="101" spans="1:14">
      <c r="E101" s="70"/>
      <c r="F101" s="70"/>
      <c r="H101" s="70"/>
      <c r="I101" s="70"/>
      <c r="J101" s="70"/>
      <c r="K101" s="70"/>
    </row>
    <row r="102" spans="1:14">
      <c r="A102" s="341" t="s">
        <v>25</v>
      </c>
      <c r="B102" s="390" t="s">
        <v>20</v>
      </c>
      <c r="C102" s="394"/>
      <c r="D102" s="394"/>
      <c r="E102" s="394"/>
      <c r="F102" s="394"/>
      <c r="G102" s="391" t="s">
        <v>166</v>
      </c>
      <c r="H102" s="391"/>
      <c r="I102" s="391"/>
      <c r="J102" s="391"/>
      <c r="K102" s="391"/>
    </row>
    <row r="103" spans="1:14">
      <c r="B103" s="392" t="str">
        <f>B15</f>
        <v xml:space="preserve">Fiscal year  </v>
      </c>
      <c r="C103" s="394"/>
      <c r="D103" s="394"/>
      <c r="E103" s="394"/>
      <c r="F103" s="394"/>
      <c r="G103" s="393">
        <f t="shared" ref="G103:K104" si="19">G15</f>
        <v>2025</v>
      </c>
      <c r="H103" s="393">
        <f t="shared" si="19"/>
        <v>2026</v>
      </c>
      <c r="I103" s="393">
        <f t="shared" si="19"/>
        <v>2027</v>
      </c>
      <c r="J103" s="393">
        <f t="shared" si="19"/>
        <v>2028</v>
      </c>
      <c r="K103" s="393">
        <f t="shared" si="19"/>
        <v>2029</v>
      </c>
    </row>
    <row r="104" spans="1:14">
      <c r="B104" s="392" t="str">
        <f>B16</f>
        <v>Fiscal year end date</v>
      </c>
      <c r="C104" s="394"/>
      <c r="D104" s="394"/>
      <c r="E104" s="394"/>
      <c r="F104" s="394"/>
      <c r="G104" s="394">
        <f t="shared" si="19"/>
        <v>46022</v>
      </c>
      <c r="H104" s="394">
        <f t="shared" si="19"/>
        <v>46387</v>
      </c>
      <c r="I104" s="394">
        <f t="shared" si="19"/>
        <v>46752</v>
      </c>
      <c r="J104" s="394">
        <f t="shared" si="19"/>
        <v>47118</v>
      </c>
      <c r="K104" s="394">
        <f t="shared" si="19"/>
        <v>47483</v>
      </c>
    </row>
    <row r="105" spans="1:14" ht="5.0999999999999996" customHeight="1"/>
    <row r="106" spans="1:14" ht="12.75" customHeight="1">
      <c r="B106" s="8" t="s">
        <v>18</v>
      </c>
      <c r="C106" s="361"/>
      <c r="D106" s="361"/>
      <c r="E106" s="361"/>
      <c r="F106" s="361"/>
      <c r="G106" s="361">
        <f>G47</f>
        <v>0</v>
      </c>
      <c r="H106" s="361">
        <f>H47</f>
        <v>0</v>
      </c>
      <c r="I106" s="361">
        <f>I47</f>
        <v>0</v>
      </c>
      <c r="J106" s="361">
        <f>J47</f>
        <v>0</v>
      </c>
      <c r="K106" s="361">
        <f>K47</f>
        <v>0</v>
      </c>
      <c r="M106" s="8" t="s">
        <v>154</v>
      </c>
    </row>
    <row r="107" spans="1:14" ht="12.75" customHeight="1">
      <c r="B107" s="8" t="s">
        <v>78</v>
      </c>
      <c r="C107" s="361"/>
      <c r="D107" s="361"/>
      <c r="E107" s="361"/>
      <c r="F107" s="361"/>
      <c r="G107" s="361">
        <f>G50</f>
        <v>0</v>
      </c>
      <c r="H107" s="361">
        <f>H50</f>
        <v>0</v>
      </c>
      <c r="I107" s="361">
        <f>I50</f>
        <v>0</v>
      </c>
      <c r="J107" s="361">
        <f>J50</f>
        <v>0</v>
      </c>
      <c r="K107" s="361">
        <f>K50</f>
        <v>0</v>
      </c>
      <c r="M107" s="8" t="s">
        <v>154</v>
      </c>
    </row>
    <row r="108" spans="1:14" ht="12.75" customHeight="1">
      <c r="B108" s="8" t="s">
        <v>126</v>
      </c>
      <c r="C108" s="361"/>
      <c r="D108" s="361"/>
      <c r="E108" s="361"/>
      <c r="F108" s="361"/>
      <c r="G108" s="361">
        <f>G54</f>
        <v>0</v>
      </c>
      <c r="H108" s="361">
        <f>H54</f>
        <v>0</v>
      </c>
      <c r="I108" s="361">
        <f>I54</f>
        <v>0</v>
      </c>
      <c r="J108" s="361">
        <f>J54</f>
        <v>0</v>
      </c>
      <c r="K108" s="361">
        <f>K54</f>
        <v>0</v>
      </c>
    </row>
    <row r="109" spans="1:14" ht="12.75" customHeight="1">
      <c r="B109" s="8" t="s">
        <v>155</v>
      </c>
      <c r="C109" s="361"/>
      <c r="D109" s="361"/>
      <c r="E109" s="361"/>
      <c r="F109" s="361"/>
      <c r="G109" s="361">
        <f>SUM(F81:F83)-SUM(G81:G83)</f>
        <v>0</v>
      </c>
      <c r="H109" s="361">
        <f>SUM(G81:G83)-SUM(H81:H83)</f>
        <v>0</v>
      </c>
      <c r="I109" s="361">
        <f>SUM(H81:H83)-SUM(I81:I83)</f>
        <v>0</v>
      </c>
      <c r="J109" s="361">
        <f>SUM(I81:I83)-SUM(J81:J83)</f>
        <v>0</v>
      </c>
      <c r="K109" s="361">
        <f>SUM(J81:J83)-SUM(K81:K83)</f>
        <v>0</v>
      </c>
    </row>
    <row r="110" spans="1:14" ht="12.75" customHeight="1">
      <c r="B110" s="8" t="s">
        <v>156</v>
      </c>
      <c r="C110" s="361"/>
      <c r="D110" s="361"/>
      <c r="E110" s="361"/>
      <c r="F110" s="361"/>
      <c r="G110" s="361">
        <f>SUM(G88:G90)-SUM(F88:F90)</f>
        <v>0</v>
      </c>
      <c r="H110" s="361">
        <f>SUM(H88:H90)-SUM(G88:G90)</f>
        <v>0</v>
      </c>
      <c r="I110" s="361">
        <f>SUM(I88:I90)-SUM(H88:H90)</f>
        <v>0</v>
      </c>
      <c r="J110" s="361">
        <f>SUM(J88:J90)-SUM(I88:I90)</f>
        <v>0</v>
      </c>
      <c r="K110" s="361">
        <f>SUM(K88:K90)-SUM(J88:J90)</f>
        <v>0</v>
      </c>
    </row>
    <row r="111" spans="1:14" ht="12.75" customHeight="1">
      <c r="B111" s="8" t="s">
        <v>140</v>
      </c>
      <c r="C111" s="361"/>
      <c r="D111" s="361"/>
      <c r="E111" s="361"/>
      <c r="F111" s="361"/>
      <c r="G111" s="361">
        <f>-G151</f>
        <v>0</v>
      </c>
      <c r="H111" s="361">
        <f>-H151</f>
        <v>0</v>
      </c>
      <c r="I111" s="361">
        <f>-I151</f>
        <v>0</v>
      </c>
      <c r="J111" s="361">
        <f>-J151</f>
        <v>0</v>
      </c>
      <c r="K111" s="361">
        <f>-K151</f>
        <v>0</v>
      </c>
      <c r="M111" s="8" t="s">
        <v>157</v>
      </c>
    </row>
    <row r="112" spans="1:14" ht="12.75" customHeight="1">
      <c r="B112" s="8" t="s">
        <v>146</v>
      </c>
      <c r="C112" s="361"/>
      <c r="D112" s="361"/>
      <c r="E112" s="361"/>
      <c r="F112" s="361"/>
      <c r="G112" s="361">
        <f>G93-F93</f>
        <v>0</v>
      </c>
      <c r="H112" s="361">
        <f>H93-G93</f>
        <v>0</v>
      </c>
      <c r="I112" s="361">
        <f>I93-H93</f>
        <v>0</v>
      </c>
      <c r="J112" s="361">
        <f>J93-I93</f>
        <v>0</v>
      </c>
      <c r="K112" s="361">
        <f>K93-J93</f>
        <v>0</v>
      </c>
      <c r="M112" s="38"/>
    </row>
    <row r="113" spans="1:13" ht="12.75" customHeight="1">
      <c r="B113" s="179" t="s">
        <v>412</v>
      </c>
      <c r="C113" s="182"/>
      <c r="D113" s="182"/>
      <c r="E113" s="182"/>
      <c r="F113" s="182"/>
      <c r="G113" s="182">
        <f>SUM(G106:G112)</f>
        <v>0</v>
      </c>
      <c r="H113" s="182">
        <f>SUM(H106:H112)</f>
        <v>0</v>
      </c>
      <c r="I113" s="182">
        <f>SUM(I106:I112)</f>
        <v>0</v>
      </c>
      <c r="J113" s="182">
        <f>SUM(J106:J112)</f>
        <v>0</v>
      </c>
      <c r="K113" s="182">
        <f>SUM(K106:K112)</f>
        <v>0</v>
      </c>
    </row>
    <row r="114" spans="1:13" ht="12.75" customHeight="1">
      <c r="G114" s="70"/>
      <c r="H114" s="70"/>
      <c r="I114" s="70"/>
      <c r="J114" s="70"/>
      <c r="K114" s="70"/>
    </row>
    <row r="115" spans="1:13" ht="12.75" customHeight="1">
      <c r="B115" s="8" t="s">
        <v>252</v>
      </c>
      <c r="C115" s="362"/>
      <c r="D115" s="362"/>
      <c r="E115" s="362"/>
      <c r="F115" s="362"/>
      <c r="G115" s="362">
        <f>-(G136)</f>
        <v>0</v>
      </c>
      <c r="H115" s="362">
        <f>-(H136)</f>
        <v>0</v>
      </c>
      <c r="I115" s="362">
        <f>-(I136)</f>
        <v>0</v>
      </c>
      <c r="J115" s="362">
        <f>-(J136)</f>
        <v>0</v>
      </c>
      <c r="K115" s="362">
        <f>-(K136)</f>
        <v>0</v>
      </c>
      <c r="M115" s="8" t="s">
        <v>139</v>
      </c>
    </row>
    <row r="116" spans="1:13" ht="12.75" customHeight="1">
      <c r="B116" s="179" t="s">
        <v>413</v>
      </c>
      <c r="C116" s="182"/>
      <c r="D116" s="182"/>
      <c r="E116" s="182"/>
      <c r="F116" s="182"/>
      <c r="G116" s="182">
        <f>IFERROR(G115,"NA")</f>
        <v>0</v>
      </c>
      <c r="H116" s="182">
        <f>IFERROR(H115,"NA")</f>
        <v>0</v>
      </c>
      <c r="I116" s="182">
        <f>IFERROR(I115,"NA")</f>
        <v>0</v>
      </c>
      <c r="J116" s="182">
        <f>IFERROR(J115,"NA")</f>
        <v>0</v>
      </c>
      <c r="K116" s="182">
        <f>IFERROR(K115,"NA")</f>
        <v>0</v>
      </c>
    </row>
    <row r="117" spans="1:13" ht="12.75" customHeight="1">
      <c r="G117" s="70"/>
      <c r="H117" s="70"/>
      <c r="I117" s="70"/>
      <c r="J117" s="70"/>
      <c r="K117" s="70"/>
    </row>
    <row r="118" spans="1:13" ht="12.75" customHeight="1">
      <c r="B118" s="8" t="s">
        <v>159</v>
      </c>
      <c r="C118" s="362"/>
      <c r="D118" s="362"/>
      <c r="E118" s="362"/>
      <c r="F118" s="362"/>
      <c r="G118" s="362">
        <f>G92-F92</f>
        <v>0</v>
      </c>
      <c r="H118" s="362">
        <f>H92-G92</f>
        <v>0</v>
      </c>
      <c r="I118" s="362">
        <f>I92-H92</f>
        <v>0</v>
      </c>
      <c r="J118" s="362">
        <f>J92-I92</f>
        <v>0</v>
      </c>
      <c r="K118" s="362">
        <f>K92-J92</f>
        <v>0</v>
      </c>
    </row>
    <row r="119" spans="1:13" ht="12.75" customHeight="1">
      <c r="B119" s="8" t="s">
        <v>160</v>
      </c>
      <c r="C119" s="362"/>
      <c r="D119" s="362"/>
      <c r="E119" s="362"/>
      <c r="F119" s="362"/>
      <c r="G119" s="362">
        <f>G91-F91</f>
        <v>0</v>
      </c>
      <c r="H119" s="362" t="e">
        <f>H91-G91</f>
        <v>#DIV/0!</v>
      </c>
      <c r="I119" s="362" t="e">
        <f>I91-H91</f>
        <v>#DIV/0!</v>
      </c>
      <c r="J119" s="362" t="e">
        <f>J91-I91</f>
        <v>#DIV/0!</v>
      </c>
      <c r="K119" s="362" t="e">
        <f>K91-J91</f>
        <v>#DIV/0!</v>
      </c>
      <c r="M119" s="8" t="s">
        <v>161</v>
      </c>
    </row>
    <row r="120" spans="1:13" ht="12.75" customHeight="1">
      <c r="B120" s="8" t="s">
        <v>162</v>
      </c>
      <c r="C120" s="362"/>
      <c r="D120" s="362"/>
      <c r="E120" s="362"/>
      <c r="F120" s="362"/>
      <c r="G120" s="362">
        <f>G158</f>
        <v>0</v>
      </c>
      <c r="H120" s="362">
        <f>H158</f>
        <v>0</v>
      </c>
      <c r="I120" s="362">
        <f>I158</f>
        <v>0</v>
      </c>
      <c r="J120" s="362">
        <f>J158</f>
        <v>0</v>
      </c>
      <c r="K120" s="362">
        <f>K158</f>
        <v>0</v>
      </c>
      <c r="M120" s="8" t="s">
        <v>150</v>
      </c>
    </row>
    <row r="121" spans="1:13" ht="12.75" customHeight="1">
      <c r="B121" s="8" t="s">
        <v>163</v>
      </c>
      <c r="C121" s="362"/>
      <c r="D121" s="362"/>
      <c r="E121" s="362"/>
      <c r="F121" s="362"/>
      <c r="G121" s="362">
        <f>G157</f>
        <v>0</v>
      </c>
      <c r="H121" s="362" t="e">
        <f t="shared" ref="H121:K122" si="20">H157</f>
        <v>#DIV/0!</v>
      </c>
      <c r="I121" s="362" t="e">
        <f t="shared" si="20"/>
        <v>#DIV/0!</v>
      </c>
      <c r="J121" s="362" t="e">
        <f t="shared" si="20"/>
        <v>#DIV/0!</v>
      </c>
      <c r="K121" s="362" t="e">
        <f t="shared" si="20"/>
        <v>#DIV/0!</v>
      </c>
      <c r="M121" s="8" t="s">
        <v>150</v>
      </c>
    </row>
    <row r="122" spans="1:13" ht="12.75" customHeight="1">
      <c r="B122" s="8" t="s">
        <v>163</v>
      </c>
      <c r="C122" s="362"/>
      <c r="D122" s="362"/>
      <c r="E122" s="362"/>
      <c r="F122" s="362"/>
      <c r="G122" s="362">
        <f>G158</f>
        <v>0</v>
      </c>
      <c r="H122" s="362">
        <f t="shared" si="20"/>
        <v>0</v>
      </c>
      <c r="I122" s="362">
        <f t="shared" si="20"/>
        <v>0</v>
      </c>
      <c r="J122" s="362">
        <f t="shared" si="20"/>
        <v>0</v>
      </c>
      <c r="K122" s="362">
        <f t="shared" si="20"/>
        <v>0</v>
      </c>
      <c r="M122" s="8" t="s">
        <v>150</v>
      </c>
    </row>
    <row r="123" spans="1:13" ht="12.75" customHeight="1">
      <c r="B123" s="179" t="s">
        <v>414</v>
      </c>
      <c r="C123" s="182"/>
      <c r="D123" s="182"/>
      <c r="E123" s="182"/>
      <c r="F123" s="182"/>
      <c r="G123" s="182">
        <f>SUM(G118:G121)</f>
        <v>0</v>
      </c>
      <c r="H123" s="182" t="e">
        <f>SUM(H118:H121)</f>
        <v>#DIV/0!</v>
      </c>
      <c r="I123" s="182" t="e">
        <f>SUM(I118:I121)</f>
        <v>#DIV/0!</v>
      </c>
      <c r="J123" s="182" t="e">
        <f>SUM(J118:J121)</f>
        <v>#DIV/0!</v>
      </c>
      <c r="K123" s="182" t="e">
        <f>SUM(K118:K121)</f>
        <v>#DIV/0!</v>
      </c>
    </row>
    <row r="124" spans="1:13" ht="5.0999999999999996" customHeight="1">
      <c r="G124" s="70"/>
      <c r="H124" s="70"/>
      <c r="I124" s="70"/>
      <c r="J124" s="70"/>
      <c r="K124" s="70"/>
    </row>
    <row r="125" spans="1:13" ht="12.75" customHeight="1">
      <c r="B125" s="38" t="s">
        <v>164</v>
      </c>
      <c r="C125" s="48"/>
      <c r="D125" s="48"/>
      <c r="E125" s="48"/>
      <c r="F125" s="48"/>
      <c r="G125" s="48">
        <f>G113+G116+G123</f>
        <v>0</v>
      </c>
      <c r="H125" s="48" t="e">
        <f>H113+H116+H123</f>
        <v>#DIV/0!</v>
      </c>
      <c r="I125" s="48" t="e">
        <f>I113+I116+I123</f>
        <v>#DIV/0!</v>
      </c>
      <c r="J125" s="48" t="e">
        <f>J113+J116+J123</f>
        <v>#DIV/0!</v>
      </c>
      <c r="K125" s="48" t="e">
        <f>K113+K116+K123</f>
        <v>#DIV/0!</v>
      </c>
    </row>
    <row r="127" spans="1:13">
      <c r="A127" s="8" t="s">
        <v>25</v>
      </c>
      <c r="B127" s="366" t="s">
        <v>415</v>
      </c>
      <c r="C127" s="367" t="s">
        <v>408</v>
      </c>
      <c r="D127" s="367"/>
      <c r="E127" s="367"/>
      <c r="F127" s="367"/>
      <c r="G127" s="367" t="s">
        <v>166</v>
      </c>
      <c r="H127" s="367"/>
      <c r="I127" s="367"/>
      <c r="J127" s="367"/>
      <c r="K127" s="367"/>
    </row>
    <row r="128" spans="1:13">
      <c r="B128" s="368" t="s">
        <v>109</v>
      </c>
      <c r="C128" s="395">
        <v>2021</v>
      </c>
      <c r="D128" s="395">
        <v>2022</v>
      </c>
      <c r="E128" s="395">
        <v>2023</v>
      </c>
      <c r="F128" s="395">
        <v>2024</v>
      </c>
      <c r="G128" s="396">
        <v>2025</v>
      </c>
      <c r="H128" s="396">
        <v>2026</v>
      </c>
      <c r="I128" s="396">
        <v>2027</v>
      </c>
      <c r="J128" s="396">
        <v>2028</v>
      </c>
      <c r="K128" s="396">
        <v>2029</v>
      </c>
    </row>
    <row r="129" spans="1:17">
      <c r="B129" s="368" t="s">
        <v>110</v>
      </c>
      <c r="C129" s="369">
        <v>44469</v>
      </c>
      <c r="D129" s="369">
        <v>44834</v>
      </c>
      <c r="E129" s="369">
        <v>45199</v>
      </c>
      <c r="F129" s="369">
        <v>45559</v>
      </c>
      <c r="G129" s="369">
        <v>45930</v>
      </c>
      <c r="H129" s="369">
        <v>46295</v>
      </c>
      <c r="I129" s="369">
        <v>46660</v>
      </c>
      <c r="J129" s="369">
        <v>47026</v>
      </c>
      <c r="K129" s="369">
        <v>47391</v>
      </c>
    </row>
    <row r="131" spans="1:17">
      <c r="A131" s="341" t="s">
        <v>25</v>
      </c>
      <c r="B131" s="97" t="s">
        <v>165</v>
      </c>
      <c r="C131" s="97"/>
      <c r="D131" s="98"/>
      <c r="E131" s="98"/>
      <c r="F131" s="98"/>
      <c r="G131" s="98"/>
      <c r="H131" s="98"/>
      <c r="I131" s="98"/>
      <c r="J131" s="98"/>
      <c r="K131" s="98"/>
    </row>
    <row r="132" spans="1:17" hidden="1">
      <c r="B132" s="113" t="str">
        <f>B15</f>
        <v xml:space="preserve">Fiscal year  </v>
      </c>
      <c r="C132" s="113"/>
      <c r="D132" s="114">
        <f t="shared" ref="D132:K133" si="21">D15</f>
        <v>2022</v>
      </c>
      <c r="E132" s="114">
        <f t="shared" si="21"/>
        <v>2023</v>
      </c>
      <c r="F132" s="114">
        <f t="shared" si="21"/>
        <v>2024</v>
      </c>
      <c r="G132" s="115">
        <f t="shared" si="21"/>
        <v>2025</v>
      </c>
      <c r="H132" s="115">
        <f t="shared" si="21"/>
        <v>2026</v>
      </c>
      <c r="I132" s="115">
        <f t="shared" si="21"/>
        <v>2027</v>
      </c>
      <c r="J132" s="115">
        <f t="shared" si="21"/>
        <v>2028</v>
      </c>
      <c r="K132" s="115">
        <f t="shared" si="21"/>
        <v>2029</v>
      </c>
    </row>
    <row r="133" spans="1:17" hidden="1">
      <c r="B133" s="98" t="str">
        <f>B16</f>
        <v>Fiscal year end date</v>
      </c>
      <c r="C133" s="98"/>
      <c r="D133" s="116">
        <f t="shared" si="21"/>
        <v>44926</v>
      </c>
      <c r="E133" s="116">
        <f t="shared" si="21"/>
        <v>45291</v>
      </c>
      <c r="F133" s="116">
        <f t="shared" si="21"/>
        <v>45657</v>
      </c>
      <c r="G133" s="116">
        <f t="shared" si="21"/>
        <v>46022</v>
      </c>
      <c r="H133" s="116">
        <f t="shared" si="21"/>
        <v>46387</v>
      </c>
      <c r="I133" s="116">
        <f t="shared" si="21"/>
        <v>46752</v>
      </c>
      <c r="J133" s="116">
        <f t="shared" si="21"/>
        <v>47118</v>
      </c>
      <c r="K133" s="116">
        <f t="shared" si="21"/>
        <v>47483</v>
      </c>
    </row>
    <row r="134" spans="1:17" hidden="1">
      <c r="B134" s="38"/>
      <c r="C134" s="38"/>
      <c r="G134" s="118" t="s">
        <v>166</v>
      </c>
      <c r="H134" s="118"/>
      <c r="I134" s="118"/>
      <c r="J134" s="118"/>
      <c r="K134" s="118"/>
    </row>
    <row r="135" spans="1:17">
      <c r="B135" s="107" t="s">
        <v>167</v>
      </c>
      <c r="C135" s="107"/>
      <c r="D135" s="70">
        <f t="shared" ref="D135:K135" si="22">C138</f>
        <v>0</v>
      </c>
      <c r="E135" s="70">
        <f t="shared" si="22"/>
        <v>0</v>
      </c>
      <c r="F135" s="70">
        <f t="shared" si="22"/>
        <v>0</v>
      </c>
      <c r="G135" s="183">
        <f t="shared" si="22"/>
        <v>0</v>
      </c>
      <c r="H135" s="183" t="e">
        <f t="shared" si="22"/>
        <v>#DIV/0!</v>
      </c>
      <c r="I135" s="183" t="e">
        <f t="shared" si="22"/>
        <v>#DIV/0!</v>
      </c>
      <c r="J135" s="183" t="e">
        <f t="shared" si="22"/>
        <v>#DIV/0!</v>
      </c>
      <c r="K135" s="183" t="e">
        <f t="shared" si="22"/>
        <v>#DIV/0!</v>
      </c>
      <c r="M135" s="8" t="s">
        <v>168</v>
      </c>
    </row>
    <row r="136" spans="1:17">
      <c r="B136" s="119" t="s">
        <v>169</v>
      </c>
      <c r="C136" s="165"/>
      <c r="D136" s="165"/>
      <c r="E136" s="165"/>
      <c r="F136" s="165"/>
      <c r="G136" s="415"/>
      <c r="H136" s="415"/>
      <c r="I136" s="415"/>
      <c r="J136" s="415"/>
      <c r="K136" s="415"/>
      <c r="M136" s="8" t="s">
        <v>170</v>
      </c>
    </row>
    <row r="137" spans="1:17">
      <c r="B137" s="120" t="s">
        <v>171</v>
      </c>
      <c r="C137" s="121"/>
      <c r="D137" s="121"/>
      <c r="E137" s="121"/>
      <c r="F137" s="121"/>
      <c r="G137" s="192" t="e">
        <f>-(G140*G136)</f>
        <v>#DIV/0!</v>
      </c>
      <c r="H137" s="192" t="e">
        <f>-(H140*H136)</f>
        <v>#DIV/0!</v>
      </c>
      <c r="I137" s="192" t="e">
        <f>-(I140*I136)</f>
        <v>#DIV/0!</v>
      </c>
      <c r="J137" s="192" t="e">
        <f>-(J140*J136)</f>
        <v>#DIV/0!</v>
      </c>
      <c r="K137" s="192" t="e">
        <f>-(K140*K136)</f>
        <v>#DIV/0!</v>
      </c>
      <c r="M137" s="8" t="s">
        <v>172</v>
      </c>
    </row>
    <row r="138" spans="1:17">
      <c r="B138" s="123" t="s">
        <v>173</v>
      </c>
      <c r="C138" s="48">
        <f>C84</f>
        <v>0</v>
      </c>
      <c r="D138" s="48">
        <f>D84</f>
        <v>0</v>
      </c>
      <c r="E138" s="48">
        <f>E84</f>
        <v>0</v>
      </c>
      <c r="F138" s="48">
        <f>F84</f>
        <v>0</v>
      </c>
      <c r="G138" s="48" t="e">
        <f>SUM(G135:G137)</f>
        <v>#DIV/0!</v>
      </c>
      <c r="H138" s="48" t="e">
        <f>SUM(H135:H137)</f>
        <v>#DIV/0!</v>
      </c>
      <c r="I138" s="48" t="e">
        <f>SUM(I135:I137)</f>
        <v>#DIV/0!</v>
      </c>
      <c r="J138" s="48" t="e">
        <f>SUM(J135:J137)</f>
        <v>#DIV/0!</v>
      </c>
      <c r="K138" s="48" t="e">
        <f>SUM(K135:K137)</f>
        <v>#DIV/0!</v>
      </c>
      <c r="M138" s="8" t="s">
        <v>174</v>
      </c>
    </row>
    <row r="139" spans="1:17" ht="5.0999999999999996" customHeight="1">
      <c r="B139" s="107"/>
      <c r="C139" s="107"/>
      <c r="M139" s="110"/>
    </row>
    <row r="140" spans="1:17">
      <c r="B140" s="107" t="s">
        <v>175</v>
      </c>
      <c r="C140" s="124" t="e">
        <f>-(C137/C136)</f>
        <v>#DIV/0!</v>
      </c>
      <c r="D140" s="124" t="e">
        <f>-(D137/D136)</f>
        <v>#DIV/0!</v>
      </c>
      <c r="E140" s="124" t="e">
        <f>-(E137/E136)</f>
        <v>#DIV/0!</v>
      </c>
      <c r="F140" s="124" t="e">
        <f>-(F137/F136)</f>
        <v>#DIV/0!</v>
      </c>
      <c r="G140" s="189" t="e">
        <f>AVERAGE(D140:F140)</f>
        <v>#DIV/0!</v>
      </c>
      <c r="H140" s="189" t="e">
        <f>G140+$C$141</f>
        <v>#DIV/0!</v>
      </c>
      <c r="I140" s="189" t="e">
        <f>H140+$C$141</f>
        <v>#DIV/0!</v>
      </c>
      <c r="J140" s="189" t="e">
        <f>I140+$C$141</f>
        <v>#DIV/0!</v>
      </c>
      <c r="K140" s="189" t="e">
        <f>J140+$C$141</f>
        <v>#DIV/0!</v>
      </c>
      <c r="M140" s="125"/>
      <c r="N140" s="110"/>
      <c r="O140" s="126"/>
      <c r="P140" s="126"/>
      <c r="Q140" s="126"/>
    </row>
    <row r="141" spans="1:17">
      <c r="B141" s="410" t="s">
        <v>433</v>
      </c>
      <c r="C141" s="456">
        <v>0.02</v>
      </c>
      <c r="D141" s="124"/>
      <c r="E141" s="124"/>
      <c r="F141" s="124"/>
      <c r="G141" s="111"/>
      <c r="H141" s="111"/>
      <c r="I141" s="111"/>
      <c r="J141" s="111"/>
      <c r="K141" s="111"/>
      <c r="M141" s="125"/>
      <c r="N141" s="110"/>
      <c r="O141" s="126"/>
      <c r="P141" s="126"/>
      <c r="Q141" s="126"/>
    </row>
    <row r="142" spans="1:17">
      <c r="B142" s="107"/>
      <c r="C142" s="107"/>
      <c r="D142" s="124"/>
      <c r="E142" s="124"/>
      <c r="F142" s="124"/>
      <c r="G142" s="111"/>
      <c r="H142" s="111"/>
      <c r="I142" s="111"/>
      <c r="J142" s="111"/>
      <c r="K142" s="111"/>
      <c r="O142" s="126"/>
      <c r="P142" s="126"/>
      <c r="Q142" s="126"/>
    </row>
    <row r="143" spans="1:17">
      <c r="A143" s="341" t="s">
        <v>25</v>
      </c>
      <c r="B143" s="127" t="s">
        <v>420</v>
      </c>
      <c r="C143" s="127"/>
      <c r="D143" s="128"/>
      <c r="E143" s="128"/>
      <c r="F143" s="128"/>
      <c r="G143" s="129"/>
      <c r="H143" s="129"/>
      <c r="I143" s="129"/>
      <c r="J143" s="129"/>
      <c r="K143" s="129"/>
      <c r="O143" s="126"/>
      <c r="P143" s="126"/>
      <c r="Q143" s="126"/>
    </row>
    <row r="144" spans="1:17">
      <c r="B144" s="107" t="s">
        <v>249</v>
      </c>
      <c r="C144" s="70">
        <f>C146+C137</f>
        <v>0</v>
      </c>
      <c r="D144" s="70">
        <f>D146+D137</f>
        <v>0</v>
      </c>
      <c r="E144" s="70">
        <f>E146+E137</f>
        <v>0</v>
      </c>
      <c r="F144" s="70">
        <f>F146+F137</f>
        <v>0</v>
      </c>
      <c r="G144" s="188">
        <f>G145*G18</f>
        <v>0</v>
      </c>
      <c r="H144" s="188">
        <f>H145*H18</f>
        <v>0</v>
      </c>
      <c r="I144" s="188">
        <f>I145*I18</f>
        <v>0</v>
      </c>
      <c r="J144" s="188">
        <f>J145*J18</f>
        <v>0</v>
      </c>
      <c r="K144" s="188">
        <f>K145*K18</f>
        <v>0</v>
      </c>
      <c r="M144" s="8" t="s">
        <v>176</v>
      </c>
      <c r="O144" s="126"/>
      <c r="P144" s="126"/>
      <c r="Q144" s="126"/>
    </row>
    <row r="145" spans="1:13">
      <c r="B145" s="65" t="s">
        <v>177</v>
      </c>
      <c r="C145" s="130">
        <f>C144/C18</f>
        <v>0</v>
      </c>
      <c r="D145" s="130">
        <f>D144/D18</f>
        <v>0</v>
      </c>
      <c r="E145" s="130">
        <f>E144/E18</f>
        <v>0</v>
      </c>
      <c r="F145" s="130">
        <f>F144/F18</f>
        <v>0</v>
      </c>
      <c r="G145" s="189">
        <f>F145</f>
        <v>0</v>
      </c>
      <c r="H145" s="189">
        <f>G145</f>
        <v>0</v>
      </c>
      <c r="I145" s="189">
        <f>H145</f>
        <v>0</v>
      </c>
      <c r="J145" s="189">
        <f>I145</f>
        <v>0</v>
      </c>
      <c r="K145" s="189">
        <f>J145</f>
        <v>0</v>
      </c>
      <c r="M145" s="8" t="s">
        <v>455</v>
      </c>
    </row>
    <row r="146" spans="1:13">
      <c r="B146" s="108" t="s">
        <v>178</v>
      </c>
      <c r="C146" s="48">
        <f>C50</f>
        <v>0</v>
      </c>
      <c r="D146" s="48">
        <f>D50</f>
        <v>0</v>
      </c>
      <c r="E146" s="48">
        <f>E50</f>
        <v>0</v>
      </c>
      <c r="F146" s="48">
        <f>F50</f>
        <v>0</v>
      </c>
      <c r="G146" s="190" t="e">
        <f>-G137+G144</f>
        <v>#DIV/0!</v>
      </c>
      <c r="H146" s="190" t="e">
        <f>-H137+H144</f>
        <v>#DIV/0!</v>
      </c>
      <c r="I146" s="190" t="e">
        <f>-I137+I144</f>
        <v>#DIV/0!</v>
      </c>
      <c r="J146" s="190" t="e">
        <f>-J137+J144</f>
        <v>#DIV/0!</v>
      </c>
      <c r="K146" s="190" t="e">
        <f>-K137+K144</f>
        <v>#DIV/0!</v>
      </c>
      <c r="M146" s="8" t="s">
        <v>179</v>
      </c>
    </row>
    <row r="147" spans="1:13">
      <c r="B147" s="107"/>
      <c r="C147" s="107"/>
      <c r="D147" s="70"/>
      <c r="E147" s="70"/>
      <c r="F147" s="70"/>
      <c r="H147" s="70"/>
      <c r="I147" s="70"/>
      <c r="J147" s="70"/>
      <c r="K147" s="70"/>
    </row>
    <row r="148" spans="1:13">
      <c r="A148" s="341" t="s">
        <v>25</v>
      </c>
      <c r="B148" s="131" t="s">
        <v>180</v>
      </c>
      <c r="C148" s="131"/>
      <c r="D148" s="98"/>
      <c r="E148" s="98"/>
      <c r="F148" s="98"/>
      <c r="H148" s="70"/>
      <c r="I148" s="70"/>
      <c r="J148" s="70"/>
      <c r="K148" s="70"/>
    </row>
    <row r="149" spans="1:13">
      <c r="B149" s="107" t="s">
        <v>167</v>
      </c>
      <c r="C149" s="107"/>
      <c r="D149" s="132"/>
      <c r="E149" s="132"/>
      <c r="F149" s="132"/>
      <c r="G149" s="186">
        <f>F152</f>
        <v>0</v>
      </c>
      <c r="H149" s="186">
        <f>G152</f>
        <v>0</v>
      </c>
      <c r="I149" s="186">
        <f>H152</f>
        <v>0</v>
      </c>
      <c r="J149" s="186">
        <f>I152</f>
        <v>0</v>
      </c>
      <c r="K149" s="186">
        <f>J152</f>
        <v>0</v>
      </c>
      <c r="M149" s="8" t="s">
        <v>168</v>
      </c>
    </row>
    <row r="150" spans="1:13">
      <c r="B150" s="65" t="s">
        <v>181</v>
      </c>
      <c r="C150" s="65"/>
      <c r="D150" s="70"/>
      <c r="E150" s="70"/>
      <c r="F150" s="70"/>
      <c r="G150" s="183">
        <f>-(G144)</f>
        <v>0</v>
      </c>
      <c r="H150" s="183">
        <f>-(H144)</f>
        <v>0</v>
      </c>
      <c r="I150" s="183">
        <f>-(I144)</f>
        <v>0</v>
      </c>
      <c r="J150" s="183">
        <f>-(J144)</f>
        <v>0</v>
      </c>
      <c r="K150" s="183">
        <f>-(K144)</f>
        <v>0</v>
      </c>
      <c r="M150" s="8" t="s">
        <v>182</v>
      </c>
    </row>
    <row r="151" spans="1:13">
      <c r="B151" s="133" t="s">
        <v>183</v>
      </c>
      <c r="C151" s="133"/>
      <c r="D151" s="135"/>
      <c r="E151" s="135"/>
      <c r="F151" s="135"/>
      <c r="G151" s="187">
        <f>G152-G150-G149</f>
        <v>0</v>
      </c>
      <c r="H151" s="187">
        <f>H152-H150-H149</f>
        <v>0</v>
      </c>
      <c r="I151" s="187">
        <f>I152-I150-I149</f>
        <v>0</v>
      </c>
      <c r="J151" s="187">
        <f>J152-J150-J149</f>
        <v>0</v>
      </c>
      <c r="K151" s="187">
        <f>K152-K150-K149</f>
        <v>0</v>
      </c>
      <c r="M151" s="8" t="s">
        <v>456</v>
      </c>
    </row>
    <row r="152" spans="1:13">
      <c r="B152" s="123" t="s">
        <v>173</v>
      </c>
      <c r="C152" s="48"/>
      <c r="D152" s="48">
        <f t="shared" ref="D152:K152" si="23">D85</f>
        <v>0</v>
      </c>
      <c r="E152" s="48">
        <f t="shared" si="23"/>
        <v>0</v>
      </c>
      <c r="F152" s="48">
        <f t="shared" si="23"/>
        <v>0</v>
      </c>
      <c r="G152" s="48">
        <f t="shared" si="23"/>
        <v>0</v>
      </c>
      <c r="H152" s="48">
        <f t="shared" si="23"/>
        <v>0</v>
      </c>
      <c r="I152" s="48">
        <f t="shared" si="23"/>
        <v>0</v>
      </c>
      <c r="J152" s="48">
        <f t="shared" si="23"/>
        <v>0</v>
      </c>
      <c r="K152" s="48">
        <f t="shared" si="23"/>
        <v>0</v>
      </c>
      <c r="M152" s="8" t="s">
        <v>184</v>
      </c>
    </row>
    <row r="153" spans="1:13">
      <c r="B153" s="65"/>
      <c r="C153" s="65"/>
      <c r="E153" s="70"/>
      <c r="F153" s="70"/>
      <c r="H153" s="70"/>
      <c r="I153" s="70"/>
      <c r="J153" s="70"/>
      <c r="K153" s="70"/>
    </row>
    <row r="154" spans="1:13">
      <c r="A154" s="341" t="s">
        <v>25</v>
      </c>
      <c r="B154" s="136" t="s">
        <v>185</v>
      </c>
      <c r="C154" s="136"/>
      <c r="D154" s="131"/>
      <c r="E154" s="131"/>
      <c r="F154" s="131"/>
      <c r="G154" s="98"/>
      <c r="H154" s="98"/>
      <c r="I154" s="98"/>
      <c r="J154" s="98"/>
      <c r="K154" s="98"/>
    </row>
    <row r="155" spans="1:13">
      <c r="B155" s="107" t="s">
        <v>167</v>
      </c>
      <c r="C155" s="107"/>
      <c r="D155" s="70"/>
      <c r="E155" s="70"/>
      <c r="F155" s="70"/>
      <c r="G155" s="183">
        <f>F159</f>
        <v>0</v>
      </c>
      <c r="H155" s="183">
        <f>G159</f>
        <v>0</v>
      </c>
      <c r="I155" s="183" t="e">
        <f>H159</f>
        <v>#DIV/0!</v>
      </c>
      <c r="J155" s="183" t="e">
        <f>I159</f>
        <v>#DIV/0!</v>
      </c>
      <c r="K155" s="183" t="e">
        <f>J159</f>
        <v>#DIV/0!</v>
      </c>
      <c r="M155" s="8" t="s">
        <v>168</v>
      </c>
    </row>
    <row r="156" spans="1:13">
      <c r="B156" s="65" t="s">
        <v>186</v>
      </c>
      <c r="C156" s="105"/>
      <c r="D156" s="105"/>
      <c r="E156" s="105"/>
      <c r="F156" s="105">
        <f t="shared" ref="F156:K156" si="24">F47</f>
        <v>395848.74804036436</v>
      </c>
      <c r="G156" s="183">
        <f t="shared" si="24"/>
        <v>0</v>
      </c>
      <c r="H156" s="183">
        <f t="shared" si="24"/>
        <v>0</v>
      </c>
      <c r="I156" s="183">
        <f t="shared" si="24"/>
        <v>0</v>
      </c>
      <c r="J156" s="183">
        <f t="shared" si="24"/>
        <v>0</v>
      </c>
      <c r="K156" s="183">
        <f t="shared" si="24"/>
        <v>0</v>
      </c>
      <c r="M156" s="8" t="s">
        <v>187</v>
      </c>
    </row>
    <row r="157" spans="1:13">
      <c r="B157" s="65" t="s">
        <v>188</v>
      </c>
      <c r="C157" s="165"/>
      <c r="D157" s="165"/>
      <c r="E157" s="165"/>
      <c r="F157" s="165"/>
      <c r="G157" s="183">
        <f>G156*F157/F156</f>
        <v>0</v>
      </c>
      <c r="H157" s="183" t="e">
        <f>H156*G157/G156</f>
        <v>#DIV/0!</v>
      </c>
      <c r="I157" s="183" t="e">
        <f>I156*H157/H156</f>
        <v>#DIV/0!</v>
      </c>
      <c r="J157" s="183" t="e">
        <f>J156*I157/I156</f>
        <v>#DIV/0!</v>
      </c>
      <c r="K157" s="183" t="e">
        <f>K156*J157/J156</f>
        <v>#DIV/0!</v>
      </c>
      <c r="M157" s="8" t="s">
        <v>457</v>
      </c>
    </row>
    <row r="158" spans="1:13">
      <c r="B158" s="133" t="s">
        <v>189</v>
      </c>
      <c r="C158" s="165"/>
      <c r="D158" s="165"/>
      <c r="E158" s="165"/>
      <c r="F158" s="165"/>
      <c r="G158" s="192">
        <f>F158</f>
        <v>0</v>
      </c>
      <c r="H158" s="192">
        <f>G158</f>
        <v>0</v>
      </c>
      <c r="I158" s="192">
        <f>H158</f>
        <v>0</v>
      </c>
      <c r="J158" s="192">
        <f>I158</f>
        <v>0</v>
      </c>
      <c r="K158" s="192">
        <f>J158</f>
        <v>0</v>
      </c>
      <c r="M158" s="8" t="s">
        <v>458</v>
      </c>
    </row>
    <row r="159" spans="1:13">
      <c r="B159" s="123" t="s">
        <v>173</v>
      </c>
      <c r="C159" s="178"/>
      <c r="D159" s="182"/>
      <c r="E159" s="182"/>
      <c r="F159" s="182">
        <f>F97</f>
        <v>0</v>
      </c>
      <c r="G159" s="48">
        <f>SUM(G155:G158)</f>
        <v>0</v>
      </c>
      <c r="H159" s="48" t="e">
        <f>SUM(H155:H158)</f>
        <v>#DIV/0!</v>
      </c>
      <c r="I159" s="48" t="e">
        <f>SUM(I155:I158)</f>
        <v>#DIV/0!</v>
      </c>
      <c r="J159" s="48" t="e">
        <f>SUM(J155:J158)</f>
        <v>#DIV/0!</v>
      </c>
      <c r="K159" s="48" t="e">
        <f>SUM(K155:K158)</f>
        <v>#DIV/0!</v>
      </c>
      <c r="M159" s="8" t="s">
        <v>190</v>
      </c>
    </row>
    <row r="160" spans="1:13">
      <c r="E160" s="117"/>
      <c r="F160" s="117"/>
    </row>
    <row r="161" spans="1:19">
      <c r="A161" s="341" t="s">
        <v>25</v>
      </c>
      <c r="B161" s="97" t="s">
        <v>191</v>
      </c>
      <c r="C161" s="97"/>
      <c r="D161" s="98"/>
      <c r="E161" s="98"/>
      <c r="F161" s="98"/>
      <c r="G161" s="98"/>
      <c r="H161" s="98"/>
      <c r="I161" s="98"/>
      <c r="J161" s="98"/>
      <c r="K161" s="98"/>
      <c r="O161" s="126"/>
      <c r="P161" s="126"/>
    </row>
    <row r="162" spans="1:19" hidden="1">
      <c r="B162" s="113" t="str">
        <f>B15</f>
        <v xml:space="preserve">Fiscal year  </v>
      </c>
      <c r="C162" s="113"/>
      <c r="D162" s="114">
        <f t="shared" ref="D162:K163" si="25">D15</f>
        <v>2022</v>
      </c>
      <c r="E162" s="114">
        <f t="shared" si="25"/>
        <v>2023</v>
      </c>
      <c r="F162" s="114">
        <f t="shared" si="25"/>
        <v>2024</v>
      </c>
      <c r="G162" s="115">
        <f t="shared" si="25"/>
        <v>2025</v>
      </c>
      <c r="H162" s="115">
        <f t="shared" si="25"/>
        <v>2026</v>
      </c>
      <c r="I162" s="115">
        <f t="shared" si="25"/>
        <v>2027</v>
      </c>
      <c r="J162" s="115">
        <f t="shared" si="25"/>
        <v>2028</v>
      </c>
      <c r="K162" s="115">
        <f t="shared" si="25"/>
        <v>2029</v>
      </c>
      <c r="O162" s="126"/>
      <c r="P162" s="126"/>
    </row>
    <row r="163" spans="1:19" hidden="1">
      <c r="B163" s="98" t="str">
        <f>B16</f>
        <v>Fiscal year end date</v>
      </c>
      <c r="C163" s="98"/>
      <c r="D163" s="116">
        <f t="shared" si="25"/>
        <v>44926</v>
      </c>
      <c r="E163" s="116">
        <f t="shared" si="25"/>
        <v>45291</v>
      </c>
      <c r="F163" s="116">
        <f t="shared" si="25"/>
        <v>45657</v>
      </c>
      <c r="G163" s="116">
        <f t="shared" si="25"/>
        <v>46022</v>
      </c>
      <c r="H163" s="116">
        <f t="shared" si="25"/>
        <v>46387</v>
      </c>
      <c r="I163" s="116">
        <f t="shared" si="25"/>
        <v>46752</v>
      </c>
      <c r="J163" s="116">
        <f t="shared" si="25"/>
        <v>47118</v>
      </c>
      <c r="K163" s="116">
        <f t="shared" si="25"/>
        <v>47483</v>
      </c>
      <c r="O163" s="126"/>
      <c r="P163" s="126"/>
    </row>
    <row r="164" spans="1:19" hidden="1">
      <c r="B164" s="38"/>
      <c r="C164" s="38"/>
      <c r="O164" s="126"/>
      <c r="P164" s="126"/>
    </row>
    <row r="165" spans="1:19">
      <c r="B165" s="110" t="s">
        <v>192</v>
      </c>
      <c r="C165" s="110"/>
      <c r="O165" s="126"/>
      <c r="P165" s="126"/>
      <c r="Q165" s="126"/>
    </row>
    <row r="166" spans="1:19">
      <c r="B166" s="65" t="s">
        <v>193</v>
      </c>
      <c r="C166" s="65"/>
      <c r="G166" s="183">
        <f>F80</f>
        <v>0</v>
      </c>
      <c r="H166" s="183">
        <f>G80</f>
        <v>0</v>
      </c>
      <c r="I166" s="183" t="e">
        <f>H80</f>
        <v>#DIV/0!</v>
      </c>
      <c r="J166" s="183" t="e">
        <f>I80</f>
        <v>#DIV/0!</v>
      </c>
      <c r="K166" s="183" t="e">
        <f>J80</f>
        <v>#DIV/0!</v>
      </c>
      <c r="M166" s="8" t="s">
        <v>194</v>
      </c>
      <c r="O166" s="126"/>
      <c r="P166" s="126"/>
    </row>
    <row r="167" spans="1:19">
      <c r="B167" s="65" t="s">
        <v>195</v>
      </c>
      <c r="C167" s="65"/>
      <c r="G167" s="191"/>
      <c r="H167" s="191"/>
      <c r="I167" s="191"/>
      <c r="J167" s="191"/>
      <c r="K167" s="191"/>
      <c r="M167" s="8" t="s">
        <v>459</v>
      </c>
      <c r="O167" s="126"/>
      <c r="P167" s="126"/>
    </row>
    <row r="168" spans="1:19">
      <c r="B168" s="133" t="s">
        <v>196</v>
      </c>
      <c r="C168" s="133"/>
      <c r="D168" s="134"/>
      <c r="E168" s="134"/>
      <c r="F168" s="134"/>
      <c r="G168" s="192">
        <f>SUM(G113,G116,G118,G120,G121)</f>
        <v>0</v>
      </c>
      <c r="H168" s="192" t="e">
        <f>SUM(H113,H116,H118,H120,H121)</f>
        <v>#DIV/0!</v>
      </c>
      <c r="I168" s="192" t="e">
        <f>SUM(I113,I116,I118,I120,I121)</f>
        <v>#DIV/0!</v>
      </c>
      <c r="J168" s="192" t="e">
        <f>SUM(J113,J116,J118,J120,J121)</f>
        <v>#DIV/0!</v>
      </c>
      <c r="K168" s="192" t="e">
        <f>SUM(K113,K116,K118,K120,K121)</f>
        <v>#DIV/0!</v>
      </c>
      <c r="M168" s="8" t="s">
        <v>250</v>
      </c>
    </row>
    <row r="169" spans="1:19">
      <c r="B169" s="123" t="s">
        <v>197</v>
      </c>
      <c r="C169" s="123"/>
      <c r="G169" s="48">
        <f>SUM(G166:G168)</f>
        <v>0</v>
      </c>
      <c r="H169" s="48" t="e">
        <f>SUM(H166:H168)</f>
        <v>#DIV/0!</v>
      </c>
      <c r="I169" s="48" t="e">
        <f>SUM(I166:I168)</f>
        <v>#DIV/0!</v>
      </c>
      <c r="J169" s="48" t="e">
        <f>SUM(J166:J168)</f>
        <v>#DIV/0!</v>
      </c>
      <c r="K169" s="48" t="e">
        <f>SUM(K166:K168)</f>
        <v>#DIV/0!</v>
      </c>
    </row>
    <row r="171" spans="1:19">
      <c r="B171" s="38" t="s">
        <v>198</v>
      </c>
      <c r="C171" s="38"/>
    </row>
    <row r="172" spans="1:19">
      <c r="B172" s="65" t="s">
        <v>167</v>
      </c>
      <c r="C172" s="65"/>
      <c r="G172" s="183">
        <f>F175</f>
        <v>0</v>
      </c>
      <c r="H172" s="183">
        <f>G175</f>
        <v>0</v>
      </c>
      <c r="I172" s="183" t="e">
        <f>H175</f>
        <v>#DIV/0!</v>
      </c>
      <c r="J172" s="183" t="e">
        <f>I175</f>
        <v>#DIV/0!</v>
      </c>
      <c r="K172" s="183" t="e">
        <f>J175</f>
        <v>#DIV/0!</v>
      </c>
      <c r="M172" s="8" t="s">
        <v>168</v>
      </c>
    </row>
    <row r="173" spans="1:19">
      <c r="B173" s="119" t="s">
        <v>199</v>
      </c>
      <c r="C173" s="119"/>
      <c r="G173" s="183">
        <f>-MIN(G169,G172)</f>
        <v>0</v>
      </c>
      <c r="H173" s="183" t="e">
        <f>-MIN(H169,H172)</f>
        <v>#DIV/0!</v>
      </c>
      <c r="I173" s="183" t="e">
        <f>-MIN(I169,I172)</f>
        <v>#DIV/0!</v>
      </c>
      <c r="J173" s="183" t="e">
        <f>-MIN(J169,J172)</f>
        <v>#DIV/0!</v>
      </c>
      <c r="K173" s="183" t="e">
        <f>-MIN(K169,K172)</f>
        <v>#DIV/0!</v>
      </c>
      <c r="M173" s="8" t="s">
        <v>200</v>
      </c>
    </row>
    <row r="174" spans="1:19">
      <c r="B174" s="120" t="s">
        <v>201</v>
      </c>
      <c r="C174" s="120"/>
      <c r="D174" s="134"/>
      <c r="E174" s="134"/>
      <c r="F174" s="134"/>
      <c r="G174" s="193"/>
      <c r="H174" s="193"/>
      <c r="I174" s="193"/>
      <c r="J174" s="193"/>
      <c r="K174" s="193"/>
      <c r="M174" s="8" t="s">
        <v>459</v>
      </c>
    </row>
    <row r="175" spans="1:19">
      <c r="B175" s="65" t="s">
        <v>173</v>
      </c>
      <c r="C175" s="122"/>
      <c r="D175" s="122">
        <f>D91</f>
        <v>0</v>
      </c>
      <c r="E175" s="122">
        <f>E91</f>
        <v>0</v>
      </c>
      <c r="F175" s="122">
        <f>F91</f>
        <v>0</v>
      </c>
      <c r="G175" s="137">
        <f>SUM(G172:G174)</f>
        <v>0</v>
      </c>
      <c r="H175" s="137" t="e">
        <f>SUM(H172:H174)</f>
        <v>#DIV/0!</v>
      </c>
      <c r="I175" s="137" t="e">
        <f>SUM(I172:I174)</f>
        <v>#DIV/0!</v>
      </c>
      <c r="J175" s="137" t="e">
        <f>SUM(J172:J174)</f>
        <v>#DIV/0!</v>
      </c>
      <c r="K175" s="137" t="e">
        <f>SUM(K172:K174)</f>
        <v>#DIV/0!</v>
      </c>
    </row>
    <row r="176" spans="1:19">
      <c r="B176" s="91" t="s">
        <v>202</v>
      </c>
      <c r="C176" s="92"/>
      <c r="D176" s="138"/>
      <c r="E176" s="138"/>
      <c r="F176" s="139"/>
      <c r="G176" s="140" t="str">
        <f>IF(G175&lt;0,"Negative Debt","OK")</f>
        <v>OK</v>
      </c>
      <c r="H176" s="140" t="e">
        <f>IF(H175&lt;0,"Negative Debt","OK")</f>
        <v>#DIV/0!</v>
      </c>
      <c r="I176" s="140" t="e">
        <f>IF(I175&lt;0,"Negative Debt","OK")</f>
        <v>#DIV/0!</v>
      </c>
      <c r="J176" s="140" t="e">
        <f>IF(J175&lt;0,"Negative Debt","OK")</f>
        <v>#DIV/0!</v>
      </c>
      <c r="K176" s="140" t="e">
        <f>IF(K175&lt;0,"Negative Debt","OK")</f>
        <v>#DIV/0!</v>
      </c>
      <c r="S176" s="117"/>
    </row>
    <row r="177" spans="1:19">
      <c r="D177" s="70"/>
      <c r="E177" s="70"/>
      <c r="F177" s="93"/>
      <c r="G177" s="141"/>
      <c r="H177" s="141"/>
      <c r="I177" s="141"/>
      <c r="J177" s="141"/>
      <c r="K177" s="141"/>
      <c r="S177" s="117"/>
    </row>
    <row r="178" spans="1:19">
      <c r="A178" s="341" t="s">
        <v>25</v>
      </c>
      <c r="B178" s="97" t="s">
        <v>203</v>
      </c>
      <c r="C178" s="97"/>
      <c r="D178" s="128"/>
      <c r="E178" s="128"/>
      <c r="F178" s="128"/>
      <c r="G178" s="142"/>
      <c r="H178" s="142"/>
      <c r="I178" s="142"/>
      <c r="J178" s="142"/>
      <c r="K178" s="142"/>
      <c r="R178" s="143"/>
    </row>
    <row r="179" spans="1:19" hidden="1">
      <c r="B179" s="113" t="str">
        <f>B15</f>
        <v xml:space="preserve">Fiscal year  </v>
      </c>
      <c r="C179" s="113"/>
      <c r="D179" s="114">
        <f t="shared" ref="D179:K180" si="26">D15</f>
        <v>2022</v>
      </c>
      <c r="E179" s="114">
        <f t="shared" si="26"/>
        <v>2023</v>
      </c>
      <c r="F179" s="114">
        <f t="shared" si="26"/>
        <v>2024</v>
      </c>
      <c r="G179" s="115">
        <f t="shared" si="26"/>
        <v>2025</v>
      </c>
      <c r="H179" s="115">
        <f t="shared" si="26"/>
        <v>2026</v>
      </c>
      <c r="I179" s="115">
        <f t="shared" si="26"/>
        <v>2027</v>
      </c>
      <c r="J179" s="115">
        <f t="shared" si="26"/>
        <v>2028</v>
      </c>
      <c r="K179" s="115">
        <f t="shared" si="26"/>
        <v>2029</v>
      </c>
      <c r="R179" s="143"/>
      <c r="S179" s="117"/>
    </row>
    <row r="180" spans="1:19" hidden="1">
      <c r="B180" s="98" t="str">
        <f>B16</f>
        <v>Fiscal year end date</v>
      </c>
      <c r="C180" s="98"/>
      <c r="D180" s="116">
        <f t="shared" si="26"/>
        <v>44926</v>
      </c>
      <c r="E180" s="116">
        <f t="shared" si="26"/>
        <v>45291</v>
      </c>
      <c r="F180" s="116">
        <f t="shared" si="26"/>
        <v>45657</v>
      </c>
      <c r="G180" s="116">
        <f t="shared" si="26"/>
        <v>46022</v>
      </c>
      <c r="H180" s="116">
        <f t="shared" si="26"/>
        <v>46387</v>
      </c>
      <c r="I180" s="116">
        <f t="shared" si="26"/>
        <v>46752</v>
      </c>
      <c r="J180" s="116">
        <f t="shared" si="26"/>
        <v>47118</v>
      </c>
      <c r="K180" s="116">
        <f t="shared" si="26"/>
        <v>47483</v>
      </c>
      <c r="R180" s="143"/>
    </row>
    <row r="181" spans="1:19" ht="5.0999999999999996" customHeight="1">
      <c r="B181" s="65"/>
      <c r="C181" s="65"/>
      <c r="D181" s="70"/>
      <c r="E181" s="70"/>
      <c r="F181" s="70"/>
      <c r="G181" s="144"/>
      <c r="H181" s="144"/>
      <c r="I181" s="144"/>
      <c r="J181" s="144"/>
      <c r="K181" s="144"/>
      <c r="R181" s="143"/>
    </row>
    <row r="182" spans="1:19">
      <c r="B182" s="107" t="s">
        <v>204</v>
      </c>
      <c r="C182" s="70">
        <f>-(C42)</f>
        <v>0</v>
      </c>
      <c r="D182" s="70">
        <f>-(D42)</f>
        <v>0</v>
      </c>
      <c r="E182" s="70">
        <f>-(E42)</f>
        <v>0</v>
      </c>
      <c r="F182" s="70">
        <f>-(F42)</f>
        <v>0</v>
      </c>
      <c r="G182" s="183" t="e">
        <f>G187+G192</f>
        <v>#DIV/0!</v>
      </c>
      <c r="H182" s="183" t="e">
        <f>H187+H192</f>
        <v>#DIV/0!</v>
      </c>
      <c r="I182" s="183" t="e">
        <f>I187+I192</f>
        <v>#DIV/0!</v>
      </c>
      <c r="J182" s="183" t="e">
        <f>J187+J192</f>
        <v>#DIV/0!</v>
      </c>
      <c r="K182" s="183" t="e">
        <f>K187+K192</f>
        <v>#DIV/0!</v>
      </c>
      <c r="M182" s="8" t="s">
        <v>205</v>
      </c>
      <c r="R182" s="117"/>
    </row>
    <row r="183" spans="1:19" ht="5.0999999999999996" customHeight="1">
      <c r="B183" s="145"/>
      <c r="C183" s="145"/>
      <c r="R183" s="117"/>
    </row>
    <row r="184" spans="1:19">
      <c r="B184" s="146" t="s">
        <v>206</v>
      </c>
      <c r="C184" s="146"/>
      <c r="R184" s="117"/>
    </row>
    <row r="185" spans="1:19">
      <c r="B185" s="65" t="s">
        <v>207</v>
      </c>
      <c r="C185" s="151"/>
      <c r="D185" s="147"/>
      <c r="E185" s="147"/>
      <c r="F185" s="147"/>
      <c r="G185" s="194">
        <f>F185</f>
        <v>0</v>
      </c>
      <c r="H185" s="194">
        <f>G185</f>
        <v>0</v>
      </c>
      <c r="I185" s="194">
        <f>H185</f>
        <v>0</v>
      </c>
      <c r="J185" s="194">
        <f>I185</f>
        <v>0</v>
      </c>
      <c r="K185" s="194">
        <f>J185</f>
        <v>0</v>
      </c>
      <c r="M185" s="8" t="s">
        <v>118</v>
      </c>
    </row>
    <row r="186" spans="1:19">
      <c r="B186" s="65" t="s">
        <v>208</v>
      </c>
      <c r="C186" s="133"/>
      <c r="D186" s="122">
        <f t="shared" ref="D186:K186" si="27">D91</f>
        <v>0</v>
      </c>
      <c r="E186" s="122">
        <f t="shared" si="27"/>
        <v>0</v>
      </c>
      <c r="F186" s="122">
        <f t="shared" si="27"/>
        <v>0</v>
      </c>
      <c r="G186" s="183">
        <f t="shared" si="27"/>
        <v>0</v>
      </c>
      <c r="H186" s="183" t="e">
        <f t="shared" si="27"/>
        <v>#DIV/0!</v>
      </c>
      <c r="I186" s="183" t="e">
        <f t="shared" si="27"/>
        <v>#DIV/0!</v>
      </c>
      <c r="J186" s="183" t="e">
        <f t="shared" si="27"/>
        <v>#DIV/0!</v>
      </c>
      <c r="K186" s="183" t="e">
        <f t="shared" si="27"/>
        <v>#DIV/0!</v>
      </c>
      <c r="M186" s="8" t="s">
        <v>209</v>
      </c>
    </row>
    <row r="187" spans="1:19">
      <c r="B187" s="148" t="s">
        <v>210</v>
      </c>
      <c r="C187" s="48"/>
      <c r="D187" s="48">
        <f>AVERAGE(C186:D186)*D185</f>
        <v>0</v>
      </c>
      <c r="E187" s="48">
        <f>AVERAGE(D186:E186)*E185</f>
        <v>0</v>
      </c>
      <c r="F187" s="48">
        <f>AVERAGE(E186:F186)*F185</f>
        <v>0</v>
      </c>
      <c r="G187" s="149">
        <f>IF($C$8=1,AVERAGE(F186,G186)*G185,0)</f>
        <v>0</v>
      </c>
      <c r="H187" s="149">
        <f>IF($C$8=1,AVERAGE(G186,H186)*H185,0)</f>
        <v>0</v>
      </c>
      <c r="I187" s="149">
        <f>IF($C$8=1,AVERAGE(H186,I186)*I185,0)</f>
        <v>0</v>
      </c>
      <c r="J187" s="149">
        <f>IF($C$8=1,AVERAGE(I186,J186)*J185,0)</f>
        <v>0</v>
      </c>
      <c r="K187" s="149">
        <f>IF($C$8=1,AVERAGE(J186,K186)*K185,0)</f>
        <v>0</v>
      </c>
      <c r="M187" s="8" t="s">
        <v>211</v>
      </c>
    </row>
    <row r="188" spans="1:19" ht="5.0999999999999996" customHeight="1">
      <c r="B188" s="150"/>
      <c r="C188" s="150"/>
      <c r="D188" s="70"/>
      <c r="E188" s="70"/>
      <c r="F188" s="70"/>
    </row>
    <row r="189" spans="1:19">
      <c r="B189" s="146" t="s">
        <v>159</v>
      </c>
      <c r="C189" s="146"/>
      <c r="D189" s="70"/>
      <c r="E189" s="70"/>
      <c r="F189" s="70"/>
    </row>
    <row r="190" spans="1:19">
      <c r="B190" s="65" t="s">
        <v>208</v>
      </c>
      <c r="C190" s="70">
        <f t="shared" ref="C190:K190" si="28">C92</f>
        <v>0</v>
      </c>
      <c r="D190" s="70">
        <f t="shared" si="28"/>
        <v>0</v>
      </c>
      <c r="E190" s="70">
        <f t="shared" si="28"/>
        <v>0</v>
      </c>
      <c r="F190" s="70">
        <f t="shared" si="28"/>
        <v>0</v>
      </c>
      <c r="G190" s="183">
        <f t="shared" si="28"/>
        <v>0</v>
      </c>
      <c r="H190" s="183">
        <f t="shared" si="28"/>
        <v>0</v>
      </c>
      <c r="I190" s="183">
        <f t="shared" si="28"/>
        <v>0</v>
      </c>
      <c r="J190" s="183">
        <f t="shared" si="28"/>
        <v>0</v>
      </c>
      <c r="K190" s="183">
        <f t="shared" si="28"/>
        <v>0</v>
      </c>
      <c r="M190" s="8" t="s">
        <v>161</v>
      </c>
    </row>
    <row r="191" spans="1:19">
      <c r="B191" s="65" t="s">
        <v>207</v>
      </c>
      <c r="C191" s="65"/>
      <c r="D191" s="130" t="e">
        <f>D192/AVERAGE(C190:D190)</f>
        <v>#DIV/0!</v>
      </c>
      <c r="E191" s="130" t="e">
        <f>E192/AVERAGE(D190:E190)</f>
        <v>#DIV/0!</v>
      </c>
      <c r="F191" s="130" t="e">
        <f>F192/AVERAGE(E190:F190)</f>
        <v>#DIV/0!</v>
      </c>
      <c r="G191" s="195" t="e">
        <f>AVERAGE(D191:F191)</f>
        <v>#DIV/0!</v>
      </c>
      <c r="H191" s="195" t="e">
        <f>G191</f>
        <v>#DIV/0!</v>
      </c>
      <c r="I191" s="195" t="e">
        <f>H191</f>
        <v>#DIV/0!</v>
      </c>
      <c r="J191" s="195" t="e">
        <f>I191</f>
        <v>#DIV/0!</v>
      </c>
      <c r="K191" s="195" t="e">
        <f>J191</f>
        <v>#DIV/0!</v>
      </c>
      <c r="M191" s="8" t="s">
        <v>118</v>
      </c>
      <c r="R191" s="143"/>
    </row>
    <row r="192" spans="1:19">
      <c r="B192" s="185" t="s">
        <v>212</v>
      </c>
      <c r="C192" s="185"/>
      <c r="D192" s="182">
        <f>D182-D187</f>
        <v>0</v>
      </c>
      <c r="E192" s="182">
        <f>E182-E187</f>
        <v>0</v>
      </c>
      <c r="F192" s="182">
        <f>F182-F187</f>
        <v>0</v>
      </c>
      <c r="G192" s="178" t="e">
        <f>G191*AVERAGE(F190:G190)</f>
        <v>#DIV/0!</v>
      </c>
      <c r="H192" s="178" t="e">
        <f>H191*AVERAGE(G190:H190)</f>
        <v>#DIV/0!</v>
      </c>
      <c r="I192" s="178" t="e">
        <f>I191*AVERAGE(H190:I190)</f>
        <v>#DIV/0!</v>
      </c>
      <c r="J192" s="178" t="e">
        <f>J191*AVERAGE(I190:J190)</f>
        <v>#DIV/0!</v>
      </c>
      <c r="K192" s="178" t="e">
        <f>K191*AVERAGE(J190:K190)</f>
        <v>#DIV/0!</v>
      </c>
      <c r="M192" s="8" t="s">
        <v>213</v>
      </c>
    </row>
    <row r="193" spans="1:13" ht="5.0999999999999996" customHeight="1">
      <c r="E193" s="70"/>
    </row>
    <row r="194" spans="1:13">
      <c r="B194" s="145" t="s">
        <v>214</v>
      </c>
      <c r="C194" s="145"/>
      <c r="E194" s="70"/>
      <c r="F194" s="70"/>
    </row>
    <row r="195" spans="1:13">
      <c r="B195" s="65" t="s">
        <v>215</v>
      </c>
      <c r="C195" s="151"/>
      <c r="D195" s="147"/>
      <c r="E195" s="147"/>
      <c r="F195" s="147"/>
      <c r="G195" s="196">
        <f>F195</f>
        <v>0</v>
      </c>
      <c r="H195" s="196">
        <f>G195</f>
        <v>0</v>
      </c>
      <c r="I195" s="196">
        <f>H195</f>
        <v>0</v>
      </c>
      <c r="J195" s="196">
        <f>I195</f>
        <v>0</v>
      </c>
      <c r="K195" s="196">
        <f>J195</f>
        <v>0</v>
      </c>
      <c r="M195" s="8" t="s">
        <v>118</v>
      </c>
    </row>
    <row r="196" spans="1:13">
      <c r="B196" s="65" t="s">
        <v>116</v>
      </c>
      <c r="C196" s="70">
        <f>C41</f>
        <v>0</v>
      </c>
      <c r="D196" s="70">
        <f>D41</f>
        <v>0</v>
      </c>
      <c r="E196" s="70">
        <f>E41</f>
        <v>0</v>
      </c>
      <c r="F196" s="70">
        <f>F41</f>
        <v>0</v>
      </c>
      <c r="G196" s="188">
        <f>IF($C$8=1,AVERAGE(F80,G80)*G195,0)</f>
        <v>0</v>
      </c>
      <c r="H196" s="188">
        <f>IF($C$8=1,AVERAGE(G80,H80)*H195,0)</f>
        <v>0</v>
      </c>
      <c r="I196" s="188">
        <f>IF($C$8=1,AVERAGE(H80,I80)*I195,0)</f>
        <v>0</v>
      </c>
      <c r="J196" s="188">
        <f>IF($C$8=1,AVERAGE(I80,J80)*J195,0)</f>
        <v>0</v>
      </c>
      <c r="K196" s="188">
        <f>IF($C$8=1,AVERAGE(J80,K80)*K195,0)</f>
        <v>0</v>
      </c>
      <c r="M196" s="8" t="s">
        <v>216</v>
      </c>
    </row>
    <row r="197" spans="1:13">
      <c r="B197" s="153"/>
      <c r="C197" s="153"/>
      <c r="D197" s="130"/>
      <c r="E197" s="130"/>
      <c r="F197" s="130"/>
      <c r="G197" s="130"/>
      <c r="H197" s="130"/>
    </row>
    <row r="198" spans="1:13">
      <c r="A198" s="341" t="s">
        <v>25</v>
      </c>
      <c r="B198" s="97" t="s">
        <v>217</v>
      </c>
      <c r="C198" s="97"/>
      <c r="D198" s="97"/>
      <c r="E198" s="97"/>
      <c r="F198" s="97"/>
      <c r="G198" s="97"/>
      <c r="H198" s="97"/>
      <c r="I198" s="97"/>
      <c r="J198" s="97"/>
      <c r="K198" s="97"/>
    </row>
    <row r="199" spans="1:13" hidden="1">
      <c r="B199" s="113"/>
      <c r="C199" s="114">
        <f t="shared" ref="C199:K199" si="29">C15</f>
        <v>2021</v>
      </c>
      <c r="D199" s="114">
        <f t="shared" si="29"/>
        <v>2022</v>
      </c>
      <c r="E199" s="114">
        <f t="shared" si="29"/>
        <v>2023</v>
      </c>
      <c r="F199" s="115">
        <f t="shared" si="29"/>
        <v>2024</v>
      </c>
      <c r="G199" s="115">
        <f t="shared" si="29"/>
        <v>2025</v>
      </c>
      <c r="H199" s="115">
        <f t="shared" si="29"/>
        <v>2026</v>
      </c>
      <c r="I199" s="115">
        <f t="shared" si="29"/>
        <v>2027</v>
      </c>
      <c r="J199" s="115">
        <f t="shared" si="29"/>
        <v>2028</v>
      </c>
      <c r="K199" s="115">
        <f t="shared" si="29"/>
        <v>2029</v>
      </c>
    </row>
    <row r="200" spans="1:13" hidden="1">
      <c r="B200" s="98"/>
      <c r="C200" s="116">
        <f t="shared" ref="C200:K200" si="30">C16</f>
        <v>44561</v>
      </c>
      <c r="D200" s="116">
        <f t="shared" si="30"/>
        <v>44926</v>
      </c>
      <c r="E200" s="116">
        <f t="shared" si="30"/>
        <v>45291</v>
      </c>
      <c r="F200" s="116">
        <f t="shared" si="30"/>
        <v>45657</v>
      </c>
      <c r="G200" s="116">
        <f t="shared" si="30"/>
        <v>46022</v>
      </c>
      <c r="H200" s="116">
        <f t="shared" si="30"/>
        <v>46387</v>
      </c>
      <c r="I200" s="116">
        <f t="shared" si="30"/>
        <v>46752</v>
      </c>
      <c r="J200" s="116">
        <f t="shared" si="30"/>
        <v>47118</v>
      </c>
      <c r="K200" s="116">
        <f t="shared" si="30"/>
        <v>47483</v>
      </c>
    </row>
    <row r="201" spans="1:13" ht="5.0999999999999996" customHeight="1">
      <c r="F201" s="112"/>
      <c r="G201" s="112"/>
      <c r="H201" s="112"/>
      <c r="I201" s="111"/>
      <c r="J201" s="111"/>
    </row>
    <row r="202" spans="1:13">
      <c r="B202" s="8" t="s">
        <v>18</v>
      </c>
      <c r="C202" s="70">
        <f t="shared" ref="C202:K202" si="31">C47</f>
        <v>334262.79777276044</v>
      </c>
      <c r="D202" s="70">
        <f t="shared" si="31"/>
        <v>338007.75289010262</v>
      </c>
      <c r="E202" s="70">
        <f t="shared" si="31"/>
        <v>349507.73470601835</v>
      </c>
      <c r="F202" s="70">
        <f t="shared" si="31"/>
        <v>395848.74804036436</v>
      </c>
      <c r="G202" s="70">
        <f t="shared" si="31"/>
        <v>0</v>
      </c>
      <c r="H202" s="70">
        <f t="shared" si="31"/>
        <v>0</v>
      </c>
      <c r="I202" s="70">
        <f t="shared" si="31"/>
        <v>0</v>
      </c>
      <c r="J202" s="70">
        <f t="shared" si="31"/>
        <v>0</v>
      </c>
      <c r="K202" s="70">
        <f t="shared" si="31"/>
        <v>0</v>
      </c>
      <c r="M202" s="8" t="s">
        <v>218</v>
      </c>
    </row>
    <row r="203" spans="1:13">
      <c r="B203" s="8" t="s">
        <v>219</v>
      </c>
      <c r="C203" s="165">
        <f>'Historical Financials'!F34</f>
        <v>5.6940762375496146</v>
      </c>
      <c r="D203" s="165">
        <f>'Historical Financials'!G34</f>
        <v>4.5909821633621677</v>
      </c>
      <c r="E203" s="165">
        <f>'Historical Financials'!H34</f>
        <v>5.8428345209817891</v>
      </c>
      <c r="F203" s="165">
        <f>'Historical Financials'!I34</f>
        <v>8.127120707849663</v>
      </c>
      <c r="G203" s="70" t="e">
        <f>F203+(-G209+G210)/G211</f>
        <v>#DIV/0!</v>
      </c>
      <c r="H203" s="70" t="e">
        <f>G203+(-H209+H210)/H211</f>
        <v>#DIV/0!</v>
      </c>
      <c r="I203" s="70" t="e">
        <f>H203+(-I209+I210)/I211</f>
        <v>#DIV/0!</v>
      </c>
      <c r="J203" s="70" t="e">
        <f>I203+(-J209+J210)/J211</f>
        <v>#DIV/0!</v>
      </c>
      <c r="K203" s="70" t="e">
        <f>J203+(-K209+K210)/K211</f>
        <v>#DIV/0!</v>
      </c>
      <c r="M203" s="8" t="s">
        <v>220</v>
      </c>
    </row>
    <row r="204" spans="1:13">
      <c r="B204" s="416" t="s">
        <v>93</v>
      </c>
      <c r="C204" s="417">
        <f t="shared" ref="C204:K204" si="32">C202/C203</f>
        <v>58703.604206853212</v>
      </c>
      <c r="D204" s="417">
        <f t="shared" si="32"/>
        <v>73624.279263713252</v>
      </c>
      <c r="E204" s="417">
        <f t="shared" si="32"/>
        <v>59818.181304112906</v>
      </c>
      <c r="F204" s="417">
        <f t="shared" si="32"/>
        <v>48707.13285432438</v>
      </c>
      <c r="G204" s="417" t="e">
        <f t="shared" si="32"/>
        <v>#DIV/0!</v>
      </c>
      <c r="H204" s="417" t="e">
        <f t="shared" si="32"/>
        <v>#DIV/0!</v>
      </c>
      <c r="I204" s="417" t="e">
        <f t="shared" si="32"/>
        <v>#DIV/0!</v>
      </c>
      <c r="J204" s="417" t="e">
        <f t="shared" si="32"/>
        <v>#DIV/0!</v>
      </c>
      <c r="K204" s="417" t="e">
        <f t="shared" si="32"/>
        <v>#DIV/0!</v>
      </c>
      <c r="M204" s="8" t="s">
        <v>221</v>
      </c>
    </row>
    <row r="205" spans="1:13">
      <c r="D205" s="104"/>
      <c r="E205" s="104"/>
      <c r="F205" s="104"/>
      <c r="G205" s="70"/>
    </row>
    <row r="206" spans="1:13">
      <c r="B206" s="8" t="s">
        <v>222</v>
      </c>
      <c r="C206" s="165" t="e">
        <f>'Historical Financials'!#REF!</f>
        <v>#REF!</v>
      </c>
      <c r="D206" s="165" t="e">
        <f>'Historical Financials'!#REF!</f>
        <v>#REF!</v>
      </c>
      <c r="E206" s="165" t="e">
        <f>'Historical Financials'!#REF!</f>
        <v>#REF!</v>
      </c>
      <c r="F206" s="165" t="e">
        <f>'Historical Financials'!#REF!</f>
        <v>#REF!</v>
      </c>
      <c r="G206" s="70" t="e">
        <f>G203+F206-F203</f>
        <v>#DIV/0!</v>
      </c>
      <c r="H206" s="70" t="e">
        <f>H203+G206-G203</f>
        <v>#DIV/0!</v>
      </c>
      <c r="I206" s="70" t="e">
        <f>I203+H206-H203</f>
        <v>#DIV/0!</v>
      </c>
      <c r="J206" s="70" t="e">
        <f>J203+I206-I203</f>
        <v>#DIV/0!</v>
      </c>
      <c r="K206" s="70" t="e">
        <f>K203+J206-J203</f>
        <v>#DIV/0!</v>
      </c>
      <c r="M206" s="8" t="s">
        <v>223</v>
      </c>
    </row>
    <row r="207" spans="1:13">
      <c r="B207" s="416" t="s">
        <v>95</v>
      </c>
      <c r="C207" s="417" t="e">
        <f t="shared" ref="C207:K207" si="33">C202/C206</f>
        <v>#REF!</v>
      </c>
      <c r="D207" s="417" t="e">
        <f t="shared" si="33"/>
        <v>#REF!</v>
      </c>
      <c r="E207" s="417" t="e">
        <f t="shared" si="33"/>
        <v>#REF!</v>
      </c>
      <c r="F207" s="417" t="e">
        <f t="shared" si="33"/>
        <v>#REF!</v>
      </c>
      <c r="G207" s="417" t="e">
        <f t="shared" si="33"/>
        <v>#DIV/0!</v>
      </c>
      <c r="H207" s="417" t="e">
        <f t="shared" si="33"/>
        <v>#DIV/0!</v>
      </c>
      <c r="I207" s="417" t="e">
        <f t="shared" si="33"/>
        <v>#DIV/0!</v>
      </c>
      <c r="J207" s="417" t="e">
        <f t="shared" si="33"/>
        <v>#DIV/0!</v>
      </c>
      <c r="K207" s="417" t="e">
        <f t="shared" si="33"/>
        <v>#DIV/0!</v>
      </c>
      <c r="M207" s="8" t="s">
        <v>224</v>
      </c>
    </row>
    <row r="208" spans="1:13">
      <c r="G208" s="154"/>
    </row>
    <row r="209" spans="1:13">
      <c r="B209" s="8" t="s">
        <v>225</v>
      </c>
      <c r="G209" s="70">
        <f>-(G120)</f>
        <v>0</v>
      </c>
      <c r="H209" s="70">
        <f>-(H120)</f>
        <v>0</v>
      </c>
      <c r="I209" s="70">
        <f>-(I120)</f>
        <v>0</v>
      </c>
      <c r="J209" s="70">
        <f>-(J120)</f>
        <v>0</v>
      </c>
      <c r="K209" s="70">
        <f>-(K120)</f>
        <v>0</v>
      </c>
      <c r="M209" s="8" t="s">
        <v>226</v>
      </c>
    </row>
    <row r="210" spans="1:13">
      <c r="B210" s="8" t="s">
        <v>227</v>
      </c>
      <c r="G210" s="105">
        <f>G54</f>
        <v>0</v>
      </c>
      <c r="H210" s="105">
        <f>H54</f>
        <v>0</v>
      </c>
      <c r="I210" s="105">
        <f>I54</f>
        <v>0</v>
      </c>
      <c r="J210" s="105">
        <f>J54</f>
        <v>0</v>
      </c>
      <c r="K210" s="105">
        <f>K54</f>
        <v>0</v>
      </c>
      <c r="M210" s="8" t="s">
        <v>228</v>
      </c>
    </row>
    <row r="211" spans="1:13">
      <c r="B211" s="8" t="s">
        <v>229</v>
      </c>
      <c r="G211" s="184">
        <f>C9</f>
        <v>0</v>
      </c>
      <c r="H211" s="154" t="e">
        <f>G211*(1+H212)</f>
        <v>#DIV/0!</v>
      </c>
      <c r="I211" s="154" t="e">
        <f>H211*(1+I212)</f>
        <v>#DIV/0!</v>
      </c>
      <c r="J211" s="154" t="e">
        <f>I211*(1+J212)</f>
        <v>#DIV/0!</v>
      </c>
      <c r="K211" s="154" t="e">
        <f>J211*(1+K212)</f>
        <v>#DIV/0!</v>
      </c>
      <c r="M211" s="8" t="s">
        <v>230</v>
      </c>
    </row>
    <row r="212" spans="1:13">
      <c r="B212" s="8" t="s">
        <v>231</v>
      </c>
      <c r="H212" s="155" t="e">
        <f>H202/G202-1</f>
        <v>#DIV/0!</v>
      </c>
      <c r="I212" s="155" t="e">
        <f>I202/H202-1</f>
        <v>#DIV/0!</v>
      </c>
      <c r="J212" s="155" t="e">
        <f>J202/I202-1</f>
        <v>#DIV/0!</v>
      </c>
      <c r="K212" s="155" t="e">
        <f>K202/J202-1</f>
        <v>#DIV/0!</v>
      </c>
      <c r="M212" s="8" t="s">
        <v>460</v>
      </c>
    </row>
    <row r="213" spans="1:13">
      <c r="M213" s="110" t="s">
        <v>232</v>
      </c>
    </row>
    <row r="214" spans="1:13">
      <c r="B214" s="38" t="s">
        <v>233</v>
      </c>
      <c r="D214" s="38"/>
      <c r="E214" s="38"/>
      <c r="F214" s="156" t="s">
        <v>234</v>
      </c>
      <c r="G214" s="157">
        <f>C12</f>
        <v>4443.2650000000003</v>
      </c>
      <c r="H214" s="48" t="e">
        <f>G216</f>
        <v>#DIV/0!</v>
      </c>
      <c r="I214" s="48" t="e">
        <f>H216</f>
        <v>#DIV/0!</v>
      </c>
      <c r="J214" s="48" t="e">
        <f>I216</f>
        <v>#DIV/0!</v>
      </c>
      <c r="K214" s="48" t="e">
        <f>J216</f>
        <v>#DIV/0!</v>
      </c>
      <c r="M214" s="8" t="s">
        <v>235</v>
      </c>
    </row>
    <row r="215" spans="1:13">
      <c r="B215" s="8" t="s">
        <v>236</v>
      </c>
      <c r="G215" s="70" t="e">
        <f>(-G209+G210)/G211</f>
        <v>#DIV/0!</v>
      </c>
      <c r="H215" s="70" t="e">
        <f>(-H209+H210)/H211</f>
        <v>#DIV/0!</v>
      </c>
      <c r="I215" s="70" t="e">
        <f>(-I209+I210)/I211</f>
        <v>#DIV/0!</v>
      </c>
      <c r="J215" s="70" t="e">
        <f>(-J209+J210)/J211</f>
        <v>#DIV/0!</v>
      </c>
      <c r="K215" s="70" t="e">
        <f>(-K209+K210)/K211</f>
        <v>#DIV/0!</v>
      </c>
      <c r="M215" s="8" t="s">
        <v>237</v>
      </c>
    </row>
    <row r="216" spans="1:13">
      <c r="B216" s="8" t="s">
        <v>238</v>
      </c>
      <c r="G216" s="70" t="e">
        <f>SUM(G214:G215)</f>
        <v>#DIV/0!</v>
      </c>
      <c r="H216" s="70" t="e">
        <f>SUM(H214:H215)</f>
        <v>#DIV/0!</v>
      </c>
      <c r="I216" s="70" t="e">
        <f>SUM(I214:I215)</f>
        <v>#DIV/0!</v>
      </c>
      <c r="J216" s="70" t="e">
        <f>SUM(J214:J215)</f>
        <v>#DIV/0!</v>
      </c>
      <c r="K216" s="70" t="e">
        <f>SUM(K214:K215)</f>
        <v>#DIV/0!</v>
      </c>
      <c r="M216" s="8" t="s">
        <v>239</v>
      </c>
    </row>
    <row r="217" spans="1:13">
      <c r="B217" s="38" t="s">
        <v>240</v>
      </c>
      <c r="D217" s="38"/>
      <c r="E217" s="38"/>
      <c r="F217" s="38"/>
      <c r="G217" s="48" t="e">
        <f>AVERAGE(G216,G214)</f>
        <v>#DIV/0!</v>
      </c>
      <c r="H217" s="48" t="e">
        <f>AVERAGE(H216,H214)</f>
        <v>#DIV/0!</v>
      </c>
      <c r="I217" s="48" t="e">
        <f>AVERAGE(I216,I214)</f>
        <v>#DIV/0!</v>
      </c>
      <c r="J217" s="48" t="e">
        <f>AVERAGE(J216,J214)</f>
        <v>#DIV/0!</v>
      </c>
      <c r="K217" s="48" t="e">
        <f>AVERAGE(K216,K214)</f>
        <v>#DIV/0!</v>
      </c>
      <c r="M217" s="8" t="s">
        <v>241</v>
      </c>
    </row>
    <row r="218" spans="1:13">
      <c r="M218" s="110"/>
    </row>
    <row r="219" spans="1:13">
      <c r="A219" s="341" t="s">
        <v>25</v>
      </c>
      <c r="B219" s="97" t="s">
        <v>242</v>
      </c>
      <c r="C219" s="97"/>
      <c r="D219" s="97"/>
      <c r="E219" s="97"/>
      <c r="F219" s="97"/>
      <c r="G219" s="97"/>
      <c r="H219" s="97"/>
      <c r="I219" s="97"/>
      <c r="J219" s="97"/>
      <c r="K219" s="97"/>
    </row>
    <row r="220" spans="1:13" ht="5.0999999999999996" customHeight="1" thickBot="1"/>
    <row r="221" spans="1:13" ht="12.75" thickBot="1">
      <c r="B221" s="8" t="s">
        <v>243</v>
      </c>
      <c r="C221" s="158" t="str">
        <f>K6</f>
        <v>Base case</v>
      </c>
      <c r="F221" s="94" t="s">
        <v>244</v>
      </c>
      <c r="G221" s="115">
        <f t="shared" ref="G221:K222" si="34">G15</f>
        <v>2025</v>
      </c>
      <c r="H221" s="115">
        <f t="shared" si="34"/>
        <v>2026</v>
      </c>
      <c r="I221" s="115">
        <f t="shared" si="34"/>
        <v>2027</v>
      </c>
      <c r="J221" s="115">
        <f t="shared" si="34"/>
        <v>2028</v>
      </c>
      <c r="K221" s="115">
        <f t="shared" si="34"/>
        <v>2029</v>
      </c>
    </row>
    <row r="222" spans="1:13">
      <c r="F222" s="95" t="s">
        <v>245</v>
      </c>
      <c r="G222" s="116">
        <f t="shared" si="34"/>
        <v>46022</v>
      </c>
      <c r="H222" s="116">
        <f t="shared" si="34"/>
        <v>46387</v>
      </c>
      <c r="I222" s="116">
        <f t="shared" si="34"/>
        <v>46752</v>
      </c>
      <c r="J222" s="116">
        <f t="shared" si="34"/>
        <v>47118</v>
      </c>
      <c r="K222" s="116">
        <f t="shared" si="34"/>
        <v>47483</v>
      </c>
    </row>
    <row r="223" spans="1:13">
      <c r="B223" s="65" t="s">
        <v>129</v>
      </c>
      <c r="F223" s="159" t="str">
        <f t="shared" ref="F223:K226" ca="1" si="35">OFFSET(F$228,MATCH($K$6,$B$229:$B$231,0)+MATCH($B223,$B$228:$B$243,0)-1,0)</f>
        <v>NM</v>
      </c>
      <c r="G223" s="124">
        <f t="shared" ca="1" si="35"/>
        <v>0.06</v>
      </c>
      <c r="H223" s="124">
        <f t="shared" ca="1" si="35"/>
        <v>6.9000000000000006E-2</v>
      </c>
      <c r="I223" s="124">
        <f t="shared" ca="1" si="35"/>
        <v>6.9000000000000006E-2</v>
      </c>
      <c r="J223" s="124">
        <f t="shared" ca="1" si="35"/>
        <v>6.9000000000000006E-2</v>
      </c>
      <c r="K223" s="124">
        <f t="shared" ca="1" si="35"/>
        <v>6.9000000000000006E-2</v>
      </c>
    </row>
    <row r="224" spans="1:13">
      <c r="B224" s="65" t="s">
        <v>130</v>
      </c>
      <c r="F224" s="159" t="str">
        <f t="shared" ca="1" si="35"/>
        <v>NM</v>
      </c>
      <c r="G224" s="124">
        <f t="shared" ca="1" si="35"/>
        <v>0.378</v>
      </c>
      <c r="H224" s="124">
        <f t="shared" ca="1" si="35"/>
        <v>0.378</v>
      </c>
      <c r="I224" s="124">
        <f t="shared" ca="1" si="35"/>
        <v>0.378</v>
      </c>
      <c r="J224" s="124">
        <f t="shared" ca="1" si="35"/>
        <v>0.378</v>
      </c>
      <c r="K224" s="124">
        <f t="shared" ca="1" si="35"/>
        <v>0.378</v>
      </c>
    </row>
    <row r="225" spans="2:11">
      <c r="B225" s="65" t="s">
        <v>131</v>
      </c>
      <c r="F225" s="159" t="str">
        <f t="shared" ca="1" si="35"/>
        <v>NM</v>
      </c>
      <c r="G225" s="124">
        <f t="shared" ca="1" si="35"/>
        <v>6.2E-2</v>
      </c>
      <c r="H225" s="124">
        <f t="shared" ca="1" si="35"/>
        <v>6.2E-2</v>
      </c>
      <c r="I225" s="124">
        <f t="shared" ca="1" si="35"/>
        <v>6.2E-2</v>
      </c>
      <c r="J225" s="124">
        <f t="shared" ca="1" si="35"/>
        <v>6.2E-2</v>
      </c>
      <c r="K225" s="124">
        <f t="shared" ca="1" si="35"/>
        <v>6.2E-2</v>
      </c>
    </row>
    <row r="226" spans="2:11">
      <c r="B226" s="65" t="s">
        <v>132</v>
      </c>
      <c r="F226" s="159" t="str">
        <f t="shared" ca="1" si="35"/>
        <v>NM</v>
      </c>
      <c r="G226" s="124">
        <f t="shared" ca="1" si="35"/>
        <v>7.0000000000000007E-2</v>
      </c>
      <c r="H226" s="124">
        <f t="shared" ca="1" si="35"/>
        <v>7.0000000000000007E-2</v>
      </c>
      <c r="I226" s="124">
        <f t="shared" ca="1" si="35"/>
        <v>7.0000000000000007E-2</v>
      </c>
      <c r="J226" s="124">
        <f t="shared" ca="1" si="35"/>
        <v>7.0000000000000007E-2</v>
      </c>
      <c r="K226" s="124">
        <f t="shared" ca="1" si="35"/>
        <v>7.0000000000000007E-2</v>
      </c>
    </row>
    <row r="227" spans="2:11">
      <c r="F227" s="160"/>
    </row>
    <row r="228" spans="2:11">
      <c r="B228" s="123" t="s">
        <v>129</v>
      </c>
      <c r="F228" s="160"/>
    </row>
    <row r="229" spans="2:11">
      <c r="B229" s="150" t="s">
        <v>246</v>
      </c>
      <c r="F229" s="161">
        <v>2.5000000000000001E-2</v>
      </c>
      <c r="G229" s="111">
        <f>G230+$F$229</f>
        <v>8.4999999999999992E-2</v>
      </c>
      <c r="H229" s="111">
        <f>H230+$F$229</f>
        <v>9.4E-2</v>
      </c>
      <c r="I229" s="111">
        <f>I230+$F$229</f>
        <v>9.4E-2</v>
      </c>
      <c r="J229" s="111">
        <f>J230+$F$229</f>
        <v>9.4E-2</v>
      </c>
      <c r="K229" s="111">
        <f>K230+$F$229</f>
        <v>9.4E-2</v>
      </c>
    </row>
    <row r="230" spans="2:11">
      <c r="B230" s="150" t="s">
        <v>102</v>
      </c>
      <c r="F230" s="162" t="s">
        <v>247</v>
      </c>
      <c r="G230" s="112">
        <v>0.06</v>
      </c>
      <c r="H230" s="112">
        <v>6.9000000000000006E-2</v>
      </c>
      <c r="I230" s="112">
        <f>H230</f>
        <v>6.9000000000000006E-2</v>
      </c>
      <c r="J230" s="112">
        <f>I230</f>
        <v>6.9000000000000006E-2</v>
      </c>
      <c r="K230" s="112">
        <f>J230</f>
        <v>6.9000000000000006E-2</v>
      </c>
    </row>
    <row r="231" spans="2:11">
      <c r="B231" s="150" t="s">
        <v>248</v>
      </c>
      <c r="F231" s="161">
        <v>-2.5000000000000001E-2</v>
      </c>
      <c r="G231" s="111">
        <f>G230+$F$231</f>
        <v>3.4999999999999996E-2</v>
      </c>
      <c r="H231" s="111">
        <f>H230+$F$231</f>
        <v>4.4000000000000004E-2</v>
      </c>
      <c r="I231" s="111">
        <f>I230+$F$231</f>
        <v>4.4000000000000004E-2</v>
      </c>
      <c r="J231" s="111">
        <f>J230+$F$231</f>
        <v>4.4000000000000004E-2</v>
      </c>
      <c r="K231" s="111">
        <f>K230+$F$231</f>
        <v>4.4000000000000004E-2</v>
      </c>
    </row>
    <row r="232" spans="2:11">
      <c r="B232" s="123" t="s">
        <v>130</v>
      </c>
      <c r="F232" s="162"/>
      <c r="G232" s="112"/>
      <c r="H232" s="112"/>
      <c r="I232" s="112"/>
      <c r="J232" s="112"/>
      <c r="K232" s="112"/>
    </row>
    <row r="233" spans="2:11">
      <c r="B233" s="150" t="s">
        <v>246</v>
      </c>
      <c r="F233" s="161">
        <v>0.01</v>
      </c>
      <c r="G233" s="111">
        <f>G234+$F$233</f>
        <v>0.38800000000000001</v>
      </c>
      <c r="H233" s="111">
        <f>H234+$F$233</f>
        <v>0.38800000000000001</v>
      </c>
      <c r="I233" s="111">
        <f>I234+$F$233</f>
        <v>0.38800000000000001</v>
      </c>
      <c r="J233" s="111">
        <f>J234+$F$233</f>
        <v>0.38800000000000001</v>
      </c>
      <c r="K233" s="111">
        <f>K234+$F$233</f>
        <v>0.38800000000000001</v>
      </c>
    </row>
    <row r="234" spans="2:11">
      <c r="B234" s="150" t="s">
        <v>102</v>
      </c>
      <c r="F234" s="162" t="s">
        <v>247</v>
      </c>
      <c r="G234" s="112">
        <v>0.378</v>
      </c>
      <c r="H234" s="112">
        <v>0.378</v>
      </c>
      <c r="I234" s="112">
        <v>0.378</v>
      </c>
      <c r="J234" s="112">
        <v>0.378</v>
      </c>
      <c r="K234" s="112">
        <v>0.378</v>
      </c>
    </row>
    <row r="235" spans="2:11">
      <c r="B235" s="150" t="s">
        <v>248</v>
      </c>
      <c r="F235" s="161">
        <v>-0.01</v>
      </c>
      <c r="G235" s="111">
        <f>G234+$F$235</f>
        <v>0.36799999999999999</v>
      </c>
      <c r="H235" s="111">
        <f>H234+$F$235</f>
        <v>0.36799999999999999</v>
      </c>
      <c r="I235" s="111">
        <f>I234+$F$235</f>
        <v>0.36799999999999999</v>
      </c>
      <c r="J235" s="111">
        <f>J234+$F$235</f>
        <v>0.36799999999999999</v>
      </c>
      <c r="K235" s="111">
        <f>K234+$F$235</f>
        <v>0.36799999999999999</v>
      </c>
    </row>
    <row r="236" spans="2:11">
      <c r="B236" s="123" t="s">
        <v>131</v>
      </c>
      <c r="F236" s="162"/>
      <c r="G236" s="163"/>
      <c r="H236" s="163"/>
      <c r="I236" s="163"/>
      <c r="J236" s="163"/>
      <c r="K236" s="163"/>
    </row>
    <row r="237" spans="2:11">
      <c r="B237" s="150" t="s">
        <v>246</v>
      </c>
      <c r="F237" s="161">
        <v>-0.01</v>
      </c>
      <c r="G237" s="111">
        <f>G238+$F$237</f>
        <v>5.1999999999999998E-2</v>
      </c>
      <c r="H237" s="111">
        <f>H238+$F$237</f>
        <v>5.1999999999999998E-2</v>
      </c>
      <c r="I237" s="111">
        <f>I238+$F$237</f>
        <v>5.1999999999999998E-2</v>
      </c>
      <c r="J237" s="111">
        <f>J238+$F$237</f>
        <v>5.1999999999999998E-2</v>
      </c>
      <c r="K237" s="111">
        <f>K238+$F$237</f>
        <v>5.1999999999999998E-2</v>
      </c>
    </row>
    <row r="238" spans="2:11">
      <c r="B238" s="150" t="s">
        <v>102</v>
      </c>
      <c r="F238" s="162" t="s">
        <v>247</v>
      </c>
      <c r="G238" s="112">
        <v>6.2E-2</v>
      </c>
      <c r="H238" s="112">
        <v>6.2E-2</v>
      </c>
      <c r="I238" s="112">
        <v>6.2E-2</v>
      </c>
      <c r="J238" s="112">
        <v>6.2E-2</v>
      </c>
      <c r="K238" s="112">
        <v>6.2E-2</v>
      </c>
    </row>
    <row r="239" spans="2:11">
      <c r="B239" s="150" t="s">
        <v>248</v>
      </c>
      <c r="F239" s="161">
        <v>0.01</v>
      </c>
      <c r="G239" s="111">
        <f>G238+$F$239</f>
        <v>7.1999999999999995E-2</v>
      </c>
      <c r="H239" s="111">
        <f>H238+$F$239</f>
        <v>7.1999999999999995E-2</v>
      </c>
      <c r="I239" s="111">
        <f>I238+$F$239</f>
        <v>7.1999999999999995E-2</v>
      </c>
      <c r="J239" s="111">
        <f>J238+$F$239</f>
        <v>7.1999999999999995E-2</v>
      </c>
      <c r="K239" s="111">
        <f>K238+$F$239</f>
        <v>7.1999999999999995E-2</v>
      </c>
    </row>
    <row r="240" spans="2:11">
      <c r="B240" s="123" t="s">
        <v>132</v>
      </c>
      <c r="F240" s="162"/>
      <c r="G240" s="163"/>
      <c r="H240" s="163"/>
      <c r="I240" s="163"/>
      <c r="J240" s="163"/>
      <c r="K240" s="163"/>
    </row>
    <row r="241" spans="2:11">
      <c r="B241" s="150" t="s">
        <v>246</v>
      </c>
      <c r="F241" s="161">
        <v>-0.01</v>
      </c>
      <c r="G241" s="111">
        <f>G242+$F$241</f>
        <v>6.0000000000000005E-2</v>
      </c>
      <c r="H241" s="111">
        <f>H242+$F$241</f>
        <v>6.0000000000000005E-2</v>
      </c>
      <c r="I241" s="111">
        <f>I242+$F$241</f>
        <v>6.0000000000000005E-2</v>
      </c>
      <c r="J241" s="111">
        <f>J242+$F$241</f>
        <v>6.0000000000000005E-2</v>
      </c>
      <c r="K241" s="111">
        <f>K242+$F$241</f>
        <v>6.0000000000000005E-2</v>
      </c>
    </row>
    <row r="242" spans="2:11">
      <c r="B242" s="150" t="s">
        <v>102</v>
      </c>
      <c r="F242" s="162" t="s">
        <v>247</v>
      </c>
      <c r="G242" s="112">
        <v>7.0000000000000007E-2</v>
      </c>
      <c r="H242" s="112">
        <v>7.0000000000000007E-2</v>
      </c>
      <c r="I242" s="112">
        <v>7.0000000000000007E-2</v>
      </c>
      <c r="J242" s="112">
        <v>7.0000000000000007E-2</v>
      </c>
      <c r="K242" s="112">
        <v>7.0000000000000007E-2</v>
      </c>
    </row>
    <row r="243" spans="2:11" ht="12.75" thickBot="1">
      <c r="B243" s="150" t="s">
        <v>248</v>
      </c>
      <c r="F243" s="164">
        <v>0.01</v>
      </c>
      <c r="G243" s="111">
        <f>G242+$F$243</f>
        <v>0.08</v>
      </c>
      <c r="H243" s="111">
        <f>H242+$F$243</f>
        <v>0.08</v>
      </c>
      <c r="I243" s="111">
        <f>I242+$F$243</f>
        <v>0.08</v>
      </c>
      <c r="J243" s="111">
        <f>J242+$F$243</f>
        <v>0.08</v>
      </c>
      <c r="K243" s="111">
        <f>K242+$F$243</f>
        <v>0.08</v>
      </c>
    </row>
  </sheetData>
  <conditionalFormatting sqref="B226">
    <cfRule type="expression" dxfId="4" priority="1">
      <formula>#REF!=$B226</formula>
    </cfRule>
  </conditionalFormatting>
  <conditionalFormatting sqref="B240">
    <cfRule type="expression" dxfId="3" priority="2">
      <formula>#REF!=$B240</formula>
    </cfRule>
  </conditionalFormatting>
  <conditionalFormatting sqref="B70:C70">
    <cfRule type="expression" dxfId="2" priority="3">
      <formula>#REF!=$B70</formula>
    </cfRule>
  </conditionalFormatting>
  <dataValidations disablePrompts="1" count="3">
    <dataValidation type="list" allowBlank="1" showInputMessage="1" showErrorMessage="1" sqref="K6" xr:uid="{316BE8D0-5F80-4150-9F8E-D688FDB5F6FA}">
      <formula1>$B$229:$B$231</formula1>
    </dataValidation>
    <dataValidation type="list" allowBlank="1" showInputMessage="1" showErrorMessage="1" sqref="C8" xr:uid="{8FB3E4E8-6631-4284-8CF7-9D27DFB216D8}">
      <formula1>"0,1"</formula1>
    </dataValidation>
    <dataValidation type="list" allowBlank="1" showInputMessage="1" showErrorMessage="1" sqref="B4" xr:uid="{546FCFF0-46AD-42A0-9C58-8911EAA87FA4}">
      <formula1>"$ bns except per share, $ mm except per share,$ in thousands except per share"</formula1>
    </dataValidation>
  </dataValidations>
  <pageMargins left="0.7" right="0.7" top="0.75" bottom="0.75" header="0.3" footer="0.3"/>
  <ignoredErrors>
    <ignoredError sqref="G107:K108 G86:K87 H156:K156 G92:K95 H91:K91 G203:K207 H100:K100 G98:K99 B155:B159 G158:K158 H159:K159 G155:K155 G157:K157 F156 G113:K113 H109:K112 H96:K96 G44:K44 C28:K30 C45:K52 C44:F44 C55:K55 D72:F74 C68:C71 D66:F71 C56:K56 B57:K59 B56 B60:C60 G66:K71 B68:B71 C32:K43 G31:K31 B66:C67 C61 G60:K61 D60:F61 G89:K90 G88:J88" evalError="1"/>
  </ignoredErrors>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9C42-13A4-4B46-993E-E6AAC91FB0B6}">
  <dimension ref="A2:U200"/>
  <sheetViews>
    <sheetView showGridLines="0" zoomScale="115" zoomScaleNormal="115" workbookViewId="0"/>
  </sheetViews>
  <sheetFormatPr defaultRowHeight="12"/>
  <cols>
    <col min="1" max="1" width="1.625" style="8" customWidth="1"/>
    <col min="2" max="2" width="31.75" style="8" bestFit="1" customWidth="1"/>
    <col min="3" max="3" width="9.5" style="8" bestFit="1" customWidth="1"/>
    <col min="4" max="8" width="8.625" style="8" bestFit="1" customWidth="1"/>
    <col min="9" max="9" width="2" style="8" customWidth="1"/>
    <col min="10" max="10" width="8.875" style="8" customWidth="1"/>
    <col min="11" max="11" width="1.125" style="8" customWidth="1"/>
    <col min="12" max="17" width="8.625" style="8" bestFit="1" customWidth="1"/>
    <col min="18" max="18" width="1.625" style="8" customWidth="1"/>
    <col min="19" max="19" width="8.625" style="8" bestFit="1" customWidth="1"/>
    <col min="20" max="20" width="1.625" style="8" customWidth="1"/>
    <col min="21" max="25" width="7.875" style="8" bestFit="1" customWidth="1"/>
    <col min="26" max="16384" width="9" style="8"/>
  </cols>
  <sheetData>
    <row r="2" spans="2:19">
      <c r="B2" s="1" t="s">
        <v>470</v>
      </c>
      <c r="C2" s="1"/>
      <c r="D2" s="1"/>
      <c r="E2" s="1"/>
      <c r="F2" s="1"/>
      <c r="G2" s="1"/>
      <c r="H2" s="1"/>
      <c r="I2" s="1"/>
      <c r="J2" s="1"/>
      <c r="K2" s="1"/>
      <c r="L2" s="1"/>
      <c r="M2" s="1"/>
      <c r="N2" s="1"/>
      <c r="O2" s="1"/>
      <c r="P2" s="1"/>
      <c r="Q2" s="1"/>
      <c r="R2" s="1"/>
      <c r="S2" s="1"/>
    </row>
    <row r="3" spans="2:19">
      <c r="B3" s="6" t="s">
        <v>416</v>
      </c>
      <c r="C3" s="1"/>
      <c r="D3" s="1"/>
      <c r="E3" s="1"/>
      <c r="F3" s="1"/>
      <c r="G3" s="1"/>
      <c r="H3" s="1"/>
      <c r="I3" s="1"/>
      <c r="J3" s="1"/>
      <c r="K3" s="1"/>
      <c r="L3" s="1"/>
      <c r="M3" s="1"/>
      <c r="N3" s="1"/>
      <c r="O3" s="1"/>
      <c r="P3" s="1"/>
      <c r="Q3" s="1"/>
      <c r="R3" s="1"/>
      <c r="S3" s="1"/>
    </row>
    <row r="4" spans="2:19">
      <c r="B4" s="6" t="s">
        <v>407</v>
      </c>
      <c r="C4" s="6"/>
      <c r="D4" s="6"/>
      <c r="E4" s="6"/>
      <c r="F4" s="6"/>
      <c r="G4" s="6"/>
      <c r="H4" s="6"/>
      <c r="I4" s="6"/>
      <c r="J4" s="6"/>
      <c r="K4" s="6"/>
      <c r="L4" s="6"/>
      <c r="M4" s="6"/>
      <c r="N4" s="6"/>
      <c r="O4" s="6"/>
      <c r="P4" s="6"/>
      <c r="Q4" s="6"/>
      <c r="R4" s="6"/>
      <c r="S4" s="6"/>
    </row>
    <row r="5" spans="2:19" ht="5.0999999999999996" customHeight="1"/>
    <row r="6" spans="2:19">
      <c r="B6" s="337" t="s">
        <v>100</v>
      </c>
      <c r="C6" s="335" t="s">
        <v>631</v>
      </c>
      <c r="D6" s="180"/>
      <c r="E6" s="180"/>
      <c r="F6" s="180"/>
      <c r="G6" s="180"/>
      <c r="H6" s="180"/>
      <c r="I6" s="180"/>
      <c r="J6" s="180"/>
      <c r="K6" s="180"/>
      <c r="L6" s="180"/>
      <c r="M6" s="180"/>
      <c r="N6" s="180"/>
      <c r="O6" s="179" t="s">
        <v>101</v>
      </c>
      <c r="P6" s="180"/>
      <c r="Q6" s="343" t="s">
        <v>102</v>
      </c>
      <c r="R6" s="180"/>
      <c r="S6" s="336"/>
    </row>
    <row r="7" spans="2:19">
      <c r="B7" s="338" t="s">
        <v>103</v>
      </c>
      <c r="C7" s="326" t="s">
        <v>589</v>
      </c>
      <c r="S7" s="333"/>
    </row>
    <row r="8" spans="2:19">
      <c r="B8" s="339" t="s">
        <v>104</v>
      </c>
      <c r="C8" s="342">
        <v>0</v>
      </c>
      <c r="S8" s="333"/>
    </row>
    <row r="9" spans="2:19">
      <c r="B9" s="339" t="s">
        <v>105</v>
      </c>
      <c r="C9" s="327"/>
      <c r="S9" s="333"/>
    </row>
    <row r="10" spans="2:19">
      <c r="B10" s="339" t="s">
        <v>106</v>
      </c>
      <c r="C10" s="328"/>
      <c r="S10" s="333"/>
    </row>
    <row r="11" spans="2:19">
      <c r="B11" s="338" t="s">
        <v>107</v>
      </c>
      <c r="C11" s="329"/>
      <c r="S11" s="333"/>
    </row>
    <row r="12" spans="2:19">
      <c r="B12" s="340" t="s">
        <v>108</v>
      </c>
      <c r="C12" s="331"/>
      <c r="D12" s="330"/>
      <c r="E12" s="330"/>
      <c r="F12" s="330"/>
      <c r="G12" s="330"/>
      <c r="H12" s="330"/>
      <c r="I12" s="330"/>
      <c r="J12" s="330"/>
      <c r="K12" s="330"/>
      <c r="L12" s="330"/>
      <c r="M12" s="330"/>
      <c r="N12" s="330"/>
      <c r="O12" s="330"/>
      <c r="P12" s="330"/>
      <c r="Q12" s="330"/>
      <c r="R12" s="330"/>
      <c r="S12" s="334"/>
    </row>
    <row r="13" spans="2:19" ht="5.0999999999999996" customHeight="1"/>
    <row r="14" spans="2:19">
      <c r="B14" s="1" t="s">
        <v>410</v>
      </c>
      <c r="C14" s="2" t="s">
        <v>408</v>
      </c>
      <c r="D14" s="2"/>
      <c r="E14" s="2"/>
      <c r="F14" s="2"/>
      <c r="G14" s="2"/>
      <c r="H14" s="2"/>
      <c r="I14" s="1"/>
      <c r="J14" s="2" t="s">
        <v>590</v>
      </c>
      <c r="K14" s="1"/>
      <c r="L14" s="2" t="s">
        <v>166</v>
      </c>
      <c r="M14" s="518"/>
      <c r="N14" s="518"/>
      <c r="O14" s="518"/>
      <c r="P14" s="518"/>
      <c r="Q14" s="2"/>
      <c r="R14" s="371"/>
      <c r="S14" s="2" t="s">
        <v>590</v>
      </c>
    </row>
    <row r="15" spans="2:19">
      <c r="B15" s="6" t="s">
        <v>109</v>
      </c>
      <c r="C15" s="519">
        <v>2019</v>
      </c>
      <c r="D15" s="519">
        <v>2020</v>
      </c>
      <c r="E15" s="519">
        <v>2021</v>
      </c>
      <c r="F15" s="519">
        <v>2022</v>
      </c>
      <c r="G15" s="519">
        <v>2023</v>
      </c>
      <c r="H15" s="519">
        <v>2024</v>
      </c>
      <c r="I15" s="6"/>
      <c r="J15" s="346" t="s">
        <v>592</v>
      </c>
      <c r="K15" s="6"/>
      <c r="L15" s="520">
        <f>H15+1</f>
        <v>2025</v>
      </c>
      <c r="M15" s="520">
        <f>+L15+1</f>
        <v>2026</v>
      </c>
      <c r="N15" s="520">
        <f>+M15+1</f>
        <v>2027</v>
      </c>
      <c r="O15" s="520">
        <f>+N15+1</f>
        <v>2028</v>
      </c>
      <c r="P15" s="520">
        <f>+O15+1</f>
        <v>2029</v>
      </c>
      <c r="Q15" s="520">
        <f>+P15+1</f>
        <v>2030</v>
      </c>
      <c r="R15" s="346"/>
      <c r="S15" s="346" t="s">
        <v>593</v>
      </c>
    </row>
    <row r="16" spans="2:19">
      <c r="B16" s="6" t="s">
        <v>110</v>
      </c>
      <c r="C16" s="521">
        <v>43830</v>
      </c>
      <c r="D16" s="521">
        <v>44196</v>
      </c>
      <c r="E16" s="521">
        <v>44561</v>
      </c>
      <c r="F16" s="521">
        <v>44926</v>
      </c>
      <c r="G16" s="521">
        <v>45291</v>
      </c>
      <c r="H16" s="521">
        <v>45657</v>
      </c>
      <c r="I16" s="6"/>
      <c r="J16" s="3">
        <f>H16</f>
        <v>45657</v>
      </c>
      <c r="K16" s="6"/>
      <c r="L16" s="521">
        <f>EOMONTH(H16,12)</f>
        <v>46022</v>
      </c>
      <c r="M16" s="521">
        <f>EOMONTH(L16,12)</f>
        <v>46387</v>
      </c>
      <c r="N16" s="521">
        <f>EOMONTH(M16,12)</f>
        <v>46752</v>
      </c>
      <c r="O16" s="521">
        <f>EOMONTH(N16,12)</f>
        <v>47118</v>
      </c>
      <c r="P16" s="521">
        <f>EOMONTH(O16,12)</f>
        <v>47483</v>
      </c>
      <c r="Q16" s="521">
        <f>EOMONTH(P16,12)</f>
        <v>47848</v>
      </c>
      <c r="R16" s="3"/>
      <c r="S16" s="3">
        <f>Q16</f>
        <v>47848</v>
      </c>
    </row>
    <row r="17" spans="2:19" ht="5.0999999999999996" customHeight="1"/>
    <row r="18" spans="2:19">
      <c r="B18" s="8" t="s">
        <v>601</v>
      </c>
      <c r="C18" s="165">
        <f>'Revenue Drivers'!D22</f>
        <v>98115</v>
      </c>
      <c r="D18" s="165">
        <f>'Revenue Drivers'!E22</f>
        <v>104062</v>
      </c>
      <c r="E18" s="165">
        <f>'Revenue Drivers'!F22</f>
        <v>148951</v>
      </c>
      <c r="F18" s="165">
        <f>'Revenue Drivers'!G22</f>
        <v>162450</v>
      </c>
      <c r="G18" s="165">
        <f>'Revenue Drivers'!H22</f>
        <v>175033</v>
      </c>
      <c r="H18" s="165">
        <f>'Revenue Drivers'!I22</f>
        <v>198084</v>
      </c>
      <c r="J18" s="522">
        <f t="shared" ref="J18:J29" si="0">((H18/C18)^(1/COUNT(D18:H18))-1)</f>
        <v>0.15086080057867002</v>
      </c>
      <c r="L18" s="165">
        <f>Drivers!C35</f>
        <v>221130.19495493398</v>
      </c>
      <c r="M18" s="165">
        <f>Drivers!D35</f>
        <v>243527.80524204439</v>
      </c>
      <c r="N18" s="165">
        <f>Drivers!E35</f>
        <v>264237.03723351686</v>
      </c>
      <c r="O18" s="523">
        <f t="shared" ref="O18:Q20" si="1">SUM(N18*O57)+N18</f>
        <v>285376.00021219824</v>
      </c>
      <c r="P18" s="523">
        <f t="shared" si="1"/>
        <v>308206.08022917411</v>
      </c>
      <c r="Q18" s="523">
        <f t="shared" si="1"/>
        <v>332862.56664750807</v>
      </c>
      <c r="S18" s="522">
        <f>((Q18/L18)^(1/COUNT(L18:Q18))-1)</f>
        <v>7.0539800544617837E-2</v>
      </c>
    </row>
    <row r="19" spans="2:19">
      <c r="B19" s="8" t="s">
        <v>560</v>
      </c>
      <c r="C19" s="165">
        <f>'Revenue Drivers'!D23</f>
        <v>15149</v>
      </c>
      <c r="D19" s="165">
        <f>'Revenue Drivers'!E23</f>
        <v>19772</v>
      </c>
      <c r="E19" s="165">
        <f>'Revenue Drivers'!F23</f>
        <v>28845</v>
      </c>
      <c r="F19" s="165">
        <f>'Revenue Drivers'!G23</f>
        <v>29243</v>
      </c>
      <c r="G19" s="165">
        <f>'Revenue Drivers'!H23</f>
        <v>31510</v>
      </c>
      <c r="H19" s="165">
        <f>'Revenue Drivers'!I23</f>
        <v>36147</v>
      </c>
      <c r="J19" s="522">
        <f t="shared" si="0"/>
        <v>0.18997451019117739</v>
      </c>
      <c r="L19" s="165">
        <f>Drivers!C48</f>
        <v>41070.496666666666</v>
      </c>
      <c r="M19" s="165">
        <f>Drivers!D48</f>
        <v>46634.941233333338</v>
      </c>
      <c r="N19" s="165">
        <f>Drivers!E48</f>
        <v>52625.730935666674</v>
      </c>
      <c r="O19" s="523">
        <f t="shared" si="1"/>
        <v>58414.561338590007</v>
      </c>
      <c r="P19" s="523">
        <f t="shared" si="1"/>
        <v>64256.017472449006</v>
      </c>
      <c r="Q19" s="523">
        <f t="shared" si="1"/>
        <v>70039.059044969414</v>
      </c>
      <c r="S19" s="522">
        <f>((Q19/L19)^(1/COUNT(L19:Q19))-1)</f>
        <v>9.303748991510985E-2</v>
      </c>
    </row>
    <row r="20" spans="2:19">
      <c r="B20" s="8" t="s">
        <v>505</v>
      </c>
      <c r="C20" s="165">
        <f>'Revenue Drivers'!D24</f>
        <v>21547</v>
      </c>
      <c r="D20" s="165">
        <f>'Revenue Drivers'!E24</f>
        <v>23090</v>
      </c>
      <c r="E20" s="165">
        <f>'Revenue Drivers'!F24</f>
        <v>31701</v>
      </c>
      <c r="F20" s="165">
        <f>'Revenue Drivers'!G24</f>
        <v>32780</v>
      </c>
      <c r="G20" s="165">
        <f>'Revenue Drivers'!H24</f>
        <v>31312</v>
      </c>
      <c r="H20" s="165">
        <f>'Revenue Drivers'!I24</f>
        <v>30359</v>
      </c>
      <c r="J20" s="522">
        <f t="shared" si="0"/>
        <v>7.0976965363580113E-2</v>
      </c>
      <c r="L20" s="165">
        <f>Drivers!C61</f>
        <v>29632.23</v>
      </c>
      <c r="M20" s="165">
        <f>Drivers!D61</f>
        <v>29539.891666666666</v>
      </c>
      <c r="N20" s="165">
        <f>Drivers!E61</f>
        <v>29601.511773333332</v>
      </c>
      <c r="O20" s="523">
        <f t="shared" si="1"/>
        <v>29355.135004317632</v>
      </c>
      <c r="P20" s="523">
        <f t="shared" si="1"/>
        <v>29263.612901946399</v>
      </c>
      <c r="Q20" s="523">
        <f t="shared" si="1"/>
        <v>29172.360446341285</v>
      </c>
      <c r="S20" s="522">
        <f>((Q20/L20)^(1/COUNT(L20:Q20))-1)</f>
        <v>-2.6034250898968603E-3</v>
      </c>
    </row>
    <row r="21" spans="2:19">
      <c r="B21" s="123" t="s">
        <v>599</v>
      </c>
      <c r="C21" s="524">
        <f t="shared" ref="C21:H21" si="2">SUM(C18:C20)</f>
        <v>134811</v>
      </c>
      <c r="D21" s="524">
        <f t="shared" si="2"/>
        <v>146924</v>
      </c>
      <c r="E21" s="524">
        <f t="shared" si="2"/>
        <v>209497</v>
      </c>
      <c r="F21" s="524">
        <f t="shared" si="2"/>
        <v>224473</v>
      </c>
      <c r="G21" s="524">
        <f t="shared" si="2"/>
        <v>237855</v>
      </c>
      <c r="H21" s="524">
        <f t="shared" si="2"/>
        <v>264590</v>
      </c>
      <c r="J21" s="525">
        <f t="shared" si="0"/>
        <v>0.14437831372931687</v>
      </c>
      <c r="L21" s="524">
        <f t="shared" ref="L21:Q21" si="3">SUM(L18:L20)</f>
        <v>291832.92162160063</v>
      </c>
      <c r="M21" s="524">
        <f t="shared" si="3"/>
        <v>319702.63814204436</v>
      </c>
      <c r="N21" s="524">
        <f t="shared" si="3"/>
        <v>346464.27994251682</v>
      </c>
      <c r="O21" s="524">
        <f t="shared" si="3"/>
        <v>373145.69655510585</v>
      </c>
      <c r="P21" s="524">
        <f t="shared" si="3"/>
        <v>401725.71060356952</v>
      </c>
      <c r="Q21" s="524">
        <f t="shared" si="3"/>
        <v>432073.98613881873</v>
      </c>
      <c r="S21" s="525">
        <f>((Q21/L21)^(1/COUNT(L21:Q21))-1)</f>
        <v>6.7588710940748919E-2</v>
      </c>
    </row>
    <row r="22" spans="2:19" ht="5.0999999999999996" customHeight="1">
      <c r="C22" s="165"/>
      <c r="D22" s="165"/>
      <c r="E22" s="165"/>
      <c r="F22" s="165"/>
      <c r="G22" s="165"/>
      <c r="H22" s="165"/>
      <c r="J22" s="522"/>
      <c r="L22" s="523"/>
      <c r="M22" s="523"/>
      <c r="N22" s="523"/>
      <c r="O22" s="523"/>
      <c r="P22" s="523"/>
      <c r="Q22" s="523"/>
      <c r="S22" s="522"/>
    </row>
    <row r="23" spans="2:19">
      <c r="B23" s="8" t="s">
        <v>506</v>
      </c>
      <c r="C23" s="165">
        <f>'Revenue Drivers'!D28</f>
        <v>17014</v>
      </c>
      <c r="D23" s="165">
        <f>'Revenue Drivers'!E28</f>
        <v>21711</v>
      </c>
      <c r="E23" s="165">
        <f>'Revenue Drivers'!F28</f>
        <v>28032</v>
      </c>
      <c r="F23" s="165">
        <f>'Revenue Drivers'!G28</f>
        <v>29055</v>
      </c>
      <c r="G23" s="165">
        <f>'Revenue Drivers'!H28</f>
        <v>34688</v>
      </c>
      <c r="H23" s="165">
        <f>'Revenue Drivers'!I28</f>
        <v>40340</v>
      </c>
      <c r="J23" s="522">
        <f t="shared" si="0"/>
        <v>0.18846362268293282</v>
      </c>
      <c r="L23" s="165">
        <f>Drivers!C74</f>
        <v>47146.508198395022</v>
      </c>
      <c r="M23" s="165">
        <f>Drivers!D74</f>
        <v>54034.476526792721</v>
      </c>
      <c r="N23" s="165">
        <f>Drivers!E74</f>
        <v>60208.760873571009</v>
      </c>
      <c r="O23" s="165">
        <f>Drivers!F74</f>
        <v>62475.760873571009</v>
      </c>
      <c r="P23" s="165">
        <f>Drivers!G74</f>
        <v>65014.760873571009</v>
      </c>
      <c r="Q23" s="165">
        <f>Drivers!H74</f>
        <v>67858.427540237681</v>
      </c>
      <c r="S23" s="522">
        <f>((Q23/L23)^(1/COUNT(L23:Q23))-1)</f>
        <v>6.2573652756709564E-2</v>
      </c>
    </row>
    <row r="24" spans="2:19">
      <c r="B24" s="123" t="s">
        <v>514</v>
      </c>
      <c r="C24" s="524">
        <f t="shared" ref="C24:H24" si="4">+C23+C21</f>
        <v>151825</v>
      </c>
      <c r="D24" s="524">
        <f t="shared" si="4"/>
        <v>168635</v>
      </c>
      <c r="E24" s="524">
        <f t="shared" si="4"/>
        <v>237529</v>
      </c>
      <c r="F24" s="524">
        <f t="shared" si="4"/>
        <v>253528</v>
      </c>
      <c r="G24" s="524">
        <f t="shared" si="4"/>
        <v>272543</v>
      </c>
      <c r="H24" s="524">
        <f t="shared" si="4"/>
        <v>304930</v>
      </c>
      <c r="J24" s="525">
        <f t="shared" si="0"/>
        <v>0.14966516608892255</v>
      </c>
      <c r="L24" s="524">
        <f t="shared" ref="L24:Q24" si="5">+L23+L21</f>
        <v>338979.42981999565</v>
      </c>
      <c r="M24" s="524">
        <f t="shared" si="5"/>
        <v>373737.11466883711</v>
      </c>
      <c r="N24" s="524">
        <f t="shared" si="5"/>
        <v>406673.04081608786</v>
      </c>
      <c r="O24" s="524">
        <f t="shared" si="5"/>
        <v>435621.45742867689</v>
      </c>
      <c r="P24" s="524">
        <f t="shared" si="5"/>
        <v>466740.47147714056</v>
      </c>
      <c r="Q24" s="524">
        <f t="shared" si="5"/>
        <v>499932.41367905639</v>
      </c>
      <c r="S24" s="525">
        <f>((Q24/L24)^(1/COUNT(L24:Q24))-1)</f>
        <v>6.6898223045681604E-2</v>
      </c>
    </row>
    <row r="25" spans="2:19" ht="5.0999999999999996" customHeight="1">
      <c r="C25" s="165"/>
      <c r="D25" s="165"/>
      <c r="E25" s="165"/>
      <c r="F25" s="165"/>
      <c r="G25" s="165"/>
      <c r="H25" s="165"/>
      <c r="J25" s="522"/>
      <c r="L25" s="523"/>
      <c r="M25" s="523"/>
      <c r="N25" s="523"/>
      <c r="O25" s="523"/>
      <c r="P25" s="523"/>
      <c r="Q25" s="523"/>
      <c r="S25" s="522"/>
    </row>
    <row r="26" spans="2:19">
      <c r="B26" s="8" t="s">
        <v>509</v>
      </c>
      <c r="C26" s="165">
        <f>'Revenue Drivers'!D10</f>
        <v>8918</v>
      </c>
      <c r="D26" s="165">
        <f>'Revenue Drivers'!E10</f>
        <v>13059</v>
      </c>
      <c r="E26" s="165">
        <f>'Revenue Drivers'!F10</f>
        <v>19206</v>
      </c>
      <c r="F26" s="165">
        <f>'Revenue Drivers'!G10</f>
        <v>26280</v>
      </c>
      <c r="G26" s="165">
        <f>'Revenue Drivers'!H10</f>
        <v>33088</v>
      </c>
      <c r="H26" s="165">
        <f>'Revenue Drivers'!I10</f>
        <v>43229</v>
      </c>
      <c r="J26" s="522">
        <f t="shared" si="0"/>
        <v>0.37120233537926239</v>
      </c>
      <c r="L26" s="165">
        <f>Drivers!C87</f>
        <v>56838.869062333513</v>
      </c>
      <c r="M26" s="165">
        <f>Drivers!D87</f>
        <v>74972.97278379109</v>
      </c>
      <c r="N26" s="165">
        <f>Drivers!E87</f>
        <v>96842.664324616388</v>
      </c>
      <c r="O26" s="523">
        <f>SUM(N26*O61)+N26</f>
        <v>107908.45388849419</v>
      </c>
      <c r="P26" s="523">
        <f>SUM(O26*P61)+O26</f>
        <v>120238.68304132804</v>
      </c>
      <c r="Q26" s="523">
        <f>SUM(P26*Q61)+P26</f>
        <v>133977.833789114</v>
      </c>
      <c r="S26" s="522">
        <f>((Q26/L26)^(1/COUNT(L26:Q26))-1)</f>
        <v>0.15362480945833812</v>
      </c>
    </row>
    <row r="27" spans="2:19">
      <c r="B27" s="8" t="s">
        <v>510</v>
      </c>
      <c r="C27" s="165">
        <f>'Revenue Drivers'!D11</f>
        <v>659</v>
      </c>
      <c r="D27" s="165">
        <f>'Revenue Drivers'!E11</f>
        <v>657</v>
      </c>
      <c r="E27" s="165">
        <f>'Revenue Drivers'!F11</f>
        <v>753</v>
      </c>
      <c r="F27" s="165">
        <f>'Revenue Drivers'!G11</f>
        <v>1068</v>
      </c>
      <c r="G27" s="165">
        <f>'Revenue Drivers'!H11</f>
        <v>1527</v>
      </c>
      <c r="H27" s="165">
        <f>'Revenue Drivers'!I11</f>
        <v>1648</v>
      </c>
      <c r="J27" s="522">
        <f t="shared" si="0"/>
        <v>0.20119733101625736</v>
      </c>
      <c r="L27" s="165">
        <f>Drivers!C100</f>
        <v>1649.1666666666667</v>
      </c>
      <c r="M27" s="165">
        <f>Drivers!D100</f>
        <v>1759.7966666666669</v>
      </c>
      <c r="N27" s="165">
        <f>Drivers!E100</f>
        <v>1889.0631666666668</v>
      </c>
      <c r="O27" s="165">
        <f>Drivers!F100</f>
        <v>1917.1965</v>
      </c>
      <c r="P27" s="165">
        <f>Drivers!G100</f>
        <v>1946.9298333333334</v>
      </c>
      <c r="Q27" s="165">
        <f>Drivers!H100</f>
        <v>1978.2965000000002</v>
      </c>
      <c r="S27" s="522">
        <f>((Q27/L27)^(1/COUNT(L27:Q27))-1)</f>
        <v>3.0792236774068504E-2</v>
      </c>
    </row>
    <row r="28" spans="2:19">
      <c r="B28" s="8" t="s">
        <v>511</v>
      </c>
      <c r="C28" s="165">
        <f>'Revenue Drivers'!D12</f>
        <v>455</v>
      </c>
      <c r="D28" s="165">
        <f>'Revenue Drivers'!E12</f>
        <v>176</v>
      </c>
      <c r="E28" s="165">
        <f>'Revenue Drivers'!F12</f>
        <v>149</v>
      </c>
      <c r="F28" s="165">
        <f>'Revenue Drivers'!G12</f>
        <v>1960</v>
      </c>
      <c r="G28" s="165">
        <f>'Revenue Drivers'!H12</f>
        <v>236</v>
      </c>
      <c r="H28" s="165">
        <f>'Revenue Drivers'!I12</f>
        <v>211</v>
      </c>
      <c r="J28" s="522">
        <f t="shared" si="0"/>
        <v>-0.14246034584178802</v>
      </c>
      <c r="L28" s="523">
        <f>H28</f>
        <v>211</v>
      </c>
      <c r="M28" s="523">
        <f>L28</f>
        <v>211</v>
      </c>
      <c r="N28" s="523">
        <f>M28</f>
        <v>211</v>
      </c>
      <c r="O28" s="523">
        <f>N28</f>
        <v>211</v>
      </c>
      <c r="P28" s="523">
        <f>O28</f>
        <v>211</v>
      </c>
      <c r="Q28" s="523">
        <f>P28</f>
        <v>211</v>
      </c>
      <c r="S28" s="522">
        <f>((Q28/L28)^(1/COUNT(L28:Q28))-1)</f>
        <v>0</v>
      </c>
    </row>
    <row r="29" spans="2:19">
      <c r="B29" s="38" t="s">
        <v>13</v>
      </c>
      <c r="C29" s="524">
        <f t="shared" ref="C29:H29" si="6">SUM(C26:C28)+C24</f>
        <v>161857</v>
      </c>
      <c r="D29" s="524">
        <f t="shared" si="6"/>
        <v>182527</v>
      </c>
      <c r="E29" s="524">
        <f t="shared" si="6"/>
        <v>257637</v>
      </c>
      <c r="F29" s="524">
        <f t="shared" si="6"/>
        <v>282836</v>
      </c>
      <c r="G29" s="524">
        <f t="shared" si="6"/>
        <v>307394</v>
      </c>
      <c r="H29" s="524">
        <f t="shared" si="6"/>
        <v>350018</v>
      </c>
      <c r="I29" s="38"/>
      <c r="J29" s="525">
        <f t="shared" si="0"/>
        <v>0.16678752868181101</v>
      </c>
      <c r="K29" s="38"/>
      <c r="L29" s="524">
        <f t="shared" ref="L29:Q29" si="7">SUM(L26:L28)+L24</f>
        <v>397678.46554899582</v>
      </c>
      <c r="M29" s="524">
        <f t="shared" si="7"/>
        <v>450680.88411929487</v>
      </c>
      <c r="N29" s="524">
        <f t="shared" si="7"/>
        <v>505615.76830737095</v>
      </c>
      <c r="O29" s="524">
        <f t="shared" si="7"/>
        <v>545658.10781717114</v>
      </c>
      <c r="P29" s="524">
        <f t="shared" si="7"/>
        <v>589137.0843518019</v>
      </c>
      <c r="Q29" s="524">
        <f t="shared" si="7"/>
        <v>636099.54396817042</v>
      </c>
      <c r="S29" s="525">
        <f>((Q29/L29)^(1/COUNT(L29:Q29))-1)</f>
        <v>8.1431050269305638E-2</v>
      </c>
    </row>
    <row r="30" spans="2:19" ht="5.0999999999999996" customHeight="1">
      <c r="C30" s="165"/>
      <c r="D30" s="165"/>
      <c r="E30" s="165"/>
      <c r="F30" s="165"/>
      <c r="G30" s="165"/>
      <c r="H30" s="165"/>
      <c r="L30" s="165"/>
      <c r="M30" s="165"/>
      <c r="N30" s="165"/>
      <c r="O30" s="165"/>
      <c r="P30" s="165"/>
      <c r="Q30" s="165"/>
      <c r="S30" s="522"/>
    </row>
    <row r="31" spans="2:19">
      <c r="B31" s="8" t="s">
        <v>594</v>
      </c>
      <c r="C31" s="165">
        <f>'Historical Financials'!D13</f>
        <v>-71896</v>
      </c>
      <c r="D31" s="165">
        <f>'Historical Financials'!E13</f>
        <v>-84732</v>
      </c>
      <c r="E31" s="165">
        <f>'Historical Financials'!F13</f>
        <v>-110939</v>
      </c>
      <c r="F31" s="165">
        <f>'Historical Financials'!G13</f>
        <v>-126203</v>
      </c>
      <c r="G31" s="165">
        <f>'Historical Financials'!H13</f>
        <v>-133332</v>
      </c>
      <c r="H31" s="165">
        <f>'Historical Financials'!I13</f>
        <v>-146306</v>
      </c>
      <c r="J31" s="522">
        <f>((H31/C31)^(1/COUNT(D31:H31))-1)</f>
        <v>0.15268722938233648</v>
      </c>
      <c r="L31" s="523">
        <f t="shared" ref="L31:Q31" si="8">+L32-L29</f>
        <v>-132004.78446180519</v>
      </c>
      <c r="M31" s="523">
        <f t="shared" si="8"/>
        <v>-149598.3265955688</v>
      </c>
      <c r="N31" s="523">
        <f t="shared" si="8"/>
        <v>-160844.94170982437</v>
      </c>
      <c r="O31" s="523">
        <f t="shared" si="8"/>
        <v>-173583.08827898651</v>
      </c>
      <c r="P31" s="523">
        <f t="shared" si="8"/>
        <v>-187414.48730700125</v>
      </c>
      <c r="Q31" s="523">
        <f t="shared" si="8"/>
        <v>-202354.04131820606</v>
      </c>
      <c r="S31" s="522">
        <f>((Q31/L31)^(1/COUNT(L31:Q31))-1)</f>
        <v>7.3792505108529305E-2</v>
      </c>
    </row>
    <row r="32" spans="2:19">
      <c r="B32" s="38" t="s">
        <v>31</v>
      </c>
      <c r="C32" s="524">
        <f t="shared" ref="C32:H32" si="9">+C31+C29</f>
        <v>89961</v>
      </c>
      <c r="D32" s="524">
        <f t="shared" si="9"/>
        <v>97795</v>
      </c>
      <c r="E32" s="524">
        <f t="shared" si="9"/>
        <v>146698</v>
      </c>
      <c r="F32" s="524">
        <f t="shared" si="9"/>
        <v>156633</v>
      </c>
      <c r="G32" s="524">
        <f t="shared" si="9"/>
        <v>174062</v>
      </c>
      <c r="H32" s="524">
        <f t="shared" si="9"/>
        <v>203712</v>
      </c>
      <c r="I32" s="38"/>
      <c r="J32" s="525">
        <f>((H32/C32)^(1/COUNT(D32:H32))-1)</f>
        <v>0.17758554943318483</v>
      </c>
      <c r="K32" s="38"/>
      <c r="L32" s="524">
        <f t="shared" ref="L32:Q32" si="10">+L29*L66</f>
        <v>265673.68108719063</v>
      </c>
      <c r="M32" s="524">
        <f t="shared" si="10"/>
        <v>301082.55752372608</v>
      </c>
      <c r="N32" s="524">
        <f t="shared" si="10"/>
        <v>344770.82659754658</v>
      </c>
      <c r="O32" s="524">
        <f t="shared" si="10"/>
        <v>372075.01953818463</v>
      </c>
      <c r="P32" s="524">
        <f t="shared" si="10"/>
        <v>401722.59704480064</v>
      </c>
      <c r="Q32" s="524">
        <f t="shared" si="10"/>
        <v>433745.50264996436</v>
      </c>
      <c r="S32" s="525">
        <f>((Q32/L32)^(1/COUNT(L32:Q32))-1)</f>
        <v>8.5128263235464185E-2</v>
      </c>
    </row>
    <row r="33" spans="2:21" ht="5.0999999999999996" customHeight="1">
      <c r="C33" s="70"/>
      <c r="D33" s="70"/>
      <c r="E33" s="70"/>
      <c r="F33" s="70"/>
      <c r="G33" s="70"/>
      <c r="H33" s="70"/>
      <c r="L33" s="70"/>
      <c r="M33" s="70"/>
      <c r="N33" s="70"/>
      <c r="O33" s="70"/>
      <c r="P33" s="70"/>
      <c r="Q33" s="70"/>
      <c r="S33" s="522"/>
    </row>
    <row r="34" spans="2:21">
      <c r="B34" s="8" t="s">
        <v>432</v>
      </c>
      <c r="C34" s="165">
        <f>'Historical Financials'!D17</f>
        <v>-26018</v>
      </c>
      <c r="D34" s="165">
        <f>'Historical Financials'!E17</f>
        <v>-27573</v>
      </c>
      <c r="E34" s="165">
        <f>'Historical Financials'!F17</f>
        <v>-31562</v>
      </c>
      <c r="F34" s="165">
        <f>'Historical Financials'!G17</f>
        <v>-39500</v>
      </c>
      <c r="G34" s="165">
        <f>'Historical Financials'!H17</f>
        <v>-45427</v>
      </c>
      <c r="H34" s="165">
        <f>'Historical Financials'!I17</f>
        <v>-49326</v>
      </c>
      <c r="J34" s="522">
        <f t="shared" ref="J34:J48" si="11">((H34/C34)^(1/COUNT(D34:H34))-1)</f>
        <v>0.13647633778589818</v>
      </c>
      <c r="L34" s="523">
        <f t="shared" ref="L34:Q34" si="12">-(+L29*L73)</f>
        <v>-56042.512075578314</v>
      </c>
      <c r="M34" s="523">
        <f t="shared" si="12"/>
        <v>-83824.585283497494</v>
      </c>
      <c r="N34" s="523">
        <f t="shared" si="12"/>
        <v>-82737.398676771554</v>
      </c>
      <c r="O34" s="523">
        <f t="shared" si="12"/>
        <v>-80151.49682775377</v>
      </c>
      <c r="P34" s="523">
        <f t="shared" si="12"/>
        <v>-81410.991520428972</v>
      </c>
      <c r="Q34" s="523">
        <f t="shared" si="12"/>
        <v>-87900.585374146744</v>
      </c>
      <c r="S34" s="522">
        <f>((Q34/L34)^(1/COUNT(L34:Q34))-1)</f>
        <v>7.7901382307966394E-2</v>
      </c>
    </row>
    <row r="35" spans="2:21">
      <c r="B35" s="8" t="s">
        <v>471</v>
      </c>
      <c r="C35" s="165">
        <f>'Historical Financials'!D18</f>
        <v>-18464</v>
      </c>
      <c r="D35" s="165">
        <f>'Historical Financials'!E18</f>
        <v>-17946</v>
      </c>
      <c r="E35" s="165">
        <f>'Historical Financials'!F18</f>
        <v>-22912</v>
      </c>
      <c r="F35" s="165">
        <f>'Historical Financials'!G18</f>
        <v>-26567</v>
      </c>
      <c r="G35" s="165">
        <f>'Historical Financials'!H18</f>
        <v>-27917</v>
      </c>
      <c r="H35" s="165">
        <f>'Historical Financials'!I18</f>
        <v>-27808</v>
      </c>
      <c r="J35" s="522">
        <f t="shared" si="11"/>
        <v>8.5347456085656859E-2</v>
      </c>
      <c r="L35" s="523">
        <f t="shared" ref="L35:Q35" si="13">-(+L29*L74)</f>
        <v>-32589.9069475549</v>
      </c>
      <c r="M35" s="523">
        <f t="shared" si="13"/>
        <v>-33037.395186464804</v>
      </c>
      <c r="N35" s="523">
        <f t="shared" si="13"/>
        <v>-34866.565313691266</v>
      </c>
      <c r="O35" s="523">
        <f t="shared" si="13"/>
        <v>-37627.829762593341</v>
      </c>
      <c r="P35" s="523">
        <f t="shared" si="13"/>
        <v>-40626.079956000234</v>
      </c>
      <c r="Q35" s="523">
        <f t="shared" si="13"/>
        <v>-43864.546333319173</v>
      </c>
      <c r="S35" s="522">
        <f>((Q35/L35)^(1/COUNT(L35:Q35))-1)</f>
        <v>5.0763762493097442E-2</v>
      </c>
    </row>
    <row r="36" spans="2:21">
      <c r="B36" s="8" t="s">
        <v>472</v>
      </c>
      <c r="C36" s="165">
        <f>'Historical Financials'!D19</f>
        <v>-9551</v>
      </c>
      <c r="D36" s="165">
        <f>'Historical Financials'!E19</f>
        <v>-11052</v>
      </c>
      <c r="E36" s="165">
        <f>'Historical Financials'!F19</f>
        <v>-13510</v>
      </c>
      <c r="F36" s="165">
        <f>'Historical Financials'!G19</f>
        <v>-15724</v>
      </c>
      <c r="G36" s="165">
        <f>'Historical Financials'!H19</f>
        <v>-16425</v>
      </c>
      <c r="H36" s="165">
        <f>'Historical Financials'!I19</f>
        <v>-14188</v>
      </c>
      <c r="J36" s="522">
        <f t="shared" si="11"/>
        <v>8.2366811199444223E-2</v>
      </c>
      <c r="L36" s="523">
        <f t="shared" ref="L36:Q36" si="14">-(+L29*L75)</f>
        <v>-24171.696932033457</v>
      </c>
      <c r="M36" s="523">
        <f t="shared" si="14"/>
        <v>-18918.198578955147</v>
      </c>
      <c r="N36" s="523">
        <f t="shared" si="14"/>
        <v>-21224.196203000884</v>
      </c>
      <c r="O36" s="523">
        <f t="shared" si="14"/>
        <v>-22905.050566044658</v>
      </c>
      <c r="P36" s="523">
        <f t="shared" si="14"/>
        <v>-24730.164390650869</v>
      </c>
      <c r="Q36" s="523">
        <f t="shared" si="14"/>
        <v>-26701.504130331177</v>
      </c>
      <c r="S36" s="522">
        <f>((Q36/L36)^(1/COUNT(L36:Q36))-1)</f>
        <v>1.6727954220480346E-2</v>
      </c>
    </row>
    <row r="37" spans="2:21">
      <c r="B37" s="38" t="s">
        <v>115</v>
      </c>
      <c r="C37" s="524">
        <f t="shared" ref="C37:H37" si="15">SUM(C34:C36)+C32</f>
        <v>35928</v>
      </c>
      <c r="D37" s="524">
        <f t="shared" si="15"/>
        <v>41224</v>
      </c>
      <c r="E37" s="524">
        <f t="shared" si="15"/>
        <v>78714</v>
      </c>
      <c r="F37" s="524">
        <f t="shared" si="15"/>
        <v>74842</v>
      </c>
      <c r="G37" s="524">
        <f t="shared" si="15"/>
        <v>84293</v>
      </c>
      <c r="H37" s="524">
        <f t="shared" si="15"/>
        <v>112390</v>
      </c>
      <c r="I37" s="38"/>
      <c r="J37" s="525">
        <f t="shared" si="11"/>
        <v>0.25620039559101482</v>
      </c>
      <c r="K37" s="38"/>
      <c r="L37" s="524">
        <f t="shared" ref="L37:Q37" si="16">SUM(L34:L36)+L32</f>
        <v>152869.56513202394</v>
      </c>
      <c r="M37" s="524">
        <f t="shared" si="16"/>
        <v>165302.37847480865</v>
      </c>
      <c r="N37" s="524">
        <f t="shared" si="16"/>
        <v>205942.66640408288</v>
      </c>
      <c r="O37" s="524">
        <f t="shared" si="16"/>
        <v>231390.64238179286</v>
      </c>
      <c r="P37" s="524">
        <f t="shared" si="16"/>
        <v>254955.36117772057</v>
      </c>
      <c r="Q37" s="524">
        <f t="shared" si="16"/>
        <v>275278.86681216722</v>
      </c>
      <c r="S37" s="525">
        <f>((Q37/L37)^(1/COUNT(L37:Q37))-1)</f>
        <v>0.10299947810526544</v>
      </c>
    </row>
    <row r="38" spans="2:21" ht="5.0999999999999996" customHeight="1"/>
    <row r="39" spans="2:21">
      <c r="B39" s="8" t="s">
        <v>473</v>
      </c>
      <c r="C39" s="165">
        <f>'Historical Financials'!D24</f>
        <v>2427</v>
      </c>
      <c r="D39" s="165">
        <f>'Historical Financials'!E24</f>
        <v>1865</v>
      </c>
      <c r="E39" s="165">
        <f>'Historical Financials'!F24</f>
        <v>1499</v>
      </c>
      <c r="F39" s="165">
        <f>'Historical Financials'!G24</f>
        <v>2174</v>
      </c>
      <c r="G39" s="165">
        <f>'Historical Financials'!H24</f>
        <v>3865</v>
      </c>
      <c r="H39" s="165">
        <f>'Historical Financials'!I24</f>
        <v>4482</v>
      </c>
      <c r="J39" s="522">
        <f t="shared" si="11"/>
        <v>0.13052563662896755</v>
      </c>
      <c r="L39" s="565"/>
      <c r="M39" s="565"/>
      <c r="N39" s="565"/>
      <c r="O39" s="565"/>
      <c r="P39" s="565"/>
      <c r="Q39" s="565"/>
      <c r="S39" s="522" t="e">
        <f>((Q39/L39)^(1/COUNT(L39:Q39))-1)</f>
        <v>#DIV/0!</v>
      </c>
      <c r="U39" s="8" t="s">
        <v>454</v>
      </c>
    </row>
    <row r="40" spans="2:21">
      <c r="B40" s="8" t="s">
        <v>434</v>
      </c>
      <c r="C40" s="165">
        <f>'Historical Financials'!D25</f>
        <v>-100</v>
      </c>
      <c r="D40" s="165">
        <f>'Historical Financials'!E25</f>
        <v>-135</v>
      </c>
      <c r="E40" s="165">
        <f>'Historical Financials'!F25</f>
        <v>-346</v>
      </c>
      <c r="F40" s="165">
        <f>'Historical Financials'!G25</f>
        <v>-357</v>
      </c>
      <c r="G40" s="165">
        <f>'Historical Financials'!H25</f>
        <v>-308</v>
      </c>
      <c r="H40" s="165">
        <f>'Historical Financials'!I25</f>
        <v>-268</v>
      </c>
      <c r="J40" s="522">
        <f t="shared" si="11"/>
        <v>0.217942986287748</v>
      </c>
      <c r="L40" s="565"/>
      <c r="M40" s="565"/>
      <c r="N40" s="565"/>
      <c r="O40" s="565"/>
      <c r="P40" s="565"/>
      <c r="Q40" s="565"/>
      <c r="S40" s="522" t="e">
        <f>((Q40/L40)^(1/COUNT(L40:Q40))-1)</f>
        <v>#DIV/0!</v>
      </c>
      <c r="U40" s="8" t="s">
        <v>117</v>
      </c>
    </row>
    <row r="41" spans="2:21">
      <c r="B41" s="8" t="s">
        <v>562</v>
      </c>
      <c r="C41" s="165">
        <f>'Historical Financials'!D26</f>
        <v>3067</v>
      </c>
      <c r="D41" s="165">
        <f>'Historical Financials'!E26</f>
        <v>5128</v>
      </c>
      <c r="E41" s="165">
        <f>'Historical Financials'!F26</f>
        <v>10867</v>
      </c>
      <c r="F41" s="165">
        <f>'Historical Financials'!G26</f>
        <v>-5331</v>
      </c>
      <c r="G41" s="165">
        <f>'Historical Financials'!H26</f>
        <v>-2133</v>
      </c>
      <c r="H41" s="165">
        <f>'Historical Financials'!I26</f>
        <v>3211</v>
      </c>
      <c r="J41" s="522">
        <f t="shared" si="11"/>
        <v>9.2187392117977218E-3</v>
      </c>
      <c r="L41" s="523">
        <f>H41</f>
        <v>3211</v>
      </c>
      <c r="M41" s="523">
        <f>L41</f>
        <v>3211</v>
      </c>
      <c r="N41" s="523">
        <f>M41</f>
        <v>3211</v>
      </c>
      <c r="O41" s="523">
        <f>N41</f>
        <v>3211</v>
      </c>
      <c r="P41" s="523">
        <f>O41</f>
        <v>3211</v>
      </c>
      <c r="Q41" s="523">
        <f>P41</f>
        <v>3211</v>
      </c>
      <c r="S41" s="522">
        <f>((Q41/L41)^(1/COUNT(L41:Q41))-1)</f>
        <v>0</v>
      </c>
      <c r="U41" s="8" t="s">
        <v>118</v>
      </c>
    </row>
    <row r="42" spans="2:21">
      <c r="B42" s="38" t="s">
        <v>119</v>
      </c>
      <c r="C42" s="524">
        <f t="shared" ref="C42:H42" si="17">SUM(C39:C41)+C37</f>
        <v>41322</v>
      </c>
      <c r="D42" s="524">
        <f t="shared" si="17"/>
        <v>48082</v>
      </c>
      <c r="E42" s="524">
        <f t="shared" si="17"/>
        <v>90734</v>
      </c>
      <c r="F42" s="524">
        <f t="shared" si="17"/>
        <v>71328</v>
      </c>
      <c r="G42" s="524">
        <f t="shared" si="17"/>
        <v>85717</v>
      </c>
      <c r="H42" s="524">
        <f t="shared" si="17"/>
        <v>119815</v>
      </c>
      <c r="I42" s="38"/>
      <c r="J42" s="525">
        <f t="shared" si="11"/>
        <v>0.23727424204411007</v>
      </c>
      <c r="K42" s="38"/>
      <c r="L42" s="524">
        <f t="shared" ref="L42:Q42" si="18">SUM(L39:L41)+L37</f>
        <v>156080.56513202394</v>
      </c>
      <c r="M42" s="524">
        <f t="shared" si="18"/>
        <v>168513.37847480865</v>
      </c>
      <c r="N42" s="524">
        <f t="shared" si="18"/>
        <v>209153.66640408288</v>
      </c>
      <c r="O42" s="524">
        <f t="shared" si="18"/>
        <v>234601.64238179286</v>
      </c>
      <c r="P42" s="524">
        <f t="shared" si="18"/>
        <v>258166.36117772057</v>
      </c>
      <c r="Q42" s="524">
        <f t="shared" si="18"/>
        <v>278489.86681216722</v>
      </c>
      <c r="S42" s="525">
        <f>((Q42/L42)^(1/COUNT(L42:Q42))-1)</f>
        <v>0.10131129858918864</v>
      </c>
    </row>
    <row r="43" spans="2:21" ht="5.0999999999999996" customHeight="1">
      <c r="B43" s="38"/>
      <c r="C43" s="38"/>
      <c r="D43" s="38"/>
      <c r="E43" s="38"/>
      <c r="F43" s="38"/>
      <c r="G43" s="38"/>
      <c r="H43" s="38"/>
      <c r="I43" s="38"/>
      <c r="J43" s="38"/>
      <c r="K43" s="38"/>
      <c r="L43" s="38"/>
      <c r="M43" s="38"/>
      <c r="N43" s="38"/>
      <c r="O43" s="38"/>
      <c r="P43" s="38"/>
      <c r="Q43" s="38"/>
      <c r="S43" s="527"/>
    </row>
    <row r="44" spans="2:21">
      <c r="B44" s="8" t="s">
        <v>425</v>
      </c>
      <c r="C44" s="165">
        <f>'Historical Financials'!D30</f>
        <v>-5282</v>
      </c>
      <c r="D44" s="165">
        <f>'Historical Financials'!E30</f>
        <v>-7813</v>
      </c>
      <c r="E44" s="165">
        <f>'Historical Financials'!F30</f>
        <v>-14701</v>
      </c>
      <c r="F44" s="165">
        <f>'Historical Financials'!G30</f>
        <v>-11356</v>
      </c>
      <c r="G44" s="165">
        <f>'Historical Financials'!H30</f>
        <v>-11922</v>
      </c>
      <c r="H44" s="165">
        <f>'Historical Financials'!I30</f>
        <v>-19697</v>
      </c>
      <c r="J44" s="522">
        <f t="shared" si="11"/>
        <v>0.30112894286781233</v>
      </c>
      <c r="L44" s="523">
        <f t="shared" ref="L44:Q44" si="19">-(L42*L68)</f>
        <v>-25658.881537415811</v>
      </c>
      <c r="M44" s="523">
        <f t="shared" si="19"/>
        <v>-28422.589836084389</v>
      </c>
      <c r="N44" s="523">
        <f t="shared" si="19"/>
        <v>-35625.841177495451</v>
      </c>
      <c r="O44" s="523">
        <f t="shared" si="19"/>
        <v>-39960.479752365383</v>
      </c>
      <c r="P44" s="523">
        <f t="shared" si="19"/>
        <v>-43974.336853938403</v>
      </c>
      <c r="Q44" s="523">
        <f t="shared" si="19"/>
        <v>-47436.107313672488</v>
      </c>
      <c r="S44" s="522">
        <f>((Q44/L44)^(1/COUNT(L44:Q44))-1)</f>
        <v>0.10784385612775571</v>
      </c>
    </row>
    <row r="45" spans="2:21">
      <c r="B45" s="38" t="s">
        <v>18</v>
      </c>
      <c r="C45" s="524">
        <f t="shared" ref="C45:H45" si="20">+C42+C44</f>
        <v>36040</v>
      </c>
      <c r="D45" s="524">
        <f t="shared" si="20"/>
        <v>40269</v>
      </c>
      <c r="E45" s="524">
        <f t="shared" si="20"/>
        <v>76033</v>
      </c>
      <c r="F45" s="524">
        <f t="shared" si="20"/>
        <v>59972</v>
      </c>
      <c r="G45" s="524">
        <f t="shared" si="20"/>
        <v>73795</v>
      </c>
      <c r="H45" s="524">
        <f t="shared" si="20"/>
        <v>100118</v>
      </c>
      <c r="I45" s="38"/>
      <c r="J45" s="525">
        <f t="shared" si="11"/>
        <v>0.22672008671755406</v>
      </c>
      <c r="K45" s="38"/>
      <c r="L45" s="524">
        <f t="shared" ref="L45:Q45" si="21">+L42+L44</f>
        <v>130421.68359460813</v>
      </c>
      <c r="M45" s="524">
        <f t="shared" si="21"/>
        <v>140090.78863872425</v>
      </c>
      <c r="N45" s="524">
        <f t="shared" si="21"/>
        <v>173527.82522658742</v>
      </c>
      <c r="O45" s="524">
        <f t="shared" si="21"/>
        <v>194641.16262942748</v>
      </c>
      <c r="P45" s="524">
        <f t="shared" si="21"/>
        <v>214192.02432378216</v>
      </c>
      <c r="Q45" s="524">
        <f t="shared" si="21"/>
        <v>231053.75949849474</v>
      </c>
      <c r="S45" s="525">
        <f>((Q45/L45)^(1/COUNT(L45:Q45))-1)</f>
        <v>0.10000300828738551</v>
      </c>
    </row>
    <row r="46" spans="2:21" ht="5.0999999999999996" customHeight="1">
      <c r="B46" s="38"/>
      <c r="C46" s="48"/>
      <c r="D46" s="48"/>
      <c r="E46" s="48"/>
      <c r="F46" s="48"/>
      <c r="G46" s="48"/>
      <c r="H46" s="48"/>
      <c r="I46" s="38"/>
      <c r="J46" s="38"/>
      <c r="K46" s="38"/>
      <c r="L46" s="48"/>
      <c r="M46" s="48"/>
      <c r="N46" s="48"/>
      <c r="O46" s="48"/>
      <c r="P46" s="48"/>
      <c r="Q46" s="48"/>
      <c r="S46" s="526"/>
    </row>
    <row r="47" spans="2:21">
      <c r="B47" s="8" t="s">
        <v>595</v>
      </c>
      <c r="C47" s="165">
        <f>'Historical Financials'!D90</f>
        <v>11781</v>
      </c>
      <c r="D47" s="165">
        <f>'Historical Financials'!E90</f>
        <v>13697</v>
      </c>
      <c r="E47" s="165">
        <f>'Historical Financials'!F90</f>
        <v>12441</v>
      </c>
      <c r="F47" s="165">
        <f>'Historical Financials'!G90</f>
        <v>13475</v>
      </c>
      <c r="G47" s="165">
        <f>'Historical Financials'!H90</f>
        <v>11946</v>
      </c>
      <c r="H47" s="165">
        <f>'Historical Financials'!I90</f>
        <v>15311</v>
      </c>
      <c r="J47" s="522">
        <f t="shared" si="11"/>
        <v>5.3814767233383298E-2</v>
      </c>
      <c r="L47" s="565">
        <f t="shared" ref="L47:Q47" ca="1" si="22">-L164</f>
        <v>-8022.2976211584137</v>
      </c>
      <c r="M47" s="565">
        <f t="shared" ca="1" si="22"/>
        <v>-9903.4107597267903</v>
      </c>
      <c r="N47" s="565">
        <f t="shared" ca="1" si="22"/>
        <v>-11953.528649553016</v>
      </c>
      <c r="O47" s="565">
        <f t="shared" ca="1" si="22"/>
        <v>-12701.211564187382</v>
      </c>
      <c r="P47" s="565">
        <f t="shared" ca="1" si="22"/>
        <v>-13749.447296011407</v>
      </c>
      <c r="Q47" s="565">
        <f t="shared" ca="1" si="22"/>
        <v>-15102.33279046214</v>
      </c>
      <c r="S47" s="522">
        <f ca="1">((Q47/L47)^(1/COUNT(L47:Q47))-1)</f>
        <v>0.1111965329312985</v>
      </c>
      <c r="U47" s="8" t="s">
        <v>124</v>
      </c>
    </row>
    <row r="48" spans="2:21">
      <c r="B48" s="38" t="s">
        <v>11</v>
      </c>
      <c r="C48" s="524">
        <f t="shared" ref="C48:H48" si="23">+C37+C47</f>
        <v>47709</v>
      </c>
      <c r="D48" s="524">
        <f t="shared" si="23"/>
        <v>54921</v>
      </c>
      <c r="E48" s="524">
        <f t="shared" si="23"/>
        <v>91155</v>
      </c>
      <c r="F48" s="524">
        <f t="shared" si="23"/>
        <v>88317</v>
      </c>
      <c r="G48" s="524">
        <f t="shared" si="23"/>
        <v>96239</v>
      </c>
      <c r="H48" s="524">
        <f t="shared" si="23"/>
        <v>127701</v>
      </c>
      <c r="I48" s="38"/>
      <c r="J48" s="525">
        <f t="shared" si="11"/>
        <v>0.217639692919811</v>
      </c>
      <c r="K48" s="38"/>
      <c r="L48" s="524">
        <f t="shared" ref="L48:Q48" ca="1" si="24">+L37+L47</f>
        <v>144847.26751086552</v>
      </c>
      <c r="M48" s="524">
        <f t="shared" ca="1" si="24"/>
        <v>155398.96771508185</v>
      </c>
      <c r="N48" s="524">
        <f t="shared" ca="1" si="24"/>
        <v>193989.13775452986</v>
      </c>
      <c r="O48" s="524">
        <f t="shared" ca="1" si="24"/>
        <v>218689.43081760546</v>
      </c>
      <c r="P48" s="524">
        <f t="shared" ca="1" si="24"/>
        <v>241205.91388170916</v>
      </c>
      <c r="Q48" s="524">
        <f t="shared" ca="1" si="24"/>
        <v>260176.5340217051</v>
      </c>
      <c r="S48" s="522">
        <f ca="1">((Q48/L48)^(1/COUNT(L48:Q48))-1)</f>
        <v>0.10253648376525382</v>
      </c>
    </row>
    <row r="49" spans="2:19" ht="5.0999999999999996" customHeight="1">
      <c r="B49" s="38"/>
      <c r="C49" s="48"/>
      <c r="D49" s="48"/>
      <c r="E49" s="48"/>
      <c r="F49" s="48"/>
      <c r="G49" s="48"/>
      <c r="H49" s="48"/>
      <c r="I49" s="38"/>
      <c r="J49" s="525"/>
      <c r="K49" s="38"/>
      <c r="L49" s="48"/>
      <c r="M49" s="48"/>
      <c r="N49" s="48"/>
      <c r="O49" s="48"/>
      <c r="P49" s="48"/>
      <c r="Q49" s="48"/>
      <c r="S49" s="525"/>
    </row>
    <row r="50" spans="2:19">
      <c r="B50" s="8" t="s">
        <v>596</v>
      </c>
      <c r="C50" s="165">
        <f>'Historical Financials'!D91</f>
        <v>10794</v>
      </c>
      <c r="D50" s="165">
        <f>'Historical Financials'!E91</f>
        <v>12991</v>
      </c>
      <c r="E50" s="165">
        <f>'Historical Financials'!F91</f>
        <v>15376</v>
      </c>
      <c r="F50" s="165">
        <f>'Historical Financials'!G91</f>
        <v>19362</v>
      </c>
      <c r="G50" s="165">
        <f>'Historical Financials'!H91</f>
        <v>22460</v>
      </c>
      <c r="H50" s="165">
        <f>'Historical Financials'!I91</f>
        <v>22785</v>
      </c>
      <c r="J50" s="522">
        <f>((H50/C50)^(1/COUNT(D50:H50))-1)</f>
        <v>0.16116336115958729</v>
      </c>
      <c r="L50" s="523">
        <f>(H50*L56)+H50</f>
        <v>25887.536748206861</v>
      </c>
      <c r="M50" s="523">
        <f>(L50*M56)+L50</f>
        <v>29337.816754161599</v>
      </c>
      <c r="N50" s="523">
        <f>(M50*N56)+M50</f>
        <v>32913.89380227145</v>
      </c>
      <c r="O50" s="523">
        <f>(N50*O56)+N50</f>
        <v>35520.516049501013</v>
      </c>
      <c r="P50" s="523">
        <f>(O50*P56)+O50</f>
        <v>38350.851861777985</v>
      </c>
      <c r="Q50" s="523">
        <f>(P50*Q56)+P50</f>
        <v>41407.950760574495</v>
      </c>
      <c r="S50" s="522">
        <f>((Q50/L50)^(1/COUNT(L50:Q50))-1)</f>
        <v>8.1431050269305638E-2</v>
      </c>
    </row>
    <row r="51" spans="2:19">
      <c r="B51" s="38" t="s">
        <v>56</v>
      </c>
      <c r="C51" s="524">
        <f t="shared" ref="C51:H51" si="25">+C48+C50</f>
        <v>58503</v>
      </c>
      <c r="D51" s="524">
        <f t="shared" si="25"/>
        <v>67912</v>
      </c>
      <c r="E51" s="524">
        <f t="shared" si="25"/>
        <v>106531</v>
      </c>
      <c r="F51" s="524">
        <f t="shared" si="25"/>
        <v>107679</v>
      </c>
      <c r="G51" s="524">
        <f t="shared" si="25"/>
        <v>118699</v>
      </c>
      <c r="H51" s="524">
        <f t="shared" si="25"/>
        <v>150486</v>
      </c>
      <c r="I51" s="38"/>
      <c r="J51" s="525">
        <f>((H51/C51)^(1/COUNT(D51:H51))-1)</f>
        <v>0.20799070425080179</v>
      </c>
      <c r="K51" s="38"/>
      <c r="L51" s="524">
        <f t="shared" ref="L51:Q51" ca="1" si="26">+L48+L50</f>
        <v>170734.80425907238</v>
      </c>
      <c r="M51" s="524">
        <f t="shared" ca="1" si="26"/>
        <v>184736.78446924343</v>
      </c>
      <c r="N51" s="524">
        <f t="shared" ca="1" si="26"/>
        <v>226903.03155680132</v>
      </c>
      <c r="O51" s="524">
        <f t="shared" ca="1" si="26"/>
        <v>254209.94686710648</v>
      </c>
      <c r="P51" s="524">
        <f t="shared" ca="1" si="26"/>
        <v>279556.76574348717</v>
      </c>
      <c r="Q51" s="524">
        <f t="shared" ca="1" si="26"/>
        <v>301584.48478227959</v>
      </c>
      <c r="S51" s="522">
        <f ca="1">((Q51/L51)^(1/COUNT(L51:Q51))-1)</f>
        <v>9.9464359424725091E-2</v>
      </c>
    </row>
    <row r="52" spans="2:19" ht="5.0999999999999996" customHeight="1"/>
    <row r="53" spans="2:19">
      <c r="B53" s="351" t="s">
        <v>128</v>
      </c>
      <c r="C53" s="549"/>
      <c r="D53" s="549"/>
      <c r="E53" s="549"/>
      <c r="F53" s="549"/>
      <c r="G53" s="549"/>
      <c r="H53" s="549"/>
      <c r="I53" s="549"/>
      <c r="J53" s="549"/>
      <c r="K53" s="549"/>
      <c r="L53" s="549"/>
      <c r="M53" s="549"/>
      <c r="N53" s="549"/>
      <c r="O53" s="549"/>
      <c r="P53" s="549"/>
      <c r="Q53" s="549"/>
    </row>
    <row r="54" spans="2:19" ht="5.0999999999999996" customHeight="1">
      <c r="B54" s="354"/>
      <c r="Q54" s="333"/>
    </row>
    <row r="55" spans="2:19">
      <c r="B55" s="414" t="s">
        <v>129</v>
      </c>
      <c r="Q55" s="333"/>
    </row>
    <row r="56" spans="2:19">
      <c r="B56" s="566" t="s">
        <v>636</v>
      </c>
      <c r="D56" s="556">
        <f>SUM(D29/C29)-1</f>
        <v>0.12770532012826141</v>
      </c>
      <c r="E56" s="556">
        <f>SUM(E29/D29)-1</f>
        <v>0.41150076427049154</v>
      </c>
      <c r="F56" s="556">
        <f>SUM(F29/E29)-1</f>
        <v>9.7808156437157789E-2</v>
      </c>
      <c r="G56" s="556">
        <f>SUM(G29/F29)-1</f>
        <v>8.6827702272695095E-2</v>
      </c>
      <c r="H56" s="556">
        <f>SUM(H29/G29)-1</f>
        <v>0.13866243322901561</v>
      </c>
      <c r="L56" s="556">
        <f>SUM(L29/H29)-1</f>
        <v>0.13616575590111313</v>
      </c>
      <c r="M56" s="556">
        <f>SUM(M29/L29)-1</f>
        <v>0.13327957926293332</v>
      </c>
      <c r="N56" s="556">
        <f>SUM(N29/M29)-1</f>
        <v>0.1218930869353998</v>
      </c>
      <c r="O56" s="556">
        <f>SUM(O29/N29)-1</f>
        <v>7.9195195284055941E-2</v>
      </c>
      <c r="P56" s="556">
        <f>SUM(P29/O29)-1</f>
        <v>7.9681719948343277E-2</v>
      </c>
      <c r="Q56" s="560">
        <f>SUM(Q29/P29)-1</f>
        <v>7.9713976362630445E-2</v>
      </c>
    </row>
    <row r="57" spans="2:19">
      <c r="B57" s="408" t="s">
        <v>601</v>
      </c>
      <c r="D57" s="556">
        <f t="shared" ref="D57:H59" si="27">SUM(D18/C18)-1</f>
        <v>6.0612546501554343E-2</v>
      </c>
      <c r="E57" s="556">
        <f t="shared" si="27"/>
        <v>0.43136783840402826</v>
      </c>
      <c r="F57" s="556">
        <f t="shared" si="27"/>
        <v>9.0627118985438182E-2</v>
      </c>
      <c r="G57" s="556">
        <f t="shared" si="27"/>
        <v>7.7457679285934056E-2</v>
      </c>
      <c r="H57" s="556">
        <f t="shared" si="27"/>
        <v>0.13169516605440124</v>
      </c>
      <c r="L57" s="556">
        <f>SUM(L18/H18)-1</f>
        <v>0.1163455652901495</v>
      </c>
      <c r="M57" s="556">
        <f t="shared" ref="M57:N60" si="28">SUM(M18/L18)-1</f>
        <v>0.10128698295443095</v>
      </c>
      <c r="N57" s="556">
        <f t="shared" si="28"/>
        <v>8.5038470128244281E-2</v>
      </c>
      <c r="O57" s="557">
        <v>0.08</v>
      </c>
      <c r="P57" s="557">
        <v>0.08</v>
      </c>
      <c r="Q57" s="559">
        <v>0.08</v>
      </c>
    </row>
    <row r="58" spans="2:19">
      <c r="B58" s="408" t="s">
        <v>560</v>
      </c>
      <c r="D58" s="556">
        <f t="shared" si="27"/>
        <v>0.30516865799722748</v>
      </c>
      <c r="E58" s="556">
        <f t="shared" si="27"/>
        <v>0.45888124620675708</v>
      </c>
      <c r="F58" s="556">
        <f t="shared" si="27"/>
        <v>1.3797885248743258E-2</v>
      </c>
      <c r="G58" s="556">
        <f t="shared" si="27"/>
        <v>7.7522825975447018E-2</v>
      </c>
      <c r="H58" s="556">
        <f t="shared" si="27"/>
        <v>0.14715963186290071</v>
      </c>
      <c r="L58" s="556">
        <f>SUM(L19/H19)-1</f>
        <v>0.13620761520089264</v>
      </c>
      <c r="M58" s="556">
        <f t="shared" si="28"/>
        <v>0.13548520271932452</v>
      </c>
      <c r="N58" s="556">
        <f t="shared" si="28"/>
        <v>0.12846139705331683</v>
      </c>
      <c r="O58" s="557">
        <v>0.11</v>
      </c>
      <c r="P58" s="557">
        <v>0.1</v>
      </c>
      <c r="Q58" s="559">
        <v>0.09</v>
      </c>
    </row>
    <row r="59" spans="2:19">
      <c r="B59" s="408" t="s">
        <v>505</v>
      </c>
      <c r="D59" s="556">
        <f t="shared" si="27"/>
        <v>7.161089710864621E-2</v>
      </c>
      <c r="E59" s="556">
        <f t="shared" si="27"/>
        <v>0.37293200519705505</v>
      </c>
      <c r="F59" s="556">
        <f t="shared" si="27"/>
        <v>3.4036781174095365E-2</v>
      </c>
      <c r="G59" s="556">
        <f t="shared" si="27"/>
        <v>-4.4783404514948111E-2</v>
      </c>
      <c r="H59" s="556">
        <f t="shared" si="27"/>
        <v>-3.0435615738375055E-2</v>
      </c>
      <c r="L59" s="556">
        <f>SUM(L20/H20)-1</f>
        <v>-2.3939194308112977E-2</v>
      </c>
      <c r="M59" s="556">
        <f t="shared" si="28"/>
        <v>-3.1161452693008185E-3</v>
      </c>
      <c r="N59" s="556">
        <f t="shared" si="28"/>
        <v>2.0859963659312086E-3</v>
      </c>
      <c r="O59" s="557">
        <f>AVERAGE(L59:N59)</f>
        <v>-8.3231144038275282E-3</v>
      </c>
      <c r="P59" s="557">
        <f>AVERAGE(M59:O59)</f>
        <v>-3.1177544357323794E-3</v>
      </c>
      <c r="Q59" s="559">
        <f>AVERAGE(N59:P59)</f>
        <v>-3.1182908245428998E-3</v>
      </c>
    </row>
    <row r="60" spans="2:19">
      <c r="B60" s="408" t="s">
        <v>506</v>
      </c>
      <c r="D60" s="556">
        <f>SUM(D23/C23)-1</f>
        <v>0.27606676854355228</v>
      </c>
      <c r="E60" s="556">
        <f>SUM(E23/D23)-1</f>
        <v>0.29114273870388274</v>
      </c>
      <c r="F60" s="556">
        <f>SUM(F23/E23)-1</f>
        <v>3.6494006849315141E-2</v>
      </c>
      <c r="G60" s="556">
        <f>SUM(G23/F23)-1</f>
        <v>0.19387368783341929</v>
      </c>
      <c r="H60" s="556">
        <f>SUM(H23/G23)-1</f>
        <v>0.16293819188191883</v>
      </c>
      <c r="L60" s="556">
        <f>SUM(L21/H21)-1</f>
        <v>0.1029627787202867</v>
      </c>
      <c r="M60" s="556">
        <f t="shared" si="28"/>
        <v>9.5498877801663662E-2</v>
      </c>
      <c r="N60" s="556">
        <f t="shared" si="28"/>
        <v>8.3707916694081952E-2</v>
      </c>
      <c r="O60" s="556">
        <f>SUM(O21/N21)-1</f>
        <v>7.7010584228238033E-2</v>
      </c>
      <c r="P60" s="556">
        <f>SUM(P21/O21)-1</f>
        <v>7.6592104136039563E-2</v>
      </c>
      <c r="Q60" s="560">
        <f>SUM(Q21/P21)-1</f>
        <v>7.5544767820941106E-2</v>
      </c>
    </row>
    <row r="61" spans="2:19">
      <c r="B61" s="408" t="s">
        <v>509</v>
      </c>
      <c r="D61" s="556">
        <f t="shared" ref="D61:H63" si="29">SUM(D26/C26)-1</f>
        <v>0.46434178066831122</v>
      </c>
      <c r="E61" s="556">
        <f t="shared" si="29"/>
        <v>0.47070985527222597</v>
      </c>
      <c r="F61" s="556">
        <f t="shared" si="29"/>
        <v>0.36832239925023424</v>
      </c>
      <c r="G61" s="556">
        <f t="shared" si="29"/>
        <v>0.25905631659056327</v>
      </c>
      <c r="H61" s="556">
        <f t="shared" si="29"/>
        <v>0.30648573500967125</v>
      </c>
      <c r="L61" s="556">
        <f>SUM(L23/H23)-1</f>
        <v>0.16872851260275223</v>
      </c>
      <c r="M61" s="556">
        <f>SUM(M23/L23)-1</f>
        <v>0.14609710435845558</v>
      </c>
      <c r="N61" s="556">
        <f>SUM(N23/M23)-1</f>
        <v>0.11426564563305797</v>
      </c>
      <c r="O61" s="557">
        <f>N61</f>
        <v>0.11426564563305797</v>
      </c>
      <c r="P61" s="557">
        <f>O61</f>
        <v>0.11426564563305797</v>
      </c>
      <c r="Q61" s="559">
        <f>P61</f>
        <v>0.11426564563305797</v>
      </c>
    </row>
    <row r="62" spans="2:19">
      <c r="B62" s="408" t="s">
        <v>510</v>
      </c>
      <c r="D62" s="556">
        <f t="shared" si="29"/>
        <v>-3.0349013657056112E-3</v>
      </c>
      <c r="E62" s="556">
        <f t="shared" si="29"/>
        <v>0.14611872146118721</v>
      </c>
      <c r="F62" s="556">
        <f t="shared" si="29"/>
        <v>0.41832669322709171</v>
      </c>
      <c r="G62" s="556">
        <f t="shared" si="29"/>
        <v>0.4297752808988764</v>
      </c>
      <c r="H62" s="556">
        <f t="shared" si="29"/>
        <v>7.9240340537000575E-2</v>
      </c>
      <c r="L62" s="556">
        <f>SUM(L23/H27)-1</f>
        <v>27.608318081550376</v>
      </c>
      <c r="M62" s="556">
        <f>SUM(M23/L23)-1</f>
        <v>0.14609710435845558</v>
      </c>
      <c r="N62" s="556">
        <f>SUM(N23/M23)-1</f>
        <v>0.11426564563305797</v>
      </c>
      <c r="O62" s="556">
        <f>SUM(O23/N23)-1</f>
        <v>3.7652327785990147E-2</v>
      </c>
      <c r="P62" s="556">
        <f>SUM(P23/O23)-1</f>
        <v>4.0639761156939569E-2</v>
      </c>
      <c r="Q62" s="560">
        <v>0.03</v>
      </c>
    </row>
    <row r="63" spans="2:19">
      <c r="B63" s="408" t="s">
        <v>511</v>
      </c>
      <c r="D63" s="556">
        <f t="shared" si="29"/>
        <v>-0.61318681318681323</v>
      </c>
      <c r="E63" s="556">
        <f t="shared" si="29"/>
        <v>-0.15340909090909094</v>
      </c>
      <c r="F63" s="556">
        <f t="shared" si="29"/>
        <v>12.154362416107382</v>
      </c>
      <c r="G63" s="556">
        <f t="shared" si="29"/>
        <v>-0.87959183673469388</v>
      </c>
      <c r="H63" s="556">
        <f t="shared" si="29"/>
        <v>-0.10593220338983056</v>
      </c>
      <c r="L63" s="557">
        <v>0</v>
      </c>
      <c r="M63" s="557">
        <v>0</v>
      </c>
      <c r="N63" s="557">
        <v>0</v>
      </c>
      <c r="O63" s="557">
        <v>0</v>
      </c>
      <c r="P63" s="557">
        <v>0</v>
      </c>
      <c r="Q63" s="559">
        <v>0</v>
      </c>
    </row>
    <row r="64" spans="2:19">
      <c r="B64" s="414"/>
      <c r="Q64" s="333"/>
    </row>
    <row r="65" spans="1:19">
      <c r="B65" s="414" t="s">
        <v>620</v>
      </c>
      <c r="Q65" s="333"/>
    </row>
    <row r="66" spans="1:19">
      <c r="B66" s="408" t="s">
        <v>621</v>
      </c>
      <c r="C66" s="556">
        <f t="shared" ref="C66:H66" si="30">C32/C24</f>
        <v>0.59253087436192986</v>
      </c>
      <c r="D66" s="556">
        <f t="shared" si="30"/>
        <v>0.57992113143772051</v>
      </c>
      <c r="E66" s="556">
        <f t="shared" si="30"/>
        <v>0.61760037721709771</v>
      </c>
      <c r="F66" s="556">
        <f t="shared" si="30"/>
        <v>0.61781341705847082</v>
      </c>
      <c r="G66" s="556">
        <f t="shared" si="30"/>
        <v>0.6386588538322393</v>
      </c>
      <c r="H66" s="556">
        <f t="shared" si="30"/>
        <v>0.66806152231659721</v>
      </c>
      <c r="L66" s="556">
        <f>H66</f>
        <v>0.66806152231659721</v>
      </c>
      <c r="M66" s="556">
        <f>L66</f>
        <v>0.66806152231659721</v>
      </c>
      <c r="N66" s="558">
        <f>Drivers!E185</f>
        <v>0.68188305865483911</v>
      </c>
      <c r="O66" s="558">
        <f>Drivers!F185</f>
        <v>0.68188305865483911</v>
      </c>
      <c r="P66" s="558">
        <f>Drivers!G185</f>
        <v>0.68188305865483911</v>
      </c>
      <c r="Q66" s="561">
        <f>Drivers!H185</f>
        <v>0.68188305865483911</v>
      </c>
      <c r="S66" s="8" t="s">
        <v>617</v>
      </c>
    </row>
    <row r="67" spans="1:19">
      <c r="B67" s="408" t="s">
        <v>611</v>
      </c>
      <c r="C67" s="556">
        <f t="shared" ref="C67:H67" si="31">C37/C29</f>
        <v>0.22197371754079218</v>
      </c>
      <c r="D67" s="556">
        <f t="shared" si="31"/>
        <v>0.22585151785763202</v>
      </c>
      <c r="E67" s="556">
        <f t="shared" si="31"/>
        <v>0.3055228868524319</v>
      </c>
      <c r="F67" s="556">
        <f t="shared" si="31"/>
        <v>0.26461270842467011</v>
      </c>
      <c r="G67" s="556">
        <f t="shared" si="31"/>
        <v>0.27421810445226646</v>
      </c>
      <c r="H67" s="556">
        <f t="shared" si="31"/>
        <v>0.32109777211457696</v>
      </c>
      <c r="L67" s="556">
        <f t="shared" ref="L67:Q67" si="32">L37/L29</f>
        <v>0.38440493608570742</v>
      </c>
      <c r="M67" s="556">
        <f t="shared" si="32"/>
        <v>0.3667836473646689</v>
      </c>
      <c r="N67" s="556">
        <f t="shared" si="32"/>
        <v>0.40731060879194619</v>
      </c>
      <c r="O67" s="556">
        <f t="shared" si="32"/>
        <v>0.4240579202743614</v>
      </c>
      <c r="P67" s="556">
        <f t="shared" si="32"/>
        <v>0.43276067310927341</v>
      </c>
      <c r="Q67" s="560">
        <f t="shared" si="32"/>
        <v>0.4327606731092733</v>
      </c>
    </row>
    <row r="68" spans="1:19">
      <c r="B68" s="408" t="s">
        <v>598</v>
      </c>
      <c r="C68" s="556">
        <f t="shared" ref="C68:H68" si="33">-C44/C42</f>
        <v>0.12782537147282319</v>
      </c>
      <c r="D68" s="556">
        <f t="shared" si="33"/>
        <v>0.16249324071378063</v>
      </c>
      <c r="E68" s="556">
        <f t="shared" si="33"/>
        <v>0.16202305640663919</v>
      </c>
      <c r="F68" s="556">
        <f t="shared" si="33"/>
        <v>0.1592081650964558</v>
      </c>
      <c r="G68" s="556">
        <f t="shared" si="33"/>
        <v>0.13908559562280529</v>
      </c>
      <c r="H68" s="556">
        <f t="shared" si="33"/>
        <v>0.16439510912657013</v>
      </c>
      <c r="L68" s="556">
        <f>H68</f>
        <v>0.16439510912657013</v>
      </c>
      <c r="M68" s="558">
        <f>Drivers!D136</f>
        <v>0.16866666666666666</v>
      </c>
      <c r="N68" s="558">
        <f>Drivers!E136</f>
        <v>0.17033333333333334</v>
      </c>
      <c r="O68" s="558">
        <f>Drivers!F136</f>
        <v>0.17033333333333334</v>
      </c>
      <c r="P68" s="558">
        <f>Drivers!G136</f>
        <v>0.17033333333333334</v>
      </c>
      <c r="Q68" s="561">
        <f>Drivers!H136</f>
        <v>0.17033333333333334</v>
      </c>
      <c r="S68" s="8" t="s">
        <v>630</v>
      </c>
    </row>
    <row r="69" spans="1:19">
      <c r="B69" s="408" t="s">
        <v>626</v>
      </c>
      <c r="C69" s="556">
        <f t="shared" ref="C69:H69" si="34">C48/C29</f>
        <v>0.29476018955003491</v>
      </c>
      <c r="D69" s="556">
        <f t="shared" si="34"/>
        <v>0.30089247070296449</v>
      </c>
      <c r="E69" s="556">
        <f t="shared" si="34"/>
        <v>0.35381175840426649</v>
      </c>
      <c r="F69" s="556">
        <f t="shared" si="34"/>
        <v>0.3122551584663904</v>
      </c>
      <c r="G69" s="556">
        <f t="shared" si="34"/>
        <v>0.31308028133275212</v>
      </c>
      <c r="H69" s="556">
        <f t="shared" si="34"/>
        <v>0.3648412367363964</v>
      </c>
      <c r="L69" s="558"/>
      <c r="Q69" s="333"/>
      <c r="S69" s="8" t="s">
        <v>630</v>
      </c>
    </row>
    <row r="70" spans="1:19">
      <c r="B70" s="408" t="s">
        <v>627</v>
      </c>
      <c r="C70" s="556">
        <f t="shared" ref="C70:H70" si="35">C51/C29</f>
        <v>0.36144868618595427</v>
      </c>
      <c r="D70" s="556">
        <f t="shared" si="35"/>
        <v>0.37206550263796589</v>
      </c>
      <c r="E70" s="556">
        <f t="shared" si="35"/>
        <v>0.41349262722357427</v>
      </c>
      <c r="F70" s="556">
        <f t="shared" si="35"/>
        <v>0.38071179057828564</v>
      </c>
      <c r="G70" s="556">
        <f t="shared" si="35"/>
        <v>0.38614611866204285</v>
      </c>
      <c r="H70" s="556">
        <f t="shared" si="35"/>
        <v>0.42993788890857043</v>
      </c>
      <c r="L70" s="556">
        <f t="shared" ref="L70:Q70" ca="1" si="36">L51/L29</f>
        <v>0.42932876444132495</v>
      </c>
      <c r="M70" s="556">
        <f t="shared" ca="1" si="36"/>
        <v>0.40990596889914627</v>
      </c>
      <c r="N70" s="556">
        <f t="shared" ca="1" si="36"/>
        <v>0.4487657343369556</v>
      </c>
      <c r="O70" s="556">
        <f t="shared" ca="1" si="36"/>
        <v>0.46587770478484741</v>
      </c>
      <c r="P70" s="556">
        <f t="shared" ca="1" si="36"/>
        <v>0.47451904347707036</v>
      </c>
      <c r="Q70" s="560">
        <f t="shared" ca="1" si="36"/>
        <v>0.47411523501637737</v>
      </c>
      <c r="S70" s="8" t="s">
        <v>630</v>
      </c>
    </row>
    <row r="71" spans="1:19">
      <c r="B71" s="408"/>
      <c r="C71" s="556"/>
      <c r="D71" s="556"/>
      <c r="E71" s="556"/>
      <c r="F71" s="556"/>
      <c r="G71" s="556"/>
      <c r="H71" s="556"/>
      <c r="Q71" s="333"/>
    </row>
    <row r="72" spans="1:19">
      <c r="B72" s="414" t="s">
        <v>625</v>
      </c>
      <c r="C72" s="556"/>
      <c r="D72" s="556"/>
      <c r="E72" s="556"/>
      <c r="F72" s="556"/>
      <c r="G72" s="556"/>
      <c r="H72" s="556"/>
      <c r="Q72" s="333"/>
    </row>
    <row r="73" spans="1:19">
      <c r="B73" s="408" t="s">
        <v>622</v>
      </c>
      <c r="C73" s="556">
        <f t="shared" ref="C73:H73" si="37">-C34/C29</f>
        <v>0.16074683208016954</v>
      </c>
      <c r="D73" s="556">
        <f t="shared" si="37"/>
        <v>0.15106258252203783</v>
      </c>
      <c r="E73" s="556">
        <f t="shared" si="37"/>
        <v>0.12250569599863374</v>
      </c>
      <c r="F73" s="556">
        <f t="shared" si="37"/>
        <v>0.13965690364734334</v>
      </c>
      <c r="G73" s="556">
        <f t="shared" si="37"/>
        <v>0.14778102370247956</v>
      </c>
      <c r="H73" s="556">
        <f t="shared" si="37"/>
        <v>0.14092418104211785</v>
      </c>
      <c r="L73" s="556">
        <f>H73</f>
        <v>0.14092418104211785</v>
      </c>
      <c r="M73" s="558">
        <f>Drivers!D107</f>
        <v>0.18599543099615734</v>
      </c>
      <c r="N73" s="558">
        <f>Drivers!E107</f>
        <v>0.16363690348057802</v>
      </c>
      <c r="O73" s="558">
        <f>Drivers!F107</f>
        <v>0.14688959199816276</v>
      </c>
      <c r="P73" s="558">
        <f>Drivers!G107</f>
        <v>0.13818683916325081</v>
      </c>
      <c r="Q73" s="560">
        <f>P73</f>
        <v>0.13818683916325081</v>
      </c>
    </row>
    <row r="74" spans="1:19">
      <c r="B74" s="408" t="s">
        <v>623</v>
      </c>
      <c r="C74" s="556">
        <f t="shared" ref="C74:H74" si="38">-C35/C29</f>
        <v>0.11407600536275848</v>
      </c>
      <c r="D74" s="556">
        <f t="shared" si="38"/>
        <v>9.8319700647027566E-2</v>
      </c>
      <c r="E74" s="556">
        <f t="shared" si="38"/>
        <v>8.8931325857699015E-2</v>
      </c>
      <c r="F74" s="556">
        <f t="shared" si="38"/>
        <v>9.3930758460733427E-2</v>
      </c>
      <c r="G74" s="556">
        <f t="shared" si="38"/>
        <v>9.0818298340240869E-2</v>
      </c>
      <c r="H74" s="556">
        <f t="shared" si="38"/>
        <v>7.94473427080893E-2</v>
      </c>
      <c r="L74" s="558">
        <f>Drivers!C118</f>
        <v>8.1950394026401391E-2</v>
      </c>
      <c r="M74" s="558">
        <f>Drivers!D118</f>
        <v>7.3305516942493237E-2</v>
      </c>
      <c r="N74" s="558">
        <f>Drivers!E118</f>
        <v>6.8958619369037147E-2</v>
      </c>
      <c r="O74" s="558">
        <f>Drivers!F118</f>
        <v>6.8958619369037147E-2</v>
      </c>
      <c r="P74" s="558">
        <f>Drivers!G118</f>
        <v>6.8958619369037147E-2</v>
      </c>
      <c r="Q74" s="561">
        <f>Drivers!H118</f>
        <v>6.8958619369037147E-2</v>
      </c>
    </row>
    <row r="75" spans="1:19">
      <c r="B75" s="408" t="s">
        <v>624</v>
      </c>
      <c r="C75" s="556">
        <f t="shared" ref="C75:H75" si="39">-C36/C29</f>
        <v>5.9008878207306451E-2</v>
      </c>
      <c r="D75" s="556">
        <f t="shared" si="39"/>
        <v>6.0549946035381066E-2</v>
      </c>
      <c r="E75" s="556">
        <f t="shared" si="39"/>
        <v>5.2438120301043716E-2</v>
      </c>
      <c r="F75" s="556">
        <f t="shared" si="39"/>
        <v>5.5594054505084221E-2</v>
      </c>
      <c r="G75" s="556">
        <f t="shared" si="39"/>
        <v>5.3433053345218189E-2</v>
      </c>
      <c r="H75" s="556">
        <f t="shared" si="39"/>
        <v>4.0535058197007014E-2</v>
      </c>
      <c r="L75" s="558">
        <f>Drivers!C126</f>
        <v>6.0782011162370551E-2</v>
      </c>
      <c r="M75" s="558">
        <f>Drivers!D126</f>
        <v>4.1976927013277793E-2</v>
      </c>
      <c r="N75" s="556">
        <f>M75</f>
        <v>4.1976927013277793E-2</v>
      </c>
      <c r="O75" s="556">
        <f>N75</f>
        <v>4.1976927013277793E-2</v>
      </c>
      <c r="P75" s="556">
        <f>O75</f>
        <v>4.1976927013277793E-2</v>
      </c>
      <c r="Q75" s="560">
        <f>P75</f>
        <v>4.1976927013277793E-2</v>
      </c>
    </row>
    <row r="76" spans="1:19">
      <c r="B76" s="408" t="s">
        <v>628</v>
      </c>
      <c r="C76" s="556">
        <f t="shared" ref="C76:H76" si="40">C47/C29</f>
        <v>7.2786472009242723E-2</v>
      </c>
      <c r="D76" s="556">
        <f t="shared" si="40"/>
        <v>7.5040952845332465E-2</v>
      </c>
      <c r="E76" s="556">
        <f t="shared" si="40"/>
        <v>4.8288871551834561E-2</v>
      </c>
      <c r="F76" s="556">
        <f t="shared" si="40"/>
        <v>4.764245004172029E-2</v>
      </c>
      <c r="G76" s="556">
        <f t="shared" si="40"/>
        <v>3.8862176880485634E-2</v>
      </c>
      <c r="H76" s="556">
        <f t="shared" si="40"/>
        <v>4.3743464621819446E-2</v>
      </c>
      <c r="L76" s="556">
        <f t="shared" ref="L76:Q76" ca="1" si="41">L47/L29</f>
        <v>-2.0172823816556468E-2</v>
      </c>
      <c r="M76" s="556">
        <f t="shared" ca="1" si="41"/>
        <v>-2.1974330637696552E-2</v>
      </c>
      <c r="N76" s="556">
        <f t="shared" ca="1" si="41"/>
        <v>-2.3641526627164639E-2</v>
      </c>
      <c r="O76" s="556">
        <f t="shared" ca="1" si="41"/>
        <v>-2.3276867661688013E-2</v>
      </c>
      <c r="P76" s="556">
        <f t="shared" ca="1" si="41"/>
        <v>-2.3338281804377053E-2</v>
      </c>
      <c r="Q76" s="560">
        <f t="shared" ca="1" si="41"/>
        <v>-2.3742090265069959E-2</v>
      </c>
    </row>
    <row r="77" spans="1:19">
      <c r="B77" s="555" t="s">
        <v>629</v>
      </c>
      <c r="C77" s="562">
        <f t="shared" ref="C77:H77" si="42">C50/C29</f>
        <v>6.6688496635919359E-2</v>
      </c>
      <c r="D77" s="562">
        <f t="shared" si="42"/>
        <v>7.1173031935001393E-2</v>
      </c>
      <c r="E77" s="562">
        <f t="shared" si="42"/>
        <v>5.9680868819307786E-2</v>
      </c>
      <c r="F77" s="562">
        <f t="shared" si="42"/>
        <v>6.8456632111895233E-2</v>
      </c>
      <c r="G77" s="562">
        <f t="shared" si="42"/>
        <v>7.3065837329290742E-2</v>
      </c>
      <c r="H77" s="562">
        <f t="shared" si="42"/>
        <v>6.5096652172174002E-2</v>
      </c>
      <c r="I77" s="330"/>
      <c r="J77" s="330"/>
      <c r="K77" s="330"/>
      <c r="L77" s="562">
        <f t="shared" ref="L77:Q77" si="43">L50/L29</f>
        <v>6.5096652172174002E-2</v>
      </c>
      <c r="M77" s="562">
        <f t="shared" si="43"/>
        <v>6.5096652172174002E-2</v>
      </c>
      <c r="N77" s="562">
        <f t="shared" si="43"/>
        <v>6.5096652172174016E-2</v>
      </c>
      <c r="O77" s="562">
        <f t="shared" si="43"/>
        <v>6.5096652172174002E-2</v>
      </c>
      <c r="P77" s="562">
        <f t="shared" si="43"/>
        <v>6.5096652172174002E-2</v>
      </c>
      <c r="Q77" s="563">
        <f t="shared" si="43"/>
        <v>6.5096652172174002E-2</v>
      </c>
    </row>
    <row r="79" spans="1:19">
      <c r="A79" s="341" t="s">
        <v>25</v>
      </c>
      <c r="B79" s="377" t="s">
        <v>411</v>
      </c>
      <c r="C79" s="383" t="s">
        <v>408</v>
      </c>
      <c r="D79" s="383"/>
      <c r="E79" s="383"/>
      <c r="F79" s="383"/>
      <c r="G79" s="383"/>
      <c r="H79" s="383"/>
      <c r="I79" s="383"/>
      <c r="J79" s="380"/>
      <c r="K79" s="564" t="s">
        <v>166</v>
      </c>
      <c r="L79" s="383"/>
      <c r="M79" s="383"/>
      <c r="N79" s="383"/>
      <c r="O79" s="383"/>
      <c r="P79" s="383"/>
      <c r="Q79" s="383"/>
    </row>
    <row r="80" spans="1:19">
      <c r="B80" s="378" t="str">
        <f t="shared" ref="B80:H81" si="44">B15</f>
        <v xml:space="preserve">Fiscal year  </v>
      </c>
      <c r="C80" s="379">
        <f t="shared" si="44"/>
        <v>2019</v>
      </c>
      <c r="D80" s="379">
        <f t="shared" si="44"/>
        <v>2020</v>
      </c>
      <c r="E80" s="379">
        <f t="shared" si="44"/>
        <v>2021</v>
      </c>
      <c r="F80" s="379">
        <f t="shared" si="44"/>
        <v>2022</v>
      </c>
      <c r="G80" s="379">
        <f t="shared" si="44"/>
        <v>2023</v>
      </c>
      <c r="H80" s="379">
        <f t="shared" si="44"/>
        <v>2024</v>
      </c>
      <c r="I80" s="380"/>
      <c r="J80" s="380"/>
      <c r="K80" s="380">
        <f>K20</f>
        <v>0</v>
      </c>
      <c r="L80" s="380">
        <f t="shared" ref="L80:Q81" si="45">L15</f>
        <v>2025</v>
      </c>
      <c r="M80" s="380">
        <f t="shared" si="45"/>
        <v>2026</v>
      </c>
      <c r="N80" s="380">
        <f t="shared" si="45"/>
        <v>2027</v>
      </c>
      <c r="O80" s="380">
        <f t="shared" si="45"/>
        <v>2028</v>
      </c>
      <c r="P80" s="380">
        <f t="shared" si="45"/>
        <v>2029</v>
      </c>
      <c r="Q80" s="380">
        <f t="shared" si="45"/>
        <v>2030</v>
      </c>
    </row>
    <row r="81" spans="2:19">
      <c r="B81" s="378" t="str">
        <f t="shared" si="44"/>
        <v>Fiscal year end date</v>
      </c>
      <c r="C81" s="381">
        <f t="shared" si="44"/>
        <v>43830</v>
      </c>
      <c r="D81" s="381">
        <f t="shared" si="44"/>
        <v>44196</v>
      </c>
      <c r="E81" s="381">
        <f t="shared" si="44"/>
        <v>44561</v>
      </c>
      <c r="F81" s="381">
        <f t="shared" si="44"/>
        <v>44926</v>
      </c>
      <c r="G81" s="381">
        <f t="shared" si="44"/>
        <v>45291</v>
      </c>
      <c r="H81" s="381">
        <f t="shared" si="44"/>
        <v>45657</v>
      </c>
      <c r="I81" s="381"/>
      <c r="J81" s="381"/>
      <c r="K81" s="381">
        <f>K21</f>
        <v>0</v>
      </c>
      <c r="L81" s="381">
        <f t="shared" si="45"/>
        <v>46022</v>
      </c>
      <c r="M81" s="381">
        <f t="shared" si="45"/>
        <v>46387</v>
      </c>
      <c r="N81" s="381">
        <f t="shared" si="45"/>
        <v>46752</v>
      </c>
      <c r="O81" s="381">
        <f t="shared" si="45"/>
        <v>47118</v>
      </c>
      <c r="P81" s="381">
        <f t="shared" si="45"/>
        <v>47483</v>
      </c>
      <c r="Q81" s="381">
        <f t="shared" si="45"/>
        <v>47848</v>
      </c>
    </row>
    <row r="82" spans="2:19" ht="5.0999999999999996" customHeight="1"/>
    <row r="83" spans="2:19">
      <c r="B83" s="530" t="s">
        <v>444</v>
      </c>
    </row>
    <row r="84" spans="2:19">
      <c r="B84" s="8" t="s">
        <v>442</v>
      </c>
      <c r="C84" s="176">
        <f>'Historical Financials'!D42</f>
        <v>18498</v>
      </c>
      <c r="D84" s="176">
        <f>'Historical Financials'!E42</f>
        <v>26465</v>
      </c>
      <c r="E84" s="176">
        <f>'Historical Financials'!F42</f>
        <v>20945</v>
      </c>
      <c r="F84" s="176">
        <f>'Historical Financials'!G42</f>
        <v>21879</v>
      </c>
      <c r="G84" s="176">
        <f>'Historical Financials'!H42</f>
        <v>24048</v>
      </c>
      <c r="H84" s="176">
        <f>'Historical Financials'!I42</f>
        <v>23466</v>
      </c>
      <c r="L84" s="569">
        <f t="shared" ref="L84:Q84" si="46">L146</f>
        <v>148921.46698274431</v>
      </c>
      <c r="M84" s="569">
        <f t="shared" si="46"/>
        <v>163041.48098793431</v>
      </c>
      <c r="N84" s="569">
        <f t="shared" si="46"/>
        <v>199440.21692059995</v>
      </c>
      <c r="O84" s="569">
        <f t="shared" si="46"/>
        <v>225306.11197672909</v>
      </c>
      <c r="P84" s="569">
        <f t="shared" si="46"/>
        <v>247270.58007869573</v>
      </c>
      <c r="Q84" s="569">
        <f t="shared" si="46"/>
        <v>266767.00415652449</v>
      </c>
      <c r="S84" s="8" t="s">
        <v>135</v>
      </c>
    </row>
    <row r="85" spans="2:19">
      <c r="B85" s="8" t="s">
        <v>568</v>
      </c>
      <c r="C85" s="176">
        <f>'Historical Financials'!D43</f>
        <v>101177</v>
      </c>
      <c r="D85" s="176">
        <f>'Historical Financials'!E43</f>
        <v>110229</v>
      </c>
      <c r="E85" s="176">
        <f>'Historical Financials'!F43</f>
        <v>118704</v>
      </c>
      <c r="F85" s="176">
        <f>'Historical Financials'!G43</f>
        <v>91883</v>
      </c>
      <c r="G85" s="176">
        <f>'Historical Financials'!H43</f>
        <v>86868</v>
      </c>
      <c r="H85" s="176">
        <f>'Historical Financials'!I43</f>
        <v>72191</v>
      </c>
      <c r="L85" s="11">
        <f>H85</f>
        <v>72191</v>
      </c>
      <c r="M85" s="11">
        <f>L85</f>
        <v>72191</v>
      </c>
      <c r="N85" s="11">
        <f>M85</f>
        <v>72191</v>
      </c>
      <c r="O85" s="11">
        <f>N85</f>
        <v>72191</v>
      </c>
      <c r="P85" s="11">
        <f>O85</f>
        <v>72191</v>
      </c>
      <c r="Q85" s="11">
        <f>P85</f>
        <v>72191</v>
      </c>
    </row>
    <row r="86" spans="2:19">
      <c r="B86" s="8" t="s">
        <v>443</v>
      </c>
      <c r="C86" s="176">
        <f>'Historical Financials'!D44</f>
        <v>25326</v>
      </c>
      <c r="D86" s="176">
        <f>'Historical Financials'!E44</f>
        <v>30930</v>
      </c>
      <c r="E86" s="176">
        <f>'Historical Financials'!F44</f>
        <v>39304</v>
      </c>
      <c r="F86" s="176">
        <f>'Historical Financials'!G44</f>
        <v>40258</v>
      </c>
      <c r="G86" s="176">
        <f>'Historical Financials'!H44</f>
        <v>47964</v>
      </c>
      <c r="H86" s="176">
        <f>'Historical Financials'!I44</f>
        <v>52340</v>
      </c>
      <c r="L86" s="567">
        <f>(H86*L56)+H86</f>
        <v>59466.91566386426</v>
      </c>
      <c r="M86" s="567">
        <f>(L86*M56)+L86</f>
        <v>67392.641163608423</v>
      </c>
      <c r="N86" s="567">
        <f>(M86*N56)+M86</f>
        <v>75607.338231770351</v>
      </c>
      <c r="O86" s="567">
        <f>(N86*O56)+N86</f>
        <v>81595.076147943066</v>
      </c>
      <c r="P86" s="567">
        <f>(O86*P56)+O86</f>
        <v>88096.712154727211</v>
      </c>
      <c r="Q86" s="567">
        <f>(P86*Q56)+P86</f>
        <v>95119.251385054595</v>
      </c>
      <c r="S86" s="8" t="s">
        <v>635</v>
      </c>
    </row>
    <row r="87" spans="2:19">
      <c r="B87" s="8" t="s">
        <v>474</v>
      </c>
      <c r="C87" s="176">
        <f>'Historical Financials'!D45</f>
        <v>7577</v>
      </c>
      <c r="D87" s="176">
        <f>'Historical Financials'!E45</f>
        <v>6672</v>
      </c>
      <c r="E87" s="176">
        <f>'Historical Financials'!F45</f>
        <v>9190</v>
      </c>
      <c r="F87" s="176">
        <f>'Historical Financials'!G45</f>
        <v>10775</v>
      </c>
      <c r="G87" s="176">
        <f>'Historical Financials'!H45</f>
        <v>12650</v>
      </c>
      <c r="H87" s="176">
        <f>'Historical Financials'!I45</f>
        <v>15714</v>
      </c>
      <c r="L87" s="567">
        <f>(H87*L56)+H87</f>
        <v>17853.708688230094</v>
      </c>
      <c r="M87" s="567">
        <f>(L87*M56)+L87</f>
        <v>20233.243470480378</v>
      </c>
      <c r="N87" s="567">
        <f>(M87*N56)+M87</f>
        <v>22699.535975812752</v>
      </c>
      <c r="O87" s="567">
        <f>(N87*O56)+N87</f>
        <v>24497.230160274696</v>
      </c>
      <c r="P87" s="567">
        <f>(O87*P56)+O87</f>
        <v>26449.211593415814</v>
      </c>
      <c r="Q87" s="567">
        <f>(P87*Q56)+P87</f>
        <v>28557.583421183572</v>
      </c>
      <c r="S87" s="8" t="s">
        <v>635</v>
      </c>
    </row>
    <row r="88" spans="2:19">
      <c r="B88" s="123" t="s">
        <v>29</v>
      </c>
      <c r="C88" s="182">
        <f t="shared" ref="C88:H88" si="47">SUM(C84:C87)</f>
        <v>152578</v>
      </c>
      <c r="D88" s="182">
        <f t="shared" si="47"/>
        <v>174296</v>
      </c>
      <c r="E88" s="182">
        <f t="shared" si="47"/>
        <v>188143</v>
      </c>
      <c r="F88" s="182">
        <f t="shared" si="47"/>
        <v>164795</v>
      </c>
      <c r="G88" s="182">
        <f t="shared" si="47"/>
        <v>171530</v>
      </c>
      <c r="H88" s="182">
        <f t="shared" si="47"/>
        <v>163711</v>
      </c>
      <c r="L88" s="182">
        <f t="shared" ref="L88:Q88" si="48">SUM(L84:L87)</f>
        <v>298433.09133483865</v>
      </c>
      <c r="M88" s="182">
        <f t="shared" si="48"/>
        <v>322858.36562202312</v>
      </c>
      <c r="N88" s="182">
        <f t="shared" si="48"/>
        <v>369938.091128183</v>
      </c>
      <c r="O88" s="182">
        <f t="shared" si="48"/>
        <v>403589.41828494688</v>
      </c>
      <c r="P88" s="182">
        <f t="shared" si="48"/>
        <v>434007.50382683874</v>
      </c>
      <c r="Q88" s="182">
        <f t="shared" si="48"/>
        <v>462634.83896276267</v>
      </c>
    </row>
    <row r="89" spans="2:19">
      <c r="B89" s="38"/>
    </row>
    <row r="90" spans="2:19">
      <c r="B90" s="530" t="s">
        <v>445</v>
      </c>
    </row>
    <row r="91" spans="2:19">
      <c r="B91" s="8" t="s">
        <v>480</v>
      </c>
      <c r="C91" s="176">
        <f>'Historical Financials'!D49</f>
        <v>13078</v>
      </c>
      <c r="D91" s="176">
        <f>'Historical Financials'!E49</f>
        <v>20703</v>
      </c>
      <c r="E91" s="176">
        <f>'Historical Financials'!F49</f>
        <v>29549</v>
      </c>
      <c r="F91" s="176">
        <f>'Historical Financials'!G49</f>
        <v>30492</v>
      </c>
      <c r="G91" s="176">
        <f>'Historical Financials'!H49</f>
        <v>31008</v>
      </c>
      <c r="H91" s="176">
        <f>'Historical Financials'!I49</f>
        <v>37982</v>
      </c>
      <c r="L91" s="11">
        <f>H91</f>
        <v>37982</v>
      </c>
      <c r="M91" s="11">
        <f>L91</f>
        <v>37982</v>
      </c>
      <c r="N91" s="11">
        <f t="shared" ref="N91:Q95" si="49">M91</f>
        <v>37982</v>
      </c>
      <c r="O91" s="11">
        <f t="shared" si="49"/>
        <v>37982</v>
      </c>
      <c r="P91" s="11">
        <f t="shared" si="49"/>
        <v>37982</v>
      </c>
      <c r="Q91" s="11">
        <f t="shared" si="49"/>
        <v>37982</v>
      </c>
      <c r="S91" s="8" t="s">
        <v>642</v>
      </c>
    </row>
    <row r="92" spans="2:19">
      <c r="B92" s="8" t="s">
        <v>479</v>
      </c>
      <c r="C92" s="176">
        <f>'Historical Financials'!D50</f>
        <v>721</v>
      </c>
      <c r="D92" s="176">
        <f>'Historical Financials'!E50</f>
        <v>1084</v>
      </c>
      <c r="E92" s="176">
        <f>'Historical Financials'!F50</f>
        <v>1284</v>
      </c>
      <c r="F92" s="176">
        <f>'Historical Financials'!G50</f>
        <v>5261</v>
      </c>
      <c r="G92" s="176">
        <f>'Historical Financials'!H50</f>
        <v>12169</v>
      </c>
      <c r="H92" s="176">
        <f>'Historical Financials'!I50</f>
        <v>17180</v>
      </c>
      <c r="L92" s="11">
        <f>H92</f>
        <v>17180</v>
      </c>
      <c r="M92" s="11">
        <f>L92</f>
        <v>17180</v>
      </c>
      <c r="N92" s="11">
        <f t="shared" si="49"/>
        <v>17180</v>
      </c>
      <c r="O92" s="11">
        <f t="shared" si="49"/>
        <v>17180</v>
      </c>
      <c r="P92" s="11">
        <f t="shared" si="49"/>
        <v>17180</v>
      </c>
      <c r="Q92" s="11">
        <f t="shared" si="49"/>
        <v>17180</v>
      </c>
      <c r="S92" s="8" t="s">
        <v>642</v>
      </c>
    </row>
    <row r="93" spans="2:19">
      <c r="B93" s="8" t="s">
        <v>478</v>
      </c>
      <c r="C93" s="176">
        <f>'Historical Financials'!D51</f>
        <v>73646</v>
      </c>
      <c r="D93" s="176">
        <f>'Historical Financials'!E51</f>
        <v>84749</v>
      </c>
      <c r="E93" s="176">
        <f>'Historical Financials'!F51</f>
        <v>97599</v>
      </c>
      <c r="F93" s="176">
        <f>'Historical Financials'!G51</f>
        <v>112668</v>
      </c>
      <c r="G93" s="176">
        <f>'Historical Financials'!H51</f>
        <v>134345</v>
      </c>
      <c r="H93" s="176">
        <f>'Historical Financials'!I51</f>
        <v>171036</v>
      </c>
      <c r="L93" s="568"/>
      <c r="M93" s="568"/>
      <c r="N93" s="568"/>
      <c r="O93" s="568"/>
      <c r="P93" s="568"/>
      <c r="Q93" s="568"/>
      <c r="S93" s="8" t="s">
        <v>139</v>
      </c>
    </row>
    <row r="94" spans="2:19">
      <c r="B94" s="8" t="s">
        <v>477</v>
      </c>
      <c r="C94" s="176">
        <f>'Historical Financials'!D52</f>
        <v>10941</v>
      </c>
      <c r="D94" s="176">
        <f>'Historical Financials'!E52</f>
        <v>12211</v>
      </c>
      <c r="E94" s="176">
        <f>'Historical Financials'!F52</f>
        <v>12959</v>
      </c>
      <c r="F94" s="176">
        <f>'Historical Financials'!G52</f>
        <v>14381</v>
      </c>
      <c r="G94" s="176">
        <f>'Historical Financials'!H52</f>
        <v>14091</v>
      </c>
      <c r="H94" s="176">
        <f>'Historical Financials'!I52</f>
        <v>13588</v>
      </c>
      <c r="L94" s="11">
        <f>H94</f>
        <v>13588</v>
      </c>
      <c r="M94" s="11">
        <f>L94</f>
        <v>13588</v>
      </c>
      <c r="N94" s="11">
        <f t="shared" si="49"/>
        <v>13588</v>
      </c>
      <c r="O94" s="11">
        <f t="shared" si="49"/>
        <v>13588</v>
      </c>
      <c r="P94" s="11">
        <f t="shared" si="49"/>
        <v>13588</v>
      </c>
      <c r="Q94" s="11">
        <f t="shared" si="49"/>
        <v>13588</v>
      </c>
      <c r="S94" s="8" t="s">
        <v>634</v>
      </c>
    </row>
    <row r="95" spans="2:19">
      <c r="B95" s="8" t="s">
        <v>475</v>
      </c>
      <c r="C95" s="176">
        <f>'Historical Financials'!D53</f>
        <v>20624</v>
      </c>
      <c r="D95" s="176">
        <f>'Historical Financials'!E53</f>
        <v>21175</v>
      </c>
      <c r="E95" s="176">
        <f>'Historical Financials'!F53</f>
        <v>22956</v>
      </c>
      <c r="F95" s="176">
        <f>'Historical Financials'!G53</f>
        <v>28960</v>
      </c>
      <c r="G95" s="176">
        <f>'Historical Financials'!H53</f>
        <v>29198</v>
      </c>
      <c r="H95" s="176">
        <f>'Historical Financials'!I53</f>
        <v>31885</v>
      </c>
      <c r="L95" s="11">
        <f>H95</f>
        <v>31885</v>
      </c>
      <c r="M95" s="11">
        <f>L95</f>
        <v>31885</v>
      </c>
      <c r="N95" s="11">
        <f t="shared" si="49"/>
        <v>31885</v>
      </c>
      <c r="O95" s="11">
        <f t="shared" si="49"/>
        <v>31885</v>
      </c>
      <c r="P95" s="11">
        <f t="shared" si="49"/>
        <v>31885</v>
      </c>
      <c r="Q95" s="11">
        <f t="shared" si="49"/>
        <v>31885</v>
      </c>
      <c r="S95" s="8" t="s">
        <v>634</v>
      </c>
    </row>
    <row r="96" spans="2:19">
      <c r="B96" s="8" t="s">
        <v>476</v>
      </c>
      <c r="C96" s="176">
        <f>'Historical Financials'!D54</f>
        <v>4321</v>
      </c>
      <c r="D96" s="176">
        <f>'Historical Financials'!E54</f>
        <v>5398</v>
      </c>
      <c r="E96" s="176">
        <f>'Historical Financials'!F54</f>
        <v>6778</v>
      </c>
      <c r="F96" s="176">
        <f>'Historical Financials'!G54</f>
        <v>8707</v>
      </c>
      <c r="G96" s="176">
        <f>'Historical Financials'!H54</f>
        <v>10051</v>
      </c>
      <c r="H96" s="176">
        <f>'Historical Financials'!I54</f>
        <v>14874</v>
      </c>
      <c r="L96" s="567">
        <f>(H96*L56)+H96</f>
        <v>16899.329453273156</v>
      </c>
      <c r="M96" s="567">
        <f>(L96*M56)+L96</f>
        <v>19151.664972631101</v>
      </c>
      <c r="N96" s="567">
        <f>(M96*N56)+M96</f>
        <v>21486.120536097675</v>
      </c>
      <c r="O96" s="567">
        <f>(N96*O56)+N96</f>
        <v>23187.718047850696</v>
      </c>
      <c r="P96" s="567">
        <f>(O96*P56)+O96</f>
        <v>25035.35530358068</v>
      </c>
      <c r="Q96" s="567">
        <f>(P96*Q56)+P96</f>
        <v>27031.023024480364</v>
      </c>
      <c r="S96" s="8" t="s">
        <v>635</v>
      </c>
    </row>
    <row r="97" spans="2:19">
      <c r="B97" s="123" t="s">
        <v>30</v>
      </c>
      <c r="C97" s="182">
        <f t="shared" ref="C97:H97" si="50">SUM(C88+SUM(C91:C96))</f>
        <v>275909</v>
      </c>
      <c r="D97" s="182">
        <f t="shared" si="50"/>
        <v>319616</v>
      </c>
      <c r="E97" s="182">
        <f t="shared" si="50"/>
        <v>359268</v>
      </c>
      <c r="F97" s="182">
        <f t="shared" si="50"/>
        <v>365264</v>
      </c>
      <c r="G97" s="182">
        <f t="shared" si="50"/>
        <v>402392</v>
      </c>
      <c r="H97" s="182">
        <f t="shared" si="50"/>
        <v>450256</v>
      </c>
      <c r="L97" s="182">
        <f t="shared" ref="L97:Q97" si="51">SUM(L88+SUM(L91:L96))</f>
        <v>415967.42078811181</v>
      </c>
      <c r="M97" s="182">
        <f t="shared" si="51"/>
        <v>442645.03059465421</v>
      </c>
      <c r="N97" s="182">
        <f t="shared" si="51"/>
        <v>492059.21166428068</v>
      </c>
      <c r="O97" s="182">
        <f t="shared" si="51"/>
        <v>527412.13633279759</v>
      </c>
      <c r="P97" s="182">
        <f t="shared" si="51"/>
        <v>559677.85913041944</v>
      </c>
      <c r="Q97" s="182">
        <f t="shared" si="51"/>
        <v>590300.86198724306</v>
      </c>
    </row>
    <row r="98" spans="2:19">
      <c r="B98" s="38"/>
    </row>
    <row r="99" spans="2:19">
      <c r="B99" s="530" t="s">
        <v>70</v>
      </c>
    </row>
    <row r="100" spans="2:19">
      <c r="B100" s="8" t="s">
        <v>68</v>
      </c>
      <c r="C100" s="176">
        <f>'Historical Financials'!D58</f>
        <v>5561</v>
      </c>
      <c r="D100" s="176">
        <f>'Historical Financials'!E58</f>
        <v>5589</v>
      </c>
      <c r="E100" s="176">
        <f>'Historical Financials'!F58</f>
        <v>6037</v>
      </c>
      <c r="F100" s="176">
        <f>'Historical Financials'!G58</f>
        <v>5128</v>
      </c>
      <c r="G100" s="176">
        <f>'Historical Financials'!H58</f>
        <v>7493</v>
      </c>
      <c r="H100" s="176">
        <f>'Historical Financials'!I58</f>
        <v>7987</v>
      </c>
      <c r="L100" s="567">
        <f>H100*L31/H31</f>
        <v>7206.2814477631682</v>
      </c>
      <c r="M100" s="567">
        <f>L100*M31/L31</f>
        <v>8166.7316071713258</v>
      </c>
      <c r="N100" s="567">
        <f>M100*N31/M31</f>
        <v>8780.696276546194</v>
      </c>
      <c r="O100" s="567">
        <f>N100*O31/N31</f>
        <v>9476.0852328972524</v>
      </c>
      <c r="P100" s="567">
        <f>O100*P31/O31</f>
        <v>10231.156002631602</v>
      </c>
      <c r="Q100" s="567">
        <f>P100*Q31/P31</f>
        <v>11046.722130387763</v>
      </c>
      <c r="S100" s="8" t="s">
        <v>137</v>
      </c>
    </row>
    <row r="101" spans="2:19">
      <c r="B101" s="8" t="s">
        <v>527</v>
      </c>
      <c r="C101" s="176">
        <f>'Historical Financials'!D59</f>
        <v>8495</v>
      </c>
      <c r="D101" s="176">
        <f>'Historical Financials'!E59</f>
        <v>11086</v>
      </c>
      <c r="E101" s="176">
        <f>'Historical Financials'!F59</f>
        <v>13889</v>
      </c>
      <c r="F101" s="176">
        <f>'Historical Financials'!G59</f>
        <v>14028</v>
      </c>
      <c r="G101" s="176">
        <f>'Historical Financials'!H59</f>
        <v>15140</v>
      </c>
      <c r="H101" s="176">
        <f>'Historical Financials'!I59</f>
        <v>15069</v>
      </c>
      <c r="L101" s="11">
        <f>H101</f>
        <v>15069</v>
      </c>
      <c r="M101" s="11">
        <f>L101</f>
        <v>15069</v>
      </c>
      <c r="N101" s="11">
        <f t="shared" ref="N101:Q102" si="52">M101</f>
        <v>15069</v>
      </c>
      <c r="O101" s="11">
        <f t="shared" si="52"/>
        <v>15069</v>
      </c>
      <c r="P101" s="11">
        <f t="shared" si="52"/>
        <v>15069</v>
      </c>
      <c r="Q101" s="11">
        <f t="shared" si="52"/>
        <v>15069</v>
      </c>
      <c r="S101" s="8" t="s">
        <v>642</v>
      </c>
    </row>
    <row r="102" spans="2:19">
      <c r="B102" s="8" t="s">
        <v>446</v>
      </c>
      <c r="C102" s="176">
        <f>'Historical Financials'!D60</f>
        <v>23341</v>
      </c>
      <c r="D102" s="176">
        <f>'Historical Financials'!E60</f>
        <v>30116</v>
      </c>
      <c r="E102" s="176">
        <f>'Historical Financials'!F60</f>
        <v>32044</v>
      </c>
      <c r="F102" s="176">
        <f>'Historical Financials'!G60</f>
        <v>37866</v>
      </c>
      <c r="G102" s="176">
        <f>'Historical Financials'!H60</f>
        <v>46168</v>
      </c>
      <c r="H102" s="176">
        <f>'Historical Financials'!I60</f>
        <v>51228</v>
      </c>
      <c r="L102" s="11">
        <f>H102</f>
        <v>51228</v>
      </c>
      <c r="M102" s="11">
        <f>L102</f>
        <v>51228</v>
      </c>
      <c r="N102" s="11">
        <f t="shared" si="52"/>
        <v>51228</v>
      </c>
      <c r="O102" s="11">
        <f t="shared" si="52"/>
        <v>51228</v>
      </c>
      <c r="P102" s="11">
        <f t="shared" si="52"/>
        <v>51228</v>
      </c>
      <c r="Q102" s="11">
        <f t="shared" si="52"/>
        <v>51228</v>
      </c>
      <c r="S102" s="8" t="s">
        <v>642</v>
      </c>
    </row>
    <row r="103" spans="2:19">
      <c r="B103" s="8" t="s">
        <v>526</v>
      </c>
      <c r="C103" s="176">
        <f>'Historical Financials'!D61</f>
        <v>5916</v>
      </c>
      <c r="D103" s="176">
        <f>'Historical Financials'!E61</f>
        <v>7500</v>
      </c>
      <c r="E103" s="176">
        <f>'Historical Financials'!F61</f>
        <v>8996</v>
      </c>
      <c r="F103" s="176">
        <f>'Historical Financials'!G61</f>
        <v>8370</v>
      </c>
      <c r="G103" s="176">
        <f>'Historical Financials'!H61</f>
        <v>8876</v>
      </c>
      <c r="H103" s="176">
        <f>'Historical Financials'!I61</f>
        <v>9802</v>
      </c>
      <c r="L103" s="567">
        <f>(H103*L56)+H103</f>
        <v>11136.696739342711</v>
      </c>
      <c r="M103" s="567">
        <f>(L103*M56)+L103</f>
        <v>12620.99099514119</v>
      </c>
      <c r="N103" s="567">
        <f>(M103*N56)+M103</f>
        <v>14159.402547722833</v>
      </c>
      <c r="O103" s="567">
        <f>(N103*O56)+N103</f>
        <v>15280.759197595302</v>
      </c>
      <c r="P103" s="567">
        <f>(O103*P56)+O103</f>
        <v>16498.356372576163</v>
      </c>
      <c r="Q103" s="567">
        <f>(P103*Q56)+P103</f>
        <v>17813.505962481951</v>
      </c>
      <c r="S103" s="8" t="s">
        <v>642</v>
      </c>
    </row>
    <row r="104" spans="2:19">
      <c r="B104" s="8" t="s">
        <v>530</v>
      </c>
      <c r="C104" s="176">
        <f>'Historical Financials'!D62</f>
        <v>1908</v>
      </c>
      <c r="D104" s="176">
        <f>'Historical Financials'!E62</f>
        <v>2543</v>
      </c>
      <c r="E104" s="176">
        <f>'Historical Financials'!F62</f>
        <v>3288</v>
      </c>
      <c r="F104" s="176">
        <f>'Historical Financials'!G62</f>
        <v>3908</v>
      </c>
      <c r="G104" s="176">
        <f>'Historical Financials'!H62</f>
        <v>4137</v>
      </c>
      <c r="H104" s="176">
        <f>'Historical Financials'!I62</f>
        <v>5036</v>
      </c>
      <c r="L104" s="567">
        <f>(H104*L56)+H104</f>
        <v>5721.7307467180053</v>
      </c>
      <c r="M104" s="567">
        <f>(L104*M56)+L104</f>
        <v>6484.3206132963705</v>
      </c>
      <c r="N104" s="567">
        <f>(M104*N56)+M104</f>
        <v>7274.7144695299103</v>
      </c>
      <c r="O104" s="567">
        <f>(N104*O56)+N104</f>
        <v>7850.8369025800785</v>
      </c>
      <c r="P104" s="567">
        <f>(O104*P56)+O104</f>
        <v>8476.4050900115835</v>
      </c>
      <c r="Q104" s="567">
        <f>(P104*Q56)+P104</f>
        <v>9152.0930449968473</v>
      </c>
      <c r="S104" s="8" t="s">
        <v>635</v>
      </c>
    </row>
    <row r="105" spans="2:19">
      <c r="B105" s="123" t="s">
        <v>26</v>
      </c>
      <c r="C105" s="182">
        <f t="shared" ref="C105:H105" si="53">SUM(C100:C104)</f>
        <v>45221</v>
      </c>
      <c r="D105" s="182">
        <f t="shared" si="53"/>
        <v>56834</v>
      </c>
      <c r="E105" s="182">
        <f t="shared" si="53"/>
        <v>64254</v>
      </c>
      <c r="F105" s="182">
        <f t="shared" si="53"/>
        <v>69300</v>
      </c>
      <c r="G105" s="182">
        <f t="shared" si="53"/>
        <v>81814</v>
      </c>
      <c r="H105" s="182">
        <f t="shared" si="53"/>
        <v>89122</v>
      </c>
      <c r="L105" s="182">
        <f t="shared" ref="L105:Q105" si="54">SUM(L100:L104)</f>
        <v>90361.708933823887</v>
      </c>
      <c r="M105" s="182">
        <f t="shared" si="54"/>
        <v>93569.043215608879</v>
      </c>
      <c r="N105" s="182">
        <f t="shared" si="54"/>
        <v>96511.813293798928</v>
      </c>
      <c r="O105" s="182">
        <f t="shared" si="54"/>
        <v>98904.681333072629</v>
      </c>
      <c r="P105" s="182">
        <f t="shared" si="54"/>
        <v>101502.91746521935</v>
      </c>
      <c r="Q105" s="182">
        <f t="shared" si="54"/>
        <v>104309.32113786656</v>
      </c>
    </row>
    <row r="106" spans="2:19">
      <c r="B106" s="38"/>
    </row>
    <row r="107" spans="2:19">
      <c r="B107" s="530" t="s">
        <v>447</v>
      </c>
    </row>
    <row r="108" spans="2:19">
      <c r="B108" s="8" t="s">
        <v>528</v>
      </c>
      <c r="C108" s="176">
        <f>'Historical Financials'!D66</f>
        <v>4554</v>
      </c>
      <c r="D108" s="176">
        <f>'Historical Financials'!E66</f>
        <v>13932</v>
      </c>
      <c r="E108" s="176">
        <f>'Historical Financials'!F66</f>
        <v>14817</v>
      </c>
      <c r="F108" s="176">
        <f>'Historical Financials'!G66</f>
        <v>14701</v>
      </c>
      <c r="G108" s="176">
        <f>'Historical Financials'!H66</f>
        <v>11870</v>
      </c>
      <c r="H108" s="176">
        <f>'Historical Financials'!I66</f>
        <v>10883</v>
      </c>
      <c r="L108" s="11">
        <f>H108</f>
        <v>10883</v>
      </c>
      <c r="M108" s="11">
        <f>L108</f>
        <v>10883</v>
      </c>
      <c r="N108" s="11">
        <f t="shared" ref="N108:Q111" si="55">M108</f>
        <v>10883</v>
      </c>
      <c r="O108" s="11">
        <f t="shared" si="55"/>
        <v>10883</v>
      </c>
      <c r="P108" s="11">
        <f t="shared" si="55"/>
        <v>10883</v>
      </c>
      <c r="Q108" s="11">
        <f t="shared" si="55"/>
        <v>10883</v>
      </c>
      <c r="S108" s="8" t="s">
        <v>642</v>
      </c>
    </row>
    <row r="109" spans="2:19">
      <c r="B109" s="8" t="s">
        <v>143</v>
      </c>
      <c r="C109" s="568"/>
      <c r="D109" s="568"/>
      <c r="E109" s="568"/>
      <c r="F109" s="568"/>
      <c r="G109" s="568"/>
      <c r="H109" s="568"/>
      <c r="L109" s="568"/>
      <c r="M109" s="568"/>
      <c r="N109" s="568"/>
      <c r="O109" s="568"/>
      <c r="P109" s="568"/>
      <c r="Q109" s="568"/>
      <c r="S109" s="8" t="s">
        <v>144</v>
      </c>
    </row>
    <row r="110" spans="2:19">
      <c r="B110" s="8" t="s">
        <v>483</v>
      </c>
      <c r="C110" s="176">
        <f>'Historical Financials'!D67</f>
        <v>11586</v>
      </c>
      <c r="D110" s="176">
        <f>'Historical Financials'!E67</f>
        <v>12410</v>
      </c>
      <c r="E110" s="176">
        <f>'Historical Financials'!F67</f>
        <v>14433</v>
      </c>
      <c r="F110" s="176">
        <f>'Historical Financials'!G67</f>
        <v>9772</v>
      </c>
      <c r="G110" s="176">
        <f>'Historical Financials'!H67</f>
        <v>8474</v>
      </c>
      <c r="H110" s="176">
        <f>'Historical Financials'!I67</f>
        <v>8782</v>
      </c>
      <c r="L110" s="11">
        <f>H110</f>
        <v>8782</v>
      </c>
      <c r="M110" s="11">
        <f>L110</f>
        <v>8782</v>
      </c>
      <c r="N110" s="11">
        <f t="shared" si="55"/>
        <v>8782</v>
      </c>
      <c r="O110" s="11">
        <f t="shared" si="55"/>
        <v>8782</v>
      </c>
      <c r="P110" s="11">
        <f t="shared" si="55"/>
        <v>8782</v>
      </c>
      <c r="Q110" s="11">
        <f t="shared" si="55"/>
        <v>8782</v>
      </c>
      <c r="S110" s="8" t="s">
        <v>642</v>
      </c>
    </row>
    <row r="111" spans="2:19">
      <c r="B111" s="8" t="s">
        <v>569</v>
      </c>
      <c r="C111" s="176">
        <f>'Historical Financials'!D68</f>
        <v>10214</v>
      </c>
      <c r="D111" s="176">
        <f>'Historical Financials'!E68</f>
        <v>11146</v>
      </c>
      <c r="E111" s="176">
        <f>'Historical Financials'!F68</f>
        <v>11389</v>
      </c>
      <c r="F111" s="176">
        <f>'Historical Financials'!G68</f>
        <v>12501</v>
      </c>
      <c r="G111" s="176">
        <f>'Historical Financials'!H68</f>
        <v>12460</v>
      </c>
      <c r="H111" s="176">
        <f>'Historical Financials'!I68</f>
        <v>11691</v>
      </c>
      <c r="L111" s="11">
        <f>H111</f>
        <v>11691</v>
      </c>
      <c r="M111" s="11">
        <f>L111</f>
        <v>11691</v>
      </c>
      <c r="N111" s="11">
        <f t="shared" si="55"/>
        <v>11691</v>
      </c>
      <c r="O111" s="11">
        <f t="shared" si="55"/>
        <v>11691</v>
      </c>
      <c r="P111" s="11">
        <f t="shared" si="55"/>
        <v>11691</v>
      </c>
      <c r="Q111" s="11">
        <f t="shared" si="55"/>
        <v>11691</v>
      </c>
      <c r="S111" s="8" t="s">
        <v>642</v>
      </c>
    </row>
    <row r="112" spans="2:19">
      <c r="B112" s="8" t="s">
        <v>482</v>
      </c>
      <c r="C112" s="176">
        <f>'Historical Financials'!D69</f>
        <v>2892</v>
      </c>
      <c r="D112" s="176">
        <f>'Historical Financials'!E69</f>
        <v>2750</v>
      </c>
      <c r="E112" s="176">
        <f>'Historical Financials'!F69</f>
        <v>2740</v>
      </c>
      <c r="F112" s="176">
        <f>'Historical Financials'!G69</f>
        <v>2846</v>
      </c>
      <c r="G112" s="176">
        <f>'Historical Financials'!H69</f>
        <v>4395</v>
      </c>
      <c r="H112" s="176">
        <f>'Historical Financials'!I69</f>
        <v>4694</v>
      </c>
      <c r="L112" s="567">
        <f>(H112*L56)+H112</f>
        <v>5333.162058199825</v>
      </c>
      <c r="M112" s="567">
        <f>(L112*M56)+L112</f>
        <v>6043.9636534577367</v>
      </c>
      <c r="N112" s="567">
        <f>(M112*N56)+M112</f>
        <v>6780.6810405030574</v>
      </c>
      <c r="O112" s="567">
        <f>(N112*O56)+N112</f>
        <v>7317.6783996645927</v>
      </c>
      <c r="P112" s="567">
        <f>(O112*P56)+O112</f>
        <v>7900.7636005787081</v>
      </c>
      <c r="Q112" s="567">
        <f>(P112*Q56)+P112</f>
        <v>8530.5648834819694</v>
      </c>
      <c r="S112" s="8" t="s">
        <v>635</v>
      </c>
    </row>
    <row r="113" spans="1:19">
      <c r="B113" s="123" t="s">
        <v>24</v>
      </c>
      <c r="C113" s="182">
        <f t="shared" ref="C113:H113" si="56">SUM(C105+SUM(C108:C112))</f>
        <v>74467</v>
      </c>
      <c r="D113" s="182">
        <f t="shared" si="56"/>
        <v>97072</v>
      </c>
      <c r="E113" s="182">
        <f t="shared" si="56"/>
        <v>107633</v>
      </c>
      <c r="F113" s="182">
        <f t="shared" si="56"/>
        <v>109120</v>
      </c>
      <c r="G113" s="182">
        <f t="shared" si="56"/>
        <v>119013</v>
      </c>
      <c r="H113" s="182">
        <f t="shared" si="56"/>
        <v>125172</v>
      </c>
      <c r="L113" s="182">
        <f t="shared" ref="L113:Q113" si="57">SUM(L105+SUM(L108:L112))</f>
        <v>127050.87099202372</v>
      </c>
      <c r="M113" s="182">
        <f t="shared" si="57"/>
        <v>130969.00686906662</v>
      </c>
      <c r="N113" s="182">
        <f t="shared" si="57"/>
        <v>134648.49433430197</v>
      </c>
      <c r="O113" s="182">
        <f t="shared" si="57"/>
        <v>137578.35973273721</v>
      </c>
      <c r="P113" s="182">
        <f t="shared" si="57"/>
        <v>140759.68106579804</v>
      </c>
      <c r="Q113" s="182">
        <f t="shared" si="57"/>
        <v>144195.88602134853</v>
      </c>
    </row>
    <row r="114" spans="1:19">
      <c r="B114" s="38"/>
    </row>
    <row r="115" spans="1:19">
      <c r="B115" s="530" t="s">
        <v>632</v>
      </c>
    </row>
    <row r="116" spans="1:19">
      <c r="B116" s="8" t="s">
        <v>484</v>
      </c>
      <c r="C116" s="176">
        <f>'Historical Financials'!D72</f>
        <v>0</v>
      </c>
      <c r="D116" s="176">
        <f>'Historical Financials'!E72</f>
        <v>0</v>
      </c>
      <c r="E116" s="176">
        <f>'Historical Financials'!F72</f>
        <v>0</v>
      </c>
      <c r="F116" s="176">
        <f>'Historical Financials'!G72</f>
        <v>0</v>
      </c>
      <c r="G116" s="176">
        <f>'Historical Financials'!H72</f>
        <v>0</v>
      </c>
      <c r="H116" s="176">
        <f>'Historical Financials'!I72</f>
        <v>0</v>
      </c>
      <c r="L116" s="11">
        <f>H116</f>
        <v>0</v>
      </c>
      <c r="M116" s="11">
        <f>L116</f>
        <v>0</v>
      </c>
      <c r="N116" s="11">
        <f t="shared" ref="N116:Q118" si="58">M116</f>
        <v>0</v>
      </c>
      <c r="O116" s="11">
        <f t="shared" si="58"/>
        <v>0</v>
      </c>
      <c r="P116" s="11">
        <f t="shared" si="58"/>
        <v>0</v>
      </c>
      <c r="Q116" s="11">
        <f t="shared" si="58"/>
        <v>0</v>
      </c>
      <c r="S116" s="8" t="s">
        <v>642</v>
      </c>
    </row>
    <row r="117" spans="1:19">
      <c r="B117" s="8" t="s">
        <v>523</v>
      </c>
      <c r="C117" s="176">
        <f>'Historical Financials'!D73</f>
        <v>50552</v>
      </c>
      <c r="D117" s="176">
        <f>'Historical Financials'!E73</f>
        <v>58510</v>
      </c>
      <c r="E117" s="176">
        <f>'Historical Financials'!F73</f>
        <v>61774</v>
      </c>
      <c r="F117" s="176">
        <f>'Historical Financials'!G73</f>
        <v>68184</v>
      </c>
      <c r="G117" s="176">
        <f>'Historical Financials'!H73</f>
        <v>76534</v>
      </c>
      <c r="H117" s="176">
        <f>'Historical Financials'!I73</f>
        <v>84800</v>
      </c>
      <c r="L117" s="567">
        <f>(H117*L61)+H117</f>
        <v>99108.177868713392</v>
      </c>
      <c r="M117" s="567">
        <f>(L117*M61)+L117</f>
        <v>113587.59567357518</v>
      </c>
      <c r="N117" s="567">
        <f>(M117*N61)+M117</f>
        <v>126566.75562912298</v>
      </c>
      <c r="O117" s="567">
        <f>(N117*O61)+N117</f>
        <v>141028.98767676621</v>
      </c>
      <c r="P117" s="567">
        <f>(O117*P61)+O117</f>
        <v>157143.75600662848</v>
      </c>
      <c r="Q117" s="567">
        <f>(P117*Q61)+P117</f>
        <v>175099.88874392962</v>
      </c>
      <c r="S117" s="8" t="s">
        <v>148</v>
      </c>
    </row>
    <row r="118" spans="1:19">
      <c r="B118" s="8" t="s">
        <v>486</v>
      </c>
      <c r="C118" s="176">
        <f>'Historical Financials'!D74</f>
        <v>-1232</v>
      </c>
      <c r="D118" s="176">
        <f>'Historical Financials'!E74</f>
        <v>633</v>
      </c>
      <c r="E118" s="176">
        <f>'Historical Financials'!F74</f>
        <v>-1623</v>
      </c>
      <c r="F118" s="176">
        <f>'Historical Financials'!G74</f>
        <v>-7603</v>
      </c>
      <c r="G118" s="176">
        <f>'Historical Financials'!H74</f>
        <v>-4402</v>
      </c>
      <c r="H118" s="176">
        <f>'Historical Financials'!I74</f>
        <v>-4800</v>
      </c>
      <c r="L118" s="11">
        <f>H118</f>
        <v>-4800</v>
      </c>
      <c r="M118" s="11">
        <f>L118</f>
        <v>-4800</v>
      </c>
      <c r="N118" s="11">
        <f t="shared" si="58"/>
        <v>-4800</v>
      </c>
      <c r="O118" s="11">
        <f t="shared" si="58"/>
        <v>-4800</v>
      </c>
      <c r="P118" s="11">
        <f t="shared" si="58"/>
        <v>-4800</v>
      </c>
      <c r="Q118" s="11">
        <f t="shared" si="58"/>
        <v>-4800</v>
      </c>
      <c r="S118" s="8" t="s">
        <v>642</v>
      </c>
    </row>
    <row r="119" spans="1:19">
      <c r="B119" s="8" t="s">
        <v>485</v>
      </c>
      <c r="C119" s="176">
        <f>'Historical Financials'!D75</f>
        <v>152122</v>
      </c>
      <c r="D119" s="176">
        <f>'Historical Financials'!E75</f>
        <v>163401</v>
      </c>
      <c r="E119" s="176">
        <f>'Historical Financials'!F75</f>
        <v>191484</v>
      </c>
      <c r="F119" s="176">
        <f>'Historical Financials'!G75</f>
        <v>195563</v>
      </c>
      <c r="G119" s="176">
        <f>'Historical Financials'!H75</f>
        <v>211247</v>
      </c>
      <c r="H119" s="176">
        <f>'Historical Financials'!I75</f>
        <v>245084</v>
      </c>
      <c r="L119" s="532"/>
      <c r="M119" s="532"/>
      <c r="N119" s="532"/>
      <c r="O119" s="532"/>
      <c r="P119" s="532"/>
      <c r="Q119" s="532"/>
      <c r="S119" s="8" t="s">
        <v>150</v>
      </c>
    </row>
    <row r="120" spans="1:19">
      <c r="B120" s="123" t="s">
        <v>633</v>
      </c>
      <c r="C120" s="182">
        <f t="shared" ref="C120:H120" si="59">SUM(C116:C119)</f>
        <v>201442</v>
      </c>
      <c r="D120" s="182">
        <f t="shared" si="59"/>
        <v>222544</v>
      </c>
      <c r="E120" s="182">
        <f t="shared" si="59"/>
        <v>251635</v>
      </c>
      <c r="F120" s="182">
        <f t="shared" si="59"/>
        <v>256144</v>
      </c>
      <c r="G120" s="182">
        <f t="shared" si="59"/>
        <v>283379</v>
      </c>
      <c r="H120" s="182">
        <f t="shared" si="59"/>
        <v>325084</v>
      </c>
      <c r="L120" s="182">
        <f t="shared" ref="L120:Q120" si="60">SUM(L116:L119)</f>
        <v>94308.177868713392</v>
      </c>
      <c r="M120" s="182">
        <f t="shared" si="60"/>
        <v>108787.59567357518</v>
      </c>
      <c r="N120" s="182">
        <f t="shared" si="60"/>
        <v>121766.75562912298</v>
      </c>
      <c r="O120" s="182">
        <f t="shared" si="60"/>
        <v>136228.98767676621</v>
      </c>
      <c r="P120" s="182">
        <f t="shared" si="60"/>
        <v>152343.75600662848</v>
      </c>
      <c r="Q120" s="182">
        <f t="shared" si="60"/>
        <v>170299.88874392962</v>
      </c>
    </row>
    <row r="121" spans="1:19" ht="5.0999999999999996" customHeight="1">
      <c r="B121" s="38"/>
    </row>
    <row r="122" spans="1:19">
      <c r="B122" s="458" t="s">
        <v>153</v>
      </c>
      <c r="C122" s="457">
        <f t="shared" ref="C122:H122" si="61">+C120+C113-C97</f>
        <v>0</v>
      </c>
      <c r="D122" s="457">
        <f t="shared" si="61"/>
        <v>0</v>
      </c>
      <c r="E122" s="457">
        <f t="shared" si="61"/>
        <v>0</v>
      </c>
      <c r="F122" s="457">
        <f t="shared" si="61"/>
        <v>0</v>
      </c>
      <c r="G122" s="457">
        <f t="shared" si="61"/>
        <v>0</v>
      </c>
      <c r="H122" s="457">
        <f t="shared" si="61"/>
        <v>0</v>
      </c>
      <c r="L122" s="457">
        <f t="shared" ref="L122:Q122" si="62">+L120+L113-L97</f>
        <v>-194608.37192737468</v>
      </c>
      <c r="M122" s="457">
        <f t="shared" si="62"/>
        <v>-202888.4280520124</v>
      </c>
      <c r="N122" s="457">
        <f t="shared" si="62"/>
        <v>-235643.96170085573</v>
      </c>
      <c r="O122" s="457">
        <f t="shared" si="62"/>
        <v>-253604.78892329417</v>
      </c>
      <c r="P122" s="457">
        <f t="shared" si="62"/>
        <v>-266574.4220579929</v>
      </c>
      <c r="Q122" s="457">
        <f t="shared" si="62"/>
        <v>-275805.0872219649</v>
      </c>
    </row>
    <row r="123" spans="1:19">
      <c r="B123" s="38"/>
    </row>
    <row r="124" spans="1:19">
      <c r="A124" s="8" t="s">
        <v>25</v>
      </c>
      <c r="B124" s="390" t="s">
        <v>20</v>
      </c>
      <c r="C124" s="394"/>
      <c r="D124" s="394"/>
      <c r="E124" s="394"/>
      <c r="F124" s="394"/>
      <c r="G124" s="394"/>
      <c r="H124" s="394"/>
      <c r="I124" s="394"/>
      <c r="J124" s="394"/>
      <c r="K124" s="394"/>
      <c r="L124" s="391" t="s">
        <v>166</v>
      </c>
      <c r="M124" s="391"/>
      <c r="N124" s="391"/>
      <c r="O124" s="391"/>
      <c r="P124" s="391"/>
      <c r="Q124" s="391"/>
    </row>
    <row r="125" spans="1:19">
      <c r="B125" s="392" t="str">
        <f>B15</f>
        <v xml:space="preserve">Fiscal year  </v>
      </c>
      <c r="C125" s="394"/>
      <c r="D125" s="394"/>
      <c r="E125" s="394"/>
      <c r="F125" s="394"/>
      <c r="G125" s="394"/>
      <c r="H125" s="394"/>
      <c r="I125" s="394"/>
      <c r="J125" s="394"/>
      <c r="K125" s="394"/>
      <c r="L125" s="393">
        <f t="shared" ref="L125:Q126" si="63">L80</f>
        <v>2025</v>
      </c>
      <c r="M125" s="393">
        <f t="shared" si="63"/>
        <v>2026</v>
      </c>
      <c r="N125" s="393">
        <f t="shared" si="63"/>
        <v>2027</v>
      </c>
      <c r="O125" s="393">
        <f t="shared" si="63"/>
        <v>2028</v>
      </c>
      <c r="P125" s="393">
        <f t="shared" si="63"/>
        <v>2029</v>
      </c>
      <c r="Q125" s="393">
        <f t="shared" si="63"/>
        <v>2030</v>
      </c>
    </row>
    <row r="126" spans="1:19">
      <c r="B126" s="392" t="str">
        <f>B16</f>
        <v>Fiscal year end date</v>
      </c>
      <c r="C126" s="394"/>
      <c r="D126" s="394"/>
      <c r="E126" s="394"/>
      <c r="F126" s="394"/>
      <c r="G126" s="394"/>
      <c r="H126" s="394"/>
      <c r="I126" s="394"/>
      <c r="J126" s="394"/>
      <c r="K126" s="394"/>
      <c r="L126" s="394">
        <f t="shared" si="63"/>
        <v>46022</v>
      </c>
      <c r="M126" s="394">
        <f t="shared" si="63"/>
        <v>46387</v>
      </c>
      <c r="N126" s="394">
        <f t="shared" si="63"/>
        <v>46752</v>
      </c>
      <c r="O126" s="394">
        <f t="shared" si="63"/>
        <v>47118</v>
      </c>
      <c r="P126" s="394">
        <f t="shared" si="63"/>
        <v>47483</v>
      </c>
      <c r="Q126" s="394">
        <f t="shared" si="63"/>
        <v>47848</v>
      </c>
    </row>
    <row r="127" spans="1:19" ht="5.0999999999999996" customHeight="1"/>
    <row r="128" spans="1:19">
      <c r="B128" s="8" t="s">
        <v>18</v>
      </c>
      <c r="L128" s="11">
        <f t="shared" ref="L128:Q128" si="64">L45</f>
        <v>130421.68359460813</v>
      </c>
      <c r="M128" s="11">
        <f t="shared" si="64"/>
        <v>140090.78863872425</v>
      </c>
      <c r="N128" s="11">
        <f t="shared" si="64"/>
        <v>173527.82522658742</v>
      </c>
      <c r="O128" s="11">
        <f t="shared" si="64"/>
        <v>194641.16262942748</v>
      </c>
      <c r="P128" s="11">
        <f t="shared" si="64"/>
        <v>214192.02432378216</v>
      </c>
      <c r="Q128" s="11">
        <f t="shared" si="64"/>
        <v>231053.75949849474</v>
      </c>
      <c r="S128" s="8" t="s">
        <v>154</v>
      </c>
    </row>
    <row r="129" spans="2:19">
      <c r="B129" s="8" t="s">
        <v>78</v>
      </c>
      <c r="L129" s="569"/>
      <c r="M129" s="569"/>
      <c r="N129" s="569"/>
      <c r="O129" s="569"/>
      <c r="P129" s="569"/>
      <c r="Q129" s="569"/>
      <c r="S129" s="8" t="s">
        <v>154</v>
      </c>
    </row>
    <row r="130" spans="2:19">
      <c r="B130" s="8" t="s">
        <v>126</v>
      </c>
      <c r="L130" s="11">
        <f t="shared" ref="L130:Q130" si="65">L50</f>
        <v>25887.536748206861</v>
      </c>
      <c r="M130" s="11">
        <f t="shared" si="65"/>
        <v>29337.816754161599</v>
      </c>
      <c r="N130" s="11">
        <f t="shared" si="65"/>
        <v>32913.89380227145</v>
      </c>
      <c r="O130" s="11">
        <f t="shared" si="65"/>
        <v>35520.516049501013</v>
      </c>
      <c r="P130" s="11">
        <f t="shared" si="65"/>
        <v>38350.851861777985</v>
      </c>
      <c r="Q130" s="11">
        <f t="shared" si="65"/>
        <v>41407.950760574495</v>
      </c>
      <c r="S130" s="8" t="s">
        <v>154</v>
      </c>
    </row>
    <row r="131" spans="2:19">
      <c r="B131" s="8" t="s">
        <v>155</v>
      </c>
      <c r="L131" s="11">
        <f>SUM(H86:H87)-SUM(L86:L87)</f>
        <v>-9266.6243520943535</v>
      </c>
      <c r="M131" s="11">
        <f>SUM(L86:L87)-SUM(M86:M87)</f>
        <v>-10305.260281994444</v>
      </c>
      <c r="N131" s="11">
        <f>SUM(M86:M87)-SUM(N86:N87)</f>
        <v>-10680.989573494313</v>
      </c>
      <c r="O131" s="11">
        <f>SUM(N86:N87)-SUM(O86:O87)</f>
        <v>-7785.4321006346436</v>
      </c>
      <c r="P131" s="11">
        <f>SUM(O86:O87)-SUM(P86:P87)</f>
        <v>-8453.6174399252632</v>
      </c>
      <c r="Q131" s="11">
        <f>SUM(P86:P87)-SUM(Q86:Q87)</f>
        <v>-9130.9110580951528</v>
      </c>
    </row>
    <row r="132" spans="2:19">
      <c r="B132" s="8" t="s">
        <v>156</v>
      </c>
      <c r="L132" s="11">
        <f>SUM(L100:L104)-SUM(H100:H104)</f>
        <v>1239.7089338238875</v>
      </c>
      <c r="M132" s="11">
        <f>SUM(M100:M104)-SUM(L100:L104)</f>
        <v>3207.3342817849916</v>
      </c>
      <c r="N132" s="11">
        <f>SUM(N100:N104)-SUM(M100:M104)</f>
        <v>2942.7700781900494</v>
      </c>
      <c r="O132" s="11">
        <f>SUM(O100:O104)-SUM(N100:N104)</f>
        <v>2392.8680392737006</v>
      </c>
      <c r="P132" s="11">
        <f>SUM(P100:P104)-SUM(O100:O104)</f>
        <v>2598.2361321467179</v>
      </c>
      <c r="Q132" s="11">
        <f>SUM(Q100:Q104)-SUM(P100:P104)</f>
        <v>2806.4036726472114</v>
      </c>
    </row>
    <row r="133" spans="2:19">
      <c r="B133" s="8" t="s">
        <v>140</v>
      </c>
      <c r="L133" s="569"/>
      <c r="M133" s="569"/>
      <c r="N133" s="569"/>
      <c r="O133" s="569"/>
      <c r="P133" s="569"/>
      <c r="Q133" s="569"/>
      <c r="S133" s="8" t="s">
        <v>157</v>
      </c>
    </row>
    <row r="134" spans="2:19">
      <c r="B134" s="8" t="s">
        <v>146</v>
      </c>
      <c r="L134" s="11">
        <f>SUM(L110:L112)-SUM(H110:H112)</f>
        <v>639.16205819982497</v>
      </c>
      <c r="M134" s="11">
        <f>SUM(M110:M112)-SUM(L110:L112)</f>
        <v>710.80159525791169</v>
      </c>
      <c r="N134" s="11">
        <f>SUM(N110:N112)-SUM(M110:M112)</f>
        <v>736.7173870453189</v>
      </c>
      <c r="O134" s="11">
        <f>SUM(O110:O112)-SUM(N110:N112)</f>
        <v>536.99735916153804</v>
      </c>
      <c r="P134" s="11">
        <f>SUM(P110:P112)-SUM(O110:O112)</f>
        <v>583.08520091411265</v>
      </c>
      <c r="Q134" s="11">
        <f>SUM(Q110:Q112)-SUM(P110:P112)</f>
        <v>629.8012829032632</v>
      </c>
    </row>
    <row r="135" spans="2:19">
      <c r="B135" s="38" t="s">
        <v>412</v>
      </c>
      <c r="C135" s="180"/>
      <c r="D135" s="180"/>
      <c r="E135" s="180"/>
      <c r="F135" s="180"/>
      <c r="G135" s="180"/>
      <c r="H135" s="180"/>
      <c r="I135" s="180"/>
      <c r="J135" s="180"/>
      <c r="K135" s="180"/>
      <c r="L135" s="571">
        <f t="shared" ref="L135:Q135" si="66">SUM(L128:L134)</f>
        <v>148921.46698274431</v>
      </c>
      <c r="M135" s="571">
        <f t="shared" si="66"/>
        <v>163041.48098793431</v>
      </c>
      <c r="N135" s="571">
        <f t="shared" si="66"/>
        <v>199440.21692059995</v>
      </c>
      <c r="O135" s="571">
        <f t="shared" si="66"/>
        <v>225306.11197672909</v>
      </c>
      <c r="P135" s="571">
        <f t="shared" si="66"/>
        <v>247270.58007869573</v>
      </c>
      <c r="Q135" s="571">
        <f t="shared" si="66"/>
        <v>266767.00415652449</v>
      </c>
    </row>
    <row r="137" spans="2:19">
      <c r="B137" s="8" t="s">
        <v>252</v>
      </c>
      <c r="L137" s="569"/>
      <c r="M137" s="569"/>
      <c r="N137" s="569"/>
      <c r="O137" s="569"/>
      <c r="P137" s="569"/>
      <c r="Q137" s="569"/>
    </row>
    <row r="138" spans="2:19">
      <c r="B138" s="38" t="s">
        <v>413</v>
      </c>
      <c r="C138" s="180"/>
      <c r="D138" s="180"/>
      <c r="E138" s="180"/>
      <c r="F138" s="180"/>
      <c r="G138" s="180"/>
      <c r="H138" s="180"/>
      <c r="I138" s="180"/>
      <c r="J138" s="180"/>
      <c r="K138" s="180"/>
      <c r="L138" s="571">
        <f t="shared" ref="L138:Q138" si="67">+L137</f>
        <v>0</v>
      </c>
      <c r="M138" s="571">
        <f t="shared" si="67"/>
        <v>0</v>
      </c>
      <c r="N138" s="571">
        <f t="shared" si="67"/>
        <v>0</v>
      </c>
      <c r="O138" s="571">
        <f t="shared" si="67"/>
        <v>0</v>
      </c>
      <c r="P138" s="571">
        <f t="shared" si="67"/>
        <v>0</v>
      </c>
      <c r="Q138" s="571">
        <f t="shared" si="67"/>
        <v>0</v>
      </c>
    </row>
    <row r="140" spans="2:19">
      <c r="B140" s="8" t="s">
        <v>159</v>
      </c>
      <c r="L140" s="11">
        <f>L108-H108</f>
        <v>0</v>
      </c>
      <c r="M140" s="11">
        <f>M108-L108</f>
        <v>0</v>
      </c>
      <c r="N140" s="11">
        <f>N108-M108</f>
        <v>0</v>
      </c>
      <c r="O140" s="11">
        <f>O108-N108</f>
        <v>0</v>
      </c>
      <c r="P140" s="11">
        <f>P108-O108</f>
        <v>0</v>
      </c>
      <c r="Q140" s="11">
        <f>Q108-P108</f>
        <v>0</v>
      </c>
      <c r="S140" s="8" t="s">
        <v>161</v>
      </c>
    </row>
    <row r="141" spans="2:19">
      <c r="B141" s="8" t="s">
        <v>160</v>
      </c>
      <c r="L141" s="569"/>
      <c r="M141" s="569"/>
      <c r="N141" s="569"/>
      <c r="O141" s="569"/>
      <c r="P141" s="569"/>
      <c r="Q141" s="569"/>
      <c r="S141" s="8" t="s">
        <v>150</v>
      </c>
    </row>
    <row r="142" spans="2:19">
      <c r="B142" s="8" t="s">
        <v>162</v>
      </c>
      <c r="L142" s="569"/>
      <c r="M142" s="569"/>
      <c r="N142" s="569"/>
      <c r="O142" s="569"/>
      <c r="P142" s="569"/>
      <c r="Q142" s="569"/>
      <c r="S142" s="8" t="s">
        <v>150</v>
      </c>
    </row>
    <row r="143" spans="2:19">
      <c r="B143" s="8" t="s">
        <v>163</v>
      </c>
      <c r="L143" s="569"/>
      <c r="M143" s="569"/>
      <c r="N143" s="569"/>
      <c r="O143" s="569"/>
      <c r="P143" s="569"/>
      <c r="Q143" s="569"/>
      <c r="S143" s="8" t="s">
        <v>150</v>
      </c>
    </row>
    <row r="144" spans="2:19">
      <c r="B144" s="38" t="s">
        <v>413</v>
      </c>
      <c r="C144" s="180"/>
      <c r="D144" s="180"/>
      <c r="E144" s="180"/>
      <c r="F144" s="180"/>
      <c r="G144" s="180"/>
      <c r="H144" s="180"/>
      <c r="I144" s="180"/>
      <c r="J144" s="180"/>
      <c r="K144" s="180"/>
      <c r="L144" s="570">
        <f t="shared" ref="L144:Q144" si="68">SUM(L140:L143)</f>
        <v>0</v>
      </c>
      <c r="M144" s="570">
        <f t="shared" si="68"/>
        <v>0</v>
      </c>
      <c r="N144" s="570">
        <f t="shared" si="68"/>
        <v>0</v>
      </c>
      <c r="O144" s="570">
        <f t="shared" si="68"/>
        <v>0</v>
      </c>
      <c r="P144" s="570">
        <f t="shared" si="68"/>
        <v>0</v>
      </c>
      <c r="Q144" s="570">
        <f t="shared" si="68"/>
        <v>0</v>
      </c>
    </row>
    <row r="146" spans="1:19">
      <c r="B146" s="38" t="s">
        <v>637</v>
      </c>
      <c r="L146" s="572">
        <f t="shared" ref="L146:Q146" si="69">+L144+L138+L135</f>
        <v>148921.46698274431</v>
      </c>
      <c r="M146" s="572">
        <f t="shared" si="69"/>
        <v>163041.48098793431</v>
      </c>
      <c r="N146" s="572">
        <f t="shared" si="69"/>
        <v>199440.21692059995</v>
      </c>
      <c r="O146" s="572">
        <f t="shared" si="69"/>
        <v>225306.11197672909</v>
      </c>
      <c r="P146" s="572">
        <f t="shared" si="69"/>
        <v>247270.58007869573</v>
      </c>
      <c r="Q146" s="572">
        <f t="shared" si="69"/>
        <v>266767.00415652449</v>
      </c>
    </row>
    <row r="148" spans="1:19">
      <c r="A148" s="8" t="s">
        <v>25</v>
      </c>
      <c r="B148" s="366" t="s">
        <v>415</v>
      </c>
      <c r="C148" s="367" t="s">
        <v>408</v>
      </c>
      <c r="D148" s="367"/>
      <c r="E148" s="367"/>
      <c r="F148" s="367"/>
      <c r="G148" s="367"/>
      <c r="H148" s="367"/>
      <c r="I148" s="369"/>
      <c r="J148" s="369"/>
      <c r="K148" s="369"/>
      <c r="L148" s="367" t="s">
        <v>166</v>
      </c>
      <c r="M148" s="367"/>
      <c r="N148" s="367"/>
      <c r="O148" s="367"/>
      <c r="P148" s="367"/>
      <c r="Q148" s="367"/>
    </row>
    <row r="149" spans="1:19">
      <c r="B149" s="368" t="s">
        <v>109</v>
      </c>
      <c r="C149" s="395">
        <f t="shared" ref="C149:H150" si="70">C80</f>
        <v>2019</v>
      </c>
      <c r="D149" s="395">
        <f t="shared" si="70"/>
        <v>2020</v>
      </c>
      <c r="E149" s="395">
        <f t="shared" si="70"/>
        <v>2021</v>
      </c>
      <c r="F149" s="395">
        <f t="shared" si="70"/>
        <v>2022</v>
      </c>
      <c r="G149" s="395">
        <f t="shared" si="70"/>
        <v>2023</v>
      </c>
      <c r="H149" s="395">
        <f t="shared" si="70"/>
        <v>2024</v>
      </c>
      <c r="I149" s="369"/>
      <c r="J149" s="369"/>
      <c r="K149" s="369"/>
      <c r="L149" s="396">
        <f t="shared" ref="L149:Q149" si="71">L80</f>
        <v>2025</v>
      </c>
      <c r="M149" s="396">
        <f t="shared" si="71"/>
        <v>2026</v>
      </c>
      <c r="N149" s="396">
        <f t="shared" si="71"/>
        <v>2027</v>
      </c>
      <c r="O149" s="396">
        <f t="shared" si="71"/>
        <v>2028</v>
      </c>
      <c r="P149" s="396">
        <f t="shared" si="71"/>
        <v>2029</v>
      </c>
      <c r="Q149" s="396">
        <f t="shared" si="71"/>
        <v>2030</v>
      </c>
    </row>
    <row r="150" spans="1:19">
      <c r="B150" s="368" t="s">
        <v>110</v>
      </c>
      <c r="C150" s="369">
        <f t="shared" si="70"/>
        <v>43830</v>
      </c>
      <c r="D150" s="369">
        <f t="shared" si="70"/>
        <v>44196</v>
      </c>
      <c r="E150" s="369">
        <f t="shared" si="70"/>
        <v>44561</v>
      </c>
      <c r="F150" s="369">
        <f t="shared" si="70"/>
        <v>44926</v>
      </c>
      <c r="G150" s="369">
        <f t="shared" si="70"/>
        <v>45291</v>
      </c>
      <c r="H150" s="369">
        <f t="shared" si="70"/>
        <v>45657</v>
      </c>
      <c r="I150" s="369"/>
      <c r="J150" s="369"/>
      <c r="K150" s="369"/>
      <c r="L150" s="369">
        <f t="shared" ref="L150:Q150" si="72">L81</f>
        <v>46022</v>
      </c>
      <c r="M150" s="369">
        <f t="shared" si="72"/>
        <v>46387</v>
      </c>
      <c r="N150" s="369">
        <f t="shared" si="72"/>
        <v>46752</v>
      </c>
      <c r="O150" s="369">
        <f t="shared" si="72"/>
        <v>47118</v>
      </c>
      <c r="P150" s="369">
        <f t="shared" si="72"/>
        <v>47483</v>
      </c>
      <c r="Q150" s="369">
        <f t="shared" si="72"/>
        <v>47848</v>
      </c>
    </row>
    <row r="151" spans="1:19" ht="5.0999999999999996" customHeight="1"/>
    <row r="152" spans="1:19">
      <c r="B152" s="37" t="s">
        <v>165</v>
      </c>
      <c r="C152" s="573"/>
      <c r="D152" s="573"/>
      <c r="E152" s="573"/>
      <c r="F152" s="573"/>
      <c r="G152" s="573"/>
      <c r="H152" s="573"/>
      <c r="I152" s="573"/>
      <c r="J152" s="573"/>
      <c r="K152" s="573"/>
      <c r="L152" s="573"/>
      <c r="M152" s="573"/>
      <c r="N152" s="573"/>
      <c r="O152" s="573"/>
      <c r="P152" s="573"/>
      <c r="Q152" s="573"/>
    </row>
    <row r="153" spans="1:19">
      <c r="B153" s="38" t="s">
        <v>638</v>
      </c>
      <c r="C153" s="176">
        <f>'Historical Financials'!C51</f>
        <v>59719</v>
      </c>
      <c r="D153" s="572">
        <f>C156</f>
        <v>73646</v>
      </c>
      <c r="E153" s="572">
        <f>D156</f>
        <v>84749</v>
      </c>
      <c r="F153" s="572">
        <f>E156</f>
        <v>97599</v>
      </c>
      <c r="G153" s="572">
        <f>F156</f>
        <v>112668</v>
      </c>
      <c r="H153" s="572">
        <f>G156</f>
        <v>134345</v>
      </c>
      <c r="L153" s="572">
        <f>'Historical Financials'!AC51</f>
        <v>223787</v>
      </c>
      <c r="M153" s="572">
        <f>L156</f>
        <v>158735.87233273056</v>
      </c>
      <c r="N153" s="572">
        <f>M156</f>
        <v>96438.984665461117</v>
      </c>
      <c r="O153" s="572">
        <f>N156</f>
        <v>36896.336998191677</v>
      </c>
      <c r="P153" s="572">
        <f>O156</f>
        <v>-19892.070669077759</v>
      </c>
      <c r="Q153" s="572">
        <f>P156</f>
        <v>-73926.238336347189</v>
      </c>
    </row>
    <row r="154" spans="1:19">
      <c r="B154" s="65" t="s">
        <v>169</v>
      </c>
      <c r="C154" s="176">
        <f>'Historical Financials'!D106</f>
        <v>-23548</v>
      </c>
      <c r="D154" s="176">
        <f>'Historical Financials'!E106</f>
        <v>-22281</v>
      </c>
      <c r="E154" s="176">
        <f>'Historical Financials'!F106</f>
        <v>-24640</v>
      </c>
      <c r="F154" s="176">
        <f>'Historical Financials'!G106</f>
        <v>-31485</v>
      </c>
      <c r="G154" s="176">
        <f>'Historical Financials'!H106</f>
        <v>-32251</v>
      </c>
      <c r="H154" s="176">
        <f>'Historical Financials'!I106</f>
        <v>-52535</v>
      </c>
      <c r="L154" s="88">
        <v>-91808</v>
      </c>
      <c r="M154" s="88">
        <f>L154</f>
        <v>-91808</v>
      </c>
      <c r="N154" s="88">
        <f>M154</f>
        <v>-91808</v>
      </c>
      <c r="O154" s="469">
        <f>N154</f>
        <v>-91808</v>
      </c>
      <c r="P154" s="469">
        <f>O154</f>
        <v>-91808</v>
      </c>
      <c r="Q154" s="469">
        <f>P154</f>
        <v>-91808</v>
      </c>
      <c r="S154" s="8" t="s">
        <v>630</v>
      </c>
    </row>
    <row r="155" spans="1:19">
      <c r="B155" s="65" t="s">
        <v>171</v>
      </c>
      <c r="C155" s="89">
        <v>10856</v>
      </c>
      <c r="D155" s="89">
        <v>12905</v>
      </c>
      <c r="E155" s="89">
        <v>11555</v>
      </c>
      <c r="F155" s="89">
        <v>13475</v>
      </c>
      <c r="G155" s="89">
        <v>11946</v>
      </c>
      <c r="H155" s="89">
        <v>15311</v>
      </c>
      <c r="L155" s="567">
        <f t="shared" ref="L155:Q155" si="73">-(L158*L154)</f>
        <v>26756.87233273056</v>
      </c>
      <c r="M155" s="567">
        <f t="shared" si="73"/>
        <v>29511.112332730558</v>
      </c>
      <c r="N155" s="567">
        <f t="shared" si="73"/>
        <v>32265.352332730559</v>
      </c>
      <c r="O155" s="567">
        <f t="shared" si="73"/>
        <v>35019.592332730565</v>
      </c>
      <c r="P155" s="567">
        <f t="shared" si="73"/>
        <v>37773.832332730562</v>
      </c>
      <c r="Q155" s="567">
        <f t="shared" si="73"/>
        <v>40528.072332730568</v>
      </c>
      <c r="S155" s="8" t="s">
        <v>640</v>
      </c>
    </row>
    <row r="156" spans="1:19">
      <c r="B156" s="574" t="s">
        <v>639</v>
      </c>
      <c r="C156" s="577">
        <f t="shared" ref="C156:H156" si="74">C93</f>
        <v>73646</v>
      </c>
      <c r="D156" s="577">
        <f t="shared" si="74"/>
        <v>84749</v>
      </c>
      <c r="E156" s="577">
        <f t="shared" si="74"/>
        <v>97599</v>
      </c>
      <c r="F156" s="577">
        <f t="shared" si="74"/>
        <v>112668</v>
      </c>
      <c r="G156" s="577">
        <f t="shared" si="74"/>
        <v>134345</v>
      </c>
      <c r="H156" s="577">
        <f t="shared" si="74"/>
        <v>171036</v>
      </c>
      <c r="I156" s="575"/>
      <c r="J156" s="575"/>
      <c r="K156" s="575"/>
      <c r="L156" s="577">
        <f t="shared" ref="L156:Q156" si="75">SUM(L153:L155)</f>
        <v>158735.87233273056</v>
      </c>
      <c r="M156" s="577">
        <f t="shared" si="75"/>
        <v>96438.984665461117</v>
      </c>
      <c r="N156" s="577">
        <f t="shared" si="75"/>
        <v>36896.336998191677</v>
      </c>
      <c r="O156" s="577">
        <f t="shared" si="75"/>
        <v>-19892.070669077759</v>
      </c>
      <c r="P156" s="577">
        <f t="shared" si="75"/>
        <v>-73926.238336347189</v>
      </c>
      <c r="Q156" s="577">
        <f t="shared" si="75"/>
        <v>-125206.16600361661</v>
      </c>
    </row>
    <row r="158" spans="1:19">
      <c r="B158" s="8" t="s">
        <v>175</v>
      </c>
      <c r="C158" s="124">
        <f t="shared" ref="C158:H158" si="76">-(C155/C154)</f>
        <v>0.46101579751995925</v>
      </c>
      <c r="D158" s="124">
        <f t="shared" si="76"/>
        <v>0.57919303442394865</v>
      </c>
      <c r="E158" s="124">
        <f t="shared" si="76"/>
        <v>0.46895292207792205</v>
      </c>
      <c r="F158" s="124">
        <f t="shared" si="76"/>
        <v>0.42798157852945845</v>
      </c>
      <c r="G158" s="124">
        <f t="shared" si="76"/>
        <v>0.37040711915909585</v>
      </c>
      <c r="H158" s="124">
        <f t="shared" si="76"/>
        <v>0.29144379937184733</v>
      </c>
      <c r="L158" s="124">
        <f>H158</f>
        <v>0.29144379937184733</v>
      </c>
      <c r="M158" s="124">
        <f>SUM(L158+$C$159)</f>
        <v>0.32144379937184731</v>
      </c>
      <c r="N158" s="124">
        <f>SUM(M158+$C$159)</f>
        <v>0.35144379937184733</v>
      </c>
      <c r="O158" s="124">
        <f>SUM(N158+$C$159)</f>
        <v>0.38144379937184736</v>
      </c>
      <c r="P158" s="124">
        <f>SUM(O158+$C$159)</f>
        <v>0.41144379937184739</v>
      </c>
      <c r="Q158" s="124">
        <f>SUM(P158+$C$159)</f>
        <v>0.44144379937184741</v>
      </c>
    </row>
    <row r="159" spans="1:19">
      <c r="B159" s="531" t="s">
        <v>433</v>
      </c>
      <c r="C159" s="456">
        <v>0.03</v>
      </c>
    </row>
    <row r="161" spans="2:19">
      <c r="B161" s="37" t="s">
        <v>420</v>
      </c>
      <c r="C161" s="573"/>
      <c r="D161" s="573"/>
      <c r="E161" s="573"/>
      <c r="F161" s="573"/>
      <c r="G161" s="573"/>
      <c r="H161" s="573"/>
      <c r="I161" s="573"/>
      <c r="J161" s="573"/>
      <c r="K161" s="573"/>
      <c r="L161" s="573"/>
      <c r="M161" s="573"/>
      <c r="N161" s="573"/>
      <c r="O161" s="573"/>
      <c r="P161" s="573"/>
      <c r="Q161" s="573"/>
    </row>
    <row r="162" spans="2:19">
      <c r="B162" s="107" t="s">
        <v>249</v>
      </c>
      <c r="C162" s="70">
        <f t="shared" ref="C162:H162" si="77">C164+C155</f>
        <v>22637</v>
      </c>
      <c r="D162" s="70">
        <f t="shared" si="77"/>
        <v>26602</v>
      </c>
      <c r="E162" s="70">
        <f t="shared" si="77"/>
        <v>23996</v>
      </c>
      <c r="F162" s="70">
        <f t="shared" si="77"/>
        <v>26950</v>
      </c>
      <c r="G162" s="70">
        <f t="shared" si="77"/>
        <v>23892</v>
      </c>
      <c r="H162" s="70">
        <f t="shared" si="77"/>
        <v>30622</v>
      </c>
      <c r="L162" s="11">
        <f t="shared" ref="L162:Q162" ca="1" si="78">L163*L29</f>
        <v>34779.169953888973</v>
      </c>
      <c r="M162" s="11">
        <f t="shared" ca="1" si="78"/>
        <v>39414.523092457348</v>
      </c>
      <c r="N162" s="11">
        <f t="shared" ca="1" si="78"/>
        <v>44218.880982283576</v>
      </c>
      <c r="O162" s="11">
        <f t="shared" ca="1" si="78"/>
        <v>47720.803896917947</v>
      </c>
      <c r="P162" s="11">
        <f t="shared" ca="1" si="78"/>
        <v>51523.27962874197</v>
      </c>
      <c r="Q162" s="11">
        <f t="shared" ca="1" si="78"/>
        <v>55630.405123192708</v>
      </c>
      <c r="S162" s="8" t="s">
        <v>176</v>
      </c>
    </row>
    <row r="163" spans="2:19">
      <c r="B163" s="65" t="s">
        <v>177</v>
      </c>
      <c r="C163" s="264">
        <f t="shared" ref="C163:H163" si="79">C162/C29</f>
        <v>0.13985802282261503</v>
      </c>
      <c r="D163" s="264">
        <f t="shared" si="79"/>
        <v>0.14574282160995358</v>
      </c>
      <c r="E163" s="264">
        <f t="shared" si="79"/>
        <v>9.3138796058019613E-2</v>
      </c>
      <c r="F163" s="264">
        <f t="shared" si="79"/>
        <v>9.528490008344058E-2</v>
      </c>
      <c r="G163" s="264">
        <f t="shared" si="79"/>
        <v>7.7724353760971268E-2</v>
      </c>
      <c r="H163" s="264">
        <f t="shared" si="79"/>
        <v>8.7486929243638892E-2</v>
      </c>
      <c r="L163" s="264">
        <f t="shared" ref="L163:Q163" ca="1" si="80">L162/L29</f>
        <v>8.7455502288453738E-2</v>
      </c>
      <c r="M163" s="264">
        <f t="shared" ca="1" si="80"/>
        <v>8.7455502288453738E-2</v>
      </c>
      <c r="N163" s="264">
        <f t="shared" ca="1" si="80"/>
        <v>8.7455502288453738E-2</v>
      </c>
      <c r="O163" s="264">
        <f t="shared" ca="1" si="80"/>
        <v>8.7455502288453738E-2</v>
      </c>
      <c r="P163" s="264">
        <f t="shared" ca="1" si="80"/>
        <v>8.7455502288453738E-2</v>
      </c>
      <c r="Q163" s="264">
        <f t="shared" ca="1" si="80"/>
        <v>8.7455502288453738E-2</v>
      </c>
      <c r="S163" s="8" t="s">
        <v>641</v>
      </c>
    </row>
    <row r="164" spans="2:19">
      <c r="B164" s="578" t="s">
        <v>178</v>
      </c>
      <c r="C164" s="524">
        <f t="shared" ref="C164:H164" si="81">C47</f>
        <v>11781</v>
      </c>
      <c r="D164" s="524">
        <f t="shared" si="81"/>
        <v>13697</v>
      </c>
      <c r="E164" s="524">
        <f t="shared" si="81"/>
        <v>12441</v>
      </c>
      <c r="F164" s="524">
        <f t="shared" si="81"/>
        <v>13475</v>
      </c>
      <c r="G164" s="524">
        <f t="shared" si="81"/>
        <v>11946</v>
      </c>
      <c r="H164" s="524">
        <f t="shared" si="81"/>
        <v>15311</v>
      </c>
      <c r="I164" s="575"/>
      <c r="J164" s="575"/>
      <c r="K164" s="575"/>
      <c r="L164" s="524">
        <f t="shared" ref="L164:Q164" ca="1" si="82">-L155+L162</f>
        <v>8022.2976211584137</v>
      </c>
      <c r="M164" s="524">
        <f t="shared" ca="1" si="82"/>
        <v>9903.4107597267903</v>
      </c>
      <c r="N164" s="524">
        <f t="shared" ca="1" si="82"/>
        <v>11953.528649553016</v>
      </c>
      <c r="O164" s="524">
        <f t="shared" ca="1" si="82"/>
        <v>12701.211564187382</v>
      </c>
      <c r="P164" s="524">
        <f t="shared" ca="1" si="82"/>
        <v>13749.447296011407</v>
      </c>
      <c r="Q164" s="524">
        <f t="shared" ca="1" si="82"/>
        <v>15102.33279046214</v>
      </c>
      <c r="S164" s="8" t="s">
        <v>179</v>
      </c>
    </row>
    <row r="166" spans="2:19">
      <c r="B166" s="576" t="s">
        <v>643</v>
      </c>
      <c r="C166" s="573"/>
      <c r="D166" s="573"/>
      <c r="E166" s="573"/>
      <c r="F166" s="573"/>
      <c r="G166" s="573"/>
      <c r="H166" s="573"/>
      <c r="I166" s="573"/>
      <c r="J166" s="573"/>
      <c r="K166" s="573"/>
      <c r="L166" s="573"/>
      <c r="M166" s="573"/>
      <c r="N166" s="573"/>
      <c r="O166" s="573"/>
      <c r="P166" s="573"/>
      <c r="Q166" s="573"/>
    </row>
    <row r="167" spans="2:19">
      <c r="B167" s="8" t="s">
        <v>644</v>
      </c>
    </row>
    <row r="168" spans="2:19">
      <c r="B168" s="65" t="s">
        <v>645</v>
      </c>
      <c r="G168" s="89">
        <v>166667</v>
      </c>
      <c r="H168" s="89">
        <v>199829</v>
      </c>
    </row>
    <row r="169" spans="2:19">
      <c r="B169" s="65" t="s">
        <v>646</v>
      </c>
      <c r="G169" s="89"/>
      <c r="H169" s="89"/>
    </row>
    <row r="170" spans="2:19">
      <c r="B170" s="65" t="s">
        <v>647</v>
      </c>
      <c r="G170" s="89">
        <v>-67458</v>
      </c>
      <c r="H170" s="89">
        <v>-79390</v>
      </c>
    </row>
    <row r="171" spans="2:19">
      <c r="B171" s="65" t="s">
        <v>648</v>
      </c>
    </row>
    <row r="172" spans="2:19">
      <c r="B172" s="65"/>
    </row>
    <row r="173" spans="2:19">
      <c r="B173" s="8" t="s">
        <v>649</v>
      </c>
    </row>
    <row r="174" spans="2:19">
      <c r="B174" s="8" t="s">
        <v>650</v>
      </c>
    </row>
    <row r="176" spans="2:19">
      <c r="B176" s="37" t="s">
        <v>180</v>
      </c>
      <c r="C176" s="573"/>
      <c r="D176" s="573"/>
      <c r="E176" s="573"/>
      <c r="F176" s="573"/>
      <c r="G176" s="573"/>
      <c r="H176" s="573"/>
      <c r="I176" s="573"/>
      <c r="J176" s="573"/>
      <c r="K176" s="573"/>
      <c r="L176" s="573"/>
      <c r="M176" s="573"/>
      <c r="N176" s="573"/>
      <c r="O176" s="573"/>
      <c r="P176" s="573"/>
      <c r="Q176" s="573"/>
    </row>
    <row r="177" spans="2:17">
      <c r="B177" s="8" t="s">
        <v>167</v>
      </c>
    </row>
    <row r="178" spans="2:17">
      <c r="B178" s="65" t="s">
        <v>181</v>
      </c>
    </row>
    <row r="179" spans="2:17">
      <c r="B179" s="65" t="s">
        <v>183</v>
      </c>
    </row>
    <row r="180" spans="2:17">
      <c r="B180" s="574" t="s">
        <v>173</v>
      </c>
      <c r="C180" s="575"/>
      <c r="D180" s="575"/>
      <c r="E180" s="575"/>
      <c r="F180" s="575"/>
      <c r="G180" s="575"/>
      <c r="H180" s="575"/>
      <c r="I180" s="575"/>
      <c r="J180" s="575"/>
      <c r="K180" s="575"/>
      <c r="L180" s="574">
        <f t="shared" ref="L180:Q180" si="83">SUM(L177:L179)</f>
        <v>0</v>
      </c>
      <c r="M180" s="574">
        <f t="shared" si="83"/>
        <v>0</v>
      </c>
      <c r="N180" s="574">
        <f t="shared" si="83"/>
        <v>0</v>
      </c>
      <c r="O180" s="574">
        <f t="shared" si="83"/>
        <v>0</v>
      </c>
      <c r="P180" s="574">
        <f t="shared" si="83"/>
        <v>0</v>
      </c>
      <c r="Q180" s="574">
        <f t="shared" si="83"/>
        <v>0</v>
      </c>
    </row>
    <row r="182" spans="2:17">
      <c r="B182" s="37" t="s">
        <v>185</v>
      </c>
      <c r="C182" s="573"/>
      <c r="D182" s="573"/>
      <c r="E182" s="573"/>
      <c r="F182" s="573"/>
      <c r="G182" s="573"/>
      <c r="H182" s="573"/>
      <c r="I182" s="573"/>
      <c r="J182" s="573"/>
      <c r="K182" s="573"/>
      <c r="L182" s="573"/>
      <c r="M182" s="573"/>
      <c r="N182" s="573"/>
      <c r="O182" s="573"/>
      <c r="P182" s="573"/>
      <c r="Q182" s="573"/>
    </row>
    <row r="183" spans="2:17">
      <c r="B183" s="8" t="s">
        <v>167</v>
      </c>
      <c r="L183" s="8">
        <f t="shared" ref="L183:Q183" si="84">J187</f>
        <v>0</v>
      </c>
      <c r="M183" s="8">
        <f t="shared" si="84"/>
        <v>0</v>
      </c>
      <c r="N183" s="8">
        <f t="shared" si="84"/>
        <v>0</v>
      </c>
      <c r="O183" s="8">
        <f t="shared" si="84"/>
        <v>0</v>
      </c>
      <c r="P183" s="8">
        <f t="shared" si="84"/>
        <v>0</v>
      </c>
      <c r="Q183" s="8">
        <f t="shared" si="84"/>
        <v>0</v>
      </c>
    </row>
    <row r="184" spans="2:17">
      <c r="B184" s="65" t="s">
        <v>186</v>
      </c>
    </row>
    <row r="185" spans="2:17">
      <c r="B185" s="65" t="s">
        <v>188</v>
      </c>
    </row>
    <row r="186" spans="2:17">
      <c r="B186" s="65" t="s">
        <v>189</v>
      </c>
    </row>
    <row r="187" spans="2:17">
      <c r="B187" s="574" t="s">
        <v>173</v>
      </c>
      <c r="C187" s="574">
        <f t="shared" ref="C187:H187" si="85">SUM(C183:C186)</f>
        <v>0</v>
      </c>
      <c r="D187" s="574">
        <f t="shared" si="85"/>
        <v>0</v>
      </c>
      <c r="E187" s="574">
        <f t="shared" si="85"/>
        <v>0</v>
      </c>
      <c r="F187" s="574">
        <f t="shared" si="85"/>
        <v>0</v>
      </c>
      <c r="G187" s="574">
        <f t="shared" si="85"/>
        <v>0</v>
      </c>
      <c r="H187" s="574">
        <f t="shared" si="85"/>
        <v>0</v>
      </c>
      <c r="I187" s="574"/>
      <c r="J187" s="574"/>
      <c r="K187" s="575"/>
      <c r="L187" s="574">
        <f t="shared" ref="L187:Q187" si="86">SUM(L183:L186)</f>
        <v>0</v>
      </c>
      <c r="M187" s="574">
        <f t="shared" si="86"/>
        <v>0</v>
      </c>
      <c r="N187" s="574">
        <f t="shared" si="86"/>
        <v>0</v>
      </c>
      <c r="O187" s="574">
        <f t="shared" si="86"/>
        <v>0</v>
      </c>
      <c r="P187" s="574">
        <f t="shared" si="86"/>
        <v>0</v>
      </c>
      <c r="Q187" s="574">
        <f t="shared" si="86"/>
        <v>0</v>
      </c>
    </row>
    <row r="189" spans="2:17">
      <c r="B189" s="37" t="s">
        <v>191</v>
      </c>
      <c r="C189" s="573"/>
      <c r="D189" s="573"/>
      <c r="E189" s="573"/>
      <c r="F189" s="573"/>
      <c r="G189" s="573"/>
      <c r="H189" s="573"/>
      <c r="I189" s="573"/>
      <c r="J189" s="573"/>
      <c r="K189" s="573"/>
      <c r="L189" s="573"/>
      <c r="M189" s="573"/>
      <c r="N189" s="573"/>
      <c r="O189" s="573"/>
      <c r="P189" s="573"/>
      <c r="Q189" s="573"/>
    </row>
    <row r="190" spans="2:17">
      <c r="B190" s="8" t="s">
        <v>192</v>
      </c>
    </row>
    <row r="191" spans="2:17">
      <c r="B191" s="8" t="s">
        <v>193</v>
      </c>
    </row>
    <row r="192" spans="2:17">
      <c r="B192" s="8" t="s">
        <v>195</v>
      </c>
    </row>
    <row r="193" spans="2:18">
      <c r="B193" s="8" t="s">
        <v>196</v>
      </c>
    </row>
    <row r="194" spans="2:18">
      <c r="B194" s="574" t="s">
        <v>197</v>
      </c>
      <c r="C194" s="574"/>
      <c r="D194" s="574"/>
      <c r="E194" s="574"/>
      <c r="F194" s="574"/>
      <c r="G194" s="574"/>
      <c r="H194" s="574"/>
      <c r="I194" s="574"/>
      <c r="J194" s="574"/>
      <c r="K194" s="574"/>
      <c r="L194" s="574">
        <f t="shared" ref="L194:Q194" si="87">SUM(L190:L193)</f>
        <v>0</v>
      </c>
      <c r="M194" s="574">
        <f t="shared" si="87"/>
        <v>0</v>
      </c>
      <c r="N194" s="574">
        <f t="shared" si="87"/>
        <v>0</v>
      </c>
      <c r="O194" s="574">
        <f t="shared" si="87"/>
        <v>0</v>
      </c>
      <c r="P194" s="574">
        <f t="shared" si="87"/>
        <v>0</v>
      </c>
      <c r="Q194" s="574">
        <f t="shared" si="87"/>
        <v>0</v>
      </c>
    </row>
    <row r="196" spans="2:18">
      <c r="B196" s="38" t="s">
        <v>198</v>
      </c>
    </row>
    <row r="197" spans="2:18">
      <c r="B197" s="8" t="s">
        <v>167</v>
      </c>
    </row>
    <row r="198" spans="2:18">
      <c r="B198" s="8" t="s">
        <v>199</v>
      </c>
    </row>
    <row r="199" spans="2:18">
      <c r="B199" s="8" t="s">
        <v>201</v>
      </c>
    </row>
    <row r="200" spans="2:18">
      <c r="B200" s="574" t="s">
        <v>173</v>
      </c>
      <c r="C200" s="575"/>
      <c r="D200" s="575"/>
      <c r="E200" s="575"/>
      <c r="F200" s="575"/>
      <c r="G200" s="575"/>
      <c r="H200" s="575"/>
      <c r="I200" s="575"/>
      <c r="J200" s="575"/>
      <c r="K200" s="575"/>
      <c r="L200" s="574">
        <f t="shared" ref="L200:Q200" si="88">SUM(L197:L199)</f>
        <v>0</v>
      </c>
      <c r="M200" s="574">
        <f t="shared" si="88"/>
        <v>0</v>
      </c>
      <c r="N200" s="574">
        <f t="shared" si="88"/>
        <v>0</v>
      </c>
      <c r="O200" s="574">
        <f t="shared" si="88"/>
        <v>0</v>
      </c>
      <c r="P200" s="574">
        <f t="shared" si="88"/>
        <v>0</v>
      </c>
      <c r="Q200" s="574">
        <f t="shared" si="88"/>
        <v>0</v>
      </c>
      <c r="R200" s="575"/>
    </row>
  </sheetData>
  <dataValidations disablePrompts="1" count="3">
    <dataValidation type="list" allowBlank="1" showInputMessage="1" showErrorMessage="1" sqref="B16 I16 K16 B4" xr:uid="{EF325E0D-2959-4F33-A913-4DCCBA8C8945}">
      <formula1>"$ bns except per share, $ mm except per share,$ in thousands except per share"</formula1>
    </dataValidation>
    <dataValidation type="list" allowBlank="1" showInputMessage="1" showErrorMessage="1" sqref="C8" xr:uid="{6F8F92C4-A37F-4862-A69E-B43619D28F64}">
      <formula1>"0,1"</formula1>
    </dataValidation>
    <dataValidation type="list" allowBlank="1" showInputMessage="1" showErrorMessage="1" sqref="Q6" xr:uid="{F4A81998-27CA-4597-9CD0-03B15C6DA47B}">
      <formula1>$B$239:$B$241</formula1>
    </dataValidation>
  </dataValidations>
  <pageMargins left="0.7" right="0.7" top="0.75" bottom="0.75" header="0.3" footer="0.3"/>
  <ignoredErrors>
    <ignoredError sqref="M61:Q61 L73:Q74 L116:Q117" formula="1"/>
    <ignoredError sqref="J30:R30 K18 J18:J21 J26:K28 R26:R28 R18 J38:R38 J36:K36 R36 J33:R33 J31:K31 R31 J43:R43 J39:K41 R39:R41 J46:R46 J44:K44 R44 R34 J34:K34 J49:R49 J47:K47 R47 J51:R51 J50:K50 R50 J29:K29 J32:K32 J37:R37 J42:R42 J45:R45 J48:R48 S49 S46 S43 S33 S38 S22 S30 S18:S21 S31:S32 S23:S29 S39:S42 S34:S37 S44:S45 S47:S48 S50:S51 R29 R32 C158:H158" evalError="1"/>
  </ignoredErrors>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68B-CCEC-4CB8-9F6E-68FBD68798A3}">
  <sheetPr>
    <tabColor theme="4" tint="0.39997558519241921"/>
  </sheetPr>
  <dimension ref="B2:Q136"/>
  <sheetViews>
    <sheetView showGridLines="0" zoomScale="160" zoomScaleNormal="160" workbookViewId="0">
      <selection activeCell="B2" sqref="B2"/>
    </sheetView>
  </sheetViews>
  <sheetFormatPr defaultColWidth="8" defaultRowHeight="12"/>
  <cols>
    <col min="1" max="1" width="1.25" style="8" customWidth="1"/>
    <col min="2" max="2" width="47.625" style="8" customWidth="1"/>
    <col min="3" max="3" width="11.75" style="8" customWidth="1"/>
    <col min="4" max="9" width="11.125" style="8" customWidth="1"/>
    <col min="10" max="10" width="1.5" style="8" customWidth="1"/>
    <col min="11" max="11" width="10.625" style="8" bestFit="1" customWidth="1"/>
    <col min="12" max="16" width="8.25" style="8" customWidth="1"/>
    <col min="17" max="16384" width="8" style="8"/>
  </cols>
  <sheetData>
    <row r="2" spans="2:10">
      <c r="B2" s="1" t="s">
        <v>470</v>
      </c>
      <c r="C2" s="1"/>
      <c r="D2" s="1"/>
      <c r="E2" s="1"/>
      <c r="F2" s="1"/>
      <c r="G2" s="1"/>
      <c r="H2" s="1"/>
      <c r="I2" s="1"/>
    </row>
    <row r="3" spans="2:10">
      <c r="B3" s="6" t="s">
        <v>321</v>
      </c>
      <c r="C3" s="1"/>
      <c r="D3" s="1"/>
      <c r="E3" s="1"/>
      <c r="F3" s="1"/>
      <c r="G3" s="1"/>
      <c r="H3" s="1"/>
      <c r="I3" s="1"/>
    </row>
    <row r="4" spans="2:10">
      <c r="B4" s="6" t="s">
        <v>421</v>
      </c>
      <c r="C4" s="1"/>
      <c r="D4" s="1"/>
      <c r="E4" s="1"/>
      <c r="F4" s="1"/>
      <c r="G4" s="1"/>
      <c r="H4" s="1"/>
      <c r="I4" s="1"/>
    </row>
    <row r="5" spans="2:10" ht="5.0999999999999996" customHeight="1"/>
    <row r="6" spans="2:10">
      <c r="B6" s="404" t="s">
        <v>322</v>
      </c>
      <c r="C6" s="405">
        <f>'Historical Financials'!I8</f>
        <v>45657</v>
      </c>
      <c r="D6" s="180"/>
      <c r="E6" s="180"/>
      <c r="F6" s="180" t="s">
        <v>323</v>
      </c>
      <c r="G6" s="180"/>
      <c r="H6" s="406"/>
      <c r="I6" s="336" t="s">
        <v>324</v>
      </c>
    </row>
    <row r="7" spans="2:10">
      <c r="B7" s="172" t="s">
        <v>325</v>
      </c>
      <c r="C7" s="398">
        <f>EOMONTH(C6,12)</f>
        <v>46022</v>
      </c>
      <c r="F7" s="8" t="s">
        <v>326</v>
      </c>
      <c r="H7" s="399"/>
      <c r="I7" s="333" t="s">
        <v>327</v>
      </c>
    </row>
    <row r="8" spans="2:10">
      <c r="B8" s="172" t="s">
        <v>328</v>
      </c>
      <c r="C8" s="397"/>
      <c r="F8" s="8" t="s">
        <v>329</v>
      </c>
      <c r="H8" s="243"/>
      <c r="I8" s="333"/>
      <c r="J8" s="244"/>
    </row>
    <row r="9" spans="2:10">
      <c r="B9" s="172" t="s">
        <v>330</v>
      </c>
      <c r="C9" s="397">
        <v>45956</v>
      </c>
      <c r="F9" s="8" t="s">
        <v>331</v>
      </c>
      <c r="H9" s="400">
        <v>1</v>
      </c>
      <c r="I9" s="403"/>
      <c r="J9" s="244"/>
    </row>
    <row r="10" spans="2:10">
      <c r="B10" s="332" t="s">
        <v>332</v>
      </c>
      <c r="C10" s="401">
        <f>YEARFRAC(C9,C7)</f>
        <v>0.18055555555555555</v>
      </c>
      <c r="D10" s="330"/>
      <c r="E10" s="330"/>
      <c r="F10" s="330" t="s">
        <v>333</v>
      </c>
      <c r="G10" s="330"/>
      <c r="H10" s="402" t="str">
        <f>'3-Statement Model'!K6</f>
        <v>Base case</v>
      </c>
      <c r="I10" s="334"/>
    </row>
    <row r="11" spans="2:10">
      <c r="D11" s="246"/>
    </row>
    <row r="12" spans="2:10">
      <c r="B12" s="423" t="s">
        <v>334</v>
      </c>
      <c r="C12" s="371"/>
      <c r="D12" s="371"/>
      <c r="E12" s="371"/>
      <c r="F12" s="371"/>
      <c r="G12" s="371"/>
      <c r="H12" s="371"/>
      <c r="I12" s="371"/>
    </row>
    <row r="13" spans="2:10" ht="17.25" customHeight="1">
      <c r="C13" s="247" t="s">
        <v>10</v>
      </c>
      <c r="D13" s="247" t="s">
        <v>335</v>
      </c>
      <c r="E13" s="451" t="s">
        <v>336</v>
      </c>
      <c r="F13" s="247"/>
      <c r="G13" s="247"/>
      <c r="H13" s="247"/>
      <c r="I13" s="247"/>
    </row>
    <row r="14" spans="2:10">
      <c r="B14" s="99" t="s">
        <v>337</v>
      </c>
      <c r="C14" s="248">
        <f>C9</f>
        <v>45956</v>
      </c>
      <c r="D14" s="249">
        <f>C6</f>
        <v>45657</v>
      </c>
      <c r="E14" s="250">
        <f>EOMONTH(D14,12)</f>
        <v>46022</v>
      </c>
      <c r="F14" s="251">
        <f>EOMONTH(E14,12)</f>
        <v>46387</v>
      </c>
      <c r="G14" s="251">
        <f>EOMONTH(F14,12)</f>
        <v>46752</v>
      </c>
      <c r="H14" s="251">
        <f>EOMONTH(G14,12)</f>
        <v>47118</v>
      </c>
      <c r="I14" s="251">
        <f>EOMONTH(H14,12)</f>
        <v>47483</v>
      </c>
    </row>
    <row r="15" spans="2:10" ht="5.0999999999999996" customHeight="1">
      <c r="B15" s="99"/>
      <c r="D15" s="252"/>
      <c r="E15" s="253"/>
      <c r="F15" s="253"/>
      <c r="G15" s="253"/>
      <c r="H15" s="253"/>
      <c r="I15" s="253"/>
    </row>
    <row r="16" spans="2:10">
      <c r="B16" s="8" t="s">
        <v>32</v>
      </c>
      <c r="C16" s="255"/>
      <c r="D16" s="445"/>
      <c r="E16" s="254"/>
      <c r="F16" s="254"/>
      <c r="G16" s="254"/>
      <c r="H16" s="254"/>
      <c r="I16" s="254"/>
    </row>
    <row r="17" spans="2:13">
      <c r="B17" s="65" t="s">
        <v>338</v>
      </c>
      <c r="D17" s="446"/>
      <c r="E17" s="245" t="e">
        <f>SUM(E16/D16)-1</f>
        <v>#DIV/0!</v>
      </c>
      <c r="F17" s="245" t="e">
        <f>SUM(F16/E16)-1</f>
        <v>#DIV/0!</v>
      </c>
      <c r="G17" s="245" t="e">
        <f>SUM(G16/F16)-1</f>
        <v>#DIV/0!</v>
      </c>
      <c r="H17" s="245" t="e">
        <f>SUM(H16/G16)-1</f>
        <v>#DIV/0!</v>
      </c>
      <c r="I17" s="245" t="e">
        <f>SUM(I16/H16)-1</f>
        <v>#DIV/0!</v>
      </c>
    </row>
    <row r="18" spans="2:13">
      <c r="B18" s="8" t="s">
        <v>11</v>
      </c>
      <c r="C18" s="255"/>
      <c r="D18" s="445"/>
      <c r="E18" s="254"/>
      <c r="F18" s="254"/>
      <c r="G18" s="254"/>
      <c r="H18" s="254"/>
      <c r="I18" s="254"/>
    </row>
    <row r="19" spans="2:13">
      <c r="B19" s="65" t="s">
        <v>339</v>
      </c>
      <c r="D19" s="447" t="e">
        <f t="shared" ref="D19:I19" si="0">D18/D16</f>
        <v>#DIV/0!</v>
      </c>
      <c r="E19" s="245" t="e">
        <f t="shared" si="0"/>
        <v>#DIV/0!</v>
      </c>
      <c r="F19" s="245" t="e">
        <f t="shared" si="0"/>
        <v>#DIV/0!</v>
      </c>
      <c r="G19" s="245" t="e">
        <f t="shared" si="0"/>
        <v>#DIV/0!</v>
      </c>
      <c r="H19" s="245" t="e">
        <f t="shared" si="0"/>
        <v>#DIV/0!</v>
      </c>
      <c r="I19" s="245" t="e">
        <f t="shared" si="0"/>
        <v>#DIV/0!</v>
      </c>
    </row>
    <row r="20" spans="2:13">
      <c r="B20" s="8" t="s">
        <v>33</v>
      </c>
      <c r="C20" s="255"/>
      <c r="D20" s="445"/>
      <c r="E20" s="254"/>
      <c r="F20" s="254"/>
      <c r="G20" s="254"/>
      <c r="H20" s="254"/>
      <c r="I20" s="254"/>
    </row>
    <row r="21" spans="2:13">
      <c r="B21" s="65" t="s">
        <v>339</v>
      </c>
      <c r="D21" s="447" t="e">
        <f t="shared" ref="D21:I21" si="1">D20/D16</f>
        <v>#DIV/0!</v>
      </c>
      <c r="E21" s="245" t="e">
        <f t="shared" si="1"/>
        <v>#DIV/0!</v>
      </c>
      <c r="F21" s="245" t="e">
        <f t="shared" si="1"/>
        <v>#DIV/0!</v>
      </c>
      <c r="G21" s="245" t="e">
        <f t="shared" si="1"/>
        <v>#DIV/0!</v>
      </c>
      <c r="H21" s="245" t="e">
        <f t="shared" si="1"/>
        <v>#DIV/0!</v>
      </c>
      <c r="I21" s="245" t="e">
        <f t="shared" si="1"/>
        <v>#DIV/0!</v>
      </c>
    </row>
    <row r="22" spans="2:13" ht="5.0999999999999996" customHeight="1">
      <c r="B22" s="65"/>
      <c r="D22" s="445"/>
      <c r="E22" s="254"/>
      <c r="F22" s="254"/>
      <c r="G22" s="254"/>
      <c r="H22" s="254"/>
      <c r="I22" s="254"/>
    </row>
    <row r="23" spans="2:13">
      <c r="B23" s="8" t="s">
        <v>340</v>
      </c>
      <c r="D23" s="448"/>
      <c r="E23" s="255">
        <f>+E20*E24</f>
        <v>0</v>
      </c>
      <c r="F23" s="255">
        <f>+F20*F24</f>
        <v>0</v>
      </c>
      <c r="G23" s="255">
        <f>+G20*G24</f>
        <v>0</v>
      </c>
      <c r="H23" s="255">
        <f>+H20*H24</f>
        <v>0</v>
      </c>
      <c r="I23" s="255">
        <f>+I20*I24</f>
        <v>0</v>
      </c>
    </row>
    <row r="24" spans="2:13" s="344" customFormat="1" ht="15" customHeight="1">
      <c r="B24" s="412" t="s">
        <v>133</v>
      </c>
      <c r="D24" s="476" t="e">
        <f>D23/D20</f>
        <v>#DIV/0!</v>
      </c>
      <c r="E24" s="449"/>
      <c r="F24" s="450"/>
      <c r="G24" s="450"/>
      <c r="H24" s="450"/>
      <c r="I24" s="450"/>
    </row>
    <row r="25" spans="2:13">
      <c r="B25" s="431" t="s">
        <v>341</v>
      </c>
      <c r="C25" s="431"/>
      <c r="D25" s="453">
        <f>+D23+D20</f>
        <v>0</v>
      </c>
      <c r="E25" s="454">
        <f>E20*(1-E24)</f>
        <v>0</v>
      </c>
      <c r="F25" s="454">
        <f>F20*(1-F24)</f>
        <v>0</v>
      </c>
      <c r="G25" s="454">
        <f>G20*(1-G24)</f>
        <v>0</v>
      </c>
      <c r="H25" s="454">
        <f>H20*(1-H24)</f>
        <v>0</v>
      </c>
      <c r="I25" s="454">
        <f>I20*(1-I24)</f>
        <v>0</v>
      </c>
    </row>
    <row r="26" spans="2:13" ht="5.0999999999999996" customHeight="1">
      <c r="D26" s="255"/>
      <c r="E26" s="255"/>
      <c r="F26" s="255"/>
      <c r="G26" s="255"/>
      <c r="H26" s="255"/>
      <c r="I26" s="255"/>
    </row>
    <row r="27" spans="2:13">
      <c r="B27" s="8" t="s">
        <v>123</v>
      </c>
      <c r="D27" s="254">
        <f>'3-Statement Model'!F50</f>
        <v>0</v>
      </c>
      <c r="E27" s="254"/>
      <c r="F27" s="254"/>
      <c r="G27" s="254"/>
      <c r="H27" s="254"/>
      <c r="I27" s="254"/>
      <c r="M27" s="256"/>
    </row>
    <row r="28" spans="2:13">
      <c r="B28" s="8" t="s">
        <v>342</v>
      </c>
      <c r="D28" s="255"/>
      <c r="E28" s="255">
        <f>D34-E34</f>
        <v>0</v>
      </c>
      <c r="F28" s="255">
        <f>E34-F34</f>
        <v>0</v>
      </c>
      <c r="G28" s="255">
        <f>F34-G34</f>
        <v>0</v>
      </c>
      <c r="H28" s="255">
        <f>G34-H34</f>
        <v>0</v>
      </c>
      <c r="I28" s="255">
        <f>H34-I34</f>
        <v>0</v>
      </c>
      <c r="M28" s="256"/>
    </row>
    <row r="29" spans="2:13">
      <c r="B29" s="8" t="s">
        <v>158</v>
      </c>
      <c r="D29" s="254"/>
      <c r="E29" s="254"/>
      <c r="F29" s="254"/>
      <c r="G29" s="254"/>
      <c r="H29" s="254"/>
      <c r="I29" s="254"/>
      <c r="M29" s="256"/>
    </row>
    <row r="30" spans="2:13">
      <c r="B30" s="65" t="s">
        <v>177</v>
      </c>
      <c r="D30" s="254"/>
      <c r="E30" s="245" t="e">
        <f>E29/E16</f>
        <v>#DIV/0!</v>
      </c>
      <c r="F30" s="245" t="e">
        <f>F29/F16</f>
        <v>#DIV/0!</v>
      </c>
      <c r="G30" s="245" t="e">
        <f>G29/G16</f>
        <v>#DIV/0!</v>
      </c>
      <c r="H30" s="245" t="e">
        <f>H29/H16</f>
        <v>#DIV/0!</v>
      </c>
      <c r="I30" s="245" t="e">
        <f>I29/I16</f>
        <v>#DIV/0!</v>
      </c>
      <c r="M30" s="256"/>
    </row>
    <row r="31" spans="2:13" ht="5.0999999999999996" customHeight="1">
      <c r="D31" s="254"/>
      <c r="E31" s="254"/>
      <c r="F31" s="254"/>
      <c r="G31" s="254"/>
      <c r="H31" s="254"/>
      <c r="I31" s="254"/>
      <c r="M31" s="256"/>
    </row>
    <row r="32" spans="2:13">
      <c r="B32" s="416" t="s">
        <v>343</v>
      </c>
      <c r="C32" s="416"/>
      <c r="D32" s="452"/>
      <c r="E32" s="452">
        <f>+E25+E27+E28+E29</f>
        <v>0</v>
      </c>
      <c r="F32" s="452">
        <f>+F25+F27+F28+F29</f>
        <v>0</v>
      </c>
      <c r="G32" s="452">
        <f>+G25+G27+G28+G29</f>
        <v>0</v>
      </c>
      <c r="H32" s="452">
        <f>+H25+H27+H28+H29</f>
        <v>0</v>
      </c>
      <c r="I32" s="452">
        <f>+I25+I27+I28+I29</f>
        <v>0</v>
      </c>
      <c r="M32" s="257"/>
    </row>
    <row r="33" spans="2:13" ht="5.0999999999999996" customHeight="1">
      <c r="D33" s="254"/>
      <c r="M33" s="256"/>
    </row>
    <row r="34" spans="2:13">
      <c r="B34" s="8" t="s">
        <v>344</v>
      </c>
      <c r="D34" s="254"/>
      <c r="E34" s="254"/>
      <c r="F34" s="254"/>
      <c r="G34" s="254"/>
      <c r="H34" s="254"/>
      <c r="I34" s="254"/>
    </row>
    <row r="35" spans="2:13" ht="15" customHeight="1">
      <c r="B35" s="65" t="s">
        <v>177</v>
      </c>
      <c r="D35" s="245"/>
      <c r="E35" s="245" t="e">
        <f>+E34/E16</f>
        <v>#DIV/0!</v>
      </c>
      <c r="F35" s="245" t="e">
        <f>+F34/F16</f>
        <v>#DIV/0!</v>
      </c>
      <c r="G35" s="245" t="e">
        <f>+G34/G16</f>
        <v>#DIV/0!</v>
      </c>
      <c r="H35" s="245" t="e">
        <f>+H34/H16</f>
        <v>#DIV/0!</v>
      </c>
      <c r="I35" s="245" t="e">
        <f>+I34/I16</f>
        <v>#DIV/0!</v>
      </c>
      <c r="J35" s="254"/>
    </row>
    <row r="36" spans="2:13" ht="5.0999999999999996" customHeight="1">
      <c r="D36" s="254"/>
      <c r="E36" s="245"/>
      <c r="F36" s="245"/>
      <c r="G36" s="245"/>
      <c r="H36" s="245"/>
      <c r="I36" s="245"/>
      <c r="J36" s="254"/>
      <c r="K36" s="105"/>
      <c r="M36" s="245"/>
    </row>
    <row r="37" spans="2:13">
      <c r="B37" s="423" t="str">
        <f>"Present value of UFCF on "&amp;TEXT(C9,"mmm dd, yyyy")&amp;" valuation date"</f>
        <v>Present value of UFCF on Oct 26, 2025 valuation date</v>
      </c>
      <c r="C37" s="371"/>
      <c r="D37" s="371"/>
      <c r="E37" s="371"/>
      <c r="F37" s="371"/>
      <c r="G37" s="371"/>
      <c r="H37" s="371"/>
      <c r="I37" s="371"/>
      <c r="J37" s="254"/>
    </row>
    <row r="38" spans="2:13" ht="5.0999999999999996" customHeight="1">
      <c r="B38" s="437"/>
      <c r="C38" s="438"/>
      <c r="D38" s="438"/>
      <c r="E38" s="438"/>
      <c r="F38" s="438"/>
      <c r="G38" s="438"/>
      <c r="H38" s="438"/>
      <c r="I38" s="438"/>
      <c r="J38" s="254"/>
    </row>
    <row r="39" spans="2:13" ht="14.25">
      <c r="B39" s="38"/>
      <c r="D39" s="439" t="s">
        <v>345</v>
      </c>
      <c r="E39" s="439" t="s">
        <v>346</v>
      </c>
      <c r="F39" s="440" t="s">
        <v>347</v>
      </c>
      <c r="G39" s="440" t="s">
        <v>348</v>
      </c>
      <c r="H39" s="440" t="s">
        <v>349</v>
      </c>
      <c r="I39" s="440" t="s">
        <v>350</v>
      </c>
      <c r="J39" s="254"/>
    </row>
    <row r="40" spans="2:13">
      <c r="B40" s="8" t="s">
        <v>351</v>
      </c>
      <c r="D40" s="441">
        <f>C9</f>
        <v>45956</v>
      </c>
      <c r="E40" s="258">
        <f>IF($H$9=1,AVERAGE(E14,D40),E14)</f>
        <v>45989</v>
      </c>
      <c r="F40" s="258">
        <f>IF($H$9=1,AVERAGE(F14,E14),F14)</f>
        <v>46204.5</v>
      </c>
      <c r="G40" s="258">
        <f>IF($H$9=1,AVERAGE(G14,F14),G14)</f>
        <v>46569.5</v>
      </c>
      <c r="H40" s="258">
        <f>IF($H$9=1,AVERAGE(H14,G14),H14)</f>
        <v>46935</v>
      </c>
      <c r="I40" s="258">
        <f>IF($H$9=1,AVERAGE(I14,H14),I14)</f>
        <v>47300.5</v>
      </c>
      <c r="J40" s="254"/>
    </row>
    <row r="41" spans="2:13">
      <c r="B41" s="8" t="s">
        <v>352</v>
      </c>
      <c r="C41" s="259">
        <f>C10</f>
        <v>0.18055555555555555</v>
      </c>
      <c r="D41" s="256"/>
      <c r="E41" s="255">
        <f>E32*C41</f>
        <v>0</v>
      </c>
      <c r="F41" s="255">
        <f>F32</f>
        <v>0</v>
      </c>
      <c r="G41" s="255">
        <f>G32</f>
        <v>0</v>
      </c>
      <c r="H41" s="255">
        <f>H32</f>
        <v>0</v>
      </c>
      <c r="I41" s="255">
        <f>I32</f>
        <v>0</v>
      </c>
      <c r="J41" s="255"/>
      <c r="K41" s="8" t="s">
        <v>353</v>
      </c>
    </row>
    <row r="42" spans="2:13" s="344" customFormat="1">
      <c r="B42" s="434" t="s">
        <v>354</v>
      </c>
      <c r="C42" s="435"/>
      <c r="D42" s="436"/>
      <c r="E42" s="436">
        <f>E41/(1+$H$6)^((E40-$C$9)/365)</f>
        <v>0</v>
      </c>
      <c r="F42" s="436">
        <f>F41/(1+$H$6)^((F40-$C$9)/365)</f>
        <v>0</v>
      </c>
      <c r="G42" s="436">
        <f>G41/(1+$H$6)^((G40-$C$9)/365)</f>
        <v>0</v>
      </c>
      <c r="H42" s="436">
        <f>H41/(1+$H$6)^((H40-$C$9)/365)</f>
        <v>0</v>
      </c>
      <c r="I42" s="436">
        <f>I41/(1+$H$6)^((I40-$C$9)/365)</f>
        <v>0</v>
      </c>
      <c r="J42" s="433"/>
    </row>
    <row r="44" spans="2:13">
      <c r="B44" s="423" t="s">
        <v>355</v>
      </c>
      <c r="C44" s="371"/>
      <c r="E44" s="430" t="s">
        <v>356</v>
      </c>
      <c r="F44" s="371"/>
      <c r="G44" s="371"/>
      <c r="H44" s="371"/>
      <c r="I44" s="371"/>
    </row>
    <row r="45" spans="2:13" ht="5.0999999999999996" customHeight="1">
      <c r="B45" s="437"/>
      <c r="C45" s="438"/>
      <c r="E45" s="442"/>
      <c r="F45" s="438"/>
      <c r="G45" s="438"/>
      <c r="H45" s="438"/>
      <c r="I45" s="438"/>
    </row>
    <row r="46" spans="2:13">
      <c r="B46" s="8" t="s">
        <v>357</v>
      </c>
      <c r="C46" s="125"/>
      <c r="E46" s="8" t="s">
        <v>358</v>
      </c>
      <c r="I46" s="256">
        <f>I18</f>
        <v>0</v>
      </c>
      <c r="J46" s="256"/>
    </row>
    <row r="47" spans="2:13">
      <c r="B47" s="260" t="str">
        <f>YEAR(I14)&amp;" FCF x (1+g)"</f>
        <v>2029 FCF x (1+g)</v>
      </c>
      <c r="C47" s="256">
        <f>I41*(1+C46)</f>
        <v>0</v>
      </c>
      <c r="E47" s="8" t="s">
        <v>359</v>
      </c>
      <c r="I47" s="261"/>
      <c r="J47" s="261"/>
    </row>
    <row r="48" spans="2:13">
      <c r="B48" s="8" t="str">
        <f>"Terminal value in "&amp;YEAR(I14)</f>
        <v>Terminal value in 2029</v>
      </c>
      <c r="C48" s="256" t="e">
        <f>C47/(H6-C46)</f>
        <v>#DIV/0!</v>
      </c>
      <c r="E48" s="8" t="str">
        <f>"Terminal value in "&amp;YEAR(I14)</f>
        <v>Terminal value in 2029</v>
      </c>
      <c r="I48" s="256">
        <f>I46*I47</f>
        <v>0</v>
      </c>
      <c r="J48" s="256"/>
    </row>
    <row r="49" spans="2:10">
      <c r="B49" s="8" t="s">
        <v>360</v>
      </c>
      <c r="C49" s="256" t="e">
        <f>C48/(1+H6)^((I40-$D$40)/365)</f>
        <v>#DIV/0!</v>
      </c>
      <c r="E49" s="8" t="s">
        <v>360</v>
      </c>
      <c r="I49" s="256">
        <f>I48/(1+H6)^((I40-D40)/365)</f>
        <v>0</v>
      </c>
      <c r="J49" s="256"/>
    </row>
    <row r="50" spans="2:10">
      <c r="B50" s="8" t="s">
        <v>361</v>
      </c>
      <c r="C50" s="255">
        <f>SUM(E42:I42)</f>
        <v>0</v>
      </c>
      <c r="E50" s="8" t="s">
        <v>361</v>
      </c>
      <c r="I50" s="256">
        <f>C50</f>
        <v>0</v>
      </c>
      <c r="J50" s="256"/>
    </row>
    <row r="51" spans="2:10">
      <c r="B51" s="431" t="s">
        <v>362</v>
      </c>
      <c r="C51" s="432" t="e">
        <f>C50+C49</f>
        <v>#DIV/0!</v>
      </c>
      <c r="E51" s="431" t="s">
        <v>363</v>
      </c>
      <c r="F51" s="181"/>
      <c r="G51" s="181"/>
      <c r="H51" s="181"/>
      <c r="I51" s="432">
        <f>SUM(I49:I50)</f>
        <v>0</v>
      </c>
      <c r="J51" s="262"/>
    </row>
    <row r="52" spans="2:10" ht="5.0999999999999996" customHeight="1"/>
    <row r="53" spans="2:10">
      <c r="B53" s="263" t="s">
        <v>364</v>
      </c>
      <c r="C53" s="264" t="e">
        <f>C49/$C$51</f>
        <v>#DIV/0!</v>
      </c>
      <c r="E53" s="263" t="s">
        <v>364</v>
      </c>
      <c r="I53" s="264" t="e">
        <f>+I49/I51</f>
        <v>#DIV/0!</v>
      </c>
      <c r="J53" s="264"/>
    </row>
    <row r="54" spans="2:10">
      <c r="B54" s="263" t="s">
        <v>365</v>
      </c>
      <c r="C54" s="264" t="e">
        <f>1-C53</f>
        <v>#DIV/0!</v>
      </c>
      <c r="E54" s="263" t="s">
        <v>366</v>
      </c>
      <c r="G54" s="265"/>
      <c r="I54" s="130" t="e">
        <f>1-I53</f>
        <v>#DIV/0!</v>
      </c>
      <c r="J54" s="130"/>
    </row>
    <row r="55" spans="2:10">
      <c r="B55" s="263" t="s">
        <v>367</v>
      </c>
      <c r="C55" s="266" t="e">
        <f>(C48/I18)</f>
        <v>#DIV/0!</v>
      </c>
      <c r="E55" s="8" t="s">
        <v>368</v>
      </c>
      <c r="I55" s="267" t="e">
        <f>(H6-I41/I48)/(1+I41/I48)</f>
        <v>#DIV/0!</v>
      </c>
      <c r="J55" s="267"/>
    </row>
    <row r="56" spans="2:10">
      <c r="B56" s="263"/>
      <c r="C56" s="99"/>
      <c r="D56" s="266"/>
      <c r="I56" s="267"/>
      <c r="J56" s="267"/>
    </row>
    <row r="57" spans="2:10">
      <c r="B57" s="423" t="s">
        <v>369</v>
      </c>
      <c r="C57" s="371"/>
      <c r="E57" s="430" t="s">
        <v>370</v>
      </c>
      <c r="F57" s="371"/>
      <c r="G57" s="423"/>
      <c r="H57" s="371"/>
      <c r="I57" s="423"/>
    </row>
    <row r="58" spans="2:10">
      <c r="B58" s="8" t="s">
        <v>371</v>
      </c>
      <c r="C58" s="243"/>
    </row>
    <row r="59" spans="2:10">
      <c r="B59" s="107" t="s">
        <v>372</v>
      </c>
      <c r="C59" s="258"/>
      <c r="G59" s="110" t="s">
        <v>371</v>
      </c>
      <c r="H59" s="268" t="s">
        <v>373</v>
      </c>
      <c r="I59" s="268" t="s">
        <v>374</v>
      </c>
    </row>
    <row r="60" spans="2:10">
      <c r="B60" s="269" t="s">
        <v>375</v>
      </c>
      <c r="C60" s="270"/>
      <c r="E60" s="344" t="s">
        <v>92</v>
      </c>
      <c r="G60" s="243"/>
      <c r="H60" s="243"/>
      <c r="I60" s="271"/>
      <c r="J60" s="271"/>
    </row>
    <row r="61" spans="2:10">
      <c r="B61" s="65" t="s">
        <v>22</v>
      </c>
      <c r="C61" s="165"/>
      <c r="E61" s="345" t="s">
        <v>376</v>
      </c>
      <c r="G61" s="243"/>
      <c r="H61" s="243"/>
      <c r="I61" s="271"/>
      <c r="J61" s="205"/>
    </row>
    <row r="62" spans="2:10">
      <c r="B62" s="65" t="s">
        <v>377</v>
      </c>
      <c r="C62" s="229"/>
      <c r="E62" s="345" t="s">
        <v>378</v>
      </c>
      <c r="G62" s="243"/>
      <c r="H62" s="243"/>
      <c r="I62" s="418"/>
    </row>
    <row r="63" spans="2:10">
      <c r="B63" s="65" t="s">
        <v>379</v>
      </c>
      <c r="C63" s="229"/>
      <c r="E63" s="344" t="s">
        <v>377</v>
      </c>
      <c r="G63" s="243"/>
      <c r="H63" s="243"/>
      <c r="I63" s="429"/>
    </row>
    <row r="64" spans="2:10">
      <c r="B64" s="272" t="s">
        <v>380</v>
      </c>
      <c r="C64" s="104"/>
      <c r="E64" s="344" t="s">
        <v>381</v>
      </c>
      <c r="G64" s="243"/>
      <c r="H64" s="243"/>
      <c r="I64" s="429"/>
    </row>
    <row r="65" spans="2:10">
      <c r="B65" s="269" t="s">
        <v>382</v>
      </c>
      <c r="E65" s="177" t="s">
        <v>383</v>
      </c>
      <c r="F65" s="180"/>
      <c r="G65" s="180"/>
      <c r="H65" s="180"/>
      <c r="I65" s="324">
        <f>SUM(I60:I64)</f>
        <v>0</v>
      </c>
      <c r="J65" s="235"/>
    </row>
    <row r="66" spans="2:10">
      <c r="B66" s="273" t="s">
        <v>384</v>
      </c>
      <c r="C66" s="165"/>
      <c r="J66" s="223"/>
    </row>
    <row r="67" spans="2:10">
      <c r="B67" s="273" t="s">
        <v>385</v>
      </c>
      <c r="C67" s="104"/>
      <c r="J67" s="223"/>
    </row>
    <row r="68" spans="2:10">
      <c r="B68" s="434" t="s">
        <v>369</v>
      </c>
      <c r="C68" s="443">
        <f>SUM(C61:C64)-SUM(C66:C67)</f>
        <v>0</v>
      </c>
    </row>
    <row r="70" spans="2:10">
      <c r="B70" s="423" t="s">
        <v>386</v>
      </c>
      <c r="C70" s="371"/>
      <c r="D70" s="423"/>
    </row>
    <row r="71" spans="2:10" ht="5.0999999999999996" customHeight="1">
      <c r="B71" s="437"/>
      <c r="C71" s="438"/>
      <c r="D71" s="437"/>
    </row>
    <row r="72" spans="2:10" ht="14.25">
      <c r="C72" s="426" t="s">
        <v>36</v>
      </c>
      <c r="D72" s="426" t="s">
        <v>11</v>
      </c>
    </row>
    <row r="73" spans="2:10">
      <c r="B73" s="8" t="s">
        <v>387</v>
      </c>
      <c r="C73" s="274" t="e">
        <f>C51</f>
        <v>#DIV/0!</v>
      </c>
      <c r="D73" s="274">
        <f>I51</f>
        <v>0</v>
      </c>
    </row>
    <row r="74" spans="2:10">
      <c r="B74" s="8" t="s">
        <v>369</v>
      </c>
      <c r="C74" s="275">
        <f>$C$68</f>
        <v>0</v>
      </c>
      <c r="D74" s="275">
        <f>C74</f>
        <v>0</v>
      </c>
    </row>
    <row r="75" spans="2:10">
      <c r="B75" s="8" t="s">
        <v>388</v>
      </c>
      <c r="C75" s="276" t="e">
        <f>C73-C74</f>
        <v>#DIV/0!</v>
      </c>
      <c r="D75" s="276">
        <f>D73-D74</f>
        <v>0</v>
      </c>
    </row>
    <row r="76" spans="2:10">
      <c r="B76" s="8" t="s">
        <v>370</v>
      </c>
      <c r="C76" s="276">
        <f>$I$65</f>
        <v>0</v>
      </c>
      <c r="D76" s="276">
        <f>C76</f>
        <v>0</v>
      </c>
    </row>
    <row r="77" spans="2:10">
      <c r="B77" s="416" t="s">
        <v>389</v>
      </c>
      <c r="C77" s="444" t="e">
        <f>C75/C76</f>
        <v>#DIV/0!</v>
      </c>
      <c r="D77" s="444" t="e">
        <f>D75/D76</f>
        <v>#DIV/0!</v>
      </c>
    </row>
    <row r="79" spans="2:10" ht="14.25">
      <c r="C79" s="247" t="s">
        <v>390</v>
      </c>
      <c r="D79" s="247"/>
    </row>
    <row r="80" spans="2:10">
      <c r="B80" s="110"/>
      <c r="C80" s="268" t="s">
        <v>36</v>
      </c>
      <c r="D80" s="268" t="s">
        <v>11</v>
      </c>
    </row>
    <row r="81" spans="2:17">
      <c r="B81" s="8" t="s">
        <v>391</v>
      </c>
      <c r="C81" s="277" t="e">
        <f>C$73/$C$16</f>
        <v>#DIV/0!</v>
      </c>
      <c r="D81" s="277" t="e">
        <f>D$73/$C$16</f>
        <v>#DIV/0!</v>
      </c>
    </row>
    <row r="82" spans="2:17">
      <c r="B82" s="8" t="s">
        <v>392</v>
      </c>
      <c r="C82" s="278" t="e">
        <f>C73/$C$18</f>
        <v>#DIV/0!</v>
      </c>
      <c r="D82" s="278" t="e">
        <f>D73/$C$18</f>
        <v>#DIV/0!</v>
      </c>
    </row>
    <row r="83" spans="2:17">
      <c r="B83" s="255" t="s">
        <v>393</v>
      </c>
      <c r="C83" s="278" t="e">
        <f>C73/$C$20</f>
        <v>#DIV/0!</v>
      </c>
      <c r="D83" s="278" t="e">
        <f>D73/$C$20</f>
        <v>#DIV/0!</v>
      </c>
    </row>
    <row r="84" spans="2:17" ht="14.25">
      <c r="B84" s="255"/>
      <c r="C84" s="247" t="s">
        <v>394</v>
      </c>
      <c r="D84" s="247"/>
      <c r="E84" s="279"/>
      <c r="F84" s="279"/>
    </row>
    <row r="85" spans="2:17">
      <c r="B85" s="110"/>
      <c r="C85" s="268" t="s">
        <v>36</v>
      </c>
      <c r="D85" s="268" t="s">
        <v>11</v>
      </c>
      <c r="E85" s="279"/>
      <c r="F85" s="279"/>
    </row>
    <row r="86" spans="2:17">
      <c r="B86" s="8" t="s">
        <v>391</v>
      </c>
      <c r="C86" s="280" t="e">
        <f>C73/$E$16</f>
        <v>#DIV/0!</v>
      </c>
      <c r="D86" s="280" t="e">
        <f>D73/$E$16</f>
        <v>#DIV/0!</v>
      </c>
      <c r="E86" s="279"/>
      <c r="F86" s="279"/>
    </row>
    <row r="87" spans="2:17">
      <c r="B87" s="8" t="s">
        <v>392</v>
      </c>
      <c r="C87" s="279" t="e">
        <f>C73/$E$18</f>
        <v>#DIV/0!</v>
      </c>
      <c r="D87" s="279" t="e">
        <f>D73/$E$18</f>
        <v>#DIV/0!</v>
      </c>
      <c r="E87" s="279"/>
      <c r="F87" s="279"/>
    </row>
    <row r="88" spans="2:17">
      <c r="B88" s="255" t="s">
        <v>393</v>
      </c>
      <c r="C88" s="279" t="e">
        <f>C73/$E$20</f>
        <v>#DIV/0!</v>
      </c>
      <c r="D88" s="279" t="e">
        <f>D73/$E$20</f>
        <v>#DIV/0!</v>
      </c>
      <c r="E88" s="279"/>
      <c r="F88" s="279"/>
    </row>
    <row r="90" spans="2:17">
      <c r="B90" s="237" t="s">
        <v>395</v>
      </c>
      <c r="C90" s="237"/>
      <c r="D90" s="237"/>
      <c r="E90" s="237"/>
      <c r="F90" s="237"/>
      <c r="G90" s="237"/>
      <c r="H90" s="237"/>
      <c r="I90" s="237"/>
      <c r="J90" s="237"/>
      <c r="K90" s="237"/>
      <c r="L90" s="237"/>
      <c r="M90" s="237"/>
      <c r="N90" s="237"/>
      <c r="O90" s="237"/>
      <c r="P90" s="237"/>
      <c r="Q90" s="237"/>
    </row>
    <row r="91" spans="2:17">
      <c r="B91" s="38"/>
    </row>
    <row r="92" spans="2:17" ht="17.25" customHeight="1">
      <c r="B92" s="281"/>
      <c r="C92" s="38"/>
      <c r="D92" s="282" t="s">
        <v>389</v>
      </c>
      <c r="E92" s="247"/>
      <c r="F92" s="247"/>
      <c r="G92" s="247"/>
      <c r="H92" s="247"/>
      <c r="I92" s="247"/>
      <c r="J92" s="283"/>
      <c r="L92" s="282" t="s">
        <v>396</v>
      </c>
      <c r="M92" s="247"/>
      <c r="N92" s="247"/>
      <c r="O92" s="247"/>
      <c r="P92" s="247"/>
      <c r="Q92" s="247"/>
    </row>
    <row r="93" spans="2:17" ht="15" customHeight="1">
      <c r="B93" s="281"/>
      <c r="D93" s="107"/>
      <c r="E93" s="212" t="s">
        <v>397</v>
      </c>
      <c r="F93" s="212"/>
      <c r="G93" s="212"/>
      <c r="H93" s="212"/>
      <c r="I93" s="212"/>
      <c r="J93" s="284"/>
      <c r="L93" s="107"/>
      <c r="M93" s="212"/>
      <c r="N93" s="212"/>
      <c r="O93" s="212"/>
      <c r="P93" s="212"/>
      <c r="Q93" s="212"/>
    </row>
    <row r="94" spans="2:17" ht="15" customHeight="1">
      <c r="B94" s="281"/>
      <c r="C94" s="156"/>
      <c r="D94" s="285" t="e">
        <f>C77</f>
        <v>#DIV/0!</v>
      </c>
      <c r="E94" s="286">
        <f>F94-0.005</f>
        <v>1.9999999999999997E-2</v>
      </c>
      <c r="F94" s="287">
        <f>G94-0.005</f>
        <v>2.4999999999999998E-2</v>
      </c>
      <c r="G94" s="288">
        <v>0.03</v>
      </c>
      <c r="H94" s="287">
        <f>G94+0.005</f>
        <v>3.4999999999999996E-2</v>
      </c>
      <c r="I94" s="287">
        <f>H94+0.005</f>
        <v>3.9999999999999994E-2</v>
      </c>
      <c r="J94" s="289"/>
      <c r="L94" s="290" t="e">
        <f>C82</f>
        <v>#DIV/0!</v>
      </c>
      <c r="M94" s="287">
        <f>N94-0.005</f>
        <v>1.9999999999999997E-2</v>
      </c>
      <c r="N94" s="287">
        <f>O94-0.005</f>
        <v>2.4999999999999998E-2</v>
      </c>
      <c r="O94" s="288">
        <v>0.03</v>
      </c>
      <c r="P94" s="287">
        <f>O94+0.005</f>
        <v>3.4999999999999996E-2</v>
      </c>
      <c r="Q94" s="291">
        <f>P94+0.005</f>
        <v>3.9999999999999994E-2</v>
      </c>
    </row>
    <row r="95" spans="2:17" ht="15" customHeight="1">
      <c r="B95" s="281"/>
      <c r="D95" s="292">
        <f>D96+0.01</f>
        <v>0.10999999999999999</v>
      </c>
      <c r="E95" s="293">
        <v>20.680633001583054</v>
      </c>
      <c r="F95" s="293">
        <v>20.680633001583054</v>
      </c>
      <c r="G95" s="293">
        <v>20.680633001583054</v>
      </c>
      <c r="H95" s="293">
        <v>20.680633001583054</v>
      </c>
      <c r="I95" s="293">
        <v>20.680633001583054</v>
      </c>
      <c r="J95" s="294"/>
      <c r="L95" s="292">
        <f>L96+0.01</f>
        <v>0.10999999999999999</v>
      </c>
      <c r="M95" s="295" t="e">
        <v>#DIV/0!</v>
      </c>
      <c r="N95" s="295" t="e">
        <v>#DIV/0!</v>
      </c>
      <c r="O95" s="295" t="e">
        <v>#DIV/0!</v>
      </c>
      <c r="P95" s="295" t="e">
        <v>#DIV/0!</v>
      </c>
      <c r="Q95" s="295" t="e">
        <v>#DIV/0!</v>
      </c>
    </row>
    <row r="96" spans="2:17" ht="15" customHeight="1">
      <c r="B96" s="281"/>
      <c r="D96" s="292">
        <f>D97+0.01</f>
        <v>9.9999999999999992E-2</v>
      </c>
      <c r="E96" s="293">
        <v>20.680633001583054</v>
      </c>
      <c r="F96" s="293">
        <v>20.680633001583054</v>
      </c>
      <c r="G96" s="293">
        <v>20.680633001583054</v>
      </c>
      <c r="H96" s="293">
        <v>20.680633001583054</v>
      </c>
      <c r="I96" s="293">
        <v>20.680633001583054</v>
      </c>
      <c r="J96" s="294"/>
      <c r="L96" s="292">
        <f>L97+0.01</f>
        <v>9.9999999999999992E-2</v>
      </c>
      <c r="M96" s="295" t="e">
        <v>#DIV/0!</v>
      </c>
      <c r="N96" s="295" t="e">
        <v>#DIV/0!</v>
      </c>
      <c r="O96" s="295" t="e">
        <v>#DIV/0!</v>
      </c>
      <c r="P96" s="295" t="e">
        <v>#DIV/0!</v>
      </c>
      <c r="Q96" s="295" t="e">
        <v>#DIV/0!</v>
      </c>
    </row>
    <row r="97" spans="2:17" ht="15" customHeight="1">
      <c r="B97" s="281"/>
      <c r="C97" s="156" t="s">
        <v>398</v>
      </c>
      <c r="D97" s="296">
        <v>0.09</v>
      </c>
      <c r="E97" s="293">
        <v>20.680633001583054</v>
      </c>
      <c r="F97" s="293">
        <v>20.680633001583054</v>
      </c>
      <c r="G97" s="293">
        <v>20.680633001583054</v>
      </c>
      <c r="H97" s="293">
        <v>20.680633001583054</v>
      </c>
      <c r="I97" s="293">
        <v>20.680633001583054</v>
      </c>
      <c r="J97" s="294"/>
      <c r="K97" s="156" t="s">
        <v>398</v>
      </c>
      <c r="L97" s="296">
        <v>0.09</v>
      </c>
      <c r="M97" s="295" t="e">
        <v>#DIV/0!</v>
      </c>
      <c r="N97" s="295" t="e">
        <v>#DIV/0!</v>
      </c>
      <c r="O97" s="295" t="e">
        <v>#DIV/0!</v>
      </c>
      <c r="P97" s="295" t="e">
        <v>#DIV/0!</v>
      </c>
      <c r="Q97" s="295" t="e">
        <v>#DIV/0!</v>
      </c>
    </row>
    <row r="98" spans="2:17" ht="15" customHeight="1">
      <c r="B98" s="281"/>
      <c r="D98" s="292">
        <f>D97-0.01</f>
        <v>0.08</v>
      </c>
      <c r="E98" s="293">
        <v>20.680633001583054</v>
      </c>
      <c r="F98" s="293">
        <v>20.680633001583054</v>
      </c>
      <c r="G98" s="293">
        <v>20.680633001583054</v>
      </c>
      <c r="H98" s="293">
        <v>20.680633001583054</v>
      </c>
      <c r="I98" s="293">
        <v>20.680633001583054</v>
      </c>
      <c r="J98" s="294"/>
      <c r="L98" s="292">
        <f>L97-0.01</f>
        <v>0.08</v>
      </c>
      <c r="M98" s="295" t="e">
        <v>#DIV/0!</v>
      </c>
      <c r="N98" s="295" t="e">
        <v>#DIV/0!</v>
      </c>
      <c r="O98" s="295" t="e">
        <v>#DIV/0!</v>
      </c>
      <c r="P98" s="295" t="e">
        <v>#DIV/0!</v>
      </c>
      <c r="Q98" s="295" t="e">
        <v>#DIV/0!</v>
      </c>
    </row>
    <row r="99" spans="2:17" ht="15" customHeight="1">
      <c r="B99" s="297" t="s">
        <v>399</v>
      </c>
      <c r="D99" s="298">
        <f>D98-0.01</f>
        <v>7.0000000000000007E-2</v>
      </c>
      <c r="E99" s="293">
        <v>20.680633001583054</v>
      </c>
      <c r="F99" s="293">
        <v>20.680633001583054</v>
      </c>
      <c r="G99" s="293">
        <v>20.680633001583054</v>
      </c>
      <c r="H99" s="293">
        <v>20.680633001583054</v>
      </c>
      <c r="I99" s="293">
        <v>20.680633001583054</v>
      </c>
      <c r="J99" s="294"/>
      <c r="L99" s="298">
        <f>L98-0.01</f>
        <v>7.0000000000000007E-2</v>
      </c>
      <c r="M99" s="295" t="e">
        <v>#DIV/0!</v>
      </c>
      <c r="N99" s="295" t="e">
        <v>#DIV/0!</v>
      </c>
      <c r="O99" s="295" t="e">
        <v>#DIV/0!</v>
      </c>
      <c r="P99" s="295" t="e">
        <v>#DIV/0!</v>
      </c>
      <c r="Q99" s="295" t="e">
        <v>#DIV/0!</v>
      </c>
    </row>
    <row r="100" spans="2:17" ht="15" customHeight="1">
      <c r="B100" s="297" t="s">
        <v>400</v>
      </c>
      <c r="E100" s="299"/>
      <c r="F100" s="299"/>
      <c r="G100" s="299"/>
      <c r="H100" s="299"/>
      <c r="I100" s="299"/>
      <c r="J100" s="300"/>
    </row>
    <row r="101" spans="2:17" ht="17.25" customHeight="1">
      <c r="B101" s="281"/>
      <c r="D101" s="282" t="s">
        <v>389</v>
      </c>
      <c r="E101" s="247"/>
      <c r="F101" s="247"/>
      <c r="G101" s="247"/>
      <c r="H101" s="247"/>
      <c r="I101" s="247"/>
      <c r="J101" s="283"/>
      <c r="L101" s="282" t="s">
        <v>396</v>
      </c>
      <c r="M101" s="247"/>
      <c r="N101" s="247"/>
      <c r="O101" s="247"/>
      <c r="P101" s="247"/>
      <c r="Q101" s="247"/>
    </row>
    <row r="102" spans="2:17" ht="15" customHeight="1">
      <c r="B102" s="281"/>
      <c r="E102" s="212" t="s">
        <v>401</v>
      </c>
      <c r="F102" s="212"/>
      <c r="G102" s="212"/>
      <c r="H102" s="212"/>
      <c r="I102" s="212"/>
      <c r="J102" s="284"/>
      <c r="M102" s="212" t="s">
        <v>401</v>
      </c>
      <c r="N102" s="212"/>
      <c r="O102" s="212"/>
      <c r="P102" s="212"/>
      <c r="Q102" s="212"/>
    </row>
    <row r="103" spans="2:17" ht="15" customHeight="1">
      <c r="B103" s="281"/>
      <c r="D103" s="301" t="e">
        <f>D77</f>
        <v>#DIV/0!</v>
      </c>
      <c r="E103" s="302">
        <f>F103-1</f>
        <v>11</v>
      </c>
      <c r="F103" s="302">
        <f>G103-1</f>
        <v>12</v>
      </c>
      <c r="G103" s="303">
        <v>13</v>
      </c>
      <c r="H103" s="302">
        <f>G103+1</f>
        <v>14</v>
      </c>
      <c r="I103" s="302">
        <f>H103+1</f>
        <v>15</v>
      </c>
      <c r="J103" s="304"/>
      <c r="L103" s="290" t="e">
        <f>D82</f>
        <v>#DIV/0!</v>
      </c>
      <c r="M103" s="302">
        <f>N103-1</f>
        <v>11</v>
      </c>
      <c r="N103" s="302">
        <f>O103-1</f>
        <v>12</v>
      </c>
      <c r="O103" s="303">
        <v>13</v>
      </c>
      <c r="P103" s="302">
        <f>O103+1</f>
        <v>14</v>
      </c>
      <c r="Q103" s="305">
        <f>P103+1</f>
        <v>15</v>
      </c>
    </row>
    <row r="104" spans="2:17" ht="15" customHeight="1">
      <c r="B104" s="281"/>
      <c r="D104" s="292">
        <f>D105+0.01</f>
        <v>0.10999999999999999</v>
      </c>
      <c r="E104" s="293">
        <v>20.680633001583054</v>
      </c>
      <c r="F104" s="293">
        <v>20.680633001583054</v>
      </c>
      <c r="G104" s="293">
        <v>20.680633001583054</v>
      </c>
      <c r="H104" s="293">
        <v>20.680633001583054</v>
      </c>
      <c r="I104" s="293">
        <v>20.680633001583054</v>
      </c>
      <c r="J104" s="294"/>
      <c r="L104" s="292">
        <f>L105+0.01</f>
        <v>0.10999999999999999</v>
      </c>
      <c r="M104" s="295" t="e">
        <v>#DIV/0!</v>
      </c>
      <c r="N104" s="295" t="e">
        <v>#DIV/0!</v>
      </c>
      <c r="O104" s="295" t="e">
        <v>#DIV/0!</v>
      </c>
      <c r="P104" s="295" t="e">
        <v>#DIV/0!</v>
      </c>
      <c r="Q104" s="295" t="e">
        <v>#DIV/0!</v>
      </c>
    </row>
    <row r="105" spans="2:17" ht="15" customHeight="1">
      <c r="B105" s="281"/>
      <c r="D105" s="292">
        <f>D106+0.01</f>
        <v>9.9999999999999992E-2</v>
      </c>
      <c r="E105" s="293">
        <v>20.680633001583054</v>
      </c>
      <c r="F105" s="293">
        <v>20.680633001583054</v>
      </c>
      <c r="G105" s="293">
        <v>20.680633001583054</v>
      </c>
      <c r="H105" s="293">
        <v>20.680633001583054</v>
      </c>
      <c r="I105" s="293">
        <v>20.680633001583054</v>
      </c>
      <c r="J105" s="294"/>
      <c r="L105" s="292">
        <f>L106+0.01</f>
        <v>9.9999999999999992E-2</v>
      </c>
      <c r="M105" s="295" t="e">
        <v>#DIV/0!</v>
      </c>
      <c r="N105" s="295" t="e">
        <v>#DIV/0!</v>
      </c>
      <c r="O105" s="295" t="e">
        <v>#DIV/0!</v>
      </c>
      <c r="P105" s="295" t="e">
        <v>#DIV/0!</v>
      </c>
      <c r="Q105" s="295" t="e">
        <v>#DIV/0!</v>
      </c>
    </row>
    <row r="106" spans="2:17" ht="15" customHeight="1">
      <c r="B106" s="281"/>
      <c r="C106" s="156" t="s">
        <v>398</v>
      </c>
      <c r="D106" s="296">
        <v>0.09</v>
      </c>
      <c r="E106" s="293">
        <v>20.680633001583054</v>
      </c>
      <c r="F106" s="293">
        <v>20.680633001583054</v>
      </c>
      <c r="G106" s="293">
        <v>20.680633001583054</v>
      </c>
      <c r="H106" s="293">
        <v>20.680633001583054</v>
      </c>
      <c r="I106" s="293">
        <v>20.680633001583054</v>
      </c>
      <c r="J106" s="294"/>
      <c r="K106" s="156" t="s">
        <v>398</v>
      </c>
      <c r="L106" s="296">
        <v>0.09</v>
      </c>
      <c r="M106" s="295" t="e">
        <v>#DIV/0!</v>
      </c>
      <c r="N106" s="295" t="e">
        <v>#DIV/0!</v>
      </c>
      <c r="O106" s="295" t="e">
        <v>#DIV/0!</v>
      </c>
      <c r="P106" s="295" t="e">
        <v>#DIV/0!</v>
      </c>
      <c r="Q106" s="295" t="e">
        <v>#DIV/0!</v>
      </c>
    </row>
    <row r="107" spans="2:17" ht="15" customHeight="1">
      <c r="B107" s="281"/>
      <c r="D107" s="292">
        <f>D106-0.01</f>
        <v>0.08</v>
      </c>
      <c r="E107" s="293">
        <v>20.680633001583054</v>
      </c>
      <c r="F107" s="293">
        <v>20.680633001583054</v>
      </c>
      <c r="G107" s="293">
        <v>20.680633001583054</v>
      </c>
      <c r="H107" s="293">
        <v>20.680633001583054</v>
      </c>
      <c r="I107" s="293">
        <v>20.680633001583054</v>
      </c>
      <c r="J107" s="294"/>
      <c r="L107" s="292">
        <f>L106-0.01</f>
        <v>0.08</v>
      </c>
      <c r="M107" s="295" t="e">
        <v>#DIV/0!</v>
      </c>
      <c r="N107" s="295" t="e">
        <v>#DIV/0!</v>
      </c>
      <c r="O107" s="295" t="e">
        <v>#DIV/0!</v>
      </c>
      <c r="P107" s="295" t="e">
        <v>#DIV/0!</v>
      </c>
      <c r="Q107" s="295" t="e">
        <v>#DIV/0!</v>
      </c>
    </row>
    <row r="108" spans="2:17" ht="15" customHeight="1">
      <c r="B108" s="281"/>
      <c r="D108" s="298">
        <f>D107-0.01</f>
        <v>7.0000000000000007E-2</v>
      </c>
      <c r="E108" s="293">
        <v>20.680633001583054</v>
      </c>
      <c r="F108" s="293">
        <v>20.680633001583054</v>
      </c>
      <c r="G108" s="293">
        <v>20.680633001583054</v>
      </c>
      <c r="H108" s="293">
        <v>20.680633001583054</v>
      </c>
      <c r="I108" s="293">
        <v>20.680633001583054</v>
      </c>
      <c r="J108" s="294"/>
      <c r="L108" s="298">
        <f>L107-0.01</f>
        <v>7.0000000000000007E-2</v>
      </c>
      <c r="M108" s="295" t="e">
        <v>#DIV/0!</v>
      </c>
      <c r="N108" s="295" t="e">
        <v>#DIV/0!</v>
      </c>
      <c r="O108" s="295" t="e">
        <v>#DIV/0!</v>
      </c>
      <c r="P108" s="295" t="e">
        <v>#DIV/0!</v>
      </c>
      <c r="Q108" s="295" t="e">
        <v>#DIV/0!</v>
      </c>
    </row>
    <row r="109" spans="2:17">
      <c r="J109" s="306"/>
    </row>
    <row r="110" spans="2:17">
      <c r="B110" s="307" t="s">
        <v>402</v>
      </c>
      <c r="C110" s="307"/>
      <c r="D110" s="307"/>
      <c r="E110" s="307"/>
      <c r="G110" s="307" t="s">
        <v>403</v>
      </c>
      <c r="H110" s="307"/>
      <c r="I110" s="307"/>
      <c r="J110" s="308"/>
      <c r="K110" s="307"/>
      <c r="L110" s="307"/>
      <c r="M110" s="307"/>
      <c r="N110" s="307"/>
      <c r="O110" s="307"/>
      <c r="P110" s="307"/>
    </row>
    <row r="111" spans="2:17">
      <c r="J111" s="306"/>
    </row>
    <row r="112" spans="2:17">
      <c r="J112" s="306"/>
    </row>
    <row r="113" spans="10:13">
      <c r="J113" s="306"/>
    </row>
    <row r="114" spans="10:13">
      <c r="J114" s="306"/>
    </row>
    <row r="115" spans="10:13">
      <c r="J115" s="306"/>
    </row>
    <row r="116" spans="10:13">
      <c r="J116" s="306"/>
    </row>
    <row r="117" spans="10:13">
      <c r="J117" s="306"/>
    </row>
    <row r="118" spans="10:13">
      <c r="J118" s="306"/>
    </row>
    <row r="119" spans="10:13">
      <c r="J119" s="306"/>
    </row>
    <row r="120" spans="10:13">
      <c r="J120" s="306"/>
    </row>
    <row r="121" spans="10:13">
      <c r="J121" s="306"/>
    </row>
    <row r="122" spans="10:13">
      <c r="J122" s="306"/>
    </row>
    <row r="123" spans="10:13">
      <c r="J123" s="306"/>
    </row>
    <row r="124" spans="10:13">
      <c r="J124" s="306"/>
      <c r="M124" s="309"/>
    </row>
    <row r="125" spans="10:13">
      <c r="J125" s="306"/>
    </row>
    <row r="126" spans="10:13">
      <c r="J126" s="306"/>
    </row>
    <row r="127" spans="10:13">
      <c r="J127" s="306"/>
    </row>
    <row r="128" spans="10:13">
      <c r="J128" s="306"/>
    </row>
    <row r="129" spans="2:17">
      <c r="J129" s="306"/>
    </row>
    <row r="130" spans="2:17">
      <c r="J130" s="306"/>
    </row>
    <row r="131" spans="2:17">
      <c r="B131" s="310"/>
      <c r="C131" s="311" t="s">
        <v>404</v>
      </c>
      <c r="D131" s="311" t="s">
        <v>405</v>
      </c>
      <c r="E131" s="312" t="s">
        <v>251</v>
      </c>
      <c r="G131" s="310"/>
      <c r="H131" s="204"/>
      <c r="I131" s="204"/>
      <c r="J131" s="313"/>
      <c r="K131" s="204"/>
      <c r="L131" s="204"/>
      <c r="M131" s="204"/>
      <c r="N131" s="204"/>
      <c r="O131" s="311" t="s">
        <v>404</v>
      </c>
      <c r="P131" s="311" t="s">
        <v>405</v>
      </c>
      <c r="Q131" s="312" t="s">
        <v>251</v>
      </c>
    </row>
    <row r="132" spans="2:17">
      <c r="B132" s="314" t="str">
        <f>"DCF Value at "&amp;TEXT(E103,"0.0x")&amp;"-"&amp;TEXT(I103,"0.0x")&amp;" Exit EBITDA Range at "&amp;TEXT(D106,"0.0%")&amp;" WACC"</f>
        <v>DCF Value at 11.0x-15.0x Exit EBITDA Range at 9.0% WACC</v>
      </c>
      <c r="C132" s="232">
        <f>E106</f>
        <v>20.680633001583054</v>
      </c>
      <c r="D132" s="232">
        <f>E132-C132</f>
        <v>0</v>
      </c>
      <c r="E132" s="315">
        <f>I106</f>
        <v>20.680633001583054</v>
      </c>
      <c r="G132" s="314" t="str">
        <f>"LTM EBITDA Purchase Multiple at "&amp;TEXT(M94,"0.0%")&amp;"-"&amp;TEXT(Q94,"0.0%")&amp;" Perpetuity Growth at "&amp;TEXT(L97,"0.0%")&amp;" WACC"</f>
        <v>LTM EBITDA Purchase Multiple at 2.0%-4.0% Perpetuity Growth at 9.0% WACC</v>
      </c>
      <c r="J132" s="306"/>
      <c r="O132" s="239" t="e">
        <f>M97</f>
        <v>#DIV/0!</v>
      </c>
      <c r="P132" s="239" t="e">
        <f>Q132-O132</f>
        <v>#DIV/0!</v>
      </c>
      <c r="Q132" s="316" t="e">
        <f>Q97</f>
        <v>#DIV/0!</v>
      </c>
    </row>
    <row r="133" spans="2:17">
      <c r="B133" s="317" t="str">
        <f>"DCF Value at "&amp;TEXT(E94,"0.0%")&amp;"-"&amp;TEXT(I94,"0.0%")&amp;" Perpetuity Range at "&amp;TEXT(D106,"0.0%")&amp;" WACC"</f>
        <v>DCF Value at 2.0%-4.0% Perpetuity Range at 9.0% WACC</v>
      </c>
      <c r="C133" s="232">
        <f>E97</f>
        <v>20.680633001583054</v>
      </c>
      <c r="D133" s="232">
        <f>E133-C133</f>
        <v>0</v>
      </c>
      <c r="E133" s="315">
        <f>I97</f>
        <v>20.680633001583054</v>
      </c>
      <c r="G133" s="317" t="e">
        <f>"LTM EBITDA Purchase Multiple at "&amp;TEXT(M106,"0.0x")&amp;"-"&amp;TEXT(Q106,"0.0x")&amp;" Exit EBITDA Multiple at "&amp;TEXT(L106,"0.0%")&amp;" WACC"</f>
        <v>#DIV/0!</v>
      </c>
      <c r="J133" s="306"/>
      <c r="O133" s="239" t="e">
        <f>M106</f>
        <v>#DIV/0!</v>
      </c>
      <c r="P133" s="239" t="e">
        <f>Q133-O133</f>
        <v>#DIV/0!</v>
      </c>
      <c r="Q133" s="316" t="e">
        <f>Q106</f>
        <v>#DIV/0!</v>
      </c>
    </row>
    <row r="134" spans="2:17">
      <c r="B134" s="318" t="s">
        <v>406</v>
      </c>
      <c r="C134" s="319">
        <v>169.5</v>
      </c>
      <c r="D134" s="320">
        <f>E134-C134</f>
        <v>158.35000000000002</v>
      </c>
      <c r="E134" s="321">
        <v>327.85</v>
      </c>
      <c r="G134" s="318" t="str">
        <f>"LTM EBITDA Purchase Multiple at "&amp;TEXT(L108,"0.0%")&amp;"-"&amp;TEXT(L104,"0.0%")&amp;" WACC at "&amp;TEXT(O103,"0.0x")&amp;" Exit EBITDA"</f>
        <v>LTM EBITDA Purchase Multiple at 7.0%-11.0% WACC at 13.0x Exit EBITDA</v>
      </c>
      <c r="H134" s="98"/>
      <c r="I134" s="98"/>
      <c r="J134" s="322"/>
      <c r="K134" s="98"/>
      <c r="L134" s="98"/>
      <c r="M134" s="98"/>
      <c r="N134" s="98"/>
      <c r="O134" s="320" t="e">
        <f>O104</f>
        <v>#DIV/0!</v>
      </c>
      <c r="P134" s="320" t="e">
        <f>Q134-O134</f>
        <v>#DIV/0!</v>
      </c>
      <c r="Q134" s="323" t="e">
        <f>O108</f>
        <v>#DIV/0!</v>
      </c>
    </row>
    <row r="135" spans="2:17">
      <c r="J135" s="306"/>
    </row>
    <row r="136" spans="2:17">
      <c r="J136" s="306"/>
    </row>
  </sheetData>
  <conditionalFormatting sqref="E95:J99 E104:J108">
    <cfRule type="cellIs" dxfId="1" priority="4" operator="lessThan">
      <formula>#REF!</formula>
    </cfRule>
  </conditionalFormatting>
  <dataValidations count="1">
    <dataValidation type="list" allowBlank="1" showInputMessage="1" showErrorMessage="1" sqref="H9" xr:uid="{2A47C13B-7E3B-42F4-BD39-D0A796599366}">
      <formula1>"0,1"</formula1>
    </dataValidation>
  </dataValidations>
  <pageMargins left="0.7" right="0.7" top="0.75" bottom="0.75" header="0.3" footer="0.3"/>
  <ignoredErrors>
    <ignoredError sqref="D75" formula="1"/>
    <ignoredError sqref="D17:I24" evalError="1"/>
  </ignoredErrors>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22F-360D-4DA1-BCF5-0231D11F1122}">
  <sheetPr>
    <tabColor rgb="FFFF0000"/>
  </sheetPr>
  <dimension ref="B2:I49"/>
  <sheetViews>
    <sheetView showGridLines="0" zoomScale="115" zoomScaleNormal="115" workbookViewId="0">
      <selection activeCell="B3" sqref="B3"/>
    </sheetView>
  </sheetViews>
  <sheetFormatPr defaultColWidth="8" defaultRowHeight="12"/>
  <cols>
    <col min="1" max="1" width="1.25" style="8" customWidth="1"/>
    <col min="2" max="2" width="44" style="8" customWidth="1"/>
    <col min="3" max="3" width="11.75" style="8" customWidth="1"/>
    <col min="4" max="9" width="11.125" style="8" customWidth="1"/>
    <col min="10" max="10" width="1.5" style="8" customWidth="1"/>
    <col min="11" max="11" width="9.625" style="8" bestFit="1" customWidth="1"/>
    <col min="12" max="16" width="8.25" style="8" customWidth="1"/>
    <col min="17" max="16384" width="8" style="8"/>
  </cols>
  <sheetData>
    <row r="2" spans="2:9">
      <c r="B2" s="1" t="s">
        <v>470</v>
      </c>
      <c r="C2" s="6"/>
      <c r="D2" s="6"/>
      <c r="E2" s="6"/>
      <c r="F2" s="6"/>
      <c r="G2" s="6"/>
      <c r="H2" s="6"/>
      <c r="I2" s="6"/>
    </row>
    <row r="3" spans="2:9">
      <c r="B3" s="6" t="s">
        <v>256</v>
      </c>
      <c r="C3" s="6"/>
      <c r="D3" s="6"/>
      <c r="E3" s="6"/>
      <c r="F3" s="6"/>
      <c r="G3" s="6"/>
      <c r="H3" s="6"/>
      <c r="I3" s="6"/>
    </row>
    <row r="4" spans="2:9">
      <c r="B4" s="6" t="s">
        <v>421</v>
      </c>
      <c r="C4" s="6"/>
      <c r="D4" s="6"/>
      <c r="E4" s="6"/>
      <c r="F4" s="6"/>
      <c r="G4" s="6"/>
      <c r="H4" s="6"/>
      <c r="I4" s="6"/>
    </row>
    <row r="5" spans="2:9" ht="5.0999999999999996" customHeight="1"/>
    <row r="6" spans="2:9">
      <c r="B6" s="197" t="s">
        <v>257</v>
      </c>
      <c r="C6" s="198"/>
      <c r="D6" s="96"/>
      <c r="E6" s="110" t="s">
        <v>258</v>
      </c>
      <c r="F6" s="199"/>
    </row>
    <row r="7" spans="2:9" ht="5.0999999999999996" customHeight="1">
      <c r="E7" s="110"/>
    </row>
    <row r="8" spans="2:9">
      <c r="B8" s="8" t="s">
        <v>259</v>
      </c>
      <c r="C8" s="151"/>
      <c r="E8" s="8" t="s">
        <v>461</v>
      </c>
    </row>
    <row r="9" spans="2:9">
      <c r="B9" s="8" t="s">
        <v>133</v>
      </c>
      <c r="C9" s="206"/>
      <c r="E9" s="8" t="s">
        <v>260</v>
      </c>
    </row>
    <row r="10" spans="2:9">
      <c r="B10" s="8" t="s">
        <v>261</v>
      </c>
      <c r="C10" s="152">
        <f>C8*(1-C9)</f>
        <v>0</v>
      </c>
      <c r="E10" s="8" t="s">
        <v>262</v>
      </c>
    </row>
    <row r="12" spans="2:9">
      <c r="B12" s="8" t="s">
        <v>263</v>
      </c>
      <c r="C12" s="151"/>
      <c r="E12" s="8" t="s">
        <v>264</v>
      </c>
    </row>
    <row r="13" spans="2:9">
      <c r="B13" s="8" t="s">
        <v>28</v>
      </c>
      <c r="C13" s="207">
        <f>IF(C34="Observed",C36,C37)</f>
        <v>0</v>
      </c>
      <c r="E13" s="8" t="s">
        <v>265</v>
      </c>
    </row>
    <row r="14" spans="2:9">
      <c r="B14" s="8" t="s">
        <v>266</v>
      </c>
      <c r="C14" s="151"/>
      <c r="E14" s="8" t="s">
        <v>462</v>
      </c>
    </row>
    <row r="15" spans="2:9">
      <c r="B15" s="8" t="s">
        <v>267</v>
      </c>
      <c r="C15" s="200">
        <f>C12+C13*C14</f>
        <v>0</v>
      </c>
      <c r="E15" s="8" t="s">
        <v>268</v>
      </c>
    </row>
    <row r="17" spans="2:6">
      <c r="B17" s="97" t="s">
        <v>269</v>
      </c>
      <c r="C17" s="98"/>
      <c r="D17" s="98"/>
      <c r="E17" s="98"/>
      <c r="F17" s="38"/>
    </row>
    <row r="18" spans="2:6">
      <c r="B18" s="38"/>
      <c r="C18" s="156"/>
      <c r="D18" s="156" t="s">
        <v>270</v>
      </c>
      <c r="F18" s="38"/>
    </row>
    <row r="19" spans="2:6" ht="14.25">
      <c r="C19" s="201" t="s">
        <v>271</v>
      </c>
      <c r="D19" s="201" t="s">
        <v>272</v>
      </c>
      <c r="E19" s="201" t="s">
        <v>273</v>
      </c>
    </row>
    <row r="20" spans="2:6">
      <c r="B20" s="8" t="s">
        <v>274</v>
      </c>
      <c r="C20" s="208"/>
      <c r="D20" s="209"/>
      <c r="E20" s="124" t="e">
        <f>IF(D20,D20,C20/(C20+C21))</f>
        <v>#DIV/0!</v>
      </c>
    </row>
    <row r="21" spans="2:6">
      <c r="B21" s="8" t="s">
        <v>22</v>
      </c>
      <c r="C21" s="208">
        <f>DCF!C61</f>
        <v>0</v>
      </c>
      <c r="D21" s="155">
        <f>1-D20</f>
        <v>1</v>
      </c>
      <c r="E21" s="124" t="e">
        <f>1-E20</f>
        <v>#DIV/0!</v>
      </c>
    </row>
    <row r="23" spans="2:6">
      <c r="B23" s="202" t="s">
        <v>275</v>
      </c>
      <c r="C23" s="203"/>
      <c r="D23" s="204"/>
      <c r="E23" s="210" t="e">
        <f>C10*E21+C15*E20</f>
        <v>#DIV/0!</v>
      </c>
    </row>
    <row r="24" spans="2:6">
      <c r="B24" s="38"/>
      <c r="C24" s="211"/>
    </row>
    <row r="25" spans="2:6">
      <c r="B25" s="97" t="s">
        <v>276</v>
      </c>
      <c r="C25" s="98"/>
      <c r="D25" s="98"/>
      <c r="E25" s="98"/>
      <c r="F25" s="98"/>
    </row>
    <row r="26" spans="2:6">
      <c r="D26" s="212" t="s">
        <v>34</v>
      </c>
      <c r="E26" s="213"/>
      <c r="F26" s="212"/>
    </row>
    <row r="27" spans="2:6">
      <c r="C27" s="214" t="e">
        <f>E23</f>
        <v>#DIV/0!</v>
      </c>
      <c r="D27" s="215">
        <f>E27-0.1</f>
        <v>-0.1</v>
      </c>
      <c r="E27" s="216"/>
      <c r="F27" s="217">
        <f>E27+0.1</f>
        <v>0.1</v>
      </c>
    </row>
    <row r="28" spans="2:6">
      <c r="C28" s="218">
        <f>C29-0.005</f>
        <v>-0.01</v>
      </c>
      <c r="D28" s="219">
        <v>6.1013495196213796E-2</v>
      </c>
      <c r="E28" s="130">
        <v>6.590882572582199E-2</v>
      </c>
      <c r="F28" s="130">
        <v>7.080415625543017E-2</v>
      </c>
    </row>
    <row r="29" spans="2:6">
      <c r="B29" s="156" t="s">
        <v>277</v>
      </c>
      <c r="C29" s="218">
        <f>C30-0.005</f>
        <v>-5.0000000000000001E-3</v>
      </c>
      <c r="D29" s="130">
        <v>6.6447312084078877E-2</v>
      </c>
      <c r="E29" s="130">
        <v>7.1886568228087977E-2</v>
      </c>
      <c r="F29" s="130">
        <v>7.7325824372097077E-2</v>
      </c>
    </row>
    <row r="30" spans="2:6">
      <c r="B30" s="156" t="s">
        <v>278</v>
      </c>
      <c r="C30" s="220"/>
      <c r="D30" s="130">
        <v>7.1881128971943958E-2</v>
      </c>
      <c r="E30" s="130">
        <v>7.7864310730353978E-2</v>
      </c>
      <c r="F30" s="130">
        <v>8.3847492488763983E-2</v>
      </c>
    </row>
    <row r="31" spans="2:6">
      <c r="B31" s="156" t="s">
        <v>279</v>
      </c>
      <c r="C31" s="218">
        <f>C30+0.005</f>
        <v>5.0000000000000001E-3</v>
      </c>
      <c r="D31" s="130">
        <v>7.7314945859809053E-2</v>
      </c>
      <c r="E31" s="130">
        <v>8.3842053232619965E-2</v>
      </c>
      <c r="F31" s="130">
        <v>9.0369160605430876E-2</v>
      </c>
    </row>
    <row r="32" spans="2:6">
      <c r="C32" s="218">
        <f>C31+0.005</f>
        <v>0.01</v>
      </c>
      <c r="D32" s="130">
        <v>8.2748762747674148E-2</v>
      </c>
      <c r="E32" s="130">
        <v>8.9819795734885952E-2</v>
      </c>
      <c r="F32" s="130">
        <v>9.6890828722097783E-2</v>
      </c>
    </row>
    <row r="33" spans="2:9">
      <c r="C33" s="221"/>
      <c r="D33" s="130"/>
      <c r="E33" s="130"/>
      <c r="F33" s="130"/>
    </row>
    <row r="34" spans="2:9">
      <c r="B34" s="8" t="s">
        <v>280</v>
      </c>
      <c r="C34" s="222" t="s">
        <v>281</v>
      </c>
    </row>
    <row r="36" spans="2:9">
      <c r="B36" s="65" t="s">
        <v>281</v>
      </c>
      <c r="C36" s="205"/>
      <c r="D36" s="8" t="s">
        <v>265</v>
      </c>
    </row>
    <row r="37" spans="2:9">
      <c r="B37" s="65" t="s">
        <v>282</v>
      </c>
      <c r="C37" s="223" t="e">
        <f>C48</f>
        <v>#DIV/0!</v>
      </c>
      <c r="D37" s="8" t="s">
        <v>283</v>
      </c>
    </row>
    <row r="39" spans="2:9">
      <c r="B39" s="97" t="s">
        <v>282</v>
      </c>
      <c r="C39" s="97"/>
      <c r="D39" s="98"/>
      <c r="E39" s="98"/>
      <c r="F39" s="98"/>
      <c r="G39" s="98"/>
      <c r="H39" s="98"/>
      <c r="I39" s="98"/>
    </row>
    <row r="40" spans="2:9">
      <c r="H40" s="5"/>
    </row>
    <row r="41" spans="2:9" ht="12.75" thickBot="1">
      <c r="C41" s="224" t="s">
        <v>288</v>
      </c>
      <c r="D41" s="224" t="s">
        <v>284</v>
      </c>
      <c r="E41" s="224" t="s">
        <v>285</v>
      </c>
      <c r="F41" s="224" t="s">
        <v>286</v>
      </c>
      <c r="G41" s="225" t="s">
        <v>37</v>
      </c>
      <c r="H41" s="224" t="s">
        <v>133</v>
      </c>
      <c r="I41" s="224" t="s">
        <v>289</v>
      </c>
    </row>
    <row r="42" spans="2:9">
      <c r="B42" s="226"/>
      <c r="C42" s="205"/>
      <c r="D42" s="227"/>
      <c r="E42" s="104"/>
      <c r="F42" s="70">
        <f>D42*E42</f>
        <v>0</v>
      </c>
      <c r="G42" s="104"/>
      <c r="H42" s="112"/>
      <c r="I42" s="223" t="e">
        <f>C42/(1+(1-H42)*(G42)/F42)</f>
        <v>#DIV/0!</v>
      </c>
    </row>
    <row r="43" spans="2:9">
      <c r="B43" s="226"/>
      <c r="C43" s="205"/>
      <c r="D43" s="227"/>
      <c r="E43" s="104"/>
      <c r="F43" s="70">
        <f>D43*E43</f>
        <v>0</v>
      </c>
      <c r="G43" s="104"/>
      <c r="H43" s="112"/>
      <c r="I43" s="223" t="e">
        <f>C43/(1+(1-H43)*(G43)/F43)</f>
        <v>#DIV/0!</v>
      </c>
    </row>
    <row r="44" spans="2:9">
      <c r="B44" s="226"/>
      <c r="C44" s="205"/>
      <c r="D44" s="227"/>
      <c r="E44" s="104"/>
      <c r="F44" s="70">
        <f>D44*E44</f>
        <v>0</v>
      </c>
      <c r="G44" s="104"/>
      <c r="H44" s="112"/>
      <c r="I44" s="223" t="e">
        <f>C44/(1+(1-H44)*(G44)/F44)</f>
        <v>#DIV/0!</v>
      </c>
    </row>
    <row r="45" spans="2:9">
      <c r="B45" s="226"/>
      <c r="C45" s="207">
        <f>C36</f>
        <v>0</v>
      </c>
      <c r="D45" s="228"/>
      <c r="E45" s="229"/>
      <c r="F45" s="105">
        <f>C20</f>
        <v>0</v>
      </c>
      <c r="G45" s="105">
        <f>C21</f>
        <v>0</v>
      </c>
      <c r="H45" s="230">
        <f>C9</f>
        <v>0</v>
      </c>
      <c r="I45" s="223" t="e">
        <f>C45/(1+(1-H45)*(G45)/F45)</f>
        <v>#DIV/0!</v>
      </c>
    </row>
    <row r="46" spans="2:9">
      <c r="C46" s="223"/>
      <c r="F46" s="70"/>
      <c r="G46" s="70"/>
      <c r="H46" s="70"/>
      <c r="I46" s="124"/>
    </row>
    <row r="47" spans="2:9">
      <c r="B47" s="8" t="s">
        <v>287</v>
      </c>
      <c r="C47" s="223" t="e">
        <f>AVERAGE(I42:I45)</f>
        <v>#DIV/0!</v>
      </c>
    </row>
    <row r="48" spans="2:9">
      <c r="B48" s="38" t="str">
        <f>B45&amp;" beta"</f>
        <v xml:space="preserve"> beta</v>
      </c>
      <c r="C48" s="231" t="e">
        <f>C47*(1+(1-H45)*(G45)/F45)</f>
        <v>#DIV/0!</v>
      </c>
    </row>
    <row r="49" spans="3:3">
      <c r="C49" s="232"/>
    </row>
  </sheetData>
  <conditionalFormatting sqref="B24:C26">
    <cfRule type="expression" dxfId="0" priority="1">
      <formula>#REF!="Industry"</formula>
    </cfRule>
  </conditionalFormatting>
  <dataValidations count="1">
    <dataValidation type="list" allowBlank="1" showInputMessage="1" showErrorMessage="1" sqref="C34" xr:uid="{5969403F-F59B-4DD9-94A4-15D44B9BB601}">
      <formula1>"Industry, Observed"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F7DF-9DD1-4366-B49E-51C45A044389}">
  <sheetPr>
    <tabColor theme="5" tint="-0.249977111117893"/>
  </sheetPr>
  <dimension ref="A2:G44"/>
  <sheetViews>
    <sheetView showGridLines="0" zoomScale="130" zoomScaleNormal="130" workbookViewId="0">
      <selection activeCell="B3" sqref="B3"/>
    </sheetView>
  </sheetViews>
  <sheetFormatPr defaultColWidth="7.625" defaultRowHeight="12"/>
  <cols>
    <col min="1" max="1" width="1.25" style="8" customWidth="1"/>
    <col min="2" max="2" width="52.875" style="8" bestFit="1" customWidth="1"/>
    <col min="3" max="3" width="10" style="8" bestFit="1" customWidth="1"/>
    <col min="4" max="4" width="9.125" style="8" bestFit="1" customWidth="1"/>
    <col min="5" max="5" width="9.75" style="8" customWidth="1"/>
    <col min="6" max="6" width="8.75" style="8" bestFit="1" customWidth="1"/>
    <col min="7" max="7" width="9.75" style="8" bestFit="1" customWidth="1"/>
    <col min="8" max="16384" width="7.625" style="8"/>
  </cols>
  <sheetData>
    <row r="2" spans="1:5">
      <c r="B2" s="1" t="s">
        <v>470</v>
      </c>
      <c r="C2" s="6"/>
      <c r="D2" s="6"/>
      <c r="E2" s="6"/>
    </row>
    <row r="3" spans="1:5">
      <c r="B3" s="6" t="s">
        <v>290</v>
      </c>
      <c r="C3" s="6"/>
      <c r="D3" s="6"/>
      <c r="E3" s="6"/>
    </row>
    <row r="4" spans="1:5">
      <c r="B4" s="6" t="s">
        <v>421</v>
      </c>
      <c r="C4" s="6"/>
      <c r="D4" s="6"/>
      <c r="E4" s="6"/>
    </row>
    <row r="5" spans="1:5" ht="5.0999999999999996" customHeight="1"/>
    <row r="6" spans="1:5">
      <c r="B6" s="419" t="s">
        <v>291</v>
      </c>
      <c r="C6" s="420"/>
      <c r="D6" s="420"/>
      <c r="E6" s="421">
        <f>DCF!H7</f>
        <v>0</v>
      </c>
    </row>
    <row r="7" spans="1:5" ht="5.0999999999999996" customHeight="1"/>
    <row r="8" spans="1:5">
      <c r="B8" s="38"/>
    </row>
    <row r="9" spans="1:5">
      <c r="A9" s="8" t="s">
        <v>25</v>
      </c>
      <c r="B9" s="423" t="s">
        <v>292</v>
      </c>
      <c r="C9" s="422" t="s">
        <v>293</v>
      </c>
      <c r="D9" s="422" t="s">
        <v>294</v>
      </c>
      <c r="E9" s="422" t="s">
        <v>295</v>
      </c>
    </row>
    <row r="10" spans="1:5">
      <c r="B10" s="424" t="s">
        <v>430</v>
      </c>
      <c r="C10" s="413" t="s">
        <v>296</v>
      </c>
      <c r="D10" s="413" t="s">
        <v>297</v>
      </c>
      <c r="E10" s="413" t="s">
        <v>296</v>
      </c>
    </row>
    <row r="11" spans="1:5" ht="5.0999999999999996" customHeight="1">
      <c r="B11" s="51"/>
      <c r="C11" s="425"/>
      <c r="D11" s="426"/>
      <c r="E11" s="426"/>
    </row>
    <row r="12" spans="1:5">
      <c r="B12" s="8" t="s">
        <v>298</v>
      </c>
      <c r="C12" s="205"/>
      <c r="D12" s="233"/>
      <c r="E12" s="207">
        <f>IF(D12&lt;=$E$6,C12,0)</f>
        <v>0</v>
      </c>
    </row>
    <row r="13" spans="1:5">
      <c r="B13" s="8" t="s">
        <v>299</v>
      </c>
      <c r="C13" s="205"/>
      <c r="D13" s="233"/>
      <c r="E13" s="207">
        <f t="shared" ref="E13:E18" si="0">IF(D13&lt;=$E$6,C13,0)</f>
        <v>0</v>
      </c>
    </row>
    <row r="14" spans="1:5">
      <c r="B14" s="8" t="s">
        <v>300</v>
      </c>
      <c r="C14" s="205"/>
      <c r="D14" s="233"/>
      <c r="E14" s="207">
        <f t="shared" si="0"/>
        <v>0</v>
      </c>
    </row>
    <row r="15" spans="1:5">
      <c r="B15" s="8" t="s">
        <v>301</v>
      </c>
      <c r="C15" s="205"/>
      <c r="D15" s="233"/>
      <c r="E15" s="207">
        <f t="shared" si="0"/>
        <v>0</v>
      </c>
    </row>
    <row r="16" spans="1:5">
      <c r="B16" s="8" t="s">
        <v>302</v>
      </c>
      <c r="C16" s="205"/>
      <c r="D16" s="233"/>
      <c r="E16" s="207">
        <f t="shared" si="0"/>
        <v>0</v>
      </c>
    </row>
    <row r="17" spans="1:7">
      <c r="B17" s="8" t="s">
        <v>303</v>
      </c>
      <c r="C17" s="205"/>
      <c r="D17" s="233"/>
      <c r="E17" s="207">
        <f t="shared" si="0"/>
        <v>0</v>
      </c>
    </row>
    <row r="18" spans="1:7" ht="14.25">
      <c r="B18" s="8" t="s">
        <v>304</v>
      </c>
      <c r="C18" s="234"/>
      <c r="D18" s="233"/>
      <c r="E18" s="207">
        <f t="shared" si="0"/>
        <v>0</v>
      </c>
    </row>
    <row r="19" spans="1:7">
      <c r="B19" s="416" t="s">
        <v>305</v>
      </c>
      <c r="C19" s="427">
        <f>SUM(C12:C18)</f>
        <v>0</v>
      </c>
      <c r="D19" s="427"/>
      <c r="E19" s="427">
        <f>SUM(E12:E18)</f>
        <v>0</v>
      </c>
    </row>
    <row r="20" spans="1:7" ht="5.0999999999999996" customHeight="1">
      <c r="C20" s="205"/>
      <c r="D20" s="235"/>
      <c r="E20" s="223"/>
    </row>
    <row r="21" spans="1:7">
      <c r="B21" s="107" t="s">
        <v>306</v>
      </c>
      <c r="C21" s="70"/>
      <c r="E21" s="207">
        <f>SUMPRODUCT(D12:D18,E12:E18)</f>
        <v>0</v>
      </c>
    </row>
    <row r="22" spans="1:7" ht="14.25">
      <c r="B22" s="107" t="s">
        <v>307</v>
      </c>
      <c r="E22" s="236" t="e">
        <f>-(E21/E6)</f>
        <v>#DIV/0!</v>
      </c>
    </row>
    <row r="23" spans="1:7">
      <c r="B23" s="416" t="s">
        <v>308</v>
      </c>
      <c r="C23" s="427"/>
      <c r="D23" s="427"/>
      <c r="E23" s="427" t="e">
        <f>E19+E22</f>
        <v>#DIV/0!</v>
      </c>
    </row>
    <row r="24" spans="1:7">
      <c r="B24" s="38"/>
      <c r="C24" s="38"/>
      <c r="D24" s="38"/>
      <c r="E24" s="231"/>
    </row>
    <row r="25" spans="1:7">
      <c r="A25" s="8" t="s">
        <v>25</v>
      </c>
      <c r="B25" s="423" t="s">
        <v>309</v>
      </c>
      <c r="C25" s="423"/>
      <c r="D25" s="423"/>
      <c r="E25" s="423"/>
    </row>
    <row r="26" spans="1:7" ht="5.0999999999999996" customHeight="1">
      <c r="E26" s="38"/>
    </row>
    <row r="27" spans="1:7">
      <c r="B27" s="108" t="s">
        <v>310</v>
      </c>
    </row>
    <row r="28" spans="1:7">
      <c r="B28" s="8" t="s">
        <v>311</v>
      </c>
      <c r="E28" s="104"/>
    </row>
    <row r="29" spans="1:7">
      <c r="B29" s="8" t="s">
        <v>312</v>
      </c>
      <c r="E29" s="227"/>
    </row>
    <row r="30" spans="1:7">
      <c r="B30" s="8" t="s">
        <v>313</v>
      </c>
      <c r="E30" s="238" t="e">
        <f>E28/E31</f>
        <v>#DIV/0!</v>
      </c>
    </row>
    <row r="31" spans="1:7">
      <c r="B31" s="8" t="s">
        <v>314</v>
      </c>
      <c r="E31" s="239">
        <f>E29*E28/1000</f>
        <v>0</v>
      </c>
      <c r="G31" s="240"/>
    </row>
    <row r="32" spans="1:7" ht="5.0999999999999996" customHeight="1"/>
    <row r="33" spans="2:7">
      <c r="B33" s="416" t="s">
        <v>315</v>
      </c>
      <c r="C33" s="416"/>
      <c r="D33" s="428"/>
      <c r="E33" s="427" t="e">
        <f>IF(E30&lt;E6,E31,0)</f>
        <v>#DIV/0!</v>
      </c>
    </row>
    <row r="34" spans="2:7">
      <c r="B34" s="99" t="s">
        <v>316</v>
      </c>
      <c r="C34" s="99"/>
      <c r="E34" s="241" t="e">
        <f>IF(E33&gt;0,-E28,0)</f>
        <v>#DIV/0!</v>
      </c>
    </row>
    <row r="35" spans="2:7" ht="5.0999999999999996" customHeight="1"/>
    <row r="36" spans="2:7">
      <c r="B36" s="108" t="s">
        <v>317</v>
      </c>
    </row>
    <row r="37" spans="2:7">
      <c r="B37" s="8" t="s">
        <v>318</v>
      </c>
      <c r="E37" s="104"/>
    </row>
    <row r="38" spans="2:7">
      <c r="B38" s="8" t="s">
        <v>319</v>
      </c>
      <c r="E38" s="205"/>
    </row>
    <row r="39" spans="2:7">
      <c r="B39" s="8" t="s">
        <v>320</v>
      </c>
      <c r="E39" s="227"/>
    </row>
    <row r="40" spans="2:7">
      <c r="B40" s="8" t="s">
        <v>314</v>
      </c>
      <c r="E40" s="207">
        <f>E38*E39</f>
        <v>0</v>
      </c>
      <c r="G40" s="240"/>
    </row>
    <row r="41" spans="2:7">
      <c r="B41" s="8" t="s">
        <v>313</v>
      </c>
      <c r="E41" s="242" t="e">
        <f>E37/E40</f>
        <v>#DIV/0!</v>
      </c>
    </row>
    <row r="42" spans="2:7" ht="5.0999999999999996" customHeight="1">
      <c r="E42" s="242"/>
    </row>
    <row r="43" spans="2:7">
      <c r="B43" s="416" t="s">
        <v>315</v>
      </c>
      <c r="C43" s="416"/>
      <c r="D43" s="428"/>
      <c r="E43" s="427" t="e">
        <f>IF(E41&lt;E6,E40,0)</f>
        <v>#DIV/0!</v>
      </c>
    </row>
    <row r="44" spans="2:7">
      <c r="B44" s="99" t="s">
        <v>316</v>
      </c>
      <c r="E44" s="105" t="e">
        <f>IF(E43&gt;0,-E37,0)</f>
        <v>#DIV/0!</v>
      </c>
    </row>
  </sheetData>
  <pageMargins left="0.7" right="0.7" top="0.75" bottom="0.75" header="0.3" footer="0.3"/>
  <ignoredErrors>
    <ignoredError sqref="E22:E44" evalErro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E1BCF-328F-49A3-BB6D-CBB452391CB1}">
  <dimension ref="A2:J185"/>
  <sheetViews>
    <sheetView showGridLines="0" tabSelected="1" zoomScale="145" zoomScaleNormal="145" workbookViewId="0">
      <selection activeCell="C3" sqref="C3"/>
    </sheetView>
  </sheetViews>
  <sheetFormatPr defaultRowHeight="12"/>
  <cols>
    <col min="1" max="1" width="1.625" style="8" customWidth="1"/>
    <col min="2" max="2" width="20.75" style="8" bestFit="1" customWidth="1"/>
    <col min="3" max="3" width="7.875" style="8" bestFit="1" customWidth="1"/>
    <col min="4" max="4" width="8" style="8" bestFit="1" customWidth="1"/>
    <col min="5" max="8" width="7.875" style="8" bestFit="1" customWidth="1"/>
    <col min="9" max="9" width="1.625" style="8" customWidth="1"/>
    <col min="10" max="16384" width="9" style="8"/>
  </cols>
  <sheetData>
    <row r="2" spans="1:10">
      <c r="B2" s="528" t="s">
        <v>470</v>
      </c>
      <c r="C2" s="2" t="s">
        <v>166</v>
      </c>
      <c r="D2" s="518"/>
      <c r="E2" s="518"/>
      <c r="F2" s="518"/>
      <c r="G2" s="518"/>
      <c r="H2" s="2"/>
      <c r="I2" s="346"/>
      <c r="J2" s="2" t="s">
        <v>590</v>
      </c>
    </row>
    <row r="3" spans="1:10">
      <c r="B3" s="529" t="s">
        <v>591</v>
      </c>
      <c r="C3" s="520">
        <v>2025</v>
      </c>
      <c r="D3" s="520">
        <v>2026</v>
      </c>
      <c r="E3" s="520">
        <v>2027</v>
      </c>
      <c r="F3" s="520">
        <v>2028</v>
      </c>
      <c r="G3" s="520">
        <v>2029</v>
      </c>
      <c r="H3" s="520">
        <v>2030</v>
      </c>
      <c r="I3" s="346"/>
      <c r="J3" s="346" t="s">
        <v>593</v>
      </c>
    </row>
    <row r="4" spans="1:10">
      <c r="B4" s="529" t="s">
        <v>407</v>
      </c>
      <c r="C4" s="521">
        <v>45930</v>
      </c>
      <c r="D4" s="521">
        <v>46295</v>
      </c>
      <c r="E4" s="521">
        <v>46660</v>
      </c>
      <c r="F4" s="521">
        <v>47026</v>
      </c>
      <c r="G4" s="521">
        <v>47391</v>
      </c>
      <c r="H4" s="521">
        <v>47756</v>
      </c>
      <c r="I4" s="3"/>
      <c r="J4" s="3">
        <f>H4</f>
        <v>47756</v>
      </c>
    </row>
    <row r="5" spans="1:10" ht="5.0999999999999996" customHeight="1"/>
    <row r="6" spans="1:10">
      <c r="A6" s="8" t="s">
        <v>25</v>
      </c>
      <c r="B6" s="528" t="s">
        <v>613</v>
      </c>
      <c r="C6" s="528"/>
      <c r="D6" s="528"/>
      <c r="E6" s="528"/>
      <c r="F6" s="528"/>
      <c r="G6" s="528"/>
      <c r="H6" s="528"/>
      <c r="I6" s="528"/>
      <c r="J6" s="528"/>
    </row>
    <row r="7" spans="1:10" ht="5.0999999999999996" customHeight="1"/>
    <row r="8" spans="1:10">
      <c r="B8" s="530" t="s">
        <v>13</v>
      </c>
    </row>
    <row r="9" spans="1:10">
      <c r="B9" s="8" t="s">
        <v>604</v>
      </c>
      <c r="C9" s="535">
        <v>392268</v>
      </c>
      <c r="D9" s="535">
        <v>436585</v>
      </c>
      <c r="E9" s="535">
        <v>480338</v>
      </c>
      <c r="F9" s="535">
        <v>538306</v>
      </c>
      <c r="G9" s="535">
        <v>588380</v>
      </c>
      <c r="H9" s="535">
        <v>645069</v>
      </c>
      <c r="J9" s="525">
        <f>((H9/C9)^(1/COUNT(D9:H9))-1)</f>
        <v>0.10459903142793725</v>
      </c>
    </row>
    <row r="10" spans="1:10">
      <c r="B10" s="533" t="s">
        <v>602</v>
      </c>
      <c r="C10" s="536">
        <v>0.12</v>
      </c>
      <c r="D10" s="537">
        <f>SUM(D9/C9)-1</f>
        <v>0.11297633250736738</v>
      </c>
      <c r="E10" s="537">
        <f>SUM(E9/D9)-1</f>
        <v>0.10021645269535151</v>
      </c>
      <c r="F10" s="537">
        <f>SUM(F9/E9)-1</f>
        <v>0.12068168664565371</v>
      </c>
      <c r="G10" s="537">
        <f>SUM(G9/F9)-1</f>
        <v>9.3021441336340382E-2</v>
      </c>
      <c r="H10" s="537">
        <f>SUM(H9/G9)-1</f>
        <v>9.6347598490771347E-2</v>
      </c>
    </row>
    <row r="11" spans="1:10" ht="5.0999999999999996" customHeight="1"/>
    <row r="12" spans="1:10">
      <c r="B12" s="8" t="s">
        <v>600</v>
      </c>
      <c r="C12" s="535">
        <v>399831</v>
      </c>
      <c r="D12" s="535">
        <v>453850</v>
      </c>
      <c r="E12" s="535">
        <v>511170</v>
      </c>
      <c r="F12" s="538">
        <f>E12</f>
        <v>511170</v>
      </c>
      <c r="G12" s="538">
        <f>F12</f>
        <v>511170</v>
      </c>
      <c r="H12" s="538">
        <f>G12</f>
        <v>511170</v>
      </c>
      <c r="J12" s="525">
        <f>((H12/C12)^(1/COUNT(D12:H12))-1)</f>
        <v>5.0359043188543229E-2</v>
      </c>
    </row>
    <row r="13" spans="1:10">
      <c r="B13" s="533" t="s">
        <v>602</v>
      </c>
      <c r="C13" s="532"/>
      <c r="D13" s="537">
        <f>SUM(D12/C12)-1</f>
        <v>0.13510458168576234</v>
      </c>
      <c r="E13" s="537">
        <f>SUM(E12/D12)-1</f>
        <v>0.12629723476919685</v>
      </c>
      <c r="F13" s="537">
        <f>SUM(F12/E12)-1</f>
        <v>0</v>
      </c>
      <c r="G13" s="537">
        <f>SUM(G12/F12)-1</f>
        <v>0</v>
      </c>
      <c r="H13" s="537">
        <f>SUM(H12/G12)-1</f>
        <v>0</v>
      </c>
    </row>
    <row r="14" spans="1:10" ht="5.0999999999999996" customHeight="1"/>
    <row r="15" spans="1:10">
      <c r="B15" s="8" t="s">
        <v>597</v>
      </c>
      <c r="C15" s="535">
        <v>340967</v>
      </c>
      <c r="D15" s="535">
        <v>397318</v>
      </c>
      <c r="E15" s="535">
        <v>456109</v>
      </c>
      <c r="F15" s="538">
        <f>E15</f>
        <v>456109</v>
      </c>
      <c r="G15" s="538">
        <f>F15</f>
        <v>456109</v>
      </c>
      <c r="H15" s="538">
        <f>G15</f>
        <v>456109</v>
      </c>
      <c r="J15" s="525">
        <f>((H15/C15)^(1/COUNT(D15:H15))-1)</f>
        <v>5.9915537691517029E-2</v>
      </c>
    </row>
    <row r="16" spans="1:10">
      <c r="B16" s="533" t="s">
        <v>602</v>
      </c>
      <c r="C16" s="532"/>
      <c r="D16" s="537">
        <f>SUM(D15/C15)-1</f>
        <v>0.16526819310959717</v>
      </c>
      <c r="E16" s="537">
        <f>SUM(E15/D15)-1</f>
        <v>0.14796963641214345</v>
      </c>
      <c r="F16" s="537">
        <f>SUM(F15/E15)-1</f>
        <v>0</v>
      </c>
      <c r="G16" s="537">
        <f>SUM(G15/F15)-1</f>
        <v>0</v>
      </c>
      <c r="H16" s="537">
        <f>SUM(H15/G15)-1</f>
        <v>0</v>
      </c>
    </row>
    <row r="17" spans="1:10" ht="5.0999999999999996" customHeight="1"/>
    <row r="18" spans="1:10">
      <c r="B18" s="8" t="s">
        <v>608</v>
      </c>
      <c r="C18" s="535">
        <v>400013.8</v>
      </c>
      <c r="D18" s="535">
        <v>455990.6</v>
      </c>
      <c r="E18" s="538">
        <f>D18</f>
        <v>455990.6</v>
      </c>
      <c r="F18" s="538">
        <f>E18</f>
        <v>455990.6</v>
      </c>
      <c r="G18" s="538">
        <f>F18</f>
        <v>455990.6</v>
      </c>
      <c r="H18" s="538">
        <f>G18</f>
        <v>455990.6</v>
      </c>
      <c r="J18" s="525">
        <f>((H18/C18)^(1/COUNT(D18:H18))-1)</f>
        <v>2.6540724397008608E-2</v>
      </c>
    </row>
    <row r="19" spans="1:10">
      <c r="B19" s="533" t="s">
        <v>602</v>
      </c>
      <c r="C19" s="532"/>
      <c r="D19" s="537">
        <f>SUM(D18/C18)-1</f>
        <v>0.13993717216756019</v>
      </c>
      <c r="E19" s="537">
        <f>SUM(E18/D18)-1</f>
        <v>0</v>
      </c>
      <c r="F19" s="537">
        <f>SUM(F18/E18)-1</f>
        <v>0</v>
      </c>
      <c r="G19" s="537">
        <f>SUM(G18/F18)-1</f>
        <v>0</v>
      </c>
      <c r="H19" s="537">
        <f>SUM(H18/G18)-1</f>
        <v>0</v>
      </c>
    </row>
    <row r="21" spans="1:10" ht="5.0999999999999996" customHeight="1"/>
    <row r="22" spans="1:10">
      <c r="A22" s="8" t="s">
        <v>25</v>
      </c>
      <c r="B22" s="528" t="s">
        <v>612</v>
      </c>
      <c r="C22" s="528"/>
      <c r="D22" s="528"/>
      <c r="E22" s="528"/>
      <c r="F22" s="528"/>
      <c r="G22" s="528"/>
      <c r="H22" s="528"/>
      <c r="I22" s="528"/>
      <c r="J22" s="528"/>
    </row>
    <row r="23" spans="1:10" ht="5.0999999999999996" customHeight="1"/>
    <row r="24" spans="1:10">
      <c r="B24" s="530" t="s">
        <v>601</v>
      </c>
    </row>
    <row r="25" spans="1:10">
      <c r="B25" s="8" t="s">
        <v>604</v>
      </c>
      <c r="C25" s="535">
        <v>217892</v>
      </c>
      <c r="D25" s="535">
        <v>234234</v>
      </c>
      <c r="E25" s="535">
        <v>245946</v>
      </c>
      <c r="F25" s="535">
        <v>270541</v>
      </c>
      <c r="G25" s="535">
        <v>284068</v>
      </c>
      <c r="H25" s="535">
        <v>298271</v>
      </c>
      <c r="J25" s="525">
        <f>((H25/C25)^(1/COUNT(D25:H25))-1)</f>
        <v>6.4814481707963445E-2</v>
      </c>
    </row>
    <row r="26" spans="1:10">
      <c r="B26" s="533" t="s">
        <v>602</v>
      </c>
      <c r="C26" s="536">
        <v>0.1</v>
      </c>
      <c r="D26" s="537">
        <f>SUM(D25/C25)-1</f>
        <v>7.5000458942962478E-2</v>
      </c>
      <c r="E26" s="537">
        <f>SUM(E25/D25)-1</f>
        <v>5.0001280770511469E-2</v>
      </c>
      <c r="F26" s="537">
        <f>SUM(F25/E25)-1</f>
        <v>0.10000162637326904</v>
      </c>
      <c r="G26" s="537">
        <f>SUM(G25/F25)-1</f>
        <v>4.9999815185129082E-2</v>
      </c>
      <c r="H26" s="537">
        <f>SUM(H25/G25)-1</f>
        <v>4.9998591886449617E-2</v>
      </c>
    </row>
    <row r="27" spans="1:10" ht="5.0999999999999996" customHeight="1"/>
    <row r="28" spans="1:10">
      <c r="B28" s="8" t="s">
        <v>600</v>
      </c>
      <c r="C28" s="535">
        <v>222548</v>
      </c>
      <c r="D28" s="535">
        <v>246413</v>
      </c>
      <c r="E28" s="535">
        <v>270484</v>
      </c>
      <c r="F28" s="538">
        <f>E28</f>
        <v>270484</v>
      </c>
      <c r="G28" s="538">
        <f>F28</f>
        <v>270484</v>
      </c>
      <c r="H28" s="538">
        <f>G28</f>
        <v>270484</v>
      </c>
      <c r="J28" s="525">
        <f>((H28/C28)^(1/COUNT(D28:H28))-1)</f>
        <v>3.9785069265479311E-2</v>
      </c>
    </row>
    <row r="29" spans="1:10">
      <c r="B29" s="533" t="s">
        <v>602</v>
      </c>
      <c r="C29" s="532"/>
      <c r="D29" s="537">
        <f>SUM(D28/C28)-1</f>
        <v>0.10723529306037349</v>
      </c>
      <c r="E29" s="537">
        <f>SUM(E28/D28)-1</f>
        <v>9.7685592886738837E-2</v>
      </c>
      <c r="F29" s="537">
        <f>SUM(F28/E28)-1</f>
        <v>0</v>
      </c>
      <c r="G29" s="537">
        <f>SUM(G28/F28)-1</f>
        <v>0</v>
      </c>
      <c r="H29" s="537">
        <f>SUM(H28/G28)-1</f>
        <v>0</v>
      </c>
    </row>
    <row r="30" spans="1:10" ht="5.0999999999999996" customHeight="1"/>
    <row r="31" spans="1:10">
      <c r="B31" s="8" t="s">
        <v>597</v>
      </c>
      <c r="C31" s="535">
        <v>222950.58486480196</v>
      </c>
      <c r="D31" s="535">
        <v>249936.41572613319</v>
      </c>
      <c r="E31" s="535">
        <v>276281.11170055071</v>
      </c>
      <c r="F31" s="538">
        <f>E31</f>
        <v>276281.11170055071</v>
      </c>
      <c r="G31" s="538">
        <f>F31</f>
        <v>276281.11170055071</v>
      </c>
      <c r="H31" s="538">
        <f>G31</f>
        <v>276281.11170055071</v>
      </c>
      <c r="J31" s="525">
        <f>((H31/C31)^(1/COUNT(D31:H31))-1)</f>
        <v>4.382697475523667E-2</v>
      </c>
    </row>
    <row r="32" spans="1:10">
      <c r="B32" s="533" t="s">
        <v>602</v>
      </c>
      <c r="C32" s="532"/>
      <c r="D32" s="537">
        <f>SUM(D31/C31)-1</f>
        <v>0.12103951589853668</v>
      </c>
      <c r="E32" s="537">
        <f>SUM(E31/D31)-1</f>
        <v>0.10540559244989978</v>
      </c>
      <c r="F32" s="537">
        <f>SUM(F31/E31)-1</f>
        <v>0</v>
      </c>
      <c r="G32" s="537">
        <f>SUM(G31/F31)-1</f>
        <v>0</v>
      </c>
      <c r="H32" s="537">
        <f>SUM(H31/G31)-1</f>
        <v>0</v>
      </c>
    </row>
    <row r="33" spans="2:10" ht="5.0999999999999996" customHeight="1"/>
    <row r="34" spans="2:10">
      <c r="B34" s="546" t="s">
        <v>618</v>
      </c>
      <c r="C34" s="547">
        <f t="shared" ref="C34:H34" si="0">MEDIAN(C25,C28,C31)</f>
        <v>222548</v>
      </c>
      <c r="D34" s="547">
        <f t="shared" si="0"/>
        <v>246413</v>
      </c>
      <c r="E34" s="547">
        <f t="shared" si="0"/>
        <v>270484</v>
      </c>
      <c r="F34" s="547">
        <f t="shared" si="0"/>
        <v>270541</v>
      </c>
      <c r="G34" s="547">
        <f t="shared" si="0"/>
        <v>276281.11170055071</v>
      </c>
      <c r="H34" s="548">
        <f t="shared" si="0"/>
        <v>276281.11170055071</v>
      </c>
    </row>
    <row r="35" spans="2:10">
      <c r="B35" s="543" t="s">
        <v>619</v>
      </c>
      <c r="C35" s="544">
        <f t="shared" ref="C35:H35" si="1">AVERAGE(C31,C28,C25)</f>
        <v>221130.19495493398</v>
      </c>
      <c r="D35" s="544">
        <f t="shared" si="1"/>
        <v>243527.80524204439</v>
      </c>
      <c r="E35" s="544">
        <f t="shared" si="1"/>
        <v>264237.03723351686</v>
      </c>
      <c r="F35" s="544">
        <f t="shared" si="1"/>
        <v>272435.37056685024</v>
      </c>
      <c r="G35" s="544">
        <f t="shared" si="1"/>
        <v>276944.37056685024</v>
      </c>
      <c r="H35" s="545">
        <f t="shared" si="1"/>
        <v>281678.70390018355</v>
      </c>
    </row>
    <row r="37" spans="2:10">
      <c r="B37" s="530" t="s">
        <v>560</v>
      </c>
    </row>
    <row r="38" spans="2:10">
      <c r="B38" s="8" t="s">
        <v>604</v>
      </c>
      <c r="C38" s="535">
        <v>41569</v>
      </c>
      <c r="D38" s="535">
        <v>47804</v>
      </c>
      <c r="E38" s="535">
        <v>54975</v>
      </c>
      <c r="F38" s="535">
        <v>60473</v>
      </c>
      <c r="G38" s="535">
        <v>66520</v>
      </c>
      <c r="H38" s="535">
        <v>73172</v>
      </c>
      <c r="J38" s="525">
        <f>((H38/C38)^(1/COUNT(D38:H38))-1)</f>
        <v>0.11973452660347017</v>
      </c>
    </row>
    <row r="39" spans="2:10">
      <c r="B39" s="533" t="s">
        <v>602</v>
      </c>
      <c r="C39" s="536">
        <v>0.1</v>
      </c>
      <c r="D39" s="537">
        <f>SUM(D38/C38)-1</f>
        <v>0.14999158026413917</v>
      </c>
      <c r="E39" s="537">
        <f>SUM(E38/D38)-1</f>
        <v>0.15000836750062763</v>
      </c>
      <c r="F39" s="537">
        <f>SUM(F38/E38)-1</f>
        <v>0.10000909504320155</v>
      </c>
      <c r="G39" s="537">
        <f>SUM(G38/F38)-1</f>
        <v>9.9995039108362382E-2</v>
      </c>
      <c r="H39" s="537">
        <f>SUM(H38/G38)-1</f>
        <v>0.10000000000000009</v>
      </c>
    </row>
    <row r="40" spans="2:10" ht="5.0999999999999996" customHeight="1"/>
    <row r="41" spans="2:10">
      <c r="B41" s="8" t="s">
        <v>600</v>
      </c>
      <c r="C41" s="535">
        <v>40824</v>
      </c>
      <c r="D41" s="535">
        <v>45900</v>
      </c>
      <c r="E41" s="535">
        <v>51291</v>
      </c>
      <c r="F41" s="538">
        <f>E41</f>
        <v>51291</v>
      </c>
      <c r="G41" s="538">
        <f>F41</f>
        <v>51291</v>
      </c>
      <c r="H41" s="538">
        <f>G41</f>
        <v>51291</v>
      </c>
      <c r="J41" s="525">
        <f>((H41/C41)^(1/COUNT(D41:H41))-1)</f>
        <v>4.6706984659502293E-2</v>
      </c>
    </row>
    <row r="42" spans="2:10">
      <c r="B42" s="533" t="s">
        <v>602</v>
      </c>
      <c r="C42" s="536"/>
      <c r="D42" s="537">
        <f>SUM(D41/C41)-1</f>
        <v>0.12433862433862441</v>
      </c>
      <c r="E42" s="537">
        <f>SUM(E41/D41)-1</f>
        <v>0.11745098039215685</v>
      </c>
      <c r="F42" s="537">
        <f>SUM(F41/E41)-1</f>
        <v>0</v>
      </c>
      <c r="G42" s="537">
        <f>SUM(G41/F41)-1</f>
        <v>0</v>
      </c>
      <c r="H42" s="537">
        <f>SUM(H41/G41)-1</f>
        <v>0</v>
      </c>
    </row>
    <row r="43" spans="2:10" ht="5.0999999999999996" customHeight="1"/>
    <row r="44" spans="2:10">
      <c r="B44" s="8" t="s">
        <v>597</v>
      </c>
      <c r="C44" s="535">
        <v>40818.49</v>
      </c>
      <c r="D44" s="535">
        <v>46200.823699999994</v>
      </c>
      <c r="E44" s="535">
        <v>51611.192806999999</v>
      </c>
      <c r="F44" s="538">
        <f>E44</f>
        <v>51611.192806999999</v>
      </c>
      <c r="G44" s="538">
        <f>F44</f>
        <v>51611.192806999999</v>
      </c>
      <c r="H44" s="538">
        <f>G44</f>
        <v>51611.192806999999</v>
      </c>
      <c r="J44" s="525">
        <f>((H44/C44)^(1/COUNT(D44:H44))-1)</f>
        <v>4.8038875088015853E-2</v>
      </c>
    </row>
    <row r="45" spans="2:10">
      <c r="B45" s="533" t="s">
        <v>602</v>
      </c>
      <c r="C45" s="532"/>
      <c r="D45" s="537">
        <f>SUM(D44/C44)-1</f>
        <v>0.13186018640081976</v>
      </c>
      <c r="E45" s="537">
        <f>SUM(E44/D44)-1</f>
        <v>0.11710546855466575</v>
      </c>
      <c r="F45" s="537">
        <f>SUM(F44/E44)-1</f>
        <v>0</v>
      </c>
      <c r="G45" s="537">
        <f>SUM(G44/F44)-1</f>
        <v>0</v>
      </c>
      <c r="H45" s="537">
        <f>SUM(H44/G44)-1</f>
        <v>0</v>
      </c>
    </row>
    <row r="46" spans="2:10" ht="5.0999999999999996" customHeight="1"/>
    <row r="47" spans="2:10">
      <c r="B47" s="546" t="s">
        <v>618</v>
      </c>
      <c r="C47" s="547">
        <f t="shared" ref="C47:H47" si="2">MEDIAN(C38,C41,C44)</f>
        <v>40824</v>
      </c>
      <c r="D47" s="547">
        <f t="shared" si="2"/>
        <v>46200.823699999994</v>
      </c>
      <c r="E47" s="547">
        <f t="shared" si="2"/>
        <v>51611.192806999999</v>
      </c>
      <c r="F47" s="547">
        <f t="shared" si="2"/>
        <v>51611.192806999999</v>
      </c>
      <c r="G47" s="547">
        <f t="shared" si="2"/>
        <v>51611.192806999999</v>
      </c>
      <c r="H47" s="548">
        <f t="shared" si="2"/>
        <v>51611.192806999999</v>
      </c>
    </row>
    <row r="48" spans="2:10">
      <c r="B48" s="543" t="s">
        <v>619</v>
      </c>
      <c r="C48" s="544">
        <f t="shared" ref="C48:H48" si="3">AVERAGE(C44,C41,C38)</f>
        <v>41070.496666666666</v>
      </c>
      <c r="D48" s="544">
        <f t="shared" si="3"/>
        <v>46634.941233333338</v>
      </c>
      <c r="E48" s="544">
        <f t="shared" si="3"/>
        <v>52625.730935666674</v>
      </c>
      <c r="F48" s="544">
        <f t="shared" si="3"/>
        <v>54458.397602333338</v>
      </c>
      <c r="G48" s="544">
        <f t="shared" si="3"/>
        <v>56474.064269000002</v>
      </c>
      <c r="H48" s="545">
        <f t="shared" si="3"/>
        <v>58691.397602333338</v>
      </c>
    </row>
    <row r="50" spans="2:10">
      <c r="B50" s="530" t="s">
        <v>603</v>
      </c>
    </row>
    <row r="51" spans="2:10">
      <c r="B51" s="8" t="s">
        <v>604</v>
      </c>
      <c r="C51" s="535">
        <v>29308</v>
      </c>
      <c r="D51" s="535">
        <v>30040</v>
      </c>
      <c r="E51" s="535">
        <v>30791</v>
      </c>
      <c r="F51" s="535">
        <v>31561</v>
      </c>
      <c r="G51" s="535">
        <v>32350</v>
      </c>
      <c r="H51" s="535">
        <v>33159</v>
      </c>
      <c r="J51" s="525">
        <f>((H51/C51)^(1/COUNT(D51:H51))-1)</f>
        <v>2.4998071720021109E-2</v>
      </c>
    </row>
    <row r="52" spans="2:10">
      <c r="B52" s="533" t="s">
        <v>602</v>
      </c>
      <c r="C52" s="536">
        <v>-0.03</v>
      </c>
      <c r="D52" s="537">
        <f>SUM(D51/C51)-1</f>
        <v>2.497611573631775E-2</v>
      </c>
      <c r="E52" s="537">
        <f>SUM(E51/D51)-1</f>
        <v>2.4999999999999911E-2</v>
      </c>
      <c r="F52" s="537">
        <f>SUM(F51/E51)-1</f>
        <v>2.5007307330064066E-2</v>
      </c>
      <c r="G52" s="537">
        <f>SUM(G51/F51)-1</f>
        <v>2.4999207883146912E-2</v>
      </c>
      <c r="H52" s="537">
        <f>SUM(H51/G51)-1</f>
        <v>2.5007727975270511E-2</v>
      </c>
    </row>
    <row r="53" spans="2:10" ht="5.0999999999999996" customHeight="1"/>
    <row r="54" spans="2:10">
      <c r="B54" s="8" t="s">
        <v>600</v>
      </c>
      <c r="C54" s="535">
        <v>29843</v>
      </c>
      <c r="D54" s="535">
        <v>29174</v>
      </c>
      <c r="E54" s="535">
        <v>28591</v>
      </c>
      <c r="F54" s="538">
        <f>E54</f>
        <v>28591</v>
      </c>
      <c r="G54" s="538">
        <f>F54</f>
        <v>28591</v>
      </c>
      <c r="H54" s="538">
        <f>G54</f>
        <v>28591</v>
      </c>
      <c r="J54" s="525">
        <f>((H54/C54)^(1/COUNT(D54:H54))-1)</f>
        <v>-8.5350327201241249E-3</v>
      </c>
    </row>
    <row r="55" spans="2:10">
      <c r="B55" s="533" t="s">
        <v>602</v>
      </c>
      <c r="C55" s="536"/>
      <c r="D55" s="537">
        <f>SUM(D54/C54)-1</f>
        <v>-2.241731729383778E-2</v>
      </c>
      <c r="E55" s="537">
        <f>SUM(E54/D54)-1</f>
        <v>-1.9983546993898704E-2</v>
      </c>
      <c r="F55" s="537">
        <f>SUM(F54/E54)-1</f>
        <v>0</v>
      </c>
      <c r="G55" s="537">
        <f>SUM(G54/F54)-1</f>
        <v>0</v>
      </c>
      <c r="H55" s="537">
        <f>SUM(H54/G54)-1</f>
        <v>0</v>
      </c>
    </row>
    <row r="56" spans="2:10" ht="5.0999999999999996" customHeight="1"/>
    <row r="57" spans="2:10">
      <c r="B57" s="8" t="s">
        <v>597</v>
      </c>
      <c r="C57" s="535">
        <v>29745.690000000002</v>
      </c>
      <c r="D57" s="535">
        <v>29405.674999999999</v>
      </c>
      <c r="E57" s="535">
        <v>29422.535319999999</v>
      </c>
      <c r="F57" s="538">
        <f>E57</f>
        <v>29422.535319999999</v>
      </c>
      <c r="G57" s="538">
        <f>F57</f>
        <v>29422.535319999999</v>
      </c>
      <c r="H57" s="538">
        <f>G57</f>
        <v>29422.535319999999</v>
      </c>
      <c r="J57" s="525">
        <f>((H57/C57)^(1/COUNT(D57:H57))-1)</f>
        <v>-2.1822872085013323E-3</v>
      </c>
    </row>
    <row r="58" spans="2:10">
      <c r="B58" s="533" t="s">
        <v>602</v>
      </c>
      <c r="C58" s="532"/>
      <c r="D58" s="537">
        <f>SUM(D57/C57)-1</f>
        <v>-1.1430731645492243E-2</v>
      </c>
      <c r="E58" s="537">
        <f>SUM(E57/D57)-1</f>
        <v>5.7336959617493299E-4</v>
      </c>
      <c r="F58" s="537">
        <f>SUM(F57/E57)-1</f>
        <v>0</v>
      </c>
      <c r="G58" s="537">
        <f>SUM(G57/F57)-1</f>
        <v>0</v>
      </c>
      <c r="H58" s="537">
        <f>SUM(H57/G57)-1</f>
        <v>0</v>
      </c>
    </row>
    <row r="59" spans="2:10" ht="5.0999999999999996" customHeight="1"/>
    <row r="60" spans="2:10">
      <c r="B60" s="546" t="s">
        <v>618</v>
      </c>
      <c r="C60" s="547">
        <f t="shared" ref="C60:H60" si="4">MEDIAN(C51,C54,C57)</f>
        <v>29745.690000000002</v>
      </c>
      <c r="D60" s="547">
        <f t="shared" si="4"/>
        <v>29405.674999999999</v>
      </c>
      <c r="E60" s="547">
        <f t="shared" si="4"/>
        <v>29422.535319999999</v>
      </c>
      <c r="F60" s="547">
        <f t="shared" si="4"/>
        <v>29422.535319999999</v>
      </c>
      <c r="G60" s="547">
        <f t="shared" si="4"/>
        <v>29422.535319999999</v>
      </c>
      <c r="H60" s="548">
        <f t="shared" si="4"/>
        <v>29422.535319999999</v>
      </c>
    </row>
    <row r="61" spans="2:10">
      <c r="B61" s="543" t="s">
        <v>619</v>
      </c>
      <c r="C61" s="544">
        <f t="shared" ref="C61:H61" si="5">AVERAGE(C57,C54,C51)</f>
        <v>29632.23</v>
      </c>
      <c r="D61" s="544">
        <f t="shared" si="5"/>
        <v>29539.891666666666</v>
      </c>
      <c r="E61" s="544">
        <f t="shared" si="5"/>
        <v>29601.511773333332</v>
      </c>
      <c r="F61" s="544">
        <f t="shared" si="5"/>
        <v>29858.17844</v>
      </c>
      <c r="G61" s="544">
        <f t="shared" si="5"/>
        <v>30121.17844</v>
      </c>
      <c r="H61" s="545">
        <f t="shared" si="5"/>
        <v>30390.845106666664</v>
      </c>
    </row>
    <row r="63" spans="2:10">
      <c r="B63" s="530" t="s">
        <v>605</v>
      </c>
    </row>
    <row r="64" spans="2:10">
      <c r="B64" s="8" t="s">
        <v>604</v>
      </c>
      <c r="C64" s="535">
        <v>45181</v>
      </c>
      <c r="D64" s="535">
        <v>50602</v>
      </c>
      <c r="E64" s="535">
        <v>56675</v>
      </c>
      <c r="F64" s="535">
        <v>63476</v>
      </c>
      <c r="G64" s="535">
        <v>71093</v>
      </c>
      <c r="H64" s="535">
        <v>79624</v>
      </c>
      <c r="J64" s="525">
        <f>((H64/C64)^(1/COUNT(D64:H64))-1)</f>
        <v>0.11999898839996237</v>
      </c>
    </row>
    <row r="65" spans="2:10">
      <c r="B65" s="533" t="s">
        <v>602</v>
      </c>
      <c r="C65" s="536">
        <v>0.12</v>
      </c>
      <c r="D65" s="537">
        <f>SUM(D64/C64)-1</f>
        <v>0.1199840640977401</v>
      </c>
      <c r="E65" s="537">
        <f>SUM(E64/D64)-1</f>
        <v>0.12001501916920287</v>
      </c>
      <c r="F65" s="537">
        <f>SUM(F64/E64)-1</f>
        <v>0.12000000000000011</v>
      </c>
      <c r="G65" s="537">
        <f>SUM(G64/F64)-1</f>
        <v>0.11999810952170908</v>
      </c>
      <c r="H65" s="537">
        <f>SUM(H64/G64)-1</f>
        <v>0.11999774942680719</v>
      </c>
    </row>
    <row r="66" spans="2:10" ht="5.0999999999999996" customHeight="1"/>
    <row r="67" spans="2:10">
      <c r="B67" s="8" t="s">
        <v>600</v>
      </c>
      <c r="C67" s="535">
        <v>47953</v>
      </c>
      <c r="D67" s="535">
        <v>55417</v>
      </c>
      <c r="E67" s="535">
        <v>60959</v>
      </c>
      <c r="F67" s="538">
        <f>E67</f>
        <v>60959</v>
      </c>
      <c r="G67" s="538">
        <f>F67</f>
        <v>60959</v>
      </c>
      <c r="H67" s="538">
        <f>G67</f>
        <v>60959</v>
      </c>
      <c r="J67" s="525">
        <f>((H67/C67)^(1/COUNT(D67:H67))-1)</f>
        <v>4.9166488551483534E-2</v>
      </c>
    </row>
    <row r="68" spans="2:10">
      <c r="B68" s="533" t="s">
        <v>602</v>
      </c>
      <c r="C68" s="532"/>
      <c r="D68" s="537">
        <f>SUM(D67/C67)-1</f>
        <v>0.15565240965111671</v>
      </c>
      <c r="E68" s="537">
        <f>SUM(E67/D67)-1</f>
        <v>0.10000541350127223</v>
      </c>
      <c r="F68" s="537">
        <f>SUM(F67/E67)-1</f>
        <v>0</v>
      </c>
      <c r="G68" s="537">
        <f>SUM(G67/F67)-1</f>
        <v>0</v>
      </c>
      <c r="H68" s="537">
        <f>SUM(H67/G67)-1</f>
        <v>0</v>
      </c>
    </row>
    <row r="69" spans="2:10" ht="5.0999999999999996" customHeight="1"/>
    <row r="70" spans="2:10">
      <c r="B70" s="8" t="s">
        <v>597</v>
      </c>
      <c r="C70" s="535">
        <v>48305.524595185052</v>
      </c>
      <c r="D70" s="535">
        <v>56084.429580378186</v>
      </c>
      <c r="E70" s="535">
        <v>62992.282620713035</v>
      </c>
      <c r="F70" s="538">
        <f>E70</f>
        <v>62992.282620713035</v>
      </c>
      <c r="G70" s="538">
        <f>F70</f>
        <v>62992.282620713035</v>
      </c>
      <c r="H70" s="538">
        <f>G70</f>
        <v>62992.282620713035</v>
      </c>
      <c r="J70" s="525">
        <f>((H70/C70)^(1/COUNT(D70:H70))-1)</f>
        <v>5.4527982825901322E-2</v>
      </c>
    </row>
    <row r="71" spans="2:10">
      <c r="B71" s="533" t="s">
        <v>602</v>
      </c>
      <c r="C71" s="532"/>
      <c r="D71" s="537">
        <f>SUM(D70/C70)-1</f>
        <v>0.16103551406143946</v>
      </c>
      <c r="E71" s="537">
        <f>SUM(E70/D70)-1</f>
        <v>0.12316882050899292</v>
      </c>
      <c r="F71" s="537">
        <f>SUM(F70/E70)-1</f>
        <v>0</v>
      </c>
      <c r="G71" s="537">
        <f>SUM(G70/F70)-1</f>
        <v>0</v>
      </c>
      <c r="H71" s="537">
        <f>SUM(H70/G70)-1</f>
        <v>0</v>
      </c>
    </row>
    <row r="72" spans="2:10" ht="5.0999999999999996" customHeight="1"/>
    <row r="73" spans="2:10">
      <c r="B73" s="546" t="s">
        <v>618</v>
      </c>
      <c r="C73" s="547">
        <f t="shared" ref="C73:H73" si="6">MEDIAN(C64,C67,C70)</f>
        <v>47953</v>
      </c>
      <c r="D73" s="547">
        <f t="shared" si="6"/>
        <v>55417</v>
      </c>
      <c r="E73" s="547">
        <f t="shared" si="6"/>
        <v>60959</v>
      </c>
      <c r="F73" s="547">
        <f t="shared" si="6"/>
        <v>62992.282620713035</v>
      </c>
      <c r="G73" s="547">
        <f t="shared" si="6"/>
        <v>62992.282620713035</v>
      </c>
      <c r="H73" s="548">
        <f t="shared" si="6"/>
        <v>62992.282620713035</v>
      </c>
    </row>
    <row r="74" spans="2:10">
      <c r="B74" s="543" t="s">
        <v>619</v>
      </c>
      <c r="C74" s="544">
        <f t="shared" ref="C74:H74" si="7">AVERAGE(C70,C67,C64)</f>
        <v>47146.508198395022</v>
      </c>
      <c r="D74" s="544">
        <f t="shared" si="7"/>
        <v>54034.476526792721</v>
      </c>
      <c r="E74" s="544">
        <f t="shared" si="7"/>
        <v>60208.760873571009</v>
      </c>
      <c r="F74" s="544">
        <f t="shared" si="7"/>
        <v>62475.760873571009</v>
      </c>
      <c r="G74" s="544">
        <f t="shared" si="7"/>
        <v>65014.760873571009</v>
      </c>
      <c r="H74" s="545">
        <f t="shared" si="7"/>
        <v>67858.427540237681</v>
      </c>
    </row>
    <row r="76" spans="2:10">
      <c r="B76" s="530" t="s">
        <v>606</v>
      </c>
    </row>
    <row r="77" spans="2:10">
      <c r="B77" s="8" t="s">
        <v>604</v>
      </c>
      <c r="C77" s="535">
        <v>56198</v>
      </c>
      <c r="D77" s="535">
        <v>71652</v>
      </c>
      <c r="E77" s="535">
        <v>89565</v>
      </c>
      <c r="F77" s="535">
        <v>109717</v>
      </c>
      <c r="G77" s="535">
        <v>131661</v>
      </c>
      <c r="H77" s="535">
        <v>157993</v>
      </c>
      <c r="J77" s="525">
        <f>((H77/C77)^(1/COUNT(D77:H77))-1)</f>
        <v>0.22965533151339224</v>
      </c>
    </row>
    <row r="78" spans="2:10">
      <c r="B78" s="533" t="s">
        <v>602</v>
      </c>
      <c r="C78" s="536">
        <v>0.3</v>
      </c>
      <c r="D78" s="537">
        <f>SUM(D77/C77)-1</f>
        <v>0.27499199259760143</v>
      </c>
      <c r="E78" s="537">
        <f>SUM(E77/D77)-1</f>
        <v>0.25</v>
      </c>
      <c r="F78" s="537">
        <f>SUM(F77/E77)-1</f>
        <v>0.22499860436554453</v>
      </c>
      <c r="G78" s="537">
        <f>SUM(G77/F77)-1</f>
        <v>0.2000054686147088</v>
      </c>
      <c r="H78" s="537">
        <f>SUM(H77/G77)-1</f>
        <v>0.19999848094728123</v>
      </c>
    </row>
    <row r="79" spans="2:10" ht="5.0999999999999996" customHeight="1"/>
    <row r="80" spans="2:10">
      <c r="B80" s="8" t="s">
        <v>600</v>
      </c>
      <c r="C80" s="535">
        <v>57095</v>
      </c>
      <c r="D80" s="535">
        <v>75074</v>
      </c>
      <c r="E80" s="535">
        <v>97694</v>
      </c>
      <c r="F80" s="538">
        <f>E80</f>
        <v>97694</v>
      </c>
      <c r="G80" s="538">
        <f>F80</f>
        <v>97694</v>
      </c>
      <c r="H80" s="538">
        <f>G80</f>
        <v>97694</v>
      </c>
      <c r="J80" s="525">
        <f>((H80/C80)^(1/COUNT(D80:H80))-1)</f>
        <v>0.11340703975779687</v>
      </c>
    </row>
    <row r="81" spans="2:10">
      <c r="B81" s="533" t="s">
        <v>602</v>
      </c>
      <c r="C81" s="532"/>
      <c r="D81" s="537">
        <f>SUM(D80/C80)-1</f>
        <v>0.31489622558893071</v>
      </c>
      <c r="E81" s="537">
        <f>SUM(E80/D80)-1</f>
        <v>0.3013027146548739</v>
      </c>
      <c r="F81" s="537">
        <f>SUM(F80/E80)-1</f>
        <v>0</v>
      </c>
      <c r="G81" s="537">
        <f>SUM(G80/F80)-1</f>
        <v>0</v>
      </c>
      <c r="H81" s="537">
        <f>SUM(H80/G80)-1</f>
        <v>0</v>
      </c>
    </row>
    <row r="82" spans="2:10" ht="5.0999999999999996" customHeight="1"/>
    <row r="83" spans="2:10">
      <c r="B83" s="8" t="s">
        <v>597</v>
      </c>
      <c r="C83" s="535">
        <v>57223.607187000533</v>
      </c>
      <c r="D83" s="535">
        <v>78192.918351373257</v>
      </c>
      <c r="E83" s="535">
        <v>103268.99297384921</v>
      </c>
      <c r="F83" s="538">
        <f>E83</f>
        <v>103268.99297384921</v>
      </c>
      <c r="G83" s="538">
        <f>F83</f>
        <v>103268.99297384921</v>
      </c>
      <c r="H83" s="538">
        <f>G83</f>
        <v>103268.99297384921</v>
      </c>
      <c r="J83" s="525">
        <f>((H83/C83)^(1/COUNT(D83:H83))-1)</f>
        <v>0.12532752654147261</v>
      </c>
    </row>
    <row r="84" spans="2:10">
      <c r="B84" s="533" t="s">
        <v>602</v>
      </c>
      <c r="C84" s="532"/>
      <c r="D84" s="537">
        <f>SUM(D83/C83)-1</f>
        <v>0.3664451123440593</v>
      </c>
      <c r="E84" s="537">
        <f>SUM(E83/D83)-1</f>
        <v>0.32069495743581689</v>
      </c>
      <c r="F84" s="537">
        <f>SUM(F83/E83)-1</f>
        <v>0</v>
      </c>
      <c r="G84" s="537">
        <f>SUM(G83/F83)-1</f>
        <v>0</v>
      </c>
      <c r="H84" s="537">
        <f>SUM(H83/G83)-1</f>
        <v>0</v>
      </c>
    </row>
    <row r="85" spans="2:10" ht="5.0999999999999996" customHeight="1"/>
    <row r="86" spans="2:10">
      <c r="B86" s="546" t="s">
        <v>618</v>
      </c>
      <c r="C86" s="547">
        <f t="shared" ref="C86:H86" si="8">MEDIAN(C77,C80,C83)</f>
        <v>57095</v>
      </c>
      <c r="D86" s="547">
        <f t="shared" si="8"/>
        <v>75074</v>
      </c>
      <c r="E86" s="547">
        <f t="shared" si="8"/>
        <v>97694</v>
      </c>
      <c r="F86" s="547">
        <f t="shared" si="8"/>
        <v>103268.99297384921</v>
      </c>
      <c r="G86" s="547">
        <f t="shared" si="8"/>
        <v>103268.99297384921</v>
      </c>
      <c r="H86" s="548">
        <f t="shared" si="8"/>
        <v>103268.99297384921</v>
      </c>
    </row>
    <row r="87" spans="2:10">
      <c r="B87" s="543" t="s">
        <v>619</v>
      </c>
      <c r="C87" s="544">
        <f t="shared" ref="C87:H87" si="9">AVERAGE(C83,C80,C77)</f>
        <v>56838.869062333513</v>
      </c>
      <c r="D87" s="544">
        <f t="shared" si="9"/>
        <v>74972.97278379109</v>
      </c>
      <c r="E87" s="544">
        <f t="shared" si="9"/>
        <v>96842.664324616388</v>
      </c>
      <c r="F87" s="544">
        <f t="shared" si="9"/>
        <v>103559.99765794973</v>
      </c>
      <c r="G87" s="544">
        <f t="shared" si="9"/>
        <v>110874.66432461639</v>
      </c>
      <c r="H87" s="545">
        <f t="shared" si="9"/>
        <v>119651.99765794973</v>
      </c>
    </row>
    <row r="89" spans="2:10">
      <c r="B89" s="530" t="s">
        <v>510</v>
      </c>
    </row>
    <row r="90" spans="2:10">
      <c r="B90" s="8" t="s">
        <v>604</v>
      </c>
      <c r="C90" s="535">
        <v>1730</v>
      </c>
      <c r="D90" s="535">
        <v>1817</v>
      </c>
      <c r="E90" s="535">
        <v>1908</v>
      </c>
      <c r="F90" s="535">
        <v>2003</v>
      </c>
      <c r="G90" s="535">
        <v>2103</v>
      </c>
      <c r="H90" s="535">
        <v>2208</v>
      </c>
      <c r="J90" s="525">
        <f>((H90/C90)^(1/COUNT(D90:H90))-1)</f>
        <v>5.0003128806841879E-2</v>
      </c>
    </row>
    <row r="91" spans="2:10">
      <c r="B91" s="533" t="s">
        <v>602</v>
      </c>
      <c r="C91" s="536">
        <v>0.05</v>
      </c>
      <c r="D91" s="537">
        <f>SUM(D90/C90)-1</f>
        <v>5.028901734104041E-2</v>
      </c>
      <c r="E91" s="537">
        <f>SUM(E90/D90)-1</f>
        <v>5.0082553659879014E-2</v>
      </c>
      <c r="F91" s="537">
        <f>SUM(F90/E90)-1</f>
        <v>4.9790356394129986E-2</v>
      </c>
      <c r="G91" s="537">
        <f>SUM(G90/F90)-1</f>
        <v>4.9925112331502763E-2</v>
      </c>
      <c r="H91" s="537">
        <f>SUM(H90/G90)-1</f>
        <v>4.9928673323823114E-2</v>
      </c>
    </row>
    <row r="92" spans="2:10" ht="5.0999999999999996" customHeight="1"/>
    <row r="93" spans="2:10">
      <c r="B93" s="8" t="s">
        <v>608</v>
      </c>
      <c r="C93" s="535">
        <v>1610.5</v>
      </c>
      <c r="D93" s="535">
        <v>1600.2</v>
      </c>
      <c r="E93" s="535">
        <v>1589.6</v>
      </c>
      <c r="F93" s="535">
        <v>1579</v>
      </c>
      <c r="G93" s="535">
        <v>1568.2</v>
      </c>
      <c r="H93" s="535">
        <v>1557.3</v>
      </c>
      <c r="J93" s="525">
        <f>((H93/C93)^(1/COUNT(D93:H93))-1)</f>
        <v>-6.6957106165597136E-3</v>
      </c>
    </row>
    <row r="94" spans="2:10">
      <c r="B94" s="533" t="s">
        <v>602</v>
      </c>
      <c r="C94" s="536"/>
      <c r="D94" s="537">
        <f>SUM(D93/C93)-1</f>
        <v>-6.3955293387146783E-3</v>
      </c>
      <c r="E94" s="537">
        <f>SUM(E93/D93)-1</f>
        <v>-6.6241719785027353E-3</v>
      </c>
      <c r="F94" s="537">
        <f>SUM(F93/E93)-1</f>
        <v>-6.6683442375440327E-3</v>
      </c>
      <c r="G94" s="537">
        <f>SUM(G93/F93)-1</f>
        <v>-6.8397720075996649E-3</v>
      </c>
      <c r="H94" s="537">
        <f>SUM(H93/G93)-1</f>
        <v>-6.9506440505038292E-3</v>
      </c>
    </row>
    <row r="95" spans="2:10" ht="5.0999999999999996" customHeight="1"/>
    <row r="96" spans="2:10">
      <c r="B96" s="8" t="s">
        <v>597</v>
      </c>
      <c r="C96" s="535">
        <v>1607</v>
      </c>
      <c r="D96" s="535">
        <v>1862.19</v>
      </c>
      <c r="E96" s="535">
        <v>2169.5895</v>
      </c>
      <c r="F96" s="538">
        <f>E96</f>
        <v>2169.5895</v>
      </c>
      <c r="G96" s="538">
        <f>F96</f>
        <v>2169.5895</v>
      </c>
      <c r="H96" s="538">
        <f>G96</f>
        <v>2169.5895</v>
      </c>
      <c r="J96" s="525">
        <f>((H96/C96)^(1/COUNT(D96:H96))-1)</f>
        <v>6.1872414374643192E-2</v>
      </c>
    </row>
    <row r="97" spans="1:10">
      <c r="B97" s="533" t="s">
        <v>602</v>
      </c>
      <c r="C97" s="532"/>
      <c r="D97" s="537">
        <f>SUM(D96/C96)-1</f>
        <v>0.15879900435594285</v>
      </c>
      <c r="E97" s="537">
        <f>SUM(E96/D96)-1</f>
        <v>0.1650741868445218</v>
      </c>
      <c r="F97" s="537">
        <f>SUM(F96/E96)-1</f>
        <v>0</v>
      </c>
      <c r="G97" s="537">
        <f>SUM(G96/F96)-1</f>
        <v>0</v>
      </c>
      <c r="H97" s="537">
        <f>SUM(H96/G96)-1</f>
        <v>0</v>
      </c>
    </row>
    <row r="98" spans="1:10" ht="5.0999999999999996" customHeight="1"/>
    <row r="99" spans="1:10">
      <c r="B99" s="546" t="s">
        <v>618</v>
      </c>
      <c r="C99" s="547">
        <f t="shared" ref="C99:H99" si="10">MEDIAN(C90,C93,C96)</f>
        <v>1610.5</v>
      </c>
      <c r="D99" s="547">
        <f t="shared" si="10"/>
        <v>1817</v>
      </c>
      <c r="E99" s="547">
        <f t="shared" si="10"/>
        <v>1908</v>
      </c>
      <c r="F99" s="547">
        <f t="shared" si="10"/>
        <v>2003</v>
      </c>
      <c r="G99" s="547">
        <f t="shared" si="10"/>
        <v>2103</v>
      </c>
      <c r="H99" s="548">
        <f t="shared" si="10"/>
        <v>2169.5895</v>
      </c>
    </row>
    <row r="100" spans="1:10">
      <c r="B100" s="543" t="s">
        <v>619</v>
      </c>
      <c r="C100" s="544">
        <f t="shared" ref="C100:H100" si="11">AVERAGE(C96,C93,C90)</f>
        <v>1649.1666666666667</v>
      </c>
      <c r="D100" s="544">
        <f t="shared" si="11"/>
        <v>1759.7966666666669</v>
      </c>
      <c r="E100" s="544">
        <f t="shared" si="11"/>
        <v>1889.0631666666668</v>
      </c>
      <c r="F100" s="544">
        <f t="shared" si="11"/>
        <v>1917.1965</v>
      </c>
      <c r="G100" s="544">
        <f t="shared" si="11"/>
        <v>1946.9298333333334</v>
      </c>
      <c r="H100" s="545">
        <f t="shared" si="11"/>
        <v>1978.2965000000002</v>
      </c>
    </row>
    <row r="102" spans="1:10">
      <c r="A102" s="8" t="s">
        <v>25</v>
      </c>
      <c r="B102" s="528" t="s">
        <v>607</v>
      </c>
      <c r="C102" s="528"/>
      <c r="D102" s="528"/>
      <c r="E102" s="528"/>
      <c r="F102" s="528"/>
      <c r="G102" s="528"/>
      <c r="H102" s="528"/>
    </row>
    <row r="103" spans="1:10" ht="5.0999999999999996" customHeight="1"/>
    <row r="104" spans="1:10">
      <c r="B104" s="530" t="s">
        <v>432</v>
      </c>
    </row>
    <row r="105" spans="1:10" ht="5.0999999999999996" customHeight="1"/>
    <row r="106" spans="1:10">
      <c r="B106" s="8" t="s">
        <v>608</v>
      </c>
      <c r="C106" s="535">
        <v>45436.6</v>
      </c>
      <c r="D106" s="535">
        <v>53887.6</v>
      </c>
      <c r="E106" s="535">
        <v>62705.599999999999</v>
      </c>
      <c r="F106" s="535">
        <v>71916.399999999994</v>
      </c>
      <c r="G106" s="535">
        <v>81854.3</v>
      </c>
      <c r="H106" s="535">
        <v>91326</v>
      </c>
      <c r="J106" s="525">
        <f>((H106/C106)^(1/COUNT(D106:H106))-1)</f>
        <v>0.14984081950312755</v>
      </c>
    </row>
    <row r="107" spans="1:10">
      <c r="B107" s="533" t="s">
        <v>422</v>
      </c>
      <c r="C107" s="534">
        <f>C106/C12</f>
        <v>0.11363951269411326</v>
      </c>
      <c r="D107" s="537">
        <f>SUM(D106/C106)-1</f>
        <v>0.18599543099615734</v>
      </c>
      <c r="E107" s="537">
        <f>SUM(E106/D106)-1</f>
        <v>0.16363690348057802</v>
      </c>
      <c r="F107" s="537">
        <f>SUM(F106/E106)-1</f>
        <v>0.14688959199816276</v>
      </c>
      <c r="G107" s="537">
        <f>SUM(G106/F106)-1</f>
        <v>0.13818683916325081</v>
      </c>
      <c r="H107" s="537">
        <f>SUM(H106/G106)-1</f>
        <v>0.11571414085759701</v>
      </c>
    </row>
    <row r="108" spans="1:10" ht="5.0999999999999996" customHeight="1"/>
    <row r="109" spans="1:10">
      <c r="B109" s="8" t="s">
        <v>597</v>
      </c>
      <c r="C109" s="535">
        <v>58498.701291563615</v>
      </c>
      <c r="D109" s="535">
        <v>71087.142410586719</v>
      </c>
      <c r="E109" s="535">
        <v>85430.791385352772</v>
      </c>
      <c r="F109" s="538">
        <f>E109</f>
        <v>85430.791385352772</v>
      </c>
      <c r="G109" s="538">
        <f>F109</f>
        <v>85430.791385352772</v>
      </c>
      <c r="H109" s="538">
        <f>G109</f>
        <v>85430.791385352772</v>
      </c>
      <c r="J109" s="525">
        <f>((H109/C109)^(1/COUNT(D109:H109))-1)</f>
        <v>7.8682519771555715E-2</v>
      </c>
    </row>
    <row r="110" spans="1:10">
      <c r="B110" s="533" t="s">
        <v>422</v>
      </c>
      <c r="C110" s="534">
        <f t="shared" ref="C110:H110" si="12">C109/C15</f>
        <v>0.17156704693288094</v>
      </c>
      <c r="D110" s="534">
        <f t="shared" si="12"/>
        <v>0.17891749784954802</v>
      </c>
      <c r="E110" s="534">
        <f t="shared" si="12"/>
        <v>0.18730345462455855</v>
      </c>
      <c r="F110" s="534">
        <f t="shared" si="12"/>
        <v>0.18730345462455855</v>
      </c>
      <c r="G110" s="534">
        <f t="shared" si="12"/>
        <v>0.18730345462455855</v>
      </c>
      <c r="H110" s="534">
        <f t="shared" si="12"/>
        <v>0.18730345462455855</v>
      </c>
    </row>
    <row r="112" spans="1:10">
      <c r="B112" s="530" t="s">
        <v>471</v>
      </c>
    </row>
    <row r="113" spans="1:10" ht="5.0999999999999996" customHeight="1"/>
    <row r="114" spans="1:10">
      <c r="B114" s="8" t="s">
        <v>608</v>
      </c>
      <c r="C114" s="535">
        <v>25366.1</v>
      </c>
      <c r="D114" s="535">
        <v>27423</v>
      </c>
      <c r="E114" s="535">
        <v>30107.8</v>
      </c>
      <c r="F114" s="535">
        <v>32586.799999999999</v>
      </c>
      <c r="G114" s="535">
        <v>35177.800000000003</v>
      </c>
      <c r="H114" s="535">
        <v>37566.300000000003</v>
      </c>
      <c r="J114" s="525">
        <f>((H114/C114)^(1/COUNT(D114:H114))-1)</f>
        <v>8.1705267180309349E-2</v>
      </c>
    </row>
    <row r="115" spans="1:10">
      <c r="B115" s="533" t="s">
        <v>422</v>
      </c>
      <c r="C115" s="532"/>
      <c r="D115" s="537">
        <f>SUM(D114/C114)-1</f>
        <v>8.1088539428607609E-2</v>
      </c>
      <c r="E115" s="537">
        <f>SUM(E114/D114)-1</f>
        <v>9.7903219924880602E-2</v>
      </c>
      <c r="F115" s="537">
        <f>SUM(F114/E114)-1</f>
        <v>8.2337467367260331E-2</v>
      </c>
      <c r="G115" s="537">
        <f>SUM(G114/F114)-1</f>
        <v>7.9510722132888345E-2</v>
      </c>
      <c r="H115" s="537">
        <f>SUM(H114/G114)-1</f>
        <v>6.7897935629857464E-2</v>
      </c>
    </row>
    <row r="116" spans="1:10" ht="5.0999999999999996" customHeight="1"/>
    <row r="117" spans="1:10">
      <c r="B117" s="8" t="s">
        <v>597</v>
      </c>
      <c r="C117" s="535">
        <v>27942.38</v>
      </c>
      <c r="D117" s="535">
        <v>29125.601380557528</v>
      </c>
      <c r="E117" s="535">
        <v>31452.646921792162</v>
      </c>
      <c r="F117" s="538">
        <f>E117</f>
        <v>31452.646921792162</v>
      </c>
      <c r="G117" s="538">
        <f>F117</f>
        <v>31452.646921792162</v>
      </c>
      <c r="H117" s="538">
        <f>G117</f>
        <v>31452.646921792162</v>
      </c>
      <c r="J117" s="525">
        <f>((H117/C117)^(1/COUNT(D117:H117))-1)</f>
        <v>2.3950025235067729E-2</v>
      </c>
    </row>
    <row r="118" spans="1:10">
      <c r="B118" s="533" t="s">
        <v>422</v>
      </c>
      <c r="C118" s="534">
        <f t="shared" ref="C118:H118" si="13">C117/C15</f>
        <v>8.1950394026401391E-2</v>
      </c>
      <c r="D118" s="534">
        <f t="shared" si="13"/>
        <v>7.3305516942493237E-2</v>
      </c>
      <c r="E118" s="534">
        <f t="shared" si="13"/>
        <v>6.8958619369037147E-2</v>
      </c>
      <c r="F118" s="534">
        <f t="shared" si="13"/>
        <v>6.8958619369037147E-2</v>
      </c>
      <c r="G118" s="534">
        <f t="shared" si="13"/>
        <v>6.8958619369037147E-2</v>
      </c>
      <c r="H118" s="534">
        <f t="shared" si="13"/>
        <v>6.8958619369037147E-2</v>
      </c>
    </row>
    <row r="120" spans="1:10">
      <c r="B120" s="530" t="s">
        <v>472</v>
      </c>
    </row>
    <row r="121" spans="1:10" ht="5.0999999999999996" customHeight="1"/>
    <row r="122" spans="1:10">
      <c r="B122" s="8" t="s">
        <v>608</v>
      </c>
      <c r="C122" s="535">
        <v>16919.099999999999</v>
      </c>
      <c r="D122" s="535">
        <v>14275.9</v>
      </c>
      <c r="E122" s="535">
        <v>15893.4</v>
      </c>
      <c r="F122" s="535">
        <v>17581.7</v>
      </c>
      <c r="G122" s="535">
        <v>19293.7</v>
      </c>
      <c r="H122" s="535">
        <v>20971.8</v>
      </c>
      <c r="J122" s="525">
        <f>((H122/C122)^(1/COUNT(D122:H122))-1)</f>
        <v>4.3882675517841641E-2</v>
      </c>
    </row>
    <row r="123" spans="1:10">
      <c r="B123" s="533" t="s">
        <v>422</v>
      </c>
      <c r="C123" s="534"/>
      <c r="D123" s="537"/>
      <c r="E123" s="537"/>
      <c r="F123" s="537"/>
      <c r="G123" s="537"/>
      <c r="H123" s="537"/>
    </row>
    <row r="124" spans="1:10" ht="5.0999999999999996" customHeight="1"/>
    <row r="125" spans="1:10">
      <c r="B125" s="8" t="s">
        <v>597</v>
      </c>
      <c r="C125" s="535">
        <v>20724.66</v>
      </c>
      <c r="D125" s="535">
        <v>16678.188687061505</v>
      </c>
      <c r="E125" s="535">
        <v>18143.680476645044</v>
      </c>
      <c r="F125" s="538">
        <f>E125</f>
        <v>18143.680476645044</v>
      </c>
      <c r="G125" s="538">
        <f>F125</f>
        <v>18143.680476645044</v>
      </c>
      <c r="H125" s="538">
        <f>G125</f>
        <v>18143.680476645044</v>
      </c>
      <c r="J125" s="525">
        <f>((H125/C125)^(1/COUNT(D125:H125))-1)</f>
        <v>-2.6249721432910489E-2</v>
      </c>
    </row>
    <row r="126" spans="1:10">
      <c r="B126" s="533" t="s">
        <v>422</v>
      </c>
      <c r="C126" s="534">
        <f t="shared" ref="C126:H126" si="14">C125/C15</f>
        <v>6.0782011162370551E-2</v>
      </c>
      <c r="D126" s="534">
        <f t="shared" si="14"/>
        <v>4.1976927013277793E-2</v>
      </c>
      <c r="E126" s="534">
        <f t="shared" si="14"/>
        <v>3.977926433515902E-2</v>
      </c>
      <c r="F126" s="534">
        <f t="shared" si="14"/>
        <v>3.977926433515902E-2</v>
      </c>
      <c r="G126" s="534">
        <f t="shared" si="14"/>
        <v>3.977926433515902E-2</v>
      </c>
      <c r="H126" s="534">
        <f t="shared" si="14"/>
        <v>3.977926433515902E-2</v>
      </c>
    </row>
    <row r="128" spans="1:10">
      <c r="A128" s="8" t="s">
        <v>25</v>
      </c>
      <c r="B128" s="528" t="s">
        <v>609</v>
      </c>
      <c r="C128" s="528"/>
      <c r="D128" s="528"/>
      <c r="E128" s="528"/>
      <c r="F128" s="528"/>
      <c r="G128" s="528"/>
      <c r="H128" s="528"/>
      <c r="I128" s="528"/>
      <c r="J128" s="528"/>
    </row>
    <row r="129" spans="2:10" ht="5.0999999999999996" customHeight="1"/>
    <row r="130" spans="2:10">
      <c r="B130" s="530" t="s">
        <v>598</v>
      </c>
    </row>
    <row r="131" spans="2:10">
      <c r="B131" s="8" t="s">
        <v>604</v>
      </c>
      <c r="C131" s="539">
        <v>0.17</v>
      </c>
      <c r="D131" s="539">
        <v>0.17</v>
      </c>
      <c r="E131" s="539">
        <v>0.17</v>
      </c>
      <c r="F131" s="541">
        <f t="shared" ref="F131:H133" si="15">E131</f>
        <v>0.17</v>
      </c>
      <c r="G131" s="541">
        <f t="shared" si="15"/>
        <v>0.17</v>
      </c>
      <c r="H131" s="541">
        <f t="shared" si="15"/>
        <v>0.17</v>
      </c>
    </row>
    <row r="132" spans="2:10">
      <c r="B132" s="8" t="s">
        <v>600</v>
      </c>
      <c r="C132" s="539">
        <v>0.189</v>
      </c>
      <c r="D132" s="539">
        <v>0.17</v>
      </c>
      <c r="E132" s="539">
        <v>0.17499999999999999</v>
      </c>
      <c r="F132" s="541">
        <f t="shared" si="15"/>
        <v>0.17499999999999999</v>
      </c>
      <c r="G132" s="541">
        <f t="shared" si="15"/>
        <v>0.17499999999999999</v>
      </c>
      <c r="H132" s="541">
        <f t="shared" si="15"/>
        <v>0.17499999999999999</v>
      </c>
    </row>
    <row r="133" spans="2:10">
      <c r="B133" s="8" t="s">
        <v>597</v>
      </c>
      <c r="C133" s="539">
        <v>0.18099999999999999</v>
      </c>
      <c r="D133" s="539">
        <v>0.16600000000000001</v>
      </c>
      <c r="E133" s="539">
        <v>0.16600000000000001</v>
      </c>
      <c r="F133" s="541">
        <f t="shared" si="15"/>
        <v>0.16600000000000001</v>
      </c>
      <c r="G133" s="541">
        <f t="shared" si="15"/>
        <v>0.16600000000000001</v>
      </c>
      <c r="H133" s="541">
        <f t="shared" si="15"/>
        <v>0.16600000000000001</v>
      </c>
    </row>
    <row r="134" spans="2:10" ht="5.0999999999999996" customHeight="1"/>
    <row r="135" spans="2:10">
      <c r="B135" s="546" t="s">
        <v>618</v>
      </c>
      <c r="C135" s="550">
        <f t="shared" ref="C135:H135" si="16">MEDIAN(C131,C132,C133)</f>
        <v>0.18099999999999999</v>
      </c>
      <c r="D135" s="550">
        <f t="shared" si="16"/>
        <v>0.17</v>
      </c>
      <c r="E135" s="550">
        <f t="shared" si="16"/>
        <v>0.17</v>
      </c>
      <c r="F135" s="550">
        <f t="shared" si="16"/>
        <v>0.17</v>
      </c>
      <c r="G135" s="550">
        <f t="shared" si="16"/>
        <v>0.17</v>
      </c>
      <c r="H135" s="551">
        <f t="shared" si="16"/>
        <v>0.17</v>
      </c>
    </row>
    <row r="136" spans="2:10">
      <c r="B136" s="543" t="s">
        <v>619</v>
      </c>
      <c r="C136" s="552">
        <f t="shared" ref="C136:H136" si="17">AVERAGE(C133,C132,C131)</f>
        <v>0.18000000000000002</v>
      </c>
      <c r="D136" s="552">
        <f t="shared" si="17"/>
        <v>0.16866666666666666</v>
      </c>
      <c r="E136" s="552">
        <f t="shared" si="17"/>
        <v>0.17033333333333334</v>
      </c>
      <c r="F136" s="552">
        <f t="shared" si="17"/>
        <v>0.17033333333333334</v>
      </c>
      <c r="G136" s="552">
        <f t="shared" si="17"/>
        <v>0.17033333333333334</v>
      </c>
      <c r="H136" s="553">
        <f t="shared" si="17"/>
        <v>0.17033333333333334</v>
      </c>
    </row>
    <row r="138" spans="2:10">
      <c r="B138" s="530" t="s">
        <v>610</v>
      </c>
    </row>
    <row r="139" spans="2:10">
      <c r="B139" s="8" t="s">
        <v>604</v>
      </c>
      <c r="C139" s="535">
        <v>88260</v>
      </c>
      <c r="D139" s="535">
        <v>109146</v>
      </c>
      <c r="E139" s="535">
        <v>96068</v>
      </c>
      <c r="F139" s="535">
        <v>80746</v>
      </c>
      <c r="G139" s="535">
        <v>88257</v>
      </c>
      <c r="H139" s="535">
        <v>96760</v>
      </c>
      <c r="J139" s="525">
        <f>((H139/C139)^(1/COUNT(D139:H139))-1)</f>
        <v>1.8559461455379678E-2</v>
      </c>
    </row>
    <row r="140" spans="2:10">
      <c r="B140" s="533" t="s">
        <v>602</v>
      </c>
      <c r="C140" s="536"/>
      <c r="D140" s="537">
        <f>SUM(D139/C139)-1</f>
        <v>0.23664174031271235</v>
      </c>
      <c r="E140" s="537">
        <f>SUM(E139/D139)-1</f>
        <v>-0.1198211569823906</v>
      </c>
      <c r="F140" s="537">
        <f>SUM(F139/E139)-1</f>
        <v>-0.1594911937377691</v>
      </c>
      <c r="G140" s="537">
        <f>SUM(G139/F139)-1</f>
        <v>9.3020087682361918E-2</v>
      </c>
      <c r="H140" s="537">
        <f>SUM(H139/G139)-1</f>
        <v>9.6343632799664514E-2</v>
      </c>
    </row>
    <row r="141" spans="2:10">
      <c r="B141" s="533" t="s">
        <v>614</v>
      </c>
      <c r="C141" s="195">
        <f t="shared" ref="C141:H141" si="18">C139/C9</f>
        <v>0.22499923521673956</v>
      </c>
      <c r="D141" s="195">
        <f t="shared" si="18"/>
        <v>0.24999942737382183</v>
      </c>
      <c r="E141" s="195">
        <f t="shared" si="18"/>
        <v>0.20000083274694069</v>
      </c>
      <c r="F141" s="195">
        <f t="shared" si="18"/>
        <v>0.1500001857679461</v>
      </c>
      <c r="G141" s="195">
        <f t="shared" si="18"/>
        <v>0.15</v>
      </c>
      <c r="H141" s="195">
        <f t="shared" si="18"/>
        <v>0.14999945742238427</v>
      </c>
    </row>
    <row r="142" spans="2:10" ht="5.0999999999999996" customHeight="1"/>
    <row r="143" spans="2:10">
      <c r="B143" s="8" t="s">
        <v>600</v>
      </c>
      <c r="C143" s="535">
        <v>92410</v>
      </c>
      <c r="D143" s="535">
        <v>130120</v>
      </c>
      <c r="E143" s="535">
        <v>146581</v>
      </c>
      <c r="F143" s="538">
        <f>E143</f>
        <v>146581</v>
      </c>
      <c r="G143" s="538">
        <f>F143</f>
        <v>146581</v>
      </c>
      <c r="H143" s="538">
        <f>G143</f>
        <v>146581</v>
      </c>
      <c r="J143" s="525">
        <f>((H143/C143)^(1/COUNT(D143:H143))-1)</f>
        <v>9.66593405721623E-2</v>
      </c>
    </row>
    <row r="144" spans="2:10">
      <c r="B144" s="533" t="s">
        <v>602</v>
      </c>
      <c r="C144" s="532"/>
      <c r="D144" s="537">
        <f>SUM(D143/C143)-1</f>
        <v>0.4080727194026621</v>
      </c>
      <c r="E144" s="537">
        <f>SUM(E143/D143)-1</f>
        <v>0.12650630187519218</v>
      </c>
      <c r="F144" s="537">
        <f>SUM(F143/E143)-1</f>
        <v>0</v>
      </c>
      <c r="G144" s="537">
        <f>SUM(G143/F143)-1</f>
        <v>0</v>
      </c>
      <c r="H144" s="537">
        <f>SUM(H143/G143)-1</f>
        <v>0</v>
      </c>
    </row>
    <row r="145" spans="2:10">
      <c r="B145" s="533" t="s">
        <v>614</v>
      </c>
      <c r="C145" s="195">
        <f t="shared" ref="C145:H145" si="19">C143/C12</f>
        <v>0.23112264931933743</v>
      </c>
      <c r="D145" s="195">
        <f t="shared" si="19"/>
        <v>0.28670265506224524</v>
      </c>
      <c r="E145" s="195">
        <f t="shared" si="19"/>
        <v>0.28675587377976014</v>
      </c>
      <c r="F145" s="195">
        <f t="shared" si="19"/>
        <v>0.28675587377976014</v>
      </c>
      <c r="G145" s="195">
        <f t="shared" si="19"/>
        <v>0.28675587377976014</v>
      </c>
      <c r="H145" s="195">
        <f t="shared" si="19"/>
        <v>0.28675587377976014</v>
      </c>
    </row>
    <row r="146" spans="2:10" ht="5.0999999999999996" customHeight="1"/>
    <row r="147" spans="2:10">
      <c r="B147" s="8" t="s">
        <v>597</v>
      </c>
      <c r="C147" s="535">
        <v>92182</v>
      </c>
      <c r="D147" s="535">
        <v>122246</v>
      </c>
      <c r="E147" s="535">
        <v>140364</v>
      </c>
      <c r="F147" s="538">
        <f>E147</f>
        <v>140364</v>
      </c>
      <c r="G147" s="538">
        <f>F147</f>
        <v>140364</v>
      </c>
      <c r="H147" s="538">
        <f>G147</f>
        <v>140364</v>
      </c>
      <c r="J147" s="525">
        <f>((H147/C147)^(1/COUNT(D147:H147))-1)</f>
        <v>8.7732041749459144E-2</v>
      </c>
    </row>
    <row r="148" spans="2:10">
      <c r="B148" s="533" t="s">
        <v>602</v>
      </c>
      <c r="C148" s="532"/>
      <c r="D148" s="537">
        <f>SUM(D147/C147)-1</f>
        <v>0.32613742379206356</v>
      </c>
      <c r="E148" s="537">
        <f>SUM(E147/D147)-1</f>
        <v>0.14820934836313659</v>
      </c>
      <c r="F148" s="537">
        <f>SUM(F147/E147)-1</f>
        <v>0</v>
      </c>
      <c r="G148" s="537">
        <f>SUM(G147/F147)-1</f>
        <v>0</v>
      </c>
      <c r="H148" s="537">
        <f>SUM(H147/G147)-1</f>
        <v>0</v>
      </c>
    </row>
    <row r="150" spans="2:10">
      <c r="B150" s="530" t="s">
        <v>611</v>
      </c>
    </row>
    <row r="151" spans="2:10">
      <c r="B151" s="8" t="s">
        <v>604</v>
      </c>
      <c r="C151" s="540">
        <v>0.34</v>
      </c>
      <c r="D151" s="540">
        <v>0.35</v>
      </c>
      <c r="E151" s="540">
        <v>0.38</v>
      </c>
      <c r="F151" s="540">
        <v>0.4</v>
      </c>
      <c r="G151" s="540">
        <v>0.44</v>
      </c>
      <c r="H151" s="540">
        <v>0.44</v>
      </c>
    </row>
    <row r="152" spans="2:10">
      <c r="B152" s="8" t="s">
        <v>600</v>
      </c>
      <c r="C152" s="540">
        <v>0.32500000000000001</v>
      </c>
      <c r="D152" s="540">
        <v>0.33</v>
      </c>
      <c r="E152" s="540">
        <v>0.32800000000000001</v>
      </c>
      <c r="F152" s="542">
        <f t="shared" ref="F152:H153" si="20">E152</f>
        <v>0.32800000000000001</v>
      </c>
      <c r="G152" s="542">
        <f t="shared" si="20"/>
        <v>0.32800000000000001</v>
      </c>
      <c r="H152" s="542">
        <f t="shared" si="20"/>
        <v>0.32800000000000001</v>
      </c>
    </row>
    <row r="153" spans="2:10">
      <c r="B153" s="8" t="s">
        <v>597</v>
      </c>
      <c r="C153" s="540">
        <v>0.45300000000000001</v>
      </c>
      <c r="D153" s="540">
        <v>0.46700000000000003</v>
      </c>
      <c r="E153" s="540">
        <v>0.45300000000000001</v>
      </c>
      <c r="F153" s="542">
        <f t="shared" si="20"/>
        <v>0.45300000000000001</v>
      </c>
      <c r="G153" s="542">
        <f t="shared" si="20"/>
        <v>0.45300000000000001</v>
      </c>
      <c r="H153" s="542">
        <f t="shared" si="20"/>
        <v>0.45300000000000001</v>
      </c>
    </row>
    <row r="154" spans="2:10" ht="5.0999999999999996" customHeight="1"/>
    <row r="155" spans="2:10">
      <c r="B155" s="546" t="s">
        <v>618</v>
      </c>
      <c r="C155" s="550">
        <f t="shared" ref="C155:H155" si="21">MEDIAN(C151,C152,C153)</f>
        <v>0.34</v>
      </c>
      <c r="D155" s="550">
        <f t="shared" si="21"/>
        <v>0.35</v>
      </c>
      <c r="E155" s="550">
        <f t="shared" si="21"/>
        <v>0.38</v>
      </c>
      <c r="F155" s="550">
        <f t="shared" si="21"/>
        <v>0.4</v>
      </c>
      <c r="G155" s="550">
        <f t="shared" si="21"/>
        <v>0.44</v>
      </c>
      <c r="H155" s="551">
        <f t="shared" si="21"/>
        <v>0.44</v>
      </c>
    </row>
    <row r="156" spans="2:10">
      <c r="B156" s="543" t="s">
        <v>619</v>
      </c>
      <c r="C156" s="552">
        <f t="shared" ref="C156:H156" si="22">AVERAGE(C153,C152,C151)</f>
        <v>0.3726666666666667</v>
      </c>
      <c r="D156" s="552">
        <f t="shared" si="22"/>
        <v>0.38233333333333336</v>
      </c>
      <c r="E156" s="552">
        <f t="shared" si="22"/>
        <v>0.38700000000000001</v>
      </c>
      <c r="F156" s="552">
        <f t="shared" si="22"/>
        <v>0.39366666666666666</v>
      </c>
      <c r="G156" s="552">
        <f t="shared" si="22"/>
        <v>0.40700000000000003</v>
      </c>
      <c r="H156" s="553">
        <f t="shared" si="22"/>
        <v>0.40700000000000003</v>
      </c>
    </row>
    <row r="157" spans="2:10">
      <c r="B157" s="330"/>
      <c r="C157" s="554"/>
      <c r="D157" s="554"/>
      <c r="E157" s="554"/>
      <c r="F157" s="554"/>
      <c r="G157" s="554"/>
      <c r="H157" s="554"/>
    </row>
    <row r="158" spans="2:10">
      <c r="B158" s="530" t="s">
        <v>428</v>
      </c>
    </row>
    <row r="159" spans="2:10">
      <c r="B159" s="8" t="s">
        <v>604</v>
      </c>
      <c r="C159" s="535">
        <v>20455</v>
      </c>
      <c r="D159" s="535">
        <v>22766</v>
      </c>
      <c r="E159" s="535">
        <v>25047</v>
      </c>
      <c r="F159" s="535">
        <v>28070</v>
      </c>
      <c r="G159" s="535">
        <v>30681</v>
      </c>
      <c r="H159" s="535">
        <v>33637</v>
      </c>
    </row>
    <row r="160" spans="2:10">
      <c r="B160" s="533" t="s">
        <v>602</v>
      </c>
      <c r="C160" s="536"/>
      <c r="D160" s="537">
        <f>SUM(D159/C159)-1</f>
        <v>0.11297971156196529</v>
      </c>
      <c r="E160" s="537">
        <f>SUM(E159/D159)-1</f>
        <v>0.10019327066678385</v>
      </c>
      <c r="F160" s="537">
        <f>SUM(F159/E159)-1</f>
        <v>0.12069309697768205</v>
      </c>
      <c r="G160" s="537">
        <f>SUM(G159/F159)-1</f>
        <v>9.3017456359102191E-2</v>
      </c>
      <c r="H160" s="537">
        <f>SUM(H159/G159)-1</f>
        <v>9.6346272937648747E-2</v>
      </c>
    </row>
    <row r="161" spans="2:10" ht="5.0999999999999996" customHeight="1"/>
    <row r="162" spans="2:10">
      <c r="B162" s="8" t="s">
        <v>600</v>
      </c>
      <c r="C162" s="535">
        <v>21138</v>
      </c>
      <c r="D162" s="535">
        <v>32588</v>
      </c>
      <c r="E162" s="535">
        <v>46703</v>
      </c>
      <c r="F162" s="538">
        <f>E162</f>
        <v>46703</v>
      </c>
      <c r="G162" s="538">
        <f>F162</f>
        <v>46703</v>
      </c>
      <c r="H162" s="538">
        <f>G162</f>
        <v>46703</v>
      </c>
      <c r="J162" s="525">
        <f>((H162/C162)^(1/COUNT(D162:H162))-1)</f>
        <v>0.17180724015514337</v>
      </c>
    </row>
    <row r="163" spans="2:10">
      <c r="B163" s="533" t="s">
        <v>602</v>
      </c>
      <c r="C163" s="532"/>
      <c r="D163" s="537">
        <f>SUM(D162/C162)-1</f>
        <v>0.54167849370801391</v>
      </c>
      <c r="E163" s="537">
        <f>SUM(E162/D162)-1</f>
        <v>0.43313489628083968</v>
      </c>
      <c r="F163" s="537">
        <f>SUM(F162/E162)-1</f>
        <v>0</v>
      </c>
      <c r="G163" s="537">
        <f>SUM(G162/F162)-1</f>
        <v>0</v>
      </c>
      <c r="H163" s="537">
        <f>SUM(H162/G162)-1</f>
        <v>0</v>
      </c>
    </row>
    <row r="164" spans="2:10" ht="5.0999999999999996" customHeight="1"/>
    <row r="165" spans="2:10">
      <c r="B165" s="8" t="s">
        <v>597</v>
      </c>
      <c r="C165" s="535">
        <v>21357</v>
      </c>
      <c r="D165" s="535">
        <v>32344</v>
      </c>
      <c r="E165" s="535">
        <v>46534</v>
      </c>
      <c r="F165" s="538">
        <f>E165</f>
        <v>46534</v>
      </c>
      <c r="G165" s="538">
        <f>F165</f>
        <v>46534</v>
      </c>
      <c r="H165" s="538">
        <f>G165</f>
        <v>46534</v>
      </c>
      <c r="J165" s="525">
        <f>((H165/C165)^(1/COUNT(D165:H165))-1)</f>
        <v>0.16854657697167852</v>
      </c>
    </row>
    <row r="166" spans="2:10">
      <c r="B166" s="533" t="s">
        <v>602</v>
      </c>
      <c r="C166" s="532"/>
      <c r="D166" s="537">
        <f>SUM(D165/C165)-1</f>
        <v>0.51444491267500125</v>
      </c>
      <c r="E166" s="537">
        <f>SUM(E165/D165)-1</f>
        <v>0.4387212465990602</v>
      </c>
      <c r="F166" s="537">
        <f>SUM(F165/E165)-1</f>
        <v>0</v>
      </c>
      <c r="G166" s="537">
        <f>SUM(G165/F165)-1</f>
        <v>0</v>
      </c>
      <c r="H166" s="537">
        <f>SUM(H165/G165)-1</f>
        <v>0</v>
      </c>
    </row>
    <row r="168" spans="2:10">
      <c r="B168" s="530" t="s">
        <v>11</v>
      </c>
    </row>
    <row r="169" spans="2:10">
      <c r="B169" s="8" t="s">
        <v>604</v>
      </c>
      <c r="C169" s="535">
        <v>152233</v>
      </c>
      <c r="D169" s="535">
        <v>176980</v>
      </c>
      <c r="E169" s="535">
        <v>207419</v>
      </c>
      <c r="F169" s="535">
        <v>245580</v>
      </c>
      <c r="G169" s="535">
        <v>287724</v>
      </c>
      <c r="H169" s="535">
        <v>314610</v>
      </c>
      <c r="J169" s="525">
        <f>((H169/C169)^(1/COUNT(D169:H169))-1)</f>
        <v>0.15625265600010851</v>
      </c>
    </row>
    <row r="170" spans="2:10">
      <c r="B170" s="533" t="s">
        <v>602</v>
      </c>
      <c r="C170" s="536"/>
      <c r="D170" s="537">
        <f>SUM(D169/C169)-1</f>
        <v>0.16256002312245044</v>
      </c>
      <c r="E170" s="537">
        <f>SUM(E169/D169)-1</f>
        <v>0.17199118544468295</v>
      </c>
      <c r="F170" s="537">
        <f>SUM(F169/E169)-1</f>
        <v>0.18398025253231376</v>
      </c>
      <c r="G170" s="537">
        <f>SUM(G169/F169)-1</f>
        <v>0.17161006596628381</v>
      </c>
      <c r="H170" s="537">
        <f>SUM(H169/G169)-1</f>
        <v>9.3443716895358131E-2</v>
      </c>
    </row>
    <row r="171" spans="2:10" ht="5.0999999999999996" customHeight="1"/>
    <row r="172" spans="2:10">
      <c r="B172" s="8" t="s">
        <v>600</v>
      </c>
      <c r="C172" s="535">
        <v>151269</v>
      </c>
      <c r="D172" s="535">
        <v>182323</v>
      </c>
      <c r="E172" s="535">
        <v>214374</v>
      </c>
      <c r="F172" s="538">
        <f>E172</f>
        <v>214374</v>
      </c>
      <c r="G172" s="538">
        <f>F172</f>
        <v>214374</v>
      </c>
      <c r="H172" s="538">
        <f>G172</f>
        <v>214374</v>
      </c>
      <c r="J172" s="525">
        <f>((H172/C172)^(1/COUNT(D172:H172))-1)</f>
        <v>7.2221311746559769E-2</v>
      </c>
    </row>
    <row r="173" spans="2:10">
      <c r="B173" s="533" t="s">
        <v>602</v>
      </c>
      <c r="C173" s="532"/>
      <c r="D173" s="537">
        <f>SUM(D172/C172)-1</f>
        <v>0.20528991399427521</v>
      </c>
      <c r="E173" s="537">
        <f>SUM(E172/D172)-1</f>
        <v>0.17579241236706289</v>
      </c>
      <c r="F173" s="537">
        <f>SUM(F172/E172)-1</f>
        <v>0</v>
      </c>
      <c r="G173" s="537">
        <f>SUM(G172/F172)-1</f>
        <v>0</v>
      </c>
      <c r="H173" s="537">
        <f>SUM(H172/G172)-1</f>
        <v>0</v>
      </c>
    </row>
    <row r="174" spans="2:10" ht="5.0999999999999996" customHeight="1"/>
    <row r="175" spans="2:10">
      <c r="B175" s="8" t="s">
        <v>597</v>
      </c>
      <c r="C175" s="535">
        <v>175757</v>
      </c>
      <c r="D175" s="535">
        <v>217934</v>
      </c>
      <c r="E175" s="535">
        <v>253132</v>
      </c>
      <c r="F175" s="538">
        <f>E175</f>
        <v>253132</v>
      </c>
      <c r="G175" s="538">
        <f>F175</f>
        <v>253132</v>
      </c>
      <c r="H175" s="538">
        <f>G175</f>
        <v>253132</v>
      </c>
      <c r="J175" s="525">
        <f>((H175/C175)^(1/COUNT(D175:H175))-1)</f>
        <v>7.568938726493446E-2</v>
      </c>
    </row>
    <row r="176" spans="2:10">
      <c r="B176" s="533" t="s">
        <v>602</v>
      </c>
      <c r="C176" s="532"/>
      <c r="D176" s="537">
        <f>SUM(D175/C175)-1</f>
        <v>0.23997337232656446</v>
      </c>
      <c r="E176" s="537">
        <f>SUM(E175/D175)-1</f>
        <v>0.16150761239641365</v>
      </c>
      <c r="F176" s="537">
        <f>SUM(F175/E175)-1</f>
        <v>0</v>
      </c>
      <c r="G176" s="537">
        <f>SUM(G175/F175)-1</f>
        <v>0</v>
      </c>
      <c r="H176" s="537">
        <f>SUM(H175/G175)-1</f>
        <v>0</v>
      </c>
    </row>
    <row r="178" spans="2:10">
      <c r="B178" s="530" t="s">
        <v>615</v>
      </c>
    </row>
    <row r="179" spans="2:10" ht="5.0999999999999996" customHeight="1"/>
    <row r="180" spans="2:10">
      <c r="B180" s="8" t="s">
        <v>600</v>
      </c>
      <c r="C180" s="535"/>
      <c r="D180" s="535"/>
      <c r="E180" s="535"/>
      <c r="F180" s="538">
        <f>E180</f>
        <v>0</v>
      </c>
      <c r="G180" s="538">
        <f>F180</f>
        <v>0</v>
      </c>
      <c r="H180" s="538">
        <f>G180</f>
        <v>0</v>
      </c>
      <c r="J180" s="525" t="e">
        <f>((H180/C180)^(1/COUNT(D180:H180))-1)</f>
        <v>#DIV/0!</v>
      </c>
    </row>
    <row r="181" spans="2:10">
      <c r="B181" s="533" t="s">
        <v>602</v>
      </c>
      <c r="C181" s="532"/>
      <c r="D181" s="537" t="e">
        <f>SUM(D180/C180)-1</f>
        <v>#DIV/0!</v>
      </c>
      <c r="E181" s="537" t="e">
        <f>SUM(E180/D180)-1</f>
        <v>#DIV/0!</v>
      </c>
      <c r="F181" s="537" t="e">
        <f>SUM(F180/E180)-1</f>
        <v>#DIV/0!</v>
      </c>
      <c r="G181" s="537" t="e">
        <f>SUM(G180/F180)-1</f>
        <v>#DIV/0!</v>
      </c>
      <c r="H181" s="537" t="e">
        <f>SUM(H180/G180)-1</f>
        <v>#DIV/0!</v>
      </c>
    </row>
    <row r="182" spans="2:10" ht="5.0999999999999996" customHeight="1"/>
    <row r="183" spans="2:10">
      <c r="B183" s="8" t="s">
        <v>597</v>
      </c>
      <c r="C183" s="535">
        <v>237265</v>
      </c>
      <c r="D183" s="535">
        <v>274639</v>
      </c>
      <c r="E183" s="535">
        <v>311013</v>
      </c>
      <c r="F183" s="538">
        <f>E183</f>
        <v>311013</v>
      </c>
      <c r="G183" s="538">
        <f>F183</f>
        <v>311013</v>
      </c>
      <c r="H183" s="538">
        <f>G183</f>
        <v>311013</v>
      </c>
      <c r="J183" s="525">
        <f>((H183/C183)^(1/COUNT(D183:H183))-1)</f>
        <v>5.5623312924869772E-2</v>
      </c>
    </row>
    <row r="184" spans="2:10">
      <c r="B184" s="533" t="s">
        <v>602</v>
      </c>
      <c r="C184" s="532"/>
      <c r="D184" s="537">
        <f>SUM(D183/C183)-1</f>
        <v>0.15752007249278233</v>
      </c>
      <c r="E184" s="537">
        <f>SUM(E183/D183)-1</f>
        <v>0.132442952384767</v>
      </c>
      <c r="F184" s="537">
        <f>SUM(F183/E183)-1</f>
        <v>0</v>
      </c>
      <c r="G184" s="537">
        <f>SUM(G183/F183)-1</f>
        <v>0</v>
      </c>
      <c r="H184" s="537">
        <f>SUM(H183/G183)-1</f>
        <v>0</v>
      </c>
    </row>
    <row r="185" spans="2:10">
      <c r="B185" s="533" t="s">
        <v>616</v>
      </c>
      <c r="C185" s="195">
        <f t="shared" ref="C185:H185" si="23">C183/C15</f>
        <v>0.69585913006244005</v>
      </c>
      <c r="D185" s="195">
        <f t="shared" si="23"/>
        <v>0.69123221198133489</v>
      </c>
      <c r="E185" s="195">
        <f t="shared" si="23"/>
        <v>0.68188305865483911</v>
      </c>
      <c r="F185" s="195">
        <f t="shared" si="23"/>
        <v>0.68188305865483911</v>
      </c>
      <c r="G185" s="195">
        <f t="shared" si="23"/>
        <v>0.68188305865483911</v>
      </c>
      <c r="H185" s="195">
        <f t="shared" si="23"/>
        <v>0.68188305865483911</v>
      </c>
    </row>
  </sheetData>
  <dataValidations disablePrompts="1" count="1">
    <dataValidation type="list" allowBlank="1" showInputMessage="1" showErrorMessage="1" sqref="B4" xr:uid="{FA3587D4-9496-490C-8B79-32E732BB8D80}">
      <formula1>"$ bns except per share, $ mm except per share,$ in thousands except per share"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Historical Financials</vt:lpstr>
      <vt:lpstr>EPS</vt:lpstr>
      <vt:lpstr>Revenue Drivers</vt:lpstr>
      <vt:lpstr>FCF</vt:lpstr>
      <vt:lpstr>3-Statement Model</vt:lpstr>
      <vt:lpstr>Sheet1</vt:lpstr>
      <vt:lpstr>DCF</vt:lpstr>
      <vt:lpstr>WACC</vt:lpstr>
      <vt:lpstr>Shares</vt:lpstr>
      <vt:lpstr>Drivers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2024-08-10T06:01:52Z</dcterms:created>
  <dcterms:modified xsi:type="dcterms:W3CDTF">2025-11-25T16:21:10Z</dcterms:modified>
</cp:coreProperties>
</file>