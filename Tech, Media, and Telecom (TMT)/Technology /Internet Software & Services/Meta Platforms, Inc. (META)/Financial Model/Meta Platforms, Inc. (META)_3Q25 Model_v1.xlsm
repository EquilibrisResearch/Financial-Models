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C:\Users\Felix\Downloads\"/>
    </mc:Choice>
  </mc:AlternateContent>
  <xr:revisionPtr revIDLastSave="0" documentId="8_{0C5EEEE5-DAC8-4FD0-A7BF-ECF150AAFC41}" xr6:coauthVersionLast="47" xr6:coauthVersionMax="47" xr10:uidLastSave="{00000000-0000-0000-0000-000000000000}"/>
  <bookViews>
    <workbookView xWindow="-120" yWindow="-120" windowWidth="29040" windowHeight="15720" xr2:uid="{BC9106CE-9107-4097-8948-317996376CB5}"/>
  </bookViews>
  <sheets>
    <sheet name="Historical Financials" sheetId="8" r:id="rId1"/>
    <sheet name="Revenue Drivers" sheetId="10" r:id="rId2"/>
    <sheet name="FCF" sheetId="9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78" i="9" l="1"/>
  <c r="Y78" i="9"/>
  <c r="X78" i="9"/>
  <c r="W78" i="9"/>
  <c r="V78" i="9"/>
  <c r="U78" i="9"/>
  <c r="T78" i="9"/>
  <c r="S78" i="9"/>
  <c r="R78" i="9"/>
  <c r="Q78" i="9"/>
  <c r="P78" i="9"/>
  <c r="O78" i="9"/>
  <c r="N78" i="9"/>
  <c r="M78" i="9"/>
  <c r="L78" i="9"/>
  <c r="Z77" i="9"/>
  <c r="Z77" i="9" a="1"/>
  <c r="Y77" i="9" a="1"/>
  <c r="Y77" i="9" s="1"/>
  <c r="X77" i="9" a="1"/>
  <c r="X77" i="9" s="1"/>
  <c r="W77" i="9" a="1"/>
  <c r="W77" i="9" s="1"/>
  <c r="V77" i="9"/>
  <c r="V77" i="9" a="1"/>
  <c r="U77" i="9" a="1"/>
  <c r="U77" i="9" s="1"/>
  <c r="T77" i="9" a="1"/>
  <c r="T77" i="9" s="1"/>
  <c r="S77" i="9" a="1"/>
  <c r="S77" i="9" s="1"/>
  <c r="R77" i="9"/>
  <c r="R77" i="9" a="1"/>
  <c r="Q77" i="9" a="1"/>
  <c r="Q77" i="9" s="1"/>
  <c r="P77" i="9" a="1"/>
  <c r="P77" i="9" s="1"/>
  <c r="O77" i="9" a="1"/>
  <c r="O77" i="9" s="1"/>
  <c r="N77" i="9"/>
  <c r="N77" i="9" a="1"/>
  <c r="M77" i="9" a="1"/>
  <c r="M77" i="9" s="1"/>
  <c r="L77" i="9" a="1"/>
  <c r="L77" i="9" s="1"/>
  <c r="Z76" i="9" a="1"/>
  <c r="Z76" i="9" s="1"/>
  <c r="Y76" i="9" a="1"/>
  <c r="Y76" i="9" s="1"/>
  <c r="X76" i="9"/>
  <c r="X76" i="9" a="1"/>
  <c r="W76" i="9" a="1"/>
  <c r="W76" i="9" s="1"/>
  <c r="V76" i="9" a="1"/>
  <c r="V76" i="9" s="1"/>
  <c r="U76" i="9" a="1"/>
  <c r="U76" i="9" s="1"/>
  <c r="T76" i="9"/>
  <c r="T76" i="9" a="1"/>
  <c r="S76" i="9" a="1"/>
  <c r="S76" i="9" s="1"/>
  <c r="R76" i="9" a="1"/>
  <c r="R76" i="9" s="1"/>
  <c r="Q76" i="9" a="1"/>
  <c r="Q76" i="9" s="1"/>
  <c r="P76" i="9"/>
  <c r="P76" i="9" a="1"/>
  <c r="O76" i="9" a="1"/>
  <c r="O76" i="9" s="1"/>
  <c r="N76" i="9" a="1"/>
  <c r="N76" i="9" s="1"/>
  <c r="M76" i="9" a="1"/>
  <c r="M76" i="9" s="1"/>
  <c r="L76" i="9"/>
  <c r="L76" i="9" a="1"/>
  <c r="Z75" i="9" a="1"/>
  <c r="Z75" i="9" s="1"/>
  <c r="Y75" i="9" a="1"/>
  <c r="Y75" i="9" s="1"/>
  <c r="X75" i="9" a="1"/>
  <c r="X75" i="9" s="1"/>
  <c r="W75" i="9" a="1"/>
  <c r="W75" i="9" s="1"/>
  <c r="V75" i="9" a="1"/>
  <c r="V75" i="9" s="1"/>
  <c r="U75" i="9" a="1"/>
  <c r="U75" i="9" s="1"/>
  <c r="T75" i="9" a="1"/>
  <c r="T75" i="9" s="1"/>
  <c r="S75" i="9" a="1"/>
  <c r="S75" i="9" s="1"/>
  <c r="R75" i="9" a="1"/>
  <c r="R75" i="9" s="1"/>
  <c r="Q75" i="9" a="1"/>
  <c r="Q75" i="9" s="1"/>
  <c r="P75" i="9" a="1"/>
  <c r="P75" i="9" s="1"/>
  <c r="O75" i="9" a="1"/>
  <c r="O75" i="9" s="1"/>
  <c r="N75" i="9" a="1"/>
  <c r="N75" i="9" s="1"/>
  <c r="M75" i="9" a="1"/>
  <c r="M75" i="9" s="1"/>
  <c r="L75" i="9" a="1"/>
  <c r="L75" i="9" s="1"/>
  <c r="Z74" i="9"/>
  <c r="Y74" i="9"/>
  <c r="X74" i="9"/>
  <c r="W74" i="9"/>
  <c r="V74" i="9"/>
  <c r="U74" i="9"/>
  <c r="T74" i="9"/>
  <c r="S74" i="9"/>
  <c r="R74" i="9"/>
  <c r="Q74" i="9"/>
  <c r="P74" i="9"/>
  <c r="O74" i="9"/>
  <c r="N74" i="9"/>
  <c r="M74" i="9"/>
  <c r="L74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L66" i="9" s="1"/>
  <c r="K65" i="9"/>
  <c r="K66" i="9" s="1"/>
  <c r="J65" i="9"/>
  <c r="J66" i="9" s="1"/>
  <c r="I65" i="9"/>
  <c r="I66" i="9" s="1"/>
  <c r="G65" i="9"/>
  <c r="F65" i="9"/>
  <c r="E65" i="9"/>
  <c r="D65" i="9"/>
  <c r="C65" i="9"/>
  <c r="AA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G68" i="9"/>
  <c r="F68" i="9"/>
  <c r="E68" i="9"/>
  <c r="D68" i="9"/>
  <c r="C68" i="9"/>
  <c r="AA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G63" i="9"/>
  <c r="F63" i="9"/>
  <c r="E63" i="9"/>
  <c r="D63" i="9"/>
  <c r="C63" i="9"/>
  <c r="X62" i="9"/>
  <c r="T62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AA58" i="9"/>
  <c r="Z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AA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AA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9" i="9"/>
  <c r="I58" i="9"/>
  <c r="I57" i="9"/>
  <c r="I56" i="9"/>
  <c r="I55" i="9"/>
  <c r="G59" i="9"/>
  <c r="F59" i="9"/>
  <c r="E59" i="9"/>
  <c r="D59" i="9"/>
  <c r="G58" i="9"/>
  <c r="F58" i="9"/>
  <c r="E58" i="9"/>
  <c r="D58" i="9"/>
  <c r="G57" i="9"/>
  <c r="F57" i="9"/>
  <c r="E57" i="9"/>
  <c r="D57" i="9"/>
  <c r="G56" i="9"/>
  <c r="F56" i="9"/>
  <c r="E56" i="9"/>
  <c r="D56" i="9"/>
  <c r="G55" i="9"/>
  <c r="F55" i="9"/>
  <c r="E55" i="9"/>
  <c r="D55" i="9"/>
  <c r="C59" i="9"/>
  <c r="C58" i="9"/>
  <c r="C57" i="9"/>
  <c r="C56" i="9"/>
  <c r="AI50" i="9"/>
  <c r="AA51" i="9"/>
  <c r="AJ51" i="9" s="1"/>
  <c r="Z51" i="9"/>
  <c r="AI51" i="9" s="1"/>
  <c r="Y51" i="9"/>
  <c r="AH51" i="9" s="1"/>
  <c r="X51" i="9"/>
  <c r="AG51" i="9" s="1"/>
  <c r="W51" i="9"/>
  <c r="AF51" i="9" s="1"/>
  <c r="V51" i="9"/>
  <c r="AE51" i="9" s="1"/>
  <c r="U51" i="9"/>
  <c r="AD51" i="9" s="1"/>
  <c r="T51" i="9"/>
  <c r="AC51" i="9" s="1"/>
  <c r="S51" i="9"/>
  <c r="R51" i="9"/>
  <c r="Q51" i="9"/>
  <c r="P51" i="9"/>
  <c r="O51" i="9"/>
  <c r="N51" i="9"/>
  <c r="M51" i="9"/>
  <c r="L51" i="9"/>
  <c r="K51" i="9"/>
  <c r="J51" i="9"/>
  <c r="I51" i="9"/>
  <c r="G51" i="9"/>
  <c r="F51" i="9"/>
  <c r="E51" i="9"/>
  <c r="D51" i="9"/>
  <c r="C51" i="9"/>
  <c r="C55" i="9"/>
  <c r="AA50" i="9"/>
  <c r="AJ50" i="9" s="1"/>
  <c r="Z50" i="9"/>
  <c r="Y50" i="9"/>
  <c r="AH50" i="9" s="1"/>
  <c r="X50" i="9"/>
  <c r="AG50" i="9" s="1"/>
  <c r="W50" i="9"/>
  <c r="AF50" i="9" s="1"/>
  <c r="V50" i="9"/>
  <c r="AE50" i="9" s="1"/>
  <c r="U50" i="9"/>
  <c r="AD50" i="9" s="1"/>
  <c r="T50" i="9"/>
  <c r="AC50" i="9" s="1"/>
  <c r="S50" i="9"/>
  <c r="R50" i="9"/>
  <c r="Q50" i="9"/>
  <c r="P50" i="9"/>
  <c r="O50" i="9"/>
  <c r="N50" i="9"/>
  <c r="M50" i="9"/>
  <c r="L50" i="9"/>
  <c r="K50" i="9"/>
  <c r="J50" i="9"/>
  <c r="I50" i="9"/>
  <c r="G50" i="9"/>
  <c r="F50" i="9"/>
  <c r="E50" i="9"/>
  <c r="D50" i="9"/>
  <c r="C50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G49" i="9"/>
  <c r="F49" i="9"/>
  <c r="E49" i="9"/>
  <c r="D49" i="9"/>
  <c r="C49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G43" i="9"/>
  <c r="F43" i="9"/>
  <c r="E43" i="9"/>
  <c r="D43" i="9"/>
  <c r="C43" i="9"/>
  <c r="AA42" i="9"/>
  <c r="Z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G42" i="9"/>
  <c r="F42" i="9"/>
  <c r="E42" i="9"/>
  <c r="D42" i="9"/>
  <c r="C42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G41" i="9"/>
  <c r="F41" i="9"/>
  <c r="E41" i="9"/>
  <c r="D41" i="9"/>
  <c r="C41" i="9"/>
  <c r="AA34" i="9"/>
  <c r="Z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G34" i="9"/>
  <c r="F34" i="9"/>
  <c r="E34" i="9"/>
  <c r="D34" i="9"/>
  <c r="C34" i="9"/>
  <c r="AA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G40" i="9"/>
  <c r="F40" i="9"/>
  <c r="E40" i="9"/>
  <c r="D40" i="9"/>
  <c r="C40" i="9"/>
  <c r="AA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G39" i="9"/>
  <c r="F39" i="9"/>
  <c r="E39" i="9"/>
  <c r="D39" i="9"/>
  <c r="C39" i="9"/>
  <c r="AA38" i="9"/>
  <c r="Z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G38" i="9"/>
  <c r="F38" i="9"/>
  <c r="E38" i="9"/>
  <c r="D38" i="9"/>
  <c r="C38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G35" i="9"/>
  <c r="F35" i="9"/>
  <c r="E35" i="9"/>
  <c r="D35" i="9"/>
  <c r="C35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AA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3" i="9"/>
  <c r="I32" i="9"/>
  <c r="G33" i="9"/>
  <c r="F33" i="9"/>
  <c r="E33" i="9"/>
  <c r="D33" i="9"/>
  <c r="G32" i="9"/>
  <c r="F32" i="9"/>
  <c r="E32" i="9"/>
  <c r="D32" i="9"/>
  <c r="C33" i="9"/>
  <c r="C32" i="9"/>
  <c r="AA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G31" i="9"/>
  <c r="F31" i="9"/>
  <c r="E31" i="9"/>
  <c r="D31" i="9"/>
  <c r="C31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G27" i="9"/>
  <c r="F27" i="9"/>
  <c r="E27" i="9"/>
  <c r="D27" i="9"/>
  <c r="C27" i="9"/>
  <c r="AA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G23" i="9"/>
  <c r="F23" i="9"/>
  <c r="E23" i="9"/>
  <c r="D23" i="9"/>
  <c r="C23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AA18" i="9"/>
  <c r="Z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9" i="9"/>
  <c r="I18" i="9"/>
  <c r="I17" i="9"/>
  <c r="G19" i="9"/>
  <c r="F19" i="9"/>
  <c r="E19" i="9"/>
  <c r="D19" i="9"/>
  <c r="G18" i="9"/>
  <c r="F18" i="9"/>
  <c r="E18" i="9"/>
  <c r="D18" i="9"/>
  <c r="G17" i="9"/>
  <c r="F17" i="9"/>
  <c r="E17" i="9"/>
  <c r="D17" i="9"/>
  <c r="C19" i="9"/>
  <c r="C18" i="9"/>
  <c r="C17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G13" i="9"/>
  <c r="F13" i="9"/>
  <c r="E13" i="9"/>
  <c r="D13" i="9"/>
  <c r="C13" i="9"/>
  <c r="AA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AA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AA6" i="9"/>
  <c r="Z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I4" i="9"/>
  <c r="I3" i="9"/>
  <c r="P66" i="9"/>
  <c r="O66" i="9"/>
  <c r="N66" i="9"/>
  <c r="M66" i="9"/>
  <c r="P4" i="9"/>
  <c r="O4" i="9"/>
  <c r="N4" i="9"/>
  <c r="M4" i="9"/>
  <c r="L4" i="9"/>
  <c r="K4" i="9"/>
  <c r="J4" i="9"/>
  <c r="P3" i="9"/>
  <c r="O3" i="9"/>
  <c r="N3" i="9"/>
  <c r="M3" i="9"/>
  <c r="L3" i="9"/>
  <c r="K3" i="9"/>
  <c r="J3" i="9"/>
  <c r="G8" i="9"/>
  <c r="F8" i="9"/>
  <c r="E8" i="9"/>
  <c r="D8" i="9"/>
  <c r="C8" i="9"/>
  <c r="G7" i="9"/>
  <c r="F7" i="9"/>
  <c r="E7" i="9"/>
  <c r="D7" i="9"/>
  <c r="C7" i="9"/>
  <c r="G6" i="9"/>
  <c r="F6" i="9"/>
  <c r="E6" i="9"/>
  <c r="D6" i="9"/>
  <c r="C6" i="9"/>
  <c r="C66" i="9"/>
  <c r="C4" i="9"/>
  <c r="C3" i="9"/>
  <c r="D66" i="9"/>
  <c r="D4" i="9"/>
  <c r="D3" i="9"/>
  <c r="B8" i="9"/>
  <c r="B7" i="9"/>
  <c r="B6" i="9"/>
  <c r="AI39" i="10"/>
  <c r="AH39" i="10"/>
  <c r="AG39" i="10"/>
  <c r="AF39" i="10"/>
  <c r="AE39" i="10"/>
  <c r="AD39" i="10"/>
  <c r="AC39" i="10"/>
  <c r="AI38" i="10"/>
  <c r="AH38" i="10"/>
  <c r="AG38" i="10"/>
  <c r="AF38" i="10"/>
  <c r="AE38" i="10"/>
  <c r="AD38" i="10"/>
  <c r="AC38" i="10"/>
  <c r="AI37" i="10"/>
  <c r="AH37" i="10"/>
  <c r="AG37" i="10"/>
  <c r="AF37" i="10"/>
  <c r="AE37" i="10"/>
  <c r="AD37" i="10"/>
  <c r="AC37" i="10"/>
  <c r="AI36" i="10"/>
  <c r="AH36" i="10"/>
  <c r="AG36" i="10"/>
  <c r="AF36" i="10"/>
  <c r="AE36" i="10"/>
  <c r="AD36" i="10"/>
  <c r="AC36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N38" i="10"/>
  <c r="M38" i="10"/>
  <c r="L38" i="10"/>
  <c r="K38" i="10"/>
  <c r="J38" i="10"/>
  <c r="I38" i="10"/>
  <c r="Z37" i="10"/>
  <c r="Y37" i="10"/>
  <c r="X37" i="10"/>
  <c r="W37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G39" i="10"/>
  <c r="F39" i="10"/>
  <c r="E39" i="10"/>
  <c r="D39" i="10"/>
  <c r="G38" i="10"/>
  <c r="F38" i="10"/>
  <c r="E38" i="10"/>
  <c r="D38" i="10"/>
  <c r="G37" i="10"/>
  <c r="F37" i="10"/>
  <c r="E37" i="10"/>
  <c r="D37" i="10"/>
  <c r="G36" i="10"/>
  <c r="F36" i="10"/>
  <c r="E36" i="10"/>
  <c r="D36" i="10"/>
  <c r="C39" i="10"/>
  <c r="C38" i="10"/>
  <c r="C37" i="10"/>
  <c r="C36" i="10"/>
  <c r="AJ24" i="10"/>
  <c r="AI24" i="10"/>
  <c r="AH24" i="10"/>
  <c r="AG24" i="10"/>
  <c r="AF24" i="10"/>
  <c r="AE24" i="10"/>
  <c r="AD24" i="10"/>
  <c r="AC24" i="10"/>
  <c r="AJ23" i="10"/>
  <c r="AI23" i="10"/>
  <c r="AH23" i="10"/>
  <c r="AG23" i="10"/>
  <c r="AF23" i="10"/>
  <c r="AE23" i="10"/>
  <c r="AD23" i="10"/>
  <c r="AC23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AA23" i="10"/>
  <c r="Z23" i="10"/>
  <c r="Y23" i="10"/>
  <c r="X23" i="10"/>
  <c r="W23" i="10"/>
  <c r="V23" i="10"/>
  <c r="U23" i="10"/>
  <c r="T23" i="10"/>
  <c r="S23" i="10"/>
  <c r="R23" i="10"/>
  <c r="Q23" i="10"/>
  <c r="P23" i="10"/>
  <c r="O23" i="10"/>
  <c r="N23" i="10"/>
  <c r="M23" i="10"/>
  <c r="L23" i="10"/>
  <c r="K23" i="10"/>
  <c r="J23" i="10"/>
  <c r="I23" i="10"/>
  <c r="G24" i="10"/>
  <c r="F24" i="10"/>
  <c r="E24" i="10"/>
  <c r="D24" i="10"/>
  <c r="G23" i="10"/>
  <c r="F23" i="10"/>
  <c r="E23" i="10"/>
  <c r="D23" i="10"/>
  <c r="C24" i="10"/>
  <c r="C23" i="10"/>
  <c r="AJ15" i="10"/>
  <c r="AI15" i="10"/>
  <c r="AH15" i="10"/>
  <c r="AG15" i="10"/>
  <c r="AF15" i="10"/>
  <c r="AE15" i="10"/>
  <c r="AD15" i="10"/>
  <c r="AC15" i="10"/>
  <c r="AJ14" i="10"/>
  <c r="AI14" i="10"/>
  <c r="AH14" i="10"/>
  <c r="AG14" i="10"/>
  <c r="AF14" i="10"/>
  <c r="AE14" i="10"/>
  <c r="AD14" i="10"/>
  <c r="AC14" i="10"/>
  <c r="AJ12" i="10"/>
  <c r="AI12" i="10"/>
  <c r="AH12" i="10"/>
  <c r="AG12" i="10"/>
  <c r="AF12" i="10"/>
  <c r="AE12" i="10"/>
  <c r="AD12" i="10"/>
  <c r="AC12" i="10"/>
  <c r="AC126" i="8"/>
  <c r="AC121" i="8"/>
  <c r="AJ120" i="8"/>
  <c r="AI120" i="8"/>
  <c r="AH120" i="8"/>
  <c r="AG120" i="8"/>
  <c r="AF120" i="8"/>
  <c r="AE120" i="8"/>
  <c r="AD120" i="8"/>
  <c r="AJ125" i="8"/>
  <c r="AI125" i="8"/>
  <c r="AH125" i="8"/>
  <c r="AG125" i="8"/>
  <c r="AF125" i="8"/>
  <c r="AE125" i="8"/>
  <c r="AD125" i="8"/>
  <c r="AJ124" i="8"/>
  <c r="AI124" i="8"/>
  <c r="AH124" i="8"/>
  <c r="AG124" i="8"/>
  <c r="AF124" i="8"/>
  <c r="AE124" i="8"/>
  <c r="AD124" i="8"/>
  <c r="AJ123" i="8"/>
  <c r="AI123" i="8"/>
  <c r="AH123" i="8"/>
  <c r="AG123" i="8"/>
  <c r="AF123" i="8"/>
  <c r="AE123" i="8"/>
  <c r="AD123" i="8"/>
  <c r="AC125" i="8"/>
  <c r="AC124" i="8"/>
  <c r="AC123" i="8"/>
  <c r="AC120" i="8"/>
  <c r="AC119" i="8"/>
  <c r="AA132" i="8"/>
  <c r="AA131" i="8"/>
  <c r="AA124" i="8"/>
  <c r="AA123" i="8"/>
  <c r="AA111" i="8"/>
  <c r="AA112" i="8"/>
  <c r="AA113" i="8"/>
  <c r="AA114" i="8"/>
  <c r="AA116" i="8"/>
  <c r="AA107" i="8"/>
  <c r="AA106" i="8"/>
  <c r="AA105" i="8"/>
  <c r="AA104" i="8"/>
  <c r="AJ104" i="8" s="1"/>
  <c r="AJ105" i="8"/>
  <c r="AI105" i="8"/>
  <c r="AH105" i="8"/>
  <c r="AG105" i="8"/>
  <c r="AF105" i="8"/>
  <c r="AE105" i="8"/>
  <c r="AD105" i="8"/>
  <c r="AC105" i="8"/>
  <c r="AI104" i="8"/>
  <c r="AH104" i="8"/>
  <c r="AG104" i="8"/>
  <c r="AF104" i="8"/>
  <c r="AE104" i="8"/>
  <c r="AD104" i="8"/>
  <c r="AC104" i="8"/>
  <c r="AA103" i="8"/>
  <c r="AA102" i="8"/>
  <c r="AA101" i="8"/>
  <c r="AA97" i="8"/>
  <c r="AA96" i="8"/>
  <c r="AA95" i="8"/>
  <c r="AA94" i="8"/>
  <c r="AA93" i="8"/>
  <c r="AA92" i="8"/>
  <c r="AA90" i="8"/>
  <c r="AA89" i="8"/>
  <c r="AA88" i="8"/>
  <c r="AA87" i="8"/>
  <c r="Z132" i="8"/>
  <c r="Z131" i="8"/>
  <c r="Z123" i="8"/>
  <c r="Z116" i="8"/>
  <c r="Z114" i="8"/>
  <c r="Z113" i="8"/>
  <c r="Z112" i="8"/>
  <c r="Z111" i="8"/>
  <c r="Z107" i="8"/>
  <c r="Z106" i="8"/>
  <c r="Z105" i="8"/>
  <c r="Z104" i="8"/>
  <c r="Z103" i="8"/>
  <c r="Z102" i="8"/>
  <c r="Z101" i="8"/>
  <c r="Z97" i="8"/>
  <c r="Z96" i="8"/>
  <c r="Z95" i="8"/>
  <c r="Z94" i="8"/>
  <c r="Z93" i="8"/>
  <c r="Z92" i="8"/>
  <c r="Z90" i="8"/>
  <c r="Z89" i="8"/>
  <c r="Z88" i="8"/>
  <c r="Z87" i="8"/>
  <c r="Z124" i="8"/>
  <c r="X105" i="8"/>
  <c r="X104" i="8"/>
  <c r="T105" i="8"/>
  <c r="T104" i="8"/>
  <c r="P105" i="8"/>
  <c r="P104" i="8"/>
  <c r="L105" i="8"/>
  <c r="L104" i="8"/>
  <c r="R90" i="8"/>
  <c r="S90" i="8" s="1"/>
  <c r="Q90" i="8"/>
  <c r="U90" i="8"/>
  <c r="V90" i="8" s="1"/>
  <c r="W90" i="8" s="1"/>
  <c r="G90" i="8"/>
  <c r="F90" i="8"/>
  <c r="E90" i="8"/>
  <c r="Y124" i="8"/>
  <c r="V87" i="8"/>
  <c r="W87" i="8" s="1"/>
  <c r="V88" i="8"/>
  <c r="W88" i="8" s="1"/>
  <c r="V89" i="8"/>
  <c r="W89" i="8" s="1"/>
  <c r="V92" i="8"/>
  <c r="W92" i="8" s="1"/>
  <c r="X92" i="8" s="1"/>
  <c r="V93" i="8"/>
  <c r="W93" i="8" s="1"/>
  <c r="V94" i="8"/>
  <c r="W94" i="8" s="1"/>
  <c r="V95" i="8"/>
  <c r="W95" i="8" s="1"/>
  <c r="X95" i="8" s="1"/>
  <c r="AJ95" i="8" s="1"/>
  <c r="V96" i="8"/>
  <c r="V97" i="8"/>
  <c r="W97" i="8" s="1"/>
  <c r="W102" i="8"/>
  <c r="W101" i="8"/>
  <c r="V101" i="8"/>
  <c r="V102" i="8"/>
  <c r="V103" i="8"/>
  <c r="W103" i="8" s="1"/>
  <c r="V106" i="8"/>
  <c r="W106" i="8" s="1"/>
  <c r="X106" i="8" s="1"/>
  <c r="AG106" i="8" s="1"/>
  <c r="V107" i="8"/>
  <c r="W107" i="8" s="1"/>
  <c r="W115" i="8"/>
  <c r="X115" i="8" s="1"/>
  <c r="AJ115" i="8" s="1"/>
  <c r="V111" i="8"/>
  <c r="W111" i="8" s="1"/>
  <c r="V112" i="8"/>
  <c r="W112" i="8" s="1"/>
  <c r="V113" i="8"/>
  <c r="V114" i="8"/>
  <c r="W114" i="8" s="1"/>
  <c r="V116" i="8"/>
  <c r="W116" i="8" s="1"/>
  <c r="V123" i="8"/>
  <c r="W123" i="8" s="1"/>
  <c r="V132" i="8"/>
  <c r="W132" i="8" s="1"/>
  <c r="V131" i="8"/>
  <c r="W131" i="8" s="1"/>
  <c r="S131" i="8"/>
  <c r="R132" i="8"/>
  <c r="S132" i="8" s="1"/>
  <c r="R131" i="8"/>
  <c r="R92" i="8"/>
  <c r="S92" i="8" s="1"/>
  <c r="T92" i="8" s="1"/>
  <c r="AC92" i="8" s="1"/>
  <c r="R93" i="8"/>
  <c r="S93" i="8" s="1"/>
  <c r="T93" i="8" s="1"/>
  <c r="AC93" i="8" s="1"/>
  <c r="R94" i="8"/>
  <c r="S94" i="8" s="1"/>
  <c r="R95" i="8"/>
  <c r="S95" i="8" s="1"/>
  <c r="T95" i="8" s="1"/>
  <c r="AC95" i="8" s="1"/>
  <c r="R96" i="8"/>
  <c r="S96" i="8" s="1"/>
  <c r="T96" i="8" s="1"/>
  <c r="R97" i="8"/>
  <c r="S97" i="8" s="1"/>
  <c r="R101" i="8"/>
  <c r="S101" i="8" s="1"/>
  <c r="T101" i="8" s="1"/>
  <c r="AC101" i="8" s="1"/>
  <c r="R123" i="8"/>
  <c r="S123" i="8" s="1"/>
  <c r="S112" i="8"/>
  <c r="S115" i="8"/>
  <c r="R116" i="8"/>
  <c r="S116" i="8" s="1"/>
  <c r="R115" i="8"/>
  <c r="R114" i="8"/>
  <c r="S114" i="8" s="1"/>
  <c r="T114" i="8" s="1"/>
  <c r="R112" i="8"/>
  <c r="R111" i="8"/>
  <c r="S111" i="8" s="1"/>
  <c r="T111" i="8" s="1"/>
  <c r="AC111" i="8" s="1"/>
  <c r="R107" i="8"/>
  <c r="S107" i="8" s="1"/>
  <c r="T107" i="8" s="1"/>
  <c r="AC107" i="8" s="1"/>
  <c r="R106" i="8"/>
  <c r="S106" i="8" s="1"/>
  <c r="T106" i="8" s="1"/>
  <c r="R103" i="8"/>
  <c r="S103" i="8" s="1"/>
  <c r="R102" i="8"/>
  <c r="S102" i="8" s="1"/>
  <c r="R89" i="8"/>
  <c r="S89" i="8" s="1"/>
  <c r="R88" i="8"/>
  <c r="S88" i="8" s="1"/>
  <c r="R87" i="8"/>
  <c r="S87" i="8" s="1"/>
  <c r="W124" i="8"/>
  <c r="S124" i="8"/>
  <c r="V124" i="8"/>
  <c r="R124" i="8"/>
  <c r="U124" i="8"/>
  <c r="Q124" i="8"/>
  <c r="T113" i="8"/>
  <c r="P113" i="8"/>
  <c r="L113" i="8"/>
  <c r="M107" i="8"/>
  <c r="N107" i="8" s="1"/>
  <c r="O107" i="8" s="1"/>
  <c r="I107" i="8"/>
  <c r="J107" i="8" s="1"/>
  <c r="K107" i="8" s="1"/>
  <c r="D107" i="8"/>
  <c r="C107" i="8"/>
  <c r="N131" i="8"/>
  <c r="O131" i="8" s="1"/>
  <c r="P131" i="8" s="1"/>
  <c r="N123" i="8"/>
  <c r="O115" i="8"/>
  <c r="P115" i="8" s="1"/>
  <c r="N114" i="8"/>
  <c r="O114" i="8" s="1"/>
  <c r="N112" i="8"/>
  <c r="O112" i="8" s="1"/>
  <c r="N111" i="8"/>
  <c r="O111" i="8" s="1"/>
  <c r="P111" i="8" s="1"/>
  <c r="N106" i="8"/>
  <c r="N102" i="8"/>
  <c r="O102" i="8" s="1"/>
  <c r="N101" i="8"/>
  <c r="O101" i="8" s="1"/>
  <c r="P101" i="8" s="1"/>
  <c r="N97" i="8"/>
  <c r="O97" i="8" s="1"/>
  <c r="P97" i="8" s="1"/>
  <c r="N95" i="8"/>
  <c r="O95" i="8" s="1"/>
  <c r="P95" i="8" s="1"/>
  <c r="N94" i="8"/>
  <c r="N93" i="8"/>
  <c r="O93" i="8" s="1"/>
  <c r="N92" i="8"/>
  <c r="O92" i="8" s="1"/>
  <c r="P92" i="8" s="1"/>
  <c r="N90" i="8"/>
  <c r="O90" i="8" s="1"/>
  <c r="N89" i="8"/>
  <c r="O89" i="8" s="1"/>
  <c r="N88" i="8"/>
  <c r="O88" i="8" s="1"/>
  <c r="N87" i="8"/>
  <c r="O87" i="8" s="1"/>
  <c r="P87" i="8" s="1"/>
  <c r="Z117" i="8"/>
  <c r="Y117" i="8"/>
  <c r="U117" i="8"/>
  <c r="Q117" i="8"/>
  <c r="J131" i="8"/>
  <c r="K131" i="8" s="1"/>
  <c r="L131" i="8" s="1"/>
  <c r="J123" i="8"/>
  <c r="K123" i="8" s="1"/>
  <c r="L123" i="8" s="1"/>
  <c r="J114" i="8"/>
  <c r="K114" i="8" s="1"/>
  <c r="L114" i="8" s="1"/>
  <c r="J112" i="8"/>
  <c r="K112" i="8" s="1"/>
  <c r="J111" i="8"/>
  <c r="K111" i="8" s="1"/>
  <c r="L111" i="8" s="1"/>
  <c r="J106" i="8"/>
  <c r="K106" i="8" s="1"/>
  <c r="L106" i="8" s="1"/>
  <c r="J102" i="8"/>
  <c r="K102" i="8" s="1"/>
  <c r="J101" i="8"/>
  <c r="K101" i="8" s="1"/>
  <c r="L101" i="8" s="1"/>
  <c r="J97" i="8"/>
  <c r="K97" i="8" s="1"/>
  <c r="J95" i="8"/>
  <c r="K95" i="8" s="1"/>
  <c r="J94" i="8"/>
  <c r="K94" i="8" s="1"/>
  <c r="L94" i="8" s="1"/>
  <c r="J93" i="8"/>
  <c r="K93" i="8" s="1"/>
  <c r="L93" i="8" s="1"/>
  <c r="J92" i="8"/>
  <c r="K92" i="8" s="1"/>
  <c r="L92" i="8" s="1"/>
  <c r="J90" i="8"/>
  <c r="K90" i="8" s="1"/>
  <c r="L90" i="8" s="1"/>
  <c r="J89" i="8"/>
  <c r="K89" i="8" s="1"/>
  <c r="L89" i="8" s="1"/>
  <c r="J88" i="8"/>
  <c r="K88" i="8" s="1"/>
  <c r="L88" i="8" s="1"/>
  <c r="J87" i="8"/>
  <c r="K87" i="8" s="1"/>
  <c r="L87" i="8" s="1"/>
  <c r="O124" i="8"/>
  <c r="K124" i="8"/>
  <c r="L120" i="8" s="1"/>
  <c r="N124" i="8"/>
  <c r="J124" i="8"/>
  <c r="K120" i="8" s="1"/>
  <c r="M124" i="8"/>
  <c r="I124" i="8"/>
  <c r="J120" i="8" s="1"/>
  <c r="M116" i="8"/>
  <c r="M117" i="8" s="1"/>
  <c r="I116" i="8"/>
  <c r="J116" i="8" s="1"/>
  <c r="M103" i="8"/>
  <c r="N103" i="8" s="1"/>
  <c r="O103" i="8" s="1"/>
  <c r="I103" i="8"/>
  <c r="J103" i="8" s="1"/>
  <c r="K103" i="8" s="1"/>
  <c r="M96" i="8"/>
  <c r="N96" i="8" s="1"/>
  <c r="O96" i="8" s="1"/>
  <c r="I96" i="8"/>
  <c r="J96" i="8" s="1"/>
  <c r="K96" i="8" s="1"/>
  <c r="C120" i="8"/>
  <c r="C124" i="8"/>
  <c r="D120" i="8" s="1"/>
  <c r="I120" i="8" s="1"/>
  <c r="C103" i="8"/>
  <c r="C96" i="8"/>
  <c r="C90" i="8"/>
  <c r="D124" i="8"/>
  <c r="L124" i="8" s="1"/>
  <c r="M120" i="8" s="1"/>
  <c r="D96" i="8"/>
  <c r="P132" i="8"/>
  <c r="L132" i="8"/>
  <c r="G124" i="8"/>
  <c r="F124" i="8"/>
  <c r="E124" i="8"/>
  <c r="L115" i="8"/>
  <c r="X69" i="8"/>
  <c r="T69" i="8"/>
  <c r="P69" i="8"/>
  <c r="L69" i="8"/>
  <c r="O59" i="8"/>
  <c r="N59" i="8"/>
  <c r="M59" i="8"/>
  <c r="I59" i="8"/>
  <c r="J59" i="8"/>
  <c r="K59" i="8"/>
  <c r="D59" i="8"/>
  <c r="C59" i="8"/>
  <c r="S53" i="8"/>
  <c r="R53" i="8"/>
  <c r="Q53" i="8"/>
  <c r="O53" i="8"/>
  <c r="N53" i="8"/>
  <c r="M53" i="8"/>
  <c r="K53" i="8"/>
  <c r="J53" i="8"/>
  <c r="I53" i="8"/>
  <c r="E53" i="8"/>
  <c r="D53" i="8"/>
  <c r="C53" i="8"/>
  <c r="T115" i="8"/>
  <c r="AC115" i="8" s="1"/>
  <c r="X102" i="8"/>
  <c r="AG102" i="8" s="1"/>
  <c r="P10" i="8"/>
  <c r="L10" i="8"/>
  <c r="X8" i="8"/>
  <c r="T8" i="8"/>
  <c r="AH34" i="9" l="1"/>
  <c r="P69" i="9"/>
  <c r="AI34" i="9"/>
  <c r="P9" i="9"/>
  <c r="P14" i="9" s="1"/>
  <c r="P20" i="9" s="1"/>
  <c r="M9" i="9"/>
  <c r="AC34" i="9"/>
  <c r="AJ34" i="9"/>
  <c r="AD34" i="9"/>
  <c r="AE34" i="9"/>
  <c r="AF34" i="9"/>
  <c r="AG34" i="9"/>
  <c r="M52" i="9"/>
  <c r="J52" i="9"/>
  <c r="J9" i="9"/>
  <c r="J14" i="9" s="1"/>
  <c r="J15" i="9" s="1"/>
  <c r="O69" i="9"/>
  <c r="I52" i="9"/>
  <c r="N52" i="9"/>
  <c r="J69" i="9"/>
  <c r="M69" i="9"/>
  <c r="L69" i="9"/>
  <c r="L9" i="9"/>
  <c r="L14" i="9" s="1"/>
  <c r="L20" i="9" s="1"/>
  <c r="K52" i="9"/>
  <c r="N69" i="9"/>
  <c r="N9" i="9"/>
  <c r="N14" i="9" s="1"/>
  <c r="N15" i="9" s="1"/>
  <c r="O52" i="9"/>
  <c r="P52" i="9"/>
  <c r="K9" i="9"/>
  <c r="K14" i="9" s="1"/>
  <c r="K15" i="9" s="1"/>
  <c r="K69" i="9"/>
  <c r="L52" i="9"/>
  <c r="O9" i="9"/>
  <c r="I9" i="9"/>
  <c r="I14" i="9" s="1"/>
  <c r="I15" i="9" s="1"/>
  <c r="M14" i="9"/>
  <c r="M20" i="9" s="1"/>
  <c r="I69" i="9"/>
  <c r="D9" i="9"/>
  <c r="D14" i="9" s="1"/>
  <c r="D52" i="9"/>
  <c r="C9" i="9"/>
  <c r="C14" i="9" s="1"/>
  <c r="C15" i="9" s="1"/>
  <c r="C52" i="9"/>
  <c r="D69" i="9"/>
  <c r="D78" i="9" s="1"/>
  <c r="C69" i="9"/>
  <c r="C78" i="9" s="1"/>
  <c r="AA117" i="8"/>
  <c r="AI92" i="8"/>
  <c r="T112" i="8"/>
  <c r="AC112" i="8" s="1"/>
  <c r="X103" i="8"/>
  <c r="AJ103" i="8" s="1"/>
  <c r="X107" i="8"/>
  <c r="AJ107" i="8" s="1"/>
  <c r="T103" i="8"/>
  <c r="AC103" i="8" s="1"/>
  <c r="W113" i="8"/>
  <c r="W96" i="8"/>
  <c r="AF96" i="8" s="1"/>
  <c r="X90" i="8"/>
  <c r="AG90" i="8" s="1"/>
  <c r="X94" i="8"/>
  <c r="AG94" i="8" s="1"/>
  <c r="X93" i="8"/>
  <c r="AJ93" i="8" s="1"/>
  <c r="AE96" i="8"/>
  <c r="AF106" i="8"/>
  <c r="X101" i="8"/>
  <c r="AJ101" i="8" s="1"/>
  <c r="X114" i="8"/>
  <c r="AJ114" i="8" s="1"/>
  <c r="X112" i="8"/>
  <c r="AJ112" i="8" s="1"/>
  <c r="X111" i="8"/>
  <c r="AI111" i="8" s="1"/>
  <c r="AE113" i="8"/>
  <c r="AE114" i="8"/>
  <c r="V117" i="8"/>
  <c r="X116" i="8"/>
  <c r="AJ116" i="8" s="1"/>
  <c r="T94" i="8"/>
  <c r="AF94" i="8" s="1"/>
  <c r="S117" i="8"/>
  <c r="T116" i="8"/>
  <c r="AC116" i="8" s="1"/>
  <c r="R117" i="8"/>
  <c r="T102" i="8"/>
  <c r="AF102" i="8" s="1"/>
  <c r="T90" i="8"/>
  <c r="AF90" i="8" s="1"/>
  <c r="AD113" i="8"/>
  <c r="AC113" i="8"/>
  <c r="AF113" i="8"/>
  <c r="P107" i="8"/>
  <c r="I108" i="8"/>
  <c r="P90" i="8"/>
  <c r="K116" i="8"/>
  <c r="K117" i="8" s="1"/>
  <c r="O106" i="8"/>
  <c r="P106" i="8" s="1"/>
  <c r="L112" i="8"/>
  <c r="AC114" i="8"/>
  <c r="O123" i="8"/>
  <c r="P123" i="8" s="1"/>
  <c r="N116" i="8"/>
  <c r="O116" i="8" s="1"/>
  <c r="P116" i="8" s="1"/>
  <c r="P102" i="8"/>
  <c r="O94" i="8"/>
  <c r="P94" i="8" s="1"/>
  <c r="L102" i="8"/>
  <c r="P112" i="8"/>
  <c r="P114" i="8"/>
  <c r="P93" i="8"/>
  <c r="P89" i="8"/>
  <c r="P88" i="8"/>
  <c r="L107" i="8"/>
  <c r="L95" i="8"/>
  <c r="L97" i="8"/>
  <c r="P103" i="8"/>
  <c r="AD114" i="8"/>
  <c r="AF114" i="8"/>
  <c r="E120" i="8"/>
  <c r="L103" i="8"/>
  <c r="J108" i="8"/>
  <c r="P96" i="8"/>
  <c r="L96" i="8"/>
  <c r="AE101" i="8"/>
  <c r="AD101" i="8"/>
  <c r="AF112" i="8"/>
  <c r="AE115" i="8"/>
  <c r="AG112" i="8"/>
  <c r="AD103" i="8"/>
  <c r="AE112" i="8"/>
  <c r="AD115" i="8"/>
  <c r="AF115" i="8"/>
  <c r="AL115" i="8" s="1"/>
  <c r="AG115" i="8"/>
  <c r="AD112" i="8"/>
  <c r="AH115" i="8"/>
  <c r="AE111" i="8"/>
  <c r="AI115" i="8"/>
  <c r="AD111" i="8"/>
  <c r="AF111" i="8"/>
  <c r="AH102" i="8"/>
  <c r="AI102" i="8"/>
  <c r="AH106" i="8"/>
  <c r="AH101" i="8"/>
  <c r="AI106" i="8"/>
  <c r="AH103" i="8"/>
  <c r="AE103" i="8"/>
  <c r="AD107" i="8"/>
  <c r="AE107" i="8"/>
  <c r="AF101" i="8"/>
  <c r="AJ102" i="8"/>
  <c r="AF103" i="8"/>
  <c r="AJ106" i="8"/>
  <c r="AL106" i="8" s="1"/>
  <c r="AF107" i="8"/>
  <c r="AG101" i="8"/>
  <c r="AG103" i="8"/>
  <c r="AC106" i="8"/>
  <c r="AG107" i="8"/>
  <c r="AD102" i="8"/>
  <c r="AD106" i="8"/>
  <c r="AH107" i="8"/>
  <c r="AI101" i="8"/>
  <c r="AE102" i="8"/>
  <c r="AI103" i="8"/>
  <c r="AE106" i="8"/>
  <c r="AI107" i="8"/>
  <c r="AD95" i="8"/>
  <c r="AG93" i="8"/>
  <c r="AF95" i="8"/>
  <c r="AL95" i="8" s="1"/>
  <c r="AD93" i="8"/>
  <c r="AE95" i="8"/>
  <c r="AH95" i="8"/>
  <c r="AE93" i="8"/>
  <c r="AG95" i="8"/>
  <c r="AF93" i="8"/>
  <c r="AI94" i="8"/>
  <c r="AJ94" i="8"/>
  <c r="AI93" i="8"/>
  <c r="AI95" i="8"/>
  <c r="AD92" i="8"/>
  <c r="AE92" i="8"/>
  <c r="AF92" i="8"/>
  <c r="AG92" i="8"/>
  <c r="AC96" i="8"/>
  <c r="AH92" i="8"/>
  <c r="AD96" i="8"/>
  <c r="AJ92" i="8"/>
  <c r="AH32" i="10"/>
  <c r="AG31" i="10"/>
  <c r="AF30" i="10"/>
  <c r="AE29" i="10"/>
  <c r="AD19" i="10"/>
  <c r="AC18" i="10"/>
  <c r="AC20" i="10" s="1"/>
  <c r="X66" i="8"/>
  <c r="AG66" i="8" s="1"/>
  <c r="X65" i="8"/>
  <c r="AG65" i="8" s="1"/>
  <c r="X64" i="8"/>
  <c r="AG64" i="8" s="1"/>
  <c r="X63" i="8"/>
  <c r="T66" i="8"/>
  <c r="AC66" i="8" s="1"/>
  <c r="T65" i="8"/>
  <c r="AC65" i="8" s="1"/>
  <c r="T64" i="8"/>
  <c r="AC64" i="8" s="1"/>
  <c r="T63" i="8"/>
  <c r="P66" i="8"/>
  <c r="P65" i="8"/>
  <c r="P64" i="8"/>
  <c r="P63" i="8"/>
  <c r="L66" i="8"/>
  <c r="L65" i="8"/>
  <c r="L64" i="8"/>
  <c r="L63" i="8"/>
  <c r="AJ65" i="8"/>
  <c r="AI65" i="8"/>
  <c r="AH65" i="8"/>
  <c r="AF65" i="8"/>
  <c r="AE65" i="8"/>
  <c r="AD65" i="8"/>
  <c r="X59" i="8"/>
  <c r="AG59" i="8" s="1"/>
  <c r="X58" i="8"/>
  <c r="X57" i="8"/>
  <c r="T59" i="8"/>
  <c r="AC59" i="8" s="1"/>
  <c r="T58" i="8"/>
  <c r="T57" i="8"/>
  <c r="P59" i="8"/>
  <c r="P58" i="8"/>
  <c r="P57" i="8"/>
  <c r="L59" i="8"/>
  <c r="L58" i="8"/>
  <c r="L57" i="8"/>
  <c r="X53" i="8"/>
  <c r="X52" i="8"/>
  <c r="AG52" i="8" s="1"/>
  <c r="X51" i="8"/>
  <c r="AG51" i="8" s="1"/>
  <c r="X50" i="8"/>
  <c r="X49" i="8"/>
  <c r="T53" i="8"/>
  <c r="T52" i="8"/>
  <c r="AC52" i="8" s="1"/>
  <c r="T51" i="8"/>
  <c r="AC51" i="8" s="1"/>
  <c r="T50" i="8"/>
  <c r="T49" i="8"/>
  <c r="P53" i="8"/>
  <c r="P52" i="8"/>
  <c r="P51" i="8"/>
  <c r="P50" i="8"/>
  <c r="P49" i="8"/>
  <c r="L53" i="8"/>
  <c r="L52" i="8"/>
  <c r="L51" i="8"/>
  <c r="L50" i="8"/>
  <c r="L49" i="8"/>
  <c r="X27" i="8"/>
  <c r="X23" i="8"/>
  <c r="T27" i="8"/>
  <c r="T23" i="8"/>
  <c r="P27" i="8"/>
  <c r="P23" i="8"/>
  <c r="L27" i="8"/>
  <c r="L23" i="8"/>
  <c r="X13" i="8"/>
  <c r="AI13" i="8" s="1"/>
  <c r="X19" i="8"/>
  <c r="X18" i="8"/>
  <c r="X17" i="8"/>
  <c r="T13" i="8"/>
  <c r="AD13" i="8" s="1"/>
  <c r="T19" i="8"/>
  <c r="T18" i="8"/>
  <c r="T17" i="8"/>
  <c r="P13" i="8"/>
  <c r="P19" i="8"/>
  <c r="P18" i="8"/>
  <c r="P17" i="8"/>
  <c r="L13" i="8"/>
  <c r="L19" i="8"/>
  <c r="L18" i="8"/>
  <c r="L17" i="8"/>
  <c r="X10" i="10"/>
  <c r="AI10" i="10" s="1"/>
  <c r="X19" i="10"/>
  <c r="AJ19" i="10" s="1"/>
  <c r="X18" i="10"/>
  <c r="AI18" i="10" s="1"/>
  <c r="T10" i="10"/>
  <c r="AF10" i="10" s="1"/>
  <c r="T19" i="10"/>
  <c r="AC19" i="10" s="1"/>
  <c r="T18" i="10"/>
  <c r="AF18" i="10" s="1"/>
  <c r="P10" i="10"/>
  <c r="P19" i="10"/>
  <c r="P18" i="10"/>
  <c r="L10" i="10"/>
  <c r="L19" i="10"/>
  <c r="L18" i="10"/>
  <c r="K9" i="10"/>
  <c r="K11" i="10" s="1"/>
  <c r="X32" i="10"/>
  <c r="AG32" i="10" s="1"/>
  <c r="X31" i="10"/>
  <c r="AI31" i="10" s="1"/>
  <c r="X30" i="10"/>
  <c r="AI30" i="10" s="1"/>
  <c r="X29" i="10"/>
  <c r="AI29" i="10" s="1"/>
  <c r="T32" i="10"/>
  <c r="AF32" i="10" s="1"/>
  <c r="T31" i="10"/>
  <c r="AF31" i="10" s="1"/>
  <c r="T30" i="10"/>
  <c r="AE30" i="10" s="1"/>
  <c r="T29" i="10"/>
  <c r="AD29" i="10" s="1"/>
  <c r="P32" i="10"/>
  <c r="P31" i="10"/>
  <c r="P30" i="10"/>
  <c r="P29" i="10"/>
  <c r="L32" i="10"/>
  <c r="L31" i="10"/>
  <c r="L30" i="10"/>
  <c r="L29" i="10"/>
  <c r="B38" i="10"/>
  <c r="B37" i="10"/>
  <c r="B39" i="10"/>
  <c r="B36" i="10"/>
  <c r="AA33" i="10"/>
  <c r="Z33" i="10"/>
  <c r="Y33" i="10"/>
  <c r="W33" i="10"/>
  <c r="V33" i="10"/>
  <c r="U33" i="10"/>
  <c r="S33" i="10"/>
  <c r="R33" i="10"/>
  <c r="Q33" i="10"/>
  <c r="O33" i="10"/>
  <c r="N33" i="10"/>
  <c r="M33" i="10"/>
  <c r="K33" i="10"/>
  <c r="K34" i="10" s="1"/>
  <c r="J33" i="10"/>
  <c r="I33" i="10"/>
  <c r="G33" i="10"/>
  <c r="F33" i="10"/>
  <c r="E33" i="10"/>
  <c r="D33" i="10"/>
  <c r="C33" i="10"/>
  <c r="B24" i="10"/>
  <c r="B23" i="10"/>
  <c r="AA20" i="10"/>
  <c r="AA9" i="10" s="1"/>
  <c r="AA21" i="10" s="1"/>
  <c r="Z20" i="10"/>
  <c r="Y20" i="10"/>
  <c r="W20" i="10"/>
  <c r="V20" i="10"/>
  <c r="U20" i="10"/>
  <c r="S20" i="10"/>
  <c r="R20" i="10"/>
  <c r="Q20" i="10"/>
  <c r="O20" i="10"/>
  <c r="N20" i="10"/>
  <c r="M20" i="10"/>
  <c r="K20" i="10"/>
  <c r="J20" i="10"/>
  <c r="I20" i="10"/>
  <c r="G20" i="10"/>
  <c r="F20" i="10"/>
  <c r="F9" i="10" s="1"/>
  <c r="E20" i="10"/>
  <c r="D20" i="10"/>
  <c r="C20" i="10"/>
  <c r="L8" i="8"/>
  <c r="L4" i="10" s="1"/>
  <c r="I4" i="10"/>
  <c r="I3" i="10"/>
  <c r="K4" i="10"/>
  <c r="J4" i="10"/>
  <c r="L3" i="10"/>
  <c r="K3" i="10"/>
  <c r="J3" i="10"/>
  <c r="AC44" i="8"/>
  <c r="AJ59" i="8"/>
  <c r="AI59" i="8"/>
  <c r="AH59" i="8"/>
  <c r="AF59" i="8"/>
  <c r="AE59" i="8"/>
  <c r="AD59" i="8"/>
  <c r="AJ52" i="8"/>
  <c r="AI52" i="8"/>
  <c r="AH52" i="8"/>
  <c r="AF52" i="8"/>
  <c r="AE52" i="8"/>
  <c r="AD52" i="8"/>
  <c r="AJ51" i="8"/>
  <c r="AI51" i="8"/>
  <c r="AH51" i="8"/>
  <c r="AF51" i="8"/>
  <c r="AE51" i="8"/>
  <c r="AD51" i="8"/>
  <c r="AJ44" i="8"/>
  <c r="AI44" i="8"/>
  <c r="AH44" i="8"/>
  <c r="AF44" i="8"/>
  <c r="AE44" i="8"/>
  <c r="AD44" i="8"/>
  <c r="AG44" i="8"/>
  <c r="P11" i="8"/>
  <c r="L11" i="8"/>
  <c r="L72" i="8"/>
  <c r="L71" i="8"/>
  <c r="L70" i="8"/>
  <c r="L34" i="8"/>
  <c r="L31" i="8"/>
  <c r="J117" i="8"/>
  <c r="I117" i="8"/>
  <c r="K108" i="8"/>
  <c r="K81" i="8"/>
  <c r="J81" i="8"/>
  <c r="I81" i="8"/>
  <c r="L80" i="8"/>
  <c r="K80" i="8"/>
  <c r="J80" i="8"/>
  <c r="I80" i="8"/>
  <c r="K73" i="8"/>
  <c r="J73" i="8"/>
  <c r="I73" i="8"/>
  <c r="K60" i="8"/>
  <c r="K67" i="8" s="1"/>
  <c r="J60" i="8"/>
  <c r="J67" i="8" s="1"/>
  <c r="I60" i="8"/>
  <c r="I67" i="8" s="1"/>
  <c r="K46" i="8"/>
  <c r="K54" i="8" s="1"/>
  <c r="J46" i="8"/>
  <c r="J54" i="8" s="1"/>
  <c r="I46" i="8"/>
  <c r="I54" i="8" s="1"/>
  <c r="K39" i="8"/>
  <c r="J39" i="8"/>
  <c r="I39" i="8"/>
  <c r="L38" i="8"/>
  <c r="K38" i="8"/>
  <c r="J38" i="8"/>
  <c r="I38" i="8"/>
  <c r="K11" i="8"/>
  <c r="J11" i="8"/>
  <c r="I11" i="8"/>
  <c r="P124" i="8"/>
  <c r="Q120" i="8" s="1"/>
  <c r="P120" i="8"/>
  <c r="O120" i="8"/>
  <c r="N120" i="8"/>
  <c r="X34" i="8"/>
  <c r="T34" i="8"/>
  <c r="P34" i="8"/>
  <c r="P31" i="8"/>
  <c r="AJ66" i="8"/>
  <c r="AI66" i="8"/>
  <c r="AH66" i="8"/>
  <c r="AF66" i="8"/>
  <c r="AE66" i="8"/>
  <c r="AD66" i="8"/>
  <c r="AJ64" i="8"/>
  <c r="AI64" i="8"/>
  <c r="AH64" i="8"/>
  <c r="AF64" i="8"/>
  <c r="AE64" i="8"/>
  <c r="AD64" i="8"/>
  <c r="P72" i="8"/>
  <c r="P71" i="8"/>
  <c r="P70" i="8"/>
  <c r="M4" i="10"/>
  <c r="M3" i="10"/>
  <c r="O4" i="10"/>
  <c r="N4" i="10"/>
  <c r="P3" i="10"/>
  <c r="O3" i="10"/>
  <c r="N3" i="10"/>
  <c r="P8" i="8"/>
  <c r="P39" i="8" s="1"/>
  <c r="N108" i="8"/>
  <c r="N81" i="8"/>
  <c r="N80" i="8"/>
  <c r="N73" i="8"/>
  <c r="N60" i="8"/>
  <c r="N67" i="8" s="1"/>
  <c r="N46" i="8"/>
  <c r="N54" i="8" s="1"/>
  <c r="N39" i="8"/>
  <c r="N38" i="8"/>
  <c r="N11" i="8"/>
  <c r="M108" i="8"/>
  <c r="O81" i="8"/>
  <c r="M81" i="8"/>
  <c r="O80" i="8"/>
  <c r="M80" i="8"/>
  <c r="O73" i="8"/>
  <c r="M73" i="8"/>
  <c r="O60" i="8"/>
  <c r="O67" i="8" s="1"/>
  <c r="M60" i="8"/>
  <c r="M67" i="8" s="1"/>
  <c r="O46" i="8"/>
  <c r="O54" i="8" s="1"/>
  <c r="M46" i="8"/>
  <c r="M54" i="8" s="1"/>
  <c r="O39" i="8"/>
  <c r="M39" i="8"/>
  <c r="O38" i="8"/>
  <c r="M38" i="8"/>
  <c r="O11" i="8"/>
  <c r="M11" i="8"/>
  <c r="P80" i="8"/>
  <c r="P38" i="8"/>
  <c r="M10" i="9" l="1"/>
  <c r="N11" i="9"/>
  <c r="AL34" i="9"/>
  <c r="P11" i="9"/>
  <c r="J20" i="9"/>
  <c r="J24" i="9" s="1"/>
  <c r="N10" i="9"/>
  <c r="M15" i="9"/>
  <c r="P10" i="9"/>
  <c r="M11" i="9"/>
  <c r="L15" i="9"/>
  <c r="K20" i="9"/>
  <c r="K21" i="9" s="1"/>
  <c r="I20" i="9"/>
  <c r="I24" i="9" s="1"/>
  <c r="P15" i="9"/>
  <c r="O10" i="9"/>
  <c r="O11" i="9"/>
  <c r="O14" i="9"/>
  <c r="N20" i="9"/>
  <c r="N24" i="9" s="1"/>
  <c r="L11" i="9"/>
  <c r="M24" i="9"/>
  <c r="M21" i="9"/>
  <c r="P21" i="9"/>
  <c r="P24" i="9"/>
  <c r="L24" i="9"/>
  <c r="L21" i="9"/>
  <c r="D10" i="9"/>
  <c r="C20" i="9"/>
  <c r="C24" i="9" s="1"/>
  <c r="D15" i="9"/>
  <c r="D20" i="9"/>
  <c r="AA36" i="10"/>
  <c r="AA38" i="10"/>
  <c r="AA37" i="10"/>
  <c r="AA39" i="10"/>
  <c r="M21" i="10"/>
  <c r="D21" i="10"/>
  <c r="W21" i="10"/>
  <c r="E21" i="10"/>
  <c r="G21" i="10"/>
  <c r="J21" i="10"/>
  <c r="F34" i="10"/>
  <c r="O9" i="10"/>
  <c r="O11" i="10" s="1"/>
  <c r="AJ30" i="10"/>
  <c r="AC10" i="10"/>
  <c r="AD18" i="10"/>
  <c r="AD20" i="10" s="1"/>
  <c r="AE19" i="10"/>
  <c r="AF29" i="10"/>
  <c r="AF33" i="10" s="1"/>
  <c r="AG30" i="10"/>
  <c r="AH31" i="10"/>
  <c r="AI32" i="10"/>
  <c r="AI33" i="10" s="1"/>
  <c r="R9" i="10"/>
  <c r="AJ31" i="10"/>
  <c r="AD10" i="10"/>
  <c r="AE18" i="10"/>
  <c r="AE20" i="10" s="1"/>
  <c r="AF19" i="10"/>
  <c r="AF20" i="10" s="1"/>
  <c r="AG29" i="10"/>
  <c r="AG33" i="10" s="1"/>
  <c r="AH30" i="10"/>
  <c r="Z9" i="10"/>
  <c r="Z11" i="10" s="1"/>
  <c r="Z34" i="10" s="1"/>
  <c r="AE10" i="10"/>
  <c r="AG19" i="10"/>
  <c r="AH29" i="10"/>
  <c r="AC32" i="10"/>
  <c r="K21" i="10"/>
  <c r="F21" i="10"/>
  <c r="AG18" i="10"/>
  <c r="AG20" i="10" s="1"/>
  <c r="AH19" i="10"/>
  <c r="AC31" i="10"/>
  <c r="AD32" i="10"/>
  <c r="AG10" i="10"/>
  <c r="AH18" i="10"/>
  <c r="AI19" i="10"/>
  <c r="AI20" i="10" s="1"/>
  <c r="AC30" i="10"/>
  <c r="AD31" i="10"/>
  <c r="AD33" i="10" s="1"/>
  <c r="AE32" i="10"/>
  <c r="AH10" i="10"/>
  <c r="AC29" i="10"/>
  <c r="AD30" i="10"/>
  <c r="AE31" i="10"/>
  <c r="J9" i="10"/>
  <c r="J11" i="10" s="1"/>
  <c r="AL107" i="8"/>
  <c r="AL103" i="8"/>
  <c r="AF116" i="8"/>
  <c r="AC102" i="8"/>
  <c r="AH112" i="8"/>
  <c r="AG111" i="8"/>
  <c r="AJ111" i="8"/>
  <c r="AL111" i="8" s="1"/>
  <c r="AI112" i="8"/>
  <c r="AH111" i="8"/>
  <c r="T117" i="8"/>
  <c r="AE116" i="8"/>
  <c r="AH94" i="8"/>
  <c r="L108" i="8"/>
  <c r="AL93" i="8"/>
  <c r="W117" i="8"/>
  <c r="X96" i="8"/>
  <c r="AI114" i="8"/>
  <c r="AH114" i="8"/>
  <c r="AG114" i="8"/>
  <c r="X113" i="8"/>
  <c r="AJ113" i="8" s="1"/>
  <c r="AL113" i="8" s="1"/>
  <c r="AL114" i="8"/>
  <c r="AG116" i="8"/>
  <c r="AL116" i="8"/>
  <c r="AL112" i="8"/>
  <c r="AJ90" i="8"/>
  <c r="AL90" i="8" s="1"/>
  <c r="AI90" i="8"/>
  <c r="AH90" i="8"/>
  <c r="AE90" i="8"/>
  <c r="AD90" i="8"/>
  <c r="AC90" i="8"/>
  <c r="AH93" i="8"/>
  <c r="AL94" i="8"/>
  <c r="AL102" i="8"/>
  <c r="AI116" i="8"/>
  <c r="AH116" i="8"/>
  <c r="AC94" i="8"/>
  <c r="AE94" i="8"/>
  <c r="AD94" i="8"/>
  <c r="AD116" i="8"/>
  <c r="AC108" i="8"/>
  <c r="O108" i="8"/>
  <c r="AG108" i="8"/>
  <c r="AI108" i="8"/>
  <c r="AH108" i="8"/>
  <c r="AJ108" i="8"/>
  <c r="AL101" i="8"/>
  <c r="AF108" i="8"/>
  <c r="AD108" i="8"/>
  <c r="AE108" i="8"/>
  <c r="P117" i="8"/>
  <c r="O117" i="8"/>
  <c r="L116" i="8"/>
  <c r="L117" i="8" s="1"/>
  <c r="N117" i="8"/>
  <c r="AL92" i="8"/>
  <c r="AL65" i="8"/>
  <c r="AL59" i="8"/>
  <c r="L81" i="8"/>
  <c r="D9" i="10"/>
  <c r="E9" i="10"/>
  <c r="G9" i="10"/>
  <c r="C9" i="10"/>
  <c r="C11" i="10" s="1"/>
  <c r="C34" i="10" s="1"/>
  <c r="S9" i="10"/>
  <c r="M9" i="10"/>
  <c r="M11" i="10" s="1"/>
  <c r="U9" i="10"/>
  <c r="U11" i="10" s="1"/>
  <c r="U34" i="10" s="1"/>
  <c r="N9" i="10"/>
  <c r="N11" i="10" s="1"/>
  <c r="N14" i="10" s="1"/>
  <c r="V9" i="10"/>
  <c r="V21" i="10" s="1"/>
  <c r="W9" i="10"/>
  <c r="I9" i="10"/>
  <c r="I11" i="10" s="1"/>
  <c r="Q9" i="10"/>
  <c r="Y9" i="10"/>
  <c r="Y21" i="10" s="1"/>
  <c r="K14" i="10"/>
  <c r="L33" i="10"/>
  <c r="AJ29" i="10"/>
  <c r="AJ32" i="10"/>
  <c r="AJ10" i="10"/>
  <c r="T33" i="10"/>
  <c r="L20" i="10"/>
  <c r="X33" i="10"/>
  <c r="P20" i="10"/>
  <c r="X20" i="10"/>
  <c r="P33" i="10"/>
  <c r="T20" i="10"/>
  <c r="AJ18" i="10"/>
  <c r="AJ20" i="10" s="1"/>
  <c r="L39" i="8"/>
  <c r="J12" i="10"/>
  <c r="K12" i="10"/>
  <c r="K15" i="10"/>
  <c r="AL52" i="8"/>
  <c r="AL44" i="8"/>
  <c r="AL51" i="8"/>
  <c r="L46" i="8"/>
  <c r="L54" i="8" s="1"/>
  <c r="L60" i="8"/>
  <c r="L67" i="8" s="1"/>
  <c r="I74" i="8"/>
  <c r="I76" i="8" s="1"/>
  <c r="K74" i="8"/>
  <c r="K76" i="8" s="1"/>
  <c r="J74" i="8"/>
  <c r="J76" i="8" s="1"/>
  <c r="L73" i="8"/>
  <c r="AE13" i="8"/>
  <c r="I14" i="8"/>
  <c r="J14" i="8"/>
  <c r="K14" i="8"/>
  <c r="L14" i="8"/>
  <c r="P60" i="8"/>
  <c r="P67" i="8" s="1"/>
  <c r="P46" i="8"/>
  <c r="P54" i="8" s="1"/>
  <c r="AL64" i="8"/>
  <c r="AL66" i="8"/>
  <c r="P73" i="8"/>
  <c r="AC13" i="8"/>
  <c r="P14" i="8"/>
  <c r="AJ13" i="8"/>
  <c r="P81" i="8"/>
  <c r="N74" i="8"/>
  <c r="N76" i="8" s="1"/>
  <c r="P4" i="10"/>
  <c r="M14" i="8"/>
  <c r="N14" i="8"/>
  <c r="O14" i="8"/>
  <c r="M14" i="10"/>
  <c r="AF13" i="8"/>
  <c r="AG13" i="8"/>
  <c r="AH13" i="8"/>
  <c r="O74" i="8"/>
  <c r="O76" i="8" s="1"/>
  <c r="M74" i="8"/>
  <c r="M76" i="8" s="1"/>
  <c r="AJ72" i="8"/>
  <c r="AI72" i="8"/>
  <c r="AH72" i="8"/>
  <c r="AF72" i="8"/>
  <c r="AE72" i="8"/>
  <c r="AD72" i="8"/>
  <c r="AJ71" i="8"/>
  <c r="AI71" i="8"/>
  <c r="AH71" i="8"/>
  <c r="AF71" i="8"/>
  <c r="AE71" i="8"/>
  <c r="AD71" i="8"/>
  <c r="AJ70" i="8"/>
  <c r="AI70" i="8"/>
  <c r="AH70" i="8"/>
  <c r="AF70" i="8"/>
  <c r="AE70" i="8"/>
  <c r="AD70" i="8"/>
  <c r="X72" i="8"/>
  <c r="AG72" i="8" s="1"/>
  <c r="X71" i="8"/>
  <c r="AG71" i="8" s="1"/>
  <c r="X70" i="8"/>
  <c r="AG70" i="8" s="1"/>
  <c r="T72" i="8"/>
  <c r="AC72" i="8" s="1"/>
  <c r="T71" i="8"/>
  <c r="AC71" i="8" s="1"/>
  <c r="T70" i="8"/>
  <c r="AC70" i="8" s="1"/>
  <c r="AG58" i="8"/>
  <c r="AC58" i="8"/>
  <c r="AJ58" i="8"/>
  <c r="AI58" i="8"/>
  <c r="AH58" i="8"/>
  <c r="AF58" i="8"/>
  <c r="AE58" i="8"/>
  <c r="AD58" i="8"/>
  <c r="AG45" i="8"/>
  <c r="AG43" i="8"/>
  <c r="AC45" i="8"/>
  <c r="AC43" i="8"/>
  <c r="AJ45" i="8"/>
  <c r="AI45" i="8"/>
  <c r="AH45" i="8"/>
  <c r="AF45" i="8"/>
  <c r="AE45" i="8"/>
  <c r="AD45" i="8"/>
  <c r="AJ43" i="8"/>
  <c r="AI43" i="8"/>
  <c r="AH43" i="8"/>
  <c r="AF43" i="8"/>
  <c r="AE43" i="8"/>
  <c r="AD43" i="8"/>
  <c r="AJ19" i="8"/>
  <c r="AG18" i="8"/>
  <c r="AC19" i="8"/>
  <c r="AF18" i="8"/>
  <c r="AA4" i="10"/>
  <c r="Z4" i="10"/>
  <c r="AI4" i="10" s="1"/>
  <c r="Y4" i="10"/>
  <c r="AH4" i="10" s="1"/>
  <c r="W4" i="10"/>
  <c r="AF4" i="10" s="1"/>
  <c r="V4" i="10"/>
  <c r="AE4" i="10" s="1"/>
  <c r="U4" i="10"/>
  <c r="AD4" i="10" s="1"/>
  <c r="S4" i="10"/>
  <c r="R4" i="10"/>
  <c r="Q4" i="10"/>
  <c r="AA3" i="10"/>
  <c r="Z3" i="10"/>
  <c r="AI3" i="10" s="1"/>
  <c r="Y3" i="10"/>
  <c r="AH3" i="10" s="1"/>
  <c r="X3" i="10"/>
  <c r="AG3" i="10" s="1"/>
  <c r="W3" i="10"/>
  <c r="AF3" i="10" s="1"/>
  <c r="V3" i="10"/>
  <c r="AE3" i="10" s="1"/>
  <c r="U3" i="10"/>
  <c r="AD3" i="10" s="1"/>
  <c r="T3" i="10"/>
  <c r="AC3" i="10" s="1"/>
  <c r="S3" i="10"/>
  <c r="R3" i="10"/>
  <c r="Q3" i="10"/>
  <c r="G4" i="10"/>
  <c r="F4" i="10"/>
  <c r="E4" i="10"/>
  <c r="D4" i="10"/>
  <c r="C4" i="10"/>
  <c r="G3" i="10"/>
  <c r="F3" i="10"/>
  <c r="E3" i="10"/>
  <c r="D3" i="10"/>
  <c r="C3" i="10"/>
  <c r="D11" i="10"/>
  <c r="D34" i="10" s="1"/>
  <c r="B2" i="10"/>
  <c r="B15" i="10"/>
  <c r="B14" i="10"/>
  <c r="AA11" i="10"/>
  <c r="AA34" i="10" s="1"/>
  <c r="Y11" i="10"/>
  <c r="Y34" i="10" s="1"/>
  <c r="V11" i="10"/>
  <c r="V34" i="10" s="1"/>
  <c r="S11" i="10"/>
  <c r="S34" i="10" s="1"/>
  <c r="R11" i="10"/>
  <c r="R34" i="10" s="1"/>
  <c r="Q11" i="10"/>
  <c r="Q34" i="10" s="1"/>
  <c r="G11" i="10"/>
  <c r="G34" i="10" s="1"/>
  <c r="F11" i="10"/>
  <c r="E11" i="10"/>
  <c r="E34" i="10" s="1"/>
  <c r="J21" i="9" l="1"/>
  <c r="K24" i="9"/>
  <c r="K25" i="9" s="1"/>
  <c r="I21" i="9"/>
  <c r="N21" i="9"/>
  <c r="O20" i="9"/>
  <c r="O15" i="9"/>
  <c r="I28" i="9"/>
  <c r="I25" i="9"/>
  <c r="P28" i="9"/>
  <c r="P25" i="9"/>
  <c r="L25" i="9"/>
  <c r="L28" i="9"/>
  <c r="N25" i="9"/>
  <c r="N28" i="9"/>
  <c r="J28" i="9"/>
  <c r="J25" i="9"/>
  <c r="M25" i="9"/>
  <c r="M28" i="9"/>
  <c r="C21" i="9"/>
  <c r="C28" i="9"/>
  <c r="C25" i="9"/>
  <c r="D24" i="9"/>
  <c r="D21" i="9"/>
  <c r="X9" i="10"/>
  <c r="AI9" i="10" s="1"/>
  <c r="X21" i="10"/>
  <c r="L34" i="10"/>
  <c r="O21" i="10"/>
  <c r="N21" i="10"/>
  <c r="P21" i="10"/>
  <c r="Z21" i="10"/>
  <c r="O12" i="10"/>
  <c r="N12" i="10"/>
  <c r="S21" i="10"/>
  <c r="AC33" i="10"/>
  <c r="N34" i="10"/>
  <c r="J15" i="10"/>
  <c r="J34" i="10"/>
  <c r="C21" i="10"/>
  <c r="N15" i="10"/>
  <c r="J14" i="10"/>
  <c r="L21" i="10"/>
  <c r="AE33" i="10"/>
  <c r="AH20" i="10"/>
  <c r="M34" i="10"/>
  <c r="O14" i="10"/>
  <c r="W11" i="10"/>
  <c r="W34" i="10" s="1"/>
  <c r="AH33" i="10"/>
  <c r="R21" i="10"/>
  <c r="O15" i="10"/>
  <c r="M12" i="10"/>
  <c r="I34" i="10"/>
  <c r="U21" i="10"/>
  <c r="I21" i="10"/>
  <c r="Q21" i="10"/>
  <c r="O34" i="10"/>
  <c r="X117" i="8"/>
  <c r="AI113" i="8"/>
  <c r="AG96" i="8"/>
  <c r="AJ96" i="8"/>
  <c r="AL96" i="8" s="1"/>
  <c r="AH96" i="8"/>
  <c r="AI96" i="8"/>
  <c r="AG113" i="8"/>
  <c r="AH113" i="8"/>
  <c r="L15" i="8"/>
  <c r="L20" i="8"/>
  <c r="L21" i="8" s="1"/>
  <c r="M15" i="8"/>
  <c r="M20" i="8"/>
  <c r="P15" i="8"/>
  <c r="P20" i="8"/>
  <c r="P21" i="8" s="1"/>
  <c r="K15" i="8"/>
  <c r="K20" i="8"/>
  <c r="O15" i="8"/>
  <c r="O20" i="8"/>
  <c r="J15" i="8"/>
  <c r="J20" i="8"/>
  <c r="N15" i="8"/>
  <c r="N20" i="8"/>
  <c r="I15" i="8"/>
  <c r="I20" i="8"/>
  <c r="M15" i="10"/>
  <c r="T9" i="10"/>
  <c r="T21" i="10" s="1"/>
  <c r="L9" i="10"/>
  <c r="L11" i="10" s="1"/>
  <c r="I15" i="10"/>
  <c r="I12" i="10"/>
  <c r="I14" i="10"/>
  <c r="P9" i="10"/>
  <c r="AJ33" i="10"/>
  <c r="AJ4" i="10"/>
  <c r="AJ3" i="10"/>
  <c r="L74" i="8"/>
  <c r="L76" i="8" s="1"/>
  <c r="P74" i="8"/>
  <c r="P76" i="8" s="1"/>
  <c r="AL13" i="8"/>
  <c r="AA15" i="10"/>
  <c r="S15" i="10"/>
  <c r="Q15" i="10"/>
  <c r="V15" i="10"/>
  <c r="F15" i="10"/>
  <c r="AL58" i="8"/>
  <c r="AL43" i="8"/>
  <c r="AL45" i="8"/>
  <c r="AD19" i="8"/>
  <c r="AF19" i="8"/>
  <c r="AL19" i="8" s="1"/>
  <c r="AH18" i="8"/>
  <c r="AJ18" i="8"/>
  <c r="AL18" i="8" s="1"/>
  <c r="AI18" i="8"/>
  <c r="AE19" i="8"/>
  <c r="AC18" i="8"/>
  <c r="AG19" i="8"/>
  <c r="AD18" i="8"/>
  <c r="AH19" i="8"/>
  <c r="AE18" i="8"/>
  <c r="AI19" i="8"/>
  <c r="U15" i="10"/>
  <c r="C14" i="10"/>
  <c r="C15" i="10"/>
  <c r="D15" i="10"/>
  <c r="D14" i="10"/>
  <c r="F14" i="10"/>
  <c r="Y15" i="10"/>
  <c r="U14" i="10"/>
  <c r="E15" i="10"/>
  <c r="Q14" i="10"/>
  <c r="V14" i="10"/>
  <c r="Y14" i="10"/>
  <c r="E14" i="10"/>
  <c r="S14" i="10"/>
  <c r="AA14" i="10"/>
  <c r="G15" i="10"/>
  <c r="W15" i="10"/>
  <c r="R15" i="10"/>
  <c r="Z15" i="10"/>
  <c r="G14" i="10"/>
  <c r="W14" i="10"/>
  <c r="X11" i="10"/>
  <c r="X34" i="10" s="1"/>
  <c r="R14" i="10"/>
  <c r="Z14" i="10"/>
  <c r="K28" i="9" l="1"/>
  <c r="K29" i="9" s="1"/>
  <c r="O21" i="9"/>
  <c r="O24" i="9"/>
  <c r="I29" i="9"/>
  <c r="N29" i="9"/>
  <c r="L29" i="9"/>
  <c r="J29" i="9"/>
  <c r="M29" i="9"/>
  <c r="P29" i="9"/>
  <c r="C77" i="9" a="1"/>
  <c r="C77" i="9" s="1"/>
  <c r="C76" i="9" a="1"/>
  <c r="C76" i="9" s="1"/>
  <c r="C29" i="9"/>
  <c r="C75" i="9"/>
  <c r="C36" i="9"/>
  <c r="C73" i="9"/>
  <c r="C74" i="9"/>
  <c r="D25" i="9"/>
  <c r="D28" i="9"/>
  <c r="AJ37" i="10"/>
  <c r="AJ39" i="10"/>
  <c r="AJ38" i="10"/>
  <c r="AJ36" i="10"/>
  <c r="AI11" i="10"/>
  <c r="AI21" i="10"/>
  <c r="AC9" i="10"/>
  <c r="AH34" i="10"/>
  <c r="AG9" i="10"/>
  <c r="T11" i="10"/>
  <c r="T34" i="10" s="1"/>
  <c r="AF9" i="10"/>
  <c r="AE9" i="10"/>
  <c r="AH9" i="10"/>
  <c r="AH11" i="10" s="1"/>
  <c r="AD9" i="10"/>
  <c r="L24" i="8"/>
  <c r="L28" i="8" s="1"/>
  <c r="K21" i="8"/>
  <c r="K24" i="8"/>
  <c r="J21" i="8"/>
  <c r="J24" i="8"/>
  <c r="M24" i="8"/>
  <c r="M21" i="8"/>
  <c r="I24" i="8"/>
  <c r="I21" i="8"/>
  <c r="O24" i="8"/>
  <c r="O21" i="8"/>
  <c r="N21" i="8"/>
  <c r="N24" i="8"/>
  <c r="P24" i="8"/>
  <c r="P28" i="8" s="1"/>
  <c r="P35" i="8" s="1"/>
  <c r="L14" i="10"/>
  <c r="L15" i="10"/>
  <c r="AJ9" i="10"/>
  <c r="AJ21" i="10" s="1"/>
  <c r="P11" i="10"/>
  <c r="P34" i="10" s="1"/>
  <c r="L12" i="10"/>
  <c r="L25" i="8"/>
  <c r="L32" i="8"/>
  <c r="L84" i="8"/>
  <c r="L98" i="8" s="1"/>
  <c r="L125" i="8" s="1"/>
  <c r="L35" i="8"/>
  <c r="L29" i="8"/>
  <c r="T15" i="10"/>
  <c r="T14" i="10"/>
  <c r="X15" i="10"/>
  <c r="X14" i="10"/>
  <c r="O28" i="9" l="1"/>
  <c r="O25" i="9"/>
  <c r="C45" i="9"/>
  <c r="D77" i="9" a="1"/>
  <c r="D77" i="9" s="1"/>
  <c r="D75" i="9"/>
  <c r="D76" i="9" a="1"/>
  <c r="D76" i="9" s="1"/>
  <c r="D29" i="9"/>
  <c r="D36" i="9"/>
  <c r="D44" i="9" s="1"/>
  <c r="D74" i="9"/>
  <c r="D73" i="9"/>
  <c r="AE11" i="10"/>
  <c r="AE34" i="10" s="1"/>
  <c r="AE21" i="10"/>
  <c r="AH21" i="10"/>
  <c r="AG11" i="10"/>
  <c r="AG34" i="10" s="1"/>
  <c r="AG21" i="10"/>
  <c r="AD11" i="10"/>
  <c r="AD34" i="10" s="1"/>
  <c r="AD21" i="10"/>
  <c r="AF11" i="10"/>
  <c r="AF34" i="10" s="1"/>
  <c r="AF21" i="10"/>
  <c r="AJ11" i="10"/>
  <c r="AJ34" i="10" s="1"/>
  <c r="AC11" i="10"/>
  <c r="AC34" i="10" s="1"/>
  <c r="AC21" i="10"/>
  <c r="AI34" i="10"/>
  <c r="P84" i="8"/>
  <c r="P98" i="8" s="1"/>
  <c r="P25" i="8"/>
  <c r="I25" i="8"/>
  <c r="I28" i="8"/>
  <c r="M25" i="8"/>
  <c r="M28" i="8"/>
  <c r="N28" i="8"/>
  <c r="N25" i="8"/>
  <c r="P29" i="8"/>
  <c r="J28" i="8"/>
  <c r="J25" i="8"/>
  <c r="P32" i="8"/>
  <c r="K25" i="8"/>
  <c r="K28" i="8"/>
  <c r="O28" i="8"/>
  <c r="O25" i="8"/>
  <c r="P15" i="10"/>
  <c r="P12" i="10"/>
  <c r="P14" i="10"/>
  <c r="AG23" i="8"/>
  <c r="AF23" i="8"/>
  <c r="AJ17" i="8"/>
  <c r="AF17" i="8"/>
  <c r="AI34" i="8"/>
  <c r="AH34" i="8"/>
  <c r="AG34" i="8"/>
  <c r="AF34" i="8"/>
  <c r="AE34" i="8"/>
  <c r="AD34" i="8"/>
  <c r="AC34" i="8"/>
  <c r="AI31" i="8"/>
  <c r="AH31" i="8"/>
  <c r="AF31" i="8"/>
  <c r="AE31" i="8"/>
  <c r="AD31" i="8"/>
  <c r="AC49" i="9"/>
  <c r="AG42" i="8"/>
  <c r="AC55" i="9"/>
  <c r="AC53" i="8"/>
  <c r="AC50" i="8"/>
  <c r="AC56" i="9"/>
  <c r="AC57" i="9"/>
  <c r="AG53" i="8"/>
  <c r="AG50" i="8"/>
  <c r="AG49" i="8"/>
  <c r="AG57" i="8"/>
  <c r="AG63" i="8"/>
  <c r="AC63" i="9"/>
  <c r="AA46" i="8"/>
  <c r="Z46" i="8"/>
  <c r="Y46" i="8"/>
  <c r="W46" i="8"/>
  <c r="V46" i="8"/>
  <c r="U46" i="8"/>
  <c r="S46" i="8"/>
  <c r="R46" i="8"/>
  <c r="Q46" i="8"/>
  <c r="G46" i="8"/>
  <c r="F46" i="8"/>
  <c r="E46" i="8"/>
  <c r="D46" i="8"/>
  <c r="C46" i="8"/>
  <c r="C54" i="8" s="1"/>
  <c r="AJ53" i="8"/>
  <c r="AI53" i="8"/>
  <c r="AH53" i="8"/>
  <c r="AF53" i="8"/>
  <c r="AE53" i="8"/>
  <c r="AD53" i="8"/>
  <c r="C117" i="8"/>
  <c r="C108" i="8"/>
  <c r="C81" i="8"/>
  <c r="C80" i="8"/>
  <c r="C73" i="8"/>
  <c r="C60" i="8"/>
  <c r="C67" i="8" s="1"/>
  <c r="C39" i="8"/>
  <c r="C38" i="8"/>
  <c r="C11" i="8"/>
  <c r="AI65" i="9"/>
  <c r="AH65" i="9"/>
  <c r="AF65" i="9"/>
  <c r="AE65" i="9"/>
  <c r="AD65" i="9"/>
  <c r="AI69" i="8"/>
  <c r="AH69" i="8"/>
  <c r="AF69" i="8"/>
  <c r="AE69" i="8"/>
  <c r="AD69" i="8"/>
  <c r="AI63" i="8"/>
  <c r="AH63" i="8"/>
  <c r="AF63" i="8"/>
  <c r="AE63" i="8"/>
  <c r="AD63" i="8"/>
  <c r="AI57" i="8"/>
  <c r="AH57" i="8"/>
  <c r="AI50" i="8"/>
  <c r="AH50" i="8"/>
  <c r="AF50" i="8"/>
  <c r="AE50" i="8"/>
  <c r="AD50" i="8"/>
  <c r="AI49" i="8"/>
  <c r="AH49" i="8"/>
  <c r="AF49" i="8"/>
  <c r="AE49" i="8"/>
  <c r="AD49" i="8"/>
  <c r="AI42" i="8"/>
  <c r="AH42" i="8"/>
  <c r="AF42" i="8"/>
  <c r="AE42" i="8"/>
  <c r="AD42" i="8"/>
  <c r="AJ57" i="9"/>
  <c r="AI57" i="9"/>
  <c r="AH57" i="9"/>
  <c r="AJ56" i="9"/>
  <c r="AI56" i="9"/>
  <c r="AH56" i="9"/>
  <c r="AF56" i="9"/>
  <c r="AE56" i="9"/>
  <c r="AD56" i="9"/>
  <c r="AJ55" i="9"/>
  <c r="AI55" i="9"/>
  <c r="AH55" i="9"/>
  <c r="AF55" i="9"/>
  <c r="AE55" i="9"/>
  <c r="AD55" i="9"/>
  <c r="AI63" i="9"/>
  <c r="AH63" i="9"/>
  <c r="AF63" i="9"/>
  <c r="AE63" i="9"/>
  <c r="AD63" i="9"/>
  <c r="AI62" i="9"/>
  <c r="AH62" i="9"/>
  <c r="AF62" i="9"/>
  <c r="AE62" i="9"/>
  <c r="AD62" i="9"/>
  <c r="AJ65" i="9"/>
  <c r="AG65" i="9"/>
  <c r="AC65" i="9"/>
  <c r="AA66" i="9"/>
  <c r="Z66" i="9"/>
  <c r="Y66" i="9"/>
  <c r="W66" i="9"/>
  <c r="V66" i="9"/>
  <c r="U66" i="9"/>
  <c r="S66" i="9"/>
  <c r="R66" i="9"/>
  <c r="Q66" i="9"/>
  <c r="G66" i="9"/>
  <c r="F66" i="9"/>
  <c r="E66" i="9"/>
  <c r="AI49" i="9"/>
  <c r="AH49" i="9"/>
  <c r="AF49" i="9"/>
  <c r="AE49" i="9"/>
  <c r="AD49" i="9"/>
  <c r="T131" i="8"/>
  <c r="T89" i="8"/>
  <c r="X97" i="8"/>
  <c r="AF57" i="8"/>
  <c r="AE57" i="9"/>
  <c r="AD57" i="9"/>
  <c r="T132" i="8"/>
  <c r="X132" i="8"/>
  <c r="X131" i="8"/>
  <c r="X124" i="8"/>
  <c r="X123" i="8"/>
  <c r="T124" i="8"/>
  <c r="T123" i="8"/>
  <c r="AJ69" i="8"/>
  <c r="AJ63" i="8"/>
  <c r="AJ57" i="8"/>
  <c r="AJ50" i="8"/>
  <c r="AJ49" i="8"/>
  <c r="AJ42" i="8"/>
  <c r="AC63" i="8"/>
  <c r="AG69" i="8"/>
  <c r="AC69" i="8"/>
  <c r="AI27" i="8"/>
  <c r="AC27" i="8"/>
  <c r="T31" i="8"/>
  <c r="AC31" i="8" s="1"/>
  <c r="AG62" i="9"/>
  <c r="AC62" i="9"/>
  <c r="AJ31" i="8"/>
  <c r="AJ34" i="8"/>
  <c r="X31" i="8"/>
  <c r="AG31" i="8" s="1"/>
  <c r="O29" i="9" l="1"/>
  <c r="D45" i="9"/>
  <c r="AE66" i="9"/>
  <c r="AC66" i="9"/>
  <c r="AD66" i="9"/>
  <c r="J35" i="8"/>
  <c r="J84" i="8"/>
  <c r="J98" i="8" s="1"/>
  <c r="J125" i="8" s="1"/>
  <c r="J29" i="8"/>
  <c r="J32" i="8"/>
  <c r="O35" i="8"/>
  <c r="O32" i="8"/>
  <c r="O84" i="8"/>
  <c r="O98" i="8" s="1"/>
  <c r="O125" i="8" s="1"/>
  <c r="O29" i="8"/>
  <c r="N29" i="8"/>
  <c r="N84" i="8"/>
  <c r="N98" i="8" s="1"/>
  <c r="N125" i="8" s="1"/>
  <c r="N35" i="8"/>
  <c r="N32" i="8"/>
  <c r="K32" i="8"/>
  <c r="K84" i="8"/>
  <c r="K98" i="8" s="1"/>
  <c r="K125" i="8" s="1"/>
  <c r="K35" i="8"/>
  <c r="K29" i="8"/>
  <c r="M32" i="8"/>
  <c r="M29" i="8"/>
  <c r="M84" i="8"/>
  <c r="M98" i="8" s="1"/>
  <c r="M125" i="8" s="1"/>
  <c r="M35" i="8"/>
  <c r="I32" i="8"/>
  <c r="I84" i="8"/>
  <c r="I98" i="8" s="1"/>
  <c r="I125" i="8" s="1"/>
  <c r="I35" i="8"/>
  <c r="I29" i="8"/>
  <c r="C14" i="8"/>
  <c r="AJ23" i="8"/>
  <c r="AL23" i="8" s="1"/>
  <c r="C12" i="10"/>
  <c r="AF8" i="9"/>
  <c r="AC7" i="9"/>
  <c r="AD6" i="9"/>
  <c r="AC6" i="9"/>
  <c r="AE6" i="9"/>
  <c r="AD7" i="9"/>
  <c r="AC8" i="9"/>
  <c r="AF6" i="9"/>
  <c r="AE7" i="9"/>
  <c r="AD8" i="9"/>
  <c r="AF7" i="9"/>
  <c r="AE8" i="9"/>
  <c r="AH23" i="8"/>
  <c r="AI23" i="8"/>
  <c r="AC23" i="8"/>
  <c r="AD23" i="8"/>
  <c r="AE23" i="8"/>
  <c r="AF46" i="8"/>
  <c r="AH46" i="8"/>
  <c r="AI46" i="8"/>
  <c r="AJ46" i="8"/>
  <c r="X46" i="8"/>
  <c r="T46" i="8"/>
  <c r="AG46" i="8"/>
  <c r="X88" i="8"/>
  <c r="AJ88" i="8" s="1"/>
  <c r="AL53" i="8"/>
  <c r="AF13" i="9"/>
  <c r="C74" i="8"/>
  <c r="C76" i="8" s="1"/>
  <c r="AE19" i="9"/>
  <c r="AD13" i="9"/>
  <c r="AE13" i="9"/>
  <c r="AD40" i="9"/>
  <c r="AC13" i="9"/>
  <c r="AE40" i="9"/>
  <c r="AF19" i="9"/>
  <c r="AH19" i="9"/>
  <c r="AG13" i="9"/>
  <c r="AI19" i="9"/>
  <c r="AH13" i="9"/>
  <c r="AG19" i="9"/>
  <c r="AC19" i="9"/>
  <c r="AI13" i="9"/>
  <c r="AC40" i="9"/>
  <c r="AC57" i="8"/>
  <c r="AD57" i="8"/>
  <c r="AC89" i="8"/>
  <c r="AC42" i="8"/>
  <c r="AE57" i="8"/>
  <c r="AD89" i="8"/>
  <c r="AE89" i="8"/>
  <c r="AF89" i="8"/>
  <c r="AG97" i="8"/>
  <c r="AD19" i="9"/>
  <c r="AC49" i="8"/>
  <c r="AH97" i="8"/>
  <c r="AI97" i="8"/>
  <c r="AD27" i="8"/>
  <c r="AE27" i="8"/>
  <c r="AF27" i="8"/>
  <c r="AG27" i="8"/>
  <c r="AH27" i="8"/>
  <c r="AC17" i="8"/>
  <c r="AL72" i="8"/>
  <c r="AD17" i="8"/>
  <c r="AL50" i="8"/>
  <c r="AL63" i="8"/>
  <c r="AE17" i="8"/>
  <c r="AG17" i="8"/>
  <c r="AH17" i="8"/>
  <c r="AI17" i="8"/>
  <c r="Y108" i="8"/>
  <c r="AF57" i="9"/>
  <c r="AG55" i="9"/>
  <c r="AG57" i="9"/>
  <c r="AG63" i="9"/>
  <c r="D108" i="8"/>
  <c r="AG56" i="9"/>
  <c r="AH66" i="9"/>
  <c r="AJ66" i="9"/>
  <c r="AF66" i="9"/>
  <c r="T66" i="9"/>
  <c r="AG66" i="9"/>
  <c r="AI66" i="9"/>
  <c r="X66" i="9"/>
  <c r="G108" i="8"/>
  <c r="AF27" i="9"/>
  <c r="AI18" i="9"/>
  <c r="AD39" i="9"/>
  <c r="AG49" i="9"/>
  <c r="AC17" i="9"/>
  <c r="U108" i="8"/>
  <c r="AC18" i="9"/>
  <c r="AI17" i="9"/>
  <c r="AJ19" i="9"/>
  <c r="E108" i="8"/>
  <c r="Q108" i="8"/>
  <c r="F108" i="8"/>
  <c r="T97" i="8"/>
  <c r="AC97" i="8" s="1"/>
  <c r="T87" i="8"/>
  <c r="AC87" i="8" s="1"/>
  <c r="AA108" i="8"/>
  <c r="X89" i="8"/>
  <c r="X87" i="8"/>
  <c r="AG87" i="8" s="1"/>
  <c r="AJ97" i="8"/>
  <c r="AJ27" i="8"/>
  <c r="AL34" i="8"/>
  <c r="O36" i="9" l="1"/>
  <c r="I36" i="9"/>
  <c r="I45" i="9" s="1"/>
  <c r="P36" i="9"/>
  <c r="J36" i="9"/>
  <c r="N36" i="9"/>
  <c r="K36" i="9"/>
  <c r="L36" i="9"/>
  <c r="M36" i="9"/>
  <c r="C15" i="8"/>
  <c r="C20" i="8"/>
  <c r="C24" i="8" s="1"/>
  <c r="AF9" i="9"/>
  <c r="AE9" i="9"/>
  <c r="AD9" i="9"/>
  <c r="AC9" i="9"/>
  <c r="AG88" i="8"/>
  <c r="AI88" i="8"/>
  <c r="T88" i="8"/>
  <c r="AF88" i="8" s="1"/>
  <c r="AL88" i="8" s="1"/>
  <c r="AH88" i="8"/>
  <c r="AE27" i="9"/>
  <c r="AI39" i="9"/>
  <c r="AE41" i="9"/>
  <c r="AD18" i="9"/>
  <c r="AD97" i="8"/>
  <c r="AH89" i="8"/>
  <c r="AI89" i="8"/>
  <c r="AD41" i="9"/>
  <c r="AI87" i="8"/>
  <c r="AH18" i="9"/>
  <c r="AG17" i="9"/>
  <c r="AF39" i="9"/>
  <c r="AE39" i="9"/>
  <c r="AC39" i="9"/>
  <c r="AG18" i="9"/>
  <c r="AC27" i="9"/>
  <c r="AD27" i="9"/>
  <c r="AH87" i="8"/>
  <c r="AF87" i="8"/>
  <c r="AD87" i="8"/>
  <c r="AD17" i="9"/>
  <c r="AF17" i="9"/>
  <c r="AE17" i="9"/>
  <c r="AF97" i="8"/>
  <c r="AL97" i="8" s="1"/>
  <c r="AE97" i="8"/>
  <c r="AE18" i="9"/>
  <c r="AF18" i="9"/>
  <c r="AG89" i="8"/>
  <c r="AE87" i="8"/>
  <c r="AH17" i="9"/>
  <c r="AG39" i="9"/>
  <c r="AC41" i="9"/>
  <c r="AH39" i="9"/>
  <c r="AF41" i="9"/>
  <c r="AL19" i="9"/>
  <c r="AJ18" i="9"/>
  <c r="AJ87" i="8"/>
  <c r="AI23" i="9"/>
  <c r="S108" i="8"/>
  <c r="AI38" i="9"/>
  <c r="AC23" i="9"/>
  <c r="R108" i="8"/>
  <c r="AJ89" i="8"/>
  <c r="AL89" i="8" s="1"/>
  <c r="Z108" i="8"/>
  <c r="W108" i="8"/>
  <c r="V108" i="8"/>
  <c r="AL27" i="8"/>
  <c r="AJ63" i="9"/>
  <c r="AJ62" i="9"/>
  <c r="AA120" i="8"/>
  <c r="W120" i="8"/>
  <c r="V120" i="8"/>
  <c r="T120" i="8"/>
  <c r="S120" i="8"/>
  <c r="R120" i="8"/>
  <c r="Y120" i="8"/>
  <c r="U120" i="8"/>
  <c r="L44" i="9" l="1"/>
  <c r="L45" i="9" s="1"/>
  <c r="M44" i="9"/>
  <c r="M45" i="9" s="1"/>
  <c r="K44" i="9"/>
  <c r="K45" i="9" s="1"/>
  <c r="J44" i="9"/>
  <c r="J45" i="9" s="1"/>
  <c r="P44" i="9"/>
  <c r="P45" i="9" s="1"/>
  <c r="O44" i="9"/>
  <c r="O45" i="9" s="1"/>
  <c r="N44" i="9"/>
  <c r="N45" i="9" s="1"/>
  <c r="C21" i="8"/>
  <c r="AF14" i="9"/>
  <c r="AF20" i="9" s="1"/>
  <c r="AE14" i="9"/>
  <c r="AE20" i="9" s="1"/>
  <c r="AC14" i="9"/>
  <c r="AC20" i="9" s="1"/>
  <c r="AD14" i="9"/>
  <c r="AD20" i="9" s="1"/>
  <c r="AH7" i="9"/>
  <c r="AG7" i="9"/>
  <c r="AI7" i="9"/>
  <c r="AH6" i="9"/>
  <c r="AG6" i="9"/>
  <c r="AI6" i="9"/>
  <c r="AC88" i="8"/>
  <c r="AD88" i="8"/>
  <c r="AE88" i="8"/>
  <c r="AF42" i="9"/>
  <c r="C28" i="8"/>
  <c r="C84" i="8" s="1"/>
  <c r="C25" i="8"/>
  <c r="AD23" i="9"/>
  <c r="AH23" i="9"/>
  <c r="AL18" i="9"/>
  <c r="AG23" i="9"/>
  <c r="T108" i="8"/>
  <c r="AG38" i="9"/>
  <c r="AG27" i="9"/>
  <c r="AI27" i="9"/>
  <c r="AH38" i="9"/>
  <c r="AF23" i="9"/>
  <c r="AE23" i="9"/>
  <c r="AH27" i="9"/>
  <c r="AE42" i="9"/>
  <c r="AD42" i="9"/>
  <c r="AC42" i="9"/>
  <c r="AI42" i="9"/>
  <c r="AH42" i="9"/>
  <c r="AG42" i="9"/>
  <c r="AF40" i="9"/>
  <c r="AJ40" i="9"/>
  <c r="AF38" i="9"/>
  <c r="X108" i="8"/>
  <c r="Z120" i="8"/>
  <c r="AC131" i="8"/>
  <c r="G9" i="9"/>
  <c r="G14" i="9" s="1"/>
  <c r="E9" i="9"/>
  <c r="F9" i="9"/>
  <c r="F14" i="9" s="1"/>
  <c r="T9" i="9"/>
  <c r="R9" i="9"/>
  <c r="S9" i="9"/>
  <c r="Q9" i="9"/>
  <c r="Z9" i="9"/>
  <c r="Z14" i="9" s="1"/>
  <c r="Y9" i="9"/>
  <c r="Y14" i="9" s="1"/>
  <c r="AA9" i="9"/>
  <c r="AA14" i="9" s="1"/>
  <c r="W9" i="9"/>
  <c r="W14" i="9" s="1"/>
  <c r="V9" i="9"/>
  <c r="V14" i="9" s="1"/>
  <c r="U9" i="9"/>
  <c r="U14" i="9" s="1"/>
  <c r="F120" i="8"/>
  <c r="G120" i="8"/>
  <c r="X120" i="8"/>
  <c r="AJ13" i="9"/>
  <c r="T14" i="9" l="1"/>
  <c r="T10" i="9"/>
  <c r="T11" i="9"/>
  <c r="Q14" i="9"/>
  <c r="Q11" i="9"/>
  <c r="Q10" i="9"/>
  <c r="S14" i="9"/>
  <c r="S10" i="9"/>
  <c r="S11" i="9"/>
  <c r="R14" i="9"/>
  <c r="R11" i="9"/>
  <c r="R10" i="9"/>
  <c r="E14" i="9"/>
  <c r="E10" i="9"/>
  <c r="AC24" i="9"/>
  <c r="AC28" i="9" s="1"/>
  <c r="AG8" i="9"/>
  <c r="AH8" i="9"/>
  <c r="AH9" i="9" s="1"/>
  <c r="AH14" i="9" s="1"/>
  <c r="AH20" i="9" s="1"/>
  <c r="AH24" i="9" s="1"/>
  <c r="AH28" i="9" s="1"/>
  <c r="AI8" i="9"/>
  <c r="AI9" i="9" s="1"/>
  <c r="AI14" i="9" s="1"/>
  <c r="AI20" i="9" s="1"/>
  <c r="AI24" i="9" s="1"/>
  <c r="AI28" i="9" s="1"/>
  <c r="C35" i="8"/>
  <c r="C32" i="8"/>
  <c r="AD24" i="9"/>
  <c r="AD28" i="9" s="1"/>
  <c r="C29" i="8"/>
  <c r="AF24" i="9"/>
  <c r="AF28" i="9" s="1"/>
  <c r="AE24" i="9"/>
  <c r="AE28" i="9" s="1"/>
  <c r="AG40" i="9"/>
  <c r="AC38" i="9"/>
  <c r="AE38" i="9"/>
  <c r="AH40" i="9"/>
  <c r="AG43" i="9"/>
  <c r="AH43" i="9"/>
  <c r="AI43" i="9"/>
  <c r="AI41" i="9"/>
  <c r="AH41" i="9"/>
  <c r="AG41" i="9"/>
  <c r="AF43" i="9"/>
  <c r="AE43" i="9"/>
  <c r="AC43" i="9"/>
  <c r="AD43" i="9"/>
  <c r="AI40" i="9"/>
  <c r="AD38" i="9"/>
  <c r="X9" i="9"/>
  <c r="X14" i="9" s="1"/>
  <c r="AJ41" i="9"/>
  <c r="AH131" i="8"/>
  <c r="AI131" i="8"/>
  <c r="AF131" i="8"/>
  <c r="AE131" i="8"/>
  <c r="AD131" i="8"/>
  <c r="AJ131" i="8"/>
  <c r="AG131" i="8"/>
  <c r="AL13" i="9"/>
  <c r="AG9" i="9" l="1"/>
  <c r="AG14" i="9" s="1"/>
  <c r="AG20" i="9" s="1"/>
  <c r="AG24" i="9" s="1"/>
  <c r="AG28" i="9" s="1"/>
  <c r="C98" i="8"/>
  <c r="C125" i="8" s="1"/>
  <c r="C121" i="8" l="1"/>
  <c r="C126" i="8" s="1"/>
  <c r="X4" i="10"/>
  <c r="AG4" i="10" s="1"/>
  <c r="T4" i="10"/>
  <c r="AC4" i="10" s="1"/>
  <c r="D119" i="8" l="1"/>
  <c r="I119" i="8" s="1"/>
  <c r="I121" i="8" s="1"/>
  <c r="I126" i="8" s="1"/>
  <c r="I128" i="8" s="1"/>
  <c r="C128" i="8"/>
  <c r="F52" i="9"/>
  <c r="Z52" i="9"/>
  <c r="E52" i="9"/>
  <c r="S52" i="9"/>
  <c r="G52" i="9"/>
  <c r="W52" i="9"/>
  <c r="R52" i="9"/>
  <c r="Q52" i="9"/>
  <c r="U52" i="9"/>
  <c r="V52" i="9"/>
  <c r="Y52" i="9"/>
  <c r="AA52" i="9"/>
  <c r="J119" i="8" l="1"/>
  <c r="J121" i="8" s="1"/>
  <c r="J126" i="8" s="1"/>
  <c r="J128" i="8" s="1"/>
  <c r="AJ43" i="9"/>
  <c r="K119" i="8" l="1"/>
  <c r="K121" i="8" s="1"/>
  <c r="K126" i="8" s="1"/>
  <c r="K128" i="8" s="1"/>
  <c r="B2" i="9"/>
  <c r="AA60" i="8"/>
  <c r="Z60" i="8"/>
  <c r="AI58" i="9" s="1"/>
  <c r="Y60" i="8"/>
  <c r="AH58" i="9" s="1"/>
  <c r="W60" i="8"/>
  <c r="AF58" i="9" s="1"/>
  <c r="V60" i="8"/>
  <c r="AE58" i="9" s="1"/>
  <c r="U60" i="8"/>
  <c r="AD58" i="9" s="1"/>
  <c r="S60" i="8"/>
  <c r="R60" i="8"/>
  <c r="Q60" i="8"/>
  <c r="G60" i="8"/>
  <c r="F60" i="8"/>
  <c r="E60" i="8"/>
  <c r="D60" i="8"/>
  <c r="AJ49" i="9"/>
  <c r="AJ52" i="9" s="1"/>
  <c r="AA4" i="9"/>
  <c r="AJ4" i="9" s="1"/>
  <c r="AA3" i="9"/>
  <c r="AJ3" i="9" s="1"/>
  <c r="AJ8" i="8"/>
  <c r="AJ81" i="8" s="1"/>
  <c r="AJ7" i="8"/>
  <c r="AJ80" i="8" s="1"/>
  <c r="AA81" i="8"/>
  <c r="AA80" i="8"/>
  <c r="AA73" i="8"/>
  <c r="AA39" i="8"/>
  <c r="AA38" i="8"/>
  <c r="AA11" i="8"/>
  <c r="G117" i="8"/>
  <c r="F117" i="8"/>
  <c r="E117" i="8"/>
  <c r="AI52" i="9"/>
  <c r="AH52" i="9"/>
  <c r="AF52" i="9"/>
  <c r="Z4" i="9"/>
  <c r="AI4" i="9" s="1"/>
  <c r="Y4" i="9"/>
  <c r="AH4" i="9" s="1"/>
  <c r="X4" i="9"/>
  <c r="AG4" i="9" s="1"/>
  <c r="W4" i="9"/>
  <c r="AF4" i="9" s="1"/>
  <c r="V4" i="9"/>
  <c r="AE4" i="9" s="1"/>
  <c r="U4" i="9"/>
  <c r="AD4" i="9" s="1"/>
  <c r="T4" i="9"/>
  <c r="AC4" i="9" s="1"/>
  <c r="S4" i="9"/>
  <c r="R4" i="9"/>
  <c r="Q4" i="9"/>
  <c r="Z3" i="9"/>
  <c r="AI3" i="9" s="1"/>
  <c r="Y3" i="9"/>
  <c r="AH3" i="9" s="1"/>
  <c r="X3" i="9"/>
  <c r="AG3" i="9" s="1"/>
  <c r="W3" i="9"/>
  <c r="AF3" i="9" s="1"/>
  <c r="V3" i="9"/>
  <c r="AE3" i="9" s="1"/>
  <c r="U3" i="9"/>
  <c r="AD3" i="9" s="1"/>
  <c r="T3" i="9"/>
  <c r="AC3" i="9" s="1"/>
  <c r="S3" i="9"/>
  <c r="R3" i="9"/>
  <c r="Q3" i="9"/>
  <c r="G4" i="9"/>
  <c r="F4" i="9"/>
  <c r="E4" i="9"/>
  <c r="G3" i="9"/>
  <c r="F3" i="9"/>
  <c r="E3" i="9"/>
  <c r="S73" i="8"/>
  <c r="Z81" i="8"/>
  <c r="Y81" i="8"/>
  <c r="X81" i="8"/>
  <c r="W81" i="8"/>
  <c r="V81" i="8"/>
  <c r="U81" i="8"/>
  <c r="T81" i="8"/>
  <c r="S81" i="8"/>
  <c r="R81" i="8"/>
  <c r="Q81" i="8"/>
  <c r="Z80" i="8"/>
  <c r="Y80" i="8"/>
  <c r="X80" i="8"/>
  <c r="W80" i="8"/>
  <c r="V80" i="8"/>
  <c r="U80" i="8"/>
  <c r="T80" i="8"/>
  <c r="S80" i="8"/>
  <c r="R80" i="8"/>
  <c r="Q80" i="8"/>
  <c r="W73" i="8"/>
  <c r="V73" i="8"/>
  <c r="U73" i="8"/>
  <c r="R73" i="8"/>
  <c r="Q73" i="8"/>
  <c r="Z39" i="8"/>
  <c r="Y39" i="8"/>
  <c r="X39" i="8"/>
  <c r="W39" i="8"/>
  <c r="V39" i="8"/>
  <c r="U39" i="8"/>
  <c r="T39" i="8"/>
  <c r="S39" i="8"/>
  <c r="R39" i="8"/>
  <c r="Q39" i="8"/>
  <c r="Z38" i="8"/>
  <c r="Y38" i="8"/>
  <c r="X38" i="8"/>
  <c r="W38" i="8"/>
  <c r="V38" i="8"/>
  <c r="U38" i="8"/>
  <c r="T38" i="8"/>
  <c r="S38" i="8"/>
  <c r="R38" i="8"/>
  <c r="Q38" i="8"/>
  <c r="G39" i="8"/>
  <c r="F39" i="8"/>
  <c r="E39" i="8"/>
  <c r="D39" i="8"/>
  <c r="G38" i="8"/>
  <c r="F38" i="8"/>
  <c r="E38" i="8"/>
  <c r="D38" i="8"/>
  <c r="V11" i="8"/>
  <c r="U11" i="8"/>
  <c r="S11" i="8"/>
  <c r="R11" i="8"/>
  <c r="Q11" i="8"/>
  <c r="Z11" i="8"/>
  <c r="AD8" i="8"/>
  <c r="AC8" i="8"/>
  <c r="AD7" i="8"/>
  <c r="AC7" i="8"/>
  <c r="AH8" i="8"/>
  <c r="AG8" i="8"/>
  <c r="AF8" i="8"/>
  <c r="AE8" i="8"/>
  <c r="AH7" i="8"/>
  <c r="AG7" i="8"/>
  <c r="AF7" i="8"/>
  <c r="AE7" i="8"/>
  <c r="AI8" i="8"/>
  <c r="AI7" i="8"/>
  <c r="L119" i="8" l="1"/>
  <c r="L121" i="8" s="1"/>
  <c r="L126" i="8" s="1"/>
  <c r="L128" i="8" s="1"/>
  <c r="R14" i="8"/>
  <c r="Z14" i="8"/>
  <c r="V14" i="8"/>
  <c r="S14" i="8"/>
  <c r="Q14" i="8"/>
  <c r="U14" i="8"/>
  <c r="AA14" i="8"/>
  <c r="S12" i="10"/>
  <c r="Q12" i="10"/>
  <c r="R12" i="10"/>
  <c r="U12" i="10"/>
  <c r="AA12" i="10"/>
  <c r="V12" i="10"/>
  <c r="Z12" i="10"/>
  <c r="AC10" i="8"/>
  <c r="AE10" i="8"/>
  <c r="AF10" i="8"/>
  <c r="AD10" i="8"/>
  <c r="AI10" i="8"/>
  <c r="AH10" i="8"/>
  <c r="AG10" i="8"/>
  <c r="AL42" i="8"/>
  <c r="AL69" i="8"/>
  <c r="AL49" i="8"/>
  <c r="AL57" i="8"/>
  <c r="AA67" i="8"/>
  <c r="AD68" i="9"/>
  <c r="AJ68" i="9"/>
  <c r="AH132" i="8"/>
  <c r="AE68" i="9"/>
  <c r="AF68" i="9"/>
  <c r="T52" i="9"/>
  <c r="S54" i="8"/>
  <c r="AH60" i="8"/>
  <c r="AI60" i="8"/>
  <c r="AJ60" i="8"/>
  <c r="AF60" i="8"/>
  <c r="T60" i="8"/>
  <c r="AC58" i="9" s="1"/>
  <c r="X60" i="8"/>
  <c r="AG58" i="9" s="1"/>
  <c r="S67" i="8"/>
  <c r="AJ73" i="8"/>
  <c r="AJ10" i="8"/>
  <c r="R67" i="8"/>
  <c r="AJ38" i="8"/>
  <c r="AJ39" i="8"/>
  <c r="Q67" i="8"/>
  <c r="R54" i="8"/>
  <c r="D117" i="8"/>
  <c r="Z54" i="8"/>
  <c r="W54" i="8"/>
  <c r="Q54" i="8"/>
  <c r="V54" i="8"/>
  <c r="U54" i="8"/>
  <c r="G67" i="8"/>
  <c r="AF132" i="8"/>
  <c r="AE52" i="9"/>
  <c r="AD52" i="9"/>
  <c r="AG132" i="8"/>
  <c r="AD132" i="8"/>
  <c r="AE132" i="8"/>
  <c r="AC132" i="8"/>
  <c r="T11" i="8"/>
  <c r="T73" i="8"/>
  <c r="T54" i="8"/>
  <c r="X54" i="8"/>
  <c r="M119" i="8" l="1"/>
  <c r="M121" i="8" s="1"/>
  <c r="M126" i="8" s="1"/>
  <c r="M128" i="8" s="1"/>
  <c r="U15" i="8"/>
  <c r="U20" i="8"/>
  <c r="U24" i="8" s="1"/>
  <c r="Q15" i="8"/>
  <c r="Q20" i="8"/>
  <c r="Q24" i="8" s="1"/>
  <c r="S15" i="8"/>
  <c r="S20" i="8"/>
  <c r="S24" i="8" s="1"/>
  <c r="V15" i="8"/>
  <c r="V20" i="8"/>
  <c r="V24" i="8" s="1"/>
  <c r="V28" i="8" s="1"/>
  <c r="V84" i="8" s="1"/>
  <c r="AA15" i="8"/>
  <c r="AA20" i="8"/>
  <c r="AA24" i="8" s="1"/>
  <c r="Z15" i="8"/>
  <c r="Z20" i="8"/>
  <c r="R15" i="8"/>
  <c r="R20" i="8"/>
  <c r="R24" i="8" s="1"/>
  <c r="T14" i="8"/>
  <c r="T12" i="10"/>
  <c r="AA74" i="8"/>
  <c r="AJ59" i="9"/>
  <c r="AJ8" i="9"/>
  <c r="AL8" i="9" s="1"/>
  <c r="AJ7" i="9"/>
  <c r="AL7" i="9" s="1"/>
  <c r="AA28" i="8"/>
  <c r="AA84" i="8" s="1"/>
  <c r="AG60" i="8"/>
  <c r="AL17" i="8"/>
  <c r="AJ42" i="9"/>
  <c r="AJ54" i="8"/>
  <c r="AJ67" i="8"/>
  <c r="AJ74" i="8" s="1"/>
  <c r="AL60" i="8"/>
  <c r="AJ11" i="8"/>
  <c r="AL10" i="8"/>
  <c r="X52" i="9"/>
  <c r="AG52" i="9"/>
  <c r="AE69" i="9"/>
  <c r="AE78" i="9" s="1"/>
  <c r="AD69" i="9"/>
  <c r="AD78" i="9" s="1"/>
  <c r="AA69" i="9"/>
  <c r="AA78" i="9" s="1"/>
  <c r="AJ33" i="9"/>
  <c r="AF33" i="9"/>
  <c r="AF69" i="9"/>
  <c r="AF78" i="9" s="1"/>
  <c r="R74" i="8"/>
  <c r="R76" i="8" s="1"/>
  <c r="AJ69" i="9"/>
  <c r="AJ78" i="9" s="1"/>
  <c r="AC68" i="9"/>
  <c r="AC69" i="9" s="1"/>
  <c r="AC78" i="9" s="1"/>
  <c r="AJ17" i="9"/>
  <c r="AA54" i="8"/>
  <c r="AJ58" i="9"/>
  <c r="AJ31" i="9"/>
  <c r="S74" i="8"/>
  <c r="S76" i="8" s="1"/>
  <c r="Q74" i="8"/>
  <c r="Q76" i="8" s="1"/>
  <c r="AJ38" i="9"/>
  <c r="AC52" i="9"/>
  <c r="V67" i="8"/>
  <c r="AE59" i="9" s="1"/>
  <c r="U67" i="8"/>
  <c r="AD59" i="9" s="1"/>
  <c r="T67" i="8"/>
  <c r="AC59" i="9" s="1"/>
  <c r="W67" i="8"/>
  <c r="AF59" i="9" s="1"/>
  <c r="AD32" i="9"/>
  <c r="AG32" i="9"/>
  <c r="AH31" i="9"/>
  <c r="AJ35" i="9"/>
  <c r="AE32" i="9"/>
  <c r="AI31" i="9"/>
  <c r="AF32" i="9"/>
  <c r="AG31" i="9"/>
  <c r="AC32" i="9"/>
  <c r="U21" i="8"/>
  <c r="N119" i="8" l="1"/>
  <c r="N121" i="8" s="1"/>
  <c r="N126" i="8" s="1"/>
  <c r="N128" i="8" s="1"/>
  <c r="V21" i="8"/>
  <c r="T15" i="8"/>
  <c r="T20" i="8"/>
  <c r="T24" i="8" s="1"/>
  <c r="T28" i="8" s="1"/>
  <c r="T84" i="8" s="1"/>
  <c r="AA21" i="8"/>
  <c r="AJ14" i="8"/>
  <c r="AJ20" i="8" s="1"/>
  <c r="AJ24" i="8" s="1"/>
  <c r="AJ25" i="8" s="1"/>
  <c r="AA35" i="8"/>
  <c r="AA32" i="8"/>
  <c r="V35" i="8"/>
  <c r="V32" i="8"/>
  <c r="AL17" i="9"/>
  <c r="U28" i="8"/>
  <c r="U84" i="8" s="1"/>
  <c r="R28" i="8"/>
  <c r="R84" i="8" s="1"/>
  <c r="S25" i="8"/>
  <c r="S21" i="8"/>
  <c r="R21" i="8"/>
  <c r="AA76" i="8"/>
  <c r="AA20" i="9"/>
  <c r="AA24" i="9" s="1"/>
  <c r="AA28" i="9" s="1"/>
  <c r="AA25" i="8"/>
  <c r="Q28" i="8"/>
  <c r="Q84" i="8" s="1"/>
  <c r="Q21" i="8"/>
  <c r="AJ76" i="8"/>
  <c r="AH33" i="9"/>
  <c r="AI33" i="9"/>
  <c r="AG33" i="9"/>
  <c r="AL33" i="9"/>
  <c r="AD33" i="9"/>
  <c r="AE33" i="9"/>
  <c r="AC33" i="9"/>
  <c r="AI32" i="9"/>
  <c r="AI132" i="8"/>
  <c r="U74" i="8"/>
  <c r="U76" i="8" s="1"/>
  <c r="AH32" i="9"/>
  <c r="V74" i="8"/>
  <c r="V76" i="8" s="1"/>
  <c r="AI35" i="9"/>
  <c r="V25" i="8"/>
  <c r="AI117" i="8"/>
  <c r="AJ117" i="8"/>
  <c r="AG117" i="8"/>
  <c r="AE117" i="8"/>
  <c r="AH117" i="8"/>
  <c r="W74" i="8"/>
  <c r="W76" i="8" s="1"/>
  <c r="T74" i="8"/>
  <c r="T76" i="8" s="1"/>
  <c r="AH35" i="9"/>
  <c r="AL87" i="8"/>
  <c r="AG35" i="9"/>
  <c r="AE31" i="9"/>
  <c r="AD31" i="9"/>
  <c r="AF31" i="9"/>
  <c r="AC31" i="9"/>
  <c r="AF35" i="9"/>
  <c r="AL35" i="9" s="1"/>
  <c r="AC35" i="9"/>
  <c r="AD35" i="9"/>
  <c r="AE35" i="9"/>
  <c r="U25" i="8"/>
  <c r="O119" i="8" l="1"/>
  <c r="O121" i="8" s="1"/>
  <c r="O126" i="8" s="1"/>
  <c r="O128" i="8" s="1"/>
  <c r="T21" i="8"/>
  <c r="AJ15" i="8"/>
  <c r="U32" i="8"/>
  <c r="U35" i="8"/>
  <c r="Q35" i="8"/>
  <c r="Q32" i="8"/>
  <c r="R32" i="8"/>
  <c r="R35" i="8"/>
  <c r="T35" i="8"/>
  <c r="T32" i="8"/>
  <c r="AA98" i="8"/>
  <c r="AA125" i="8" s="1"/>
  <c r="V98" i="8"/>
  <c r="V125" i="8" s="1"/>
  <c r="AG36" i="9"/>
  <c r="AH36" i="9"/>
  <c r="AI36" i="9"/>
  <c r="AC36" i="9"/>
  <c r="AL31" i="9"/>
  <c r="AF36" i="9"/>
  <c r="AD36" i="9"/>
  <c r="AE36" i="9"/>
  <c r="S28" i="8"/>
  <c r="S84" i="8" s="1"/>
  <c r="R25" i="8"/>
  <c r="AA29" i="8"/>
  <c r="AA15" i="9"/>
  <c r="AA21" i="9"/>
  <c r="Q25" i="8"/>
  <c r="AL31" i="8"/>
  <c r="AL108" i="8"/>
  <c r="AJ32" i="9"/>
  <c r="AL32" i="9" s="1"/>
  <c r="AJ132" i="8"/>
  <c r="AJ27" i="9"/>
  <c r="AL27" i="9" s="1"/>
  <c r="AJ23" i="9"/>
  <c r="AJ39" i="9"/>
  <c r="AA25" i="9"/>
  <c r="R29" i="8"/>
  <c r="T25" i="8"/>
  <c r="AC117" i="8"/>
  <c r="AF117" i="8"/>
  <c r="AL117" i="8" s="1"/>
  <c r="AD117" i="8"/>
  <c r="V29" i="8"/>
  <c r="U29" i="8"/>
  <c r="P119" i="8" l="1"/>
  <c r="P121" i="8" s="1"/>
  <c r="S35" i="8"/>
  <c r="S32" i="8"/>
  <c r="Q98" i="8"/>
  <c r="Q125" i="8" s="1"/>
  <c r="U98" i="8"/>
  <c r="U125" i="8" s="1"/>
  <c r="R98" i="8"/>
  <c r="R125" i="8" s="1"/>
  <c r="S29" i="8"/>
  <c r="AJ21" i="8"/>
  <c r="AJ28" i="8"/>
  <c r="AL23" i="9"/>
  <c r="AJ6" i="9"/>
  <c r="AJ9" i="9" s="1"/>
  <c r="AJ14" i="9" s="1"/>
  <c r="AJ20" i="9" s="1"/>
  <c r="AJ24" i="9" s="1"/>
  <c r="AJ28" i="9" s="1"/>
  <c r="AJ36" i="9" s="1"/>
  <c r="Q29" i="8"/>
  <c r="AE15" i="9"/>
  <c r="AA29" i="9"/>
  <c r="AA36" i="9"/>
  <c r="AA44" i="9" s="1"/>
  <c r="T29" i="8"/>
  <c r="AJ84" i="8" l="1"/>
  <c r="AJ29" i="8"/>
  <c r="AJ35" i="8"/>
  <c r="AJ32" i="8"/>
  <c r="S98" i="8"/>
  <c r="S125" i="8" s="1"/>
  <c r="AD15" i="9"/>
  <c r="AF21" i="9"/>
  <c r="AF15" i="9"/>
  <c r="AC15" i="9"/>
  <c r="AE21" i="9"/>
  <c r="AC21" i="9"/>
  <c r="AH10" i="9"/>
  <c r="AL6" i="9"/>
  <c r="AA45" i="9"/>
  <c r="AC25" i="9"/>
  <c r="T98" i="8"/>
  <c r="T125" i="8" s="1"/>
  <c r="AD76" i="9" l="1" a="1"/>
  <c r="AD76" i="9" s="1"/>
  <c r="AE75" i="9"/>
  <c r="AD21" i="9"/>
  <c r="AG10" i="9"/>
  <c r="AH15" i="9"/>
  <c r="AG15" i="9"/>
  <c r="AL9" i="9"/>
  <c r="AJ10" i="9"/>
  <c r="AL10" i="9" s="1"/>
  <c r="AD25" i="9"/>
  <c r="AE25" i="9"/>
  <c r="AH21" i="9"/>
  <c r="AC77" i="9" a="1"/>
  <c r="AC77" i="9" s="1"/>
  <c r="AC75" i="9"/>
  <c r="AC76" i="9" a="1"/>
  <c r="AC76" i="9" s="1"/>
  <c r="AC74" i="9"/>
  <c r="AC29" i="9"/>
  <c r="AC73" i="9"/>
  <c r="B81" i="8"/>
  <c r="B80" i="8"/>
  <c r="G81" i="8"/>
  <c r="F81" i="8"/>
  <c r="E81" i="8"/>
  <c r="D81" i="8"/>
  <c r="G80" i="8"/>
  <c r="F80" i="8"/>
  <c r="E80" i="8"/>
  <c r="D80" i="8"/>
  <c r="B39" i="8"/>
  <c r="B38" i="8"/>
  <c r="AI39" i="8"/>
  <c r="AH39" i="8"/>
  <c r="AG39" i="8"/>
  <c r="AE39" i="8"/>
  <c r="AD39" i="8"/>
  <c r="AC39" i="8"/>
  <c r="AF39" i="8"/>
  <c r="AI38" i="8"/>
  <c r="AH38" i="8"/>
  <c r="AG38" i="8"/>
  <c r="AF38" i="8"/>
  <c r="AE38" i="8"/>
  <c r="AD38" i="8"/>
  <c r="AC38" i="8"/>
  <c r="AE77" i="9" l="1" a="1"/>
  <c r="AE77" i="9" s="1"/>
  <c r="AD74" i="9"/>
  <c r="AE29" i="9"/>
  <c r="AE73" i="9"/>
  <c r="AE76" i="9" a="1"/>
  <c r="AE76" i="9" s="1"/>
  <c r="AD77" i="9" a="1"/>
  <c r="AD77" i="9" s="1"/>
  <c r="AE74" i="9"/>
  <c r="AD75" i="9"/>
  <c r="AD29" i="9"/>
  <c r="AD73" i="9"/>
  <c r="AF73" i="9"/>
  <c r="AF25" i="9"/>
  <c r="AJ15" i="9"/>
  <c r="AL15" i="9" s="1"/>
  <c r="AL14" i="9"/>
  <c r="AG21" i="9"/>
  <c r="AH25" i="9"/>
  <c r="AC80" i="8"/>
  <c r="AC81" i="8"/>
  <c r="AF80" i="8"/>
  <c r="AG80" i="8"/>
  <c r="AG81" i="8"/>
  <c r="AH81" i="8"/>
  <c r="AE80" i="8"/>
  <c r="AH80" i="8"/>
  <c r="AE81" i="8"/>
  <c r="AD81" i="8"/>
  <c r="AI80" i="8"/>
  <c r="AF81" i="8"/>
  <c r="AD80" i="8"/>
  <c r="AI81" i="8"/>
  <c r="AF77" i="9" l="1" a="1"/>
  <c r="AF77" i="9" s="1"/>
  <c r="AF76" i="9" a="1"/>
  <c r="AF76" i="9" s="1"/>
  <c r="AF29" i="9"/>
  <c r="AF74" i="9"/>
  <c r="AF75" i="9"/>
  <c r="AG25" i="9"/>
  <c r="AJ21" i="9"/>
  <c r="AL21" i="9" s="1"/>
  <c r="AL20" i="9"/>
  <c r="AH75" i="9"/>
  <c r="AH29" i="9"/>
  <c r="AH77" i="9" a="1"/>
  <c r="AH77" i="9" s="1"/>
  <c r="AH76" i="9" a="1"/>
  <c r="AH76" i="9" s="1"/>
  <c r="AH73" i="9"/>
  <c r="AH74" i="9"/>
  <c r="AL24" i="9" l="1"/>
  <c r="AJ25" i="9"/>
  <c r="AL25" i="9" s="1"/>
  <c r="AG75" i="9"/>
  <c r="AG74" i="9"/>
  <c r="AG76" i="9" a="1"/>
  <c r="AG76" i="9" s="1"/>
  <c r="AG29" i="9"/>
  <c r="AG77" i="9" a="1"/>
  <c r="AG77" i="9" s="1"/>
  <c r="AG73" i="9"/>
  <c r="AJ75" i="9" l="1"/>
  <c r="AL28" i="9"/>
  <c r="AJ76" i="9" a="1"/>
  <c r="AJ76" i="9" s="1"/>
  <c r="AJ29" i="9"/>
  <c r="AL29" i="9" s="1"/>
  <c r="AJ74" i="9"/>
  <c r="AJ73" i="9"/>
  <c r="AJ77" i="9" a="1"/>
  <c r="AJ77" i="9" s="1"/>
  <c r="AL36" i="9"/>
  <c r="X73" i="8" l="1"/>
  <c r="Z73" i="8"/>
  <c r="AI68" i="9" l="1"/>
  <c r="AG68" i="9"/>
  <c r="AG69" i="9" s="1"/>
  <c r="AG78" i="9" s="1"/>
  <c r="Y54" i="8"/>
  <c r="Y73" i="8"/>
  <c r="AA10" i="9" l="1"/>
  <c r="AA11" i="9"/>
  <c r="AH68" i="9"/>
  <c r="AH69" i="9" s="1"/>
  <c r="AH78" i="9" s="1"/>
  <c r="AI69" i="9"/>
  <c r="AI78" i="9" s="1"/>
  <c r="AD11" i="8" l="1"/>
  <c r="F54" i="8"/>
  <c r="E54" i="8"/>
  <c r="D54" i="8"/>
  <c r="G54" i="8"/>
  <c r="AD14" i="8" l="1"/>
  <c r="AE11" i="8"/>
  <c r="AE46" i="8"/>
  <c r="AE54" i="8" s="1"/>
  <c r="AE73" i="8"/>
  <c r="AC46" i="8"/>
  <c r="AC54" i="8" s="1"/>
  <c r="AE60" i="8"/>
  <c r="AE67" i="8" s="1"/>
  <c r="AD60" i="8"/>
  <c r="AD67" i="8" s="1"/>
  <c r="AD46" i="8"/>
  <c r="AD54" i="8" s="1"/>
  <c r="AC73" i="8"/>
  <c r="AC11" i="8"/>
  <c r="AC60" i="8"/>
  <c r="AC67" i="8" s="1"/>
  <c r="AD73" i="8"/>
  <c r="AG73" i="8"/>
  <c r="AG54" i="8"/>
  <c r="AH73" i="8"/>
  <c r="AG11" i="8"/>
  <c r="AG67" i="8"/>
  <c r="AH67" i="8"/>
  <c r="AF11" i="8"/>
  <c r="AH11" i="8"/>
  <c r="AH54" i="8"/>
  <c r="AD15" i="8" l="1"/>
  <c r="AD20" i="8"/>
  <c r="AD24" i="8" s="1"/>
  <c r="AD25" i="8" s="1"/>
  <c r="AG14" i="8"/>
  <c r="AH14" i="8"/>
  <c r="AF14" i="8"/>
  <c r="AF20" i="8" s="1"/>
  <c r="AF24" i="8" s="1"/>
  <c r="AF25" i="8" s="1"/>
  <c r="AC14" i="8"/>
  <c r="AE14" i="8"/>
  <c r="AL11" i="8"/>
  <c r="AE74" i="8"/>
  <c r="AE76" i="8" s="1"/>
  <c r="AC74" i="8"/>
  <c r="AC76" i="8" s="1"/>
  <c r="AD74" i="8"/>
  <c r="AD76" i="8" s="1"/>
  <c r="AG74" i="8"/>
  <c r="AG76" i="8" s="1"/>
  <c r="AH74" i="8"/>
  <c r="AH76" i="8" s="1"/>
  <c r="AE15" i="8" l="1"/>
  <c r="AE20" i="8"/>
  <c r="AE24" i="8" s="1"/>
  <c r="AE25" i="8" s="1"/>
  <c r="AH15" i="8"/>
  <c r="AH20" i="8"/>
  <c r="AH24" i="8" s="1"/>
  <c r="AH25" i="8" s="1"/>
  <c r="AG15" i="8"/>
  <c r="AG20" i="8"/>
  <c r="AG24" i="8" s="1"/>
  <c r="AG25" i="8" s="1"/>
  <c r="AC15" i="8"/>
  <c r="AC20" i="8"/>
  <c r="AC24" i="8" s="1"/>
  <c r="AC25" i="8" s="1"/>
  <c r="AF15" i="8"/>
  <c r="AL15" i="8" s="1"/>
  <c r="AL14" i="8"/>
  <c r="AD21" i="8"/>
  <c r="AI15" i="9"/>
  <c r="AC21" i="8" l="1"/>
  <c r="AD28" i="8"/>
  <c r="AH21" i="8"/>
  <c r="AG28" i="8"/>
  <c r="AF28" i="8"/>
  <c r="AL20" i="8"/>
  <c r="AG21" i="8"/>
  <c r="AF21" i="8"/>
  <c r="AL21" i="8" s="1"/>
  <c r="AE21" i="8"/>
  <c r="AH28" i="8"/>
  <c r="AI75" i="9"/>
  <c r="AI21" i="9"/>
  <c r="AF84" i="8" l="1"/>
  <c r="AF29" i="8"/>
  <c r="AG84" i="8"/>
  <c r="AG29" i="8"/>
  <c r="AH84" i="8"/>
  <c r="AH29" i="8"/>
  <c r="AD84" i="8"/>
  <c r="AD29" i="8"/>
  <c r="AF32" i="8"/>
  <c r="AF35" i="8"/>
  <c r="AH35" i="8"/>
  <c r="AH32" i="8"/>
  <c r="AG32" i="8"/>
  <c r="AG35" i="8"/>
  <c r="AD35" i="8"/>
  <c r="AD32" i="8"/>
  <c r="AC28" i="8"/>
  <c r="AE28" i="8"/>
  <c r="AL25" i="8"/>
  <c r="AL24" i="8"/>
  <c r="AI25" i="9"/>
  <c r="AE84" i="8" l="1"/>
  <c r="AE29" i="8"/>
  <c r="AC84" i="8"/>
  <c r="AC29" i="8"/>
  <c r="AE32" i="8"/>
  <c r="AE35" i="8"/>
  <c r="AC32" i="8"/>
  <c r="AC35" i="8"/>
  <c r="AL35" i="8"/>
  <c r="AL32" i="8"/>
  <c r="AL28" i="8"/>
  <c r="AL29" i="8"/>
  <c r="AI77" i="9" a="1"/>
  <c r="AI77" i="9" s="1"/>
  <c r="AI29" i="9"/>
  <c r="AI76" i="9" a="1"/>
  <c r="AI76" i="9" s="1"/>
  <c r="AI73" i="9"/>
  <c r="AI74" i="9"/>
  <c r="AF67" i="8" l="1"/>
  <c r="AL67" i="8" s="1"/>
  <c r="W11" i="8" l="1"/>
  <c r="G11" i="8"/>
  <c r="F11" i="8"/>
  <c r="E11" i="8"/>
  <c r="D11" i="8"/>
  <c r="G73" i="8"/>
  <c r="F73" i="8"/>
  <c r="E73" i="8"/>
  <c r="D73" i="8"/>
  <c r="Z67" i="8"/>
  <c r="AI59" i="9" s="1"/>
  <c r="X67" i="8"/>
  <c r="AG59" i="9" s="1"/>
  <c r="AI11" i="8"/>
  <c r="Y69" i="9"/>
  <c r="Q69" i="9"/>
  <c r="F14" i="8" l="1"/>
  <c r="D14" i="8"/>
  <c r="E14" i="8"/>
  <c r="G14" i="8"/>
  <c r="AI14" i="8"/>
  <c r="W14" i="8"/>
  <c r="D12" i="10"/>
  <c r="E12" i="10"/>
  <c r="F12" i="10"/>
  <c r="G12" i="10"/>
  <c r="W12" i="10"/>
  <c r="D67" i="8"/>
  <c r="F67" i="8"/>
  <c r="E67" i="8"/>
  <c r="R69" i="9"/>
  <c r="Z69" i="9"/>
  <c r="E69" i="9"/>
  <c r="E78" i="9" s="1"/>
  <c r="S69" i="9"/>
  <c r="G69" i="9"/>
  <c r="G78" i="9" s="1"/>
  <c r="S20" i="9"/>
  <c r="S24" i="9" s="1"/>
  <c r="S28" i="9" s="1"/>
  <c r="Y10" i="9"/>
  <c r="F69" i="9"/>
  <c r="F78" i="9" s="1"/>
  <c r="Y11" i="9"/>
  <c r="AF73" i="8"/>
  <c r="Z24" i="8"/>
  <c r="Y67" i="8"/>
  <c r="AH59" i="9" s="1"/>
  <c r="AI67" i="8"/>
  <c r="AI73" i="8"/>
  <c r="G20" i="9"/>
  <c r="G24" i="9" s="1"/>
  <c r="G28" i="9" s="1"/>
  <c r="G10" i="9"/>
  <c r="E20" i="9"/>
  <c r="E24" i="9" s="1"/>
  <c r="E28" i="9" s="1"/>
  <c r="F20" i="9"/>
  <c r="F24" i="9" s="1"/>
  <c r="F28" i="9" s="1"/>
  <c r="F10" i="9"/>
  <c r="U69" i="9"/>
  <c r="V69" i="9"/>
  <c r="W69" i="9"/>
  <c r="W15" i="8" l="1"/>
  <c r="W20" i="8"/>
  <c r="W24" i="8" s="1"/>
  <c r="D15" i="8"/>
  <c r="D20" i="8"/>
  <c r="D24" i="8" s="1"/>
  <c r="D28" i="8" s="1"/>
  <c r="D84" i="8" s="1"/>
  <c r="G15" i="8"/>
  <c r="G20" i="8"/>
  <c r="G24" i="8" s="1"/>
  <c r="G28" i="8" s="1"/>
  <c r="G84" i="8" s="1"/>
  <c r="F15" i="8"/>
  <c r="F20" i="8"/>
  <c r="F24" i="8" s="1"/>
  <c r="E15" i="8"/>
  <c r="E20" i="8"/>
  <c r="E24" i="8" s="1"/>
  <c r="E28" i="8" s="1"/>
  <c r="E84" i="8" s="1"/>
  <c r="AI15" i="8"/>
  <c r="AI20" i="8"/>
  <c r="AI24" i="8" s="1"/>
  <c r="AI25" i="8" s="1"/>
  <c r="AF74" i="8"/>
  <c r="AL74" i="8" s="1"/>
  <c r="AL73" i="8"/>
  <c r="E74" i="8"/>
  <c r="E76" i="8" s="1"/>
  <c r="Z28" i="8"/>
  <c r="Z84" i="8" s="1"/>
  <c r="D74" i="8"/>
  <c r="D76" i="8" s="1"/>
  <c r="X69" i="9"/>
  <c r="X74" i="8"/>
  <c r="X76" i="8" s="1"/>
  <c r="AL46" i="8"/>
  <c r="Z74" i="8"/>
  <c r="Z76" i="8" s="1"/>
  <c r="F74" i="8"/>
  <c r="F76" i="8" s="1"/>
  <c r="G74" i="8"/>
  <c r="G76" i="8" s="1"/>
  <c r="T69" i="9"/>
  <c r="X10" i="9"/>
  <c r="U10" i="9"/>
  <c r="V11" i="9"/>
  <c r="X20" i="9"/>
  <c r="X24" i="9" s="1"/>
  <c r="X28" i="9" s="1"/>
  <c r="U11" i="9"/>
  <c r="V20" i="9"/>
  <c r="V24" i="9" s="1"/>
  <c r="V28" i="9" s="1"/>
  <c r="T20" i="9"/>
  <c r="T24" i="9" s="1"/>
  <c r="T28" i="9" s="1"/>
  <c r="V10" i="9"/>
  <c r="AI54" i="8"/>
  <c r="S15" i="9"/>
  <c r="F15" i="9"/>
  <c r="W10" i="9"/>
  <c r="W20" i="9"/>
  <c r="W24" i="9" s="1"/>
  <c r="W28" i="9" s="1"/>
  <c r="W11" i="9"/>
  <c r="Y20" i="9"/>
  <c r="Y24" i="9" s="1"/>
  <c r="Y28" i="9" s="1"/>
  <c r="AI10" i="9"/>
  <c r="R20" i="9"/>
  <c r="R24" i="9" s="1"/>
  <c r="R28" i="9" s="1"/>
  <c r="X11" i="9"/>
  <c r="Z10" i="9"/>
  <c r="Z20" i="9"/>
  <c r="Z24" i="9" s="1"/>
  <c r="Z28" i="9" s="1"/>
  <c r="Z11" i="9"/>
  <c r="Q20" i="9"/>
  <c r="Q24" i="9" s="1"/>
  <c r="Q28" i="9" s="1"/>
  <c r="G15" i="9"/>
  <c r="U20" i="9"/>
  <c r="U24" i="9" s="1"/>
  <c r="U28" i="9" s="1"/>
  <c r="E15" i="9"/>
  <c r="W21" i="8" l="1"/>
  <c r="F21" i="8"/>
  <c r="E35" i="8"/>
  <c r="E32" i="8"/>
  <c r="D32" i="8"/>
  <c r="D35" i="8"/>
  <c r="G32" i="8"/>
  <c r="G35" i="8"/>
  <c r="Z32" i="8"/>
  <c r="Z35" i="8"/>
  <c r="AA73" i="9"/>
  <c r="V15" i="9"/>
  <c r="V21" i="9"/>
  <c r="Z21" i="8"/>
  <c r="G21" i="8"/>
  <c r="D21" i="8"/>
  <c r="F28" i="8"/>
  <c r="F84" i="8" s="1"/>
  <c r="W28" i="8"/>
  <c r="W84" i="8" s="1"/>
  <c r="E21" i="8"/>
  <c r="AF54" i="8"/>
  <c r="AI28" i="8"/>
  <c r="E25" i="8"/>
  <c r="Z25" i="8"/>
  <c r="AI21" i="8"/>
  <c r="G25" i="8"/>
  <c r="AI74" i="8"/>
  <c r="Y74" i="8"/>
  <c r="Y76" i="8" s="1"/>
  <c r="X15" i="9"/>
  <c r="T15" i="9"/>
  <c r="G29" i="8"/>
  <c r="D25" i="8"/>
  <c r="E75" i="9"/>
  <c r="E21" i="9"/>
  <c r="U15" i="9"/>
  <c r="F75" i="9"/>
  <c r="F21" i="9"/>
  <c r="S21" i="9"/>
  <c r="Z15" i="9"/>
  <c r="W15" i="9"/>
  <c r="X21" i="9"/>
  <c r="T21" i="9"/>
  <c r="G21" i="9"/>
  <c r="G75" i="9"/>
  <c r="Y15" i="9"/>
  <c r="Q15" i="9"/>
  <c r="R15" i="9"/>
  <c r="AI84" i="8" l="1"/>
  <c r="AI29" i="8"/>
  <c r="W32" i="8"/>
  <c r="W35" i="8"/>
  <c r="F32" i="8"/>
  <c r="F35" i="8"/>
  <c r="AI35" i="8"/>
  <c r="AI32" i="8"/>
  <c r="Z98" i="8"/>
  <c r="Z125" i="8" s="1"/>
  <c r="G98" i="8"/>
  <c r="G125" i="8" s="1"/>
  <c r="E98" i="8"/>
  <c r="P108" i="8" s="1"/>
  <c r="P125" i="8" s="1"/>
  <c r="P126" i="8" s="1"/>
  <c r="P128" i="8" s="1"/>
  <c r="D98" i="8"/>
  <c r="AF76" i="8"/>
  <c r="AL54" i="8"/>
  <c r="F25" i="8"/>
  <c r="F29" i="8"/>
  <c r="W25" i="8"/>
  <c r="E29" i="8"/>
  <c r="Z29" i="8"/>
  <c r="D29" i="8"/>
  <c r="AI76" i="8"/>
  <c r="G25" i="9"/>
  <c r="R21" i="9"/>
  <c r="X25" i="9"/>
  <c r="F25" i="9"/>
  <c r="S25" i="9"/>
  <c r="W21" i="9"/>
  <c r="E25" i="9"/>
  <c r="Y21" i="9"/>
  <c r="U21" i="9"/>
  <c r="Q21" i="9"/>
  <c r="T25" i="9"/>
  <c r="Z21" i="9"/>
  <c r="Q119" i="8" l="1"/>
  <c r="F98" i="8"/>
  <c r="F125" i="8" s="1"/>
  <c r="W98" i="8"/>
  <c r="W125" i="8" s="1"/>
  <c r="W29" i="8"/>
  <c r="AA77" i="9" a="1"/>
  <c r="AA77" i="9" s="1"/>
  <c r="AA74" i="9"/>
  <c r="AA75" i="9" a="1"/>
  <c r="AA75" i="9" s="1"/>
  <c r="AA76" i="9" a="1"/>
  <c r="AA76" i="9" s="1"/>
  <c r="E125" i="8"/>
  <c r="D125" i="8"/>
  <c r="AE98" i="8"/>
  <c r="V25" i="9"/>
  <c r="Q25" i="9"/>
  <c r="U25" i="9"/>
  <c r="R25" i="9"/>
  <c r="F77" i="9" a="1"/>
  <c r="F77" i="9" s="1"/>
  <c r="F76" i="9" a="1"/>
  <c r="F76" i="9" s="1"/>
  <c r="F29" i="9"/>
  <c r="F36" i="9"/>
  <c r="F44" i="9" s="1"/>
  <c r="F73" i="9"/>
  <c r="F74" i="9"/>
  <c r="G76" i="9" a="1"/>
  <c r="G76" i="9" s="1"/>
  <c r="G77" i="9" a="1"/>
  <c r="G77" i="9" s="1"/>
  <c r="G29" i="9"/>
  <c r="G74" i="9"/>
  <c r="G36" i="9"/>
  <c r="G44" i="9" s="1"/>
  <c r="G73" i="9"/>
  <c r="V29" i="9"/>
  <c r="V36" i="9"/>
  <c r="V44" i="9" s="1"/>
  <c r="Z25" i="9"/>
  <c r="Y25" i="9"/>
  <c r="T36" i="9"/>
  <c r="T44" i="9" s="1"/>
  <c r="T29" i="9"/>
  <c r="S36" i="9"/>
  <c r="S44" i="9" s="1"/>
  <c r="S29" i="9"/>
  <c r="W25" i="9"/>
  <c r="E77" i="9" a="1"/>
  <c r="E77" i="9" s="1"/>
  <c r="E36" i="9"/>
  <c r="E44" i="9" s="1"/>
  <c r="E29" i="9"/>
  <c r="E76" i="9" a="1"/>
  <c r="E76" i="9" s="1"/>
  <c r="E74" i="9"/>
  <c r="E73" i="9"/>
  <c r="X29" i="9"/>
  <c r="X36" i="9"/>
  <c r="X44" i="9" s="1"/>
  <c r="AF98" i="8" l="1"/>
  <c r="AC98" i="8"/>
  <c r="AD98" i="8"/>
  <c r="U36" i="9"/>
  <c r="U44" i="9" s="1"/>
  <c r="AE44" i="9" s="1"/>
  <c r="AE45" i="9" s="1"/>
  <c r="U29" i="9"/>
  <c r="G45" i="9"/>
  <c r="F45" i="9"/>
  <c r="Y36" i="9"/>
  <c r="Y44" i="9" s="1"/>
  <c r="Y29" i="9"/>
  <c r="R36" i="9"/>
  <c r="R44" i="9" s="1"/>
  <c r="R29" i="9"/>
  <c r="E45" i="9"/>
  <c r="W29" i="9"/>
  <c r="W36" i="9"/>
  <c r="W44" i="9" s="1"/>
  <c r="X45" i="9"/>
  <c r="Q36" i="9"/>
  <c r="Q44" i="9" s="1"/>
  <c r="Q29" i="9"/>
  <c r="Z29" i="9"/>
  <c r="Z36" i="9"/>
  <c r="Z44" i="9" s="1"/>
  <c r="AI44" i="9" l="1"/>
  <c r="AI45" i="9" s="1"/>
  <c r="AD44" i="9"/>
  <c r="AD45" i="9" s="1"/>
  <c r="AC44" i="9"/>
  <c r="AC45" i="9" s="1"/>
  <c r="AG44" i="9"/>
  <c r="AG45" i="9" s="1"/>
  <c r="AH44" i="9"/>
  <c r="AH45" i="9" s="1"/>
  <c r="AF44" i="9"/>
  <c r="AF45" i="9" s="1"/>
  <c r="AJ44" i="9"/>
  <c r="AJ45" i="9" s="1"/>
  <c r="Y45" i="9"/>
  <c r="Z45" i="9"/>
  <c r="W45" i="9"/>
  <c r="V45" i="9"/>
  <c r="Q45" i="9"/>
  <c r="S45" i="9"/>
  <c r="T45" i="9"/>
  <c r="R45" i="9" l="1"/>
  <c r="U45" i="9"/>
  <c r="D121" i="8" l="1"/>
  <c r="D126" i="8" s="1"/>
  <c r="D128" i="8" s="1"/>
  <c r="E119" i="8" l="1"/>
  <c r="E121" i="8" s="1"/>
  <c r="E126" i="8" s="1"/>
  <c r="E128" i="8" s="1"/>
  <c r="F119" i="8" l="1"/>
  <c r="F121" i="8" l="1"/>
  <c r="F126" i="8" l="1"/>
  <c r="F128" i="8" s="1"/>
  <c r="G119" i="8" l="1"/>
  <c r="G121" i="8" s="1"/>
  <c r="G126" i="8" s="1"/>
  <c r="G128" i="8" s="1"/>
  <c r="Q121" i="8"/>
  <c r="Q126" i="8" s="1"/>
  <c r="Q128" i="8" s="1"/>
  <c r="R119" i="8" l="1"/>
  <c r="R121" i="8" s="1"/>
  <c r="R126" i="8" s="1"/>
  <c r="R128" i="8" s="1"/>
  <c r="S119" i="8" l="1"/>
  <c r="S121" i="8" s="1"/>
  <c r="S126" i="8" s="1"/>
  <c r="S128" i="8" s="1"/>
  <c r="T119" i="8" l="1"/>
  <c r="T121" i="8" s="1"/>
  <c r="T126" i="8" s="1"/>
  <c r="T128" i="8" s="1"/>
  <c r="U119" i="8" l="1"/>
  <c r="U121" i="8" s="1"/>
  <c r="U126" i="8" s="1"/>
  <c r="U128" i="8" s="1"/>
  <c r="V119" i="8" l="1"/>
  <c r="V121" i="8" s="1"/>
  <c r="V126" i="8" s="1"/>
  <c r="V128" i="8" s="1"/>
  <c r="W119" i="8" l="1"/>
  <c r="W121" i="8" s="1"/>
  <c r="W126" i="8" s="1"/>
  <c r="W128" i="8" s="1"/>
  <c r="X119" i="8" l="1"/>
  <c r="X121" i="8" s="1"/>
  <c r="Y11" i="8" l="1"/>
  <c r="Y14" i="8" l="1"/>
  <c r="Y12" i="10"/>
  <c r="Y15" i="8" l="1"/>
  <c r="Y20" i="8"/>
  <c r="Y24" i="8" s="1"/>
  <c r="Y28" i="8" s="1"/>
  <c r="Y84" i="8" s="1"/>
  <c r="Y32" i="8" l="1"/>
  <c r="Y35" i="8"/>
  <c r="Y21" i="8"/>
  <c r="Y25" i="8"/>
  <c r="Y29" i="8" l="1"/>
  <c r="Y98" i="8" l="1"/>
  <c r="Y125" i="8" s="1"/>
  <c r="X11" i="8"/>
  <c r="X14" i="8" l="1"/>
  <c r="X12" i="10"/>
  <c r="X15" i="8" l="1"/>
  <c r="X20" i="8"/>
  <c r="X24" i="8" s="1"/>
  <c r="X28" i="8" s="1"/>
  <c r="X84" i="8" s="1"/>
  <c r="X32" i="8" l="1"/>
  <c r="X35" i="8"/>
  <c r="X21" i="8"/>
  <c r="X25" i="8"/>
  <c r="X29" i="8" l="1"/>
  <c r="AJ98" i="8" l="1"/>
  <c r="AL98" i="8" s="1"/>
  <c r="AL84" i="8"/>
  <c r="AG98" i="8"/>
  <c r="AH98" i="8"/>
  <c r="X98" i="8"/>
  <c r="X125" i="8" s="1"/>
  <c r="X126" i="8" l="1"/>
  <c r="X128" i="8" s="1"/>
  <c r="AI98" i="8"/>
  <c r="Y119" i="8" l="1"/>
  <c r="Y121" i="8" s="1"/>
  <c r="Y126" i="8" s="1"/>
  <c r="Y128" i="8" s="1"/>
  <c r="Z119" i="8" l="1"/>
  <c r="Z121" i="8" s="1"/>
  <c r="Z126" i="8" s="1"/>
  <c r="Z128" i="8" s="1"/>
  <c r="AC128" i="8" l="1"/>
  <c r="AD119" i="8"/>
  <c r="AD121" i="8" s="1"/>
  <c r="AD126" i="8" s="1"/>
  <c r="AA119" i="8"/>
  <c r="AA121" i="8" s="1"/>
  <c r="AA126" i="8" s="1"/>
  <c r="AA128" i="8" s="1"/>
  <c r="AD128" i="8" l="1"/>
  <c r="AE119" i="8"/>
  <c r="AE121" i="8" s="1"/>
  <c r="AE126" i="8" s="1"/>
  <c r="AE128" i="8" l="1"/>
  <c r="AF119" i="8"/>
  <c r="AF121" i="8" s="1"/>
  <c r="AF126" i="8" s="1"/>
  <c r="AF128" i="8" l="1"/>
  <c r="AG119" i="8"/>
  <c r="AG121" i="8" s="1"/>
  <c r="AG126" i="8" s="1"/>
  <c r="AG128" i="8" l="1"/>
  <c r="AH119" i="8"/>
  <c r="AH121" i="8" s="1"/>
  <c r="AH126" i="8" s="1"/>
  <c r="AI119" i="8" l="1"/>
  <c r="AI121" i="8" s="1"/>
  <c r="AI126" i="8" s="1"/>
  <c r="AH128" i="8"/>
  <c r="AI128" i="8" l="1"/>
  <c r="AJ119" i="8"/>
  <c r="AJ121" i="8" s="1"/>
  <c r="AJ126" i="8" s="1"/>
  <c r="AJ128" i="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<sst xmlns="http://schemas.openxmlformats.org/spreadsheetml/2006/main" count="263" uniqueCount="184">
  <si>
    <t>FYE</t>
  </si>
  <si>
    <t>Quarterly</t>
  </si>
  <si>
    <t>1Q24</t>
  </si>
  <si>
    <t>2Q24</t>
  </si>
  <si>
    <t>3Q24</t>
  </si>
  <si>
    <t>4Q24</t>
  </si>
  <si>
    <t>1Q23</t>
  </si>
  <si>
    <t>2Q23</t>
  </si>
  <si>
    <t>3Q23</t>
  </si>
  <si>
    <t>4Q23</t>
  </si>
  <si>
    <t>LTM</t>
  </si>
  <si>
    <t>EBITDA</t>
  </si>
  <si>
    <t>Total Revenue</t>
  </si>
  <si>
    <t>Cash-Flows Statement</t>
  </si>
  <si>
    <t>Total stockholders' equity</t>
  </si>
  <si>
    <t>Total Liabilities</t>
  </si>
  <si>
    <t>X</t>
  </si>
  <si>
    <t>Total Current Liabilities</t>
  </si>
  <si>
    <t>Total Current Assets</t>
  </si>
  <si>
    <t>Total Assets</t>
  </si>
  <si>
    <t>Gross Profit</t>
  </si>
  <si>
    <t>Total Debt</t>
  </si>
  <si>
    <t>Variance</t>
  </si>
  <si>
    <t>FCF Analysis</t>
  </si>
  <si>
    <t>1Q25</t>
  </si>
  <si>
    <t>2Q25</t>
  </si>
  <si>
    <t>Y/Y Growth (%)</t>
  </si>
  <si>
    <t>Q/Q Growth (%)</t>
  </si>
  <si>
    <t>N/A</t>
  </si>
  <si>
    <t>Gross Margin (%)</t>
  </si>
  <si>
    <t>Earning before Interest &amp; Taxes (EBIT)</t>
  </si>
  <si>
    <t>Operating Margin (%)</t>
  </si>
  <si>
    <t>EBITDA Margin (%)</t>
  </si>
  <si>
    <t>Adj. EBITDA</t>
  </si>
  <si>
    <t>Adj. EBITDA Margin (%)</t>
  </si>
  <si>
    <t>(-) Capital Expenditures</t>
  </si>
  <si>
    <t>(-) Cash Taxes</t>
  </si>
  <si>
    <t>(+/-) Changes in NWC</t>
  </si>
  <si>
    <t>Discretionary Cash-Flows</t>
  </si>
  <si>
    <t>Free-Cash Flows</t>
  </si>
  <si>
    <t>Capitalization</t>
  </si>
  <si>
    <t>Cash &amp; Cash Equivelants</t>
  </si>
  <si>
    <t>Total Liquidity</t>
  </si>
  <si>
    <t>Balance Sheet Metrics:</t>
  </si>
  <si>
    <t>Accounts Payable</t>
  </si>
  <si>
    <t>Current Liabilities</t>
  </si>
  <si>
    <t>Total Shareholder Equity</t>
  </si>
  <si>
    <t>Total Book Capitalization</t>
  </si>
  <si>
    <t>Debt-to-Book Capitalization</t>
  </si>
  <si>
    <t>Total liabilities and stockholders' equity</t>
  </si>
  <si>
    <t>Cash-Flows From Operating Activities</t>
  </si>
  <si>
    <t>Net cash used in operating activities</t>
  </si>
  <si>
    <t>Cash flows from investing activities:</t>
  </si>
  <si>
    <t>Net cash used in investing activities</t>
  </si>
  <si>
    <t>Cash flows from financing activities:</t>
  </si>
  <si>
    <t>Net cash provided by financing activities</t>
  </si>
  <si>
    <t>Consolidated Revenue</t>
  </si>
  <si>
    <t>Adjustments to reconcile net income:</t>
  </si>
  <si>
    <t>Balance Check</t>
  </si>
  <si>
    <t>Net Change in Cash</t>
  </si>
  <si>
    <t>Cash paid during the period for:</t>
  </si>
  <si>
    <t>3Q25</t>
  </si>
  <si>
    <t>Basic EPS</t>
  </si>
  <si>
    <t>Fully Diluted Shares</t>
  </si>
  <si>
    <t>Segment Anaysis</t>
  </si>
  <si>
    <t>Total Net Revenue</t>
  </si>
  <si>
    <t xml:space="preserve">(+/-) Other </t>
  </si>
  <si>
    <t>Credit Metrics</t>
  </si>
  <si>
    <t>Adjusted Cash Position BOP</t>
  </si>
  <si>
    <t>Adjusted Cash Position EOP</t>
  </si>
  <si>
    <t xml:space="preserve">(-) Cash Interest </t>
  </si>
  <si>
    <t>Income Statement</t>
  </si>
  <si>
    <t xml:space="preserve">Balance Sheet </t>
  </si>
  <si>
    <t>Historical Financials</t>
  </si>
  <si>
    <t>Fiscal Period</t>
  </si>
  <si>
    <t>Fiscal Period End Date</t>
  </si>
  <si>
    <t>Operating Profit</t>
  </si>
  <si>
    <t>Current Assets</t>
  </si>
  <si>
    <t>Non-Current Assets</t>
  </si>
  <si>
    <t>Non-Current Liabilities</t>
  </si>
  <si>
    <t>Unrestricted Cash BOP</t>
  </si>
  <si>
    <t>EOP FX Adjustment</t>
  </si>
  <si>
    <t>Fully Diluted EPS</t>
  </si>
  <si>
    <t>Basic Shares</t>
  </si>
  <si>
    <t>Cash Position Variance Check</t>
  </si>
  <si>
    <t>(+/-) Divestiture / Acquisitions</t>
  </si>
  <si>
    <t>LTM Total Leverage</t>
  </si>
  <si>
    <t>LTM Net Leverage</t>
  </si>
  <si>
    <t xml:space="preserve">LTM Interest Coverage </t>
  </si>
  <si>
    <t>LTM Debt Service Coverage</t>
  </si>
  <si>
    <t>LTM Fixed Charge Coverage</t>
  </si>
  <si>
    <t>EOP Restricted Cash Adjustment</t>
  </si>
  <si>
    <t>BOP Restricted Cash Adjustment</t>
  </si>
  <si>
    <t>(-) 'Proceeds from issuance of Debt / (Repayment), net</t>
  </si>
  <si>
    <t>Summary Debt:</t>
  </si>
  <si>
    <t>CPLTD</t>
  </si>
  <si>
    <t>LTD</t>
  </si>
  <si>
    <t>Property and Equipment, net</t>
  </si>
  <si>
    <t>(+) Depreciation and Amortization</t>
  </si>
  <si>
    <t>Margin (%)</t>
  </si>
  <si>
    <t>Net Income</t>
  </si>
  <si>
    <t>Goodwill</t>
  </si>
  <si>
    <t xml:space="preserve">Income taxes paid </t>
  </si>
  <si>
    <t>(-) Cost of Sales</t>
  </si>
  <si>
    <t>(-) Research and Development</t>
  </si>
  <si>
    <t>(+) Stock-Based Compensation</t>
  </si>
  <si>
    <t>Accounts Receivable</t>
  </si>
  <si>
    <t>Common Stock</t>
  </si>
  <si>
    <t>Earnings before income taxes (EBT)</t>
  </si>
  <si>
    <t>EBT Margin (%)</t>
  </si>
  <si>
    <t>($ In Millions)</t>
  </si>
  <si>
    <t>Revenue by reportable segment</t>
  </si>
  <si>
    <t>Revenue Segment Anaysis</t>
  </si>
  <si>
    <t>Variance  Check</t>
  </si>
  <si>
    <t>4Q22</t>
  </si>
  <si>
    <t>1Q22</t>
  </si>
  <si>
    <t>2Q22</t>
  </si>
  <si>
    <t>3Q22</t>
  </si>
  <si>
    <t>Cost Of Sales</t>
  </si>
  <si>
    <t>4Q21</t>
  </si>
  <si>
    <t>3Q21</t>
  </si>
  <si>
    <t>2Q21</t>
  </si>
  <si>
    <t>1Q21</t>
  </si>
  <si>
    <t>Family of Apps Revenues</t>
  </si>
  <si>
    <t xml:space="preserve">Advertising </t>
  </si>
  <si>
    <t>Other Revenues</t>
  </si>
  <si>
    <t>Meta Platforms, Inc. (NASDAQ: META)</t>
  </si>
  <si>
    <t>($ In Millions, except per share)</t>
  </si>
  <si>
    <t>Changes in Working Capital:</t>
  </si>
  <si>
    <t>Cash and cash equivalents</t>
  </si>
  <si>
    <t>Marketable securities</t>
  </si>
  <si>
    <t>Accounts receivable, net</t>
  </si>
  <si>
    <t>Prepaid expenses and other current assets</t>
  </si>
  <si>
    <t>Non-marketable equity securities</t>
  </si>
  <si>
    <t>Property and equipment, net</t>
  </si>
  <si>
    <t>Operating lease right-of-use assets</t>
  </si>
  <si>
    <t>Other assets</t>
  </si>
  <si>
    <t>Accounts payable</t>
  </si>
  <si>
    <t>Operating lease liabilities, current</t>
  </si>
  <si>
    <t>Accrued expenses and other current liabilities</t>
  </si>
  <si>
    <t>Operating lease liabilities, non-current</t>
  </si>
  <si>
    <t>Long-term debt</t>
  </si>
  <si>
    <t>Long-term income taxes</t>
  </si>
  <si>
    <t>Other liabilities</t>
  </si>
  <si>
    <t>Additional paid-in capital</t>
  </si>
  <si>
    <t>Accumulated other comprehensive loss</t>
  </si>
  <si>
    <t>Retained earnings</t>
  </si>
  <si>
    <t>Research and development</t>
  </si>
  <si>
    <t>Marketing and sales</t>
  </si>
  <si>
    <t>General and administrative</t>
  </si>
  <si>
    <t>Interest and other income (expense), net</t>
  </si>
  <si>
    <t>Provision for income taxes</t>
  </si>
  <si>
    <t>Accounts receivable</t>
  </si>
  <si>
    <t>Depreciation and amortization</t>
  </si>
  <si>
    <t>Share-based compensation</t>
  </si>
  <si>
    <t>Deferred income taxes</t>
  </si>
  <si>
    <t>Other</t>
  </si>
  <si>
    <t>Purchases of property and equipment</t>
  </si>
  <si>
    <t>Purchases of marketable securities</t>
  </si>
  <si>
    <t>Sales and maturities of marketable securities</t>
  </si>
  <si>
    <t>Acquisitions of businesses and intangible assets</t>
  </si>
  <si>
    <t>Other investing activities</t>
  </si>
  <si>
    <t>Taxes paid related to net share settlement of equity awards</t>
  </si>
  <si>
    <t>Repurchases of Class A common stock</t>
  </si>
  <si>
    <t>Payments for dividends and dividend equivalents</t>
  </si>
  <si>
    <t>Proceeds from issuance of long-term debt, net</t>
  </si>
  <si>
    <t>Principal payments on finance leases</t>
  </si>
  <si>
    <t>Other financing activities</t>
  </si>
  <si>
    <t xml:space="preserve">Interest paid </t>
  </si>
  <si>
    <t>Purchases of non-marketable equity investments</t>
  </si>
  <si>
    <t>Payments for held-for-sale assets</t>
  </si>
  <si>
    <t xml:space="preserve">United States and Canada </t>
  </si>
  <si>
    <t xml:space="preserve">Europe </t>
  </si>
  <si>
    <t xml:space="preserve">Asia-Pacific </t>
  </si>
  <si>
    <t xml:space="preserve">Rest of World </t>
  </si>
  <si>
    <t xml:space="preserve">Reality Labs </t>
  </si>
  <si>
    <t>(-) Marketing and sales</t>
  </si>
  <si>
    <t>(-) General and administrative</t>
  </si>
  <si>
    <t>(+/-) Proceeds / (Purchases) of Marketable Securities</t>
  </si>
  <si>
    <t xml:space="preserve">(-) Dividends </t>
  </si>
  <si>
    <t>(-) Other Investing Activities</t>
  </si>
  <si>
    <t>(-) Proceeds from Equity Issuances / (Repurchases), net</t>
  </si>
  <si>
    <t>(+/-) Principal Payments on Finance Leases</t>
  </si>
  <si>
    <t>Aggregate Debt Holdings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</si>
</sst>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41" formatCode="_(* #,##0_);_(* \(#,##0\);_(* &quot;-&quot;_);_(@_)"/>
    <numFmt numFmtId="43" formatCode="_(* #,##0.00_);_(* \(#,##0.00\);_(* &quot;-&quot;??_);_(@_)"/>
    <numFmt numFmtId="164" formatCode="_(* #,##0_);_(* \(#,##0\);_(* &quot;-&quot;??_);_(@_)"/>
    <numFmt numFmtId="165" formatCode="_(&quot;$ &quot;#,##0_);_(&quot;$ &quot;\(#,##0\)"/>
    <numFmt numFmtId="166" formatCode="#,##0.0%;\(#,##0.0%\)"/>
    <numFmt numFmtId="167" formatCode="#,##0.0&quot;bps&quot;_);\(#,##0.0&quot;bps&quot;\)"/>
    <numFmt numFmtId="168" formatCode="#,##0.00&quot;bps&quot;_);\(#,##0.00&quot;bps&quot;\)"/>
    <numFmt numFmtId="169" formatCode="_(* #,##0.00&quot;x&quot;_);_(* \(#,##0.00&quot;x&quot;\);_(* &quot;-&quot;_);_(@_)"/>
  </numFmts>
  <fonts count="32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b/>
      <sz val="9"/>
      <color theme="0"/>
      <name val="Calibri"/>
      <family val="2"/>
    </font>
    <font>
      <i/>
      <sz val="9"/>
      <color theme="0"/>
      <name val="Calibri"/>
      <family val="2"/>
    </font>
    <font>
      <sz val="9"/>
      <color theme="1"/>
      <name val="Calibri"/>
      <family val="2"/>
    </font>
    <font>
      <b/>
      <i/>
      <sz val="9"/>
      <color theme="0"/>
      <name val="Calibri"/>
      <family val="2"/>
    </font>
    <font>
      <sz val="9"/>
      <name val="Calibri"/>
      <family val="2"/>
    </font>
    <font>
      <i/>
      <sz val="9"/>
      <name val="Calibri"/>
      <family val="2"/>
    </font>
    <font>
      <b/>
      <sz val="9"/>
      <name val="Calibri"/>
      <family val="2"/>
    </font>
    <font>
      <b/>
      <i/>
      <sz val="9"/>
      <name val="Calibri"/>
      <family val="2"/>
    </font>
    <font>
      <i/>
      <sz val="8"/>
      <name val="Calibri"/>
      <family val="2"/>
    </font>
    <font>
      <sz val="9"/>
      <color rgb="FF0000CC"/>
      <name val="Calibri"/>
      <family val="2"/>
    </font>
    <font>
      <sz val="9"/>
      <color rgb="FF0000FF"/>
      <name val="Calibri"/>
      <family val="2"/>
    </font>
    <font>
      <sz val="8"/>
      <name val="Calibri"/>
      <family val="2"/>
    </font>
    <font>
      <sz val="8"/>
      <color theme="1"/>
      <name val="Calibri"/>
      <family val="2"/>
    </font>
    <font>
      <b/>
      <sz val="9"/>
      <color theme="1"/>
      <name val="Calibri"/>
      <family val="2"/>
    </font>
    <font>
      <i/>
      <sz val="9"/>
      <color theme="1"/>
      <name val="Calibri"/>
      <family val="2"/>
    </font>
    <font>
      <b/>
      <sz val="9"/>
      <color indexed="8"/>
      <name val="Calibri"/>
      <family val="2"/>
    </font>
    <font>
      <sz val="9"/>
      <color rgb="FF0000E1"/>
      <name val="Calibri"/>
      <family val="2"/>
    </font>
    <font>
      <sz val="10"/>
      <name val="Arial"/>
      <family val="2"/>
    </font>
    <font>
      <sz val="9"/>
      <color rgb="FFFF0000"/>
      <name val="Tw Cen MT"/>
      <family val="2"/>
      <scheme val="minor"/>
    </font>
    <font>
      <sz val="8"/>
      <color rgb="FFFF0000"/>
      <name val="Calibri"/>
      <family val="2"/>
    </font>
    <font>
      <b/>
      <sz val="8"/>
      <color theme="1"/>
      <name val="Calibri"/>
      <family val="2"/>
    </font>
    <font>
      <i/>
      <sz val="8"/>
      <color theme="1"/>
      <name val="Calibri"/>
      <family val="2"/>
    </font>
    <font>
      <sz val="7"/>
      <color rgb="FFFF0000"/>
      <name val="Calibri"/>
      <family val="2"/>
    </font>
    <font>
      <sz val="9"/>
      <color rgb="FF00B050"/>
      <name val="Calibri"/>
      <family val="2"/>
    </font>
    <font>
      <sz val="10"/>
      <name val="Arial Narrow MT"/>
      <family val="2"/>
    </font>
    <font>
      <i/>
      <sz val="8"/>
      <color rgb="FFFF0000"/>
      <name val="Calibri"/>
      <family val="2"/>
    </font>
    <font>
      <b/>
      <i/>
      <sz val="8"/>
      <name val="Calibri"/>
      <family val="2"/>
    </font>
    <font>
      <b/>
      <sz val="8"/>
      <color theme="0"/>
      <name val="Calibri"/>
      <family val="2"/>
    </font>
    <font>
      <i/>
      <sz val="7"/>
      <color rgb="FFFF0000"/>
      <name val="Calibri"/>
      <family val="2"/>
    </font>
    <font>
      <i/>
      <sz val="8"/>
      <color rgb="FF0000CC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E5672"/>
        <bgColor indexed="64"/>
      </patternFill>
    </fill>
    <fill>
      <patternFill patternType="gray0625"/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9" fillId="0" borderId="0"/>
    <xf numFmtId="0" fontId="26" fillId="0" borderId="0" applyNumberFormat="0" applyFont="0" applyFill="0" applyBorder="0" applyAlignment="0" applyProtection="0"/>
  </cellStyleXfs>
  <cellXfs count="169">
    <xf numFmtId="0" fontId="0" fillId="0" borderId="0" xfId="0"/>
    <xf numFmtId="0" fontId="2" fillId="2" borderId="0" xfId="0" applyFont="1" applyFill="1" applyAlignment="1">
      <alignment vertical="center" wrapText="1"/>
    </xf>
    <xf numFmtId="0" fontId="2" fillId="2" borderId="3" xfId="0" applyFont="1" applyFill="1" applyBorder="1" applyAlignment="1">
      <alignment horizontal="centerContinuous" vertical="center" wrapText="1"/>
    </xf>
    <xf numFmtId="14" fontId="3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4" fillId="0" borderId="0" xfId="0" applyFont="1" applyAlignment="1">
      <alignment wrapText="1"/>
    </xf>
    <xf numFmtId="0" fontId="3" fillId="2" borderId="0" xfId="0" applyFont="1" applyFill="1" applyAlignment="1">
      <alignment vertical="center" wrapText="1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/>
    <xf numFmtId="0" fontId="6" fillId="0" borderId="0" xfId="0" applyFont="1" applyAlignment="1">
      <alignment vertical="top" wrapText="1"/>
    </xf>
    <xf numFmtId="41" fontId="4" fillId="0" borderId="0" xfId="0" applyNumberFormat="1" applyFont="1"/>
    <xf numFmtId="37" fontId="4" fillId="0" borderId="0" xfId="0" applyNumberFormat="1" applyFont="1" applyAlignment="1">
      <alignment wrapText="1"/>
    </xf>
    <xf numFmtId="166" fontId="7" fillId="3" borderId="0" xfId="1" applyNumberFormat="1" applyFont="1" applyFill="1" applyBorder="1" applyAlignment="1">
      <alignment horizontal="right" vertical="center" wrapText="1"/>
    </xf>
    <xf numFmtId="0" fontId="8" fillId="3" borderId="4" xfId="0" applyFont="1" applyFill="1" applyBorder="1" applyAlignment="1">
      <alignment vertical="top" wrapText="1"/>
    </xf>
    <xf numFmtId="5" fontId="8" fillId="3" borderId="2" xfId="0" applyNumberFormat="1" applyFont="1" applyFill="1" applyBorder="1" applyAlignment="1">
      <alignment horizontal="right" vertical="top" wrapText="1"/>
    </xf>
    <xf numFmtId="166" fontId="9" fillId="3" borderId="0" xfId="1" applyNumberFormat="1" applyFont="1" applyFill="1" applyBorder="1" applyAlignment="1">
      <alignment horizontal="right" vertical="center" wrapText="1"/>
    </xf>
    <xf numFmtId="0" fontId="10" fillId="0" borderId="0" xfId="0" applyFont="1" applyAlignment="1">
      <alignment horizontal="left" vertical="center" wrapText="1" indent="1"/>
    </xf>
    <xf numFmtId="166" fontId="10" fillId="0" borderId="0" xfId="1" applyNumberFormat="1" applyFont="1" applyBorder="1" applyAlignment="1">
      <alignment horizontal="right" vertical="center" wrapText="1"/>
    </xf>
    <xf numFmtId="9" fontId="6" fillId="0" borderId="0" xfId="1" applyFont="1" applyAlignment="1">
      <alignment horizontal="left" vertical="top" wrapText="1" indent="1"/>
    </xf>
    <xf numFmtId="9" fontId="11" fillId="0" borderId="0" xfId="1" applyFont="1" applyAlignment="1">
      <alignment horizontal="right" vertical="top" wrapText="1"/>
    </xf>
    <xf numFmtId="9" fontId="4" fillId="0" borderId="0" xfId="1" applyFont="1" applyAlignment="1">
      <alignment wrapText="1"/>
    </xf>
    <xf numFmtId="9" fontId="12" fillId="0" borderId="0" xfId="1" applyFont="1" applyAlignment="1">
      <alignment horizontal="right" vertical="top" wrapText="1"/>
    </xf>
    <xf numFmtId="9" fontId="4" fillId="0" borderId="0" xfId="1" applyFont="1"/>
    <xf numFmtId="0" fontId="6" fillId="0" borderId="0" xfId="0" quotePrefix="1" applyFont="1" applyAlignment="1">
      <alignment vertical="top" wrapText="1"/>
    </xf>
    <xf numFmtId="37" fontId="6" fillId="0" borderId="0" xfId="0" applyNumberFormat="1" applyFont="1" applyAlignment="1">
      <alignment horizontal="right" vertical="top" wrapText="1"/>
    </xf>
    <xf numFmtId="0" fontId="8" fillId="0" borderId="0" xfId="0" applyFont="1" applyAlignment="1">
      <alignment vertical="top" wrapText="1"/>
    </xf>
    <xf numFmtId="5" fontId="8" fillId="0" borderId="2" xfId="0" applyNumberFormat="1" applyFont="1" applyBorder="1" applyAlignment="1">
      <alignment horizontal="right" vertical="top" wrapText="1"/>
    </xf>
    <xf numFmtId="9" fontId="13" fillId="0" borderId="0" xfId="1" applyFont="1" applyBorder="1" applyAlignment="1">
      <alignment horizontal="right" vertical="center" wrapText="1"/>
    </xf>
    <xf numFmtId="0" fontId="14" fillId="0" borderId="0" xfId="0" applyFont="1" applyAlignment="1">
      <alignment wrapText="1"/>
    </xf>
    <xf numFmtId="0" fontId="7" fillId="0" borderId="0" xfId="0" applyFont="1" applyAlignment="1">
      <alignment horizontal="left" vertical="center" wrapText="1" indent="1"/>
    </xf>
    <xf numFmtId="9" fontId="6" fillId="0" borderId="0" xfId="1" applyFont="1" applyBorder="1" applyAlignment="1">
      <alignment horizontal="right" vertical="center" wrapText="1"/>
    </xf>
    <xf numFmtId="0" fontId="4" fillId="0" borderId="0" xfId="0" quotePrefix="1" applyFont="1"/>
    <xf numFmtId="41" fontId="6" fillId="0" borderId="0" xfId="0" applyNumberFormat="1" applyFont="1" applyAlignment="1">
      <alignment horizontal="right" vertical="top" wrapText="1"/>
    </xf>
    <xf numFmtId="0" fontId="2" fillId="2" borderId="0" xfId="0" applyFont="1" applyFill="1" applyAlignment="1">
      <alignment wrapText="1"/>
    </xf>
    <xf numFmtId="41" fontId="8" fillId="3" borderId="2" xfId="0" applyNumberFormat="1" applyFont="1" applyFill="1" applyBorder="1" applyAlignment="1">
      <alignment horizontal="right" vertical="top" wrapText="1"/>
    </xf>
    <xf numFmtId="0" fontId="15" fillId="0" borderId="5" xfId="0" applyFont="1" applyBorder="1"/>
    <xf numFmtId="0" fontId="15" fillId="0" borderId="0" xfId="0" applyFont="1"/>
    <xf numFmtId="0" fontId="4" fillId="0" borderId="1" xfId="0" applyFont="1" applyBorder="1"/>
    <xf numFmtId="0" fontId="4" fillId="2" borderId="0" xfId="0" applyFont="1" applyFill="1" applyAlignment="1">
      <alignment wrapText="1"/>
    </xf>
    <xf numFmtId="0" fontId="4" fillId="3" borderId="0" xfId="0" applyFont="1" applyFill="1" applyAlignment="1">
      <alignment wrapText="1"/>
    </xf>
    <xf numFmtId="165" fontId="4" fillId="0" borderId="0" xfId="0" applyNumberFormat="1" applyFont="1" applyAlignment="1">
      <alignment wrapText="1"/>
    </xf>
    <xf numFmtId="37" fontId="8" fillId="0" borderId="0" xfId="0" applyNumberFormat="1" applyFont="1" applyAlignment="1">
      <alignment horizontal="right" vertical="top" wrapText="1"/>
    </xf>
    <xf numFmtId="165" fontId="15" fillId="0" borderId="0" xfId="0" applyNumberFormat="1" applyFont="1" applyAlignment="1">
      <alignment wrapText="1"/>
    </xf>
    <xf numFmtId="9" fontId="6" fillId="0" borderId="0" xfId="1" applyFont="1" applyFill="1" applyBorder="1" applyAlignment="1">
      <alignment horizontal="right" vertical="center" wrapText="1"/>
    </xf>
    <xf numFmtId="0" fontId="6" fillId="0" borderId="0" xfId="0" applyFont="1" applyAlignment="1">
      <alignment horizontal="left" vertical="top" wrapText="1"/>
    </xf>
    <xf numFmtId="10" fontId="16" fillId="0" borderId="0" xfId="1" applyNumberFormat="1" applyFont="1" applyFill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Alignment="1">
      <alignment horizontal="center" vertical="center" wrapText="1"/>
    </xf>
    <xf numFmtId="5" fontId="8" fillId="0" borderId="0" xfId="0" applyNumberFormat="1" applyFont="1" applyAlignment="1">
      <alignment horizontal="right" vertical="top" wrapText="1"/>
    </xf>
    <xf numFmtId="37" fontId="15" fillId="0" borderId="0" xfId="0" applyNumberFormat="1" applyFont="1" applyAlignment="1">
      <alignment wrapText="1"/>
    </xf>
    <xf numFmtId="37" fontId="8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15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7" fillId="0" borderId="0" xfId="0" applyFont="1" applyAlignment="1">
      <alignment wrapText="1"/>
    </xf>
    <xf numFmtId="164" fontId="4" fillId="0" borderId="0" xfId="2" applyNumberFormat="1" applyFont="1" applyBorder="1" applyAlignment="1">
      <alignment wrapText="1"/>
    </xf>
    <xf numFmtId="0" fontId="4" fillId="0" borderId="0" xfId="0" applyFont="1" applyAlignment="1">
      <alignment horizontal="left" wrapText="1" indent="1"/>
    </xf>
    <xf numFmtId="37" fontId="11" fillId="0" borderId="0" xfId="2" applyNumberFormat="1" applyFont="1" applyBorder="1" applyAlignment="1">
      <alignment wrapText="1"/>
    </xf>
    <xf numFmtId="37" fontId="11" fillId="0" borderId="0" xfId="2" applyNumberFormat="1" applyFont="1" applyFill="1" applyBorder="1" applyAlignment="1">
      <alignment wrapText="1"/>
    </xf>
    <xf numFmtId="0" fontId="4" fillId="0" borderId="0" xfId="0" applyFont="1" applyAlignment="1">
      <alignment horizontal="left" indent="1"/>
    </xf>
    <xf numFmtId="37" fontId="8" fillId="0" borderId="0" xfId="2" applyNumberFormat="1" applyFont="1" applyBorder="1" applyAlignment="1">
      <alignment wrapText="1"/>
    </xf>
    <xf numFmtId="37" fontId="6" fillId="0" borderId="0" xfId="2" applyNumberFormat="1" applyFont="1" applyBorder="1" applyAlignment="1">
      <alignment wrapText="1"/>
    </xf>
    <xf numFmtId="37" fontId="15" fillId="0" borderId="0" xfId="2" applyNumberFormat="1" applyFont="1" applyBorder="1" applyAlignment="1">
      <alignment wrapText="1"/>
    </xf>
    <xf numFmtId="37" fontId="15" fillId="0" borderId="0" xfId="2" applyNumberFormat="1" applyFont="1" applyFill="1" applyBorder="1" applyAlignment="1">
      <alignment wrapText="1"/>
    </xf>
    <xf numFmtId="37" fontId="18" fillId="0" borderId="0" xfId="2" applyNumberFormat="1" applyFont="1" applyFill="1" applyBorder="1" applyAlignment="1">
      <alignment wrapText="1"/>
    </xf>
    <xf numFmtId="37" fontId="6" fillId="0" borderId="0" xfId="2" applyNumberFormat="1" applyFont="1" applyFill="1" applyBorder="1" applyAlignment="1">
      <alignment wrapText="1"/>
    </xf>
    <xf numFmtId="164" fontId="15" fillId="0" borderId="0" xfId="2" applyNumberFormat="1" applyFont="1" applyBorder="1" applyAlignment="1">
      <alignment wrapText="1"/>
    </xf>
    <xf numFmtId="0" fontId="20" fillId="0" borderId="0" xfId="0" applyFont="1" applyAlignment="1">
      <alignment vertical="top" wrapText="1"/>
    </xf>
    <xf numFmtId="43" fontId="21" fillId="0" borderId="0" xfId="0" applyNumberFormat="1" applyFont="1" applyAlignment="1">
      <alignment wrapText="1"/>
    </xf>
    <xf numFmtId="0" fontId="22" fillId="0" borderId="0" xfId="0" applyFont="1" applyAlignment="1">
      <alignment wrapText="1"/>
    </xf>
    <xf numFmtId="41" fontId="8" fillId="0" borderId="0" xfId="0" applyNumberFormat="1" applyFont="1" applyAlignment="1">
      <alignment horizontal="right" vertical="top" wrapText="1"/>
    </xf>
    <xf numFmtId="0" fontId="17" fillId="0" borderId="5" xfId="0" applyFont="1" applyBorder="1"/>
    <xf numFmtId="0" fontId="4" fillId="0" borderId="1" xfId="0" applyFont="1" applyBorder="1" applyAlignment="1">
      <alignment wrapText="1"/>
    </xf>
    <xf numFmtId="164" fontId="4" fillId="0" borderId="1" xfId="2" applyNumberFormat="1" applyFont="1" applyBorder="1" applyAlignment="1">
      <alignment wrapText="1"/>
    </xf>
    <xf numFmtId="166" fontId="7" fillId="4" borderId="0" xfId="1" applyNumberFormat="1" applyFont="1" applyFill="1" applyBorder="1" applyAlignment="1">
      <alignment horizontal="right" vertical="center" wrapText="1"/>
    </xf>
    <xf numFmtId="166" fontId="9" fillId="4" borderId="0" xfId="1" applyNumberFormat="1" applyFont="1" applyFill="1" applyBorder="1" applyAlignment="1">
      <alignment horizontal="right" vertical="center" wrapText="1"/>
    </xf>
    <xf numFmtId="168" fontId="9" fillId="4" borderId="0" xfId="1" applyNumberFormat="1" applyFont="1" applyFill="1" applyBorder="1" applyAlignment="1">
      <alignment horizontal="right" vertical="center" wrapText="1"/>
    </xf>
    <xf numFmtId="0" fontId="8" fillId="0" borderId="5" xfId="0" applyFont="1" applyBorder="1" applyAlignment="1">
      <alignment vertical="top" wrapText="1"/>
    </xf>
    <xf numFmtId="41" fontId="24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horizontal="center"/>
    </xf>
    <xf numFmtId="41" fontId="11" fillId="0" borderId="0" xfId="0" applyNumberFormat="1" applyFont="1"/>
    <xf numFmtId="41" fontId="11" fillId="0" borderId="0" xfId="0" applyNumberFormat="1" applyFont="1" applyAlignment="1">
      <alignment horizontal="right" vertical="top" wrapText="1"/>
    </xf>
    <xf numFmtId="169" fontId="4" fillId="0" borderId="0" xfId="0" applyNumberFormat="1" applyFont="1"/>
    <xf numFmtId="0" fontId="4" fillId="0" borderId="0" xfId="0" quotePrefix="1" applyFont="1" applyAlignment="1">
      <alignment horizontal="left" indent="1"/>
    </xf>
    <xf numFmtId="14" fontId="3" fillId="2" borderId="0" xfId="0" quotePrefix="1" applyNumberFormat="1" applyFont="1" applyFill="1" applyAlignment="1">
      <alignment horizontal="center" vertical="center" wrapText="1"/>
    </xf>
    <xf numFmtId="3" fontId="4" fillId="0" borderId="0" xfId="0" applyNumberFormat="1" applyFont="1" applyAlignment="1">
      <alignment wrapText="1"/>
    </xf>
    <xf numFmtId="43" fontId="21" fillId="0" borderId="6" xfId="0" applyNumberFormat="1" applyFont="1" applyBorder="1" applyAlignment="1">
      <alignment wrapText="1"/>
    </xf>
    <xf numFmtId="41" fontId="6" fillId="0" borderId="6" xfId="0" applyNumberFormat="1" applyFont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vertical="center" wrapText="1"/>
    </xf>
    <xf numFmtId="0" fontId="4" fillId="0" borderId="8" xfId="0" applyFont="1" applyBorder="1"/>
    <xf numFmtId="37" fontId="4" fillId="0" borderId="9" xfId="0" applyNumberFormat="1" applyFont="1" applyBorder="1" applyAlignment="1">
      <alignment wrapText="1"/>
    </xf>
    <xf numFmtId="41" fontId="8" fillId="0" borderId="11" xfId="0" applyNumberFormat="1" applyFont="1" applyBorder="1" applyAlignment="1">
      <alignment horizontal="right" vertical="top" wrapText="1"/>
    </xf>
    <xf numFmtId="41" fontId="6" fillId="0" borderId="12" xfId="0" applyNumberFormat="1" applyFont="1" applyBorder="1" applyAlignment="1">
      <alignment horizontal="right" vertical="top" wrapText="1"/>
    </xf>
    <xf numFmtId="41" fontId="25" fillId="0" borderId="0" xfId="0" applyNumberFormat="1" applyFont="1"/>
    <xf numFmtId="37" fontId="11" fillId="0" borderId="0" xfId="0" applyNumberFormat="1" applyFont="1" applyAlignment="1">
      <alignment horizontal="right" vertical="top" wrapText="1"/>
    </xf>
    <xf numFmtId="41" fontId="6" fillId="0" borderId="0" xfId="0" applyNumberFormat="1" applyFont="1" applyAlignment="1">
      <alignment horizontal="right" vertical="center" wrapText="1"/>
    </xf>
    <xf numFmtId="41" fontId="6" fillId="0" borderId="0" xfId="0" applyNumberFormat="1" applyFont="1" applyAlignment="1">
      <alignment horizontal="right" wrapText="1"/>
    </xf>
    <xf numFmtId="0" fontId="2" fillId="6" borderId="0" xfId="0" applyFont="1" applyFill="1" applyAlignment="1">
      <alignment vertical="center" wrapText="1"/>
    </xf>
    <xf numFmtId="0" fontId="3" fillId="6" borderId="0" xfId="0" applyFont="1" applyFill="1" applyAlignment="1">
      <alignment vertical="center" wrapText="1"/>
    </xf>
    <xf numFmtId="166" fontId="7" fillId="0" borderId="0" xfId="1" applyNumberFormat="1" applyFont="1" applyFill="1" applyBorder="1" applyAlignment="1">
      <alignment horizontal="right" vertical="center" wrapText="1"/>
    </xf>
    <xf numFmtId="0" fontId="2" fillId="2" borderId="0" xfId="0" applyFont="1" applyFill="1" applyAlignment="1">
      <alignment horizontal="centerContinuous" vertical="center" wrapText="1"/>
    </xf>
    <xf numFmtId="0" fontId="2" fillId="6" borderId="3" xfId="0" applyFont="1" applyFill="1" applyBorder="1" applyAlignment="1">
      <alignment horizontal="centerContinuous" vertical="center" wrapText="1"/>
    </xf>
    <xf numFmtId="0" fontId="4" fillId="6" borderId="0" xfId="0" applyFont="1" applyFill="1" applyAlignment="1">
      <alignment wrapText="1"/>
    </xf>
    <xf numFmtId="0" fontId="5" fillId="6" borderId="0" xfId="0" applyFont="1" applyFill="1" applyAlignment="1">
      <alignment horizontal="center" vertical="center" wrapText="1"/>
    </xf>
    <xf numFmtId="14" fontId="3" fillId="6" borderId="0" xfId="0" applyNumberFormat="1" applyFont="1" applyFill="1" applyAlignment="1">
      <alignment horizontal="center" vertical="center" wrapText="1"/>
    </xf>
    <xf numFmtId="0" fontId="2" fillId="7" borderId="0" xfId="0" applyFont="1" applyFill="1" applyAlignment="1">
      <alignment vertical="center" wrapText="1"/>
    </xf>
    <xf numFmtId="0" fontId="2" fillId="7" borderId="3" xfId="0" applyFont="1" applyFill="1" applyBorder="1" applyAlignment="1">
      <alignment horizontal="centerContinuous" vertical="center" wrapText="1"/>
    </xf>
    <xf numFmtId="0" fontId="4" fillId="7" borderId="0" xfId="0" applyFont="1" applyFill="1" applyAlignment="1">
      <alignment wrapText="1"/>
    </xf>
    <xf numFmtId="0" fontId="5" fillId="7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 wrapText="1"/>
    </xf>
    <xf numFmtId="14" fontId="3" fillId="7" borderId="0" xfId="0" applyNumberFormat="1" applyFont="1" applyFill="1" applyAlignment="1">
      <alignment horizontal="center" vertical="center" wrapText="1"/>
    </xf>
    <xf numFmtId="14" fontId="3" fillId="7" borderId="0" xfId="0" applyNumberFormat="1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166" fontId="10" fillId="8" borderId="0" xfId="1" applyNumberFormat="1" applyFont="1" applyFill="1" applyBorder="1" applyAlignment="1">
      <alignment horizontal="right" vertical="center" wrapText="1"/>
    </xf>
    <xf numFmtId="0" fontId="21" fillId="0" borderId="1" xfId="0" applyFont="1" applyBorder="1" applyAlignment="1">
      <alignment vertical="top" wrapText="1"/>
    </xf>
    <xf numFmtId="43" fontId="21" fillId="0" borderId="1" xfId="0" applyNumberFormat="1" applyFont="1" applyBorder="1" applyAlignment="1">
      <alignment wrapText="1"/>
    </xf>
    <xf numFmtId="0" fontId="22" fillId="0" borderId="1" xfId="0" applyFont="1" applyBorder="1" applyAlignment="1">
      <alignment wrapText="1"/>
    </xf>
    <xf numFmtId="0" fontId="14" fillId="0" borderId="1" xfId="0" applyFont="1" applyBorder="1" applyAlignment="1">
      <alignment wrapText="1"/>
    </xf>
    <xf numFmtId="0" fontId="6" fillId="0" borderId="0" xfId="0" applyFont="1" applyAlignment="1">
      <alignment wrapText="1"/>
    </xf>
    <xf numFmtId="41" fontId="11" fillId="0" borderId="0" xfId="0" applyNumberFormat="1" applyFont="1" applyAlignment="1">
      <alignment horizontal="right" wrapText="1"/>
    </xf>
    <xf numFmtId="0" fontId="4" fillId="0" borderId="0" xfId="0" applyFont="1" applyAlignment="1">
      <alignment vertical="center" wrapText="1"/>
    </xf>
    <xf numFmtId="41" fontId="11" fillId="0" borderId="0" xfId="0" applyNumberFormat="1" applyFont="1" applyAlignment="1">
      <alignment horizontal="right" vertical="center" wrapText="1"/>
    </xf>
    <xf numFmtId="37" fontId="4" fillId="0" borderId="0" xfId="0" applyNumberFormat="1" applyFont="1" applyAlignment="1">
      <alignment vertical="center" wrapText="1"/>
    </xf>
    <xf numFmtId="0" fontId="14" fillId="3" borderId="0" xfId="0" applyFont="1" applyFill="1"/>
    <xf numFmtId="166" fontId="10" fillId="3" borderId="0" xfId="1" applyNumberFormat="1" applyFont="1" applyFill="1" applyBorder="1" applyAlignment="1">
      <alignment horizontal="right" vertical="center" wrapText="1"/>
    </xf>
    <xf numFmtId="166" fontId="28" fillId="3" borderId="0" xfId="1" applyNumberFormat="1" applyFont="1" applyFill="1" applyBorder="1" applyAlignment="1">
      <alignment horizontal="right" vertical="center" wrapText="1"/>
    </xf>
    <xf numFmtId="167" fontId="28" fillId="3" borderId="0" xfId="1" applyNumberFormat="1" applyFont="1" applyFill="1" applyBorder="1" applyAlignment="1">
      <alignment horizontal="right" vertical="center" wrapText="1"/>
    </xf>
    <xf numFmtId="0" fontId="14" fillId="0" borderId="0" xfId="0" applyFont="1"/>
    <xf numFmtId="41" fontId="7" fillId="0" borderId="8" xfId="0" applyNumberFormat="1" applyFont="1" applyBorder="1" applyAlignment="1">
      <alignment horizontal="right" vertical="top" wrapText="1"/>
    </xf>
    <xf numFmtId="0" fontId="30" fillId="0" borderId="0" xfId="0" applyFont="1" applyAlignment="1">
      <alignment horizontal="right" vertical="center" wrapText="1"/>
    </xf>
    <xf numFmtId="7" fontId="25" fillId="0" borderId="0" xfId="0" applyNumberFormat="1" applyFont="1" applyAlignment="1">
      <alignment horizontal="right"/>
    </xf>
    <xf numFmtId="41" fontId="6" fillId="0" borderId="9" xfId="0" applyNumberFormat="1" applyFont="1" applyBorder="1" applyAlignment="1">
      <alignment horizontal="right" vertical="top" wrapText="1"/>
    </xf>
    <xf numFmtId="41" fontId="8" fillId="0" borderId="9" xfId="0" applyNumberFormat="1" applyFont="1" applyBorder="1" applyAlignment="1">
      <alignment horizontal="right" vertical="top" wrapText="1"/>
    </xf>
    <xf numFmtId="43" fontId="21" fillId="0" borderId="10" xfId="0" applyNumberFormat="1" applyFont="1" applyBorder="1" applyAlignment="1">
      <alignment wrapText="1"/>
    </xf>
    <xf numFmtId="0" fontId="8" fillId="0" borderId="8" xfId="0" applyFont="1" applyBorder="1" applyAlignment="1">
      <alignment horizontal="right" vertical="center" wrapText="1"/>
    </xf>
    <xf numFmtId="0" fontId="27" fillId="0" borderId="7" xfId="0" applyFont="1" applyBorder="1" applyAlignment="1">
      <alignment horizontal="right" vertical="top" wrapText="1"/>
    </xf>
    <xf numFmtId="0" fontId="27" fillId="0" borderId="0" xfId="0" applyFont="1" applyAlignment="1">
      <alignment vertical="top" wrapText="1"/>
    </xf>
    <xf numFmtId="41" fontId="6" fillId="0" borderId="13" xfId="0" applyNumberFormat="1" applyFont="1" applyBorder="1" applyAlignment="1">
      <alignment horizontal="right" vertical="top" wrapText="1"/>
    </xf>
    <xf numFmtId="41" fontId="25" fillId="0" borderId="0" xfId="0" applyNumberFormat="1" applyFont="1" applyAlignment="1">
      <alignment vertical="center"/>
    </xf>
    <xf numFmtId="41" fontId="4" fillId="0" borderId="0" xfId="0" applyNumberFormat="1" applyFont="1" applyAlignment="1">
      <alignment vertical="center"/>
    </xf>
    <xf numFmtId="9" fontId="13" fillId="0" borderId="0" xfId="1" applyFont="1" applyFill="1" applyBorder="1" applyAlignment="1">
      <alignment horizontal="right" vertical="center" wrapText="1"/>
    </xf>
    <xf numFmtId="7" fontId="8" fillId="3" borderId="2" xfId="0" applyNumberFormat="1" applyFont="1" applyFill="1" applyBorder="1" applyAlignment="1">
      <alignment horizontal="right" vertical="top" wrapText="1"/>
    </xf>
    <xf numFmtId="0" fontId="8" fillId="5" borderId="8" xfId="0" applyFont="1" applyFill="1" applyBorder="1" applyAlignment="1">
      <alignment horizontal="right" wrapText="1"/>
    </xf>
    <xf numFmtId="5" fontId="8" fillId="5" borderId="2" xfId="0" applyNumberFormat="1" applyFont="1" applyFill="1" applyBorder="1" applyAlignment="1">
      <alignment horizontal="right" vertical="center" wrapText="1"/>
    </xf>
    <xf numFmtId="5" fontId="8" fillId="5" borderId="14" xfId="0" applyNumberFormat="1" applyFont="1" applyFill="1" applyBorder="1" applyAlignment="1">
      <alignment horizontal="right" vertical="center" wrapText="1"/>
    </xf>
    <xf numFmtId="0" fontId="23" fillId="9" borderId="15" xfId="0" applyFont="1" applyFill="1" applyBorder="1"/>
    <xf numFmtId="9" fontId="10" fillId="0" borderId="2" xfId="1" applyFont="1" applyBorder="1" applyAlignment="1">
      <alignment horizontal="right"/>
    </xf>
    <xf numFmtId="9" fontId="31" fillId="0" borderId="2" xfId="1" applyFont="1" applyBorder="1"/>
    <xf numFmtId="9" fontId="10" fillId="0" borderId="2" xfId="1" applyFont="1" applyBorder="1"/>
    <xf numFmtId="9" fontId="10" fillId="0" borderId="16" xfId="1" applyFont="1" applyBorder="1"/>
    <xf numFmtId="0" fontId="23" fillId="9" borderId="17" xfId="0" applyFont="1" applyFill="1" applyBorder="1"/>
    <xf numFmtId="9" fontId="10" fillId="0" borderId="5" xfId="1" applyFont="1" applyBorder="1" applyAlignment="1">
      <alignment horizontal="right"/>
    </xf>
    <xf numFmtId="9" fontId="31" fillId="0" borderId="5" xfId="1" applyFont="1" applyBorder="1"/>
    <xf numFmtId="9" fontId="10" fillId="0" borderId="5" xfId="1" applyFont="1" applyBorder="1"/>
    <xf numFmtId="9" fontId="10" fillId="0" borderId="18" xfId="1" applyFont="1" applyBorder="1"/>
    <xf numFmtId="0" fontId="23" fillId="9" borderId="19" xfId="0" applyFont="1" applyFill="1" applyBorder="1"/>
    <xf numFmtId="9" fontId="10" fillId="0" borderId="0" xfId="1" applyFont="1" applyBorder="1" applyAlignment="1">
      <alignment horizontal="right"/>
    </xf>
    <xf numFmtId="9" fontId="31" fillId="0" borderId="0" xfId="1" applyFont="1" applyBorder="1"/>
    <xf numFmtId="9" fontId="10" fillId="0" borderId="0" xfId="1" applyFont="1" applyBorder="1"/>
    <xf numFmtId="9" fontId="10" fillId="0" borderId="20" xfId="1" applyFont="1" applyBorder="1"/>
    <xf numFmtId="41" fontId="6" fillId="0" borderId="0" xfId="0" applyNumberFormat="1" applyFont="1"/>
    <xf numFmtId="0" fontId="2" fillId="2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 wrapText="1"/>
    </xf>
    <xf numFmtId="0" fontId="5" fillId="6" borderId="0" xfId="0" applyFont="1" applyFill="1" applyAlignment="1">
      <alignment horizontal="center" vertical="center" wrapText="1"/>
    </xf>
    <xf numFmtId="0" fontId="29" fillId="2" borderId="0" xfId="0" applyFont="1" applyFill="1" applyAlignment="1">
      <alignment horizontal="center" vertical="center" wrapText="1"/>
    </xf>
    <xf numFmtId="41" fontId="11" fillId="0" borderId="12" xfId="0" applyNumberFormat="1" applyFont="1" applyBorder="1" applyAlignment="1">
      <alignment horizontal="right" vertical="top" wrapText="1"/>
    </xf>
    <xf numFmtId="169" fontId="4" fillId="8" borderId="0" xfId="0" applyNumberFormat="1" applyFont="1" applyFill="1"/>
  </cellXfs>
  <cellStyles count="5">
    <cellStyle name="%" xfId="3" xr:uid="{B2D0E839-0EB6-4A26-A036-4291FCE77A81}"/>
    <cellStyle name="******************************************" xfId="4" xr:uid="{7C8B12D3-B631-462E-992D-9CE2477EE747}"/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00CC"/>
      <color rgb="FF00B03C"/>
      <color rgb="FF487B79"/>
      <color rgb="FF0E56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egral">
  <a:themeElements>
    <a:clrScheme name="Integral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B9F25"/>
      </a:hlink>
      <a:folHlink>
        <a:srgbClr val="B26B02"/>
      </a:folHlink>
    </a:clrScheme>
    <a:fontScheme name="Inte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e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7A1EF-DD86-43F0-AF53-6181CD7220DC}">
  <sheetPr>
    <tabColor rgb="FF002060"/>
  </sheetPr>
  <dimension ref="A2:AL149"/>
  <sheetViews>
    <sheetView showGridLines="0" tabSelected="1" zoomScaleNormal="100" workbookViewId="0">
      <selection activeCell="E79" sqref="E79"/>
    </sheetView>
  </sheetViews>
  <sheetFormatPr defaultRowHeight="12" outlineLevelCol="2"/>
  <cols>
    <col min="1" max="1" width="1.625" style="5" bestFit="1" customWidth="1"/>
    <col min="2" max="2" width="36.25" style="5" customWidth="1"/>
    <col min="3" max="3" width="8.625" style="5" hidden="1" customWidth="1" outlineLevel="1"/>
    <col min="4" max="4" width="9" style="5" hidden="1" customWidth="1" outlineLevel="1"/>
    <col min="5" max="5" width="9" style="5" bestFit="1" customWidth="1" collapsed="1"/>
    <col min="6" max="7" width="9" style="5" bestFit="1" customWidth="1"/>
    <col min="8" max="8" width="1.5" style="5" customWidth="1"/>
    <col min="9" max="20" width="8.875" style="5" hidden="1" customWidth="1" outlineLevel="2"/>
    <col min="21" max="22" width="8.875" style="5" hidden="1" customWidth="1" outlineLevel="1"/>
    <col min="23" max="23" width="8.875" style="5" bestFit="1" customWidth="1" collapsed="1"/>
    <col min="24" max="27" width="8.875" style="5" bestFit="1" customWidth="1"/>
    <col min="28" max="28" width="1.5" style="5" customWidth="1"/>
    <col min="29" max="31" width="8.75" style="5" hidden="1" customWidth="1" outlineLevel="1"/>
    <col min="32" max="32" width="9" style="5" bestFit="1" customWidth="1" collapsed="1"/>
    <col min="33" max="35" width="9" style="5" hidden="1" customWidth="1" outlineLevel="1"/>
    <col min="36" max="36" width="9" style="5" bestFit="1" customWidth="1" collapsed="1"/>
    <col min="37" max="37" width="1.25" style="5" customWidth="1"/>
    <col min="38" max="38" width="8" style="5" bestFit="1" customWidth="1"/>
    <col min="39" max="39" width="1.375" style="5" customWidth="1"/>
    <col min="40" max="16384" width="9" style="5"/>
  </cols>
  <sheetData>
    <row r="2" spans="1:38" ht="12.75" customHeight="1">
      <c r="B2" s="1" t="s">
        <v>126</v>
      </c>
      <c r="C2" s="101"/>
      <c r="D2" s="101"/>
      <c r="E2" s="101"/>
      <c r="F2" s="101"/>
      <c r="G2" s="101"/>
      <c r="H2" s="3"/>
      <c r="I2" s="101"/>
      <c r="J2" s="101"/>
      <c r="K2" s="101"/>
      <c r="L2" s="101"/>
      <c r="M2" s="101"/>
      <c r="N2" s="101"/>
      <c r="O2" s="101"/>
      <c r="P2" s="101"/>
      <c r="Q2" s="101"/>
      <c r="R2" s="101"/>
      <c r="S2" s="101"/>
      <c r="T2" s="101"/>
      <c r="U2" s="101"/>
      <c r="V2" s="101"/>
      <c r="W2" s="101"/>
      <c r="X2" s="101"/>
      <c r="Y2" s="101"/>
      <c r="Z2" s="101"/>
      <c r="AA2" s="101"/>
      <c r="AB2" s="3"/>
      <c r="AC2" s="101"/>
      <c r="AD2" s="101"/>
      <c r="AE2" s="101"/>
      <c r="AF2" s="101"/>
      <c r="AG2" s="101"/>
      <c r="AH2" s="101"/>
      <c r="AI2" s="101"/>
      <c r="AJ2" s="101"/>
      <c r="AK2" s="3"/>
      <c r="AL2" s="1"/>
    </row>
    <row r="3" spans="1:38" ht="12.75" customHeight="1">
      <c r="B3" s="6" t="s">
        <v>73</v>
      </c>
      <c r="C3" s="7"/>
      <c r="D3" s="7"/>
      <c r="E3" s="7"/>
      <c r="F3" s="7"/>
      <c r="G3" s="7"/>
      <c r="H3" s="3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3"/>
      <c r="AC3" s="4"/>
      <c r="AD3" s="4"/>
      <c r="AE3" s="4"/>
      <c r="AF3" s="4"/>
      <c r="AG3" s="4"/>
      <c r="AH3" s="4"/>
      <c r="AI3" s="4"/>
      <c r="AJ3" s="4"/>
      <c r="AK3" s="3"/>
      <c r="AL3" s="1"/>
    </row>
    <row r="4" spans="1:38" ht="12.75" customHeight="1">
      <c r="B4" s="6" t="s">
        <v>127</v>
      </c>
      <c r="C4" s="3"/>
      <c r="D4" s="3"/>
      <c r="E4" s="3"/>
      <c r="F4" s="85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1"/>
    </row>
    <row r="6" spans="1:38" ht="12.75" customHeight="1">
      <c r="A6" s="5" t="s">
        <v>16</v>
      </c>
      <c r="B6" s="1" t="s">
        <v>71</v>
      </c>
      <c r="C6" s="2" t="s">
        <v>0</v>
      </c>
      <c r="D6" s="2" t="s">
        <v>0</v>
      </c>
      <c r="E6" s="2" t="s">
        <v>0</v>
      </c>
      <c r="F6" s="2"/>
      <c r="G6" s="2"/>
      <c r="H6" s="3"/>
      <c r="I6" s="2" t="s">
        <v>1</v>
      </c>
      <c r="J6" s="2"/>
      <c r="K6" s="2"/>
      <c r="L6" s="2"/>
      <c r="M6" s="2" t="s">
        <v>1</v>
      </c>
      <c r="N6" s="2"/>
      <c r="O6" s="2"/>
      <c r="P6" s="2"/>
      <c r="Q6" s="2" t="s">
        <v>1</v>
      </c>
      <c r="R6" s="2"/>
      <c r="S6" s="2"/>
      <c r="T6" s="2"/>
      <c r="U6" s="2"/>
      <c r="V6" s="2"/>
      <c r="W6" s="2" t="s">
        <v>1</v>
      </c>
      <c r="X6" s="2"/>
      <c r="Y6" s="2"/>
      <c r="Z6" s="2"/>
      <c r="AA6" s="2"/>
      <c r="AB6" s="3"/>
      <c r="AC6" s="2"/>
      <c r="AD6" s="2"/>
      <c r="AE6" s="2" t="s">
        <v>10</v>
      </c>
      <c r="AF6" s="2" t="s">
        <v>10</v>
      </c>
      <c r="AG6" s="2"/>
      <c r="AH6" s="2"/>
      <c r="AI6" s="2"/>
      <c r="AJ6" s="2"/>
      <c r="AK6" s="38"/>
      <c r="AL6" s="163" t="s">
        <v>22</v>
      </c>
    </row>
    <row r="7" spans="1:38" ht="12.75" customHeight="1">
      <c r="B7" s="6" t="s">
        <v>74</v>
      </c>
      <c r="C7" s="7">
        <v>2020</v>
      </c>
      <c r="D7" s="7">
        <v>2021</v>
      </c>
      <c r="E7" s="7">
        <v>2022</v>
      </c>
      <c r="F7" s="7">
        <v>2023</v>
      </c>
      <c r="G7" s="7">
        <v>2024</v>
      </c>
      <c r="H7" s="3"/>
      <c r="I7" s="4" t="s">
        <v>122</v>
      </c>
      <c r="J7" s="4" t="s">
        <v>121</v>
      </c>
      <c r="K7" s="4" t="s">
        <v>120</v>
      </c>
      <c r="L7" s="4" t="s">
        <v>119</v>
      </c>
      <c r="M7" s="4" t="s">
        <v>115</v>
      </c>
      <c r="N7" s="4" t="s">
        <v>116</v>
      </c>
      <c r="O7" s="4" t="s">
        <v>117</v>
      </c>
      <c r="P7" s="4" t="s">
        <v>114</v>
      </c>
      <c r="Q7" s="4" t="s">
        <v>6</v>
      </c>
      <c r="R7" s="4" t="s">
        <v>7</v>
      </c>
      <c r="S7" s="4" t="s">
        <v>8</v>
      </c>
      <c r="T7" s="4" t="s">
        <v>9</v>
      </c>
      <c r="U7" s="4" t="s">
        <v>2</v>
      </c>
      <c r="V7" s="4" t="s">
        <v>3</v>
      </c>
      <c r="W7" s="4" t="s">
        <v>4</v>
      </c>
      <c r="X7" s="4" t="s">
        <v>5</v>
      </c>
      <c r="Y7" s="4" t="s">
        <v>24</v>
      </c>
      <c r="Z7" s="4" t="s">
        <v>25</v>
      </c>
      <c r="AA7" s="4" t="s">
        <v>61</v>
      </c>
      <c r="AB7" s="3"/>
      <c r="AC7" s="4" t="str">
        <f t="shared" ref="AC7:AJ8" si="0">T7</f>
        <v>4Q23</v>
      </c>
      <c r="AD7" s="4" t="str">
        <f t="shared" si="0"/>
        <v>1Q24</v>
      </c>
      <c r="AE7" s="4" t="str">
        <f t="shared" si="0"/>
        <v>2Q24</v>
      </c>
      <c r="AF7" s="4" t="str">
        <f t="shared" si="0"/>
        <v>3Q24</v>
      </c>
      <c r="AG7" s="4" t="str">
        <f t="shared" si="0"/>
        <v>4Q24</v>
      </c>
      <c r="AH7" s="4" t="str">
        <f t="shared" si="0"/>
        <v>1Q25</v>
      </c>
      <c r="AI7" s="4" t="str">
        <f t="shared" si="0"/>
        <v>2Q25</v>
      </c>
      <c r="AJ7" s="4" t="str">
        <f t="shared" si="0"/>
        <v>3Q25</v>
      </c>
      <c r="AK7" s="38"/>
      <c r="AL7" s="163"/>
    </row>
    <row r="8" spans="1:38" ht="12.75" customHeight="1">
      <c r="B8" s="6" t="s">
        <v>75</v>
      </c>
      <c r="C8" s="3">
        <v>44196</v>
      </c>
      <c r="D8" s="3">
        <v>44561</v>
      </c>
      <c r="E8" s="3">
        <v>44926</v>
      </c>
      <c r="F8" s="85">
        <v>45291</v>
      </c>
      <c r="G8" s="85">
        <v>45657</v>
      </c>
      <c r="H8" s="3"/>
      <c r="I8" s="3">
        <v>44286</v>
      </c>
      <c r="J8" s="3">
        <v>44377</v>
      </c>
      <c r="K8" s="3">
        <v>44469</v>
      </c>
      <c r="L8" s="3">
        <f>D8</f>
        <v>44561</v>
      </c>
      <c r="M8" s="3">
        <v>44651</v>
      </c>
      <c r="N8" s="3">
        <v>44742</v>
      </c>
      <c r="O8" s="3">
        <v>44834</v>
      </c>
      <c r="P8" s="3">
        <f>E8</f>
        <v>44926</v>
      </c>
      <c r="Q8" s="3">
        <v>45016</v>
      </c>
      <c r="R8" s="3">
        <v>45107</v>
      </c>
      <c r="S8" s="3">
        <v>45199</v>
      </c>
      <c r="T8" s="3">
        <f>F8</f>
        <v>45291</v>
      </c>
      <c r="U8" s="3">
        <v>45382</v>
      </c>
      <c r="V8" s="3">
        <v>45473</v>
      </c>
      <c r="W8" s="3">
        <v>45565</v>
      </c>
      <c r="X8" s="3">
        <f>G8</f>
        <v>45657</v>
      </c>
      <c r="Y8" s="3">
        <v>45747</v>
      </c>
      <c r="Z8" s="3">
        <v>45838</v>
      </c>
      <c r="AA8" s="3">
        <v>45930</v>
      </c>
      <c r="AB8" s="3"/>
      <c r="AC8" s="3">
        <f t="shared" si="0"/>
        <v>45291</v>
      </c>
      <c r="AD8" s="3">
        <f t="shared" si="0"/>
        <v>45382</v>
      </c>
      <c r="AE8" s="3">
        <f t="shared" si="0"/>
        <v>45473</v>
      </c>
      <c r="AF8" s="3">
        <f t="shared" si="0"/>
        <v>45565</v>
      </c>
      <c r="AG8" s="3">
        <f t="shared" si="0"/>
        <v>45657</v>
      </c>
      <c r="AH8" s="3">
        <f t="shared" si="0"/>
        <v>45747</v>
      </c>
      <c r="AI8" s="3">
        <f t="shared" si="0"/>
        <v>45838</v>
      </c>
      <c r="AJ8" s="3">
        <f t="shared" si="0"/>
        <v>45930</v>
      </c>
      <c r="AK8" s="38"/>
      <c r="AL8" s="163"/>
    </row>
    <row r="9" spans="1:38" ht="5.0999999999999996" customHeight="1">
      <c r="AL9" s="100"/>
    </row>
    <row r="10" spans="1:38" ht="12.75" customHeight="1">
      <c r="B10" s="9" t="s">
        <v>56</v>
      </c>
      <c r="C10" s="95">
        <v>85965</v>
      </c>
      <c r="D10" s="95">
        <v>117929</v>
      </c>
      <c r="E10" s="95">
        <v>116609</v>
      </c>
      <c r="F10" s="95">
        <v>134902</v>
      </c>
      <c r="G10" s="95">
        <v>164501</v>
      </c>
      <c r="H10" s="11"/>
      <c r="I10" s="95">
        <v>26171</v>
      </c>
      <c r="J10" s="95">
        <v>29077</v>
      </c>
      <c r="K10" s="95">
        <v>29010</v>
      </c>
      <c r="L10" s="32">
        <f t="shared" ref="L10" si="1">SUM(D10-SUM(I10:K10))</f>
        <v>33671</v>
      </c>
      <c r="M10" s="95">
        <v>27908</v>
      </c>
      <c r="N10" s="95">
        <v>28822</v>
      </c>
      <c r="O10" s="95">
        <v>27714</v>
      </c>
      <c r="P10" s="32">
        <f t="shared" ref="P10" si="2">SUM(E10-SUM(M10:O10))</f>
        <v>32165</v>
      </c>
      <c r="Q10" s="95">
        <v>28645</v>
      </c>
      <c r="R10" s="95">
        <v>31999</v>
      </c>
      <c r="S10" s="95">
        <v>34146</v>
      </c>
      <c r="T10" s="32">
        <v>40112</v>
      </c>
      <c r="U10" s="95">
        <v>36455</v>
      </c>
      <c r="V10" s="95">
        <v>39071</v>
      </c>
      <c r="W10" s="95">
        <v>40589</v>
      </c>
      <c r="X10" s="32">
        <v>48386</v>
      </c>
      <c r="Y10" s="82">
        <v>42314</v>
      </c>
      <c r="Z10" s="82">
        <v>47516</v>
      </c>
      <c r="AA10" s="82">
        <v>51242</v>
      </c>
      <c r="AC10" s="32">
        <f t="shared" ref="AC10:AJ10" si="3">SUM(Q10:T10)</f>
        <v>134902</v>
      </c>
      <c r="AD10" s="32">
        <f t="shared" si="3"/>
        <v>142712</v>
      </c>
      <c r="AE10" s="32">
        <f t="shared" si="3"/>
        <v>149784</v>
      </c>
      <c r="AF10" s="32">
        <f t="shared" si="3"/>
        <v>156227</v>
      </c>
      <c r="AG10" s="32">
        <f t="shared" si="3"/>
        <v>164501</v>
      </c>
      <c r="AH10" s="32">
        <f t="shared" si="3"/>
        <v>170360</v>
      </c>
      <c r="AI10" s="32">
        <f t="shared" si="3"/>
        <v>178805</v>
      </c>
      <c r="AJ10" s="32">
        <f t="shared" si="3"/>
        <v>189458</v>
      </c>
      <c r="AK10" s="40"/>
      <c r="AL10" s="12">
        <f>SUM(AJ10/AF10)-1</f>
        <v>0.21270971086944002</v>
      </c>
    </row>
    <row r="11" spans="1:38" ht="12.75" customHeight="1">
      <c r="B11" s="13" t="s">
        <v>12</v>
      </c>
      <c r="C11" s="14">
        <f t="shared" ref="C11" si="4">+SUM(C10:C10)</f>
        <v>85965</v>
      </c>
      <c r="D11" s="14">
        <f t="shared" ref="D11:G11" si="5">+SUM(D10:D10)</f>
        <v>117929</v>
      </c>
      <c r="E11" s="14">
        <f t="shared" si="5"/>
        <v>116609</v>
      </c>
      <c r="F11" s="14">
        <f t="shared" si="5"/>
        <v>134902</v>
      </c>
      <c r="G11" s="14">
        <f t="shared" si="5"/>
        <v>164501</v>
      </c>
      <c r="H11" s="11"/>
      <c r="I11" s="14">
        <f t="shared" ref="I11:L11" si="6">+SUM(I10:I10)</f>
        <v>26171</v>
      </c>
      <c r="J11" s="14">
        <f t="shared" si="6"/>
        <v>29077</v>
      </c>
      <c r="K11" s="14">
        <f t="shared" si="6"/>
        <v>29010</v>
      </c>
      <c r="L11" s="14">
        <f t="shared" si="6"/>
        <v>33671</v>
      </c>
      <c r="M11" s="14">
        <f t="shared" ref="M11:P11" si="7">+SUM(M10:M10)</f>
        <v>27908</v>
      </c>
      <c r="N11" s="14">
        <f t="shared" ref="N11" si="8">+SUM(N10:N10)</f>
        <v>28822</v>
      </c>
      <c r="O11" s="14">
        <f t="shared" si="7"/>
        <v>27714</v>
      </c>
      <c r="P11" s="14">
        <f t="shared" si="7"/>
        <v>32165</v>
      </c>
      <c r="Q11" s="14">
        <f t="shared" ref="Q11:Z11" si="9">+SUM(Q10:Q10)</f>
        <v>28645</v>
      </c>
      <c r="R11" s="14">
        <f t="shared" si="9"/>
        <v>31999</v>
      </c>
      <c r="S11" s="14">
        <f t="shared" si="9"/>
        <v>34146</v>
      </c>
      <c r="T11" s="14">
        <f t="shared" si="9"/>
        <v>40112</v>
      </c>
      <c r="U11" s="14">
        <f t="shared" si="9"/>
        <v>36455</v>
      </c>
      <c r="V11" s="14">
        <f t="shared" si="9"/>
        <v>39071</v>
      </c>
      <c r="W11" s="14">
        <f t="shared" si="9"/>
        <v>40589</v>
      </c>
      <c r="X11" s="14">
        <f t="shared" si="9"/>
        <v>48386</v>
      </c>
      <c r="Y11" s="14">
        <f t="shared" si="9"/>
        <v>42314</v>
      </c>
      <c r="Z11" s="14">
        <f t="shared" si="9"/>
        <v>47516</v>
      </c>
      <c r="AA11" s="14">
        <f>+SUM(AA10:AA10)</f>
        <v>51242</v>
      </c>
      <c r="AC11" s="14">
        <f t="shared" ref="AC11:AI11" si="10">+SUM(AC10:AC10)</f>
        <v>134902</v>
      </c>
      <c r="AD11" s="14">
        <f t="shared" si="10"/>
        <v>142712</v>
      </c>
      <c r="AE11" s="14">
        <f t="shared" si="10"/>
        <v>149784</v>
      </c>
      <c r="AF11" s="14">
        <f t="shared" si="10"/>
        <v>156227</v>
      </c>
      <c r="AG11" s="14">
        <f t="shared" si="10"/>
        <v>164501</v>
      </c>
      <c r="AH11" s="14">
        <f t="shared" si="10"/>
        <v>170360</v>
      </c>
      <c r="AI11" s="14">
        <f t="shared" si="10"/>
        <v>178805</v>
      </c>
      <c r="AJ11" s="14">
        <f>+SUM(AJ10:AJ10)</f>
        <v>189458</v>
      </c>
      <c r="AK11" s="40"/>
      <c r="AL11" s="15">
        <f>SUM(AJ11/AF11)-1</f>
        <v>0.21270971086944002</v>
      </c>
    </row>
    <row r="12" spans="1:38" s="20" customFormat="1" ht="5.0999999999999996" customHeight="1">
      <c r="B12" s="18"/>
      <c r="C12" s="19"/>
      <c r="D12" s="19"/>
      <c r="E12" s="19"/>
      <c r="F12" s="19"/>
      <c r="G12" s="19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2"/>
      <c r="Z12" s="21"/>
      <c r="AA12" s="21"/>
      <c r="AL12" s="75"/>
    </row>
    <row r="13" spans="1:38" s="20" customFormat="1">
      <c r="B13" s="9" t="s">
        <v>118</v>
      </c>
      <c r="C13" s="82">
        <v>-16692</v>
      </c>
      <c r="D13" s="82">
        <v>-22649</v>
      </c>
      <c r="E13" s="82">
        <v>-25249</v>
      </c>
      <c r="F13" s="82">
        <v>-25959</v>
      </c>
      <c r="G13" s="82">
        <v>-30161</v>
      </c>
      <c r="H13" s="32"/>
      <c r="I13" s="82">
        <v>-5131</v>
      </c>
      <c r="J13" s="82">
        <v>-5399</v>
      </c>
      <c r="K13" s="82">
        <v>-5771</v>
      </c>
      <c r="L13" s="32">
        <f t="shared" ref="L13" si="11">SUM(D13-SUM(I13:K13))</f>
        <v>-6348</v>
      </c>
      <c r="M13" s="82">
        <v>-6005</v>
      </c>
      <c r="N13" s="82">
        <v>-5192</v>
      </c>
      <c r="O13" s="82">
        <v>-5716</v>
      </c>
      <c r="P13" s="32">
        <f t="shared" ref="P13" si="12">SUM(E13-SUM(M13:O13))</f>
        <v>-8336</v>
      </c>
      <c r="Q13" s="82">
        <v>-6108</v>
      </c>
      <c r="R13" s="82">
        <v>-5945</v>
      </c>
      <c r="S13" s="82">
        <v>-6210</v>
      </c>
      <c r="T13" s="32">
        <f t="shared" ref="T13" si="13">SUM(F13-SUM(Q13:S13))</f>
        <v>-7696</v>
      </c>
      <c r="U13" s="82">
        <v>-6640</v>
      </c>
      <c r="V13" s="82">
        <v>-7308</v>
      </c>
      <c r="W13" s="82">
        <v>-7375</v>
      </c>
      <c r="X13" s="32">
        <f t="shared" ref="X13" si="14">SUM(G13-SUM(U13:W13))</f>
        <v>-8838</v>
      </c>
      <c r="Y13" s="82">
        <v>-7572</v>
      </c>
      <c r="Z13" s="82">
        <v>-8491</v>
      </c>
      <c r="AA13" s="82">
        <v>-9206</v>
      </c>
      <c r="AB13" s="5"/>
      <c r="AC13" s="32">
        <f t="shared" ref="AC13:AJ13" si="15">SUM(Q13:T13)</f>
        <v>-25959</v>
      </c>
      <c r="AD13" s="32">
        <f t="shared" si="15"/>
        <v>-26491</v>
      </c>
      <c r="AE13" s="32">
        <f t="shared" si="15"/>
        <v>-27854</v>
      </c>
      <c r="AF13" s="32">
        <f t="shared" si="15"/>
        <v>-29019</v>
      </c>
      <c r="AG13" s="32">
        <f t="shared" si="15"/>
        <v>-30161</v>
      </c>
      <c r="AH13" s="32">
        <f t="shared" si="15"/>
        <v>-31093</v>
      </c>
      <c r="AI13" s="32">
        <f t="shared" si="15"/>
        <v>-32276</v>
      </c>
      <c r="AJ13" s="32">
        <f t="shared" si="15"/>
        <v>-34107</v>
      </c>
      <c r="AK13" s="11"/>
      <c r="AL13" s="75">
        <f t="shared" ref="AL13" si="16">SUM(AJ13/AF13)-1</f>
        <v>0.17533340225369587</v>
      </c>
    </row>
    <row r="14" spans="1:38" s="20" customFormat="1">
      <c r="B14" s="25" t="s">
        <v>20</v>
      </c>
      <c r="C14" s="26">
        <f>SUM(C11+C13)</f>
        <v>69273</v>
      </c>
      <c r="D14" s="26">
        <f t="shared" ref="D14:G14" si="17">SUM(D11+D13)</f>
        <v>95280</v>
      </c>
      <c r="E14" s="26">
        <f t="shared" si="17"/>
        <v>91360</v>
      </c>
      <c r="F14" s="26">
        <f t="shared" si="17"/>
        <v>108943</v>
      </c>
      <c r="G14" s="26">
        <f t="shared" si="17"/>
        <v>134340</v>
      </c>
      <c r="H14" s="32"/>
      <c r="I14" s="26">
        <f t="shared" ref="I14" si="18">SUM(I11+I13)</f>
        <v>21040</v>
      </c>
      <c r="J14" s="26">
        <f t="shared" ref="J14" si="19">SUM(J11+J13)</f>
        <v>23678</v>
      </c>
      <c r="K14" s="26">
        <f t="shared" ref="K14" si="20">SUM(K11+K13)</f>
        <v>23239</v>
      </c>
      <c r="L14" s="26">
        <f t="shared" ref="L14" si="21">SUM(L11+L13)</f>
        <v>27323</v>
      </c>
      <c r="M14" s="26">
        <f t="shared" ref="M14" si="22">SUM(M11+M13)</f>
        <v>21903</v>
      </c>
      <c r="N14" s="26">
        <f t="shared" ref="N14" si="23">SUM(N11+N13)</f>
        <v>23630</v>
      </c>
      <c r="O14" s="26">
        <f t="shared" ref="O14" si="24">SUM(O11+O13)</f>
        <v>21998</v>
      </c>
      <c r="P14" s="26">
        <f t="shared" ref="P14" si="25">SUM(P11+P13)</f>
        <v>23829</v>
      </c>
      <c r="Q14" s="26">
        <f t="shared" ref="Q14" si="26">SUM(Q11+Q13)</f>
        <v>22537</v>
      </c>
      <c r="R14" s="26">
        <f t="shared" ref="R14" si="27">SUM(R11+R13)</f>
        <v>26054</v>
      </c>
      <c r="S14" s="26">
        <f t="shared" ref="S14" si="28">SUM(S11+S13)</f>
        <v>27936</v>
      </c>
      <c r="T14" s="26">
        <f t="shared" ref="T14" si="29">SUM(T11+T13)</f>
        <v>32416</v>
      </c>
      <c r="U14" s="26">
        <f t="shared" ref="U14" si="30">SUM(U11+U13)</f>
        <v>29815</v>
      </c>
      <c r="V14" s="26">
        <f t="shared" ref="V14" si="31">SUM(V11+V13)</f>
        <v>31763</v>
      </c>
      <c r="W14" s="26">
        <f t="shared" ref="W14" si="32">SUM(W11+W13)</f>
        <v>33214</v>
      </c>
      <c r="X14" s="26">
        <f t="shared" ref="X14" si="33">SUM(X11+X13)</f>
        <v>39548</v>
      </c>
      <c r="Y14" s="26">
        <f t="shared" ref="Y14" si="34">SUM(Y11+Y13)</f>
        <v>34742</v>
      </c>
      <c r="Z14" s="26">
        <f t="shared" ref="Z14" si="35">SUM(Z11+Z13)</f>
        <v>39025</v>
      </c>
      <c r="AA14" s="26">
        <f t="shared" ref="AA14" si="36">SUM(AA11+AA13)</f>
        <v>42036</v>
      </c>
      <c r="AB14" s="5"/>
      <c r="AC14" s="26">
        <f t="shared" ref="AC14" si="37">SUM(AC11+AC13)</f>
        <v>108943</v>
      </c>
      <c r="AD14" s="26">
        <f t="shared" ref="AD14" si="38">SUM(AD11+AD13)</f>
        <v>116221</v>
      </c>
      <c r="AE14" s="26">
        <f t="shared" ref="AE14" si="39">SUM(AE11+AE13)</f>
        <v>121930</v>
      </c>
      <c r="AF14" s="26">
        <f t="shared" ref="AF14" si="40">SUM(AF11+AF13)</f>
        <v>127208</v>
      </c>
      <c r="AG14" s="26">
        <f t="shared" ref="AG14" si="41">SUM(AG11+AG13)</f>
        <v>134340</v>
      </c>
      <c r="AH14" s="26">
        <f t="shared" ref="AH14" si="42">SUM(AH11+AH13)</f>
        <v>139267</v>
      </c>
      <c r="AI14" s="26">
        <f t="shared" ref="AI14" si="43">SUM(AI11+AI13)</f>
        <v>146529</v>
      </c>
      <c r="AJ14" s="26">
        <f t="shared" ref="AJ14" si="44">SUM(AJ11+AJ13)</f>
        <v>155351</v>
      </c>
      <c r="AK14" s="11"/>
      <c r="AL14" s="76">
        <f>SUM(AJ14/AF14)-1</f>
        <v>0.22123608578076848</v>
      </c>
    </row>
    <row r="15" spans="1:38" s="20" customFormat="1">
      <c r="B15" s="16" t="s">
        <v>29</v>
      </c>
      <c r="C15" s="17">
        <f>C14/C11</f>
        <v>0.80582795323678236</v>
      </c>
      <c r="D15" s="17">
        <f t="shared" ref="D15:G15" si="45">D14/D11</f>
        <v>0.80794376277251567</v>
      </c>
      <c r="E15" s="17">
        <f t="shared" si="45"/>
        <v>0.78347297378418479</v>
      </c>
      <c r="F15" s="17">
        <f t="shared" si="45"/>
        <v>0.8075714222176098</v>
      </c>
      <c r="G15" s="17">
        <f t="shared" si="45"/>
        <v>0.81665157050717019</v>
      </c>
      <c r="H15" s="32"/>
      <c r="I15" s="17">
        <f t="shared" ref="I15" si="46">I14/I11</f>
        <v>0.80394329601467274</v>
      </c>
      <c r="J15" s="17">
        <f t="shared" ref="J15" si="47">J14/J11</f>
        <v>0.81432059703545756</v>
      </c>
      <c r="K15" s="17">
        <f t="shared" ref="K15" si="48">K14/K11</f>
        <v>0.80106859703550504</v>
      </c>
      <c r="L15" s="17">
        <f t="shared" ref="L15" si="49">L14/L11</f>
        <v>0.81146981081642955</v>
      </c>
      <c r="M15" s="17">
        <f t="shared" ref="M15" si="50">M14/M11</f>
        <v>0.78482872294682526</v>
      </c>
      <c r="N15" s="17">
        <f t="shared" ref="N15" si="51">N14/N11</f>
        <v>0.81985982929706469</v>
      </c>
      <c r="O15" s="17">
        <f t="shared" ref="O15" si="52">O14/O11</f>
        <v>0.79375045103557773</v>
      </c>
      <c r="P15" s="17">
        <f t="shared" ref="P15" si="53">P14/P11</f>
        <v>0.74083631276231932</v>
      </c>
      <c r="Q15" s="17">
        <f t="shared" ref="Q15" si="54">Q14/Q11</f>
        <v>0.7867690696456624</v>
      </c>
      <c r="R15" s="17">
        <f t="shared" ref="R15" si="55">R14/R11</f>
        <v>0.81421294415450485</v>
      </c>
      <c r="S15" s="17">
        <f t="shared" ref="S15" si="56">S14/S11</f>
        <v>0.81813389562467054</v>
      </c>
      <c r="T15" s="17">
        <f t="shared" ref="T15" si="57">T14/T11</f>
        <v>0.8081372157957718</v>
      </c>
      <c r="U15" s="17">
        <f t="shared" ref="U15" si="58">U14/U11</f>
        <v>0.81785763269784661</v>
      </c>
      <c r="V15" s="17">
        <f t="shared" ref="V15" si="59">V14/V11</f>
        <v>0.81295590079598679</v>
      </c>
      <c r="W15" s="17">
        <f t="shared" ref="W15" si="60">W14/W11</f>
        <v>0.81830052477272164</v>
      </c>
      <c r="X15" s="17">
        <f t="shared" ref="X15" si="61">X14/X11</f>
        <v>0.81734385979415536</v>
      </c>
      <c r="Y15" s="17">
        <f t="shared" ref="Y15" si="62">Y14/Y11</f>
        <v>0.82105213404546962</v>
      </c>
      <c r="Z15" s="17">
        <f t="shared" ref="Z15" si="63">Z14/Z11</f>
        <v>0.82130229817324696</v>
      </c>
      <c r="AA15" s="17">
        <f t="shared" ref="AA15" si="64">AA14/AA11</f>
        <v>0.82034268763904605</v>
      </c>
      <c r="AB15" s="5"/>
      <c r="AC15" s="17">
        <f t="shared" ref="AC15" si="65">AC14/AC11</f>
        <v>0.8075714222176098</v>
      </c>
      <c r="AD15" s="17">
        <f t="shared" ref="AD15" si="66">AD14/AD11</f>
        <v>0.81437440439486519</v>
      </c>
      <c r="AE15" s="17">
        <f t="shared" ref="AE15" si="67">AE14/AE11</f>
        <v>0.81403888265769375</v>
      </c>
      <c r="AF15" s="17">
        <f t="shared" ref="AF15" si="68">AF14/AF11</f>
        <v>0.81425105775570161</v>
      </c>
      <c r="AG15" s="17">
        <f t="shared" ref="AG15" si="69">AG14/AG11</f>
        <v>0.81665157050717019</v>
      </c>
      <c r="AH15" s="17">
        <f t="shared" ref="AH15" si="70">AH14/AH11</f>
        <v>0.81748649917821081</v>
      </c>
      <c r="AI15" s="17">
        <f t="shared" ref="AI15" si="71">AI14/AI11</f>
        <v>0.81949050641760579</v>
      </c>
      <c r="AJ15" s="17">
        <f t="shared" ref="AJ15" si="72">AJ14/AJ11</f>
        <v>0.81997593134098323</v>
      </c>
      <c r="AK15" s="11"/>
      <c r="AL15" s="77">
        <f>SUM(AJ15-AF15)*1000</f>
        <v>5.7248735852816202</v>
      </c>
    </row>
    <row r="16" spans="1:38" s="20" customFormat="1" ht="5.0999999999999996" customHeight="1">
      <c r="B16" s="18"/>
      <c r="C16" s="19"/>
      <c r="D16" s="19"/>
      <c r="E16" s="19"/>
      <c r="F16" s="19"/>
      <c r="G16" s="19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2"/>
      <c r="Z16" s="21"/>
      <c r="AA16" s="21"/>
      <c r="AL16" s="75"/>
    </row>
    <row r="17" spans="2:38" ht="12.75" customHeight="1">
      <c r="B17" s="9" t="s">
        <v>147</v>
      </c>
      <c r="C17" s="82">
        <v>-18447</v>
      </c>
      <c r="D17" s="82">
        <v>-24655</v>
      </c>
      <c r="E17" s="82">
        <v>-35338</v>
      </c>
      <c r="F17" s="82">
        <v>-38483</v>
      </c>
      <c r="G17" s="82">
        <v>-43873</v>
      </c>
      <c r="H17" s="32"/>
      <c r="I17" s="82">
        <v>-5197</v>
      </c>
      <c r="J17" s="82">
        <v>-6096</v>
      </c>
      <c r="K17" s="82">
        <v>-6316</v>
      </c>
      <c r="L17" s="32">
        <f t="shared" ref="L17:L19" si="73">SUM(D17-SUM(I17:K17))</f>
        <v>-7046</v>
      </c>
      <c r="M17" s="82">
        <v>-7707</v>
      </c>
      <c r="N17" s="82">
        <v>-8690</v>
      </c>
      <c r="O17" s="82">
        <v>-9170</v>
      </c>
      <c r="P17" s="32">
        <f t="shared" ref="P17:P19" si="74">SUM(E17-SUM(M17:O17))</f>
        <v>-9771</v>
      </c>
      <c r="Q17" s="82">
        <v>-9381</v>
      </c>
      <c r="R17" s="82">
        <v>-9344</v>
      </c>
      <c r="S17" s="82">
        <v>-9241</v>
      </c>
      <c r="T17" s="32">
        <f t="shared" ref="T17:T19" si="75">SUM(F17-SUM(Q17:S17))</f>
        <v>-10517</v>
      </c>
      <c r="U17" s="82">
        <v>-9978</v>
      </c>
      <c r="V17" s="82">
        <v>-10537</v>
      </c>
      <c r="W17" s="82">
        <v>-11177</v>
      </c>
      <c r="X17" s="32">
        <f t="shared" ref="X17:X19" si="76">SUM(G17-SUM(U17:W17))</f>
        <v>-12181</v>
      </c>
      <c r="Y17" s="82">
        <v>-12150</v>
      </c>
      <c r="Z17" s="82">
        <v>-12942</v>
      </c>
      <c r="AA17" s="82">
        <v>-15144</v>
      </c>
      <c r="AC17" s="32">
        <f t="shared" ref="AC17:AJ19" si="77">SUM(Q17:T17)</f>
        <v>-38483</v>
      </c>
      <c r="AD17" s="32">
        <f t="shared" si="77"/>
        <v>-39080</v>
      </c>
      <c r="AE17" s="32">
        <f t="shared" si="77"/>
        <v>-40273</v>
      </c>
      <c r="AF17" s="32">
        <f t="shared" si="77"/>
        <v>-42209</v>
      </c>
      <c r="AG17" s="32">
        <f t="shared" si="77"/>
        <v>-43873</v>
      </c>
      <c r="AH17" s="32">
        <f t="shared" si="77"/>
        <v>-46045</v>
      </c>
      <c r="AI17" s="32">
        <f t="shared" si="77"/>
        <v>-48450</v>
      </c>
      <c r="AJ17" s="32">
        <f t="shared" si="77"/>
        <v>-52417</v>
      </c>
      <c r="AK17" s="11"/>
      <c r="AL17" s="75">
        <f>SUM(AJ17/AF17)-1</f>
        <v>0.24184415645952284</v>
      </c>
    </row>
    <row r="18" spans="2:38" ht="12.75" customHeight="1">
      <c r="B18" s="9" t="s">
        <v>148</v>
      </c>
      <c r="C18" s="82">
        <v>-11591</v>
      </c>
      <c r="D18" s="82">
        <v>-14043</v>
      </c>
      <c r="E18" s="82">
        <v>-15262</v>
      </c>
      <c r="F18" s="82">
        <v>-12301</v>
      </c>
      <c r="G18" s="82">
        <v>-11347</v>
      </c>
      <c r="H18" s="32"/>
      <c r="I18" s="82">
        <v>-2843</v>
      </c>
      <c r="J18" s="82">
        <v>-3259</v>
      </c>
      <c r="K18" s="82">
        <v>-3554</v>
      </c>
      <c r="L18" s="32">
        <f t="shared" si="73"/>
        <v>-4387</v>
      </c>
      <c r="M18" s="82">
        <v>-3312</v>
      </c>
      <c r="N18" s="82">
        <v>-3595</v>
      </c>
      <c r="O18" s="82">
        <v>-3780</v>
      </c>
      <c r="P18" s="32">
        <f t="shared" si="74"/>
        <v>-4575</v>
      </c>
      <c r="Q18" s="82">
        <v>-3044</v>
      </c>
      <c r="R18" s="82">
        <v>-3154</v>
      </c>
      <c r="S18" s="82">
        <v>-2877</v>
      </c>
      <c r="T18" s="32">
        <f t="shared" si="75"/>
        <v>-3226</v>
      </c>
      <c r="U18" s="82">
        <v>-2564</v>
      </c>
      <c r="V18" s="82">
        <v>-2721</v>
      </c>
      <c r="W18" s="82">
        <v>-2822</v>
      </c>
      <c r="X18" s="32">
        <f t="shared" si="76"/>
        <v>-3240</v>
      </c>
      <c r="Y18" s="82">
        <v>-2757</v>
      </c>
      <c r="Z18" s="82">
        <v>-2979</v>
      </c>
      <c r="AA18" s="82">
        <v>-2845</v>
      </c>
      <c r="AC18" s="32">
        <f t="shared" si="77"/>
        <v>-12301</v>
      </c>
      <c r="AD18" s="32">
        <f t="shared" si="77"/>
        <v>-11821</v>
      </c>
      <c r="AE18" s="32">
        <f t="shared" si="77"/>
        <v>-11388</v>
      </c>
      <c r="AF18" s="32">
        <f t="shared" si="77"/>
        <v>-11333</v>
      </c>
      <c r="AG18" s="32">
        <f t="shared" si="77"/>
        <v>-11347</v>
      </c>
      <c r="AH18" s="32">
        <f t="shared" si="77"/>
        <v>-11540</v>
      </c>
      <c r="AI18" s="32">
        <f t="shared" si="77"/>
        <v>-11798</v>
      </c>
      <c r="AJ18" s="32">
        <f t="shared" si="77"/>
        <v>-11821</v>
      </c>
      <c r="AK18" s="11"/>
      <c r="AL18" s="75">
        <f t="shared" ref="AL18:AL19" si="78">SUM(AJ18/AF18)-1</f>
        <v>4.3060090002647211E-2</v>
      </c>
    </row>
    <row r="19" spans="2:38" ht="12.75" customHeight="1">
      <c r="B19" s="9" t="s">
        <v>149</v>
      </c>
      <c r="C19" s="82">
        <v>-6564</v>
      </c>
      <c r="D19" s="82">
        <v>-9829</v>
      </c>
      <c r="E19" s="82">
        <v>-11816</v>
      </c>
      <c r="F19" s="82">
        <v>-11408</v>
      </c>
      <c r="G19" s="82">
        <v>-9740</v>
      </c>
      <c r="H19" s="32"/>
      <c r="I19" s="82">
        <v>-1622</v>
      </c>
      <c r="J19" s="82">
        <v>-1956</v>
      </c>
      <c r="K19" s="82">
        <v>-2946</v>
      </c>
      <c r="L19" s="32">
        <f t="shared" si="73"/>
        <v>-3305</v>
      </c>
      <c r="M19" s="82">
        <v>-2360</v>
      </c>
      <c r="N19" s="82">
        <v>-2987</v>
      </c>
      <c r="O19" s="82">
        <v>-3384</v>
      </c>
      <c r="P19" s="32">
        <f t="shared" si="74"/>
        <v>-3085</v>
      </c>
      <c r="Q19" s="82">
        <v>-2885</v>
      </c>
      <c r="R19" s="82">
        <v>-4164</v>
      </c>
      <c r="S19" s="82">
        <v>-2070</v>
      </c>
      <c r="T19" s="32">
        <f t="shared" si="75"/>
        <v>-2289</v>
      </c>
      <c r="U19" s="82">
        <v>-3455</v>
      </c>
      <c r="V19" s="82">
        <v>-3658</v>
      </c>
      <c r="W19" s="82">
        <v>-1865</v>
      </c>
      <c r="X19" s="32">
        <f t="shared" si="76"/>
        <v>-762</v>
      </c>
      <c r="Y19" s="82">
        <v>-2280</v>
      </c>
      <c r="Z19" s="82">
        <v>-2663</v>
      </c>
      <c r="AA19" s="82">
        <v>-3512</v>
      </c>
      <c r="AC19" s="32">
        <f t="shared" si="77"/>
        <v>-11408</v>
      </c>
      <c r="AD19" s="32">
        <f t="shared" si="77"/>
        <v>-11978</v>
      </c>
      <c r="AE19" s="32">
        <f t="shared" si="77"/>
        <v>-11472</v>
      </c>
      <c r="AF19" s="32">
        <f t="shared" si="77"/>
        <v>-11267</v>
      </c>
      <c r="AG19" s="32">
        <f t="shared" si="77"/>
        <v>-9740</v>
      </c>
      <c r="AH19" s="32">
        <f t="shared" si="77"/>
        <v>-8565</v>
      </c>
      <c r="AI19" s="32">
        <f t="shared" si="77"/>
        <v>-7570</v>
      </c>
      <c r="AJ19" s="32">
        <f t="shared" si="77"/>
        <v>-9217</v>
      </c>
      <c r="AK19" s="11"/>
      <c r="AL19" s="75">
        <f t="shared" si="78"/>
        <v>-0.1819472796662821</v>
      </c>
    </row>
    <row r="20" spans="2:38" ht="12.75" customHeight="1">
      <c r="B20" s="25" t="s">
        <v>76</v>
      </c>
      <c r="C20" s="26">
        <f>+SUM(C14+SUM(C17:C19))</f>
        <v>32671</v>
      </c>
      <c r="D20" s="26">
        <f t="shared" ref="D20:G20" si="79">+SUM(D14+SUM(D17:D19))</f>
        <v>46753</v>
      </c>
      <c r="E20" s="26">
        <f t="shared" si="79"/>
        <v>28944</v>
      </c>
      <c r="F20" s="26">
        <f t="shared" si="79"/>
        <v>46751</v>
      </c>
      <c r="G20" s="26">
        <f t="shared" si="79"/>
        <v>69380</v>
      </c>
      <c r="H20" s="32"/>
      <c r="I20" s="26">
        <f t="shared" ref="I20" si="80">+SUM(I14+SUM(I17:I19))</f>
        <v>11378</v>
      </c>
      <c r="J20" s="26">
        <f t="shared" ref="J20" si="81">+SUM(J14+SUM(J17:J19))</f>
        <v>12367</v>
      </c>
      <c r="K20" s="26">
        <f t="shared" ref="K20" si="82">+SUM(K14+SUM(K17:K19))</f>
        <v>10423</v>
      </c>
      <c r="L20" s="26">
        <f t="shared" ref="L20" si="83">+SUM(L14+SUM(L17:L19))</f>
        <v>12585</v>
      </c>
      <c r="M20" s="26">
        <f t="shared" ref="M20" si="84">+SUM(M14+SUM(M17:M19))</f>
        <v>8524</v>
      </c>
      <c r="N20" s="26">
        <f t="shared" ref="N20" si="85">+SUM(N14+SUM(N17:N19))</f>
        <v>8358</v>
      </c>
      <c r="O20" s="26">
        <f t="shared" ref="O20" si="86">+SUM(O14+SUM(O17:O19))</f>
        <v>5664</v>
      </c>
      <c r="P20" s="26">
        <f t="shared" ref="P20" si="87">+SUM(P14+SUM(P17:P19))</f>
        <v>6398</v>
      </c>
      <c r="Q20" s="26">
        <f t="shared" ref="Q20" si="88">+SUM(Q14+SUM(Q17:Q19))</f>
        <v>7227</v>
      </c>
      <c r="R20" s="26">
        <f t="shared" ref="R20" si="89">+SUM(R14+SUM(R17:R19))</f>
        <v>9392</v>
      </c>
      <c r="S20" s="26">
        <f t="shared" ref="S20" si="90">+SUM(S14+SUM(S17:S19))</f>
        <v>13748</v>
      </c>
      <c r="T20" s="26">
        <f t="shared" ref="T20" si="91">+SUM(T14+SUM(T17:T19))</f>
        <v>16384</v>
      </c>
      <c r="U20" s="26">
        <f t="shared" ref="U20" si="92">+SUM(U14+SUM(U17:U19))</f>
        <v>13818</v>
      </c>
      <c r="V20" s="26">
        <f t="shared" ref="V20" si="93">+SUM(V14+SUM(V17:V19))</f>
        <v>14847</v>
      </c>
      <c r="W20" s="26">
        <f t="shared" ref="W20" si="94">+SUM(W14+SUM(W17:W19))</f>
        <v>17350</v>
      </c>
      <c r="X20" s="26">
        <f t="shared" ref="X20" si="95">+SUM(X14+SUM(X17:X19))</f>
        <v>23365</v>
      </c>
      <c r="Y20" s="26">
        <f t="shared" ref="Y20" si="96">+SUM(Y14+SUM(Y17:Y19))</f>
        <v>17555</v>
      </c>
      <c r="Z20" s="26">
        <f t="shared" ref="Z20" si="97">+SUM(Z14+SUM(Z17:Z19))</f>
        <v>20441</v>
      </c>
      <c r="AA20" s="26">
        <f t="shared" ref="AA20" si="98">+SUM(AA14+SUM(AA17:AA19))</f>
        <v>20535</v>
      </c>
      <c r="AC20" s="26">
        <f t="shared" ref="AC20" si="99">+SUM(AC14+SUM(AC17:AC19))</f>
        <v>46751</v>
      </c>
      <c r="AD20" s="26">
        <f t="shared" ref="AD20" si="100">+SUM(AD14+SUM(AD17:AD19))</f>
        <v>53342</v>
      </c>
      <c r="AE20" s="26">
        <f t="shared" ref="AE20" si="101">+SUM(AE14+SUM(AE17:AE19))</f>
        <v>58797</v>
      </c>
      <c r="AF20" s="26">
        <f t="shared" ref="AF20" si="102">+SUM(AF14+SUM(AF17:AF19))</f>
        <v>62399</v>
      </c>
      <c r="AG20" s="26">
        <f t="shared" ref="AG20" si="103">+SUM(AG14+SUM(AG17:AG19))</f>
        <v>69380</v>
      </c>
      <c r="AH20" s="26">
        <f t="shared" ref="AH20" si="104">+SUM(AH14+SUM(AH17:AH19))</f>
        <v>73117</v>
      </c>
      <c r="AI20" s="26">
        <f t="shared" ref="AI20" si="105">+SUM(AI14+SUM(AI17:AI19))</f>
        <v>78711</v>
      </c>
      <c r="AJ20" s="26">
        <f t="shared" ref="AJ20" si="106">+SUM(AJ14+SUM(AJ17:AJ19))</f>
        <v>81896</v>
      </c>
      <c r="AK20" s="11"/>
      <c r="AL20" s="76">
        <f>SUM(AJ20/AF20)-1</f>
        <v>0.31245693039952571</v>
      </c>
    </row>
    <row r="21" spans="2:38" ht="12.75" customHeight="1">
      <c r="B21" s="16" t="s">
        <v>31</v>
      </c>
      <c r="C21" s="17">
        <f>C20/C11</f>
        <v>0.3800500203571221</v>
      </c>
      <c r="D21" s="17">
        <f>D20/D11</f>
        <v>0.39645040660058173</v>
      </c>
      <c r="E21" s="17">
        <f>E20/E11</f>
        <v>0.24821411726367604</v>
      </c>
      <c r="F21" s="17">
        <f>F20/F11</f>
        <v>0.34655527716416362</v>
      </c>
      <c r="G21" s="17">
        <f>G20/G11</f>
        <v>0.42176035404040096</v>
      </c>
      <c r="H21" s="32"/>
      <c r="I21" s="17">
        <f t="shared" ref="I21:AA21" si="107">I20/I11</f>
        <v>0.43475602766420846</v>
      </c>
      <c r="J21" s="17">
        <f t="shared" si="107"/>
        <v>0.42531898063761736</v>
      </c>
      <c r="K21" s="17">
        <f t="shared" si="107"/>
        <v>0.35928990003447087</v>
      </c>
      <c r="L21" s="17">
        <f t="shared" si="107"/>
        <v>0.37376377297971547</v>
      </c>
      <c r="M21" s="17">
        <f t="shared" si="107"/>
        <v>0.30543213415508097</v>
      </c>
      <c r="N21" s="17">
        <f t="shared" si="107"/>
        <v>0.28998681562695161</v>
      </c>
      <c r="O21" s="17">
        <f t="shared" si="107"/>
        <v>0.20437324096124701</v>
      </c>
      <c r="P21" s="17">
        <f t="shared" si="107"/>
        <v>0.19891186071817193</v>
      </c>
      <c r="Q21" s="17">
        <f t="shared" si="107"/>
        <v>0.25229533950078548</v>
      </c>
      <c r="R21" s="17">
        <f t="shared" si="107"/>
        <v>0.29350917216163003</v>
      </c>
      <c r="S21" s="17">
        <f t="shared" si="107"/>
        <v>0.40262402624026239</v>
      </c>
      <c r="T21" s="17">
        <f t="shared" si="107"/>
        <v>0.40845632229756679</v>
      </c>
      <c r="U21" s="17">
        <f t="shared" si="107"/>
        <v>0.37904265532848719</v>
      </c>
      <c r="V21" s="17">
        <f t="shared" si="107"/>
        <v>0.38000051188861306</v>
      </c>
      <c r="W21" s="17">
        <f t="shared" si="107"/>
        <v>0.4274557146024785</v>
      </c>
      <c r="X21" s="17">
        <f t="shared" si="107"/>
        <v>0.48288761211920805</v>
      </c>
      <c r="Y21" s="17">
        <f t="shared" si="107"/>
        <v>0.41487450961856598</v>
      </c>
      <c r="Z21" s="17">
        <f t="shared" si="107"/>
        <v>0.43019193534809325</v>
      </c>
      <c r="AA21" s="17">
        <f t="shared" si="107"/>
        <v>0.4007454822216151</v>
      </c>
      <c r="AC21" s="17">
        <f t="shared" ref="AC21:AJ21" si="108">AC20/AC11</f>
        <v>0.34655527716416362</v>
      </c>
      <c r="AD21" s="17">
        <f t="shared" si="108"/>
        <v>0.37377375413420033</v>
      </c>
      <c r="AE21" s="17">
        <f t="shared" si="108"/>
        <v>0.39254526518186189</v>
      </c>
      <c r="AF21" s="17">
        <f t="shared" si="108"/>
        <v>0.39941239350432384</v>
      </c>
      <c r="AG21" s="17">
        <f t="shared" si="108"/>
        <v>0.42176035404040096</v>
      </c>
      <c r="AH21" s="17">
        <f t="shared" si="108"/>
        <v>0.42919112467715426</v>
      </c>
      <c r="AI21" s="17">
        <f t="shared" si="108"/>
        <v>0.4402058107994743</v>
      </c>
      <c r="AJ21" s="17">
        <f t="shared" si="108"/>
        <v>0.43226467079774938</v>
      </c>
      <c r="AK21" s="11"/>
      <c r="AL21" s="77">
        <f>SUM(AJ21-AF21)*1000</f>
        <v>32.852277293425544</v>
      </c>
    </row>
    <row r="22" spans="2:38" ht="5.0999999999999996" customHeight="1">
      <c r="B22" s="16"/>
      <c r="C22" s="17"/>
      <c r="D22" s="17"/>
      <c r="E22" s="17"/>
      <c r="F22" s="17"/>
      <c r="G22" s="17"/>
      <c r="H22" s="3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2"/>
      <c r="V22" s="82"/>
      <c r="W22" s="82"/>
      <c r="X22" s="82"/>
      <c r="Y22" s="32"/>
      <c r="Z22" s="82"/>
      <c r="AA22" s="82"/>
      <c r="AC22" s="32"/>
      <c r="AD22" s="32"/>
      <c r="AE22" s="32"/>
      <c r="AF22" s="32"/>
      <c r="AG22" s="32"/>
      <c r="AH22" s="32"/>
      <c r="AI22" s="32"/>
      <c r="AJ22" s="32"/>
      <c r="AK22" s="11"/>
      <c r="AL22" s="75"/>
    </row>
    <row r="23" spans="2:38" ht="12.75" customHeight="1">
      <c r="B23" s="9" t="s">
        <v>150</v>
      </c>
      <c r="C23" s="82">
        <v>509</v>
      </c>
      <c r="D23" s="82">
        <v>531</v>
      </c>
      <c r="E23" s="82">
        <v>-125</v>
      </c>
      <c r="F23" s="82">
        <v>677</v>
      </c>
      <c r="G23" s="82">
        <v>1283</v>
      </c>
      <c r="H23" s="32"/>
      <c r="I23" s="82">
        <v>125</v>
      </c>
      <c r="J23" s="82">
        <v>146</v>
      </c>
      <c r="K23" s="82">
        <v>142</v>
      </c>
      <c r="L23" s="32">
        <f t="shared" ref="L23" si="109">SUM(D23-SUM(I23:K23))</f>
        <v>118</v>
      </c>
      <c r="M23" s="82">
        <v>384</v>
      </c>
      <c r="N23" s="82">
        <v>-172</v>
      </c>
      <c r="O23" s="82">
        <v>-88</v>
      </c>
      <c r="P23" s="32">
        <f t="shared" ref="P23" si="110">SUM(E23-SUM(M23:O23))</f>
        <v>-249</v>
      </c>
      <c r="Q23" s="82">
        <v>80</v>
      </c>
      <c r="R23" s="82">
        <v>-99</v>
      </c>
      <c r="S23" s="82">
        <v>272</v>
      </c>
      <c r="T23" s="32">
        <f t="shared" ref="T23" si="111">SUM(F23-SUM(Q23:S23))</f>
        <v>424</v>
      </c>
      <c r="U23" s="82">
        <v>365</v>
      </c>
      <c r="V23" s="82">
        <v>259</v>
      </c>
      <c r="W23" s="82">
        <v>472</v>
      </c>
      <c r="X23" s="32">
        <f t="shared" ref="X23" si="112">SUM(G23-SUM(U23:W23))</f>
        <v>187</v>
      </c>
      <c r="Y23" s="82">
        <v>827</v>
      </c>
      <c r="Z23" s="82">
        <v>93</v>
      </c>
      <c r="AA23" s="82">
        <v>1128</v>
      </c>
      <c r="AC23" s="32">
        <f t="shared" ref="AC23:AJ23" si="113">SUM(Q23:T23)</f>
        <v>677</v>
      </c>
      <c r="AD23" s="32">
        <f t="shared" si="113"/>
        <v>962</v>
      </c>
      <c r="AE23" s="32">
        <f t="shared" si="113"/>
        <v>1320</v>
      </c>
      <c r="AF23" s="32">
        <f t="shared" si="113"/>
        <v>1520</v>
      </c>
      <c r="AG23" s="32">
        <f t="shared" si="113"/>
        <v>1283</v>
      </c>
      <c r="AH23" s="32">
        <f t="shared" si="113"/>
        <v>1745</v>
      </c>
      <c r="AI23" s="32">
        <f t="shared" si="113"/>
        <v>1579</v>
      </c>
      <c r="AJ23" s="32">
        <f t="shared" si="113"/>
        <v>2235</v>
      </c>
      <c r="AK23" s="11"/>
      <c r="AL23" s="75">
        <f t="shared" ref="AL23" si="114">SUM(AJ23/AF23)-1</f>
        <v>0.47039473684210531</v>
      </c>
    </row>
    <row r="24" spans="2:38" ht="12.75" customHeight="1">
      <c r="B24" s="25" t="s">
        <v>108</v>
      </c>
      <c r="C24" s="26">
        <f>SUM(C20+SUM(C23:C23))</f>
        <v>33180</v>
      </c>
      <c r="D24" s="26">
        <f>SUM(D20+SUM(D23:D23))</f>
        <v>47284</v>
      </c>
      <c r="E24" s="26">
        <f>SUM(E20+SUM(E23:E23))</f>
        <v>28819</v>
      </c>
      <c r="F24" s="26">
        <f>SUM(F20+SUM(F23:F23))</f>
        <v>47428</v>
      </c>
      <c r="G24" s="26">
        <f>SUM(G20+SUM(G23:G23))</f>
        <v>70663</v>
      </c>
      <c r="I24" s="26">
        <f t="shared" ref="I24:AA24" si="115">SUM(I20+SUM(I23:I23))</f>
        <v>11503</v>
      </c>
      <c r="J24" s="26">
        <f t="shared" si="115"/>
        <v>12513</v>
      </c>
      <c r="K24" s="26">
        <f t="shared" si="115"/>
        <v>10565</v>
      </c>
      <c r="L24" s="26">
        <f t="shared" si="115"/>
        <v>12703</v>
      </c>
      <c r="M24" s="26">
        <f t="shared" si="115"/>
        <v>8908</v>
      </c>
      <c r="N24" s="26">
        <f t="shared" si="115"/>
        <v>8186</v>
      </c>
      <c r="O24" s="26">
        <f t="shared" si="115"/>
        <v>5576</v>
      </c>
      <c r="P24" s="26">
        <f t="shared" si="115"/>
        <v>6149</v>
      </c>
      <c r="Q24" s="26">
        <f t="shared" si="115"/>
        <v>7307</v>
      </c>
      <c r="R24" s="26">
        <f t="shared" si="115"/>
        <v>9293</v>
      </c>
      <c r="S24" s="26">
        <f t="shared" si="115"/>
        <v>14020</v>
      </c>
      <c r="T24" s="26">
        <f t="shared" si="115"/>
        <v>16808</v>
      </c>
      <c r="U24" s="26">
        <f t="shared" si="115"/>
        <v>14183</v>
      </c>
      <c r="V24" s="26">
        <f t="shared" si="115"/>
        <v>15106</v>
      </c>
      <c r="W24" s="26">
        <f t="shared" si="115"/>
        <v>17822</v>
      </c>
      <c r="X24" s="26">
        <f t="shared" si="115"/>
        <v>23552</v>
      </c>
      <c r="Y24" s="26">
        <f t="shared" si="115"/>
        <v>18382</v>
      </c>
      <c r="Z24" s="26">
        <f t="shared" si="115"/>
        <v>20534</v>
      </c>
      <c r="AA24" s="26">
        <f t="shared" si="115"/>
        <v>21663</v>
      </c>
      <c r="AC24" s="26">
        <f t="shared" ref="AC24:AJ24" si="116">SUM(AC20+SUM(AC23:AC23))</f>
        <v>47428</v>
      </c>
      <c r="AD24" s="26">
        <f t="shared" si="116"/>
        <v>54304</v>
      </c>
      <c r="AE24" s="26">
        <f t="shared" si="116"/>
        <v>60117</v>
      </c>
      <c r="AF24" s="26">
        <f t="shared" si="116"/>
        <v>63919</v>
      </c>
      <c r="AG24" s="26">
        <f t="shared" si="116"/>
        <v>70663</v>
      </c>
      <c r="AH24" s="26">
        <f t="shared" si="116"/>
        <v>74862</v>
      </c>
      <c r="AI24" s="26">
        <f t="shared" si="116"/>
        <v>80290</v>
      </c>
      <c r="AJ24" s="26">
        <f t="shared" si="116"/>
        <v>84131</v>
      </c>
      <c r="AK24" s="42"/>
      <c r="AL24" s="76">
        <f>SUM(AJ24/AF24)-1</f>
        <v>0.31621270670692603</v>
      </c>
    </row>
    <row r="25" spans="2:38" ht="12.75" customHeight="1">
      <c r="B25" s="16" t="s">
        <v>109</v>
      </c>
      <c r="C25" s="17">
        <f>C24/C11</f>
        <v>0.38597103472343397</v>
      </c>
      <c r="D25" s="17">
        <f>D24/D11</f>
        <v>0.40095311585784665</v>
      </c>
      <c r="E25" s="17">
        <f>E24/E11</f>
        <v>0.24714215883851159</v>
      </c>
      <c r="F25" s="17">
        <f>F24/F11</f>
        <v>0.35157373500763517</v>
      </c>
      <c r="G25" s="17">
        <f>G24/G11</f>
        <v>0.42955969872523569</v>
      </c>
      <c r="H25" s="27"/>
      <c r="I25" s="17">
        <f t="shared" ref="I25:AA25" si="117">I24/I11</f>
        <v>0.43953230675174809</v>
      </c>
      <c r="J25" s="17">
        <f t="shared" si="117"/>
        <v>0.43034013137531379</v>
      </c>
      <c r="K25" s="17">
        <f t="shared" si="117"/>
        <v>0.36418476387452603</v>
      </c>
      <c r="L25" s="17">
        <f t="shared" si="117"/>
        <v>0.37726827240058208</v>
      </c>
      <c r="M25" s="17">
        <f t="shared" si="117"/>
        <v>0.3191916296402465</v>
      </c>
      <c r="N25" s="17">
        <f t="shared" si="117"/>
        <v>0.28401915203663869</v>
      </c>
      <c r="O25" s="17">
        <f t="shared" si="117"/>
        <v>0.201197950494335</v>
      </c>
      <c r="P25" s="17">
        <f t="shared" si="117"/>
        <v>0.19117052697030934</v>
      </c>
      <c r="Q25" s="17">
        <f t="shared" si="117"/>
        <v>0.25508814801885143</v>
      </c>
      <c r="R25" s="17">
        <f t="shared" si="117"/>
        <v>0.29041532547892124</v>
      </c>
      <c r="S25" s="17">
        <f t="shared" si="117"/>
        <v>0.4105898201839161</v>
      </c>
      <c r="T25" s="17">
        <f t="shared" si="117"/>
        <v>0.41902672516952533</v>
      </c>
      <c r="U25" s="17">
        <f t="shared" si="117"/>
        <v>0.38905499931422299</v>
      </c>
      <c r="V25" s="17">
        <f t="shared" si="117"/>
        <v>0.38662946942745258</v>
      </c>
      <c r="W25" s="17">
        <f t="shared" si="117"/>
        <v>0.4390844810170243</v>
      </c>
      <c r="X25" s="17">
        <f t="shared" si="117"/>
        <v>0.48675236638697145</v>
      </c>
      <c r="Y25" s="17">
        <f t="shared" si="117"/>
        <v>0.43441886845961147</v>
      </c>
      <c r="Z25" s="17">
        <f t="shared" si="117"/>
        <v>0.43214917080562337</v>
      </c>
      <c r="AA25" s="17">
        <f t="shared" si="117"/>
        <v>0.42275867452480387</v>
      </c>
      <c r="AB25" s="28"/>
      <c r="AC25" s="17">
        <f t="shared" ref="AC25:AJ25" si="118">AC24/AC11</f>
        <v>0.35157373500763517</v>
      </c>
      <c r="AD25" s="17">
        <f t="shared" si="118"/>
        <v>0.38051460283648186</v>
      </c>
      <c r="AE25" s="17">
        <f t="shared" si="118"/>
        <v>0.40135795545585645</v>
      </c>
      <c r="AF25" s="17">
        <f t="shared" si="118"/>
        <v>0.40914182567673962</v>
      </c>
      <c r="AG25" s="17">
        <f t="shared" si="118"/>
        <v>0.42955969872523569</v>
      </c>
      <c r="AH25" s="17">
        <f t="shared" si="118"/>
        <v>0.439434139469359</v>
      </c>
      <c r="AI25" s="17">
        <f t="shared" si="118"/>
        <v>0.44903666004865633</v>
      </c>
      <c r="AJ25" s="17">
        <f t="shared" si="118"/>
        <v>0.44406148064478673</v>
      </c>
      <c r="AK25" s="43"/>
      <c r="AL25" s="77">
        <f>SUM(AJ25-AF25)*1000</f>
        <v>34.919654968047112</v>
      </c>
    </row>
    <row r="26" spans="2:38" ht="5.0999999999999996" customHeight="1">
      <c r="B26" s="16"/>
      <c r="C26" s="17"/>
      <c r="D26" s="17"/>
      <c r="E26" s="17"/>
      <c r="F26" s="17"/>
      <c r="G26" s="17"/>
      <c r="H26" s="2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28"/>
      <c r="AC26" s="17"/>
      <c r="AD26" s="17"/>
      <c r="AE26" s="17"/>
      <c r="AF26" s="17"/>
      <c r="AG26" s="17"/>
      <c r="AH26" s="17"/>
      <c r="AI26" s="17"/>
      <c r="AJ26" s="17"/>
      <c r="AK26" s="43"/>
      <c r="AL26" s="77"/>
    </row>
    <row r="27" spans="2:38" ht="12.75" customHeight="1">
      <c r="B27" s="9" t="s">
        <v>151</v>
      </c>
      <c r="C27" s="82">
        <v>-4034</v>
      </c>
      <c r="D27" s="82">
        <v>-7914</v>
      </c>
      <c r="E27" s="82">
        <v>-5619</v>
      </c>
      <c r="F27" s="82">
        <v>-8330</v>
      </c>
      <c r="G27" s="82">
        <v>-8303</v>
      </c>
      <c r="H27" s="32"/>
      <c r="I27" s="82">
        <v>-2006</v>
      </c>
      <c r="J27" s="82">
        <v>-2119</v>
      </c>
      <c r="K27" s="82">
        <v>-1371</v>
      </c>
      <c r="L27" s="32">
        <f t="shared" ref="L27" si="119">SUM(D27-SUM(I27:K27))</f>
        <v>-2418</v>
      </c>
      <c r="M27" s="82">
        <v>-1443</v>
      </c>
      <c r="N27" s="82">
        <v>-1499</v>
      </c>
      <c r="O27" s="82">
        <v>-1181</v>
      </c>
      <c r="P27" s="32">
        <f t="shared" ref="P27" si="120">SUM(E27-SUM(M27:O27))</f>
        <v>-1496</v>
      </c>
      <c r="Q27" s="82">
        <v>-1598</v>
      </c>
      <c r="R27" s="82">
        <v>-1505</v>
      </c>
      <c r="S27" s="82">
        <v>-2437</v>
      </c>
      <c r="T27" s="32">
        <f t="shared" ref="T27" si="121">SUM(F27-SUM(Q27:S27))</f>
        <v>-2790</v>
      </c>
      <c r="U27" s="82">
        <v>-1814</v>
      </c>
      <c r="V27" s="82">
        <v>-1641</v>
      </c>
      <c r="W27" s="82">
        <v>-2134</v>
      </c>
      <c r="X27" s="32">
        <f t="shared" ref="X27" si="122">SUM(G27-SUM(U27:W27))</f>
        <v>-2714</v>
      </c>
      <c r="Y27" s="82">
        <v>-1738</v>
      </c>
      <c r="Z27" s="82">
        <v>-2197</v>
      </c>
      <c r="AA27" s="82">
        <v>-18954</v>
      </c>
      <c r="AC27" s="32">
        <f t="shared" ref="AC27:AJ27" si="123">SUM(Q27:T27)</f>
        <v>-8330</v>
      </c>
      <c r="AD27" s="32">
        <f t="shared" si="123"/>
        <v>-8546</v>
      </c>
      <c r="AE27" s="32">
        <f t="shared" si="123"/>
        <v>-8682</v>
      </c>
      <c r="AF27" s="32">
        <f t="shared" si="123"/>
        <v>-8379</v>
      </c>
      <c r="AG27" s="32">
        <f t="shared" si="123"/>
        <v>-8303</v>
      </c>
      <c r="AH27" s="32">
        <f t="shared" si="123"/>
        <v>-8227</v>
      </c>
      <c r="AI27" s="32">
        <f t="shared" si="123"/>
        <v>-8783</v>
      </c>
      <c r="AJ27" s="32">
        <f t="shared" si="123"/>
        <v>-25603</v>
      </c>
      <c r="AK27" s="11"/>
      <c r="AL27" s="75">
        <f>SUM(AJ27/AF27)-1</f>
        <v>2.0556152285475595</v>
      </c>
    </row>
    <row r="28" spans="2:38" ht="12.75" customHeight="1">
      <c r="B28" s="13" t="s">
        <v>100</v>
      </c>
      <c r="C28" s="14">
        <f t="shared" ref="C28:G28" si="124">SUM(C24+SUM(C27:C27))</f>
        <v>29146</v>
      </c>
      <c r="D28" s="14">
        <f t="shared" si="124"/>
        <v>39370</v>
      </c>
      <c r="E28" s="14">
        <f t="shared" si="124"/>
        <v>23200</v>
      </c>
      <c r="F28" s="14">
        <f t="shared" si="124"/>
        <v>39098</v>
      </c>
      <c r="G28" s="14">
        <f t="shared" si="124"/>
        <v>62360</v>
      </c>
      <c r="H28" s="11"/>
      <c r="I28" s="14">
        <f t="shared" ref="I28:L28" si="125">SUM(I24+SUM(I27:I27))</f>
        <v>9497</v>
      </c>
      <c r="J28" s="14">
        <f t="shared" si="125"/>
        <v>10394</v>
      </c>
      <c r="K28" s="14">
        <f t="shared" si="125"/>
        <v>9194</v>
      </c>
      <c r="L28" s="14">
        <f t="shared" si="125"/>
        <v>10285</v>
      </c>
      <c r="M28" s="14">
        <f t="shared" ref="M28:P28" si="126">SUM(M24+SUM(M27:M27))</f>
        <v>7465</v>
      </c>
      <c r="N28" s="14">
        <f t="shared" ref="N28" si="127">SUM(N24+SUM(N27:N27))</f>
        <v>6687</v>
      </c>
      <c r="O28" s="14">
        <f t="shared" si="126"/>
        <v>4395</v>
      </c>
      <c r="P28" s="14">
        <f t="shared" si="126"/>
        <v>4653</v>
      </c>
      <c r="Q28" s="14">
        <f t="shared" ref="Q28:AA28" si="128">SUM(Q24+SUM(Q27:Q27))</f>
        <v>5709</v>
      </c>
      <c r="R28" s="14">
        <f t="shared" si="128"/>
        <v>7788</v>
      </c>
      <c r="S28" s="14">
        <f t="shared" si="128"/>
        <v>11583</v>
      </c>
      <c r="T28" s="14">
        <f t="shared" si="128"/>
        <v>14018</v>
      </c>
      <c r="U28" s="14">
        <f t="shared" si="128"/>
        <v>12369</v>
      </c>
      <c r="V28" s="14">
        <f t="shared" si="128"/>
        <v>13465</v>
      </c>
      <c r="W28" s="14">
        <f t="shared" si="128"/>
        <v>15688</v>
      </c>
      <c r="X28" s="14">
        <f t="shared" si="128"/>
        <v>20838</v>
      </c>
      <c r="Y28" s="14">
        <f t="shared" si="128"/>
        <v>16644</v>
      </c>
      <c r="Z28" s="14">
        <f t="shared" si="128"/>
        <v>18337</v>
      </c>
      <c r="AA28" s="14">
        <f t="shared" si="128"/>
        <v>2709</v>
      </c>
      <c r="AB28" s="32"/>
      <c r="AC28" s="14">
        <f t="shared" ref="AC28:AJ28" si="129">SUM(AC24+SUM(AC27:AC27))</f>
        <v>39098</v>
      </c>
      <c r="AD28" s="14">
        <f t="shared" si="129"/>
        <v>45758</v>
      </c>
      <c r="AE28" s="14">
        <f t="shared" si="129"/>
        <v>51435</v>
      </c>
      <c r="AF28" s="14">
        <f t="shared" si="129"/>
        <v>55540</v>
      </c>
      <c r="AG28" s="14">
        <f t="shared" si="129"/>
        <v>62360</v>
      </c>
      <c r="AH28" s="14">
        <f t="shared" si="129"/>
        <v>66635</v>
      </c>
      <c r="AI28" s="14">
        <f t="shared" si="129"/>
        <v>71507</v>
      </c>
      <c r="AJ28" s="14">
        <f t="shared" si="129"/>
        <v>58528</v>
      </c>
      <c r="AK28" s="36"/>
      <c r="AL28" s="76">
        <f>SUM(AJ28/AF28)-1</f>
        <v>5.3799063737846486E-2</v>
      </c>
    </row>
    <row r="29" spans="2:38" ht="12.75" customHeight="1">
      <c r="B29" s="16" t="s">
        <v>99</v>
      </c>
      <c r="C29" s="17">
        <f>C28/C11</f>
        <v>0.3390449601582039</v>
      </c>
      <c r="D29" s="17">
        <f>D28/D11</f>
        <v>0.33384494059985248</v>
      </c>
      <c r="E29" s="17">
        <f>E28/E11</f>
        <v>0.19895548371051977</v>
      </c>
      <c r="F29" s="17">
        <f>F28/F11</f>
        <v>0.28982520644616094</v>
      </c>
      <c r="G29" s="17">
        <f>G28/G11</f>
        <v>0.37908584142345642</v>
      </c>
      <c r="H29" s="27"/>
      <c r="I29" s="17">
        <f t="shared" ref="I29:AA29" si="130">I28/I11</f>
        <v>0.36288257995491191</v>
      </c>
      <c r="J29" s="17">
        <f t="shared" si="130"/>
        <v>0.35746466279189737</v>
      </c>
      <c r="K29" s="17">
        <f t="shared" si="130"/>
        <v>0.31692519820751464</v>
      </c>
      <c r="L29" s="17">
        <f t="shared" si="130"/>
        <v>0.30545573342045085</v>
      </c>
      <c r="M29" s="17">
        <f t="shared" si="130"/>
        <v>0.26748602551239786</v>
      </c>
      <c r="N29" s="17">
        <f t="shared" si="130"/>
        <v>0.23201026993269031</v>
      </c>
      <c r="O29" s="17">
        <f t="shared" si="130"/>
        <v>0.15858410911452694</v>
      </c>
      <c r="P29" s="17">
        <f t="shared" si="130"/>
        <v>0.1446603450956008</v>
      </c>
      <c r="Q29" s="17">
        <f t="shared" si="130"/>
        <v>0.19930179787048349</v>
      </c>
      <c r="R29" s="17">
        <f t="shared" si="130"/>
        <v>0.24338260570642833</v>
      </c>
      <c r="S29" s="17">
        <f t="shared" si="130"/>
        <v>0.33921982076963625</v>
      </c>
      <c r="T29" s="17">
        <f t="shared" si="130"/>
        <v>0.34947147985640209</v>
      </c>
      <c r="U29" s="17">
        <f t="shared" si="130"/>
        <v>0.33929502125908656</v>
      </c>
      <c r="V29" s="17">
        <f t="shared" si="130"/>
        <v>0.34462900872770086</v>
      </c>
      <c r="W29" s="17">
        <f t="shared" si="130"/>
        <v>0.38650865998176848</v>
      </c>
      <c r="X29" s="17">
        <f t="shared" si="130"/>
        <v>0.43066176166659775</v>
      </c>
      <c r="Y29" s="17">
        <f t="shared" si="130"/>
        <v>0.39334499220116276</v>
      </c>
      <c r="Z29" s="17">
        <f t="shared" si="130"/>
        <v>0.38591211381429413</v>
      </c>
      <c r="AA29" s="17">
        <f t="shared" si="130"/>
        <v>5.2866788962179459E-2</v>
      </c>
      <c r="AB29" s="28"/>
      <c r="AC29" s="17">
        <f t="shared" ref="AC29:AJ29" si="131">AC28/AC11</f>
        <v>0.28982520644616094</v>
      </c>
      <c r="AD29" s="17">
        <f t="shared" si="131"/>
        <v>0.32063176187005998</v>
      </c>
      <c r="AE29" s="17">
        <f t="shared" si="131"/>
        <v>0.34339448806281042</v>
      </c>
      <c r="AF29" s="17">
        <f t="shared" si="131"/>
        <v>0.35550833082629762</v>
      </c>
      <c r="AG29" s="17">
        <f t="shared" si="131"/>
        <v>0.37908584142345642</v>
      </c>
      <c r="AH29" s="17">
        <f t="shared" si="131"/>
        <v>0.39114228692181263</v>
      </c>
      <c r="AI29" s="17">
        <f t="shared" si="131"/>
        <v>0.39991610972847513</v>
      </c>
      <c r="AJ29" s="17">
        <f t="shared" si="131"/>
        <v>0.30892334976617508</v>
      </c>
      <c r="AK29" s="43"/>
      <c r="AL29" s="77">
        <f>SUM(AJ29-AF29)*1000</f>
        <v>-46.584981060122544</v>
      </c>
    </row>
    <row r="30" spans="2:38" ht="5.0999999999999996" customHeight="1">
      <c r="B30" s="16"/>
      <c r="C30" s="17"/>
      <c r="D30" s="17"/>
      <c r="E30" s="17"/>
      <c r="F30" s="17"/>
      <c r="G30" s="17"/>
      <c r="H30" s="2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28"/>
      <c r="AC30" s="17"/>
      <c r="AD30" s="17"/>
      <c r="AE30" s="17"/>
      <c r="AF30" s="17"/>
      <c r="AG30" s="17"/>
      <c r="AH30" s="17"/>
      <c r="AI30" s="17"/>
      <c r="AJ30" s="17"/>
      <c r="AK30" s="43"/>
      <c r="AL30" s="77"/>
    </row>
    <row r="31" spans="2:38" ht="12.75" customHeight="1">
      <c r="B31" s="44" t="s">
        <v>83</v>
      </c>
      <c r="C31" s="82">
        <v>2851</v>
      </c>
      <c r="D31" s="82">
        <v>2815</v>
      </c>
      <c r="E31" s="82">
        <v>2687</v>
      </c>
      <c r="F31" s="82">
        <v>2574</v>
      </c>
      <c r="G31" s="82">
        <v>2534</v>
      </c>
      <c r="H31" s="27"/>
      <c r="I31" s="82">
        <v>2847</v>
      </c>
      <c r="J31" s="82">
        <v>2834</v>
      </c>
      <c r="K31" s="82">
        <v>2814</v>
      </c>
      <c r="L31" s="32">
        <f>D31</f>
        <v>2815</v>
      </c>
      <c r="M31" s="82">
        <v>2725</v>
      </c>
      <c r="N31" s="82">
        <v>2704</v>
      </c>
      <c r="O31" s="82">
        <v>2682</v>
      </c>
      <c r="P31" s="32">
        <f>E31</f>
        <v>2687</v>
      </c>
      <c r="Q31" s="82">
        <v>2587</v>
      </c>
      <c r="R31" s="82">
        <v>2568</v>
      </c>
      <c r="S31" s="82">
        <v>2576</v>
      </c>
      <c r="T31" s="32">
        <f>F31</f>
        <v>2574</v>
      </c>
      <c r="U31" s="82">
        <v>2545</v>
      </c>
      <c r="V31" s="82">
        <v>2534</v>
      </c>
      <c r="W31" s="82">
        <v>2529</v>
      </c>
      <c r="X31" s="32">
        <f>G31</f>
        <v>2534</v>
      </c>
      <c r="Y31" s="82">
        <v>2527</v>
      </c>
      <c r="Z31" s="82">
        <v>2518</v>
      </c>
      <c r="AA31" s="82">
        <v>2517</v>
      </c>
      <c r="AB31" s="132"/>
      <c r="AC31" s="32">
        <f t="shared" ref="AC31:AJ31" si="132">T31</f>
        <v>2574</v>
      </c>
      <c r="AD31" s="32">
        <f t="shared" si="132"/>
        <v>2545</v>
      </c>
      <c r="AE31" s="32">
        <f t="shared" si="132"/>
        <v>2534</v>
      </c>
      <c r="AF31" s="32">
        <f t="shared" si="132"/>
        <v>2529</v>
      </c>
      <c r="AG31" s="32">
        <f t="shared" si="132"/>
        <v>2534</v>
      </c>
      <c r="AH31" s="32">
        <f t="shared" si="132"/>
        <v>2527</v>
      </c>
      <c r="AI31" s="32">
        <f t="shared" si="132"/>
        <v>2518</v>
      </c>
      <c r="AJ31" s="32">
        <f t="shared" si="132"/>
        <v>2517</v>
      </c>
      <c r="AK31" s="43"/>
      <c r="AL31" s="75">
        <f>SUM(AJ31/AF31)-1</f>
        <v>-4.7449584816132706E-3</v>
      </c>
    </row>
    <row r="32" spans="2:38" ht="12.75" customHeight="1">
      <c r="B32" s="13" t="s">
        <v>62</v>
      </c>
      <c r="C32" s="143">
        <f t="shared" ref="C32:G32" si="133">C28/C31</f>
        <v>10.223079621185549</v>
      </c>
      <c r="D32" s="143">
        <f t="shared" si="133"/>
        <v>13.985790408525755</v>
      </c>
      <c r="E32" s="143">
        <f t="shared" si="133"/>
        <v>8.6341644957201336</v>
      </c>
      <c r="F32" s="143">
        <f t="shared" si="133"/>
        <v>15.189588189588189</v>
      </c>
      <c r="G32" s="143">
        <f t="shared" si="133"/>
        <v>24.609313338595108</v>
      </c>
      <c r="H32" s="27"/>
      <c r="I32" s="143">
        <f t="shared" ref="I32" si="134">I28/I31</f>
        <v>3.335792061819459</v>
      </c>
      <c r="J32" s="143">
        <f t="shared" ref="J32" si="135">J28/J31</f>
        <v>3.667607621736062</v>
      </c>
      <c r="K32" s="143">
        <f t="shared" ref="K32" si="136">K28/K31</f>
        <v>3.2672352523098791</v>
      </c>
      <c r="L32" s="143">
        <f t="shared" ref="L32" si="137">L28/L31</f>
        <v>3.6536412078152751</v>
      </c>
      <c r="M32" s="143">
        <f t="shared" ref="M32" si="138">M28/M31</f>
        <v>2.7394495412844035</v>
      </c>
      <c r="N32" s="143">
        <f t="shared" ref="N32:O32" si="139">N28/N31</f>
        <v>2.4730029585798818</v>
      </c>
      <c r="O32" s="143">
        <f t="shared" si="139"/>
        <v>1.638702460850112</v>
      </c>
      <c r="P32" s="143">
        <f t="shared" ref="P32:AA32" si="140">P28/P31</f>
        <v>1.731671008559732</v>
      </c>
      <c r="Q32" s="143">
        <f t="shared" si="140"/>
        <v>2.206803247004252</v>
      </c>
      <c r="R32" s="143">
        <f t="shared" si="140"/>
        <v>3.0327102803738319</v>
      </c>
      <c r="S32" s="143">
        <f t="shared" si="140"/>
        <v>4.4965062111801242</v>
      </c>
      <c r="T32" s="143">
        <f t="shared" si="140"/>
        <v>5.4459984459984456</v>
      </c>
      <c r="U32" s="143">
        <f t="shared" si="140"/>
        <v>4.8601178781925345</v>
      </c>
      <c r="V32" s="143">
        <f t="shared" si="140"/>
        <v>5.3137332280978686</v>
      </c>
      <c r="W32" s="143">
        <f t="shared" si="140"/>
        <v>6.2032423882957692</v>
      </c>
      <c r="X32" s="143">
        <f t="shared" si="140"/>
        <v>8.2233622730860301</v>
      </c>
      <c r="Y32" s="143">
        <f t="shared" si="140"/>
        <v>6.5864661654135341</v>
      </c>
      <c r="Z32" s="143">
        <f t="shared" si="140"/>
        <v>7.2823669579030978</v>
      </c>
      <c r="AA32" s="143">
        <f t="shared" si="140"/>
        <v>1.0762812872467222</v>
      </c>
      <c r="AB32" s="132"/>
      <c r="AC32" s="143">
        <f t="shared" ref="AC32:AJ32" si="141">AC28/AC31</f>
        <v>15.189588189588189</v>
      </c>
      <c r="AD32" s="143">
        <f t="shared" si="141"/>
        <v>17.979567779960707</v>
      </c>
      <c r="AE32" s="143">
        <f t="shared" si="141"/>
        <v>20.297947908445146</v>
      </c>
      <c r="AF32" s="143">
        <f t="shared" si="141"/>
        <v>21.961249505733491</v>
      </c>
      <c r="AG32" s="143">
        <f t="shared" si="141"/>
        <v>24.609313338595108</v>
      </c>
      <c r="AH32" s="143">
        <f t="shared" si="141"/>
        <v>26.369212504946578</v>
      </c>
      <c r="AI32" s="143">
        <f t="shared" si="141"/>
        <v>28.398332009531373</v>
      </c>
      <c r="AJ32" s="143">
        <f t="shared" si="141"/>
        <v>23.253079062375843</v>
      </c>
      <c r="AK32" s="43"/>
      <c r="AL32" s="76">
        <f>SUM(AJ32/AF32)-1</f>
        <v>5.8823135555428729E-2</v>
      </c>
    </row>
    <row r="33" spans="1:38" ht="5.0999999999999996" customHeight="1">
      <c r="B33" s="25"/>
      <c r="C33" s="48"/>
      <c r="D33" s="48"/>
      <c r="E33" s="48"/>
      <c r="F33" s="48"/>
      <c r="G33" s="48"/>
      <c r="H33" s="142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132"/>
      <c r="AC33" s="132"/>
      <c r="AD33" s="132"/>
      <c r="AE33" s="132"/>
      <c r="AF33" s="48"/>
      <c r="AG33" s="132"/>
      <c r="AH33" s="132"/>
      <c r="AI33" s="132"/>
      <c r="AJ33" s="132"/>
      <c r="AK33" s="43"/>
      <c r="AL33" s="75"/>
    </row>
    <row r="34" spans="1:38" ht="12.75" customHeight="1">
      <c r="B34" s="44" t="s">
        <v>63</v>
      </c>
      <c r="C34" s="82">
        <v>2888</v>
      </c>
      <c r="D34" s="82">
        <v>2859</v>
      </c>
      <c r="E34" s="82">
        <v>2702</v>
      </c>
      <c r="F34" s="82">
        <v>2629</v>
      </c>
      <c r="G34" s="82">
        <v>2614</v>
      </c>
      <c r="H34" s="142"/>
      <c r="I34" s="82">
        <v>2882</v>
      </c>
      <c r="J34" s="82">
        <v>2877</v>
      </c>
      <c r="K34" s="82">
        <v>2859</v>
      </c>
      <c r="L34" s="32">
        <f>D34</f>
        <v>2859</v>
      </c>
      <c r="M34" s="82">
        <v>2742</v>
      </c>
      <c r="N34" s="82">
        <v>2713</v>
      </c>
      <c r="O34" s="82">
        <v>2687</v>
      </c>
      <c r="P34" s="32">
        <f>E34</f>
        <v>2702</v>
      </c>
      <c r="Q34" s="82">
        <v>2596</v>
      </c>
      <c r="R34" s="82">
        <v>2612</v>
      </c>
      <c r="S34" s="82">
        <v>2641</v>
      </c>
      <c r="T34" s="32">
        <f>F34</f>
        <v>2629</v>
      </c>
      <c r="U34" s="82">
        <v>2625</v>
      </c>
      <c r="V34" s="82">
        <v>2610</v>
      </c>
      <c r="W34" s="82">
        <v>2600</v>
      </c>
      <c r="X34" s="32">
        <f>G34</f>
        <v>2614</v>
      </c>
      <c r="Y34" s="82">
        <v>2590</v>
      </c>
      <c r="Z34" s="82">
        <v>2570</v>
      </c>
      <c r="AA34" s="82">
        <v>2572</v>
      </c>
      <c r="AB34" s="132"/>
      <c r="AC34" s="32">
        <f t="shared" ref="AC34:AJ34" si="142">T34</f>
        <v>2629</v>
      </c>
      <c r="AD34" s="32">
        <f t="shared" si="142"/>
        <v>2625</v>
      </c>
      <c r="AE34" s="32">
        <f t="shared" si="142"/>
        <v>2610</v>
      </c>
      <c r="AF34" s="32">
        <f t="shared" si="142"/>
        <v>2600</v>
      </c>
      <c r="AG34" s="32">
        <f t="shared" si="142"/>
        <v>2614</v>
      </c>
      <c r="AH34" s="32">
        <f t="shared" si="142"/>
        <v>2590</v>
      </c>
      <c r="AI34" s="32">
        <f t="shared" si="142"/>
        <v>2570</v>
      </c>
      <c r="AJ34" s="32">
        <f t="shared" si="142"/>
        <v>2572</v>
      </c>
      <c r="AK34" s="43"/>
      <c r="AL34" s="75">
        <f>SUM(AJ34/AF34)-1</f>
        <v>-1.0769230769230753E-2</v>
      </c>
    </row>
    <row r="35" spans="1:38" ht="12.75" customHeight="1">
      <c r="B35" s="13" t="s">
        <v>82</v>
      </c>
      <c r="C35" s="143">
        <f t="shared" ref="C35:G35" si="143">C28/C34</f>
        <v>10.092105263157896</v>
      </c>
      <c r="D35" s="143">
        <f t="shared" si="143"/>
        <v>13.770549143057012</v>
      </c>
      <c r="E35" s="143">
        <f t="shared" si="143"/>
        <v>8.5862324204293117</v>
      </c>
      <c r="F35" s="143">
        <f t="shared" si="143"/>
        <v>14.871814378090528</v>
      </c>
      <c r="G35" s="143">
        <f t="shared" si="143"/>
        <v>23.856159143075747</v>
      </c>
      <c r="H35" s="27"/>
      <c r="I35" s="143">
        <f t="shared" ref="I35" si="144">I28/I34</f>
        <v>3.2952810548230396</v>
      </c>
      <c r="J35" s="143">
        <f t="shared" ref="J35" si="145">J28/J34</f>
        <v>3.6127911018421965</v>
      </c>
      <c r="K35" s="143">
        <f t="shared" ref="K35" si="146">K28/K34</f>
        <v>3.2158097236796084</v>
      </c>
      <c r="L35" s="143">
        <f t="shared" ref="L35" si="147">L28/L34</f>
        <v>3.5974116824064359</v>
      </c>
      <c r="M35" s="143">
        <f t="shared" ref="M35" si="148">M28/M34</f>
        <v>2.7224653537563821</v>
      </c>
      <c r="N35" s="143">
        <f t="shared" ref="N35:O35" si="149">N28/N34</f>
        <v>2.4647991153704387</v>
      </c>
      <c r="O35" s="143">
        <f t="shared" si="149"/>
        <v>1.6356531447711202</v>
      </c>
      <c r="P35" s="143">
        <f t="shared" ref="P35:AA35" si="150">P28/P34</f>
        <v>1.7220577350111028</v>
      </c>
      <c r="Q35" s="143">
        <f t="shared" si="150"/>
        <v>2.1991525423728815</v>
      </c>
      <c r="R35" s="143">
        <f t="shared" si="150"/>
        <v>2.9816232771822357</v>
      </c>
      <c r="S35" s="143">
        <f t="shared" si="150"/>
        <v>4.3858386974630825</v>
      </c>
      <c r="T35" s="143">
        <f t="shared" si="150"/>
        <v>5.3320654241156333</v>
      </c>
      <c r="U35" s="143">
        <f t="shared" si="150"/>
        <v>4.7119999999999997</v>
      </c>
      <c r="V35" s="143">
        <f t="shared" si="150"/>
        <v>5.1590038314176248</v>
      </c>
      <c r="W35" s="143">
        <f t="shared" si="150"/>
        <v>6.0338461538461541</v>
      </c>
      <c r="X35" s="143">
        <f t="shared" si="150"/>
        <v>7.9716908951798011</v>
      </c>
      <c r="Y35" s="143">
        <f t="shared" si="150"/>
        <v>6.4262548262548265</v>
      </c>
      <c r="Z35" s="143">
        <f t="shared" si="150"/>
        <v>7.1350194552529187</v>
      </c>
      <c r="AA35" s="143">
        <f t="shared" si="150"/>
        <v>1.0532659409020217</v>
      </c>
      <c r="AB35" s="132"/>
      <c r="AC35" s="143">
        <f t="shared" ref="AC35:AJ35" si="151">AC28/AC34</f>
        <v>14.871814378090528</v>
      </c>
      <c r="AD35" s="143">
        <f t="shared" si="151"/>
        <v>17.431619047619048</v>
      </c>
      <c r="AE35" s="143">
        <f t="shared" si="151"/>
        <v>19.706896551724139</v>
      </c>
      <c r="AF35" s="143">
        <f t="shared" si="151"/>
        <v>21.361538461538462</v>
      </c>
      <c r="AG35" s="143">
        <f t="shared" si="151"/>
        <v>23.856159143075747</v>
      </c>
      <c r="AH35" s="143">
        <f t="shared" si="151"/>
        <v>25.727799227799228</v>
      </c>
      <c r="AI35" s="143">
        <f t="shared" si="151"/>
        <v>27.82373540856031</v>
      </c>
      <c r="AJ35" s="143">
        <f t="shared" si="151"/>
        <v>22.755832037325039</v>
      </c>
      <c r="AK35" s="43"/>
      <c r="AL35" s="76">
        <f>SUM(AJ35/AF35)-1</f>
        <v>6.5271215287092232E-2</v>
      </c>
    </row>
    <row r="36" spans="1:38">
      <c r="B36" s="16"/>
      <c r="C36" s="17"/>
      <c r="D36" s="17"/>
      <c r="E36" s="17"/>
      <c r="F36" s="17"/>
      <c r="G36" s="17"/>
      <c r="H36" s="2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28"/>
      <c r="AC36" s="17"/>
      <c r="AD36" s="17"/>
      <c r="AE36" s="17"/>
      <c r="AF36" s="17"/>
      <c r="AG36" s="17"/>
      <c r="AH36" s="17"/>
      <c r="AI36" s="17"/>
      <c r="AJ36" s="17"/>
      <c r="AK36" s="43"/>
    </row>
    <row r="37" spans="1:38" ht="12.75" customHeight="1">
      <c r="A37" s="5" t="s">
        <v>16</v>
      </c>
      <c r="B37" s="106" t="s">
        <v>72</v>
      </c>
      <c r="C37" s="107" t="s">
        <v>0</v>
      </c>
      <c r="D37" s="107" t="s">
        <v>0</v>
      </c>
      <c r="E37" s="107" t="s">
        <v>0</v>
      </c>
      <c r="F37" s="107"/>
      <c r="G37" s="107"/>
      <c r="H37" s="108"/>
      <c r="I37" s="107" t="s">
        <v>1</v>
      </c>
      <c r="J37" s="107"/>
      <c r="K37" s="107"/>
      <c r="L37" s="107"/>
      <c r="M37" s="107" t="s">
        <v>1</v>
      </c>
      <c r="N37" s="107"/>
      <c r="O37" s="107"/>
      <c r="P37" s="107"/>
      <c r="Q37" s="107" t="s">
        <v>1</v>
      </c>
      <c r="R37" s="107"/>
      <c r="S37" s="107"/>
      <c r="T37" s="107"/>
      <c r="U37" s="107"/>
      <c r="V37" s="107"/>
      <c r="W37" s="107" t="s">
        <v>1</v>
      </c>
      <c r="X37" s="107"/>
      <c r="Y37" s="107"/>
      <c r="Z37" s="107"/>
      <c r="AA37" s="107"/>
      <c r="AB37" s="106"/>
      <c r="AC37" s="107"/>
      <c r="AD37" s="107"/>
      <c r="AE37" s="107" t="s">
        <v>10</v>
      </c>
      <c r="AF37" s="107" t="s">
        <v>10</v>
      </c>
      <c r="AG37" s="107"/>
      <c r="AH37" s="107"/>
      <c r="AI37" s="107"/>
      <c r="AJ37" s="107"/>
      <c r="AK37" s="108"/>
      <c r="AL37" s="164" t="s">
        <v>22</v>
      </c>
    </row>
    <row r="38" spans="1:38" ht="12.75" customHeight="1">
      <c r="B38" s="110" t="str">
        <f t="shared" ref="B38:G39" si="152">B7</f>
        <v>Fiscal Period</v>
      </c>
      <c r="C38" s="109">
        <f t="shared" si="152"/>
        <v>2020</v>
      </c>
      <c r="D38" s="109">
        <f t="shared" si="152"/>
        <v>2021</v>
      </c>
      <c r="E38" s="109">
        <f t="shared" si="152"/>
        <v>2022</v>
      </c>
      <c r="F38" s="109">
        <f t="shared" si="152"/>
        <v>2023</v>
      </c>
      <c r="G38" s="109">
        <f t="shared" si="152"/>
        <v>2024</v>
      </c>
      <c r="H38" s="108"/>
      <c r="I38" s="109" t="str">
        <f t="shared" ref="I38:AA38" si="153">I7</f>
        <v>1Q21</v>
      </c>
      <c r="J38" s="109" t="str">
        <f t="shared" si="153"/>
        <v>2Q21</v>
      </c>
      <c r="K38" s="109" t="str">
        <f t="shared" si="153"/>
        <v>3Q21</v>
      </c>
      <c r="L38" s="109" t="str">
        <f t="shared" si="153"/>
        <v>4Q21</v>
      </c>
      <c r="M38" s="109" t="str">
        <f t="shared" si="153"/>
        <v>1Q22</v>
      </c>
      <c r="N38" s="109" t="str">
        <f t="shared" si="153"/>
        <v>2Q22</v>
      </c>
      <c r="O38" s="109" t="str">
        <f t="shared" si="153"/>
        <v>3Q22</v>
      </c>
      <c r="P38" s="109" t="str">
        <f t="shared" si="153"/>
        <v>4Q22</v>
      </c>
      <c r="Q38" s="109" t="str">
        <f t="shared" si="153"/>
        <v>1Q23</v>
      </c>
      <c r="R38" s="109" t="str">
        <f t="shared" si="153"/>
        <v>2Q23</v>
      </c>
      <c r="S38" s="109" t="str">
        <f t="shared" si="153"/>
        <v>3Q23</v>
      </c>
      <c r="T38" s="109" t="str">
        <f t="shared" si="153"/>
        <v>4Q23</v>
      </c>
      <c r="U38" s="109" t="str">
        <f t="shared" si="153"/>
        <v>1Q24</v>
      </c>
      <c r="V38" s="109" t="str">
        <f t="shared" si="153"/>
        <v>2Q24</v>
      </c>
      <c r="W38" s="109" t="str">
        <f t="shared" si="153"/>
        <v>3Q24</v>
      </c>
      <c r="X38" s="109" t="str">
        <f t="shared" si="153"/>
        <v>4Q24</v>
      </c>
      <c r="Y38" s="109" t="str">
        <f t="shared" si="153"/>
        <v>1Q25</v>
      </c>
      <c r="Z38" s="109" t="str">
        <f t="shared" si="153"/>
        <v>2Q25</v>
      </c>
      <c r="AA38" s="109" t="str">
        <f t="shared" si="153"/>
        <v>3Q25</v>
      </c>
      <c r="AB38" s="111"/>
      <c r="AC38" s="109" t="str">
        <f t="shared" ref="AC38:AJ39" si="154">AC7</f>
        <v>4Q23</v>
      </c>
      <c r="AD38" s="109" t="str">
        <f t="shared" si="154"/>
        <v>1Q24</v>
      </c>
      <c r="AE38" s="109" t="str">
        <f t="shared" si="154"/>
        <v>2Q24</v>
      </c>
      <c r="AF38" s="109" t="str">
        <f t="shared" si="154"/>
        <v>3Q24</v>
      </c>
      <c r="AG38" s="109" t="str">
        <f t="shared" si="154"/>
        <v>4Q24</v>
      </c>
      <c r="AH38" s="109" t="str">
        <f t="shared" si="154"/>
        <v>1Q25</v>
      </c>
      <c r="AI38" s="109" t="str">
        <f t="shared" si="154"/>
        <v>2Q25</v>
      </c>
      <c r="AJ38" s="109" t="str">
        <f t="shared" si="154"/>
        <v>3Q25</v>
      </c>
      <c r="AK38" s="108"/>
      <c r="AL38" s="164"/>
    </row>
    <row r="39" spans="1:38" ht="12.75" customHeight="1">
      <c r="B39" s="110" t="str">
        <f t="shared" si="152"/>
        <v>Fiscal Period End Date</v>
      </c>
      <c r="C39" s="112">
        <f t="shared" si="152"/>
        <v>44196</v>
      </c>
      <c r="D39" s="112">
        <f t="shared" si="152"/>
        <v>44561</v>
      </c>
      <c r="E39" s="112">
        <f t="shared" si="152"/>
        <v>44926</v>
      </c>
      <c r="F39" s="112">
        <f t="shared" si="152"/>
        <v>45291</v>
      </c>
      <c r="G39" s="112">
        <f t="shared" si="152"/>
        <v>45657</v>
      </c>
      <c r="H39" s="108"/>
      <c r="I39" s="112">
        <f t="shared" ref="I39:AA39" si="155">I8</f>
        <v>44286</v>
      </c>
      <c r="J39" s="112">
        <f t="shared" si="155"/>
        <v>44377</v>
      </c>
      <c r="K39" s="112">
        <f t="shared" si="155"/>
        <v>44469</v>
      </c>
      <c r="L39" s="112">
        <f t="shared" si="155"/>
        <v>44561</v>
      </c>
      <c r="M39" s="112">
        <f t="shared" si="155"/>
        <v>44651</v>
      </c>
      <c r="N39" s="112">
        <f t="shared" si="155"/>
        <v>44742</v>
      </c>
      <c r="O39" s="112">
        <f t="shared" si="155"/>
        <v>44834</v>
      </c>
      <c r="P39" s="112">
        <f t="shared" si="155"/>
        <v>44926</v>
      </c>
      <c r="Q39" s="112">
        <f t="shared" si="155"/>
        <v>45016</v>
      </c>
      <c r="R39" s="112">
        <f t="shared" si="155"/>
        <v>45107</v>
      </c>
      <c r="S39" s="112">
        <f t="shared" si="155"/>
        <v>45199</v>
      </c>
      <c r="T39" s="112">
        <f t="shared" si="155"/>
        <v>45291</v>
      </c>
      <c r="U39" s="112">
        <f t="shared" si="155"/>
        <v>45382</v>
      </c>
      <c r="V39" s="112">
        <f t="shared" si="155"/>
        <v>45473</v>
      </c>
      <c r="W39" s="112">
        <f t="shared" si="155"/>
        <v>45565</v>
      </c>
      <c r="X39" s="112">
        <f t="shared" si="155"/>
        <v>45657</v>
      </c>
      <c r="Y39" s="112">
        <f t="shared" si="155"/>
        <v>45747</v>
      </c>
      <c r="Z39" s="112">
        <f t="shared" si="155"/>
        <v>45838</v>
      </c>
      <c r="AA39" s="112">
        <f t="shared" si="155"/>
        <v>45930</v>
      </c>
      <c r="AB39" s="113"/>
      <c r="AC39" s="112">
        <f t="shared" si="154"/>
        <v>45291</v>
      </c>
      <c r="AD39" s="112">
        <f t="shared" si="154"/>
        <v>45382</v>
      </c>
      <c r="AE39" s="112">
        <f t="shared" si="154"/>
        <v>45473</v>
      </c>
      <c r="AF39" s="112">
        <f t="shared" si="154"/>
        <v>45565</v>
      </c>
      <c r="AG39" s="112">
        <f t="shared" si="154"/>
        <v>45657</v>
      </c>
      <c r="AH39" s="112">
        <f t="shared" si="154"/>
        <v>45747</v>
      </c>
      <c r="AI39" s="112">
        <f t="shared" si="154"/>
        <v>45838</v>
      </c>
      <c r="AJ39" s="112">
        <f t="shared" si="154"/>
        <v>45930</v>
      </c>
      <c r="AK39" s="108"/>
      <c r="AL39" s="164"/>
    </row>
    <row r="40" spans="1:38" ht="5.0999999999999996" customHeight="1">
      <c r="B40" s="46"/>
      <c r="C40" s="47"/>
      <c r="D40" s="47"/>
      <c r="E40" s="47"/>
      <c r="F40" s="47"/>
      <c r="G40" s="47"/>
    </row>
    <row r="41" spans="1:38">
      <c r="B41" s="78" t="s">
        <v>77</v>
      </c>
      <c r="C41" s="47"/>
      <c r="D41" s="47"/>
      <c r="E41" s="47"/>
      <c r="F41" s="47"/>
      <c r="G41" s="47"/>
    </row>
    <row r="42" spans="1:38" s="122" customFormat="1" ht="12.75" customHeight="1">
      <c r="B42" s="114" t="s">
        <v>129</v>
      </c>
      <c r="C42" s="123">
        <v>17576</v>
      </c>
      <c r="D42" s="123">
        <v>16601</v>
      </c>
      <c r="E42" s="123">
        <v>14681</v>
      </c>
      <c r="F42" s="123">
        <v>41862</v>
      </c>
      <c r="G42" s="123">
        <v>43889</v>
      </c>
      <c r="I42" s="82">
        <v>19513</v>
      </c>
      <c r="J42" s="82">
        <v>16186</v>
      </c>
      <c r="K42" s="82">
        <v>14496</v>
      </c>
      <c r="L42" s="32">
        <v>16601</v>
      </c>
      <c r="M42" s="82">
        <v>14886</v>
      </c>
      <c r="N42" s="82">
        <v>12681</v>
      </c>
      <c r="O42" s="82">
        <v>14308</v>
      </c>
      <c r="P42" s="32">
        <v>14681</v>
      </c>
      <c r="Q42" s="82">
        <v>11551</v>
      </c>
      <c r="R42" s="82">
        <v>28785</v>
      </c>
      <c r="S42" s="82">
        <v>36890</v>
      </c>
      <c r="T42" s="32">
        <v>41862</v>
      </c>
      <c r="U42" s="82">
        <v>32307</v>
      </c>
      <c r="V42" s="82">
        <v>32045</v>
      </c>
      <c r="W42" s="82">
        <v>43852</v>
      </c>
      <c r="X42" s="32">
        <v>43889</v>
      </c>
      <c r="Y42" s="82">
        <v>28750</v>
      </c>
      <c r="Z42" s="82">
        <v>12005</v>
      </c>
      <c r="AA42" s="82">
        <v>10187</v>
      </c>
      <c r="AC42" s="96">
        <f t="shared" ref="AC42:AJ45" si="156">T42</f>
        <v>41862</v>
      </c>
      <c r="AD42" s="96">
        <f t="shared" si="156"/>
        <v>32307</v>
      </c>
      <c r="AE42" s="96">
        <f t="shared" si="156"/>
        <v>32045</v>
      </c>
      <c r="AF42" s="96">
        <f t="shared" si="156"/>
        <v>43852</v>
      </c>
      <c r="AG42" s="96">
        <f t="shared" si="156"/>
        <v>43889</v>
      </c>
      <c r="AH42" s="96">
        <f t="shared" si="156"/>
        <v>28750</v>
      </c>
      <c r="AI42" s="96">
        <f t="shared" si="156"/>
        <v>12005</v>
      </c>
      <c r="AJ42" s="96">
        <f t="shared" si="156"/>
        <v>10187</v>
      </c>
      <c r="AK42" s="124"/>
      <c r="AL42" s="75">
        <f>SUM(AJ42/AF42)-1</f>
        <v>-0.76769588616254669</v>
      </c>
    </row>
    <row r="43" spans="1:38" s="122" customFormat="1" ht="12.75" customHeight="1">
      <c r="B43" s="114" t="s">
        <v>130</v>
      </c>
      <c r="C43" s="123">
        <v>44378</v>
      </c>
      <c r="D43" s="123">
        <v>31397</v>
      </c>
      <c r="E43" s="123">
        <v>26057</v>
      </c>
      <c r="F43" s="123">
        <v>23541</v>
      </c>
      <c r="G43" s="123">
        <v>33926</v>
      </c>
      <c r="I43" s="82">
        <v>44706</v>
      </c>
      <c r="J43" s="82">
        <v>47894</v>
      </c>
      <c r="K43" s="82">
        <v>43579</v>
      </c>
      <c r="L43" s="32">
        <v>31397</v>
      </c>
      <c r="M43" s="82">
        <v>29004</v>
      </c>
      <c r="N43" s="82">
        <v>27808</v>
      </c>
      <c r="O43" s="82">
        <v>27468</v>
      </c>
      <c r="P43" s="32">
        <v>26057</v>
      </c>
      <c r="Q43" s="82">
        <v>25888</v>
      </c>
      <c r="R43" s="82">
        <v>24661</v>
      </c>
      <c r="S43" s="82">
        <v>24233</v>
      </c>
      <c r="T43" s="32">
        <v>23541</v>
      </c>
      <c r="U43" s="82">
        <v>25813</v>
      </c>
      <c r="V43" s="82">
        <v>26035</v>
      </c>
      <c r="W43" s="82">
        <v>27048</v>
      </c>
      <c r="X43" s="32">
        <v>33926</v>
      </c>
      <c r="Y43" s="82">
        <v>41480</v>
      </c>
      <c r="Z43" s="82">
        <v>35066</v>
      </c>
      <c r="AA43" s="82">
        <v>34261</v>
      </c>
      <c r="AC43" s="96">
        <f t="shared" si="156"/>
        <v>23541</v>
      </c>
      <c r="AD43" s="96">
        <f t="shared" si="156"/>
        <v>25813</v>
      </c>
      <c r="AE43" s="96">
        <f t="shared" si="156"/>
        <v>26035</v>
      </c>
      <c r="AF43" s="96">
        <f t="shared" si="156"/>
        <v>27048</v>
      </c>
      <c r="AG43" s="96">
        <f t="shared" si="156"/>
        <v>33926</v>
      </c>
      <c r="AH43" s="96">
        <f t="shared" si="156"/>
        <v>41480</v>
      </c>
      <c r="AI43" s="96">
        <f t="shared" si="156"/>
        <v>35066</v>
      </c>
      <c r="AJ43" s="96">
        <f t="shared" si="156"/>
        <v>34261</v>
      </c>
      <c r="AK43" s="124"/>
      <c r="AL43" s="75">
        <f t="shared" ref="AL43:AL45" si="157">SUM(AJ43/AF43)-1</f>
        <v>0.26667406092871926</v>
      </c>
    </row>
    <row r="44" spans="1:38" s="122" customFormat="1" ht="12.75" customHeight="1">
      <c r="B44" s="114" t="s">
        <v>131</v>
      </c>
      <c r="C44" s="123">
        <v>11335</v>
      </c>
      <c r="D44" s="123">
        <v>14039</v>
      </c>
      <c r="E44" s="123">
        <v>13466</v>
      </c>
      <c r="F44" s="123">
        <v>16169</v>
      </c>
      <c r="G44" s="123">
        <v>16994</v>
      </c>
      <c r="I44" s="82">
        <v>10276</v>
      </c>
      <c r="J44" s="82">
        <v>11698</v>
      </c>
      <c r="K44" s="82">
        <v>12088</v>
      </c>
      <c r="L44" s="32">
        <v>14039</v>
      </c>
      <c r="M44" s="82">
        <v>11390</v>
      </c>
      <c r="N44" s="82">
        <v>11525</v>
      </c>
      <c r="O44" s="82">
        <v>11227</v>
      </c>
      <c r="P44" s="32">
        <v>13466</v>
      </c>
      <c r="Q44" s="82">
        <v>11044</v>
      </c>
      <c r="R44" s="82">
        <v>12511</v>
      </c>
      <c r="S44" s="82">
        <v>12944</v>
      </c>
      <c r="T44" s="32">
        <v>16169</v>
      </c>
      <c r="U44" s="82">
        <v>13430</v>
      </c>
      <c r="V44" s="82">
        <v>14505</v>
      </c>
      <c r="W44" s="82">
        <v>14700</v>
      </c>
      <c r="X44" s="32">
        <v>16994</v>
      </c>
      <c r="Y44" s="82">
        <v>14514</v>
      </c>
      <c r="Z44" s="82">
        <v>16561</v>
      </c>
      <c r="AA44" s="82">
        <v>17297</v>
      </c>
      <c r="AC44" s="96">
        <f t="shared" si="156"/>
        <v>16169</v>
      </c>
      <c r="AD44" s="96">
        <f t="shared" si="156"/>
        <v>13430</v>
      </c>
      <c r="AE44" s="96">
        <f t="shared" si="156"/>
        <v>14505</v>
      </c>
      <c r="AF44" s="96">
        <f t="shared" si="156"/>
        <v>14700</v>
      </c>
      <c r="AG44" s="96">
        <f t="shared" si="156"/>
        <v>16994</v>
      </c>
      <c r="AH44" s="96">
        <f t="shared" si="156"/>
        <v>14514</v>
      </c>
      <c r="AI44" s="96">
        <f t="shared" si="156"/>
        <v>16561</v>
      </c>
      <c r="AJ44" s="96">
        <f t="shared" si="156"/>
        <v>17297</v>
      </c>
      <c r="AK44" s="124"/>
      <c r="AL44" s="75">
        <f t="shared" ref="AL44" si="158">SUM(AJ44/AF44)-1</f>
        <v>0.17666666666666675</v>
      </c>
    </row>
    <row r="45" spans="1:38" s="122" customFormat="1" ht="12.75" customHeight="1">
      <c r="B45" s="114" t="s">
        <v>132</v>
      </c>
      <c r="C45" s="123">
        <v>2381</v>
      </c>
      <c r="D45" s="123">
        <v>4629</v>
      </c>
      <c r="E45" s="123">
        <v>5345</v>
      </c>
      <c r="F45" s="123">
        <v>3793</v>
      </c>
      <c r="G45" s="123">
        <v>5236</v>
      </c>
      <c r="I45" s="82">
        <v>2827</v>
      </c>
      <c r="J45" s="82">
        <v>4919</v>
      </c>
      <c r="K45" s="82">
        <v>5258</v>
      </c>
      <c r="L45" s="32">
        <v>4629</v>
      </c>
      <c r="M45" s="82">
        <v>3985</v>
      </c>
      <c r="N45" s="82">
        <v>3973</v>
      </c>
      <c r="O45" s="82">
        <v>5312</v>
      </c>
      <c r="P45" s="32">
        <v>5345</v>
      </c>
      <c r="Q45" s="82">
        <v>4000</v>
      </c>
      <c r="R45" s="82">
        <v>3603</v>
      </c>
      <c r="S45" s="82">
        <v>4311</v>
      </c>
      <c r="T45" s="32">
        <v>3793</v>
      </c>
      <c r="U45" s="82">
        <v>3780</v>
      </c>
      <c r="V45" s="82">
        <v>3846</v>
      </c>
      <c r="W45" s="82">
        <v>5467</v>
      </c>
      <c r="X45" s="32">
        <v>5236</v>
      </c>
      <c r="Y45" s="82">
        <v>5483</v>
      </c>
      <c r="Z45" s="82">
        <v>9981</v>
      </c>
      <c r="AA45" s="82">
        <v>11373</v>
      </c>
      <c r="AC45" s="96">
        <f t="shared" si="156"/>
        <v>3793</v>
      </c>
      <c r="AD45" s="96">
        <f t="shared" si="156"/>
        <v>3780</v>
      </c>
      <c r="AE45" s="96">
        <f t="shared" si="156"/>
        <v>3846</v>
      </c>
      <c r="AF45" s="96">
        <f t="shared" si="156"/>
        <v>5467</v>
      </c>
      <c r="AG45" s="96">
        <f t="shared" si="156"/>
        <v>5236</v>
      </c>
      <c r="AH45" s="96">
        <f t="shared" si="156"/>
        <v>5483</v>
      </c>
      <c r="AI45" s="96">
        <f t="shared" si="156"/>
        <v>9981</v>
      </c>
      <c r="AJ45" s="96">
        <f t="shared" si="156"/>
        <v>11373</v>
      </c>
      <c r="AK45" s="124"/>
      <c r="AL45" s="75">
        <f t="shared" si="157"/>
        <v>1.0802999817084324</v>
      </c>
    </row>
    <row r="46" spans="1:38" ht="12.75" customHeight="1">
      <c r="B46" s="25" t="s">
        <v>18</v>
      </c>
      <c r="C46" s="26">
        <f>SUM(C42:C45)</f>
        <v>75670</v>
      </c>
      <c r="D46" s="26">
        <f>SUM(D42:D45)</f>
        <v>66666</v>
      </c>
      <c r="E46" s="26">
        <f>SUM(E42:E45)</f>
        <v>59549</v>
      </c>
      <c r="F46" s="26">
        <f>SUM(F42:F45)</f>
        <v>85365</v>
      </c>
      <c r="G46" s="26">
        <f>SUM(G42:G45)</f>
        <v>100045</v>
      </c>
      <c r="H46" s="48"/>
      <c r="I46" s="26">
        <f t="shared" ref="I46:AA46" si="159">SUM(I42:I45)</f>
        <v>77322</v>
      </c>
      <c r="J46" s="26">
        <f t="shared" si="159"/>
        <v>80697</v>
      </c>
      <c r="K46" s="26">
        <f t="shared" si="159"/>
        <v>75421</v>
      </c>
      <c r="L46" s="26">
        <f t="shared" si="159"/>
        <v>66666</v>
      </c>
      <c r="M46" s="26">
        <f t="shared" si="159"/>
        <v>59265</v>
      </c>
      <c r="N46" s="26">
        <f t="shared" si="159"/>
        <v>55987</v>
      </c>
      <c r="O46" s="26">
        <f t="shared" si="159"/>
        <v>58315</v>
      </c>
      <c r="P46" s="26">
        <f t="shared" si="159"/>
        <v>59549</v>
      </c>
      <c r="Q46" s="26">
        <f t="shared" si="159"/>
        <v>52483</v>
      </c>
      <c r="R46" s="26">
        <f t="shared" si="159"/>
        <v>69560</v>
      </c>
      <c r="S46" s="26">
        <f t="shared" si="159"/>
        <v>78378</v>
      </c>
      <c r="T46" s="26">
        <f t="shared" si="159"/>
        <v>85365</v>
      </c>
      <c r="U46" s="26">
        <f t="shared" si="159"/>
        <v>75330</v>
      </c>
      <c r="V46" s="26">
        <f t="shared" si="159"/>
        <v>76431</v>
      </c>
      <c r="W46" s="26">
        <f t="shared" si="159"/>
        <v>91067</v>
      </c>
      <c r="X46" s="26">
        <f t="shared" si="159"/>
        <v>100045</v>
      </c>
      <c r="Y46" s="26">
        <f t="shared" si="159"/>
        <v>90227</v>
      </c>
      <c r="Z46" s="26">
        <f t="shared" si="159"/>
        <v>73613</v>
      </c>
      <c r="AA46" s="26">
        <f t="shared" si="159"/>
        <v>73118</v>
      </c>
      <c r="AB46" s="48"/>
      <c r="AC46" s="26">
        <f t="shared" ref="AC46:AJ46" si="160">SUM(AC42:AC45)</f>
        <v>85365</v>
      </c>
      <c r="AD46" s="26">
        <f t="shared" si="160"/>
        <v>75330</v>
      </c>
      <c r="AE46" s="26">
        <f t="shared" si="160"/>
        <v>76431</v>
      </c>
      <c r="AF46" s="26">
        <f t="shared" si="160"/>
        <v>91067</v>
      </c>
      <c r="AG46" s="26">
        <f t="shared" si="160"/>
        <v>100045</v>
      </c>
      <c r="AH46" s="26">
        <f t="shared" si="160"/>
        <v>90227</v>
      </c>
      <c r="AI46" s="26">
        <f t="shared" si="160"/>
        <v>73613</v>
      </c>
      <c r="AJ46" s="26">
        <f t="shared" si="160"/>
        <v>73118</v>
      </c>
      <c r="AK46" s="42"/>
      <c r="AL46" s="76">
        <f>SUM(AJ46/AF46)-1</f>
        <v>-0.19709664313088171</v>
      </c>
    </row>
    <row r="47" spans="1:38" ht="5.0999999999999996" customHeight="1">
      <c r="B47" s="25"/>
      <c r="C47" s="49"/>
      <c r="D47" s="49"/>
      <c r="E47" s="49"/>
      <c r="F47" s="41"/>
      <c r="G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C47" s="42"/>
      <c r="AD47" s="42"/>
      <c r="AE47" s="42"/>
      <c r="AF47" s="42"/>
      <c r="AG47" s="42"/>
      <c r="AH47" s="42"/>
      <c r="AI47" s="42"/>
      <c r="AJ47" s="42"/>
      <c r="AK47" s="42"/>
      <c r="AL47" s="39"/>
    </row>
    <row r="48" spans="1:38" ht="12.75" customHeight="1">
      <c r="B48" s="78" t="s">
        <v>78</v>
      </c>
      <c r="C48" s="82"/>
      <c r="D48" s="82"/>
      <c r="E48" s="82"/>
      <c r="F48" s="82"/>
      <c r="G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32"/>
      <c r="Z48" s="82"/>
      <c r="AA48" s="82"/>
      <c r="AC48" s="32"/>
      <c r="AD48" s="32"/>
      <c r="AE48" s="32"/>
      <c r="AF48" s="32"/>
      <c r="AG48" s="32"/>
      <c r="AH48" s="32"/>
      <c r="AI48" s="32"/>
      <c r="AJ48" s="32"/>
      <c r="AK48" s="11"/>
      <c r="AL48" s="75"/>
    </row>
    <row r="49" spans="2:38" ht="12.75" customHeight="1">
      <c r="B49" s="9" t="s">
        <v>133</v>
      </c>
      <c r="C49" s="82">
        <v>6234</v>
      </c>
      <c r="D49" s="82">
        <v>6775</v>
      </c>
      <c r="E49" s="82">
        <v>6201</v>
      </c>
      <c r="F49" s="82">
        <v>6141</v>
      </c>
      <c r="G49" s="82">
        <v>6070</v>
      </c>
      <c r="I49" s="82">
        <v>6342</v>
      </c>
      <c r="J49" s="82">
        <v>6393</v>
      </c>
      <c r="K49" s="82">
        <v>6758</v>
      </c>
      <c r="L49" s="32">
        <f t="shared" ref="L49:L53" si="161">D49</f>
        <v>6775</v>
      </c>
      <c r="M49" s="82">
        <v>6775</v>
      </c>
      <c r="N49" s="82">
        <v>6536</v>
      </c>
      <c r="O49" s="82">
        <v>6528</v>
      </c>
      <c r="P49" s="32">
        <f t="shared" ref="P49:P53" si="162">E49</f>
        <v>6201</v>
      </c>
      <c r="Q49" s="82">
        <v>6167</v>
      </c>
      <c r="R49" s="82">
        <v>6208</v>
      </c>
      <c r="S49" s="82">
        <v>6142</v>
      </c>
      <c r="T49" s="32">
        <f t="shared" ref="T49:T53" si="163">F49</f>
        <v>6141</v>
      </c>
      <c r="U49" s="82">
        <v>6218</v>
      </c>
      <c r="V49" s="82">
        <v>6207</v>
      </c>
      <c r="W49" s="82">
        <v>6071</v>
      </c>
      <c r="X49" s="32">
        <f t="shared" ref="X49:X53" si="164">G49</f>
        <v>6070</v>
      </c>
      <c r="Y49" s="82">
        <v>6168</v>
      </c>
      <c r="Z49" s="82">
        <v>21988</v>
      </c>
      <c r="AA49" s="82">
        <v>25074</v>
      </c>
      <c r="AC49" s="32">
        <f t="shared" ref="AC49:AJ50" si="165">T49</f>
        <v>6141</v>
      </c>
      <c r="AD49" s="32">
        <f t="shared" si="165"/>
        <v>6218</v>
      </c>
      <c r="AE49" s="32">
        <f t="shared" si="165"/>
        <v>6207</v>
      </c>
      <c r="AF49" s="32">
        <f t="shared" si="165"/>
        <v>6071</v>
      </c>
      <c r="AG49" s="32">
        <f t="shared" si="165"/>
        <v>6070</v>
      </c>
      <c r="AH49" s="32">
        <f t="shared" si="165"/>
        <v>6168</v>
      </c>
      <c r="AI49" s="32">
        <f t="shared" si="165"/>
        <v>21988</v>
      </c>
      <c r="AJ49" s="32">
        <f t="shared" si="165"/>
        <v>25074</v>
      </c>
      <c r="AK49" s="11"/>
      <c r="AL49" s="75">
        <f t="shared" ref="AL49:AL54" si="166">SUM(AJ49/AF49)-1</f>
        <v>3.1301268324822926</v>
      </c>
    </row>
    <row r="50" spans="2:38" ht="12.75" customHeight="1">
      <c r="B50" s="9" t="s">
        <v>134</v>
      </c>
      <c r="C50" s="82">
        <v>45633</v>
      </c>
      <c r="D50" s="82">
        <v>57809</v>
      </c>
      <c r="E50" s="82">
        <v>79518</v>
      </c>
      <c r="F50" s="82">
        <v>96587</v>
      </c>
      <c r="G50" s="82">
        <v>121346</v>
      </c>
      <c r="I50" s="82">
        <v>47720</v>
      </c>
      <c r="J50" s="82">
        <v>50909</v>
      </c>
      <c r="K50" s="82">
        <v>53726</v>
      </c>
      <c r="L50" s="32">
        <f t="shared" si="161"/>
        <v>57809</v>
      </c>
      <c r="M50" s="82">
        <v>61582</v>
      </c>
      <c r="N50" s="82">
        <v>67588</v>
      </c>
      <c r="O50" s="82">
        <v>73738</v>
      </c>
      <c r="P50" s="32">
        <f t="shared" si="162"/>
        <v>79518</v>
      </c>
      <c r="Q50" s="82">
        <v>84156</v>
      </c>
      <c r="R50" s="82">
        <v>87949</v>
      </c>
      <c r="S50" s="82">
        <v>91772</v>
      </c>
      <c r="T50" s="32">
        <f t="shared" si="163"/>
        <v>96587</v>
      </c>
      <c r="U50" s="82">
        <v>98908</v>
      </c>
      <c r="V50" s="82">
        <v>102959</v>
      </c>
      <c r="W50" s="82">
        <v>112162</v>
      </c>
      <c r="X50" s="32">
        <f t="shared" si="164"/>
        <v>121346</v>
      </c>
      <c r="Y50" s="82">
        <v>133567</v>
      </c>
      <c r="Z50" s="82">
        <v>147039</v>
      </c>
      <c r="AA50" s="82">
        <v>160270</v>
      </c>
      <c r="AC50" s="32">
        <f t="shared" si="165"/>
        <v>96587</v>
      </c>
      <c r="AD50" s="32">
        <f t="shared" si="165"/>
        <v>98908</v>
      </c>
      <c r="AE50" s="32">
        <f t="shared" si="165"/>
        <v>102959</v>
      </c>
      <c r="AF50" s="32">
        <f t="shared" si="165"/>
        <v>112162</v>
      </c>
      <c r="AG50" s="32">
        <f t="shared" si="165"/>
        <v>121346</v>
      </c>
      <c r="AH50" s="32">
        <f t="shared" si="165"/>
        <v>133567</v>
      </c>
      <c r="AI50" s="32">
        <f t="shared" si="165"/>
        <v>147039</v>
      </c>
      <c r="AJ50" s="32">
        <f t="shared" si="165"/>
        <v>160270</v>
      </c>
      <c r="AK50" s="11"/>
      <c r="AL50" s="75">
        <f t="shared" si="166"/>
        <v>0.42891531891371404</v>
      </c>
    </row>
    <row r="51" spans="2:38" ht="12.75" customHeight="1">
      <c r="B51" s="9" t="s">
        <v>135</v>
      </c>
      <c r="C51" s="82">
        <v>9348</v>
      </c>
      <c r="D51" s="82">
        <v>12155</v>
      </c>
      <c r="E51" s="82">
        <v>12673</v>
      </c>
      <c r="F51" s="82">
        <v>13294</v>
      </c>
      <c r="G51" s="82">
        <v>14922</v>
      </c>
      <c r="I51" s="82">
        <v>10202</v>
      </c>
      <c r="J51" s="82">
        <v>10525</v>
      </c>
      <c r="K51" s="82">
        <v>11063</v>
      </c>
      <c r="L51" s="32">
        <f t="shared" si="161"/>
        <v>12155</v>
      </c>
      <c r="M51" s="82">
        <v>12241</v>
      </c>
      <c r="N51" s="82">
        <v>14130</v>
      </c>
      <c r="O51" s="82">
        <v>13641</v>
      </c>
      <c r="P51" s="32">
        <f t="shared" si="162"/>
        <v>12673</v>
      </c>
      <c r="Q51" s="82">
        <v>12899</v>
      </c>
      <c r="R51" s="82">
        <v>12955</v>
      </c>
      <c r="S51" s="82">
        <v>13033</v>
      </c>
      <c r="T51" s="32">
        <f t="shared" si="163"/>
        <v>13294</v>
      </c>
      <c r="U51" s="82">
        <v>13555</v>
      </c>
      <c r="V51" s="82">
        <v>14058</v>
      </c>
      <c r="W51" s="82">
        <v>14812</v>
      </c>
      <c r="X51" s="32">
        <f t="shared" si="164"/>
        <v>14922</v>
      </c>
      <c r="Y51" s="82">
        <v>15505</v>
      </c>
      <c r="Z51" s="82">
        <v>15662</v>
      </c>
      <c r="AA51" s="82">
        <v>17372</v>
      </c>
      <c r="AC51" s="32">
        <f t="shared" ref="AC51:AC52" si="167">T51</f>
        <v>13294</v>
      </c>
      <c r="AD51" s="32">
        <f t="shared" ref="AD51:AD52" si="168">U51</f>
        <v>13555</v>
      </c>
      <c r="AE51" s="32">
        <f t="shared" ref="AE51:AE52" si="169">V51</f>
        <v>14058</v>
      </c>
      <c r="AF51" s="32">
        <f t="shared" ref="AF51:AF52" si="170">W51</f>
        <v>14812</v>
      </c>
      <c r="AG51" s="32">
        <f t="shared" ref="AG51:AG52" si="171">X51</f>
        <v>14922</v>
      </c>
      <c r="AH51" s="32">
        <f t="shared" ref="AH51:AH52" si="172">Y51</f>
        <v>15505</v>
      </c>
      <c r="AI51" s="32">
        <f t="shared" ref="AI51:AI52" si="173">Z51</f>
        <v>15662</v>
      </c>
      <c r="AJ51" s="32">
        <f t="shared" ref="AJ51:AJ52" si="174">AA51</f>
        <v>17372</v>
      </c>
      <c r="AK51" s="11"/>
      <c r="AL51" s="75">
        <f t="shared" si="166"/>
        <v>0.17283283823926543</v>
      </c>
    </row>
    <row r="52" spans="2:38" ht="12.75" customHeight="1">
      <c r="B52" s="9" t="s">
        <v>101</v>
      </c>
      <c r="C52" s="82">
        <v>19050</v>
      </c>
      <c r="D52" s="82">
        <v>19197</v>
      </c>
      <c r="E52" s="82">
        <v>20306</v>
      </c>
      <c r="F52" s="82">
        <v>20654</v>
      </c>
      <c r="G52" s="82">
        <v>20654</v>
      </c>
      <c r="I52" s="82">
        <v>19056</v>
      </c>
      <c r="J52" s="82">
        <v>19219</v>
      </c>
      <c r="K52" s="82">
        <v>19065</v>
      </c>
      <c r="L52" s="32">
        <f t="shared" si="161"/>
        <v>19197</v>
      </c>
      <c r="M52" s="82">
        <v>19923</v>
      </c>
      <c r="N52" s="82">
        <v>20229</v>
      </c>
      <c r="O52" s="82">
        <v>20268</v>
      </c>
      <c r="P52" s="32">
        <f t="shared" si="162"/>
        <v>20306</v>
      </c>
      <c r="Q52" s="82">
        <v>20649</v>
      </c>
      <c r="R52" s="82">
        <v>20659</v>
      </c>
      <c r="S52" s="82">
        <v>20668</v>
      </c>
      <c r="T52" s="32">
        <f t="shared" si="163"/>
        <v>20654</v>
      </c>
      <c r="U52" s="82">
        <v>20654</v>
      </c>
      <c r="V52" s="82">
        <v>20654</v>
      </c>
      <c r="W52" s="82">
        <v>20654</v>
      </c>
      <c r="X52" s="32">
        <f t="shared" si="164"/>
        <v>20654</v>
      </c>
      <c r="Y52" s="82">
        <v>20654</v>
      </c>
      <c r="Z52" s="82">
        <v>20654</v>
      </c>
      <c r="AA52" s="82">
        <v>21158</v>
      </c>
      <c r="AC52" s="32">
        <f t="shared" si="167"/>
        <v>20654</v>
      </c>
      <c r="AD52" s="32">
        <f t="shared" si="168"/>
        <v>20654</v>
      </c>
      <c r="AE52" s="32">
        <f t="shared" si="169"/>
        <v>20654</v>
      </c>
      <c r="AF52" s="32">
        <f t="shared" si="170"/>
        <v>20654</v>
      </c>
      <c r="AG52" s="32">
        <f t="shared" si="171"/>
        <v>20654</v>
      </c>
      <c r="AH52" s="32">
        <f t="shared" si="172"/>
        <v>20654</v>
      </c>
      <c r="AI52" s="32">
        <f t="shared" si="173"/>
        <v>20654</v>
      </c>
      <c r="AJ52" s="32">
        <f t="shared" si="174"/>
        <v>21158</v>
      </c>
      <c r="AK52" s="11"/>
      <c r="AL52" s="75">
        <f t="shared" si="166"/>
        <v>2.4402052871114632E-2</v>
      </c>
    </row>
    <row r="53" spans="2:38" ht="12.75" customHeight="1">
      <c r="B53" s="9" t="s">
        <v>136</v>
      </c>
      <c r="C53" s="82">
        <f>2758+623</f>
        <v>3381</v>
      </c>
      <c r="D53" s="82">
        <f>2751+634</f>
        <v>3385</v>
      </c>
      <c r="E53" s="82">
        <f>6583+897</f>
        <v>7480</v>
      </c>
      <c r="F53" s="82">
        <v>7582</v>
      </c>
      <c r="G53" s="82">
        <v>13017</v>
      </c>
      <c r="I53" s="82">
        <f>2376+505</f>
        <v>2881</v>
      </c>
      <c r="J53" s="82">
        <f>2352+514</f>
        <v>2866</v>
      </c>
      <c r="K53" s="82">
        <f>3187+365</f>
        <v>3552</v>
      </c>
      <c r="L53" s="32">
        <f t="shared" si="161"/>
        <v>3385</v>
      </c>
      <c r="M53" s="82">
        <f>3522+910</f>
        <v>4432</v>
      </c>
      <c r="N53" s="82">
        <f>4344+965</f>
        <v>5309</v>
      </c>
      <c r="O53" s="82">
        <f>5529+875</f>
        <v>6404</v>
      </c>
      <c r="P53" s="32">
        <f t="shared" si="162"/>
        <v>7480</v>
      </c>
      <c r="Q53" s="82">
        <f>7188+949</f>
        <v>8137</v>
      </c>
      <c r="R53" s="82">
        <f>8501+856</f>
        <v>9357</v>
      </c>
      <c r="S53" s="82">
        <f>5468+813</f>
        <v>6281</v>
      </c>
      <c r="T53" s="32">
        <f t="shared" si="163"/>
        <v>7582</v>
      </c>
      <c r="U53" s="82">
        <v>8179</v>
      </c>
      <c r="V53" s="82">
        <v>9929</v>
      </c>
      <c r="W53" s="82">
        <v>11642</v>
      </c>
      <c r="X53" s="32">
        <f t="shared" si="164"/>
        <v>13017</v>
      </c>
      <c r="Y53" s="82">
        <v>14092</v>
      </c>
      <c r="Z53" s="82">
        <v>15788</v>
      </c>
      <c r="AA53" s="82">
        <v>6852</v>
      </c>
      <c r="AC53" s="32">
        <f t="shared" ref="AC53:AJ53" si="175">T53</f>
        <v>7582</v>
      </c>
      <c r="AD53" s="32">
        <f t="shared" si="175"/>
        <v>8179</v>
      </c>
      <c r="AE53" s="32">
        <f t="shared" si="175"/>
        <v>9929</v>
      </c>
      <c r="AF53" s="32">
        <f t="shared" si="175"/>
        <v>11642</v>
      </c>
      <c r="AG53" s="32">
        <f t="shared" si="175"/>
        <v>13017</v>
      </c>
      <c r="AH53" s="32">
        <f t="shared" si="175"/>
        <v>14092</v>
      </c>
      <c r="AI53" s="32">
        <f t="shared" si="175"/>
        <v>15788</v>
      </c>
      <c r="AJ53" s="32">
        <f t="shared" si="175"/>
        <v>6852</v>
      </c>
      <c r="AK53" s="11"/>
      <c r="AL53" s="75">
        <f t="shared" ref="AL53" si="176">SUM(AJ53/AF53)-1</f>
        <v>-0.41144133310427766</v>
      </c>
    </row>
    <row r="54" spans="2:38" ht="12.75" customHeight="1">
      <c r="B54" s="13" t="s">
        <v>19</v>
      </c>
      <c r="C54" s="14">
        <f>SUM(C49:C53)+C46</f>
        <v>159316</v>
      </c>
      <c r="D54" s="14">
        <f>SUM(D49:D53)+D46</f>
        <v>165987</v>
      </c>
      <c r="E54" s="14">
        <f>SUM(E49:E53)+E46</f>
        <v>185727</v>
      </c>
      <c r="F54" s="14">
        <f>SUM(F49:F53)+F46</f>
        <v>229623</v>
      </c>
      <c r="G54" s="14">
        <f>SUM(G49:G53)+G46</f>
        <v>276054</v>
      </c>
      <c r="I54" s="14">
        <f t="shared" ref="I54:AA54" si="177">SUM(I49:I53)+I46</f>
        <v>163523</v>
      </c>
      <c r="J54" s="14">
        <f t="shared" si="177"/>
        <v>170609</v>
      </c>
      <c r="K54" s="14">
        <f t="shared" si="177"/>
        <v>169585</v>
      </c>
      <c r="L54" s="14">
        <f t="shared" si="177"/>
        <v>165987</v>
      </c>
      <c r="M54" s="14">
        <f t="shared" si="177"/>
        <v>164218</v>
      </c>
      <c r="N54" s="14">
        <f t="shared" si="177"/>
        <v>169779</v>
      </c>
      <c r="O54" s="14">
        <f t="shared" si="177"/>
        <v>178894</v>
      </c>
      <c r="P54" s="14">
        <f t="shared" si="177"/>
        <v>185727</v>
      </c>
      <c r="Q54" s="14">
        <f t="shared" si="177"/>
        <v>184491</v>
      </c>
      <c r="R54" s="14">
        <f t="shared" si="177"/>
        <v>206688</v>
      </c>
      <c r="S54" s="14">
        <f t="shared" si="177"/>
        <v>216274</v>
      </c>
      <c r="T54" s="14">
        <f t="shared" si="177"/>
        <v>229623</v>
      </c>
      <c r="U54" s="14">
        <f t="shared" si="177"/>
        <v>222844</v>
      </c>
      <c r="V54" s="14">
        <f t="shared" si="177"/>
        <v>230238</v>
      </c>
      <c r="W54" s="14">
        <f t="shared" si="177"/>
        <v>256408</v>
      </c>
      <c r="X54" s="14">
        <f t="shared" si="177"/>
        <v>276054</v>
      </c>
      <c r="Y54" s="14">
        <f t="shared" si="177"/>
        <v>280213</v>
      </c>
      <c r="Z54" s="14">
        <f t="shared" si="177"/>
        <v>294744</v>
      </c>
      <c r="AA54" s="14">
        <f t="shared" si="177"/>
        <v>303844</v>
      </c>
      <c r="AC54" s="14">
        <f t="shared" ref="AC54:AJ54" si="178">SUM(AC49:AC53)+AC46</f>
        <v>229623</v>
      </c>
      <c r="AD54" s="14">
        <f t="shared" si="178"/>
        <v>222844</v>
      </c>
      <c r="AE54" s="14">
        <f t="shared" si="178"/>
        <v>230238</v>
      </c>
      <c r="AF54" s="14">
        <f t="shared" si="178"/>
        <v>256408</v>
      </c>
      <c r="AG54" s="14">
        <f t="shared" si="178"/>
        <v>276054</v>
      </c>
      <c r="AH54" s="14">
        <f t="shared" si="178"/>
        <v>280213</v>
      </c>
      <c r="AI54" s="14">
        <f t="shared" si="178"/>
        <v>294744</v>
      </c>
      <c r="AJ54" s="34">
        <f t="shared" si="178"/>
        <v>303844</v>
      </c>
      <c r="AK54" s="42"/>
      <c r="AL54" s="76">
        <f t="shared" si="166"/>
        <v>0.1850020280178466</v>
      </c>
    </row>
    <row r="55" spans="2:38" ht="12.75" customHeight="1">
      <c r="B55" s="25"/>
      <c r="C55" s="50"/>
      <c r="D55" s="50"/>
      <c r="E55" s="50"/>
      <c r="F55" s="41"/>
      <c r="G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C55" s="42"/>
      <c r="AD55" s="42"/>
      <c r="AE55" s="42"/>
      <c r="AF55" s="42"/>
      <c r="AG55" s="42"/>
      <c r="AH55" s="42"/>
      <c r="AI55" s="42"/>
      <c r="AJ55" s="42"/>
      <c r="AK55" s="42"/>
      <c r="AL55" s="39"/>
    </row>
    <row r="56" spans="2:38" ht="12.75" customHeight="1">
      <c r="B56" s="78" t="s">
        <v>45</v>
      </c>
      <c r="C56" s="50"/>
      <c r="D56" s="50"/>
      <c r="E56" s="50"/>
      <c r="F56" s="41"/>
      <c r="G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C56" s="42"/>
      <c r="AD56" s="42"/>
      <c r="AE56" s="42"/>
      <c r="AF56" s="42"/>
      <c r="AG56" s="42"/>
      <c r="AH56" s="42"/>
      <c r="AI56" s="42"/>
      <c r="AJ56" s="42"/>
      <c r="AK56" s="42"/>
      <c r="AL56" s="39"/>
    </row>
    <row r="57" spans="2:38" ht="12.75" customHeight="1">
      <c r="B57" s="120" t="s">
        <v>137</v>
      </c>
      <c r="C57" s="121">
        <v>1331</v>
      </c>
      <c r="D57" s="121">
        <v>4083</v>
      </c>
      <c r="E57" s="121">
        <v>4990</v>
      </c>
      <c r="F57" s="121">
        <v>4849</v>
      </c>
      <c r="G57" s="121">
        <v>7687</v>
      </c>
      <c r="I57" s="82">
        <v>878</v>
      </c>
      <c r="J57" s="82">
        <v>973</v>
      </c>
      <c r="K57" s="82">
        <v>2195</v>
      </c>
      <c r="L57" s="32">
        <f t="shared" ref="L57:L59" si="179">D57</f>
        <v>4083</v>
      </c>
      <c r="M57" s="82">
        <v>3246</v>
      </c>
      <c r="N57" s="82">
        <v>4008</v>
      </c>
      <c r="O57" s="82">
        <v>3871</v>
      </c>
      <c r="P57" s="32">
        <f t="shared" ref="P57:P59" si="180">E57</f>
        <v>4990</v>
      </c>
      <c r="Q57" s="82">
        <v>3672</v>
      </c>
      <c r="R57" s="82">
        <v>3093</v>
      </c>
      <c r="S57" s="82">
        <v>4372</v>
      </c>
      <c r="T57" s="32">
        <f t="shared" ref="T57:T59" si="181">F57</f>
        <v>4849</v>
      </c>
      <c r="U57" s="82">
        <v>3785</v>
      </c>
      <c r="V57" s="82">
        <v>3173</v>
      </c>
      <c r="W57" s="82">
        <v>7656</v>
      </c>
      <c r="X57" s="32">
        <f t="shared" ref="X57:X59" si="182">G57</f>
        <v>7687</v>
      </c>
      <c r="Y57" s="82">
        <v>8512</v>
      </c>
      <c r="Z57" s="82">
        <v>10271</v>
      </c>
      <c r="AA57" s="82">
        <v>7798</v>
      </c>
      <c r="AC57" s="97">
        <f t="shared" ref="AC57:AJ59" si="183">T57</f>
        <v>4849</v>
      </c>
      <c r="AD57" s="97">
        <f t="shared" si="183"/>
        <v>3785</v>
      </c>
      <c r="AE57" s="97">
        <f t="shared" si="183"/>
        <v>3173</v>
      </c>
      <c r="AF57" s="97">
        <f t="shared" si="183"/>
        <v>7656</v>
      </c>
      <c r="AG57" s="97">
        <f t="shared" si="183"/>
        <v>7687</v>
      </c>
      <c r="AH57" s="97">
        <f t="shared" si="183"/>
        <v>8512</v>
      </c>
      <c r="AI57" s="97">
        <f t="shared" si="183"/>
        <v>10271</v>
      </c>
      <c r="AJ57" s="97">
        <f t="shared" si="183"/>
        <v>7798</v>
      </c>
      <c r="AK57" s="11"/>
      <c r="AL57" s="75">
        <f t="shared" ref="AL57:AL60" si="184">SUM(AJ57/AF57)-1</f>
        <v>1.8547544409613481E-2</v>
      </c>
    </row>
    <row r="58" spans="2:38" ht="12.75" customHeight="1">
      <c r="B58" s="120" t="s">
        <v>138</v>
      </c>
      <c r="C58" s="121">
        <v>1023</v>
      </c>
      <c r="D58" s="121">
        <v>1127</v>
      </c>
      <c r="E58" s="121">
        <v>1117</v>
      </c>
      <c r="F58" s="121">
        <v>1623</v>
      </c>
      <c r="G58" s="121">
        <v>1942</v>
      </c>
      <c r="I58" s="82">
        <v>1040</v>
      </c>
      <c r="J58" s="82">
        <v>1051</v>
      </c>
      <c r="K58" s="82">
        <v>1086</v>
      </c>
      <c r="L58" s="32">
        <f t="shared" si="179"/>
        <v>1127</v>
      </c>
      <c r="M58" s="82">
        <v>1159</v>
      </c>
      <c r="N58" s="82">
        <v>1275</v>
      </c>
      <c r="O58" s="82">
        <v>1291</v>
      </c>
      <c r="P58" s="32">
        <f t="shared" si="180"/>
        <v>1117</v>
      </c>
      <c r="Q58" s="82">
        <v>885</v>
      </c>
      <c r="R58" s="82">
        <v>772</v>
      </c>
      <c r="S58" s="82">
        <v>770</v>
      </c>
      <c r="T58" s="32">
        <f t="shared" si="181"/>
        <v>1623</v>
      </c>
      <c r="U58" s="82">
        <v>1676</v>
      </c>
      <c r="V58" s="82">
        <v>1917</v>
      </c>
      <c r="W58" s="82">
        <v>2016</v>
      </c>
      <c r="X58" s="32">
        <f t="shared" si="182"/>
        <v>1942</v>
      </c>
      <c r="Y58" s="82">
        <v>1976</v>
      </c>
      <c r="Z58" s="82">
        <v>1977</v>
      </c>
      <c r="AA58" s="82">
        <v>2113</v>
      </c>
      <c r="AC58" s="97">
        <f t="shared" si="183"/>
        <v>1623</v>
      </c>
      <c r="AD58" s="97">
        <f t="shared" si="183"/>
        <v>1676</v>
      </c>
      <c r="AE58" s="97">
        <f t="shared" si="183"/>
        <v>1917</v>
      </c>
      <c r="AF58" s="97">
        <f t="shared" si="183"/>
        <v>2016</v>
      </c>
      <c r="AG58" s="97">
        <f t="shared" si="183"/>
        <v>1942</v>
      </c>
      <c r="AH58" s="97">
        <f t="shared" si="183"/>
        <v>1976</v>
      </c>
      <c r="AI58" s="97">
        <f t="shared" si="183"/>
        <v>1977</v>
      </c>
      <c r="AJ58" s="97">
        <f t="shared" si="183"/>
        <v>2113</v>
      </c>
      <c r="AK58" s="11"/>
      <c r="AL58" s="75">
        <f t="shared" ref="AL58" si="185">SUM(AJ58/AF58)-1</f>
        <v>4.8115079365079305E-2</v>
      </c>
    </row>
    <row r="59" spans="2:38" ht="12.75" customHeight="1">
      <c r="B59" s="120" t="s">
        <v>139</v>
      </c>
      <c r="C59" s="121">
        <f>11152+1093+382</f>
        <v>12627</v>
      </c>
      <c r="D59" s="121">
        <f>14312+1052+561</f>
        <v>15925</v>
      </c>
      <c r="E59" s="121">
        <v>1367</v>
      </c>
      <c r="F59" s="121">
        <v>25488</v>
      </c>
      <c r="G59" s="121">
        <v>23967</v>
      </c>
      <c r="I59" s="82">
        <f>9411+1006+382</f>
        <v>10799</v>
      </c>
      <c r="J59" s="82">
        <f>11510+949+391</f>
        <v>12850</v>
      </c>
      <c r="K59" s="82">
        <f>13158+909+464</f>
        <v>14531</v>
      </c>
      <c r="L59" s="32">
        <f t="shared" si="179"/>
        <v>15925</v>
      </c>
      <c r="M59" s="82">
        <f>15226+935+520</f>
        <v>16681</v>
      </c>
      <c r="N59" s="82">
        <f>15420+532+982</f>
        <v>16934</v>
      </c>
      <c r="O59" s="82">
        <f>16036+975+514</f>
        <v>17525</v>
      </c>
      <c r="P59" s="32">
        <f t="shared" si="180"/>
        <v>1367</v>
      </c>
      <c r="Q59" s="82">
        <v>1479</v>
      </c>
      <c r="R59" s="82">
        <v>1396</v>
      </c>
      <c r="S59" s="82">
        <v>1460</v>
      </c>
      <c r="T59" s="32">
        <f t="shared" si="181"/>
        <v>25488</v>
      </c>
      <c r="U59" s="82">
        <v>22640</v>
      </c>
      <c r="V59" s="82">
        <v>21914</v>
      </c>
      <c r="W59" s="82">
        <v>23658</v>
      </c>
      <c r="X59" s="32">
        <f t="shared" si="182"/>
        <v>23967</v>
      </c>
      <c r="Y59" s="82">
        <v>23402</v>
      </c>
      <c r="Z59" s="82">
        <v>25057</v>
      </c>
      <c r="AA59" s="82">
        <v>27047</v>
      </c>
      <c r="AC59" s="97">
        <f t="shared" si="183"/>
        <v>25488</v>
      </c>
      <c r="AD59" s="97">
        <f t="shared" si="183"/>
        <v>22640</v>
      </c>
      <c r="AE59" s="97">
        <f t="shared" si="183"/>
        <v>21914</v>
      </c>
      <c r="AF59" s="97">
        <f t="shared" si="183"/>
        <v>23658</v>
      </c>
      <c r="AG59" s="97">
        <f t="shared" si="183"/>
        <v>23967</v>
      </c>
      <c r="AH59" s="97">
        <f t="shared" si="183"/>
        <v>23402</v>
      </c>
      <c r="AI59" s="97">
        <f t="shared" si="183"/>
        <v>25057</v>
      </c>
      <c r="AJ59" s="97">
        <f t="shared" si="183"/>
        <v>27047</v>
      </c>
      <c r="AK59" s="11"/>
      <c r="AL59" s="75">
        <f t="shared" ref="AL59" si="186">SUM(AJ59/AF59)-1</f>
        <v>0.14324964071350066</v>
      </c>
    </row>
    <row r="60" spans="2:38" ht="12.75" customHeight="1">
      <c r="B60" s="25" t="s">
        <v>17</v>
      </c>
      <c r="C60" s="26">
        <f>SUM(C57:C59)</f>
        <v>14981</v>
      </c>
      <c r="D60" s="26">
        <f>SUM(D57:D59)</f>
        <v>21135</v>
      </c>
      <c r="E60" s="26">
        <f>SUM(E57:E59)</f>
        <v>7474</v>
      </c>
      <c r="F60" s="26">
        <f>SUM(F57:F59)</f>
        <v>31960</v>
      </c>
      <c r="G60" s="26">
        <f>SUM(G57:G59)</f>
        <v>33596</v>
      </c>
      <c r="I60" s="26">
        <f t="shared" ref="I60:AA60" si="187">SUM(I57:I59)</f>
        <v>12717</v>
      </c>
      <c r="J60" s="26">
        <f t="shared" si="187"/>
        <v>14874</v>
      </c>
      <c r="K60" s="26">
        <f t="shared" si="187"/>
        <v>17812</v>
      </c>
      <c r="L60" s="26">
        <f t="shared" si="187"/>
        <v>21135</v>
      </c>
      <c r="M60" s="26">
        <f t="shared" si="187"/>
        <v>21086</v>
      </c>
      <c r="N60" s="26">
        <f t="shared" si="187"/>
        <v>22217</v>
      </c>
      <c r="O60" s="26">
        <f t="shared" si="187"/>
        <v>22687</v>
      </c>
      <c r="P60" s="26">
        <f t="shared" si="187"/>
        <v>7474</v>
      </c>
      <c r="Q60" s="26">
        <f t="shared" si="187"/>
        <v>6036</v>
      </c>
      <c r="R60" s="26">
        <f t="shared" si="187"/>
        <v>5261</v>
      </c>
      <c r="S60" s="26">
        <f t="shared" si="187"/>
        <v>6602</v>
      </c>
      <c r="T60" s="26">
        <f t="shared" si="187"/>
        <v>31960</v>
      </c>
      <c r="U60" s="26">
        <f t="shared" si="187"/>
        <v>28101</v>
      </c>
      <c r="V60" s="26">
        <f t="shared" si="187"/>
        <v>27004</v>
      </c>
      <c r="W60" s="26">
        <f t="shared" si="187"/>
        <v>33330</v>
      </c>
      <c r="X60" s="26">
        <f t="shared" si="187"/>
        <v>33596</v>
      </c>
      <c r="Y60" s="26">
        <f t="shared" si="187"/>
        <v>33890</v>
      </c>
      <c r="Z60" s="26">
        <f t="shared" si="187"/>
        <v>37305</v>
      </c>
      <c r="AA60" s="26">
        <f t="shared" si="187"/>
        <v>36958</v>
      </c>
      <c r="AB60" s="48"/>
      <c r="AC60" s="26">
        <f t="shared" ref="AC60:AJ60" si="188">SUM(AC57:AC59)</f>
        <v>31960</v>
      </c>
      <c r="AD60" s="26">
        <f t="shared" si="188"/>
        <v>28101</v>
      </c>
      <c r="AE60" s="26">
        <f t="shared" si="188"/>
        <v>27004</v>
      </c>
      <c r="AF60" s="26">
        <f t="shared" si="188"/>
        <v>33330</v>
      </c>
      <c r="AG60" s="26">
        <f t="shared" si="188"/>
        <v>33596</v>
      </c>
      <c r="AH60" s="26">
        <f t="shared" si="188"/>
        <v>33890</v>
      </c>
      <c r="AI60" s="26">
        <f t="shared" si="188"/>
        <v>37305</v>
      </c>
      <c r="AJ60" s="26">
        <f t="shared" si="188"/>
        <v>36958</v>
      </c>
      <c r="AK60" s="42"/>
      <c r="AL60" s="76">
        <f t="shared" si="184"/>
        <v>0.10885088508850882</v>
      </c>
    </row>
    <row r="61" spans="2:38" ht="5.0999999999999996" customHeight="1">
      <c r="B61" s="25"/>
      <c r="C61" s="50"/>
      <c r="D61" s="50"/>
      <c r="E61" s="50"/>
      <c r="F61" s="41"/>
      <c r="G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C61" s="42"/>
      <c r="AD61" s="42"/>
      <c r="AE61" s="42"/>
      <c r="AF61" s="42"/>
      <c r="AG61" s="42"/>
      <c r="AH61" s="42"/>
      <c r="AI61" s="42"/>
      <c r="AJ61" s="42"/>
      <c r="AK61" s="42"/>
      <c r="AL61" s="39"/>
    </row>
    <row r="62" spans="2:38">
      <c r="B62" s="78" t="s">
        <v>79</v>
      </c>
      <c r="C62" s="50"/>
      <c r="D62" s="50"/>
      <c r="E62" s="50"/>
      <c r="F62" s="41"/>
      <c r="G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C62" s="42"/>
      <c r="AD62" s="42"/>
      <c r="AE62" s="42"/>
      <c r="AF62" s="42"/>
      <c r="AG62" s="42"/>
      <c r="AH62" s="42"/>
      <c r="AI62" s="42"/>
      <c r="AJ62" s="42"/>
      <c r="AK62" s="42"/>
      <c r="AL62" s="39"/>
    </row>
    <row r="63" spans="2:38" ht="12.75" customHeight="1">
      <c r="B63" s="120" t="s">
        <v>140</v>
      </c>
      <c r="C63" s="121">
        <v>9631</v>
      </c>
      <c r="D63" s="121">
        <v>12746</v>
      </c>
      <c r="E63" s="121">
        <v>19552</v>
      </c>
      <c r="F63" s="121">
        <v>17226</v>
      </c>
      <c r="G63" s="121">
        <v>18292</v>
      </c>
      <c r="H63" s="51"/>
      <c r="I63" s="82">
        <v>10574</v>
      </c>
      <c r="J63" s="82">
        <v>10956</v>
      </c>
      <c r="K63" s="82">
        <v>11554</v>
      </c>
      <c r="L63" s="32">
        <f t="shared" ref="L63:L66" si="189">D63</f>
        <v>12746</v>
      </c>
      <c r="M63" s="82">
        <v>12894</v>
      </c>
      <c r="N63" s="82">
        <v>14792</v>
      </c>
      <c r="O63" s="82">
        <v>14687</v>
      </c>
      <c r="P63" s="32">
        <f t="shared" ref="P63:P66" si="190">E63</f>
        <v>19552</v>
      </c>
      <c r="Q63" s="82">
        <v>19345</v>
      </c>
      <c r="R63" s="82">
        <v>24660</v>
      </c>
      <c r="S63" s="82">
        <v>23929</v>
      </c>
      <c r="T63" s="32">
        <f t="shared" ref="T63:T66" si="191">F63</f>
        <v>17226</v>
      </c>
      <c r="U63" s="82">
        <v>17570</v>
      </c>
      <c r="V63" s="82">
        <v>17685</v>
      </c>
      <c r="W63" s="82">
        <v>18208</v>
      </c>
      <c r="X63" s="32">
        <f t="shared" ref="X63:X66" si="192">G63</f>
        <v>18292</v>
      </c>
      <c r="Y63" s="82">
        <v>18714</v>
      </c>
      <c r="Z63" s="82">
        <v>18751</v>
      </c>
      <c r="AA63" s="82">
        <v>20113</v>
      </c>
      <c r="AB63" s="121"/>
      <c r="AC63" s="97">
        <f t="shared" ref="AC63:AJ63" si="193">T63</f>
        <v>17226</v>
      </c>
      <c r="AD63" s="97">
        <f t="shared" si="193"/>
        <v>17570</v>
      </c>
      <c r="AE63" s="97">
        <f t="shared" si="193"/>
        <v>17685</v>
      </c>
      <c r="AF63" s="97">
        <f t="shared" si="193"/>
        <v>18208</v>
      </c>
      <c r="AG63" s="97">
        <f t="shared" si="193"/>
        <v>18292</v>
      </c>
      <c r="AH63" s="97">
        <f t="shared" si="193"/>
        <v>18714</v>
      </c>
      <c r="AI63" s="97">
        <f t="shared" si="193"/>
        <v>18751</v>
      </c>
      <c r="AJ63" s="97">
        <f t="shared" si="193"/>
        <v>20113</v>
      </c>
      <c r="AK63" s="42"/>
      <c r="AL63" s="75">
        <f t="shared" ref="AL63:AL74" si="194">SUM(AJ63/AF63)-1</f>
        <v>0.1046243409490335</v>
      </c>
    </row>
    <row r="64" spans="2:38" ht="12.75" customHeight="1">
      <c r="B64" s="120" t="s">
        <v>141</v>
      </c>
      <c r="C64" s="121">
        <v>0</v>
      </c>
      <c r="D64" s="121">
        <v>0</v>
      </c>
      <c r="E64" s="121">
        <v>15301</v>
      </c>
      <c r="F64" s="121">
        <v>18385</v>
      </c>
      <c r="G64" s="121">
        <v>28826</v>
      </c>
      <c r="H64" s="51"/>
      <c r="I64" s="82">
        <v>0</v>
      </c>
      <c r="J64" s="82">
        <v>0</v>
      </c>
      <c r="K64" s="82">
        <v>0</v>
      </c>
      <c r="L64" s="32">
        <f t="shared" si="189"/>
        <v>0</v>
      </c>
      <c r="M64" s="82">
        <v>0</v>
      </c>
      <c r="N64" s="82">
        <v>0</v>
      </c>
      <c r="O64" s="82">
        <v>9922</v>
      </c>
      <c r="P64" s="32">
        <f t="shared" si="190"/>
        <v>15301</v>
      </c>
      <c r="Q64" s="82">
        <v>16171</v>
      </c>
      <c r="R64" s="82">
        <v>16440</v>
      </c>
      <c r="S64" s="82">
        <v>16374</v>
      </c>
      <c r="T64" s="32">
        <f t="shared" si="191"/>
        <v>18385</v>
      </c>
      <c r="U64" s="82">
        <v>18387</v>
      </c>
      <c r="V64" s="82">
        <v>18389</v>
      </c>
      <c r="W64" s="82">
        <v>28823</v>
      </c>
      <c r="X64" s="32">
        <f t="shared" si="192"/>
        <v>28826</v>
      </c>
      <c r="Y64" s="82">
        <v>28829</v>
      </c>
      <c r="Z64" s="82">
        <v>28832</v>
      </c>
      <c r="AA64" s="82">
        <v>28834</v>
      </c>
      <c r="AB64" s="121"/>
      <c r="AC64" s="97">
        <f t="shared" ref="AC64:AC66" si="195">T64</f>
        <v>18385</v>
      </c>
      <c r="AD64" s="97">
        <f t="shared" ref="AD64:AD66" si="196">U64</f>
        <v>18387</v>
      </c>
      <c r="AE64" s="97">
        <f t="shared" ref="AE64:AE66" si="197">V64</f>
        <v>18389</v>
      </c>
      <c r="AF64" s="97">
        <f t="shared" ref="AF64:AF66" si="198">W64</f>
        <v>28823</v>
      </c>
      <c r="AG64" s="97">
        <f t="shared" ref="AG64:AG66" si="199">X64</f>
        <v>28826</v>
      </c>
      <c r="AH64" s="97">
        <f t="shared" ref="AH64:AH66" si="200">Y64</f>
        <v>28829</v>
      </c>
      <c r="AI64" s="97">
        <f t="shared" ref="AI64:AI66" si="201">Z64</f>
        <v>28832</v>
      </c>
      <c r="AJ64" s="97">
        <f t="shared" ref="AJ64:AJ66" si="202">AA64</f>
        <v>28834</v>
      </c>
      <c r="AK64" s="42"/>
      <c r="AL64" s="75">
        <f t="shared" si="194"/>
        <v>3.816396627693841E-4</v>
      </c>
    </row>
    <row r="65" spans="1:38" ht="12.75" customHeight="1">
      <c r="B65" s="120" t="s">
        <v>142</v>
      </c>
      <c r="C65" s="121">
        <v>0</v>
      </c>
      <c r="D65" s="121">
        <v>0</v>
      </c>
      <c r="E65" s="121">
        <v>9923</v>
      </c>
      <c r="F65" s="121">
        <v>7514</v>
      </c>
      <c r="G65" s="121">
        <v>9987</v>
      </c>
      <c r="H65" s="51"/>
      <c r="I65" s="82">
        <v>0</v>
      </c>
      <c r="J65" s="82">
        <v>0</v>
      </c>
      <c r="K65" s="82">
        <v>0</v>
      </c>
      <c r="L65" s="32">
        <f t="shared" si="189"/>
        <v>0</v>
      </c>
      <c r="M65" s="82">
        <v>0</v>
      </c>
      <c r="N65" s="82">
        <v>0</v>
      </c>
      <c r="O65" s="82">
        <v>0</v>
      </c>
      <c r="P65" s="32">
        <f t="shared" si="190"/>
        <v>9923</v>
      </c>
      <c r="Q65" s="82">
        <v>9925</v>
      </c>
      <c r="R65" s="82">
        <v>18382</v>
      </c>
      <c r="S65" s="82">
        <v>18383</v>
      </c>
      <c r="T65" s="32">
        <f t="shared" si="191"/>
        <v>7514</v>
      </c>
      <c r="U65" s="82">
        <v>7795</v>
      </c>
      <c r="V65" s="82">
        <v>7897</v>
      </c>
      <c r="W65" s="82">
        <v>9171</v>
      </c>
      <c r="X65" s="32">
        <f t="shared" si="192"/>
        <v>9987</v>
      </c>
      <c r="Y65" s="82">
        <v>10991</v>
      </c>
      <c r="Z65" s="82">
        <v>12046</v>
      </c>
      <c r="AA65" s="82">
        <v>11738</v>
      </c>
      <c r="AB65" s="121"/>
      <c r="AC65" s="97">
        <f t="shared" ref="AC65" si="203">T65</f>
        <v>7514</v>
      </c>
      <c r="AD65" s="97">
        <f t="shared" ref="AD65" si="204">U65</f>
        <v>7795</v>
      </c>
      <c r="AE65" s="97">
        <f t="shared" ref="AE65" si="205">V65</f>
        <v>7897</v>
      </c>
      <c r="AF65" s="97">
        <f t="shared" ref="AF65" si="206">W65</f>
        <v>9171</v>
      </c>
      <c r="AG65" s="97">
        <f t="shared" ref="AG65" si="207">X65</f>
        <v>9987</v>
      </c>
      <c r="AH65" s="97">
        <f t="shared" ref="AH65" si="208">Y65</f>
        <v>10991</v>
      </c>
      <c r="AI65" s="97">
        <f t="shared" ref="AI65" si="209">Z65</f>
        <v>12046</v>
      </c>
      <c r="AJ65" s="97">
        <f t="shared" ref="AJ65" si="210">AA65</f>
        <v>11738</v>
      </c>
      <c r="AK65" s="42"/>
      <c r="AL65" s="75">
        <f t="shared" ref="AL65" si="211">SUM(AJ65/AF65)-1</f>
        <v>0.27990404536037516</v>
      </c>
    </row>
    <row r="66" spans="1:38" ht="12.75" customHeight="1">
      <c r="B66" s="120" t="s">
        <v>143</v>
      </c>
      <c r="C66" s="121">
        <v>6414</v>
      </c>
      <c r="D66" s="121">
        <v>7227</v>
      </c>
      <c r="E66" s="121">
        <v>7764</v>
      </c>
      <c r="F66" s="121">
        <v>1370</v>
      </c>
      <c r="G66" s="121">
        <v>2716</v>
      </c>
      <c r="H66" s="51"/>
      <c r="I66" s="82">
        <v>6575</v>
      </c>
      <c r="J66" s="82">
        <v>6552</v>
      </c>
      <c r="K66" s="82">
        <v>6859</v>
      </c>
      <c r="L66" s="32">
        <f t="shared" si="189"/>
        <v>7227</v>
      </c>
      <c r="M66" s="82">
        <v>7010</v>
      </c>
      <c r="N66" s="82">
        <v>7003</v>
      </c>
      <c r="O66" s="82">
        <v>7504</v>
      </c>
      <c r="P66" s="32">
        <f t="shared" si="190"/>
        <v>7764</v>
      </c>
      <c r="Q66" s="82">
        <v>8219</v>
      </c>
      <c r="R66" s="82">
        <v>7912</v>
      </c>
      <c r="S66" s="82">
        <v>8113</v>
      </c>
      <c r="T66" s="32">
        <f t="shared" si="191"/>
        <v>1370</v>
      </c>
      <c r="U66" s="82">
        <v>1462</v>
      </c>
      <c r="V66" s="82">
        <v>2500</v>
      </c>
      <c r="W66" s="82">
        <v>2347</v>
      </c>
      <c r="X66" s="32">
        <f t="shared" si="192"/>
        <v>2716</v>
      </c>
      <c r="Y66" s="82">
        <v>2760</v>
      </c>
      <c r="Z66" s="82">
        <v>2740</v>
      </c>
      <c r="AA66" s="82">
        <v>12135</v>
      </c>
      <c r="AB66" s="121"/>
      <c r="AC66" s="97">
        <f t="shared" si="195"/>
        <v>1370</v>
      </c>
      <c r="AD66" s="97">
        <f t="shared" si="196"/>
        <v>1462</v>
      </c>
      <c r="AE66" s="97">
        <f t="shared" si="197"/>
        <v>2500</v>
      </c>
      <c r="AF66" s="97">
        <f t="shared" si="198"/>
        <v>2347</v>
      </c>
      <c r="AG66" s="97">
        <f t="shared" si="199"/>
        <v>2716</v>
      </c>
      <c r="AH66" s="97">
        <f t="shared" si="200"/>
        <v>2760</v>
      </c>
      <c r="AI66" s="97">
        <f t="shared" si="201"/>
        <v>2740</v>
      </c>
      <c r="AJ66" s="97">
        <f t="shared" si="202"/>
        <v>12135</v>
      </c>
      <c r="AK66" s="42"/>
      <c r="AL66" s="75">
        <f t="shared" si="194"/>
        <v>4.1704303365999147</v>
      </c>
    </row>
    <row r="67" spans="1:38" ht="12.75" customHeight="1">
      <c r="B67" s="13" t="s">
        <v>15</v>
      </c>
      <c r="C67" s="14">
        <f>SUM(C63:C66)+C60</f>
        <v>31026</v>
      </c>
      <c r="D67" s="14">
        <f>SUM(D63:D66)+D60</f>
        <v>41108</v>
      </c>
      <c r="E67" s="14">
        <f>SUM(E63:E66)+E60</f>
        <v>60014</v>
      </c>
      <c r="F67" s="14">
        <f>SUM(F63:F66)+F60</f>
        <v>76455</v>
      </c>
      <c r="G67" s="14">
        <f>SUM(G63:G66)+G60</f>
        <v>93417</v>
      </c>
      <c r="I67" s="14">
        <f t="shared" ref="I67:L67" si="212">SUM(I63:I66)+I60</f>
        <v>29866</v>
      </c>
      <c r="J67" s="14">
        <f t="shared" si="212"/>
        <v>32382</v>
      </c>
      <c r="K67" s="14">
        <f t="shared" si="212"/>
        <v>36225</v>
      </c>
      <c r="L67" s="14">
        <f t="shared" si="212"/>
        <v>41108</v>
      </c>
      <c r="M67" s="14">
        <f t="shared" ref="M67:AA67" si="213">SUM(M63:M66)+M60</f>
        <v>40990</v>
      </c>
      <c r="N67" s="14">
        <f t="shared" si="213"/>
        <v>44012</v>
      </c>
      <c r="O67" s="14">
        <f t="shared" si="213"/>
        <v>54800</v>
      </c>
      <c r="P67" s="14">
        <f t="shared" si="213"/>
        <v>60014</v>
      </c>
      <c r="Q67" s="14">
        <f t="shared" si="213"/>
        <v>59696</v>
      </c>
      <c r="R67" s="14">
        <f t="shared" si="213"/>
        <v>72655</v>
      </c>
      <c r="S67" s="14">
        <f t="shared" si="213"/>
        <v>73401</v>
      </c>
      <c r="T67" s="14">
        <f t="shared" si="213"/>
        <v>76455</v>
      </c>
      <c r="U67" s="14">
        <f t="shared" si="213"/>
        <v>73315</v>
      </c>
      <c r="V67" s="14">
        <f t="shared" si="213"/>
        <v>73475</v>
      </c>
      <c r="W67" s="14">
        <f t="shared" si="213"/>
        <v>91879</v>
      </c>
      <c r="X67" s="14">
        <f t="shared" si="213"/>
        <v>93417</v>
      </c>
      <c r="Y67" s="14">
        <f t="shared" si="213"/>
        <v>95184</v>
      </c>
      <c r="Z67" s="14">
        <f t="shared" si="213"/>
        <v>99674</v>
      </c>
      <c r="AA67" s="14">
        <f t="shared" si="213"/>
        <v>109778</v>
      </c>
      <c r="AC67" s="14">
        <f t="shared" ref="AC67:AJ67" si="214">SUM(AC63:AC66)+AC60</f>
        <v>76455</v>
      </c>
      <c r="AD67" s="14">
        <f t="shared" si="214"/>
        <v>73315</v>
      </c>
      <c r="AE67" s="14">
        <f t="shared" si="214"/>
        <v>73475</v>
      </c>
      <c r="AF67" s="14">
        <f t="shared" si="214"/>
        <v>91879</v>
      </c>
      <c r="AG67" s="14">
        <f t="shared" si="214"/>
        <v>93417</v>
      </c>
      <c r="AH67" s="14">
        <f t="shared" si="214"/>
        <v>95184</v>
      </c>
      <c r="AI67" s="14">
        <f t="shared" si="214"/>
        <v>99674</v>
      </c>
      <c r="AJ67" s="14">
        <f t="shared" si="214"/>
        <v>109778</v>
      </c>
      <c r="AK67" s="42"/>
      <c r="AL67" s="76">
        <f t="shared" si="194"/>
        <v>0.19481056607059277</v>
      </c>
    </row>
    <row r="68" spans="1:38" ht="5.0999999999999996" customHeight="1">
      <c r="B68" s="25"/>
      <c r="C68" s="49"/>
      <c r="D68" s="49"/>
      <c r="E68" s="49"/>
      <c r="F68" s="41"/>
      <c r="G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C68" s="42"/>
      <c r="AD68" s="42"/>
      <c r="AE68" s="42"/>
      <c r="AF68" s="42"/>
      <c r="AG68" s="42"/>
      <c r="AH68" s="42"/>
      <c r="AI68" s="42"/>
      <c r="AJ68" s="42"/>
      <c r="AK68" s="42"/>
      <c r="AL68" s="39"/>
    </row>
    <row r="69" spans="1:38" ht="12.75" customHeight="1">
      <c r="B69" s="9" t="s">
        <v>107</v>
      </c>
      <c r="C69" s="82">
        <v>0</v>
      </c>
      <c r="D69" s="82">
        <v>0</v>
      </c>
      <c r="E69" s="82">
        <v>0</v>
      </c>
      <c r="F69" s="82">
        <v>0</v>
      </c>
      <c r="G69" s="82">
        <v>0</v>
      </c>
      <c r="H69" s="32"/>
      <c r="I69" s="82">
        <v>0</v>
      </c>
      <c r="J69" s="82">
        <v>0</v>
      </c>
      <c r="K69" s="82">
        <v>0</v>
      </c>
      <c r="L69" s="32">
        <f t="shared" ref="L69:L72" si="215">D69</f>
        <v>0</v>
      </c>
      <c r="M69" s="82">
        <v>0</v>
      </c>
      <c r="N69" s="82">
        <v>0</v>
      </c>
      <c r="O69" s="82">
        <v>0</v>
      </c>
      <c r="P69" s="32">
        <f>E69</f>
        <v>0</v>
      </c>
      <c r="Q69" s="82">
        <v>0</v>
      </c>
      <c r="R69" s="82">
        <v>0</v>
      </c>
      <c r="S69" s="82">
        <v>0</v>
      </c>
      <c r="T69" s="32">
        <f>F69</f>
        <v>0</v>
      </c>
      <c r="U69" s="82">
        <v>0</v>
      </c>
      <c r="V69" s="82">
        <v>0</v>
      </c>
      <c r="W69" s="82">
        <v>0</v>
      </c>
      <c r="X69" s="32">
        <f>G69</f>
        <v>0</v>
      </c>
      <c r="Y69" s="82">
        <v>0</v>
      </c>
      <c r="Z69" s="82">
        <v>0</v>
      </c>
      <c r="AA69" s="82">
        <v>0</v>
      </c>
      <c r="AC69" s="32">
        <f t="shared" ref="AC69:AJ72" si="216">T69</f>
        <v>0</v>
      </c>
      <c r="AD69" s="32">
        <f t="shared" si="216"/>
        <v>0</v>
      </c>
      <c r="AE69" s="32">
        <f t="shared" si="216"/>
        <v>0</v>
      </c>
      <c r="AF69" s="32">
        <f t="shared" si="216"/>
        <v>0</v>
      </c>
      <c r="AG69" s="32">
        <f t="shared" si="216"/>
        <v>0</v>
      </c>
      <c r="AH69" s="32">
        <f t="shared" si="216"/>
        <v>0</v>
      </c>
      <c r="AI69" s="32">
        <f t="shared" si="216"/>
        <v>0</v>
      </c>
      <c r="AJ69" s="32">
        <f t="shared" si="216"/>
        <v>0</v>
      </c>
      <c r="AK69" s="11"/>
      <c r="AL69" s="75" t="e">
        <f t="shared" si="194"/>
        <v>#DIV/0!</v>
      </c>
    </row>
    <row r="70" spans="1:38" ht="12.75" customHeight="1">
      <c r="B70" s="9" t="s">
        <v>144</v>
      </c>
      <c r="C70" s="82">
        <v>50018</v>
      </c>
      <c r="D70" s="82">
        <v>55811</v>
      </c>
      <c r="E70" s="82">
        <v>64444</v>
      </c>
      <c r="F70" s="82">
        <v>73253</v>
      </c>
      <c r="G70" s="82">
        <v>83228</v>
      </c>
      <c r="H70" s="32"/>
      <c r="I70" s="82">
        <v>51160</v>
      </c>
      <c r="J70" s="82">
        <v>52845</v>
      </c>
      <c r="K70" s="82">
        <v>54334</v>
      </c>
      <c r="L70" s="32">
        <f t="shared" si="215"/>
        <v>55811</v>
      </c>
      <c r="M70" s="82">
        <v>57512</v>
      </c>
      <c r="N70" s="82">
        <v>59929</v>
      </c>
      <c r="O70" s="82">
        <v>62092</v>
      </c>
      <c r="P70" s="32">
        <f>E70</f>
        <v>64444</v>
      </c>
      <c r="Q70" s="82">
        <v>66535</v>
      </c>
      <c r="R70" s="82">
        <v>69159</v>
      </c>
      <c r="S70" s="82">
        <v>71224</v>
      </c>
      <c r="T70" s="32">
        <f>F70</f>
        <v>73253</v>
      </c>
      <c r="U70" s="82">
        <v>75391</v>
      </c>
      <c r="V70" s="82">
        <v>78270</v>
      </c>
      <c r="W70" s="82">
        <v>80749</v>
      </c>
      <c r="X70" s="32">
        <f>G70</f>
        <v>83228</v>
      </c>
      <c r="Y70" s="82">
        <v>85568</v>
      </c>
      <c r="Z70" s="82">
        <v>88496</v>
      </c>
      <c r="AA70" s="82">
        <v>92330</v>
      </c>
      <c r="AC70" s="32">
        <f t="shared" si="216"/>
        <v>73253</v>
      </c>
      <c r="AD70" s="32">
        <f t="shared" si="216"/>
        <v>75391</v>
      </c>
      <c r="AE70" s="32">
        <f t="shared" si="216"/>
        <v>78270</v>
      </c>
      <c r="AF70" s="32">
        <f t="shared" si="216"/>
        <v>80749</v>
      </c>
      <c r="AG70" s="32">
        <f t="shared" si="216"/>
        <v>83228</v>
      </c>
      <c r="AH70" s="32">
        <f t="shared" si="216"/>
        <v>85568</v>
      </c>
      <c r="AI70" s="32">
        <f t="shared" si="216"/>
        <v>88496</v>
      </c>
      <c r="AJ70" s="32">
        <f t="shared" si="216"/>
        <v>92330</v>
      </c>
      <c r="AK70" s="11"/>
      <c r="AL70" s="75"/>
    </row>
    <row r="71" spans="1:38" ht="12.75" customHeight="1">
      <c r="B71" s="9" t="s">
        <v>145</v>
      </c>
      <c r="C71" s="82">
        <v>927</v>
      </c>
      <c r="D71" s="82">
        <v>-693</v>
      </c>
      <c r="E71" s="82">
        <v>-3530</v>
      </c>
      <c r="F71" s="82">
        <v>-2155</v>
      </c>
      <c r="G71" s="82">
        <v>-3097</v>
      </c>
      <c r="H71" s="32"/>
      <c r="I71" s="82">
        <v>154</v>
      </c>
      <c r="J71" s="82">
        <v>285</v>
      </c>
      <c r="K71" s="82">
        <v>-207</v>
      </c>
      <c r="L71" s="32">
        <f t="shared" si="215"/>
        <v>-693</v>
      </c>
      <c r="M71" s="82">
        <v>-1996</v>
      </c>
      <c r="N71" s="82">
        <v>-3411</v>
      </c>
      <c r="O71" s="82">
        <v>-5054</v>
      </c>
      <c r="P71" s="32">
        <f>E71</f>
        <v>-3530</v>
      </c>
      <c r="Q71" s="82">
        <v>-2981</v>
      </c>
      <c r="R71" s="82">
        <v>-3106</v>
      </c>
      <c r="S71" s="82">
        <v>-3556</v>
      </c>
      <c r="T71" s="32">
        <f>F71</f>
        <v>-2155</v>
      </c>
      <c r="U71" s="82">
        <v>-2655</v>
      </c>
      <c r="V71" s="82">
        <v>-2695</v>
      </c>
      <c r="W71" s="82">
        <v>-1192</v>
      </c>
      <c r="X71" s="32">
        <f>G71</f>
        <v>-3097</v>
      </c>
      <c r="Y71" s="82">
        <v>-1865</v>
      </c>
      <c r="Z71" s="82">
        <v>229</v>
      </c>
      <c r="AA71" s="82">
        <v>159</v>
      </c>
      <c r="AC71" s="32">
        <f t="shared" si="216"/>
        <v>-2155</v>
      </c>
      <c r="AD71" s="32">
        <f t="shared" si="216"/>
        <v>-2655</v>
      </c>
      <c r="AE71" s="32">
        <f t="shared" si="216"/>
        <v>-2695</v>
      </c>
      <c r="AF71" s="32">
        <f t="shared" si="216"/>
        <v>-1192</v>
      </c>
      <c r="AG71" s="32">
        <f t="shared" si="216"/>
        <v>-3097</v>
      </c>
      <c r="AH71" s="32">
        <f t="shared" si="216"/>
        <v>-1865</v>
      </c>
      <c r="AI71" s="32">
        <f t="shared" si="216"/>
        <v>229</v>
      </c>
      <c r="AJ71" s="32">
        <f t="shared" si="216"/>
        <v>159</v>
      </c>
      <c r="AK71" s="11"/>
      <c r="AL71" s="75"/>
    </row>
    <row r="72" spans="1:38" ht="12.75" customHeight="1">
      <c r="B72" s="9" t="s">
        <v>146</v>
      </c>
      <c r="C72" s="82">
        <v>77345</v>
      </c>
      <c r="D72" s="82">
        <v>69761</v>
      </c>
      <c r="E72" s="82">
        <v>64799</v>
      </c>
      <c r="F72" s="82">
        <v>82070</v>
      </c>
      <c r="G72" s="82">
        <v>102506</v>
      </c>
      <c r="H72" s="32"/>
      <c r="I72" s="82">
        <v>82343</v>
      </c>
      <c r="J72" s="82">
        <v>85097</v>
      </c>
      <c r="K72" s="82">
        <v>79233</v>
      </c>
      <c r="L72" s="32">
        <f t="shared" si="215"/>
        <v>69761</v>
      </c>
      <c r="M72" s="82">
        <v>67712</v>
      </c>
      <c r="N72" s="82">
        <v>69249</v>
      </c>
      <c r="O72" s="82">
        <v>67056</v>
      </c>
      <c r="P72" s="32">
        <f>E72</f>
        <v>64799</v>
      </c>
      <c r="Q72" s="82">
        <v>61241</v>
      </c>
      <c r="R72" s="82">
        <v>67980</v>
      </c>
      <c r="S72" s="82">
        <v>75205</v>
      </c>
      <c r="T72" s="32">
        <f>F72</f>
        <v>82070</v>
      </c>
      <c r="U72" s="82">
        <v>76793</v>
      </c>
      <c r="V72" s="82">
        <v>81188</v>
      </c>
      <c r="W72" s="82">
        <v>84972</v>
      </c>
      <c r="X72" s="32">
        <f>G72</f>
        <v>102506</v>
      </c>
      <c r="Y72" s="82">
        <v>101326</v>
      </c>
      <c r="Z72" s="82">
        <v>106345</v>
      </c>
      <c r="AA72" s="82">
        <v>101577</v>
      </c>
      <c r="AC72" s="32">
        <f t="shared" si="216"/>
        <v>82070</v>
      </c>
      <c r="AD72" s="32">
        <f t="shared" si="216"/>
        <v>76793</v>
      </c>
      <c r="AE72" s="32">
        <f t="shared" si="216"/>
        <v>81188</v>
      </c>
      <c r="AF72" s="32">
        <f t="shared" si="216"/>
        <v>84972</v>
      </c>
      <c r="AG72" s="32">
        <f t="shared" si="216"/>
        <v>102506</v>
      </c>
      <c r="AH72" s="32">
        <f t="shared" si="216"/>
        <v>101326</v>
      </c>
      <c r="AI72" s="32">
        <f t="shared" si="216"/>
        <v>106345</v>
      </c>
      <c r="AJ72" s="32">
        <f t="shared" si="216"/>
        <v>101577</v>
      </c>
      <c r="AK72" s="11"/>
      <c r="AL72" s="75">
        <f t="shared" si="194"/>
        <v>0.1954173139387092</v>
      </c>
    </row>
    <row r="73" spans="1:38" ht="12.75" customHeight="1">
      <c r="B73" s="13" t="s">
        <v>14</v>
      </c>
      <c r="C73" s="14">
        <f t="shared" ref="C73:G73" si="217">SUM(C69:C72)</f>
        <v>128290</v>
      </c>
      <c r="D73" s="14">
        <f t="shared" si="217"/>
        <v>124879</v>
      </c>
      <c r="E73" s="14">
        <f t="shared" si="217"/>
        <v>125713</v>
      </c>
      <c r="F73" s="14">
        <f t="shared" si="217"/>
        <v>153168</v>
      </c>
      <c r="G73" s="14">
        <f t="shared" si="217"/>
        <v>182637</v>
      </c>
      <c r="H73" s="52"/>
      <c r="I73" s="14">
        <f t="shared" ref="I73:L73" si="218">SUM(I69:I72)</f>
        <v>133657</v>
      </c>
      <c r="J73" s="14">
        <f t="shared" si="218"/>
        <v>138227</v>
      </c>
      <c r="K73" s="14">
        <f t="shared" si="218"/>
        <v>133360</v>
      </c>
      <c r="L73" s="14">
        <f t="shared" si="218"/>
        <v>124879</v>
      </c>
      <c r="M73" s="14">
        <f t="shared" ref="M73:P73" si="219">SUM(M69:M72)</f>
        <v>123228</v>
      </c>
      <c r="N73" s="14">
        <f t="shared" ref="N73" si="220">SUM(N69:N72)</f>
        <v>125767</v>
      </c>
      <c r="O73" s="14">
        <f t="shared" si="219"/>
        <v>124094</v>
      </c>
      <c r="P73" s="14">
        <f t="shared" si="219"/>
        <v>125713</v>
      </c>
      <c r="Q73" s="14">
        <f t="shared" ref="Q73:AA73" si="221">SUM(Q69:Q72)</f>
        <v>124795</v>
      </c>
      <c r="R73" s="14">
        <f t="shared" si="221"/>
        <v>134033</v>
      </c>
      <c r="S73" s="14">
        <f t="shared" si="221"/>
        <v>142873</v>
      </c>
      <c r="T73" s="14">
        <f t="shared" si="221"/>
        <v>153168</v>
      </c>
      <c r="U73" s="14">
        <f t="shared" si="221"/>
        <v>149529</v>
      </c>
      <c r="V73" s="14">
        <f t="shared" si="221"/>
        <v>156763</v>
      </c>
      <c r="W73" s="14">
        <f t="shared" si="221"/>
        <v>164529</v>
      </c>
      <c r="X73" s="14">
        <f t="shared" si="221"/>
        <v>182637</v>
      </c>
      <c r="Y73" s="14">
        <f t="shared" si="221"/>
        <v>185029</v>
      </c>
      <c r="Z73" s="14">
        <f t="shared" si="221"/>
        <v>195070</v>
      </c>
      <c r="AA73" s="14">
        <f t="shared" si="221"/>
        <v>194066</v>
      </c>
      <c r="AC73" s="14">
        <f t="shared" ref="AC73:AJ73" si="222">SUM(AC69:AC72)</f>
        <v>153168</v>
      </c>
      <c r="AD73" s="14">
        <f t="shared" si="222"/>
        <v>149529</v>
      </c>
      <c r="AE73" s="14">
        <f t="shared" si="222"/>
        <v>156763</v>
      </c>
      <c r="AF73" s="14">
        <f t="shared" si="222"/>
        <v>164529</v>
      </c>
      <c r="AG73" s="14">
        <f t="shared" si="222"/>
        <v>182637</v>
      </c>
      <c r="AH73" s="14">
        <f t="shared" si="222"/>
        <v>185029</v>
      </c>
      <c r="AI73" s="14">
        <f t="shared" si="222"/>
        <v>195070</v>
      </c>
      <c r="AJ73" s="14">
        <f t="shared" si="222"/>
        <v>194066</v>
      </c>
      <c r="AK73" s="42"/>
      <c r="AL73" s="75">
        <f t="shared" si="194"/>
        <v>0.17952458229248336</v>
      </c>
    </row>
    <row r="74" spans="1:38" ht="12.75" customHeight="1">
      <c r="B74" s="25" t="s">
        <v>49</v>
      </c>
      <c r="C74" s="32">
        <f t="shared" ref="C74:G74" si="223">SUM(C73+C67)</f>
        <v>159316</v>
      </c>
      <c r="D74" s="32">
        <f t="shared" si="223"/>
        <v>165987</v>
      </c>
      <c r="E74" s="32">
        <f t="shared" si="223"/>
        <v>185727</v>
      </c>
      <c r="F74" s="32">
        <f t="shared" si="223"/>
        <v>229623</v>
      </c>
      <c r="G74" s="32">
        <f t="shared" si="223"/>
        <v>276054</v>
      </c>
      <c r="H74" s="32"/>
      <c r="I74" s="32">
        <f t="shared" ref="I74:L74" si="224">SUM(I73+I67)</f>
        <v>163523</v>
      </c>
      <c r="J74" s="32">
        <f t="shared" si="224"/>
        <v>170609</v>
      </c>
      <c r="K74" s="32">
        <f t="shared" si="224"/>
        <v>169585</v>
      </c>
      <c r="L74" s="32">
        <f t="shared" si="224"/>
        <v>165987</v>
      </c>
      <c r="M74" s="32">
        <f t="shared" ref="M74:P74" si="225">SUM(M73+M67)</f>
        <v>164218</v>
      </c>
      <c r="N74" s="32">
        <f t="shared" ref="N74" si="226">SUM(N73+N67)</f>
        <v>169779</v>
      </c>
      <c r="O74" s="32">
        <f t="shared" si="225"/>
        <v>178894</v>
      </c>
      <c r="P74" s="32">
        <f t="shared" si="225"/>
        <v>185727</v>
      </c>
      <c r="Q74" s="32">
        <f t="shared" ref="Q74:AA74" si="227">SUM(Q73+Q67)</f>
        <v>184491</v>
      </c>
      <c r="R74" s="32">
        <f t="shared" si="227"/>
        <v>206688</v>
      </c>
      <c r="S74" s="32">
        <f t="shared" si="227"/>
        <v>216274</v>
      </c>
      <c r="T74" s="32">
        <f t="shared" si="227"/>
        <v>229623</v>
      </c>
      <c r="U74" s="32">
        <f t="shared" si="227"/>
        <v>222844</v>
      </c>
      <c r="V74" s="32">
        <f t="shared" si="227"/>
        <v>230238</v>
      </c>
      <c r="W74" s="32">
        <f t="shared" si="227"/>
        <v>256408</v>
      </c>
      <c r="X74" s="32">
        <f t="shared" si="227"/>
        <v>276054</v>
      </c>
      <c r="Y74" s="32">
        <f t="shared" si="227"/>
        <v>280213</v>
      </c>
      <c r="Z74" s="32">
        <f t="shared" si="227"/>
        <v>294744</v>
      </c>
      <c r="AA74" s="32">
        <f t="shared" si="227"/>
        <v>303844</v>
      </c>
      <c r="AB74" s="32"/>
      <c r="AC74" s="32">
        <f t="shared" ref="AC74:AJ74" si="228">SUM(AC73+AC67)</f>
        <v>229623</v>
      </c>
      <c r="AD74" s="32">
        <f t="shared" si="228"/>
        <v>222844</v>
      </c>
      <c r="AE74" s="32">
        <f t="shared" si="228"/>
        <v>230238</v>
      </c>
      <c r="AF74" s="32">
        <f t="shared" si="228"/>
        <v>256408</v>
      </c>
      <c r="AG74" s="32">
        <f t="shared" si="228"/>
        <v>276054</v>
      </c>
      <c r="AH74" s="32">
        <f t="shared" si="228"/>
        <v>280213</v>
      </c>
      <c r="AI74" s="32">
        <f t="shared" si="228"/>
        <v>294744</v>
      </c>
      <c r="AJ74" s="32">
        <f t="shared" si="228"/>
        <v>303844</v>
      </c>
      <c r="AK74" s="11"/>
      <c r="AL74" s="76">
        <f t="shared" si="194"/>
        <v>0.1850020280178466</v>
      </c>
    </row>
    <row r="75" spans="1:38" ht="5.0999999999999996" customHeight="1">
      <c r="B75" s="25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  <c r="V75" s="32"/>
      <c r="W75" s="32"/>
      <c r="X75" s="32"/>
      <c r="Y75" s="32"/>
      <c r="Z75" s="32"/>
      <c r="AA75" s="32"/>
      <c r="AB75" s="32"/>
      <c r="AC75" s="32"/>
      <c r="AD75" s="32"/>
      <c r="AE75" s="32"/>
      <c r="AF75" s="32"/>
      <c r="AG75" s="32"/>
      <c r="AH75" s="32"/>
      <c r="AI75" s="32"/>
      <c r="AJ75" s="32"/>
      <c r="AK75" s="11"/>
    </row>
    <row r="76" spans="1:38" ht="12.75" customHeight="1">
      <c r="B76" s="138" t="s">
        <v>58</v>
      </c>
      <c r="C76" s="69">
        <f>C74-C54</f>
        <v>0</v>
      </c>
      <c r="D76" s="69">
        <f>D74-D54</f>
        <v>0</v>
      </c>
      <c r="E76" s="69">
        <f>E74-E54</f>
        <v>0</v>
      </c>
      <c r="F76" s="69">
        <f>F74-F54</f>
        <v>0</v>
      </c>
      <c r="G76" s="69">
        <f>G74-G54</f>
        <v>0</v>
      </c>
      <c r="H76" s="70"/>
      <c r="I76" s="69">
        <f t="shared" ref="I76:AA76" si="229">I74-I54</f>
        <v>0</v>
      </c>
      <c r="J76" s="69">
        <f t="shared" si="229"/>
        <v>0</v>
      </c>
      <c r="K76" s="69">
        <f t="shared" si="229"/>
        <v>0</v>
      </c>
      <c r="L76" s="69">
        <f t="shared" si="229"/>
        <v>0</v>
      </c>
      <c r="M76" s="69">
        <f t="shared" si="229"/>
        <v>0</v>
      </c>
      <c r="N76" s="69">
        <f t="shared" si="229"/>
        <v>0</v>
      </c>
      <c r="O76" s="69">
        <f t="shared" si="229"/>
        <v>0</v>
      </c>
      <c r="P76" s="69">
        <f t="shared" si="229"/>
        <v>0</v>
      </c>
      <c r="Q76" s="69">
        <f t="shared" si="229"/>
        <v>0</v>
      </c>
      <c r="R76" s="69">
        <f t="shared" si="229"/>
        <v>0</v>
      </c>
      <c r="S76" s="69">
        <f t="shared" si="229"/>
        <v>0</v>
      </c>
      <c r="T76" s="69">
        <f t="shared" si="229"/>
        <v>0</v>
      </c>
      <c r="U76" s="69">
        <f t="shared" si="229"/>
        <v>0</v>
      </c>
      <c r="V76" s="69">
        <f t="shared" si="229"/>
        <v>0</v>
      </c>
      <c r="W76" s="69">
        <f t="shared" si="229"/>
        <v>0</v>
      </c>
      <c r="X76" s="69">
        <f t="shared" si="229"/>
        <v>0</v>
      </c>
      <c r="Y76" s="69">
        <f t="shared" si="229"/>
        <v>0</v>
      </c>
      <c r="Z76" s="69">
        <f t="shared" si="229"/>
        <v>0</v>
      </c>
      <c r="AA76" s="69">
        <f t="shared" si="229"/>
        <v>0</v>
      </c>
      <c r="AB76" s="28"/>
      <c r="AC76" s="69">
        <f t="shared" ref="AC76:AJ76" si="230">AC74-AC54</f>
        <v>0</v>
      </c>
      <c r="AD76" s="69">
        <f t="shared" si="230"/>
        <v>0</v>
      </c>
      <c r="AE76" s="69">
        <f t="shared" si="230"/>
        <v>0</v>
      </c>
      <c r="AF76" s="69">
        <f t="shared" si="230"/>
        <v>0</v>
      </c>
      <c r="AG76" s="69">
        <f t="shared" si="230"/>
        <v>0</v>
      </c>
      <c r="AH76" s="69">
        <f t="shared" si="230"/>
        <v>0</v>
      </c>
      <c r="AI76" s="69">
        <f t="shared" si="230"/>
        <v>0</v>
      </c>
      <c r="AJ76" s="69">
        <f t="shared" si="230"/>
        <v>0</v>
      </c>
    </row>
    <row r="77" spans="1:38" ht="5.0999999999999996" customHeight="1" thickBot="1">
      <c r="B77" s="116"/>
      <c r="C77" s="117"/>
      <c r="D77" s="117"/>
      <c r="E77" s="117"/>
      <c r="F77" s="117"/>
      <c r="G77" s="117"/>
      <c r="H77" s="118"/>
      <c r="I77" s="117"/>
      <c r="J77" s="117"/>
      <c r="K77" s="117"/>
      <c r="L77" s="117"/>
      <c r="M77" s="117"/>
      <c r="N77" s="117"/>
      <c r="O77" s="117"/>
      <c r="P77" s="117"/>
      <c r="Q77" s="117"/>
      <c r="R77" s="117"/>
      <c r="S77" s="117"/>
      <c r="T77" s="117"/>
      <c r="U77" s="117"/>
      <c r="V77" s="117"/>
      <c r="W77" s="117"/>
      <c r="X77" s="117"/>
      <c r="Y77" s="117"/>
      <c r="Z77" s="117"/>
      <c r="AA77" s="117"/>
      <c r="AB77" s="119"/>
      <c r="AC77" s="117"/>
      <c r="AD77" s="117"/>
      <c r="AE77" s="117"/>
      <c r="AF77" s="117"/>
      <c r="AG77" s="117"/>
      <c r="AH77" s="117"/>
      <c r="AI77" s="117"/>
      <c r="AJ77" s="117"/>
      <c r="AK77" s="73"/>
      <c r="AL77" s="73"/>
    </row>
    <row r="78" spans="1:38">
      <c r="B78" s="68"/>
      <c r="C78" s="53"/>
      <c r="D78" s="53"/>
      <c r="E78" s="24"/>
      <c r="F78" s="24"/>
      <c r="G78" s="24"/>
      <c r="H78" s="53"/>
    </row>
    <row r="79" spans="1:38" ht="12.75" customHeight="1">
      <c r="A79" s="5" t="s">
        <v>16</v>
      </c>
      <c r="B79" s="98" t="s">
        <v>13</v>
      </c>
      <c r="C79" s="102" t="s">
        <v>0</v>
      </c>
      <c r="D79" s="102" t="s">
        <v>0</v>
      </c>
      <c r="E79" s="102" t="s">
        <v>0</v>
      </c>
      <c r="F79" s="102"/>
      <c r="G79" s="102"/>
      <c r="H79" s="103"/>
      <c r="I79" s="102" t="s">
        <v>1</v>
      </c>
      <c r="J79" s="102"/>
      <c r="K79" s="102"/>
      <c r="L79" s="102"/>
      <c r="M79" s="102" t="s">
        <v>1</v>
      </c>
      <c r="N79" s="102"/>
      <c r="O79" s="102"/>
      <c r="P79" s="102"/>
      <c r="Q79" s="102" t="s">
        <v>1</v>
      </c>
      <c r="R79" s="102"/>
      <c r="S79" s="102"/>
      <c r="T79" s="102"/>
      <c r="U79" s="102"/>
      <c r="V79" s="102"/>
      <c r="W79" s="102" t="s">
        <v>1</v>
      </c>
      <c r="X79" s="102"/>
      <c r="Y79" s="102"/>
      <c r="Z79" s="102"/>
      <c r="AA79" s="102"/>
      <c r="AB79" s="98"/>
      <c r="AC79" s="102"/>
      <c r="AD79" s="102"/>
      <c r="AE79" s="102" t="s">
        <v>10</v>
      </c>
      <c r="AF79" s="102" t="s">
        <v>10</v>
      </c>
      <c r="AG79" s="102"/>
      <c r="AH79" s="102"/>
      <c r="AI79" s="102"/>
      <c r="AJ79" s="102"/>
      <c r="AK79" s="103"/>
      <c r="AL79" s="165" t="s">
        <v>22</v>
      </c>
    </row>
    <row r="80" spans="1:38" ht="12.75" customHeight="1">
      <c r="B80" s="99" t="str">
        <f t="shared" ref="B80:G81" si="231">B7</f>
        <v>Fiscal Period</v>
      </c>
      <c r="C80" s="104">
        <f t="shared" si="231"/>
        <v>2020</v>
      </c>
      <c r="D80" s="104">
        <f t="shared" si="231"/>
        <v>2021</v>
      </c>
      <c r="E80" s="104">
        <f t="shared" si="231"/>
        <v>2022</v>
      </c>
      <c r="F80" s="104">
        <f t="shared" si="231"/>
        <v>2023</v>
      </c>
      <c r="G80" s="104">
        <f t="shared" si="231"/>
        <v>2024</v>
      </c>
      <c r="H80" s="103"/>
      <c r="I80" s="104" t="str">
        <f t="shared" ref="I80:AA80" si="232">I7</f>
        <v>1Q21</v>
      </c>
      <c r="J80" s="104" t="str">
        <f t="shared" si="232"/>
        <v>2Q21</v>
      </c>
      <c r="K80" s="104" t="str">
        <f t="shared" si="232"/>
        <v>3Q21</v>
      </c>
      <c r="L80" s="104" t="str">
        <f t="shared" si="232"/>
        <v>4Q21</v>
      </c>
      <c r="M80" s="104" t="str">
        <f t="shared" si="232"/>
        <v>1Q22</v>
      </c>
      <c r="N80" s="104" t="str">
        <f t="shared" si="232"/>
        <v>2Q22</v>
      </c>
      <c r="O80" s="104" t="str">
        <f t="shared" si="232"/>
        <v>3Q22</v>
      </c>
      <c r="P80" s="104" t="str">
        <f t="shared" si="232"/>
        <v>4Q22</v>
      </c>
      <c r="Q80" s="104" t="str">
        <f t="shared" si="232"/>
        <v>1Q23</v>
      </c>
      <c r="R80" s="104" t="str">
        <f t="shared" si="232"/>
        <v>2Q23</v>
      </c>
      <c r="S80" s="104" t="str">
        <f t="shared" si="232"/>
        <v>3Q23</v>
      </c>
      <c r="T80" s="104" t="str">
        <f t="shared" si="232"/>
        <v>4Q23</v>
      </c>
      <c r="U80" s="104" t="str">
        <f t="shared" si="232"/>
        <v>1Q24</v>
      </c>
      <c r="V80" s="104" t="str">
        <f t="shared" si="232"/>
        <v>2Q24</v>
      </c>
      <c r="W80" s="104" t="str">
        <f t="shared" si="232"/>
        <v>3Q24</v>
      </c>
      <c r="X80" s="104" t="str">
        <f t="shared" si="232"/>
        <v>4Q24</v>
      </c>
      <c r="Y80" s="104" t="str">
        <f t="shared" si="232"/>
        <v>1Q25</v>
      </c>
      <c r="Z80" s="104" t="str">
        <f t="shared" si="232"/>
        <v>2Q25</v>
      </c>
      <c r="AA80" s="104" t="str">
        <f t="shared" si="232"/>
        <v>3Q25</v>
      </c>
      <c r="AB80" s="104"/>
      <c r="AC80" s="104" t="str">
        <f t="shared" ref="AC80:AJ81" si="233">AC7</f>
        <v>4Q23</v>
      </c>
      <c r="AD80" s="104" t="str">
        <f t="shared" si="233"/>
        <v>1Q24</v>
      </c>
      <c r="AE80" s="104" t="str">
        <f t="shared" si="233"/>
        <v>2Q24</v>
      </c>
      <c r="AF80" s="104" t="str">
        <f t="shared" si="233"/>
        <v>3Q24</v>
      </c>
      <c r="AG80" s="104" t="str">
        <f t="shared" si="233"/>
        <v>4Q24</v>
      </c>
      <c r="AH80" s="104" t="str">
        <f t="shared" si="233"/>
        <v>1Q25</v>
      </c>
      <c r="AI80" s="104" t="str">
        <f t="shared" si="233"/>
        <v>2Q25</v>
      </c>
      <c r="AJ80" s="104" t="str">
        <f t="shared" si="233"/>
        <v>3Q25</v>
      </c>
      <c r="AK80" s="103"/>
      <c r="AL80" s="165"/>
    </row>
    <row r="81" spans="2:38" ht="12.75" customHeight="1">
      <c r="B81" s="99" t="str">
        <f t="shared" si="231"/>
        <v>Fiscal Period End Date</v>
      </c>
      <c r="C81" s="105">
        <f t="shared" si="231"/>
        <v>44196</v>
      </c>
      <c r="D81" s="105">
        <f t="shared" si="231"/>
        <v>44561</v>
      </c>
      <c r="E81" s="105">
        <f t="shared" si="231"/>
        <v>44926</v>
      </c>
      <c r="F81" s="105">
        <f t="shared" si="231"/>
        <v>45291</v>
      </c>
      <c r="G81" s="105">
        <f t="shared" si="231"/>
        <v>45657</v>
      </c>
      <c r="H81" s="103"/>
      <c r="I81" s="105">
        <f t="shared" ref="I81:AA81" si="234">I8</f>
        <v>44286</v>
      </c>
      <c r="J81" s="105">
        <f t="shared" si="234"/>
        <v>44377</v>
      </c>
      <c r="K81" s="105">
        <f t="shared" si="234"/>
        <v>44469</v>
      </c>
      <c r="L81" s="105">
        <f t="shared" si="234"/>
        <v>44561</v>
      </c>
      <c r="M81" s="105">
        <f t="shared" si="234"/>
        <v>44651</v>
      </c>
      <c r="N81" s="105">
        <f t="shared" si="234"/>
        <v>44742</v>
      </c>
      <c r="O81" s="105">
        <f t="shared" si="234"/>
        <v>44834</v>
      </c>
      <c r="P81" s="105">
        <f t="shared" si="234"/>
        <v>44926</v>
      </c>
      <c r="Q81" s="105">
        <f t="shared" si="234"/>
        <v>45016</v>
      </c>
      <c r="R81" s="105">
        <f t="shared" si="234"/>
        <v>45107</v>
      </c>
      <c r="S81" s="105">
        <f t="shared" si="234"/>
        <v>45199</v>
      </c>
      <c r="T81" s="105">
        <f t="shared" si="234"/>
        <v>45291</v>
      </c>
      <c r="U81" s="105">
        <f t="shared" si="234"/>
        <v>45382</v>
      </c>
      <c r="V81" s="105">
        <f t="shared" si="234"/>
        <v>45473</v>
      </c>
      <c r="W81" s="105">
        <f t="shared" si="234"/>
        <v>45565</v>
      </c>
      <c r="X81" s="105">
        <f t="shared" si="234"/>
        <v>45657</v>
      </c>
      <c r="Y81" s="105">
        <f t="shared" si="234"/>
        <v>45747</v>
      </c>
      <c r="Z81" s="105">
        <f t="shared" si="234"/>
        <v>45838</v>
      </c>
      <c r="AA81" s="105">
        <f t="shared" si="234"/>
        <v>45930</v>
      </c>
      <c r="AB81" s="105"/>
      <c r="AC81" s="105">
        <f t="shared" si="233"/>
        <v>45291</v>
      </c>
      <c r="AD81" s="105">
        <f t="shared" si="233"/>
        <v>45382</v>
      </c>
      <c r="AE81" s="105">
        <f t="shared" si="233"/>
        <v>45473</v>
      </c>
      <c r="AF81" s="105">
        <f t="shared" si="233"/>
        <v>45565</v>
      </c>
      <c r="AG81" s="105">
        <f t="shared" si="233"/>
        <v>45657</v>
      </c>
      <c r="AH81" s="105">
        <f t="shared" si="233"/>
        <v>45747</v>
      </c>
      <c r="AI81" s="105">
        <f t="shared" si="233"/>
        <v>45838</v>
      </c>
      <c r="AJ81" s="105">
        <f t="shared" si="233"/>
        <v>45930</v>
      </c>
      <c r="AK81" s="103"/>
      <c r="AL81" s="165"/>
    </row>
    <row r="82" spans="2:38" ht="5.0999999999999996" customHeight="1">
      <c r="B82" s="54"/>
      <c r="C82" s="47"/>
      <c r="D82" s="47"/>
      <c r="E82" s="47"/>
      <c r="F82" s="47"/>
      <c r="G82" s="47"/>
    </row>
    <row r="83" spans="2:38" ht="12.75" customHeight="1">
      <c r="B83" s="55" t="s">
        <v>50</v>
      </c>
      <c r="C83" s="56"/>
      <c r="D83" s="56"/>
      <c r="E83" s="56"/>
      <c r="F83" s="56"/>
      <c r="G83" s="56"/>
    </row>
    <row r="84" spans="2:38" ht="12.75" customHeight="1">
      <c r="B84" s="57" t="s">
        <v>100</v>
      </c>
      <c r="C84" s="32">
        <f>C28</f>
        <v>29146</v>
      </c>
      <c r="D84" s="32">
        <f>D28</f>
        <v>39370</v>
      </c>
      <c r="E84" s="32">
        <f>E28</f>
        <v>23200</v>
      </c>
      <c r="F84" s="32">
        <f>F28</f>
        <v>39098</v>
      </c>
      <c r="G84" s="32">
        <f>G28</f>
        <v>62360</v>
      </c>
      <c r="H84" s="32"/>
      <c r="I84" s="32">
        <f t="shared" ref="I84:AA84" si="235">I28</f>
        <v>9497</v>
      </c>
      <c r="J84" s="32">
        <f t="shared" si="235"/>
        <v>10394</v>
      </c>
      <c r="K84" s="32">
        <f t="shared" si="235"/>
        <v>9194</v>
      </c>
      <c r="L84" s="32">
        <f t="shared" si="235"/>
        <v>10285</v>
      </c>
      <c r="M84" s="32">
        <f t="shared" si="235"/>
        <v>7465</v>
      </c>
      <c r="N84" s="32">
        <f t="shared" si="235"/>
        <v>6687</v>
      </c>
      <c r="O84" s="32">
        <f t="shared" si="235"/>
        <v>4395</v>
      </c>
      <c r="P84" s="32">
        <f t="shared" si="235"/>
        <v>4653</v>
      </c>
      <c r="Q84" s="32">
        <f t="shared" si="235"/>
        <v>5709</v>
      </c>
      <c r="R84" s="32">
        <f t="shared" si="235"/>
        <v>7788</v>
      </c>
      <c r="S84" s="32">
        <f t="shared" si="235"/>
        <v>11583</v>
      </c>
      <c r="T84" s="32">
        <f t="shared" si="235"/>
        <v>14018</v>
      </c>
      <c r="U84" s="32">
        <f t="shared" si="235"/>
        <v>12369</v>
      </c>
      <c r="V84" s="32">
        <f t="shared" si="235"/>
        <v>13465</v>
      </c>
      <c r="W84" s="32">
        <f t="shared" si="235"/>
        <v>15688</v>
      </c>
      <c r="X84" s="32">
        <f t="shared" si="235"/>
        <v>20838</v>
      </c>
      <c r="Y84" s="32">
        <f t="shared" si="235"/>
        <v>16644</v>
      </c>
      <c r="Z84" s="32">
        <f t="shared" si="235"/>
        <v>18337</v>
      </c>
      <c r="AA84" s="32">
        <f t="shared" si="235"/>
        <v>2709</v>
      </c>
      <c r="AB84" s="32"/>
      <c r="AC84" s="32">
        <f t="shared" ref="AC84:AJ84" si="236">AC28</f>
        <v>39098</v>
      </c>
      <c r="AD84" s="32">
        <f t="shared" si="236"/>
        <v>45758</v>
      </c>
      <c r="AE84" s="32">
        <f t="shared" si="236"/>
        <v>51435</v>
      </c>
      <c r="AF84" s="32">
        <f t="shared" si="236"/>
        <v>55540</v>
      </c>
      <c r="AG84" s="32">
        <f t="shared" si="236"/>
        <v>62360</v>
      </c>
      <c r="AH84" s="32">
        <f t="shared" si="236"/>
        <v>66635</v>
      </c>
      <c r="AI84" s="32">
        <f t="shared" si="236"/>
        <v>71507</v>
      </c>
      <c r="AJ84" s="32">
        <f t="shared" si="236"/>
        <v>58528</v>
      </c>
      <c r="AK84" s="11"/>
      <c r="AL84" s="75">
        <f>SUM(AJ84/AF84)-1</f>
        <v>5.3799063737846486E-2</v>
      </c>
    </row>
    <row r="85" spans="2:38" ht="5.0999999999999996" customHeight="1">
      <c r="C85" s="32"/>
      <c r="D85" s="32"/>
      <c r="E85" s="32"/>
      <c r="F85" s="32"/>
      <c r="G85" s="32"/>
      <c r="H85" s="32"/>
      <c r="I85" s="32"/>
      <c r="J85" s="32"/>
      <c r="K85" s="32"/>
      <c r="L85" s="32"/>
      <c r="M85" s="32"/>
      <c r="N85" s="32"/>
      <c r="O85" s="32"/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C85" s="32"/>
      <c r="AD85" s="32"/>
      <c r="AE85" s="32"/>
      <c r="AF85" s="32"/>
      <c r="AG85" s="32"/>
      <c r="AH85" s="32"/>
      <c r="AI85" s="32"/>
      <c r="AJ85" s="32"/>
      <c r="AK85" s="11"/>
      <c r="AL85" s="75"/>
    </row>
    <row r="86" spans="2:38" ht="12.75" customHeight="1">
      <c r="B86" s="36" t="s">
        <v>57</v>
      </c>
      <c r="C86" s="32"/>
      <c r="D86" s="32"/>
      <c r="E86" s="32"/>
      <c r="F86" s="32"/>
      <c r="G86" s="32"/>
      <c r="H86" s="32"/>
      <c r="I86" s="82"/>
      <c r="J86" s="82"/>
      <c r="K86" s="82"/>
      <c r="L86" s="82"/>
      <c r="M86" s="82"/>
      <c r="N86" s="82"/>
      <c r="O86" s="82"/>
      <c r="P86" s="82"/>
      <c r="Q86" s="82"/>
      <c r="R86" s="82"/>
      <c r="S86" s="82"/>
      <c r="T86" s="32"/>
      <c r="U86" s="82"/>
      <c r="V86" s="82"/>
      <c r="W86" s="82"/>
      <c r="X86" s="32"/>
      <c r="Y86" s="82"/>
      <c r="Z86" s="82"/>
      <c r="AA86" s="82"/>
      <c r="AC86" s="32"/>
      <c r="AD86" s="32"/>
      <c r="AE86" s="32"/>
      <c r="AF86" s="32"/>
      <c r="AG86" s="32"/>
      <c r="AH86" s="32"/>
      <c r="AI86" s="32"/>
      <c r="AJ86" s="32"/>
      <c r="AK86" s="59"/>
      <c r="AL86" s="75"/>
    </row>
    <row r="87" spans="2:38" ht="12.75" customHeight="1">
      <c r="B87" s="60" t="s">
        <v>153</v>
      </c>
      <c r="C87" s="82">
        <v>6862</v>
      </c>
      <c r="D87" s="82">
        <v>7967</v>
      </c>
      <c r="E87" s="82">
        <v>8686</v>
      </c>
      <c r="F87" s="82">
        <v>11178</v>
      </c>
      <c r="G87" s="82">
        <v>15498</v>
      </c>
      <c r="H87" s="32"/>
      <c r="I87" s="82">
        <v>1972</v>
      </c>
      <c r="J87" s="82">
        <f>3958-I87</f>
        <v>1986</v>
      </c>
      <c r="K87" s="82">
        <f>5953-J87-I87</f>
        <v>1995</v>
      </c>
      <c r="L87" s="32">
        <f t="shared" ref="L87:L97" si="237">SUM(D87-SUM(I87:K87))</f>
        <v>2014</v>
      </c>
      <c r="M87" s="82">
        <v>2156</v>
      </c>
      <c r="N87" s="82">
        <f>4135-M87</f>
        <v>1979</v>
      </c>
      <c r="O87" s="82">
        <f>6310-N87-M87</f>
        <v>2175</v>
      </c>
      <c r="P87" s="32">
        <f>SUM(E87-SUM(M87:O87))</f>
        <v>2376</v>
      </c>
      <c r="Q87" s="82">
        <v>2524</v>
      </c>
      <c r="R87" s="82">
        <f>5147-Q87</f>
        <v>2623</v>
      </c>
      <c r="S87" s="82">
        <f>8006-R87-Q87</f>
        <v>2859</v>
      </c>
      <c r="T87" s="32">
        <f t="shared" ref="T87:T97" si="238">SUM(F87-SUM(Q87:S87))</f>
        <v>3172</v>
      </c>
      <c r="U87" s="82">
        <v>3374</v>
      </c>
      <c r="V87" s="82">
        <f>7011-U87</f>
        <v>3637</v>
      </c>
      <c r="W87" s="82">
        <f>11038-V87-U87</f>
        <v>4027</v>
      </c>
      <c r="X87" s="32">
        <f t="shared" ref="X87:X97" si="239">SUM(G87-SUM(U87:W87))</f>
        <v>4460</v>
      </c>
      <c r="Y87" s="82">
        <v>3900</v>
      </c>
      <c r="Z87" s="82">
        <f>8242-Y87</f>
        <v>4342</v>
      </c>
      <c r="AA87" s="82">
        <f>13205-Z87-Y87</f>
        <v>4963</v>
      </c>
      <c r="AC87" s="32">
        <f t="shared" ref="AC87:AJ97" si="240">SUM(Q87:T87)</f>
        <v>11178</v>
      </c>
      <c r="AD87" s="32">
        <f t="shared" si="240"/>
        <v>12028</v>
      </c>
      <c r="AE87" s="32">
        <f t="shared" si="240"/>
        <v>13042</v>
      </c>
      <c r="AF87" s="32">
        <f t="shared" si="240"/>
        <v>14210</v>
      </c>
      <c r="AG87" s="32">
        <f t="shared" si="240"/>
        <v>15498</v>
      </c>
      <c r="AH87" s="32">
        <f t="shared" si="240"/>
        <v>16024</v>
      </c>
      <c r="AI87" s="32">
        <f t="shared" si="240"/>
        <v>16729</v>
      </c>
      <c r="AJ87" s="32">
        <f t="shared" si="240"/>
        <v>17665</v>
      </c>
      <c r="AK87" s="11"/>
      <c r="AL87" s="75">
        <f t="shared" ref="AL87:AL98" si="241">SUM(AJ87/AF87)-1</f>
        <v>0.24313863476425057</v>
      </c>
    </row>
    <row r="88" spans="2:38" ht="12.75" customHeight="1">
      <c r="B88" s="60" t="s">
        <v>154</v>
      </c>
      <c r="C88" s="82">
        <v>6536</v>
      </c>
      <c r="D88" s="82">
        <v>9164</v>
      </c>
      <c r="E88" s="82">
        <v>11992</v>
      </c>
      <c r="F88" s="82">
        <v>14027</v>
      </c>
      <c r="G88" s="82">
        <v>16690</v>
      </c>
      <c r="H88" s="32"/>
      <c r="I88" s="82">
        <v>1830</v>
      </c>
      <c r="J88" s="82">
        <f>4379-I88</f>
        <v>2549</v>
      </c>
      <c r="K88" s="82">
        <f>6757-J88-I88</f>
        <v>2378</v>
      </c>
      <c r="L88" s="32">
        <f t="shared" si="237"/>
        <v>2407</v>
      </c>
      <c r="M88" s="82">
        <v>2498</v>
      </c>
      <c r="N88" s="82">
        <f>5850-M88</f>
        <v>3352</v>
      </c>
      <c r="O88" s="82">
        <f>8984-N88-M88</f>
        <v>3134</v>
      </c>
      <c r="P88" s="32">
        <f t="shared" ref="P88:P90" si="242">SUM(E88-SUM(M88:O88))</f>
        <v>3008</v>
      </c>
      <c r="Q88" s="82">
        <v>3051</v>
      </c>
      <c r="R88" s="82">
        <f>7111-Q88</f>
        <v>4060</v>
      </c>
      <c r="S88" s="82">
        <f>10603-R88-Q88</f>
        <v>3492</v>
      </c>
      <c r="T88" s="32">
        <f t="shared" si="238"/>
        <v>3424</v>
      </c>
      <c r="U88" s="82">
        <v>3562</v>
      </c>
      <c r="V88" s="82">
        <f>8178-U88</f>
        <v>4616</v>
      </c>
      <c r="W88" s="82">
        <f>12428-V88-U88</f>
        <v>4250</v>
      </c>
      <c r="X88" s="32">
        <f t="shared" si="239"/>
        <v>4262</v>
      </c>
      <c r="Y88" s="82">
        <v>4147</v>
      </c>
      <c r="Z88" s="82">
        <f>8981-Y88</f>
        <v>4834</v>
      </c>
      <c r="AA88" s="82">
        <f>14537-Z88-Y88</f>
        <v>5556</v>
      </c>
      <c r="AC88" s="32">
        <f t="shared" si="240"/>
        <v>14027</v>
      </c>
      <c r="AD88" s="32">
        <f t="shared" si="240"/>
        <v>14538</v>
      </c>
      <c r="AE88" s="32">
        <f t="shared" si="240"/>
        <v>15094</v>
      </c>
      <c r="AF88" s="32">
        <f t="shared" si="240"/>
        <v>15852</v>
      </c>
      <c r="AG88" s="32">
        <f t="shared" si="240"/>
        <v>16690</v>
      </c>
      <c r="AH88" s="32">
        <f t="shared" si="240"/>
        <v>17275</v>
      </c>
      <c r="AI88" s="32">
        <f t="shared" si="240"/>
        <v>17493</v>
      </c>
      <c r="AJ88" s="32">
        <f t="shared" si="240"/>
        <v>18799</v>
      </c>
      <c r="AK88" s="11"/>
      <c r="AL88" s="75">
        <f t="shared" ref="AL88" si="243">SUM(AJ88/AF88)-1</f>
        <v>0.18590714105475659</v>
      </c>
    </row>
    <row r="89" spans="2:38" ht="12.75" customHeight="1">
      <c r="B89" s="60" t="s">
        <v>155</v>
      </c>
      <c r="C89" s="82">
        <v>-1192</v>
      </c>
      <c r="D89" s="82">
        <v>609</v>
      </c>
      <c r="E89" s="82">
        <v>-3286</v>
      </c>
      <c r="F89" s="82">
        <v>131</v>
      </c>
      <c r="G89" s="82">
        <v>-4738</v>
      </c>
      <c r="H89" s="32"/>
      <c r="I89" s="82">
        <v>418</v>
      </c>
      <c r="J89" s="82">
        <f>647-I89</f>
        <v>229</v>
      </c>
      <c r="K89" s="82">
        <f>-139-J89-I89</f>
        <v>-786</v>
      </c>
      <c r="L89" s="32">
        <f t="shared" si="237"/>
        <v>748</v>
      </c>
      <c r="M89" s="82">
        <v>-563</v>
      </c>
      <c r="N89" s="82">
        <f>-1016-M89</f>
        <v>-453</v>
      </c>
      <c r="O89" s="82">
        <f>-2113-N89-M89</f>
        <v>-1097</v>
      </c>
      <c r="P89" s="32">
        <f t="shared" si="242"/>
        <v>-1173</v>
      </c>
      <c r="Q89" s="82">
        <v>-620</v>
      </c>
      <c r="R89" s="82">
        <f>-1757-Q89</f>
        <v>-1137</v>
      </c>
      <c r="S89" s="82">
        <f>1292-R89-Q89</f>
        <v>3049</v>
      </c>
      <c r="T89" s="32">
        <f t="shared" si="238"/>
        <v>-1161</v>
      </c>
      <c r="U89" s="82">
        <v>-456</v>
      </c>
      <c r="V89" s="82">
        <f>-2098-U89</f>
        <v>-1642</v>
      </c>
      <c r="W89" s="82">
        <f>-3406-V89-U89</f>
        <v>-1308</v>
      </c>
      <c r="X89" s="32">
        <f t="shared" si="239"/>
        <v>-1332</v>
      </c>
      <c r="Y89" s="82">
        <v>-993</v>
      </c>
      <c r="Z89" s="82">
        <f>-2163-Y89</f>
        <v>-1170</v>
      </c>
      <c r="AA89" s="82">
        <f>17704-Z89-Y89</f>
        <v>19867</v>
      </c>
      <c r="AC89" s="32">
        <f t="shared" si="240"/>
        <v>131</v>
      </c>
      <c r="AD89" s="32">
        <f t="shared" si="240"/>
        <v>295</v>
      </c>
      <c r="AE89" s="32">
        <f t="shared" si="240"/>
        <v>-210</v>
      </c>
      <c r="AF89" s="32">
        <f t="shared" si="240"/>
        <v>-4567</v>
      </c>
      <c r="AG89" s="32">
        <f t="shared" si="240"/>
        <v>-4738</v>
      </c>
      <c r="AH89" s="32">
        <f t="shared" si="240"/>
        <v>-5275</v>
      </c>
      <c r="AI89" s="32">
        <f t="shared" si="240"/>
        <v>-4803</v>
      </c>
      <c r="AJ89" s="32">
        <f t="shared" si="240"/>
        <v>16372</v>
      </c>
      <c r="AK89" s="11"/>
      <c r="AL89" s="75">
        <f t="shared" si="241"/>
        <v>-4.5848478213269104</v>
      </c>
    </row>
    <row r="90" spans="2:38" ht="12.75" customHeight="1">
      <c r="B90" s="60" t="s">
        <v>156</v>
      </c>
      <c r="C90" s="82">
        <f>33+85</f>
        <v>118</v>
      </c>
      <c r="D90" s="82">
        <v>-127</v>
      </c>
      <c r="E90" s="82">
        <f>641+2218+1341</f>
        <v>4200</v>
      </c>
      <c r="F90" s="82">
        <f>635+2432-224</f>
        <v>2843</v>
      </c>
      <c r="G90" s="82">
        <f>87+383</f>
        <v>470</v>
      </c>
      <c r="H90" s="32"/>
      <c r="I90" s="82">
        <v>-66</v>
      </c>
      <c r="J90" s="82">
        <f>-88-I90</f>
        <v>-22</v>
      </c>
      <c r="K90" s="82">
        <f>-161-J90-I90</f>
        <v>-73</v>
      </c>
      <c r="L90" s="32">
        <f t="shared" si="237"/>
        <v>34</v>
      </c>
      <c r="M90" s="82">
        <v>-221</v>
      </c>
      <c r="N90" s="82">
        <f>-33-M90</f>
        <v>188</v>
      </c>
      <c r="O90" s="82">
        <f>71+413-N90-M90</f>
        <v>517</v>
      </c>
      <c r="P90" s="32">
        <f t="shared" si="242"/>
        <v>3716</v>
      </c>
      <c r="Q90" s="82">
        <f>-7+770</f>
        <v>763</v>
      </c>
      <c r="R90" s="82">
        <f>204+1002-Q90</f>
        <v>443</v>
      </c>
      <c r="S90" s="82">
        <f>278+1342-R90-Q90</f>
        <v>414</v>
      </c>
      <c r="T90" s="32">
        <f t="shared" ref="T90" si="244">SUM(F90-SUM(Q90:S90))</f>
        <v>1223</v>
      </c>
      <c r="U90" s="82">
        <f>-66+240</f>
        <v>174</v>
      </c>
      <c r="V90" s="82">
        <f>-71+280-U90</f>
        <v>35</v>
      </c>
      <c r="W90" s="82">
        <f>-82+288-V90-U90</f>
        <v>-3</v>
      </c>
      <c r="X90" s="32">
        <f t="shared" ref="X90" si="245">SUM(G90-SUM(U90:W90))</f>
        <v>264</v>
      </c>
      <c r="Y90" s="82">
        <v>-231</v>
      </c>
      <c r="Z90" s="82">
        <f>-430+374-Y90</f>
        <v>175</v>
      </c>
      <c r="AA90" s="82">
        <f>-453-548-Z90-Y90</f>
        <v>-945</v>
      </c>
      <c r="AC90" s="32">
        <f t="shared" ref="AC90" si="246">SUM(Q90:T90)</f>
        <v>2843</v>
      </c>
      <c r="AD90" s="32">
        <f t="shared" ref="AD90" si="247">SUM(R90:U90)</f>
        <v>2254</v>
      </c>
      <c r="AE90" s="32">
        <f t="shared" ref="AE90" si="248">SUM(S90:V90)</f>
        <v>1846</v>
      </c>
      <c r="AF90" s="32">
        <f t="shared" ref="AF90" si="249">SUM(T90:W90)</f>
        <v>1429</v>
      </c>
      <c r="AG90" s="32">
        <f t="shared" ref="AG90" si="250">SUM(U90:X90)</f>
        <v>470</v>
      </c>
      <c r="AH90" s="32">
        <f t="shared" ref="AH90" si="251">SUM(V90:Y90)</f>
        <v>65</v>
      </c>
      <c r="AI90" s="32">
        <f t="shared" ref="AI90" si="252">SUM(W90:Z90)</f>
        <v>205</v>
      </c>
      <c r="AJ90" s="32">
        <f t="shared" ref="AJ90" si="253">SUM(X90:AA90)</f>
        <v>-737</v>
      </c>
      <c r="AK90" s="11"/>
      <c r="AL90" s="75">
        <f t="shared" ref="AL90" si="254">SUM(AJ90/AF90)-1</f>
        <v>-1.5157452764170749</v>
      </c>
    </row>
    <row r="91" spans="2:38" ht="12.75" customHeight="1">
      <c r="B91" s="36" t="s">
        <v>128</v>
      </c>
      <c r="C91" s="82"/>
      <c r="D91" s="82"/>
      <c r="E91" s="82"/>
      <c r="F91" s="82"/>
      <c r="G91" s="82"/>
      <c r="H91" s="32"/>
      <c r="I91" s="82"/>
      <c r="J91" s="82"/>
      <c r="K91" s="82"/>
      <c r="L91" s="82"/>
      <c r="M91" s="82"/>
      <c r="N91" s="82"/>
      <c r="O91" s="82"/>
      <c r="P91" s="32"/>
      <c r="Q91" s="82"/>
      <c r="R91" s="82"/>
      <c r="S91" s="82"/>
      <c r="T91" s="32"/>
      <c r="U91" s="82"/>
      <c r="V91" s="82"/>
      <c r="W91" s="82"/>
      <c r="X91" s="32"/>
      <c r="Y91" s="82"/>
      <c r="Z91" s="82"/>
      <c r="AA91" s="82"/>
      <c r="AC91" s="32"/>
      <c r="AD91" s="32"/>
      <c r="AE91" s="32"/>
      <c r="AF91" s="32"/>
      <c r="AG91" s="32"/>
      <c r="AH91" s="32"/>
      <c r="AI91" s="32"/>
      <c r="AJ91" s="32"/>
      <c r="AK91" s="11"/>
      <c r="AL91" s="75"/>
    </row>
    <row r="92" spans="2:38" ht="12.75" customHeight="1">
      <c r="B92" s="60" t="s">
        <v>152</v>
      </c>
      <c r="C92" s="82">
        <v>-1512</v>
      </c>
      <c r="D92" s="82">
        <v>-3110</v>
      </c>
      <c r="E92" s="82">
        <v>231</v>
      </c>
      <c r="F92" s="82">
        <v>-2399</v>
      </c>
      <c r="G92" s="82">
        <v>-1485</v>
      </c>
      <c r="H92" s="32"/>
      <c r="I92" s="82">
        <v>849</v>
      </c>
      <c r="J92" s="82">
        <f>-517-I92</f>
        <v>-1366</v>
      </c>
      <c r="K92" s="82">
        <f>-1072-J92-I92</f>
        <v>-555</v>
      </c>
      <c r="L92" s="32">
        <f t="shared" si="237"/>
        <v>-2038</v>
      </c>
      <c r="M92" s="82">
        <v>2557</v>
      </c>
      <c r="N92" s="82">
        <f>2035-M92</f>
        <v>-522</v>
      </c>
      <c r="O92" s="82">
        <f>1930-N92-M92</f>
        <v>-105</v>
      </c>
      <c r="P92" s="32">
        <f t="shared" ref="P92:P97" si="255">SUM(E92-SUM(M92:O92))</f>
        <v>-1699</v>
      </c>
      <c r="Q92" s="82">
        <v>2546</v>
      </c>
      <c r="R92" s="82">
        <f>1122-Q92</f>
        <v>-1424</v>
      </c>
      <c r="S92" s="82">
        <f>444-R92-Q92</f>
        <v>-678</v>
      </c>
      <c r="T92" s="32">
        <f t="shared" ref="T92:T96" si="256">SUM(F92-SUM(Q92:S92))</f>
        <v>-2843</v>
      </c>
      <c r="U92" s="82">
        <v>2520</v>
      </c>
      <c r="V92" s="82">
        <f>1350-U92</f>
        <v>-1170</v>
      </c>
      <c r="W92" s="82">
        <f>1493-V92-U92</f>
        <v>143</v>
      </c>
      <c r="X92" s="32">
        <f t="shared" ref="X92:X96" si="257">SUM(G92-SUM(U92:W92))</f>
        <v>-2978</v>
      </c>
      <c r="Y92" s="82">
        <v>2804</v>
      </c>
      <c r="Z92" s="82">
        <f>1466-Y92</f>
        <v>-1338</v>
      </c>
      <c r="AA92" s="82">
        <f>660-Z92-Y92</f>
        <v>-806</v>
      </c>
      <c r="AC92" s="32">
        <f t="shared" ref="AC92:AC96" si="258">SUM(Q92:T92)</f>
        <v>-2399</v>
      </c>
      <c r="AD92" s="32">
        <f t="shared" ref="AD92:AD96" si="259">SUM(R92:U92)</f>
        <v>-2425</v>
      </c>
      <c r="AE92" s="32">
        <f t="shared" ref="AE92:AE96" si="260">SUM(S92:V92)</f>
        <v>-2171</v>
      </c>
      <c r="AF92" s="32">
        <f t="shared" ref="AF92:AF96" si="261">SUM(T92:W92)</f>
        <v>-1350</v>
      </c>
      <c r="AG92" s="32">
        <f t="shared" ref="AG92:AG96" si="262">SUM(U92:X92)</f>
        <v>-1485</v>
      </c>
      <c r="AH92" s="32">
        <f t="shared" ref="AH92:AH96" si="263">SUM(V92:Y92)</f>
        <v>-1201</v>
      </c>
      <c r="AI92" s="32">
        <f t="shared" ref="AI92:AI96" si="264">SUM(W92:Z92)</f>
        <v>-1369</v>
      </c>
      <c r="AJ92" s="32">
        <f t="shared" ref="AJ92:AJ96" si="265">SUM(X92:AA92)</f>
        <v>-2318</v>
      </c>
      <c r="AK92" s="11"/>
      <c r="AL92" s="75">
        <f t="shared" ref="AL92:AL96" si="266">SUM(AJ92/AF92)-1</f>
        <v>0.71703703703703714</v>
      </c>
    </row>
    <row r="93" spans="2:38" ht="12.75" customHeight="1">
      <c r="B93" s="60" t="s">
        <v>132</v>
      </c>
      <c r="C93" s="82">
        <v>135</v>
      </c>
      <c r="D93" s="82">
        <v>-1750</v>
      </c>
      <c r="E93" s="82">
        <v>162</v>
      </c>
      <c r="F93" s="82">
        <v>559</v>
      </c>
      <c r="G93" s="82">
        <v>-698</v>
      </c>
      <c r="H93" s="32"/>
      <c r="I93" s="82">
        <v>-461</v>
      </c>
      <c r="J93" s="82">
        <f>-2313-I93</f>
        <v>-1852</v>
      </c>
      <c r="K93" s="82">
        <f>-2566-J93-I93</f>
        <v>-253</v>
      </c>
      <c r="L93" s="32">
        <f t="shared" si="237"/>
        <v>816</v>
      </c>
      <c r="M93" s="82">
        <v>573</v>
      </c>
      <c r="N93" s="82">
        <f>138-M93</f>
        <v>-435</v>
      </c>
      <c r="O93" s="82">
        <f>-693-N93-M93</f>
        <v>-831</v>
      </c>
      <c r="P93" s="32">
        <f t="shared" si="255"/>
        <v>855</v>
      </c>
      <c r="Q93" s="82">
        <v>821</v>
      </c>
      <c r="R93" s="82">
        <f>767-Q93</f>
        <v>-54</v>
      </c>
      <c r="S93" s="82">
        <f>-141-R93-Q93</f>
        <v>-908</v>
      </c>
      <c r="T93" s="32">
        <f t="shared" ref="T93:T95" si="267">SUM(F93-SUM(Q93:S93))</f>
        <v>700</v>
      </c>
      <c r="U93" s="82">
        <v>100</v>
      </c>
      <c r="V93" s="82">
        <f>16-U93</f>
        <v>-84</v>
      </c>
      <c r="W93" s="82">
        <f>-168-V93-U93</f>
        <v>-184</v>
      </c>
      <c r="X93" s="32">
        <f t="shared" ref="X93:X95" si="268">SUM(G93-SUM(U93:W93))</f>
        <v>-530</v>
      </c>
      <c r="Y93" s="82">
        <v>360</v>
      </c>
      <c r="Z93" s="82">
        <f>686-Y93</f>
        <v>326</v>
      </c>
      <c r="AA93" s="82">
        <f>-348-Z93-Y93</f>
        <v>-1034</v>
      </c>
      <c r="AC93" s="32">
        <f t="shared" ref="AC93:AC95" si="269">SUM(Q93:T93)</f>
        <v>559</v>
      </c>
      <c r="AD93" s="32">
        <f t="shared" ref="AD93:AD95" si="270">SUM(R93:U93)</f>
        <v>-162</v>
      </c>
      <c r="AE93" s="32">
        <f t="shared" ref="AE93:AE95" si="271">SUM(S93:V93)</f>
        <v>-192</v>
      </c>
      <c r="AF93" s="32">
        <f t="shared" ref="AF93:AF95" si="272">SUM(T93:W93)</f>
        <v>532</v>
      </c>
      <c r="AG93" s="32">
        <f t="shared" ref="AG93:AG95" si="273">SUM(U93:X93)</f>
        <v>-698</v>
      </c>
      <c r="AH93" s="32">
        <f t="shared" ref="AH93:AH95" si="274">SUM(V93:Y93)</f>
        <v>-438</v>
      </c>
      <c r="AI93" s="32">
        <f t="shared" ref="AI93:AI95" si="275">SUM(W93:Z93)</f>
        <v>-28</v>
      </c>
      <c r="AJ93" s="32">
        <f t="shared" ref="AJ93:AJ95" si="276">SUM(X93:AA93)</f>
        <v>-878</v>
      </c>
      <c r="AK93" s="11"/>
      <c r="AL93" s="75">
        <f t="shared" ref="AL93:AL95" si="277">SUM(AJ93/AF93)-1</f>
        <v>-2.6503759398496243</v>
      </c>
    </row>
    <row r="94" spans="2:38" ht="12.75" customHeight="1">
      <c r="B94" s="60" t="s">
        <v>136</v>
      </c>
      <c r="C94" s="82">
        <v>-34</v>
      </c>
      <c r="D94" s="82">
        <v>-349</v>
      </c>
      <c r="E94" s="82">
        <v>-106</v>
      </c>
      <c r="F94" s="82">
        <v>-80</v>
      </c>
      <c r="G94" s="82">
        <v>-270</v>
      </c>
      <c r="H94" s="32"/>
      <c r="I94" s="82">
        <v>-10</v>
      </c>
      <c r="J94" s="82">
        <f>-195-I94</f>
        <v>-185</v>
      </c>
      <c r="K94" s="82">
        <f>-184-J94-I94</f>
        <v>11</v>
      </c>
      <c r="L94" s="32">
        <f t="shared" si="237"/>
        <v>-165</v>
      </c>
      <c r="M94" s="82">
        <v>-108</v>
      </c>
      <c r="N94" s="82">
        <f>-132-M94</f>
        <v>-24</v>
      </c>
      <c r="O94" s="82">
        <f>-160-N94-M94</f>
        <v>-28</v>
      </c>
      <c r="P94" s="32">
        <f t="shared" si="255"/>
        <v>54</v>
      </c>
      <c r="Q94" s="82">
        <v>30</v>
      </c>
      <c r="R94" s="82">
        <f>67-Q94</f>
        <v>37</v>
      </c>
      <c r="S94" s="82">
        <f>31-R94-Q94</f>
        <v>-36</v>
      </c>
      <c r="T94" s="32">
        <f t="shared" si="267"/>
        <v>-111</v>
      </c>
      <c r="U94" s="82">
        <v>-94</v>
      </c>
      <c r="V94" s="82">
        <f>-41-U94</f>
        <v>53</v>
      </c>
      <c r="W94" s="82">
        <f>-70-V94-U94</f>
        <v>-29</v>
      </c>
      <c r="X94" s="32">
        <f t="shared" si="268"/>
        <v>-200</v>
      </c>
      <c r="Y94" s="82">
        <v>-52</v>
      </c>
      <c r="Z94" s="82">
        <f>-242-Y94</f>
        <v>-190</v>
      </c>
      <c r="AA94" s="82">
        <f>-209-Z94-Y94</f>
        <v>33</v>
      </c>
      <c r="AC94" s="32">
        <f t="shared" si="269"/>
        <v>-80</v>
      </c>
      <c r="AD94" s="32">
        <f t="shared" si="270"/>
        <v>-204</v>
      </c>
      <c r="AE94" s="32">
        <f t="shared" si="271"/>
        <v>-188</v>
      </c>
      <c r="AF94" s="32">
        <f t="shared" si="272"/>
        <v>-181</v>
      </c>
      <c r="AG94" s="32">
        <f t="shared" si="273"/>
        <v>-270</v>
      </c>
      <c r="AH94" s="32">
        <f t="shared" si="274"/>
        <v>-228</v>
      </c>
      <c r="AI94" s="32">
        <f t="shared" si="275"/>
        <v>-471</v>
      </c>
      <c r="AJ94" s="32">
        <f t="shared" si="276"/>
        <v>-409</v>
      </c>
      <c r="AK94" s="11"/>
      <c r="AL94" s="75">
        <f t="shared" si="277"/>
        <v>1.2596685082872927</v>
      </c>
    </row>
    <row r="95" spans="2:38" ht="12.75" customHeight="1">
      <c r="B95" s="60" t="s">
        <v>137</v>
      </c>
      <c r="C95" s="82">
        <v>-17</v>
      </c>
      <c r="D95" s="82">
        <v>1436</v>
      </c>
      <c r="E95" s="82">
        <v>210</v>
      </c>
      <c r="F95" s="82">
        <v>51</v>
      </c>
      <c r="G95" s="82">
        <v>373</v>
      </c>
      <c r="H95" s="32"/>
      <c r="I95" s="82">
        <v>-250</v>
      </c>
      <c r="J95" s="82">
        <f>-134-I95</f>
        <v>116</v>
      </c>
      <c r="K95" s="82">
        <f>560-J95-I95</f>
        <v>694</v>
      </c>
      <c r="L95" s="32">
        <f t="shared" si="237"/>
        <v>876</v>
      </c>
      <c r="M95" s="82">
        <v>-882</v>
      </c>
      <c r="N95" s="82">
        <f>-645-M95</f>
        <v>237</v>
      </c>
      <c r="O95" s="82">
        <f>-666-N95-M95</f>
        <v>-21</v>
      </c>
      <c r="P95" s="32">
        <f t="shared" si="255"/>
        <v>876</v>
      </c>
      <c r="Q95" s="82">
        <v>-1104</v>
      </c>
      <c r="R95" s="82">
        <f>-1155-Q95</f>
        <v>-51</v>
      </c>
      <c r="S95" s="82">
        <f>-543-R95-Q95</f>
        <v>612</v>
      </c>
      <c r="T95" s="32">
        <f t="shared" si="267"/>
        <v>594</v>
      </c>
      <c r="U95" s="82">
        <v>-1112</v>
      </c>
      <c r="V95" s="82">
        <f>-862-U95</f>
        <v>250</v>
      </c>
      <c r="W95" s="82">
        <f>-195-V95-U95</f>
        <v>667</v>
      </c>
      <c r="X95" s="32">
        <f t="shared" si="268"/>
        <v>568</v>
      </c>
      <c r="Y95" s="82">
        <v>-1034</v>
      </c>
      <c r="Z95" s="82">
        <f>-574-Y95</f>
        <v>460</v>
      </c>
      <c r="AA95" s="82">
        <f>-637-Z95-Y95</f>
        <v>-63</v>
      </c>
      <c r="AC95" s="32">
        <f t="shared" si="269"/>
        <v>51</v>
      </c>
      <c r="AD95" s="32">
        <f t="shared" si="270"/>
        <v>43</v>
      </c>
      <c r="AE95" s="32">
        <f t="shared" si="271"/>
        <v>344</v>
      </c>
      <c r="AF95" s="32">
        <f t="shared" si="272"/>
        <v>399</v>
      </c>
      <c r="AG95" s="32">
        <f t="shared" si="273"/>
        <v>373</v>
      </c>
      <c r="AH95" s="32">
        <f t="shared" si="274"/>
        <v>451</v>
      </c>
      <c r="AI95" s="32">
        <f t="shared" si="275"/>
        <v>661</v>
      </c>
      <c r="AJ95" s="32">
        <f t="shared" si="276"/>
        <v>-69</v>
      </c>
      <c r="AK95" s="11"/>
      <c r="AL95" s="75">
        <f t="shared" si="277"/>
        <v>-1.1729323308270676</v>
      </c>
    </row>
    <row r="96" spans="2:38" ht="12.75" customHeight="1">
      <c r="B96" s="60" t="s">
        <v>139</v>
      </c>
      <c r="C96" s="82">
        <f>-946+178</f>
        <v>-768</v>
      </c>
      <c r="D96" s="82">
        <f>3544-12</f>
        <v>3532</v>
      </c>
      <c r="E96" s="82">
        <v>4300</v>
      </c>
      <c r="F96" s="82">
        <v>5081</v>
      </c>
      <c r="G96" s="82">
        <v>323</v>
      </c>
      <c r="H96" s="32"/>
      <c r="I96" s="82">
        <f>-1681-72+6</f>
        <v>-1747</v>
      </c>
      <c r="J96" s="82">
        <f>-200+9-133-I96</f>
        <v>1423</v>
      </c>
      <c r="K96" s="82">
        <f>895-163+87-J96-I96</f>
        <v>1143</v>
      </c>
      <c r="L96" s="32">
        <f t="shared" si="237"/>
        <v>2713</v>
      </c>
      <c r="M96" s="82">
        <f>763+-105-52</f>
        <v>606</v>
      </c>
      <c r="N96" s="82">
        <f>1943-28-33-M96</f>
        <v>1276</v>
      </c>
      <c r="O96" s="82">
        <f>2942-12-35-N96-M96</f>
        <v>1013</v>
      </c>
      <c r="P96" s="32">
        <f t="shared" si="255"/>
        <v>1405</v>
      </c>
      <c r="Q96" s="82">
        <v>94</v>
      </c>
      <c r="R96" s="82">
        <f>5268-Q96</f>
        <v>5174</v>
      </c>
      <c r="S96" s="82">
        <f>5355-R96-Q96</f>
        <v>87</v>
      </c>
      <c r="T96" s="32">
        <f t="shared" si="256"/>
        <v>-274</v>
      </c>
      <c r="U96" s="82">
        <v>-1274</v>
      </c>
      <c r="V96" s="82">
        <f>-1771-U96</f>
        <v>-497</v>
      </c>
      <c r="W96" s="82">
        <f>-1199-V96-U96</f>
        <v>572</v>
      </c>
      <c r="X96" s="32">
        <f t="shared" si="257"/>
        <v>1522</v>
      </c>
      <c r="Y96" s="82">
        <v>-2231</v>
      </c>
      <c r="Z96" s="82">
        <f>-3338-Y96</f>
        <v>-1107</v>
      </c>
      <c r="AA96" s="82">
        <f>-2883-Z96-Y96</f>
        <v>455</v>
      </c>
      <c r="AC96" s="32">
        <f t="shared" si="258"/>
        <v>5081</v>
      </c>
      <c r="AD96" s="32">
        <f t="shared" si="259"/>
        <v>3713</v>
      </c>
      <c r="AE96" s="32">
        <f t="shared" si="260"/>
        <v>-1958</v>
      </c>
      <c r="AF96" s="32">
        <f t="shared" si="261"/>
        <v>-1473</v>
      </c>
      <c r="AG96" s="32">
        <f t="shared" si="262"/>
        <v>323</v>
      </c>
      <c r="AH96" s="32">
        <f t="shared" si="263"/>
        <v>-634</v>
      </c>
      <c r="AI96" s="32">
        <f t="shared" si="264"/>
        <v>-1244</v>
      </c>
      <c r="AJ96" s="32">
        <f t="shared" si="265"/>
        <v>-1361</v>
      </c>
      <c r="AK96" s="11"/>
      <c r="AL96" s="75">
        <f t="shared" si="266"/>
        <v>-7.6035302104548563E-2</v>
      </c>
    </row>
    <row r="97" spans="2:38" ht="12.75" customHeight="1">
      <c r="B97" s="60" t="s">
        <v>143</v>
      </c>
      <c r="C97" s="82">
        <v>-527</v>
      </c>
      <c r="D97" s="82">
        <v>941</v>
      </c>
      <c r="E97" s="82">
        <v>886</v>
      </c>
      <c r="F97" s="82">
        <v>624</v>
      </c>
      <c r="G97" s="82">
        <v>2805</v>
      </c>
      <c r="H97" s="32"/>
      <c r="I97" s="82">
        <v>210</v>
      </c>
      <c r="J97" s="82">
        <f>184-I97</f>
        <v>-26</v>
      </c>
      <c r="K97" s="82">
        <f>527-J97-I97</f>
        <v>343</v>
      </c>
      <c r="L97" s="32">
        <f t="shared" si="237"/>
        <v>414</v>
      </c>
      <c r="M97" s="82">
        <v>-5</v>
      </c>
      <c r="N97" s="82">
        <f>-94-M97</f>
        <v>-89</v>
      </c>
      <c r="O97" s="82">
        <f>446-N97-M97</f>
        <v>540</v>
      </c>
      <c r="P97" s="32">
        <f t="shared" si="255"/>
        <v>440</v>
      </c>
      <c r="Q97" s="82">
        <v>184</v>
      </c>
      <c r="R97" s="82">
        <f>33-Q97</f>
        <v>-151</v>
      </c>
      <c r="S97" s="82">
        <f>-39-R97-Q97</f>
        <v>-72</v>
      </c>
      <c r="T97" s="32">
        <f t="shared" si="238"/>
        <v>663</v>
      </c>
      <c r="U97" s="82">
        <v>83</v>
      </c>
      <c r="V97" s="82">
        <f>790-U97</f>
        <v>707</v>
      </c>
      <c r="W97" s="82">
        <f>1691-V97-U97</f>
        <v>901</v>
      </c>
      <c r="X97" s="32">
        <f t="shared" si="239"/>
        <v>1114</v>
      </c>
      <c r="Y97" s="82">
        <v>712</v>
      </c>
      <c r="Z97" s="82">
        <f>1604-Y97</f>
        <v>892</v>
      </c>
      <c r="AA97" s="82">
        <f>868-Z97-Y97</f>
        <v>-736</v>
      </c>
      <c r="AC97" s="32">
        <f t="shared" si="240"/>
        <v>624</v>
      </c>
      <c r="AD97" s="32">
        <f t="shared" si="240"/>
        <v>523</v>
      </c>
      <c r="AE97" s="32">
        <f t="shared" si="240"/>
        <v>1381</v>
      </c>
      <c r="AF97" s="32">
        <f t="shared" si="240"/>
        <v>2354</v>
      </c>
      <c r="AG97" s="32">
        <f t="shared" si="240"/>
        <v>2805</v>
      </c>
      <c r="AH97" s="32">
        <f t="shared" si="240"/>
        <v>3434</v>
      </c>
      <c r="AI97" s="32">
        <f t="shared" si="240"/>
        <v>3619</v>
      </c>
      <c r="AJ97" s="32">
        <f t="shared" si="240"/>
        <v>1982</v>
      </c>
      <c r="AK97" s="11"/>
      <c r="AL97" s="75">
        <f t="shared" si="241"/>
        <v>-0.1580288870008496</v>
      </c>
    </row>
    <row r="98" spans="2:38" ht="12.75" customHeight="1">
      <c r="B98" s="13" t="s">
        <v>51</v>
      </c>
      <c r="C98" s="14">
        <f>SUM(C84:C97)</f>
        <v>38747</v>
      </c>
      <c r="D98" s="14">
        <f>SUM(D84:D97)</f>
        <v>57683</v>
      </c>
      <c r="E98" s="14">
        <f>SUM(E84:E97)</f>
        <v>50475</v>
      </c>
      <c r="F98" s="14">
        <f>SUM(F84:F97)</f>
        <v>71113</v>
      </c>
      <c r="G98" s="14">
        <f>SUM(G84:G97)</f>
        <v>91328</v>
      </c>
      <c r="I98" s="14">
        <f>SUM(I84:I97)</f>
        <v>12242</v>
      </c>
      <c r="J98" s="14">
        <f>SUM(J84:J97)</f>
        <v>13246</v>
      </c>
      <c r="K98" s="14">
        <f>SUM(K84:K97)</f>
        <v>14091</v>
      </c>
      <c r="L98" s="14">
        <f>SUM(L84:L97)</f>
        <v>18104</v>
      </c>
      <c r="M98" s="14">
        <f>SUM(M84:M97)</f>
        <v>14076</v>
      </c>
      <c r="N98" s="14">
        <f>SUM(N84:N97)</f>
        <v>12196</v>
      </c>
      <c r="O98" s="14">
        <f>SUM(O84:O97)</f>
        <v>9692</v>
      </c>
      <c r="P98" s="14">
        <f>SUM(P84:P97)</f>
        <v>14511</v>
      </c>
      <c r="Q98" s="14">
        <f>SUM(Q84:Q97)</f>
        <v>13998</v>
      </c>
      <c r="R98" s="14">
        <f>SUM(R84:R97)</f>
        <v>17308</v>
      </c>
      <c r="S98" s="14">
        <f>SUM(S84:S97)</f>
        <v>20402</v>
      </c>
      <c r="T98" s="14">
        <f>SUM(T84:T97)</f>
        <v>19405</v>
      </c>
      <c r="U98" s="14">
        <f>SUM(U84:U97)</f>
        <v>19246</v>
      </c>
      <c r="V98" s="14">
        <f>SUM(V84:V97)</f>
        <v>19370</v>
      </c>
      <c r="W98" s="14">
        <f>SUM(W84:W97)</f>
        <v>24724</v>
      </c>
      <c r="X98" s="14">
        <f>SUM(X84:X97)</f>
        <v>27988</v>
      </c>
      <c r="Y98" s="14">
        <f>SUM(Y84:Y97)</f>
        <v>24026</v>
      </c>
      <c r="Z98" s="14">
        <f>SUM(Z84:Z97)</f>
        <v>25561</v>
      </c>
      <c r="AA98" s="14">
        <f>SUM(AA84:AA97)</f>
        <v>29999</v>
      </c>
      <c r="AC98" s="14">
        <f>SUM(AC84:AC97)</f>
        <v>71113</v>
      </c>
      <c r="AD98" s="14">
        <f>SUM(AD84:AD97)</f>
        <v>76361</v>
      </c>
      <c r="AE98" s="14">
        <f>SUM(AE84:AE97)</f>
        <v>78423</v>
      </c>
      <c r="AF98" s="14">
        <f>SUM(AF84:AF97)</f>
        <v>82745</v>
      </c>
      <c r="AG98" s="14">
        <f>SUM(AG84:AG97)</f>
        <v>91328</v>
      </c>
      <c r="AH98" s="14">
        <f>SUM(AH84:AH97)</f>
        <v>96108</v>
      </c>
      <c r="AI98" s="14">
        <f>SUM(AI84:AI97)</f>
        <v>102299</v>
      </c>
      <c r="AJ98" s="14">
        <f>SUM(AJ84:AJ97)</f>
        <v>107574</v>
      </c>
      <c r="AK98" s="42"/>
      <c r="AL98" s="76">
        <f t="shared" si="241"/>
        <v>0.3000664692730679</v>
      </c>
    </row>
    <row r="99" spans="2:38" ht="12.75" customHeight="1">
      <c r="B99" s="53"/>
      <c r="C99" s="61"/>
      <c r="D99" s="61"/>
      <c r="E99" s="61"/>
      <c r="F99" s="61"/>
      <c r="G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X99" s="61"/>
      <c r="Y99" s="61"/>
      <c r="Z99" s="61"/>
      <c r="AA99" s="61"/>
      <c r="AC99" s="42"/>
      <c r="AD99" s="42"/>
      <c r="AE99" s="42"/>
      <c r="AF99" s="42"/>
      <c r="AG99" s="42"/>
      <c r="AH99" s="42"/>
      <c r="AI99" s="42"/>
      <c r="AJ99" s="42"/>
      <c r="AK99" s="42"/>
      <c r="AL99" s="39"/>
    </row>
    <row r="100" spans="2:38" ht="12.75" customHeight="1">
      <c r="B100" s="53" t="s">
        <v>52</v>
      </c>
      <c r="C100" s="58"/>
      <c r="D100" s="58"/>
      <c r="E100" s="58"/>
      <c r="F100" s="58"/>
      <c r="G100" s="58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32"/>
      <c r="U100" s="82"/>
      <c r="V100" s="82"/>
      <c r="W100" s="82"/>
      <c r="X100" s="32"/>
      <c r="Y100" s="58"/>
      <c r="Z100" s="58"/>
      <c r="AA100" s="58"/>
      <c r="AC100" s="58"/>
      <c r="AD100" s="58"/>
      <c r="AE100" s="58"/>
      <c r="AF100" s="58"/>
      <c r="AG100" s="58"/>
      <c r="AH100" s="58"/>
      <c r="AI100" s="58"/>
      <c r="AJ100" s="58"/>
      <c r="AK100" s="59"/>
      <c r="AL100" s="75"/>
    </row>
    <row r="101" spans="2:38" ht="12.75" customHeight="1">
      <c r="B101" s="60" t="s">
        <v>157</v>
      </c>
      <c r="C101" s="82">
        <v>-15163</v>
      </c>
      <c r="D101" s="82">
        <v>-18690</v>
      </c>
      <c r="E101" s="82">
        <v>-31186</v>
      </c>
      <c r="F101" s="82">
        <v>-27045</v>
      </c>
      <c r="G101" s="82">
        <v>-37256</v>
      </c>
      <c r="H101" s="32"/>
      <c r="I101" s="82">
        <v>-4303</v>
      </c>
      <c r="J101" s="82">
        <f>-8944-I101</f>
        <v>-4641</v>
      </c>
      <c r="K101" s="82">
        <f>-13290-J101-I101</f>
        <v>-4346</v>
      </c>
      <c r="L101" s="32">
        <f t="shared" ref="L101:L107" si="278">SUM(D101-SUM(I101:K101))</f>
        <v>-5400</v>
      </c>
      <c r="M101" s="82">
        <v>-5441</v>
      </c>
      <c r="N101" s="82">
        <f>-13013-M101</f>
        <v>-7572</v>
      </c>
      <c r="O101" s="82">
        <f>-22388-N101-M101</f>
        <v>-9375</v>
      </c>
      <c r="P101" s="32">
        <f t="shared" ref="P101:P107" si="279">SUM(E101-SUM(M101:O101))</f>
        <v>-8798</v>
      </c>
      <c r="Q101" s="82">
        <v>-6823</v>
      </c>
      <c r="R101" s="82">
        <f>-12957-Q101</f>
        <v>-6134</v>
      </c>
      <c r="S101" s="82">
        <f>-19453-R101-Q101</f>
        <v>-6496</v>
      </c>
      <c r="T101" s="32">
        <f t="shared" ref="T101:T107" si="280">SUM(F101-SUM(Q101:S101))</f>
        <v>-7592</v>
      </c>
      <c r="U101" s="82">
        <v>-6400</v>
      </c>
      <c r="V101" s="82">
        <f>-14573-U101</f>
        <v>-8173</v>
      </c>
      <c r="W101" s="82">
        <f>-22831-V101-U101</f>
        <v>-8258</v>
      </c>
      <c r="X101" s="32">
        <f t="shared" ref="X101:X107" si="281">SUM(G101-SUM(U101:W101))</f>
        <v>-14425</v>
      </c>
      <c r="Y101" s="82">
        <v>-12941</v>
      </c>
      <c r="Z101" s="82">
        <f>-29479-Y101</f>
        <v>-16538</v>
      </c>
      <c r="AA101" s="82">
        <f>-48308-Z101-Y101</f>
        <v>-18829</v>
      </c>
      <c r="AB101" s="32"/>
      <c r="AC101" s="32">
        <f t="shared" ref="AC101:AC107" si="282">SUM(Q101:T101)</f>
        <v>-27045</v>
      </c>
      <c r="AD101" s="32">
        <f t="shared" ref="AD101:AD107" si="283">SUM(R101:U101)</f>
        <v>-26622</v>
      </c>
      <c r="AE101" s="32">
        <f t="shared" ref="AE101:AE107" si="284">SUM(S101:V101)</f>
        <v>-28661</v>
      </c>
      <c r="AF101" s="32">
        <f t="shared" ref="AF101:AF107" si="285">SUM(T101:W101)</f>
        <v>-30423</v>
      </c>
      <c r="AG101" s="32">
        <f t="shared" ref="AG101:AG107" si="286">SUM(U101:X101)</f>
        <v>-37256</v>
      </c>
      <c r="AH101" s="32">
        <f t="shared" ref="AH101:AH107" si="287">SUM(V101:Y101)</f>
        <v>-43797</v>
      </c>
      <c r="AI101" s="32">
        <f t="shared" ref="AI101:AI107" si="288">SUM(W101:Z101)</f>
        <v>-52162</v>
      </c>
      <c r="AJ101" s="32">
        <f t="shared" ref="AJ101:AJ107" si="289">SUM(X101:AA101)</f>
        <v>-62733</v>
      </c>
      <c r="AK101" s="59"/>
      <c r="AL101" s="75">
        <f t="shared" ref="AL101:AL107" si="290">SUM(AJ101/AF101)-1</f>
        <v>1.0620254412779806</v>
      </c>
    </row>
    <row r="102" spans="2:38" ht="12.75" customHeight="1">
      <c r="B102" s="60" t="s">
        <v>158</v>
      </c>
      <c r="C102" s="82">
        <v>-33930</v>
      </c>
      <c r="D102" s="82">
        <v>-30407</v>
      </c>
      <c r="E102" s="82">
        <v>-9626</v>
      </c>
      <c r="F102" s="82">
        <v>-2982</v>
      </c>
      <c r="G102" s="82">
        <v>-25542</v>
      </c>
      <c r="H102" s="32"/>
      <c r="I102" s="82">
        <v>-6231</v>
      </c>
      <c r="J102" s="82">
        <f>-16528-I102</f>
        <v>-10297</v>
      </c>
      <c r="K102" s="82">
        <f>-24314-J102-I102</f>
        <v>-7786</v>
      </c>
      <c r="L102" s="32">
        <f t="shared" si="278"/>
        <v>-6093</v>
      </c>
      <c r="M102" s="82">
        <v>-4068</v>
      </c>
      <c r="N102" s="82">
        <f>-6288-M102</f>
        <v>-2220</v>
      </c>
      <c r="O102" s="82">
        <f>-8885-N102-M102</f>
        <v>-2597</v>
      </c>
      <c r="P102" s="32">
        <f t="shared" si="279"/>
        <v>-741</v>
      </c>
      <c r="Q102" s="82">
        <v>-85</v>
      </c>
      <c r="R102" s="82">
        <f>-803-Q102</f>
        <v>-718</v>
      </c>
      <c r="S102" s="82">
        <f>-1810-R102-Q102</f>
        <v>-1007</v>
      </c>
      <c r="T102" s="32">
        <f t="shared" si="280"/>
        <v>-1172</v>
      </c>
      <c r="U102" s="82">
        <v>-6887</v>
      </c>
      <c r="V102" s="82">
        <f>-10176-U102</f>
        <v>-3289</v>
      </c>
      <c r="W102" s="82">
        <f>-14644-V102-U102</f>
        <v>-4468</v>
      </c>
      <c r="X102" s="32">
        <f t="shared" si="281"/>
        <v>-10898</v>
      </c>
      <c r="Y102" s="82">
        <v>-11763</v>
      </c>
      <c r="Z102" s="82">
        <f>-19509-Y102</f>
        <v>-7746</v>
      </c>
      <c r="AA102" s="82">
        <f>-22349-Z102-Y102</f>
        <v>-2840</v>
      </c>
      <c r="AB102" s="32"/>
      <c r="AC102" s="32">
        <f t="shared" si="282"/>
        <v>-2982</v>
      </c>
      <c r="AD102" s="32">
        <f t="shared" si="283"/>
        <v>-9784</v>
      </c>
      <c r="AE102" s="32">
        <f t="shared" si="284"/>
        <v>-12355</v>
      </c>
      <c r="AF102" s="32">
        <f t="shared" si="285"/>
        <v>-15816</v>
      </c>
      <c r="AG102" s="32">
        <f t="shared" si="286"/>
        <v>-25542</v>
      </c>
      <c r="AH102" s="32">
        <f t="shared" si="287"/>
        <v>-30418</v>
      </c>
      <c r="AI102" s="32">
        <f t="shared" si="288"/>
        <v>-34875</v>
      </c>
      <c r="AJ102" s="32">
        <f t="shared" si="289"/>
        <v>-33247</v>
      </c>
      <c r="AK102" s="59"/>
      <c r="AL102" s="75">
        <f t="shared" si="290"/>
        <v>1.1021117855336366</v>
      </c>
    </row>
    <row r="103" spans="2:38" ht="12.75" customHeight="1">
      <c r="B103" s="60" t="s">
        <v>159</v>
      </c>
      <c r="C103" s="82">
        <f>11787+13984</f>
        <v>25771</v>
      </c>
      <c r="D103" s="82">
        <v>42586</v>
      </c>
      <c r="E103" s="82">
        <v>13158</v>
      </c>
      <c r="F103" s="82">
        <v>6184</v>
      </c>
      <c r="G103" s="82">
        <v>15789</v>
      </c>
      <c r="H103" s="32"/>
      <c r="I103" s="82">
        <f>1650+3981</f>
        <v>5631</v>
      </c>
      <c r="J103" s="82">
        <f>6337+6327-I103</f>
        <v>7033</v>
      </c>
      <c r="K103" s="82">
        <f>15331+9318-J103-I103</f>
        <v>11985</v>
      </c>
      <c r="L103" s="32">
        <f t="shared" si="278"/>
        <v>17937</v>
      </c>
      <c r="M103" s="82">
        <f>5065+402</f>
        <v>5467</v>
      </c>
      <c r="N103" s="82">
        <f>7713+913-M103</f>
        <v>3159</v>
      </c>
      <c r="O103" s="82">
        <f>9333+1562-N103-M103</f>
        <v>2269</v>
      </c>
      <c r="P103" s="32">
        <f t="shared" si="279"/>
        <v>2263</v>
      </c>
      <c r="Q103" s="82">
        <v>534</v>
      </c>
      <c r="R103" s="82">
        <f>2351-Q103</f>
        <v>1817</v>
      </c>
      <c r="S103" s="82">
        <f>3825-R103-Q103</f>
        <v>1474</v>
      </c>
      <c r="T103" s="32">
        <f t="shared" si="280"/>
        <v>2359</v>
      </c>
      <c r="U103" s="82">
        <v>4625</v>
      </c>
      <c r="V103" s="82">
        <f>7858-U103</f>
        <v>3233</v>
      </c>
      <c r="W103" s="82">
        <f>11972-V103-U103</f>
        <v>4114</v>
      </c>
      <c r="X103" s="32">
        <f t="shared" si="281"/>
        <v>3817</v>
      </c>
      <c r="Y103" s="82">
        <v>4784</v>
      </c>
      <c r="Z103" s="82">
        <f>19057-Y103</f>
        <v>14273</v>
      </c>
      <c r="AA103" s="82">
        <f>23761-Z103-Y103</f>
        <v>4704</v>
      </c>
      <c r="AB103" s="32"/>
      <c r="AC103" s="32">
        <f t="shared" si="282"/>
        <v>6184</v>
      </c>
      <c r="AD103" s="32">
        <f t="shared" si="283"/>
        <v>10275</v>
      </c>
      <c r="AE103" s="32">
        <f t="shared" si="284"/>
        <v>11691</v>
      </c>
      <c r="AF103" s="32">
        <f t="shared" si="285"/>
        <v>14331</v>
      </c>
      <c r="AG103" s="32">
        <f t="shared" si="286"/>
        <v>15789</v>
      </c>
      <c r="AH103" s="32">
        <f t="shared" si="287"/>
        <v>15948</v>
      </c>
      <c r="AI103" s="32">
        <f t="shared" si="288"/>
        <v>26988</v>
      </c>
      <c r="AJ103" s="32">
        <f t="shared" si="289"/>
        <v>27578</v>
      </c>
      <c r="AK103" s="59"/>
      <c r="AL103" s="75">
        <f t="shared" si="290"/>
        <v>0.92435977949898818</v>
      </c>
    </row>
    <row r="104" spans="2:38" ht="12.75" customHeight="1">
      <c r="B104" s="60" t="s">
        <v>169</v>
      </c>
      <c r="C104" s="82">
        <v>0</v>
      </c>
      <c r="D104" s="82">
        <v>0</v>
      </c>
      <c r="E104" s="82">
        <v>0</v>
      </c>
      <c r="F104" s="82">
        <v>0</v>
      </c>
      <c r="G104" s="82">
        <v>0</v>
      </c>
      <c r="H104" s="32"/>
      <c r="I104" s="82">
        <v>0</v>
      </c>
      <c r="J104" s="82">
        <v>0</v>
      </c>
      <c r="K104" s="82">
        <v>0</v>
      </c>
      <c r="L104" s="32">
        <f t="shared" si="278"/>
        <v>0</v>
      </c>
      <c r="M104" s="82">
        <v>0</v>
      </c>
      <c r="N104" s="82">
        <v>0</v>
      </c>
      <c r="O104" s="82">
        <v>0</v>
      </c>
      <c r="P104" s="32">
        <f t="shared" si="279"/>
        <v>0</v>
      </c>
      <c r="Q104" s="82">
        <v>0</v>
      </c>
      <c r="R104" s="82">
        <v>0</v>
      </c>
      <c r="S104" s="82">
        <v>0</v>
      </c>
      <c r="T104" s="32">
        <f t="shared" si="280"/>
        <v>0</v>
      </c>
      <c r="U104" s="82">
        <v>0</v>
      </c>
      <c r="V104" s="82">
        <v>0</v>
      </c>
      <c r="W104" s="82">
        <v>0</v>
      </c>
      <c r="X104" s="32">
        <f t="shared" si="281"/>
        <v>0</v>
      </c>
      <c r="Y104" s="82">
        <v>0</v>
      </c>
      <c r="Z104" s="82">
        <f>-15214-Y104</f>
        <v>-15214</v>
      </c>
      <c r="AA104" s="82">
        <f>-18260-Z104-Y104</f>
        <v>-3046</v>
      </c>
      <c r="AB104" s="32"/>
      <c r="AC104" s="32">
        <f t="shared" ref="AC104:AC105" si="291">SUM(Q104:T104)</f>
        <v>0</v>
      </c>
      <c r="AD104" s="32">
        <f t="shared" ref="AD104:AD105" si="292">SUM(R104:U104)</f>
        <v>0</v>
      </c>
      <c r="AE104" s="32">
        <f t="shared" ref="AE104:AE105" si="293">SUM(S104:V104)</f>
        <v>0</v>
      </c>
      <c r="AF104" s="32">
        <f t="shared" ref="AF104:AF105" si="294">SUM(T104:W104)</f>
        <v>0</v>
      </c>
      <c r="AG104" s="32">
        <f t="shared" ref="AG104:AG105" si="295">SUM(U104:X104)</f>
        <v>0</v>
      </c>
      <c r="AH104" s="32">
        <f t="shared" ref="AH104:AH105" si="296">SUM(V104:Y104)</f>
        <v>0</v>
      </c>
      <c r="AI104" s="32">
        <f t="shared" ref="AI104:AI105" si="297">SUM(W104:Z104)</f>
        <v>-15214</v>
      </c>
      <c r="AJ104" s="32">
        <f t="shared" ref="AJ104:AJ105" si="298">SUM(X104:AA104)</f>
        <v>-18260</v>
      </c>
      <c r="AK104" s="59"/>
      <c r="AL104" s="75"/>
    </row>
    <row r="105" spans="2:38" ht="12.75" customHeight="1">
      <c r="B105" s="60" t="s">
        <v>170</v>
      </c>
      <c r="C105" s="82">
        <v>0</v>
      </c>
      <c r="D105" s="82">
        <v>0</v>
      </c>
      <c r="E105" s="82">
        <v>0</v>
      </c>
      <c r="F105" s="82">
        <v>0</v>
      </c>
      <c r="G105" s="82">
        <v>0</v>
      </c>
      <c r="H105" s="32"/>
      <c r="I105" s="82">
        <v>0</v>
      </c>
      <c r="J105" s="82">
        <v>0</v>
      </c>
      <c r="K105" s="82">
        <v>0</v>
      </c>
      <c r="L105" s="32">
        <f t="shared" si="278"/>
        <v>0</v>
      </c>
      <c r="M105" s="82">
        <v>0</v>
      </c>
      <c r="N105" s="82">
        <v>0</v>
      </c>
      <c r="O105" s="82">
        <v>0</v>
      </c>
      <c r="P105" s="32">
        <f t="shared" si="279"/>
        <v>0</v>
      </c>
      <c r="Q105" s="82">
        <v>0</v>
      </c>
      <c r="R105" s="82">
        <v>0</v>
      </c>
      <c r="S105" s="82">
        <v>0</v>
      </c>
      <c r="T105" s="32">
        <f t="shared" si="280"/>
        <v>0</v>
      </c>
      <c r="U105" s="82">
        <v>0</v>
      </c>
      <c r="V105" s="82">
        <v>0</v>
      </c>
      <c r="W105" s="82">
        <v>0</v>
      </c>
      <c r="X105" s="32">
        <f t="shared" si="281"/>
        <v>0</v>
      </c>
      <c r="Y105" s="82">
        <v>0</v>
      </c>
      <c r="Z105" s="82">
        <f>-775-Y105</f>
        <v>-775</v>
      </c>
      <c r="AA105" s="82">
        <f>-1797-Z105-Y105</f>
        <v>-1022</v>
      </c>
      <c r="AB105" s="32"/>
      <c r="AC105" s="32">
        <f t="shared" si="291"/>
        <v>0</v>
      </c>
      <c r="AD105" s="32">
        <f t="shared" si="292"/>
        <v>0</v>
      </c>
      <c r="AE105" s="32">
        <f t="shared" si="293"/>
        <v>0</v>
      </c>
      <c r="AF105" s="32">
        <f t="shared" si="294"/>
        <v>0</v>
      </c>
      <c r="AG105" s="32">
        <f t="shared" si="295"/>
        <v>0</v>
      </c>
      <c r="AH105" s="32">
        <f t="shared" si="296"/>
        <v>0</v>
      </c>
      <c r="AI105" s="32">
        <f t="shared" si="297"/>
        <v>-775</v>
      </c>
      <c r="AJ105" s="32">
        <f t="shared" si="298"/>
        <v>-1797</v>
      </c>
      <c r="AK105" s="59"/>
      <c r="AL105" s="75"/>
    </row>
    <row r="106" spans="2:38" ht="12.75" customHeight="1">
      <c r="B106" s="60" t="s">
        <v>160</v>
      </c>
      <c r="C106" s="82">
        <v>-388</v>
      </c>
      <c r="D106" s="82">
        <v>-851</v>
      </c>
      <c r="E106" s="82">
        <v>-1312</v>
      </c>
      <c r="F106" s="82">
        <v>-629</v>
      </c>
      <c r="G106" s="82">
        <v>-270</v>
      </c>
      <c r="H106" s="32"/>
      <c r="I106" s="82">
        <v>0</v>
      </c>
      <c r="J106" s="82">
        <f>-259-I106</f>
        <v>-259</v>
      </c>
      <c r="K106" s="82">
        <f>-330-J106-I106</f>
        <v>-71</v>
      </c>
      <c r="L106" s="32">
        <f t="shared" si="278"/>
        <v>-521</v>
      </c>
      <c r="M106" s="82">
        <v>-853</v>
      </c>
      <c r="N106" s="82">
        <f>-1216-M106</f>
        <v>-363</v>
      </c>
      <c r="O106" s="82">
        <f>-1250-N106-M106</f>
        <v>-34</v>
      </c>
      <c r="P106" s="32">
        <f t="shared" si="279"/>
        <v>-62</v>
      </c>
      <c r="Q106" s="82">
        <v>-444</v>
      </c>
      <c r="R106" s="82">
        <f>-527-Q106</f>
        <v>-83</v>
      </c>
      <c r="S106" s="82">
        <f>-565-R106-Q106</f>
        <v>-38</v>
      </c>
      <c r="T106" s="32">
        <f t="shared" si="280"/>
        <v>-64</v>
      </c>
      <c r="U106" s="82">
        <v>-72</v>
      </c>
      <c r="V106" s="82">
        <f>-129-U106</f>
        <v>-57</v>
      </c>
      <c r="W106" s="82">
        <f>-261-V106-U106</f>
        <v>-132</v>
      </c>
      <c r="X106" s="32">
        <f t="shared" si="281"/>
        <v>-9</v>
      </c>
      <c r="Y106" s="82">
        <v>0</v>
      </c>
      <c r="Z106" s="82">
        <f>-62-Y106</f>
        <v>-62</v>
      </c>
      <c r="AA106" s="82">
        <f>-815-Z106-Y106</f>
        <v>-753</v>
      </c>
      <c r="AB106" s="32"/>
      <c r="AC106" s="32">
        <f t="shared" si="282"/>
        <v>-629</v>
      </c>
      <c r="AD106" s="32">
        <f t="shared" si="283"/>
        <v>-257</v>
      </c>
      <c r="AE106" s="32">
        <f t="shared" si="284"/>
        <v>-231</v>
      </c>
      <c r="AF106" s="32">
        <f t="shared" si="285"/>
        <v>-325</v>
      </c>
      <c r="AG106" s="32">
        <f t="shared" si="286"/>
        <v>-270</v>
      </c>
      <c r="AH106" s="32">
        <f t="shared" si="287"/>
        <v>-198</v>
      </c>
      <c r="AI106" s="32">
        <f t="shared" si="288"/>
        <v>-203</v>
      </c>
      <c r="AJ106" s="32">
        <f t="shared" si="289"/>
        <v>-824</v>
      </c>
      <c r="AK106" s="59"/>
      <c r="AL106" s="75">
        <f t="shared" si="290"/>
        <v>1.5353846153846153</v>
      </c>
    </row>
    <row r="107" spans="2:38" ht="12.75" customHeight="1">
      <c r="B107" s="60" t="s">
        <v>161</v>
      </c>
      <c r="C107" s="82">
        <f>-6361-36+48</f>
        <v>-6349</v>
      </c>
      <c r="D107" s="82">
        <f>-331+123</f>
        <v>-208</v>
      </c>
      <c r="E107" s="82">
        <v>-4</v>
      </c>
      <c r="F107" s="82">
        <v>-23</v>
      </c>
      <c r="G107" s="82">
        <v>129</v>
      </c>
      <c r="H107" s="32"/>
      <c r="I107" s="82">
        <f>-2+31</f>
        <v>29</v>
      </c>
      <c r="J107" s="82">
        <f>-62+60-I107</f>
        <v>-31</v>
      </c>
      <c r="K107" s="82">
        <f>-206+92-J107-I107</f>
        <v>-112</v>
      </c>
      <c r="L107" s="32">
        <f t="shared" si="278"/>
        <v>-94</v>
      </c>
      <c r="M107" s="82">
        <f>-10+126</f>
        <v>116</v>
      </c>
      <c r="N107" s="82">
        <f>-17+170-M107</f>
        <v>37</v>
      </c>
      <c r="O107" s="82">
        <f>-1+190-N107-M107</f>
        <v>36</v>
      </c>
      <c r="P107" s="32">
        <f t="shared" si="279"/>
        <v>-193</v>
      </c>
      <c r="Q107" s="82">
        <v>75</v>
      </c>
      <c r="R107" s="82">
        <f>-10-Q107</f>
        <v>-85</v>
      </c>
      <c r="S107" s="82">
        <f>-20-R107-Q107</f>
        <v>-10</v>
      </c>
      <c r="T107" s="32">
        <f t="shared" si="280"/>
        <v>-3</v>
      </c>
      <c r="U107" s="82">
        <v>0</v>
      </c>
      <c r="V107" s="82">
        <f>-12-U107</f>
        <v>-12</v>
      </c>
      <c r="W107" s="82">
        <f>112-V107-U107</f>
        <v>124</v>
      </c>
      <c r="X107" s="32">
        <f t="shared" si="281"/>
        <v>17</v>
      </c>
      <c r="Y107" s="82">
        <v>-90</v>
      </c>
      <c r="Z107" s="82">
        <f>14-Y107</f>
        <v>104</v>
      </c>
      <c r="AA107" s="82">
        <f>-48-Z107-Y107</f>
        <v>-62</v>
      </c>
      <c r="AB107" s="32"/>
      <c r="AC107" s="32">
        <f t="shared" si="282"/>
        <v>-23</v>
      </c>
      <c r="AD107" s="32">
        <f t="shared" si="283"/>
        <v>-98</v>
      </c>
      <c r="AE107" s="32">
        <f t="shared" si="284"/>
        <v>-25</v>
      </c>
      <c r="AF107" s="32">
        <f t="shared" si="285"/>
        <v>109</v>
      </c>
      <c r="AG107" s="32">
        <f t="shared" si="286"/>
        <v>129</v>
      </c>
      <c r="AH107" s="32">
        <f t="shared" si="287"/>
        <v>39</v>
      </c>
      <c r="AI107" s="32">
        <f t="shared" si="288"/>
        <v>155</v>
      </c>
      <c r="AJ107" s="32">
        <f t="shared" si="289"/>
        <v>-31</v>
      </c>
      <c r="AK107" s="59"/>
      <c r="AL107" s="75">
        <f t="shared" si="290"/>
        <v>-1.2844036697247707</v>
      </c>
    </row>
    <row r="108" spans="2:38" ht="12.75" customHeight="1">
      <c r="B108" s="13" t="s">
        <v>53</v>
      </c>
      <c r="C108" s="14">
        <f>SUM(C101:C107)</f>
        <v>-30059</v>
      </c>
      <c r="D108" s="14">
        <f>SUM(D101:D107)</f>
        <v>-7570</v>
      </c>
      <c r="E108" s="14">
        <f>SUM(E101:E107)</f>
        <v>-28970</v>
      </c>
      <c r="F108" s="14">
        <f>SUM(F101:F107)</f>
        <v>-24495</v>
      </c>
      <c r="G108" s="14">
        <f>SUM(G101:G107)</f>
        <v>-47150</v>
      </c>
      <c r="I108" s="14">
        <f>SUM(I101:I107)</f>
        <v>-4874</v>
      </c>
      <c r="J108" s="14">
        <f>SUM(J101:J107)</f>
        <v>-8195</v>
      </c>
      <c r="K108" s="14">
        <f>SUM(K101:K107)</f>
        <v>-330</v>
      </c>
      <c r="L108" s="14">
        <f>SUM(L101:L107)</f>
        <v>5829</v>
      </c>
      <c r="M108" s="14">
        <f>SUM(M101:M107)</f>
        <v>-4779</v>
      </c>
      <c r="N108" s="14">
        <f>SUM(N101:N107)</f>
        <v>-6959</v>
      </c>
      <c r="O108" s="14">
        <f>SUM(O101:O107)</f>
        <v>-9701</v>
      </c>
      <c r="P108" s="14">
        <f>SUM(P101:P107)</f>
        <v>-7531</v>
      </c>
      <c r="Q108" s="14">
        <f>SUM(Q101:Q107)</f>
        <v>-6743</v>
      </c>
      <c r="R108" s="14">
        <f>SUM(R101:R107)</f>
        <v>-5203</v>
      </c>
      <c r="S108" s="14">
        <f>SUM(S101:S107)</f>
        <v>-6077</v>
      </c>
      <c r="T108" s="14">
        <f>SUM(T101:T107)</f>
        <v>-6472</v>
      </c>
      <c r="U108" s="14">
        <f>SUM(U101:U107)</f>
        <v>-8734</v>
      </c>
      <c r="V108" s="14">
        <f>SUM(V101:V107)</f>
        <v>-8298</v>
      </c>
      <c r="W108" s="14">
        <f>SUM(W101:W107)</f>
        <v>-8620</v>
      </c>
      <c r="X108" s="14">
        <f>SUM(X101:X107)</f>
        <v>-21498</v>
      </c>
      <c r="Y108" s="14">
        <f>SUM(Y101:Y107)</f>
        <v>-20010</v>
      </c>
      <c r="Z108" s="14">
        <f>SUM(Z101:Z107)</f>
        <v>-25958</v>
      </c>
      <c r="AA108" s="14">
        <f>SUM(AA101:AA107)</f>
        <v>-21848</v>
      </c>
      <c r="AC108" s="14">
        <f>SUM(AC101:AC107)</f>
        <v>-24495</v>
      </c>
      <c r="AD108" s="14">
        <f>SUM(AD101:AD107)</f>
        <v>-26486</v>
      </c>
      <c r="AE108" s="14">
        <f>SUM(AE101:AE107)</f>
        <v>-29581</v>
      </c>
      <c r="AF108" s="14">
        <f>SUM(AF101:AF107)</f>
        <v>-32124</v>
      </c>
      <c r="AG108" s="14">
        <f>SUM(AG101:AG107)</f>
        <v>-47150</v>
      </c>
      <c r="AH108" s="14">
        <f>SUM(AH101:AH107)</f>
        <v>-58426</v>
      </c>
      <c r="AI108" s="14">
        <f>SUM(AI101:AI107)</f>
        <v>-76086</v>
      </c>
      <c r="AJ108" s="14">
        <f>SUM(AJ101:AJ107)</f>
        <v>-89314</v>
      </c>
      <c r="AK108" s="42"/>
      <c r="AL108" s="76">
        <f t="shared" ref="AL108:AL117" si="299">SUM(AJ108/AF108)-1</f>
        <v>1.7802888805877224</v>
      </c>
    </row>
    <row r="109" spans="2:38" ht="5.0999999999999996" customHeight="1">
      <c r="B109" s="52"/>
      <c r="C109" s="61"/>
      <c r="D109" s="61"/>
      <c r="E109" s="61"/>
      <c r="F109" s="61"/>
      <c r="G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X109" s="61"/>
      <c r="Y109" s="61"/>
      <c r="Z109" s="61"/>
      <c r="AA109" s="61"/>
      <c r="AC109" s="42"/>
      <c r="AD109" s="42"/>
      <c r="AE109" s="42"/>
      <c r="AF109" s="42"/>
      <c r="AG109" s="42"/>
      <c r="AH109" s="42"/>
      <c r="AI109" s="42"/>
      <c r="AJ109" s="42"/>
      <c r="AK109" s="42"/>
      <c r="AL109" s="39"/>
    </row>
    <row r="110" spans="2:38" ht="12.75" customHeight="1">
      <c r="B110" s="53" t="s">
        <v>54</v>
      </c>
      <c r="C110" s="63"/>
      <c r="D110" s="63"/>
      <c r="E110" s="63"/>
      <c r="F110" s="63"/>
      <c r="G110" s="63"/>
      <c r="I110" s="63"/>
      <c r="J110" s="63"/>
      <c r="K110" s="63"/>
      <c r="L110" s="63"/>
      <c r="M110" s="63"/>
      <c r="N110" s="63"/>
      <c r="O110" s="63"/>
      <c r="P110" s="63"/>
      <c r="Q110" s="63"/>
      <c r="R110" s="63"/>
      <c r="S110" s="63"/>
      <c r="T110" s="63"/>
      <c r="U110" s="63"/>
      <c r="V110" s="63"/>
      <c r="W110" s="63"/>
      <c r="X110" s="63"/>
      <c r="Y110" s="63"/>
      <c r="Z110" s="63"/>
      <c r="AA110" s="63"/>
      <c r="AB110" s="32"/>
      <c r="AC110" s="32"/>
      <c r="AD110" s="32"/>
      <c r="AE110" s="32"/>
      <c r="AF110" s="32"/>
      <c r="AG110" s="32"/>
      <c r="AH110" s="32"/>
      <c r="AI110" s="32"/>
      <c r="AJ110" s="32"/>
      <c r="AK110" s="64"/>
      <c r="AL110" s="75"/>
    </row>
    <row r="111" spans="2:38" ht="12.75" customHeight="1">
      <c r="B111" s="84" t="s">
        <v>162</v>
      </c>
      <c r="C111" s="82">
        <v>-3564</v>
      </c>
      <c r="D111" s="82">
        <v>-5515</v>
      </c>
      <c r="E111" s="82">
        <v>-3595</v>
      </c>
      <c r="F111" s="82">
        <v>-7012</v>
      </c>
      <c r="G111" s="82">
        <v>-13770</v>
      </c>
      <c r="I111" s="82">
        <v>-1077</v>
      </c>
      <c r="J111" s="82">
        <f>-2432-I111</f>
        <v>-1355</v>
      </c>
      <c r="K111" s="82">
        <f>-4007-J111-I111</f>
        <v>-1575</v>
      </c>
      <c r="L111" s="32">
        <f t="shared" ref="L111:L116" si="300">SUM(D111-SUM(I111:K111))</f>
        <v>-1508</v>
      </c>
      <c r="M111" s="82">
        <v>-925</v>
      </c>
      <c r="N111" s="82">
        <f>-1927-M111</f>
        <v>-1002</v>
      </c>
      <c r="O111" s="82">
        <f>-2938-N111-M111</f>
        <v>-1011</v>
      </c>
      <c r="P111" s="32">
        <f t="shared" ref="P111:P116" si="301">SUM(E111-SUM(M111:O111))</f>
        <v>-657</v>
      </c>
      <c r="Q111" s="82">
        <v>-1009</v>
      </c>
      <c r="R111" s="82">
        <f>-2701-Q111</f>
        <v>-1692</v>
      </c>
      <c r="S111" s="82">
        <f>-4789-R111-Q111</f>
        <v>-2088</v>
      </c>
      <c r="T111" s="32">
        <f t="shared" ref="T111:T116" si="302">SUM(F111-SUM(Q111:S111))</f>
        <v>-2223</v>
      </c>
      <c r="U111" s="82">
        <v>-3162</v>
      </c>
      <c r="V111" s="82">
        <f>-6370-U111</f>
        <v>-3208</v>
      </c>
      <c r="W111" s="82">
        <f>-9913-V111-U111</f>
        <v>-3543</v>
      </c>
      <c r="X111" s="32">
        <f t="shared" ref="X111:X116" si="303">SUM(G111-SUM(U111:W111))</f>
        <v>-3857</v>
      </c>
      <c r="Y111" s="82">
        <v>-4883</v>
      </c>
      <c r="Z111" s="82">
        <f>-8993-Y111</f>
        <v>-4110</v>
      </c>
      <c r="AA111" s="82">
        <f>-14128-Z111-Y111</f>
        <v>-5135</v>
      </c>
      <c r="AB111" s="32"/>
      <c r="AC111" s="32">
        <f t="shared" ref="AC111:AC116" si="304">SUM(Q111:T111)</f>
        <v>-7012</v>
      </c>
      <c r="AD111" s="32">
        <f t="shared" ref="AD111:AD116" si="305">SUM(R111:U111)</f>
        <v>-9165</v>
      </c>
      <c r="AE111" s="32">
        <f t="shared" ref="AE111:AE116" si="306">SUM(S111:V111)</f>
        <v>-10681</v>
      </c>
      <c r="AF111" s="32">
        <f t="shared" ref="AF111:AF116" si="307">SUM(T111:W111)</f>
        <v>-12136</v>
      </c>
      <c r="AG111" s="32">
        <f t="shared" ref="AG111:AG116" si="308">SUM(U111:X111)</f>
        <v>-13770</v>
      </c>
      <c r="AH111" s="32">
        <f t="shared" ref="AH111:AH116" si="309">SUM(V111:Y111)</f>
        <v>-15491</v>
      </c>
      <c r="AI111" s="32">
        <f t="shared" ref="AI111:AI116" si="310">SUM(W111:Z111)</f>
        <v>-16393</v>
      </c>
      <c r="AJ111" s="32">
        <f t="shared" ref="AJ111:AJ116" si="311">SUM(X111:AA111)</f>
        <v>-17985</v>
      </c>
      <c r="AK111" s="64"/>
      <c r="AL111" s="75">
        <f t="shared" ref="AL111:AL116" si="312">SUM(AJ111/AF111)-1</f>
        <v>0.48195451549110091</v>
      </c>
    </row>
    <row r="112" spans="2:38" ht="12.75" customHeight="1">
      <c r="B112" s="84" t="s">
        <v>163</v>
      </c>
      <c r="C112" s="82">
        <v>-6272</v>
      </c>
      <c r="D112" s="82">
        <v>-44537</v>
      </c>
      <c r="E112" s="82">
        <v>-27956</v>
      </c>
      <c r="F112" s="82">
        <v>-19774</v>
      </c>
      <c r="G112" s="82">
        <v>-30125</v>
      </c>
      <c r="I112" s="82">
        <v>-3939</v>
      </c>
      <c r="J112" s="82">
        <f>-11018-I112</f>
        <v>-7079</v>
      </c>
      <c r="K112" s="82">
        <f>-24476-J112-I112</f>
        <v>-13458</v>
      </c>
      <c r="L112" s="32">
        <f t="shared" si="300"/>
        <v>-20061</v>
      </c>
      <c r="M112" s="82">
        <v>-9506</v>
      </c>
      <c r="N112" s="82">
        <f>-14739-M112</f>
        <v>-5233</v>
      </c>
      <c r="O112" s="82">
        <f>-21093-N112-M112</f>
        <v>-6354</v>
      </c>
      <c r="P112" s="32">
        <f t="shared" si="301"/>
        <v>-6863</v>
      </c>
      <c r="Q112" s="82">
        <v>-9365</v>
      </c>
      <c r="R112" s="82">
        <f>-10263-Q112</f>
        <v>-898</v>
      </c>
      <c r="S112" s="82">
        <f>-13832-R112-Q112</f>
        <v>-3569</v>
      </c>
      <c r="T112" s="32">
        <f t="shared" si="302"/>
        <v>-5942</v>
      </c>
      <c r="U112" s="82">
        <v>-15008</v>
      </c>
      <c r="V112" s="82">
        <f>-21307-U112</f>
        <v>-6299</v>
      </c>
      <c r="W112" s="82">
        <f>-30125-V112-U112</f>
        <v>-8818</v>
      </c>
      <c r="X112" s="32">
        <f t="shared" si="303"/>
        <v>0</v>
      </c>
      <c r="Y112" s="82">
        <v>-12754</v>
      </c>
      <c r="Z112" s="82">
        <f>-22921-Y112</f>
        <v>-10167</v>
      </c>
      <c r="AA112" s="82">
        <f>-26248-Z112-Y112</f>
        <v>-3327</v>
      </c>
      <c r="AB112" s="32"/>
      <c r="AC112" s="32">
        <f t="shared" si="304"/>
        <v>-19774</v>
      </c>
      <c r="AD112" s="32">
        <f t="shared" si="305"/>
        <v>-25417</v>
      </c>
      <c r="AE112" s="32">
        <f t="shared" si="306"/>
        <v>-30818</v>
      </c>
      <c r="AF112" s="32">
        <f t="shared" si="307"/>
        <v>-36067</v>
      </c>
      <c r="AG112" s="32">
        <f t="shared" si="308"/>
        <v>-30125</v>
      </c>
      <c r="AH112" s="32">
        <f t="shared" si="309"/>
        <v>-27871</v>
      </c>
      <c r="AI112" s="32">
        <f t="shared" si="310"/>
        <v>-31739</v>
      </c>
      <c r="AJ112" s="32">
        <f t="shared" si="311"/>
        <v>-26248</v>
      </c>
      <c r="AK112" s="64"/>
      <c r="AL112" s="75">
        <f t="shared" si="312"/>
        <v>-0.27224332492305992</v>
      </c>
    </row>
    <row r="113" spans="2:38" ht="12.75" customHeight="1">
      <c r="B113" s="84" t="s">
        <v>164</v>
      </c>
      <c r="C113" s="82">
        <v>0</v>
      </c>
      <c r="D113" s="82">
        <v>0</v>
      </c>
      <c r="E113" s="82">
        <v>0</v>
      </c>
      <c r="F113" s="82">
        <v>0</v>
      </c>
      <c r="G113" s="82">
        <v>-5072</v>
      </c>
      <c r="I113" s="82">
        <v>0</v>
      </c>
      <c r="J113" s="82">
        <v>0</v>
      </c>
      <c r="K113" s="82">
        <v>0</v>
      </c>
      <c r="L113" s="32">
        <f t="shared" ref="L113" si="313">SUM(D113-SUM(I113:K113))</f>
        <v>0</v>
      </c>
      <c r="M113" s="82">
        <v>0</v>
      </c>
      <c r="N113" s="82">
        <v>0</v>
      </c>
      <c r="O113" s="82">
        <v>0</v>
      </c>
      <c r="P113" s="32">
        <f t="shared" ref="P113" si="314">SUM(E113-SUM(M113:O113))</f>
        <v>0</v>
      </c>
      <c r="Q113" s="82">
        <v>0</v>
      </c>
      <c r="R113" s="82">
        <v>0</v>
      </c>
      <c r="S113" s="82">
        <v>0</v>
      </c>
      <c r="T113" s="32">
        <f t="shared" ref="T113" si="315">SUM(F113-SUM(Q113:S113))</f>
        <v>0</v>
      </c>
      <c r="U113" s="82">
        <v>-1273</v>
      </c>
      <c r="V113" s="82">
        <f>-2539-U113</f>
        <v>-1266</v>
      </c>
      <c r="W113" s="82">
        <f>-3802-V113-U113</f>
        <v>-1263</v>
      </c>
      <c r="X113" s="32">
        <f t="shared" ref="X113" si="316">SUM(G113-SUM(U113:W113))</f>
        <v>-1270</v>
      </c>
      <c r="Y113" s="82">
        <v>-1329</v>
      </c>
      <c r="Z113" s="82">
        <f>-2656-Y113</f>
        <v>-1327</v>
      </c>
      <c r="AA113" s="82">
        <f>-3986-Z113-Y113</f>
        <v>-1330</v>
      </c>
      <c r="AB113" s="32"/>
      <c r="AC113" s="32">
        <f t="shared" ref="AC113" si="317">SUM(Q113:T113)</f>
        <v>0</v>
      </c>
      <c r="AD113" s="32">
        <f t="shared" ref="AD113" si="318">SUM(R113:U113)</f>
        <v>-1273</v>
      </c>
      <c r="AE113" s="32">
        <f t="shared" ref="AE113" si="319">SUM(S113:V113)</f>
        <v>-2539</v>
      </c>
      <c r="AF113" s="32">
        <f t="shared" ref="AF113" si="320">SUM(T113:W113)</f>
        <v>-3802</v>
      </c>
      <c r="AG113" s="32">
        <f t="shared" ref="AG113" si="321">SUM(U113:X113)</f>
        <v>-5072</v>
      </c>
      <c r="AH113" s="32">
        <f t="shared" ref="AH113" si="322">SUM(V113:Y113)</f>
        <v>-5128</v>
      </c>
      <c r="AI113" s="32">
        <f t="shared" ref="AI113" si="323">SUM(W113:Z113)</f>
        <v>-5189</v>
      </c>
      <c r="AJ113" s="32">
        <f t="shared" ref="AJ113" si="324">SUM(X113:AA113)</f>
        <v>-5256</v>
      </c>
      <c r="AK113" s="64"/>
      <c r="AL113" s="75">
        <f t="shared" ref="AL113" si="325">SUM(AJ113/AF113)-1</f>
        <v>0.38243029984218824</v>
      </c>
    </row>
    <row r="114" spans="2:38" ht="12.75" customHeight="1">
      <c r="B114" s="84" t="s">
        <v>166</v>
      </c>
      <c r="C114" s="82">
        <v>-604</v>
      </c>
      <c r="D114" s="82">
        <v>-677</v>
      </c>
      <c r="E114" s="82">
        <v>-850</v>
      </c>
      <c r="F114" s="82">
        <v>-1058</v>
      </c>
      <c r="G114" s="82">
        <v>-1969</v>
      </c>
      <c r="I114" s="82">
        <v>-151</v>
      </c>
      <c r="J114" s="82">
        <f>-274-I114</f>
        <v>-123</v>
      </c>
      <c r="K114" s="82">
        <f>-505-J114-I114</f>
        <v>-231</v>
      </c>
      <c r="L114" s="32">
        <f t="shared" ref="L114" si="326">SUM(D114-SUM(I114:K114))</f>
        <v>-172</v>
      </c>
      <c r="M114" s="82">
        <v>-233</v>
      </c>
      <c r="N114" s="82">
        <f>-452-M114</f>
        <v>-219</v>
      </c>
      <c r="O114" s="82">
        <f>-615-N114-M114</f>
        <v>-163</v>
      </c>
      <c r="P114" s="32">
        <f t="shared" ref="P114" si="327">SUM(E114-SUM(M114:O114))</f>
        <v>-235</v>
      </c>
      <c r="Q114" s="82">
        <v>-264</v>
      </c>
      <c r="R114" s="82">
        <f>-484-Q114</f>
        <v>-220</v>
      </c>
      <c r="S114" s="82">
        <f>-751-R114-Q114</f>
        <v>-267</v>
      </c>
      <c r="T114" s="32">
        <f t="shared" ref="T114" si="328">SUM(F114-SUM(Q114:S114))</f>
        <v>-307</v>
      </c>
      <c r="U114" s="82">
        <v>-315</v>
      </c>
      <c r="V114" s="82">
        <f>-614-U114</f>
        <v>-299</v>
      </c>
      <c r="W114" s="82">
        <f>-1558-V114-U114</f>
        <v>-944</v>
      </c>
      <c r="X114" s="32">
        <f t="shared" ref="X114" si="329">SUM(G114-SUM(U114:W114))</f>
        <v>-411</v>
      </c>
      <c r="Y114" s="82">
        <v>-751</v>
      </c>
      <c r="Z114" s="82">
        <f>-1225-Y114</f>
        <v>-474</v>
      </c>
      <c r="AA114" s="82">
        <f>-1770-Z114-Y114</f>
        <v>-545</v>
      </c>
      <c r="AB114" s="32"/>
      <c r="AC114" s="32">
        <f t="shared" ref="AC114" si="330">SUM(Q114:T114)</f>
        <v>-1058</v>
      </c>
      <c r="AD114" s="32">
        <f t="shared" ref="AD114" si="331">SUM(R114:U114)</f>
        <v>-1109</v>
      </c>
      <c r="AE114" s="32">
        <f t="shared" ref="AE114" si="332">SUM(S114:V114)</f>
        <v>-1188</v>
      </c>
      <c r="AF114" s="32">
        <f t="shared" ref="AF114" si="333">SUM(T114:W114)</f>
        <v>-1865</v>
      </c>
      <c r="AG114" s="32">
        <f t="shared" ref="AG114" si="334">SUM(U114:X114)</f>
        <v>-1969</v>
      </c>
      <c r="AH114" s="32">
        <f t="shared" ref="AH114" si="335">SUM(V114:Y114)</f>
        <v>-2405</v>
      </c>
      <c r="AI114" s="32">
        <f t="shared" ref="AI114" si="336">SUM(W114:Z114)</f>
        <v>-2580</v>
      </c>
      <c r="AJ114" s="32">
        <f t="shared" ref="AJ114" si="337">SUM(X114:AA114)</f>
        <v>-2181</v>
      </c>
      <c r="AK114" s="64"/>
      <c r="AL114" s="75">
        <f t="shared" ref="AL114" si="338">SUM(AJ114/AF114)-1</f>
        <v>0.16943699731903483</v>
      </c>
    </row>
    <row r="115" spans="2:38" ht="12.75" customHeight="1">
      <c r="B115" s="84" t="s">
        <v>165</v>
      </c>
      <c r="C115" s="82">
        <v>0</v>
      </c>
      <c r="D115" s="82">
        <v>0</v>
      </c>
      <c r="E115" s="82">
        <v>9921</v>
      </c>
      <c r="F115" s="82">
        <v>8455</v>
      </c>
      <c r="G115" s="82">
        <v>10432</v>
      </c>
      <c r="I115" s="82">
        <v>0</v>
      </c>
      <c r="J115" s="82">
        <v>0</v>
      </c>
      <c r="K115" s="82">
        <v>0</v>
      </c>
      <c r="L115" s="32">
        <f t="shared" si="300"/>
        <v>0</v>
      </c>
      <c r="M115" s="82">
        <v>0</v>
      </c>
      <c r="N115" s="82">
        <v>0</v>
      </c>
      <c r="O115" s="82">
        <f>9921-N115-M115</f>
        <v>9921</v>
      </c>
      <c r="P115" s="32">
        <f t="shared" si="301"/>
        <v>0</v>
      </c>
      <c r="Q115" s="82">
        <v>0</v>
      </c>
      <c r="R115" s="82">
        <f>8455-Q115</f>
        <v>8455</v>
      </c>
      <c r="S115" s="82">
        <f>8455-R115-Q115</f>
        <v>0</v>
      </c>
      <c r="T115" s="32">
        <f t="shared" si="302"/>
        <v>0</v>
      </c>
      <c r="U115" s="82">
        <v>0</v>
      </c>
      <c r="V115" s="82">
        <v>0</v>
      </c>
      <c r="W115" s="82">
        <f>10432-V115-U115</f>
        <v>10432</v>
      </c>
      <c r="X115" s="32">
        <f t="shared" si="303"/>
        <v>0</v>
      </c>
      <c r="Y115" s="82">
        <v>0</v>
      </c>
      <c r="Z115" s="82">
        <v>0</v>
      </c>
      <c r="AA115" s="82">
        <v>0</v>
      </c>
      <c r="AB115" s="32"/>
      <c r="AC115" s="32">
        <f t="shared" si="304"/>
        <v>8455</v>
      </c>
      <c r="AD115" s="32">
        <f t="shared" si="305"/>
        <v>8455</v>
      </c>
      <c r="AE115" s="32">
        <f t="shared" si="306"/>
        <v>0</v>
      </c>
      <c r="AF115" s="32">
        <f t="shared" si="307"/>
        <v>10432</v>
      </c>
      <c r="AG115" s="32">
        <f t="shared" si="308"/>
        <v>10432</v>
      </c>
      <c r="AH115" s="32">
        <f t="shared" si="309"/>
        <v>10432</v>
      </c>
      <c r="AI115" s="32">
        <f t="shared" si="310"/>
        <v>10432</v>
      </c>
      <c r="AJ115" s="32">
        <f t="shared" si="311"/>
        <v>0</v>
      </c>
      <c r="AK115" s="64"/>
      <c r="AL115" s="75">
        <f t="shared" si="312"/>
        <v>-1</v>
      </c>
    </row>
    <row r="116" spans="2:38" ht="12.75" customHeight="1">
      <c r="B116" s="84" t="s">
        <v>167</v>
      </c>
      <c r="C116" s="82">
        <v>148</v>
      </c>
      <c r="D116" s="82">
        <v>1</v>
      </c>
      <c r="E116" s="82">
        <v>344</v>
      </c>
      <c r="F116" s="82">
        <v>-111</v>
      </c>
      <c r="G116" s="82">
        <v>-277</v>
      </c>
      <c r="I116" s="82">
        <f>-50+32</f>
        <v>-18</v>
      </c>
      <c r="J116" s="82">
        <f>-13+3-I116</f>
        <v>8</v>
      </c>
      <c r="K116" s="82">
        <f>15-13-J116-I116</f>
        <v>12</v>
      </c>
      <c r="L116" s="32">
        <f t="shared" si="300"/>
        <v>-1</v>
      </c>
      <c r="M116" s="82">
        <f>20-16</f>
        <v>4</v>
      </c>
      <c r="N116" s="82">
        <f>-46-59-M116</f>
        <v>-109</v>
      </c>
      <c r="O116" s="82">
        <f>-351-N116-M116</f>
        <v>-246</v>
      </c>
      <c r="P116" s="32">
        <f t="shared" si="301"/>
        <v>695</v>
      </c>
      <c r="Q116" s="82">
        <v>122</v>
      </c>
      <c r="R116" s="82">
        <f>-231-Q116</f>
        <v>-353</v>
      </c>
      <c r="S116" s="82">
        <f>-182-R116-Q116</f>
        <v>49</v>
      </c>
      <c r="T116" s="32">
        <f t="shared" si="302"/>
        <v>71</v>
      </c>
      <c r="U116" s="82">
        <v>-9</v>
      </c>
      <c r="V116" s="82">
        <f>-115-U116</f>
        <v>-106</v>
      </c>
      <c r="W116" s="82">
        <f>-350-V116-U116</f>
        <v>-235</v>
      </c>
      <c r="X116" s="32">
        <f t="shared" si="303"/>
        <v>73</v>
      </c>
      <c r="Y116" s="82">
        <v>222</v>
      </c>
      <c r="Z116" s="82">
        <f>323-Y116</f>
        <v>101</v>
      </c>
      <c r="AA116" s="82">
        <f>613-Z116-Y116</f>
        <v>290</v>
      </c>
      <c r="AB116" s="32"/>
      <c r="AC116" s="32">
        <f t="shared" si="304"/>
        <v>-111</v>
      </c>
      <c r="AD116" s="32">
        <f t="shared" si="305"/>
        <v>-242</v>
      </c>
      <c r="AE116" s="32">
        <f t="shared" si="306"/>
        <v>5</v>
      </c>
      <c r="AF116" s="32">
        <f t="shared" si="307"/>
        <v>-279</v>
      </c>
      <c r="AG116" s="32">
        <f t="shared" si="308"/>
        <v>-277</v>
      </c>
      <c r="AH116" s="32">
        <f t="shared" si="309"/>
        <v>-46</v>
      </c>
      <c r="AI116" s="32">
        <f t="shared" si="310"/>
        <v>161</v>
      </c>
      <c r="AJ116" s="32">
        <f t="shared" si="311"/>
        <v>686</v>
      </c>
      <c r="AK116" s="64"/>
      <c r="AL116" s="75">
        <f t="shared" si="312"/>
        <v>-3.4587813620071683</v>
      </c>
    </row>
    <row r="117" spans="2:38" ht="12.75" customHeight="1">
      <c r="B117" s="13" t="s">
        <v>55</v>
      </c>
      <c r="C117" s="14">
        <f>SUM(C111:C116)</f>
        <v>-10292</v>
      </c>
      <c r="D117" s="14">
        <f>SUM(D111:D116)</f>
        <v>-50728</v>
      </c>
      <c r="E117" s="14">
        <f>SUM(E111:E116)</f>
        <v>-22136</v>
      </c>
      <c r="F117" s="14">
        <f>SUM(F111:F116)</f>
        <v>-19500</v>
      </c>
      <c r="G117" s="14">
        <f>SUM(G111:G116)</f>
        <v>-40781</v>
      </c>
      <c r="I117" s="14">
        <f>SUM(I111:I116)</f>
        <v>-5185</v>
      </c>
      <c r="J117" s="14">
        <f>SUM(J111:J116)</f>
        <v>-8549</v>
      </c>
      <c r="K117" s="14">
        <f>SUM(K111:K116)</f>
        <v>-15252</v>
      </c>
      <c r="L117" s="14">
        <f>SUM(L111:L116)</f>
        <v>-21742</v>
      </c>
      <c r="M117" s="14">
        <f>SUM(M111:M116)</f>
        <v>-10660</v>
      </c>
      <c r="N117" s="14">
        <f>SUM(N111:N116)</f>
        <v>-6563</v>
      </c>
      <c r="O117" s="14">
        <f>SUM(O111:O116)</f>
        <v>2147</v>
      </c>
      <c r="P117" s="14">
        <f>SUM(P111:P116)</f>
        <v>-7060</v>
      </c>
      <c r="Q117" s="14">
        <f>SUM(Q111:Q116)</f>
        <v>-10516</v>
      </c>
      <c r="R117" s="14">
        <f>SUM(R111:R116)</f>
        <v>5292</v>
      </c>
      <c r="S117" s="14">
        <f>SUM(S111:S116)</f>
        <v>-5875</v>
      </c>
      <c r="T117" s="14">
        <f>SUM(T111:T116)</f>
        <v>-8401</v>
      </c>
      <c r="U117" s="14">
        <f>SUM(U111:U116)</f>
        <v>-19767</v>
      </c>
      <c r="V117" s="14">
        <f>SUM(V111:V116)</f>
        <v>-11178</v>
      </c>
      <c r="W117" s="14">
        <f>SUM(W111:W116)</f>
        <v>-4371</v>
      </c>
      <c r="X117" s="14">
        <f>SUM(X111:X116)</f>
        <v>-5465</v>
      </c>
      <c r="Y117" s="14">
        <f>SUM(Y111:Y116)</f>
        <v>-19495</v>
      </c>
      <c r="Z117" s="14">
        <f>SUM(Z111:Z116)</f>
        <v>-15977</v>
      </c>
      <c r="AA117" s="14">
        <f>SUM(AA111:AA116)</f>
        <v>-10047</v>
      </c>
      <c r="AC117" s="14">
        <f>SUM(AC111:AC116)</f>
        <v>-19500</v>
      </c>
      <c r="AD117" s="14">
        <f>SUM(AD111:AD116)</f>
        <v>-28751</v>
      </c>
      <c r="AE117" s="14">
        <f>SUM(AE111:AE116)</f>
        <v>-45221</v>
      </c>
      <c r="AF117" s="14">
        <f>SUM(AF111:AF116)</f>
        <v>-43717</v>
      </c>
      <c r="AG117" s="14">
        <f>SUM(AG111:AG116)</f>
        <v>-40781</v>
      </c>
      <c r="AH117" s="14">
        <f>SUM(AH111:AH116)</f>
        <v>-40509</v>
      </c>
      <c r="AI117" s="14">
        <f>SUM(AI111:AI116)</f>
        <v>-45308</v>
      </c>
      <c r="AJ117" s="14">
        <f>SUM(AJ111:AJ116)</f>
        <v>-50984</v>
      </c>
      <c r="AK117" s="42"/>
      <c r="AL117" s="76">
        <f t="shared" si="299"/>
        <v>0.16622824073015074</v>
      </c>
    </row>
    <row r="118" spans="2:38" ht="5.0999999999999996" customHeight="1">
      <c r="B118" s="71"/>
      <c r="C118" s="32"/>
      <c r="D118" s="32"/>
      <c r="E118" s="32"/>
      <c r="F118" s="32"/>
      <c r="G118" s="32"/>
      <c r="H118" s="32"/>
      <c r="I118" s="32"/>
      <c r="J118" s="32"/>
      <c r="K118" s="32"/>
      <c r="L118" s="32"/>
      <c r="M118" s="32"/>
      <c r="N118" s="32"/>
      <c r="O118" s="32"/>
      <c r="P118" s="32"/>
      <c r="Q118" s="32"/>
      <c r="R118" s="32"/>
      <c r="S118" s="32"/>
      <c r="T118" s="32"/>
      <c r="U118" s="32"/>
      <c r="V118" s="32"/>
      <c r="W118" s="32"/>
      <c r="X118" s="32"/>
      <c r="Y118" s="32"/>
      <c r="Z118" s="32"/>
      <c r="AA118" s="32"/>
      <c r="AB118" s="32"/>
      <c r="AC118" s="32"/>
      <c r="AD118" s="32"/>
      <c r="AE118" s="32"/>
      <c r="AF118" s="32"/>
      <c r="AG118" s="32"/>
      <c r="AH118" s="32"/>
      <c r="AI118" s="32"/>
      <c r="AJ118" s="32"/>
      <c r="AK118" s="11"/>
      <c r="AL118" s="45"/>
    </row>
    <row r="119" spans="2:38">
      <c r="B119" s="92" t="s">
        <v>80</v>
      </c>
      <c r="C119" s="167">
        <v>19079</v>
      </c>
      <c r="D119" s="93">
        <f t="shared" ref="D119:G119" si="339">C126</f>
        <v>17576</v>
      </c>
      <c r="E119" s="93">
        <f t="shared" si="339"/>
        <v>16601</v>
      </c>
      <c r="F119" s="93">
        <f t="shared" si="339"/>
        <v>14681</v>
      </c>
      <c r="G119" s="93">
        <f t="shared" si="339"/>
        <v>41862</v>
      </c>
      <c r="H119" s="93"/>
      <c r="I119" s="93">
        <f>D119</f>
        <v>17576</v>
      </c>
      <c r="J119" s="93">
        <f t="shared" ref="J119" si="340">I126</f>
        <v>19513</v>
      </c>
      <c r="K119" s="93">
        <f t="shared" ref="K119" si="341">J126</f>
        <v>16185</v>
      </c>
      <c r="L119" s="93">
        <f t="shared" ref="L119" si="342">K126</f>
        <v>14496</v>
      </c>
      <c r="M119" s="93">
        <f t="shared" ref="M119" si="343">L126</f>
        <v>16601</v>
      </c>
      <c r="N119" s="93">
        <f t="shared" ref="N119" si="344">M126</f>
        <v>14886</v>
      </c>
      <c r="O119" s="93">
        <f t="shared" ref="O119" si="345">N126</f>
        <v>12681</v>
      </c>
      <c r="P119" s="93">
        <f t="shared" ref="P119" si="346">O126</f>
        <v>14308</v>
      </c>
      <c r="Q119" s="93">
        <f t="shared" ref="Q119" si="347">P126</f>
        <v>14681</v>
      </c>
      <c r="R119" s="93">
        <f t="shared" ref="R119:AA119" si="348">Q126</f>
        <v>11551</v>
      </c>
      <c r="S119" s="93">
        <f t="shared" si="348"/>
        <v>28784</v>
      </c>
      <c r="T119" s="93">
        <f t="shared" si="348"/>
        <v>36889</v>
      </c>
      <c r="U119" s="93">
        <f t="shared" si="348"/>
        <v>41862</v>
      </c>
      <c r="V119" s="93">
        <f t="shared" si="348"/>
        <v>32307</v>
      </c>
      <c r="W119" s="93">
        <f t="shared" si="348"/>
        <v>32045</v>
      </c>
      <c r="X119" s="93">
        <f t="shared" si="348"/>
        <v>43852</v>
      </c>
      <c r="Y119" s="93">
        <f t="shared" si="348"/>
        <v>43889</v>
      </c>
      <c r="Z119" s="93">
        <f t="shared" si="348"/>
        <v>28750</v>
      </c>
      <c r="AA119" s="93">
        <f t="shared" si="348"/>
        <v>12005</v>
      </c>
      <c r="AB119" s="93"/>
      <c r="AC119" s="93">
        <f>T119</f>
        <v>36889</v>
      </c>
      <c r="AD119" s="93">
        <f>AC126</f>
        <v>41862</v>
      </c>
      <c r="AE119" s="93">
        <f t="shared" ref="AE119:AJ119" si="349">AD126</f>
        <v>32307</v>
      </c>
      <c r="AF119" s="93">
        <f t="shared" si="349"/>
        <v>32045</v>
      </c>
      <c r="AG119" s="93">
        <f t="shared" si="349"/>
        <v>43852</v>
      </c>
      <c r="AH119" s="93">
        <f t="shared" si="349"/>
        <v>43889</v>
      </c>
      <c r="AI119" s="93">
        <f t="shared" si="349"/>
        <v>28750</v>
      </c>
      <c r="AJ119" s="139">
        <f t="shared" si="349"/>
        <v>12005</v>
      </c>
      <c r="AK119" s="11"/>
      <c r="AL119" s="45"/>
    </row>
    <row r="120" spans="2:38">
      <c r="B120" s="130" t="s">
        <v>92</v>
      </c>
      <c r="C120" s="82">
        <f>192+8</f>
        <v>200</v>
      </c>
      <c r="D120" s="32">
        <f t="shared" ref="D120" si="350">-C124</f>
        <v>378</v>
      </c>
      <c r="E120" s="32">
        <f t="shared" ref="E120" si="351">-D124</f>
        <v>264</v>
      </c>
      <c r="F120" s="32">
        <f t="shared" ref="F120:G120" si="352">-E124</f>
        <v>915</v>
      </c>
      <c r="G120" s="32">
        <f t="shared" si="352"/>
        <v>965</v>
      </c>
      <c r="H120" s="32"/>
      <c r="I120" s="32">
        <f>D120</f>
        <v>378</v>
      </c>
      <c r="J120" s="32">
        <f t="shared" ref="J120" si="353">-I124</f>
        <v>378</v>
      </c>
      <c r="K120" s="32">
        <f t="shared" ref="K120" si="354">-J124</f>
        <v>325</v>
      </c>
      <c r="L120" s="32">
        <f t="shared" ref="L120" si="355">-K124</f>
        <v>308</v>
      </c>
      <c r="M120" s="32">
        <f t="shared" ref="M120" si="356">-L124</f>
        <v>264</v>
      </c>
      <c r="N120" s="32">
        <f t="shared" ref="N120" si="357">-M124</f>
        <v>467</v>
      </c>
      <c r="O120" s="32">
        <f t="shared" ref="O120" si="358">-N124</f>
        <v>797</v>
      </c>
      <c r="P120" s="32">
        <f t="shared" ref="P120" si="359">-O124</f>
        <v>943</v>
      </c>
      <c r="Q120" s="32">
        <f t="shared" ref="Q120" si="360">-P124</f>
        <v>915</v>
      </c>
      <c r="R120" s="32">
        <f t="shared" ref="R120:AA120" si="361">-Q124</f>
        <v>869</v>
      </c>
      <c r="S120" s="32">
        <f t="shared" si="361"/>
        <v>1019</v>
      </c>
      <c r="T120" s="32">
        <f t="shared" si="361"/>
        <v>1010</v>
      </c>
      <c r="U120" s="32">
        <f t="shared" si="361"/>
        <v>965</v>
      </c>
      <c r="V120" s="32">
        <f t="shared" si="361"/>
        <v>977</v>
      </c>
      <c r="W120" s="32">
        <f t="shared" si="361"/>
        <v>981</v>
      </c>
      <c r="X120" s="32">
        <f t="shared" si="361"/>
        <v>1275</v>
      </c>
      <c r="Y120" s="32">
        <f t="shared" si="361"/>
        <v>1549</v>
      </c>
      <c r="Z120" s="32">
        <f t="shared" si="361"/>
        <v>1321</v>
      </c>
      <c r="AA120" s="32">
        <f t="shared" si="361"/>
        <v>1823</v>
      </c>
      <c r="AB120" s="32"/>
      <c r="AC120" s="32">
        <f>T120</f>
        <v>1010</v>
      </c>
      <c r="AD120" s="32">
        <f>-AC124</f>
        <v>965</v>
      </c>
      <c r="AE120" s="32">
        <f t="shared" ref="AE120:AJ120" si="362">-AD124</f>
        <v>977</v>
      </c>
      <c r="AF120" s="32">
        <f t="shared" si="362"/>
        <v>981</v>
      </c>
      <c r="AG120" s="32">
        <f t="shared" si="362"/>
        <v>1275</v>
      </c>
      <c r="AH120" s="32">
        <f t="shared" si="362"/>
        <v>1549</v>
      </c>
      <c r="AI120" s="32">
        <f t="shared" si="362"/>
        <v>1321</v>
      </c>
      <c r="AJ120" s="133">
        <f t="shared" si="362"/>
        <v>1823</v>
      </c>
      <c r="AK120" s="11"/>
      <c r="AL120" s="45"/>
    </row>
    <row r="121" spans="2:38">
      <c r="B121" s="144" t="s">
        <v>68</v>
      </c>
      <c r="C121" s="145">
        <f t="shared" ref="C121" si="363">SUM(C119:C120)</f>
        <v>19279</v>
      </c>
      <c r="D121" s="145">
        <f t="shared" ref="D121:G121" si="364">SUM(D119:D120)</f>
        <v>17954</v>
      </c>
      <c r="E121" s="145">
        <f t="shared" si="364"/>
        <v>16865</v>
      </c>
      <c r="F121" s="145">
        <f t="shared" si="364"/>
        <v>15596</v>
      </c>
      <c r="G121" s="145">
        <f t="shared" si="364"/>
        <v>42827</v>
      </c>
      <c r="H121" s="32"/>
      <c r="I121" s="145">
        <f t="shared" ref="I121:L121" si="365">SUM(I119:I120)</f>
        <v>17954</v>
      </c>
      <c r="J121" s="145">
        <f t="shared" si="365"/>
        <v>19891</v>
      </c>
      <c r="K121" s="145">
        <f t="shared" si="365"/>
        <v>16510</v>
      </c>
      <c r="L121" s="145">
        <f t="shared" si="365"/>
        <v>14804</v>
      </c>
      <c r="M121" s="145">
        <f t="shared" ref="M121:P121" si="366">SUM(M119:M120)</f>
        <v>16865</v>
      </c>
      <c r="N121" s="145">
        <f t="shared" ref="N121" si="367">SUM(N119:N120)</f>
        <v>15353</v>
      </c>
      <c r="O121" s="145">
        <f t="shared" si="366"/>
        <v>13478</v>
      </c>
      <c r="P121" s="145">
        <f t="shared" si="366"/>
        <v>15251</v>
      </c>
      <c r="Q121" s="145">
        <f t="shared" ref="Q121:AA121" si="368">SUM(Q119:Q120)</f>
        <v>15596</v>
      </c>
      <c r="R121" s="145">
        <f t="shared" si="368"/>
        <v>12420</v>
      </c>
      <c r="S121" s="145">
        <f t="shared" si="368"/>
        <v>29803</v>
      </c>
      <c r="T121" s="145">
        <f t="shared" si="368"/>
        <v>37899</v>
      </c>
      <c r="U121" s="145">
        <f t="shared" si="368"/>
        <v>42827</v>
      </c>
      <c r="V121" s="145">
        <f t="shared" si="368"/>
        <v>33284</v>
      </c>
      <c r="W121" s="145">
        <f t="shared" si="368"/>
        <v>33026</v>
      </c>
      <c r="X121" s="145">
        <f t="shared" si="368"/>
        <v>45127</v>
      </c>
      <c r="Y121" s="145">
        <f t="shared" si="368"/>
        <v>45438</v>
      </c>
      <c r="Z121" s="145">
        <f t="shared" si="368"/>
        <v>30071</v>
      </c>
      <c r="AA121" s="145">
        <f t="shared" si="368"/>
        <v>13828</v>
      </c>
      <c r="AB121" s="32"/>
      <c r="AC121" s="145">
        <f t="shared" ref="AC121:AJ121" si="369">SUM(AC119:AC120)</f>
        <v>37899</v>
      </c>
      <c r="AD121" s="145">
        <f t="shared" si="369"/>
        <v>42827</v>
      </c>
      <c r="AE121" s="145">
        <f t="shared" si="369"/>
        <v>33284</v>
      </c>
      <c r="AF121" s="145">
        <f t="shared" si="369"/>
        <v>33026</v>
      </c>
      <c r="AG121" s="145">
        <f t="shared" si="369"/>
        <v>45127</v>
      </c>
      <c r="AH121" s="145">
        <f t="shared" si="369"/>
        <v>45438</v>
      </c>
      <c r="AI121" s="145">
        <f t="shared" si="369"/>
        <v>30071</v>
      </c>
      <c r="AJ121" s="146">
        <f t="shared" si="369"/>
        <v>13828</v>
      </c>
      <c r="AK121" s="11"/>
      <c r="AL121" s="45"/>
    </row>
    <row r="122" spans="2:38" ht="5.0999999999999996" customHeight="1">
      <c r="B122" s="136"/>
      <c r="C122" s="71"/>
      <c r="D122" s="71"/>
      <c r="E122" s="71"/>
      <c r="F122" s="71"/>
      <c r="G122" s="71"/>
      <c r="H122" s="32"/>
      <c r="I122" s="71"/>
      <c r="J122" s="71"/>
      <c r="K122" s="71"/>
      <c r="L122" s="71"/>
      <c r="M122" s="71"/>
      <c r="N122" s="71"/>
      <c r="O122" s="71"/>
      <c r="P122" s="71"/>
      <c r="Q122" s="71"/>
      <c r="R122" s="71"/>
      <c r="S122" s="71"/>
      <c r="T122" s="71"/>
      <c r="U122" s="71"/>
      <c r="V122" s="71"/>
      <c r="W122" s="71"/>
      <c r="X122" s="71"/>
      <c r="Y122" s="71"/>
      <c r="Z122" s="71"/>
      <c r="AA122" s="71"/>
      <c r="AB122" s="32"/>
      <c r="AC122" s="71"/>
      <c r="AD122" s="71"/>
      <c r="AE122" s="71"/>
      <c r="AF122" s="71"/>
      <c r="AG122" s="71"/>
      <c r="AH122" s="71"/>
      <c r="AI122" s="71"/>
      <c r="AJ122" s="134"/>
      <c r="AK122" s="11"/>
      <c r="AL122" s="45"/>
    </row>
    <row r="123" spans="2:38">
      <c r="B123" s="130" t="s">
        <v>81</v>
      </c>
      <c r="C123" s="82">
        <v>279</v>
      </c>
      <c r="D123" s="82">
        <v>-474</v>
      </c>
      <c r="E123" s="82">
        <v>-638</v>
      </c>
      <c r="F123" s="82">
        <v>113</v>
      </c>
      <c r="G123" s="82">
        <v>-786</v>
      </c>
      <c r="H123" s="32"/>
      <c r="I123" s="82">
        <v>-246</v>
      </c>
      <c r="J123" s="82">
        <f>-129-I123</f>
        <v>117</v>
      </c>
      <c r="K123" s="82">
        <f>-344-J123-I123</f>
        <v>-215</v>
      </c>
      <c r="L123" s="32">
        <f t="shared" ref="L123" si="370">SUM(D123-SUM(I123:K123))</f>
        <v>-130</v>
      </c>
      <c r="M123" s="82">
        <v>-149</v>
      </c>
      <c r="N123" s="82">
        <f>-698-M123</f>
        <v>-549</v>
      </c>
      <c r="O123" s="82">
        <f>-1063-N123-M123</f>
        <v>-365</v>
      </c>
      <c r="P123" s="32">
        <f t="shared" ref="P123" si="371">SUM(E123-SUM(M123:O123))</f>
        <v>425</v>
      </c>
      <c r="Q123" s="82">
        <v>85</v>
      </c>
      <c r="R123" s="82">
        <f>71-Q123</f>
        <v>-14</v>
      </c>
      <c r="S123" s="82">
        <f>-283-R123-Q123</f>
        <v>-354</v>
      </c>
      <c r="T123" s="32">
        <f>SUM(F123-SUM(Q123:S123))</f>
        <v>396</v>
      </c>
      <c r="U123" s="82">
        <v>-288</v>
      </c>
      <c r="V123" s="82">
        <f>-440-U123</f>
        <v>-152</v>
      </c>
      <c r="W123" s="82">
        <f>-72-V123-U123</f>
        <v>368</v>
      </c>
      <c r="X123" s="32">
        <f>SUM(G123-SUM(U123:W123))</f>
        <v>-714</v>
      </c>
      <c r="Y123" s="82">
        <v>112</v>
      </c>
      <c r="Z123" s="82">
        <f>243-Y123</f>
        <v>131</v>
      </c>
      <c r="AA123" s="82">
        <f>252-Z123-Y123</f>
        <v>9</v>
      </c>
      <c r="AB123" s="32"/>
      <c r="AC123" s="32">
        <f>T123</f>
        <v>396</v>
      </c>
      <c r="AD123" s="32">
        <f t="shared" ref="AD123:AJ125" si="372">U123</f>
        <v>-288</v>
      </c>
      <c r="AE123" s="32">
        <f t="shared" si="372"/>
        <v>-152</v>
      </c>
      <c r="AF123" s="32">
        <f t="shared" si="372"/>
        <v>368</v>
      </c>
      <c r="AG123" s="32">
        <f t="shared" si="372"/>
        <v>-714</v>
      </c>
      <c r="AH123" s="32">
        <f t="shared" si="372"/>
        <v>112</v>
      </c>
      <c r="AI123" s="32">
        <f t="shared" si="372"/>
        <v>131</v>
      </c>
      <c r="AJ123" s="133">
        <f t="shared" si="372"/>
        <v>9</v>
      </c>
      <c r="AK123" s="11"/>
      <c r="AL123" s="45"/>
    </row>
    <row r="124" spans="2:38">
      <c r="B124" s="130" t="s">
        <v>91</v>
      </c>
      <c r="C124" s="82">
        <f>-241-137</f>
        <v>-378</v>
      </c>
      <c r="D124" s="82">
        <f>-149-115</f>
        <v>-264</v>
      </c>
      <c r="E124" s="82">
        <f>-294-621</f>
        <v>-915</v>
      </c>
      <c r="F124" s="82">
        <f>-99-866</f>
        <v>-965</v>
      </c>
      <c r="G124" s="82">
        <f>-353-1196</f>
        <v>-1549</v>
      </c>
      <c r="H124" s="32"/>
      <c r="I124" s="82">
        <f>-257-121</f>
        <v>-378</v>
      </c>
      <c r="J124" s="82">
        <f>-124-201</f>
        <v>-325</v>
      </c>
      <c r="K124" s="82">
        <f>-195-113</f>
        <v>-308</v>
      </c>
      <c r="L124" s="32">
        <f>D124</f>
        <v>-264</v>
      </c>
      <c r="M124" s="82">
        <f>-294-173</f>
        <v>-467</v>
      </c>
      <c r="N124" s="82">
        <f>-569-228</f>
        <v>-797</v>
      </c>
      <c r="O124" s="82">
        <f>-232-711</f>
        <v>-943</v>
      </c>
      <c r="P124" s="32">
        <f>E124</f>
        <v>-915</v>
      </c>
      <c r="Q124" s="82">
        <f>-224-645</f>
        <v>-869</v>
      </c>
      <c r="R124" s="82">
        <f>-854-165</f>
        <v>-1019</v>
      </c>
      <c r="S124" s="82">
        <f>-858-152</f>
        <v>-1010</v>
      </c>
      <c r="T124" s="32">
        <f>F124</f>
        <v>-965</v>
      </c>
      <c r="U124" s="82">
        <f>-893-84</f>
        <v>-977</v>
      </c>
      <c r="V124" s="82">
        <f>-881-100</f>
        <v>-981</v>
      </c>
      <c r="W124" s="82">
        <f>-1185-90</f>
        <v>-1275</v>
      </c>
      <c r="X124" s="32">
        <f>G124</f>
        <v>-1549</v>
      </c>
      <c r="Y124" s="82">
        <f>-1250-71</f>
        <v>-1321</v>
      </c>
      <c r="Z124" s="82">
        <f>-1662-161</f>
        <v>-1823</v>
      </c>
      <c r="AA124" s="82">
        <f>-1612-142</f>
        <v>-1754</v>
      </c>
      <c r="AB124" s="32"/>
      <c r="AC124" s="32">
        <f>T124</f>
        <v>-965</v>
      </c>
      <c r="AD124" s="32">
        <f t="shared" si="372"/>
        <v>-977</v>
      </c>
      <c r="AE124" s="32">
        <f t="shared" si="372"/>
        <v>-981</v>
      </c>
      <c r="AF124" s="32">
        <f t="shared" si="372"/>
        <v>-1275</v>
      </c>
      <c r="AG124" s="32">
        <f t="shared" si="372"/>
        <v>-1549</v>
      </c>
      <c r="AH124" s="32">
        <f t="shared" si="372"/>
        <v>-1321</v>
      </c>
      <c r="AI124" s="32">
        <f t="shared" si="372"/>
        <v>-1823</v>
      </c>
      <c r="AJ124" s="133">
        <f t="shared" si="372"/>
        <v>-1754</v>
      </c>
      <c r="AK124" s="11"/>
      <c r="AL124" s="45"/>
    </row>
    <row r="125" spans="2:38">
      <c r="B125" s="130" t="s">
        <v>59</v>
      </c>
      <c r="C125" s="32">
        <f>+C117+C108+C98</f>
        <v>-1604</v>
      </c>
      <c r="D125" s="32">
        <f>+D117+D108+D98</f>
        <v>-615</v>
      </c>
      <c r="E125" s="32">
        <f>+E117+E108+E98</f>
        <v>-631</v>
      </c>
      <c r="F125" s="32">
        <f>+F117+F108+F98</f>
        <v>27118</v>
      </c>
      <c r="G125" s="32">
        <f>+G117+G108+G98</f>
        <v>3397</v>
      </c>
      <c r="H125" s="32"/>
      <c r="I125" s="32">
        <f>+I117+I108+I98</f>
        <v>2183</v>
      </c>
      <c r="J125" s="32">
        <f>+J117+J108+J98</f>
        <v>-3498</v>
      </c>
      <c r="K125" s="32">
        <f>+K117+K108+K98</f>
        <v>-1491</v>
      </c>
      <c r="L125" s="32">
        <f>+L117+L108+L98</f>
        <v>2191</v>
      </c>
      <c r="M125" s="32">
        <f>+M117+M108+M98</f>
        <v>-1363</v>
      </c>
      <c r="N125" s="32">
        <f>+N117+N108+N98</f>
        <v>-1326</v>
      </c>
      <c r="O125" s="32">
        <f>+O117+O108+O98</f>
        <v>2138</v>
      </c>
      <c r="P125" s="32">
        <f>+P117+P108+P98</f>
        <v>-80</v>
      </c>
      <c r="Q125" s="32">
        <f>+Q117+Q108+Q98</f>
        <v>-3261</v>
      </c>
      <c r="R125" s="32">
        <f>+R117+R108+R98</f>
        <v>17397</v>
      </c>
      <c r="S125" s="32">
        <f>+S117+S108+S98</f>
        <v>8450</v>
      </c>
      <c r="T125" s="32">
        <f>+T117+T108+T98</f>
        <v>4532</v>
      </c>
      <c r="U125" s="32">
        <f>+U117+U108+U98</f>
        <v>-9255</v>
      </c>
      <c r="V125" s="32">
        <f>+V117+V108+V98</f>
        <v>-106</v>
      </c>
      <c r="W125" s="32">
        <f>+W117+W108+W98</f>
        <v>11733</v>
      </c>
      <c r="X125" s="32">
        <f>+X117+X108+X98</f>
        <v>1025</v>
      </c>
      <c r="Y125" s="32">
        <f>+Y117+Y108+Y98</f>
        <v>-15479</v>
      </c>
      <c r="Z125" s="32">
        <f>+Z117+Z108+Z98</f>
        <v>-16374</v>
      </c>
      <c r="AA125" s="32">
        <f>+AA117+AA108+AA98</f>
        <v>-1896</v>
      </c>
      <c r="AB125" s="32"/>
      <c r="AC125" s="32">
        <f>T125</f>
        <v>4532</v>
      </c>
      <c r="AD125" s="32">
        <f t="shared" si="372"/>
        <v>-9255</v>
      </c>
      <c r="AE125" s="32">
        <f t="shared" si="372"/>
        <v>-106</v>
      </c>
      <c r="AF125" s="32">
        <f t="shared" si="372"/>
        <v>11733</v>
      </c>
      <c r="AG125" s="32">
        <f t="shared" si="372"/>
        <v>1025</v>
      </c>
      <c r="AH125" s="32">
        <f t="shared" si="372"/>
        <v>-15479</v>
      </c>
      <c r="AI125" s="32">
        <f t="shared" si="372"/>
        <v>-16374</v>
      </c>
      <c r="AJ125" s="133">
        <f t="shared" si="372"/>
        <v>-1896</v>
      </c>
      <c r="AK125" s="11"/>
      <c r="AL125" s="45"/>
    </row>
    <row r="126" spans="2:38">
      <c r="B126" s="89" t="s">
        <v>69</v>
      </c>
      <c r="C126" s="145">
        <f t="shared" ref="C126:G126" si="373">SUM(C121:C125)</f>
        <v>17576</v>
      </c>
      <c r="D126" s="145">
        <f t="shared" si="373"/>
        <v>16601</v>
      </c>
      <c r="E126" s="145">
        <f t="shared" si="373"/>
        <v>14681</v>
      </c>
      <c r="F126" s="145">
        <f t="shared" si="373"/>
        <v>41862</v>
      </c>
      <c r="G126" s="145">
        <f t="shared" si="373"/>
        <v>43889</v>
      </c>
      <c r="H126" s="32"/>
      <c r="I126" s="145">
        <f t="shared" ref="I126:L126" si="374">SUM(I121:I125)</f>
        <v>19513</v>
      </c>
      <c r="J126" s="145">
        <f t="shared" si="374"/>
        <v>16185</v>
      </c>
      <c r="K126" s="145">
        <f t="shared" si="374"/>
        <v>14496</v>
      </c>
      <c r="L126" s="145">
        <f t="shared" si="374"/>
        <v>16601</v>
      </c>
      <c r="M126" s="145">
        <f t="shared" ref="M126:P126" si="375">SUM(M121:M125)</f>
        <v>14886</v>
      </c>
      <c r="N126" s="145">
        <f t="shared" ref="N126" si="376">SUM(N121:N125)</f>
        <v>12681</v>
      </c>
      <c r="O126" s="145">
        <f t="shared" si="375"/>
        <v>14308</v>
      </c>
      <c r="P126" s="145">
        <f t="shared" si="375"/>
        <v>14681</v>
      </c>
      <c r="Q126" s="145">
        <f t="shared" ref="Q126:AA126" si="377">SUM(Q121:Q125)</f>
        <v>11551</v>
      </c>
      <c r="R126" s="145">
        <f t="shared" si="377"/>
        <v>28784</v>
      </c>
      <c r="S126" s="145">
        <f t="shared" si="377"/>
        <v>36889</v>
      </c>
      <c r="T126" s="145">
        <f t="shared" si="377"/>
        <v>41862</v>
      </c>
      <c r="U126" s="145">
        <f t="shared" si="377"/>
        <v>32307</v>
      </c>
      <c r="V126" s="145">
        <f t="shared" si="377"/>
        <v>32045</v>
      </c>
      <c r="W126" s="145">
        <f t="shared" si="377"/>
        <v>43852</v>
      </c>
      <c r="X126" s="145">
        <f t="shared" si="377"/>
        <v>43889</v>
      </c>
      <c r="Y126" s="145">
        <f t="shared" si="377"/>
        <v>28750</v>
      </c>
      <c r="Z126" s="145">
        <f t="shared" si="377"/>
        <v>12005</v>
      </c>
      <c r="AA126" s="145">
        <f t="shared" si="377"/>
        <v>10187</v>
      </c>
      <c r="AB126" s="32"/>
      <c r="AC126" s="145">
        <f t="shared" ref="AC126:AJ126" si="378">SUM(AC121:AC125)</f>
        <v>41862</v>
      </c>
      <c r="AD126" s="145">
        <f t="shared" si="378"/>
        <v>32307</v>
      </c>
      <c r="AE126" s="145">
        <f t="shared" si="378"/>
        <v>32045</v>
      </c>
      <c r="AF126" s="145">
        <f t="shared" si="378"/>
        <v>43852</v>
      </c>
      <c r="AG126" s="145">
        <f t="shared" si="378"/>
        <v>43889</v>
      </c>
      <c r="AH126" s="145">
        <f t="shared" si="378"/>
        <v>28750</v>
      </c>
      <c r="AI126" s="145">
        <f t="shared" si="378"/>
        <v>12005</v>
      </c>
      <c r="AJ126" s="146">
        <f t="shared" si="378"/>
        <v>10187</v>
      </c>
      <c r="AK126" s="11"/>
      <c r="AL126" s="45"/>
    </row>
    <row r="127" spans="2:38" ht="5.0999999999999996" customHeight="1">
      <c r="B127" s="90"/>
      <c r="C127" s="65"/>
      <c r="D127" s="65"/>
      <c r="E127" s="65"/>
      <c r="F127" s="65"/>
      <c r="G127" s="65"/>
      <c r="H127" s="32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C127" s="11"/>
      <c r="AD127" s="11"/>
      <c r="AE127" s="11"/>
      <c r="AF127" s="11"/>
      <c r="AG127" s="11"/>
      <c r="AH127" s="11"/>
      <c r="AI127" s="11"/>
      <c r="AJ127" s="91"/>
      <c r="AK127" s="11"/>
      <c r="AL127" s="45"/>
    </row>
    <row r="128" spans="2:38">
      <c r="B128" s="137" t="s">
        <v>84</v>
      </c>
      <c r="C128" s="87">
        <f>ROUND(C126-C42,-1)</f>
        <v>0</v>
      </c>
      <c r="D128" s="87">
        <f>ROUND(D126-D42,-1)</f>
        <v>0</v>
      </c>
      <c r="E128" s="87">
        <f>ROUND(E126-E42,-1)</f>
        <v>0</v>
      </c>
      <c r="F128" s="87">
        <f>ROUND(F126-F42,-1)</f>
        <v>0</v>
      </c>
      <c r="G128" s="87">
        <f>ROUND(G126-G42,-1)</f>
        <v>0</v>
      </c>
      <c r="H128" s="88"/>
      <c r="I128" s="87">
        <f>ROUND(I126-I42,-1)</f>
        <v>0</v>
      </c>
      <c r="J128" s="87">
        <f>ROUND(J126-J42,-1)</f>
        <v>0</v>
      </c>
      <c r="K128" s="87">
        <f>ROUND(K126-K42,-1)</f>
        <v>0</v>
      </c>
      <c r="L128" s="87">
        <f>ROUND(L126-L42,-1)</f>
        <v>0</v>
      </c>
      <c r="M128" s="87">
        <f>ROUND(M126-M42,-1)</f>
        <v>0</v>
      </c>
      <c r="N128" s="87">
        <f>ROUND(N126-N42,-1)</f>
        <v>0</v>
      </c>
      <c r="O128" s="87">
        <f>ROUND(O126-O42,-1)</f>
        <v>0</v>
      </c>
      <c r="P128" s="87">
        <f>ROUND(P126-P42,-1)</f>
        <v>0</v>
      </c>
      <c r="Q128" s="87">
        <f>ROUND(Q126-Q42,-1)</f>
        <v>0</v>
      </c>
      <c r="R128" s="87">
        <f>ROUND(R126-R42,-1)</f>
        <v>0</v>
      </c>
      <c r="S128" s="87">
        <f>ROUND(S126-S42,-1)</f>
        <v>0</v>
      </c>
      <c r="T128" s="87">
        <f>ROUND(T126-T42,-1)</f>
        <v>0</v>
      </c>
      <c r="U128" s="87">
        <f>ROUND(U126-U42,-1)</f>
        <v>0</v>
      </c>
      <c r="V128" s="87">
        <f>ROUND(V126-V42,-1)</f>
        <v>0</v>
      </c>
      <c r="W128" s="87">
        <f>ROUND(W126-W42,-1)</f>
        <v>0</v>
      </c>
      <c r="X128" s="87">
        <f>ROUND(X126-X42,-1)</f>
        <v>0</v>
      </c>
      <c r="Y128" s="87">
        <f>ROUND(Y126-Y42,-1)</f>
        <v>0</v>
      </c>
      <c r="Z128" s="87">
        <f>ROUND(Z126-Z42,-1)</f>
        <v>0</v>
      </c>
      <c r="AA128" s="87">
        <f>ROUND(AA126-AA42,-1)</f>
        <v>0</v>
      </c>
      <c r="AB128" s="87"/>
      <c r="AC128" s="87">
        <f>AC126-AC42</f>
        <v>0</v>
      </c>
      <c r="AD128" s="87">
        <f>AD126-AD42</f>
        <v>0</v>
      </c>
      <c r="AE128" s="87">
        <f>AE126-AE42</f>
        <v>0</v>
      </c>
      <c r="AF128" s="87">
        <f>AF126-AF42</f>
        <v>0</v>
      </c>
      <c r="AG128" s="87">
        <f>AG126-AG42</f>
        <v>0</v>
      </c>
      <c r="AH128" s="87">
        <f>AH126-AH42</f>
        <v>0</v>
      </c>
      <c r="AI128" s="87">
        <f>AI126-AI42</f>
        <v>0</v>
      </c>
      <c r="AJ128" s="135">
        <f>AJ126-AJ42</f>
        <v>0</v>
      </c>
      <c r="AK128" s="11"/>
      <c r="AL128" s="45"/>
    </row>
    <row r="129" spans="2:38" ht="5.0999999999999996" customHeight="1">
      <c r="B129" s="8"/>
      <c r="C129" s="65"/>
      <c r="D129" s="65"/>
      <c r="E129" s="65"/>
      <c r="F129" s="65"/>
      <c r="G129" s="65"/>
      <c r="H129" s="32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C129" s="11"/>
      <c r="AD129" s="11"/>
      <c r="AE129" s="11"/>
      <c r="AF129" s="11"/>
      <c r="AG129" s="11"/>
      <c r="AH129" s="11"/>
      <c r="AI129" s="11"/>
      <c r="AJ129" s="11"/>
      <c r="AK129" s="11"/>
      <c r="AL129" s="45"/>
    </row>
    <row r="130" spans="2:38" ht="12.75" customHeight="1">
      <c r="B130" s="72" t="s">
        <v>60</v>
      </c>
      <c r="C130" s="62"/>
      <c r="D130" s="62"/>
      <c r="E130" s="62"/>
      <c r="F130" s="62"/>
      <c r="G130" s="62"/>
      <c r="H130" s="11"/>
      <c r="I130" s="62"/>
      <c r="J130" s="62"/>
      <c r="K130" s="62"/>
      <c r="L130" s="62"/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82"/>
      <c r="Z130" s="62"/>
      <c r="AA130" s="62"/>
      <c r="AC130" s="62"/>
      <c r="AD130" s="62"/>
      <c r="AE130" s="62"/>
      <c r="AF130" s="62"/>
      <c r="AG130" s="62"/>
      <c r="AH130" s="62"/>
      <c r="AI130" s="62"/>
      <c r="AJ130" s="62"/>
      <c r="AK130" s="66"/>
      <c r="AL130" s="45"/>
    </row>
    <row r="131" spans="2:38" ht="12.75" customHeight="1">
      <c r="B131" s="8" t="s">
        <v>102</v>
      </c>
      <c r="C131" s="82">
        <v>4229</v>
      </c>
      <c r="D131" s="82">
        <v>8525</v>
      </c>
      <c r="E131" s="82">
        <v>6407</v>
      </c>
      <c r="F131" s="82">
        <v>6607</v>
      </c>
      <c r="G131" s="82">
        <v>10554</v>
      </c>
      <c r="H131" s="11"/>
      <c r="I131" s="82">
        <v>2907</v>
      </c>
      <c r="J131" s="82">
        <f>6294-I131</f>
        <v>3387</v>
      </c>
      <c r="K131" s="82">
        <f>7919-J131-I131</f>
        <v>1625</v>
      </c>
      <c r="L131" s="32">
        <f t="shared" ref="L131:L132" si="379">SUM(D131-SUM(I131:K131))</f>
        <v>606</v>
      </c>
      <c r="M131" s="82">
        <v>502</v>
      </c>
      <c r="N131" s="82">
        <f>2641-M131</f>
        <v>2139</v>
      </c>
      <c r="O131" s="82">
        <f>4647-N131-M131</f>
        <v>2006</v>
      </c>
      <c r="P131" s="32">
        <f t="shared" ref="P131:P132" si="380">SUM(E130-SUM(M131:O131))</f>
        <v>-4647</v>
      </c>
      <c r="Q131" s="82">
        <v>405</v>
      </c>
      <c r="R131" s="82">
        <f>1507-Q131</f>
        <v>1102</v>
      </c>
      <c r="S131" s="82">
        <f>2016-R131-Q131</f>
        <v>509</v>
      </c>
      <c r="T131" s="32">
        <f>SUM(F131-SUM(Q131:S131))</f>
        <v>4591</v>
      </c>
      <c r="U131" s="82">
        <v>630</v>
      </c>
      <c r="V131" s="82">
        <f>6559-U131</f>
        <v>5929</v>
      </c>
      <c r="W131" s="82">
        <f>8326-V131-U131</f>
        <v>1767</v>
      </c>
      <c r="X131" s="32">
        <f>SUM(G131-SUM(U131:W131))</f>
        <v>2228</v>
      </c>
      <c r="Y131" s="82">
        <v>448</v>
      </c>
      <c r="Z131" s="82">
        <f>5544-Y131</f>
        <v>5096</v>
      </c>
      <c r="AA131" s="82">
        <f>6293-Z131-Y131</f>
        <v>749</v>
      </c>
      <c r="AC131" s="32">
        <f t="shared" ref="AC131:AJ132" si="381">SUM(Q131:T131)</f>
        <v>6607</v>
      </c>
      <c r="AD131" s="32">
        <f t="shared" si="381"/>
        <v>6832</v>
      </c>
      <c r="AE131" s="32">
        <f t="shared" si="381"/>
        <v>11659</v>
      </c>
      <c r="AF131" s="32">
        <f t="shared" si="381"/>
        <v>12917</v>
      </c>
      <c r="AG131" s="32">
        <f t="shared" si="381"/>
        <v>10554</v>
      </c>
      <c r="AH131" s="32">
        <f t="shared" si="381"/>
        <v>10372</v>
      </c>
      <c r="AI131" s="32">
        <f t="shared" si="381"/>
        <v>9539</v>
      </c>
      <c r="AJ131" s="32">
        <f t="shared" si="381"/>
        <v>8521</v>
      </c>
      <c r="AK131" s="66"/>
      <c r="AL131" s="45"/>
    </row>
    <row r="132" spans="2:38" ht="12.75" customHeight="1">
      <c r="B132" s="8" t="s">
        <v>168</v>
      </c>
      <c r="C132" s="82">
        <v>0</v>
      </c>
      <c r="D132" s="82">
        <v>0</v>
      </c>
      <c r="E132" s="82">
        <v>0</v>
      </c>
      <c r="F132" s="82">
        <v>448</v>
      </c>
      <c r="G132" s="82">
        <v>486</v>
      </c>
      <c r="H132" s="32"/>
      <c r="I132" s="82">
        <v>0</v>
      </c>
      <c r="J132" s="82">
        <v>0</v>
      </c>
      <c r="K132" s="82">
        <v>0</v>
      </c>
      <c r="L132" s="32">
        <f t="shared" si="379"/>
        <v>0</v>
      </c>
      <c r="M132" s="82">
        <v>0</v>
      </c>
      <c r="N132" s="82">
        <v>0</v>
      </c>
      <c r="O132" s="82">
        <v>0</v>
      </c>
      <c r="P132" s="32">
        <f t="shared" si="380"/>
        <v>6407</v>
      </c>
      <c r="Q132" s="82">
        <v>182</v>
      </c>
      <c r="R132" s="82">
        <f>182-Q132</f>
        <v>0</v>
      </c>
      <c r="S132" s="82">
        <f>302-R132-Q132</f>
        <v>120</v>
      </c>
      <c r="T132" s="32">
        <f>SUM(F132-SUM(Q132:S132))</f>
        <v>146</v>
      </c>
      <c r="U132" s="82">
        <v>121</v>
      </c>
      <c r="V132" s="82">
        <f>245-U132</f>
        <v>124</v>
      </c>
      <c r="W132" s="82">
        <f>356-V132-U132</f>
        <v>111</v>
      </c>
      <c r="X132" s="32">
        <f>SUM(G132-SUM(U132:W132))</f>
        <v>130</v>
      </c>
      <c r="Y132" s="82">
        <v>352</v>
      </c>
      <c r="Z132" s="82">
        <f>478-Y132</f>
        <v>126</v>
      </c>
      <c r="AA132" s="82">
        <f>603-Z132-Y132</f>
        <v>125</v>
      </c>
      <c r="AB132" s="32"/>
      <c r="AC132" s="32">
        <f t="shared" si="381"/>
        <v>448</v>
      </c>
      <c r="AD132" s="32">
        <f t="shared" si="381"/>
        <v>387</v>
      </c>
      <c r="AE132" s="32">
        <f t="shared" si="381"/>
        <v>511</v>
      </c>
      <c r="AF132" s="32">
        <f t="shared" si="381"/>
        <v>502</v>
      </c>
      <c r="AG132" s="32">
        <f t="shared" si="381"/>
        <v>486</v>
      </c>
      <c r="AH132" s="32">
        <f t="shared" si="381"/>
        <v>717</v>
      </c>
      <c r="AI132" s="32">
        <f t="shared" si="381"/>
        <v>719</v>
      </c>
      <c r="AJ132" s="32">
        <f t="shared" si="381"/>
        <v>733</v>
      </c>
      <c r="AK132" s="11"/>
      <c r="AL132" s="45"/>
    </row>
    <row r="133" spans="2:38" ht="5.0999999999999996" customHeight="1" thickBot="1">
      <c r="B133" s="73"/>
      <c r="C133" s="74"/>
      <c r="D133" s="74"/>
      <c r="E133" s="74"/>
      <c r="F133" s="74"/>
      <c r="G133" s="74"/>
      <c r="H133" s="73"/>
      <c r="I133" s="73"/>
      <c r="J133" s="73"/>
      <c r="K133" s="73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L133" s="45"/>
    </row>
    <row r="134" spans="2:38" ht="12.75" customHeight="1">
      <c r="B134" s="53"/>
      <c r="C134" s="67"/>
      <c r="D134" s="67"/>
      <c r="E134" s="67"/>
      <c r="F134" s="67"/>
      <c r="G134" s="67"/>
    </row>
    <row r="135" spans="2:38" ht="12.75" customHeight="1">
      <c r="C135" s="56"/>
      <c r="D135" s="56"/>
      <c r="E135" s="56"/>
      <c r="F135" s="56"/>
      <c r="G135" s="56"/>
    </row>
    <row r="136" spans="2:38" ht="12.75" customHeight="1"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6"/>
      <c r="S136" s="56"/>
      <c r="T136" s="56"/>
      <c r="U136" s="56"/>
    </row>
    <row r="137" spans="2:38" ht="12.75" customHeight="1"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6"/>
      <c r="S137" s="56"/>
      <c r="T137" s="56"/>
      <c r="U137" s="56"/>
    </row>
    <row r="138" spans="2:38" ht="12.75" customHeight="1"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6"/>
      <c r="S138" s="56"/>
      <c r="T138" s="56"/>
      <c r="U138" s="56"/>
    </row>
    <row r="139" spans="2:38" ht="12.75" customHeight="1"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6"/>
      <c r="S139" s="56"/>
      <c r="T139" s="56"/>
      <c r="U139" s="56"/>
    </row>
    <row r="140" spans="2:38" ht="12.75" customHeight="1"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6"/>
      <c r="S140" s="56"/>
      <c r="T140" s="56"/>
      <c r="U140" s="56"/>
      <c r="V140" s="86"/>
    </row>
    <row r="141" spans="2:38" ht="12.75" customHeight="1"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6"/>
      <c r="S141" s="56"/>
      <c r="T141" s="56"/>
      <c r="U141" s="56"/>
    </row>
    <row r="142" spans="2:38" ht="12.75" customHeight="1"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6"/>
      <c r="S142" s="56"/>
      <c r="T142" s="56"/>
      <c r="U142" s="56"/>
      <c r="V142" s="86"/>
    </row>
    <row r="143" spans="2:38"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6"/>
      <c r="S143" s="56"/>
      <c r="T143" s="56"/>
      <c r="U143" s="56"/>
      <c r="V143" s="86"/>
    </row>
    <row r="144" spans="2:38"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6"/>
      <c r="S144" s="56"/>
      <c r="T144" s="56"/>
      <c r="U144" s="56"/>
      <c r="V144" s="86"/>
    </row>
    <row r="145" spans="5:22"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6"/>
      <c r="S145" s="56"/>
      <c r="T145" s="56"/>
      <c r="U145" s="56"/>
    </row>
    <row r="146" spans="5:22"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6"/>
      <c r="S146" s="56"/>
      <c r="T146" s="56"/>
      <c r="U146" s="56"/>
      <c r="V146" s="86"/>
    </row>
    <row r="147" spans="5:22"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86"/>
    </row>
    <row r="148" spans="5:22"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6"/>
      <c r="S148" s="56"/>
      <c r="T148" s="56"/>
      <c r="U148" s="56"/>
    </row>
    <row r="149" spans="5:22"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6"/>
      <c r="S149" s="56"/>
      <c r="T149" s="56"/>
      <c r="U149" s="56"/>
    </row>
  </sheetData>
  <mergeCells count="3">
    <mergeCell ref="AL6:AL8"/>
    <mergeCell ref="AL37:AL39"/>
    <mergeCell ref="AL79:AL81"/>
  </mergeCells>
  <pageMargins left="0.7" right="0.7" top="0.75" bottom="0.75" header="0.3" footer="0.3"/>
  <ignoredErrors>
    <ignoredError sqref="H46 AC21:AG22 AC25:AJ26 AC10:AJ10" formulaRange="1"/>
    <ignoredError sqref="D21:G22 Q21:AA22 Q25:AA25 D25:G25 AJ109:AL110 AJ98:AL99 AJ100:AK100 M28:AJ30 M32:AJ33 T31 M35:AJ35 AB34:AJ34 C28:H30 H27 AB27 C32:H33 H31 C35:H35 H34 X31 AK108:AL108 AB31:AJ31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177D2-8829-42BE-A7B1-460B1A987ED3}">
  <sheetPr>
    <tabColor rgb="FFC00000"/>
  </sheetPr>
  <dimension ref="A2:AJ39"/>
  <sheetViews>
    <sheetView showGridLines="0" zoomScaleNormal="100" workbookViewId="0">
      <selection activeCell="B18" sqref="B18"/>
    </sheetView>
  </sheetViews>
  <sheetFormatPr defaultRowHeight="12" outlineLevelRow="1" outlineLevelCol="1"/>
  <cols>
    <col min="1" max="1" width="1.5" style="8" customWidth="1"/>
    <col min="2" max="2" width="46.5" style="8" bestFit="1" customWidth="1"/>
    <col min="3" max="7" width="8.625" style="8" bestFit="1" customWidth="1"/>
    <col min="8" max="8" width="1.5" style="8" customWidth="1"/>
    <col min="9" max="18" width="8" style="8" customWidth="1" outlineLevel="1"/>
    <col min="19" max="20" width="8.75" style="8" customWidth="1" outlineLevel="1"/>
    <col min="21" max="21" width="8.5" style="8" customWidth="1" outlineLevel="1"/>
    <col min="22" max="22" width="8.25" style="8" customWidth="1" outlineLevel="1"/>
    <col min="23" max="23" width="8.5" style="8" bestFit="1" customWidth="1"/>
    <col min="24" max="27" width="9.125" style="8" bestFit="1" customWidth="1"/>
    <col min="28" max="28" width="1.5" style="8" customWidth="1"/>
    <col min="29" max="31" width="8.75" style="8" customWidth="1" outlineLevel="1"/>
    <col min="32" max="32" width="8.75" style="8" customWidth="1"/>
    <col min="33" max="35" width="8.75" style="8" customWidth="1" outlineLevel="1"/>
    <col min="36" max="36" width="8.75" style="8" customWidth="1"/>
    <col min="37" max="16384" width="9" style="8"/>
  </cols>
  <sheetData>
    <row r="2" spans="1:36" s="5" customFormat="1" ht="12.75" customHeight="1">
      <c r="B2" s="1" t="str">
        <f>'Historical Financials'!B2</f>
        <v>Meta Platforms, Inc. (NASDAQ: META)</v>
      </c>
      <c r="C2" s="2" t="s">
        <v>0</v>
      </c>
      <c r="D2" s="2" t="s">
        <v>0</v>
      </c>
      <c r="E2" s="2" t="s">
        <v>0</v>
      </c>
      <c r="F2" s="2"/>
      <c r="G2" s="2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 t="s">
        <v>1</v>
      </c>
      <c r="X2" s="2"/>
      <c r="Y2" s="2"/>
      <c r="Z2" s="2"/>
      <c r="AA2" s="2"/>
      <c r="AB2" s="3"/>
      <c r="AC2" s="2"/>
      <c r="AD2" s="2"/>
      <c r="AE2" s="2"/>
      <c r="AF2" s="2"/>
      <c r="AG2" s="2"/>
      <c r="AH2" s="2"/>
      <c r="AI2" s="2"/>
      <c r="AJ2" s="2"/>
    </row>
    <row r="3" spans="1:36" s="5" customFormat="1" ht="12.75" customHeight="1">
      <c r="B3" s="6" t="s">
        <v>64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3"/>
      <c r="I3" s="7" t="str">
        <f>'Historical Financials'!I7</f>
        <v>1Q21</v>
      </c>
      <c r="J3" s="7" t="str">
        <f>'Historical Financials'!J7</f>
        <v>2Q21</v>
      </c>
      <c r="K3" s="7" t="str">
        <f>'Historical Financials'!K7</f>
        <v>3Q21</v>
      </c>
      <c r="L3" s="7" t="str">
        <f>'Historical Financials'!L7</f>
        <v>4Q21</v>
      </c>
      <c r="M3" s="7" t="str">
        <f>'Historical Financials'!M7</f>
        <v>1Q22</v>
      </c>
      <c r="N3" s="7" t="str">
        <f>'Historical Financials'!N7</f>
        <v>2Q22</v>
      </c>
      <c r="O3" s="7" t="str">
        <f>'Historical Financials'!O7</f>
        <v>3Q22</v>
      </c>
      <c r="P3" s="7" t="str">
        <f>'Historical Financials'!P7</f>
        <v>4Q22</v>
      </c>
      <c r="Q3" s="7" t="str">
        <f>'Historical Financials'!Q7</f>
        <v>1Q23</v>
      </c>
      <c r="R3" s="7" t="str">
        <f>'Historical Financials'!R7</f>
        <v>2Q23</v>
      </c>
      <c r="S3" s="7" t="str">
        <f>'Historical Financials'!S7</f>
        <v>3Q23</v>
      </c>
      <c r="T3" s="7" t="str">
        <f>'Historical Financials'!T7</f>
        <v>4Q23</v>
      </c>
      <c r="U3" s="7" t="str">
        <f>'Historical Financials'!U7</f>
        <v>1Q24</v>
      </c>
      <c r="V3" s="7" t="str">
        <f>'Historical Financials'!V7</f>
        <v>2Q24</v>
      </c>
      <c r="W3" s="7" t="str">
        <f>'Historical Financials'!W7</f>
        <v>3Q24</v>
      </c>
      <c r="X3" s="7" t="str">
        <f>'Historical Financials'!X7</f>
        <v>4Q24</v>
      </c>
      <c r="Y3" s="7" t="str">
        <f>'Historical Financials'!Y7</f>
        <v>1Q25</v>
      </c>
      <c r="Z3" s="7" t="str">
        <f>'Historical Financials'!Z7</f>
        <v>2Q25</v>
      </c>
      <c r="AA3" s="7" t="str">
        <f>'Historical Financials'!AA7</f>
        <v>3Q25</v>
      </c>
      <c r="AB3" s="4"/>
      <c r="AC3" s="4" t="str">
        <f>T3</f>
        <v>4Q23</v>
      </c>
      <c r="AD3" s="4" t="str">
        <f>U3</f>
        <v>1Q24</v>
      </c>
      <c r="AE3" s="4" t="str">
        <f>V3</f>
        <v>2Q24</v>
      </c>
      <c r="AF3" s="4" t="str">
        <f>W3</f>
        <v>3Q24</v>
      </c>
      <c r="AG3" s="4" t="str">
        <f>X3</f>
        <v>4Q24</v>
      </c>
      <c r="AH3" s="4" t="str">
        <f>Y3</f>
        <v>1Q25</v>
      </c>
      <c r="AI3" s="4" t="str">
        <f>Z3</f>
        <v>2Q25</v>
      </c>
      <c r="AJ3" s="4" t="str">
        <f>AA3</f>
        <v>3Q25</v>
      </c>
    </row>
    <row r="4" spans="1:36" s="5" customFormat="1" ht="12.75" customHeight="1">
      <c r="B4" s="6" t="s">
        <v>110</v>
      </c>
      <c r="C4" s="3">
        <f>'Historical Financials'!C8</f>
        <v>44196</v>
      </c>
      <c r="D4" s="3">
        <f>'Historical Financials'!D8</f>
        <v>44561</v>
      </c>
      <c r="E4" s="3">
        <f>'Historical Financials'!E8</f>
        <v>44926</v>
      </c>
      <c r="F4" s="3">
        <f>'Historical Financials'!F8</f>
        <v>45291</v>
      </c>
      <c r="G4" s="3">
        <f>'Historical Financials'!G8</f>
        <v>45657</v>
      </c>
      <c r="H4" s="3"/>
      <c r="I4" s="3">
        <f>'Historical Financials'!I8</f>
        <v>44286</v>
      </c>
      <c r="J4" s="3">
        <f>'Historical Financials'!J8</f>
        <v>44377</v>
      </c>
      <c r="K4" s="3">
        <f>'Historical Financials'!K8</f>
        <v>44469</v>
      </c>
      <c r="L4" s="3">
        <f>'Historical Financials'!L8</f>
        <v>44561</v>
      </c>
      <c r="M4" s="3">
        <f>'Historical Financials'!M8</f>
        <v>44651</v>
      </c>
      <c r="N4" s="3">
        <f>'Historical Financials'!N8</f>
        <v>44742</v>
      </c>
      <c r="O4" s="3">
        <f>'Historical Financials'!O8</f>
        <v>44834</v>
      </c>
      <c r="P4" s="3">
        <f>'Historical Financials'!P8</f>
        <v>44926</v>
      </c>
      <c r="Q4" s="3">
        <f>'Historical Financials'!Q8</f>
        <v>45016</v>
      </c>
      <c r="R4" s="3">
        <f>'Historical Financials'!R8</f>
        <v>45107</v>
      </c>
      <c r="S4" s="3">
        <f>'Historical Financials'!S8</f>
        <v>45199</v>
      </c>
      <c r="T4" s="3">
        <f>'Historical Financials'!T8</f>
        <v>45291</v>
      </c>
      <c r="U4" s="3">
        <f>'Historical Financials'!U8</f>
        <v>45382</v>
      </c>
      <c r="V4" s="3">
        <f>'Historical Financials'!V8</f>
        <v>45473</v>
      </c>
      <c r="W4" s="3">
        <f>'Historical Financials'!W8</f>
        <v>45565</v>
      </c>
      <c r="X4" s="3">
        <f>'Historical Financials'!X8</f>
        <v>45657</v>
      </c>
      <c r="Y4" s="3">
        <f>'Historical Financials'!Y8</f>
        <v>45747</v>
      </c>
      <c r="Z4" s="3">
        <f>'Historical Financials'!Z8</f>
        <v>45838</v>
      </c>
      <c r="AA4" s="3">
        <f>'Historical Financials'!AA8</f>
        <v>45930</v>
      </c>
      <c r="AB4" s="3"/>
      <c r="AC4" s="3">
        <f>T4</f>
        <v>45291</v>
      </c>
      <c r="AD4" s="3">
        <f>U4</f>
        <v>45382</v>
      </c>
      <c r="AE4" s="3">
        <f>V4</f>
        <v>45473</v>
      </c>
      <c r="AF4" s="3">
        <f>W4</f>
        <v>45565</v>
      </c>
      <c r="AG4" s="3">
        <f>X4</f>
        <v>45657</v>
      </c>
      <c r="AH4" s="3">
        <f>Y4</f>
        <v>45747</v>
      </c>
      <c r="AI4" s="3">
        <f>Z4</f>
        <v>45838</v>
      </c>
      <c r="AJ4" s="3">
        <f>AA4</f>
        <v>45930</v>
      </c>
    </row>
    <row r="5" spans="1:36" ht="5.0999999999999996" customHeight="1"/>
    <row r="6" spans="1:36">
      <c r="A6" s="36" t="s">
        <v>16</v>
      </c>
      <c r="B6" s="1" t="s">
        <v>111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t="5.0999999999999996" customHeight="1"/>
    <row r="8" spans="1:36" ht="12.75" customHeight="1">
      <c r="A8" s="80" t="s">
        <v>16</v>
      </c>
      <c r="B8" s="78" t="s">
        <v>112</v>
      </c>
      <c r="C8" s="10"/>
      <c r="D8" s="10"/>
      <c r="E8" s="10"/>
      <c r="F8" s="10"/>
      <c r="G8" s="10"/>
      <c r="H8" s="10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32"/>
      <c r="U8" s="95"/>
      <c r="V8" s="95"/>
      <c r="W8" s="95"/>
      <c r="X8" s="32"/>
      <c r="Y8" s="95"/>
      <c r="Z8" s="95"/>
      <c r="AA8" s="95"/>
      <c r="AB8" s="5"/>
      <c r="AC8" s="11"/>
      <c r="AD8" s="11"/>
      <c r="AE8" s="11"/>
      <c r="AF8" s="11"/>
      <c r="AG8" s="11"/>
      <c r="AH8" s="11"/>
      <c r="AI8" s="11"/>
      <c r="AJ8" s="11"/>
    </row>
    <row r="9" spans="1:36" ht="12.75" customHeight="1">
      <c r="A9" s="80"/>
      <c r="B9" s="9" t="s">
        <v>123</v>
      </c>
      <c r="C9" s="162">
        <f>C20</f>
        <v>85236</v>
      </c>
      <c r="D9" s="162">
        <f t="shared" ref="D9:AA9" si="0">D20</f>
        <v>115655</v>
      </c>
      <c r="E9" s="162">
        <f t="shared" si="0"/>
        <v>114450</v>
      </c>
      <c r="F9" s="162">
        <f t="shared" si="0"/>
        <v>133006</v>
      </c>
      <c r="G9" s="162">
        <f t="shared" si="0"/>
        <v>162355</v>
      </c>
      <c r="H9" s="10"/>
      <c r="I9" s="162">
        <f t="shared" si="0"/>
        <v>25637</v>
      </c>
      <c r="J9" s="162">
        <f t="shared" si="0"/>
        <v>28772</v>
      </c>
      <c r="K9" s="162">
        <f t="shared" si="0"/>
        <v>28452</v>
      </c>
      <c r="L9" s="162">
        <f t="shared" si="0"/>
        <v>32794</v>
      </c>
      <c r="M9" s="162">
        <f t="shared" si="0"/>
        <v>27213</v>
      </c>
      <c r="N9" s="162">
        <f t="shared" si="0"/>
        <v>28370</v>
      </c>
      <c r="O9" s="162">
        <f t="shared" si="0"/>
        <v>27429</v>
      </c>
      <c r="P9" s="162">
        <f t="shared" si="0"/>
        <v>31438</v>
      </c>
      <c r="Q9" s="162">
        <f t="shared" si="0"/>
        <v>28306</v>
      </c>
      <c r="R9" s="162">
        <f t="shared" si="0"/>
        <v>31723</v>
      </c>
      <c r="S9" s="162">
        <f t="shared" si="0"/>
        <v>33936</v>
      </c>
      <c r="T9" s="162">
        <f t="shared" si="0"/>
        <v>39041</v>
      </c>
      <c r="U9" s="162">
        <f t="shared" si="0"/>
        <v>36015</v>
      </c>
      <c r="V9" s="162">
        <f t="shared" si="0"/>
        <v>38718</v>
      </c>
      <c r="W9" s="162">
        <f t="shared" si="0"/>
        <v>40319</v>
      </c>
      <c r="X9" s="162">
        <f t="shared" si="0"/>
        <v>47303</v>
      </c>
      <c r="Y9" s="162">
        <f t="shared" si="0"/>
        <v>41902</v>
      </c>
      <c r="Z9" s="162">
        <f t="shared" si="0"/>
        <v>47146</v>
      </c>
      <c r="AA9" s="162">
        <f t="shared" si="0"/>
        <v>50772</v>
      </c>
      <c r="AB9" s="5"/>
      <c r="AC9" s="32">
        <f>SUM(Q9:T9)</f>
        <v>133006</v>
      </c>
      <c r="AD9" s="32">
        <f>SUM(R9:U9)</f>
        <v>140715</v>
      </c>
      <c r="AE9" s="32">
        <f>SUM(S9:V9)</f>
        <v>147710</v>
      </c>
      <c r="AF9" s="32">
        <f>SUM(T9:W9)</f>
        <v>154093</v>
      </c>
      <c r="AG9" s="32">
        <f>SUM(U9:X9)</f>
        <v>162355</v>
      </c>
      <c r="AH9" s="32">
        <f>SUM(V9:Y9)</f>
        <v>168242</v>
      </c>
      <c r="AI9" s="32">
        <f>SUM(W9:Z9)</f>
        <v>176670</v>
      </c>
      <c r="AJ9" s="32">
        <f>SUM(X9:AA9)</f>
        <v>187123</v>
      </c>
    </row>
    <row r="10" spans="1:36">
      <c r="B10" s="9" t="s">
        <v>175</v>
      </c>
      <c r="C10" s="81">
        <v>729</v>
      </c>
      <c r="D10" s="81">
        <v>2274</v>
      </c>
      <c r="E10" s="81">
        <v>2159</v>
      </c>
      <c r="F10" s="81">
        <v>1896</v>
      </c>
      <c r="G10" s="81">
        <v>2146</v>
      </c>
      <c r="H10" s="81"/>
      <c r="I10" s="95">
        <v>534</v>
      </c>
      <c r="J10" s="95">
        <v>305</v>
      </c>
      <c r="K10" s="95">
        <v>558</v>
      </c>
      <c r="L10" s="32">
        <f t="shared" ref="L10" si="1">SUM(D10-SUM(I10:K10))</f>
        <v>877</v>
      </c>
      <c r="M10" s="95">
        <v>695</v>
      </c>
      <c r="N10" s="95">
        <v>452</v>
      </c>
      <c r="O10" s="95">
        <v>285</v>
      </c>
      <c r="P10" s="32">
        <f t="shared" ref="P10" si="2">SUM(E10-SUM(M10:O10))</f>
        <v>727</v>
      </c>
      <c r="Q10" s="95">
        <v>339</v>
      </c>
      <c r="R10" s="95">
        <v>276</v>
      </c>
      <c r="S10" s="95">
        <v>210</v>
      </c>
      <c r="T10" s="32">
        <f t="shared" ref="T10" si="3">SUM(F10-SUM(Q10:S10))</f>
        <v>1071</v>
      </c>
      <c r="U10" s="95">
        <v>440</v>
      </c>
      <c r="V10" s="95">
        <v>353</v>
      </c>
      <c r="W10" s="95">
        <v>270</v>
      </c>
      <c r="X10" s="32">
        <f t="shared" ref="X10" si="4">SUM(G10-SUM(U10:W10))</f>
        <v>1083</v>
      </c>
      <c r="Y10" s="82">
        <v>412</v>
      </c>
      <c r="Z10" s="82">
        <v>370</v>
      </c>
      <c r="AA10" s="81">
        <v>470</v>
      </c>
      <c r="AB10" s="5"/>
      <c r="AC10" s="32">
        <f>SUM(Q10:T10)</f>
        <v>1896</v>
      </c>
      <c r="AD10" s="32">
        <f>SUM(R10:U10)</f>
        <v>1997</v>
      </c>
      <c r="AE10" s="32">
        <f>SUM(S10:V10)</f>
        <v>2074</v>
      </c>
      <c r="AF10" s="32">
        <f>SUM(T10:W10)</f>
        <v>2134</v>
      </c>
      <c r="AG10" s="32">
        <f>SUM(U10:X10)</f>
        <v>2146</v>
      </c>
      <c r="AH10" s="32">
        <f>SUM(V10:Y10)</f>
        <v>2118</v>
      </c>
      <c r="AI10" s="32">
        <f>SUM(W10:Z10)</f>
        <v>2135</v>
      </c>
      <c r="AJ10" s="32">
        <f>SUM(X10:AA10)</f>
        <v>2335</v>
      </c>
    </row>
    <row r="11" spans="1:36">
      <c r="B11" s="13" t="s">
        <v>65</v>
      </c>
      <c r="C11" s="14">
        <f>SUM(C9:C10)</f>
        <v>85965</v>
      </c>
      <c r="D11" s="14">
        <f>SUM(D9:D10)</f>
        <v>117929</v>
      </c>
      <c r="E11" s="14">
        <f>SUM(E9:E10)</f>
        <v>116609</v>
      </c>
      <c r="F11" s="14">
        <f>SUM(F9:F10)</f>
        <v>134902</v>
      </c>
      <c r="G11" s="14">
        <f>SUM(G9:G10)</f>
        <v>164501</v>
      </c>
      <c r="H11" s="11"/>
      <c r="I11" s="14">
        <f t="shared" ref="I11" si="5">SUM(I9:I10)</f>
        <v>26171</v>
      </c>
      <c r="J11" s="14">
        <f t="shared" ref="J11:L11" si="6">SUM(J9:J10)</f>
        <v>29077</v>
      </c>
      <c r="K11" s="14">
        <f t="shared" si="6"/>
        <v>29010</v>
      </c>
      <c r="L11" s="14">
        <f t="shared" si="6"/>
        <v>33671</v>
      </c>
      <c r="M11" s="14">
        <f t="shared" ref="M11:AA11" si="7">SUM(M9:M10)</f>
        <v>27908</v>
      </c>
      <c r="N11" s="14">
        <f t="shared" si="7"/>
        <v>28822</v>
      </c>
      <c r="O11" s="14">
        <f t="shared" si="7"/>
        <v>27714</v>
      </c>
      <c r="P11" s="14">
        <f t="shared" si="7"/>
        <v>32165</v>
      </c>
      <c r="Q11" s="14">
        <f t="shared" si="7"/>
        <v>28645</v>
      </c>
      <c r="R11" s="14">
        <f t="shared" si="7"/>
        <v>31999</v>
      </c>
      <c r="S11" s="14">
        <f t="shared" si="7"/>
        <v>34146</v>
      </c>
      <c r="T11" s="14">
        <f t="shared" si="7"/>
        <v>40112</v>
      </c>
      <c r="U11" s="14">
        <f t="shared" si="7"/>
        <v>36455</v>
      </c>
      <c r="V11" s="14">
        <f t="shared" si="7"/>
        <v>39071</v>
      </c>
      <c r="W11" s="14">
        <f t="shared" si="7"/>
        <v>40589</v>
      </c>
      <c r="X11" s="14">
        <f t="shared" si="7"/>
        <v>48386</v>
      </c>
      <c r="Y11" s="14">
        <f t="shared" si="7"/>
        <v>42314</v>
      </c>
      <c r="Z11" s="14">
        <f t="shared" si="7"/>
        <v>47516</v>
      </c>
      <c r="AA11" s="14">
        <f t="shared" si="7"/>
        <v>51242</v>
      </c>
      <c r="AB11" s="5"/>
      <c r="AC11" s="14">
        <f t="shared" ref="AC11:AI11" si="8">SUM(AC9:AC10)</f>
        <v>134902</v>
      </c>
      <c r="AD11" s="14">
        <f t="shared" si="8"/>
        <v>142712</v>
      </c>
      <c r="AE11" s="14">
        <f t="shared" si="8"/>
        <v>149784</v>
      </c>
      <c r="AF11" s="14">
        <f t="shared" si="8"/>
        <v>156227</v>
      </c>
      <c r="AG11" s="14">
        <f t="shared" si="8"/>
        <v>164501</v>
      </c>
      <c r="AH11" s="14">
        <f t="shared" si="8"/>
        <v>170360</v>
      </c>
      <c r="AI11" s="14">
        <f t="shared" si="8"/>
        <v>178805</v>
      </c>
      <c r="AJ11" s="14">
        <f>SUM(AJ9:AJ10)</f>
        <v>189458</v>
      </c>
    </row>
    <row r="12" spans="1:36" outlineLevel="1">
      <c r="B12" s="131" t="s">
        <v>113</v>
      </c>
      <c r="C12" s="79">
        <f>C11-'Historical Financials'!C11</f>
        <v>0</v>
      </c>
      <c r="D12" s="79">
        <f>D11-'Historical Financials'!D11</f>
        <v>0</v>
      </c>
      <c r="E12" s="79">
        <f>E11-'Historical Financials'!E11</f>
        <v>0</v>
      </c>
      <c r="F12" s="79">
        <f>F11-'Historical Financials'!F11</f>
        <v>0</v>
      </c>
      <c r="G12" s="79">
        <f>G11-'Historical Financials'!G11</f>
        <v>0</v>
      </c>
      <c r="H12" s="11"/>
      <c r="I12" s="79">
        <f>I11-'Historical Financials'!I11</f>
        <v>0</v>
      </c>
      <c r="J12" s="79">
        <f>J11-'Historical Financials'!J11</f>
        <v>0</v>
      </c>
      <c r="K12" s="79">
        <f>K11-'Historical Financials'!K11</f>
        <v>0</v>
      </c>
      <c r="L12" s="79">
        <f>L11-'Historical Financials'!L11</f>
        <v>0</v>
      </c>
      <c r="M12" s="79">
        <f>M11-'Historical Financials'!M11</f>
        <v>0</v>
      </c>
      <c r="N12" s="79">
        <f>N11-'Historical Financials'!N11</f>
        <v>0</v>
      </c>
      <c r="O12" s="79">
        <f>O11-'Historical Financials'!O11</f>
        <v>0</v>
      </c>
      <c r="P12" s="79">
        <f>P11-'Historical Financials'!P11</f>
        <v>0</v>
      </c>
      <c r="Q12" s="79">
        <f>Q11-'Historical Financials'!Q11</f>
        <v>0</v>
      </c>
      <c r="R12" s="79">
        <f>R11-'Historical Financials'!R11</f>
        <v>0</v>
      </c>
      <c r="S12" s="79">
        <f>S11-'Historical Financials'!S11</f>
        <v>0</v>
      </c>
      <c r="T12" s="79">
        <f>T11-'Historical Financials'!T11</f>
        <v>0</v>
      </c>
      <c r="U12" s="79">
        <f>U11-'Historical Financials'!U11</f>
        <v>0</v>
      </c>
      <c r="V12" s="79">
        <f>V11-'Historical Financials'!V11</f>
        <v>0</v>
      </c>
      <c r="W12" s="79">
        <f>W11-'Historical Financials'!W11</f>
        <v>0</v>
      </c>
      <c r="X12" s="79">
        <f>X11-'Historical Financials'!X11</f>
        <v>0</v>
      </c>
      <c r="Y12" s="79">
        <f>Y11-'Historical Financials'!Y11</f>
        <v>0</v>
      </c>
      <c r="Z12" s="79">
        <f>Z11-'Historical Financials'!Z11</f>
        <v>0</v>
      </c>
      <c r="AA12" s="79">
        <f>AA11-'Historical Financials'!AA11</f>
        <v>0</v>
      </c>
      <c r="AB12" s="79"/>
      <c r="AC12" s="79">
        <f>AC11-'Historical Financials'!AC11</f>
        <v>0</v>
      </c>
      <c r="AD12" s="79">
        <f>AD11-'Historical Financials'!AD11</f>
        <v>0</v>
      </c>
      <c r="AE12" s="79">
        <f>AE11-'Historical Financials'!AE11</f>
        <v>0</v>
      </c>
      <c r="AF12" s="79">
        <f>AF11-'Historical Financials'!AF11</f>
        <v>0</v>
      </c>
      <c r="AG12" s="79">
        <f>AG11-'Historical Financials'!AG11</f>
        <v>0</v>
      </c>
      <c r="AH12" s="79">
        <f>AH11-'Historical Financials'!AH11</f>
        <v>0</v>
      </c>
      <c r="AI12" s="79">
        <f>AI11-'Historical Financials'!AI11</f>
        <v>0</v>
      </c>
      <c r="AJ12" s="79">
        <f>AJ11-'Historical Financials'!AJ11</f>
        <v>0</v>
      </c>
    </row>
    <row r="13" spans="1:36">
      <c r="B13" s="18"/>
      <c r="C13" s="19"/>
      <c r="D13" s="19"/>
      <c r="E13" s="19"/>
      <c r="F13" s="19"/>
      <c r="G13" s="19"/>
      <c r="H13" s="20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2"/>
      <c r="U13" s="21"/>
      <c r="V13" s="21"/>
      <c r="W13" s="21"/>
      <c r="X13" s="21"/>
      <c r="Y13" s="21"/>
      <c r="Z13" s="21"/>
      <c r="AA13" s="21"/>
      <c r="AB13" s="20"/>
      <c r="AC13" s="20"/>
      <c r="AD13" s="20"/>
      <c r="AE13" s="20"/>
      <c r="AF13" s="20"/>
      <c r="AG13" s="20"/>
      <c r="AH13" s="20"/>
      <c r="AI13" s="20"/>
      <c r="AJ13" s="20"/>
    </row>
    <row r="14" spans="1:36">
      <c r="B14" s="147" t="str">
        <f>B9&amp;"(%)"</f>
        <v>Family of Apps Revenues(%)</v>
      </c>
      <c r="C14" s="148">
        <f t="shared" ref="C14:G15" si="9">SUM(C9/C$11)</f>
        <v>0.99151980457162803</v>
      </c>
      <c r="D14" s="148">
        <f t="shared" si="9"/>
        <v>0.9807172112033512</v>
      </c>
      <c r="E14" s="148">
        <f t="shared" si="9"/>
        <v>0.98148513408055982</v>
      </c>
      <c r="F14" s="148">
        <f t="shared" si="9"/>
        <v>0.98594535292286256</v>
      </c>
      <c r="G14" s="148">
        <f t="shared" si="9"/>
        <v>0.98695448659886564</v>
      </c>
      <c r="H14" s="149"/>
      <c r="I14" s="148">
        <f t="shared" ref="I14" si="10">SUM(I9/I$11)</f>
        <v>0.9795957357380306</v>
      </c>
      <c r="J14" s="148">
        <f t="shared" ref="J14:L14" si="11">SUM(J9/J$11)</f>
        <v>0.98951060976029159</v>
      </c>
      <c r="K14" s="148">
        <f t="shared" si="11"/>
        <v>0.98076525336091003</v>
      </c>
      <c r="L14" s="148">
        <f t="shared" si="11"/>
        <v>0.97395384752457603</v>
      </c>
      <c r="M14" s="148">
        <f t="shared" ref="M14:AA14" si="12">SUM(M9/M$11)</f>
        <v>0.97509674645263011</v>
      </c>
      <c r="N14" s="148">
        <f t="shared" si="12"/>
        <v>0.98431753521615428</v>
      </c>
      <c r="O14" s="148">
        <f t="shared" si="12"/>
        <v>0.98971638882875079</v>
      </c>
      <c r="P14" s="148">
        <f t="shared" si="12"/>
        <v>0.97739779263174253</v>
      </c>
      <c r="Q14" s="148">
        <f t="shared" si="12"/>
        <v>0.98816547390469545</v>
      </c>
      <c r="R14" s="148">
        <f t="shared" si="12"/>
        <v>0.99137473046032687</v>
      </c>
      <c r="S14" s="148">
        <f t="shared" si="12"/>
        <v>0.99384993849938497</v>
      </c>
      <c r="T14" s="148">
        <f t="shared" si="12"/>
        <v>0.97329976067012369</v>
      </c>
      <c r="U14" s="148">
        <f t="shared" si="12"/>
        <v>0.98793032505829104</v>
      </c>
      <c r="V14" s="148">
        <f t="shared" si="12"/>
        <v>0.99096516597988282</v>
      </c>
      <c r="W14" s="148">
        <f t="shared" si="12"/>
        <v>0.9933479514154081</v>
      </c>
      <c r="X14" s="148">
        <f t="shared" si="12"/>
        <v>0.977617492663167</v>
      </c>
      <c r="Y14" s="148">
        <f t="shared" si="12"/>
        <v>0.99026326983976931</v>
      </c>
      <c r="Z14" s="148">
        <f t="shared" si="12"/>
        <v>0.99221314925498783</v>
      </c>
      <c r="AA14" s="148">
        <f t="shared" si="12"/>
        <v>0.99082783654033801</v>
      </c>
      <c r="AB14" s="149"/>
      <c r="AC14" s="150">
        <f t="shared" ref="AC14:AJ14" si="13">SUM(AC9/AC$11)</f>
        <v>0.98594535292286256</v>
      </c>
      <c r="AD14" s="150">
        <f t="shared" si="13"/>
        <v>0.98600678289141763</v>
      </c>
      <c r="AE14" s="150">
        <f t="shared" si="13"/>
        <v>0.98615339422101156</v>
      </c>
      <c r="AF14" s="150">
        <f t="shared" si="13"/>
        <v>0.98634038930530576</v>
      </c>
      <c r="AG14" s="150">
        <f t="shared" si="13"/>
        <v>0.98695448659886564</v>
      </c>
      <c r="AH14" s="150">
        <f t="shared" si="13"/>
        <v>0.98756750410894578</v>
      </c>
      <c r="AI14" s="150">
        <f t="shared" si="13"/>
        <v>0.98805961801963027</v>
      </c>
      <c r="AJ14" s="151">
        <f t="shared" si="13"/>
        <v>0.98767536868329653</v>
      </c>
    </row>
    <row r="15" spans="1:36" ht="12.75" customHeight="1">
      <c r="B15" s="152" t="str">
        <f>B10&amp;"(%)"</f>
        <v>Reality Labs (%)</v>
      </c>
      <c r="C15" s="153">
        <f t="shared" si="9"/>
        <v>8.4801954283720126E-3</v>
      </c>
      <c r="D15" s="153">
        <f t="shared" si="9"/>
        <v>1.9282788796648832E-2</v>
      </c>
      <c r="E15" s="153">
        <f t="shared" si="9"/>
        <v>1.8514865919440182E-2</v>
      </c>
      <c r="F15" s="153">
        <f t="shared" si="9"/>
        <v>1.4054647077137477E-2</v>
      </c>
      <c r="G15" s="153">
        <f t="shared" si="9"/>
        <v>1.3045513401134339E-2</v>
      </c>
      <c r="H15" s="154"/>
      <c r="I15" s="153">
        <f t="shared" ref="I15" si="14">SUM(I10/I$11)</f>
        <v>2.0404264261969354E-2</v>
      </c>
      <c r="J15" s="153">
        <f t="shared" ref="J15:L15" si="15">SUM(J10/J$11)</f>
        <v>1.048939023970836E-2</v>
      </c>
      <c r="K15" s="153">
        <f t="shared" si="15"/>
        <v>1.9234746639089969E-2</v>
      </c>
      <c r="L15" s="153">
        <f t="shared" si="15"/>
        <v>2.6046152475423957E-2</v>
      </c>
      <c r="M15" s="153">
        <f t="shared" ref="M15:AA15" si="16">SUM(M10/M$11)</f>
        <v>2.4903253547369931E-2</v>
      </c>
      <c r="N15" s="153">
        <f t="shared" si="16"/>
        <v>1.5682464783845673E-2</v>
      </c>
      <c r="O15" s="153">
        <f t="shared" si="16"/>
        <v>1.0283611171249188E-2</v>
      </c>
      <c r="P15" s="153">
        <f t="shared" si="16"/>
        <v>2.2602207368257424E-2</v>
      </c>
      <c r="Q15" s="153">
        <f t="shared" si="16"/>
        <v>1.183452609530459E-2</v>
      </c>
      <c r="R15" s="153">
        <f t="shared" si="16"/>
        <v>8.6252695396731149E-3</v>
      </c>
      <c r="S15" s="153">
        <f t="shared" si="16"/>
        <v>6.1500615006150061E-3</v>
      </c>
      <c r="T15" s="153">
        <f t="shared" si="16"/>
        <v>2.6700239329876346E-2</v>
      </c>
      <c r="U15" s="153">
        <f t="shared" si="16"/>
        <v>1.2069674941708956E-2</v>
      </c>
      <c r="V15" s="153">
        <f t="shared" si="16"/>
        <v>9.0348340201172224E-3</v>
      </c>
      <c r="W15" s="153">
        <f t="shared" si="16"/>
        <v>6.6520485845918843E-3</v>
      </c>
      <c r="X15" s="153">
        <f t="shared" si="16"/>
        <v>2.2382507336832967E-2</v>
      </c>
      <c r="Y15" s="153">
        <f t="shared" si="16"/>
        <v>9.7367301602306559E-3</v>
      </c>
      <c r="Z15" s="153">
        <f t="shared" si="16"/>
        <v>7.7868507450122061E-3</v>
      </c>
      <c r="AA15" s="153">
        <f t="shared" si="16"/>
        <v>9.1721634596619965E-3</v>
      </c>
      <c r="AB15" s="154"/>
      <c r="AC15" s="155">
        <f t="shared" ref="AC15:AJ15" si="17">SUM(AC10/AC$11)</f>
        <v>1.4054647077137477E-2</v>
      </c>
      <c r="AD15" s="155">
        <f t="shared" si="17"/>
        <v>1.3993217108582319E-2</v>
      </c>
      <c r="AE15" s="155">
        <f t="shared" si="17"/>
        <v>1.384660577898841E-2</v>
      </c>
      <c r="AF15" s="155">
        <f t="shared" si="17"/>
        <v>1.365961069469426E-2</v>
      </c>
      <c r="AG15" s="155">
        <f t="shared" si="17"/>
        <v>1.3045513401134339E-2</v>
      </c>
      <c r="AH15" s="155">
        <f t="shared" si="17"/>
        <v>1.2432495891054237E-2</v>
      </c>
      <c r="AI15" s="155">
        <f t="shared" si="17"/>
        <v>1.1940381980369676E-2</v>
      </c>
      <c r="AJ15" s="156">
        <f t="shared" si="17"/>
        <v>1.2324631316703439E-2</v>
      </c>
    </row>
    <row r="16" spans="1:36">
      <c r="B16" s="18"/>
      <c r="C16" s="19"/>
      <c r="D16" s="19"/>
      <c r="E16" s="19"/>
      <c r="F16" s="19"/>
      <c r="G16" s="19"/>
      <c r="H16" s="20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2"/>
      <c r="U16" s="21"/>
      <c r="V16" s="21"/>
      <c r="W16" s="21"/>
      <c r="X16" s="21"/>
      <c r="Y16" s="21"/>
      <c r="Z16" s="21"/>
      <c r="AA16" s="21"/>
      <c r="AB16" s="20"/>
      <c r="AC16" s="20"/>
      <c r="AD16" s="20"/>
      <c r="AE16" s="20"/>
      <c r="AF16" s="20"/>
      <c r="AG16" s="20"/>
      <c r="AH16" s="20"/>
      <c r="AI16" s="20"/>
      <c r="AJ16" s="20"/>
    </row>
    <row r="17" spans="1:36" ht="12.75" customHeight="1">
      <c r="A17" s="80" t="s">
        <v>16</v>
      </c>
      <c r="B17" s="78" t="s">
        <v>123</v>
      </c>
      <c r="C17" s="10"/>
      <c r="D17" s="10"/>
      <c r="E17" s="10"/>
      <c r="F17" s="10"/>
      <c r="G17" s="10"/>
      <c r="H17" s="10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32"/>
      <c r="U17" s="95"/>
      <c r="V17" s="95"/>
      <c r="W17" s="95"/>
      <c r="X17" s="32"/>
      <c r="Y17" s="95"/>
      <c r="Z17" s="95"/>
      <c r="AA17" s="95"/>
      <c r="AB17" s="5"/>
      <c r="AC17" s="11"/>
      <c r="AD17" s="11"/>
      <c r="AE17" s="11"/>
      <c r="AF17" s="11"/>
      <c r="AG17" s="11"/>
      <c r="AH17" s="11"/>
      <c r="AI17" s="11"/>
      <c r="AJ17" s="11"/>
    </row>
    <row r="18" spans="1:36" ht="12.75" customHeight="1">
      <c r="A18" s="80"/>
      <c r="B18" s="9" t="s">
        <v>124</v>
      </c>
      <c r="C18" s="81">
        <v>84169</v>
      </c>
      <c r="D18" s="81">
        <v>114934</v>
      </c>
      <c r="E18" s="81">
        <v>113642</v>
      </c>
      <c r="F18" s="81">
        <v>131948</v>
      </c>
      <c r="G18" s="81">
        <v>160633</v>
      </c>
      <c r="H18" s="10"/>
      <c r="I18" s="95">
        <v>25439</v>
      </c>
      <c r="J18" s="95">
        <v>28580</v>
      </c>
      <c r="K18" s="95">
        <v>28276</v>
      </c>
      <c r="L18" s="32">
        <f t="shared" ref="L18:L19" si="18">SUM(D18-SUM(I18:K18))</f>
        <v>32639</v>
      </c>
      <c r="M18" s="95">
        <v>26998</v>
      </c>
      <c r="N18" s="95">
        <v>28152</v>
      </c>
      <c r="O18" s="95">
        <v>27237</v>
      </c>
      <c r="P18" s="32">
        <f t="shared" ref="P18:P19" si="19">SUM(E18-SUM(M18:O18))</f>
        <v>31255</v>
      </c>
      <c r="Q18" s="95">
        <v>28101</v>
      </c>
      <c r="R18" s="95">
        <v>31498</v>
      </c>
      <c r="S18" s="95">
        <v>33643</v>
      </c>
      <c r="T18" s="32">
        <f t="shared" ref="T18:T19" si="20">SUM(F18-SUM(Q18:S18))</f>
        <v>38706</v>
      </c>
      <c r="U18" s="95">
        <v>35635</v>
      </c>
      <c r="V18" s="95">
        <v>38329</v>
      </c>
      <c r="W18" s="95">
        <v>39885</v>
      </c>
      <c r="X18" s="32">
        <f t="shared" ref="X18:X19" si="21">SUM(G18-SUM(U18:W18))</f>
        <v>46784</v>
      </c>
      <c r="Y18" s="82">
        <v>41392</v>
      </c>
      <c r="Z18" s="82">
        <v>46563</v>
      </c>
      <c r="AA18" s="81">
        <v>50082</v>
      </c>
      <c r="AB18" s="5"/>
      <c r="AC18" s="32">
        <f>SUM(Q18:T18)</f>
        <v>131948</v>
      </c>
      <c r="AD18" s="32">
        <f>SUM(R18:U18)</f>
        <v>139482</v>
      </c>
      <c r="AE18" s="32">
        <f>SUM(S18:V18)</f>
        <v>146313</v>
      </c>
      <c r="AF18" s="32">
        <f>SUM(T18:W18)</f>
        <v>152555</v>
      </c>
      <c r="AG18" s="32">
        <f>SUM(U18:X18)</f>
        <v>160633</v>
      </c>
      <c r="AH18" s="32">
        <f>SUM(V18:Y18)</f>
        <v>166390</v>
      </c>
      <c r="AI18" s="32">
        <f>SUM(W18:Z18)</f>
        <v>174624</v>
      </c>
      <c r="AJ18" s="32">
        <f>SUM(X18:AA18)</f>
        <v>184821</v>
      </c>
    </row>
    <row r="19" spans="1:36">
      <c r="B19" s="9" t="s">
        <v>125</v>
      </c>
      <c r="C19" s="81">
        <v>1067</v>
      </c>
      <c r="D19" s="81">
        <v>721</v>
      </c>
      <c r="E19" s="81">
        <v>808</v>
      </c>
      <c r="F19" s="81">
        <v>1058</v>
      </c>
      <c r="G19" s="81">
        <v>1722</v>
      </c>
      <c r="H19" s="81"/>
      <c r="I19" s="95">
        <v>198</v>
      </c>
      <c r="J19" s="95">
        <v>192</v>
      </c>
      <c r="K19" s="95">
        <v>176</v>
      </c>
      <c r="L19" s="32">
        <f t="shared" si="18"/>
        <v>155</v>
      </c>
      <c r="M19" s="95">
        <v>215</v>
      </c>
      <c r="N19" s="95">
        <v>218</v>
      </c>
      <c r="O19" s="95">
        <v>192</v>
      </c>
      <c r="P19" s="32">
        <f t="shared" si="19"/>
        <v>183</v>
      </c>
      <c r="Q19" s="95">
        <v>205</v>
      </c>
      <c r="R19" s="95">
        <v>225</v>
      </c>
      <c r="S19" s="95">
        <v>293</v>
      </c>
      <c r="T19" s="32">
        <f t="shared" si="20"/>
        <v>335</v>
      </c>
      <c r="U19" s="95">
        <v>380</v>
      </c>
      <c r="V19" s="95">
        <v>389</v>
      </c>
      <c r="W19" s="95">
        <v>434</v>
      </c>
      <c r="X19" s="32">
        <f t="shared" si="21"/>
        <v>519</v>
      </c>
      <c r="Y19" s="82">
        <v>510</v>
      </c>
      <c r="Z19" s="82">
        <v>583</v>
      </c>
      <c r="AA19" s="81">
        <v>690</v>
      </c>
      <c r="AB19" s="5"/>
      <c r="AC19" s="32">
        <f>SUM(Q19:T19)</f>
        <v>1058</v>
      </c>
      <c r="AD19" s="32">
        <f>SUM(R19:U19)</f>
        <v>1233</v>
      </c>
      <c r="AE19" s="32">
        <f>SUM(S19:V19)</f>
        <v>1397</v>
      </c>
      <c r="AF19" s="32">
        <f>SUM(T19:W19)</f>
        <v>1538</v>
      </c>
      <c r="AG19" s="32">
        <f>SUM(U19:X19)</f>
        <v>1722</v>
      </c>
      <c r="AH19" s="32">
        <f>SUM(V19:Y19)</f>
        <v>1852</v>
      </c>
      <c r="AI19" s="32">
        <f>SUM(W19:Z19)</f>
        <v>2046</v>
      </c>
      <c r="AJ19" s="32">
        <f>SUM(X19:AA19)</f>
        <v>2302</v>
      </c>
    </row>
    <row r="20" spans="1:36">
      <c r="B20" s="13" t="s">
        <v>65</v>
      </c>
      <c r="C20" s="14">
        <f>SUM(C18:C19)</f>
        <v>85236</v>
      </c>
      <c r="D20" s="14">
        <f>SUM(D18:D19)</f>
        <v>115655</v>
      </c>
      <c r="E20" s="14">
        <f>SUM(E18:E19)</f>
        <v>114450</v>
      </c>
      <c r="F20" s="14">
        <f>SUM(F18:F19)</f>
        <v>133006</v>
      </c>
      <c r="G20" s="14">
        <f>SUM(G18:G19)</f>
        <v>162355</v>
      </c>
      <c r="H20" s="11"/>
      <c r="I20" s="14">
        <f t="shared" ref="I20" si="22">SUM(I18:I19)</f>
        <v>25637</v>
      </c>
      <c r="J20" s="14">
        <f t="shared" ref="J20" si="23">SUM(J18:J19)</f>
        <v>28772</v>
      </c>
      <c r="K20" s="14">
        <f t="shared" ref="K20" si="24">SUM(K18:K19)</f>
        <v>28452</v>
      </c>
      <c r="L20" s="14">
        <f t="shared" ref="L20" si="25">SUM(L18:L19)</f>
        <v>32794</v>
      </c>
      <c r="M20" s="14">
        <f t="shared" ref="M20:AA20" si="26">SUM(M18:M19)</f>
        <v>27213</v>
      </c>
      <c r="N20" s="14">
        <f t="shared" si="26"/>
        <v>28370</v>
      </c>
      <c r="O20" s="14">
        <f t="shared" si="26"/>
        <v>27429</v>
      </c>
      <c r="P20" s="14">
        <f t="shared" si="26"/>
        <v>31438</v>
      </c>
      <c r="Q20" s="14">
        <f t="shared" si="26"/>
        <v>28306</v>
      </c>
      <c r="R20" s="14">
        <f t="shared" si="26"/>
        <v>31723</v>
      </c>
      <c r="S20" s="14">
        <f t="shared" si="26"/>
        <v>33936</v>
      </c>
      <c r="T20" s="14">
        <f t="shared" si="26"/>
        <v>39041</v>
      </c>
      <c r="U20" s="14">
        <f t="shared" si="26"/>
        <v>36015</v>
      </c>
      <c r="V20" s="14">
        <f t="shared" si="26"/>
        <v>38718</v>
      </c>
      <c r="W20" s="14">
        <f t="shared" si="26"/>
        <v>40319</v>
      </c>
      <c r="X20" s="14">
        <f t="shared" si="26"/>
        <v>47303</v>
      </c>
      <c r="Y20" s="14">
        <f t="shared" si="26"/>
        <v>41902</v>
      </c>
      <c r="Z20" s="14">
        <f t="shared" si="26"/>
        <v>47146</v>
      </c>
      <c r="AA20" s="14">
        <f t="shared" si="26"/>
        <v>50772</v>
      </c>
      <c r="AB20" s="5"/>
      <c r="AC20" s="14">
        <f t="shared" ref="AC20:AI20" si="27">SUM(AC18:AC19)</f>
        <v>133006</v>
      </c>
      <c r="AD20" s="14">
        <f t="shared" si="27"/>
        <v>140715</v>
      </c>
      <c r="AE20" s="14">
        <f t="shared" si="27"/>
        <v>147710</v>
      </c>
      <c r="AF20" s="14">
        <f t="shared" si="27"/>
        <v>154093</v>
      </c>
      <c r="AG20" s="14">
        <f t="shared" si="27"/>
        <v>162355</v>
      </c>
      <c r="AH20" s="14">
        <f t="shared" si="27"/>
        <v>168242</v>
      </c>
      <c r="AI20" s="14">
        <f t="shared" si="27"/>
        <v>176670</v>
      </c>
      <c r="AJ20" s="14">
        <f>SUM(AJ18:AJ19)</f>
        <v>187123</v>
      </c>
    </row>
    <row r="21" spans="1:36" outlineLevel="1">
      <c r="B21" s="131" t="s">
        <v>113</v>
      </c>
      <c r="C21" s="79">
        <f>C20-C9</f>
        <v>0</v>
      </c>
      <c r="D21" s="79">
        <f t="shared" ref="D21:G21" si="28">D20-D9</f>
        <v>0</v>
      </c>
      <c r="E21" s="79">
        <f t="shared" si="28"/>
        <v>0</v>
      </c>
      <c r="F21" s="79">
        <f t="shared" si="28"/>
        <v>0</v>
      </c>
      <c r="G21" s="79">
        <f t="shared" si="28"/>
        <v>0</v>
      </c>
      <c r="H21" s="11"/>
      <c r="I21" s="79">
        <f t="shared" ref="I21" si="29">I20-I9</f>
        <v>0</v>
      </c>
      <c r="J21" s="79">
        <f t="shared" ref="J21" si="30">J20-J9</f>
        <v>0</v>
      </c>
      <c r="K21" s="79">
        <f t="shared" ref="K21" si="31">K20-K9</f>
        <v>0</v>
      </c>
      <c r="L21" s="79">
        <f t="shared" ref="L21" si="32">L20-L9</f>
        <v>0</v>
      </c>
      <c r="M21" s="79">
        <f t="shared" ref="M21" si="33">M20-M9</f>
        <v>0</v>
      </c>
      <c r="N21" s="79">
        <f t="shared" ref="N21" si="34">N20-N9</f>
        <v>0</v>
      </c>
      <c r="O21" s="79">
        <f t="shared" ref="O21" si="35">O20-O9</f>
        <v>0</v>
      </c>
      <c r="P21" s="79">
        <f t="shared" ref="P21" si="36">P20-P9</f>
        <v>0</v>
      </c>
      <c r="Q21" s="79">
        <f t="shared" ref="Q21" si="37">Q20-Q9</f>
        <v>0</v>
      </c>
      <c r="R21" s="79">
        <f t="shared" ref="R21" si="38">R20-R9</f>
        <v>0</v>
      </c>
      <c r="S21" s="79">
        <f t="shared" ref="S21" si="39">S20-S9</f>
        <v>0</v>
      </c>
      <c r="T21" s="79">
        <f t="shared" ref="T21" si="40">T20-T9</f>
        <v>0</v>
      </c>
      <c r="U21" s="79">
        <f t="shared" ref="U21" si="41">U20-U9</f>
        <v>0</v>
      </c>
      <c r="V21" s="79">
        <f t="shared" ref="V21" si="42">V20-V9</f>
        <v>0</v>
      </c>
      <c r="W21" s="79">
        <f t="shared" ref="W21" si="43">W20-W9</f>
        <v>0</v>
      </c>
      <c r="X21" s="79">
        <f t="shared" ref="X21" si="44">X20-X9</f>
        <v>0</v>
      </c>
      <c r="Y21" s="79">
        <f t="shared" ref="Y21" si="45">Y20-Y9</f>
        <v>0</v>
      </c>
      <c r="Z21" s="79">
        <f t="shared" ref="Z21" si="46">Z20-Z9</f>
        <v>0</v>
      </c>
      <c r="AA21" s="79">
        <f t="shared" ref="AA21" si="47">AA20-AA9</f>
        <v>0</v>
      </c>
      <c r="AB21" s="79"/>
      <c r="AC21" s="79">
        <f t="shared" ref="AC21" si="48">AC20-AC9</f>
        <v>0</v>
      </c>
      <c r="AD21" s="79">
        <f t="shared" ref="AD21" si="49">AD20-AD9</f>
        <v>0</v>
      </c>
      <c r="AE21" s="79">
        <f t="shared" ref="AE21" si="50">AE20-AE9</f>
        <v>0</v>
      </c>
      <c r="AF21" s="79">
        <f t="shared" ref="AF21" si="51">AF20-AF9</f>
        <v>0</v>
      </c>
      <c r="AG21" s="79">
        <f t="shared" ref="AG21" si="52">AG20-AG9</f>
        <v>0</v>
      </c>
      <c r="AH21" s="79">
        <f t="shared" ref="AH21" si="53">AH20-AH9</f>
        <v>0</v>
      </c>
      <c r="AI21" s="79">
        <f t="shared" ref="AI21" si="54">AI20-AI9</f>
        <v>0</v>
      </c>
      <c r="AJ21" s="79">
        <f t="shared" ref="AJ21" si="55">AJ20-AJ9</f>
        <v>0</v>
      </c>
    </row>
    <row r="22" spans="1:36">
      <c r="B22" s="18"/>
      <c r="C22" s="19"/>
      <c r="D22" s="19"/>
      <c r="E22" s="19"/>
      <c r="F22" s="19"/>
      <c r="G22" s="19"/>
      <c r="H22" s="20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2"/>
      <c r="U22" s="21"/>
      <c r="V22" s="21"/>
      <c r="W22" s="21"/>
      <c r="X22" s="21"/>
      <c r="Y22" s="21"/>
      <c r="Z22" s="21"/>
      <c r="AA22" s="21"/>
      <c r="AB22" s="20"/>
      <c r="AC22" s="20"/>
      <c r="AD22" s="20"/>
      <c r="AE22" s="20"/>
      <c r="AF22" s="20"/>
      <c r="AG22" s="20"/>
      <c r="AH22" s="20"/>
      <c r="AI22" s="20"/>
      <c r="AJ22" s="20"/>
    </row>
    <row r="23" spans="1:36">
      <c r="B23" s="147" t="str">
        <f>B18&amp;"(%)"</f>
        <v>Advertising (%)</v>
      </c>
      <c r="C23" s="148">
        <f>SUM(C18/C$20)</f>
        <v>0.9874818151954573</v>
      </c>
      <c r="D23" s="148">
        <f t="shared" ref="D23:G23" si="56">SUM(D18/D$20)</f>
        <v>0.99376594180969258</v>
      </c>
      <c r="E23" s="148">
        <f t="shared" si="56"/>
        <v>0.99294014853647883</v>
      </c>
      <c r="F23" s="148">
        <f t="shared" si="56"/>
        <v>0.99204547163285872</v>
      </c>
      <c r="G23" s="148">
        <f t="shared" si="56"/>
        <v>0.98939361276215698</v>
      </c>
      <c r="H23" s="149"/>
      <c r="I23" s="148">
        <f t="shared" ref="I23:AA23" si="57">SUM(I18/I$20)</f>
        <v>0.99227678745563053</v>
      </c>
      <c r="J23" s="148">
        <f t="shared" si="57"/>
        <v>0.99332684554427919</v>
      </c>
      <c r="K23" s="148">
        <f t="shared" si="57"/>
        <v>0.99381414311823424</v>
      </c>
      <c r="L23" s="148">
        <f t="shared" si="57"/>
        <v>0.9952735256449351</v>
      </c>
      <c r="M23" s="148">
        <f t="shared" si="57"/>
        <v>0.99209936427442769</v>
      </c>
      <c r="N23" s="148">
        <f t="shared" si="57"/>
        <v>0.9923158265773705</v>
      </c>
      <c r="O23" s="148">
        <f t="shared" si="57"/>
        <v>0.99300010937329108</v>
      </c>
      <c r="P23" s="148">
        <f t="shared" si="57"/>
        <v>0.99417901902156625</v>
      </c>
      <c r="Q23" s="148">
        <f t="shared" si="57"/>
        <v>0.9927577192114746</v>
      </c>
      <c r="R23" s="148">
        <f t="shared" si="57"/>
        <v>0.99290735428553412</v>
      </c>
      <c r="S23" s="148">
        <f t="shared" si="57"/>
        <v>0.9913661008958039</v>
      </c>
      <c r="T23" s="148">
        <f t="shared" si="57"/>
        <v>0.99141927717015443</v>
      </c>
      <c r="U23" s="148">
        <f t="shared" si="57"/>
        <v>0.98944884076079409</v>
      </c>
      <c r="V23" s="148">
        <f t="shared" si="57"/>
        <v>0.98995299343974374</v>
      </c>
      <c r="W23" s="148">
        <f t="shared" si="57"/>
        <v>0.98923584414295984</v>
      </c>
      <c r="X23" s="148">
        <f t="shared" si="57"/>
        <v>0.9890281800308649</v>
      </c>
      <c r="Y23" s="148">
        <f t="shared" si="57"/>
        <v>0.98782874325807835</v>
      </c>
      <c r="Z23" s="148">
        <f t="shared" si="57"/>
        <v>0.98763415772281848</v>
      </c>
      <c r="AA23" s="148">
        <f t="shared" si="57"/>
        <v>0.98640983219097145</v>
      </c>
      <c r="AB23" s="149"/>
      <c r="AC23" s="150">
        <f t="shared" ref="AC23:AJ23" si="58">SUM(AC18/AC$20)</f>
        <v>0.99204547163285872</v>
      </c>
      <c r="AD23" s="150">
        <f t="shared" si="58"/>
        <v>0.99123760793092419</v>
      </c>
      <c r="AE23" s="150">
        <f t="shared" si="58"/>
        <v>0.99054227878952006</v>
      </c>
      <c r="AF23" s="150">
        <f t="shared" si="58"/>
        <v>0.99001901449124874</v>
      </c>
      <c r="AG23" s="150">
        <f t="shared" si="58"/>
        <v>0.98939361276215698</v>
      </c>
      <c r="AH23" s="150">
        <f t="shared" si="58"/>
        <v>0.98899204717014777</v>
      </c>
      <c r="AI23" s="150">
        <f t="shared" si="58"/>
        <v>0.98841908643233145</v>
      </c>
      <c r="AJ23" s="151">
        <f t="shared" si="58"/>
        <v>0.98769793130721506</v>
      </c>
    </row>
    <row r="24" spans="1:36" ht="12.75" customHeight="1">
      <c r="B24" s="152" t="str">
        <f>B19&amp;"(%)"</f>
        <v>Other Revenues(%)</v>
      </c>
      <c r="C24" s="153">
        <f>SUM(C19/C$20)</f>
        <v>1.2518184804542681E-2</v>
      </c>
      <c r="D24" s="153">
        <f t="shared" ref="D24:G24" si="59">SUM(D19/D$20)</f>
        <v>6.2340581903073799E-3</v>
      </c>
      <c r="E24" s="153">
        <f t="shared" si="59"/>
        <v>7.0598514635211882E-3</v>
      </c>
      <c r="F24" s="153">
        <f t="shared" si="59"/>
        <v>7.9545283671413319E-3</v>
      </c>
      <c r="G24" s="153">
        <f t="shared" si="59"/>
        <v>1.0606387237842999E-2</v>
      </c>
      <c r="H24" s="154"/>
      <c r="I24" s="153">
        <f t="shared" ref="I24:AA24" si="60">SUM(I19/I$20)</f>
        <v>7.7232125443694663E-3</v>
      </c>
      <c r="J24" s="153">
        <f t="shared" si="60"/>
        <v>6.6731544557208401E-3</v>
      </c>
      <c r="K24" s="153">
        <f t="shared" si="60"/>
        <v>6.185856881765781E-3</v>
      </c>
      <c r="L24" s="153">
        <f t="shared" si="60"/>
        <v>4.726474355064951E-3</v>
      </c>
      <c r="M24" s="153">
        <f t="shared" si="60"/>
        <v>7.9006357255723362E-3</v>
      </c>
      <c r="N24" s="153">
        <f t="shared" si="60"/>
        <v>7.684173422629538E-3</v>
      </c>
      <c r="O24" s="153">
        <f t="shared" si="60"/>
        <v>6.9998906267089581E-3</v>
      </c>
      <c r="P24" s="153">
        <f t="shared" si="60"/>
        <v>5.8209809784337428E-3</v>
      </c>
      <c r="Q24" s="153">
        <f t="shared" si="60"/>
        <v>7.2422807885254006E-3</v>
      </c>
      <c r="R24" s="153">
        <f t="shared" si="60"/>
        <v>7.0926457144658448E-3</v>
      </c>
      <c r="S24" s="153">
        <f t="shared" si="60"/>
        <v>8.6338991041961331E-3</v>
      </c>
      <c r="T24" s="153">
        <f t="shared" si="60"/>
        <v>8.5807228298455471E-3</v>
      </c>
      <c r="U24" s="153">
        <f t="shared" si="60"/>
        <v>1.0551159239205887E-2</v>
      </c>
      <c r="V24" s="153">
        <f t="shared" si="60"/>
        <v>1.0047006560256212E-2</v>
      </c>
      <c r="W24" s="153">
        <f t="shared" si="60"/>
        <v>1.0764155857040105E-2</v>
      </c>
      <c r="X24" s="153">
        <f t="shared" si="60"/>
        <v>1.097181996913515E-2</v>
      </c>
      <c r="Y24" s="153">
        <f t="shared" si="60"/>
        <v>1.2171256741921627E-2</v>
      </c>
      <c r="Z24" s="153">
        <f t="shared" si="60"/>
        <v>1.2365842277181521E-2</v>
      </c>
      <c r="AA24" s="153">
        <f t="shared" si="60"/>
        <v>1.3590167809028598E-2</v>
      </c>
      <c r="AB24" s="154"/>
      <c r="AC24" s="155">
        <f t="shared" ref="AC24:AJ24" si="61">SUM(AC19/AC$20)</f>
        <v>7.9545283671413319E-3</v>
      </c>
      <c r="AD24" s="155">
        <f t="shared" si="61"/>
        <v>8.762392069075791E-3</v>
      </c>
      <c r="AE24" s="155">
        <f t="shared" si="61"/>
        <v>9.4577212104799951E-3</v>
      </c>
      <c r="AF24" s="155">
        <f t="shared" si="61"/>
        <v>9.9809855087512091E-3</v>
      </c>
      <c r="AG24" s="155">
        <f t="shared" si="61"/>
        <v>1.0606387237842999E-2</v>
      </c>
      <c r="AH24" s="155">
        <f t="shared" si="61"/>
        <v>1.1007952829852237E-2</v>
      </c>
      <c r="AI24" s="155">
        <f t="shared" si="61"/>
        <v>1.1580913567668535E-2</v>
      </c>
      <c r="AJ24" s="156">
        <f t="shared" si="61"/>
        <v>1.2302068692784959E-2</v>
      </c>
    </row>
    <row r="26" spans="1:36">
      <c r="A26" s="36" t="s">
        <v>16</v>
      </c>
      <c r="B26" s="1" t="s">
        <v>111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</row>
    <row r="28" spans="1:36" ht="12.75" customHeight="1">
      <c r="A28" s="80" t="s">
        <v>16</v>
      </c>
      <c r="B28" s="78" t="s">
        <v>112</v>
      </c>
      <c r="C28" s="10"/>
      <c r="D28" s="10"/>
      <c r="E28" s="10"/>
      <c r="F28" s="10"/>
      <c r="G28" s="10"/>
      <c r="H28" s="10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32"/>
      <c r="U28" s="95"/>
      <c r="V28" s="95"/>
      <c r="W28" s="95"/>
      <c r="X28" s="32"/>
      <c r="Y28" s="95"/>
      <c r="Z28" s="95"/>
      <c r="AA28" s="95"/>
      <c r="AB28" s="5"/>
      <c r="AC28" s="11"/>
      <c r="AD28" s="11"/>
      <c r="AE28" s="11"/>
      <c r="AF28" s="11"/>
      <c r="AG28" s="11"/>
      <c r="AH28" s="11"/>
      <c r="AI28" s="11"/>
      <c r="AJ28" s="11"/>
    </row>
    <row r="29" spans="1:36" ht="12.75" customHeight="1">
      <c r="A29" s="80"/>
      <c r="B29" s="9" t="s">
        <v>171</v>
      </c>
      <c r="C29" s="81">
        <v>38433</v>
      </c>
      <c r="D29" s="81">
        <v>51541</v>
      </c>
      <c r="E29" s="81">
        <v>50150</v>
      </c>
      <c r="F29" s="81">
        <v>52888</v>
      </c>
      <c r="G29" s="81">
        <v>63207</v>
      </c>
      <c r="H29" s="10"/>
      <c r="I29" s="95">
        <v>11436</v>
      </c>
      <c r="J29" s="95">
        <v>12612</v>
      </c>
      <c r="K29" s="95">
        <v>12668</v>
      </c>
      <c r="L29" s="32">
        <f t="shared" ref="L29:L32" si="62">SUM(D29-SUM(I29:K29))</f>
        <v>14825</v>
      </c>
      <c r="M29" s="95">
        <v>11780</v>
      </c>
      <c r="N29" s="95">
        <v>12186</v>
      </c>
      <c r="O29" s="95">
        <v>11966</v>
      </c>
      <c r="P29" s="32">
        <f t="shared" ref="P29:P32" si="63">SUM(E29-SUM(M29:O29))</f>
        <v>14218</v>
      </c>
      <c r="Q29" s="95">
        <v>11449</v>
      </c>
      <c r="R29" s="95">
        <v>12404</v>
      </c>
      <c r="S29" s="95">
        <v>12908</v>
      </c>
      <c r="T29" s="32">
        <f t="shared" ref="T29:T32" si="64">SUM(F29-SUM(Q29:S29))</f>
        <v>16127</v>
      </c>
      <c r="U29" s="95">
        <v>13646</v>
      </c>
      <c r="V29" s="95">
        <v>14640</v>
      </c>
      <c r="W29" s="95">
        <v>15619</v>
      </c>
      <c r="X29" s="32">
        <f t="shared" ref="X29:X32" si="65">SUM(G29-SUM(U29:W29))</f>
        <v>19302</v>
      </c>
      <c r="Y29" s="82">
        <v>16869</v>
      </c>
      <c r="Z29" s="82">
        <v>18454</v>
      </c>
      <c r="AA29" s="81">
        <v>19708</v>
      </c>
      <c r="AB29" s="5"/>
      <c r="AC29" s="32">
        <f>SUM(Q29:T29)</f>
        <v>52888</v>
      </c>
      <c r="AD29" s="32">
        <f>SUM(R29:U29)</f>
        <v>55085</v>
      </c>
      <c r="AE29" s="32">
        <f>SUM(S29:V29)</f>
        <v>57321</v>
      </c>
      <c r="AF29" s="32">
        <f>SUM(T29:W29)</f>
        <v>60032</v>
      </c>
      <c r="AG29" s="32">
        <f>SUM(U29:X29)</f>
        <v>63207</v>
      </c>
      <c r="AH29" s="32">
        <f>SUM(V29:Y29)</f>
        <v>66430</v>
      </c>
      <c r="AI29" s="32">
        <f>SUM(W29:Z29)</f>
        <v>70244</v>
      </c>
      <c r="AJ29" s="32">
        <f>SUM(X29:AA29)</f>
        <v>74333</v>
      </c>
    </row>
    <row r="30" spans="1:36" ht="12.75" customHeight="1">
      <c r="A30" s="80"/>
      <c r="B30" s="9" t="s">
        <v>172</v>
      </c>
      <c r="C30" s="81">
        <v>20349</v>
      </c>
      <c r="D30" s="81">
        <v>29057</v>
      </c>
      <c r="E30" s="81">
        <v>26681</v>
      </c>
      <c r="F30" s="81">
        <v>31210</v>
      </c>
      <c r="G30" s="81">
        <v>38361</v>
      </c>
      <c r="H30" s="10"/>
      <c r="I30" s="95">
        <v>6384</v>
      </c>
      <c r="J30" s="95">
        <v>7220</v>
      </c>
      <c r="K30" s="95">
        <v>7018</v>
      </c>
      <c r="L30" s="32">
        <f t="shared" si="62"/>
        <v>8435</v>
      </c>
      <c r="M30" s="95">
        <v>6638</v>
      </c>
      <c r="N30" s="95">
        <v>6650</v>
      </c>
      <c r="O30" s="95">
        <v>5996</v>
      </c>
      <c r="P30" s="32">
        <f t="shared" si="63"/>
        <v>7397</v>
      </c>
      <c r="Q30" s="95">
        <v>6759</v>
      </c>
      <c r="R30" s="95">
        <v>7515</v>
      </c>
      <c r="S30" s="95">
        <v>7578</v>
      </c>
      <c r="T30" s="32">
        <f t="shared" si="64"/>
        <v>9358</v>
      </c>
      <c r="U30" s="95">
        <v>8404</v>
      </c>
      <c r="V30" s="95">
        <v>9153</v>
      </c>
      <c r="W30" s="95">
        <v>9205</v>
      </c>
      <c r="X30" s="32">
        <f t="shared" si="65"/>
        <v>11599</v>
      </c>
      <c r="Y30" s="82">
        <v>9621</v>
      </c>
      <c r="Z30" s="82">
        <v>11128</v>
      </c>
      <c r="AA30" s="81">
        <v>11566</v>
      </c>
      <c r="AB30" s="5"/>
      <c r="AC30" s="32">
        <f>SUM(Q30:T30)</f>
        <v>31210</v>
      </c>
      <c r="AD30" s="32">
        <f>SUM(R30:U30)</f>
        <v>32855</v>
      </c>
      <c r="AE30" s="32">
        <f>SUM(S30:V30)</f>
        <v>34493</v>
      </c>
      <c r="AF30" s="32">
        <f>SUM(T30:W30)</f>
        <v>36120</v>
      </c>
      <c r="AG30" s="32">
        <f>SUM(U30:X30)</f>
        <v>38361</v>
      </c>
      <c r="AH30" s="32">
        <f>SUM(V30:Y30)</f>
        <v>39578</v>
      </c>
      <c r="AI30" s="32">
        <f>SUM(W30:Z30)</f>
        <v>41553</v>
      </c>
      <c r="AJ30" s="32">
        <f>SUM(X30:AA30)</f>
        <v>43914</v>
      </c>
    </row>
    <row r="31" spans="1:36" ht="12.75" customHeight="1">
      <c r="A31" s="80"/>
      <c r="B31" s="9" t="s">
        <v>173</v>
      </c>
      <c r="C31" s="81">
        <v>19848</v>
      </c>
      <c r="D31" s="81">
        <v>26739</v>
      </c>
      <c r="E31" s="81">
        <v>27760</v>
      </c>
      <c r="F31" s="81">
        <v>36154</v>
      </c>
      <c r="G31" s="81">
        <v>45009</v>
      </c>
      <c r="H31" s="10"/>
      <c r="I31" s="95">
        <v>6101</v>
      </c>
      <c r="J31" s="95">
        <v>6677</v>
      </c>
      <c r="K31" s="95">
        <v>6592</v>
      </c>
      <c r="L31" s="32">
        <f t="shared" si="62"/>
        <v>7369</v>
      </c>
      <c r="M31" s="95">
        <v>6722</v>
      </c>
      <c r="N31" s="95">
        <v>6960</v>
      </c>
      <c r="O31" s="95">
        <v>6797</v>
      </c>
      <c r="P31" s="32">
        <f t="shared" si="63"/>
        <v>7281</v>
      </c>
      <c r="Q31" s="95">
        <v>7292</v>
      </c>
      <c r="R31" s="95">
        <v>8551</v>
      </c>
      <c r="S31" s="95">
        <v>9790</v>
      </c>
      <c r="T31" s="32">
        <f t="shared" si="64"/>
        <v>10521</v>
      </c>
      <c r="U31" s="95">
        <v>10312</v>
      </c>
      <c r="V31" s="95">
        <v>10967</v>
      </c>
      <c r="W31" s="95">
        <v>11243</v>
      </c>
      <c r="X31" s="32">
        <f t="shared" si="65"/>
        <v>12487</v>
      </c>
      <c r="Y31" s="82">
        <v>11239</v>
      </c>
      <c r="Z31" s="82">
        <v>12858</v>
      </c>
      <c r="AA31" s="81">
        <v>14304</v>
      </c>
      <c r="AB31" s="5"/>
      <c r="AC31" s="32">
        <f>SUM(Q31:T31)</f>
        <v>36154</v>
      </c>
      <c r="AD31" s="32">
        <f>SUM(R31:U31)</f>
        <v>39174</v>
      </c>
      <c r="AE31" s="32">
        <f>SUM(S31:V31)</f>
        <v>41590</v>
      </c>
      <c r="AF31" s="32">
        <f>SUM(T31:W31)</f>
        <v>43043</v>
      </c>
      <c r="AG31" s="32">
        <f>SUM(U31:X31)</f>
        <v>45009</v>
      </c>
      <c r="AH31" s="32">
        <f>SUM(V31:Y31)</f>
        <v>45936</v>
      </c>
      <c r="AI31" s="32">
        <f>SUM(W31:Z31)</f>
        <v>47827</v>
      </c>
      <c r="AJ31" s="32">
        <f>SUM(X31:AA31)</f>
        <v>50888</v>
      </c>
    </row>
    <row r="32" spans="1:36">
      <c r="B32" s="9" t="s">
        <v>174</v>
      </c>
      <c r="C32" s="81">
        <v>7335</v>
      </c>
      <c r="D32" s="81">
        <v>10592</v>
      </c>
      <c r="E32" s="81">
        <v>12018</v>
      </c>
      <c r="F32" s="81">
        <v>14650</v>
      </c>
      <c r="G32" s="81">
        <v>17924</v>
      </c>
      <c r="H32" s="81"/>
      <c r="I32" s="95">
        <v>2250</v>
      </c>
      <c r="J32" s="95">
        <v>2568</v>
      </c>
      <c r="K32" s="95">
        <v>2732</v>
      </c>
      <c r="L32" s="32">
        <f t="shared" si="62"/>
        <v>3042</v>
      </c>
      <c r="M32" s="95">
        <v>2768</v>
      </c>
      <c r="N32" s="95">
        <v>3026</v>
      </c>
      <c r="O32" s="95">
        <v>2955</v>
      </c>
      <c r="P32" s="32">
        <f t="shared" si="63"/>
        <v>3269</v>
      </c>
      <c r="Q32" s="95">
        <v>3145</v>
      </c>
      <c r="R32" s="95">
        <v>3529</v>
      </c>
      <c r="S32" s="95">
        <v>3870</v>
      </c>
      <c r="T32" s="32">
        <f t="shared" si="64"/>
        <v>4106</v>
      </c>
      <c r="U32" s="95">
        <v>4093</v>
      </c>
      <c r="V32" s="95">
        <v>4311</v>
      </c>
      <c r="W32" s="95">
        <v>4522</v>
      </c>
      <c r="X32" s="32">
        <f t="shared" si="65"/>
        <v>4998</v>
      </c>
      <c r="Y32" s="82">
        <v>4585</v>
      </c>
      <c r="Z32" s="82">
        <v>5076</v>
      </c>
      <c r="AA32" s="81">
        <v>5664</v>
      </c>
      <c r="AB32" s="5"/>
      <c r="AC32" s="32">
        <f>SUM(Q32:T32)</f>
        <v>14650</v>
      </c>
      <c r="AD32" s="32">
        <f>SUM(R32:U32)</f>
        <v>15598</v>
      </c>
      <c r="AE32" s="32">
        <f>SUM(S32:V32)</f>
        <v>16380</v>
      </c>
      <c r="AF32" s="32">
        <f>SUM(T32:W32)</f>
        <v>17032</v>
      </c>
      <c r="AG32" s="32">
        <f>SUM(U32:X32)</f>
        <v>17924</v>
      </c>
      <c r="AH32" s="32">
        <f>SUM(V32:Y32)</f>
        <v>18416</v>
      </c>
      <c r="AI32" s="32">
        <f>SUM(W32:Z32)</f>
        <v>19181</v>
      </c>
      <c r="AJ32" s="32">
        <f>SUM(X32:AA32)</f>
        <v>20323</v>
      </c>
    </row>
    <row r="33" spans="2:36">
      <c r="B33" s="13" t="s">
        <v>65</v>
      </c>
      <c r="C33" s="14">
        <f>SUM(C29:C32)</f>
        <v>85965</v>
      </c>
      <c r="D33" s="14">
        <f>SUM(D29:D32)</f>
        <v>117929</v>
      </c>
      <c r="E33" s="14">
        <f>SUM(E29:E32)</f>
        <v>116609</v>
      </c>
      <c r="F33" s="14">
        <f>SUM(F29:F32)</f>
        <v>134902</v>
      </c>
      <c r="G33" s="14">
        <f>SUM(G29:G32)</f>
        <v>164501</v>
      </c>
      <c r="H33" s="11"/>
      <c r="I33" s="14">
        <f t="shared" ref="I33:AA33" si="66">SUM(I29:I32)</f>
        <v>26171</v>
      </c>
      <c r="J33" s="14">
        <f t="shared" si="66"/>
        <v>29077</v>
      </c>
      <c r="K33" s="14">
        <f t="shared" si="66"/>
        <v>29010</v>
      </c>
      <c r="L33" s="14">
        <f t="shared" si="66"/>
        <v>33671</v>
      </c>
      <c r="M33" s="14">
        <f t="shared" si="66"/>
        <v>27908</v>
      </c>
      <c r="N33" s="14">
        <f t="shared" si="66"/>
        <v>28822</v>
      </c>
      <c r="O33" s="14">
        <f t="shared" si="66"/>
        <v>27714</v>
      </c>
      <c r="P33" s="14">
        <f t="shared" si="66"/>
        <v>32165</v>
      </c>
      <c r="Q33" s="14">
        <f t="shared" si="66"/>
        <v>28645</v>
      </c>
      <c r="R33" s="14">
        <f t="shared" si="66"/>
        <v>31999</v>
      </c>
      <c r="S33" s="14">
        <f t="shared" si="66"/>
        <v>34146</v>
      </c>
      <c r="T33" s="14">
        <f t="shared" si="66"/>
        <v>40112</v>
      </c>
      <c r="U33" s="14">
        <f t="shared" si="66"/>
        <v>36455</v>
      </c>
      <c r="V33" s="14">
        <f t="shared" si="66"/>
        <v>39071</v>
      </c>
      <c r="W33" s="14">
        <f t="shared" si="66"/>
        <v>40589</v>
      </c>
      <c r="X33" s="14">
        <f t="shared" si="66"/>
        <v>48386</v>
      </c>
      <c r="Y33" s="14">
        <f t="shared" si="66"/>
        <v>42314</v>
      </c>
      <c r="Z33" s="14">
        <f t="shared" si="66"/>
        <v>47516</v>
      </c>
      <c r="AA33" s="14">
        <f t="shared" si="66"/>
        <v>51242</v>
      </c>
      <c r="AB33" s="5"/>
      <c r="AC33" s="14">
        <f t="shared" ref="AC33:AI33" si="67">SUM(AC29:AC32)</f>
        <v>134902</v>
      </c>
      <c r="AD33" s="14">
        <f t="shared" si="67"/>
        <v>142712</v>
      </c>
      <c r="AE33" s="14">
        <f t="shared" si="67"/>
        <v>149784</v>
      </c>
      <c r="AF33" s="14">
        <f t="shared" si="67"/>
        <v>156227</v>
      </c>
      <c r="AG33" s="14">
        <f t="shared" si="67"/>
        <v>164501</v>
      </c>
      <c r="AH33" s="14">
        <f t="shared" si="67"/>
        <v>170360</v>
      </c>
      <c r="AI33" s="14">
        <f t="shared" si="67"/>
        <v>178805</v>
      </c>
      <c r="AJ33" s="14">
        <f>SUM(AJ29:AJ32)</f>
        <v>189458</v>
      </c>
    </row>
    <row r="34" spans="2:36" outlineLevel="1">
      <c r="B34" s="131" t="s">
        <v>113</v>
      </c>
      <c r="C34" s="79">
        <f>C33-C11</f>
        <v>0</v>
      </c>
      <c r="D34" s="79">
        <f t="shared" ref="D34:G34" si="68">D33-D11</f>
        <v>0</v>
      </c>
      <c r="E34" s="79">
        <f t="shared" si="68"/>
        <v>0</v>
      </c>
      <c r="F34" s="79">
        <f t="shared" si="68"/>
        <v>0</v>
      </c>
      <c r="G34" s="79">
        <f t="shared" si="68"/>
        <v>0</v>
      </c>
      <c r="H34" s="11"/>
      <c r="I34" s="79">
        <f t="shared" ref="I34" si="69">I33-I11</f>
        <v>0</v>
      </c>
      <c r="J34" s="79">
        <f t="shared" ref="J34" si="70">J33-J11</f>
        <v>0</v>
      </c>
      <c r="K34" s="79">
        <f t="shared" ref="K34" si="71">K33-K11</f>
        <v>0</v>
      </c>
      <c r="L34" s="79">
        <f t="shared" ref="L34" si="72">L33-L11</f>
        <v>0</v>
      </c>
      <c r="M34" s="79">
        <f t="shared" ref="M34" si="73">M33-M11</f>
        <v>0</v>
      </c>
      <c r="N34" s="79">
        <f t="shared" ref="N34" si="74">N33-N11</f>
        <v>0</v>
      </c>
      <c r="O34" s="79">
        <f t="shared" ref="O34" si="75">O33-O11</f>
        <v>0</v>
      </c>
      <c r="P34" s="79">
        <f t="shared" ref="P34" si="76">P33-P11</f>
        <v>0</v>
      </c>
      <c r="Q34" s="79">
        <f t="shared" ref="Q34" si="77">Q33-Q11</f>
        <v>0</v>
      </c>
      <c r="R34" s="79">
        <f t="shared" ref="R34" si="78">R33-R11</f>
        <v>0</v>
      </c>
      <c r="S34" s="79">
        <f t="shared" ref="S34" si="79">S33-S11</f>
        <v>0</v>
      </c>
      <c r="T34" s="79">
        <f t="shared" ref="T34" si="80">T33-T11</f>
        <v>0</v>
      </c>
      <c r="U34" s="79">
        <f t="shared" ref="U34" si="81">U33-U11</f>
        <v>0</v>
      </c>
      <c r="V34" s="79">
        <f t="shared" ref="V34" si="82">V33-V11</f>
        <v>0</v>
      </c>
      <c r="W34" s="79">
        <f t="shared" ref="W34" si="83">W33-W11</f>
        <v>0</v>
      </c>
      <c r="X34" s="79">
        <f t="shared" ref="X34" si="84">X33-X11</f>
        <v>0</v>
      </c>
      <c r="Y34" s="79">
        <f t="shared" ref="Y34" si="85">Y33-Y11</f>
        <v>0</v>
      </c>
      <c r="Z34" s="79">
        <f t="shared" ref="Z34" si="86">Z33-Z11</f>
        <v>0</v>
      </c>
      <c r="AA34" s="79">
        <f t="shared" ref="AA34" si="87">AA33-AA11</f>
        <v>0</v>
      </c>
      <c r="AB34" s="79"/>
      <c r="AC34" s="79">
        <f t="shared" ref="AC34" si="88">AC33-AC11</f>
        <v>0</v>
      </c>
      <c r="AD34" s="79">
        <f t="shared" ref="AD34" si="89">AD33-AD11</f>
        <v>0</v>
      </c>
      <c r="AE34" s="79">
        <f t="shared" ref="AE34" si="90">AE33-AE11</f>
        <v>0</v>
      </c>
      <c r="AF34" s="79">
        <f t="shared" ref="AF34" si="91">AF33-AF11</f>
        <v>0</v>
      </c>
      <c r="AG34" s="79">
        <f t="shared" ref="AG34" si="92">AG33-AG11</f>
        <v>0</v>
      </c>
      <c r="AH34" s="79">
        <f t="shared" ref="AH34" si="93">AH33-AH11</f>
        <v>0</v>
      </c>
      <c r="AI34" s="79">
        <f t="shared" ref="AI34" si="94">AI33-AI11</f>
        <v>0</v>
      </c>
      <c r="AJ34" s="79">
        <f t="shared" ref="AJ34" si="95">AJ33-AJ11</f>
        <v>0</v>
      </c>
    </row>
    <row r="35" spans="2:36">
      <c r="B35" s="18"/>
      <c r="C35" s="19"/>
      <c r="D35" s="19"/>
      <c r="E35" s="19"/>
      <c r="F35" s="19"/>
      <c r="G35" s="19"/>
      <c r="H35" s="20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2"/>
      <c r="U35" s="21"/>
      <c r="V35" s="21"/>
      <c r="W35" s="21"/>
      <c r="X35" s="21"/>
      <c r="Y35" s="21"/>
      <c r="Z35" s="21"/>
      <c r="AA35" s="21"/>
      <c r="AB35" s="20"/>
      <c r="AC35" s="20"/>
      <c r="AD35" s="20"/>
      <c r="AE35" s="20"/>
      <c r="AF35" s="20"/>
      <c r="AG35" s="20"/>
      <c r="AH35" s="20"/>
      <c r="AI35" s="20"/>
      <c r="AJ35" s="20"/>
    </row>
    <row r="36" spans="2:36">
      <c r="B36" s="147" t="str">
        <f>B29&amp;"(%)"</f>
        <v>United States and Canada (%)</v>
      </c>
      <c r="C36" s="148">
        <f>SUM(C29/C$33)</f>
        <v>0.4470772989007154</v>
      </c>
      <c r="D36" s="148">
        <f t="shared" ref="D36:G36" si="96">SUM(D29/D$33)</f>
        <v>0.43705110702202171</v>
      </c>
      <c r="E36" s="148">
        <f t="shared" si="96"/>
        <v>0.43006972017597267</v>
      </c>
      <c r="F36" s="148">
        <f t="shared" si="96"/>
        <v>0.39204756045129058</v>
      </c>
      <c r="G36" s="148">
        <f t="shared" si="96"/>
        <v>0.38423474629333559</v>
      </c>
      <c r="H36" s="149"/>
      <c r="I36" s="148">
        <f t="shared" ref="I36:AA36" si="97">SUM(I29/I$33)</f>
        <v>0.43697222116082685</v>
      </c>
      <c r="J36" s="148">
        <f t="shared" si="97"/>
        <v>0.43374488427279295</v>
      </c>
      <c r="K36" s="148">
        <f t="shared" si="97"/>
        <v>0.43667700792830061</v>
      </c>
      <c r="L36" s="148">
        <f t="shared" si="97"/>
        <v>0.44028986368091239</v>
      </c>
      <c r="M36" s="148">
        <f t="shared" si="97"/>
        <v>0.42210118962304716</v>
      </c>
      <c r="N36" s="148">
        <f t="shared" si="97"/>
        <v>0.42280202622996321</v>
      </c>
      <c r="O36" s="148">
        <f t="shared" si="97"/>
        <v>0.43176733780760629</v>
      </c>
      <c r="P36" s="148">
        <f t="shared" si="97"/>
        <v>0.44203326597233017</v>
      </c>
      <c r="Q36" s="148">
        <f t="shared" si="97"/>
        <v>0.39968580904171758</v>
      </c>
      <c r="R36" s="148">
        <f t="shared" si="97"/>
        <v>0.38763711365980186</v>
      </c>
      <c r="S36" s="148">
        <f t="shared" si="97"/>
        <v>0.37802378023780236</v>
      </c>
      <c r="T36" s="148">
        <f t="shared" si="97"/>
        <v>0.40204926206621461</v>
      </c>
      <c r="U36" s="148">
        <f t="shared" si="97"/>
        <v>0.37432450966945552</v>
      </c>
      <c r="V36" s="148">
        <f t="shared" si="97"/>
        <v>0.3747024647436718</v>
      </c>
      <c r="W36" s="148">
        <f t="shared" si="97"/>
        <v>0.38480869201015055</v>
      </c>
      <c r="X36" s="148">
        <f t="shared" si="97"/>
        <v>0.39891704211962137</v>
      </c>
      <c r="Y36" s="148">
        <f t="shared" si="97"/>
        <v>0.39866238124497805</v>
      </c>
      <c r="Z36" s="148">
        <f t="shared" si="97"/>
        <v>0.38837444229312229</v>
      </c>
      <c r="AA36" s="148">
        <f t="shared" si="97"/>
        <v>0.38460637758089067</v>
      </c>
      <c r="AB36" s="149"/>
      <c r="AC36" s="150">
        <f t="shared" ref="AC36:AJ36" si="98">SUM(AC29/AC$33)</f>
        <v>0.39204756045129058</v>
      </c>
      <c r="AD36" s="150">
        <f t="shared" si="98"/>
        <v>0.38598716295756491</v>
      </c>
      <c r="AE36" s="150">
        <f t="shared" si="98"/>
        <v>0.38269107514821343</v>
      </c>
      <c r="AF36" s="150">
        <f t="shared" si="98"/>
        <v>0.38426136327267374</v>
      </c>
      <c r="AG36" s="150">
        <f t="shared" si="98"/>
        <v>0.38423474629333559</v>
      </c>
      <c r="AH36" s="150">
        <f t="shared" si="98"/>
        <v>0.38993895280582297</v>
      </c>
      <c r="AI36" s="150">
        <f t="shared" si="98"/>
        <v>0.39285254886608317</v>
      </c>
      <c r="AJ36" s="151">
        <f t="shared" si="98"/>
        <v>0.39234553304690223</v>
      </c>
    </row>
    <row r="37" spans="2:36">
      <c r="B37" s="157" t="str">
        <f t="shared" ref="B37:B38" si="99">B30&amp;"(%)"</f>
        <v>Europe (%)</v>
      </c>
      <c r="C37" s="158">
        <f t="shared" ref="C37:G39" si="100">SUM(C30/C$33)</f>
        <v>0.23671261559937185</v>
      </c>
      <c r="D37" s="158">
        <f t="shared" si="100"/>
        <v>0.24639401673888525</v>
      </c>
      <c r="E37" s="158">
        <f t="shared" si="100"/>
        <v>0.22880738193449907</v>
      </c>
      <c r="F37" s="158">
        <f t="shared" si="100"/>
        <v>0.23135313042060163</v>
      </c>
      <c r="G37" s="158">
        <f t="shared" si="100"/>
        <v>0.23319615078327791</v>
      </c>
      <c r="H37" s="159"/>
      <c r="I37" s="158">
        <f t="shared" ref="I37:AA37" si="101">SUM(I30/I$33)</f>
        <v>0.24393412555882465</v>
      </c>
      <c r="J37" s="158">
        <f t="shared" si="101"/>
        <v>0.24830622141211267</v>
      </c>
      <c r="K37" s="158">
        <f t="shared" si="101"/>
        <v>0.24191658048948639</v>
      </c>
      <c r="L37" s="158">
        <f t="shared" si="101"/>
        <v>0.25051231029669446</v>
      </c>
      <c r="M37" s="158">
        <f t="shared" si="101"/>
        <v>0.2378529453920023</v>
      </c>
      <c r="N37" s="158">
        <f t="shared" si="101"/>
        <v>0.23072652834640206</v>
      </c>
      <c r="O37" s="158">
        <f t="shared" si="101"/>
        <v>0.21635274590459697</v>
      </c>
      <c r="P37" s="158">
        <f t="shared" si="101"/>
        <v>0.22997046479092181</v>
      </c>
      <c r="Q37" s="158">
        <f t="shared" si="101"/>
        <v>0.23595740967009948</v>
      </c>
      <c r="R37" s="158">
        <f t="shared" si="101"/>
        <v>0.23485108909653427</v>
      </c>
      <c r="S37" s="158">
        <f t="shared" si="101"/>
        <v>0.22192936215076436</v>
      </c>
      <c r="T37" s="158">
        <f t="shared" si="101"/>
        <v>0.23329676904666932</v>
      </c>
      <c r="U37" s="158">
        <f t="shared" si="101"/>
        <v>0.23053079138664107</v>
      </c>
      <c r="V37" s="158">
        <f t="shared" si="101"/>
        <v>0.23426582375675054</v>
      </c>
      <c r="W37" s="158">
        <f t="shared" si="101"/>
        <v>0.22678558230062332</v>
      </c>
      <c r="X37" s="158">
        <f t="shared" si="101"/>
        <v>0.2397181002769396</v>
      </c>
      <c r="Y37" s="158">
        <f t="shared" si="101"/>
        <v>0.22737155551354163</v>
      </c>
      <c r="Z37" s="158">
        <f t="shared" si="101"/>
        <v>0.23419479754188063</v>
      </c>
      <c r="AA37" s="158">
        <f t="shared" si="101"/>
        <v>0.22571328207329924</v>
      </c>
      <c r="AB37" s="159"/>
      <c r="AC37" s="160">
        <f t="shared" ref="AC37:AJ37" si="102">SUM(AC30/AC$33)</f>
        <v>0.23135313042060163</v>
      </c>
      <c r="AD37" s="160">
        <f t="shared" si="102"/>
        <v>0.23021890240484333</v>
      </c>
      <c r="AE37" s="160">
        <f t="shared" si="102"/>
        <v>0.23028494365219249</v>
      </c>
      <c r="AF37" s="160">
        <f t="shared" si="102"/>
        <v>0.23120203293924865</v>
      </c>
      <c r="AG37" s="160">
        <f t="shared" si="102"/>
        <v>0.23319615078327791</v>
      </c>
      <c r="AH37" s="160">
        <f t="shared" si="102"/>
        <v>0.23231979337872741</v>
      </c>
      <c r="AI37" s="160">
        <f t="shared" si="102"/>
        <v>0.23239283017812701</v>
      </c>
      <c r="AJ37" s="161">
        <f t="shared" si="102"/>
        <v>0.2317875201891712</v>
      </c>
    </row>
    <row r="38" spans="2:36">
      <c r="B38" s="157" t="str">
        <f t="shared" si="99"/>
        <v>Asia-Pacific (%)</v>
      </c>
      <c r="C38" s="158">
        <f t="shared" si="100"/>
        <v>0.23088466236258942</v>
      </c>
      <c r="D38" s="158">
        <f t="shared" si="100"/>
        <v>0.22673812209041033</v>
      </c>
      <c r="E38" s="158">
        <f t="shared" si="100"/>
        <v>0.23806052706051847</v>
      </c>
      <c r="F38" s="158">
        <f t="shared" si="100"/>
        <v>0.26800195697617529</v>
      </c>
      <c r="G38" s="158">
        <f t="shared" si="100"/>
        <v>0.2736092789709485</v>
      </c>
      <c r="H38" s="159"/>
      <c r="I38" s="158">
        <f t="shared" ref="I38:AA38" si="103">SUM(I31/I$33)</f>
        <v>0.2331206297046349</v>
      </c>
      <c r="J38" s="158">
        <f t="shared" si="103"/>
        <v>0.22963166764109089</v>
      </c>
      <c r="K38" s="158">
        <f t="shared" si="103"/>
        <v>0.22723198896932092</v>
      </c>
      <c r="L38" s="158">
        <f t="shared" si="103"/>
        <v>0.21885301891835704</v>
      </c>
      <c r="M38" s="158">
        <f t="shared" si="103"/>
        <v>0.24086283502938224</v>
      </c>
      <c r="N38" s="158">
        <f t="shared" si="103"/>
        <v>0.24148220109638471</v>
      </c>
      <c r="O38" s="158">
        <f t="shared" si="103"/>
        <v>0.2452551057227394</v>
      </c>
      <c r="P38" s="158">
        <f t="shared" si="103"/>
        <v>0.22636406031400591</v>
      </c>
      <c r="Q38" s="158">
        <f t="shared" si="103"/>
        <v>0.25456449642171408</v>
      </c>
      <c r="R38" s="158">
        <f t="shared" si="103"/>
        <v>0.26722710084690149</v>
      </c>
      <c r="S38" s="158">
        <f t="shared" si="103"/>
        <v>0.28671000995724244</v>
      </c>
      <c r="T38" s="158">
        <f t="shared" si="103"/>
        <v>0.26229058635819708</v>
      </c>
      <c r="U38" s="158">
        <f t="shared" si="103"/>
        <v>0.28286929090659718</v>
      </c>
      <c r="V38" s="158">
        <f t="shared" si="103"/>
        <v>0.28069412095927926</v>
      </c>
      <c r="W38" s="158">
        <f t="shared" si="103"/>
        <v>0.27699623050580208</v>
      </c>
      <c r="X38" s="158">
        <f t="shared" si="103"/>
        <v>0.25807051626503535</v>
      </c>
      <c r="Y38" s="158">
        <f t="shared" si="103"/>
        <v>0.26560949094862218</v>
      </c>
      <c r="Z38" s="158">
        <f t="shared" si="103"/>
        <v>0.27060358616045121</v>
      </c>
      <c r="AA38" s="158">
        <f t="shared" si="103"/>
        <v>0.27914601303618125</v>
      </c>
      <c r="AB38" s="159"/>
      <c r="AC38" s="160">
        <f t="shared" ref="AC38:AJ38" si="104">SUM(AC31/AC$33)</f>
        <v>0.26800195697617529</v>
      </c>
      <c r="AD38" s="160">
        <f t="shared" si="104"/>
        <v>0.27449688883906048</v>
      </c>
      <c r="AE38" s="160">
        <f t="shared" si="104"/>
        <v>0.27766650643593443</v>
      </c>
      <c r="AF38" s="160">
        <f t="shared" si="104"/>
        <v>0.2755157559192713</v>
      </c>
      <c r="AG38" s="160">
        <f t="shared" si="104"/>
        <v>0.2736092789709485</v>
      </c>
      <c r="AH38" s="160">
        <f t="shared" si="104"/>
        <v>0.2696407607419582</v>
      </c>
      <c r="AI38" s="160">
        <f t="shared" si="104"/>
        <v>0.26748133441458571</v>
      </c>
      <c r="AJ38" s="161">
        <f t="shared" si="104"/>
        <v>0.26859778948368501</v>
      </c>
    </row>
    <row r="39" spans="2:36" ht="12.75" customHeight="1">
      <c r="B39" s="152" t="str">
        <f>B32&amp;"(%)"</f>
        <v>Rest of World (%)</v>
      </c>
      <c r="C39" s="153">
        <f t="shared" si="100"/>
        <v>8.5325423137323331E-2</v>
      </c>
      <c r="D39" s="153">
        <f t="shared" si="100"/>
        <v>8.9816754148682676E-2</v>
      </c>
      <c r="E39" s="153">
        <f t="shared" si="100"/>
        <v>0.10306237082900976</v>
      </c>
      <c r="F39" s="153">
        <f t="shared" si="100"/>
        <v>0.10859735215193252</v>
      </c>
      <c r="G39" s="153">
        <f t="shared" si="100"/>
        <v>0.10895982395243797</v>
      </c>
      <c r="H39" s="154"/>
      <c r="I39" s="153">
        <f t="shared" ref="I39:AA39" si="105">SUM(I32/I$33)</f>
        <v>8.597302357571357E-2</v>
      </c>
      <c r="J39" s="153">
        <f t="shared" si="105"/>
        <v>8.8317226674003504E-2</v>
      </c>
      <c r="K39" s="153">
        <f t="shared" si="105"/>
        <v>9.4174422612892106E-2</v>
      </c>
      <c r="L39" s="153">
        <f t="shared" si="105"/>
        <v>9.0344807104036112E-2</v>
      </c>
      <c r="M39" s="153">
        <f t="shared" si="105"/>
        <v>9.9183029955568297E-2</v>
      </c>
      <c r="N39" s="153">
        <f t="shared" si="105"/>
        <v>0.10498924432725001</v>
      </c>
      <c r="O39" s="153">
        <f t="shared" si="105"/>
        <v>0.10662481056505738</v>
      </c>
      <c r="P39" s="153">
        <f t="shared" si="105"/>
        <v>0.10163220892274211</v>
      </c>
      <c r="Q39" s="153">
        <f t="shared" si="105"/>
        <v>0.10979228486646884</v>
      </c>
      <c r="R39" s="153">
        <f t="shared" si="105"/>
        <v>0.1102846963967624</v>
      </c>
      <c r="S39" s="153">
        <f t="shared" si="105"/>
        <v>0.11333684765419083</v>
      </c>
      <c r="T39" s="153">
        <f t="shared" si="105"/>
        <v>0.10236338252891902</v>
      </c>
      <c r="U39" s="153">
        <f t="shared" si="105"/>
        <v>0.11227540803730626</v>
      </c>
      <c r="V39" s="153">
        <f t="shared" si="105"/>
        <v>0.11033759054029843</v>
      </c>
      <c r="W39" s="153">
        <f t="shared" si="105"/>
        <v>0.11140949518342408</v>
      </c>
      <c r="X39" s="153">
        <f t="shared" si="105"/>
        <v>0.10329434133840366</v>
      </c>
      <c r="Y39" s="153">
        <f t="shared" si="105"/>
        <v>0.10835657229285815</v>
      </c>
      <c r="Z39" s="153">
        <f t="shared" si="105"/>
        <v>0.10682717400454583</v>
      </c>
      <c r="AA39" s="153">
        <f t="shared" si="105"/>
        <v>0.11053432730962882</v>
      </c>
      <c r="AB39" s="154"/>
      <c r="AC39" s="155">
        <f t="shared" ref="AC39:AJ39" si="106">SUM(AC32/AC$33)</f>
        <v>0.10859735215193252</v>
      </c>
      <c r="AD39" s="155">
        <f t="shared" si="106"/>
        <v>0.10929704579853131</v>
      </c>
      <c r="AE39" s="155">
        <f t="shared" si="106"/>
        <v>0.10935747476365967</v>
      </c>
      <c r="AF39" s="155">
        <f t="shared" si="106"/>
        <v>0.10902084786880629</v>
      </c>
      <c r="AG39" s="155">
        <f t="shared" si="106"/>
        <v>0.10895982395243797</v>
      </c>
      <c r="AH39" s="155">
        <f t="shared" si="106"/>
        <v>0.10810049307349143</v>
      </c>
      <c r="AI39" s="155">
        <f t="shared" si="106"/>
        <v>0.1072732865412041</v>
      </c>
      <c r="AJ39" s="156">
        <f t="shared" si="106"/>
        <v>0.10726915728024153</v>
      </c>
    </row>
  </sheetData>
  <pageMargins left="0.7" right="0.7" top="0.75" bottom="0.75" header="0.3" footer="0.3"/>
  <ignoredErrors>
    <ignoredError sqref="C12:D14 C15:D16" evalError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26C0D2-A617-43BF-9493-F1D2AA08251E}">
  <sheetPr>
    <tabColor theme="6" tint="-0.249977111117893"/>
  </sheetPr>
  <dimension ref="A2:AL79"/>
  <sheetViews>
    <sheetView showGridLines="0" zoomScaleNormal="100" workbookViewId="0">
      <selection activeCell="AL8" sqref="AL8"/>
    </sheetView>
  </sheetViews>
  <sheetFormatPr defaultRowHeight="12" outlineLevelCol="1"/>
  <cols>
    <col min="1" max="1" width="1.5" style="8" customWidth="1"/>
    <col min="2" max="2" width="42" style="8" customWidth="1"/>
    <col min="3" max="4" width="9" style="8" hidden="1" customWidth="1" outlineLevel="1"/>
    <col min="5" max="5" width="9" style="8" bestFit="1" customWidth="1" collapsed="1"/>
    <col min="6" max="6" width="9.25" style="8" bestFit="1" customWidth="1"/>
    <col min="7" max="7" width="9" style="8"/>
    <col min="8" max="8" width="1.5" style="8" customWidth="1"/>
    <col min="9" max="18" width="8" style="8" hidden="1" customWidth="1" outlineLevel="1"/>
    <col min="19" max="22" width="8.875" style="8" hidden="1" customWidth="1" outlineLevel="1"/>
    <col min="23" max="23" width="8.875" style="8" bestFit="1" customWidth="1" collapsed="1"/>
    <col min="24" max="27" width="8.875" style="8" bestFit="1" customWidth="1"/>
    <col min="28" max="28" width="1.625" style="8" customWidth="1"/>
    <col min="29" max="29" width="9.25" style="8" hidden="1" customWidth="1" outlineLevel="1"/>
    <col min="30" max="30" width="9.75" style="8" hidden="1" customWidth="1" outlineLevel="1"/>
    <col min="31" max="31" width="9" style="8" hidden="1" customWidth="1" outlineLevel="1"/>
    <col min="32" max="32" width="9" style="8" customWidth="1" collapsed="1"/>
    <col min="33" max="34" width="9" style="8" hidden="1" customWidth="1" outlineLevel="1"/>
    <col min="35" max="35" width="8.5" style="8" hidden="1" customWidth="1" outlineLevel="1"/>
    <col min="36" max="36" width="8.5" style="8" bestFit="1" customWidth="1" collapsed="1"/>
    <col min="37" max="37" width="1.5" style="8" customWidth="1"/>
    <col min="38" max="38" width="9.375" style="129" bestFit="1" customWidth="1"/>
    <col min="39" max="16384" width="9" style="8"/>
  </cols>
  <sheetData>
    <row r="2" spans="2:38" s="5" customFormat="1" ht="12.75" customHeight="1">
      <c r="B2" s="1" t="str">
        <f>'Historical Financials'!B2</f>
        <v>Meta Platforms, Inc. (NASDAQ: META)</v>
      </c>
      <c r="C2" s="2" t="s">
        <v>0</v>
      </c>
      <c r="D2" s="2" t="s">
        <v>0</v>
      </c>
      <c r="E2" s="2" t="s">
        <v>0</v>
      </c>
      <c r="F2" s="2"/>
      <c r="G2" s="2"/>
      <c r="H2" s="3"/>
      <c r="I2" s="2" t="s">
        <v>1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 t="s">
        <v>1</v>
      </c>
      <c r="X2" s="2"/>
      <c r="Y2" s="2"/>
      <c r="Z2" s="2"/>
      <c r="AA2" s="2"/>
      <c r="AB2" s="3"/>
      <c r="AC2" s="2"/>
      <c r="AD2" s="2"/>
      <c r="AE2" s="2" t="s">
        <v>10</v>
      </c>
      <c r="AF2" s="2" t="s">
        <v>10</v>
      </c>
      <c r="AG2" s="2"/>
      <c r="AH2" s="2"/>
      <c r="AI2" s="2"/>
      <c r="AJ2" s="2"/>
      <c r="AK2" s="3"/>
      <c r="AL2" s="166" t="s">
        <v>22</v>
      </c>
    </row>
    <row r="3" spans="2:38" s="5" customFormat="1" ht="12.75" customHeight="1">
      <c r="B3" s="6" t="s">
        <v>23</v>
      </c>
      <c r="C3" s="7">
        <f>'Historical Financials'!C7</f>
        <v>2020</v>
      </c>
      <c r="D3" s="7">
        <f>'Historical Financials'!D7</f>
        <v>2021</v>
      </c>
      <c r="E3" s="7">
        <f>'Historical Financials'!E7</f>
        <v>2022</v>
      </c>
      <c r="F3" s="7">
        <f>'Historical Financials'!F7</f>
        <v>2023</v>
      </c>
      <c r="G3" s="7">
        <f>'Historical Financials'!G7</f>
        <v>2024</v>
      </c>
      <c r="H3" s="3"/>
      <c r="I3" s="7" t="str">
        <f>'Historical Financials'!I7</f>
        <v>1Q21</v>
      </c>
      <c r="J3" s="7" t="str">
        <f>'Historical Financials'!J7</f>
        <v>2Q21</v>
      </c>
      <c r="K3" s="7" t="str">
        <f>'Historical Financials'!K7</f>
        <v>3Q21</v>
      </c>
      <c r="L3" s="7" t="str">
        <f>'Historical Financials'!L7</f>
        <v>4Q21</v>
      </c>
      <c r="M3" s="7" t="str">
        <f>'Historical Financials'!M7</f>
        <v>1Q22</v>
      </c>
      <c r="N3" s="7" t="str">
        <f>'Historical Financials'!N7</f>
        <v>2Q22</v>
      </c>
      <c r="O3" s="7" t="str">
        <f>'Historical Financials'!O7</f>
        <v>3Q22</v>
      </c>
      <c r="P3" s="7" t="str">
        <f>'Historical Financials'!P7</f>
        <v>4Q22</v>
      </c>
      <c r="Q3" s="7" t="str">
        <f>'Historical Financials'!Q7</f>
        <v>1Q23</v>
      </c>
      <c r="R3" s="7" t="str">
        <f>'Historical Financials'!R7</f>
        <v>2Q23</v>
      </c>
      <c r="S3" s="7" t="str">
        <f>'Historical Financials'!S7</f>
        <v>3Q23</v>
      </c>
      <c r="T3" s="7" t="str">
        <f>'Historical Financials'!T7</f>
        <v>4Q23</v>
      </c>
      <c r="U3" s="7" t="str">
        <f>'Historical Financials'!U7</f>
        <v>1Q24</v>
      </c>
      <c r="V3" s="7" t="str">
        <f>'Historical Financials'!V7</f>
        <v>2Q24</v>
      </c>
      <c r="W3" s="7" t="str">
        <f>'Historical Financials'!W7</f>
        <v>3Q24</v>
      </c>
      <c r="X3" s="7" t="str">
        <f>'Historical Financials'!X7</f>
        <v>4Q24</v>
      </c>
      <c r="Y3" s="7" t="str">
        <f>'Historical Financials'!Y7</f>
        <v>1Q25</v>
      </c>
      <c r="Z3" s="7" t="str">
        <f>'Historical Financials'!Z7</f>
        <v>2Q25</v>
      </c>
      <c r="AA3" s="7" t="str">
        <f>'Historical Financials'!AA7</f>
        <v>3Q25</v>
      </c>
      <c r="AB3" s="3"/>
      <c r="AC3" s="4" t="str">
        <f t="shared" ref="AC3:AJ4" si="0">T3</f>
        <v>4Q23</v>
      </c>
      <c r="AD3" s="4" t="str">
        <f t="shared" si="0"/>
        <v>1Q24</v>
      </c>
      <c r="AE3" s="4" t="str">
        <f t="shared" si="0"/>
        <v>2Q24</v>
      </c>
      <c r="AF3" s="4" t="str">
        <f t="shared" si="0"/>
        <v>3Q24</v>
      </c>
      <c r="AG3" s="4" t="str">
        <f t="shared" si="0"/>
        <v>4Q24</v>
      </c>
      <c r="AH3" s="4" t="str">
        <f t="shared" si="0"/>
        <v>1Q25</v>
      </c>
      <c r="AI3" s="4" t="str">
        <f t="shared" si="0"/>
        <v>2Q25</v>
      </c>
      <c r="AJ3" s="4" t="str">
        <f t="shared" si="0"/>
        <v>3Q25</v>
      </c>
      <c r="AK3" s="3"/>
      <c r="AL3" s="166"/>
    </row>
    <row r="4" spans="2:38" s="5" customFormat="1" ht="12.75" customHeight="1">
      <c r="B4" s="6" t="s">
        <v>110</v>
      </c>
      <c r="C4" s="3">
        <f>'Historical Financials'!C8</f>
        <v>44196</v>
      </c>
      <c r="D4" s="3">
        <f>'Historical Financials'!D8</f>
        <v>44561</v>
      </c>
      <c r="E4" s="3">
        <f>'Historical Financials'!E8</f>
        <v>44926</v>
      </c>
      <c r="F4" s="3">
        <f>'Historical Financials'!F8</f>
        <v>45291</v>
      </c>
      <c r="G4" s="3">
        <f>'Historical Financials'!G8</f>
        <v>45657</v>
      </c>
      <c r="H4" s="3"/>
      <c r="I4" s="3">
        <f>'Historical Financials'!I8</f>
        <v>44286</v>
      </c>
      <c r="J4" s="3">
        <f>'Historical Financials'!J8</f>
        <v>44377</v>
      </c>
      <c r="K4" s="3">
        <f>'Historical Financials'!K8</f>
        <v>44469</v>
      </c>
      <c r="L4" s="3">
        <f>'Historical Financials'!L8</f>
        <v>44561</v>
      </c>
      <c r="M4" s="3">
        <f>'Historical Financials'!M8</f>
        <v>44651</v>
      </c>
      <c r="N4" s="3">
        <f>'Historical Financials'!N8</f>
        <v>44742</v>
      </c>
      <c r="O4" s="3">
        <f>'Historical Financials'!O8</f>
        <v>44834</v>
      </c>
      <c r="P4" s="3">
        <f>'Historical Financials'!P8</f>
        <v>44926</v>
      </c>
      <c r="Q4" s="3">
        <f>'Historical Financials'!Q8</f>
        <v>45016</v>
      </c>
      <c r="R4" s="3">
        <f>'Historical Financials'!R8</f>
        <v>45107</v>
      </c>
      <c r="S4" s="3">
        <f>'Historical Financials'!S8</f>
        <v>45199</v>
      </c>
      <c r="T4" s="3">
        <f>'Historical Financials'!T8</f>
        <v>45291</v>
      </c>
      <c r="U4" s="3">
        <f>'Historical Financials'!U8</f>
        <v>45382</v>
      </c>
      <c r="V4" s="3">
        <f>'Historical Financials'!V8</f>
        <v>45473</v>
      </c>
      <c r="W4" s="3">
        <f>'Historical Financials'!W8</f>
        <v>45565</v>
      </c>
      <c r="X4" s="3">
        <f>'Historical Financials'!X8</f>
        <v>45657</v>
      </c>
      <c r="Y4" s="3">
        <f>'Historical Financials'!Y8</f>
        <v>45747</v>
      </c>
      <c r="Z4" s="3">
        <f>'Historical Financials'!Z8</f>
        <v>45838</v>
      </c>
      <c r="AA4" s="3">
        <f>'Historical Financials'!AA8</f>
        <v>45930</v>
      </c>
      <c r="AB4" s="3"/>
      <c r="AC4" s="3">
        <f t="shared" si="0"/>
        <v>45291</v>
      </c>
      <c r="AD4" s="3">
        <f t="shared" si="0"/>
        <v>45382</v>
      </c>
      <c r="AE4" s="3">
        <f t="shared" si="0"/>
        <v>45473</v>
      </c>
      <c r="AF4" s="3">
        <f t="shared" si="0"/>
        <v>45565</v>
      </c>
      <c r="AG4" s="3">
        <f t="shared" si="0"/>
        <v>45657</v>
      </c>
      <c r="AH4" s="3">
        <f t="shared" si="0"/>
        <v>45747</v>
      </c>
      <c r="AI4" s="3">
        <f t="shared" si="0"/>
        <v>45838</v>
      </c>
      <c r="AJ4" s="3">
        <f t="shared" si="0"/>
        <v>45930</v>
      </c>
      <c r="AK4" s="3"/>
      <c r="AL4" s="166"/>
    </row>
    <row r="5" spans="2:38" ht="5.0999999999999996" customHeight="1">
      <c r="AL5" s="125"/>
    </row>
    <row r="6" spans="2:38" ht="12.75" customHeight="1">
      <c r="B6" s="9" t="str">
        <f>'Revenue Drivers'!B18</f>
        <v xml:space="preserve">Advertising </v>
      </c>
      <c r="C6" s="94">
        <f>'Revenue Drivers'!C18</f>
        <v>84169</v>
      </c>
      <c r="D6" s="94">
        <f>'Revenue Drivers'!D18</f>
        <v>114934</v>
      </c>
      <c r="E6" s="94">
        <f>'Revenue Drivers'!E18</f>
        <v>113642</v>
      </c>
      <c r="F6" s="94">
        <f>'Revenue Drivers'!F18</f>
        <v>131948</v>
      </c>
      <c r="G6" s="94">
        <f>'Revenue Drivers'!G18</f>
        <v>160633</v>
      </c>
      <c r="H6" s="10"/>
      <c r="I6" s="94">
        <f>'Revenue Drivers'!I18</f>
        <v>25439</v>
      </c>
      <c r="J6" s="94">
        <f>'Revenue Drivers'!J18</f>
        <v>28580</v>
      </c>
      <c r="K6" s="94">
        <f>'Revenue Drivers'!K18</f>
        <v>28276</v>
      </c>
      <c r="L6" s="94">
        <f>'Revenue Drivers'!L18</f>
        <v>32639</v>
      </c>
      <c r="M6" s="94">
        <f>'Revenue Drivers'!M18</f>
        <v>26998</v>
      </c>
      <c r="N6" s="94">
        <f>'Revenue Drivers'!N18</f>
        <v>28152</v>
      </c>
      <c r="O6" s="94">
        <f>'Revenue Drivers'!O18</f>
        <v>27237</v>
      </c>
      <c r="P6" s="94">
        <f>'Revenue Drivers'!P18</f>
        <v>31255</v>
      </c>
      <c r="Q6" s="94">
        <f>'Revenue Drivers'!Q18</f>
        <v>28101</v>
      </c>
      <c r="R6" s="94">
        <f>'Revenue Drivers'!R18</f>
        <v>31498</v>
      </c>
      <c r="S6" s="94">
        <f>'Revenue Drivers'!S18</f>
        <v>33643</v>
      </c>
      <c r="T6" s="94">
        <f>'Revenue Drivers'!T18</f>
        <v>38706</v>
      </c>
      <c r="U6" s="94">
        <f>'Revenue Drivers'!U18</f>
        <v>35635</v>
      </c>
      <c r="V6" s="94">
        <f>'Revenue Drivers'!V18</f>
        <v>38329</v>
      </c>
      <c r="W6" s="94">
        <f>'Revenue Drivers'!W18</f>
        <v>39885</v>
      </c>
      <c r="X6" s="94">
        <f>'Revenue Drivers'!X18</f>
        <v>46784</v>
      </c>
      <c r="Y6" s="94">
        <f>'Revenue Drivers'!Y18</f>
        <v>41392</v>
      </c>
      <c r="Z6" s="94">
        <f>'Revenue Drivers'!Z18</f>
        <v>46563</v>
      </c>
      <c r="AA6" s="94">
        <f>'Revenue Drivers'!AA18</f>
        <v>50082</v>
      </c>
      <c r="AB6" s="5"/>
      <c r="AC6" s="141">
        <f t="shared" ref="AC6:AI8" si="1">SUM(Q6:T6)</f>
        <v>131948</v>
      </c>
      <c r="AD6" s="141">
        <f t="shared" si="1"/>
        <v>139482</v>
      </c>
      <c r="AE6" s="141">
        <f t="shared" si="1"/>
        <v>146313</v>
      </c>
      <c r="AF6" s="141">
        <f t="shared" si="1"/>
        <v>152555</v>
      </c>
      <c r="AG6" s="141">
        <f t="shared" si="1"/>
        <v>160633</v>
      </c>
      <c r="AH6" s="141">
        <f t="shared" si="1"/>
        <v>166390</v>
      </c>
      <c r="AI6" s="141">
        <f t="shared" si="1"/>
        <v>174624</v>
      </c>
      <c r="AJ6" s="141">
        <f>SUM(X6:AA6)</f>
        <v>184821</v>
      </c>
      <c r="AL6" s="126">
        <f t="shared" ref="AL6:AL9" si="2">SUM(AJ6/AF6)-1</f>
        <v>0.21150404772049414</v>
      </c>
    </row>
    <row r="7" spans="2:38" ht="12.75" customHeight="1">
      <c r="B7" s="9" t="str">
        <f>'Revenue Drivers'!B10</f>
        <v xml:space="preserve">Reality Labs </v>
      </c>
      <c r="C7" s="94">
        <f>'Revenue Drivers'!C10</f>
        <v>729</v>
      </c>
      <c r="D7" s="94">
        <f>'Revenue Drivers'!D10</f>
        <v>2274</v>
      </c>
      <c r="E7" s="94">
        <f>'Revenue Drivers'!E10</f>
        <v>2159</v>
      </c>
      <c r="F7" s="94">
        <f>'Revenue Drivers'!F10</f>
        <v>1896</v>
      </c>
      <c r="G7" s="94">
        <f>'Revenue Drivers'!G10</f>
        <v>2146</v>
      </c>
      <c r="H7" s="10"/>
      <c r="I7" s="94">
        <f>'Revenue Drivers'!I10</f>
        <v>534</v>
      </c>
      <c r="J7" s="94">
        <f>'Revenue Drivers'!J10</f>
        <v>305</v>
      </c>
      <c r="K7" s="94">
        <f>'Revenue Drivers'!K10</f>
        <v>558</v>
      </c>
      <c r="L7" s="94">
        <f>'Revenue Drivers'!L10</f>
        <v>877</v>
      </c>
      <c r="M7" s="94">
        <f>'Revenue Drivers'!M10</f>
        <v>695</v>
      </c>
      <c r="N7" s="94">
        <f>'Revenue Drivers'!N10</f>
        <v>452</v>
      </c>
      <c r="O7" s="94">
        <f>'Revenue Drivers'!O10</f>
        <v>285</v>
      </c>
      <c r="P7" s="94">
        <f>'Revenue Drivers'!P10</f>
        <v>727</v>
      </c>
      <c r="Q7" s="94">
        <f>'Revenue Drivers'!Q10</f>
        <v>339</v>
      </c>
      <c r="R7" s="94">
        <f>'Revenue Drivers'!R10</f>
        <v>276</v>
      </c>
      <c r="S7" s="94">
        <f>'Revenue Drivers'!S10</f>
        <v>210</v>
      </c>
      <c r="T7" s="94">
        <f>'Revenue Drivers'!T10</f>
        <v>1071</v>
      </c>
      <c r="U7" s="94">
        <f>'Revenue Drivers'!U10</f>
        <v>440</v>
      </c>
      <c r="V7" s="94">
        <f>'Revenue Drivers'!V10</f>
        <v>353</v>
      </c>
      <c r="W7" s="94">
        <f>'Revenue Drivers'!W10</f>
        <v>270</v>
      </c>
      <c r="X7" s="94">
        <f>'Revenue Drivers'!X10</f>
        <v>1083</v>
      </c>
      <c r="Y7" s="94">
        <f>'Revenue Drivers'!Y10</f>
        <v>412</v>
      </c>
      <c r="Z7" s="94">
        <f>'Revenue Drivers'!Z10</f>
        <v>370</v>
      </c>
      <c r="AA7" s="94">
        <f>'Revenue Drivers'!AA10</f>
        <v>470</v>
      </c>
      <c r="AB7" s="5"/>
      <c r="AC7" s="141">
        <f t="shared" si="1"/>
        <v>1896</v>
      </c>
      <c r="AD7" s="141">
        <f t="shared" si="1"/>
        <v>1997</v>
      </c>
      <c r="AE7" s="141">
        <f t="shared" si="1"/>
        <v>2074</v>
      </c>
      <c r="AF7" s="141">
        <f t="shared" si="1"/>
        <v>2134</v>
      </c>
      <c r="AG7" s="141">
        <f t="shared" si="1"/>
        <v>2146</v>
      </c>
      <c r="AH7" s="141">
        <f t="shared" si="1"/>
        <v>2118</v>
      </c>
      <c r="AI7" s="141">
        <f t="shared" si="1"/>
        <v>2135</v>
      </c>
      <c r="AJ7" s="141">
        <f>SUM(X7:AA7)</f>
        <v>2335</v>
      </c>
      <c r="AL7" s="126">
        <f t="shared" si="2"/>
        <v>9.4189315838800303E-2</v>
      </c>
    </row>
    <row r="8" spans="2:38" ht="12.75" customHeight="1">
      <c r="B8" s="9" t="str">
        <f>'Revenue Drivers'!B19</f>
        <v>Other Revenues</v>
      </c>
      <c r="C8" s="94">
        <f>'Revenue Drivers'!C19</f>
        <v>1067</v>
      </c>
      <c r="D8" s="94">
        <f>'Revenue Drivers'!D19</f>
        <v>721</v>
      </c>
      <c r="E8" s="94">
        <f>'Revenue Drivers'!E19</f>
        <v>808</v>
      </c>
      <c r="F8" s="94">
        <f>'Revenue Drivers'!F19</f>
        <v>1058</v>
      </c>
      <c r="G8" s="94">
        <f>'Revenue Drivers'!G19</f>
        <v>1722</v>
      </c>
      <c r="H8" s="10"/>
      <c r="I8" s="94">
        <f>'Revenue Drivers'!I19</f>
        <v>198</v>
      </c>
      <c r="J8" s="94">
        <f>'Revenue Drivers'!J19</f>
        <v>192</v>
      </c>
      <c r="K8" s="94">
        <f>'Revenue Drivers'!K19</f>
        <v>176</v>
      </c>
      <c r="L8" s="94">
        <f>'Revenue Drivers'!L19</f>
        <v>155</v>
      </c>
      <c r="M8" s="94">
        <f>'Revenue Drivers'!M19</f>
        <v>215</v>
      </c>
      <c r="N8" s="94">
        <f>'Revenue Drivers'!N19</f>
        <v>218</v>
      </c>
      <c r="O8" s="94">
        <f>'Revenue Drivers'!O19</f>
        <v>192</v>
      </c>
      <c r="P8" s="94">
        <f>'Revenue Drivers'!P19</f>
        <v>183</v>
      </c>
      <c r="Q8" s="94">
        <f>'Revenue Drivers'!Q19</f>
        <v>205</v>
      </c>
      <c r="R8" s="94">
        <f>'Revenue Drivers'!R19</f>
        <v>225</v>
      </c>
      <c r="S8" s="94">
        <f>'Revenue Drivers'!S19</f>
        <v>293</v>
      </c>
      <c r="T8" s="94">
        <f>'Revenue Drivers'!T19</f>
        <v>335</v>
      </c>
      <c r="U8" s="94">
        <f>'Revenue Drivers'!U19</f>
        <v>380</v>
      </c>
      <c r="V8" s="94">
        <f>'Revenue Drivers'!V19</f>
        <v>389</v>
      </c>
      <c r="W8" s="94">
        <f>'Revenue Drivers'!W19</f>
        <v>434</v>
      </c>
      <c r="X8" s="94">
        <f>'Revenue Drivers'!X19</f>
        <v>519</v>
      </c>
      <c r="Y8" s="94">
        <f>'Revenue Drivers'!Y19</f>
        <v>510</v>
      </c>
      <c r="Z8" s="94">
        <f>'Revenue Drivers'!Z19</f>
        <v>583</v>
      </c>
      <c r="AA8" s="94">
        <f>'Revenue Drivers'!AA19</f>
        <v>690</v>
      </c>
      <c r="AB8" s="5"/>
      <c r="AC8" s="141">
        <f t="shared" si="1"/>
        <v>1058</v>
      </c>
      <c r="AD8" s="141">
        <f t="shared" si="1"/>
        <v>1233</v>
      </c>
      <c r="AE8" s="141">
        <f t="shared" si="1"/>
        <v>1397</v>
      </c>
      <c r="AF8" s="141">
        <f t="shared" si="1"/>
        <v>1538</v>
      </c>
      <c r="AG8" s="141">
        <f t="shared" si="1"/>
        <v>1722</v>
      </c>
      <c r="AH8" s="141">
        <f t="shared" si="1"/>
        <v>1852</v>
      </c>
      <c r="AI8" s="141">
        <f t="shared" si="1"/>
        <v>2046</v>
      </c>
      <c r="AJ8" s="141">
        <f>SUM(X8:AA8)</f>
        <v>2302</v>
      </c>
      <c r="AL8" s="126">
        <f t="shared" si="2"/>
        <v>0.49674902470741222</v>
      </c>
    </row>
    <row r="9" spans="2:38" ht="12.75" customHeight="1">
      <c r="B9" s="13" t="s">
        <v>12</v>
      </c>
      <c r="C9" s="14">
        <f>SUM(C6:C8)</f>
        <v>85965</v>
      </c>
      <c r="D9" s="14">
        <f>SUM(D6:D8)</f>
        <v>117929</v>
      </c>
      <c r="E9" s="14">
        <f>SUM(E6:E8)</f>
        <v>116609</v>
      </c>
      <c r="F9" s="14">
        <f>SUM(F6:F8)</f>
        <v>134902</v>
      </c>
      <c r="G9" s="14">
        <f>SUM(G6:G8)</f>
        <v>164501</v>
      </c>
      <c r="H9" s="10"/>
      <c r="I9" s="14">
        <f t="shared" ref="I9:P9" si="3">SUM(I6:I8)</f>
        <v>26171</v>
      </c>
      <c r="J9" s="14">
        <f t="shared" si="3"/>
        <v>29077</v>
      </c>
      <c r="K9" s="14">
        <f t="shared" si="3"/>
        <v>29010</v>
      </c>
      <c r="L9" s="14">
        <f t="shared" si="3"/>
        <v>33671</v>
      </c>
      <c r="M9" s="14">
        <f t="shared" si="3"/>
        <v>27908</v>
      </c>
      <c r="N9" s="14">
        <f t="shared" si="3"/>
        <v>28822</v>
      </c>
      <c r="O9" s="14">
        <f t="shared" si="3"/>
        <v>27714</v>
      </c>
      <c r="P9" s="14">
        <f t="shared" si="3"/>
        <v>32165</v>
      </c>
      <c r="Q9" s="14">
        <f>SUM(Q6:Q8)</f>
        <v>28645</v>
      </c>
      <c r="R9" s="14">
        <f>SUM(R6:R8)</f>
        <v>31999</v>
      </c>
      <c r="S9" s="14">
        <f>SUM(S6:S8)</f>
        <v>34146</v>
      </c>
      <c r="T9" s="14">
        <f>SUM(T6:T8)</f>
        <v>40112</v>
      </c>
      <c r="U9" s="14">
        <f>SUM(U6:U8)</f>
        <v>36455</v>
      </c>
      <c r="V9" s="14">
        <f>SUM(V6:V8)</f>
        <v>39071</v>
      </c>
      <c r="W9" s="14">
        <f>SUM(W6:W8)</f>
        <v>40589</v>
      </c>
      <c r="X9" s="14">
        <f>SUM(X6:X8)</f>
        <v>48386</v>
      </c>
      <c r="Y9" s="14">
        <f>SUM(Y6:Y8)</f>
        <v>42314</v>
      </c>
      <c r="Z9" s="14">
        <f>SUM(Z6:Z8)</f>
        <v>47516</v>
      </c>
      <c r="AA9" s="14">
        <f>SUM(AA6:AA8)</f>
        <v>51242</v>
      </c>
      <c r="AB9" s="5"/>
      <c r="AC9" s="14">
        <f>SUM(AC6:AC8)</f>
        <v>134902</v>
      </c>
      <c r="AD9" s="14">
        <f>SUM(AD6:AD8)</f>
        <v>142712</v>
      </c>
      <c r="AE9" s="14">
        <f>SUM(AE6:AE8)</f>
        <v>149784</v>
      </c>
      <c r="AF9" s="14">
        <f>SUM(AF6:AF8)</f>
        <v>156227</v>
      </c>
      <c r="AG9" s="14">
        <f>SUM(AG6:AG8)</f>
        <v>164501</v>
      </c>
      <c r="AH9" s="14">
        <f>SUM(AH6:AH8)</f>
        <v>170360</v>
      </c>
      <c r="AI9" s="14">
        <f>SUM(AI6:AI8)</f>
        <v>178805</v>
      </c>
      <c r="AJ9" s="14">
        <f>SUM(AJ6:AJ8)</f>
        <v>189458</v>
      </c>
      <c r="AL9" s="127">
        <f t="shared" si="2"/>
        <v>0.21270971086944002</v>
      </c>
    </row>
    <row r="10" spans="2:38" ht="12.75" customHeight="1">
      <c r="B10" s="16" t="s">
        <v>26</v>
      </c>
      <c r="C10" s="115"/>
      <c r="D10" s="17">
        <f t="shared" ref="D10:E10" si="4">SUM(D9/C9)-1</f>
        <v>0.37182574303495608</v>
      </c>
      <c r="E10" s="17">
        <f t="shared" si="4"/>
        <v>-1.1193175554782941E-2</v>
      </c>
      <c r="F10" s="17">
        <f>SUM(F9/E9)-1</f>
        <v>0.15687468377226454</v>
      </c>
      <c r="G10" s="17">
        <f>SUM(G9/F9)-1</f>
        <v>0.21941112807816054</v>
      </c>
      <c r="H10" s="11"/>
      <c r="I10" s="115"/>
      <c r="J10" s="115"/>
      <c r="K10" s="115"/>
      <c r="L10" s="115"/>
      <c r="M10" s="17">
        <f t="shared" ref="M10" si="5">SUM(M9/I9)-1</f>
        <v>6.6371174200450911E-2</v>
      </c>
      <c r="N10" s="17">
        <f t="shared" ref="N10" si="6">SUM(N9/J9)-1</f>
        <v>-8.7698180692643568E-3</v>
      </c>
      <c r="O10" s="17">
        <f t="shared" ref="O10" si="7">SUM(O9/K9)-1</f>
        <v>-4.4674250258531556E-2</v>
      </c>
      <c r="P10" s="17">
        <f t="shared" ref="P10" si="8">SUM(P9/L9)-1</f>
        <v>-4.4726916337501144E-2</v>
      </c>
      <c r="Q10" s="17">
        <f t="shared" ref="Q10" si="9">SUM(Q9/M9)-1</f>
        <v>2.6408198366060009E-2</v>
      </c>
      <c r="R10" s="17">
        <f t="shared" ref="R10" si="10">SUM(R9/N9)-1</f>
        <v>0.11022829782804799</v>
      </c>
      <c r="S10" s="17">
        <f t="shared" ref="S10" si="11">SUM(S9/O9)-1</f>
        <v>0.23208486685429741</v>
      </c>
      <c r="T10" s="17">
        <f t="shared" ref="T10" si="12">SUM(T9/P9)-1</f>
        <v>0.24706979636250592</v>
      </c>
      <c r="U10" s="17">
        <f t="shared" ref="U10:AA10" si="13">SUM(U9/Q9)-1</f>
        <v>0.27264793157619138</v>
      </c>
      <c r="V10" s="17">
        <f t="shared" si="13"/>
        <v>0.2210069064658271</v>
      </c>
      <c r="W10" s="17">
        <f t="shared" si="13"/>
        <v>0.18868974404029748</v>
      </c>
      <c r="X10" s="17">
        <f t="shared" si="13"/>
        <v>0.20627243717590749</v>
      </c>
      <c r="Y10" s="17">
        <f t="shared" si="13"/>
        <v>0.16071869428062002</v>
      </c>
      <c r="Z10" s="17">
        <f t="shared" si="13"/>
        <v>0.21614496685521223</v>
      </c>
      <c r="AA10" s="17">
        <f t="shared" si="13"/>
        <v>0.26246027248761972</v>
      </c>
      <c r="AB10" s="5"/>
      <c r="AC10" s="115"/>
      <c r="AD10" s="115"/>
      <c r="AE10" s="115"/>
      <c r="AF10" s="115"/>
      <c r="AG10" s="17">
        <f t="shared" ref="AG10:AJ10" si="14">SUM(AG9/AC9)-1</f>
        <v>0.21941112807816054</v>
      </c>
      <c r="AH10" s="17">
        <f t="shared" si="14"/>
        <v>0.19373283255787888</v>
      </c>
      <c r="AI10" s="17">
        <f t="shared" si="14"/>
        <v>0.19375233669817882</v>
      </c>
      <c r="AJ10" s="17">
        <f t="shared" si="14"/>
        <v>0.21270971086944002</v>
      </c>
      <c r="AL10" s="128">
        <f>SUM(AJ10-AF10)*10000</f>
        <v>2127.0971086944</v>
      </c>
    </row>
    <row r="11" spans="2:38" ht="12.75" customHeight="1">
      <c r="B11" s="16" t="s">
        <v>27</v>
      </c>
      <c r="C11" s="17" t="s">
        <v>28</v>
      </c>
      <c r="D11" s="17" t="s">
        <v>28</v>
      </c>
      <c r="E11" s="17" t="s">
        <v>28</v>
      </c>
      <c r="F11" s="17" t="s">
        <v>28</v>
      </c>
      <c r="G11" s="17" t="s">
        <v>28</v>
      </c>
      <c r="H11" s="11"/>
      <c r="I11" s="115"/>
      <c r="J11" s="115"/>
      <c r="K11" s="115"/>
      <c r="L11" s="17">
        <f t="shared" ref="L11" si="15">SUM(L9/K9)-1</f>
        <v>0.16066873491899347</v>
      </c>
      <c r="M11" s="17">
        <f t="shared" ref="M11" si="16">SUM(M9/L9)-1</f>
        <v>-0.1711561878174096</v>
      </c>
      <c r="N11" s="17">
        <f t="shared" ref="N11" si="17">SUM(N9/M9)-1</f>
        <v>3.2750465816253405E-2</v>
      </c>
      <c r="O11" s="17">
        <f t="shared" ref="O11" si="18">SUM(O9/N9)-1</f>
        <v>-3.8442856151550853E-2</v>
      </c>
      <c r="P11" s="17">
        <f t="shared" ref="P11" si="19">SUM(P9/O9)-1</f>
        <v>0.1606047485025619</v>
      </c>
      <c r="Q11" s="17">
        <f t="shared" ref="Q11" si="20">SUM(Q9/P9)-1</f>
        <v>-0.10943572205813767</v>
      </c>
      <c r="R11" s="17">
        <f t="shared" ref="R11" si="21">SUM(R9/Q9)-1</f>
        <v>0.1170884971199162</v>
      </c>
      <c r="S11" s="17">
        <f t="shared" ref="S11" si="22">SUM(S9/R9)-1</f>
        <v>6.7095846745210741E-2</v>
      </c>
      <c r="T11" s="17">
        <f t="shared" ref="T11" si="23">SUM(T9/S9)-1</f>
        <v>0.17472031863175785</v>
      </c>
      <c r="U11" s="17">
        <f t="shared" ref="U11:AA11" si="24">SUM(U9/T9)-1</f>
        <v>-9.1169724770642224E-2</v>
      </c>
      <c r="V11" s="17">
        <f t="shared" si="24"/>
        <v>7.1759703744342263E-2</v>
      </c>
      <c r="W11" s="17">
        <f t="shared" si="24"/>
        <v>3.8852345729569304E-2</v>
      </c>
      <c r="X11" s="17">
        <f t="shared" si="24"/>
        <v>0.19209638079282554</v>
      </c>
      <c r="Y11" s="17">
        <f t="shared" si="24"/>
        <v>-0.12549084445914105</v>
      </c>
      <c r="Z11" s="17">
        <f t="shared" si="24"/>
        <v>0.12293803469300935</v>
      </c>
      <c r="AA11" s="17">
        <f t="shared" si="24"/>
        <v>7.8415691556528389E-2</v>
      </c>
      <c r="AB11" s="5"/>
      <c r="AC11" s="17" t="s">
        <v>28</v>
      </c>
      <c r="AD11" s="17" t="s">
        <v>28</v>
      </c>
      <c r="AE11" s="17" t="s">
        <v>28</v>
      </c>
      <c r="AF11" s="17" t="s">
        <v>28</v>
      </c>
      <c r="AG11" s="17" t="s">
        <v>28</v>
      </c>
      <c r="AH11" s="17" t="s">
        <v>28</v>
      </c>
      <c r="AI11" s="17" t="s">
        <v>28</v>
      </c>
      <c r="AJ11" s="17" t="s">
        <v>28</v>
      </c>
      <c r="AL11" s="125"/>
    </row>
    <row r="12" spans="2:38" ht="5.0999999999999996" customHeight="1">
      <c r="B12" s="18"/>
      <c r="C12" s="19"/>
      <c r="D12" s="19"/>
      <c r="E12" s="19"/>
      <c r="F12" s="19"/>
      <c r="G12" s="19"/>
      <c r="H12" s="20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2"/>
      <c r="U12" s="21"/>
      <c r="V12" s="21"/>
      <c r="W12" s="21"/>
      <c r="X12" s="21"/>
      <c r="Y12" s="21"/>
      <c r="Z12" s="21"/>
      <c r="AA12" s="21"/>
      <c r="AB12" s="20"/>
      <c r="AC12" s="20"/>
      <c r="AD12" s="20"/>
      <c r="AE12" s="20"/>
      <c r="AF12" s="20"/>
      <c r="AG12" s="20"/>
      <c r="AH12" s="20"/>
      <c r="AI12" s="20"/>
      <c r="AJ12" s="20"/>
      <c r="AL12" s="125"/>
    </row>
    <row r="13" spans="2:38" ht="12.75" customHeight="1">
      <c r="B13" s="23" t="s">
        <v>103</v>
      </c>
      <c r="C13" s="94">
        <f>'Historical Financials'!C13</f>
        <v>-16692</v>
      </c>
      <c r="D13" s="94">
        <f>'Historical Financials'!D13</f>
        <v>-22649</v>
      </c>
      <c r="E13" s="94">
        <f>'Historical Financials'!E13</f>
        <v>-25249</v>
      </c>
      <c r="F13" s="94">
        <f>'Historical Financials'!F13</f>
        <v>-25959</v>
      </c>
      <c r="G13" s="94">
        <f>'Historical Financials'!G13</f>
        <v>-30161</v>
      </c>
      <c r="H13" s="10"/>
      <c r="I13" s="94">
        <f>'Historical Financials'!I13</f>
        <v>-5131</v>
      </c>
      <c r="J13" s="94">
        <f>'Historical Financials'!J13</f>
        <v>-5399</v>
      </c>
      <c r="K13" s="94">
        <f>'Historical Financials'!K13</f>
        <v>-5771</v>
      </c>
      <c r="L13" s="94">
        <f>'Historical Financials'!L13</f>
        <v>-6348</v>
      </c>
      <c r="M13" s="94">
        <f>'Historical Financials'!M13</f>
        <v>-6005</v>
      </c>
      <c r="N13" s="94">
        <f>'Historical Financials'!N13</f>
        <v>-5192</v>
      </c>
      <c r="O13" s="94">
        <f>'Historical Financials'!O13</f>
        <v>-5716</v>
      </c>
      <c r="P13" s="94">
        <f>'Historical Financials'!P13</f>
        <v>-8336</v>
      </c>
      <c r="Q13" s="94">
        <f>'Historical Financials'!Q13</f>
        <v>-6108</v>
      </c>
      <c r="R13" s="94">
        <f>'Historical Financials'!R13</f>
        <v>-5945</v>
      </c>
      <c r="S13" s="94">
        <f>'Historical Financials'!S13</f>
        <v>-6210</v>
      </c>
      <c r="T13" s="94">
        <f>'Historical Financials'!T13</f>
        <v>-7696</v>
      </c>
      <c r="U13" s="94">
        <f>'Historical Financials'!U13</f>
        <v>-6640</v>
      </c>
      <c r="V13" s="94">
        <f>'Historical Financials'!V13</f>
        <v>-7308</v>
      </c>
      <c r="W13" s="94">
        <f>'Historical Financials'!W13</f>
        <v>-7375</v>
      </c>
      <c r="X13" s="94">
        <f>'Historical Financials'!X13</f>
        <v>-8838</v>
      </c>
      <c r="Y13" s="94">
        <f>'Historical Financials'!Y13</f>
        <v>-7572</v>
      </c>
      <c r="Z13" s="94">
        <f>'Historical Financials'!Z13</f>
        <v>-8491</v>
      </c>
      <c r="AA13" s="94">
        <f>'Historical Financials'!AA13</f>
        <v>-9206</v>
      </c>
      <c r="AB13" s="5"/>
      <c r="AC13" s="141">
        <f t="shared" ref="AC13:AI13" si="25">SUM(Q13:T13)</f>
        <v>-25959</v>
      </c>
      <c r="AD13" s="141">
        <f t="shared" si="25"/>
        <v>-26491</v>
      </c>
      <c r="AE13" s="141">
        <f t="shared" si="25"/>
        <v>-27854</v>
      </c>
      <c r="AF13" s="141">
        <f t="shared" si="25"/>
        <v>-29019</v>
      </c>
      <c r="AG13" s="141">
        <f t="shared" si="25"/>
        <v>-30161</v>
      </c>
      <c r="AH13" s="141">
        <f t="shared" si="25"/>
        <v>-31093</v>
      </c>
      <c r="AI13" s="141">
        <f t="shared" si="25"/>
        <v>-32276</v>
      </c>
      <c r="AJ13" s="141">
        <f>SUM(X13:AA13)</f>
        <v>-34107</v>
      </c>
      <c r="AL13" s="126">
        <f t="shared" ref="AL13" si="26">SUM(AJ13/AF13)-1</f>
        <v>0.17533340225369587</v>
      </c>
    </row>
    <row r="14" spans="2:38" ht="12.75" customHeight="1">
      <c r="B14" s="25" t="s">
        <v>20</v>
      </c>
      <c r="C14" s="26">
        <f>SUM(C9+SUM(C13:C13))</f>
        <v>69273</v>
      </c>
      <c r="D14" s="26">
        <f>SUM(D9+SUM(D13:D13))</f>
        <v>95280</v>
      </c>
      <c r="E14" s="26">
        <f>SUM(E9+SUM(E13:E13))</f>
        <v>91360</v>
      </c>
      <c r="F14" s="26">
        <f>SUM(F9+SUM(F13:F13))</f>
        <v>108943</v>
      </c>
      <c r="G14" s="26">
        <f>SUM(G9+SUM(G13:G13))</f>
        <v>134340</v>
      </c>
      <c r="H14" s="5"/>
      <c r="I14" s="26">
        <f>SUM(I9+SUM(I13:I13))</f>
        <v>21040</v>
      </c>
      <c r="J14" s="26">
        <f>SUM(J9+SUM(J13:J13))</f>
        <v>23678</v>
      </c>
      <c r="K14" s="26">
        <f>SUM(K9+SUM(K13:K13))</f>
        <v>23239</v>
      </c>
      <c r="L14" s="26">
        <f>SUM(L9+SUM(L13:L13))</f>
        <v>27323</v>
      </c>
      <c r="M14" s="26">
        <f>SUM(M9+SUM(M13:M13))</f>
        <v>21903</v>
      </c>
      <c r="N14" s="26">
        <f>SUM(N9+SUM(N13:N13))</f>
        <v>23630</v>
      </c>
      <c r="O14" s="26">
        <f>SUM(O9+SUM(O13:O13))</f>
        <v>21998</v>
      </c>
      <c r="P14" s="26">
        <f>SUM(P9+SUM(P13:P13))</f>
        <v>23829</v>
      </c>
      <c r="Q14" s="26">
        <f>SUM(Q9+SUM(Q13:Q13))</f>
        <v>22537</v>
      </c>
      <c r="R14" s="26">
        <f>SUM(R9+SUM(R13:R13))</f>
        <v>26054</v>
      </c>
      <c r="S14" s="26">
        <f>SUM(S9+SUM(S13:S13))</f>
        <v>27936</v>
      </c>
      <c r="T14" s="26">
        <f>SUM(T9+SUM(T13:T13))</f>
        <v>32416</v>
      </c>
      <c r="U14" s="26">
        <f>SUM(U9+SUM(U13:U13))</f>
        <v>29815</v>
      </c>
      <c r="V14" s="26">
        <f>SUM(V9+SUM(V13:V13))</f>
        <v>31763</v>
      </c>
      <c r="W14" s="26">
        <f>SUM(W9+SUM(W13:W13))</f>
        <v>33214</v>
      </c>
      <c r="X14" s="26">
        <f>SUM(X9+SUM(X13:X13))</f>
        <v>39548</v>
      </c>
      <c r="Y14" s="26">
        <f>SUM(Y9+SUM(Y13:Y13))</f>
        <v>34742</v>
      </c>
      <c r="Z14" s="26">
        <f>SUM(Z9+SUM(Z13:Z13))</f>
        <v>39025</v>
      </c>
      <c r="AA14" s="26">
        <f>SUM(AA9+SUM(AA13:AA13))</f>
        <v>42036</v>
      </c>
      <c r="AB14" s="5"/>
      <c r="AC14" s="26">
        <f>SUM(AC9+SUM(AC13:AC13))</f>
        <v>108943</v>
      </c>
      <c r="AD14" s="26">
        <f>SUM(AD9+SUM(AD13:AD13))</f>
        <v>116221</v>
      </c>
      <c r="AE14" s="26">
        <f>SUM(AE9+SUM(AE13:AE13))</f>
        <v>121930</v>
      </c>
      <c r="AF14" s="26">
        <f>SUM(AF9+SUM(AF13:AF13))</f>
        <v>127208</v>
      </c>
      <c r="AG14" s="26">
        <f>SUM(AG9+SUM(AG13:AG13))</f>
        <v>134340</v>
      </c>
      <c r="AH14" s="26">
        <f>SUM(AH9+SUM(AH13:AH13))</f>
        <v>139267</v>
      </c>
      <c r="AI14" s="26">
        <f>SUM(AI9+SUM(AI13:AI13))</f>
        <v>146529</v>
      </c>
      <c r="AJ14" s="26">
        <f>SUM(AJ9+SUM(AJ13:AJ13))</f>
        <v>155351</v>
      </c>
      <c r="AL14" s="127">
        <f>SUM(AJ14/AF14)-1</f>
        <v>0.22123608578076848</v>
      </c>
    </row>
    <row r="15" spans="2:38" ht="12.75" customHeight="1">
      <c r="B15" s="16" t="s">
        <v>29</v>
      </c>
      <c r="C15" s="17">
        <f>C14/C9</f>
        <v>0.80582795323678236</v>
      </c>
      <c r="D15" s="17">
        <f>D14/D9</f>
        <v>0.80794376277251567</v>
      </c>
      <c r="E15" s="17">
        <f>E14/E9</f>
        <v>0.78347297378418479</v>
      </c>
      <c r="F15" s="17">
        <f>F14/F9</f>
        <v>0.8075714222176098</v>
      </c>
      <c r="G15" s="17">
        <f>G14/G9</f>
        <v>0.81665157050717019</v>
      </c>
      <c r="H15" s="27"/>
      <c r="I15" s="17">
        <f>I14/I9</f>
        <v>0.80394329601467274</v>
      </c>
      <c r="J15" s="17">
        <f>J14/J9</f>
        <v>0.81432059703545756</v>
      </c>
      <c r="K15" s="17">
        <f>K14/K9</f>
        <v>0.80106859703550504</v>
      </c>
      <c r="L15" s="17">
        <f>L14/L9</f>
        <v>0.81146981081642955</v>
      </c>
      <c r="M15" s="17">
        <f>M14/M9</f>
        <v>0.78482872294682526</v>
      </c>
      <c r="N15" s="17">
        <f>N14/N9</f>
        <v>0.81985982929706469</v>
      </c>
      <c r="O15" s="17">
        <f>O14/O9</f>
        <v>0.79375045103557773</v>
      </c>
      <c r="P15" s="17">
        <f>P14/P9</f>
        <v>0.74083631276231932</v>
      </c>
      <c r="Q15" s="17">
        <f>Q14/Q9</f>
        <v>0.7867690696456624</v>
      </c>
      <c r="R15" s="17">
        <f>R14/R9</f>
        <v>0.81421294415450485</v>
      </c>
      <c r="S15" s="17">
        <f>S14/S9</f>
        <v>0.81813389562467054</v>
      </c>
      <c r="T15" s="17">
        <f>T14/T9</f>
        <v>0.8081372157957718</v>
      </c>
      <c r="U15" s="17">
        <f>U14/U9</f>
        <v>0.81785763269784661</v>
      </c>
      <c r="V15" s="17">
        <f>V14/V9</f>
        <v>0.81295590079598679</v>
      </c>
      <c r="W15" s="17">
        <f>W14/W9</f>
        <v>0.81830052477272164</v>
      </c>
      <c r="X15" s="17">
        <f>X14/X9</f>
        <v>0.81734385979415536</v>
      </c>
      <c r="Y15" s="17">
        <f>Y14/Y9</f>
        <v>0.82105213404546962</v>
      </c>
      <c r="Z15" s="17">
        <f>Z14/Z9</f>
        <v>0.82130229817324696</v>
      </c>
      <c r="AA15" s="17">
        <f>AA14/AA9</f>
        <v>0.82034268763904605</v>
      </c>
      <c r="AB15" s="28"/>
      <c r="AC15" s="17">
        <f>AC14/AC9</f>
        <v>0.8075714222176098</v>
      </c>
      <c r="AD15" s="17">
        <f>AD14/AD9</f>
        <v>0.81437440439486519</v>
      </c>
      <c r="AE15" s="17">
        <f>AE14/AE9</f>
        <v>0.81403888265769375</v>
      </c>
      <c r="AF15" s="17">
        <f>AF14/AF9</f>
        <v>0.81425105775570161</v>
      </c>
      <c r="AG15" s="17">
        <f>AG14/AG9</f>
        <v>0.81665157050717019</v>
      </c>
      <c r="AH15" s="17">
        <f>AH14/AH9</f>
        <v>0.81748649917821081</v>
      </c>
      <c r="AI15" s="17">
        <f>AI14/AI9</f>
        <v>0.81949050641760579</v>
      </c>
      <c r="AJ15" s="17">
        <f>AJ14/AJ9</f>
        <v>0.81997593134098323</v>
      </c>
      <c r="AL15" s="128">
        <f>SUM(AJ15-AF15)*10000</f>
        <v>57.248735852816203</v>
      </c>
    </row>
    <row r="16" spans="2:38" ht="5.0999999999999996" customHeight="1"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5"/>
      <c r="AC16" s="30"/>
      <c r="AD16" s="30"/>
      <c r="AE16" s="30"/>
      <c r="AF16" s="30"/>
      <c r="AG16" s="30"/>
      <c r="AH16" s="30"/>
      <c r="AI16" s="30"/>
      <c r="AJ16" s="30"/>
      <c r="AL16" s="125"/>
    </row>
    <row r="17" spans="2:38" ht="12.75" customHeight="1">
      <c r="B17" s="23" t="s">
        <v>104</v>
      </c>
      <c r="C17" s="140">
        <f>'Historical Financials'!C17</f>
        <v>-18447</v>
      </c>
      <c r="D17" s="140">
        <f>'Historical Financials'!D17</f>
        <v>-24655</v>
      </c>
      <c r="E17" s="140">
        <f>'Historical Financials'!E17</f>
        <v>-35338</v>
      </c>
      <c r="F17" s="140">
        <f>'Historical Financials'!F17</f>
        <v>-38483</v>
      </c>
      <c r="G17" s="140">
        <f>'Historical Financials'!G17</f>
        <v>-43873</v>
      </c>
      <c r="H17" s="94"/>
      <c r="I17" s="140">
        <f>'Historical Financials'!I17</f>
        <v>-5197</v>
      </c>
      <c r="J17" s="140">
        <f>'Historical Financials'!J17</f>
        <v>-6096</v>
      </c>
      <c r="K17" s="140">
        <f>'Historical Financials'!K17</f>
        <v>-6316</v>
      </c>
      <c r="L17" s="140">
        <f>'Historical Financials'!L17</f>
        <v>-7046</v>
      </c>
      <c r="M17" s="140">
        <f>'Historical Financials'!M17</f>
        <v>-7707</v>
      </c>
      <c r="N17" s="140">
        <f>'Historical Financials'!N17</f>
        <v>-8690</v>
      </c>
      <c r="O17" s="140">
        <f>'Historical Financials'!O17</f>
        <v>-9170</v>
      </c>
      <c r="P17" s="140">
        <f>'Historical Financials'!P17</f>
        <v>-9771</v>
      </c>
      <c r="Q17" s="140">
        <f>'Historical Financials'!Q17</f>
        <v>-9381</v>
      </c>
      <c r="R17" s="140">
        <f>'Historical Financials'!R17</f>
        <v>-9344</v>
      </c>
      <c r="S17" s="140">
        <f>'Historical Financials'!S17</f>
        <v>-9241</v>
      </c>
      <c r="T17" s="140">
        <f>'Historical Financials'!T17</f>
        <v>-10517</v>
      </c>
      <c r="U17" s="140">
        <f>'Historical Financials'!U17</f>
        <v>-9978</v>
      </c>
      <c r="V17" s="140">
        <f>'Historical Financials'!V17</f>
        <v>-10537</v>
      </c>
      <c r="W17" s="140">
        <f>'Historical Financials'!W17</f>
        <v>-11177</v>
      </c>
      <c r="X17" s="140">
        <f>'Historical Financials'!X17</f>
        <v>-12181</v>
      </c>
      <c r="Y17" s="140">
        <f>'Historical Financials'!Y17</f>
        <v>-12150</v>
      </c>
      <c r="Z17" s="140">
        <f>'Historical Financials'!Z17</f>
        <v>-12942</v>
      </c>
      <c r="AA17" s="140">
        <f>'Historical Financials'!AA17</f>
        <v>-15144</v>
      </c>
      <c r="AB17" s="5"/>
      <c r="AC17" s="141">
        <f t="shared" ref="AC17:AI19" si="27">SUM(Q17:T17)</f>
        <v>-38483</v>
      </c>
      <c r="AD17" s="141">
        <f t="shared" si="27"/>
        <v>-39080</v>
      </c>
      <c r="AE17" s="141">
        <f t="shared" si="27"/>
        <v>-40273</v>
      </c>
      <c r="AF17" s="141">
        <f t="shared" si="27"/>
        <v>-42209</v>
      </c>
      <c r="AG17" s="141">
        <f t="shared" si="27"/>
        <v>-43873</v>
      </c>
      <c r="AH17" s="141">
        <f t="shared" si="27"/>
        <v>-46045</v>
      </c>
      <c r="AI17" s="141">
        <f t="shared" si="27"/>
        <v>-48450</v>
      </c>
      <c r="AJ17" s="141">
        <f>SUM(X17:AA17)</f>
        <v>-52417</v>
      </c>
      <c r="AL17" s="126">
        <f t="shared" ref="AL17:AL19" si="28">SUM(AJ17/AF17)-1</f>
        <v>0.24184415645952284</v>
      </c>
    </row>
    <row r="18" spans="2:38" ht="12.75" customHeight="1">
      <c r="B18" s="23" t="s">
        <v>176</v>
      </c>
      <c r="C18" s="140">
        <f>'Historical Financials'!C18</f>
        <v>-11591</v>
      </c>
      <c r="D18" s="140">
        <f>'Historical Financials'!D18</f>
        <v>-14043</v>
      </c>
      <c r="E18" s="140">
        <f>'Historical Financials'!E18</f>
        <v>-15262</v>
      </c>
      <c r="F18" s="140">
        <f>'Historical Financials'!F18</f>
        <v>-12301</v>
      </c>
      <c r="G18" s="140">
        <f>'Historical Financials'!G18</f>
        <v>-11347</v>
      </c>
      <c r="H18" s="94"/>
      <c r="I18" s="140">
        <f>'Historical Financials'!I18</f>
        <v>-2843</v>
      </c>
      <c r="J18" s="140">
        <f>'Historical Financials'!J18</f>
        <v>-3259</v>
      </c>
      <c r="K18" s="140">
        <f>'Historical Financials'!K18</f>
        <v>-3554</v>
      </c>
      <c r="L18" s="140">
        <f>'Historical Financials'!L18</f>
        <v>-4387</v>
      </c>
      <c r="M18" s="140">
        <f>'Historical Financials'!M18</f>
        <v>-3312</v>
      </c>
      <c r="N18" s="140">
        <f>'Historical Financials'!N18</f>
        <v>-3595</v>
      </c>
      <c r="O18" s="140">
        <f>'Historical Financials'!O18</f>
        <v>-3780</v>
      </c>
      <c r="P18" s="140">
        <f>'Historical Financials'!P18</f>
        <v>-4575</v>
      </c>
      <c r="Q18" s="140">
        <f>'Historical Financials'!Q18</f>
        <v>-3044</v>
      </c>
      <c r="R18" s="140">
        <f>'Historical Financials'!R18</f>
        <v>-3154</v>
      </c>
      <c r="S18" s="140">
        <f>'Historical Financials'!S18</f>
        <v>-2877</v>
      </c>
      <c r="T18" s="140">
        <f>'Historical Financials'!T18</f>
        <v>-3226</v>
      </c>
      <c r="U18" s="140">
        <f>'Historical Financials'!U18</f>
        <v>-2564</v>
      </c>
      <c r="V18" s="140">
        <f>'Historical Financials'!V18</f>
        <v>-2721</v>
      </c>
      <c r="W18" s="140">
        <f>'Historical Financials'!W18</f>
        <v>-2822</v>
      </c>
      <c r="X18" s="140">
        <f>'Historical Financials'!X18</f>
        <v>-3240</v>
      </c>
      <c r="Y18" s="140">
        <f>'Historical Financials'!Y18</f>
        <v>-2757</v>
      </c>
      <c r="Z18" s="140">
        <f>'Historical Financials'!Z18</f>
        <v>-2979</v>
      </c>
      <c r="AA18" s="140">
        <f>'Historical Financials'!AA18</f>
        <v>-2845</v>
      </c>
      <c r="AB18" s="5"/>
      <c r="AC18" s="141">
        <f t="shared" si="27"/>
        <v>-12301</v>
      </c>
      <c r="AD18" s="141">
        <f t="shared" si="27"/>
        <v>-11821</v>
      </c>
      <c r="AE18" s="141">
        <f t="shared" si="27"/>
        <v>-11388</v>
      </c>
      <c r="AF18" s="141">
        <f t="shared" si="27"/>
        <v>-11333</v>
      </c>
      <c r="AG18" s="141">
        <f t="shared" si="27"/>
        <v>-11347</v>
      </c>
      <c r="AH18" s="141">
        <f t="shared" si="27"/>
        <v>-11540</v>
      </c>
      <c r="AI18" s="141">
        <f t="shared" si="27"/>
        <v>-11798</v>
      </c>
      <c r="AJ18" s="141">
        <f>SUM(X18:AA18)</f>
        <v>-11821</v>
      </c>
      <c r="AL18" s="126">
        <f t="shared" si="28"/>
        <v>4.3060090002647211E-2</v>
      </c>
    </row>
    <row r="19" spans="2:38" ht="12.75" customHeight="1">
      <c r="B19" s="23" t="s">
        <v>177</v>
      </c>
      <c r="C19" s="140">
        <f>'Historical Financials'!C19</f>
        <v>-6564</v>
      </c>
      <c r="D19" s="140">
        <f>'Historical Financials'!D19</f>
        <v>-9829</v>
      </c>
      <c r="E19" s="140">
        <f>'Historical Financials'!E19</f>
        <v>-11816</v>
      </c>
      <c r="F19" s="140">
        <f>'Historical Financials'!F19</f>
        <v>-11408</v>
      </c>
      <c r="G19" s="140">
        <f>'Historical Financials'!G19</f>
        <v>-9740</v>
      </c>
      <c r="H19" s="94"/>
      <c r="I19" s="140">
        <f>'Historical Financials'!I19</f>
        <v>-1622</v>
      </c>
      <c r="J19" s="140">
        <f>'Historical Financials'!J19</f>
        <v>-1956</v>
      </c>
      <c r="K19" s="140">
        <f>'Historical Financials'!K19</f>
        <v>-2946</v>
      </c>
      <c r="L19" s="140">
        <f>'Historical Financials'!L19</f>
        <v>-3305</v>
      </c>
      <c r="M19" s="140">
        <f>'Historical Financials'!M19</f>
        <v>-2360</v>
      </c>
      <c r="N19" s="140">
        <f>'Historical Financials'!N19</f>
        <v>-2987</v>
      </c>
      <c r="O19" s="140">
        <f>'Historical Financials'!O19</f>
        <v>-3384</v>
      </c>
      <c r="P19" s="140">
        <f>'Historical Financials'!P19</f>
        <v>-3085</v>
      </c>
      <c r="Q19" s="140">
        <f>'Historical Financials'!Q19</f>
        <v>-2885</v>
      </c>
      <c r="R19" s="140">
        <f>'Historical Financials'!R19</f>
        <v>-4164</v>
      </c>
      <c r="S19" s="140">
        <f>'Historical Financials'!S19</f>
        <v>-2070</v>
      </c>
      <c r="T19" s="140">
        <f>'Historical Financials'!T19</f>
        <v>-2289</v>
      </c>
      <c r="U19" s="140">
        <f>'Historical Financials'!U19</f>
        <v>-3455</v>
      </c>
      <c r="V19" s="140">
        <f>'Historical Financials'!V19</f>
        <v>-3658</v>
      </c>
      <c r="W19" s="140">
        <f>'Historical Financials'!W19</f>
        <v>-1865</v>
      </c>
      <c r="X19" s="140">
        <f>'Historical Financials'!X19</f>
        <v>-762</v>
      </c>
      <c r="Y19" s="140">
        <f>'Historical Financials'!Y19</f>
        <v>-2280</v>
      </c>
      <c r="Z19" s="140">
        <f>'Historical Financials'!Z19</f>
        <v>-2663</v>
      </c>
      <c r="AA19" s="140">
        <f>'Historical Financials'!AA19</f>
        <v>-3512</v>
      </c>
      <c r="AB19" s="5"/>
      <c r="AC19" s="141">
        <f t="shared" si="27"/>
        <v>-11408</v>
      </c>
      <c r="AD19" s="141">
        <f t="shared" si="27"/>
        <v>-11978</v>
      </c>
      <c r="AE19" s="141">
        <f t="shared" si="27"/>
        <v>-11472</v>
      </c>
      <c r="AF19" s="141">
        <f t="shared" si="27"/>
        <v>-11267</v>
      </c>
      <c r="AG19" s="141">
        <f t="shared" si="27"/>
        <v>-9740</v>
      </c>
      <c r="AH19" s="141">
        <f t="shared" si="27"/>
        <v>-8565</v>
      </c>
      <c r="AI19" s="141">
        <f t="shared" si="27"/>
        <v>-7570</v>
      </c>
      <c r="AJ19" s="141">
        <f>SUM(X19:AA19)</f>
        <v>-9217</v>
      </c>
      <c r="AL19" s="126">
        <f t="shared" si="28"/>
        <v>-0.1819472796662821</v>
      </c>
    </row>
    <row r="20" spans="2:38" ht="12.75" customHeight="1">
      <c r="B20" s="13" t="s">
        <v>30</v>
      </c>
      <c r="C20" s="14">
        <f>SUM(C14+SUM(C17:C19))</f>
        <v>32671</v>
      </c>
      <c r="D20" s="14">
        <f>SUM(D14+SUM(D17:D19))</f>
        <v>46753</v>
      </c>
      <c r="E20" s="14">
        <f>SUM(E14+SUM(E17:E19))</f>
        <v>28944</v>
      </c>
      <c r="F20" s="14">
        <f>SUM(F14+SUM(F17:F19))</f>
        <v>46751</v>
      </c>
      <c r="G20" s="14">
        <f>SUM(G14+SUM(G17:G19))</f>
        <v>69380</v>
      </c>
      <c r="H20" s="11"/>
      <c r="I20" s="14">
        <f>SUM(I14+SUM(I17:I19))</f>
        <v>11378</v>
      </c>
      <c r="J20" s="14">
        <f>SUM(J14+SUM(J17:J19))</f>
        <v>12367</v>
      </c>
      <c r="K20" s="14">
        <f>SUM(K14+SUM(K17:K19))</f>
        <v>10423</v>
      </c>
      <c r="L20" s="14">
        <f>SUM(L14+SUM(L17:L19))</f>
        <v>12585</v>
      </c>
      <c r="M20" s="14">
        <f>SUM(M14+SUM(M17:M19))</f>
        <v>8524</v>
      </c>
      <c r="N20" s="14">
        <f>SUM(N14+SUM(N17:N19))</f>
        <v>8358</v>
      </c>
      <c r="O20" s="14">
        <f>SUM(O14+SUM(O17:O19))</f>
        <v>5664</v>
      </c>
      <c r="P20" s="14">
        <f>SUM(P14+SUM(P17:P19))</f>
        <v>6398</v>
      </c>
      <c r="Q20" s="14">
        <f>SUM(Q14+SUM(Q17:Q19))</f>
        <v>7227</v>
      </c>
      <c r="R20" s="14">
        <f>SUM(R14+SUM(R17:R19))</f>
        <v>9392</v>
      </c>
      <c r="S20" s="14">
        <f>SUM(S14+SUM(S17:S19))</f>
        <v>13748</v>
      </c>
      <c r="T20" s="14">
        <f>SUM(T14+SUM(T17:T19))</f>
        <v>16384</v>
      </c>
      <c r="U20" s="14">
        <f>SUM(U14+SUM(U17:U19))</f>
        <v>13818</v>
      </c>
      <c r="V20" s="14">
        <f>SUM(V14+SUM(V17:V19))</f>
        <v>14847</v>
      </c>
      <c r="W20" s="14">
        <f>SUM(W14+SUM(W17:W19))</f>
        <v>17350</v>
      </c>
      <c r="X20" s="14">
        <f>SUM(X14+SUM(X17:X19))</f>
        <v>23365</v>
      </c>
      <c r="Y20" s="14">
        <f>SUM(Y14+SUM(Y17:Y19))</f>
        <v>17555</v>
      </c>
      <c r="Z20" s="14">
        <f>SUM(Z14+SUM(Z17:Z19))</f>
        <v>20441</v>
      </c>
      <c r="AA20" s="14">
        <f>SUM(AA14+SUM(AA17:AA19))</f>
        <v>20535</v>
      </c>
      <c r="AB20" s="5"/>
      <c r="AC20" s="14">
        <f>SUM(AC14+SUM(AC17:AC19))</f>
        <v>46751</v>
      </c>
      <c r="AD20" s="14">
        <f>SUM(AD14+SUM(AD17:AD19))</f>
        <v>53342</v>
      </c>
      <c r="AE20" s="14">
        <f>SUM(AE14+SUM(AE17:AE19))</f>
        <v>58797</v>
      </c>
      <c r="AF20" s="14">
        <f>SUM(AF14+SUM(AF17:AF19))</f>
        <v>62399</v>
      </c>
      <c r="AG20" s="14">
        <f>SUM(AG14+SUM(AG17:AG19))</f>
        <v>69380</v>
      </c>
      <c r="AH20" s="14">
        <f>SUM(AH14+SUM(AH17:AH19))</f>
        <v>73117</v>
      </c>
      <c r="AI20" s="14">
        <f>SUM(AI14+SUM(AI17:AI19))</f>
        <v>78711</v>
      </c>
      <c r="AJ20" s="14">
        <f>SUM(AJ14+SUM(AJ17:AJ19))</f>
        <v>81896</v>
      </c>
      <c r="AL20" s="127">
        <f>SUM(AJ20/AF20)-1</f>
        <v>0.31245693039952571</v>
      </c>
    </row>
    <row r="21" spans="2:38" ht="12.75" customHeight="1">
      <c r="B21" s="16" t="s">
        <v>31</v>
      </c>
      <c r="C21" s="17">
        <f>C20/C9</f>
        <v>0.3800500203571221</v>
      </c>
      <c r="D21" s="17">
        <f>D20/D9</f>
        <v>0.39645040660058173</v>
      </c>
      <c r="E21" s="17">
        <f>E20/E9</f>
        <v>0.24821411726367604</v>
      </c>
      <c r="F21" s="17">
        <f>F20/F9</f>
        <v>0.34655527716416362</v>
      </c>
      <c r="G21" s="17">
        <f>G20/G9</f>
        <v>0.42176035404040096</v>
      </c>
      <c r="H21" s="27"/>
      <c r="I21" s="17">
        <f>I20/I9</f>
        <v>0.43475602766420846</v>
      </c>
      <c r="J21" s="17">
        <f>J20/J9</f>
        <v>0.42531898063761736</v>
      </c>
      <c r="K21" s="17">
        <f>K20/K9</f>
        <v>0.35928990003447087</v>
      </c>
      <c r="L21" s="17">
        <f>L20/L9</f>
        <v>0.37376377297971547</v>
      </c>
      <c r="M21" s="17">
        <f>M20/M9</f>
        <v>0.30543213415508097</v>
      </c>
      <c r="N21" s="17">
        <f>N20/N9</f>
        <v>0.28998681562695161</v>
      </c>
      <c r="O21" s="17">
        <f>O20/O9</f>
        <v>0.20437324096124701</v>
      </c>
      <c r="P21" s="17">
        <f>P20/P9</f>
        <v>0.19891186071817193</v>
      </c>
      <c r="Q21" s="17">
        <f>Q20/Q9</f>
        <v>0.25229533950078548</v>
      </c>
      <c r="R21" s="17">
        <f>R20/R9</f>
        <v>0.29350917216163003</v>
      </c>
      <c r="S21" s="17">
        <f>S20/S9</f>
        <v>0.40262402624026239</v>
      </c>
      <c r="T21" s="17">
        <f>T20/T9</f>
        <v>0.40845632229756679</v>
      </c>
      <c r="U21" s="17">
        <f>U20/U9</f>
        <v>0.37904265532848719</v>
      </c>
      <c r="V21" s="17">
        <f>V20/V9</f>
        <v>0.38000051188861306</v>
      </c>
      <c r="W21" s="17">
        <f>W20/W9</f>
        <v>0.4274557146024785</v>
      </c>
      <c r="X21" s="17">
        <f>X20/X9</f>
        <v>0.48288761211920805</v>
      </c>
      <c r="Y21" s="17">
        <f>Y20/Y9</f>
        <v>0.41487450961856598</v>
      </c>
      <c r="Z21" s="17">
        <f>Z20/Z9</f>
        <v>0.43019193534809325</v>
      </c>
      <c r="AA21" s="17">
        <f>AA20/AA9</f>
        <v>0.4007454822216151</v>
      </c>
      <c r="AB21" s="28"/>
      <c r="AC21" s="17">
        <f>AC20/AC9</f>
        <v>0.34655527716416362</v>
      </c>
      <c r="AD21" s="17">
        <f>AD20/AD9</f>
        <v>0.37377375413420033</v>
      </c>
      <c r="AE21" s="17">
        <f>AE20/AE9</f>
        <v>0.39254526518186189</v>
      </c>
      <c r="AF21" s="17">
        <f>AF20/AF9</f>
        <v>0.39941239350432384</v>
      </c>
      <c r="AG21" s="17">
        <f>AG20/AG9</f>
        <v>0.42176035404040096</v>
      </c>
      <c r="AH21" s="17">
        <f>AH20/AH9</f>
        <v>0.42919112467715426</v>
      </c>
      <c r="AI21" s="17">
        <f>AI20/AI9</f>
        <v>0.4402058107994743</v>
      </c>
      <c r="AJ21" s="17">
        <f>AJ20/AJ9</f>
        <v>0.43226467079774938</v>
      </c>
      <c r="AL21" s="128">
        <f>SUM(AJ21-AF21)*10000</f>
        <v>328.52277293425544</v>
      </c>
    </row>
    <row r="22" spans="2:38" ht="5.0999999999999996" customHeight="1">
      <c r="AL22" s="125"/>
    </row>
    <row r="23" spans="2:38" ht="12.75" customHeight="1">
      <c r="B23" s="31" t="s">
        <v>98</v>
      </c>
      <c r="C23" s="140">
        <f>'Historical Financials'!C87</f>
        <v>6862</v>
      </c>
      <c r="D23" s="140">
        <f>'Historical Financials'!D87</f>
        <v>7967</v>
      </c>
      <c r="E23" s="140">
        <f>'Historical Financials'!E87</f>
        <v>8686</v>
      </c>
      <c r="F23" s="140">
        <f>'Historical Financials'!F87</f>
        <v>11178</v>
      </c>
      <c r="G23" s="140">
        <f>'Historical Financials'!G87</f>
        <v>15498</v>
      </c>
      <c r="I23" s="140">
        <f>'Historical Financials'!I87</f>
        <v>1972</v>
      </c>
      <c r="J23" s="140">
        <f>'Historical Financials'!J87</f>
        <v>1986</v>
      </c>
      <c r="K23" s="140">
        <f>'Historical Financials'!K87</f>
        <v>1995</v>
      </c>
      <c r="L23" s="140">
        <f>'Historical Financials'!L87</f>
        <v>2014</v>
      </c>
      <c r="M23" s="140">
        <f>'Historical Financials'!M87</f>
        <v>2156</v>
      </c>
      <c r="N23" s="140">
        <f>'Historical Financials'!N87</f>
        <v>1979</v>
      </c>
      <c r="O23" s="140">
        <f>'Historical Financials'!O87</f>
        <v>2175</v>
      </c>
      <c r="P23" s="140">
        <f>'Historical Financials'!P87</f>
        <v>2376</v>
      </c>
      <c r="Q23" s="140">
        <f>'Historical Financials'!Q87</f>
        <v>2524</v>
      </c>
      <c r="R23" s="140">
        <f>'Historical Financials'!R87</f>
        <v>2623</v>
      </c>
      <c r="S23" s="140">
        <f>'Historical Financials'!S87</f>
        <v>2859</v>
      </c>
      <c r="T23" s="140">
        <f>'Historical Financials'!T87</f>
        <v>3172</v>
      </c>
      <c r="U23" s="140">
        <f>'Historical Financials'!U87</f>
        <v>3374</v>
      </c>
      <c r="V23" s="140">
        <f>'Historical Financials'!V87</f>
        <v>3637</v>
      </c>
      <c r="W23" s="140">
        <f>'Historical Financials'!W87</f>
        <v>4027</v>
      </c>
      <c r="X23" s="140">
        <f>'Historical Financials'!X87</f>
        <v>4460</v>
      </c>
      <c r="Y23" s="140">
        <f>'Historical Financials'!Y87</f>
        <v>3900</v>
      </c>
      <c r="Z23" s="140">
        <f>'Historical Financials'!Z87</f>
        <v>4342</v>
      </c>
      <c r="AA23" s="140">
        <f>'Historical Financials'!AA87</f>
        <v>4963</v>
      </c>
      <c r="AC23" s="10">
        <f t="shared" ref="AC23:AI23" si="29">SUM(Q23:T23)</f>
        <v>11178</v>
      </c>
      <c r="AD23" s="10">
        <f t="shared" si="29"/>
        <v>12028</v>
      </c>
      <c r="AE23" s="10">
        <f t="shared" si="29"/>
        <v>13042</v>
      </c>
      <c r="AF23" s="10">
        <f t="shared" si="29"/>
        <v>14210</v>
      </c>
      <c r="AG23" s="10">
        <f t="shared" si="29"/>
        <v>15498</v>
      </c>
      <c r="AH23" s="10">
        <f t="shared" si="29"/>
        <v>16024</v>
      </c>
      <c r="AI23" s="10">
        <f t="shared" si="29"/>
        <v>16729</v>
      </c>
      <c r="AJ23" s="10">
        <f>SUM(X23:AA23)</f>
        <v>17665</v>
      </c>
      <c r="AL23" s="126">
        <f>SUM(AJ23/AF23)-1</f>
        <v>0.24313863476425057</v>
      </c>
    </row>
    <row r="24" spans="2:38" ht="12.75" customHeight="1">
      <c r="B24" s="25" t="s">
        <v>11</v>
      </c>
      <c r="C24" s="26">
        <f>SUM(C20+SUM(C23:C23))</f>
        <v>39533</v>
      </c>
      <c r="D24" s="26">
        <f>SUM(D20+SUM(D23:D23))</f>
        <v>54720</v>
      </c>
      <c r="E24" s="26">
        <f>SUM(E20+SUM(E23:E23))</f>
        <v>37630</v>
      </c>
      <c r="F24" s="26">
        <f>SUM(F20+SUM(F23:F23))</f>
        <v>57929</v>
      </c>
      <c r="G24" s="26">
        <f>SUM(G20+SUM(G23:G23))</f>
        <v>84878</v>
      </c>
      <c r="I24" s="26">
        <f>SUM(I20+SUM(I23:I23))</f>
        <v>13350</v>
      </c>
      <c r="J24" s="26">
        <f>SUM(J20+SUM(J23:J23))</f>
        <v>14353</v>
      </c>
      <c r="K24" s="26">
        <f>SUM(K20+SUM(K23:K23))</f>
        <v>12418</v>
      </c>
      <c r="L24" s="26">
        <f>SUM(L20+SUM(L23:L23))</f>
        <v>14599</v>
      </c>
      <c r="M24" s="26">
        <f>SUM(M20+SUM(M23:M23))</f>
        <v>10680</v>
      </c>
      <c r="N24" s="26">
        <f>SUM(N20+SUM(N23:N23))</f>
        <v>10337</v>
      </c>
      <c r="O24" s="26">
        <f>SUM(O20+SUM(O23:O23))</f>
        <v>7839</v>
      </c>
      <c r="P24" s="26">
        <f>SUM(P20+SUM(P23:P23))</f>
        <v>8774</v>
      </c>
      <c r="Q24" s="26">
        <f>SUM(Q20+SUM(Q23:Q23))</f>
        <v>9751</v>
      </c>
      <c r="R24" s="26">
        <f>SUM(R20+SUM(R23:R23))</f>
        <v>12015</v>
      </c>
      <c r="S24" s="26">
        <f>SUM(S20+SUM(S23:S23))</f>
        <v>16607</v>
      </c>
      <c r="T24" s="26">
        <f>SUM(T20+SUM(T23:T23))</f>
        <v>19556</v>
      </c>
      <c r="U24" s="26">
        <f>SUM(U20+SUM(U23:U23))</f>
        <v>17192</v>
      </c>
      <c r="V24" s="26">
        <f>SUM(V20+SUM(V23:V23))</f>
        <v>18484</v>
      </c>
      <c r="W24" s="26">
        <f>SUM(W20+SUM(W23:W23))</f>
        <v>21377</v>
      </c>
      <c r="X24" s="26">
        <f>SUM(X20+SUM(X23:X23))</f>
        <v>27825</v>
      </c>
      <c r="Y24" s="26">
        <f>SUM(Y20+SUM(Y23:Y23))</f>
        <v>21455</v>
      </c>
      <c r="Z24" s="26">
        <f>SUM(Z20+SUM(Z23:Z23))</f>
        <v>24783</v>
      </c>
      <c r="AA24" s="26">
        <f>SUM(AA20+SUM(AA23:AA23))</f>
        <v>25498</v>
      </c>
      <c r="AC24" s="26">
        <f>SUM(AC20+SUM(AC23:AC23))</f>
        <v>57929</v>
      </c>
      <c r="AD24" s="26">
        <f>SUM(AD20+SUM(AD23:AD23))</f>
        <v>65370</v>
      </c>
      <c r="AE24" s="26">
        <f>SUM(AE20+SUM(AE23:AE23))</f>
        <v>71839</v>
      </c>
      <c r="AF24" s="26">
        <f>SUM(AF20+SUM(AF23:AF23))</f>
        <v>76609</v>
      </c>
      <c r="AG24" s="26">
        <f>SUM(AG20+SUM(AG23:AG23))</f>
        <v>84878</v>
      </c>
      <c r="AH24" s="26">
        <f>SUM(AH20+SUM(AH23:AH23))</f>
        <v>89141</v>
      </c>
      <c r="AI24" s="26">
        <f>SUM(AI20+SUM(AI23:AI23))</f>
        <v>95440</v>
      </c>
      <c r="AJ24" s="26">
        <f>SUM(AJ20+SUM(AJ23:AJ23))</f>
        <v>99561</v>
      </c>
      <c r="AL24" s="127">
        <f>SUM(AJ24/AF24)-1</f>
        <v>0.2995992637940712</v>
      </c>
    </row>
    <row r="25" spans="2:38" ht="12.75" customHeight="1">
      <c r="B25" s="16" t="s">
        <v>32</v>
      </c>
      <c r="C25" s="17">
        <f>C24/C9</f>
        <v>0.45987320421101613</v>
      </c>
      <c r="D25" s="17">
        <f>D24/D9</f>
        <v>0.46400800481645738</v>
      </c>
      <c r="E25" s="17">
        <f>E24/E9</f>
        <v>0.32270236431150257</v>
      </c>
      <c r="F25" s="17">
        <f>F24/F9</f>
        <v>0.42941542749551526</v>
      </c>
      <c r="G25" s="17">
        <f>G24/G9</f>
        <v>0.51597254727934783</v>
      </c>
      <c r="I25" s="17">
        <f>I24/I9</f>
        <v>0.5101066065492339</v>
      </c>
      <c r="J25" s="17">
        <f>J24/J9</f>
        <v>0.49362038724765278</v>
      </c>
      <c r="K25" s="17">
        <f>K24/K9</f>
        <v>0.42805928990003445</v>
      </c>
      <c r="L25" s="17">
        <f>L24/L9</f>
        <v>0.43357785631552376</v>
      </c>
      <c r="M25" s="17">
        <f>M24/M9</f>
        <v>0.38268596818116668</v>
      </c>
      <c r="N25" s="17">
        <f>N24/N9</f>
        <v>0.35864964263409893</v>
      </c>
      <c r="O25" s="17">
        <f>O24/O9</f>
        <v>0.28285343147867503</v>
      </c>
      <c r="P25" s="17">
        <f>P24/P9</f>
        <v>0.27278097310741489</v>
      </c>
      <c r="Q25" s="17">
        <f>Q24/Q9</f>
        <v>0.34040844824576716</v>
      </c>
      <c r="R25" s="17">
        <f>R24/R9</f>
        <v>0.37548048376511767</v>
      </c>
      <c r="S25" s="17">
        <f>S24/S9</f>
        <v>0.48635272067006385</v>
      </c>
      <c r="T25" s="17">
        <f>T24/T9</f>
        <v>0.48753490227363383</v>
      </c>
      <c r="U25" s="17">
        <f>U24/U9</f>
        <v>0.47159511726786452</v>
      </c>
      <c r="V25" s="17">
        <f>V24/V9</f>
        <v>0.47308745616953751</v>
      </c>
      <c r="W25" s="17">
        <f>W24/W9</f>
        <v>0.52666978738081749</v>
      </c>
      <c r="X25" s="17">
        <f>X24/X9</f>
        <v>0.57506303476212128</v>
      </c>
      <c r="Y25" s="17">
        <f>Y24/Y9</f>
        <v>0.5070425863780309</v>
      </c>
      <c r="Z25" s="17">
        <f>Z24/Z9</f>
        <v>0.52157168111793917</v>
      </c>
      <c r="AA25" s="17">
        <f>AA24/AA9</f>
        <v>0.49759962530736507</v>
      </c>
      <c r="AC25" s="17">
        <f>AC24/AC9</f>
        <v>0.42941542749551526</v>
      </c>
      <c r="AD25" s="17">
        <f>AD24/AD9</f>
        <v>0.45805538427041875</v>
      </c>
      <c r="AE25" s="17">
        <f>AE24/AE9</f>
        <v>0.4796173156011323</v>
      </c>
      <c r="AF25" s="17">
        <f>AF24/AF9</f>
        <v>0.49036978243197399</v>
      </c>
      <c r="AG25" s="17">
        <f>AG24/AG9</f>
        <v>0.51597254727934783</v>
      </c>
      <c r="AH25" s="17">
        <f>AH24/AH9</f>
        <v>0.52325076308992724</v>
      </c>
      <c r="AI25" s="17">
        <f>AI24/AI9</f>
        <v>0.53376583428875035</v>
      </c>
      <c r="AJ25" s="17">
        <f>AJ24/AJ9</f>
        <v>0.52550433341426595</v>
      </c>
      <c r="AL25" s="128">
        <f>SUM(AJ25-AF25)*10000</f>
        <v>351.34550982291955</v>
      </c>
    </row>
    <row r="26" spans="2:38" ht="5.0999999999999996" customHeight="1">
      <c r="AL26" s="125"/>
    </row>
    <row r="27" spans="2:38" ht="12.75" customHeight="1">
      <c r="B27" s="31" t="s">
        <v>105</v>
      </c>
      <c r="C27" s="140">
        <f>'Historical Financials'!C88</f>
        <v>6536</v>
      </c>
      <c r="D27" s="140">
        <f>'Historical Financials'!D88</f>
        <v>9164</v>
      </c>
      <c r="E27" s="140">
        <f>'Historical Financials'!E88</f>
        <v>11992</v>
      </c>
      <c r="F27" s="140">
        <f>'Historical Financials'!F88</f>
        <v>14027</v>
      </c>
      <c r="G27" s="140">
        <f>'Historical Financials'!G88</f>
        <v>16690</v>
      </c>
      <c r="I27" s="140">
        <f>'Historical Financials'!I88</f>
        <v>1830</v>
      </c>
      <c r="J27" s="140">
        <f>'Historical Financials'!J88</f>
        <v>2549</v>
      </c>
      <c r="K27" s="140">
        <f>'Historical Financials'!K88</f>
        <v>2378</v>
      </c>
      <c r="L27" s="140">
        <f>'Historical Financials'!L88</f>
        <v>2407</v>
      </c>
      <c r="M27" s="140">
        <f>'Historical Financials'!M88</f>
        <v>2498</v>
      </c>
      <c r="N27" s="140">
        <f>'Historical Financials'!N88</f>
        <v>3352</v>
      </c>
      <c r="O27" s="140">
        <f>'Historical Financials'!O88</f>
        <v>3134</v>
      </c>
      <c r="P27" s="140">
        <f>'Historical Financials'!P88</f>
        <v>3008</v>
      </c>
      <c r="Q27" s="140">
        <f>'Historical Financials'!Q88</f>
        <v>3051</v>
      </c>
      <c r="R27" s="140">
        <f>'Historical Financials'!R88</f>
        <v>4060</v>
      </c>
      <c r="S27" s="140">
        <f>'Historical Financials'!S88</f>
        <v>3492</v>
      </c>
      <c r="T27" s="140">
        <f>'Historical Financials'!T88</f>
        <v>3424</v>
      </c>
      <c r="U27" s="140">
        <f>'Historical Financials'!U88</f>
        <v>3562</v>
      </c>
      <c r="V27" s="140">
        <f>'Historical Financials'!V88</f>
        <v>4616</v>
      </c>
      <c r="W27" s="140">
        <f>'Historical Financials'!W88</f>
        <v>4250</v>
      </c>
      <c r="X27" s="140">
        <f>'Historical Financials'!X88</f>
        <v>4262</v>
      </c>
      <c r="Y27" s="140">
        <f>'Historical Financials'!Y88</f>
        <v>4147</v>
      </c>
      <c r="Z27" s="140">
        <f>'Historical Financials'!Z88</f>
        <v>4834</v>
      </c>
      <c r="AA27" s="140">
        <f>'Historical Financials'!AA88</f>
        <v>5556</v>
      </c>
      <c r="AC27" s="141">
        <f t="shared" ref="AC27:AI27" si="30">SUM(Q27:T27)</f>
        <v>14027</v>
      </c>
      <c r="AD27" s="141">
        <f t="shared" si="30"/>
        <v>14538</v>
      </c>
      <c r="AE27" s="141">
        <f t="shared" si="30"/>
        <v>15094</v>
      </c>
      <c r="AF27" s="141">
        <f t="shared" si="30"/>
        <v>15852</v>
      </c>
      <c r="AG27" s="141">
        <f t="shared" si="30"/>
        <v>16690</v>
      </c>
      <c r="AH27" s="141">
        <f t="shared" si="30"/>
        <v>17275</v>
      </c>
      <c r="AI27" s="141">
        <f t="shared" si="30"/>
        <v>17493</v>
      </c>
      <c r="AJ27" s="141">
        <f>SUM(X27:AA27)</f>
        <v>18799</v>
      </c>
      <c r="AL27" s="126">
        <f t="shared" ref="AL27" si="31">SUM(AJ27/AF27)-1</f>
        <v>0.18590714105475659</v>
      </c>
    </row>
    <row r="28" spans="2:38" ht="12.75" customHeight="1">
      <c r="B28" s="13" t="s">
        <v>33</v>
      </c>
      <c r="C28" s="14">
        <f>+SUM(C24+SUM(C27:C27))</f>
        <v>46069</v>
      </c>
      <c r="D28" s="14">
        <f>+SUM(D24+SUM(D27:D27))</f>
        <v>63884</v>
      </c>
      <c r="E28" s="14">
        <f>+SUM(E24+SUM(E27:E27))</f>
        <v>49622</v>
      </c>
      <c r="F28" s="14">
        <f>+SUM(F24+SUM(F27:F27))</f>
        <v>71956</v>
      </c>
      <c r="G28" s="14">
        <f>+SUM(G24+SUM(G27:G27))</f>
        <v>101568</v>
      </c>
      <c r="H28" s="11"/>
      <c r="I28" s="14">
        <f>+SUM(I24+SUM(I27:I27))</f>
        <v>15180</v>
      </c>
      <c r="J28" s="14">
        <f>+SUM(J24+SUM(J27:J27))</f>
        <v>16902</v>
      </c>
      <c r="K28" s="14">
        <f>+SUM(K24+SUM(K27:K27))</f>
        <v>14796</v>
      </c>
      <c r="L28" s="14">
        <f>+SUM(L24+SUM(L27:L27))</f>
        <v>17006</v>
      </c>
      <c r="M28" s="14">
        <f>+SUM(M24+SUM(M27:M27))</f>
        <v>13178</v>
      </c>
      <c r="N28" s="14">
        <f>+SUM(N24+SUM(N27:N27))</f>
        <v>13689</v>
      </c>
      <c r="O28" s="14">
        <f>+SUM(O24+SUM(O27:O27))</f>
        <v>10973</v>
      </c>
      <c r="P28" s="14">
        <f>+SUM(P24+SUM(P27:P27))</f>
        <v>11782</v>
      </c>
      <c r="Q28" s="14">
        <f>+SUM(Q24+SUM(Q27:Q27))</f>
        <v>12802</v>
      </c>
      <c r="R28" s="14">
        <f>+SUM(R24+SUM(R27:R27))</f>
        <v>16075</v>
      </c>
      <c r="S28" s="14">
        <f>+SUM(S24+SUM(S27:S27))</f>
        <v>20099</v>
      </c>
      <c r="T28" s="14">
        <f>+SUM(T24+SUM(T27:T27))</f>
        <v>22980</v>
      </c>
      <c r="U28" s="14">
        <f>+SUM(U24+SUM(U27:U27))</f>
        <v>20754</v>
      </c>
      <c r="V28" s="14">
        <f>+SUM(V24+SUM(V27:V27))</f>
        <v>23100</v>
      </c>
      <c r="W28" s="14">
        <f>+SUM(W24+SUM(W27:W27))</f>
        <v>25627</v>
      </c>
      <c r="X28" s="14">
        <f>+SUM(X24+SUM(X27:X27))</f>
        <v>32087</v>
      </c>
      <c r="Y28" s="14">
        <f>+SUM(Y24+SUM(Y27:Y27))</f>
        <v>25602</v>
      </c>
      <c r="Z28" s="14">
        <f>+SUM(Z24+SUM(Z27:Z27))</f>
        <v>29617</v>
      </c>
      <c r="AA28" s="14">
        <f>+SUM(AA24+SUM(AA27:AA27))</f>
        <v>31054</v>
      </c>
      <c r="AC28" s="14">
        <f>+SUM(AC24+SUM(AC27:AC27))</f>
        <v>71956</v>
      </c>
      <c r="AD28" s="14">
        <f>+SUM(AD24+SUM(AD27:AD27))</f>
        <v>79908</v>
      </c>
      <c r="AE28" s="14">
        <f>+SUM(AE24+SUM(AE27:AE27))</f>
        <v>86933</v>
      </c>
      <c r="AF28" s="14">
        <f>+SUM(AF24+SUM(AF27:AF27))</f>
        <v>92461</v>
      </c>
      <c r="AG28" s="14">
        <f>+SUM(AG24+SUM(AG27:AG27))</f>
        <v>101568</v>
      </c>
      <c r="AH28" s="14">
        <f>+SUM(AH24+SUM(AH27:AH27))</f>
        <v>106416</v>
      </c>
      <c r="AI28" s="14">
        <f>+SUM(AI24+SUM(AI27:AI27))</f>
        <v>112933</v>
      </c>
      <c r="AJ28" s="14">
        <f>+SUM(AJ24+SUM(AJ27:AJ27))</f>
        <v>118360</v>
      </c>
      <c r="AL28" s="127">
        <f>SUM(AJ28/AF28)-1</f>
        <v>0.28010728847838551</v>
      </c>
    </row>
    <row r="29" spans="2:38" ht="12.75" customHeight="1">
      <c r="B29" s="16" t="s">
        <v>34</v>
      </c>
      <c r="C29" s="17">
        <f>C28/C9</f>
        <v>0.53590414703658462</v>
      </c>
      <c r="D29" s="17">
        <f>D28/D9</f>
        <v>0.541715778137693</v>
      </c>
      <c r="E29" s="17">
        <f>E28/E9</f>
        <v>0.42554176778807812</v>
      </c>
      <c r="F29" s="17">
        <f>F28/F9</f>
        <v>0.53339461238528707</v>
      </c>
      <c r="G29" s="17">
        <f>G28/G9</f>
        <v>0.61743089707661347</v>
      </c>
      <c r="I29" s="17">
        <f>I28/I9</f>
        <v>0.58003133239081428</v>
      </c>
      <c r="J29" s="17">
        <f>J28/J9</f>
        <v>0.58128417649688757</v>
      </c>
      <c r="K29" s="17">
        <f>K28/K9</f>
        <v>0.51003102378490173</v>
      </c>
      <c r="L29" s="17">
        <f>L28/L9</f>
        <v>0.50506370467167594</v>
      </c>
      <c r="M29" s="17">
        <f>M28/M9</f>
        <v>0.47219435287372796</v>
      </c>
      <c r="N29" s="17">
        <f>N28/N9</f>
        <v>0.47494969120810493</v>
      </c>
      <c r="O29" s="17">
        <f>O28/O9</f>
        <v>0.39593707151620122</v>
      </c>
      <c r="P29" s="17">
        <f>P28/P9</f>
        <v>0.3662987719570962</v>
      </c>
      <c r="Q29" s="17">
        <f>Q28/Q9</f>
        <v>0.44691918310350848</v>
      </c>
      <c r="R29" s="17">
        <f>R28/R9</f>
        <v>0.50235944873277294</v>
      </c>
      <c r="S29" s="17">
        <f>S28/S9</f>
        <v>0.58861945762314771</v>
      </c>
      <c r="T29" s="17">
        <f>T28/T9</f>
        <v>0.57289589150378939</v>
      </c>
      <c r="U29" s="17">
        <f>U28/U9</f>
        <v>0.56930462213688104</v>
      </c>
      <c r="V29" s="17">
        <f>V28/V9</f>
        <v>0.5912313480586624</v>
      </c>
      <c r="W29" s="17">
        <f>W28/W9</f>
        <v>0.63137795954568976</v>
      </c>
      <c r="X29" s="17">
        <f>X28/X9</f>
        <v>0.66314636465093213</v>
      </c>
      <c r="Y29" s="17">
        <f>Y28/Y9</f>
        <v>0.60504797466559535</v>
      </c>
      <c r="Z29" s="17">
        <f>Z28/Z9</f>
        <v>0.62330583382439597</v>
      </c>
      <c r="AA29" s="17">
        <f>AA28/AA9</f>
        <v>0.60602630654541201</v>
      </c>
      <c r="AC29" s="17">
        <f>AC28/AC9</f>
        <v>0.53339461238528707</v>
      </c>
      <c r="AD29" s="17">
        <f>AD28/AD9</f>
        <v>0.5599248836818207</v>
      </c>
      <c r="AE29" s="17">
        <f>AE28/AE9</f>
        <v>0.58038909362815783</v>
      </c>
      <c r="AF29" s="17">
        <f>AF28/AF9</f>
        <v>0.5918375184827207</v>
      </c>
      <c r="AG29" s="17">
        <f>AG28/AG9</f>
        <v>0.61743089707661347</v>
      </c>
      <c r="AH29" s="17">
        <f>AH28/AH9</f>
        <v>0.62465367457149568</v>
      </c>
      <c r="AI29" s="17">
        <f>AI28/AI9</f>
        <v>0.63159866894102512</v>
      </c>
      <c r="AJ29" s="17">
        <f>AJ28/AJ9</f>
        <v>0.62472949149679613</v>
      </c>
      <c r="AL29" s="128">
        <f>SUM(AJ29-AF29)*10000</f>
        <v>328.91973014075427</v>
      </c>
    </row>
    <row r="30" spans="2:38" ht="5.0999999999999996" customHeight="1">
      <c r="AL30" s="125"/>
    </row>
    <row r="31" spans="2:38" ht="12.75" customHeight="1">
      <c r="B31" s="23" t="s">
        <v>35</v>
      </c>
      <c r="C31" s="140">
        <f>'Historical Financials'!C101</f>
        <v>-15163</v>
      </c>
      <c r="D31" s="140">
        <f>'Historical Financials'!D101</f>
        <v>-18690</v>
      </c>
      <c r="E31" s="140">
        <f>'Historical Financials'!E101</f>
        <v>-31186</v>
      </c>
      <c r="F31" s="140">
        <f>'Historical Financials'!F101</f>
        <v>-27045</v>
      </c>
      <c r="G31" s="140">
        <f>'Historical Financials'!G101</f>
        <v>-37256</v>
      </c>
      <c r="I31" s="140">
        <f>'Historical Financials'!I101</f>
        <v>-4303</v>
      </c>
      <c r="J31" s="140">
        <f>'Historical Financials'!J101</f>
        <v>-4641</v>
      </c>
      <c r="K31" s="140">
        <f>'Historical Financials'!K101</f>
        <v>-4346</v>
      </c>
      <c r="L31" s="140">
        <f>'Historical Financials'!L101</f>
        <v>-5400</v>
      </c>
      <c r="M31" s="140">
        <f>'Historical Financials'!M101</f>
        <v>-5441</v>
      </c>
      <c r="N31" s="140">
        <f>'Historical Financials'!N101</f>
        <v>-7572</v>
      </c>
      <c r="O31" s="140">
        <f>'Historical Financials'!O101</f>
        <v>-9375</v>
      </c>
      <c r="P31" s="140">
        <f>'Historical Financials'!P101</f>
        <v>-8798</v>
      </c>
      <c r="Q31" s="140">
        <f>'Historical Financials'!Q101</f>
        <v>-6823</v>
      </c>
      <c r="R31" s="140">
        <f>'Historical Financials'!R101</f>
        <v>-6134</v>
      </c>
      <c r="S31" s="140">
        <f>'Historical Financials'!S101</f>
        <v>-6496</v>
      </c>
      <c r="T31" s="140">
        <f>'Historical Financials'!T101</f>
        <v>-7592</v>
      </c>
      <c r="U31" s="140">
        <f>'Historical Financials'!U101</f>
        <v>-6400</v>
      </c>
      <c r="V31" s="140">
        <f>'Historical Financials'!V101</f>
        <v>-8173</v>
      </c>
      <c r="W31" s="140">
        <f>'Historical Financials'!W101</f>
        <v>-8258</v>
      </c>
      <c r="X31" s="140">
        <f>'Historical Financials'!X101</f>
        <v>-14425</v>
      </c>
      <c r="Y31" s="140">
        <f>'Historical Financials'!Y101</f>
        <v>-12941</v>
      </c>
      <c r="Z31" s="140">
        <f>'Historical Financials'!Z101</f>
        <v>-16538</v>
      </c>
      <c r="AA31" s="140">
        <f>'Historical Financials'!AA101</f>
        <v>-18829</v>
      </c>
      <c r="AC31" s="10">
        <f t="shared" ref="AC31:AJ35" si="32">SUM(Q31:T31)</f>
        <v>-27045</v>
      </c>
      <c r="AD31" s="10">
        <f t="shared" si="32"/>
        <v>-26622</v>
      </c>
      <c r="AE31" s="10">
        <f t="shared" si="32"/>
        <v>-28661</v>
      </c>
      <c r="AF31" s="141">
        <f t="shared" si="32"/>
        <v>-30423</v>
      </c>
      <c r="AG31" s="141">
        <f t="shared" si="32"/>
        <v>-37256</v>
      </c>
      <c r="AH31" s="141">
        <f t="shared" si="32"/>
        <v>-43797</v>
      </c>
      <c r="AI31" s="141">
        <f t="shared" si="32"/>
        <v>-52162</v>
      </c>
      <c r="AJ31" s="141">
        <f t="shared" si="32"/>
        <v>-62733</v>
      </c>
      <c r="AL31" s="126">
        <f>SUM(AJ31/AF31)-1</f>
        <v>1.0620254412779806</v>
      </c>
    </row>
    <row r="32" spans="2:38" ht="12.75" customHeight="1">
      <c r="B32" s="23" t="s">
        <v>36</v>
      </c>
      <c r="C32" s="140">
        <f>-'Historical Financials'!C131</f>
        <v>-4229</v>
      </c>
      <c r="D32" s="140">
        <f>-'Historical Financials'!D131</f>
        <v>-8525</v>
      </c>
      <c r="E32" s="140">
        <f>-'Historical Financials'!E131</f>
        <v>-6407</v>
      </c>
      <c r="F32" s="140">
        <f>-'Historical Financials'!F131</f>
        <v>-6607</v>
      </c>
      <c r="G32" s="140">
        <f>-'Historical Financials'!G131</f>
        <v>-10554</v>
      </c>
      <c r="I32" s="140">
        <f>-'Historical Financials'!I131</f>
        <v>-2907</v>
      </c>
      <c r="J32" s="140">
        <f>-'Historical Financials'!J131</f>
        <v>-3387</v>
      </c>
      <c r="K32" s="140">
        <f>-'Historical Financials'!K131</f>
        <v>-1625</v>
      </c>
      <c r="L32" s="140">
        <f>-'Historical Financials'!L131</f>
        <v>-606</v>
      </c>
      <c r="M32" s="140">
        <f>-'Historical Financials'!M131</f>
        <v>-502</v>
      </c>
      <c r="N32" s="140">
        <f>-'Historical Financials'!N131</f>
        <v>-2139</v>
      </c>
      <c r="O32" s="140">
        <f>-'Historical Financials'!O131</f>
        <v>-2006</v>
      </c>
      <c r="P32" s="140">
        <f>-'Historical Financials'!P131</f>
        <v>4647</v>
      </c>
      <c r="Q32" s="140">
        <f>-'Historical Financials'!Q131</f>
        <v>-405</v>
      </c>
      <c r="R32" s="140">
        <f>-'Historical Financials'!R131</f>
        <v>-1102</v>
      </c>
      <c r="S32" s="140">
        <f>-'Historical Financials'!S131</f>
        <v>-509</v>
      </c>
      <c r="T32" s="140">
        <f>-'Historical Financials'!T131</f>
        <v>-4591</v>
      </c>
      <c r="U32" s="140">
        <f>-'Historical Financials'!U131</f>
        <v>-630</v>
      </c>
      <c r="V32" s="140">
        <f>-'Historical Financials'!V131</f>
        <v>-5929</v>
      </c>
      <c r="W32" s="140">
        <f>-'Historical Financials'!W131</f>
        <v>-1767</v>
      </c>
      <c r="X32" s="140">
        <f>-'Historical Financials'!X131</f>
        <v>-2228</v>
      </c>
      <c r="Y32" s="140">
        <f>-'Historical Financials'!Y131</f>
        <v>-448</v>
      </c>
      <c r="Z32" s="140">
        <f>-'Historical Financials'!Z131</f>
        <v>-5096</v>
      </c>
      <c r="AA32" s="140">
        <f>-'Historical Financials'!AA131</f>
        <v>-749</v>
      </c>
      <c r="AC32" s="10">
        <f t="shared" si="32"/>
        <v>-6607</v>
      </c>
      <c r="AD32" s="10">
        <f t="shared" si="32"/>
        <v>-6832</v>
      </c>
      <c r="AE32" s="10">
        <f t="shared" si="32"/>
        <v>-11659</v>
      </c>
      <c r="AF32" s="141">
        <f t="shared" si="32"/>
        <v>-12917</v>
      </c>
      <c r="AG32" s="141">
        <f t="shared" si="32"/>
        <v>-10554</v>
      </c>
      <c r="AH32" s="141">
        <f t="shared" si="32"/>
        <v>-10372</v>
      </c>
      <c r="AI32" s="141">
        <f t="shared" si="32"/>
        <v>-9539</v>
      </c>
      <c r="AJ32" s="141">
        <f t="shared" si="32"/>
        <v>-8521</v>
      </c>
      <c r="AL32" s="126">
        <f>SUM(AJ32/AF32)-1</f>
        <v>-0.34032670124641939</v>
      </c>
    </row>
    <row r="33" spans="1:38" ht="12.75" customHeight="1">
      <c r="B33" s="23" t="s">
        <v>70</v>
      </c>
      <c r="C33" s="140">
        <f>-'Historical Financials'!C132</f>
        <v>0</v>
      </c>
      <c r="D33" s="140">
        <f>-'Historical Financials'!D132</f>
        <v>0</v>
      </c>
      <c r="E33" s="140">
        <f>-'Historical Financials'!E132</f>
        <v>0</v>
      </c>
      <c r="F33" s="140">
        <f>-'Historical Financials'!F132</f>
        <v>-448</v>
      </c>
      <c r="G33" s="140">
        <f>-'Historical Financials'!G132</f>
        <v>-486</v>
      </c>
      <c r="I33" s="140">
        <f>-'Historical Financials'!I132</f>
        <v>0</v>
      </c>
      <c r="J33" s="140">
        <f>-'Historical Financials'!J132</f>
        <v>0</v>
      </c>
      <c r="K33" s="140">
        <f>-'Historical Financials'!K132</f>
        <v>0</v>
      </c>
      <c r="L33" s="140">
        <f>-'Historical Financials'!L132</f>
        <v>0</v>
      </c>
      <c r="M33" s="140">
        <f>-'Historical Financials'!M132</f>
        <v>0</v>
      </c>
      <c r="N33" s="140">
        <f>-'Historical Financials'!N132</f>
        <v>0</v>
      </c>
      <c r="O33" s="140">
        <f>-'Historical Financials'!O132</f>
        <v>0</v>
      </c>
      <c r="P33" s="140">
        <f>-'Historical Financials'!P132</f>
        <v>-6407</v>
      </c>
      <c r="Q33" s="140">
        <f>-'Historical Financials'!Q132</f>
        <v>-182</v>
      </c>
      <c r="R33" s="140">
        <f>-'Historical Financials'!R132</f>
        <v>0</v>
      </c>
      <c r="S33" s="140">
        <f>-'Historical Financials'!S132</f>
        <v>-120</v>
      </c>
      <c r="T33" s="140">
        <f>-'Historical Financials'!T132</f>
        <v>-146</v>
      </c>
      <c r="U33" s="140">
        <f>-'Historical Financials'!U132</f>
        <v>-121</v>
      </c>
      <c r="V33" s="140">
        <f>-'Historical Financials'!V132</f>
        <v>-124</v>
      </c>
      <c r="W33" s="140">
        <f>-'Historical Financials'!W132</f>
        <v>-111</v>
      </c>
      <c r="X33" s="140">
        <f>-'Historical Financials'!X132</f>
        <v>-130</v>
      </c>
      <c r="Y33" s="140">
        <f>-'Historical Financials'!Y132</f>
        <v>-352</v>
      </c>
      <c r="Z33" s="140">
        <f>-'Historical Financials'!Z132</f>
        <v>-126</v>
      </c>
      <c r="AA33" s="140">
        <f>-'Historical Financials'!AA132</f>
        <v>-125</v>
      </c>
      <c r="AC33" s="10">
        <f t="shared" si="32"/>
        <v>-448</v>
      </c>
      <c r="AD33" s="10">
        <f t="shared" si="32"/>
        <v>-387</v>
      </c>
      <c r="AE33" s="10">
        <f t="shared" si="32"/>
        <v>-511</v>
      </c>
      <c r="AF33" s="141">
        <f t="shared" si="32"/>
        <v>-502</v>
      </c>
      <c r="AG33" s="141">
        <f t="shared" si="32"/>
        <v>-486</v>
      </c>
      <c r="AH33" s="141">
        <f t="shared" si="32"/>
        <v>-717</v>
      </c>
      <c r="AI33" s="141">
        <f t="shared" si="32"/>
        <v>-719</v>
      </c>
      <c r="AJ33" s="141">
        <f t="shared" si="32"/>
        <v>-733</v>
      </c>
      <c r="AL33" s="126">
        <f>SUM(AJ33/AF33)-1</f>
        <v>0.46015936254980083</v>
      </c>
    </row>
    <row r="34" spans="1:38" ht="12.75" customHeight="1">
      <c r="B34" s="23" t="s">
        <v>179</v>
      </c>
      <c r="C34" s="140">
        <f>'Historical Financials'!C113</f>
        <v>0</v>
      </c>
      <c r="D34" s="140">
        <f>'Historical Financials'!D113</f>
        <v>0</v>
      </c>
      <c r="E34" s="140">
        <f>'Historical Financials'!E113</f>
        <v>0</v>
      </c>
      <c r="F34" s="140">
        <f>'Historical Financials'!F113</f>
        <v>0</v>
      </c>
      <c r="G34" s="140">
        <f>'Historical Financials'!G113</f>
        <v>-5072</v>
      </c>
      <c r="I34" s="140">
        <f>'Historical Financials'!I113</f>
        <v>0</v>
      </c>
      <c r="J34" s="140">
        <f>'Historical Financials'!J113</f>
        <v>0</v>
      </c>
      <c r="K34" s="140">
        <f>'Historical Financials'!K113</f>
        <v>0</v>
      </c>
      <c r="L34" s="140">
        <f>'Historical Financials'!L113</f>
        <v>0</v>
      </c>
      <c r="M34" s="140">
        <f>'Historical Financials'!M113</f>
        <v>0</v>
      </c>
      <c r="N34" s="140">
        <f>'Historical Financials'!N113</f>
        <v>0</v>
      </c>
      <c r="O34" s="140">
        <f>'Historical Financials'!O113</f>
        <v>0</v>
      </c>
      <c r="P34" s="140">
        <f>'Historical Financials'!P113</f>
        <v>0</v>
      </c>
      <c r="Q34" s="140">
        <f>'Historical Financials'!Q113</f>
        <v>0</v>
      </c>
      <c r="R34" s="140">
        <f>'Historical Financials'!R113</f>
        <v>0</v>
      </c>
      <c r="S34" s="140">
        <f>'Historical Financials'!S113</f>
        <v>0</v>
      </c>
      <c r="T34" s="140">
        <f>'Historical Financials'!T113</f>
        <v>0</v>
      </c>
      <c r="U34" s="140">
        <f>'Historical Financials'!U113</f>
        <v>-1273</v>
      </c>
      <c r="V34" s="140">
        <f>'Historical Financials'!V113</f>
        <v>-1266</v>
      </c>
      <c r="W34" s="140">
        <f>'Historical Financials'!W113</f>
        <v>-1263</v>
      </c>
      <c r="X34" s="140">
        <f>'Historical Financials'!X113</f>
        <v>-1270</v>
      </c>
      <c r="Y34" s="140">
        <f>'Historical Financials'!Y113</f>
        <v>-1329</v>
      </c>
      <c r="Z34" s="140">
        <f>'Historical Financials'!Z113</f>
        <v>-1327</v>
      </c>
      <c r="AA34" s="140">
        <f>'Historical Financials'!AA113</f>
        <v>-1330</v>
      </c>
      <c r="AC34" s="10">
        <f t="shared" ref="AC34" si="33">SUM(Q34:T34)</f>
        <v>0</v>
      </c>
      <c r="AD34" s="10">
        <f t="shared" ref="AD34" si="34">SUM(R34:U34)</f>
        <v>-1273</v>
      </c>
      <c r="AE34" s="10">
        <f t="shared" ref="AE34" si="35">SUM(S34:V34)</f>
        <v>-2539</v>
      </c>
      <c r="AF34" s="141">
        <f t="shared" ref="AF34" si="36">SUM(T34:W34)</f>
        <v>-3802</v>
      </c>
      <c r="AG34" s="141">
        <f t="shared" ref="AG34" si="37">SUM(U34:X34)</f>
        <v>-5072</v>
      </c>
      <c r="AH34" s="141">
        <f t="shared" ref="AH34" si="38">SUM(V34:Y34)</f>
        <v>-5128</v>
      </c>
      <c r="AI34" s="141">
        <f t="shared" ref="AI34" si="39">SUM(W34:Z34)</f>
        <v>-5189</v>
      </c>
      <c r="AJ34" s="141">
        <f t="shared" ref="AJ34" si="40">SUM(X34:AA34)</f>
        <v>-5256</v>
      </c>
      <c r="AL34" s="126">
        <f>SUM(AJ34/AF34)-1</f>
        <v>0.38243029984218824</v>
      </c>
    </row>
    <row r="35" spans="1:38" ht="12.75" customHeight="1">
      <c r="B35" s="23" t="s">
        <v>37</v>
      </c>
      <c r="C35" s="140">
        <f>SUM('Historical Financials'!C92:C97)</f>
        <v>-2723</v>
      </c>
      <c r="D35" s="140">
        <f>SUM('Historical Financials'!D92:D97)</f>
        <v>700</v>
      </c>
      <c r="E35" s="140">
        <f>SUM('Historical Financials'!E92:E97)</f>
        <v>5683</v>
      </c>
      <c r="F35" s="140">
        <f>SUM('Historical Financials'!F92:F97)</f>
        <v>3836</v>
      </c>
      <c r="G35" s="140">
        <f>SUM('Historical Financials'!G92:G97)</f>
        <v>1048</v>
      </c>
      <c r="I35" s="140">
        <f>SUM('Historical Financials'!I92:I97)</f>
        <v>-1409</v>
      </c>
      <c r="J35" s="140">
        <f>SUM('Historical Financials'!J92:J97)</f>
        <v>-1890</v>
      </c>
      <c r="K35" s="140">
        <f>SUM('Historical Financials'!K92:K97)</f>
        <v>1383</v>
      </c>
      <c r="L35" s="140">
        <f>SUM('Historical Financials'!L92:L97)</f>
        <v>2616</v>
      </c>
      <c r="M35" s="140">
        <f>SUM('Historical Financials'!M92:M97)</f>
        <v>2741</v>
      </c>
      <c r="N35" s="140">
        <f>SUM('Historical Financials'!N92:N97)</f>
        <v>443</v>
      </c>
      <c r="O35" s="140">
        <f>SUM('Historical Financials'!O92:O97)</f>
        <v>568</v>
      </c>
      <c r="P35" s="140">
        <f>SUM('Historical Financials'!P92:P97)</f>
        <v>1931</v>
      </c>
      <c r="Q35" s="140">
        <f>SUM('Historical Financials'!Q92:Q97)</f>
        <v>2571</v>
      </c>
      <c r="R35" s="140">
        <f>SUM('Historical Financials'!R92:R97)</f>
        <v>3531</v>
      </c>
      <c r="S35" s="140">
        <f>SUM('Historical Financials'!S92:S97)</f>
        <v>-995</v>
      </c>
      <c r="T35" s="140">
        <f>SUM('Historical Financials'!T92:T97)</f>
        <v>-1271</v>
      </c>
      <c r="U35" s="140">
        <f>SUM('Historical Financials'!U92:U97)</f>
        <v>223</v>
      </c>
      <c r="V35" s="140">
        <f>SUM('Historical Financials'!V92:V97)</f>
        <v>-741</v>
      </c>
      <c r="W35" s="140">
        <f>SUM('Historical Financials'!W92:W97)</f>
        <v>2070</v>
      </c>
      <c r="X35" s="140">
        <f>SUM('Historical Financials'!X92:X97)</f>
        <v>-504</v>
      </c>
      <c r="Y35" s="140">
        <f>SUM('Historical Financials'!Y92:Y97)</f>
        <v>559</v>
      </c>
      <c r="Z35" s="140">
        <f>SUM('Historical Financials'!Z92:Z97)</f>
        <v>-957</v>
      </c>
      <c r="AA35" s="140">
        <f>SUM('Historical Financials'!AA92:AA97)</f>
        <v>-2151</v>
      </c>
      <c r="AC35" s="10">
        <f t="shared" si="32"/>
        <v>3836</v>
      </c>
      <c r="AD35" s="10">
        <f t="shared" si="32"/>
        <v>1488</v>
      </c>
      <c r="AE35" s="10">
        <f t="shared" si="32"/>
        <v>-2784</v>
      </c>
      <c r="AF35" s="141">
        <f t="shared" si="32"/>
        <v>281</v>
      </c>
      <c r="AG35" s="141">
        <f t="shared" si="32"/>
        <v>1048</v>
      </c>
      <c r="AH35" s="141">
        <f t="shared" si="32"/>
        <v>1384</v>
      </c>
      <c r="AI35" s="141">
        <f t="shared" si="32"/>
        <v>1168</v>
      </c>
      <c r="AJ35" s="141">
        <f t="shared" si="32"/>
        <v>-3053</v>
      </c>
      <c r="AL35" s="126">
        <f>SUM(AJ35/AF35)-1</f>
        <v>-11.864768683274022</v>
      </c>
    </row>
    <row r="36" spans="1:38" ht="12.75" customHeight="1">
      <c r="B36" s="13" t="s">
        <v>38</v>
      </c>
      <c r="C36" s="14">
        <f>SUM(C28+SUM(C31:C35))</f>
        <v>23954</v>
      </c>
      <c r="D36" s="14">
        <f>SUM(D28+SUM(D31:D35))</f>
        <v>37369</v>
      </c>
      <c r="E36" s="14">
        <f>SUM(E28+SUM(E31:E35))</f>
        <v>17712</v>
      </c>
      <c r="F36" s="14">
        <f>SUM(F28+SUM(F31:F35))</f>
        <v>41692</v>
      </c>
      <c r="G36" s="14">
        <f>SUM(G28+SUM(G31:G35))</f>
        <v>49248</v>
      </c>
      <c r="I36" s="14">
        <f t="shared" ref="I36" si="41">SUM(I28+SUM(I31:I35))</f>
        <v>6561</v>
      </c>
      <c r="J36" s="14">
        <f t="shared" ref="J36:P36" si="42">SUM(J28+SUM(J31:J35))</f>
        <v>6984</v>
      </c>
      <c r="K36" s="14">
        <f t="shared" si="42"/>
        <v>10208</v>
      </c>
      <c r="L36" s="14">
        <f t="shared" si="42"/>
        <v>13616</v>
      </c>
      <c r="M36" s="14">
        <f t="shared" si="42"/>
        <v>9976</v>
      </c>
      <c r="N36" s="14">
        <f t="shared" si="42"/>
        <v>4421</v>
      </c>
      <c r="O36" s="14">
        <f t="shared" si="42"/>
        <v>160</v>
      </c>
      <c r="P36" s="14">
        <f t="shared" si="42"/>
        <v>3155</v>
      </c>
      <c r="Q36" s="14">
        <f t="shared" ref="Q36:Z36" si="43">SUM(Q28+SUM(Q31:Q35))</f>
        <v>7963</v>
      </c>
      <c r="R36" s="14">
        <f t="shared" si="43"/>
        <v>12370</v>
      </c>
      <c r="S36" s="14">
        <f t="shared" si="43"/>
        <v>11979</v>
      </c>
      <c r="T36" s="14">
        <f t="shared" si="43"/>
        <v>9380</v>
      </c>
      <c r="U36" s="14">
        <f t="shared" si="43"/>
        <v>12553</v>
      </c>
      <c r="V36" s="14">
        <f t="shared" si="43"/>
        <v>6867</v>
      </c>
      <c r="W36" s="14">
        <f t="shared" si="43"/>
        <v>16298</v>
      </c>
      <c r="X36" s="14">
        <f t="shared" si="43"/>
        <v>13530</v>
      </c>
      <c r="Y36" s="14">
        <f t="shared" si="43"/>
        <v>11091</v>
      </c>
      <c r="Z36" s="14">
        <f t="shared" si="43"/>
        <v>5573</v>
      </c>
      <c r="AA36" s="14">
        <f>SUM(AA28+SUM(AA31:AA35))</f>
        <v>7870</v>
      </c>
      <c r="AC36" s="14">
        <f t="shared" ref="AC36:AJ36" si="44">SUM(AC28+SUM(AC31:AC35))</f>
        <v>41692</v>
      </c>
      <c r="AD36" s="14">
        <f t="shared" si="44"/>
        <v>46282</v>
      </c>
      <c r="AE36" s="14">
        <f t="shared" si="44"/>
        <v>40779</v>
      </c>
      <c r="AF36" s="14">
        <f t="shared" si="44"/>
        <v>45098</v>
      </c>
      <c r="AG36" s="14">
        <f t="shared" si="44"/>
        <v>49248</v>
      </c>
      <c r="AH36" s="14">
        <f t="shared" si="44"/>
        <v>47786</v>
      </c>
      <c r="AI36" s="14">
        <f t="shared" si="44"/>
        <v>46492</v>
      </c>
      <c r="AJ36" s="14">
        <f t="shared" si="44"/>
        <v>38064</v>
      </c>
      <c r="AL36" s="127">
        <f>SUM(AJ36/AF36)-1</f>
        <v>-0.15597143997516516</v>
      </c>
    </row>
    <row r="37" spans="1:38" ht="5.0999999999999996" customHeight="1"/>
    <row r="38" spans="1:38" ht="12.75" customHeight="1">
      <c r="B38" s="31" t="s">
        <v>178</v>
      </c>
      <c r="C38" s="140">
        <f>SUM('Historical Financials'!C102:C103)</f>
        <v>-8159</v>
      </c>
      <c r="D38" s="140">
        <f>SUM('Historical Financials'!D102:D103)</f>
        <v>12179</v>
      </c>
      <c r="E38" s="140">
        <f>SUM('Historical Financials'!E102:E103)</f>
        <v>3532</v>
      </c>
      <c r="F38" s="140">
        <f>SUM('Historical Financials'!F102:F103)</f>
        <v>3202</v>
      </c>
      <c r="G38" s="140">
        <f>SUM('Historical Financials'!G102:G103)</f>
        <v>-9753</v>
      </c>
      <c r="H38" s="32"/>
      <c r="I38" s="140">
        <f>SUM('Historical Financials'!I102:I103)</f>
        <v>-600</v>
      </c>
      <c r="J38" s="140">
        <f>SUM('Historical Financials'!J102:J103)</f>
        <v>-3264</v>
      </c>
      <c r="K38" s="140">
        <f>SUM('Historical Financials'!K102:K103)</f>
        <v>4199</v>
      </c>
      <c r="L38" s="140">
        <f>SUM('Historical Financials'!L102:L103)</f>
        <v>11844</v>
      </c>
      <c r="M38" s="140">
        <f>SUM('Historical Financials'!M102:M103)</f>
        <v>1399</v>
      </c>
      <c r="N38" s="140">
        <f>SUM('Historical Financials'!N102:N103)</f>
        <v>939</v>
      </c>
      <c r="O38" s="140">
        <f>SUM('Historical Financials'!O102:O103)</f>
        <v>-328</v>
      </c>
      <c r="P38" s="140">
        <f>SUM('Historical Financials'!P102:P103)</f>
        <v>1522</v>
      </c>
      <c r="Q38" s="140">
        <f>SUM('Historical Financials'!Q102:Q103)</f>
        <v>449</v>
      </c>
      <c r="R38" s="140">
        <f>SUM('Historical Financials'!R102:R103)</f>
        <v>1099</v>
      </c>
      <c r="S38" s="140">
        <f>SUM('Historical Financials'!S102:S103)</f>
        <v>467</v>
      </c>
      <c r="T38" s="140">
        <f>SUM('Historical Financials'!T102:T103)</f>
        <v>1187</v>
      </c>
      <c r="U38" s="140">
        <f>SUM('Historical Financials'!U102:U103)</f>
        <v>-2262</v>
      </c>
      <c r="V38" s="140">
        <f>SUM('Historical Financials'!V102:V103)</f>
        <v>-56</v>
      </c>
      <c r="W38" s="140">
        <f>SUM('Historical Financials'!W102:W103)</f>
        <v>-354</v>
      </c>
      <c r="X38" s="140">
        <f>SUM('Historical Financials'!X102:X103)</f>
        <v>-7081</v>
      </c>
      <c r="Y38" s="140">
        <f>SUM('Historical Financials'!Y102:Y103)</f>
        <v>-6979</v>
      </c>
      <c r="Z38" s="140">
        <f>SUM('Historical Financials'!Z102:Z103)</f>
        <v>6527</v>
      </c>
      <c r="AA38" s="140">
        <f>SUM('Historical Financials'!AA102:AA103)</f>
        <v>1864</v>
      </c>
      <c r="AC38" s="141">
        <f t="shared" ref="AC38:AI44" si="45">SUM(Q38:T38)</f>
        <v>3202</v>
      </c>
      <c r="AD38" s="141">
        <f t="shared" si="45"/>
        <v>491</v>
      </c>
      <c r="AE38" s="141">
        <f t="shared" si="45"/>
        <v>-664</v>
      </c>
      <c r="AF38" s="141">
        <f t="shared" si="45"/>
        <v>-1485</v>
      </c>
      <c r="AG38" s="141">
        <f t="shared" si="45"/>
        <v>-9753</v>
      </c>
      <c r="AH38" s="141">
        <f t="shared" si="45"/>
        <v>-14470</v>
      </c>
      <c r="AI38" s="141">
        <f t="shared" si="45"/>
        <v>-7887</v>
      </c>
      <c r="AJ38" s="141">
        <f t="shared" ref="AJ38:AJ44" si="46">SUM(X38:AA38)</f>
        <v>-5669</v>
      </c>
    </row>
    <row r="39" spans="1:38" ht="12.75" customHeight="1">
      <c r="B39" s="31" t="s">
        <v>85</v>
      </c>
      <c r="C39" s="140">
        <f>'Historical Financials'!C106</f>
        <v>-388</v>
      </c>
      <c r="D39" s="140">
        <f>'Historical Financials'!D106</f>
        <v>-851</v>
      </c>
      <c r="E39" s="140">
        <f>'Historical Financials'!E106</f>
        <v>-1312</v>
      </c>
      <c r="F39" s="140">
        <f>'Historical Financials'!F106</f>
        <v>-629</v>
      </c>
      <c r="G39" s="140">
        <f>'Historical Financials'!G106</f>
        <v>-270</v>
      </c>
      <c r="H39" s="32"/>
      <c r="I39" s="140">
        <f>'Historical Financials'!I106</f>
        <v>0</v>
      </c>
      <c r="J39" s="140">
        <f>'Historical Financials'!J106</f>
        <v>-259</v>
      </c>
      <c r="K39" s="140">
        <f>'Historical Financials'!K106</f>
        <v>-71</v>
      </c>
      <c r="L39" s="140">
        <f>'Historical Financials'!L106</f>
        <v>-521</v>
      </c>
      <c r="M39" s="140">
        <f>'Historical Financials'!M106</f>
        <v>-853</v>
      </c>
      <c r="N39" s="140">
        <f>'Historical Financials'!N106</f>
        <v>-363</v>
      </c>
      <c r="O39" s="140">
        <f>'Historical Financials'!O106</f>
        <v>-34</v>
      </c>
      <c r="P39" s="140">
        <f>'Historical Financials'!P106</f>
        <v>-62</v>
      </c>
      <c r="Q39" s="140">
        <f>'Historical Financials'!Q106</f>
        <v>-444</v>
      </c>
      <c r="R39" s="140">
        <f>'Historical Financials'!R106</f>
        <v>-83</v>
      </c>
      <c r="S39" s="140">
        <f>'Historical Financials'!S106</f>
        <v>-38</v>
      </c>
      <c r="T39" s="140">
        <f>'Historical Financials'!T106</f>
        <v>-64</v>
      </c>
      <c r="U39" s="140">
        <f>'Historical Financials'!U106</f>
        <v>-72</v>
      </c>
      <c r="V39" s="140">
        <f>'Historical Financials'!V106</f>
        <v>-57</v>
      </c>
      <c r="W39" s="140">
        <f>'Historical Financials'!W106</f>
        <v>-132</v>
      </c>
      <c r="X39" s="140">
        <f>'Historical Financials'!X106</f>
        <v>-9</v>
      </c>
      <c r="Y39" s="140">
        <f>'Historical Financials'!Y106</f>
        <v>0</v>
      </c>
      <c r="Z39" s="140">
        <f>'Historical Financials'!Z106</f>
        <v>-62</v>
      </c>
      <c r="AA39" s="140">
        <f>'Historical Financials'!AA106</f>
        <v>-753</v>
      </c>
      <c r="AC39" s="141">
        <f t="shared" si="45"/>
        <v>-629</v>
      </c>
      <c r="AD39" s="141">
        <f t="shared" si="45"/>
        <v>-257</v>
      </c>
      <c r="AE39" s="141">
        <f t="shared" si="45"/>
        <v>-231</v>
      </c>
      <c r="AF39" s="141">
        <f t="shared" si="45"/>
        <v>-325</v>
      </c>
      <c r="AG39" s="141">
        <f t="shared" si="45"/>
        <v>-270</v>
      </c>
      <c r="AH39" s="141">
        <f t="shared" si="45"/>
        <v>-198</v>
      </c>
      <c r="AI39" s="141">
        <f t="shared" si="45"/>
        <v>-203</v>
      </c>
      <c r="AJ39" s="141">
        <f t="shared" si="46"/>
        <v>-824</v>
      </c>
    </row>
    <row r="40" spans="1:38" ht="12.75" customHeight="1">
      <c r="B40" s="31" t="s">
        <v>180</v>
      </c>
      <c r="C40" s="140">
        <f>'Historical Financials'!C107</f>
        <v>-6349</v>
      </c>
      <c r="D40" s="140">
        <f>'Historical Financials'!D107</f>
        <v>-208</v>
      </c>
      <c r="E40" s="140">
        <f>'Historical Financials'!E107</f>
        <v>-4</v>
      </c>
      <c r="F40" s="140">
        <f>'Historical Financials'!F107</f>
        <v>-23</v>
      </c>
      <c r="G40" s="140">
        <f>'Historical Financials'!G107</f>
        <v>129</v>
      </c>
      <c r="H40" s="32"/>
      <c r="I40" s="140">
        <f>'Historical Financials'!I107</f>
        <v>29</v>
      </c>
      <c r="J40" s="140">
        <f>'Historical Financials'!J107</f>
        <v>-31</v>
      </c>
      <c r="K40" s="140">
        <f>'Historical Financials'!K107</f>
        <v>-112</v>
      </c>
      <c r="L40" s="140">
        <f>'Historical Financials'!L107</f>
        <v>-94</v>
      </c>
      <c r="M40" s="140">
        <f>'Historical Financials'!M107</f>
        <v>116</v>
      </c>
      <c r="N40" s="140">
        <f>'Historical Financials'!N107</f>
        <v>37</v>
      </c>
      <c r="O40" s="140">
        <f>'Historical Financials'!O107</f>
        <v>36</v>
      </c>
      <c r="P40" s="140">
        <f>'Historical Financials'!P107</f>
        <v>-193</v>
      </c>
      <c r="Q40" s="140">
        <f>'Historical Financials'!Q107</f>
        <v>75</v>
      </c>
      <c r="R40" s="140">
        <f>'Historical Financials'!R107</f>
        <v>-85</v>
      </c>
      <c r="S40" s="140">
        <f>'Historical Financials'!S107</f>
        <v>-10</v>
      </c>
      <c r="T40" s="140">
        <f>'Historical Financials'!T107</f>
        <v>-3</v>
      </c>
      <c r="U40" s="140">
        <f>'Historical Financials'!U107</f>
        <v>0</v>
      </c>
      <c r="V40" s="140">
        <f>'Historical Financials'!V107</f>
        <v>-12</v>
      </c>
      <c r="W40" s="140">
        <f>'Historical Financials'!W107</f>
        <v>124</v>
      </c>
      <c r="X40" s="140">
        <f>'Historical Financials'!X107</f>
        <v>17</v>
      </c>
      <c r="Y40" s="140">
        <f>'Historical Financials'!Y107</f>
        <v>-90</v>
      </c>
      <c r="Z40" s="140">
        <f>'Historical Financials'!Z107</f>
        <v>104</v>
      </c>
      <c r="AA40" s="140">
        <f>'Historical Financials'!AA107</f>
        <v>-62</v>
      </c>
      <c r="AC40" s="141">
        <f t="shared" si="45"/>
        <v>-23</v>
      </c>
      <c r="AD40" s="141">
        <f t="shared" si="45"/>
        <v>-98</v>
      </c>
      <c r="AE40" s="141">
        <f t="shared" si="45"/>
        <v>-25</v>
      </c>
      <c r="AF40" s="141">
        <f t="shared" si="45"/>
        <v>109</v>
      </c>
      <c r="AG40" s="141">
        <f t="shared" si="45"/>
        <v>129</v>
      </c>
      <c r="AH40" s="141">
        <f t="shared" si="45"/>
        <v>39</v>
      </c>
      <c r="AI40" s="141">
        <f t="shared" si="45"/>
        <v>155</v>
      </c>
      <c r="AJ40" s="141">
        <f t="shared" si="46"/>
        <v>-31</v>
      </c>
    </row>
    <row r="41" spans="1:38" ht="12.75" customHeight="1">
      <c r="B41" s="31" t="s">
        <v>93</v>
      </c>
      <c r="C41" s="140">
        <f>SUM('Historical Financials'!C115)</f>
        <v>0</v>
      </c>
      <c r="D41" s="140">
        <f>SUM('Historical Financials'!D115)</f>
        <v>0</v>
      </c>
      <c r="E41" s="140">
        <f>SUM('Historical Financials'!E115)</f>
        <v>9921</v>
      </c>
      <c r="F41" s="140">
        <f>SUM('Historical Financials'!F115)</f>
        <v>8455</v>
      </c>
      <c r="G41" s="140">
        <f>SUM('Historical Financials'!G115)</f>
        <v>10432</v>
      </c>
      <c r="H41" s="32"/>
      <c r="I41" s="140">
        <f>SUM('Historical Financials'!I115)</f>
        <v>0</v>
      </c>
      <c r="J41" s="140">
        <f>SUM('Historical Financials'!J115)</f>
        <v>0</v>
      </c>
      <c r="K41" s="140">
        <f>SUM('Historical Financials'!K115)</f>
        <v>0</v>
      </c>
      <c r="L41" s="140">
        <f>SUM('Historical Financials'!L115)</f>
        <v>0</v>
      </c>
      <c r="M41" s="140">
        <f>SUM('Historical Financials'!M115)</f>
        <v>0</v>
      </c>
      <c r="N41" s="140">
        <f>SUM('Historical Financials'!N115)</f>
        <v>0</v>
      </c>
      <c r="O41" s="140">
        <f>SUM('Historical Financials'!O115)</f>
        <v>9921</v>
      </c>
      <c r="P41" s="140">
        <f>SUM('Historical Financials'!P115)</f>
        <v>0</v>
      </c>
      <c r="Q41" s="140">
        <f>SUM('Historical Financials'!Q115)</f>
        <v>0</v>
      </c>
      <c r="R41" s="140">
        <f>SUM('Historical Financials'!R115)</f>
        <v>8455</v>
      </c>
      <c r="S41" s="140">
        <f>SUM('Historical Financials'!S115)</f>
        <v>0</v>
      </c>
      <c r="T41" s="140">
        <f>SUM('Historical Financials'!T115)</f>
        <v>0</v>
      </c>
      <c r="U41" s="140">
        <f>SUM('Historical Financials'!U115)</f>
        <v>0</v>
      </c>
      <c r="V41" s="140">
        <f>SUM('Historical Financials'!V115)</f>
        <v>0</v>
      </c>
      <c r="W41" s="140">
        <f>SUM('Historical Financials'!W115)</f>
        <v>10432</v>
      </c>
      <c r="X41" s="140">
        <f>SUM('Historical Financials'!X115)</f>
        <v>0</v>
      </c>
      <c r="Y41" s="140">
        <f>SUM('Historical Financials'!Y115)</f>
        <v>0</v>
      </c>
      <c r="Z41" s="140">
        <f>SUM('Historical Financials'!Z115)</f>
        <v>0</v>
      </c>
      <c r="AA41" s="140">
        <f>SUM('Historical Financials'!AA115)</f>
        <v>0</v>
      </c>
      <c r="AC41" s="141">
        <f t="shared" si="45"/>
        <v>8455</v>
      </c>
      <c r="AD41" s="141">
        <f t="shared" si="45"/>
        <v>8455</v>
      </c>
      <c r="AE41" s="141">
        <f t="shared" si="45"/>
        <v>0</v>
      </c>
      <c r="AF41" s="141">
        <f t="shared" si="45"/>
        <v>10432</v>
      </c>
      <c r="AG41" s="141">
        <f t="shared" si="45"/>
        <v>10432</v>
      </c>
      <c r="AH41" s="141">
        <f t="shared" si="45"/>
        <v>10432</v>
      </c>
      <c r="AI41" s="141">
        <f t="shared" si="45"/>
        <v>10432</v>
      </c>
      <c r="AJ41" s="141">
        <f t="shared" si="46"/>
        <v>0</v>
      </c>
    </row>
    <row r="42" spans="1:38" ht="12.75" customHeight="1">
      <c r="B42" s="31" t="s">
        <v>181</v>
      </c>
      <c r="C42" s="140">
        <f>SUM('Historical Financials'!C111:C112)</f>
        <v>-9836</v>
      </c>
      <c r="D42" s="140">
        <f>SUM('Historical Financials'!D111:D112)</f>
        <v>-50052</v>
      </c>
      <c r="E42" s="140">
        <f>SUM('Historical Financials'!E111:E112)</f>
        <v>-31551</v>
      </c>
      <c r="F42" s="140">
        <f>SUM('Historical Financials'!F111:F112)</f>
        <v>-26786</v>
      </c>
      <c r="G42" s="140">
        <f>SUM('Historical Financials'!G111:G112)</f>
        <v>-43895</v>
      </c>
      <c r="H42" s="32"/>
      <c r="I42" s="140">
        <f>SUM('Historical Financials'!I111:I112)</f>
        <v>-5016</v>
      </c>
      <c r="J42" s="140">
        <f>SUM('Historical Financials'!J111:J112)</f>
        <v>-8434</v>
      </c>
      <c r="K42" s="140">
        <f>SUM('Historical Financials'!K111:K112)</f>
        <v>-15033</v>
      </c>
      <c r="L42" s="140">
        <f>SUM('Historical Financials'!L111:L112)</f>
        <v>-21569</v>
      </c>
      <c r="M42" s="140">
        <f>SUM('Historical Financials'!M111:M112)</f>
        <v>-10431</v>
      </c>
      <c r="N42" s="140">
        <f>SUM('Historical Financials'!N111:N112)</f>
        <v>-6235</v>
      </c>
      <c r="O42" s="140">
        <f>SUM('Historical Financials'!O111:O112)</f>
        <v>-7365</v>
      </c>
      <c r="P42" s="140">
        <f>SUM('Historical Financials'!P111:P112)</f>
        <v>-7520</v>
      </c>
      <c r="Q42" s="140">
        <f>SUM('Historical Financials'!Q111:Q112)</f>
        <v>-10374</v>
      </c>
      <c r="R42" s="140">
        <f>SUM('Historical Financials'!R111:R112)</f>
        <v>-2590</v>
      </c>
      <c r="S42" s="140">
        <f>SUM('Historical Financials'!S111:S112)</f>
        <v>-5657</v>
      </c>
      <c r="T42" s="140">
        <f>SUM('Historical Financials'!T111:T112)</f>
        <v>-8165</v>
      </c>
      <c r="U42" s="140">
        <f>SUM('Historical Financials'!U111:U112)</f>
        <v>-18170</v>
      </c>
      <c r="V42" s="140">
        <f>SUM('Historical Financials'!V111:V112)</f>
        <v>-9507</v>
      </c>
      <c r="W42" s="140">
        <f>SUM('Historical Financials'!W111:W112)</f>
        <v>-12361</v>
      </c>
      <c r="X42" s="140">
        <f>SUM('Historical Financials'!X111:X112)</f>
        <v>-3857</v>
      </c>
      <c r="Y42" s="140">
        <f>SUM('Historical Financials'!Y111:Y112)</f>
        <v>-17637</v>
      </c>
      <c r="Z42" s="140">
        <f>SUM('Historical Financials'!Z111:Z112)</f>
        <v>-14277</v>
      </c>
      <c r="AA42" s="140">
        <f>SUM('Historical Financials'!AA111:AA112)</f>
        <v>-8462</v>
      </c>
      <c r="AC42" s="141">
        <f t="shared" si="45"/>
        <v>-26786</v>
      </c>
      <c r="AD42" s="141">
        <f t="shared" si="45"/>
        <v>-34582</v>
      </c>
      <c r="AE42" s="141">
        <f t="shared" si="45"/>
        <v>-41499</v>
      </c>
      <c r="AF42" s="141">
        <f t="shared" si="45"/>
        <v>-48203</v>
      </c>
      <c r="AG42" s="141">
        <f t="shared" si="45"/>
        <v>-43895</v>
      </c>
      <c r="AH42" s="141">
        <f t="shared" si="45"/>
        <v>-43362</v>
      </c>
      <c r="AI42" s="141">
        <f t="shared" si="45"/>
        <v>-48132</v>
      </c>
      <c r="AJ42" s="141">
        <f t="shared" si="46"/>
        <v>-44233</v>
      </c>
    </row>
    <row r="43" spans="1:38" ht="12.75" customHeight="1">
      <c r="B43" s="31" t="s">
        <v>182</v>
      </c>
      <c r="C43" s="140">
        <f>'Historical Financials'!C114</f>
        <v>-604</v>
      </c>
      <c r="D43" s="140">
        <f>'Historical Financials'!D114</f>
        <v>-677</v>
      </c>
      <c r="E43" s="140">
        <f>'Historical Financials'!E114</f>
        <v>-850</v>
      </c>
      <c r="F43" s="140">
        <f>'Historical Financials'!F114</f>
        <v>-1058</v>
      </c>
      <c r="G43" s="140">
        <f>'Historical Financials'!G114</f>
        <v>-1969</v>
      </c>
      <c r="H43" s="32"/>
      <c r="I43" s="140">
        <f>'Historical Financials'!I114</f>
        <v>-151</v>
      </c>
      <c r="J43" s="140">
        <f>'Historical Financials'!J114</f>
        <v>-123</v>
      </c>
      <c r="K43" s="140">
        <f>'Historical Financials'!K114</f>
        <v>-231</v>
      </c>
      <c r="L43" s="140">
        <f>'Historical Financials'!L114</f>
        <v>-172</v>
      </c>
      <c r="M43" s="140">
        <f>'Historical Financials'!M114</f>
        <v>-233</v>
      </c>
      <c r="N43" s="140">
        <f>'Historical Financials'!N114</f>
        <v>-219</v>
      </c>
      <c r="O43" s="140">
        <f>'Historical Financials'!O114</f>
        <v>-163</v>
      </c>
      <c r="P43" s="140">
        <f>'Historical Financials'!P114</f>
        <v>-235</v>
      </c>
      <c r="Q43" s="140">
        <f>'Historical Financials'!Q114</f>
        <v>-264</v>
      </c>
      <c r="R43" s="140">
        <f>'Historical Financials'!R114</f>
        <v>-220</v>
      </c>
      <c r="S43" s="140">
        <f>'Historical Financials'!S114</f>
        <v>-267</v>
      </c>
      <c r="T43" s="140">
        <f>'Historical Financials'!T114</f>
        <v>-307</v>
      </c>
      <c r="U43" s="140">
        <f>'Historical Financials'!U114</f>
        <v>-315</v>
      </c>
      <c r="V43" s="140">
        <f>'Historical Financials'!V114</f>
        <v>-299</v>
      </c>
      <c r="W43" s="140">
        <f>'Historical Financials'!W114</f>
        <v>-944</v>
      </c>
      <c r="X43" s="140">
        <f>'Historical Financials'!X114</f>
        <v>-411</v>
      </c>
      <c r="Y43" s="140">
        <f>'Historical Financials'!Y114</f>
        <v>-751</v>
      </c>
      <c r="Z43" s="140">
        <f>'Historical Financials'!Z114</f>
        <v>-474</v>
      </c>
      <c r="AA43" s="140">
        <f>'Historical Financials'!AA114</f>
        <v>-545</v>
      </c>
      <c r="AC43" s="141">
        <f t="shared" si="45"/>
        <v>-1058</v>
      </c>
      <c r="AD43" s="141">
        <f t="shared" si="45"/>
        <v>-1109</v>
      </c>
      <c r="AE43" s="141">
        <f t="shared" si="45"/>
        <v>-1188</v>
      </c>
      <c r="AF43" s="141">
        <f t="shared" si="45"/>
        <v>-1865</v>
      </c>
      <c r="AG43" s="141">
        <f t="shared" si="45"/>
        <v>-1969</v>
      </c>
      <c r="AH43" s="141">
        <f t="shared" si="45"/>
        <v>-2405</v>
      </c>
      <c r="AI43" s="141">
        <f t="shared" si="45"/>
        <v>-2580</v>
      </c>
      <c r="AJ43" s="141">
        <f t="shared" si="46"/>
        <v>-2181</v>
      </c>
    </row>
    <row r="44" spans="1:38" ht="12.75" customHeight="1">
      <c r="B44" s="31" t="s">
        <v>66</v>
      </c>
      <c r="C44" s="96"/>
      <c r="D44" s="96">
        <f t="shared" ref="D44:E44" si="47">SUM(D49-C49)-SUM(D36:D43)</f>
        <v>1265</v>
      </c>
      <c r="E44" s="96">
        <f t="shared" si="47"/>
        <v>632</v>
      </c>
      <c r="F44" s="96">
        <f>SUM(F49-E49)-SUM(F36:F43)</f>
        <v>2328</v>
      </c>
      <c r="G44" s="96">
        <f>SUM(G49-F49)-SUM(G36:G43)</f>
        <v>-1895</v>
      </c>
      <c r="H44" s="32"/>
      <c r="I44" s="96"/>
      <c r="J44" s="96">
        <f t="shared" ref="J44" si="48">SUM(J49-I49)-SUM(J36:J43)</f>
        <v>1800</v>
      </c>
      <c r="K44" s="96">
        <f t="shared" ref="K44" si="49">SUM(K49-J49)-SUM(K36:K43)</f>
        <v>-650</v>
      </c>
      <c r="L44" s="96">
        <f t="shared" ref="L44" si="50">SUM(L49-K49)-SUM(L36:L43)</f>
        <v>-999</v>
      </c>
      <c r="M44" s="96">
        <f t="shared" ref="M44" si="51">SUM(M49-L49)-SUM(M36:M43)</f>
        <v>-1689</v>
      </c>
      <c r="N44" s="96">
        <f t="shared" ref="N44" si="52">SUM(N49-M49)-SUM(N36:N43)</f>
        <v>-785</v>
      </c>
      <c r="O44" s="96">
        <f t="shared" ref="O44" si="53">SUM(O49-N49)-SUM(O36:O43)</f>
        <v>-600</v>
      </c>
      <c r="P44" s="96">
        <f t="shared" ref="P44" si="54">SUM(P49-O49)-SUM(P36:P43)</f>
        <v>3706</v>
      </c>
      <c r="Q44" s="96">
        <f t="shared" ref="Q44" si="55">SUM(Q49-P49)-SUM(Q36:Q43)</f>
        <v>-535</v>
      </c>
      <c r="R44" s="96">
        <f t="shared" ref="R44:AA44" si="56">SUM(R49-Q49)-SUM(R36:R43)</f>
        <v>-1712</v>
      </c>
      <c r="S44" s="96">
        <f t="shared" si="56"/>
        <v>1631</v>
      </c>
      <c r="T44" s="96">
        <f t="shared" si="56"/>
        <v>2944</v>
      </c>
      <c r="U44" s="96">
        <f t="shared" si="56"/>
        <v>-1289</v>
      </c>
      <c r="V44" s="96">
        <f t="shared" si="56"/>
        <v>2802</v>
      </c>
      <c r="W44" s="96">
        <f t="shared" si="56"/>
        <v>-1256</v>
      </c>
      <c r="X44" s="96">
        <f t="shared" si="56"/>
        <v>-2152</v>
      </c>
      <c r="Y44" s="96">
        <f t="shared" si="56"/>
        <v>-773</v>
      </c>
      <c r="Z44" s="96">
        <f t="shared" si="56"/>
        <v>-14136</v>
      </c>
      <c r="AA44" s="96">
        <f t="shared" si="56"/>
        <v>-1730</v>
      </c>
      <c r="AC44" s="141">
        <f t="shared" si="45"/>
        <v>2328</v>
      </c>
      <c r="AD44" s="141">
        <f t="shared" si="45"/>
        <v>1574</v>
      </c>
      <c r="AE44" s="141">
        <f t="shared" si="45"/>
        <v>6088</v>
      </c>
      <c r="AF44" s="141">
        <f t="shared" si="45"/>
        <v>3201</v>
      </c>
      <c r="AG44" s="141">
        <f t="shared" si="45"/>
        <v>-1895</v>
      </c>
      <c r="AH44" s="141">
        <f t="shared" si="45"/>
        <v>-1379</v>
      </c>
      <c r="AI44" s="141">
        <f t="shared" si="45"/>
        <v>-18317</v>
      </c>
      <c r="AJ44" s="141">
        <f t="shared" si="46"/>
        <v>-18791</v>
      </c>
    </row>
    <row r="45" spans="1:38" ht="12.75" customHeight="1">
      <c r="B45" s="13" t="s">
        <v>39</v>
      </c>
      <c r="C45" s="14">
        <f>SUM(C36+SUM(C38:C44))</f>
        <v>-1382</v>
      </c>
      <c r="D45" s="14">
        <f>SUM(D36+SUM(D38:D44))</f>
        <v>-975</v>
      </c>
      <c r="E45" s="14">
        <f>SUM(E36+SUM(E38:E44))</f>
        <v>-1920</v>
      </c>
      <c r="F45" s="14">
        <f>SUM(F36+SUM(F38:F44))</f>
        <v>27181</v>
      </c>
      <c r="G45" s="14">
        <f>SUM(G36+SUM(G38:G44))</f>
        <v>2027</v>
      </c>
      <c r="I45" s="14">
        <f t="shared" ref="I45" si="57">SUM(I36+SUM(I38:I44))</f>
        <v>823</v>
      </c>
      <c r="J45" s="14">
        <f t="shared" ref="J45:P45" si="58">SUM(J36+SUM(J38:J44))</f>
        <v>-3327</v>
      </c>
      <c r="K45" s="14">
        <f t="shared" si="58"/>
        <v>-1690</v>
      </c>
      <c r="L45" s="14">
        <f t="shared" si="58"/>
        <v>2105</v>
      </c>
      <c r="M45" s="14">
        <f t="shared" si="58"/>
        <v>-1715</v>
      </c>
      <c r="N45" s="14">
        <f t="shared" si="58"/>
        <v>-2205</v>
      </c>
      <c r="O45" s="14">
        <f t="shared" si="58"/>
        <v>1627</v>
      </c>
      <c r="P45" s="14">
        <f t="shared" si="58"/>
        <v>373</v>
      </c>
      <c r="Q45" s="14">
        <f t="shared" ref="Q45:AA45" si="59">SUM(Q36+SUM(Q38:Q44))</f>
        <v>-3130</v>
      </c>
      <c r="R45" s="14">
        <f t="shared" si="59"/>
        <v>17234</v>
      </c>
      <c r="S45" s="14">
        <f t="shared" si="59"/>
        <v>8105</v>
      </c>
      <c r="T45" s="14">
        <f t="shared" si="59"/>
        <v>4972</v>
      </c>
      <c r="U45" s="14">
        <f t="shared" si="59"/>
        <v>-9555</v>
      </c>
      <c r="V45" s="14">
        <f t="shared" si="59"/>
        <v>-262</v>
      </c>
      <c r="W45" s="14">
        <f t="shared" si="59"/>
        <v>11807</v>
      </c>
      <c r="X45" s="14">
        <f t="shared" si="59"/>
        <v>37</v>
      </c>
      <c r="Y45" s="14">
        <f t="shared" si="59"/>
        <v>-15139</v>
      </c>
      <c r="Z45" s="14">
        <f t="shared" si="59"/>
        <v>-16745</v>
      </c>
      <c r="AA45" s="14">
        <f t="shared" si="59"/>
        <v>-1818</v>
      </c>
      <c r="AC45" s="14">
        <f t="shared" ref="AC45:AJ45" si="60">SUM(AC36+SUM(AC38:AC44))</f>
        <v>27181</v>
      </c>
      <c r="AD45" s="14">
        <f t="shared" si="60"/>
        <v>20756</v>
      </c>
      <c r="AE45" s="14">
        <f t="shared" si="60"/>
        <v>3260</v>
      </c>
      <c r="AF45" s="14">
        <f t="shared" si="60"/>
        <v>6962</v>
      </c>
      <c r="AG45" s="14">
        <f t="shared" si="60"/>
        <v>2027</v>
      </c>
      <c r="AH45" s="14">
        <f t="shared" si="60"/>
        <v>-3557</v>
      </c>
      <c r="AI45" s="14">
        <f t="shared" si="60"/>
        <v>-20040</v>
      </c>
      <c r="AJ45" s="14">
        <f t="shared" si="60"/>
        <v>-33665</v>
      </c>
    </row>
    <row r="46" spans="1:38" ht="5.0999999999999996" customHeight="1"/>
    <row r="47" spans="1:38" ht="12.75" customHeight="1">
      <c r="A47" s="5"/>
      <c r="B47" s="33" t="s">
        <v>40</v>
      </c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</row>
    <row r="48" spans="1:38" ht="5.0999999999999996" customHeight="1"/>
    <row r="49" spans="2:36" ht="12.75" customHeight="1">
      <c r="B49" s="8" t="s">
        <v>41</v>
      </c>
      <c r="C49" s="94">
        <f>'Historical Financials'!C42</f>
        <v>17576</v>
      </c>
      <c r="D49" s="94">
        <f>'Historical Financials'!D42</f>
        <v>16601</v>
      </c>
      <c r="E49" s="94">
        <f>'Historical Financials'!E42</f>
        <v>14681</v>
      </c>
      <c r="F49" s="94">
        <f>'Historical Financials'!F42</f>
        <v>41862</v>
      </c>
      <c r="G49" s="94">
        <f>'Historical Financials'!G42</f>
        <v>43889</v>
      </c>
      <c r="H49" s="32"/>
      <c r="I49" s="94">
        <f>'Historical Financials'!I42</f>
        <v>19513</v>
      </c>
      <c r="J49" s="94">
        <f>'Historical Financials'!J42</f>
        <v>16186</v>
      </c>
      <c r="K49" s="94">
        <f>'Historical Financials'!K42</f>
        <v>14496</v>
      </c>
      <c r="L49" s="94">
        <f>'Historical Financials'!L42</f>
        <v>16601</v>
      </c>
      <c r="M49" s="94">
        <f>'Historical Financials'!M42</f>
        <v>14886</v>
      </c>
      <c r="N49" s="94">
        <f>'Historical Financials'!N42</f>
        <v>12681</v>
      </c>
      <c r="O49" s="94">
        <f>'Historical Financials'!O42</f>
        <v>14308</v>
      </c>
      <c r="P49" s="94">
        <f>'Historical Financials'!P42</f>
        <v>14681</v>
      </c>
      <c r="Q49" s="94">
        <f>'Historical Financials'!Q42</f>
        <v>11551</v>
      </c>
      <c r="R49" s="94">
        <f>'Historical Financials'!R42</f>
        <v>28785</v>
      </c>
      <c r="S49" s="94">
        <f>'Historical Financials'!S42</f>
        <v>36890</v>
      </c>
      <c r="T49" s="94">
        <f>'Historical Financials'!T42</f>
        <v>41862</v>
      </c>
      <c r="U49" s="94">
        <f>'Historical Financials'!U42</f>
        <v>32307</v>
      </c>
      <c r="V49" s="94">
        <f>'Historical Financials'!V42</f>
        <v>32045</v>
      </c>
      <c r="W49" s="94">
        <f>'Historical Financials'!W42</f>
        <v>43852</v>
      </c>
      <c r="X49" s="94">
        <f>'Historical Financials'!X42</f>
        <v>43889</v>
      </c>
      <c r="Y49" s="94">
        <f>'Historical Financials'!Y42</f>
        <v>28750</v>
      </c>
      <c r="Z49" s="94">
        <f>'Historical Financials'!Z42</f>
        <v>12005</v>
      </c>
      <c r="AA49" s="94">
        <f>'Historical Financials'!AA42</f>
        <v>10187</v>
      </c>
      <c r="AC49" s="10">
        <f t="shared" ref="AC49:AI49" si="61">T49</f>
        <v>41862</v>
      </c>
      <c r="AD49" s="10">
        <f t="shared" si="61"/>
        <v>32307</v>
      </c>
      <c r="AE49" s="10">
        <f t="shared" si="61"/>
        <v>32045</v>
      </c>
      <c r="AF49" s="10">
        <f t="shared" si="61"/>
        <v>43852</v>
      </c>
      <c r="AG49" s="10">
        <f t="shared" si="61"/>
        <v>43889</v>
      </c>
      <c r="AH49" s="10">
        <f t="shared" si="61"/>
        <v>28750</v>
      </c>
      <c r="AI49" s="10">
        <f t="shared" si="61"/>
        <v>12005</v>
      </c>
      <c r="AJ49" s="10">
        <f>AA49</f>
        <v>10187</v>
      </c>
    </row>
    <row r="50" spans="2:36" ht="12.75" customHeight="1">
      <c r="B50" s="8" t="s">
        <v>130</v>
      </c>
      <c r="C50" s="94">
        <f>'Historical Financials'!C43</f>
        <v>44378</v>
      </c>
      <c r="D50" s="94">
        <f>'Historical Financials'!D43</f>
        <v>31397</v>
      </c>
      <c r="E50" s="94">
        <f>'Historical Financials'!E43</f>
        <v>26057</v>
      </c>
      <c r="F50" s="94">
        <f>'Historical Financials'!F43</f>
        <v>23541</v>
      </c>
      <c r="G50" s="94">
        <f>'Historical Financials'!G43</f>
        <v>33926</v>
      </c>
      <c r="H50" s="32"/>
      <c r="I50" s="94">
        <f>'Historical Financials'!I43</f>
        <v>44706</v>
      </c>
      <c r="J50" s="94">
        <f>'Historical Financials'!J43</f>
        <v>47894</v>
      </c>
      <c r="K50" s="94">
        <f>'Historical Financials'!K43</f>
        <v>43579</v>
      </c>
      <c r="L50" s="94">
        <f>'Historical Financials'!L43</f>
        <v>31397</v>
      </c>
      <c r="M50" s="94">
        <f>'Historical Financials'!M43</f>
        <v>29004</v>
      </c>
      <c r="N50" s="94">
        <f>'Historical Financials'!N43</f>
        <v>27808</v>
      </c>
      <c r="O50" s="94">
        <f>'Historical Financials'!O43</f>
        <v>27468</v>
      </c>
      <c r="P50" s="94">
        <f>'Historical Financials'!P43</f>
        <v>26057</v>
      </c>
      <c r="Q50" s="94">
        <f>'Historical Financials'!Q43</f>
        <v>25888</v>
      </c>
      <c r="R50" s="94">
        <f>'Historical Financials'!R43</f>
        <v>24661</v>
      </c>
      <c r="S50" s="94">
        <f>'Historical Financials'!S43</f>
        <v>24233</v>
      </c>
      <c r="T50" s="94">
        <f>'Historical Financials'!T43</f>
        <v>23541</v>
      </c>
      <c r="U50" s="94">
        <f>'Historical Financials'!U43</f>
        <v>25813</v>
      </c>
      <c r="V50" s="94">
        <f>'Historical Financials'!V43</f>
        <v>26035</v>
      </c>
      <c r="W50" s="94">
        <f>'Historical Financials'!W43</f>
        <v>27048</v>
      </c>
      <c r="X50" s="94">
        <f>'Historical Financials'!X43</f>
        <v>33926</v>
      </c>
      <c r="Y50" s="94">
        <f>'Historical Financials'!Y43</f>
        <v>41480</v>
      </c>
      <c r="Z50" s="94">
        <f>'Historical Financials'!Z43</f>
        <v>35066</v>
      </c>
      <c r="AA50" s="94">
        <f>'Historical Financials'!AA43</f>
        <v>34261</v>
      </c>
      <c r="AC50" s="10">
        <f t="shared" ref="AC50:AC51" si="62">T50</f>
        <v>23541</v>
      </c>
      <c r="AD50" s="10">
        <f t="shared" ref="AD50:AD51" si="63">U50</f>
        <v>25813</v>
      </c>
      <c r="AE50" s="10">
        <f t="shared" ref="AE50:AE51" si="64">V50</f>
        <v>26035</v>
      </c>
      <c r="AF50" s="10">
        <f t="shared" ref="AF50:AF51" si="65">W50</f>
        <v>27048</v>
      </c>
      <c r="AG50" s="10">
        <f t="shared" ref="AG50:AG51" si="66">X50</f>
        <v>33926</v>
      </c>
      <c r="AH50" s="10">
        <f t="shared" ref="AH50:AH51" si="67">Y50</f>
        <v>41480</v>
      </c>
      <c r="AI50" s="10">
        <f t="shared" ref="AI50:AI51" si="68">Z50</f>
        <v>35066</v>
      </c>
      <c r="AJ50" s="10">
        <f t="shared" ref="AJ50:AJ51" si="69">AA50</f>
        <v>34261</v>
      </c>
    </row>
    <row r="51" spans="2:36" ht="12.75" customHeight="1">
      <c r="B51" s="8" t="s">
        <v>133</v>
      </c>
      <c r="C51" s="94">
        <f>'Historical Financials'!C49</f>
        <v>6234</v>
      </c>
      <c r="D51" s="94">
        <f>'Historical Financials'!D49</f>
        <v>6775</v>
      </c>
      <c r="E51" s="94">
        <f>'Historical Financials'!E49</f>
        <v>6201</v>
      </c>
      <c r="F51" s="94">
        <f>'Historical Financials'!F49</f>
        <v>6141</v>
      </c>
      <c r="G51" s="94">
        <f>'Historical Financials'!G49</f>
        <v>6070</v>
      </c>
      <c r="H51" s="32"/>
      <c r="I51" s="94">
        <f>'Historical Financials'!I49</f>
        <v>6342</v>
      </c>
      <c r="J51" s="94">
        <f>'Historical Financials'!J49</f>
        <v>6393</v>
      </c>
      <c r="K51" s="94">
        <f>'Historical Financials'!K49</f>
        <v>6758</v>
      </c>
      <c r="L51" s="94">
        <f>'Historical Financials'!L49</f>
        <v>6775</v>
      </c>
      <c r="M51" s="94">
        <f>'Historical Financials'!M49</f>
        <v>6775</v>
      </c>
      <c r="N51" s="94">
        <f>'Historical Financials'!N49</f>
        <v>6536</v>
      </c>
      <c r="O51" s="94">
        <f>'Historical Financials'!O49</f>
        <v>6528</v>
      </c>
      <c r="P51" s="94">
        <f>'Historical Financials'!P49</f>
        <v>6201</v>
      </c>
      <c r="Q51" s="94">
        <f>'Historical Financials'!Q49</f>
        <v>6167</v>
      </c>
      <c r="R51" s="94">
        <f>'Historical Financials'!R49</f>
        <v>6208</v>
      </c>
      <c r="S51" s="94">
        <f>'Historical Financials'!S49</f>
        <v>6142</v>
      </c>
      <c r="T51" s="94">
        <f>'Historical Financials'!T49</f>
        <v>6141</v>
      </c>
      <c r="U51" s="94">
        <f>'Historical Financials'!U49</f>
        <v>6218</v>
      </c>
      <c r="V51" s="94">
        <f>'Historical Financials'!V49</f>
        <v>6207</v>
      </c>
      <c r="W51" s="94">
        <f>'Historical Financials'!W49</f>
        <v>6071</v>
      </c>
      <c r="X51" s="94">
        <f>'Historical Financials'!X49</f>
        <v>6070</v>
      </c>
      <c r="Y51" s="94">
        <f>'Historical Financials'!Y49</f>
        <v>6168</v>
      </c>
      <c r="Z51" s="94">
        <f>'Historical Financials'!Z49</f>
        <v>21988</v>
      </c>
      <c r="AA51" s="94">
        <f>'Historical Financials'!AA49</f>
        <v>25074</v>
      </c>
      <c r="AC51" s="10">
        <f t="shared" si="62"/>
        <v>6141</v>
      </c>
      <c r="AD51" s="10">
        <f t="shared" si="63"/>
        <v>6218</v>
      </c>
      <c r="AE51" s="10">
        <f t="shared" si="64"/>
        <v>6207</v>
      </c>
      <c r="AF51" s="10">
        <f t="shared" si="65"/>
        <v>6071</v>
      </c>
      <c r="AG51" s="10">
        <f t="shared" si="66"/>
        <v>6070</v>
      </c>
      <c r="AH51" s="10">
        <f t="shared" si="67"/>
        <v>6168</v>
      </c>
      <c r="AI51" s="10">
        <f t="shared" si="68"/>
        <v>21988</v>
      </c>
      <c r="AJ51" s="10">
        <f t="shared" si="69"/>
        <v>25074</v>
      </c>
    </row>
    <row r="52" spans="2:36" ht="12.75" customHeight="1">
      <c r="B52" s="13" t="s">
        <v>42</v>
      </c>
      <c r="C52" s="14">
        <f>SUM(C49:C51)</f>
        <v>68188</v>
      </c>
      <c r="D52" s="14">
        <f>SUM(D49:D51)</f>
        <v>54773</v>
      </c>
      <c r="E52" s="14">
        <f>SUM(E49:E51)</f>
        <v>46939</v>
      </c>
      <c r="F52" s="14">
        <f>SUM(F49:F51)</f>
        <v>71544</v>
      </c>
      <c r="G52" s="14">
        <f>SUM(G49:G51)</f>
        <v>83885</v>
      </c>
      <c r="H52" s="32"/>
      <c r="I52" s="14">
        <f>SUM(I49:I51)</f>
        <v>70561</v>
      </c>
      <c r="J52" s="14">
        <f>SUM(J49:J51)</f>
        <v>70473</v>
      </c>
      <c r="K52" s="14">
        <f>SUM(K49:K51)</f>
        <v>64833</v>
      </c>
      <c r="L52" s="14">
        <f>SUM(L49:L51)</f>
        <v>54773</v>
      </c>
      <c r="M52" s="14">
        <f>SUM(M49:M51)</f>
        <v>50665</v>
      </c>
      <c r="N52" s="14">
        <f>SUM(N49:N51)</f>
        <v>47025</v>
      </c>
      <c r="O52" s="14">
        <f>SUM(O49:O51)</f>
        <v>48304</v>
      </c>
      <c r="P52" s="14">
        <f>SUM(P49:P51)</f>
        <v>46939</v>
      </c>
      <c r="Q52" s="14">
        <f>SUM(Q49:Q51)</f>
        <v>43606</v>
      </c>
      <c r="R52" s="14">
        <f>SUM(R49:R51)</f>
        <v>59654</v>
      </c>
      <c r="S52" s="14">
        <f>SUM(S49:S51)</f>
        <v>67265</v>
      </c>
      <c r="T52" s="14">
        <f>SUM(T49:T51)</f>
        <v>71544</v>
      </c>
      <c r="U52" s="14">
        <f>SUM(U49:U51)</f>
        <v>64338</v>
      </c>
      <c r="V52" s="14">
        <f>SUM(V49:V51)</f>
        <v>64287</v>
      </c>
      <c r="W52" s="14">
        <f>SUM(W49:W51)</f>
        <v>76971</v>
      </c>
      <c r="X52" s="14">
        <f>SUM(X49:X51)</f>
        <v>83885</v>
      </c>
      <c r="Y52" s="14">
        <f>SUM(Y49:Y51)</f>
        <v>76398</v>
      </c>
      <c r="Z52" s="14">
        <f>SUM(Z49:Z51)</f>
        <v>69059</v>
      </c>
      <c r="AA52" s="14">
        <f>SUM(AA49:AA51)</f>
        <v>69522</v>
      </c>
      <c r="AC52" s="14">
        <f>SUM(AC49:AC49)</f>
        <v>41862</v>
      </c>
      <c r="AD52" s="14">
        <f>SUM(AD49:AD49)</f>
        <v>32307</v>
      </c>
      <c r="AE52" s="14">
        <f>SUM(AE49:AE49)</f>
        <v>32045</v>
      </c>
      <c r="AF52" s="14">
        <f>SUM(AF49:AF51)</f>
        <v>76971</v>
      </c>
      <c r="AG52" s="14">
        <f>SUM(AG49:AG51)</f>
        <v>83885</v>
      </c>
      <c r="AH52" s="14">
        <f>SUM(AH49:AH51)</f>
        <v>76398</v>
      </c>
      <c r="AI52" s="14">
        <f>SUM(AI49:AI51)</f>
        <v>69059</v>
      </c>
      <c r="AJ52" s="14">
        <f>SUM(AJ49:AJ51)</f>
        <v>69522</v>
      </c>
    </row>
    <row r="53" spans="2:36" ht="5.0999999999999996" customHeight="1"/>
    <row r="54" spans="2:36" ht="12.75" customHeight="1">
      <c r="B54" s="35" t="s">
        <v>43</v>
      </c>
    </row>
    <row r="55" spans="2:36" ht="12.75" customHeight="1">
      <c r="B55" s="8" t="s">
        <v>106</v>
      </c>
      <c r="C55" s="94">
        <f>'Historical Financials'!C44</f>
        <v>11335</v>
      </c>
      <c r="D55" s="94">
        <f>'Historical Financials'!D44</f>
        <v>14039</v>
      </c>
      <c r="E55" s="94">
        <f>'Historical Financials'!E44</f>
        <v>13466</v>
      </c>
      <c r="F55" s="94">
        <f>'Historical Financials'!F44</f>
        <v>16169</v>
      </c>
      <c r="G55" s="94">
        <f>'Historical Financials'!G44</f>
        <v>16994</v>
      </c>
      <c r="I55" s="94">
        <f>'Historical Financials'!I44</f>
        <v>10276</v>
      </c>
      <c r="J55" s="94">
        <f>'Historical Financials'!J44</f>
        <v>11698</v>
      </c>
      <c r="K55" s="94">
        <f>'Historical Financials'!K44</f>
        <v>12088</v>
      </c>
      <c r="L55" s="94">
        <f>'Historical Financials'!L44</f>
        <v>14039</v>
      </c>
      <c r="M55" s="94">
        <f>'Historical Financials'!M44</f>
        <v>11390</v>
      </c>
      <c r="N55" s="94">
        <f>'Historical Financials'!N44</f>
        <v>11525</v>
      </c>
      <c r="O55" s="94">
        <f>'Historical Financials'!O44</f>
        <v>11227</v>
      </c>
      <c r="P55" s="94">
        <f>'Historical Financials'!P44</f>
        <v>13466</v>
      </c>
      <c r="Q55" s="94">
        <f>'Historical Financials'!Q44</f>
        <v>11044</v>
      </c>
      <c r="R55" s="94">
        <f>'Historical Financials'!R44</f>
        <v>12511</v>
      </c>
      <c r="S55" s="94">
        <f>'Historical Financials'!S44</f>
        <v>12944</v>
      </c>
      <c r="T55" s="94">
        <f>'Historical Financials'!T44</f>
        <v>16169</v>
      </c>
      <c r="U55" s="94">
        <f>'Historical Financials'!U44</f>
        <v>13430</v>
      </c>
      <c r="V55" s="94">
        <f>'Historical Financials'!V44</f>
        <v>14505</v>
      </c>
      <c r="W55" s="94">
        <f>'Historical Financials'!W44</f>
        <v>14700</v>
      </c>
      <c r="X55" s="94">
        <f>'Historical Financials'!X44</f>
        <v>16994</v>
      </c>
      <c r="Y55" s="94">
        <f>'Historical Financials'!Y44</f>
        <v>14514</v>
      </c>
      <c r="Z55" s="94">
        <f>'Historical Financials'!Z44</f>
        <v>16561</v>
      </c>
      <c r="AA55" s="94">
        <f>'Historical Financials'!AA44</f>
        <v>17297</v>
      </c>
      <c r="AB55" s="10"/>
      <c r="AC55" s="10">
        <f t="shared" ref="AC55:AI59" si="70">T55</f>
        <v>16169</v>
      </c>
      <c r="AD55" s="10">
        <f t="shared" si="70"/>
        <v>13430</v>
      </c>
      <c r="AE55" s="10">
        <f t="shared" si="70"/>
        <v>14505</v>
      </c>
      <c r="AF55" s="10">
        <f t="shared" si="70"/>
        <v>14700</v>
      </c>
      <c r="AG55" s="10">
        <f t="shared" si="70"/>
        <v>16994</v>
      </c>
      <c r="AH55" s="10">
        <f t="shared" si="70"/>
        <v>14514</v>
      </c>
      <c r="AI55" s="10">
        <f t="shared" si="70"/>
        <v>16561</v>
      </c>
      <c r="AJ55" s="10">
        <f t="shared" ref="AJ55:AJ59" si="71">AA55</f>
        <v>17297</v>
      </c>
    </row>
    <row r="56" spans="2:36" ht="12.75" customHeight="1">
      <c r="B56" s="8" t="s">
        <v>97</v>
      </c>
      <c r="C56" s="94">
        <f>'Historical Financials'!C50</f>
        <v>45633</v>
      </c>
      <c r="D56" s="94">
        <f>'Historical Financials'!D50</f>
        <v>57809</v>
      </c>
      <c r="E56" s="94">
        <f>'Historical Financials'!E50</f>
        <v>79518</v>
      </c>
      <c r="F56" s="94">
        <f>'Historical Financials'!F50</f>
        <v>96587</v>
      </c>
      <c r="G56" s="94">
        <f>'Historical Financials'!G50</f>
        <v>121346</v>
      </c>
      <c r="I56" s="94">
        <f>'Historical Financials'!I50</f>
        <v>47720</v>
      </c>
      <c r="J56" s="94">
        <f>'Historical Financials'!J50</f>
        <v>50909</v>
      </c>
      <c r="K56" s="94">
        <f>'Historical Financials'!K50</f>
        <v>53726</v>
      </c>
      <c r="L56" s="94">
        <f>'Historical Financials'!L50</f>
        <v>57809</v>
      </c>
      <c r="M56" s="94">
        <f>'Historical Financials'!M50</f>
        <v>61582</v>
      </c>
      <c r="N56" s="94">
        <f>'Historical Financials'!N50</f>
        <v>67588</v>
      </c>
      <c r="O56" s="94">
        <f>'Historical Financials'!O50</f>
        <v>73738</v>
      </c>
      <c r="P56" s="94">
        <f>'Historical Financials'!P50</f>
        <v>79518</v>
      </c>
      <c r="Q56" s="94">
        <f>'Historical Financials'!Q50</f>
        <v>84156</v>
      </c>
      <c r="R56" s="94">
        <f>'Historical Financials'!R50</f>
        <v>87949</v>
      </c>
      <c r="S56" s="94">
        <f>'Historical Financials'!S50</f>
        <v>91772</v>
      </c>
      <c r="T56" s="94">
        <f>'Historical Financials'!T50</f>
        <v>96587</v>
      </c>
      <c r="U56" s="94">
        <f>'Historical Financials'!U50</f>
        <v>98908</v>
      </c>
      <c r="V56" s="94">
        <f>'Historical Financials'!V50</f>
        <v>102959</v>
      </c>
      <c r="W56" s="94">
        <f>'Historical Financials'!W50</f>
        <v>112162</v>
      </c>
      <c r="X56" s="94">
        <f>'Historical Financials'!X50</f>
        <v>121346</v>
      </c>
      <c r="Y56" s="94">
        <f>'Historical Financials'!Y50</f>
        <v>133567</v>
      </c>
      <c r="Z56" s="94">
        <f>'Historical Financials'!Z50</f>
        <v>147039</v>
      </c>
      <c r="AA56" s="94">
        <f>'Historical Financials'!AA50</f>
        <v>160270</v>
      </c>
      <c r="AB56" s="10"/>
      <c r="AC56" s="10">
        <f t="shared" si="70"/>
        <v>96587</v>
      </c>
      <c r="AD56" s="10">
        <f t="shared" si="70"/>
        <v>98908</v>
      </c>
      <c r="AE56" s="10">
        <f t="shared" si="70"/>
        <v>102959</v>
      </c>
      <c r="AF56" s="10">
        <f t="shared" si="70"/>
        <v>112162</v>
      </c>
      <c r="AG56" s="10">
        <f t="shared" si="70"/>
        <v>121346</v>
      </c>
      <c r="AH56" s="10">
        <f t="shared" si="70"/>
        <v>133567</v>
      </c>
      <c r="AI56" s="10">
        <f t="shared" si="70"/>
        <v>147039</v>
      </c>
      <c r="AJ56" s="10">
        <f t="shared" si="71"/>
        <v>160270</v>
      </c>
    </row>
    <row r="57" spans="2:36" ht="12.75" customHeight="1">
      <c r="B57" s="8" t="s">
        <v>44</v>
      </c>
      <c r="C57" s="94">
        <f>'Historical Financials'!C57</f>
        <v>1331</v>
      </c>
      <c r="D57" s="94">
        <f>'Historical Financials'!D57</f>
        <v>4083</v>
      </c>
      <c r="E57" s="94">
        <f>'Historical Financials'!E57</f>
        <v>4990</v>
      </c>
      <c r="F57" s="94">
        <f>'Historical Financials'!F57</f>
        <v>4849</v>
      </c>
      <c r="G57" s="94">
        <f>'Historical Financials'!G57</f>
        <v>7687</v>
      </c>
      <c r="H57" s="94"/>
      <c r="I57" s="94">
        <f>'Historical Financials'!I57</f>
        <v>878</v>
      </c>
      <c r="J57" s="94">
        <f>'Historical Financials'!J57</f>
        <v>973</v>
      </c>
      <c r="K57" s="94">
        <f>'Historical Financials'!K57</f>
        <v>2195</v>
      </c>
      <c r="L57" s="94">
        <f>'Historical Financials'!L57</f>
        <v>4083</v>
      </c>
      <c r="M57" s="94">
        <f>'Historical Financials'!M57</f>
        <v>3246</v>
      </c>
      <c r="N57" s="94">
        <f>'Historical Financials'!N57</f>
        <v>4008</v>
      </c>
      <c r="O57" s="94">
        <f>'Historical Financials'!O57</f>
        <v>3871</v>
      </c>
      <c r="P57" s="94">
        <f>'Historical Financials'!P57</f>
        <v>4990</v>
      </c>
      <c r="Q57" s="94">
        <f>'Historical Financials'!Q57</f>
        <v>3672</v>
      </c>
      <c r="R57" s="94">
        <f>'Historical Financials'!R57</f>
        <v>3093</v>
      </c>
      <c r="S57" s="94">
        <f>'Historical Financials'!S57</f>
        <v>4372</v>
      </c>
      <c r="T57" s="94">
        <f>'Historical Financials'!T57</f>
        <v>4849</v>
      </c>
      <c r="U57" s="94">
        <f>'Historical Financials'!U57</f>
        <v>3785</v>
      </c>
      <c r="V57" s="94">
        <f>'Historical Financials'!V57</f>
        <v>3173</v>
      </c>
      <c r="W57" s="94">
        <f>'Historical Financials'!W57</f>
        <v>7656</v>
      </c>
      <c r="X57" s="94">
        <f>'Historical Financials'!X57</f>
        <v>7687</v>
      </c>
      <c r="Y57" s="94">
        <f>'Historical Financials'!Y57</f>
        <v>8512</v>
      </c>
      <c r="Z57" s="94">
        <f>'Historical Financials'!Z57</f>
        <v>10271</v>
      </c>
      <c r="AA57" s="94">
        <f>'Historical Financials'!AA57</f>
        <v>7798</v>
      </c>
      <c r="AC57" s="10">
        <f t="shared" si="70"/>
        <v>4849</v>
      </c>
      <c r="AD57" s="10">
        <f t="shared" si="70"/>
        <v>3785</v>
      </c>
      <c r="AE57" s="10">
        <f t="shared" si="70"/>
        <v>3173</v>
      </c>
      <c r="AF57" s="10">
        <f t="shared" si="70"/>
        <v>7656</v>
      </c>
      <c r="AG57" s="10">
        <f t="shared" si="70"/>
        <v>7687</v>
      </c>
      <c r="AH57" s="10">
        <f t="shared" si="70"/>
        <v>8512</v>
      </c>
      <c r="AI57" s="10">
        <f t="shared" si="70"/>
        <v>10271</v>
      </c>
      <c r="AJ57" s="10">
        <f t="shared" si="71"/>
        <v>7798</v>
      </c>
    </row>
    <row r="58" spans="2:36" ht="12.75" customHeight="1">
      <c r="B58" s="8" t="s">
        <v>45</v>
      </c>
      <c r="C58" s="94">
        <f>'Historical Financials'!C60</f>
        <v>14981</v>
      </c>
      <c r="D58" s="94">
        <f>'Historical Financials'!D60</f>
        <v>21135</v>
      </c>
      <c r="E58" s="94">
        <f>'Historical Financials'!E60</f>
        <v>7474</v>
      </c>
      <c r="F58" s="94">
        <f>'Historical Financials'!F60</f>
        <v>31960</v>
      </c>
      <c r="G58" s="94">
        <f>'Historical Financials'!G60</f>
        <v>33596</v>
      </c>
      <c r="H58" s="94"/>
      <c r="I58" s="94">
        <f>'Historical Financials'!I60</f>
        <v>12717</v>
      </c>
      <c r="J58" s="94">
        <f>'Historical Financials'!J60</f>
        <v>14874</v>
      </c>
      <c r="K58" s="94">
        <f>'Historical Financials'!K60</f>
        <v>17812</v>
      </c>
      <c r="L58" s="94">
        <f>'Historical Financials'!L60</f>
        <v>21135</v>
      </c>
      <c r="M58" s="94">
        <f>'Historical Financials'!M60</f>
        <v>21086</v>
      </c>
      <c r="N58" s="94">
        <f>'Historical Financials'!N60</f>
        <v>22217</v>
      </c>
      <c r="O58" s="94">
        <f>'Historical Financials'!O60</f>
        <v>22687</v>
      </c>
      <c r="P58" s="94">
        <f>'Historical Financials'!P60</f>
        <v>7474</v>
      </c>
      <c r="Q58" s="94">
        <f>'Historical Financials'!Q60</f>
        <v>6036</v>
      </c>
      <c r="R58" s="94">
        <f>'Historical Financials'!R60</f>
        <v>5261</v>
      </c>
      <c r="S58" s="94">
        <f>'Historical Financials'!S60</f>
        <v>6602</v>
      </c>
      <c r="T58" s="94">
        <f>'Historical Financials'!T60</f>
        <v>31960</v>
      </c>
      <c r="U58" s="94">
        <f>'Historical Financials'!U60</f>
        <v>28101</v>
      </c>
      <c r="V58" s="94">
        <f>'Historical Financials'!V60</f>
        <v>27004</v>
      </c>
      <c r="W58" s="94">
        <f>'Historical Financials'!W60</f>
        <v>33330</v>
      </c>
      <c r="X58" s="94">
        <f>'Historical Financials'!X60</f>
        <v>33596</v>
      </c>
      <c r="Y58" s="94">
        <f>'Historical Financials'!Y60</f>
        <v>33890</v>
      </c>
      <c r="Z58" s="94">
        <f>'Historical Financials'!Z60</f>
        <v>37305</v>
      </c>
      <c r="AA58" s="94">
        <f>'Historical Financials'!AA60</f>
        <v>36958</v>
      </c>
      <c r="AC58" s="10">
        <f t="shared" si="70"/>
        <v>31960</v>
      </c>
      <c r="AD58" s="10">
        <f t="shared" si="70"/>
        <v>28101</v>
      </c>
      <c r="AE58" s="10">
        <f t="shared" si="70"/>
        <v>27004</v>
      </c>
      <c r="AF58" s="10">
        <f t="shared" si="70"/>
        <v>33330</v>
      </c>
      <c r="AG58" s="10">
        <f t="shared" si="70"/>
        <v>33596</v>
      </c>
      <c r="AH58" s="10">
        <f t="shared" si="70"/>
        <v>33890</v>
      </c>
      <c r="AI58" s="10">
        <f t="shared" si="70"/>
        <v>37305</v>
      </c>
      <c r="AJ58" s="10">
        <f t="shared" si="71"/>
        <v>36958</v>
      </c>
    </row>
    <row r="59" spans="2:36" ht="12.75" customHeight="1">
      <c r="B59" s="8" t="s">
        <v>15</v>
      </c>
      <c r="C59" s="94">
        <f>'Historical Financials'!C67</f>
        <v>31026</v>
      </c>
      <c r="D59" s="94">
        <f>'Historical Financials'!D67</f>
        <v>41108</v>
      </c>
      <c r="E59" s="94">
        <f>'Historical Financials'!E67</f>
        <v>60014</v>
      </c>
      <c r="F59" s="94">
        <f>'Historical Financials'!F67</f>
        <v>76455</v>
      </c>
      <c r="G59" s="94">
        <f>'Historical Financials'!G67</f>
        <v>93417</v>
      </c>
      <c r="H59" s="94"/>
      <c r="I59" s="94">
        <f>'Historical Financials'!I67</f>
        <v>29866</v>
      </c>
      <c r="J59" s="94">
        <f>'Historical Financials'!J67</f>
        <v>32382</v>
      </c>
      <c r="K59" s="94">
        <f>'Historical Financials'!K67</f>
        <v>36225</v>
      </c>
      <c r="L59" s="94">
        <f>'Historical Financials'!L67</f>
        <v>41108</v>
      </c>
      <c r="M59" s="94">
        <f>'Historical Financials'!M67</f>
        <v>40990</v>
      </c>
      <c r="N59" s="94">
        <f>'Historical Financials'!N67</f>
        <v>44012</v>
      </c>
      <c r="O59" s="94">
        <f>'Historical Financials'!O67</f>
        <v>54800</v>
      </c>
      <c r="P59" s="94">
        <f>'Historical Financials'!P67</f>
        <v>60014</v>
      </c>
      <c r="Q59" s="94">
        <f>'Historical Financials'!Q67</f>
        <v>59696</v>
      </c>
      <c r="R59" s="94">
        <f>'Historical Financials'!R67</f>
        <v>72655</v>
      </c>
      <c r="S59" s="94">
        <f>'Historical Financials'!S67</f>
        <v>73401</v>
      </c>
      <c r="T59" s="94">
        <f>'Historical Financials'!T67</f>
        <v>76455</v>
      </c>
      <c r="U59" s="94">
        <f>'Historical Financials'!U67</f>
        <v>73315</v>
      </c>
      <c r="V59" s="94">
        <f>'Historical Financials'!V67</f>
        <v>73475</v>
      </c>
      <c r="W59" s="94">
        <f>'Historical Financials'!W67</f>
        <v>91879</v>
      </c>
      <c r="X59" s="94">
        <f>'Historical Financials'!X67</f>
        <v>93417</v>
      </c>
      <c r="Y59" s="94">
        <f>'Historical Financials'!Y67</f>
        <v>95184</v>
      </c>
      <c r="Z59" s="94">
        <f>'Historical Financials'!Z67</f>
        <v>99674</v>
      </c>
      <c r="AA59" s="94">
        <f>'Historical Financials'!AA67</f>
        <v>109778</v>
      </c>
      <c r="AC59" s="10">
        <f t="shared" si="70"/>
        <v>76455</v>
      </c>
      <c r="AD59" s="10">
        <f t="shared" si="70"/>
        <v>73315</v>
      </c>
      <c r="AE59" s="10">
        <f t="shared" si="70"/>
        <v>73475</v>
      </c>
      <c r="AF59" s="10">
        <f t="shared" si="70"/>
        <v>91879</v>
      </c>
      <c r="AG59" s="10">
        <f t="shared" si="70"/>
        <v>93417</v>
      </c>
      <c r="AH59" s="10">
        <f t="shared" si="70"/>
        <v>95184</v>
      </c>
      <c r="AI59" s="10">
        <f t="shared" si="70"/>
        <v>99674</v>
      </c>
      <c r="AJ59" s="10">
        <f t="shared" si="71"/>
        <v>109778</v>
      </c>
    </row>
    <row r="60" spans="2:36" ht="5.0999999999999996" customHeight="1">
      <c r="G60" s="10"/>
    </row>
    <row r="61" spans="2:36">
      <c r="B61" s="35" t="s">
        <v>94</v>
      </c>
      <c r="G61" s="10"/>
    </row>
    <row r="62" spans="2:36">
      <c r="B62" s="8" t="s">
        <v>95</v>
      </c>
      <c r="C62" s="81">
        <v>0</v>
      </c>
      <c r="D62" s="81">
        <v>0</v>
      </c>
      <c r="E62" s="81">
        <v>0</v>
      </c>
      <c r="F62" s="81">
        <v>0</v>
      </c>
      <c r="G62" s="81">
        <v>0</v>
      </c>
      <c r="I62" s="81">
        <v>0</v>
      </c>
      <c r="J62" s="81">
        <v>0</v>
      </c>
      <c r="K62" s="81">
        <v>0</v>
      </c>
      <c r="L62" s="81">
        <v>0</v>
      </c>
      <c r="M62" s="81">
        <v>0</v>
      </c>
      <c r="N62" s="81">
        <v>0</v>
      </c>
      <c r="O62" s="81">
        <v>0</v>
      </c>
      <c r="P62" s="81">
        <v>0</v>
      </c>
      <c r="Q62" s="81">
        <v>0</v>
      </c>
      <c r="R62" s="81">
        <v>0</v>
      </c>
      <c r="S62" s="81">
        <v>0</v>
      </c>
      <c r="T62" s="10">
        <f>F62</f>
        <v>0</v>
      </c>
      <c r="U62" s="81">
        <v>0</v>
      </c>
      <c r="V62" s="81">
        <v>0</v>
      </c>
      <c r="W62" s="81">
        <v>0</v>
      </c>
      <c r="X62" s="10">
        <f>G62</f>
        <v>0</v>
      </c>
      <c r="Y62" s="81">
        <v>0</v>
      </c>
      <c r="Z62" s="81">
        <v>0</v>
      </c>
      <c r="AA62" s="81">
        <v>0</v>
      </c>
      <c r="AC62" s="10">
        <f t="shared" ref="AC62:AI63" si="72">T62</f>
        <v>0</v>
      </c>
      <c r="AD62" s="10">
        <f t="shared" si="72"/>
        <v>0</v>
      </c>
      <c r="AE62" s="10">
        <f t="shared" si="72"/>
        <v>0</v>
      </c>
      <c r="AF62" s="10">
        <f t="shared" si="72"/>
        <v>0</v>
      </c>
      <c r="AG62" s="10">
        <f t="shared" si="72"/>
        <v>0</v>
      </c>
      <c r="AH62" s="10">
        <f t="shared" si="72"/>
        <v>0</v>
      </c>
      <c r="AI62" s="10">
        <f t="shared" si="72"/>
        <v>0</v>
      </c>
      <c r="AJ62" s="10">
        <f>AA62</f>
        <v>0</v>
      </c>
    </row>
    <row r="63" spans="2:36">
      <c r="B63" s="8" t="s">
        <v>96</v>
      </c>
      <c r="C63" s="94">
        <f>'Historical Financials'!C64</f>
        <v>0</v>
      </c>
      <c r="D63" s="94">
        <f>'Historical Financials'!D64</f>
        <v>0</v>
      </c>
      <c r="E63" s="94">
        <f>'Historical Financials'!E64</f>
        <v>15301</v>
      </c>
      <c r="F63" s="94">
        <f>'Historical Financials'!F64</f>
        <v>18385</v>
      </c>
      <c r="G63" s="94">
        <f>'Historical Financials'!G64</f>
        <v>28826</v>
      </c>
      <c r="I63" s="94">
        <f>'Historical Financials'!I64</f>
        <v>0</v>
      </c>
      <c r="J63" s="94">
        <f>'Historical Financials'!J64</f>
        <v>0</v>
      </c>
      <c r="K63" s="94">
        <f>'Historical Financials'!K64</f>
        <v>0</v>
      </c>
      <c r="L63" s="94">
        <f>'Historical Financials'!L64</f>
        <v>0</v>
      </c>
      <c r="M63" s="94">
        <f>'Historical Financials'!M64</f>
        <v>0</v>
      </c>
      <c r="N63" s="94">
        <f>'Historical Financials'!N64</f>
        <v>0</v>
      </c>
      <c r="O63" s="94">
        <f>'Historical Financials'!O64</f>
        <v>9922</v>
      </c>
      <c r="P63" s="94">
        <f>'Historical Financials'!P64</f>
        <v>15301</v>
      </c>
      <c r="Q63" s="94">
        <f>'Historical Financials'!Q64</f>
        <v>16171</v>
      </c>
      <c r="R63" s="94">
        <f>'Historical Financials'!R64</f>
        <v>16440</v>
      </c>
      <c r="S63" s="94">
        <f>'Historical Financials'!S64</f>
        <v>16374</v>
      </c>
      <c r="T63" s="94">
        <f>'Historical Financials'!T64</f>
        <v>18385</v>
      </c>
      <c r="U63" s="94">
        <f>'Historical Financials'!U64</f>
        <v>18387</v>
      </c>
      <c r="V63" s="94">
        <f>'Historical Financials'!V64</f>
        <v>18389</v>
      </c>
      <c r="W63" s="94">
        <f>'Historical Financials'!W64</f>
        <v>28823</v>
      </c>
      <c r="X63" s="94">
        <f>'Historical Financials'!X64</f>
        <v>28826</v>
      </c>
      <c r="Y63" s="94">
        <f>'Historical Financials'!Y64</f>
        <v>28829</v>
      </c>
      <c r="Z63" s="94">
        <f>'Historical Financials'!Z64</f>
        <v>28832</v>
      </c>
      <c r="AA63" s="94">
        <f>'Historical Financials'!AA64</f>
        <v>28834</v>
      </c>
      <c r="AC63" s="10">
        <f t="shared" si="72"/>
        <v>18385</v>
      </c>
      <c r="AD63" s="10">
        <f t="shared" si="72"/>
        <v>18387</v>
      </c>
      <c r="AE63" s="10">
        <f t="shared" si="72"/>
        <v>18389</v>
      </c>
      <c r="AF63" s="10">
        <f t="shared" si="72"/>
        <v>28823</v>
      </c>
      <c r="AG63" s="10">
        <f t="shared" si="72"/>
        <v>28826</v>
      </c>
      <c r="AH63" s="10">
        <f t="shared" si="72"/>
        <v>28829</v>
      </c>
      <c r="AI63" s="10">
        <f t="shared" si="72"/>
        <v>28832</v>
      </c>
      <c r="AJ63" s="10">
        <f>AA63</f>
        <v>28834</v>
      </c>
    </row>
    <row r="64" spans="2:36">
      <c r="G64" s="10"/>
    </row>
    <row r="65" spans="1:36">
      <c r="B65" s="8" t="s">
        <v>183</v>
      </c>
      <c r="C65" s="162">
        <f>SUM(C62:C63)</f>
        <v>0</v>
      </c>
      <c r="D65" s="162">
        <f t="shared" ref="D65:AA65" si="73">SUM(D62:D63)</f>
        <v>0</v>
      </c>
      <c r="E65" s="162">
        <f t="shared" si="73"/>
        <v>15301</v>
      </c>
      <c r="F65" s="162">
        <f t="shared" si="73"/>
        <v>18385</v>
      </c>
      <c r="G65" s="162">
        <f t="shared" si="73"/>
        <v>28826</v>
      </c>
      <c r="I65" s="162">
        <f t="shared" si="73"/>
        <v>0</v>
      </c>
      <c r="J65" s="162">
        <f t="shared" si="73"/>
        <v>0</v>
      </c>
      <c r="K65" s="162">
        <f t="shared" si="73"/>
        <v>0</v>
      </c>
      <c r="L65" s="162">
        <f t="shared" si="73"/>
        <v>0</v>
      </c>
      <c r="M65" s="162">
        <f t="shared" si="73"/>
        <v>0</v>
      </c>
      <c r="N65" s="162">
        <f t="shared" si="73"/>
        <v>0</v>
      </c>
      <c r="O65" s="162">
        <f t="shared" si="73"/>
        <v>9922</v>
      </c>
      <c r="P65" s="162">
        <f t="shared" si="73"/>
        <v>15301</v>
      </c>
      <c r="Q65" s="162">
        <f t="shared" si="73"/>
        <v>16171</v>
      </c>
      <c r="R65" s="162">
        <f t="shared" si="73"/>
        <v>16440</v>
      </c>
      <c r="S65" s="162">
        <f t="shared" si="73"/>
        <v>16374</v>
      </c>
      <c r="T65" s="162">
        <f t="shared" si="73"/>
        <v>18385</v>
      </c>
      <c r="U65" s="162">
        <f t="shared" si="73"/>
        <v>18387</v>
      </c>
      <c r="V65" s="162">
        <f t="shared" si="73"/>
        <v>18389</v>
      </c>
      <c r="W65" s="162">
        <f t="shared" si="73"/>
        <v>28823</v>
      </c>
      <c r="X65" s="162">
        <f t="shared" si="73"/>
        <v>28826</v>
      </c>
      <c r="Y65" s="162">
        <f t="shared" si="73"/>
        <v>28829</v>
      </c>
      <c r="Z65" s="162">
        <f t="shared" si="73"/>
        <v>28832</v>
      </c>
      <c r="AA65" s="162">
        <f t="shared" si="73"/>
        <v>28834</v>
      </c>
      <c r="AC65" s="10">
        <f t="shared" ref="AC65:AI65" si="74">T65</f>
        <v>18385</v>
      </c>
      <c r="AD65" s="10">
        <f t="shared" si="74"/>
        <v>18387</v>
      </c>
      <c r="AE65" s="10">
        <f t="shared" si="74"/>
        <v>18389</v>
      </c>
      <c r="AF65" s="10">
        <f t="shared" si="74"/>
        <v>28823</v>
      </c>
      <c r="AG65" s="10">
        <f t="shared" si="74"/>
        <v>28826</v>
      </c>
      <c r="AH65" s="10">
        <f t="shared" si="74"/>
        <v>28829</v>
      </c>
      <c r="AI65" s="10">
        <f t="shared" si="74"/>
        <v>28832</v>
      </c>
      <c r="AJ65" s="10">
        <f t="shared" ref="AJ65" si="75">AA65</f>
        <v>28834</v>
      </c>
    </row>
    <row r="66" spans="1:36" ht="12.75" customHeight="1">
      <c r="B66" s="13" t="s">
        <v>21</v>
      </c>
      <c r="C66" s="14">
        <f>SUM(C65:C65)</f>
        <v>0</v>
      </c>
      <c r="D66" s="14">
        <f>SUM(D65:D65)</f>
        <v>0</v>
      </c>
      <c r="E66" s="14">
        <f>SUM(E65:E65)</f>
        <v>15301</v>
      </c>
      <c r="F66" s="14">
        <f>SUM(F65:F65)</f>
        <v>18385</v>
      </c>
      <c r="G66" s="14">
        <f>SUM(G65:G65)</f>
        <v>28826</v>
      </c>
      <c r="I66" s="14">
        <f>SUM(I65:I65)</f>
        <v>0</v>
      </c>
      <c r="J66" s="14">
        <f>SUM(J65:J65)</f>
        <v>0</v>
      </c>
      <c r="K66" s="14">
        <f>SUM(K65:K65)</f>
        <v>0</v>
      </c>
      <c r="L66" s="14">
        <f>SUM(L65:L65)</f>
        <v>0</v>
      </c>
      <c r="M66" s="14">
        <f>SUM(M65:M65)</f>
        <v>0</v>
      </c>
      <c r="N66" s="14">
        <f>SUM(N65:N65)</f>
        <v>0</v>
      </c>
      <c r="O66" s="14">
        <f>SUM(O65:O65)</f>
        <v>9922</v>
      </c>
      <c r="P66" s="14">
        <f>SUM(P65:P65)</f>
        <v>15301</v>
      </c>
      <c r="Q66" s="14">
        <f>SUM(Q65:Q65)</f>
        <v>16171</v>
      </c>
      <c r="R66" s="14">
        <f>SUM(R65:R65)</f>
        <v>16440</v>
      </c>
      <c r="S66" s="14">
        <f>SUM(S65:S65)</f>
        <v>16374</v>
      </c>
      <c r="T66" s="14">
        <f>SUM(T65:T65)</f>
        <v>18385</v>
      </c>
      <c r="U66" s="14">
        <f>SUM(U65:U65)</f>
        <v>18387</v>
      </c>
      <c r="V66" s="14">
        <f>SUM(V65:V65)</f>
        <v>18389</v>
      </c>
      <c r="W66" s="14">
        <f>SUM(W65:W65)</f>
        <v>28823</v>
      </c>
      <c r="X66" s="14">
        <f>SUM(X65:X65)</f>
        <v>28826</v>
      </c>
      <c r="Y66" s="14">
        <f>SUM(Y65:Y65)</f>
        <v>28829</v>
      </c>
      <c r="Z66" s="14">
        <f>SUM(Z65:Z65)</f>
        <v>28832</v>
      </c>
      <c r="AA66" s="14">
        <f>SUM(AA65:AA65)</f>
        <v>28834</v>
      </c>
      <c r="AC66" s="14" t="e">
        <f>SUM(#REF!)</f>
        <v>#REF!</v>
      </c>
      <c r="AD66" s="14" t="e">
        <f>SUM(#REF!)</f>
        <v>#REF!</v>
      </c>
      <c r="AE66" s="14" t="e">
        <f>SUM(#REF!)</f>
        <v>#REF!</v>
      </c>
      <c r="AF66" s="14">
        <f>SUM(AF65:AF65)</f>
        <v>28823</v>
      </c>
      <c r="AG66" s="14">
        <f>SUM(AG65:AG65)</f>
        <v>28826</v>
      </c>
      <c r="AH66" s="14">
        <f>SUM(AH65:AH65)</f>
        <v>28829</v>
      </c>
      <c r="AI66" s="14">
        <f>SUM(AI65:AI65)</f>
        <v>28832</v>
      </c>
      <c r="AJ66" s="14">
        <f>SUM(AJ65:AJ65)</f>
        <v>28834</v>
      </c>
    </row>
    <row r="67" spans="1:36" ht="5.0999999999999996" customHeight="1"/>
    <row r="68" spans="1:36" ht="12.75" customHeight="1">
      <c r="B68" s="8" t="s">
        <v>46</v>
      </c>
      <c r="C68" s="94">
        <f>'Historical Financials'!C73</f>
        <v>128290</v>
      </c>
      <c r="D68" s="94">
        <f>'Historical Financials'!D73</f>
        <v>124879</v>
      </c>
      <c r="E68" s="94">
        <f>'Historical Financials'!E73</f>
        <v>125713</v>
      </c>
      <c r="F68" s="94">
        <f>'Historical Financials'!F73</f>
        <v>153168</v>
      </c>
      <c r="G68" s="94">
        <f>'Historical Financials'!G73</f>
        <v>182637</v>
      </c>
      <c r="I68" s="94">
        <f>'Historical Financials'!I73</f>
        <v>133657</v>
      </c>
      <c r="J68" s="94">
        <f>'Historical Financials'!J73</f>
        <v>138227</v>
      </c>
      <c r="K68" s="94">
        <f>'Historical Financials'!K73</f>
        <v>133360</v>
      </c>
      <c r="L68" s="94">
        <f>'Historical Financials'!L73</f>
        <v>124879</v>
      </c>
      <c r="M68" s="94">
        <f>'Historical Financials'!M73</f>
        <v>123228</v>
      </c>
      <c r="N68" s="94">
        <f>'Historical Financials'!N73</f>
        <v>125767</v>
      </c>
      <c r="O68" s="94">
        <f>'Historical Financials'!O73</f>
        <v>124094</v>
      </c>
      <c r="P68" s="94">
        <f>'Historical Financials'!P73</f>
        <v>125713</v>
      </c>
      <c r="Q68" s="94">
        <f>'Historical Financials'!Q73</f>
        <v>124795</v>
      </c>
      <c r="R68" s="94">
        <f>'Historical Financials'!R73</f>
        <v>134033</v>
      </c>
      <c r="S68" s="94">
        <f>'Historical Financials'!S73</f>
        <v>142873</v>
      </c>
      <c r="T68" s="94">
        <f>'Historical Financials'!T73</f>
        <v>153168</v>
      </c>
      <c r="U68" s="94">
        <f>'Historical Financials'!U73</f>
        <v>149529</v>
      </c>
      <c r="V68" s="94">
        <f>'Historical Financials'!V73</f>
        <v>156763</v>
      </c>
      <c r="W68" s="94">
        <f>'Historical Financials'!W73</f>
        <v>164529</v>
      </c>
      <c r="X68" s="94">
        <f>'Historical Financials'!X73</f>
        <v>182637</v>
      </c>
      <c r="Y68" s="94">
        <f>'Historical Financials'!Y73</f>
        <v>185029</v>
      </c>
      <c r="Z68" s="94">
        <f>'Historical Financials'!Z73</f>
        <v>195070</v>
      </c>
      <c r="AA68" s="94">
        <f>'Historical Financials'!AA73</f>
        <v>194066</v>
      </c>
      <c r="AC68" s="10">
        <f t="shared" ref="AC68:AJ68" si="76">T68</f>
        <v>153168</v>
      </c>
      <c r="AD68" s="10">
        <f t="shared" si="76"/>
        <v>149529</v>
      </c>
      <c r="AE68" s="10">
        <f t="shared" si="76"/>
        <v>156763</v>
      </c>
      <c r="AF68" s="141">
        <f t="shared" si="76"/>
        <v>164529</v>
      </c>
      <c r="AG68" s="141">
        <f t="shared" si="76"/>
        <v>182637</v>
      </c>
      <c r="AH68" s="141">
        <f t="shared" si="76"/>
        <v>185029</v>
      </c>
      <c r="AI68" s="141">
        <f t="shared" si="76"/>
        <v>195070</v>
      </c>
      <c r="AJ68" s="141">
        <f t="shared" si="76"/>
        <v>194066</v>
      </c>
    </row>
    <row r="69" spans="1:36" ht="12.75" customHeight="1">
      <c r="B69" s="13" t="s">
        <v>47</v>
      </c>
      <c r="C69" s="14">
        <f>SUM(C66:C68)</f>
        <v>128290</v>
      </c>
      <c r="D69" s="14">
        <f>SUM(D66:D68)</f>
        <v>124879</v>
      </c>
      <c r="E69" s="14">
        <f>SUM(E66:E68)</f>
        <v>141014</v>
      </c>
      <c r="F69" s="14">
        <f>SUM(F66:F68)</f>
        <v>171553</v>
      </c>
      <c r="G69" s="14">
        <f>SUM(G66:G68)</f>
        <v>211463</v>
      </c>
      <c r="I69" s="14">
        <f t="shared" ref="I69" si="77">SUM(I66:I68)</f>
        <v>133657</v>
      </c>
      <c r="J69" s="14">
        <f t="shared" ref="J69:P69" si="78">SUM(J66:J68)</f>
        <v>138227</v>
      </c>
      <c r="K69" s="14">
        <f t="shared" si="78"/>
        <v>133360</v>
      </c>
      <c r="L69" s="14">
        <f t="shared" si="78"/>
        <v>124879</v>
      </c>
      <c r="M69" s="14">
        <f t="shared" si="78"/>
        <v>123228</v>
      </c>
      <c r="N69" s="14">
        <f t="shared" si="78"/>
        <v>125767</v>
      </c>
      <c r="O69" s="14">
        <f t="shared" si="78"/>
        <v>134016</v>
      </c>
      <c r="P69" s="14">
        <f t="shared" si="78"/>
        <v>141014</v>
      </c>
      <c r="Q69" s="14">
        <f t="shared" ref="Q69:V69" si="79">SUM(Q66:Q68)</f>
        <v>140966</v>
      </c>
      <c r="R69" s="14">
        <f t="shared" si="79"/>
        <v>150473</v>
      </c>
      <c r="S69" s="14">
        <f t="shared" si="79"/>
        <v>159247</v>
      </c>
      <c r="T69" s="14">
        <f t="shared" si="79"/>
        <v>171553</v>
      </c>
      <c r="U69" s="14">
        <f t="shared" si="79"/>
        <v>167916</v>
      </c>
      <c r="V69" s="14">
        <f t="shared" si="79"/>
        <v>175152</v>
      </c>
      <c r="W69" s="14">
        <f>SUM(W66:W68)</f>
        <v>193352</v>
      </c>
      <c r="X69" s="14">
        <f>SUM(X66:X68)</f>
        <v>211463</v>
      </c>
      <c r="Y69" s="14">
        <f>SUM(Y66:Y68)</f>
        <v>213858</v>
      </c>
      <c r="Z69" s="14">
        <f>SUM(Z66:Z68)</f>
        <v>223902</v>
      </c>
      <c r="AA69" s="14">
        <f>SUM(AA66:AA68)</f>
        <v>222900</v>
      </c>
      <c r="AC69" s="14" t="e">
        <f t="shared" ref="AC69:AH69" si="80">SUM(AC66:AC68)</f>
        <v>#REF!</v>
      </c>
      <c r="AD69" s="14" t="e">
        <f t="shared" si="80"/>
        <v>#REF!</v>
      </c>
      <c r="AE69" s="14" t="e">
        <f t="shared" si="80"/>
        <v>#REF!</v>
      </c>
      <c r="AF69" s="14">
        <f t="shared" si="80"/>
        <v>193352</v>
      </c>
      <c r="AG69" s="14">
        <f t="shared" si="80"/>
        <v>211463</v>
      </c>
      <c r="AH69" s="14">
        <f t="shared" si="80"/>
        <v>213858</v>
      </c>
      <c r="AI69" s="14">
        <f>SUM(AI66:AI68)</f>
        <v>223902</v>
      </c>
      <c r="AJ69" s="14">
        <f>SUM(AJ66:AJ68)</f>
        <v>222900</v>
      </c>
    </row>
    <row r="70" spans="1:36" ht="5.0999999999999996" customHeight="1"/>
    <row r="71" spans="1:36" ht="12.75" customHeight="1">
      <c r="A71" s="5"/>
      <c r="B71" s="33" t="s">
        <v>67</v>
      </c>
      <c r="C71" s="3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D71" s="33"/>
      <c r="AE71" s="33"/>
      <c r="AF71" s="33"/>
      <c r="AG71" s="33"/>
      <c r="AH71" s="33"/>
      <c r="AI71" s="33"/>
      <c r="AJ71" s="33"/>
    </row>
    <row r="72" spans="1:36" ht="5.0999999999999996" customHeight="1"/>
    <row r="73" spans="1:36" ht="12.75" customHeight="1">
      <c r="B73" s="31" t="s">
        <v>86</v>
      </c>
      <c r="C73" s="83">
        <f>C66/C28</f>
        <v>0</v>
      </c>
      <c r="D73" s="83">
        <f>D66/D28</f>
        <v>0</v>
      </c>
      <c r="E73" s="83">
        <f>E66/E28</f>
        <v>0.30835113457740521</v>
      </c>
      <c r="F73" s="83">
        <f>F66/F28</f>
        <v>0.25550336316637945</v>
      </c>
      <c r="G73" s="83">
        <f>G66/G28</f>
        <v>0.28380986137366099</v>
      </c>
      <c r="I73" s="168"/>
      <c r="J73" s="168"/>
      <c r="K73" s="168"/>
      <c r="L73" s="83">
        <f t="shared" ref="I73:Z73" si="81">SUM(L66/SUM(I28:L28))</f>
        <v>0</v>
      </c>
      <c r="M73" s="83">
        <f t="shared" si="81"/>
        <v>0</v>
      </c>
      <c r="N73" s="83">
        <f t="shared" si="81"/>
        <v>0</v>
      </c>
      <c r="O73" s="83">
        <f t="shared" si="81"/>
        <v>0.18090653830726033</v>
      </c>
      <c r="P73" s="83">
        <f t="shared" si="81"/>
        <v>0.30835113457740521</v>
      </c>
      <c r="Q73" s="83">
        <f t="shared" si="81"/>
        <v>0.32837184745969217</v>
      </c>
      <c r="R73" s="83">
        <f t="shared" si="81"/>
        <v>0.31840718933994422</v>
      </c>
      <c r="S73" s="83">
        <f t="shared" si="81"/>
        <v>0.26949537509463772</v>
      </c>
      <c r="T73" s="83">
        <f t="shared" si="81"/>
        <v>0.25550336316637945</v>
      </c>
      <c r="U73" s="83">
        <f t="shared" si="81"/>
        <v>0.2301021174350503</v>
      </c>
      <c r="V73" s="83">
        <f t="shared" si="81"/>
        <v>0.2115307190595056</v>
      </c>
      <c r="W73" s="83">
        <f t="shared" si="81"/>
        <v>0.31173143271217052</v>
      </c>
      <c r="X73" s="83">
        <f t="shared" si="81"/>
        <v>0.28380986137366099</v>
      </c>
      <c r="Y73" s="83">
        <f t="shared" si="81"/>
        <v>0.27090850999849647</v>
      </c>
      <c r="Z73" s="83">
        <f t="shared" si="81"/>
        <v>0.25530181612106295</v>
      </c>
      <c r="AA73" s="83">
        <f>SUM(AA66/SUM(X28:AA28))</f>
        <v>0.24361270699560664</v>
      </c>
      <c r="AB73" s="83"/>
      <c r="AC73" s="83" t="e">
        <f>AC66/AC28</f>
        <v>#REF!</v>
      </c>
      <c r="AD73" s="83" t="e">
        <f>AD66/AD28</f>
        <v>#REF!</v>
      </c>
      <c r="AE73" s="83" t="e">
        <f>AE66/AE28</f>
        <v>#REF!</v>
      </c>
      <c r="AF73" s="83">
        <f>AF66/AF28</f>
        <v>0.31173143271217052</v>
      </c>
      <c r="AG73" s="83">
        <f>AG66/AG28</f>
        <v>0.28380986137366099</v>
      </c>
      <c r="AH73" s="83">
        <f>AH66/AH28</f>
        <v>0.27090850999849647</v>
      </c>
      <c r="AI73" s="83">
        <f>AI66/AI28</f>
        <v>0.25530181612106295</v>
      </c>
      <c r="AJ73" s="83">
        <f>AJ66/AJ28</f>
        <v>0.24361270699560664</v>
      </c>
    </row>
    <row r="74" spans="1:36" ht="12.75" customHeight="1">
      <c r="B74" s="31" t="s">
        <v>87</v>
      </c>
      <c r="C74" s="83">
        <f>SUM(C66-C49)/C28</f>
        <v>-0.38151468449499665</v>
      </c>
      <c r="D74" s="83">
        <f>SUM(D66-D49)/D28</f>
        <v>-0.25986162419385134</v>
      </c>
      <c r="E74" s="83">
        <f>SUM(E66-E49)/E28</f>
        <v>1.249445810326065E-2</v>
      </c>
      <c r="F74" s="83">
        <f>SUM(F66-F49)/F28</f>
        <v>-0.32626883095224862</v>
      </c>
      <c r="G74" s="83">
        <f>SUM(G66-G49)/G28</f>
        <v>-0.14830458412098299</v>
      </c>
      <c r="I74" s="168"/>
      <c r="J74" s="168"/>
      <c r="K74" s="168"/>
      <c r="L74" s="83">
        <f t="shared" ref="I74:Z74" si="82">SUM(L66-L49)/SUM(I28:L28)</f>
        <v>-0.25986162419385134</v>
      </c>
      <c r="M74" s="83">
        <f t="shared" si="82"/>
        <v>-0.24055460392359651</v>
      </c>
      <c r="N74" s="83">
        <f t="shared" si="82"/>
        <v>-0.21614481242223321</v>
      </c>
      <c r="O74" s="83">
        <f t="shared" si="82"/>
        <v>-7.996936877803304E-2</v>
      </c>
      <c r="P74" s="83">
        <f t="shared" si="82"/>
        <v>1.249445810326065E-2</v>
      </c>
      <c r="Q74" s="83">
        <f t="shared" si="82"/>
        <v>9.3814726069122362E-2</v>
      </c>
      <c r="R74" s="83">
        <f t="shared" si="82"/>
        <v>-0.23909590951348</v>
      </c>
      <c r="S74" s="83">
        <f t="shared" si="82"/>
        <v>-0.33766746765857997</v>
      </c>
      <c r="T74" s="83">
        <f t="shared" si="82"/>
        <v>-0.32626883095224862</v>
      </c>
      <c r="U74" s="83">
        <f t="shared" si="82"/>
        <v>-0.17420033037993693</v>
      </c>
      <c r="V74" s="83">
        <f t="shared" si="82"/>
        <v>-0.15708649189605789</v>
      </c>
      <c r="W74" s="83">
        <f t="shared" si="82"/>
        <v>-0.16254420782816539</v>
      </c>
      <c r="X74" s="83">
        <f t="shared" si="82"/>
        <v>-0.14830458412098299</v>
      </c>
      <c r="Y74" s="83">
        <f t="shared" si="82"/>
        <v>7.4236956848594202E-4</v>
      </c>
      <c r="Z74" s="83">
        <f t="shared" si="82"/>
        <v>0.1489998494682688</v>
      </c>
      <c r="AA74" s="83">
        <f>SUM(AA66-AA49)/SUM(X28:AA28)</f>
        <v>0.1575447786414329</v>
      </c>
      <c r="AB74" s="83"/>
      <c r="AC74" s="83" t="e">
        <f>SUM(AC66-AC49)/AC28</f>
        <v>#REF!</v>
      </c>
      <c r="AD74" s="83" t="e">
        <f>SUM(AD66-AD49)/AD28</f>
        <v>#REF!</v>
      </c>
      <c r="AE74" s="83" t="e">
        <f>SUM(AE66-AE49)/AE28</f>
        <v>#REF!</v>
      </c>
      <c r="AF74" s="83">
        <f>SUM(AF66-AF49)/AF28</f>
        <v>-0.16254420782816539</v>
      </c>
      <c r="AG74" s="83">
        <f>SUM(AG66-AG49)/AG28</f>
        <v>-0.14830458412098299</v>
      </c>
      <c r="AH74" s="83">
        <f>SUM(AH66-AH49)/AH28</f>
        <v>7.4236956848594202E-4</v>
      </c>
      <c r="AI74" s="83">
        <f>SUM(AI66-AI49)/AI28</f>
        <v>0.1489998494682688</v>
      </c>
      <c r="AJ74" s="83">
        <f>SUM(AJ66-AJ49)/AJ28</f>
        <v>0.1575447786414329</v>
      </c>
    </row>
    <row r="75" spans="1:36" ht="12.75" customHeight="1">
      <c r="B75" s="31" t="s">
        <v>88</v>
      </c>
      <c r="C75" s="83" t="e">
        <f>C28/-C33</f>
        <v>#DIV/0!</v>
      </c>
      <c r="D75" s="83" t="e">
        <f>D28/-D33</f>
        <v>#DIV/0!</v>
      </c>
      <c r="E75" s="83" t="e">
        <f>E28/-E33</f>
        <v>#DIV/0!</v>
      </c>
      <c r="F75" s="83">
        <f>F28/-F33</f>
        <v>160.61607142857142</v>
      </c>
      <c r="G75" s="83">
        <f>G28/-G33</f>
        <v>208.98765432098764</v>
      </c>
      <c r="I75" s="168"/>
      <c r="J75" s="168"/>
      <c r="K75" s="168"/>
      <c r="L75" s="83" t="e" cm="1">
        <f t="array" ref="L75">SUM(I28:L28)/SUM(-I33:L33)</f>
        <v>#DIV/0!</v>
      </c>
      <c r="M75" s="83" t="e" cm="1">
        <f t="array" ref="M75">SUM(J28:M28)/SUM(-J33:M33)</f>
        <v>#DIV/0!</v>
      </c>
      <c r="N75" s="83" t="e" cm="1">
        <f t="array" ref="N75">SUM(K28:N28)/SUM(-K33:N33)</f>
        <v>#DIV/0!</v>
      </c>
      <c r="O75" s="83" t="e" cm="1">
        <f t="array" ref="O75">SUM(L28:O28)/SUM(-L33:O33)</f>
        <v>#DIV/0!</v>
      </c>
      <c r="P75" s="83" cm="1">
        <f t="array" ref="P75">SUM(M28:P28)/SUM(-M33:P33)</f>
        <v>7.7449664429530198</v>
      </c>
      <c r="Q75" s="83" cm="1">
        <f t="array" ref="Q75">SUM(N28:Q28)/SUM(-N33:Q33)</f>
        <v>7.4739717711337077</v>
      </c>
      <c r="R75" s="83" cm="1">
        <f t="array" ref="R75">SUM(O28:R28)/SUM(-O33:R33)</f>
        <v>7.8360904537866141</v>
      </c>
      <c r="S75" s="83" cm="1">
        <f t="array" ref="S75">SUM(P28:S28)/SUM(-P33:S33)</f>
        <v>9.0561931733492322</v>
      </c>
      <c r="T75" s="83" cm="1">
        <f t="array" ref="T75">SUM(Q28:T28)/SUM(-Q33:T33)</f>
        <v>160.61607142857142</v>
      </c>
      <c r="U75" s="83" cm="1">
        <f t="array" ref="U75">SUM(R28:U28)/SUM(-R33:U33)</f>
        <v>206.48062015503876</v>
      </c>
      <c r="V75" s="83" cm="1">
        <f t="array" ref="V75">SUM(S28:V28)/SUM(-S33:V33)</f>
        <v>170.12328767123287</v>
      </c>
      <c r="W75" s="83" cm="1">
        <f t="array" ref="W75">SUM(T28:W28)/SUM(-T33:W33)</f>
        <v>184.18525896414343</v>
      </c>
      <c r="X75" s="83" cm="1">
        <f t="array" ref="X75">SUM(U28:X28)/SUM(-U33:X33)</f>
        <v>208.98765432098764</v>
      </c>
      <c r="Y75" s="83" cm="1">
        <f t="array" ref="Y75">SUM(V28:Y28)/SUM(-V33:Y33)</f>
        <v>148.41841004184101</v>
      </c>
      <c r="Z75" s="83" cm="1">
        <f t="array" ref="Z75">SUM(W28:Z28)/SUM(-W33:Z33)</f>
        <v>157.06954102920724</v>
      </c>
      <c r="AA75" s="83" cm="1">
        <f t="array" ref="AA75">SUM(X28:AA28)/SUM(-X33:AA33)</f>
        <v>161.47339699863574</v>
      </c>
      <c r="AB75" s="83"/>
      <c r="AC75" s="83">
        <f>AC28/-AC33</f>
        <v>160.61607142857142</v>
      </c>
      <c r="AD75" s="83">
        <f>AD28/-AD33</f>
        <v>206.48062015503876</v>
      </c>
      <c r="AE75" s="83">
        <f>AE28/-AE33</f>
        <v>170.12328767123287</v>
      </c>
      <c r="AF75" s="83">
        <f>AF28/-AF33</f>
        <v>184.18525896414343</v>
      </c>
      <c r="AG75" s="83">
        <f>AG28/-AG33</f>
        <v>208.98765432098764</v>
      </c>
      <c r="AH75" s="83">
        <f>AH28/-AH33</f>
        <v>148.41841004184101</v>
      </c>
      <c r="AI75" s="83">
        <f>AI28/-AI33</f>
        <v>157.06954102920724</v>
      </c>
      <c r="AJ75" s="83">
        <f>AJ28/-AJ33</f>
        <v>161.47339699863574</v>
      </c>
    </row>
    <row r="76" spans="1:36" ht="12.75" customHeight="1">
      <c r="B76" s="31" t="s">
        <v>89</v>
      </c>
      <c r="C76" s="83" cm="1">
        <f t="array" ref="C76">SUM(C28+C31)/SUM(-C32:C33)</f>
        <v>7.3081106644596829</v>
      </c>
      <c r="D76" s="83" cm="1">
        <f t="array" ref="D76">SUM(D28+D31)/SUM(-D32:D33)</f>
        <v>5.3013489736070385</v>
      </c>
      <c r="E76" s="83" cm="1">
        <f t="array" ref="E76">SUM(E28+E31)/SUM(-E32:E33)</f>
        <v>2.8774777587014202</v>
      </c>
      <c r="F76" s="83" cm="1">
        <f t="array" ref="F76">SUM(F28+F31)/SUM(-F32:F33)</f>
        <v>6.3658398299078671</v>
      </c>
      <c r="G76" s="83" cm="1">
        <f t="array" ref="G76">SUM(G28+G31)/SUM(-G32:G33)</f>
        <v>5.8253623188405799</v>
      </c>
      <c r="I76" s="168"/>
      <c r="J76" s="168"/>
      <c r="K76" s="168"/>
      <c r="L76" s="83" cm="1">
        <f t="array" ref="L76">SUM(I28:L28+I31:L31)/SUM(-I32:L33)</f>
        <v>5.3013489736070385</v>
      </c>
      <c r="M76" s="83" cm="1">
        <f t="array" ref="M76">SUM(J28:M28+J31:M31)/SUM(-J32:M33)</f>
        <v>6.87156862745098</v>
      </c>
      <c r="N76" s="83" cm="1">
        <f t="array" ref="N76">SUM(K28:N28+K31:N31)/SUM(-K32:N33)</f>
        <v>7.3706896551724137</v>
      </c>
      <c r="O76" s="83" cm="1">
        <f t="array" ref="O76">SUM(L28:O28+L31:O31)/SUM(-L32:O33)</f>
        <v>5.1509613554159523</v>
      </c>
      <c r="P76" s="83" cm="1">
        <f t="array" ref="P76">SUM(M28:P28+M31:P31)/SUM(-M32:P33)</f>
        <v>2.8774777587014202</v>
      </c>
      <c r="Q76" s="83" cm="1">
        <f t="array" ref="Q76">SUM(N28:Q28+N31:Q31)/SUM(-N32:Q33)</f>
        <v>2.5690080098582873</v>
      </c>
      <c r="R76" s="83" cm="1">
        <f t="array" ref="R76">SUM(O28:R28+O31:R31)/SUM(-O32:R33)</f>
        <v>3.7583868010999084</v>
      </c>
      <c r="S76" s="83" cm="1">
        <f t="array" ref="S76">SUM(P28:S28+P31:S31)/SUM(-P32:S33)</f>
        <v>7.9713094654242278</v>
      </c>
      <c r="T76" s="83" cm="1">
        <f t="array" ref="T76">SUM(Q28:T28+Q31:T31)/SUM(-Q32:T33)</f>
        <v>6.3658398299078671</v>
      </c>
      <c r="U76" s="83" cm="1">
        <f t="array" ref="U76">SUM(R28:U28+R31:U31)/SUM(-R32:U33)</f>
        <v>7.3813547582767693</v>
      </c>
      <c r="V76" s="83" cm="1">
        <f t="array" ref="V76">SUM(S28:V28+S31:V31)/SUM(-S32:V33)</f>
        <v>4.7881676253081347</v>
      </c>
      <c r="W76" s="83" cm="1">
        <f t="array" ref="W76">SUM(T28:W28+T31:W31)/SUM(-T32:W33)</f>
        <v>4.623146285118116</v>
      </c>
      <c r="X76" s="83" cm="1">
        <f t="array" ref="X76">SUM(U28:X28+U31:X31)/SUM(-U32:X33)</f>
        <v>5.8253623188405799</v>
      </c>
      <c r="Y76" s="83" cm="1">
        <f t="array" ref="Y76">SUM(V28:Y28+V31:Y31)/SUM(-V32:Y33)</f>
        <v>5.6469474253764993</v>
      </c>
      <c r="Z76" s="83" cm="1">
        <f t="array" ref="Z76">SUM(W28:Z28+W31:Z31)/SUM(-W32:Z33)</f>
        <v>5.9242542405927079</v>
      </c>
      <c r="AA76" s="83" cm="1">
        <f t="array" ref="AA76">SUM(X28:AA28+X31:AA31)/SUM(-X32:AA33)</f>
        <v>6.0111303220229093</v>
      </c>
      <c r="AB76" s="83"/>
      <c r="AC76" s="83" cm="1">
        <f t="array" ref="AC76">SUM(AC28+AC31)/SUM(-AC32:AC33)</f>
        <v>6.3658398299078671</v>
      </c>
      <c r="AD76" s="83" cm="1">
        <f t="array" ref="AD76">SUM(AD28+AD31)/SUM(-AD32:AD33)</f>
        <v>7.3813547582767693</v>
      </c>
      <c r="AE76" s="83" cm="1">
        <f t="array" ref="AE76">SUM(AE28+AE31)/SUM(-AE32:AE33)</f>
        <v>4.7881676253081347</v>
      </c>
      <c r="AF76" s="83" cm="1">
        <f t="array" ref="AF76">SUM(AF28+AF31)/SUM(-AF32:AF33)</f>
        <v>4.623146285118116</v>
      </c>
      <c r="AG76" s="83" cm="1">
        <f t="array" ref="AG76">SUM(AG28+AG31)/SUM(-AG32:AG33)</f>
        <v>5.8253623188405799</v>
      </c>
      <c r="AH76" s="83" cm="1">
        <f t="array" ref="AH76">SUM(AH28+AH31)/SUM(-AH32:AH33)</f>
        <v>5.6469474253764993</v>
      </c>
      <c r="AI76" s="83" cm="1">
        <f t="array" ref="AI76">SUM(AI28+AI31)/SUM(-AI32:AI33)</f>
        <v>5.9242542405927079</v>
      </c>
      <c r="AJ76" s="83" cm="1">
        <f t="array" ref="AJ76">SUM(AJ28+AJ31)/SUM(-AJ32:AJ33)</f>
        <v>6.0111303220229093</v>
      </c>
    </row>
    <row r="77" spans="1:36" ht="12.75" customHeight="1">
      <c r="B77" s="31" t="s">
        <v>90</v>
      </c>
      <c r="C77" s="83" cm="1">
        <f t="array" ref="C77">SUM(C28)/SUM(-C31:C33)</f>
        <v>2.3756703795379539</v>
      </c>
      <c r="D77" s="83" cm="1">
        <f t="array" ref="D77">SUM(D28)/SUM(-D31:D33)</f>
        <v>2.3473819584787803</v>
      </c>
      <c r="E77" s="83" cm="1">
        <f t="array" ref="E77">SUM(E28)/SUM(-E31:E33)</f>
        <v>1.3199797834703269</v>
      </c>
      <c r="F77" s="83" cm="1">
        <f t="array" ref="F77">SUM(F28)/SUM(-F31:F33)</f>
        <v>2.1101466275659826</v>
      </c>
      <c r="G77" s="83" cm="1">
        <f t="array" ref="G77">SUM(G28)/SUM(-G31:G33)</f>
        <v>2.1030313069405335</v>
      </c>
      <c r="I77" s="168"/>
      <c r="J77" s="168"/>
      <c r="K77" s="168"/>
      <c r="L77" s="83" cm="1">
        <f t="array" ref="L77">SUM(I28:L28)/SUM(-I31:L33)</f>
        <v>2.3473819584787803</v>
      </c>
      <c r="M77" s="83" cm="1">
        <f t="array" ref="M77">SUM(J28:M28)/SUM(-J31:M33)</f>
        <v>2.3848466163095421</v>
      </c>
      <c r="N77" s="83" cm="1">
        <f t="array" ref="N77">SUM(K28:N28)/SUM(-K31:N33)</f>
        <v>2.123303535883609</v>
      </c>
      <c r="O77" s="83" cm="1">
        <f t="array" ref="O77">SUM(L28:O28)/SUM(-L31:O33)</f>
        <v>1.6599376532187282</v>
      </c>
      <c r="P77" s="83" cm="1">
        <f t="array" ref="P77">SUM(M28:P28)/SUM(-M31:P33)</f>
        <v>1.3199797834703269</v>
      </c>
      <c r="Q77" s="83" cm="1">
        <f t="array" ref="Q77">SUM(N28:Q28)/SUM(-N31:Q33)</f>
        <v>1.260778289810548</v>
      </c>
      <c r="R77" s="83" cm="1">
        <f t="array" ref="R77">SUM(O28:R28)/SUM(-O31:R33)</f>
        <v>1.4112887795544622</v>
      </c>
      <c r="S77" s="83" cm="1">
        <f t="array" ref="S77">SUM(P28:S28)/SUM(-P31:S33)</f>
        <v>1.8793652757586068</v>
      </c>
      <c r="T77" s="83" cm="1">
        <f t="array" ref="T77">SUM(Q28:T28)/SUM(-Q31:T33)</f>
        <v>2.1101466275659826</v>
      </c>
      <c r="U77" s="83" cm="1">
        <f t="array" ref="U77">SUM(R28:U28)/SUM(-R31:U33)</f>
        <v>2.3612777400195029</v>
      </c>
      <c r="V77" s="83" cm="1">
        <f t="array" ref="V77">SUM(S28:V28)/SUM(-S31:V33)</f>
        <v>2.1290930910337735</v>
      </c>
      <c r="W77" s="83" cm="1">
        <f t="array" ref="W77">SUM(T28:W28)/SUM(-T31:W33)</f>
        <v>2.1089594452807812</v>
      </c>
      <c r="X77" s="83" cm="1">
        <f t="array" ref="X77">SUM(U28:X28)/SUM(-U31:X33)</f>
        <v>2.1030313069405335</v>
      </c>
      <c r="Y77" s="83" cm="1">
        <f t="array" ref="Y77">SUM(V28:Y28)/SUM(-V31:Y33)</f>
        <v>1.9388550814415333</v>
      </c>
      <c r="Z77" s="83" cm="1">
        <f t="array" ref="Z77">SUM(W28:Z28)/SUM(-W31:Z33)</f>
        <v>1.8092438321050945</v>
      </c>
      <c r="AA77" s="83" cm="1">
        <f t="array" ref="AA77">SUM(X28:AA28)/SUM(-X31:AA33)</f>
        <v>1.644185755761457</v>
      </c>
      <c r="AB77" s="83"/>
      <c r="AC77" s="83" cm="1">
        <f t="array" ref="AC77">SUM(AC28)/SUM(-AC31:AC33)</f>
        <v>2.1101466275659826</v>
      </c>
      <c r="AD77" s="83" cm="1">
        <f t="array" ref="AD77">SUM(AD28)/SUM(-AD31:AD33)</f>
        <v>2.3612777400195029</v>
      </c>
      <c r="AE77" s="83" cm="1">
        <f t="array" ref="AE77">SUM(AE28)/SUM(-AE31:AE33)</f>
        <v>2.1290930910337735</v>
      </c>
      <c r="AF77" s="83" cm="1">
        <f t="array" ref="AF77">SUM(AF28)/SUM(-AF31:AF33)</f>
        <v>2.1089594452807812</v>
      </c>
      <c r="AG77" s="83" cm="1">
        <f t="array" ref="AG77">SUM(AG28)/SUM(-AG31:AG33)</f>
        <v>2.1030313069405335</v>
      </c>
      <c r="AH77" s="83" cm="1">
        <f t="array" ref="AH77">SUM(AH28)/SUM(-AH31:AH33)</f>
        <v>1.9388550814415333</v>
      </c>
      <c r="AI77" s="83" cm="1">
        <f t="array" ref="AI77">SUM(AI28)/SUM(-AI31:AI33)</f>
        <v>1.8092438321050945</v>
      </c>
      <c r="AJ77" s="83" cm="1">
        <f t="array" ref="AJ77">SUM(AJ28)/SUM(-AJ31:AJ33)</f>
        <v>1.644185755761457</v>
      </c>
    </row>
    <row r="78" spans="1:36" ht="12.75" customHeight="1">
      <c r="B78" s="8" t="s">
        <v>48</v>
      </c>
      <c r="C78" s="83" t="e">
        <f>C69/C66</f>
        <v>#DIV/0!</v>
      </c>
      <c r="D78" s="83" t="e">
        <f>D69/D66</f>
        <v>#DIV/0!</v>
      </c>
      <c r="E78" s="83">
        <f>E69/E66</f>
        <v>9.2159989543167118</v>
      </c>
      <c r="F78" s="83">
        <f>F69/F66</f>
        <v>9.3311395159097081</v>
      </c>
      <c r="G78" s="83">
        <f>G69/G66</f>
        <v>7.3358426420592524</v>
      </c>
      <c r="I78" s="168"/>
      <c r="J78" s="168"/>
      <c r="K78" s="168"/>
      <c r="L78" s="83" t="e">
        <f t="shared" ref="I78:AA78" si="83">L69/L66</f>
        <v>#DIV/0!</v>
      </c>
      <c r="M78" s="83" t="e">
        <f t="shared" si="83"/>
        <v>#DIV/0!</v>
      </c>
      <c r="N78" s="83" t="e">
        <f t="shared" si="83"/>
        <v>#DIV/0!</v>
      </c>
      <c r="O78" s="83">
        <f t="shared" si="83"/>
        <v>13.50695424309615</v>
      </c>
      <c r="P78" s="83">
        <f t="shared" si="83"/>
        <v>9.2159989543167118</v>
      </c>
      <c r="Q78" s="83">
        <f t="shared" si="83"/>
        <v>8.7172098200482342</v>
      </c>
      <c r="R78" s="83">
        <f t="shared" si="83"/>
        <v>9.152858880778588</v>
      </c>
      <c r="S78" s="83">
        <f t="shared" si="83"/>
        <v>9.7256015634542567</v>
      </c>
      <c r="T78" s="83">
        <f t="shared" si="83"/>
        <v>9.3311395159097081</v>
      </c>
      <c r="U78" s="83">
        <f t="shared" si="83"/>
        <v>9.1323217490618376</v>
      </c>
      <c r="V78" s="83">
        <f t="shared" si="83"/>
        <v>9.5248246234161726</v>
      </c>
      <c r="W78" s="83">
        <f t="shared" si="83"/>
        <v>6.7082538250702566</v>
      </c>
      <c r="X78" s="83">
        <f t="shared" si="83"/>
        <v>7.3358426420592524</v>
      </c>
      <c r="Y78" s="83">
        <f t="shared" si="83"/>
        <v>7.4181553297027296</v>
      </c>
      <c r="Z78" s="83">
        <f t="shared" si="83"/>
        <v>7.7657463928967809</v>
      </c>
      <c r="AA78" s="83">
        <f>AA69/AA66</f>
        <v>7.730457099257821</v>
      </c>
      <c r="AB78" s="83"/>
      <c r="AC78" s="83" t="e">
        <f t="shared" ref="AC78:AH78" si="84">AC69/AC66</f>
        <v>#REF!</v>
      </c>
      <c r="AD78" s="83" t="e">
        <f t="shared" si="84"/>
        <v>#REF!</v>
      </c>
      <c r="AE78" s="83" t="e">
        <f t="shared" si="84"/>
        <v>#REF!</v>
      </c>
      <c r="AF78" s="83">
        <f t="shared" si="84"/>
        <v>6.7082538250702566</v>
      </c>
      <c r="AG78" s="83">
        <f t="shared" si="84"/>
        <v>7.3358426420592524</v>
      </c>
      <c r="AH78" s="83">
        <f t="shared" si="84"/>
        <v>7.4181553297027296</v>
      </c>
      <c r="AI78" s="83">
        <f>AI69/AI66</f>
        <v>7.7657463928967809</v>
      </c>
      <c r="AJ78" s="83">
        <f>AJ69/AJ66</f>
        <v>7.730457099257821</v>
      </c>
    </row>
    <row r="79" spans="1:36" ht="5.0999999999999996" customHeight="1" thickBot="1"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</row>
  </sheetData>
  <mergeCells count="1">
    <mergeCell ref="AL2:AL4"/>
  </mergeCells>
  <pageMargins left="0.7" right="0.7" top="0.75" bottom="0.75" header="0.3" footer="0.3"/>
  <ignoredErrors>
    <ignoredError sqref="AK35:AK36 H35 AK37:AL39 H38:H39 Q36:Z37 E36:H37 H31:H33 C38:G42" formulaRange="1"/>
    <ignoredError sqref="AB23 AL35:AL36 AB27 AL9:AL12 H14 H23:H24 AL14:AL16 AB17 H17 AB74:AB78 Q12:AB12 E11:H12 V10:AB11 AB19 H19:H20 AL20:AL26 H27:H28 AC73:AJ78 Q21:AJ22 Q15:AJ16 Q25:AJ26 Q29:AJ29 AC11:AJ12 AG10:AJ10 AB73 G10:H10 E29:H29 E25:H26 E15:H16 E21:H22 E73:H78 AL28:AL33" evalError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itus xmlns="http://schemas.titus.com/TitusProperties/">
  <TitusGUID xmlns="">b07cb572-0833-4348-88b4-a0fa7ea20e4a</TitusGUID>
  <TitusMetadata xmlns="">eyJucyI6Imh0dHA6XC9cL3d3dy50aXR1cy5jb21cL25zXC9CYW5rIG9mIEFtZXJpY2EiLCJwcm9wcyI6W3sibiI6IkNsYXNzaWZpY2F0aW9uIiwidmFscyI6W3sidmFsdWUiOiJVbmNsYXNzaWZpZWQifV19LHsibiI6IkF1ZGllbmNlIiwidmFscyI6W119LHsibiI6IkNvbmZpZGVudGlhbFR5cGUiLCJ2YWxzIjpbXX1dfQ==</TitusMetadata>
</titus>
</file>

<file path=customXml/itemProps1.xml><?xml version="1.0" encoding="utf-8"?>
<ds:datastoreItem xmlns:ds="http://schemas.openxmlformats.org/officeDocument/2006/customXml" ds:itemID="{AC203626-EEC5-451D-B6D3-0C3E06066648}">
  <ds:schemaRefs>
    <ds:schemaRef ds:uri="http://schemas.titus.com/TitusProperties/"/>
    <ds:schemaRef ds:uri="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Historical Financials</vt:lpstr>
      <vt:lpstr>Revenue Drivers</vt:lpstr>
      <vt:lpstr>FCF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 Garcia</dc:creator>
  <cp:lastModifiedBy>Felix Garcia</cp:lastModifiedBy>
  <dcterms:created xsi:type="dcterms:W3CDTF">2024-08-10T06:01:52Z</dcterms:created>
  <dcterms:modified xsi:type="dcterms:W3CDTF">2026-01-02T21:13:08Z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b07cb572-0833-4348-88b4-a0fa7ea20e4a</vt:lpwstr>
  </property>
  <property fmtid="{D5CDD505-2E9C-101B-9397-08002B2CF9AE}" pid="3" name="Classification">
    <vt:lpwstr>Unclassified</vt:lpwstr>
  </property>
  <property fmtid="{D5CDD505-2E9C-101B-9397-08002B2CF9AE}" pid="4" name="BAC">
    <vt:lpwstr>B!bac@C</vt:lpwstr>
  </property>
</Properties>
</file>